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D14E47BB-0149-41E0-897E-873572A798A4}" xr6:coauthVersionLast="47" xr6:coauthVersionMax="47" xr10:uidLastSave="{00000000-0000-0000-0000-000000000000}"/>
  <bookViews>
    <workbookView xWindow="-120" yWindow="-120" windowWidth="20730" windowHeight="11160" tabRatio="773" firstSheet="9" activeTab="14" xr2:uid="{00000000-000D-0000-FFFF-FFFF00000000}"/>
  </bookViews>
  <sheets>
    <sheet name="Índice" sheetId="1" r:id="rId1"/>
    <sheet name="Sonora_EdoUsa" sheetId="2" r:id="rId2"/>
    <sheet name="Sonora_Cons" sheetId="15" r:id="rId3"/>
    <sheet name="SonoraXCons" sheetId="16" r:id="rId4"/>
    <sheet name="Sonora_EdoMun" sheetId="5" r:id="rId5"/>
    <sheet name="Sonora_USAMuni" sheetId="6" r:id="rId6"/>
    <sheet name="Sonora_MUNICIPIO" sheetId="7" r:id="rId7"/>
    <sheet name="Sonora_educ_gral" sheetId="8" r:id="rId8"/>
    <sheet name="Sonora_NivelE_Cons" sheetId="9" r:id="rId9"/>
    <sheet name="Sonora_EducCons" sheetId="10" r:id="rId10"/>
    <sheet name="Sonora_GenGral" sheetId="11" r:id="rId11"/>
    <sheet name="Sonora_GENERO" sheetId="12" r:id="rId12"/>
    <sheet name="Sonora_GENERO_EUA" sheetId="17" r:id="rId13"/>
    <sheet name="Sonora_Gen_Edad" sheetId="13" r:id="rId14"/>
    <sheet name="Sonora_ocup_gral" sheetId="14" r:id="rId15"/>
  </sheets>
  <definedNames>
    <definedName name="_xlnm._FilterDatabase" localSheetId="2" hidden="1">Sonora_Cons!$B$11:$D$11</definedName>
    <definedName name="_xlnm._FilterDatabase" localSheetId="4" hidden="1">Sonora_EdoMun!$B$11:$D$11</definedName>
    <definedName name="_xlnm._FilterDatabase" localSheetId="1" hidden="1">Sonora_EdoUsa!$B$11:$D$11</definedName>
    <definedName name="_xlnm._FilterDatabase" localSheetId="7" hidden="1">Sonora_educ_gral!$B$11:$D$11</definedName>
    <definedName name="_xlnm._FilterDatabase" localSheetId="9" hidden="1">Sonora_EducCons!$B$9:$E$9</definedName>
    <definedName name="_xlnm._FilterDatabase" localSheetId="11" hidden="1">Sonora_GENERO!$B$12:$E$156</definedName>
    <definedName name="_xlnm._FilterDatabase" localSheetId="12" hidden="1">Sonora_GENERO_EUA!$B$12:$E$141</definedName>
    <definedName name="_xlnm._FilterDatabase" localSheetId="10" hidden="1">Sonora_GenGral!$B$11:$D$11</definedName>
    <definedName name="_xlnm._FilterDatabase" localSheetId="6" hidden="1">Sonora_MUNICIPIO!$B$9:$E$884</definedName>
    <definedName name="_xlnm._FilterDatabase" localSheetId="8" hidden="1">Sonora_NivelE_Cons!$B$9:$E$420</definedName>
    <definedName name="_xlnm._FilterDatabase" localSheetId="14" hidden="1">Sonora_ocup_gral!$B$11:$D$11</definedName>
    <definedName name="_xlnm._FilterDatabase" localSheetId="5" hidden="1">Sonora_USAMuni!$B$9:$E$9</definedName>
    <definedName name="_xlnm._FilterDatabase" localSheetId="3" hidden="1">SonoraXCons!$B$11:$D$11</definedName>
    <definedName name="_xlnm.Print_Area" localSheetId="7">Sonora_educ_gral!$A$1:$F$42</definedName>
    <definedName name="_xlnm.Print_Area" localSheetId="9">Sonora_EducCons!$A$1:$E$636</definedName>
    <definedName name="_xlnm.Print_Area" localSheetId="13">Sonora_Gen_Edad!$A$1:$G$40</definedName>
    <definedName name="_xlnm.Print_Area" localSheetId="12">Sonora_GENERO_EUA!$A$1:$F$148</definedName>
    <definedName name="_xlnm.Print_Area" localSheetId="10">Sonora_GenGral!$A$1:$F$21</definedName>
    <definedName name="_xlnm.Print_Area" localSheetId="6">Sonora_MUNICIPIO!$A$1:$E$891</definedName>
    <definedName name="_xlnm.Print_Area" localSheetId="8">Sonora_NivelE_Cons!$A$1:$E$427</definedName>
    <definedName name="_xlnm.Print_Area" localSheetId="14">Sonora_ocup_gral!$A$1:$E$76</definedName>
    <definedName name="_xlnm.Print_Area" localSheetId="5">Sonora_USAMuni!$A$1:$E$630</definedName>
    <definedName name="_xlnm.Print_Titles" localSheetId="2">Sonora_Cons!$1:$11</definedName>
    <definedName name="_xlnm.Print_Titles" localSheetId="4">Sonora_EdoMun!$1:$11</definedName>
    <definedName name="_xlnm.Print_Titles" localSheetId="1">Sonora_EdoUsa!$1:$11</definedName>
    <definedName name="_xlnm.Print_Titles" localSheetId="7">Sonora_educ_gral!$1:$11</definedName>
    <definedName name="_xlnm.Print_Titles" localSheetId="9">Sonora_EducCons!$1:$9</definedName>
    <definedName name="_xlnm.Print_Titles" localSheetId="13">Sonora_Gen_Edad!$1:$12</definedName>
    <definedName name="_xlnm.Print_Titles" localSheetId="11">Sonora_GENERO!$1:$12</definedName>
    <definedName name="_xlnm.Print_Titles" localSheetId="12">Sonora_GENERO_EUA!$1:$12</definedName>
    <definedName name="_xlnm.Print_Titles" localSheetId="10">Sonora_GenGral!$1:$11</definedName>
    <definedName name="_xlnm.Print_Titles" localSheetId="6">Sonora_MUNICIPIO!$1:$9</definedName>
    <definedName name="_xlnm.Print_Titles" localSheetId="8">Sonora_NivelE_Cons!$1:$9</definedName>
    <definedName name="_xlnm.Print_Titles" localSheetId="14">Sonora_ocup_gral!$1:$11</definedName>
    <definedName name="_xlnm.Print_Titles" localSheetId="5">Sonora_USAMuni!$1:$9</definedName>
    <definedName name="_xlnm.Print_Titles" localSheetId="3">SonoraXCons!$1:$11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3" l="1"/>
  <c r="E23" i="13"/>
  <c r="E22" i="13"/>
  <c r="E17" i="13"/>
  <c r="E16" i="13"/>
  <c r="F15" i="13"/>
  <c r="F14" i="13"/>
  <c r="F13" i="13"/>
  <c r="D21" i="16"/>
  <c r="D20" i="16"/>
  <c r="D19" i="16"/>
  <c r="D18" i="16"/>
  <c r="D17" i="16"/>
  <c r="D16" i="16"/>
  <c r="D15" i="16"/>
  <c r="D14" i="16"/>
  <c r="D13" i="16"/>
  <c r="D12" i="16"/>
  <c r="F33" i="13"/>
  <c r="F32" i="13"/>
  <c r="F30" i="13"/>
  <c r="F21" i="13"/>
  <c r="F31" i="13"/>
  <c r="F23" i="13"/>
  <c r="F24" i="13"/>
  <c r="F25" i="13"/>
  <c r="F26" i="13"/>
  <c r="F27" i="13"/>
  <c r="F28" i="13"/>
  <c r="F29" i="13"/>
  <c r="F22" i="13"/>
  <c r="F16" i="13"/>
  <c r="F17" i="13"/>
  <c r="F18" i="13"/>
  <c r="F19" i="13"/>
  <c r="F20" i="13"/>
  <c r="E24" i="13"/>
  <c r="E25" i="13"/>
  <c r="E26" i="13"/>
  <c r="E27" i="13"/>
  <c r="E28" i="13"/>
  <c r="E29" i="13"/>
  <c r="E14" i="13"/>
  <c r="E15" i="13"/>
  <c r="E18" i="13"/>
  <c r="E19" i="13"/>
  <c r="E20" i="13"/>
  <c r="E13" i="13"/>
  <c r="C22" i="16"/>
  <c r="D22" i="16" s="1"/>
</calcChain>
</file>

<file path=xl/sharedStrings.xml><?xml version="1.0" encoding="utf-8"?>
<sst xmlns="http://schemas.openxmlformats.org/spreadsheetml/2006/main" count="3516" uniqueCount="328">
  <si>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</si>
  <si>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</si>
  <si>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</si>
  <si>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</si>
  <si>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</si>
  <si>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</si>
  <si>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</si>
  <si>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</si>
  <si>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</si>
  <si>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</si>
  <si>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</si>
  <si>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</si>
  <si>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</si>
  <si>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</si>
  <si>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</si>
  <si>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</si>
  <si>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</si>
  <si>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</si>
  <si>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</si>
  <si>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</si>
  <si>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</si>
  <si>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</si>
  <si>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</si>
  <si>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</si>
  <si>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</si>
  <si>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</si>
  <si>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</si>
  <si>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</si>
  <si>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</si>
  <si>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</si>
  <si>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</si>
  <si>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</si>
  <si>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</si>
  <si>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MATRÍCULAS CONSULARES EXPEDIDAS A ORIGINARIOS DE SONORA POR GÉNERO Y EDAD EN EE.UU.</t>
  </si>
  <si>
    <t>Ocupación</t>
  </si>
  <si>
    <t>5.3 Por Estado de la Unión Americana</t>
  </si>
  <si>
    <t>MATRÍCULAS CONSULARES DE ALTA SEGURIDAD EXPEDIDAS A ORIGINARIOS DE SONORA EN LOS CONSULADOS DE MÉXICO EN EE.UU.</t>
  </si>
  <si>
    <t xml:space="preserve">MATRÍCULAS CONSULARES EXPEDIDAS A ORIGINARIOS DE SONORA POR GÉNERO EN EE.UU </t>
  </si>
  <si>
    <t>MATRÍCULAS CONSULARES EXPEDIDAS EN EE.UU. A ORIGINARIOS DE SONORA POR NIVEL DE EDUCACIÓN</t>
  </si>
  <si>
    <t>MATRÍCULAS CONSULARES EXPEDIDAS A ORIGINARIOS DE SONORA POR GÉNERO Y CONSULADO</t>
  </si>
  <si>
    <t>MATRÍCULAS CONSULARES EXPEDIDAS A ORIGINARIOS DE SONORA POR GÉNERO Y POR ESTADO DE LA UNIÓN AMERICANA</t>
  </si>
  <si>
    <t xml:space="preserve">MATRÍCULAS CONSULARES DE ALTA SEGURIDAD EXPEDIDAS POR MUNICIPIO A ORIGINARIOS DEL ESTADO DE SONORA EN LOS CONSULADOS DE MÉXICO EN EE.UU. </t>
  </si>
  <si>
    <t>MATRÍCULAS CONSULARES DE ALTA SEGURIDAD EXPEDIDAS A ORIGINARIOS DE SONORA POR ESTADO DE LA UNIÓN AMERICANA</t>
  </si>
  <si>
    <t>LOS 10 CONSULADOS  DE MÉXICO EN EE.UU., CON MAYOR NÚMERO DE EXPEDICIÓN DE  MATRÍCULAS CONSULARES DE ALTA SEGURIDAD A ORIGINARIOS DE SONORA</t>
  </si>
  <si>
    <t>TOTAL TOP 10</t>
  </si>
  <si>
    <t>TOTAL GENERAL</t>
  </si>
  <si>
    <t>Elaborado por: Análisis de Información, Instituto de Mexicanas y Mexicanos en el Exterior</t>
  </si>
  <si>
    <t>PHOENIX</t>
  </si>
  <si>
    <t>TUCSON</t>
  </si>
  <si>
    <t>LOS ANGELES</t>
  </si>
  <si>
    <t>LAS VEGAS</t>
  </si>
  <si>
    <t>SAN BERNARDINO</t>
  </si>
  <si>
    <t>FRESNO</t>
  </si>
  <si>
    <t>YUMA</t>
  </si>
  <si>
    <t>CHICAGO</t>
  </si>
  <si>
    <t>NOGALES</t>
  </si>
  <si>
    <t>DENVER</t>
  </si>
  <si>
    <t>SACRAMENTO</t>
  </si>
  <si>
    <t>HOUSTON</t>
  </si>
  <si>
    <t>SAN DIEGO</t>
  </si>
  <si>
    <t>SAN JOSE</t>
  </si>
  <si>
    <t>SANTA ANA</t>
  </si>
  <si>
    <t>DALLAS</t>
  </si>
  <si>
    <t>SALT LAKE CITY</t>
  </si>
  <si>
    <t>BOISE</t>
  </si>
  <si>
    <t>RALEIGH</t>
  </si>
  <si>
    <t>KANSAS CITY</t>
  </si>
  <si>
    <t>ALBUQUERQUE</t>
  </si>
  <si>
    <t>OKLAHOMA CITY</t>
  </si>
  <si>
    <t>SAN FRANCISCO</t>
  </si>
  <si>
    <t>LITTLE ROCK</t>
  </si>
  <si>
    <t>ATLANTA</t>
  </si>
  <si>
    <t>SAINT PAUL</t>
  </si>
  <si>
    <t>INDIANAPOLIS</t>
  </si>
  <si>
    <t>OXNARD</t>
  </si>
  <si>
    <t>MILWAUKEE</t>
  </si>
  <si>
    <t>ORLANDO</t>
  </si>
  <si>
    <t>SEATTLE</t>
  </si>
  <si>
    <t>DETROIT</t>
  </si>
  <si>
    <t>PORTLAND</t>
  </si>
  <si>
    <t>EL PASO</t>
  </si>
  <si>
    <t>AUSTIN</t>
  </si>
  <si>
    <t>NUEVA YORK</t>
  </si>
  <si>
    <t>SAN ANTONIO</t>
  </si>
  <si>
    <t>BOSTON</t>
  </si>
  <si>
    <t>CALEXICO</t>
  </si>
  <si>
    <t>MCALLEN</t>
  </si>
  <si>
    <t>OMAHA</t>
  </si>
  <si>
    <t>NUEVA ORLEANS</t>
  </si>
  <si>
    <t>MIAMI</t>
  </si>
  <si>
    <t>PRESIDIO</t>
  </si>
  <si>
    <t>DOUGLAS</t>
  </si>
  <si>
    <t>FILADELFIA</t>
  </si>
  <si>
    <t>WASHINGTON</t>
  </si>
  <si>
    <t>BROWNSVILLE</t>
  </si>
  <si>
    <t>LAREDO</t>
  </si>
  <si>
    <t>DEL RIO</t>
  </si>
  <si>
    <t>NEW BRUNSWICK</t>
  </si>
  <si>
    <t>ALABAMA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</si>
  <si>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</si>
  <si>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</si>
  <si>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</si>
  <si>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</si>
  <si>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</si>
  <si>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</si>
  <si>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</si>
  <si>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</si>
  <si>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</si>
  <si>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IDAHO</t>
  </si>
  <si>
    <t>ILLINOIS</t>
  </si>
  <si>
    <t>INDIANA</t>
  </si>
  <si>
    <t>IOWA</t>
  </si>
  <si>
    <t>KANSAS</t>
  </si>
  <si>
    <t>KENTUCKY</t>
  </si>
  <si>
    <t>LOUISIANA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</si>
  <si>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</si>
  <si>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</si>
  <si>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</si>
  <si>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</si>
  <si>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</si>
  <si>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</si>
  <si>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</si>
  <si>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</si>
  <si>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</si>
  <si>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</si>
  <si>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</si>
  <si>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</si>
  <si>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</si>
  <si>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</si>
  <si>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</si>
  <si>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</si>
  <si>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</si>
  <si>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</si>
  <si>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</si>
  <si>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TENNESSEE</t>
  </si>
  <si>
    <t>TEXAS</t>
  </si>
  <si>
    <t>UTAH</t>
  </si>
  <si>
    <t>VIRGINIA</t>
  </si>
  <si>
    <t>WISCONSIN</t>
  </si>
  <si>
    <t>WYOMING</t>
  </si>
  <si>
    <t>FEMENINO</t>
  </si>
  <si>
    <t>MASCULINO</t>
  </si>
  <si>
    <t>CAJEME</t>
  </si>
  <si>
    <t>HERMOSILLO</t>
  </si>
  <si>
    <t>NAVOJOA</t>
  </si>
  <si>
    <t>ACONCHI</t>
  </si>
  <si>
    <t>AGUA PRIETA</t>
  </si>
  <si>
    <t>ALAMOS</t>
  </si>
  <si>
    <t>ALTAR</t>
  </si>
  <si>
    <t>ARIZPE</t>
  </si>
  <si>
    <t>ATIL</t>
  </si>
  <si>
    <t>BACADÉHUACHI</t>
  </si>
  <si>
    <t>BACANORA</t>
  </si>
  <si>
    <t>BACERAC</t>
  </si>
  <si>
    <t>BACOACHI</t>
  </si>
  <si>
    <t>BANÁMICHI</t>
  </si>
  <si>
    <t>BAVISPE</t>
  </si>
  <si>
    <t>BAVIÁCORA</t>
  </si>
  <si>
    <t>BENITO JUÁREZ</t>
  </si>
  <si>
    <t>BENJAMÍN HILL</t>
  </si>
  <si>
    <t>BÁCUM</t>
  </si>
  <si>
    <t>CABORCA</t>
  </si>
  <si>
    <t>CANANEA</t>
  </si>
  <si>
    <t>CARBÓ</t>
  </si>
  <si>
    <t>CUCURPE</t>
  </si>
  <si>
    <t>CUMPAS</t>
  </si>
  <si>
    <t>DIVISADEROS</t>
  </si>
  <si>
    <t>EMPALME</t>
  </si>
  <si>
    <t>ETCHOJOA</t>
  </si>
  <si>
    <t>FRONTERAS</t>
  </si>
  <si>
    <t>GENERAL PLUTARCO ELÍAS CALLES</t>
  </si>
  <si>
    <t>GRANADOS</t>
  </si>
  <si>
    <t>GUAYMAS</t>
  </si>
  <si>
    <t>HUACHINERA</t>
  </si>
  <si>
    <t>HUATABAMPO</t>
  </si>
  <si>
    <t>HUÁSABAS</t>
  </si>
  <si>
    <t>IMURIS</t>
  </si>
  <si>
    <t>LA COLORADA</t>
  </si>
  <si>
    <t>MAGDALENA</t>
  </si>
  <si>
    <t>MAZATÁN</t>
  </si>
  <si>
    <t>MOCTEZUMA</t>
  </si>
  <si>
    <t>NACO</t>
  </si>
  <si>
    <t>NACOZARI DE GARCÍA</t>
  </si>
  <si>
    <t>NÁCORI CHICO</t>
  </si>
  <si>
    <t>ONAVAS</t>
  </si>
  <si>
    <t>OPODEPE</t>
  </si>
  <si>
    <t>PITIQUITO</t>
  </si>
  <si>
    <t>PUERTO PEÑASCO</t>
  </si>
  <si>
    <t>QUIRIEGO</t>
  </si>
  <si>
    <t>RAYÓN</t>
  </si>
  <si>
    <t>ROSARIO</t>
  </si>
  <si>
    <t>SAHUARIPA</t>
  </si>
  <si>
    <t>SAN IGNACIO RÍO MUERTO</t>
  </si>
  <si>
    <t>SAN LUIS RÍO COLORADO</t>
  </si>
  <si>
    <t>SAN MIGUEL DE HORCASITAS</t>
  </si>
  <si>
    <t>SAN PEDRO DE LA CUEVA</t>
  </si>
  <si>
    <t>SANTA CRUZ</t>
  </si>
  <si>
    <t>SOYOPA</t>
  </si>
  <si>
    <t>SUAQUI GRANDE</t>
  </si>
  <si>
    <t>SÁRIC</t>
  </si>
  <si>
    <t>TEPACHE</t>
  </si>
  <si>
    <t>TRINCHERAS</t>
  </si>
  <si>
    <t>TUBUTAMA</t>
  </si>
  <si>
    <t>URES</t>
  </si>
  <si>
    <t>VILLA HIDALGO</t>
  </si>
  <si>
    <t>VILLA PESQUEIRA</t>
  </si>
  <si>
    <t>YÉCORA</t>
  </si>
  <si>
    <t>ARIVECHI</t>
  </si>
  <si>
    <t>OQUITOA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</si>
  <si>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</si>
  <si>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</si>
  <si>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</si>
  <si>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</si>
  <si>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</si>
  <si>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</si>
  <si>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</si>
  <si>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</si>
  <si>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</si>
  <si>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</si>
  <si>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</si>
  <si>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</si>
  <si>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</si>
  <si>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</si>
  <si>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</si>
  <si>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</si>
  <si>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</si>
  <si>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</si>
  <si>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</si>
  <si>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</si>
  <si>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</si>
  <si>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</si>
  <si>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</si>
  <si>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</si>
  <si>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</si>
  <si>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</si>
  <si>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</si>
  <si>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</si>
  <si>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</si>
  <si>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</si>
  <si>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</si>
  <si>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EMPLEADO(A)</t>
  </si>
  <si>
    <t>HOGAR</t>
  </si>
  <si>
    <t>ESTUDIANTE</t>
  </si>
  <si>
    <t>CONSTRUCCIÓN, TRAB. DE LA IND. DE LA</t>
  </si>
  <si>
    <t>OBRERO(A)</t>
  </si>
  <si>
    <t>PROFESIONISTA</t>
  </si>
  <si>
    <t>ALIMENTOS Y BEBIDAS, ESP. EN PREPARACIÓN DE</t>
  </si>
  <si>
    <t>AGROPECUARIA, TRAB. DE LA INDUSTRIA</t>
  </si>
  <si>
    <t>EMPRESARIO(A)</t>
  </si>
  <si>
    <t>JARDINERO(A)</t>
  </si>
  <si>
    <t>VENDEDOR(A)</t>
  </si>
  <si>
    <t>JUBILADO(A)/PENSIONADO(A)</t>
  </si>
  <si>
    <t>PINTOR(A)</t>
  </si>
  <si>
    <t>DESEMPLEADO</t>
  </si>
  <si>
    <t>CHOFER</t>
  </si>
  <si>
    <t>LIMPIEZA, EMPLEADO DE</t>
  </si>
  <si>
    <t>MECÁNICO(A)</t>
  </si>
  <si>
    <t>SIN ESPECIFICAR</t>
  </si>
  <si>
    <t>CAJERO(A)/COBRADOR(A)</t>
  </si>
  <si>
    <t>CARPINTERO/TAPICERO</t>
  </si>
  <si>
    <t>MESERO(A)</t>
  </si>
  <si>
    <t>TÉCNICO(A) EN MANTENIMIENTO</t>
  </si>
  <si>
    <t>BELLEZA, PROFESIONAL DE SERVICIOS DE</t>
  </si>
  <si>
    <t>INGENIERO(A)</t>
  </si>
  <si>
    <t>SOLDADOR</t>
  </si>
  <si>
    <t>CARNICERO(A)</t>
  </si>
  <si>
    <t>ENFERMERO(A)/TRAB. DE APOYO EN SALUD</t>
  </si>
  <si>
    <t>OPERARIO(A)</t>
  </si>
  <si>
    <t>ADMINISTRADOR(A)/CONTADOR(A)</t>
  </si>
  <si>
    <t>COMERCIANTE</t>
  </si>
  <si>
    <t>GERENTE/DIRECTOR(A)</t>
  </si>
  <si>
    <t>PROFESOR(A)</t>
  </si>
  <si>
    <t>ABOGADO(A)</t>
  </si>
  <si>
    <t>DISCAPACITADO</t>
  </si>
  <si>
    <t>MÉDICO(A) /ESP. EN SALUD</t>
  </si>
  <si>
    <t>SUPERVISOR(A)</t>
  </si>
  <si>
    <t>ARTESANO(A)</t>
  </si>
  <si>
    <t>FOTÓGRAFO(A)</t>
  </si>
  <si>
    <t>MINISTRO(A) RELIGIOSO(A)</t>
  </si>
  <si>
    <t>OTRO</t>
  </si>
  <si>
    <t>TRABAJADOR(A) DOMÉSTICO(A)</t>
  </si>
  <si>
    <t>AEROCOMERCIAL, TRAB. DE LA INDUSTRIA</t>
  </si>
  <si>
    <t>ARTISTA INTERPRETATIVO(A)</t>
  </si>
  <si>
    <t>CONSULTOR</t>
  </si>
  <si>
    <t>EXTRACCIÓN, TRAB. DE LA INDUSTRIA DE LA</t>
  </si>
  <si>
    <t>LOCUTOR(A)/ANIMADOR(A)</t>
  </si>
  <si>
    <t>VETERINARIO</t>
  </si>
  <si>
    <t>MATRÍCULAS CONSULARES EXPEDIDAS EN EE.UU. ORIGINARIOS DE SONORA POR PERFIL OCUPACIONAL</t>
  </si>
  <si>
    <t>Tamaño de la muestra: 808,027</t>
  </si>
  <si>
    <t>ALASKA</t>
  </si>
  <si>
    <t>NO BINARIO</t>
  </si>
  <si>
    <t>WEST VIRGINIA</t>
  </si>
  <si>
    <t>DESCONOCIDO</t>
  </si>
  <si>
    <t>HUÉPAC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</si>
  <si>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</si>
  <si>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</si>
  <si>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</si>
  <si>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</si>
  <si>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</si>
  <si>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</si>
  <si>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</si>
  <si>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</si>
  <si>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</si>
  <si>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</si>
  <si>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</si>
  <si>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</si>
  <si>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</si>
  <si>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>ENTRE 00 Y 10 AÑOS</t>
  </si>
  <si>
    <t xml:space="preserve">NO BINARIO   </t>
  </si>
  <si>
    <t xml:space="preserve">MASCULINO  </t>
  </si>
  <si>
    <t xml:space="preserve">FEMENINO TOTAL </t>
  </si>
  <si>
    <t>ARTISTA PLÁSTICO/PINTOR(A)</t>
  </si>
  <si>
    <t>DISEÑADOR(A)</t>
  </si>
  <si>
    <t>AUXILIARES ADMINISTRATIVOS Y DE OFICINA</t>
  </si>
  <si>
    <t>DEPORTISTA/ENTRENADOR DEPORTIVO</t>
  </si>
  <si>
    <t>MILITAR</t>
  </si>
  <si>
    <t>MODISTA/SASTRE</t>
  </si>
  <si>
    <t>ODONTÓLOGO(A)</t>
  </si>
  <si>
    <t>PROFESIONAL TÉCNICO</t>
  </si>
  <si>
    <t>SERVIDOR(A) PÚBLICO(A)</t>
  </si>
  <si>
    <t>TRABAJADOR(A) SOCIAL</t>
  </si>
  <si>
    <t xml:space="preserve"> TOTAL</t>
  </si>
  <si>
    <t>Junio de 2025</t>
  </si>
  <si>
    <t xml:space="preserve">TOTAL </t>
  </si>
  <si>
    <t>TOTAL</t>
  </si>
  <si>
    <t xml:space="preserve"> TOTAL </t>
  </si>
  <si>
    <t xml:space="preserve">  Matrículas consulares expedidas a originarios de Sonora en el 2024</t>
  </si>
  <si>
    <t>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</si>
</sst>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3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8"/>
      <color theme="1"/>
      <name val="Calibri"/>
      <family val="2"/>
      <scheme val="minor"/>
    </font>
    <font>
      <u/>
      <sz val="12"/>
      <color theme="10"/>
      <name val="Montserrat"/>
    </font>
    <font>
      <sz val="12"/>
      <color theme="1"/>
      <name val="Montserrat"/>
    </font>
    <font>
      <b/>
      <sz val="12"/>
      <color theme="0"/>
      <name val="Montserrat"/>
    </font>
    <font>
      <sz val="11"/>
      <name val="Montserrat"/>
    </font>
    <font>
      <sz val="8"/>
      <color theme="1"/>
      <name val="Noto Sans"/>
      <family val="2"/>
    </font>
    <font>
      <sz val="10"/>
      <color theme="1"/>
      <name val="Noto Sans"/>
      <family val="2"/>
    </font>
    <font>
      <sz val="11"/>
      <color theme="1"/>
      <name val="Noto Sans"/>
      <family val="2"/>
    </font>
    <font>
      <b/>
      <sz val="9"/>
      <color theme="0"/>
      <name val="Noto Sans"/>
      <family val="2"/>
    </font>
    <font>
      <sz val="7"/>
      <color indexed="8"/>
      <name val="Noto Sans"/>
      <family val="2"/>
    </font>
    <font>
      <b/>
      <sz val="9"/>
      <color indexed="9"/>
      <name val="Noto Sans"/>
      <family val="2"/>
    </font>
    <font>
      <sz val="11"/>
      <name val="Noto Sans"/>
      <family val="2"/>
    </font>
    <font>
      <sz val="8"/>
      <color indexed="8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sz val="9"/>
      <color rgb="FF000000"/>
      <name val="Noto Sans"/>
      <family val="2"/>
    </font>
    <font>
      <sz val="9"/>
      <color theme="1"/>
      <name val="Noto Sans"/>
      <family val="2"/>
    </font>
    <font>
      <b/>
      <sz val="9"/>
      <color theme="0"/>
      <name val="Noto Sans"/>
      <family val="2"/>
    </font>
    <font>
      <sz val="10"/>
      <color theme="1"/>
      <name val="Noto Sans"/>
      <family val="2"/>
    </font>
    <font>
      <b/>
      <sz val="9"/>
      <color theme="0"/>
      <name val="Noto Sans "/>
    </font>
    <font>
      <sz val="9"/>
      <color rgb="FF000000"/>
      <name val="Noto Sans "/>
    </font>
    <font>
      <sz val="7"/>
      <color indexed="8"/>
      <name val="Noto Sans "/>
    </font>
    <font>
      <sz val="11"/>
      <color theme="1"/>
      <name val="Noto Sans 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25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6" fillId="0" borderId="0" xfId="0" applyFont="1"/>
    <xf numFmtId="0" fontId="7" fillId="0" borderId="0" xfId="0" applyFont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  <xf numFmtId="0" fontId="9" fillId="3" borderId="0" xfId="0" applyFont="1" applyFill="1"/>
    <xf numFmtId="0" fontId="10" fillId="3" borderId="0" xfId="0" applyFont="1" applyFill="1"/>
    <xf numFmtId="0" fontId="6" fillId="3" borderId="0" xfId="0" applyFont="1" applyFill="1"/>
    <xf numFmtId="0" fontId="11" fillId="3" borderId="0" xfId="0" applyFont="1" applyFill="1"/>
    <xf numFmtId="0" fontId="12" fillId="3" borderId="0" xfId="0" applyFont="1" applyFill="1"/>
    <xf numFmtId="0" fontId="12" fillId="3" borderId="0" xfId="0" applyFont="1" applyFill="1" applyAlignment="1">
      <alignment vertical="center"/>
    </xf>
    <xf numFmtId="3" fontId="6" fillId="3" borderId="0" xfId="0" applyNumberFormat="1" applyFont="1" applyFill="1"/>
    <xf numFmtId="1" fontId="6" fillId="3" borderId="0" xfId="0" applyNumberFormat="1" applyFont="1" applyFill="1"/>
    <xf numFmtId="0" fontId="13" fillId="3" borderId="0" xfId="0" applyFont="1" applyFill="1"/>
    <xf numFmtId="0" fontId="6" fillId="3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0" fontId="15" fillId="0" borderId="4" xfId="0" applyFont="1" applyBorder="1"/>
    <xf numFmtId="0" fontId="17" fillId="3" borderId="0" xfId="0" applyFont="1" applyFill="1"/>
    <xf numFmtId="0" fontId="18" fillId="0" borderId="0" xfId="0" applyFont="1"/>
    <xf numFmtId="0" fontId="20" fillId="0" borderId="0" xfId="0" applyFont="1" applyAlignment="1">
      <alignment horizontal="center" vertical="center" wrapText="1"/>
    </xf>
    <xf numFmtId="0" fontId="20" fillId="3" borderId="0" xfId="0" applyFont="1" applyFill="1"/>
    <xf numFmtId="0" fontId="22" fillId="3" borderId="0" xfId="0" applyFont="1" applyFill="1"/>
    <xf numFmtId="3" fontId="20" fillId="3" borderId="0" xfId="0" applyNumberFormat="1" applyFont="1" applyFill="1"/>
    <xf numFmtId="0" fontId="22" fillId="3" borderId="0" xfId="0" applyFont="1" applyFill="1" applyAlignment="1">
      <alignment vertical="center"/>
    </xf>
    <xf numFmtId="0" fontId="22" fillId="3" borderId="0" xfId="0" applyFont="1" applyFill="1" applyAlignment="1">
      <alignment vertical="top"/>
    </xf>
    <xf numFmtId="0" fontId="21" fillId="2" borderId="11" xfId="0" applyFont="1" applyFill="1" applyBorder="1" applyAlignment="1">
      <alignment horizontal="center" vertical="center" wrapText="1"/>
    </xf>
    <xf numFmtId="1" fontId="21" fillId="2" borderId="10" xfId="0" applyNumberFormat="1" applyFont="1" applyFill="1" applyBorder="1" applyAlignment="1">
      <alignment horizontal="center" vertical="center" wrapText="1"/>
    </xf>
    <xf numFmtId="0" fontId="21" fillId="2" borderId="10" xfId="0" applyFont="1" applyFill="1" applyBorder="1" applyAlignment="1">
      <alignment horizontal="center" vertical="center" wrapText="1"/>
    </xf>
    <xf numFmtId="1" fontId="18" fillId="0" borderId="0" xfId="0" applyNumberFormat="1" applyFont="1"/>
    <xf numFmtId="3" fontId="18" fillId="0" borderId="0" xfId="0" applyNumberFormat="1" applyFont="1"/>
    <xf numFmtId="49" fontId="21" fillId="4" borderId="9" xfId="0" applyNumberFormat="1" applyFont="1" applyFill="1" applyBorder="1" applyAlignment="1">
      <alignment vertical="center" wrapText="1"/>
    </xf>
    <xf numFmtId="3" fontId="21" fillId="4" borderId="9" xfId="0" applyNumberFormat="1" applyFont="1" applyFill="1" applyBorder="1" applyAlignment="1">
      <alignment horizontal="right" vertical="center" wrapText="1"/>
    </xf>
    <xf numFmtId="0" fontId="18" fillId="3" borderId="0" xfId="0" applyFont="1" applyFill="1" applyAlignment="1">
      <alignment vertical="center"/>
    </xf>
    <xf numFmtId="0" fontId="18" fillId="3" borderId="0" xfId="0" applyFont="1" applyFill="1"/>
    <xf numFmtId="0" fontId="23" fillId="2" borderId="10" xfId="3" applyFont="1" applyFill="1" applyBorder="1" applyAlignment="1">
      <alignment horizontal="center" vertical="center" wrapText="1"/>
    </xf>
    <xf numFmtId="0" fontId="21" fillId="2" borderId="10" xfId="3" applyFont="1" applyFill="1" applyBorder="1" applyAlignment="1">
      <alignment horizontal="center" vertical="center" wrapText="1"/>
    </xf>
    <xf numFmtId="1" fontId="23" fillId="2" borderId="10" xfId="3" applyNumberFormat="1" applyFont="1" applyFill="1" applyBorder="1" applyAlignment="1">
      <alignment horizontal="center" vertical="center" wrapText="1"/>
    </xf>
    <xf numFmtId="0" fontId="24" fillId="3" borderId="0" xfId="0" applyFont="1" applyFill="1"/>
    <xf numFmtId="0" fontId="25" fillId="0" borderId="0" xfId="0" applyFont="1" applyAlignment="1">
      <alignment horizontal="justify" vertical="center"/>
    </xf>
    <xf numFmtId="0" fontId="25" fillId="0" borderId="0" xfId="0" applyFont="1" applyAlignment="1">
      <alignment vertical="top"/>
    </xf>
    <xf numFmtId="0" fontId="26" fillId="3" borderId="0" xfId="0" applyFont="1" applyFill="1"/>
    <xf numFmtId="0" fontId="26" fillId="3" borderId="12" xfId="0" applyFont="1" applyFill="1" applyBorder="1" applyAlignment="1">
      <alignment horizontal="center" vertical="distributed"/>
    </xf>
    <xf numFmtId="3" fontId="18" fillId="3" borderId="0" xfId="0" applyNumberFormat="1" applyFont="1" applyFill="1"/>
    <xf numFmtId="0" fontId="28" fillId="0" borderId="9" xfId="0" applyFont="1" applyBorder="1" applyAlignment="1">
      <alignment vertical="center" wrapText="1"/>
    </xf>
    <xf numFmtId="3" fontId="28" fillId="6" borderId="9" xfId="0" applyNumberFormat="1" applyFont="1" applyFill="1" applyBorder="1" applyAlignment="1">
      <alignment horizontal="right" vertical="center" wrapText="1"/>
    </xf>
    <xf numFmtId="10" fontId="28" fillId="6" borderId="9" xfId="0" applyNumberFormat="1" applyFont="1" applyFill="1" applyBorder="1" applyAlignment="1">
      <alignment horizontal="right" vertical="center" wrapText="1"/>
    </xf>
    <xf numFmtId="0" fontId="28" fillId="6" borderId="9" xfId="0" applyFont="1" applyFill="1" applyBorder="1" applyAlignment="1">
      <alignment horizontal="right" vertical="center" wrapText="1"/>
    </xf>
    <xf numFmtId="0" fontId="21" fillId="4" borderId="9" xfId="0" applyFont="1" applyFill="1" applyBorder="1" applyAlignment="1">
      <alignment vertical="center" wrapText="1"/>
    </xf>
    <xf numFmtId="10" fontId="21" fillId="4" borderId="9" xfId="0" applyNumberFormat="1" applyFont="1" applyFill="1" applyBorder="1" applyAlignment="1">
      <alignment horizontal="right" vertical="center" wrapText="1"/>
    </xf>
    <xf numFmtId="49" fontId="29" fillId="0" borderId="9" xfId="0" applyNumberFormat="1" applyFont="1" applyBorder="1" applyAlignment="1">
      <alignment vertical="top" wrapText="1"/>
    </xf>
    <xf numFmtId="165" fontId="28" fillId="6" borderId="9" xfId="0" applyNumberFormat="1" applyFont="1" applyFill="1" applyBorder="1" applyAlignment="1">
      <alignment horizontal="right" vertical="top" wrapText="1"/>
    </xf>
    <xf numFmtId="164" fontId="28" fillId="6" borderId="9" xfId="0" applyNumberFormat="1" applyFont="1" applyFill="1" applyBorder="1" applyAlignment="1">
      <alignment horizontal="right" vertical="top" wrapText="1"/>
    </xf>
    <xf numFmtId="165" fontId="21" fillId="4" borderId="9" xfId="0" applyNumberFormat="1" applyFont="1" applyFill="1" applyBorder="1" applyAlignment="1">
      <alignment horizontal="left" vertical="top" wrapText="1"/>
    </xf>
    <xf numFmtId="165" fontId="21" fillId="4" borderId="9" xfId="0" applyNumberFormat="1" applyFont="1" applyFill="1" applyBorder="1" applyAlignment="1">
      <alignment horizontal="right" vertical="top" wrapText="1"/>
    </xf>
    <xf numFmtId="164" fontId="21" fillId="4" borderId="9" xfId="0" applyNumberFormat="1" applyFont="1" applyFill="1" applyBorder="1" applyAlignment="1">
      <alignment horizontal="right" vertical="top" wrapText="1"/>
    </xf>
    <xf numFmtId="0" fontId="29" fillId="3" borderId="0" xfId="0" applyFont="1" applyFill="1"/>
    <xf numFmtId="3" fontId="30" fillId="7" borderId="9" xfId="0" applyNumberFormat="1" applyFont="1" applyFill="1" applyBorder="1" applyAlignment="1">
      <alignment horizontal="right" vertical="center" wrapText="1"/>
    </xf>
    <xf numFmtId="10" fontId="30" fillId="7" borderId="9" xfId="0" applyNumberFormat="1" applyFont="1" applyFill="1" applyBorder="1" applyAlignment="1">
      <alignment horizontal="right" vertical="center" wrapText="1"/>
    </xf>
    <xf numFmtId="3" fontId="30" fillId="4" borderId="9" xfId="0" applyNumberFormat="1" applyFont="1" applyFill="1" applyBorder="1" applyAlignment="1">
      <alignment horizontal="right" vertical="center" wrapText="1"/>
    </xf>
    <xf numFmtId="10" fontId="30" fillId="4" borderId="9" xfId="0" applyNumberFormat="1" applyFont="1" applyFill="1" applyBorder="1" applyAlignment="1">
      <alignment horizontal="right" vertical="center" wrapText="1"/>
    </xf>
    <xf numFmtId="0" fontId="30" fillId="7" borderId="9" xfId="0" applyFont="1" applyFill="1" applyBorder="1" applyAlignment="1">
      <alignment vertical="center" wrapText="1"/>
    </xf>
    <xf numFmtId="0" fontId="30" fillId="7" borderId="9" xfId="0" applyFont="1" applyFill="1" applyBorder="1" applyAlignment="1">
      <alignment horizontal="right" vertical="center" wrapText="1"/>
    </xf>
    <xf numFmtId="49" fontId="21" fillId="4" borderId="9" xfId="0" applyNumberFormat="1" applyFont="1" applyFill="1" applyBorder="1" applyAlignment="1">
      <alignment vertical="top" wrapText="1"/>
    </xf>
    <xf numFmtId="0" fontId="27" fillId="5" borderId="10" xfId="3" applyFont="1" applyFill="1" applyBorder="1" applyAlignment="1">
      <alignment horizontal="center" vertical="center" wrapText="1"/>
    </xf>
    <xf numFmtId="165" fontId="21" fillId="7" borderId="9" xfId="0" applyNumberFormat="1" applyFont="1" applyFill="1" applyBorder="1" applyAlignment="1">
      <alignment horizontal="right" vertical="top" wrapText="1"/>
    </xf>
    <xf numFmtId="0" fontId="32" fillId="4" borderId="9" xfId="0" applyFont="1" applyFill="1" applyBorder="1" applyAlignment="1">
      <alignment vertical="center" wrapText="1"/>
    </xf>
    <xf numFmtId="3" fontId="32" fillId="4" borderId="9" xfId="0" applyNumberFormat="1" applyFont="1" applyFill="1" applyBorder="1" applyAlignment="1">
      <alignment horizontal="right" vertical="center" wrapText="1"/>
    </xf>
    <xf numFmtId="10" fontId="32" fillId="4" borderId="9" xfId="0" applyNumberFormat="1" applyFont="1" applyFill="1" applyBorder="1" applyAlignment="1">
      <alignment horizontal="right" vertical="center" wrapText="1"/>
    </xf>
    <xf numFmtId="0" fontId="34" fillId="3" borderId="0" xfId="0" applyFont="1" applyFill="1"/>
    <xf numFmtId="0" fontId="34" fillId="3" borderId="0" xfId="0" applyFont="1" applyFill="1" applyAlignment="1">
      <alignment vertical="center"/>
    </xf>
    <xf numFmtId="3" fontId="35" fillId="3" borderId="0" xfId="0" applyNumberFormat="1" applyFont="1" applyFill="1"/>
    <xf numFmtId="0" fontId="35" fillId="3" borderId="0" xfId="0" applyFont="1" applyFill="1"/>
    <xf numFmtId="0" fontId="34" fillId="3" borderId="0" xfId="0" applyFont="1" applyFill="1" applyAlignment="1">
      <alignment vertical="top"/>
    </xf>
    <xf numFmtId="164" fontId="21" fillId="7" borderId="9" xfId="0" applyNumberFormat="1" applyFont="1" applyFill="1" applyBorder="1" applyAlignment="1">
      <alignment horizontal="right" vertical="top" wrapText="1"/>
    </xf>
    <xf numFmtId="49" fontId="30" fillId="7" borderId="15" xfId="0" applyNumberFormat="1" applyFont="1" applyFill="1" applyBorder="1" applyAlignment="1">
      <alignment vertical="top" wrapText="1"/>
    </xf>
    <xf numFmtId="49" fontId="29" fillId="0" borderId="9" xfId="0" applyNumberFormat="1" applyFont="1" applyBorder="1" applyAlignment="1">
      <alignment horizontal="right" vertical="top" wrapText="1"/>
    </xf>
    <xf numFmtId="0" fontId="14" fillId="0" borderId="4" xfId="1" applyFont="1" applyBorder="1" applyAlignment="1">
      <alignment horizontal="left"/>
    </xf>
    <xf numFmtId="0" fontId="14" fillId="0" borderId="0" xfId="1" applyFont="1" applyBorder="1" applyAlignment="1">
      <alignment horizontal="left"/>
    </xf>
    <xf numFmtId="0" fontId="14" fillId="0" borderId="5" xfId="1" applyFont="1" applyBorder="1" applyAlignment="1">
      <alignment horizontal="left"/>
    </xf>
    <xf numFmtId="0" fontId="16" fillId="2" borderId="1" xfId="0" applyFont="1" applyFill="1" applyBorder="1" applyAlignment="1">
      <alignment horizontal="center" wrapText="1"/>
    </xf>
    <xf numFmtId="0" fontId="16" fillId="2" borderId="2" xfId="0" applyFont="1" applyFill="1" applyBorder="1" applyAlignment="1">
      <alignment horizontal="center" wrapText="1"/>
    </xf>
    <xf numFmtId="0" fontId="16" fillId="2" borderId="3" xfId="0" applyFont="1" applyFill="1" applyBorder="1" applyAlignment="1">
      <alignment horizontal="center" wrapText="1"/>
    </xf>
    <xf numFmtId="0" fontId="15" fillId="0" borderId="4" xfId="0" applyFont="1" applyBorder="1" applyAlignment="1">
      <alignment horizontal="left" wrapText="1"/>
    </xf>
    <xf numFmtId="0" fontId="15" fillId="0" borderId="0" xfId="0" applyFont="1" applyAlignment="1">
      <alignment horizontal="left" wrapText="1"/>
    </xf>
    <xf numFmtId="0" fontId="15" fillId="0" borderId="5" xfId="0" applyFont="1" applyBorder="1" applyAlignment="1">
      <alignment horizontal="left" wrapText="1"/>
    </xf>
    <xf numFmtId="0" fontId="19" fillId="0" borderId="0" xfId="0" applyFont="1" applyAlignment="1">
      <alignment horizontal="center" vertical="center" wrapText="1"/>
    </xf>
    <xf numFmtId="0" fontId="28" fillId="0" borderId="10" xfId="0" applyFont="1" applyBorder="1" applyAlignment="1">
      <alignment horizontal="center" vertical="center" wrapText="1"/>
    </xf>
    <xf numFmtId="0" fontId="28" fillId="0" borderId="13" xfId="0" applyFont="1" applyBorder="1" applyAlignment="1">
      <alignment horizontal="center" vertical="center" wrapText="1"/>
    </xf>
    <xf numFmtId="0" fontId="28" fillId="0" borderId="14" xfId="0" applyFont="1" applyBorder="1" applyAlignment="1">
      <alignment horizontal="center" vertical="center" wrapText="1"/>
    </xf>
    <xf numFmtId="0" fontId="30" fillId="4" borderId="9" xfId="0" applyFont="1" applyFill="1" applyBorder="1" applyAlignment="1">
      <alignment vertical="center" wrapText="1"/>
    </xf>
    <xf numFmtId="0" fontId="20" fillId="3" borderId="0" xfId="0" applyFont="1" applyFill="1" applyAlignment="1">
      <alignment horizontal="center" wrapText="1"/>
    </xf>
    <xf numFmtId="0" fontId="21" fillId="4" borderId="9" xfId="0" applyFont="1" applyFill="1" applyBorder="1" applyAlignment="1">
      <alignment vertical="center" wrapText="1"/>
    </xf>
    <xf numFmtId="49" fontId="21" fillId="4" borderId="15" xfId="0" applyNumberFormat="1" applyFont="1" applyFill="1" applyBorder="1" applyAlignment="1">
      <alignment horizontal="center" vertical="top" wrapText="1"/>
    </xf>
    <xf numFmtId="49" fontId="21" fillId="4" borderId="16" xfId="0" applyNumberFormat="1" applyFont="1" applyFill="1" applyBorder="1" applyAlignment="1">
      <alignment horizontal="center" vertical="top" wrapText="1"/>
    </xf>
    <xf numFmtId="49" fontId="29" fillId="0" borderId="10" xfId="0" applyNumberFormat="1" applyFont="1" applyBorder="1" applyAlignment="1">
      <alignment horizontal="center" vertical="center" wrapText="1"/>
    </xf>
    <xf numFmtId="49" fontId="29" fillId="0" borderId="13" xfId="0" applyNumberFormat="1" applyFont="1" applyBorder="1" applyAlignment="1">
      <alignment horizontal="center" vertical="center" wrapText="1"/>
    </xf>
    <xf numFmtId="49" fontId="29" fillId="0" borderId="14" xfId="0" applyNumberFormat="1" applyFont="1" applyBorder="1" applyAlignment="1">
      <alignment horizontal="center" vertical="center" wrapText="1"/>
    </xf>
    <xf numFmtId="0" fontId="31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49" fontId="21" fillId="7" borderId="14" xfId="0" applyNumberFormat="1" applyFont="1" applyFill="1" applyBorder="1" applyAlignment="1">
      <alignment vertical="center" wrapText="1"/>
    </xf>
    <xf numFmtId="3" fontId="21" fillId="7" borderId="14" xfId="0" applyNumberFormat="1" applyFont="1" applyFill="1" applyBorder="1" applyAlignment="1">
      <alignment horizontal="right" vertical="center" wrapText="1"/>
    </xf>
    <xf numFmtId="164" fontId="21" fillId="7" borderId="14" xfId="0" applyNumberFormat="1" applyFont="1" applyFill="1" applyBorder="1" applyAlignment="1">
      <alignment horizontal="right" vertical="center" wrapText="1"/>
    </xf>
    <xf numFmtId="0" fontId="21" fillId="2" borderId="9" xfId="0" applyFont="1" applyFill="1" applyBorder="1" applyAlignment="1">
      <alignment horizontal="center" vertical="center" wrapText="1"/>
    </xf>
    <xf numFmtId="1" fontId="21" fillId="2" borderId="9" xfId="0" applyNumberFormat="1" applyFont="1" applyFill="1" applyBorder="1" applyAlignment="1">
      <alignment horizontal="center" vertical="center" wrapText="1"/>
    </xf>
    <xf numFmtId="0" fontId="32" fillId="2" borderId="9" xfId="0" applyFont="1" applyFill="1" applyBorder="1" applyAlignment="1">
      <alignment horizontal="center" vertical="center" wrapText="1"/>
    </xf>
    <xf numFmtId="1" fontId="32" fillId="2" borderId="9" xfId="0" applyNumberFormat="1" applyFont="1" applyFill="1" applyBorder="1" applyAlignment="1">
      <alignment horizontal="center" vertical="center" wrapText="1"/>
    </xf>
    <xf numFmtId="0" fontId="33" fillId="0" borderId="9" xfId="0" applyFont="1" applyBorder="1" applyAlignment="1">
      <alignment vertical="center" wrapText="1"/>
    </xf>
    <xf numFmtId="3" fontId="33" fillId="6" borderId="9" xfId="0" applyNumberFormat="1" applyFont="1" applyFill="1" applyBorder="1" applyAlignment="1">
      <alignment horizontal="right" vertical="center" wrapText="1"/>
    </xf>
    <xf numFmtId="10" fontId="33" fillId="6" borderId="9" xfId="0" applyNumberFormat="1" applyFont="1" applyFill="1" applyBorder="1" applyAlignment="1">
      <alignment horizontal="right" vertical="center" wrapText="1"/>
    </xf>
    <xf numFmtId="0" fontId="33" fillId="6" borderId="9" xfId="0" applyFont="1" applyFill="1" applyBorder="1" applyAlignment="1">
      <alignment horizontal="right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546816</xdr:colOff>
      <xdr:row>1</xdr:row>
      <xdr:rowOff>209242</xdr:rowOff>
    </xdr:from>
    <xdr:to>
      <xdr:col>3</xdr:col>
      <xdr:colOff>1058913</xdr:colOff>
      <xdr:row>2</xdr:row>
      <xdr:rowOff>209242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71041" y="74264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204305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2" y="193261"/>
          <a:ext cx="5630240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SONORA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228600</xdr:rowOff>
    </xdr:to>
    <xdr:sp macro="" textlink="">
      <xdr:nvSpPr>
        <xdr:cNvPr id="5" name="Rectángulo redondeado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429125" y="1714500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133845</xdr:colOff>
      <xdr:row>1</xdr:row>
      <xdr:rowOff>148782</xdr:rowOff>
    </xdr:from>
    <xdr:to>
      <xdr:col>1</xdr:col>
      <xdr:colOff>1133970</xdr:colOff>
      <xdr:row>2</xdr:row>
      <xdr:rowOff>180159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30CEBF0-6151-453E-843F-C935E23AFC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3845" y="339282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240291</xdr:colOff>
      <xdr:row>1</xdr:row>
      <xdr:rowOff>72089</xdr:rowOff>
    </xdr:from>
    <xdr:to>
      <xdr:col>5</xdr:col>
      <xdr:colOff>59315</xdr:colOff>
      <xdr:row>3</xdr:row>
      <xdr:rowOff>159524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9E4F8E3-65A1-40A8-BFD1-88F8332D4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87458" y="262589"/>
          <a:ext cx="468135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SONORA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190500</xdr:colOff>
      <xdr:row>7</xdr:row>
      <xdr:rowOff>28575</xdr:rowOff>
    </xdr:from>
    <xdr:to>
      <xdr:col>5</xdr:col>
      <xdr:colOff>83472</xdr:colOff>
      <xdr:row>8</xdr:row>
      <xdr:rowOff>22430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619625" y="15525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117278</xdr:colOff>
      <xdr:row>1</xdr:row>
      <xdr:rowOff>135283</xdr:rowOff>
    </xdr:from>
    <xdr:to>
      <xdr:col>1</xdr:col>
      <xdr:colOff>1117403</xdr:colOff>
      <xdr:row>2</xdr:row>
      <xdr:rowOff>166660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542FDCD-547F-4091-880D-F5AC2F1CA4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278" y="325783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443366</xdr:colOff>
      <xdr:row>1</xdr:row>
      <xdr:rowOff>82826</xdr:rowOff>
    </xdr:from>
    <xdr:to>
      <xdr:col>5</xdr:col>
      <xdr:colOff>262390</xdr:colOff>
      <xdr:row>3</xdr:row>
      <xdr:rowOff>170261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FADEDFC7-DA03-4228-A585-60BE989CB0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92977" y="273326"/>
          <a:ext cx="468135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SONORA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467677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182959</xdr:colOff>
      <xdr:row>1</xdr:row>
      <xdr:rowOff>192824</xdr:rowOff>
    </xdr:from>
    <xdr:to>
      <xdr:col>1</xdr:col>
      <xdr:colOff>1183084</xdr:colOff>
      <xdr:row>3</xdr:row>
      <xdr:rowOff>31127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4BB4D99-CBA3-4133-ACFB-F9298EF972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959" y="385898"/>
          <a:ext cx="1617963" cy="22445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381918</xdr:colOff>
      <xdr:row>1</xdr:row>
      <xdr:rowOff>77753</xdr:rowOff>
    </xdr:from>
    <xdr:to>
      <xdr:col>5</xdr:col>
      <xdr:colOff>200942</xdr:colOff>
      <xdr:row>3</xdr:row>
      <xdr:rowOff>165188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528A475-2F4B-48B9-AF9B-8AD3C8F47E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16192" y="270827"/>
          <a:ext cx="436861" cy="4735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99391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3261"/>
          <a:ext cx="6414327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SONORA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190500</xdr:colOff>
      <xdr:row>8</xdr:row>
      <xdr:rowOff>38100</xdr:rowOff>
    </xdr:from>
    <xdr:to>
      <xdr:col>5</xdr:col>
      <xdr:colOff>83472</xdr:colOff>
      <xdr:row>8</xdr:row>
      <xdr:rowOff>222455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3238500" y="1562100"/>
          <a:ext cx="654972" cy="1557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152555</xdr:colOff>
      <xdr:row>1</xdr:row>
      <xdr:rowOff>140499</xdr:rowOff>
    </xdr:from>
    <xdr:to>
      <xdr:col>1</xdr:col>
      <xdr:colOff>1152680</xdr:colOff>
      <xdr:row>2</xdr:row>
      <xdr:rowOff>171876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52D7343-264E-411F-B336-3E585862D2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555" y="330999"/>
          <a:ext cx="1649236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186913</xdr:colOff>
      <xdr:row>1</xdr:row>
      <xdr:rowOff>87427</xdr:rowOff>
    </xdr:from>
    <xdr:to>
      <xdr:col>4</xdr:col>
      <xdr:colOff>627133</xdr:colOff>
      <xdr:row>3</xdr:row>
      <xdr:rowOff>174862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FEC48C6-2402-4739-B94E-571FC66A6F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23080" y="277927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SONORA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SONORA POR ESTADO EN EE.UU.</a:t>
          </a:r>
        </a:p>
      </xdr:txBody>
    </xdr:sp>
    <xdr:clientData/>
  </xdr:twoCellAnchor>
  <xdr:twoCellAnchor>
    <xdr:from>
      <xdr:col>4</xdr:col>
      <xdr:colOff>470192</xdr:colOff>
      <xdr:row>7</xdr:row>
      <xdr:rowOff>30593</xdr:rowOff>
    </xdr:from>
    <xdr:to>
      <xdr:col>4</xdr:col>
      <xdr:colOff>982289</xdr:colOff>
      <xdr:row>7</xdr:row>
      <xdr:rowOff>214948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811663" y="1778711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111093</xdr:colOff>
      <xdr:row>2</xdr:row>
      <xdr:rowOff>13937</xdr:rowOff>
    </xdr:from>
    <xdr:to>
      <xdr:col>2</xdr:col>
      <xdr:colOff>208414</xdr:colOff>
      <xdr:row>3</xdr:row>
      <xdr:rowOff>45314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C235A1DF-17A3-49B8-BD33-71F2F664CE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593" y="355250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518085</xdr:colOff>
      <xdr:row>1</xdr:row>
      <xdr:rowOff>50978</xdr:rowOff>
    </xdr:from>
    <xdr:to>
      <xdr:col>4</xdr:col>
      <xdr:colOff>958305</xdr:colOff>
      <xdr:row>3</xdr:row>
      <xdr:rowOff>138413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EC91703-050A-432F-8801-02C6E592B7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873252" y="206200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SONORA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SONORA EN LOS CONSULADOS DE MÉXICO EN EE.UU. </a:t>
          </a:r>
        </a:p>
      </xdr:txBody>
    </xdr:sp>
    <xdr:clientData/>
  </xdr:twoCellAnchor>
  <xdr:twoCellAnchor>
    <xdr:from>
      <xdr:col>4</xdr:col>
      <xdr:colOff>512379</xdr:colOff>
      <xdr:row>7</xdr:row>
      <xdr:rowOff>164224</xdr:rowOff>
    </xdr:from>
    <xdr:to>
      <xdr:col>4</xdr:col>
      <xdr:colOff>1024476</xdr:colOff>
      <xdr:row>7</xdr:row>
      <xdr:rowOff>348579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9846879" y="1497724"/>
          <a:ext cx="512097" cy="224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99545</xdr:colOff>
      <xdr:row>1</xdr:row>
      <xdr:rowOff>140771</xdr:rowOff>
    </xdr:from>
    <xdr:to>
      <xdr:col>2</xdr:col>
      <xdr:colOff>196866</xdr:colOff>
      <xdr:row>2</xdr:row>
      <xdr:rowOff>172148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5622F44A-D2BE-49B9-95F9-E0195669D9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6220" y="293171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518084</xdr:colOff>
      <xdr:row>1</xdr:row>
      <xdr:rowOff>91278</xdr:rowOff>
    </xdr:from>
    <xdr:to>
      <xdr:col>4</xdr:col>
      <xdr:colOff>958304</xdr:colOff>
      <xdr:row>3</xdr:row>
      <xdr:rowOff>178713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EE5921C-1BBD-4DC8-90BF-0989846680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23484" y="243678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SONORA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152400</xdr:colOff>
      <xdr:row>7</xdr:row>
      <xdr:rowOff>133350</xdr:rowOff>
    </xdr:from>
    <xdr:to>
      <xdr:col>5</xdr:col>
      <xdr:colOff>45372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3200400" y="146685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176353</xdr:colOff>
      <xdr:row>1</xdr:row>
      <xdr:rowOff>143566</xdr:rowOff>
    </xdr:from>
    <xdr:to>
      <xdr:col>1</xdr:col>
      <xdr:colOff>1176478</xdr:colOff>
      <xdr:row>2</xdr:row>
      <xdr:rowOff>174943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638B1AD-6AC9-4E0A-82E1-06F1F503DB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6353" y="334066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351805</xdr:colOff>
      <xdr:row>1</xdr:row>
      <xdr:rowOff>120098</xdr:rowOff>
    </xdr:from>
    <xdr:to>
      <xdr:col>5</xdr:col>
      <xdr:colOff>170830</xdr:colOff>
      <xdr:row>3</xdr:row>
      <xdr:rowOff>207533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721E983E-A4E9-49C1-B207-1B57D90522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09618" y="310598"/>
          <a:ext cx="43815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SONORA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SONORA POR NIVEL DE EDUCACIÓN Y ESTADO EN EE.UU.</a:t>
          </a:r>
        </a:p>
      </xdr:txBody>
    </xdr:sp>
    <xdr:clientData/>
  </xdr:twoCellAnchor>
  <xdr:twoCellAnchor>
    <xdr:from>
      <xdr:col>4</xdr:col>
      <xdr:colOff>638175</xdr:colOff>
      <xdr:row>6</xdr:row>
      <xdr:rowOff>317500</xdr:rowOff>
    </xdr:from>
    <xdr:to>
      <xdr:col>4</xdr:col>
      <xdr:colOff>1150272</xdr:colOff>
      <xdr:row>7</xdr:row>
      <xdr:rowOff>168480</xdr:rowOff>
    </xdr:to>
    <xdr:sp macro="" textlink="">
      <xdr:nvSpPr>
        <xdr:cNvPr id="7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EC23E02-8D49-46D7-A36C-BDBC85D5A0D4}"/>
            </a:ext>
          </a:extLst>
        </xdr:cNvPr>
        <xdr:cNvSpPr/>
      </xdr:nvSpPr>
      <xdr:spPr>
        <a:xfrm>
          <a:off x="5495925" y="1727200"/>
          <a:ext cx="512097" cy="1811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83670</xdr:colOff>
      <xdr:row>1</xdr:row>
      <xdr:rowOff>150296</xdr:rowOff>
    </xdr:from>
    <xdr:to>
      <xdr:col>2</xdr:col>
      <xdr:colOff>180991</xdr:colOff>
      <xdr:row>2</xdr:row>
      <xdr:rowOff>181673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5514B222-FD5F-4B8A-85A8-6C4CB57A4D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520" y="302696"/>
          <a:ext cx="169117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500865</xdr:colOff>
      <xdr:row>1</xdr:row>
      <xdr:rowOff>89411</xdr:rowOff>
    </xdr:from>
    <xdr:to>
      <xdr:col>4</xdr:col>
      <xdr:colOff>941085</xdr:colOff>
      <xdr:row>3</xdr:row>
      <xdr:rowOff>176846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1BBFE9AE-52FB-4225-9025-AF9058C0E4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2284" y="242780"/>
          <a:ext cx="440220" cy="47489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SONORA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SONORA POR CONSULADO Y NIVEL DE EDUCACIÓN EN EE.UU. </a:t>
          </a:r>
        </a:p>
      </xdr:txBody>
    </xdr:sp>
    <xdr:clientData/>
  </xdr:twoCellAnchor>
  <xdr:twoCellAnchor>
    <xdr:from>
      <xdr:col>4</xdr:col>
      <xdr:colOff>578069</xdr:colOff>
      <xdr:row>7</xdr:row>
      <xdr:rowOff>183931</xdr:rowOff>
    </xdr:from>
    <xdr:to>
      <xdr:col>4</xdr:col>
      <xdr:colOff>1090166</xdr:colOff>
      <xdr:row>7</xdr:row>
      <xdr:rowOff>368286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9912569" y="1517431"/>
          <a:ext cx="512097" cy="33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131108</xdr:colOff>
      <xdr:row>1</xdr:row>
      <xdr:rowOff>179058</xdr:rowOff>
    </xdr:from>
    <xdr:to>
      <xdr:col>2</xdr:col>
      <xdr:colOff>228429</xdr:colOff>
      <xdr:row>3</xdr:row>
      <xdr:rowOff>19935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2699F5B-3E3D-44AD-B889-62B1A6063A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7783" y="331458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489695</xdr:colOff>
      <xdr:row>1</xdr:row>
      <xdr:rowOff>115184</xdr:rowOff>
    </xdr:from>
    <xdr:to>
      <xdr:col>4</xdr:col>
      <xdr:colOff>929915</xdr:colOff>
      <xdr:row>3</xdr:row>
      <xdr:rowOff>202619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30174294-C291-4971-AB2D-0223E7FE17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61770" y="26758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SONORA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398096</xdr:colOff>
      <xdr:row>8</xdr:row>
      <xdr:rowOff>43243</xdr:rowOff>
    </xdr:from>
    <xdr:to>
      <xdr:col>5</xdr:col>
      <xdr:colOff>297605</xdr:colOff>
      <xdr:row>8</xdr:row>
      <xdr:rowOff>229813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B035DBD-FF52-406E-A4DD-74FC4DF9E43C}"/>
            </a:ext>
          </a:extLst>
        </xdr:cNvPr>
        <xdr:cNvSpPr/>
      </xdr:nvSpPr>
      <xdr:spPr>
        <a:xfrm>
          <a:off x="5044802" y="1783890"/>
          <a:ext cx="549450" cy="18657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173722</xdr:colOff>
      <xdr:row>1</xdr:row>
      <xdr:rowOff>159059</xdr:rowOff>
    </xdr:from>
    <xdr:to>
      <xdr:col>1</xdr:col>
      <xdr:colOff>1173847</xdr:colOff>
      <xdr:row>2</xdr:row>
      <xdr:rowOff>190436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8C47846-37D0-4964-9D89-5EC75190E0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722" y="349559"/>
          <a:ext cx="1624542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380939</xdr:colOff>
      <xdr:row>1</xdr:row>
      <xdr:rowOff>130681</xdr:rowOff>
    </xdr:from>
    <xdr:to>
      <xdr:col>5</xdr:col>
      <xdr:colOff>199963</xdr:colOff>
      <xdr:row>3</xdr:row>
      <xdr:rowOff>218116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EF9BC63-6057-4FB6-84C5-07FF328EAB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25939" y="321181"/>
          <a:ext cx="443441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SONORA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505557</xdr:colOff>
      <xdr:row>9</xdr:row>
      <xdr:rowOff>36181</xdr:rowOff>
    </xdr:from>
    <xdr:to>
      <xdr:col>5</xdr:col>
      <xdr:colOff>30826</xdr:colOff>
      <xdr:row>10</xdr:row>
      <xdr:rowOff>32251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099538" y="1809296"/>
          <a:ext cx="573019" cy="18657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54681</xdr:colOff>
      <xdr:row>1</xdr:row>
      <xdr:rowOff>57743</xdr:rowOff>
    </xdr:from>
    <xdr:to>
      <xdr:col>2</xdr:col>
      <xdr:colOff>94852</xdr:colOff>
      <xdr:row>2</xdr:row>
      <xdr:rowOff>129689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8B8174-5CD7-413A-932D-512B82462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6848" y="241187"/>
          <a:ext cx="1698226" cy="1989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558800</xdr:colOff>
      <xdr:row>1</xdr:row>
      <xdr:rowOff>31991</xdr:rowOff>
    </xdr:from>
    <xdr:to>
      <xdr:col>4</xdr:col>
      <xdr:colOff>999020</xdr:colOff>
      <xdr:row>3</xdr:row>
      <xdr:rowOff>159995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C6CBCC4-822A-4070-8F17-C038861B80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7744" y="215435"/>
          <a:ext cx="440220" cy="4455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SONORA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883979</xdr:colOff>
      <xdr:row>9</xdr:row>
      <xdr:rowOff>29831</xdr:rowOff>
    </xdr:from>
    <xdr:to>
      <xdr:col>5</xdr:col>
      <xdr:colOff>297526</xdr:colOff>
      <xdr:row>10</xdr:row>
      <xdr:rowOff>25901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697279" y="1744331"/>
          <a:ext cx="512097" cy="18657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139700</xdr:colOff>
      <xdr:row>1</xdr:row>
      <xdr:rowOff>103604</xdr:rowOff>
    </xdr:from>
    <xdr:to>
      <xdr:col>2</xdr:col>
      <xdr:colOff>179871</xdr:colOff>
      <xdr:row>2</xdr:row>
      <xdr:rowOff>176256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6CC1649-22DB-4C61-8A68-1451D4BF69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0700" y="294104"/>
          <a:ext cx="1621321" cy="2155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549275</xdr:colOff>
      <xdr:row>1</xdr:row>
      <xdr:rowOff>30579</xdr:rowOff>
    </xdr:from>
    <xdr:to>
      <xdr:col>4</xdr:col>
      <xdr:colOff>989495</xdr:colOff>
      <xdr:row>3</xdr:row>
      <xdr:rowOff>159289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879A623-9328-4FFB-929E-1D9CB288AA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0325" y="221079"/>
          <a:ext cx="440220" cy="4620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SONORA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889000</xdr:colOff>
      <xdr:row>9</xdr:row>
      <xdr:rowOff>83552</xdr:rowOff>
    </xdr:from>
    <xdr:to>
      <xdr:col>6</xdr:col>
      <xdr:colOff>264447</xdr:colOff>
      <xdr:row>10</xdr:row>
      <xdr:rowOff>77407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807200" y="1798052"/>
          <a:ext cx="53114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63500</xdr:colOff>
      <xdr:row>1</xdr:row>
      <xdr:rowOff>90903</xdr:rowOff>
    </xdr:from>
    <xdr:to>
      <xdr:col>2</xdr:col>
      <xdr:colOff>417996</xdr:colOff>
      <xdr:row>2</xdr:row>
      <xdr:rowOff>161968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3A83E12C-581C-436D-9B2E-02D6FDCDAD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0375" y="273466"/>
          <a:ext cx="1680059" cy="1980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633412</xdr:colOff>
      <xdr:row>1</xdr:row>
      <xdr:rowOff>63916</xdr:rowOff>
    </xdr:from>
    <xdr:to>
      <xdr:col>5</xdr:col>
      <xdr:colOff>1073632</xdr:colOff>
      <xdr:row>3</xdr:row>
      <xdr:rowOff>191039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1CF4FCF-11D6-4F20-8190-CE7D012CEB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546850" y="246479"/>
          <a:ext cx="440220" cy="44462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629478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795327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+mn-cs"/>
            </a:rPr>
            <a:t>SONORA 2024</a:t>
          </a:r>
        </a:p>
      </xdr:txBody>
    </xdr:sp>
    <xdr:clientData/>
  </xdr:twoCellAnchor>
  <xdr:twoCellAnchor>
    <xdr:from>
      <xdr:col>3</xdr:col>
      <xdr:colOff>990738</xdr:colOff>
      <xdr:row>8</xdr:row>
      <xdr:rowOff>117751</xdr:rowOff>
    </xdr:from>
    <xdr:to>
      <xdr:col>4</xdr:col>
      <xdr:colOff>381000</xdr:colOff>
      <xdr:row>8</xdr:row>
      <xdr:rowOff>338667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763821" y="1832251"/>
          <a:ext cx="575596" cy="22091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210227</xdr:colOff>
      <xdr:row>1</xdr:row>
      <xdr:rowOff>133443</xdr:rowOff>
    </xdr:from>
    <xdr:to>
      <xdr:col>1</xdr:col>
      <xdr:colOff>1210352</xdr:colOff>
      <xdr:row>2</xdr:row>
      <xdr:rowOff>164820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825B356-F53B-48CC-9E03-9723904129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0227" y="323943"/>
          <a:ext cx="1624542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1221931</xdr:colOff>
      <xdr:row>1</xdr:row>
      <xdr:rowOff>113502</xdr:rowOff>
    </xdr:from>
    <xdr:to>
      <xdr:col>4</xdr:col>
      <xdr:colOff>477738</xdr:colOff>
      <xdr:row>3</xdr:row>
      <xdr:rowOff>200937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AEDFE27-A37A-47C6-80C3-452C0FCAB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17264" y="304002"/>
          <a:ext cx="497585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Normal="100" zoomScaleSheetLayoutView="100" workbookViewId="0">
      <selection activeCell="A3" sqref="A3:D4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94" t="s">
        <v>326</v>
      </c>
      <c r="B1" s="95"/>
      <c r="C1" s="95"/>
      <c r="D1" s="96"/>
    </row>
    <row r="2" spans="1:4">
      <c r="A2" s="2"/>
      <c r="B2" s="3"/>
      <c r="C2" s="3"/>
      <c r="D2" s="4"/>
    </row>
    <row r="3" spans="1:4">
      <c r="A3" s="97" t="s">
        <v>0</v>
      </c>
      <c r="B3" s="98"/>
      <c r="C3" s="98"/>
      <c r="D3" s="99"/>
    </row>
    <row r="4" spans="1:4">
      <c r="A4" s="97"/>
      <c r="B4" s="98"/>
      <c r="C4" s="98"/>
      <c r="D4" s="99"/>
    </row>
    <row r="5" spans="1:4">
      <c r="A5" s="5"/>
      <c r="B5" s="6"/>
      <c r="C5" s="6"/>
      <c r="D5" s="7"/>
    </row>
    <row r="6" spans="1:4" ht="18.75">
      <c r="A6" s="91" t="s">
        <v>1</v>
      </c>
      <c r="B6" s="92"/>
      <c r="C6" s="92"/>
      <c r="D6" s="93"/>
    </row>
    <row r="7" spans="1:4">
      <c r="A7" s="8"/>
      <c r="D7" s="9"/>
    </row>
    <row r="8" spans="1:4" ht="18.75">
      <c r="A8" s="91" t="s">
        <v>2</v>
      </c>
      <c r="B8" s="92"/>
      <c r="C8" s="92"/>
      <c r="D8" s="93"/>
    </row>
    <row r="9" spans="1:4" ht="18.75">
      <c r="A9" s="8"/>
      <c r="B9" s="91" t="s">
        <v>3</v>
      </c>
      <c r="C9" s="92"/>
      <c r="D9" s="92"/>
    </row>
    <row r="10" spans="1:4">
      <c r="A10" s="8"/>
      <c r="D10" s="9"/>
    </row>
    <row r="11" spans="1:4" ht="18.75">
      <c r="A11" s="31" t="s">
        <v>4</v>
      </c>
      <c r="D11" s="9"/>
    </row>
    <row r="12" spans="1:4" ht="18.75">
      <c r="A12" s="8"/>
      <c r="B12" s="91" t="s">
        <v>5</v>
      </c>
      <c r="C12" s="92"/>
      <c r="D12" s="92"/>
    </row>
    <row r="13" spans="1:4" ht="18.75">
      <c r="A13" s="8"/>
      <c r="B13" s="91" t="s">
        <v>6</v>
      </c>
      <c r="C13" s="92"/>
      <c r="D13" s="92"/>
    </row>
    <row r="14" spans="1:4" ht="18.75">
      <c r="A14" s="8"/>
      <c r="B14" s="91" t="s">
        <v>7</v>
      </c>
      <c r="C14" s="92"/>
      <c r="D14" s="92"/>
    </row>
    <row r="15" spans="1:4">
      <c r="A15" s="8"/>
      <c r="D15" s="9"/>
    </row>
    <row r="16" spans="1:4" ht="18.75">
      <c r="A16" s="31" t="s">
        <v>8</v>
      </c>
      <c r="D16" s="9"/>
    </row>
    <row r="17" spans="1:4" ht="18.75">
      <c r="A17" s="8"/>
      <c r="B17" s="91" t="s">
        <v>9</v>
      </c>
      <c r="C17" s="92"/>
      <c r="D17" s="92"/>
    </row>
    <row r="18" spans="1:4" ht="18.75">
      <c r="A18" s="8"/>
      <c r="B18" s="91" t="s">
        <v>10</v>
      </c>
      <c r="C18" s="92"/>
      <c r="D18" s="92"/>
    </row>
    <row r="19" spans="1:4" ht="18.75">
      <c r="A19" s="8"/>
      <c r="B19" s="91" t="s">
        <v>11</v>
      </c>
      <c r="C19" s="92"/>
      <c r="D19" s="92"/>
    </row>
    <row r="20" spans="1:4">
      <c r="A20" s="8"/>
      <c r="D20" s="9"/>
    </row>
    <row r="21" spans="1:4" ht="18.75">
      <c r="A21" s="31" t="s">
        <v>12</v>
      </c>
      <c r="D21" s="9"/>
    </row>
    <row r="22" spans="1:4" ht="18.75">
      <c r="A22" s="8"/>
      <c r="B22" s="91" t="s">
        <v>13</v>
      </c>
      <c r="C22" s="92"/>
      <c r="D22" s="92"/>
    </row>
    <row r="23" spans="1:4" ht="18.75">
      <c r="A23" s="8"/>
      <c r="B23" s="91" t="s">
        <v>14</v>
      </c>
      <c r="C23" s="92"/>
      <c r="D23" s="92"/>
    </row>
    <row r="24" spans="1:4" ht="18.75">
      <c r="A24" s="8"/>
      <c r="B24" s="91" t="s">
        <v>35</v>
      </c>
      <c r="C24" s="92"/>
      <c r="D24" s="92"/>
    </row>
    <row r="25" spans="1:4">
      <c r="A25" s="8"/>
      <c r="D25" s="9"/>
    </row>
    <row r="26" spans="1:4" ht="18.75">
      <c r="A26" s="91" t="s">
        <v>15</v>
      </c>
      <c r="B26" s="92"/>
      <c r="C26" s="92"/>
      <c r="D26" s="93"/>
    </row>
    <row r="27" spans="1:4">
      <c r="A27" s="8"/>
      <c r="D27" s="9"/>
    </row>
    <row r="28" spans="1:4" ht="18.75">
      <c r="A28" s="91" t="s">
        <v>16</v>
      </c>
      <c r="B28" s="92"/>
      <c r="C28" s="92"/>
      <c r="D28" s="93"/>
    </row>
    <row r="29" spans="1:4" ht="18.75" thickBot="1">
      <c r="A29" s="10"/>
      <c r="B29" s="11"/>
      <c r="C29" s="11"/>
      <c r="D29" s="12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Sonora_USAMuni!A1" display="3.2 Por Estado de USA" xr:uid="{00000000-0004-0000-0000-00000D000000}"/>
    <hyperlink ref="A8:D8" location="Sonora_Cons!A1" display="2. Por Circunscripción Consular" xr:uid="{00000000-0004-0000-0000-00000E000000}"/>
    <hyperlink ref="B9:D9" location="SonoraXCons!A1" display="2.1 Top ten por circunscripción consular" xr:uid="{00000000-0004-0000-0000-00000F000000}"/>
    <hyperlink ref="A6:D6" location="Sonora_EdoUsa!A1" display="1. Por Estados de USA" xr:uid="{00000000-0004-0000-0000-000010000000}"/>
    <hyperlink ref="B12:D12" location="Sonora_EdoMun!A1" display="3.1 Municipio general" xr:uid="{00000000-0004-0000-0000-000011000000}"/>
    <hyperlink ref="B14:D14" location="Sonora_MUNICIPIO!A1" display="3.3 Por Circunscripción Consular" xr:uid="{00000000-0004-0000-0000-000012000000}"/>
    <hyperlink ref="B17:D17" location="Sonora_educ_gral!A1" display="4.1 Educación general" xr:uid="{00000000-0004-0000-0000-000013000000}"/>
    <hyperlink ref="B18:D18" location="Sonora_NivelE_Cons!A1" display="4.2 Por Estado de USA" xr:uid="{00000000-0004-0000-0000-000014000000}"/>
    <hyperlink ref="B19:D19" location="Sonora_EducCons!A1" display="4.3 Por Circunscripción Consular" xr:uid="{00000000-0004-0000-0000-000015000000}"/>
    <hyperlink ref="B22:D22" location="Sonora_GenGral!A1" display="5.1 Género General" xr:uid="{00000000-0004-0000-0000-000016000000}"/>
    <hyperlink ref="B23:D23" location="Sonora_GENERO!A1" display="5.2 Por Circunscripción Consular" xr:uid="{00000000-0004-0000-0000-000017000000}"/>
    <hyperlink ref="A26:D26" location="Sonora_Gen_Edad!A1" display="6. Por estructura de Edad" xr:uid="{00000000-0004-0000-0000-000018000000}"/>
    <hyperlink ref="A28:D28" location="Sonora_ocup_gral!A1" display="7. Por Ocupación" xr:uid="{00000000-0004-0000-0000-000019000000}"/>
    <hyperlink ref="B24" location="Sonora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F63"/>
  <sheetViews>
    <sheetView showGridLines="0" view="pageBreakPreview" zoomScale="148" zoomScaleNormal="100" zoomScaleSheetLayoutView="148" workbookViewId="0">
      <selection activeCell="C15" sqref="C15"/>
    </sheetView>
  </sheetViews>
  <sheetFormatPr baseColWidth="10" defaultColWidth="11.42578125" defaultRowHeight="15"/>
  <cols>
    <col min="1" max="1" width="9.28515625" style="13" customWidth="1"/>
    <col min="2" max="2" width="24.5703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42578125" style="13" customWidth="1"/>
    <col min="7" max="16384" width="11.42578125" style="13"/>
  </cols>
  <sheetData>
    <row r="1" spans="1:6" s="16" customFormat="1" ht="15" customHeight="1">
      <c r="C1" s="19"/>
    </row>
    <row r="2" spans="1:6" s="16" customFormat="1" ht="15" customHeight="1">
      <c r="C2" s="19"/>
    </row>
    <row r="3" spans="1:6" s="16" customFormat="1" ht="15" customHeight="1">
      <c r="C3" s="19"/>
    </row>
    <row r="4" spans="1:6" s="16" customFormat="1" ht="30" customHeight="1">
      <c r="C4" s="19"/>
      <c r="D4" s="18"/>
    </row>
    <row r="5" spans="1:6" s="16" customFormat="1" ht="15" customHeight="1">
      <c r="C5" s="19"/>
      <c r="D5" s="18"/>
    </row>
    <row r="6" spans="1:6" s="16" customFormat="1" ht="15" customHeight="1">
      <c r="C6" s="19"/>
      <c r="D6" s="18"/>
    </row>
    <row r="7" spans="1:6" s="16" customFormat="1" ht="15" customHeight="1">
      <c r="A7" s="33"/>
      <c r="B7" s="100" t="s">
        <v>42</v>
      </c>
      <c r="C7" s="100"/>
      <c r="D7" s="100"/>
      <c r="E7" s="33"/>
      <c r="F7" s="33"/>
    </row>
    <row r="8" spans="1:6" s="16" customFormat="1" ht="15" customHeight="1">
      <c r="A8" s="33"/>
      <c r="B8" s="100"/>
      <c r="C8" s="100"/>
      <c r="D8" s="100"/>
      <c r="E8" s="33"/>
      <c r="F8" s="33"/>
    </row>
    <row r="9" spans="1:6" s="16" customFormat="1" ht="33" customHeight="1">
      <c r="A9" s="33"/>
      <c r="B9" s="100"/>
      <c r="C9" s="100"/>
      <c r="D9" s="100"/>
      <c r="E9" s="33"/>
      <c r="F9" s="33"/>
    </row>
    <row r="10" spans="1:6" s="16" customFormat="1" ht="4.5" customHeight="1">
      <c r="A10" s="33"/>
      <c r="B10" s="34"/>
      <c r="C10" s="34"/>
      <c r="D10" s="34"/>
      <c r="E10" s="33"/>
      <c r="F10" s="33"/>
    </row>
    <row r="11" spans="1:6" s="16" customFormat="1" ht="33" customHeight="1">
      <c r="A11" s="33"/>
      <c r="B11" s="42" t="s">
        <v>21</v>
      </c>
      <c r="C11" s="41" t="s">
        <v>20</v>
      </c>
      <c r="D11" s="42" t="s">
        <v>19</v>
      </c>
      <c r="E11" s="33"/>
      <c r="F11" s="33"/>
    </row>
    <row r="12" spans="1:6" ht="16.5">
      <c r="A12" s="35"/>
      <c r="B12" s="58" t="s">
        <v>99</v>
      </c>
      <c r="C12" s="59">
        <v>3237</v>
      </c>
      <c r="D12" s="60">
        <v>0.48199999999999998</v>
      </c>
      <c r="E12" s="35"/>
      <c r="F12" s="35"/>
    </row>
    <row r="13" spans="1:6" ht="16.5">
      <c r="A13" s="35"/>
      <c r="B13" s="58" t="s">
        <v>101</v>
      </c>
      <c r="C13" s="59">
        <v>1742</v>
      </c>
      <c r="D13" s="60">
        <v>0.25900000000000001</v>
      </c>
      <c r="E13" s="35"/>
      <c r="F13" s="35"/>
    </row>
    <row r="14" spans="1:6" ht="16.5">
      <c r="A14" s="35"/>
      <c r="B14" s="58" t="s">
        <v>122</v>
      </c>
      <c r="C14" s="61">
        <v>371</v>
      </c>
      <c r="D14" s="60">
        <v>5.5E-2</v>
      </c>
      <c r="E14" s="35"/>
      <c r="F14" s="35"/>
    </row>
    <row r="15" spans="1:6" ht="16.5">
      <c r="A15" s="35"/>
      <c r="B15" s="58" t="s">
        <v>135</v>
      </c>
      <c r="C15" s="61">
        <v>258</v>
      </c>
      <c r="D15" s="60">
        <v>3.7999999999999999E-2</v>
      </c>
      <c r="E15" s="35"/>
      <c r="F15" s="35"/>
    </row>
    <row r="16" spans="1:6" ht="16.5">
      <c r="A16" s="35"/>
      <c r="B16" s="58" t="s">
        <v>109</v>
      </c>
      <c r="C16" s="61">
        <v>126</v>
      </c>
      <c r="D16" s="60">
        <v>1.9E-2</v>
      </c>
      <c r="E16" s="35"/>
      <c r="F16" s="35"/>
    </row>
    <row r="17" spans="1:6" ht="16.5">
      <c r="A17" s="35"/>
      <c r="B17" s="58" t="s">
        <v>136</v>
      </c>
      <c r="C17" s="61">
        <v>116</v>
      </c>
      <c r="D17" s="60">
        <v>1.7000000000000001E-2</v>
      </c>
      <c r="E17" s="35"/>
      <c r="F17" s="35"/>
    </row>
    <row r="18" spans="1:6" ht="16.5">
      <c r="A18" s="35"/>
      <c r="B18" s="58" t="s">
        <v>102</v>
      </c>
      <c r="C18" s="61">
        <v>114</v>
      </c>
      <c r="D18" s="60">
        <v>1.7000000000000001E-2</v>
      </c>
      <c r="E18" s="35"/>
      <c r="F18" s="35"/>
    </row>
    <row r="19" spans="1:6" ht="16.5">
      <c r="A19" s="35"/>
      <c r="B19" s="58" t="s">
        <v>129</v>
      </c>
      <c r="C19" s="61">
        <v>70</v>
      </c>
      <c r="D19" s="60">
        <v>0.01</v>
      </c>
      <c r="E19" s="35"/>
      <c r="F19" s="35"/>
    </row>
    <row r="20" spans="1:6" ht="16.5">
      <c r="A20" s="35"/>
      <c r="B20" s="58" t="s">
        <v>124</v>
      </c>
      <c r="C20" s="61">
        <v>61</v>
      </c>
      <c r="D20" s="60">
        <v>8.9999999999999993E-3</v>
      </c>
      <c r="E20" s="35"/>
      <c r="F20" s="35"/>
    </row>
    <row r="21" spans="1:6" ht="16.5">
      <c r="A21" s="35"/>
      <c r="B21" s="58" t="s">
        <v>108</v>
      </c>
      <c r="C21" s="61">
        <v>59</v>
      </c>
      <c r="D21" s="60">
        <v>8.9999999999999993E-3</v>
      </c>
      <c r="E21" s="35"/>
      <c r="F21" s="35"/>
    </row>
    <row r="22" spans="1:6" ht="16.5">
      <c r="A22" s="35"/>
      <c r="B22" s="58" t="s">
        <v>93</v>
      </c>
      <c r="C22" s="61">
        <v>43</v>
      </c>
      <c r="D22" s="60">
        <v>6.0000000000000001E-3</v>
      </c>
      <c r="E22" s="35"/>
      <c r="F22" s="35"/>
    </row>
    <row r="23" spans="1:6" ht="16.5">
      <c r="A23" s="35"/>
      <c r="B23" s="58" t="s">
        <v>117</v>
      </c>
      <c r="C23" s="61">
        <v>37</v>
      </c>
      <c r="D23" s="60">
        <v>6.0000000000000001E-3</v>
      </c>
      <c r="E23" s="35"/>
      <c r="F23" s="35"/>
    </row>
    <row r="24" spans="1:6" ht="16.5">
      <c r="A24" s="35"/>
      <c r="B24" s="58" t="s">
        <v>112</v>
      </c>
      <c r="C24" s="61">
        <v>34</v>
      </c>
      <c r="D24" s="60">
        <v>5.0000000000000001E-3</v>
      </c>
      <c r="E24" s="35"/>
      <c r="F24" s="35"/>
    </row>
    <row r="25" spans="1:6" ht="16.5">
      <c r="A25" s="35"/>
      <c r="B25" s="58" t="s">
        <v>128</v>
      </c>
      <c r="C25" s="61">
        <v>33</v>
      </c>
      <c r="D25" s="60">
        <v>5.0000000000000001E-3</v>
      </c>
      <c r="E25" s="35"/>
      <c r="F25" s="35"/>
    </row>
    <row r="26" spans="1:6" ht="16.5">
      <c r="A26" s="35"/>
      <c r="B26" s="58" t="s">
        <v>134</v>
      </c>
      <c r="C26" s="61">
        <v>33</v>
      </c>
      <c r="D26" s="60">
        <v>5.0000000000000001E-3</v>
      </c>
      <c r="E26" s="35"/>
      <c r="F26" s="35"/>
    </row>
    <row r="27" spans="1:6" ht="16.5">
      <c r="A27" s="35"/>
      <c r="B27" s="58" t="s">
        <v>126</v>
      </c>
      <c r="C27" s="61">
        <v>32</v>
      </c>
      <c r="D27" s="60">
        <v>5.0000000000000001E-3</v>
      </c>
      <c r="E27" s="35"/>
      <c r="F27" s="35"/>
    </row>
    <row r="28" spans="1:6" ht="16.5">
      <c r="A28" s="35"/>
      <c r="B28" s="58" t="s">
        <v>110</v>
      </c>
      <c r="C28" s="61">
        <v>28</v>
      </c>
      <c r="D28" s="60">
        <v>4.0000000000000001E-3</v>
      </c>
      <c r="E28" s="35"/>
      <c r="F28" s="35"/>
    </row>
    <row r="29" spans="1:6" ht="16.5">
      <c r="A29" s="35"/>
      <c r="B29" s="58" t="s">
        <v>106</v>
      </c>
      <c r="C29" s="61">
        <v>27</v>
      </c>
      <c r="D29" s="60">
        <v>4.0000000000000001E-3</v>
      </c>
      <c r="E29" s="35"/>
      <c r="F29" s="35"/>
    </row>
    <row r="30" spans="1:6" ht="16.5">
      <c r="A30" s="35"/>
      <c r="B30" s="58" t="s">
        <v>98</v>
      </c>
      <c r="C30" s="61">
        <v>25</v>
      </c>
      <c r="D30" s="60">
        <v>4.0000000000000001E-3</v>
      </c>
      <c r="E30" s="35"/>
      <c r="F30" s="35"/>
    </row>
    <row r="31" spans="1:6" ht="16.5">
      <c r="A31" s="35"/>
      <c r="B31" s="58" t="s">
        <v>121</v>
      </c>
      <c r="C31" s="61">
        <v>25</v>
      </c>
      <c r="D31" s="60">
        <v>4.0000000000000001E-3</v>
      </c>
      <c r="E31" s="35"/>
      <c r="F31" s="35"/>
    </row>
    <row r="32" spans="1:6" ht="16.5">
      <c r="A32" s="35"/>
      <c r="B32" s="58" t="s">
        <v>107</v>
      </c>
      <c r="C32" s="61">
        <v>24</v>
      </c>
      <c r="D32" s="60">
        <v>4.0000000000000001E-3</v>
      </c>
      <c r="E32" s="35"/>
      <c r="F32" s="35"/>
    </row>
    <row r="33" spans="1:6" ht="16.5">
      <c r="A33" s="35"/>
      <c r="B33" s="58" t="s">
        <v>119</v>
      </c>
      <c r="C33" s="61">
        <v>24</v>
      </c>
      <c r="D33" s="60">
        <v>4.0000000000000001E-3</v>
      </c>
      <c r="E33" s="35"/>
      <c r="F33" s="35"/>
    </row>
    <row r="34" spans="1:6" ht="16.5">
      <c r="A34" s="35"/>
      <c r="B34" s="58" t="s">
        <v>130</v>
      </c>
      <c r="C34" s="61">
        <v>20</v>
      </c>
      <c r="D34" s="60">
        <v>3.0000000000000001E-3</v>
      </c>
      <c r="E34" s="35"/>
      <c r="F34" s="35"/>
    </row>
    <row r="35" spans="1:6" ht="16.5">
      <c r="A35" s="35"/>
      <c r="B35" s="58" t="s">
        <v>111</v>
      </c>
      <c r="C35" s="61">
        <v>19</v>
      </c>
      <c r="D35" s="60">
        <v>3.0000000000000001E-3</v>
      </c>
      <c r="E35" s="35"/>
      <c r="F35" s="35"/>
    </row>
    <row r="36" spans="1:6" ht="16.5">
      <c r="A36" s="35"/>
      <c r="B36" s="58" t="s">
        <v>116</v>
      </c>
      <c r="C36" s="61">
        <v>18</v>
      </c>
      <c r="D36" s="60">
        <v>3.0000000000000001E-3</v>
      </c>
      <c r="E36" s="35"/>
      <c r="F36" s="35"/>
    </row>
    <row r="37" spans="1:6" ht="16.5">
      <c r="A37" s="35"/>
      <c r="B37" s="58" t="s">
        <v>138</v>
      </c>
      <c r="C37" s="61">
        <v>18</v>
      </c>
      <c r="D37" s="60">
        <v>3.0000000000000001E-3</v>
      </c>
      <c r="E37" s="35"/>
      <c r="F37" s="35"/>
    </row>
    <row r="38" spans="1:6" ht="16.5">
      <c r="A38" s="35"/>
      <c r="B38" s="58" t="s">
        <v>123</v>
      </c>
      <c r="C38" s="61">
        <v>16</v>
      </c>
      <c r="D38" s="60">
        <v>2E-3</v>
      </c>
      <c r="E38" s="35"/>
      <c r="F38" s="35"/>
    </row>
    <row r="39" spans="1:6" ht="16.5">
      <c r="A39" s="35"/>
      <c r="B39" s="58" t="s">
        <v>133</v>
      </c>
      <c r="C39" s="61">
        <v>16</v>
      </c>
      <c r="D39" s="60">
        <v>2E-3</v>
      </c>
      <c r="E39" s="35"/>
      <c r="F39" s="35"/>
    </row>
    <row r="40" spans="1:6" ht="16.5">
      <c r="A40" s="35"/>
      <c r="B40" s="58" t="s">
        <v>100</v>
      </c>
      <c r="C40" s="61">
        <v>14</v>
      </c>
      <c r="D40" s="60">
        <v>2E-3</v>
      </c>
      <c r="E40" s="35"/>
      <c r="F40" s="35"/>
    </row>
    <row r="41" spans="1:6" ht="16.5">
      <c r="A41" s="35"/>
      <c r="B41" s="58" t="s">
        <v>125</v>
      </c>
      <c r="C41" s="61">
        <v>14</v>
      </c>
      <c r="D41" s="60">
        <v>2E-3</v>
      </c>
      <c r="E41" s="35"/>
      <c r="F41" s="35"/>
    </row>
    <row r="42" spans="1:6" ht="16.5">
      <c r="A42" s="35"/>
      <c r="B42" s="58" t="s">
        <v>113</v>
      </c>
      <c r="C42" s="61">
        <v>12</v>
      </c>
      <c r="D42" s="60">
        <v>2E-3</v>
      </c>
      <c r="E42" s="35"/>
      <c r="F42" s="35"/>
    </row>
    <row r="43" spans="1:6" ht="16.5">
      <c r="A43" s="35"/>
      <c r="B43" s="58" t="s">
        <v>139</v>
      </c>
      <c r="C43" s="61">
        <v>10</v>
      </c>
      <c r="D43" s="60">
        <v>1E-3</v>
      </c>
      <c r="E43" s="35"/>
      <c r="F43" s="35"/>
    </row>
    <row r="44" spans="1:6" ht="16.5">
      <c r="A44" s="35"/>
      <c r="B44" s="58" t="s">
        <v>115</v>
      </c>
      <c r="C44" s="61">
        <v>7</v>
      </c>
      <c r="D44" s="60">
        <v>1E-3</v>
      </c>
      <c r="E44" s="35"/>
      <c r="F44" s="35"/>
    </row>
    <row r="45" spans="1:6" ht="16.5">
      <c r="A45" s="35"/>
      <c r="B45" s="58" t="s">
        <v>114</v>
      </c>
      <c r="C45" s="61">
        <v>6</v>
      </c>
      <c r="D45" s="60">
        <v>1E-3</v>
      </c>
      <c r="E45" s="35"/>
      <c r="F45" s="35"/>
    </row>
    <row r="46" spans="1:6" ht="16.5">
      <c r="A46" s="35"/>
      <c r="B46" s="58" t="s">
        <v>103</v>
      </c>
      <c r="C46" s="61">
        <v>5</v>
      </c>
      <c r="D46" s="60">
        <v>1E-3</v>
      </c>
      <c r="E46" s="35"/>
      <c r="F46" s="35"/>
    </row>
    <row r="47" spans="1:6" ht="16.5">
      <c r="A47" s="35"/>
      <c r="B47" s="58" t="s">
        <v>131</v>
      </c>
      <c r="C47" s="61">
        <v>5</v>
      </c>
      <c r="D47" s="60">
        <v>1E-3</v>
      </c>
      <c r="E47" s="35"/>
      <c r="F47" s="35"/>
    </row>
    <row r="48" spans="1:6" ht="16.5">
      <c r="A48" s="35"/>
      <c r="B48" s="58" t="s">
        <v>137</v>
      </c>
      <c r="C48" s="61">
        <v>5</v>
      </c>
      <c r="D48" s="60">
        <v>1E-3</v>
      </c>
      <c r="E48" s="35"/>
      <c r="F48" s="35"/>
    </row>
    <row r="49" spans="1:6" ht="16.5">
      <c r="A49" s="35"/>
      <c r="B49" s="58" t="s">
        <v>120</v>
      </c>
      <c r="C49" s="61">
        <v>4</v>
      </c>
      <c r="D49" s="60">
        <v>1E-3</v>
      </c>
      <c r="E49" s="35"/>
      <c r="F49" s="35"/>
    </row>
    <row r="50" spans="1:6" ht="16.5">
      <c r="A50" s="35"/>
      <c r="B50" s="58" t="s">
        <v>127</v>
      </c>
      <c r="C50" s="61">
        <v>3</v>
      </c>
      <c r="D50" s="60">
        <v>0</v>
      </c>
      <c r="E50" s="35"/>
      <c r="F50" s="35"/>
    </row>
    <row r="51" spans="1:6" ht="16.5">
      <c r="A51" s="35"/>
      <c r="B51" s="58" t="s">
        <v>132</v>
      </c>
      <c r="C51" s="61">
        <v>2</v>
      </c>
      <c r="D51" s="60">
        <v>0</v>
      </c>
      <c r="E51" s="35"/>
      <c r="F51" s="35"/>
    </row>
    <row r="52" spans="1:6" ht="16.5">
      <c r="A52" s="35"/>
      <c r="B52" s="58" t="s">
        <v>289</v>
      </c>
      <c r="C52" s="61">
        <v>1</v>
      </c>
      <c r="D52" s="60">
        <v>0</v>
      </c>
      <c r="E52" s="35"/>
      <c r="F52" s="35"/>
    </row>
    <row r="53" spans="1:6" ht="16.5">
      <c r="A53" s="35"/>
      <c r="B53" s="58" t="s">
        <v>104</v>
      </c>
      <c r="C53" s="61">
        <v>1</v>
      </c>
      <c r="D53" s="60">
        <v>0</v>
      </c>
      <c r="E53" s="35"/>
      <c r="F53" s="35"/>
    </row>
    <row r="54" spans="1:6" ht="16.5">
      <c r="A54" s="35"/>
      <c r="B54" s="58" t="s">
        <v>105</v>
      </c>
      <c r="C54" s="61">
        <v>1</v>
      </c>
      <c r="D54" s="60">
        <v>0</v>
      </c>
      <c r="E54" s="35"/>
      <c r="F54" s="35"/>
    </row>
    <row r="55" spans="1:6" ht="16.5">
      <c r="A55" s="35"/>
      <c r="B55" s="58" t="s">
        <v>118</v>
      </c>
      <c r="C55" s="61">
        <v>1</v>
      </c>
      <c r="D55" s="60">
        <v>0</v>
      </c>
      <c r="E55" s="35"/>
      <c r="F55" s="35"/>
    </row>
    <row r="56" spans="1:6" ht="16.5">
      <c r="A56" s="35"/>
      <c r="B56" s="58" t="s">
        <v>291</v>
      </c>
      <c r="C56" s="61">
        <v>1</v>
      </c>
      <c r="D56" s="60">
        <v>0</v>
      </c>
      <c r="E56" s="35"/>
      <c r="F56" s="35"/>
    </row>
    <row r="57" spans="1:6" ht="16.5">
      <c r="A57" s="35"/>
      <c r="B57" s="62" t="s">
        <v>321</v>
      </c>
      <c r="C57" s="46">
        <v>6718</v>
      </c>
      <c r="D57" s="63">
        <v>1</v>
      </c>
      <c r="E57" s="35"/>
      <c r="F57" s="35"/>
    </row>
    <row r="58" spans="1:6" ht="16.5">
      <c r="A58" s="35"/>
      <c r="B58" s="36"/>
      <c r="C58" s="37"/>
      <c r="D58" s="35"/>
      <c r="E58" s="35"/>
      <c r="F58" s="35"/>
    </row>
    <row r="59" spans="1:6" ht="16.5">
      <c r="A59" s="35"/>
      <c r="B59" s="36" t="s">
        <v>288</v>
      </c>
      <c r="C59" s="37"/>
      <c r="D59" s="35"/>
      <c r="E59" s="35"/>
      <c r="F59" s="35"/>
    </row>
    <row r="60" spans="1:6" ht="16.5">
      <c r="A60" s="35"/>
      <c r="B60" s="38" t="s">
        <v>18</v>
      </c>
      <c r="C60" s="37"/>
      <c r="D60" s="35"/>
      <c r="E60" s="35"/>
      <c r="F60" s="35"/>
    </row>
    <row r="61" spans="1:6" ht="16.5">
      <c r="A61" s="35"/>
      <c r="B61" s="39" t="s">
        <v>46</v>
      </c>
      <c r="C61" s="37"/>
      <c r="D61" s="35"/>
      <c r="E61" s="35"/>
      <c r="F61" s="35"/>
    </row>
    <row r="62" spans="1:6" ht="16.5">
      <c r="A62" s="35"/>
      <c r="B62" s="36" t="s">
        <v>17</v>
      </c>
      <c r="C62" s="37"/>
      <c r="D62" s="35"/>
      <c r="E62" s="35"/>
      <c r="F62" s="35"/>
    </row>
    <row r="63" spans="1:6" ht="16.5">
      <c r="A63" s="35"/>
      <c r="B63" s="36" t="s">
        <v>322</v>
      </c>
      <c r="C63" s="37"/>
      <c r="D63" s="35"/>
      <c r="E63" s="35"/>
      <c r="F63" s="3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69"/>
  <sheetViews>
    <sheetView showGridLines="0" view="pageBreakPreview" topLeftCell="A61" zoomScale="154" zoomScaleNormal="100" zoomScaleSheetLayoutView="154" workbookViewId="0">
      <selection activeCell="B60" sqref="B60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9"/>
    </row>
    <row r="2" spans="1:6" s="16" customFormat="1" ht="15" customHeight="1">
      <c r="C2" s="19"/>
    </row>
    <row r="3" spans="1:6" s="16" customFormat="1" ht="15" customHeight="1">
      <c r="C3" s="19"/>
    </row>
    <row r="4" spans="1:6" s="16" customFormat="1" ht="30" customHeight="1">
      <c r="C4" s="19"/>
      <c r="D4" s="18"/>
    </row>
    <row r="5" spans="1:6" s="16" customFormat="1" ht="15" customHeight="1">
      <c r="C5" s="19"/>
      <c r="D5" s="18"/>
    </row>
    <row r="6" spans="1:6" s="16" customFormat="1" ht="15" customHeight="1">
      <c r="C6" s="19"/>
      <c r="D6" s="18"/>
    </row>
    <row r="7" spans="1:6" s="16" customFormat="1" ht="15" customHeight="1">
      <c r="A7" s="33"/>
      <c r="B7" s="100" t="s">
        <v>36</v>
      </c>
      <c r="C7" s="100"/>
      <c r="D7" s="100"/>
      <c r="E7" s="33"/>
      <c r="F7" s="33"/>
    </row>
    <row r="8" spans="1:6" s="16" customFormat="1" ht="15" customHeight="1">
      <c r="A8" s="33"/>
      <c r="B8" s="100"/>
      <c r="C8" s="100"/>
      <c r="D8" s="100"/>
      <c r="E8" s="33"/>
      <c r="F8" s="33"/>
    </row>
    <row r="9" spans="1:6" s="16" customFormat="1" ht="33" customHeight="1">
      <c r="A9" s="33"/>
      <c r="B9" s="100"/>
      <c r="C9" s="100"/>
      <c r="D9" s="100"/>
      <c r="E9" s="33"/>
      <c r="F9" s="33"/>
    </row>
    <row r="10" spans="1:6" s="16" customFormat="1" ht="4.5" customHeight="1">
      <c r="A10" s="33"/>
      <c r="B10" s="34"/>
      <c r="C10" s="34"/>
      <c r="D10" s="34"/>
      <c r="E10" s="33"/>
      <c r="F10" s="33"/>
    </row>
    <row r="11" spans="1:6" s="16" customFormat="1" ht="33" customHeight="1">
      <c r="A11" s="33"/>
      <c r="B11" s="40" t="s">
        <v>22</v>
      </c>
      <c r="C11" s="41" t="s">
        <v>20</v>
      </c>
      <c r="D11" s="42" t="s">
        <v>19</v>
      </c>
      <c r="E11" s="33"/>
      <c r="F11" s="33"/>
    </row>
    <row r="12" spans="1:6" ht="14.45" customHeight="1">
      <c r="A12" s="35"/>
      <c r="B12" s="64" t="s">
        <v>47</v>
      </c>
      <c r="C12" s="65">
        <v>1823</v>
      </c>
      <c r="D12" s="66">
        <v>0.27136052396546601</v>
      </c>
      <c r="E12" s="35"/>
      <c r="F12" s="35"/>
    </row>
    <row r="13" spans="1:6" ht="14.45" customHeight="1">
      <c r="A13" s="35"/>
      <c r="B13" s="64" t="s">
        <v>48</v>
      </c>
      <c r="C13" s="65">
        <v>1095</v>
      </c>
      <c r="D13" s="66">
        <v>0.162994938969932</v>
      </c>
      <c r="E13" s="35"/>
      <c r="F13" s="35"/>
    </row>
    <row r="14" spans="1:6" ht="14.45" customHeight="1">
      <c r="A14" s="35"/>
      <c r="B14" s="64" t="s">
        <v>49</v>
      </c>
      <c r="C14" s="65">
        <v>548</v>
      </c>
      <c r="D14" s="66">
        <v>8.1571896397737001E-2</v>
      </c>
      <c r="E14" s="35"/>
      <c r="F14" s="35"/>
    </row>
    <row r="15" spans="1:6" ht="14.45" customHeight="1">
      <c r="A15" s="35"/>
      <c r="B15" s="64" t="s">
        <v>50</v>
      </c>
      <c r="C15" s="65">
        <v>331</v>
      </c>
      <c r="D15" s="66">
        <v>4.9270616254838001E-2</v>
      </c>
      <c r="E15" s="35"/>
      <c r="F15" s="35"/>
    </row>
    <row r="16" spans="1:6" ht="14.45" customHeight="1">
      <c r="A16" s="35"/>
      <c r="B16" s="64" t="s">
        <v>51</v>
      </c>
      <c r="C16" s="65">
        <v>292</v>
      </c>
      <c r="D16" s="66">
        <v>4.3465317058647999E-2</v>
      </c>
      <c r="E16" s="35"/>
      <c r="F16" s="35"/>
    </row>
    <row r="17" spans="1:6" ht="14.45" customHeight="1">
      <c r="A17" s="35"/>
      <c r="B17" s="64" t="s">
        <v>52</v>
      </c>
      <c r="C17" s="65">
        <v>252</v>
      </c>
      <c r="D17" s="66">
        <v>3.7511164036915998E-2</v>
      </c>
      <c r="E17" s="35"/>
      <c r="F17" s="35"/>
    </row>
    <row r="18" spans="1:6" ht="14.45" customHeight="1">
      <c r="A18" s="35"/>
      <c r="B18" s="64" t="s">
        <v>53</v>
      </c>
      <c r="C18" s="65">
        <v>190</v>
      </c>
      <c r="D18" s="66">
        <v>2.8282226853230001E-2</v>
      </c>
      <c r="E18" s="35"/>
      <c r="F18" s="35"/>
    </row>
    <row r="19" spans="1:6" ht="14.45" customHeight="1">
      <c r="A19" s="35"/>
      <c r="B19" s="64" t="s">
        <v>55</v>
      </c>
      <c r="C19" s="65">
        <v>163</v>
      </c>
      <c r="D19" s="66">
        <v>2.4263173563560999E-2</v>
      </c>
      <c r="E19" s="35"/>
      <c r="F19" s="35"/>
    </row>
    <row r="20" spans="1:6" ht="14.45" customHeight="1">
      <c r="A20" s="35"/>
      <c r="B20" s="64" t="s">
        <v>54</v>
      </c>
      <c r="C20" s="65">
        <v>162</v>
      </c>
      <c r="D20" s="66">
        <v>2.4114319738017E-2</v>
      </c>
      <c r="E20" s="35"/>
      <c r="F20" s="35"/>
    </row>
    <row r="21" spans="1:6" ht="14.45" customHeight="1">
      <c r="A21" s="35"/>
      <c r="B21" s="64" t="s">
        <v>59</v>
      </c>
      <c r="C21" s="65">
        <v>149</v>
      </c>
      <c r="D21" s="66">
        <v>2.2179220005954001E-2</v>
      </c>
      <c r="E21" s="35"/>
      <c r="F21" s="35"/>
    </row>
    <row r="22" spans="1:6" ht="14.45" customHeight="1">
      <c r="A22" s="35"/>
      <c r="B22" s="64" t="s">
        <v>60</v>
      </c>
      <c r="C22" s="65">
        <v>145</v>
      </c>
      <c r="D22" s="66">
        <v>2.1583804703781E-2</v>
      </c>
      <c r="E22" s="35"/>
      <c r="F22" s="35"/>
    </row>
    <row r="23" spans="1:6" ht="14.45" customHeight="1">
      <c r="A23" s="35"/>
      <c r="B23" s="64" t="s">
        <v>57</v>
      </c>
      <c r="C23" s="65">
        <v>118</v>
      </c>
      <c r="D23" s="66">
        <v>1.7564751414110999E-2</v>
      </c>
      <c r="E23" s="35"/>
      <c r="F23" s="35"/>
    </row>
    <row r="24" spans="1:6" ht="14.45" customHeight="1">
      <c r="A24" s="35"/>
      <c r="B24" s="64" t="s">
        <v>63</v>
      </c>
      <c r="C24" s="65">
        <v>112</v>
      </c>
      <c r="D24" s="66">
        <v>1.6671628460851001E-2</v>
      </c>
      <c r="E24" s="35"/>
      <c r="F24" s="35"/>
    </row>
    <row r="25" spans="1:6" ht="14.45" customHeight="1">
      <c r="A25" s="35"/>
      <c r="B25" s="64" t="s">
        <v>61</v>
      </c>
      <c r="C25" s="65">
        <v>111</v>
      </c>
      <c r="D25" s="66">
        <v>1.6522774635308001E-2</v>
      </c>
      <c r="E25" s="35"/>
      <c r="F25" s="35"/>
    </row>
    <row r="26" spans="1:6" ht="14.45" customHeight="1">
      <c r="A26" s="35"/>
      <c r="B26" s="64" t="s">
        <v>56</v>
      </c>
      <c r="C26" s="65">
        <v>105</v>
      </c>
      <c r="D26" s="66">
        <v>1.5629651682047999E-2</v>
      </c>
      <c r="E26" s="35"/>
      <c r="F26" s="35"/>
    </row>
    <row r="27" spans="1:6" ht="14.45" customHeight="1">
      <c r="A27" s="35"/>
      <c r="B27" s="64" t="s">
        <v>62</v>
      </c>
      <c r="C27" s="65">
        <v>83</v>
      </c>
      <c r="D27" s="66">
        <v>1.2354867520095E-2</v>
      </c>
      <c r="E27" s="35"/>
      <c r="F27" s="35"/>
    </row>
    <row r="28" spans="1:6" ht="14.45" customHeight="1">
      <c r="A28" s="35"/>
      <c r="B28" s="64" t="s">
        <v>64</v>
      </c>
      <c r="C28" s="65">
        <v>81</v>
      </c>
      <c r="D28" s="66">
        <v>1.2057159869009E-2</v>
      </c>
      <c r="E28" s="35"/>
      <c r="F28" s="35"/>
    </row>
    <row r="29" spans="1:6" ht="14.45" customHeight="1">
      <c r="A29" s="35"/>
      <c r="B29" s="64" t="s">
        <v>68</v>
      </c>
      <c r="C29" s="65">
        <v>78</v>
      </c>
      <c r="D29" s="66">
        <v>1.1610598392379001E-2</v>
      </c>
      <c r="E29" s="35"/>
      <c r="F29" s="35"/>
    </row>
    <row r="30" spans="1:6" ht="14.45" customHeight="1">
      <c r="A30" s="35"/>
      <c r="B30" s="64" t="s">
        <v>58</v>
      </c>
      <c r="C30" s="65">
        <v>72</v>
      </c>
      <c r="D30" s="66">
        <v>1.0717475439119E-2</v>
      </c>
      <c r="E30" s="35"/>
      <c r="F30" s="35"/>
    </row>
    <row r="31" spans="1:6" ht="14.45" customHeight="1">
      <c r="A31" s="35"/>
      <c r="B31" s="64" t="s">
        <v>65</v>
      </c>
      <c r="C31" s="65">
        <v>56</v>
      </c>
      <c r="D31" s="66">
        <v>8.3358142304259999E-3</v>
      </c>
      <c r="E31" s="35"/>
      <c r="F31" s="35"/>
    </row>
    <row r="32" spans="1:6" ht="14.45" customHeight="1">
      <c r="A32" s="35"/>
      <c r="B32" s="64" t="s">
        <v>67</v>
      </c>
      <c r="C32" s="65">
        <v>55</v>
      </c>
      <c r="D32" s="66">
        <v>8.1869604048819995E-3</v>
      </c>
      <c r="E32" s="35"/>
      <c r="F32" s="35"/>
    </row>
    <row r="33" spans="1:6" ht="14.45" customHeight="1">
      <c r="A33" s="35"/>
      <c r="B33" s="64" t="s">
        <v>74</v>
      </c>
      <c r="C33" s="65">
        <v>51</v>
      </c>
      <c r="D33" s="66">
        <v>7.591545102709E-3</v>
      </c>
      <c r="E33" s="35"/>
      <c r="F33" s="35"/>
    </row>
    <row r="34" spans="1:6" ht="14.45" customHeight="1">
      <c r="A34" s="35"/>
      <c r="B34" s="64" t="s">
        <v>69</v>
      </c>
      <c r="C34" s="65">
        <v>49</v>
      </c>
      <c r="D34" s="66">
        <v>7.2938374516230003E-3</v>
      </c>
      <c r="E34" s="35"/>
      <c r="F34" s="35"/>
    </row>
    <row r="35" spans="1:6" ht="14.45" customHeight="1">
      <c r="A35" s="35"/>
      <c r="B35" s="64" t="s">
        <v>66</v>
      </c>
      <c r="C35" s="65">
        <v>48</v>
      </c>
      <c r="D35" s="66">
        <v>7.144983626079E-3</v>
      </c>
      <c r="E35" s="35"/>
      <c r="F35" s="35"/>
    </row>
    <row r="36" spans="1:6" ht="14.45" customHeight="1">
      <c r="A36" s="35"/>
      <c r="B36" s="64" t="s">
        <v>87</v>
      </c>
      <c r="C36" s="65">
        <v>48</v>
      </c>
      <c r="D36" s="66">
        <v>7.144983626079E-3</v>
      </c>
      <c r="E36" s="35"/>
      <c r="F36" s="35"/>
    </row>
    <row r="37" spans="1:6" ht="14.45" customHeight="1">
      <c r="A37" s="35"/>
      <c r="B37" s="64" t="s">
        <v>78</v>
      </c>
      <c r="C37" s="65">
        <v>43</v>
      </c>
      <c r="D37" s="66">
        <v>6.4007144983630002E-3</v>
      </c>
      <c r="E37" s="35"/>
      <c r="F37" s="35"/>
    </row>
    <row r="38" spans="1:6" ht="14.45" customHeight="1">
      <c r="A38" s="35"/>
      <c r="B38" s="64" t="s">
        <v>71</v>
      </c>
      <c r="C38" s="65">
        <v>42</v>
      </c>
      <c r="D38" s="66">
        <v>6.2518606728189999E-3</v>
      </c>
      <c r="E38" s="35"/>
      <c r="F38" s="35"/>
    </row>
    <row r="39" spans="1:6" ht="14.45" customHeight="1">
      <c r="A39" s="35"/>
      <c r="B39" s="64" t="s">
        <v>72</v>
      </c>
      <c r="C39" s="65">
        <v>38</v>
      </c>
      <c r="D39" s="66">
        <v>5.6564453706460004E-3</v>
      </c>
      <c r="E39" s="35"/>
      <c r="F39" s="35"/>
    </row>
    <row r="40" spans="1:6" ht="14.45" customHeight="1">
      <c r="A40" s="35"/>
      <c r="B40" s="64" t="s">
        <v>70</v>
      </c>
      <c r="C40" s="65">
        <v>35</v>
      </c>
      <c r="D40" s="66">
        <v>5.2098838940160003E-3</v>
      </c>
      <c r="E40" s="35"/>
      <c r="F40" s="35"/>
    </row>
    <row r="41" spans="1:6" ht="14.45" customHeight="1">
      <c r="A41" s="35"/>
      <c r="B41" s="64" t="s">
        <v>80</v>
      </c>
      <c r="C41" s="65">
        <v>32</v>
      </c>
      <c r="D41" s="66">
        <v>4.7633224173860003E-3</v>
      </c>
      <c r="E41" s="35"/>
      <c r="F41" s="35"/>
    </row>
    <row r="42" spans="1:6" ht="14.45" customHeight="1">
      <c r="A42" s="35"/>
      <c r="B42" s="64" t="s">
        <v>81</v>
      </c>
      <c r="C42" s="65">
        <v>30</v>
      </c>
      <c r="D42" s="66">
        <v>4.4656147662989996E-3</v>
      </c>
      <c r="E42" s="35"/>
      <c r="F42" s="35"/>
    </row>
    <row r="43" spans="1:6" ht="14.45" customHeight="1">
      <c r="A43" s="35"/>
      <c r="B43" s="64" t="s">
        <v>85</v>
      </c>
      <c r="C43" s="65">
        <v>29</v>
      </c>
      <c r="D43" s="66">
        <v>4.3167609407560002E-3</v>
      </c>
      <c r="E43" s="35"/>
      <c r="F43" s="35"/>
    </row>
    <row r="44" spans="1:6" ht="14.45" customHeight="1">
      <c r="A44" s="35"/>
      <c r="B44" s="64" t="s">
        <v>77</v>
      </c>
      <c r="C44" s="65">
        <v>29</v>
      </c>
      <c r="D44" s="66">
        <v>4.3167609407560002E-3</v>
      </c>
      <c r="E44" s="35"/>
      <c r="F44" s="35"/>
    </row>
    <row r="45" spans="1:6" ht="14.45" customHeight="1">
      <c r="A45" s="35"/>
      <c r="B45" s="64" t="s">
        <v>79</v>
      </c>
      <c r="C45" s="65">
        <v>25</v>
      </c>
      <c r="D45" s="66">
        <v>3.7213456385829999E-3</v>
      </c>
      <c r="E45" s="35"/>
      <c r="F45" s="35"/>
    </row>
    <row r="46" spans="1:6" ht="14.45" customHeight="1">
      <c r="A46" s="35"/>
      <c r="B46" s="64" t="s">
        <v>82</v>
      </c>
      <c r="C46" s="65">
        <v>22</v>
      </c>
      <c r="D46" s="66">
        <v>3.2747841619529998E-3</v>
      </c>
      <c r="E46" s="35"/>
      <c r="F46" s="35"/>
    </row>
    <row r="47" spans="1:6" ht="14.45" customHeight="1">
      <c r="A47" s="35"/>
      <c r="B47" s="64" t="s">
        <v>73</v>
      </c>
      <c r="C47" s="65">
        <v>19</v>
      </c>
      <c r="D47" s="66">
        <v>2.8282226853230002E-3</v>
      </c>
      <c r="E47" s="35"/>
      <c r="F47" s="35"/>
    </row>
    <row r="48" spans="1:6" ht="14.45" customHeight="1">
      <c r="A48" s="35"/>
      <c r="B48" s="64" t="s">
        <v>91</v>
      </c>
      <c r="C48" s="65">
        <v>18</v>
      </c>
      <c r="D48" s="66">
        <v>2.6793688597799999E-3</v>
      </c>
      <c r="E48" s="35"/>
      <c r="F48" s="35"/>
    </row>
    <row r="49" spans="1:6" ht="14.45" customHeight="1">
      <c r="A49" s="35"/>
      <c r="B49" s="64" t="s">
        <v>83</v>
      </c>
      <c r="C49" s="65">
        <v>18</v>
      </c>
      <c r="D49" s="66">
        <v>2.6793688597799999E-3</v>
      </c>
      <c r="E49" s="35"/>
      <c r="F49" s="35"/>
    </row>
    <row r="50" spans="1:6" ht="14.45" customHeight="1">
      <c r="A50" s="35"/>
      <c r="B50" s="64" t="s">
        <v>88</v>
      </c>
      <c r="C50" s="65">
        <v>17</v>
      </c>
      <c r="D50" s="66">
        <v>2.530515034236E-3</v>
      </c>
      <c r="E50" s="35"/>
      <c r="F50" s="35"/>
    </row>
    <row r="51" spans="1:6" ht="14.45" customHeight="1">
      <c r="A51" s="35"/>
      <c r="B51" s="64" t="s">
        <v>76</v>
      </c>
      <c r="C51" s="65">
        <v>17</v>
      </c>
      <c r="D51" s="66">
        <v>2.530515034236E-3</v>
      </c>
      <c r="E51" s="35"/>
      <c r="F51" s="35"/>
    </row>
    <row r="52" spans="1:6" ht="14.45" customHeight="1">
      <c r="A52" s="35"/>
      <c r="B52" s="64" t="s">
        <v>86</v>
      </c>
      <c r="C52" s="65">
        <v>16</v>
      </c>
      <c r="D52" s="66">
        <v>2.3816612086930001E-3</v>
      </c>
      <c r="E52" s="35"/>
      <c r="F52" s="35"/>
    </row>
    <row r="53" spans="1:6" ht="14.45" customHeight="1">
      <c r="A53" s="35"/>
      <c r="B53" s="64" t="s">
        <v>75</v>
      </c>
      <c r="C53" s="65">
        <v>14</v>
      </c>
      <c r="D53" s="66">
        <v>2.0839535576059999E-3</v>
      </c>
      <c r="E53" s="35"/>
      <c r="F53" s="35"/>
    </row>
    <row r="54" spans="1:6" ht="14.45" customHeight="1">
      <c r="A54" s="35"/>
      <c r="B54" s="64" t="s">
        <v>84</v>
      </c>
      <c r="C54" s="65">
        <v>10</v>
      </c>
      <c r="D54" s="66">
        <v>1.488538255433E-3</v>
      </c>
      <c r="E54" s="35"/>
      <c r="F54" s="35"/>
    </row>
    <row r="55" spans="1:6" ht="14.45" customHeight="1">
      <c r="A55" s="35"/>
      <c r="B55" s="64" t="s">
        <v>97</v>
      </c>
      <c r="C55" s="65">
        <v>10</v>
      </c>
      <c r="D55" s="66">
        <v>1.488538255433E-3</v>
      </c>
      <c r="E55" s="35"/>
      <c r="F55" s="35"/>
    </row>
    <row r="56" spans="1:6" ht="14.45" customHeight="1">
      <c r="A56" s="35"/>
      <c r="B56" s="64" t="s">
        <v>92</v>
      </c>
      <c r="C56" s="65">
        <v>9</v>
      </c>
      <c r="D56" s="66">
        <v>1.33968442989E-3</v>
      </c>
      <c r="E56" s="35"/>
      <c r="F56" s="35"/>
    </row>
    <row r="57" spans="1:6" ht="14.45" customHeight="1">
      <c r="A57" s="35"/>
      <c r="B57" s="64" t="s">
        <v>89</v>
      </c>
      <c r="C57" s="65">
        <v>9</v>
      </c>
      <c r="D57" s="66">
        <v>1.33968442989E-3</v>
      </c>
      <c r="E57" s="35"/>
      <c r="F57" s="35"/>
    </row>
    <row r="58" spans="1:6" ht="14.45" customHeight="1">
      <c r="A58" s="35"/>
      <c r="B58" s="64" t="s">
        <v>93</v>
      </c>
      <c r="C58" s="65">
        <v>7</v>
      </c>
      <c r="D58" s="66">
        <v>1.041976778803E-3</v>
      </c>
      <c r="E58" s="35"/>
      <c r="F58" s="35"/>
    </row>
    <row r="59" spans="1:6" ht="14.45" customHeight="1">
      <c r="A59" s="35"/>
      <c r="B59" s="64" t="s">
        <v>94</v>
      </c>
      <c r="C59" s="65">
        <v>4</v>
      </c>
      <c r="D59" s="66">
        <v>5.9541530217300002E-4</v>
      </c>
      <c r="E59" s="35"/>
      <c r="F59" s="35"/>
    </row>
    <row r="60" spans="1:6" ht="14.45" customHeight="1">
      <c r="A60" s="35"/>
      <c r="B60" s="64" t="s">
        <v>90</v>
      </c>
      <c r="C60" s="65">
        <v>4</v>
      </c>
      <c r="D60" s="66">
        <v>5.9541530217300002E-4</v>
      </c>
      <c r="E60" s="35"/>
      <c r="F60" s="35"/>
    </row>
    <row r="61" spans="1:6" ht="14.45" customHeight="1">
      <c r="A61" s="35"/>
      <c r="B61" s="64" t="s">
        <v>96</v>
      </c>
      <c r="C61" s="65">
        <v>2</v>
      </c>
      <c r="D61" s="66">
        <v>2.9770765108699999E-4</v>
      </c>
      <c r="E61" s="35"/>
      <c r="F61" s="35"/>
    </row>
    <row r="62" spans="1:6" ht="14.45" customHeight="1">
      <c r="A62" s="35"/>
      <c r="B62" s="64" t="s">
        <v>95</v>
      </c>
      <c r="C62" s="65">
        <v>2</v>
      </c>
      <c r="D62" s="66">
        <v>2.9770765108699999E-4</v>
      </c>
      <c r="E62" s="35"/>
      <c r="F62" s="35"/>
    </row>
    <row r="63" spans="1:6" ht="14.45" customHeight="1">
      <c r="A63" s="35"/>
      <c r="B63" s="67" t="s">
        <v>323</v>
      </c>
      <c r="C63" s="68">
        <v>6718</v>
      </c>
      <c r="D63" s="69">
        <v>1</v>
      </c>
      <c r="E63" s="35"/>
      <c r="F63" s="35"/>
    </row>
    <row r="64" spans="1:6" ht="14.45" customHeight="1">
      <c r="A64" s="35"/>
      <c r="B64" s="36"/>
      <c r="C64" s="37"/>
      <c r="D64" s="35"/>
      <c r="E64" s="35"/>
      <c r="F64" s="35"/>
    </row>
    <row r="65" spans="2:6" ht="14.45" customHeight="1">
      <c r="B65" s="36" t="s">
        <v>288</v>
      </c>
      <c r="C65" s="37"/>
      <c r="D65" s="35"/>
      <c r="E65" s="35"/>
      <c r="F65" s="35"/>
    </row>
    <row r="66" spans="2:6" ht="14.45" customHeight="1">
      <c r="B66" s="38" t="s">
        <v>18</v>
      </c>
      <c r="C66" s="37"/>
      <c r="D66" s="35"/>
      <c r="E66" s="35"/>
      <c r="F66" s="35"/>
    </row>
    <row r="67" spans="2:6" ht="14.45" customHeight="1">
      <c r="B67" s="39" t="s">
        <v>46</v>
      </c>
      <c r="C67" s="37"/>
      <c r="D67" s="35"/>
      <c r="E67" s="35"/>
      <c r="F67" s="35"/>
    </row>
    <row r="68" spans="2:6" ht="14.45" customHeight="1">
      <c r="B68" s="36" t="s">
        <v>17</v>
      </c>
      <c r="C68" s="37"/>
      <c r="D68" s="35"/>
      <c r="E68" s="35"/>
      <c r="F68" s="35"/>
    </row>
    <row r="69" spans="2:6" ht="14.45" customHeight="1">
      <c r="B69" s="36" t="s">
        <v>322</v>
      </c>
      <c r="C69" s="37"/>
      <c r="D69" s="35"/>
      <c r="E69" s="35"/>
      <c r="F69" s="3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29"/>
  <sheetViews>
    <sheetView showGridLines="0" view="pageBreakPreview" topLeftCell="A20" zoomScale="148" zoomScaleNormal="100" zoomScaleSheetLayoutView="148" workbookViewId="0">
      <selection activeCell="D21" sqref="D21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9"/>
    </row>
    <row r="2" spans="1:6" s="16" customFormat="1" ht="15" customHeight="1">
      <c r="C2" s="19"/>
    </row>
    <row r="3" spans="1:6" s="16" customFormat="1" ht="15" customHeight="1">
      <c r="C3" s="19"/>
    </row>
    <row r="4" spans="1:6" s="16" customFormat="1" ht="30" customHeight="1">
      <c r="C4" s="19"/>
      <c r="D4" s="18"/>
    </row>
    <row r="5" spans="1:6" s="16" customFormat="1" ht="15" customHeight="1">
      <c r="C5" s="19"/>
      <c r="D5" s="18"/>
    </row>
    <row r="6" spans="1:6" s="16" customFormat="1" ht="15" customHeight="1">
      <c r="A6" s="33"/>
      <c r="B6" s="33"/>
      <c r="C6" s="43"/>
      <c r="D6" s="44"/>
      <c r="E6" s="33"/>
      <c r="F6" s="33"/>
    </row>
    <row r="7" spans="1:6" s="16" customFormat="1" ht="15" customHeight="1">
      <c r="A7" s="33"/>
      <c r="B7" s="100" t="s">
        <v>43</v>
      </c>
      <c r="C7" s="100"/>
      <c r="D7" s="100"/>
      <c r="E7" s="33"/>
      <c r="F7" s="33"/>
    </row>
    <row r="8" spans="1:6" s="16" customFormat="1" ht="15" customHeight="1">
      <c r="A8" s="33"/>
      <c r="B8" s="100"/>
      <c r="C8" s="100"/>
      <c r="D8" s="100"/>
      <c r="E8" s="33"/>
      <c r="F8" s="33"/>
    </row>
    <row r="9" spans="1:6" s="16" customFormat="1" ht="33" customHeight="1">
      <c r="A9" s="33"/>
      <c r="B9" s="100"/>
      <c r="C9" s="100"/>
      <c r="D9" s="100"/>
      <c r="E9" s="33"/>
      <c r="F9" s="33"/>
    </row>
    <row r="10" spans="1:6" s="16" customFormat="1" ht="4.5" customHeight="1">
      <c r="A10" s="33"/>
      <c r="B10" s="34"/>
      <c r="C10" s="34"/>
      <c r="D10" s="34"/>
      <c r="E10" s="33"/>
      <c r="F10" s="33"/>
    </row>
    <row r="11" spans="1:6" s="16" customFormat="1" ht="33" customHeight="1">
      <c r="A11" s="33"/>
      <c r="B11" s="117" t="s">
        <v>22</v>
      </c>
      <c r="C11" s="118" t="s">
        <v>20</v>
      </c>
      <c r="D11" s="117" t="s">
        <v>19</v>
      </c>
      <c r="E11" s="33"/>
      <c r="F11" s="33"/>
    </row>
    <row r="12" spans="1:6" ht="16.5">
      <c r="A12" s="35"/>
      <c r="B12" s="64" t="s">
        <v>47</v>
      </c>
      <c r="C12" s="65">
        <v>1823</v>
      </c>
      <c r="D12" s="66">
        <f>C12/$C$22</f>
        <v>0.36423576423576426</v>
      </c>
      <c r="E12" s="35"/>
      <c r="F12" s="35"/>
    </row>
    <row r="13" spans="1:6" ht="16.5">
      <c r="A13" s="35"/>
      <c r="B13" s="64" t="s">
        <v>48</v>
      </c>
      <c r="C13" s="65">
        <v>1095</v>
      </c>
      <c r="D13" s="66">
        <f t="shared" ref="D13:D21" si="0">C13/$C$22</f>
        <v>0.21878121878121878</v>
      </c>
      <c r="E13" s="35"/>
      <c r="F13" s="35"/>
    </row>
    <row r="14" spans="1:6" ht="16.5">
      <c r="A14" s="35"/>
      <c r="B14" s="64" t="s">
        <v>49</v>
      </c>
      <c r="C14" s="65">
        <v>548</v>
      </c>
      <c r="D14" s="66">
        <f t="shared" si="0"/>
        <v>0.10949050949050949</v>
      </c>
      <c r="E14" s="35"/>
      <c r="F14" s="35"/>
    </row>
    <row r="15" spans="1:6" ht="16.5">
      <c r="A15" s="35"/>
      <c r="B15" s="64" t="s">
        <v>50</v>
      </c>
      <c r="C15" s="65">
        <v>331</v>
      </c>
      <c r="D15" s="66">
        <f t="shared" si="0"/>
        <v>6.613386613386614E-2</v>
      </c>
      <c r="E15" s="35"/>
      <c r="F15" s="35"/>
    </row>
    <row r="16" spans="1:6" ht="16.5">
      <c r="A16" s="35"/>
      <c r="B16" s="64" t="s">
        <v>51</v>
      </c>
      <c r="C16" s="65">
        <v>292</v>
      </c>
      <c r="D16" s="66">
        <f t="shared" si="0"/>
        <v>5.8341658341658345E-2</v>
      </c>
      <c r="E16" s="35"/>
      <c r="F16" s="35"/>
    </row>
    <row r="17" spans="1:6" ht="16.5">
      <c r="A17" s="35"/>
      <c r="B17" s="64" t="s">
        <v>52</v>
      </c>
      <c r="C17" s="65">
        <v>252</v>
      </c>
      <c r="D17" s="66">
        <f t="shared" si="0"/>
        <v>5.0349650349650353E-2</v>
      </c>
      <c r="E17" s="35"/>
      <c r="F17" s="35"/>
    </row>
    <row r="18" spans="1:6" ht="16.5">
      <c r="A18" s="35"/>
      <c r="B18" s="64" t="s">
        <v>53</v>
      </c>
      <c r="C18" s="65">
        <v>190</v>
      </c>
      <c r="D18" s="66">
        <f t="shared" si="0"/>
        <v>3.796203796203796E-2</v>
      </c>
      <c r="E18" s="35"/>
      <c r="F18" s="35"/>
    </row>
    <row r="19" spans="1:6" ht="16.5">
      <c r="A19" s="35"/>
      <c r="B19" s="64" t="s">
        <v>55</v>
      </c>
      <c r="C19" s="65">
        <v>163</v>
      </c>
      <c r="D19" s="66">
        <f t="shared" si="0"/>
        <v>3.2567432567432567E-2</v>
      </c>
      <c r="E19" s="35"/>
      <c r="F19" s="35"/>
    </row>
    <row r="20" spans="1:6" ht="16.5">
      <c r="A20" s="35"/>
      <c r="B20" s="64" t="s">
        <v>54</v>
      </c>
      <c r="C20" s="65">
        <v>162</v>
      </c>
      <c r="D20" s="66">
        <f t="shared" si="0"/>
        <v>3.2367632367632369E-2</v>
      </c>
      <c r="E20" s="35"/>
      <c r="F20" s="35"/>
    </row>
    <row r="21" spans="1:6" ht="16.5">
      <c r="A21" s="35"/>
      <c r="B21" s="64" t="s">
        <v>59</v>
      </c>
      <c r="C21" s="65">
        <v>149</v>
      </c>
      <c r="D21" s="66">
        <f t="shared" si="0"/>
        <v>2.9770229770229771E-2</v>
      </c>
      <c r="E21" s="35"/>
      <c r="F21" s="35"/>
    </row>
    <row r="22" spans="1:6" ht="16.5">
      <c r="A22" s="35"/>
      <c r="B22" s="114" t="s">
        <v>44</v>
      </c>
      <c r="C22" s="115">
        <f>SUM(C12:C21)</f>
        <v>5005</v>
      </c>
      <c r="D22" s="116">
        <f t="shared" ref="D22" si="1">C22/$C$22</f>
        <v>1</v>
      </c>
      <c r="E22" s="35"/>
      <c r="F22" s="35"/>
    </row>
    <row r="23" spans="1:6" ht="16.5">
      <c r="A23" s="35"/>
      <c r="B23" s="45" t="s">
        <v>45</v>
      </c>
      <c r="C23" s="46">
        <v>6718</v>
      </c>
      <c r="D23" s="70"/>
      <c r="E23" s="35"/>
      <c r="F23" s="35"/>
    </row>
    <row r="24" spans="1:6" ht="16.5">
      <c r="A24" s="35"/>
      <c r="B24" s="36"/>
      <c r="C24" s="37"/>
      <c r="D24" s="35"/>
      <c r="E24" s="35"/>
      <c r="F24" s="35"/>
    </row>
    <row r="25" spans="1:6" ht="16.5">
      <c r="A25" s="35"/>
      <c r="B25" s="36" t="s">
        <v>288</v>
      </c>
      <c r="C25" s="37"/>
      <c r="D25" s="35"/>
      <c r="E25" s="35"/>
      <c r="F25" s="35"/>
    </row>
    <row r="26" spans="1:6" ht="16.5">
      <c r="A26" s="35"/>
      <c r="B26" s="38" t="s">
        <v>18</v>
      </c>
      <c r="C26" s="37"/>
      <c r="D26" s="35"/>
      <c r="E26" s="35"/>
      <c r="F26" s="35"/>
    </row>
    <row r="27" spans="1:6" ht="16.5">
      <c r="A27" s="35"/>
      <c r="B27" s="39" t="s">
        <v>46</v>
      </c>
      <c r="C27" s="37"/>
      <c r="D27" s="35"/>
      <c r="E27" s="35"/>
      <c r="F27" s="35"/>
    </row>
    <row r="28" spans="1:6" ht="16.5">
      <c r="A28" s="35"/>
      <c r="B28" s="36" t="s">
        <v>17</v>
      </c>
      <c r="C28" s="37"/>
      <c r="D28" s="35"/>
      <c r="E28" s="35"/>
      <c r="F28" s="35"/>
    </row>
    <row r="29" spans="1:6" ht="16.5">
      <c r="A29" s="35"/>
      <c r="B29" s="36" t="s">
        <v>322</v>
      </c>
      <c r="C29" s="37"/>
      <c r="D29" s="35"/>
      <c r="E29" s="35"/>
      <c r="F29" s="3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F89"/>
  <sheetViews>
    <sheetView showGridLines="0" view="pageBreakPreview" zoomScale="110" zoomScaleNormal="100" zoomScaleSheetLayoutView="110" workbookViewId="0">
      <selection activeCell="C15" sqref="C15"/>
    </sheetView>
  </sheetViews>
  <sheetFormatPr baseColWidth="10" defaultColWidth="11.42578125" defaultRowHeight="15"/>
  <cols>
    <col min="1" max="1" width="9.28515625" style="13" customWidth="1"/>
    <col min="2" max="2" width="37.285156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2.5703125" style="13" customWidth="1"/>
    <col min="7" max="16384" width="11.42578125" style="13"/>
  </cols>
  <sheetData>
    <row r="1" spans="1:6" s="16" customFormat="1" ht="15" customHeight="1">
      <c r="C1" s="19"/>
    </row>
    <row r="2" spans="1:6" s="16" customFormat="1" ht="15" customHeight="1">
      <c r="C2" s="19"/>
    </row>
    <row r="3" spans="1:6" s="16" customFormat="1" ht="15" customHeight="1">
      <c r="C3" s="19"/>
    </row>
    <row r="4" spans="1:6" s="16" customFormat="1" ht="30" customHeight="1">
      <c r="C4" s="19"/>
      <c r="D4" s="18"/>
    </row>
    <row r="5" spans="1:6" s="16" customFormat="1" ht="15" customHeight="1">
      <c r="C5" s="19"/>
      <c r="D5" s="18"/>
    </row>
    <row r="6" spans="1:6" s="16" customFormat="1" ht="15" customHeight="1">
      <c r="C6" s="19"/>
      <c r="D6" s="18"/>
    </row>
    <row r="7" spans="1:6" s="16" customFormat="1" ht="15" customHeight="1">
      <c r="A7" s="33"/>
      <c r="B7" s="100" t="s">
        <v>41</v>
      </c>
      <c r="C7" s="100"/>
      <c r="D7" s="100"/>
      <c r="E7" s="33"/>
      <c r="F7" s="33"/>
    </row>
    <row r="8" spans="1:6" s="16" customFormat="1" ht="15" customHeight="1">
      <c r="A8" s="33"/>
      <c r="B8" s="100"/>
      <c r="C8" s="100"/>
      <c r="D8" s="100"/>
      <c r="E8" s="33"/>
      <c r="F8" s="33"/>
    </row>
    <row r="9" spans="1:6" s="16" customFormat="1" ht="33" customHeight="1">
      <c r="A9" s="33"/>
      <c r="B9" s="100"/>
      <c r="C9" s="100"/>
      <c r="D9" s="100"/>
      <c r="E9" s="33"/>
      <c r="F9" s="33"/>
    </row>
    <row r="10" spans="1:6" s="16" customFormat="1" ht="4.5" customHeight="1">
      <c r="A10" s="33"/>
      <c r="B10" s="34"/>
      <c r="C10" s="34"/>
      <c r="D10" s="34"/>
      <c r="E10" s="33"/>
      <c r="F10" s="33"/>
    </row>
    <row r="11" spans="1:6" s="16" customFormat="1" ht="33" customHeight="1">
      <c r="A11" s="33"/>
      <c r="B11" s="40" t="s">
        <v>23</v>
      </c>
      <c r="C11" s="41" t="s">
        <v>20</v>
      </c>
      <c r="D11" s="42" t="s">
        <v>19</v>
      </c>
      <c r="E11" s="33"/>
      <c r="F11" s="33"/>
    </row>
    <row r="12" spans="1:6" ht="16.5">
      <c r="A12" s="35"/>
      <c r="B12" s="58" t="s">
        <v>142</v>
      </c>
      <c r="C12" s="59">
        <v>1236</v>
      </c>
      <c r="D12" s="60">
        <v>0.184</v>
      </c>
      <c r="E12" s="35"/>
      <c r="F12" s="35"/>
    </row>
    <row r="13" spans="1:6" ht="16.5">
      <c r="A13" s="35"/>
      <c r="B13" s="58" t="s">
        <v>143</v>
      </c>
      <c r="C13" s="59">
        <v>1198</v>
      </c>
      <c r="D13" s="60">
        <v>0.17799999999999999</v>
      </c>
      <c r="E13" s="35"/>
      <c r="F13" s="35"/>
    </row>
    <row r="14" spans="1:6" ht="16.5">
      <c r="A14" s="35"/>
      <c r="B14" s="58" t="s">
        <v>55</v>
      </c>
      <c r="C14" s="61">
        <v>693</v>
      </c>
      <c r="D14" s="60">
        <v>0.10299999999999999</v>
      </c>
      <c r="E14" s="35"/>
      <c r="F14" s="35"/>
    </row>
    <row r="15" spans="1:6" ht="16.5">
      <c r="A15" s="35"/>
      <c r="B15" s="58" t="s">
        <v>193</v>
      </c>
      <c r="C15" s="61">
        <v>637</v>
      </c>
      <c r="D15" s="60">
        <v>9.5000000000000001E-2</v>
      </c>
      <c r="E15" s="35"/>
      <c r="F15" s="35"/>
    </row>
    <row r="16" spans="1:6" ht="16.5">
      <c r="A16" s="35"/>
      <c r="B16" s="58" t="s">
        <v>172</v>
      </c>
      <c r="C16" s="61">
        <v>393</v>
      </c>
      <c r="D16" s="60">
        <v>5.8000000000000003E-2</v>
      </c>
      <c r="E16" s="35"/>
      <c r="F16" s="35"/>
    </row>
    <row r="17" spans="1:6" ht="16.5">
      <c r="A17" s="35"/>
      <c r="B17" s="58" t="s">
        <v>144</v>
      </c>
      <c r="C17" s="61">
        <v>360</v>
      </c>
      <c r="D17" s="60">
        <v>5.3999999999999999E-2</v>
      </c>
      <c r="E17" s="35"/>
      <c r="F17" s="35"/>
    </row>
    <row r="18" spans="1:6" ht="16.5">
      <c r="A18" s="35"/>
      <c r="B18" s="58" t="s">
        <v>161</v>
      </c>
      <c r="C18" s="61">
        <v>353</v>
      </c>
      <c r="D18" s="60">
        <v>5.2999999999999999E-2</v>
      </c>
      <c r="E18" s="35"/>
      <c r="F18" s="35"/>
    </row>
    <row r="19" spans="1:6" ht="16.5">
      <c r="A19" s="35"/>
      <c r="B19" s="58" t="s">
        <v>146</v>
      </c>
      <c r="C19" s="61">
        <v>276</v>
      </c>
      <c r="D19" s="60">
        <v>4.1000000000000002E-2</v>
      </c>
      <c r="E19" s="35"/>
      <c r="F19" s="35"/>
    </row>
    <row r="20" spans="1:6" ht="16.5">
      <c r="A20" s="35"/>
      <c r="B20" s="58" t="s">
        <v>174</v>
      </c>
      <c r="C20" s="61">
        <v>143</v>
      </c>
      <c r="D20" s="60">
        <v>2.1000000000000001E-2</v>
      </c>
      <c r="E20" s="35"/>
      <c r="F20" s="35"/>
    </row>
    <row r="21" spans="1:6" ht="16.5">
      <c r="A21" s="35"/>
      <c r="B21" s="58" t="s">
        <v>162</v>
      </c>
      <c r="C21" s="61">
        <v>141</v>
      </c>
      <c r="D21" s="60">
        <v>2.1000000000000001E-2</v>
      </c>
      <c r="E21" s="35"/>
      <c r="F21" s="35"/>
    </row>
    <row r="22" spans="1:6" ht="16.5">
      <c r="A22" s="35"/>
      <c r="B22" s="58" t="s">
        <v>178</v>
      </c>
      <c r="C22" s="61">
        <v>122</v>
      </c>
      <c r="D22" s="60">
        <v>1.7999999999999999E-2</v>
      </c>
      <c r="E22" s="35"/>
      <c r="F22" s="35"/>
    </row>
    <row r="23" spans="1:6" ht="16.5">
      <c r="A23" s="35"/>
      <c r="B23" s="58" t="s">
        <v>187</v>
      </c>
      <c r="C23" s="61">
        <v>103</v>
      </c>
      <c r="D23" s="60">
        <v>1.4999999999999999E-2</v>
      </c>
      <c r="E23" s="35"/>
      <c r="F23" s="35"/>
    </row>
    <row r="24" spans="1:6" ht="16.5">
      <c r="A24" s="35"/>
      <c r="B24" s="58" t="s">
        <v>167</v>
      </c>
      <c r="C24" s="61">
        <v>95</v>
      </c>
      <c r="D24" s="60">
        <v>1.4E-2</v>
      </c>
      <c r="E24" s="35"/>
      <c r="F24" s="35"/>
    </row>
    <row r="25" spans="1:6" ht="16.5">
      <c r="A25" s="35"/>
      <c r="B25" s="58" t="s">
        <v>147</v>
      </c>
      <c r="C25" s="61">
        <v>88</v>
      </c>
      <c r="D25" s="60">
        <v>1.2999999999999999E-2</v>
      </c>
      <c r="E25" s="35"/>
      <c r="F25" s="35"/>
    </row>
    <row r="26" spans="1:6" ht="16.5">
      <c r="A26" s="35"/>
      <c r="B26" s="58" t="s">
        <v>182</v>
      </c>
      <c r="C26" s="61">
        <v>85</v>
      </c>
      <c r="D26" s="60">
        <v>1.2999999999999999E-2</v>
      </c>
      <c r="E26" s="35"/>
      <c r="F26" s="35"/>
    </row>
    <row r="27" spans="1:6" ht="16.5">
      <c r="A27" s="35"/>
      <c r="B27" s="58" t="s">
        <v>292</v>
      </c>
      <c r="C27" s="61">
        <v>71</v>
      </c>
      <c r="D27" s="60">
        <v>1.0999999999999999E-2</v>
      </c>
      <c r="E27" s="35"/>
      <c r="F27" s="35"/>
    </row>
    <row r="28" spans="1:6" ht="16.5">
      <c r="A28" s="35"/>
      <c r="B28" s="58" t="s">
        <v>168</v>
      </c>
      <c r="C28" s="61">
        <v>69</v>
      </c>
      <c r="D28" s="60">
        <v>0.01</v>
      </c>
      <c r="E28" s="35"/>
      <c r="F28" s="35"/>
    </row>
    <row r="29" spans="1:6" ht="16.5">
      <c r="A29" s="35"/>
      <c r="B29" s="58" t="s">
        <v>61</v>
      </c>
      <c r="C29" s="61">
        <v>51</v>
      </c>
      <c r="D29" s="60">
        <v>8.0000000000000002E-3</v>
      </c>
      <c r="E29" s="35"/>
      <c r="F29" s="35"/>
    </row>
    <row r="30" spans="1:6" ht="16.5">
      <c r="A30" s="35"/>
      <c r="B30" s="58" t="s">
        <v>191</v>
      </c>
      <c r="C30" s="61">
        <v>42</v>
      </c>
      <c r="D30" s="60">
        <v>6.0000000000000001E-3</v>
      </c>
      <c r="E30" s="35"/>
      <c r="F30" s="35"/>
    </row>
    <row r="31" spans="1:6" ht="16.5">
      <c r="A31" s="35"/>
      <c r="B31" s="58" t="s">
        <v>176</v>
      </c>
      <c r="C31" s="61">
        <v>36</v>
      </c>
      <c r="D31" s="60">
        <v>5.0000000000000001E-3</v>
      </c>
      <c r="E31" s="35"/>
      <c r="F31" s="35"/>
    </row>
    <row r="32" spans="1:6" ht="16.5">
      <c r="A32" s="35"/>
      <c r="B32" s="58" t="s">
        <v>160</v>
      </c>
      <c r="C32" s="61">
        <v>33</v>
      </c>
      <c r="D32" s="60">
        <v>5.0000000000000001E-3</v>
      </c>
      <c r="E32" s="35"/>
      <c r="F32" s="35"/>
    </row>
    <row r="33" spans="1:6" ht="16.5">
      <c r="A33" s="35"/>
      <c r="B33" s="58" t="s">
        <v>165</v>
      </c>
      <c r="C33" s="61">
        <v>33</v>
      </c>
      <c r="D33" s="60">
        <v>5.0000000000000001E-3</v>
      </c>
      <c r="E33" s="35"/>
      <c r="F33" s="35"/>
    </row>
    <row r="34" spans="1:6" ht="16.5">
      <c r="A34" s="35"/>
      <c r="B34" s="58" t="s">
        <v>170</v>
      </c>
      <c r="C34" s="61">
        <v>28</v>
      </c>
      <c r="D34" s="60">
        <v>4.0000000000000001E-3</v>
      </c>
      <c r="E34" s="35"/>
      <c r="F34" s="35"/>
    </row>
    <row r="35" spans="1:6" ht="16.5">
      <c r="A35" s="35"/>
      <c r="B35" s="58" t="s">
        <v>169</v>
      </c>
      <c r="C35" s="61">
        <v>26</v>
      </c>
      <c r="D35" s="60">
        <v>4.0000000000000001E-3</v>
      </c>
      <c r="E35" s="35"/>
      <c r="F35" s="35"/>
    </row>
    <row r="36" spans="1:6" ht="16.5">
      <c r="A36" s="35"/>
      <c r="B36" s="58" t="s">
        <v>159</v>
      </c>
      <c r="C36" s="61">
        <v>22</v>
      </c>
      <c r="D36" s="60">
        <v>3.0000000000000001E-3</v>
      </c>
      <c r="E36" s="35"/>
      <c r="F36" s="35"/>
    </row>
    <row r="37" spans="1:6" ht="16.5">
      <c r="A37" s="35"/>
      <c r="B37" s="58" t="s">
        <v>206</v>
      </c>
      <c r="C37" s="61">
        <v>22</v>
      </c>
      <c r="D37" s="60">
        <v>3.0000000000000001E-3</v>
      </c>
      <c r="E37" s="35"/>
      <c r="F37" s="35"/>
    </row>
    <row r="38" spans="1:6" ht="16.5">
      <c r="A38" s="35"/>
      <c r="B38" s="58" t="s">
        <v>203</v>
      </c>
      <c r="C38" s="61">
        <v>21</v>
      </c>
      <c r="D38" s="60">
        <v>3.0000000000000001E-3</v>
      </c>
      <c r="E38" s="35"/>
      <c r="F38" s="35"/>
    </row>
    <row r="39" spans="1:6" ht="16.5">
      <c r="A39" s="35"/>
      <c r="B39" s="58" t="s">
        <v>158</v>
      </c>
      <c r="C39" s="61">
        <v>20</v>
      </c>
      <c r="D39" s="60">
        <v>3.0000000000000001E-3</v>
      </c>
      <c r="E39" s="35"/>
      <c r="F39" s="35"/>
    </row>
    <row r="40" spans="1:6" ht="16.5">
      <c r="A40" s="35"/>
      <c r="B40" s="58" t="s">
        <v>181</v>
      </c>
      <c r="C40" s="61">
        <v>19</v>
      </c>
      <c r="D40" s="60">
        <v>3.0000000000000001E-3</v>
      </c>
      <c r="E40" s="35"/>
      <c r="F40" s="35"/>
    </row>
    <row r="41" spans="1:6" ht="16.5">
      <c r="A41" s="35"/>
      <c r="B41" s="58" t="s">
        <v>148</v>
      </c>
      <c r="C41" s="61">
        <v>18</v>
      </c>
      <c r="D41" s="60">
        <v>3.0000000000000001E-3</v>
      </c>
      <c r="E41" s="35"/>
      <c r="F41" s="35"/>
    </row>
    <row r="42" spans="1:6" ht="16.5">
      <c r="A42" s="35"/>
      <c r="B42" s="58" t="s">
        <v>186</v>
      </c>
      <c r="C42" s="61">
        <v>17</v>
      </c>
      <c r="D42" s="60">
        <v>3.0000000000000001E-3</v>
      </c>
      <c r="E42" s="35"/>
      <c r="F42" s="35"/>
    </row>
    <row r="43" spans="1:6" ht="16.5">
      <c r="A43" s="35"/>
      <c r="B43" s="58" t="s">
        <v>149</v>
      </c>
      <c r="C43" s="61">
        <v>15</v>
      </c>
      <c r="D43" s="60">
        <v>2E-3</v>
      </c>
      <c r="E43" s="35"/>
      <c r="F43" s="35"/>
    </row>
    <row r="44" spans="1:6" ht="16.5">
      <c r="A44" s="35"/>
      <c r="B44" s="58" t="s">
        <v>190</v>
      </c>
      <c r="C44" s="61">
        <v>15</v>
      </c>
      <c r="D44" s="60">
        <v>2E-3</v>
      </c>
      <c r="E44" s="35"/>
      <c r="F44" s="35"/>
    </row>
    <row r="45" spans="1:6" ht="16.5">
      <c r="A45" s="35"/>
      <c r="B45" s="58" t="s">
        <v>153</v>
      </c>
      <c r="C45" s="61">
        <v>14</v>
      </c>
      <c r="D45" s="60">
        <v>2E-3</v>
      </c>
      <c r="E45" s="35"/>
      <c r="F45" s="35"/>
    </row>
    <row r="46" spans="1:6" ht="16.5">
      <c r="A46" s="35"/>
      <c r="B46" s="58" t="s">
        <v>156</v>
      </c>
      <c r="C46" s="61">
        <v>13</v>
      </c>
      <c r="D46" s="60">
        <v>2E-3</v>
      </c>
      <c r="E46" s="35"/>
      <c r="F46" s="35"/>
    </row>
    <row r="47" spans="1:6" ht="16.5">
      <c r="A47" s="35"/>
      <c r="B47" s="58" t="s">
        <v>192</v>
      </c>
      <c r="C47" s="61">
        <v>13</v>
      </c>
      <c r="D47" s="60">
        <v>2E-3</v>
      </c>
      <c r="E47" s="35"/>
      <c r="F47" s="35"/>
    </row>
    <row r="48" spans="1:6" ht="16.5">
      <c r="A48" s="35"/>
      <c r="B48" s="58" t="s">
        <v>185</v>
      </c>
      <c r="C48" s="61">
        <v>12</v>
      </c>
      <c r="D48" s="60">
        <v>2E-3</v>
      </c>
      <c r="E48" s="35"/>
      <c r="F48" s="35"/>
    </row>
    <row r="49" spans="1:6" ht="16.5">
      <c r="A49" s="35"/>
      <c r="B49" s="58" t="s">
        <v>194</v>
      </c>
      <c r="C49" s="61">
        <v>12</v>
      </c>
      <c r="D49" s="60">
        <v>2E-3</v>
      </c>
      <c r="E49" s="35"/>
      <c r="F49" s="35"/>
    </row>
    <row r="50" spans="1:6" ht="16.5">
      <c r="A50" s="35"/>
      <c r="B50" s="58" t="s">
        <v>180</v>
      </c>
      <c r="C50" s="61">
        <v>11</v>
      </c>
      <c r="D50" s="60">
        <v>2E-3</v>
      </c>
      <c r="E50" s="35"/>
      <c r="F50" s="35"/>
    </row>
    <row r="51" spans="1:6" ht="16.5">
      <c r="A51" s="35"/>
      <c r="B51" s="58" t="s">
        <v>199</v>
      </c>
      <c r="C51" s="61">
        <v>11</v>
      </c>
      <c r="D51" s="60">
        <v>2E-3</v>
      </c>
      <c r="E51" s="35"/>
      <c r="F51" s="35"/>
    </row>
    <row r="52" spans="1:6" ht="16.5">
      <c r="A52" s="35"/>
      <c r="B52" s="58" t="s">
        <v>163</v>
      </c>
      <c r="C52" s="61">
        <v>10</v>
      </c>
      <c r="D52" s="60">
        <v>1E-3</v>
      </c>
      <c r="E52" s="35"/>
      <c r="F52" s="35"/>
    </row>
    <row r="53" spans="1:6" ht="16.5">
      <c r="A53" s="35"/>
      <c r="B53" s="58" t="s">
        <v>154</v>
      </c>
      <c r="C53" s="61">
        <v>9</v>
      </c>
      <c r="D53" s="60">
        <v>1E-3</v>
      </c>
      <c r="E53" s="35"/>
      <c r="F53" s="35"/>
    </row>
    <row r="54" spans="1:6" ht="16.5">
      <c r="A54" s="35"/>
      <c r="B54" s="58" t="s">
        <v>183</v>
      </c>
      <c r="C54" s="61">
        <v>9</v>
      </c>
      <c r="D54" s="60">
        <v>1E-3</v>
      </c>
      <c r="E54" s="35"/>
      <c r="F54" s="35"/>
    </row>
    <row r="55" spans="1:6" ht="16.5">
      <c r="A55" s="35"/>
      <c r="B55" s="58" t="s">
        <v>200</v>
      </c>
      <c r="C55" s="61">
        <v>9</v>
      </c>
      <c r="D55" s="60">
        <v>1E-3</v>
      </c>
      <c r="E55" s="35"/>
      <c r="F55" s="35"/>
    </row>
    <row r="56" spans="1:6" ht="16.5">
      <c r="A56" s="35"/>
      <c r="B56" s="58" t="s">
        <v>204</v>
      </c>
      <c r="C56" s="61">
        <v>9</v>
      </c>
      <c r="D56" s="60">
        <v>1E-3</v>
      </c>
      <c r="E56" s="35"/>
      <c r="F56" s="35"/>
    </row>
    <row r="57" spans="1:6" ht="16.5">
      <c r="A57" s="35"/>
      <c r="B57" s="58" t="s">
        <v>152</v>
      </c>
      <c r="C57" s="61">
        <v>7</v>
      </c>
      <c r="D57" s="60">
        <v>1E-3</v>
      </c>
      <c r="E57" s="35"/>
      <c r="F57" s="35"/>
    </row>
    <row r="58" spans="1:6" ht="16.5">
      <c r="A58" s="35"/>
      <c r="B58" s="58" t="s">
        <v>164</v>
      </c>
      <c r="C58" s="61">
        <v>7</v>
      </c>
      <c r="D58" s="60">
        <v>1E-3</v>
      </c>
      <c r="E58" s="35"/>
      <c r="F58" s="35"/>
    </row>
    <row r="59" spans="1:6" ht="16.5">
      <c r="A59" s="35"/>
      <c r="B59" s="58" t="s">
        <v>188</v>
      </c>
      <c r="C59" s="61">
        <v>7</v>
      </c>
      <c r="D59" s="60">
        <v>1E-3</v>
      </c>
      <c r="E59" s="35"/>
      <c r="F59" s="35"/>
    </row>
    <row r="60" spans="1:6" ht="16.5">
      <c r="A60" s="35"/>
      <c r="B60" s="58" t="s">
        <v>202</v>
      </c>
      <c r="C60" s="61">
        <v>7</v>
      </c>
      <c r="D60" s="60">
        <v>1E-3</v>
      </c>
      <c r="E60" s="35"/>
      <c r="F60" s="35"/>
    </row>
    <row r="61" spans="1:6" ht="16.5">
      <c r="A61" s="35"/>
      <c r="B61" s="58" t="s">
        <v>195</v>
      </c>
      <c r="C61" s="61">
        <v>6</v>
      </c>
      <c r="D61" s="60">
        <v>1E-3</v>
      </c>
      <c r="E61" s="35"/>
      <c r="F61" s="35"/>
    </row>
    <row r="62" spans="1:6" ht="16.5">
      <c r="A62" s="35"/>
      <c r="B62" s="58" t="s">
        <v>201</v>
      </c>
      <c r="C62" s="61">
        <v>6</v>
      </c>
      <c r="D62" s="60">
        <v>1E-3</v>
      </c>
      <c r="E62" s="35"/>
      <c r="F62" s="35"/>
    </row>
    <row r="63" spans="1:6" ht="16.5">
      <c r="A63" s="35"/>
      <c r="B63" s="58" t="s">
        <v>207</v>
      </c>
      <c r="C63" s="61">
        <v>5</v>
      </c>
      <c r="D63" s="60">
        <v>1E-3</v>
      </c>
      <c r="E63" s="35"/>
      <c r="F63" s="35"/>
    </row>
    <row r="64" spans="1:6" ht="16.5">
      <c r="A64" s="35"/>
      <c r="B64" s="58" t="s">
        <v>293</v>
      </c>
      <c r="C64" s="61">
        <v>5</v>
      </c>
      <c r="D64" s="60">
        <v>1E-3</v>
      </c>
      <c r="E64" s="35"/>
      <c r="F64" s="35"/>
    </row>
    <row r="65" spans="1:6" ht="16.5">
      <c r="A65" s="35"/>
      <c r="B65" s="58" t="s">
        <v>197</v>
      </c>
      <c r="C65" s="61">
        <v>5</v>
      </c>
      <c r="D65" s="60">
        <v>1E-3</v>
      </c>
      <c r="E65" s="35"/>
      <c r="F65" s="35"/>
    </row>
    <row r="66" spans="1:6" ht="16.5">
      <c r="A66" s="35"/>
      <c r="B66" s="58" t="s">
        <v>198</v>
      </c>
      <c r="C66" s="61">
        <v>5</v>
      </c>
      <c r="D66" s="60">
        <v>1E-3</v>
      </c>
      <c r="E66" s="35"/>
      <c r="F66" s="35"/>
    </row>
    <row r="67" spans="1:6" ht="16.5">
      <c r="A67" s="35"/>
      <c r="B67" s="58" t="s">
        <v>145</v>
      </c>
      <c r="C67" s="61">
        <v>4</v>
      </c>
      <c r="D67" s="60">
        <v>1E-3</v>
      </c>
      <c r="E67" s="35"/>
      <c r="F67" s="35"/>
    </row>
    <row r="68" spans="1:6" ht="16.5">
      <c r="A68" s="35"/>
      <c r="B68" s="58" t="s">
        <v>151</v>
      </c>
      <c r="C68" s="61">
        <v>4</v>
      </c>
      <c r="D68" s="60">
        <v>1E-3</v>
      </c>
      <c r="E68" s="35"/>
      <c r="F68" s="35"/>
    </row>
    <row r="69" spans="1:6" ht="16.5">
      <c r="A69" s="35"/>
      <c r="B69" s="58" t="s">
        <v>157</v>
      </c>
      <c r="C69" s="61">
        <v>4</v>
      </c>
      <c r="D69" s="60">
        <v>1E-3</v>
      </c>
      <c r="E69" s="35"/>
      <c r="F69" s="35"/>
    </row>
    <row r="70" spans="1:6" ht="16.5">
      <c r="A70" s="35"/>
      <c r="B70" s="58" t="s">
        <v>173</v>
      </c>
      <c r="C70" s="61">
        <v>4</v>
      </c>
      <c r="D70" s="60">
        <v>1E-3</v>
      </c>
      <c r="E70" s="35"/>
      <c r="F70" s="35"/>
    </row>
    <row r="71" spans="1:6" ht="16.5">
      <c r="A71" s="35"/>
      <c r="B71" s="58" t="s">
        <v>196</v>
      </c>
      <c r="C71" s="61">
        <v>4</v>
      </c>
      <c r="D71" s="60">
        <v>1E-3</v>
      </c>
      <c r="E71" s="35"/>
      <c r="F71" s="35"/>
    </row>
    <row r="72" spans="1:6" ht="16.5">
      <c r="A72" s="35"/>
      <c r="B72" s="58" t="s">
        <v>150</v>
      </c>
      <c r="C72" s="61">
        <v>3</v>
      </c>
      <c r="D72" s="60">
        <v>0</v>
      </c>
      <c r="E72" s="35"/>
      <c r="F72" s="35"/>
    </row>
    <row r="73" spans="1:6" ht="16.5">
      <c r="A73" s="35"/>
      <c r="B73" s="58" t="s">
        <v>171</v>
      </c>
      <c r="C73" s="61">
        <v>3</v>
      </c>
      <c r="D73" s="60">
        <v>0</v>
      </c>
      <c r="E73" s="35"/>
      <c r="F73" s="35"/>
    </row>
    <row r="74" spans="1:6" ht="16.5">
      <c r="A74" s="35"/>
      <c r="B74" s="58" t="s">
        <v>175</v>
      </c>
      <c r="C74" s="61">
        <v>3</v>
      </c>
      <c r="D74" s="60">
        <v>0</v>
      </c>
      <c r="E74" s="35"/>
      <c r="F74" s="35"/>
    </row>
    <row r="75" spans="1:6" ht="16.5">
      <c r="A75" s="35"/>
      <c r="B75" s="58" t="s">
        <v>177</v>
      </c>
      <c r="C75" s="61">
        <v>3</v>
      </c>
      <c r="D75" s="60">
        <v>0</v>
      </c>
      <c r="E75" s="35"/>
      <c r="F75" s="35"/>
    </row>
    <row r="76" spans="1:6" ht="16.5">
      <c r="A76" s="35"/>
      <c r="B76" s="58" t="s">
        <v>179</v>
      </c>
      <c r="C76" s="61">
        <v>3</v>
      </c>
      <c r="D76" s="60">
        <v>0</v>
      </c>
      <c r="E76" s="35"/>
      <c r="F76" s="35"/>
    </row>
    <row r="77" spans="1:6" ht="16.5">
      <c r="A77" s="35"/>
      <c r="B77" s="58" t="s">
        <v>189</v>
      </c>
      <c r="C77" s="61">
        <v>3</v>
      </c>
      <c r="D77" s="60">
        <v>0</v>
      </c>
      <c r="E77" s="35"/>
      <c r="F77" s="35"/>
    </row>
    <row r="78" spans="1:6" ht="16.5">
      <c r="A78" s="35"/>
      <c r="B78" s="58" t="s">
        <v>155</v>
      </c>
      <c r="C78" s="61">
        <v>2</v>
      </c>
      <c r="D78" s="60">
        <v>0</v>
      </c>
      <c r="E78" s="35"/>
      <c r="F78" s="35"/>
    </row>
    <row r="79" spans="1:6" ht="16.5">
      <c r="A79" s="35"/>
      <c r="B79" s="58" t="s">
        <v>166</v>
      </c>
      <c r="C79" s="61">
        <v>2</v>
      </c>
      <c r="D79" s="60">
        <v>0</v>
      </c>
      <c r="E79" s="35"/>
      <c r="F79" s="35"/>
    </row>
    <row r="80" spans="1:6" ht="16.5">
      <c r="A80" s="35"/>
      <c r="B80" s="58" t="s">
        <v>184</v>
      </c>
      <c r="C80" s="61">
        <v>1</v>
      </c>
      <c r="D80" s="60">
        <v>0</v>
      </c>
      <c r="E80" s="35"/>
      <c r="F80" s="35"/>
    </row>
    <row r="81" spans="1:6" ht="16.5">
      <c r="A81" s="35"/>
      <c r="B81" s="58" t="s">
        <v>208</v>
      </c>
      <c r="C81" s="61">
        <v>1</v>
      </c>
      <c r="D81" s="60">
        <v>0</v>
      </c>
      <c r="E81" s="35"/>
      <c r="F81" s="35"/>
    </row>
    <row r="82" spans="1:6" ht="16.5">
      <c r="A82" s="35"/>
      <c r="B82" s="58" t="s">
        <v>205</v>
      </c>
      <c r="C82" s="61">
        <v>1</v>
      </c>
      <c r="D82" s="60">
        <v>0</v>
      </c>
      <c r="E82" s="35"/>
      <c r="F82" s="35"/>
    </row>
    <row r="83" spans="1:6" ht="16.5">
      <c r="A83" s="35"/>
      <c r="B83" s="62" t="s">
        <v>324</v>
      </c>
      <c r="C83" s="46">
        <v>6718</v>
      </c>
      <c r="D83" s="63">
        <v>1</v>
      </c>
      <c r="E83" s="35"/>
      <c r="F83" s="35"/>
    </row>
    <row r="84" spans="1:6" ht="16.5">
      <c r="A84" s="35"/>
      <c r="B84" s="39"/>
      <c r="C84" s="37"/>
      <c r="D84" s="35"/>
      <c r="E84" s="35"/>
      <c r="F84" s="35"/>
    </row>
    <row r="85" spans="1:6" ht="16.5">
      <c r="A85" s="35"/>
      <c r="B85" s="36" t="s">
        <v>288</v>
      </c>
      <c r="C85" s="37"/>
      <c r="D85" s="35"/>
      <c r="E85" s="35"/>
      <c r="F85" s="35"/>
    </row>
    <row r="86" spans="1:6" ht="16.5">
      <c r="A86" s="35"/>
      <c r="B86" s="38" t="s">
        <v>18</v>
      </c>
      <c r="C86" s="37"/>
      <c r="D86" s="35"/>
      <c r="E86" s="35"/>
      <c r="F86" s="35"/>
    </row>
    <row r="87" spans="1:6" ht="16.5">
      <c r="A87" s="35"/>
      <c r="B87" s="39" t="s">
        <v>46</v>
      </c>
      <c r="C87" s="37"/>
      <c r="D87" s="35"/>
      <c r="E87" s="35"/>
      <c r="F87" s="35"/>
    </row>
    <row r="88" spans="1:6" ht="16.5">
      <c r="A88" s="35"/>
      <c r="B88" s="36" t="s">
        <v>17</v>
      </c>
      <c r="C88" s="37"/>
      <c r="D88" s="35"/>
      <c r="E88" s="35"/>
      <c r="F88" s="35"/>
    </row>
    <row r="89" spans="1:6" ht="16.5">
      <c r="A89" s="35"/>
      <c r="B89" s="36" t="s">
        <v>322</v>
      </c>
      <c r="C89" s="37"/>
      <c r="D89" s="35"/>
      <c r="E89" s="35"/>
      <c r="F89" s="3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630"/>
  <sheetViews>
    <sheetView showGridLines="0" view="pageBreakPreview" zoomScale="120" zoomScaleNormal="95" zoomScaleSheetLayoutView="120" workbookViewId="0">
      <selection activeCell="C12" sqref="C12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8.5703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22" customFormat="1" ht="12" customHeight="1">
      <c r="B1" s="25"/>
      <c r="C1" s="24"/>
      <c r="D1" s="24"/>
      <c r="E1" s="24"/>
    </row>
    <row r="2" spans="1:5" s="22" customFormat="1" ht="15" customHeight="1">
      <c r="C2" s="27"/>
    </row>
    <row r="3" spans="1:5" s="22" customFormat="1" ht="15" customHeight="1">
      <c r="C3" s="27"/>
    </row>
    <row r="4" spans="1:5" s="22" customFormat="1" ht="30" customHeight="1">
      <c r="C4" s="27"/>
      <c r="D4" s="26"/>
    </row>
    <row r="5" spans="1:5" s="22" customFormat="1" ht="15" customHeight="1">
      <c r="C5" s="27"/>
      <c r="D5" s="26"/>
    </row>
    <row r="6" spans="1:5" s="22" customFormat="1" ht="24" customHeight="1">
      <c r="B6" s="47"/>
      <c r="C6" s="48"/>
      <c r="D6" s="48"/>
      <c r="E6" s="48"/>
    </row>
    <row r="7" spans="1:5" s="22" customFormat="1" ht="26.25" customHeight="1">
      <c r="A7" s="23"/>
      <c r="B7" s="105"/>
      <c r="C7" s="105"/>
      <c r="D7" s="105"/>
      <c r="E7" s="105"/>
    </row>
    <row r="8" spans="1:5" s="22" customFormat="1" ht="33" customHeight="1">
      <c r="A8" s="23"/>
      <c r="B8" s="105"/>
      <c r="C8" s="105"/>
      <c r="D8" s="105"/>
      <c r="E8" s="105"/>
    </row>
    <row r="9" spans="1:5" s="16" customFormat="1" ht="40.5" customHeight="1">
      <c r="B9" s="49" t="s">
        <v>25</v>
      </c>
      <c r="C9" s="50" t="s">
        <v>24</v>
      </c>
      <c r="D9" s="51" t="s">
        <v>20</v>
      </c>
      <c r="E9" s="49" t="s">
        <v>19</v>
      </c>
    </row>
    <row r="10" spans="1:5" ht="14.45" customHeight="1">
      <c r="B10" s="101" t="s">
        <v>99</v>
      </c>
      <c r="C10" s="58" t="s">
        <v>143</v>
      </c>
      <c r="D10" s="61">
        <v>561</v>
      </c>
      <c r="E10" s="60">
        <v>8.4000000000000005E-2</v>
      </c>
    </row>
    <row r="11" spans="1:5" ht="14.45" customHeight="1">
      <c r="B11" s="102"/>
      <c r="C11" s="58" t="s">
        <v>142</v>
      </c>
      <c r="D11" s="61">
        <v>477</v>
      </c>
      <c r="E11" s="60">
        <v>7.0999999999999994E-2</v>
      </c>
    </row>
    <row r="12" spans="1:5" ht="14.45" customHeight="1">
      <c r="B12" s="102"/>
      <c r="C12" s="58" t="s">
        <v>55</v>
      </c>
      <c r="D12" s="61">
        <v>459</v>
      </c>
      <c r="E12" s="60">
        <v>6.8000000000000005E-2</v>
      </c>
    </row>
    <row r="13" spans="1:5" ht="14.45" customHeight="1">
      <c r="B13" s="102"/>
      <c r="C13" s="58" t="s">
        <v>193</v>
      </c>
      <c r="D13" s="61">
        <v>260</v>
      </c>
      <c r="E13" s="60">
        <v>3.9E-2</v>
      </c>
    </row>
    <row r="14" spans="1:5" ht="14.45" customHeight="1">
      <c r="B14" s="102"/>
      <c r="C14" s="58" t="s">
        <v>161</v>
      </c>
      <c r="D14" s="61">
        <v>183</v>
      </c>
      <c r="E14" s="60">
        <v>2.7E-2</v>
      </c>
    </row>
    <row r="15" spans="1:5" ht="14.45" customHeight="1">
      <c r="B15" s="102"/>
      <c r="C15" s="58" t="s">
        <v>146</v>
      </c>
      <c r="D15" s="61">
        <v>164</v>
      </c>
      <c r="E15" s="60">
        <v>2.4E-2</v>
      </c>
    </row>
    <row r="16" spans="1:5" ht="14.45" customHeight="1">
      <c r="B16" s="102"/>
      <c r="C16" s="58" t="s">
        <v>172</v>
      </c>
      <c r="D16" s="61">
        <v>162</v>
      </c>
      <c r="E16" s="60">
        <v>2.4E-2</v>
      </c>
    </row>
    <row r="17" spans="2:5" ht="14.45" customHeight="1">
      <c r="B17" s="102"/>
      <c r="C17" s="58" t="s">
        <v>144</v>
      </c>
      <c r="D17" s="61">
        <v>130</v>
      </c>
      <c r="E17" s="60">
        <v>1.9E-2</v>
      </c>
    </row>
    <row r="18" spans="2:5" ht="14.45" customHeight="1">
      <c r="B18" s="102"/>
      <c r="C18" s="58" t="s">
        <v>162</v>
      </c>
      <c r="D18" s="61">
        <v>112</v>
      </c>
      <c r="E18" s="60">
        <v>1.7000000000000001E-2</v>
      </c>
    </row>
    <row r="19" spans="2:5" ht="14.45" customHeight="1">
      <c r="B19" s="102"/>
      <c r="C19" s="58" t="s">
        <v>178</v>
      </c>
      <c r="D19" s="61">
        <v>93</v>
      </c>
      <c r="E19" s="60">
        <v>1.4E-2</v>
      </c>
    </row>
    <row r="20" spans="2:5" ht="14.45" customHeight="1">
      <c r="B20" s="102"/>
      <c r="C20" s="58" t="s">
        <v>174</v>
      </c>
      <c r="D20" s="61">
        <v>53</v>
      </c>
      <c r="E20" s="60">
        <v>8.0000000000000002E-3</v>
      </c>
    </row>
    <row r="21" spans="2:5" ht="14.45" customHeight="1">
      <c r="B21" s="102"/>
      <c r="C21" s="58" t="s">
        <v>187</v>
      </c>
      <c r="D21" s="61">
        <v>49</v>
      </c>
      <c r="E21" s="60">
        <v>7.0000000000000001E-3</v>
      </c>
    </row>
    <row r="22" spans="2:5" ht="14.45" customHeight="1">
      <c r="B22" s="102"/>
      <c r="C22" s="58" t="s">
        <v>147</v>
      </c>
      <c r="D22" s="61">
        <v>43</v>
      </c>
      <c r="E22" s="60">
        <v>6.0000000000000001E-3</v>
      </c>
    </row>
    <row r="23" spans="2:5" ht="14.45" customHeight="1">
      <c r="B23" s="102"/>
      <c r="C23" s="58" t="s">
        <v>182</v>
      </c>
      <c r="D23" s="61">
        <v>40</v>
      </c>
      <c r="E23" s="60">
        <v>6.0000000000000001E-3</v>
      </c>
    </row>
    <row r="24" spans="2:5" ht="14.45" customHeight="1">
      <c r="B24" s="102"/>
      <c r="C24" s="58" t="s">
        <v>61</v>
      </c>
      <c r="D24" s="61">
        <v>39</v>
      </c>
      <c r="E24" s="60">
        <v>6.0000000000000001E-3</v>
      </c>
    </row>
    <row r="25" spans="2:5" ht="14.45" customHeight="1">
      <c r="B25" s="102"/>
      <c r="C25" s="58" t="s">
        <v>167</v>
      </c>
      <c r="D25" s="61">
        <v>34</v>
      </c>
      <c r="E25" s="60">
        <v>5.0000000000000001E-3</v>
      </c>
    </row>
    <row r="26" spans="2:5" ht="14.45" customHeight="1">
      <c r="B26" s="102"/>
      <c r="C26" s="58" t="s">
        <v>176</v>
      </c>
      <c r="D26" s="61">
        <v>29</v>
      </c>
      <c r="E26" s="60">
        <v>4.0000000000000001E-3</v>
      </c>
    </row>
    <row r="27" spans="2:5" ht="14.45" customHeight="1">
      <c r="B27" s="102"/>
      <c r="C27" s="58" t="s">
        <v>165</v>
      </c>
      <c r="D27" s="61">
        <v>24</v>
      </c>
      <c r="E27" s="60">
        <v>4.0000000000000001E-3</v>
      </c>
    </row>
    <row r="28" spans="2:5" ht="14.45" customHeight="1">
      <c r="B28" s="102"/>
      <c r="C28" s="58" t="s">
        <v>169</v>
      </c>
      <c r="D28" s="61">
        <v>21</v>
      </c>
      <c r="E28" s="60">
        <v>3.0000000000000001E-3</v>
      </c>
    </row>
    <row r="29" spans="2:5" ht="14.45" customHeight="1">
      <c r="B29" s="102"/>
      <c r="C29" s="58" t="s">
        <v>191</v>
      </c>
      <c r="D29" s="61">
        <v>20</v>
      </c>
      <c r="E29" s="60">
        <v>3.0000000000000001E-3</v>
      </c>
    </row>
    <row r="30" spans="2:5" ht="14.45" customHeight="1">
      <c r="B30" s="102"/>
      <c r="C30" s="58" t="s">
        <v>160</v>
      </c>
      <c r="D30" s="61">
        <v>18</v>
      </c>
      <c r="E30" s="60">
        <v>3.0000000000000001E-3</v>
      </c>
    </row>
    <row r="31" spans="2:5" ht="14.45" customHeight="1">
      <c r="B31" s="102"/>
      <c r="C31" s="58" t="s">
        <v>168</v>
      </c>
      <c r="D31" s="61">
        <v>18</v>
      </c>
      <c r="E31" s="60">
        <v>3.0000000000000001E-3</v>
      </c>
    </row>
    <row r="32" spans="2:5" ht="14.45" customHeight="1">
      <c r="B32" s="102"/>
      <c r="C32" s="58" t="s">
        <v>170</v>
      </c>
      <c r="D32" s="61">
        <v>18</v>
      </c>
      <c r="E32" s="60">
        <v>3.0000000000000001E-3</v>
      </c>
    </row>
    <row r="33" spans="2:5" ht="14.45" customHeight="1">
      <c r="B33" s="102"/>
      <c r="C33" s="58" t="s">
        <v>203</v>
      </c>
      <c r="D33" s="61">
        <v>17</v>
      </c>
      <c r="E33" s="60">
        <v>3.0000000000000001E-3</v>
      </c>
    </row>
    <row r="34" spans="2:5" ht="14.45" customHeight="1">
      <c r="B34" s="102"/>
      <c r="C34" s="58" t="s">
        <v>159</v>
      </c>
      <c r="D34" s="61">
        <v>14</v>
      </c>
      <c r="E34" s="60">
        <v>2E-3</v>
      </c>
    </row>
    <row r="35" spans="2:5" ht="14.45" customHeight="1">
      <c r="B35" s="102"/>
      <c r="C35" s="58" t="s">
        <v>181</v>
      </c>
      <c r="D35" s="61">
        <v>11</v>
      </c>
      <c r="E35" s="60">
        <v>2E-3</v>
      </c>
    </row>
    <row r="36" spans="2:5" ht="14.45" customHeight="1">
      <c r="B36" s="102"/>
      <c r="C36" s="58" t="s">
        <v>148</v>
      </c>
      <c r="D36" s="61">
        <v>10</v>
      </c>
      <c r="E36" s="60">
        <v>1E-3</v>
      </c>
    </row>
    <row r="37" spans="2:5" ht="14.45" customHeight="1">
      <c r="B37" s="102"/>
      <c r="C37" s="58" t="s">
        <v>149</v>
      </c>
      <c r="D37" s="61">
        <v>10</v>
      </c>
      <c r="E37" s="60">
        <v>1E-3</v>
      </c>
    </row>
    <row r="38" spans="2:5" ht="14.45" customHeight="1">
      <c r="B38" s="102"/>
      <c r="C38" s="58" t="s">
        <v>185</v>
      </c>
      <c r="D38" s="61">
        <v>10</v>
      </c>
      <c r="E38" s="60">
        <v>1E-3</v>
      </c>
    </row>
    <row r="39" spans="2:5" ht="14.45" customHeight="1">
      <c r="B39" s="102"/>
      <c r="C39" s="58" t="s">
        <v>199</v>
      </c>
      <c r="D39" s="61">
        <v>10</v>
      </c>
      <c r="E39" s="60">
        <v>1E-3</v>
      </c>
    </row>
    <row r="40" spans="2:5" ht="14.45" customHeight="1">
      <c r="B40" s="102"/>
      <c r="C40" s="58" t="s">
        <v>154</v>
      </c>
      <c r="D40" s="61">
        <v>9</v>
      </c>
      <c r="E40" s="60">
        <v>1E-3</v>
      </c>
    </row>
    <row r="41" spans="2:5" ht="14.45" customHeight="1">
      <c r="B41" s="102"/>
      <c r="C41" s="58" t="s">
        <v>180</v>
      </c>
      <c r="D41" s="61">
        <v>9</v>
      </c>
      <c r="E41" s="60">
        <v>1E-3</v>
      </c>
    </row>
    <row r="42" spans="2:5" ht="14.45" customHeight="1">
      <c r="B42" s="102"/>
      <c r="C42" s="58" t="s">
        <v>153</v>
      </c>
      <c r="D42" s="61">
        <v>8</v>
      </c>
      <c r="E42" s="60">
        <v>1E-3</v>
      </c>
    </row>
    <row r="43" spans="2:5" ht="14.45" customHeight="1">
      <c r="B43" s="102"/>
      <c r="C43" s="58" t="s">
        <v>156</v>
      </c>
      <c r="D43" s="61">
        <v>8</v>
      </c>
      <c r="E43" s="60">
        <v>1E-3</v>
      </c>
    </row>
    <row r="44" spans="2:5" ht="14.45" customHeight="1">
      <c r="B44" s="102"/>
      <c r="C44" s="58" t="s">
        <v>158</v>
      </c>
      <c r="D44" s="61">
        <v>8</v>
      </c>
      <c r="E44" s="60">
        <v>1E-3</v>
      </c>
    </row>
    <row r="45" spans="2:5" ht="14.45" customHeight="1">
      <c r="B45" s="102"/>
      <c r="C45" s="58" t="s">
        <v>292</v>
      </c>
      <c r="D45" s="61">
        <v>7</v>
      </c>
      <c r="E45" s="60">
        <v>1E-3</v>
      </c>
    </row>
    <row r="46" spans="2:5" ht="14.45" customHeight="1">
      <c r="B46" s="102"/>
      <c r="C46" s="58" t="s">
        <v>186</v>
      </c>
      <c r="D46" s="61">
        <v>7</v>
      </c>
      <c r="E46" s="60">
        <v>1E-3</v>
      </c>
    </row>
    <row r="47" spans="2:5" ht="14.45" customHeight="1">
      <c r="B47" s="102"/>
      <c r="C47" s="58" t="s">
        <v>204</v>
      </c>
      <c r="D47" s="61">
        <v>7</v>
      </c>
      <c r="E47" s="60">
        <v>1E-3</v>
      </c>
    </row>
    <row r="48" spans="2:5" ht="14.45" customHeight="1">
      <c r="B48" s="102"/>
      <c r="C48" s="58" t="s">
        <v>206</v>
      </c>
      <c r="D48" s="61">
        <v>7</v>
      </c>
      <c r="E48" s="60">
        <v>1E-3</v>
      </c>
    </row>
    <row r="49" spans="2:5" ht="14.45" customHeight="1">
      <c r="B49" s="102"/>
      <c r="C49" s="58" t="s">
        <v>164</v>
      </c>
      <c r="D49" s="61">
        <v>6</v>
      </c>
      <c r="E49" s="60">
        <v>1E-3</v>
      </c>
    </row>
    <row r="50" spans="2:5" ht="14.45" customHeight="1">
      <c r="B50" s="102"/>
      <c r="C50" s="58" t="s">
        <v>190</v>
      </c>
      <c r="D50" s="61">
        <v>6</v>
      </c>
      <c r="E50" s="60">
        <v>1E-3</v>
      </c>
    </row>
    <row r="51" spans="2:5" ht="14.45" customHeight="1">
      <c r="B51" s="102"/>
      <c r="C51" s="58" t="s">
        <v>192</v>
      </c>
      <c r="D51" s="61">
        <v>6</v>
      </c>
      <c r="E51" s="60">
        <v>1E-3</v>
      </c>
    </row>
    <row r="52" spans="2:5" ht="14.45" customHeight="1">
      <c r="B52" s="102"/>
      <c r="C52" s="58" t="s">
        <v>200</v>
      </c>
      <c r="D52" s="61">
        <v>6</v>
      </c>
      <c r="E52" s="60">
        <v>1E-3</v>
      </c>
    </row>
    <row r="53" spans="2:5" ht="14.45" customHeight="1">
      <c r="B53" s="102"/>
      <c r="C53" s="58" t="s">
        <v>163</v>
      </c>
      <c r="D53" s="61">
        <v>5</v>
      </c>
      <c r="E53" s="60">
        <v>1E-3</v>
      </c>
    </row>
    <row r="54" spans="2:5" ht="14.45" customHeight="1">
      <c r="B54" s="102"/>
      <c r="C54" s="58" t="s">
        <v>183</v>
      </c>
      <c r="D54" s="61">
        <v>5</v>
      </c>
      <c r="E54" s="60">
        <v>1E-3</v>
      </c>
    </row>
    <row r="55" spans="2:5" ht="14.45" customHeight="1">
      <c r="B55" s="102"/>
      <c r="C55" s="58" t="s">
        <v>201</v>
      </c>
      <c r="D55" s="61">
        <v>5</v>
      </c>
      <c r="E55" s="60">
        <v>1E-3</v>
      </c>
    </row>
    <row r="56" spans="2:5" ht="14.45" customHeight="1">
      <c r="B56" s="102"/>
      <c r="C56" s="58" t="s">
        <v>202</v>
      </c>
      <c r="D56" s="61">
        <v>5</v>
      </c>
      <c r="E56" s="60">
        <v>1E-3</v>
      </c>
    </row>
    <row r="57" spans="2:5" ht="14.45" customHeight="1">
      <c r="B57" s="102"/>
      <c r="C57" s="58" t="s">
        <v>188</v>
      </c>
      <c r="D57" s="61">
        <v>4</v>
      </c>
      <c r="E57" s="60">
        <v>1E-3</v>
      </c>
    </row>
    <row r="58" spans="2:5" ht="14.45" customHeight="1">
      <c r="B58" s="102"/>
      <c r="C58" s="58" t="s">
        <v>207</v>
      </c>
      <c r="D58" s="61">
        <v>3</v>
      </c>
      <c r="E58" s="60">
        <v>0</v>
      </c>
    </row>
    <row r="59" spans="2:5" ht="14.45" customHeight="1">
      <c r="B59" s="102"/>
      <c r="C59" s="58" t="s">
        <v>152</v>
      </c>
      <c r="D59" s="61">
        <v>3</v>
      </c>
      <c r="E59" s="60">
        <v>0</v>
      </c>
    </row>
    <row r="60" spans="2:5" ht="14.45" customHeight="1">
      <c r="B60" s="102"/>
      <c r="C60" s="58" t="s">
        <v>157</v>
      </c>
      <c r="D60" s="61">
        <v>3</v>
      </c>
      <c r="E60" s="60">
        <v>0</v>
      </c>
    </row>
    <row r="61" spans="2:5" ht="14.45" customHeight="1">
      <c r="B61" s="102"/>
      <c r="C61" s="58" t="s">
        <v>145</v>
      </c>
      <c r="D61" s="61">
        <v>2</v>
      </c>
      <c r="E61" s="60">
        <v>0</v>
      </c>
    </row>
    <row r="62" spans="2:5" ht="14.45" customHeight="1">
      <c r="B62" s="102"/>
      <c r="C62" s="58" t="s">
        <v>151</v>
      </c>
      <c r="D62" s="61">
        <v>2</v>
      </c>
      <c r="E62" s="60">
        <v>0</v>
      </c>
    </row>
    <row r="63" spans="2:5" ht="14.45" customHeight="1">
      <c r="B63" s="102"/>
      <c r="C63" s="58" t="s">
        <v>171</v>
      </c>
      <c r="D63" s="61">
        <v>2</v>
      </c>
      <c r="E63" s="60">
        <v>0</v>
      </c>
    </row>
    <row r="64" spans="2:5" ht="14.45" customHeight="1">
      <c r="B64" s="102"/>
      <c r="C64" s="58" t="s">
        <v>173</v>
      </c>
      <c r="D64" s="61">
        <v>2</v>
      </c>
      <c r="E64" s="60">
        <v>0</v>
      </c>
    </row>
    <row r="65" spans="2:5" ht="14.45" customHeight="1">
      <c r="B65" s="102"/>
      <c r="C65" s="58" t="s">
        <v>175</v>
      </c>
      <c r="D65" s="61">
        <v>2</v>
      </c>
      <c r="E65" s="60">
        <v>0</v>
      </c>
    </row>
    <row r="66" spans="2:5" ht="14.45" customHeight="1">
      <c r="B66" s="102"/>
      <c r="C66" s="58" t="s">
        <v>293</v>
      </c>
      <c r="D66" s="61">
        <v>2</v>
      </c>
      <c r="E66" s="60">
        <v>0</v>
      </c>
    </row>
    <row r="67" spans="2:5" ht="14.45" customHeight="1">
      <c r="B67" s="102"/>
      <c r="C67" s="58" t="s">
        <v>196</v>
      </c>
      <c r="D67" s="61">
        <v>2</v>
      </c>
      <c r="E67" s="60">
        <v>0</v>
      </c>
    </row>
    <row r="68" spans="2:5" ht="14.45" customHeight="1">
      <c r="B68" s="102"/>
      <c r="C68" s="58" t="s">
        <v>150</v>
      </c>
      <c r="D68" s="61">
        <v>1</v>
      </c>
      <c r="E68" s="60">
        <v>0</v>
      </c>
    </row>
    <row r="69" spans="2:5" ht="14.45" customHeight="1">
      <c r="B69" s="102"/>
      <c r="C69" s="58" t="s">
        <v>155</v>
      </c>
      <c r="D69" s="61">
        <v>1</v>
      </c>
      <c r="E69" s="60">
        <v>0</v>
      </c>
    </row>
    <row r="70" spans="2:5" ht="14.45" customHeight="1">
      <c r="B70" s="102"/>
      <c r="C70" s="58" t="s">
        <v>166</v>
      </c>
      <c r="D70" s="61">
        <v>1</v>
      </c>
      <c r="E70" s="60">
        <v>0</v>
      </c>
    </row>
    <row r="71" spans="2:5" ht="14.45" customHeight="1">
      <c r="B71" s="102"/>
      <c r="C71" s="58" t="s">
        <v>184</v>
      </c>
      <c r="D71" s="61">
        <v>1</v>
      </c>
      <c r="E71" s="60">
        <v>0</v>
      </c>
    </row>
    <row r="72" spans="2:5" ht="14.45" customHeight="1">
      <c r="B72" s="102"/>
      <c r="C72" s="58" t="s">
        <v>195</v>
      </c>
      <c r="D72" s="61">
        <v>1</v>
      </c>
      <c r="E72" s="60">
        <v>0</v>
      </c>
    </row>
    <row r="73" spans="2:5" ht="14.45" customHeight="1">
      <c r="B73" s="102"/>
      <c r="C73" s="58" t="s">
        <v>197</v>
      </c>
      <c r="D73" s="61">
        <v>1</v>
      </c>
      <c r="E73" s="60">
        <v>0</v>
      </c>
    </row>
    <row r="74" spans="2:5" ht="14.45" customHeight="1">
      <c r="B74" s="102"/>
      <c r="C74" s="58" t="s">
        <v>198</v>
      </c>
      <c r="D74" s="61">
        <v>1</v>
      </c>
      <c r="E74" s="60">
        <v>0</v>
      </c>
    </row>
    <row r="75" spans="2:5" ht="14.45" customHeight="1">
      <c r="B75" s="103"/>
      <c r="C75" s="75" t="s">
        <v>324</v>
      </c>
      <c r="D75" s="71">
        <v>3237</v>
      </c>
      <c r="E75" s="72">
        <v>0.48199999999999998</v>
      </c>
    </row>
    <row r="76" spans="2:5" ht="14.45" customHeight="1">
      <c r="B76" s="101" t="s">
        <v>101</v>
      </c>
      <c r="C76" s="58" t="s">
        <v>142</v>
      </c>
      <c r="D76" s="61">
        <v>410</v>
      </c>
      <c r="E76" s="60">
        <v>6.0999999999999999E-2</v>
      </c>
    </row>
    <row r="77" spans="2:5" ht="14.45" customHeight="1">
      <c r="B77" s="102"/>
      <c r="C77" s="58" t="s">
        <v>143</v>
      </c>
      <c r="D77" s="61">
        <v>298</v>
      </c>
      <c r="E77" s="60">
        <v>4.3999999999999997E-2</v>
      </c>
    </row>
    <row r="78" spans="2:5" ht="14.45" customHeight="1">
      <c r="B78" s="102"/>
      <c r="C78" s="58" t="s">
        <v>193</v>
      </c>
      <c r="D78" s="61">
        <v>250</v>
      </c>
      <c r="E78" s="60">
        <v>3.6999999999999998E-2</v>
      </c>
    </row>
    <row r="79" spans="2:5" ht="14.45" customHeight="1">
      <c r="B79" s="102"/>
      <c r="C79" s="58" t="s">
        <v>144</v>
      </c>
      <c r="D79" s="61">
        <v>134</v>
      </c>
      <c r="E79" s="60">
        <v>0.02</v>
      </c>
    </row>
    <row r="80" spans="2:5" ht="14.45" customHeight="1">
      <c r="B80" s="102"/>
      <c r="C80" s="58" t="s">
        <v>172</v>
      </c>
      <c r="D80" s="61">
        <v>121</v>
      </c>
      <c r="E80" s="60">
        <v>1.7999999999999999E-2</v>
      </c>
    </row>
    <row r="81" spans="2:5" ht="14.45" customHeight="1">
      <c r="B81" s="102"/>
      <c r="C81" s="58" t="s">
        <v>55</v>
      </c>
      <c r="D81" s="61">
        <v>94</v>
      </c>
      <c r="E81" s="60">
        <v>1.4E-2</v>
      </c>
    </row>
    <row r="82" spans="2:5" ht="14.45" customHeight="1">
      <c r="B82" s="102"/>
      <c r="C82" s="58" t="s">
        <v>161</v>
      </c>
      <c r="D82" s="61">
        <v>89</v>
      </c>
      <c r="E82" s="60">
        <v>1.2999999999999999E-2</v>
      </c>
    </row>
    <row r="83" spans="2:5" ht="14.45" customHeight="1">
      <c r="B83" s="102"/>
      <c r="C83" s="58" t="s">
        <v>174</v>
      </c>
      <c r="D83" s="61">
        <v>51</v>
      </c>
      <c r="E83" s="60">
        <v>8.0000000000000002E-3</v>
      </c>
    </row>
    <row r="84" spans="2:5" ht="14.45" customHeight="1">
      <c r="B84" s="102"/>
      <c r="C84" s="58" t="s">
        <v>168</v>
      </c>
      <c r="D84" s="61">
        <v>34</v>
      </c>
      <c r="E84" s="60">
        <v>5.0000000000000001E-3</v>
      </c>
    </row>
    <row r="85" spans="2:5" ht="14.45" customHeight="1">
      <c r="B85" s="102"/>
      <c r="C85" s="58" t="s">
        <v>167</v>
      </c>
      <c r="D85" s="61">
        <v>31</v>
      </c>
      <c r="E85" s="60">
        <v>5.0000000000000001E-3</v>
      </c>
    </row>
    <row r="86" spans="2:5" ht="14.45" customHeight="1">
      <c r="B86" s="102"/>
      <c r="C86" s="58" t="s">
        <v>147</v>
      </c>
      <c r="D86" s="61">
        <v>26</v>
      </c>
      <c r="E86" s="60">
        <v>4.0000000000000001E-3</v>
      </c>
    </row>
    <row r="87" spans="2:5" ht="14.45" customHeight="1">
      <c r="B87" s="102"/>
      <c r="C87" s="58" t="s">
        <v>187</v>
      </c>
      <c r="D87" s="61">
        <v>26</v>
      </c>
      <c r="E87" s="60">
        <v>4.0000000000000001E-3</v>
      </c>
    </row>
    <row r="88" spans="2:5" ht="14.45" customHeight="1">
      <c r="B88" s="102"/>
      <c r="C88" s="58" t="s">
        <v>146</v>
      </c>
      <c r="D88" s="61">
        <v>14</v>
      </c>
      <c r="E88" s="60">
        <v>2E-3</v>
      </c>
    </row>
    <row r="89" spans="2:5" ht="14.45" customHeight="1">
      <c r="B89" s="102"/>
      <c r="C89" s="58" t="s">
        <v>292</v>
      </c>
      <c r="D89" s="61">
        <v>14</v>
      </c>
      <c r="E89" s="60">
        <v>2E-3</v>
      </c>
    </row>
    <row r="90" spans="2:5" ht="14.45" customHeight="1">
      <c r="B90" s="102"/>
      <c r="C90" s="58" t="s">
        <v>182</v>
      </c>
      <c r="D90" s="61">
        <v>14</v>
      </c>
      <c r="E90" s="60">
        <v>2E-3</v>
      </c>
    </row>
    <row r="91" spans="2:5" ht="14.45" customHeight="1">
      <c r="B91" s="102"/>
      <c r="C91" s="58" t="s">
        <v>178</v>
      </c>
      <c r="D91" s="61">
        <v>11</v>
      </c>
      <c r="E91" s="60">
        <v>2E-3</v>
      </c>
    </row>
    <row r="92" spans="2:5" ht="14.45" customHeight="1">
      <c r="B92" s="102"/>
      <c r="C92" s="58" t="s">
        <v>158</v>
      </c>
      <c r="D92" s="61">
        <v>8</v>
      </c>
      <c r="E92" s="60">
        <v>1E-3</v>
      </c>
    </row>
    <row r="93" spans="2:5" ht="14.45" customHeight="1">
      <c r="B93" s="102"/>
      <c r="C93" s="58" t="s">
        <v>162</v>
      </c>
      <c r="D93" s="61">
        <v>7</v>
      </c>
      <c r="E93" s="60">
        <v>1E-3</v>
      </c>
    </row>
    <row r="94" spans="2:5" ht="14.45" customHeight="1">
      <c r="B94" s="102"/>
      <c r="C94" s="58" t="s">
        <v>159</v>
      </c>
      <c r="D94" s="61">
        <v>6</v>
      </c>
      <c r="E94" s="60">
        <v>1E-3</v>
      </c>
    </row>
    <row r="95" spans="2:5" ht="14.45" customHeight="1">
      <c r="B95" s="102"/>
      <c r="C95" s="58" t="s">
        <v>160</v>
      </c>
      <c r="D95" s="61">
        <v>6</v>
      </c>
      <c r="E95" s="60">
        <v>1E-3</v>
      </c>
    </row>
    <row r="96" spans="2:5" ht="14.45" customHeight="1">
      <c r="B96" s="102"/>
      <c r="C96" s="58" t="s">
        <v>194</v>
      </c>
      <c r="D96" s="61">
        <v>6</v>
      </c>
      <c r="E96" s="60">
        <v>1E-3</v>
      </c>
    </row>
    <row r="97" spans="2:5" ht="14.45" customHeight="1">
      <c r="B97" s="102"/>
      <c r="C97" s="58" t="s">
        <v>170</v>
      </c>
      <c r="D97" s="61">
        <v>5</v>
      </c>
      <c r="E97" s="60">
        <v>1E-3</v>
      </c>
    </row>
    <row r="98" spans="2:5" ht="14.45" customHeight="1">
      <c r="B98" s="102"/>
      <c r="C98" s="58" t="s">
        <v>176</v>
      </c>
      <c r="D98" s="61">
        <v>5</v>
      </c>
      <c r="E98" s="60">
        <v>1E-3</v>
      </c>
    </row>
    <row r="99" spans="2:5" ht="14.45" customHeight="1">
      <c r="B99" s="102"/>
      <c r="C99" s="58" t="s">
        <v>186</v>
      </c>
      <c r="D99" s="61">
        <v>5</v>
      </c>
      <c r="E99" s="60">
        <v>1E-3</v>
      </c>
    </row>
    <row r="100" spans="2:5" ht="14.45" customHeight="1">
      <c r="B100" s="102"/>
      <c r="C100" s="58" t="s">
        <v>190</v>
      </c>
      <c r="D100" s="61">
        <v>5</v>
      </c>
      <c r="E100" s="60">
        <v>1E-3</v>
      </c>
    </row>
    <row r="101" spans="2:5" ht="14.45" customHeight="1">
      <c r="B101" s="102"/>
      <c r="C101" s="58" t="s">
        <v>191</v>
      </c>
      <c r="D101" s="61">
        <v>5</v>
      </c>
      <c r="E101" s="60">
        <v>1E-3</v>
      </c>
    </row>
    <row r="102" spans="2:5" ht="14.45" customHeight="1">
      <c r="B102" s="102"/>
      <c r="C102" s="58" t="s">
        <v>61</v>
      </c>
      <c r="D102" s="61">
        <v>5</v>
      </c>
      <c r="E102" s="60">
        <v>1E-3</v>
      </c>
    </row>
    <row r="103" spans="2:5" ht="14.45" customHeight="1">
      <c r="B103" s="102"/>
      <c r="C103" s="58" t="s">
        <v>206</v>
      </c>
      <c r="D103" s="61">
        <v>5</v>
      </c>
      <c r="E103" s="60">
        <v>1E-3</v>
      </c>
    </row>
    <row r="104" spans="2:5" ht="14.45" customHeight="1">
      <c r="B104" s="102"/>
      <c r="C104" s="58" t="s">
        <v>165</v>
      </c>
      <c r="D104" s="61">
        <v>4</v>
      </c>
      <c r="E104" s="60">
        <v>1E-3</v>
      </c>
    </row>
    <row r="105" spans="2:5" ht="14.45" customHeight="1">
      <c r="B105" s="102"/>
      <c r="C105" s="58" t="s">
        <v>181</v>
      </c>
      <c r="D105" s="61">
        <v>4</v>
      </c>
      <c r="E105" s="60">
        <v>1E-3</v>
      </c>
    </row>
    <row r="106" spans="2:5" ht="14.45" customHeight="1">
      <c r="B106" s="102"/>
      <c r="C106" s="58" t="s">
        <v>197</v>
      </c>
      <c r="D106" s="61">
        <v>4</v>
      </c>
      <c r="E106" s="60">
        <v>1E-3</v>
      </c>
    </row>
    <row r="107" spans="2:5" ht="14.45" customHeight="1">
      <c r="B107" s="102"/>
      <c r="C107" s="58" t="s">
        <v>198</v>
      </c>
      <c r="D107" s="61">
        <v>4</v>
      </c>
      <c r="E107" s="60">
        <v>1E-3</v>
      </c>
    </row>
    <row r="108" spans="2:5" ht="14.45" customHeight="1">
      <c r="B108" s="102"/>
      <c r="C108" s="58" t="s">
        <v>148</v>
      </c>
      <c r="D108" s="61">
        <v>3</v>
      </c>
      <c r="E108" s="60">
        <v>0</v>
      </c>
    </row>
    <row r="109" spans="2:5" ht="14.45" customHeight="1">
      <c r="B109" s="102"/>
      <c r="C109" s="58" t="s">
        <v>163</v>
      </c>
      <c r="D109" s="61">
        <v>3</v>
      </c>
      <c r="E109" s="60">
        <v>0</v>
      </c>
    </row>
    <row r="110" spans="2:5" ht="14.45" customHeight="1">
      <c r="B110" s="102"/>
      <c r="C110" s="58" t="s">
        <v>169</v>
      </c>
      <c r="D110" s="61">
        <v>2</v>
      </c>
      <c r="E110" s="60">
        <v>0</v>
      </c>
    </row>
    <row r="111" spans="2:5" ht="14.45" customHeight="1">
      <c r="B111" s="102"/>
      <c r="C111" s="58" t="s">
        <v>183</v>
      </c>
      <c r="D111" s="61">
        <v>2</v>
      </c>
      <c r="E111" s="60">
        <v>0</v>
      </c>
    </row>
    <row r="112" spans="2:5" ht="14.45" customHeight="1">
      <c r="B112" s="102"/>
      <c r="C112" s="58" t="s">
        <v>185</v>
      </c>
      <c r="D112" s="61">
        <v>2</v>
      </c>
      <c r="E112" s="60">
        <v>0</v>
      </c>
    </row>
    <row r="113" spans="2:5" ht="14.45" customHeight="1">
      <c r="B113" s="102"/>
      <c r="C113" s="58" t="s">
        <v>188</v>
      </c>
      <c r="D113" s="61">
        <v>2</v>
      </c>
      <c r="E113" s="60">
        <v>0</v>
      </c>
    </row>
    <row r="114" spans="2:5" ht="14.45" customHeight="1">
      <c r="B114" s="102"/>
      <c r="C114" s="58" t="s">
        <v>189</v>
      </c>
      <c r="D114" s="61">
        <v>2</v>
      </c>
      <c r="E114" s="60">
        <v>0</v>
      </c>
    </row>
    <row r="115" spans="2:5" ht="14.45" customHeight="1">
      <c r="B115" s="102"/>
      <c r="C115" s="58" t="s">
        <v>192</v>
      </c>
      <c r="D115" s="61">
        <v>2</v>
      </c>
      <c r="E115" s="60">
        <v>0</v>
      </c>
    </row>
    <row r="116" spans="2:5" ht="14.45" customHeight="1">
      <c r="B116" s="102"/>
      <c r="C116" s="58" t="s">
        <v>195</v>
      </c>
      <c r="D116" s="61">
        <v>2</v>
      </c>
      <c r="E116" s="60">
        <v>0</v>
      </c>
    </row>
    <row r="117" spans="2:5" ht="14.45" customHeight="1">
      <c r="B117" s="102"/>
      <c r="C117" s="58" t="s">
        <v>196</v>
      </c>
      <c r="D117" s="61">
        <v>2</v>
      </c>
      <c r="E117" s="60">
        <v>0</v>
      </c>
    </row>
    <row r="118" spans="2:5" ht="14.45" customHeight="1">
      <c r="B118" s="102"/>
      <c r="C118" s="58" t="s">
        <v>203</v>
      </c>
      <c r="D118" s="61">
        <v>2</v>
      </c>
      <c r="E118" s="60">
        <v>0</v>
      </c>
    </row>
    <row r="119" spans="2:5" ht="14.45" customHeight="1">
      <c r="B119" s="102"/>
      <c r="C119" s="58" t="s">
        <v>145</v>
      </c>
      <c r="D119" s="61">
        <v>1</v>
      </c>
      <c r="E119" s="60">
        <v>0</v>
      </c>
    </row>
    <row r="120" spans="2:5" ht="14.45" customHeight="1">
      <c r="B120" s="102"/>
      <c r="C120" s="58" t="s">
        <v>149</v>
      </c>
      <c r="D120" s="61">
        <v>1</v>
      </c>
      <c r="E120" s="60">
        <v>0</v>
      </c>
    </row>
    <row r="121" spans="2:5" ht="14.45" customHeight="1">
      <c r="B121" s="102"/>
      <c r="C121" s="58" t="s">
        <v>150</v>
      </c>
      <c r="D121" s="61">
        <v>1</v>
      </c>
      <c r="E121" s="60">
        <v>0</v>
      </c>
    </row>
    <row r="122" spans="2:5" ht="14.45" customHeight="1">
      <c r="B122" s="102"/>
      <c r="C122" s="58" t="s">
        <v>151</v>
      </c>
      <c r="D122" s="61">
        <v>1</v>
      </c>
      <c r="E122" s="60">
        <v>0</v>
      </c>
    </row>
    <row r="123" spans="2:5" ht="14.45" customHeight="1">
      <c r="B123" s="102"/>
      <c r="C123" s="58" t="s">
        <v>152</v>
      </c>
      <c r="D123" s="61">
        <v>1</v>
      </c>
      <c r="E123" s="60">
        <v>0</v>
      </c>
    </row>
    <row r="124" spans="2:5" ht="14.45" customHeight="1">
      <c r="B124" s="102"/>
      <c r="C124" s="58" t="s">
        <v>153</v>
      </c>
      <c r="D124" s="61">
        <v>1</v>
      </c>
      <c r="E124" s="60">
        <v>0</v>
      </c>
    </row>
    <row r="125" spans="2:5" ht="14.45" customHeight="1">
      <c r="B125" s="102"/>
      <c r="C125" s="58" t="s">
        <v>164</v>
      </c>
      <c r="D125" s="61">
        <v>1</v>
      </c>
      <c r="E125" s="60">
        <v>0</v>
      </c>
    </row>
    <row r="126" spans="2:5" ht="14.45" customHeight="1">
      <c r="B126" s="102"/>
      <c r="C126" s="58" t="s">
        <v>166</v>
      </c>
      <c r="D126" s="61">
        <v>1</v>
      </c>
      <c r="E126" s="60">
        <v>0</v>
      </c>
    </row>
    <row r="127" spans="2:5" ht="14.45" customHeight="1">
      <c r="B127" s="102"/>
      <c r="C127" s="58" t="s">
        <v>171</v>
      </c>
      <c r="D127" s="61">
        <v>1</v>
      </c>
      <c r="E127" s="60">
        <v>0</v>
      </c>
    </row>
    <row r="128" spans="2:5" ht="14.45" customHeight="1">
      <c r="B128" s="102"/>
      <c r="C128" s="58" t="s">
        <v>175</v>
      </c>
      <c r="D128" s="61">
        <v>1</v>
      </c>
      <c r="E128" s="60">
        <v>0</v>
      </c>
    </row>
    <row r="129" spans="2:5" ht="14.45" customHeight="1">
      <c r="B129" s="102"/>
      <c r="C129" s="58" t="s">
        <v>293</v>
      </c>
      <c r="D129" s="61">
        <v>1</v>
      </c>
      <c r="E129" s="60">
        <v>0</v>
      </c>
    </row>
    <row r="130" spans="2:5" ht="14.45" customHeight="1">
      <c r="B130" s="102"/>
      <c r="C130" s="58" t="s">
        <v>180</v>
      </c>
      <c r="D130" s="61">
        <v>1</v>
      </c>
      <c r="E130" s="60">
        <v>0</v>
      </c>
    </row>
    <row r="131" spans="2:5" ht="14.45" customHeight="1">
      <c r="B131" s="102"/>
      <c r="C131" s="58" t="s">
        <v>199</v>
      </c>
      <c r="D131" s="61">
        <v>1</v>
      </c>
      <c r="E131" s="60">
        <v>0</v>
      </c>
    </row>
    <row r="132" spans="2:5" ht="14.45" customHeight="1">
      <c r="B132" s="102"/>
      <c r="C132" s="58" t="s">
        <v>200</v>
      </c>
      <c r="D132" s="61">
        <v>1</v>
      </c>
      <c r="E132" s="60">
        <v>0</v>
      </c>
    </row>
    <row r="133" spans="2:5" ht="14.45" customHeight="1">
      <c r="B133" s="102"/>
      <c r="C133" s="58" t="s">
        <v>201</v>
      </c>
      <c r="D133" s="61">
        <v>1</v>
      </c>
      <c r="E133" s="60">
        <v>0</v>
      </c>
    </row>
    <row r="134" spans="2:5" ht="14.45" customHeight="1">
      <c r="B134" s="102"/>
      <c r="C134" s="58" t="s">
        <v>202</v>
      </c>
      <c r="D134" s="61">
        <v>1</v>
      </c>
      <c r="E134" s="60">
        <v>0</v>
      </c>
    </row>
    <row r="135" spans="2:5" ht="14.45" customHeight="1">
      <c r="B135" s="102"/>
      <c r="C135" s="58" t="s">
        <v>205</v>
      </c>
      <c r="D135" s="61">
        <v>1</v>
      </c>
      <c r="E135" s="60">
        <v>0</v>
      </c>
    </row>
    <row r="136" spans="2:5" ht="14.45" customHeight="1">
      <c r="B136" s="103"/>
      <c r="C136" s="75" t="s">
        <v>324</v>
      </c>
      <c r="D136" s="71">
        <v>1742</v>
      </c>
      <c r="E136" s="72">
        <v>0.25900000000000001</v>
      </c>
    </row>
    <row r="137" spans="2:5" ht="14.45" customHeight="1">
      <c r="B137" s="101" t="s">
        <v>122</v>
      </c>
      <c r="C137" s="58" t="s">
        <v>142</v>
      </c>
      <c r="D137" s="61">
        <v>81</v>
      </c>
      <c r="E137" s="60">
        <v>1.2E-2</v>
      </c>
    </row>
    <row r="138" spans="2:5" ht="14.45" customHeight="1">
      <c r="B138" s="102"/>
      <c r="C138" s="58" t="s">
        <v>143</v>
      </c>
      <c r="D138" s="61">
        <v>67</v>
      </c>
      <c r="E138" s="60">
        <v>0.01</v>
      </c>
    </row>
    <row r="139" spans="2:5" ht="14.45" customHeight="1">
      <c r="B139" s="102"/>
      <c r="C139" s="58" t="s">
        <v>193</v>
      </c>
      <c r="D139" s="61">
        <v>30</v>
      </c>
      <c r="E139" s="60">
        <v>4.0000000000000001E-3</v>
      </c>
    </row>
    <row r="140" spans="2:5" ht="14.45" customHeight="1">
      <c r="B140" s="102"/>
      <c r="C140" s="58" t="s">
        <v>292</v>
      </c>
      <c r="D140" s="61">
        <v>28</v>
      </c>
      <c r="E140" s="60">
        <v>4.0000000000000001E-3</v>
      </c>
    </row>
    <row r="141" spans="2:5" ht="14.45" customHeight="1">
      <c r="B141" s="102"/>
      <c r="C141" s="58" t="s">
        <v>172</v>
      </c>
      <c r="D141" s="61">
        <v>28</v>
      </c>
      <c r="E141" s="60">
        <v>4.0000000000000001E-3</v>
      </c>
    </row>
    <row r="142" spans="2:5" ht="14.45" customHeight="1">
      <c r="B142" s="102"/>
      <c r="C142" s="58" t="s">
        <v>55</v>
      </c>
      <c r="D142" s="61">
        <v>23</v>
      </c>
      <c r="E142" s="60">
        <v>3.0000000000000001E-3</v>
      </c>
    </row>
    <row r="143" spans="2:5" ht="14.45" customHeight="1">
      <c r="B143" s="102"/>
      <c r="C143" s="58" t="s">
        <v>144</v>
      </c>
      <c r="D143" s="61">
        <v>15</v>
      </c>
      <c r="E143" s="60">
        <v>2E-3</v>
      </c>
    </row>
    <row r="144" spans="2:5" ht="14.45" customHeight="1">
      <c r="B144" s="102"/>
      <c r="C144" s="58" t="s">
        <v>146</v>
      </c>
      <c r="D144" s="61">
        <v>12</v>
      </c>
      <c r="E144" s="60">
        <v>2E-3</v>
      </c>
    </row>
    <row r="145" spans="2:5" ht="14.45" customHeight="1">
      <c r="B145" s="102"/>
      <c r="C145" s="58" t="s">
        <v>167</v>
      </c>
      <c r="D145" s="61">
        <v>12</v>
      </c>
      <c r="E145" s="60">
        <v>2E-3</v>
      </c>
    </row>
    <row r="146" spans="2:5" ht="14.45" customHeight="1">
      <c r="B146" s="102"/>
      <c r="C146" s="58" t="s">
        <v>161</v>
      </c>
      <c r="D146" s="61">
        <v>11</v>
      </c>
      <c r="E146" s="60">
        <v>2E-3</v>
      </c>
    </row>
    <row r="147" spans="2:5" ht="14.45" customHeight="1">
      <c r="B147" s="102"/>
      <c r="C147" s="58" t="s">
        <v>174</v>
      </c>
      <c r="D147" s="61">
        <v>9</v>
      </c>
      <c r="E147" s="60">
        <v>1E-3</v>
      </c>
    </row>
    <row r="148" spans="2:5" ht="14.45" customHeight="1">
      <c r="B148" s="102"/>
      <c r="C148" s="58" t="s">
        <v>182</v>
      </c>
      <c r="D148" s="61">
        <v>7</v>
      </c>
      <c r="E148" s="60">
        <v>1E-3</v>
      </c>
    </row>
    <row r="149" spans="2:5" ht="14.45" customHeight="1">
      <c r="B149" s="102"/>
      <c r="C149" s="58" t="s">
        <v>147</v>
      </c>
      <c r="D149" s="61">
        <v>6</v>
      </c>
      <c r="E149" s="60">
        <v>1E-3</v>
      </c>
    </row>
    <row r="150" spans="2:5" ht="14.45" customHeight="1">
      <c r="B150" s="102"/>
      <c r="C150" s="58" t="s">
        <v>187</v>
      </c>
      <c r="D150" s="61">
        <v>6</v>
      </c>
      <c r="E150" s="60">
        <v>1E-3</v>
      </c>
    </row>
    <row r="151" spans="2:5" ht="14.45" customHeight="1">
      <c r="B151" s="102"/>
      <c r="C151" s="58" t="s">
        <v>162</v>
      </c>
      <c r="D151" s="61">
        <v>5</v>
      </c>
      <c r="E151" s="60">
        <v>1E-3</v>
      </c>
    </row>
    <row r="152" spans="2:5" ht="14.45" customHeight="1">
      <c r="B152" s="102"/>
      <c r="C152" s="58" t="s">
        <v>168</v>
      </c>
      <c r="D152" s="61">
        <v>3</v>
      </c>
      <c r="E152" s="60">
        <v>0</v>
      </c>
    </row>
    <row r="153" spans="2:5" ht="14.45" customHeight="1">
      <c r="B153" s="102"/>
      <c r="C153" s="58" t="s">
        <v>178</v>
      </c>
      <c r="D153" s="61">
        <v>3</v>
      </c>
      <c r="E153" s="60">
        <v>0</v>
      </c>
    </row>
    <row r="154" spans="2:5" ht="14.45" customHeight="1">
      <c r="B154" s="102"/>
      <c r="C154" s="58" t="s">
        <v>191</v>
      </c>
      <c r="D154" s="61">
        <v>3</v>
      </c>
      <c r="E154" s="60">
        <v>0</v>
      </c>
    </row>
    <row r="155" spans="2:5" ht="14.45" customHeight="1">
      <c r="B155" s="102"/>
      <c r="C155" s="58" t="s">
        <v>207</v>
      </c>
      <c r="D155" s="61">
        <v>2</v>
      </c>
      <c r="E155" s="60">
        <v>0</v>
      </c>
    </row>
    <row r="156" spans="2:5" ht="14.45" customHeight="1">
      <c r="B156" s="102"/>
      <c r="C156" s="58" t="s">
        <v>152</v>
      </c>
      <c r="D156" s="61">
        <v>2</v>
      </c>
      <c r="E156" s="60">
        <v>0</v>
      </c>
    </row>
    <row r="157" spans="2:5" ht="14.45" customHeight="1">
      <c r="B157" s="102"/>
      <c r="C157" s="58" t="s">
        <v>153</v>
      </c>
      <c r="D157" s="61">
        <v>2</v>
      </c>
      <c r="E157" s="60">
        <v>0</v>
      </c>
    </row>
    <row r="158" spans="2:5" ht="14.45" customHeight="1">
      <c r="B158" s="102"/>
      <c r="C158" s="58" t="s">
        <v>179</v>
      </c>
      <c r="D158" s="61">
        <v>2</v>
      </c>
      <c r="E158" s="60">
        <v>0</v>
      </c>
    </row>
    <row r="159" spans="2:5" ht="14.45" customHeight="1">
      <c r="B159" s="102"/>
      <c r="C159" s="58" t="s">
        <v>61</v>
      </c>
      <c r="D159" s="61">
        <v>2</v>
      </c>
      <c r="E159" s="60">
        <v>0</v>
      </c>
    </row>
    <row r="160" spans="2:5" ht="14.45" customHeight="1">
      <c r="B160" s="102"/>
      <c r="C160" s="58" t="s">
        <v>145</v>
      </c>
      <c r="D160" s="61">
        <v>1</v>
      </c>
      <c r="E160" s="60">
        <v>0</v>
      </c>
    </row>
    <row r="161" spans="2:5" ht="14.45" customHeight="1">
      <c r="B161" s="102"/>
      <c r="C161" s="58" t="s">
        <v>148</v>
      </c>
      <c r="D161" s="61">
        <v>1</v>
      </c>
      <c r="E161" s="60">
        <v>0</v>
      </c>
    </row>
    <row r="162" spans="2:5" ht="14.45" customHeight="1">
      <c r="B162" s="102"/>
      <c r="C162" s="58" t="s">
        <v>150</v>
      </c>
      <c r="D162" s="61">
        <v>1</v>
      </c>
      <c r="E162" s="60">
        <v>0</v>
      </c>
    </row>
    <row r="163" spans="2:5" ht="14.45" customHeight="1">
      <c r="B163" s="102"/>
      <c r="C163" s="58" t="s">
        <v>158</v>
      </c>
      <c r="D163" s="61">
        <v>1</v>
      </c>
      <c r="E163" s="60">
        <v>0</v>
      </c>
    </row>
    <row r="164" spans="2:5" ht="14.45" customHeight="1">
      <c r="B164" s="102"/>
      <c r="C164" s="58" t="s">
        <v>159</v>
      </c>
      <c r="D164" s="61">
        <v>1</v>
      </c>
      <c r="E164" s="60">
        <v>0</v>
      </c>
    </row>
    <row r="165" spans="2:5" ht="14.45" customHeight="1">
      <c r="B165" s="102"/>
      <c r="C165" s="58" t="s">
        <v>160</v>
      </c>
      <c r="D165" s="61">
        <v>1</v>
      </c>
      <c r="E165" s="60">
        <v>0</v>
      </c>
    </row>
    <row r="166" spans="2:5" ht="14.45" customHeight="1">
      <c r="B166" s="102"/>
      <c r="C166" s="58" t="s">
        <v>169</v>
      </c>
      <c r="D166" s="61">
        <v>1</v>
      </c>
      <c r="E166" s="60">
        <v>0</v>
      </c>
    </row>
    <row r="167" spans="2:5" ht="14.45" customHeight="1">
      <c r="B167" s="102"/>
      <c r="C167" s="58" t="s">
        <v>170</v>
      </c>
      <c r="D167" s="61">
        <v>1</v>
      </c>
      <c r="E167" s="60">
        <v>0</v>
      </c>
    </row>
    <row r="168" spans="2:5" ht="14.45" customHeight="1">
      <c r="B168" s="102"/>
      <c r="C168" s="58" t="s">
        <v>173</v>
      </c>
      <c r="D168" s="61">
        <v>1</v>
      </c>
      <c r="E168" s="60">
        <v>0</v>
      </c>
    </row>
    <row r="169" spans="2:5" ht="14.45" customHeight="1">
      <c r="B169" s="102"/>
      <c r="C169" s="58" t="s">
        <v>190</v>
      </c>
      <c r="D169" s="61">
        <v>1</v>
      </c>
      <c r="E169" s="60">
        <v>0</v>
      </c>
    </row>
    <row r="170" spans="2:5" ht="14.45" customHeight="1">
      <c r="B170" s="102"/>
      <c r="C170" s="58" t="s">
        <v>204</v>
      </c>
      <c r="D170" s="61">
        <v>1</v>
      </c>
      <c r="E170" s="60">
        <v>0</v>
      </c>
    </row>
    <row r="171" spans="2:5" ht="14.45" customHeight="1">
      <c r="B171" s="102"/>
      <c r="C171" s="58" t="s">
        <v>206</v>
      </c>
      <c r="D171" s="61">
        <v>1</v>
      </c>
      <c r="E171" s="60">
        <v>0</v>
      </c>
    </row>
    <row r="172" spans="2:5" ht="14.45" customHeight="1">
      <c r="B172" s="103"/>
      <c r="C172" s="75" t="s">
        <v>324</v>
      </c>
      <c r="D172" s="71">
        <v>371</v>
      </c>
      <c r="E172" s="72">
        <v>5.5E-2</v>
      </c>
    </row>
    <row r="173" spans="2:5" ht="14.45" customHeight="1">
      <c r="B173" s="101" t="s">
        <v>135</v>
      </c>
      <c r="C173" s="58" t="s">
        <v>143</v>
      </c>
      <c r="D173" s="61">
        <v>53</v>
      </c>
      <c r="E173" s="60">
        <v>8.0000000000000002E-3</v>
      </c>
    </row>
    <row r="174" spans="2:5" ht="14.45" customHeight="1">
      <c r="B174" s="102"/>
      <c r="C174" s="58" t="s">
        <v>142</v>
      </c>
      <c r="D174" s="61">
        <v>50</v>
      </c>
      <c r="E174" s="60">
        <v>7.0000000000000001E-3</v>
      </c>
    </row>
    <row r="175" spans="2:5" ht="14.45" customHeight="1">
      <c r="B175" s="102"/>
      <c r="C175" s="58" t="s">
        <v>55</v>
      </c>
      <c r="D175" s="61">
        <v>25</v>
      </c>
      <c r="E175" s="60">
        <v>4.0000000000000001E-3</v>
      </c>
    </row>
    <row r="176" spans="2:5" ht="14.45" customHeight="1">
      <c r="B176" s="102"/>
      <c r="C176" s="58" t="s">
        <v>193</v>
      </c>
      <c r="D176" s="61">
        <v>23</v>
      </c>
      <c r="E176" s="60">
        <v>3.0000000000000001E-3</v>
      </c>
    </row>
    <row r="177" spans="2:5" ht="14.45" customHeight="1">
      <c r="B177" s="102"/>
      <c r="C177" s="58" t="s">
        <v>172</v>
      </c>
      <c r="D177" s="61">
        <v>20</v>
      </c>
      <c r="E177" s="60">
        <v>3.0000000000000001E-3</v>
      </c>
    </row>
    <row r="178" spans="2:5" ht="14.45" customHeight="1">
      <c r="B178" s="102"/>
      <c r="C178" s="58" t="s">
        <v>144</v>
      </c>
      <c r="D178" s="61">
        <v>16</v>
      </c>
      <c r="E178" s="60">
        <v>2E-3</v>
      </c>
    </row>
    <row r="179" spans="2:5" ht="14.45" customHeight="1">
      <c r="B179" s="102"/>
      <c r="C179" s="58" t="s">
        <v>146</v>
      </c>
      <c r="D179" s="61">
        <v>14</v>
      </c>
      <c r="E179" s="60">
        <v>2E-3</v>
      </c>
    </row>
    <row r="180" spans="2:5" ht="14.45" customHeight="1">
      <c r="B180" s="102"/>
      <c r="C180" s="58" t="s">
        <v>174</v>
      </c>
      <c r="D180" s="61">
        <v>8</v>
      </c>
      <c r="E180" s="60">
        <v>1E-3</v>
      </c>
    </row>
    <row r="181" spans="2:5" ht="14.45" customHeight="1">
      <c r="B181" s="102"/>
      <c r="C181" s="58" t="s">
        <v>292</v>
      </c>
      <c r="D181" s="61">
        <v>6</v>
      </c>
      <c r="E181" s="60">
        <v>1E-3</v>
      </c>
    </row>
    <row r="182" spans="2:5" ht="14.45" customHeight="1">
      <c r="B182" s="102"/>
      <c r="C182" s="58" t="s">
        <v>161</v>
      </c>
      <c r="D182" s="61">
        <v>5</v>
      </c>
      <c r="E182" s="60">
        <v>1E-3</v>
      </c>
    </row>
    <row r="183" spans="2:5" ht="14.45" customHeight="1">
      <c r="B183" s="102"/>
      <c r="C183" s="58" t="s">
        <v>182</v>
      </c>
      <c r="D183" s="61">
        <v>5</v>
      </c>
      <c r="E183" s="60">
        <v>1E-3</v>
      </c>
    </row>
    <row r="184" spans="2:5" ht="14.45" customHeight="1">
      <c r="B184" s="102"/>
      <c r="C184" s="58" t="s">
        <v>162</v>
      </c>
      <c r="D184" s="61">
        <v>4</v>
      </c>
      <c r="E184" s="60">
        <v>1E-3</v>
      </c>
    </row>
    <row r="185" spans="2:5" ht="14.45" customHeight="1">
      <c r="B185" s="102"/>
      <c r="C185" s="58" t="s">
        <v>187</v>
      </c>
      <c r="D185" s="61">
        <v>4</v>
      </c>
      <c r="E185" s="60">
        <v>1E-3</v>
      </c>
    </row>
    <row r="186" spans="2:5" ht="14.45" customHeight="1">
      <c r="B186" s="102"/>
      <c r="C186" s="58" t="s">
        <v>167</v>
      </c>
      <c r="D186" s="61">
        <v>3</v>
      </c>
      <c r="E186" s="60">
        <v>0</v>
      </c>
    </row>
    <row r="187" spans="2:5" ht="14.45" customHeight="1">
      <c r="B187" s="102"/>
      <c r="C187" s="58" t="s">
        <v>168</v>
      </c>
      <c r="D187" s="61">
        <v>3</v>
      </c>
      <c r="E187" s="60">
        <v>0</v>
      </c>
    </row>
    <row r="188" spans="2:5" ht="14.45" customHeight="1">
      <c r="B188" s="102"/>
      <c r="C188" s="58" t="s">
        <v>181</v>
      </c>
      <c r="D188" s="61">
        <v>3</v>
      </c>
      <c r="E188" s="60">
        <v>0</v>
      </c>
    </row>
    <row r="189" spans="2:5" ht="14.45" customHeight="1">
      <c r="B189" s="102"/>
      <c r="C189" s="58" t="s">
        <v>165</v>
      </c>
      <c r="D189" s="61">
        <v>2</v>
      </c>
      <c r="E189" s="60">
        <v>0</v>
      </c>
    </row>
    <row r="190" spans="2:5" ht="14.45" customHeight="1">
      <c r="B190" s="102"/>
      <c r="C190" s="58" t="s">
        <v>178</v>
      </c>
      <c r="D190" s="61">
        <v>2</v>
      </c>
      <c r="E190" s="60">
        <v>0</v>
      </c>
    </row>
    <row r="191" spans="2:5" ht="14.45" customHeight="1">
      <c r="B191" s="102"/>
      <c r="C191" s="58" t="s">
        <v>147</v>
      </c>
      <c r="D191" s="61">
        <v>1</v>
      </c>
      <c r="E191" s="60">
        <v>0</v>
      </c>
    </row>
    <row r="192" spans="2:5" ht="14.45" customHeight="1">
      <c r="B192" s="102"/>
      <c r="C192" s="58" t="s">
        <v>149</v>
      </c>
      <c r="D192" s="61">
        <v>1</v>
      </c>
      <c r="E192" s="60">
        <v>0</v>
      </c>
    </row>
    <row r="193" spans="2:5" ht="14.45" customHeight="1">
      <c r="B193" s="102"/>
      <c r="C193" s="58" t="s">
        <v>158</v>
      </c>
      <c r="D193" s="61">
        <v>1</v>
      </c>
      <c r="E193" s="60">
        <v>0</v>
      </c>
    </row>
    <row r="194" spans="2:5" ht="14.45" customHeight="1">
      <c r="B194" s="102"/>
      <c r="C194" s="58" t="s">
        <v>160</v>
      </c>
      <c r="D194" s="61">
        <v>1</v>
      </c>
      <c r="E194" s="60">
        <v>0</v>
      </c>
    </row>
    <row r="195" spans="2:5" ht="14.45" customHeight="1">
      <c r="B195" s="102"/>
      <c r="C195" s="58" t="s">
        <v>169</v>
      </c>
      <c r="D195" s="61">
        <v>1</v>
      </c>
      <c r="E195" s="60">
        <v>0</v>
      </c>
    </row>
    <row r="196" spans="2:5" ht="14.45" customHeight="1">
      <c r="B196" s="102"/>
      <c r="C196" s="58" t="s">
        <v>170</v>
      </c>
      <c r="D196" s="61">
        <v>1</v>
      </c>
      <c r="E196" s="60">
        <v>0</v>
      </c>
    </row>
    <row r="197" spans="2:5" ht="14.45" customHeight="1">
      <c r="B197" s="102"/>
      <c r="C197" s="58" t="s">
        <v>186</v>
      </c>
      <c r="D197" s="61">
        <v>1</v>
      </c>
      <c r="E197" s="60">
        <v>0</v>
      </c>
    </row>
    <row r="198" spans="2:5" ht="14.45" customHeight="1">
      <c r="B198" s="102"/>
      <c r="C198" s="58" t="s">
        <v>192</v>
      </c>
      <c r="D198" s="61">
        <v>1</v>
      </c>
      <c r="E198" s="60">
        <v>0</v>
      </c>
    </row>
    <row r="199" spans="2:5" ht="14.45" customHeight="1">
      <c r="B199" s="102"/>
      <c r="C199" s="58" t="s">
        <v>194</v>
      </c>
      <c r="D199" s="61">
        <v>1</v>
      </c>
      <c r="E199" s="60">
        <v>0</v>
      </c>
    </row>
    <row r="200" spans="2:5" ht="14.45" customHeight="1">
      <c r="B200" s="102"/>
      <c r="C200" s="58" t="s">
        <v>195</v>
      </c>
      <c r="D200" s="61">
        <v>1</v>
      </c>
      <c r="E200" s="60">
        <v>0</v>
      </c>
    </row>
    <row r="201" spans="2:5" ht="14.45" customHeight="1">
      <c r="B201" s="102"/>
      <c r="C201" s="58" t="s">
        <v>203</v>
      </c>
      <c r="D201" s="61">
        <v>1</v>
      </c>
      <c r="E201" s="60">
        <v>0</v>
      </c>
    </row>
    <row r="202" spans="2:5" ht="14.45" customHeight="1">
      <c r="B202" s="102"/>
      <c r="C202" s="58" t="s">
        <v>206</v>
      </c>
      <c r="D202" s="61">
        <v>1</v>
      </c>
      <c r="E202" s="60">
        <v>0</v>
      </c>
    </row>
    <row r="203" spans="2:5" ht="14.45" customHeight="1">
      <c r="B203" s="103"/>
      <c r="C203" s="75" t="s">
        <v>324</v>
      </c>
      <c r="D203" s="71">
        <v>258</v>
      </c>
      <c r="E203" s="72">
        <v>3.7999999999999999E-2</v>
      </c>
    </row>
    <row r="204" spans="2:5" ht="14.45" customHeight="1">
      <c r="B204" s="101" t="s">
        <v>109</v>
      </c>
      <c r="C204" s="58" t="s">
        <v>143</v>
      </c>
      <c r="D204" s="61">
        <v>30</v>
      </c>
      <c r="E204" s="60">
        <v>4.0000000000000001E-3</v>
      </c>
    </row>
    <row r="205" spans="2:5" ht="14.45" customHeight="1">
      <c r="B205" s="102"/>
      <c r="C205" s="58" t="s">
        <v>142</v>
      </c>
      <c r="D205" s="61">
        <v>24</v>
      </c>
      <c r="E205" s="60">
        <v>4.0000000000000001E-3</v>
      </c>
    </row>
    <row r="206" spans="2:5" ht="14.45" customHeight="1">
      <c r="B206" s="102"/>
      <c r="C206" s="58" t="s">
        <v>55</v>
      </c>
      <c r="D206" s="61">
        <v>22</v>
      </c>
      <c r="E206" s="60">
        <v>3.0000000000000001E-3</v>
      </c>
    </row>
    <row r="207" spans="2:5" ht="14.45" customHeight="1">
      <c r="B207" s="102"/>
      <c r="C207" s="58" t="s">
        <v>144</v>
      </c>
      <c r="D207" s="61">
        <v>10</v>
      </c>
      <c r="E207" s="60">
        <v>1E-3</v>
      </c>
    </row>
    <row r="208" spans="2:5" ht="14.45" customHeight="1">
      <c r="B208" s="102"/>
      <c r="C208" s="58" t="s">
        <v>161</v>
      </c>
      <c r="D208" s="61">
        <v>9</v>
      </c>
      <c r="E208" s="60">
        <v>1E-3</v>
      </c>
    </row>
    <row r="209" spans="2:5" ht="14.45" customHeight="1">
      <c r="B209" s="102"/>
      <c r="C209" s="58" t="s">
        <v>193</v>
      </c>
      <c r="D209" s="61">
        <v>5</v>
      </c>
      <c r="E209" s="60">
        <v>1E-3</v>
      </c>
    </row>
    <row r="210" spans="2:5" ht="14.45" customHeight="1">
      <c r="B210" s="102"/>
      <c r="C210" s="58" t="s">
        <v>146</v>
      </c>
      <c r="D210" s="61">
        <v>4</v>
      </c>
      <c r="E210" s="60">
        <v>1E-3</v>
      </c>
    </row>
    <row r="211" spans="2:5" ht="14.45" customHeight="1">
      <c r="B211" s="102"/>
      <c r="C211" s="58" t="s">
        <v>182</v>
      </c>
      <c r="D211" s="61">
        <v>3</v>
      </c>
      <c r="E211" s="60">
        <v>0</v>
      </c>
    </row>
    <row r="212" spans="2:5" ht="14.45" customHeight="1">
      <c r="B212" s="102"/>
      <c r="C212" s="58" t="s">
        <v>160</v>
      </c>
      <c r="D212" s="61">
        <v>2</v>
      </c>
      <c r="E212" s="60">
        <v>0</v>
      </c>
    </row>
    <row r="213" spans="2:5" ht="14.45" customHeight="1">
      <c r="B213" s="102"/>
      <c r="C213" s="58" t="s">
        <v>162</v>
      </c>
      <c r="D213" s="61">
        <v>2</v>
      </c>
      <c r="E213" s="60">
        <v>0</v>
      </c>
    </row>
    <row r="214" spans="2:5" ht="14.45" customHeight="1">
      <c r="B214" s="102"/>
      <c r="C214" s="58" t="s">
        <v>167</v>
      </c>
      <c r="D214" s="61">
        <v>2</v>
      </c>
      <c r="E214" s="60">
        <v>0</v>
      </c>
    </row>
    <row r="215" spans="2:5" ht="14.45" customHeight="1">
      <c r="B215" s="102"/>
      <c r="C215" s="58" t="s">
        <v>168</v>
      </c>
      <c r="D215" s="61">
        <v>2</v>
      </c>
      <c r="E215" s="60">
        <v>0</v>
      </c>
    </row>
    <row r="216" spans="2:5" ht="14.45" customHeight="1">
      <c r="B216" s="102"/>
      <c r="C216" s="58" t="s">
        <v>172</v>
      </c>
      <c r="D216" s="61">
        <v>2</v>
      </c>
      <c r="E216" s="60">
        <v>0</v>
      </c>
    </row>
    <row r="217" spans="2:5" ht="14.45" customHeight="1">
      <c r="B217" s="102"/>
      <c r="C217" s="58" t="s">
        <v>174</v>
      </c>
      <c r="D217" s="61">
        <v>2</v>
      </c>
      <c r="E217" s="60">
        <v>0</v>
      </c>
    </row>
    <row r="218" spans="2:5" ht="14.45" customHeight="1">
      <c r="B218" s="102"/>
      <c r="C218" s="58" t="s">
        <v>187</v>
      </c>
      <c r="D218" s="61">
        <v>2</v>
      </c>
      <c r="E218" s="60">
        <v>0</v>
      </c>
    </row>
    <row r="219" spans="2:5" ht="14.45" customHeight="1">
      <c r="B219" s="102"/>
      <c r="C219" s="58" t="s">
        <v>147</v>
      </c>
      <c r="D219" s="61">
        <v>1</v>
      </c>
      <c r="E219" s="60">
        <v>0</v>
      </c>
    </row>
    <row r="220" spans="2:5" ht="14.45" customHeight="1">
      <c r="B220" s="102"/>
      <c r="C220" s="58" t="s">
        <v>151</v>
      </c>
      <c r="D220" s="61">
        <v>1</v>
      </c>
      <c r="E220" s="60">
        <v>0</v>
      </c>
    </row>
    <row r="221" spans="2:5" ht="14.45" customHeight="1">
      <c r="B221" s="102"/>
      <c r="C221" s="58" t="s">
        <v>156</v>
      </c>
      <c r="D221" s="61">
        <v>1</v>
      </c>
      <c r="E221" s="60">
        <v>0</v>
      </c>
    </row>
    <row r="222" spans="2:5" ht="14.45" customHeight="1">
      <c r="B222" s="102"/>
      <c r="C222" s="58" t="s">
        <v>159</v>
      </c>
      <c r="D222" s="61">
        <v>1</v>
      </c>
      <c r="E222" s="60">
        <v>0</v>
      </c>
    </row>
    <row r="223" spans="2:5" ht="14.45" customHeight="1">
      <c r="B223" s="102"/>
      <c r="C223" s="58" t="s">
        <v>165</v>
      </c>
      <c r="D223" s="61">
        <v>1</v>
      </c>
      <c r="E223" s="60">
        <v>0</v>
      </c>
    </row>
    <row r="224" spans="2:5" ht="14.45" customHeight="1">
      <c r="B224" s="103"/>
      <c r="C224" s="75" t="s">
        <v>324</v>
      </c>
      <c r="D224" s="71">
        <v>126</v>
      </c>
      <c r="E224" s="72">
        <v>1.9E-2</v>
      </c>
    </row>
    <row r="225" spans="2:5" ht="14.45" customHeight="1">
      <c r="B225" s="101" t="s">
        <v>136</v>
      </c>
      <c r="C225" s="58" t="s">
        <v>143</v>
      </c>
      <c r="D225" s="61">
        <v>22</v>
      </c>
      <c r="E225" s="60">
        <v>3.0000000000000001E-3</v>
      </c>
    </row>
    <row r="226" spans="2:5" ht="14.45" customHeight="1">
      <c r="B226" s="102"/>
      <c r="C226" s="58" t="s">
        <v>142</v>
      </c>
      <c r="D226" s="61">
        <v>21</v>
      </c>
      <c r="E226" s="60">
        <v>3.0000000000000001E-3</v>
      </c>
    </row>
    <row r="227" spans="2:5" ht="14.45" customHeight="1">
      <c r="B227" s="102"/>
      <c r="C227" s="58" t="s">
        <v>146</v>
      </c>
      <c r="D227" s="61">
        <v>11</v>
      </c>
      <c r="E227" s="60">
        <v>2E-3</v>
      </c>
    </row>
    <row r="228" spans="2:5" ht="14.45" customHeight="1">
      <c r="B228" s="102"/>
      <c r="C228" s="58" t="s">
        <v>161</v>
      </c>
      <c r="D228" s="61">
        <v>11</v>
      </c>
      <c r="E228" s="60">
        <v>2E-3</v>
      </c>
    </row>
    <row r="229" spans="2:5" ht="14.45" customHeight="1">
      <c r="B229" s="102"/>
      <c r="C229" s="58" t="s">
        <v>193</v>
      </c>
      <c r="D229" s="61">
        <v>9</v>
      </c>
      <c r="E229" s="60">
        <v>1E-3</v>
      </c>
    </row>
    <row r="230" spans="2:5" ht="14.45" customHeight="1">
      <c r="B230" s="102"/>
      <c r="C230" s="58" t="s">
        <v>55</v>
      </c>
      <c r="D230" s="61">
        <v>6</v>
      </c>
      <c r="E230" s="60">
        <v>1E-3</v>
      </c>
    </row>
    <row r="231" spans="2:5" ht="14.45" customHeight="1">
      <c r="B231" s="102"/>
      <c r="C231" s="58" t="s">
        <v>156</v>
      </c>
      <c r="D231" s="61">
        <v>4</v>
      </c>
      <c r="E231" s="60">
        <v>1E-3</v>
      </c>
    </row>
    <row r="232" spans="2:5" ht="14.45" customHeight="1">
      <c r="B232" s="102"/>
      <c r="C232" s="58" t="s">
        <v>172</v>
      </c>
      <c r="D232" s="61">
        <v>4</v>
      </c>
      <c r="E232" s="60">
        <v>1E-3</v>
      </c>
    </row>
    <row r="233" spans="2:5" ht="14.45" customHeight="1">
      <c r="B233" s="102"/>
      <c r="C233" s="58" t="s">
        <v>174</v>
      </c>
      <c r="D233" s="61">
        <v>4</v>
      </c>
      <c r="E233" s="60">
        <v>1E-3</v>
      </c>
    </row>
    <row r="234" spans="2:5" ht="14.45" customHeight="1">
      <c r="B234" s="102"/>
      <c r="C234" s="58" t="s">
        <v>144</v>
      </c>
      <c r="D234" s="61">
        <v>4</v>
      </c>
      <c r="E234" s="60">
        <v>1E-3</v>
      </c>
    </row>
    <row r="235" spans="2:5" ht="14.45" customHeight="1">
      <c r="B235" s="102"/>
      <c r="C235" s="58" t="s">
        <v>147</v>
      </c>
      <c r="D235" s="61">
        <v>2</v>
      </c>
      <c r="E235" s="60">
        <v>0</v>
      </c>
    </row>
    <row r="236" spans="2:5" ht="14.45" customHeight="1">
      <c r="B236" s="102"/>
      <c r="C236" s="58" t="s">
        <v>153</v>
      </c>
      <c r="D236" s="61">
        <v>2</v>
      </c>
      <c r="E236" s="60">
        <v>0</v>
      </c>
    </row>
    <row r="237" spans="2:5" ht="14.45" customHeight="1">
      <c r="B237" s="102"/>
      <c r="C237" s="58" t="s">
        <v>182</v>
      </c>
      <c r="D237" s="61">
        <v>2</v>
      </c>
      <c r="E237" s="60">
        <v>0</v>
      </c>
    </row>
    <row r="238" spans="2:5" ht="14.45" customHeight="1">
      <c r="B238" s="102"/>
      <c r="C238" s="58" t="s">
        <v>191</v>
      </c>
      <c r="D238" s="61">
        <v>2</v>
      </c>
      <c r="E238" s="60">
        <v>0</v>
      </c>
    </row>
    <row r="239" spans="2:5" ht="14.45" customHeight="1">
      <c r="B239" s="102"/>
      <c r="C239" s="58" t="s">
        <v>61</v>
      </c>
      <c r="D239" s="61">
        <v>2</v>
      </c>
      <c r="E239" s="60">
        <v>0</v>
      </c>
    </row>
    <row r="240" spans="2:5" ht="14.45" customHeight="1">
      <c r="B240" s="102"/>
      <c r="C240" s="58" t="s">
        <v>157</v>
      </c>
      <c r="D240" s="61">
        <v>1</v>
      </c>
      <c r="E240" s="60">
        <v>0</v>
      </c>
    </row>
    <row r="241" spans="2:5" ht="14.45" customHeight="1">
      <c r="B241" s="102"/>
      <c r="C241" s="58" t="s">
        <v>162</v>
      </c>
      <c r="D241" s="61">
        <v>1</v>
      </c>
      <c r="E241" s="60">
        <v>0</v>
      </c>
    </row>
    <row r="242" spans="2:5" ht="14.45" customHeight="1">
      <c r="B242" s="102"/>
      <c r="C242" s="58" t="s">
        <v>163</v>
      </c>
      <c r="D242" s="61">
        <v>1</v>
      </c>
      <c r="E242" s="60">
        <v>0</v>
      </c>
    </row>
    <row r="243" spans="2:5" ht="14.45" customHeight="1">
      <c r="B243" s="102"/>
      <c r="C243" s="58" t="s">
        <v>165</v>
      </c>
      <c r="D243" s="61">
        <v>1</v>
      </c>
      <c r="E243" s="60">
        <v>0</v>
      </c>
    </row>
    <row r="244" spans="2:5" ht="14.45" customHeight="1">
      <c r="B244" s="102"/>
      <c r="C244" s="58" t="s">
        <v>292</v>
      </c>
      <c r="D244" s="61">
        <v>1</v>
      </c>
      <c r="E244" s="60">
        <v>0</v>
      </c>
    </row>
    <row r="245" spans="2:5" ht="14.45" customHeight="1">
      <c r="B245" s="102"/>
      <c r="C245" s="58" t="s">
        <v>173</v>
      </c>
      <c r="D245" s="61">
        <v>1</v>
      </c>
      <c r="E245" s="60">
        <v>0</v>
      </c>
    </row>
    <row r="246" spans="2:5" ht="14.45" customHeight="1">
      <c r="B246" s="102"/>
      <c r="C246" s="58" t="s">
        <v>187</v>
      </c>
      <c r="D246" s="61">
        <v>1</v>
      </c>
      <c r="E246" s="60">
        <v>0</v>
      </c>
    </row>
    <row r="247" spans="2:5" ht="14.45" customHeight="1">
      <c r="B247" s="102"/>
      <c r="C247" s="58" t="s">
        <v>192</v>
      </c>
      <c r="D247" s="61">
        <v>1</v>
      </c>
      <c r="E247" s="60">
        <v>0</v>
      </c>
    </row>
    <row r="248" spans="2:5" ht="14.45" customHeight="1">
      <c r="B248" s="102"/>
      <c r="C248" s="58" t="s">
        <v>195</v>
      </c>
      <c r="D248" s="61">
        <v>1</v>
      </c>
      <c r="E248" s="60">
        <v>0</v>
      </c>
    </row>
    <row r="249" spans="2:5" ht="14.45" customHeight="1">
      <c r="B249" s="102"/>
      <c r="C249" s="58" t="s">
        <v>203</v>
      </c>
      <c r="D249" s="61">
        <v>1</v>
      </c>
      <c r="E249" s="60">
        <v>0</v>
      </c>
    </row>
    <row r="250" spans="2:5" ht="14.45" customHeight="1">
      <c r="B250" s="103"/>
      <c r="C250" s="75" t="s">
        <v>324</v>
      </c>
      <c r="D250" s="71">
        <v>116</v>
      </c>
      <c r="E250" s="72">
        <v>1.7000000000000001E-2</v>
      </c>
    </row>
    <row r="251" spans="2:5" ht="14.45" customHeight="1">
      <c r="B251" s="101" t="s">
        <v>102</v>
      </c>
      <c r="C251" s="58" t="s">
        <v>142</v>
      </c>
      <c r="D251" s="61">
        <v>25</v>
      </c>
      <c r="E251" s="60">
        <v>4.0000000000000001E-3</v>
      </c>
    </row>
    <row r="252" spans="2:5" ht="14.45" customHeight="1">
      <c r="B252" s="102"/>
      <c r="C252" s="58" t="s">
        <v>143</v>
      </c>
      <c r="D252" s="61">
        <v>16</v>
      </c>
      <c r="E252" s="60">
        <v>2E-3</v>
      </c>
    </row>
    <row r="253" spans="2:5" ht="14.45" customHeight="1">
      <c r="B253" s="102"/>
      <c r="C253" s="58" t="s">
        <v>146</v>
      </c>
      <c r="D253" s="61">
        <v>11</v>
      </c>
      <c r="E253" s="60">
        <v>2E-3</v>
      </c>
    </row>
    <row r="254" spans="2:5" ht="14.45" customHeight="1">
      <c r="B254" s="102"/>
      <c r="C254" s="58" t="s">
        <v>191</v>
      </c>
      <c r="D254" s="61">
        <v>11</v>
      </c>
      <c r="E254" s="60">
        <v>2E-3</v>
      </c>
    </row>
    <row r="255" spans="2:5" ht="14.45" customHeight="1">
      <c r="B255" s="102"/>
      <c r="C255" s="58" t="s">
        <v>292</v>
      </c>
      <c r="D255" s="61">
        <v>9</v>
      </c>
      <c r="E255" s="60">
        <v>1E-3</v>
      </c>
    </row>
    <row r="256" spans="2:5" ht="14.45" customHeight="1">
      <c r="B256" s="102"/>
      <c r="C256" s="58" t="s">
        <v>144</v>
      </c>
      <c r="D256" s="61">
        <v>7</v>
      </c>
      <c r="E256" s="60">
        <v>1E-3</v>
      </c>
    </row>
    <row r="257" spans="2:5" ht="14.45" customHeight="1">
      <c r="B257" s="102"/>
      <c r="C257" s="58" t="s">
        <v>193</v>
      </c>
      <c r="D257" s="61">
        <v>6</v>
      </c>
      <c r="E257" s="60">
        <v>1E-3</v>
      </c>
    </row>
    <row r="258" spans="2:5" ht="14.45" customHeight="1">
      <c r="B258" s="102"/>
      <c r="C258" s="58" t="s">
        <v>55</v>
      </c>
      <c r="D258" s="61">
        <v>4</v>
      </c>
      <c r="E258" s="60">
        <v>1E-3</v>
      </c>
    </row>
    <row r="259" spans="2:5" ht="14.45" customHeight="1">
      <c r="B259" s="102"/>
      <c r="C259" s="58" t="s">
        <v>172</v>
      </c>
      <c r="D259" s="61">
        <v>3</v>
      </c>
      <c r="E259" s="60">
        <v>0</v>
      </c>
    </row>
    <row r="260" spans="2:5" ht="14.45" customHeight="1">
      <c r="B260" s="102"/>
      <c r="C260" s="58" t="s">
        <v>178</v>
      </c>
      <c r="D260" s="61">
        <v>3</v>
      </c>
      <c r="E260" s="60">
        <v>0</v>
      </c>
    </row>
    <row r="261" spans="2:5" ht="14.45" customHeight="1">
      <c r="B261" s="102"/>
      <c r="C261" s="58" t="s">
        <v>147</v>
      </c>
      <c r="D261" s="61">
        <v>2</v>
      </c>
      <c r="E261" s="60">
        <v>0</v>
      </c>
    </row>
    <row r="262" spans="2:5" ht="14.45" customHeight="1">
      <c r="B262" s="102"/>
      <c r="C262" s="58" t="s">
        <v>182</v>
      </c>
      <c r="D262" s="61">
        <v>2</v>
      </c>
      <c r="E262" s="60">
        <v>0</v>
      </c>
    </row>
    <row r="263" spans="2:5" ht="14.45" customHeight="1">
      <c r="B263" s="102"/>
      <c r="C263" s="58" t="s">
        <v>206</v>
      </c>
      <c r="D263" s="61">
        <v>2</v>
      </c>
      <c r="E263" s="60">
        <v>0</v>
      </c>
    </row>
    <row r="264" spans="2:5" ht="14.45" customHeight="1">
      <c r="B264" s="102"/>
      <c r="C264" s="58" t="s">
        <v>148</v>
      </c>
      <c r="D264" s="61">
        <v>1</v>
      </c>
      <c r="E264" s="60">
        <v>0</v>
      </c>
    </row>
    <row r="265" spans="2:5" ht="14.45" customHeight="1">
      <c r="B265" s="102"/>
      <c r="C265" s="58" t="s">
        <v>158</v>
      </c>
      <c r="D265" s="61">
        <v>1</v>
      </c>
      <c r="E265" s="60">
        <v>0</v>
      </c>
    </row>
    <row r="266" spans="2:5" ht="14.45" customHeight="1">
      <c r="B266" s="102"/>
      <c r="C266" s="58" t="s">
        <v>160</v>
      </c>
      <c r="D266" s="61">
        <v>1</v>
      </c>
      <c r="E266" s="60">
        <v>0</v>
      </c>
    </row>
    <row r="267" spans="2:5" ht="14.45" customHeight="1">
      <c r="B267" s="102"/>
      <c r="C267" s="58" t="s">
        <v>161</v>
      </c>
      <c r="D267" s="61">
        <v>1</v>
      </c>
      <c r="E267" s="60">
        <v>0</v>
      </c>
    </row>
    <row r="268" spans="2:5" ht="14.45" customHeight="1">
      <c r="B268" s="102"/>
      <c r="C268" s="58" t="s">
        <v>162</v>
      </c>
      <c r="D268" s="61">
        <v>1</v>
      </c>
      <c r="E268" s="60">
        <v>0</v>
      </c>
    </row>
    <row r="269" spans="2:5" ht="14.45" customHeight="1">
      <c r="B269" s="102"/>
      <c r="C269" s="58" t="s">
        <v>167</v>
      </c>
      <c r="D269" s="61">
        <v>1</v>
      </c>
      <c r="E269" s="60">
        <v>0</v>
      </c>
    </row>
    <row r="270" spans="2:5" ht="14.45" customHeight="1">
      <c r="B270" s="102"/>
      <c r="C270" s="58" t="s">
        <v>174</v>
      </c>
      <c r="D270" s="61">
        <v>1</v>
      </c>
      <c r="E270" s="60">
        <v>0</v>
      </c>
    </row>
    <row r="271" spans="2:5" ht="14.45" customHeight="1">
      <c r="B271" s="102"/>
      <c r="C271" s="58" t="s">
        <v>177</v>
      </c>
      <c r="D271" s="61">
        <v>1</v>
      </c>
      <c r="E271" s="60">
        <v>0</v>
      </c>
    </row>
    <row r="272" spans="2:5" ht="14.45" customHeight="1">
      <c r="B272" s="102"/>
      <c r="C272" s="58" t="s">
        <v>179</v>
      </c>
      <c r="D272" s="61">
        <v>1</v>
      </c>
      <c r="E272" s="60">
        <v>0</v>
      </c>
    </row>
    <row r="273" spans="2:5" ht="14.45" customHeight="1">
      <c r="B273" s="102"/>
      <c r="C273" s="58" t="s">
        <v>190</v>
      </c>
      <c r="D273" s="61">
        <v>1</v>
      </c>
      <c r="E273" s="60">
        <v>0</v>
      </c>
    </row>
    <row r="274" spans="2:5" ht="14.45" customHeight="1">
      <c r="B274" s="102"/>
      <c r="C274" s="58" t="s">
        <v>192</v>
      </c>
      <c r="D274" s="61">
        <v>1</v>
      </c>
      <c r="E274" s="60">
        <v>0</v>
      </c>
    </row>
    <row r="275" spans="2:5" ht="14.45" customHeight="1">
      <c r="B275" s="102"/>
      <c r="C275" s="58" t="s">
        <v>194</v>
      </c>
      <c r="D275" s="61">
        <v>1</v>
      </c>
      <c r="E275" s="60">
        <v>0</v>
      </c>
    </row>
    <row r="276" spans="2:5" ht="14.45" customHeight="1">
      <c r="B276" s="102"/>
      <c r="C276" s="58" t="s">
        <v>61</v>
      </c>
      <c r="D276" s="61">
        <v>1</v>
      </c>
      <c r="E276" s="60">
        <v>0</v>
      </c>
    </row>
    <row r="277" spans="2:5" ht="14.45" customHeight="1">
      <c r="B277" s="103"/>
      <c r="C277" s="75" t="s">
        <v>324</v>
      </c>
      <c r="D277" s="71">
        <v>114</v>
      </c>
      <c r="E277" s="72">
        <v>1.7000000000000001E-2</v>
      </c>
    </row>
    <row r="278" spans="2:5" ht="14.45" customHeight="1">
      <c r="B278" s="101" t="s">
        <v>129</v>
      </c>
      <c r="C278" s="58" t="s">
        <v>142</v>
      </c>
      <c r="D278" s="61">
        <v>17</v>
      </c>
      <c r="E278" s="60">
        <v>3.0000000000000001E-3</v>
      </c>
    </row>
    <row r="279" spans="2:5" ht="14.45" customHeight="1">
      <c r="B279" s="102"/>
      <c r="C279" s="58" t="s">
        <v>143</v>
      </c>
      <c r="D279" s="61">
        <v>17</v>
      </c>
      <c r="E279" s="60">
        <v>3.0000000000000001E-3</v>
      </c>
    </row>
    <row r="280" spans="2:5" ht="14.45" customHeight="1">
      <c r="B280" s="102"/>
      <c r="C280" s="58" t="s">
        <v>146</v>
      </c>
      <c r="D280" s="61">
        <v>8</v>
      </c>
      <c r="E280" s="60">
        <v>1E-3</v>
      </c>
    </row>
    <row r="281" spans="2:5" ht="14.45" customHeight="1">
      <c r="B281" s="102"/>
      <c r="C281" s="58" t="s">
        <v>55</v>
      </c>
      <c r="D281" s="61">
        <v>4</v>
      </c>
      <c r="E281" s="60">
        <v>1E-3</v>
      </c>
    </row>
    <row r="282" spans="2:5" ht="14.45" customHeight="1">
      <c r="B282" s="102"/>
      <c r="C282" s="58" t="s">
        <v>187</v>
      </c>
      <c r="D282" s="61">
        <v>4</v>
      </c>
      <c r="E282" s="60">
        <v>1E-3</v>
      </c>
    </row>
    <row r="283" spans="2:5" ht="14.45" customHeight="1">
      <c r="B283" s="102"/>
      <c r="C283" s="58" t="s">
        <v>172</v>
      </c>
      <c r="D283" s="61">
        <v>3</v>
      </c>
      <c r="E283" s="60">
        <v>0</v>
      </c>
    </row>
    <row r="284" spans="2:5" ht="14.45" customHeight="1">
      <c r="B284" s="102"/>
      <c r="C284" s="58" t="s">
        <v>178</v>
      </c>
      <c r="D284" s="61">
        <v>3</v>
      </c>
      <c r="E284" s="60">
        <v>0</v>
      </c>
    </row>
    <row r="285" spans="2:5" ht="14.45" customHeight="1">
      <c r="B285" s="102"/>
      <c r="C285" s="58" t="s">
        <v>144</v>
      </c>
      <c r="D285" s="61">
        <v>3</v>
      </c>
      <c r="E285" s="60">
        <v>0</v>
      </c>
    </row>
    <row r="286" spans="2:5" ht="14.45" customHeight="1">
      <c r="B286" s="102"/>
      <c r="C286" s="58" t="s">
        <v>193</v>
      </c>
      <c r="D286" s="61">
        <v>3</v>
      </c>
      <c r="E286" s="60">
        <v>0</v>
      </c>
    </row>
    <row r="287" spans="2:5" ht="14.45" customHeight="1">
      <c r="B287" s="102"/>
      <c r="C287" s="58" t="s">
        <v>161</v>
      </c>
      <c r="D287" s="61">
        <v>2</v>
      </c>
      <c r="E287" s="60">
        <v>0</v>
      </c>
    </row>
    <row r="288" spans="2:5" ht="14.45" customHeight="1">
      <c r="B288" s="102"/>
      <c r="C288" s="58" t="s">
        <v>167</v>
      </c>
      <c r="D288" s="61">
        <v>1</v>
      </c>
      <c r="E288" s="60">
        <v>0</v>
      </c>
    </row>
    <row r="289" spans="2:5" ht="14.45" customHeight="1">
      <c r="B289" s="102"/>
      <c r="C289" s="58" t="s">
        <v>168</v>
      </c>
      <c r="D289" s="61">
        <v>1</v>
      </c>
      <c r="E289" s="60">
        <v>0</v>
      </c>
    </row>
    <row r="290" spans="2:5" ht="14.45" customHeight="1">
      <c r="B290" s="102"/>
      <c r="C290" s="58" t="s">
        <v>182</v>
      </c>
      <c r="D290" s="61">
        <v>1</v>
      </c>
      <c r="E290" s="60">
        <v>0</v>
      </c>
    </row>
    <row r="291" spans="2:5" ht="14.45" customHeight="1">
      <c r="B291" s="102"/>
      <c r="C291" s="58" t="s">
        <v>188</v>
      </c>
      <c r="D291" s="61">
        <v>1</v>
      </c>
      <c r="E291" s="60">
        <v>0</v>
      </c>
    </row>
    <row r="292" spans="2:5" ht="14.45" customHeight="1">
      <c r="B292" s="102"/>
      <c r="C292" s="58" t="s">
        <v>191</v>
      </c>
      <c r="D292" s="61">
        <v>1</v>
      </c>
      <c r="E292" s="60">
        <v>0</v>
      </c>
    </row>
    <row r="293" spans="2:5" ht="14.45" customHeight="1">
      <c r="B293" s="102"/>
      <c r="C293" s="58" t="s">
        <v>206</v>
      </c>
      <c r="D293" s="61">
        <v>1</v>
      </c>
      <c r="E293" s="60">
        <v>0</v>
      </c>
    </row>
    <row r="294" spans="2:5" ht="14.45" customHeight="1">
      <c r="B294" s="103"/>
      <c r="C294" s="75" t="s">
        <v>324</v>
      </c>
      <c r="D294" s="71">
        <v>70</v>
      </c>
      <c r="E294" s="72">
        <v>0.01</v>
      </c>
    </row>
    <row r="295" spans="2:5" ht="14.45" customHeight="1">
      <c r="B295" s="101" t="s">
        <v>124</v>
      </c>
      <c r="C295" s="58" t="s">
        <v>146</v>
      </c>
      <c r="D295" s="61">
        <v>9</v>
      </c>
      <c r="E295" s="60">
        <v>1E-3</v>
      </c>
    </row>
    <row r="296" spans="2:5" ht="14.45" customHeight="1">
      <c r="B296" s="102"/>
      <c r="C296" s="58" t="s">
        <v>142</v>
      </c>
      <c r="D296" s="61">
        <v>9</v>
      </c>
      <c r="E296" s="60">
        <v>1E-3</v>
      </c>
    </row>
    <row r="297" spans="2:5" ht="14.45" customHeight="1">
      <c r="B297" s="102"/>
      <c r="C297" s="58" t="s">
        <v>143</v>
      </c>
      <c r="D297" s="61">
        <v>8</v>
      </c>
      <c r="E297" s="60">
        <v>1E-3</v>
      </c>
    </row>
    <row r="298" spans="2:5" ht="14.45" customHeight="1">
      <c r="B298" s="102"/>
      <c r="C298" s="58" t="s">
        <v>172</v>
      </c>
      <c r="D298" s="61">
        <v>6</v>
      </c>
      <c r="E298" s="60">
        <v>1E-3</v>
      </c>
    </row>
    <row r="299" spans="2:5" ht="14.45" customHeight="1">
      <c r="B299" s="102"/>
      <c r="C299" s="58" t="s">
        <v>178</v>
      </c>
      <c r="D299" s="61">
        <v>5</v>
      </c>
      <c r="E299" s="60">
        <v>1E-3</v>
      </c>
    </row>
    <row r="300" spans="2:5" ht="14.45" customHeight="1">
      <c r="B300" s="102"/>
      <c r="C300" s="58" t="s">
        <v>149</v>
      </c>
      <c r="D300" s="61">
        <v>3</v>
      </c>
      <c r="E300" s="60">
        <v>0</v>
      </c>
    </row>
    <row r="301" spans="2:5" ht="14.45" customHeight="1">
      <c r="B301" s="102"/>
      <c r="C301" s="58" t="s">
        <v>174</v>
      </c>
      <c r="D301" s="61">
        <v>3</v>
      </c>
      <c r="E301" s="60">
        <v>0</v>
      </c>
    </row>
    <row r="302" spans="2:5" ht="14.45" customHeight="1">
      <c r="B302" s="102"/>
      <c r="C302" s="58" t="s">
        <v>144</v>
      </c>
      <c r="D302" s="61">
        <v>3</v>
      </c>
      <c r="E302" s="60">
        <v>0</v>
      </c>
    </row>
    <row r="303" spans="2:5" ht="14.45" customHeight="1">
      <c r="B303" s="102"/>
      <c r="C303" s="58" t="s">
        <v>55</v>
      </c>
      <c r="D303" s="61">
        <v>3</v>
      </c>
      <c r="E303" s="60">
        <v>0</v>
      </c>
    </row>
    <row r="304" spans="2:5" ht="14.45" customHeight="1">
      <c r="B304" s="102"/>
      <c r="C304" s="58" t="s">
        <v>161</v>
      </c>
      <c r="D304" s="61">
        <v>2</v>
      </c>
      <c r="E304" s="60">
        <v>0</v>
      </c>
    </row>
    <row r="305" spans="2:5" ht="14.45" customHeight="1">
      <c r="B305" s="102"/>
      <c r="C305" s="58" t="s">
        <v>187</v>
      </c>
      <c r="D305" s="61">
        <v>2</v>
      </c>
      <c r="E305" s="60">
        <v>0</v>
      </c>
    </row>
    <row r="306" spans="2:5" ht="14.45" customHeight="1">
      <c r="B306" s="102"/>
      <c r="C306" s="58" t="s">
        <v>153</v>
      </c>
      <c r="D306" s="61">
        <v>1</v>
      </c>
      <c r="E306" s="60">
        <v>0</v>
      </c>
    </row>
    <row r="307" spans="2:5" ht="14.45" customHeight="1">
      <c r="B307" s="102"/>
      <c r="C307" s="58" t="s">
        <v>160</v>
      </c>
      <c r="D307" s="61">
        <v>1</v>
      </c>
      <c r="E307" s="60">
        <v>0</v>
      </c>
    </row>
    <row r="308" spans="2:5" ht="14.45" customHeight="1">
      <c r="B308" s="102"/>
      <c r="C308" s="58" t="s">
        <v>162</v>
      </c>
      <c r="D308" s="61">
        <v>1</v>
      </c>
      <c r="E308" s="60">
        <v>0</v>
      </c>
    </row>
    <row r="309" spans="2:5" ht="14.45" customHeight="1">
      <c r="B309" s="102"/>
      <c r="C309" s="58" t="s">
        <v>182</v>
      </c>
      <c r="D309" s="61">
        <v>1</v>
      </c>
      <c r="E309" s="60">
        <v>0</v>
      </c>
    </row>
    <row r="310" spans="2:5" ht="14.45" customHeight="1">
      <c r="B310" s="102"/>
      <c r="C310" s="58" t="s">
        <v>183</v>
      </c>
      <c r="D310" s="61">
        <v>1</v>
      </c>
      <c r="E310" s="60">
        <v>0</v>
      </c>
    </row>
    <row r="311" spans="2:5" ht="14.45" customHeight="1">
      <c r="B311" s="102"/>
      <c r="C311" s="58" t="s">
        <v>189</v>
      </c>
      <c r="D311" s="61">
        <v>1</v>
      </c>
      <c r="E311" s="60">
        <v>0</v>
      </c>
    </row>
    <row r="312" spans="2:5" ht="14.45" customHeight="1">
      <c r="B312" s="102"/>
      <c r="C312" s="58" t="s">
        <v>190</v>
      </c>
      <c r="D312" s="61">
        <v>1</v>
      </c>
      <c r="E312" s="60">
        <v>0</v>
      </c>
    </row>
    <row r="313" spans="2:5" ht="14.45" customHeight="1">
      <c r="B313" s="102"/>
      <c r="C313" s="58" t="s">
        <v>204</v>
      </c>
      <c r="D313" s="61">
        <v>1</v>
      </c>
      <c r="E313" s="60">
        <v>0</v>
      </c>
    </row>
    <row r="314" spans="2:5" ht="14.45" customHeight="1">
      <c r="B314" s="103"/>
      <c r="C314" s="75" t="s">
        <v>324</v>
      </c>
      <c r="D314" s="71">
        <v>61</v>
      </c>
      <c r="E314" s="72">
        <v>8.9999999999999993E-3</v>
      </c>
    </row>
    <row r="315" spans="2:5" ht="14.45" customHeight="1">
      <c r="B315" s="101" t="s">
        <v>108</v>
      </c>
      <c r="C315" s="58" t="s">
        <v>142</v>
      </c>
      <c r="D315" s="61">
        <v>17</v>
      </c>
      <c r="E315" s="60">
        <v>3.0000000000000001E-3</v>
      </c>
    </row>
    <row r="316" spans="2:5" ht="14.45" customHeight="1">
      <c r="B316" s="102"/>
      <c r="C316" s="58" t="s">
        <v>143</v>
      </c>
      <c r="D316" s="61">
        <v>13</v>
      </c>
      <c r="E316" s="60">
        <v>2E-3</v>
      </c>
    </row>
    <row r="317" spans="2:5" ht="14.45" customHeight="1">
      <c r="B317" s="102"/>
      <c r="C317" s="58" t="s">
        <v>55</v>
      </c>
      <c r="D317" s="61">
        <v>7</v>
      </c>
      <c r="E317" s="60">
        <v>1E-3</v>
      </c>
    </row>
    <row r="318" spans="2:5" ht="14.45" customHeight="1">
      <c r="B318" s="102"/>
      <c r="C318" s="58" t="s">
        <v>193</v>
      </c>
      <c r="D318" s="61">
        <v>6</v>
      </c>
      <c r="E318" s="60">
        <v>1E-3</v>
      </c>
    </row>
    <row r="319" spans="2:5" ht="14.45" customHeight="1">
      <c r="B319" s="102"/>
      <c r="C319" s="58" t="s">
        <v>146</v>
      </c>
      <c r="D319" s="61">
        <v>3</v>
      </c>
      <c r="E319" s="60">
        <v>0</v>
      </c>
    </row>
    <row r="320" spans="2:5" ht="14.45" customHeight="1">
      <c r="B320" s="102"/>
      <c r="C320" s="58" t="s">
        <v>147</v>
      </c>
      <c r="D320" s="61">
        <v>3</v>
      </c>
      <c r="E320" s="60">
        <v>0</v>
      </c>
    </row>
    <row r="321" spans="2:5" ht="14.45" customHeight="1">
      <c r="B321" s="102"/>
      <c r="C321" s="58" t="s">
        <v>172</v>
      </c>
      <c r="D321" s="61">
        <v>3</v>
      </c>
      <c r="E321" s="60">
        <v>0</v>
      </c>
    </row>
    <row r="322" spans="2:5" ht="14.45" customHeight="1">
      <c r="B322" s="102"/>
      <c r="C322" s="58" t="s">
        <v>161</v>
      </c>
      <c r="D322" s="61">
        <v>2</v>
      </c>
      <c r="E322" s="60">
        <v>0</v>
      </c>
    </row>
    <row r="323" spans="2:5" ht="14.45" customHeight="1">
      <c r="B323" s="102"/>
      <c r="C323" s="58" t="s">
        <v>158</v>
      </c>
      <c r="D323" s="61">
        <v>1</v>
      </c>
      <c r="E323" s="60">
        <v>0</v>
      </c>
    </row>
    <row r="324" spans="2:5" ht="14.45" customHeight="1">
      <c r="B324" s="102"/>
      <c r="C324" s="58" t="s">
        <v>174</v>
      </c>
      <c r="D324" s="61">
        <v>1</v>
      </c>
      <c r="E324" s="60">
        <v>0</v>
      </c>
    </row>
    <row r="325" spans="2:5" ht="14.45" customHeight="1">
      <c r="B325" s="102"/>
      <c r="C325" s="58" t="s">
        <v>176</v>
      </c>
      <c r="D325" s="61">
        <v>1</v>
      </c>
      <c r="E325" s="60">
        <v>0</v>
      </c>
    </row>
    <row r="326" spans="2:5" ht="14.45" customHeight="1">
      <c r="B326" s="102"/>
      <c r="C326" s="58" t="s">
        <v>144</v>
      </c>
      <c r="D326" s="61">
        <v>1</v>
      </c>
      <c r="E326" s="60">
        <v>0</v>
      </c>
    </row>
    <row r="327" spans="2:5" ht="14.45" customHeight="1">
      <c r="B327" s="102"/>
      <c r="C327" s="58" t="s">
        <v>195</v>
      </c>
      <c r="D327" s="61">
        <v>1</v>
      </c>
      <c r="E327" s="60">
        <v>0</v>
      </c>
    </row>
    <row r="328" spans="2:5" ht="14.45" customHeight="1">
      <c r="B328" s="103"/>
      <c r="C328" s="75" t="s">
        <v>324</v>
      </c>
      <c r="D328" s="71">
        <v>59</v>
      </c>
      <c r="E328" s="72">
        <v>8.9999999999999993E-3</v>
      </c>
    </row>
    <row r="329" spans="2:5" ht="14.45" customHeight="1">
      <c r="B329" s="101" t="s">
        <v>93</v>
      </c>
      <c r="C329" s="58" t="s">
        <v>142</v>
      </c>
      <c r="D329" s="61">
        <v>13</v>
      </c>
      <c r="E329" s="60">
        <v>2E-3</v>
      </c>
    </row>
    <row r="330" spans="2:5" ht="14.45" customHeight="1">
      <c r="B330" s="102"/>
      <c r="C330" s="58" t="s">
        <v>143</v>
      </c>
      <c r="D330" s="61">
        <v>9</v>
      </c>
      <c r="E330" s="60">
        <v>1E-3</v>
      </c>
    </row>
    <row r="331" spans="2:5" ht="14.45" customHeight="1">
      <c r="B331" s="102"/>
      <c r="C331" s="58" t="s">
        <v>144</v>
      </c>
      <c r="D331" s="61">
        <v>6</v>
      </c>
      <c r="E331" s="60">
        <v>1E-3</v>
      </c>
    </row>
    <row r="332" spans="2:5" ht="14.45" customHeight="1">
      <c r="B332" s="102"/>
      <c r="C332" s="58" t="s">
        <v>194</v>
      </c>
      <c r="D332" s="61">
        <v>3</v>
      </c>
      <c r="E332" s="60">
        <v>0</v>
      </c>
    </row>
    <row r="333" spans="2:5" ht="14.45" customHeight="1">
      <c r="B333" s="102"/>
      <c r="C333" s="58" t="s">
        <v>55</v>
      </c>
      <c r="D333" s="61">
        <v>2</v>
      </c>
      <c r="E333" s="60">
        <v>0</v>
      </c>
    </row>
    <row r="334" spans="2:5" ht="14.45" customHeight="1">
      <c r="B334" s="102"/>
      <c r="C334" s="58" t="s">
        <v>146</v>
      </c>
      <c r="D334" s="61">
        <v>1</v>
      </c>
      <c r="E334" s="60">
        <v>0</v>
      </c>
    </row>
    <row r="335" spans="2:5" ht="14.45" customHeight="1">
      <c r="B335" s="102"/>
      <c r="C335" s="58" t="s">
        <v>147</v>
      </c>
      <c r="D335" s="61">
        <v>1</v>
      </c>
      <c r="E335" s="60">
        <v>0</v>
      </c>
    </row>
    <row r="336" spans="2:5" ht="14.45" customHeight="1">
      <c r="B336" s="102"/>
      <c r="C336" s="58" t="s">
        <v>148</v>
      </c>
      <c r="D336" s="61">
        <v>1</v>
      </c>
      <c r="E336" s="60">
        <v>0</v>
      </c>
    </row>
    <row r="337" spans="2:5" ht="14.45" customHeight="1">
      <c r="B337" s="102"/>
      <c r="C337" s="58" t="s">
        <v>161</v>
      </c>
      <c r="D337" s="61">
        <v>1</v>
      </c>
      <c r="E337" s="60">
        <v>0</v>
      </c>
    </row>
    <row r="338" spans="2:5" ht="14.45" customHeight="1">
      <c r="B338" s="102"/>
      <c r="C338" s="58" t="s">
        <v>167</v>
      </c>
      <c r="D338" s="61">
        <v>1</v>
      </c>
      <c r="E338" s="60">
        <v>0</v>
      </c>
    </row>
    <row r="339" spans="2:5" ht="14.45" customHeight="1">
      <c r="B339" s="102"/>
      <c r="C339" s="58" t="s">
        <v>172</v>
      </c>
      <c r="D339" s="61">
        <v>1</v>
      </c>
      <c r="E339" s="60">
        <v>0</v>
      </c>
    </row>
    <row r="340" spans="2:5" ht="14.45" customHeight="1">
      <c r="B340" s="102"/>
      <c r="C340" s="58" t="s">
        <v>174</v>
      </c>
      <c r="D340" s="61">
        <v>1</v>
      </c>
      <c r="E340" s="60">
        <v>0</v>
      </c>
    </row>
    <row r="341" spans="2:5" ht="14.45" customHeight="1">
      <c r="B341" s="102"/>
      <c r="C341" s="58" t="s">
        <v>187</v>
      </c>
      <c r="D341" s="61">
        <v>1</v>
      </c>
      <c r="E341" s="60">
        <v>0</v>
      </c>
    </row>
    <row r="342" spans="2:5" ht="14.45" customHeight="1">
      <c r="B342" s="102"/>
      <c r="C342" s="58" t="s">
        <v>193</v>
      </c>
      <c r="D342" s="61">
        <v>1</v>
      </c>
      <c r="E342" s="60">
        <v>0</v>
      </c>
    </row>
    <row r="343" spans="2:5" ht="14.45" customHeight="1">
      <c r="B343" s="102"/>
      <c r="C343" s="58" t="s">
        <v>61</v>
      </c>
      <c r="D343" s="61">
        <v>1</v>
      </c>
      <c r="E343" s="60">
        <v>0</v>
      </c>
    </row>
    <row r="344" spans="2:5" ht="14.45" customHeight="1">
      <c r="B344" s="103"/>
      <c r="C344" s="75" t="s">
        <v>324</v>
      </c>
      <c r="D344" s="71">
        <v>43</v>
      </c>
      <c r="E344" s="72">
        <v>6.0000000000000001E-3</v>
      </c>
    </row>
    <row r="345" spans="2:5" ht="14.45" customHeight="1">
      <c r="B345" s="101" t="s">
        <v>117</v>
      </c>
      <c r="C345" s="58" t="s">
        <v>142</v>
      </c>
      <c r="D345" s="61">
        <v>6</v>
      </c>
      <c r="E345" s="60">
        <v>1E-3</v>
      </c>
    </row>
    <row r="346" spans="2:5" ht="14.45" customHeight="1">
      <c r="B346" s="102"/>
      <c r="C346" s="58" t="s">
        <v>193</v>
      </c>
      <c r="D346" s="61">
        <v>6</v>
      </c>
      <c r="E346" s="60">
        <v>1E-3</v>
      </c>
    </row>
    <row r="347" spans="2:5" ht="14.45" customHeight="1">
      <c r="B347" s="102"/>
      <c r="C347" s="58" t="s">
        <v>55</v>
      </c>
      <c r="D347" s="61">
        <v>5</v>
      </c>
      <c r="E347" s="60">
        <v>1E-3</v>
      </c>
    </row>
    <row r="348" spans="2:5" ht="14.45" customHeight="1">
      <c r="B348" s="102"/>
      <c r="C348" s="58" t="s">
        <v>143</v>
      </c>
      <c r="D348" s="61">
        <v>3</v>
      </c>
      <c r="E348" s="60">
        <v>0</v>
      </c>
    </row>
    <row r="349" spans="2:5" ht="14.45" customHeight="1">
      <c r="B349" s="102"/>
      <c r="C349" s="58" t="s">
        <v>187</v>
      </c>
      <c r="D349" s="61">
        <v>3</v>
      </c>
      <c r="E349" s="60">
        <v>0</v>
      </c>
    </row>
    <row r="350" spans="2:5" ht="14.45" customHeight="1">
      <c r="B350" s="102"/>
      <c r="C350" s="58" t="s">
        <v>162</v>
      </c>
      <c r="D350" s="61">
        <v>2</v>
      </c>
      <c r="E350" s="60">
        <v>0</v>
      </c>
    </row>
    <row r="351" spans="2:5" ht="14.45" customHeight="1">
      <c r="B351" s="102"/>
      <c r="C351" s="58" t="s">
        <v>167</v>
      </c>
      <c r="D351" s="61">
        <v>2</v>
      </c>
      <c r="E351" s="60">
        <v>0</v>
      </c>
    </row>
    <row r="352" spans="2:5" ht="14.45" customHeight="1">
      <c r="B352" s="102"/>
      <c r="C352" s="58" t="s">
        <v>172</v>
      </c>
      <c r="D352" s="61">
        <v>2</v>
      </c>
      <c r="E352" s="60">
        <v>0</v>
      </c>
    </row>
    <row r="353" spans="2:5" ht="14.45" customHeight="1">
      <c r="B353" s="102"/>
      <c r="C353" s="58" t="s">
        <v>182</v>
      </c>
      <c r="D353" s="61">
        <v>2</v>
      </c>
      <c r="E353" s="60">
        <v>0</v>
      </c>
    </row>
    <row r="354" spans="2:5" ht="14.45" customHeight="1">
      <c r="B354" s="102"/>
      <c r="C354" s="58" t="s">
        <v>144</v>
      </c>
      <c r="D354" s="61">
        <v>2</v>
      </c>
      <c r="E354" s="60">
        <v>0</v>
      </c>
    </row>
    <row r="355" spans="2:5" ht="14.45" customHeight="1">
      <c r="B355" s="102"/>
      <c r="C355" s="58" t="s">
        <v>147</v>
      </c>
      <c r="D355" s="61">
        <v>1</v>
      </c>
      <c r="E355" s="60">
        <v>0</v>
      </c>
    </row>
    <row r="356" spans="2:5" ht="14.45" customHeight="1">
      <c r="B356" s="102"/>
      <c r="C356" s="58" t="s">
        <v>168</v>
      </c>
      <c r="D356" s="61">
        <v>1</v>
      </c>
      <c r="E356" s="60">
        <v>0</v>
      </c>
    </row>
    <row r="357" spans="2:5" ht="14.45" customHeight="1">
      <c r="B357" s="102"/>
      <c r="C357" s="58" t="s">
        <v>183</v>
      </c>
      <c r="D357" s="61">
        <v>1</v>
      </c>
      <c r="E357" s="60">
        <v>0</v>
      </c>
    </row>
    <row r="358" spans="2:5" ht="14.45" customHeight="1">
      <c r="B358" s="102"/>
      <c r="C358" s="58" t="s">
        <v>206</v>
      </c>
      <c r="D358" s="61">
        <v>1</v>
      </c>
      <c r="E358" s="60">
        <v>0</v>
      </c>
    </row>
    <row r="359" spans="2:5" ht="14.45" customHeight="1">
      <c r="B359" s="103"/>
      <c r="C359" s="75" t="s">
        <v>324</v>
      </c>
      <c r="D359" s="71">
        <v>37</v>
      </c>
      <c r="E359" s="72">
        <v>6.0000000000000001E-3</v>
      </c>
    </row>
    <row r="360" spans="2:5" ht="14.45" customHeight="1">
      <c r="B360" s="101" t="s">
        <v>112</v>
      </c>
      <c r="C360" s="58" t="s">
        <v>142</v>
      </c>
      <c r="D360" s="61">
        <v>8</v>
      </c>
      <c r="E360" s="60">
        <v>1E-3</v>
      </c>
    </row>
    <row r="361" spans="2:5" ht="14.45" customHeight="1">
      <c r="B361" s="102"/>
      <c r="C361" s="58" t="s">
        <v>143</v>
      </c>
      <c r="D361" s="61">
        <v>5</v>
      </c>
      <c r="E361" s="60">
        <v>1E-3</v>
      </c>
    </row>
    <row r="362" spans="2:5" ht="14.45" customHeight="1">
      <c r="B362" s="102"/>
      <c r="C362" s="58" t="s">
        <v>146</v>
      </c>
      <c r="D362" s="61">
        <v>4</v>
      </c>
      <c r="E362" s="60">
        <v>1E-3</v>
      </c>
    </row>
    <row r="363" spans="2:5" ht="14.45" customHeight="1">
      <c r="B363" s="102"/>
      <c r="C363" s="58" t="s">
        <v>193</v>
      </c>
      <c r="D363" s="61">
        <v>4</v>
      </c>
      <c r="E363" s="60">
        <v>1E-3</v>
      </c>
    </row>
    <row r="364" spans="2:5" ht="14.45" customHeight="1">
      <c r="B364" s="102"/>
      <c r="C364" s="58" t="s">
        <v>55</v>
      </c>
      <c r="D364" s="61">
        <v>3</v>
      </c>
      <c r="E364" s="60">
        <v>0</v>
      </c>
    </row>
    <row r="365" spans="2:5" ht="14.45" customHeight="1">
      <c r="B365" s="102"/>
      <c r="C365" s="58" t="s">
        <v>174</v>
      </c>
      <c r="D365" s="61">
        <v>2</v>
      </c>
      <c r="E365" s="60">
        <v>0</v>
      </c>
    </row>
    <row r="366" spans="2:5" ht="14.45" customHeight="1">
      <c r="B366" s="102"/>
      <c r="C366" s="58" t="s">
        <v>155</v>
      </c>
      <c r="D366" s="61">
        <v>1</v>
      </c>
      <c r="E366" s="60">
        <v>0</v>
      </c>
    </row>
    <row r="367" spans="2:5" ht="14.45" customHeight="1">
      <c r="B367" s="102"/>
      <c r="C367" s="58" t="s">
        <v>160</v>
      </c>
      <c r="D367" s="61">
        <v>1</v>
      </c>
      <c r="E367" s="60">
        <v>0</v>
      </c>
    </row>
    <row r="368" spans="2:5" ht="14.45" customHeight="1">
      <c r="B368" s="102"/>
      <c r="C368" s="58" t="s">
        <v>161</v>
      </c>
      <c r="D368" s="61">
        <v>1</v>
      </c>
      <c r="E368" s="60">
        <v>0</v>
      </c>
    </row>
    <row r="369" spans="2:5" ht="14.45" customHeight="1">
      <c r="B369" s="102"/>
      <c r="C369" s="58" t="s">
        <v>168</v>
      </c>
      <c r="D369" s="61">
        <v>1</v>
      </c>
      <c r="E369" s="60">
        <v>0</v>
      </c>
    </row>
    <row r="370" spans="2:5" ht="14.45" customHeight="1">
      <c r="B370" s="102"/>
      <c r="C370" s="58" t="s">
        <v>172</v>
      </c>
      <c r="D370" s="61">
        <v>1</v>
      </c>
      <c r="E370" s="60">
        <v>0</v>
      </c>
    </row>
    <row r="371" spans="2:5" ht="14.45" customHeight="1">
      <c r="B371" s="102"/>
      <c r="C371" s="58" t="s">
        <v>181</v>
      </c>
      <c r="D371" s="61">
        <v>1</v>
      </c>
      <c r="E371" s="60">
        <v>0</v>
      </c>
    </row>
    <row r="372" spans="2:5" ht="14.45" customHeight="1">
      <c r="B372" s="102"/>
      <c r="C372" s="58" t="s">
        <v>144</v>
      </c>
      <c r="D372" s="61">
        <v>1</v>
      </c>
      <c r="E372" s="60">
        <v>0</v>
      </c>
    </row>
    <row r="373" spans="2:5" ht="14.45" customHeight="1">
      <c r="B373" s="102"/>
      <c r="C373" s="58" t="s">
        <v>187</v>
      </c>
      <c r="D373" s="61">
        <v>1</v>
      </c>
      <c r="E373" s="60">
        <v>0</v>
      </c>
    </row>
    <row r="374" spans="2:5" ht="14.45" customHeight="1">
      <c r="B374" s="103"/>
      <c r="C374" s="75" t="s">
        <v>324</v>
      </c>
      <c r="D374" s="71">
        <v>34</v>
      </c>
      <c r="E374" s="72">
        <v>5.0000000000000001E-3</v>
      </c>
    </row>
    <row r="375" spans="2:5" ht="14.45" customHeight="1">
      <c r="B375" s="101" t="s">
        <v>128</v>
      </c>
      <c r="C375" s="58" t="s">
        <v>142</v>
      </c>
      <c r="D375" s="61">
        <v>12</v>
      </c>
      <c r="E375" s="60">
        <v>2E-3</v>
      </c>
    </row>
    <row r="376" spans="2:5" ht="14.45" customHeight="1">
      <c r="B376" s="102"/>
      <c r="C376" s="58" t="s">
        <v>143</v>
      </c>
      <c r="D376" s="61">
        <v>4</v>
      </c>
      <c r="E376" s="60">
        <v>1E-3</v>
      </c>
    </row>
    <row r="377" spans="2:5" ht="14.45" customHeight="1">
      <c r="B377" s="102"/>
      <c r="C377" s="58" t="s">
        <v>55</v>
      </c>
      <c r="D377" s="61">
        <v>4</v>
      </c>
      <c r="E377" s="60">
        <v>1E-3</v>
      </c>
    </row>
    <row r="378" spans="2:5" ht="14.45" customHeight="1">
      <c r="B378" s="102"/>
      <c r="C378" s="58" t="s">
        <v>172</v>
      </c>
      <c r="D378" s="61">
        <v>3</v>
      </c>
      <c r="E378" s="60">
        <v>0</v>
      </c>
    </row>
    <row r="379" spans="2:5" ht="14.45" customHeight="1">
      <c r="B379" s="102"/>
      <c r="C379" s="58" t="s">
        <v>146</v>
      </c>
      <c r="D379" s="61">
        <v>2</v>
      </c>
      <c r="E379" s="60">
        <v>0</v>
      </c>
    </row>
    <row r="380" spans="2:5" ht="14.45" customHeight="1">
      <c r="B380" s="102"/>
      <c r="C380" s="58" t="s">
        <v>177</v>
      </c>
      <c r="D380" s="61">
        <v>2</v>
      </c>
      <c r="E380" s="60">
        <v>0</v>
      </c>
    </row>
    <row r="381" spans="2:5" ht="14.45" customHeight="1">
      <c r="B381" s="102"/>
      <c r="C381" s="58" t="s">
        <v>160</v>
      </c>
      <c r="D381" s="61">
        <v>1</v>
      </c>
      <c r="E381" s="60">
        <v>0</v>
      </c>
    </row>
    <row r="382" spans="2:5" ht="14.45" customHeight="1">
      <c r="B382" s="102"/>
      <c r="C382" s="58" t="s">
        <v>161</v>
      </c>
      <c r="D382" s="61">
        <v>1</v>
      </c>
      <c r="E382" s="60">
        <v>0</v>
      </c>
    </row>
    <row r="383" spans="2:5" ht="14.45" customHeight="1">
      <c r="B383" s="102"/>
      <c r="C383" s="58" t="s">
        <v>292</v>
      </c>
      <c r="D383" s="61">
        <v>1</v>
      </c>
      <c r="E383" s="60">
        <v>0</v>
      </c>
    </row>
    <row r="384" spans="2:5" ht="14.45" customHeight="1">
      <c r="B384" s="102"/>
      <c r="C384" s="58" t="s">
        <v>167</v>
      </c>
      <c r="D384" s="61">
        <v>1</v>
      </c>
      <c r="E384" s="60">
        <v>0</v>
      </c>
    </row>
    <row r="385" spans="2:5" ht="14.45" customHeight="1">
      <c r="B385" s="102"/>
      <c r="C385" s="58" t="s">
        <v>178</v>
      </c>
      <c r="D385" s="61">
        <v>1</v>
      </c>
      <c r="E385" s="60">
        <v>0</v>
      </c>
    </row>
    <row r="386" spans="2:5" ht="14.45" customHeight="1">
      <c r="B386" s="102"/>
      <c r="C386" s="58" t="s">
        <v>144</v>
      </c>
      <c r="D386" s="61">
        <v>1</v>
      </c>
      <c r="E386" s="60">
        <v>0</v>
      </c>
    </row>
    <row r="387" spans="2:5" ht="14.45" customHeight="1">
      <c r="B387" s="103"/>
      <c r="C387" s="75" t="s">
        <v>324</v>
      </c>
      <c r="D387" s="71">
        <v>33</v>
      </c>
      <c r="E387" s="72">
        <v>5.0000000000000001E-3</v>
      </c>
    </row>
    <row r="388" spans="2:5" ht="14.45" customHeight="1">
      <c r="B388" s="101" t="s">
        <v>134</v>
      </c>
      <c r="C388" s="58" t="s">
        <v>143</v>
      </c>
      <c r="D388" s="61">
        <v>10</v>
      </c>
      <c r="E388" s="60">
        <v>1E-3</v>
      </c>
    </row>
    <row r="389" spans="2:5" ht="14.45" customHeight="1">
      <c r="B389" s="102"/>
      <c r="C389" s="58" t="s">
        <v>144</v>
      </c>
      <c r="D389" s="61">
        <v>4</v>
      </c>
      <c r="E389" s="60">
        <v>1E-3</v>
      </c>
    </row>
    <row r="390" spans="2:5" ht="14.45" customHeight="1">
      <c r="B390" s="102"/>
      <c r="C390" s="58" t="s">
        <v>142</v>
      </c>
      <c r="D390" s="61">
        <v>3</v>
      </c>
      <c r="E390" s="60">
        <v>0</v>
      </c>
    </row>
    <row r="391" spans="2:5" ht="14.45" customHeight="1">
      <c r="B391" s="102"/>
      <c r="C391" s="58" t="s">
        <v>55</v>
      </c>
      <c r="D391" s="61">
        <v>3</v>
      </c>
      <c r="E391" s="60">
        <v>0</v>
      </c>
    </row>
    <row r="392" spans="2:5" ht="14.45" customHeight="1">
      <c r="B392" s="102"/>
      <c r="C392" s="58" t="s">
        <v>161</v>
      </c>
      <c r="D392" s="61">
        <v>2</v>
      </c>
      <c r="E392" s="60">
        <v>0</v>
      </c>
    </row>
    <row r="393" spans="2:5" ht="14.45" customHeight="1">
      <c r="B393" s="102"/>
      <c r="C393" s="58" t="s">
        <v>174</v>
      </c>
      <c r="D393" s="61">
        <v>2</v>
      </c>
      <c r="E393" s="60">
        <v>0</v>
      </c>
    </row>
    <row r="394" spans="2:5" ht="14.45" customHeight="1">
      <c r="B394" s="102"/>
      <c r="C394" s="58" t="s">
        <v>186</v>
      </c>
      <c r="D394" s="61">
        <v>2</v>
      </c>
      <c r="E394" s="60">
        <v>0</v>
      </c>
    </row>
    <row r="395" spans="2:5" ht="14.45" customHeight="1">
      <c r="B395" s="102"/>
      <c r="C395" s="58" t="s">
        <v>193</v>
      </c>
      <c r="D395" s="61">
        <v>2</v>
      </c>
      <c r="E395" s="60">
        <v>0</v>
      </c>
    </row>
    <row r="396" spans="2:5" ht="14.45" customHeight="1">
      <c r="B396" s="102"/>
      <c r="C396" s="58" t="s">
        <v>146</v>
      </c>
      <c r="D396" s="61">
        <v>1</v>
      </c>
      <c r="E396" s="60">
        <v>0</v>
      </c>
    </row>
    <row r="397" spans="2:5" ht="14.45" customHeight="1">
      <c r="B397" s="102"/>
      <c r="C397" s="58" t="s">
        <v>170</v>
      </c>
      <c r="D397" s="61">
        <v>1</v>
      </c>
      <c r="E397" s="60">
        <v>0</v>
      </c>
    </row>
    <row r="398" spans="2:5" ht="14.45" customHeight="1">
      <c r="B398" s="102"/>
      <c r="C398" s="58" t="s">
        <v>182</v>
      </c>
      <c r="D398" s="61">
        <v>1</v>
      </c>
      <c r="E398" s="60">
        <v>0</v>
      </c>
    </row>
    <row r="399" spans="2:5" ht="14.45" customHeight="1">
      <c r="B399" s="102"/>
      <c r="C399" s="58" t="s">
        <v>187</v>
      </c>
      <c r="D399" s="61">
        <v>1</v>
      </c>
      <c r="E399" s="60">
        <v>0</v>
      </c>
    </row>
    <row r="400" spans="2:5" ht="14.45" customHeight="1">
      <c r="B400" s="102"/>
      <c r="C400" s="58" t="s">
        <v>206</v>
      </c>
      <c r="D400" s="61">
        <v>1</v>
      </c>
      <c r="E400" s="60">
        <v>0</v>
      </c>
    </row>
    <row r="401" spans="2:5" ht="14.45" customHeight="1">
      <c r="B401" s="103"/>
      <c r="C401" s="75" t="s">
        <v>324</v>
      </c>
      <c r="D401" s="71">
        <v>33</v>
      </c>
      <c r="E401" s="72">
        <v>5.0000000000000001E-3</v>
      </c>
    </row>
    <row r="402" spans="2:5" ht="14.45" customHeight="1">
      <c r="B402" s="101" t="s">
        <v>126</v>
      </c>
      <c r="C402" s="58" t="s">
        <v>143</v>
      </c>
      <c r="D402" s="61">
        <v>8</v>
      </c>
      <c r="E402" s="60">
        <v>1E-3</v>
      </c>
    </row>
    <row r="403" spans="2:5" ht="14.45" customHeight="1">
      <c r="B403" s="102"/>
      <c r="C403" s="58" t="s">
        <v>142</v>
      </c>
      <c r="D403" s="61">
        <v>6</v>
      </c>
      <c r="E403" s="60">
        <v>1E-3</v>
      </c>
    </row>
    <row r="404" spans="2:5" ht="14.45" customHeight="1">
      <c r="B404" s="102"/>
      <c r="C404" s="58" t="s">
        <v>174</v>
      </c>
      <c r="D404" s="61">
        <v>3</v>
      </c>
      <c r="E404" s="60">
        <v>0</v>
      </c>
    </row>
    <row r="405" spans="2:5" ht="14.45" customHeight="1">
      <c r="B405" s="102"/>
      <c r="C405" s="58" t="s">
        <v>144</v>
      </c>
      <c r="D405" s="61">
        <v>3</v>
      </c>
      <c r="E405" s="60">
        <v>0</v>
      </c>
    </row>
    <row r="406" spans="2:5" ht="14.45" customHeight="1">
      <c r="B406" s="102"/>
      <c r="C406" s="58" t="s">
        <v>146</v>
      </c>
      <c r="D406" s="61">
        <v>2</v>
      </c>
      <c r="E406" s="60">
        <v>0</v>
      </c>
    </row>
    <row r="407" spans="2:5" ht="14.45" customHeight="1">
      <c r="B407" s="102"/>
      <c r="C407" s="58" t="s">
        <v>161</v>
      </c>
      <c r="D407" s="61">
        <v>2</v>
      </c>
      <c r="E407" s="60">
        <v>0</v>
      </c>
    </row>
    <row r="408" spans="2:5" ht="14.45" customHeight="1">
      <c r="B408" s="102"/>
      <c r="C408" s="58" t="s">
        <v>172</v>
      </c>
      <c r="D408" s="61">
        <v>2</v>
      </c>
      <c r="E408" s="60">
        <v>0</v>
      </c>
    </row>
    <row r="409" spans="2:5" ht="14.45" customHeight="1">
      <c r="B409" s="102"/>
      <c r="C409" s="58" t="s">
        <v>293</v>
      </c>
      <c r="D409" s="61">
        <v>2</v>
      </c>
      <c r="E409" s="60">
        <v>0</v>
      </c>
    </row>
    <row r="410" spans="2:5" ht="14.45" customHeight="1">
      <c r="B410" s="102"/>
      <c r="C410" s="58" t="s">
        <v>160</v>
      </c>
      <c r="D410" s="61">
        <v>1</v>
      </c>
      <c r="E410" s="60">
        <v>0</v>
      </c>
    </row>
    <row r="411" spans="2:5" ht="14.45" customHeight="1">
      <c r="B411" s="102"/>
      <c r="C411" s="58" t="s">
        <v>165</v>
      </c>
      <c r="D411" s="61">
        <v>1</v>
      </c>
      <c r="E411" s="60">
        <v>0</v>
      </c>
    </row>
    <row r="412" spans="2:5" ht="14.45" customHeight="1">
      <c r="B412" s="102"/>
      <c r="C412" s="58" t="s">
        <v>169</v>
      </c>
      <c r="D412" s="61">
        <v>1</v>
      </c>
      <c r="E412" s="60">
        <v>0</v>
      </c>
    </row>
    <row r="413" spans="2:5" ht="14.45" customHeight="1">
      <c r="B413" s="102"/>
      <c r="C413" s="58" t="s">
        <v>192</v>
      </c>
      <c r="D413" s="61">
        <v>1</v>
      </c>
      <c r="E413" s="60">
        <v>0</v>
      </c>
    </row>
    <row r="414" spans="2:5" ht="14.45" customHeight="1">
      <c r="B414" s="103"/>
      <c r="C414" s="75" t="s">
        <v>324</v>
      </c>
      <c r="D414" s="71">
        <v>32</v>
      </c>
      <c r="E414" s="72">
        <v>5.0000000000000001E-3</v>
      </c>
    </row>
    <row r="415" spans="2:5" ht="14.45" customHeight="1">
      <c r="B415" s="101" t="s">
        <v>110</v>
      </c>
      <c r="C415" s="58" t="s">
        <v>143</v>
      </c>
      <c r="D415" s="61">
        <v>8</v>
      </c>
      <c r="E415" s="60">
        <v>1E-3</v>
      </c>
    </row>
    <row r="416" spans="2:5" ht="14.45" customHeight="1">
      <c r="B416" s="102"/>
      <c r="C416" s="58" t="s">
        <v>172</v>
      </c>
      <c r="D416" s="61">
        <v>4</v>
      </c>
      <c r="E416" s="60">
        <v>1E-3</v>
      </c>
    </row>
    <row r="417" spans="2:5" ht="14.45" customHeight="1">
      <c r="B417" s="102"/>
      <c r="C417" s="58" t="s">
        <v>55</v>
      </c>
      <c r="D417" s="61">
        <v>4</v>
      </c>
      <c r="E417" s="60">
        <v>1E-3</v>
      </c>
    </row>
    <row r="418" spans="2:5" ht="14.45" customHeight="1">
      <c r="B418" s="102"/>
      <c r="C418" s="58" t="s">
        <v>144</v>
      </c>
      <c r="D418" s="61">
        <v>3</v>
      </c>
      <c r="E418" s="60">
        <v>0</v>
      </c>
    </row>
    <row r="419" spans="2:5" ht="14.45" customHeight="1">
      <c r="B419" s="102"/>
      <c r="C419" s="58" t="s">
        <v>193</v>
      </c>
      <c r="D419" s="61">
        <v>3</v>
      </c>
      <c r="E419" s="60">
        <v>0</v>
      </c>
    </row>
    <row r="420" spans="2:5" ht="14.45" customHeight="1">
      <c r="B420" s="102"/>
      <c r="C420" s="58" t="s">
        <v>146</v>
      </c>
      <c r="D420" s="61">
        <v>1</v>
      </c>
      <c r="E420" s="60">
        <v>0</v>
      </c>
    </row>
    <row r="421" spans="2:5" ht="14.45" customHeight="1">
      <c r="B421" s="102"/>
      <c r="C421" s="58" t="s">
        <v>142</v>
      </c>
      <c r="D421" s="61">
        <v>1</v>
      </c>
      <c r="E421" s="60">
        <v>0</v>
      </c>
    </row>
    <row r="422" spans="2:5" ht="14.45" customHeight="1">
      <c r="B422" s="102"/>
      <c r="C422" s="58" t="s">
        <v>162</v>
      </c>
      <c r="D422" s="61">
        <v>1</v>
      </c>
      <c r="E422" s="60">
        <v>0</v>
      </c>
    </row>
    <row r="423" spans="2:5" ht="14.45" customHeight="1">
      <c r="B423" s="102"/>
      <c r="C423" s="58" t="s">
        <v>167</v>
      </c>
      <c r="D423" s="61">
        <v>1</v>
      </c>
      <c r="E423" s="60">
        <v>0</v>
      </c>
    </row>
    <row r="424" spans="2:5" ht="14.45" customHeight="1">
      <c r="B424" s="102"/>
      <c r="C424" s="58" t="s">
        <v>176</v>
      </c>
      <c r="D424" s="61">
        <v>1</v>
      </c>
      <c r="E424" s="60">
        <v>0</v>
      </c>
    </row>
    <row r="425" spans="2:5" ht="14.45" customHeight="1">
      <c r="B425" s="102"/>
      <c r="C425" s="58" t="s">
        <v>182</v>
      </c>
      <c r="D425" s="61">
        <v>1</v>
      </c>
      <c r="E425" s="60">
        <v>0</v>
      </c>
    </row>
    <row r="426" spans="2:5" ht="14.45" customHeight="1">
      <c r="B426" s="103"/>
      <c r="C426" s="75" t="s">
        <v>324</v>
      </c>
      <c r="D426" s="71">
        <v>28</v>
      </c>
      <c r="E426" s="72">
        <v>4.0000000000000001E-3</v>
      </c>
    </row>
    <row r="427" spans="2:5" ht="14.45" customHeight="1">
      <c r="B427" s="101" t="s">
        <v>106</v>
      </c>
      <c r="C427" s="58" t="s">
        <v>143</v>
      </c>
      <c r="D427" s="61">
        <v>10</v>
      </c>
      <c r="E427" s="60">
        <v>1E-3</v>
      </c>
    </row>
    <row r="428" spans="2:5" ht="14.45" customHeight="1">
      <c r="B428" s="102"/>
      <c r="C428" s="58" t="s">
        <v>142</v>
      </c>
      <c r="D428" s="61">
        <v>4</v>
      </c>
      <c r="E428" s="60">
        <v>1E-3</v>
      </c>
    </row>
    <row r="429" spans="2:5" ht="14.45" customHeight="1">
      <c r="B429" s="102"/>
      <c r="C429" s="58" t="s">
        <v>161</v>
      </c>
      <c r="D429" s="61">
        <v>3</v>
      </c>
      <c r="E429" s="60">
        <v>0</v>
      </c>
    </row>
    <row r="430" spans="2:5" ht="14.45" customHeight="1">
      <c r="B430" s="102"/>
      <c r="C430" s="58" t="s">
        <v>144</v>
      </c>
      <c r="D430" s="61">
        <v>3</v>
      </c>
      <c r="E430" s="60">
        <v>0</v>
      </c>
    </row>
    <row r="431" spans="2:5" ht="14.45" customHeight="1">
      <c r="B431" s="102"/>
      <c r="C431" s="58" t="s">
        <v>172</v>
      </c>
      <c r="D431" s="61">
        <v>2</v>
      </c>
      <c r="E431" s="60">
        <v>0</v>
      </c>
    </row>
    <row r="432" spans="2:5" ht="14.45" customHeight="1">
      <c r="B432" s="102"/>
      <c r="C432" s="58" t="s">
        <v>55</v>
      </c>
      <c r="D432" s="61">
        <v>2</v>
      </c>
      <c r="E432" s="60">
        <v>0</v>
      </c>
    </row>
    <row r="433" spans="2:5" ht="14.45" customHeight="1">
      <c r="B433" s="102"/>
      <c r="C433" s="58" t="s">
        <v>163</v>
      </c>
      <c r="D433" s="61">
        <v>1</v>
      </c>
      <c r="E433" s="60">
        <v>0</v>
      </c>
    </row>
    <row r="434" spans="2:5" ht="14.45" customHeight="1">
      <c r="B434" s="102"/>
      <c r="C434" s="58" t="s">
        <v>170</v>
      </c>
      <c r="D434" s="61">
        <v>1</v>
      </c>
      <c r="E434" s="60">
        <v>0</v>
      </c>
    </row>
    <row r="435" spans="2:5" ht="14.45" customHeight="1">
      <c r="B435" s="102"/>
      <c r="C435" s="58" t="s">
        <v>208</v>
      </c>
      <c r="D435" s="61">
        <v>1</v>
      </c>
      <c r="E435" s="60">
        <v>0</v>
      </c>
    </row>
    <row r="436" spans="2:5" ht="14.45" customHeight="1">
      <c r="B436" s="103"/>
      <c r="C436" s="75" t="s">
        <v>324</v>
      </c>
      <c r="D436" s="71">
        <v>27</v>
      </c>
      <c r="E436" s="72">
        <v>4.0000000000000001E-3</v>
      </c>
    </row>
    <row r="437" spans="2:5" ht="14.45" customHeight="1">
      <c r="B437" s="101" t="s">
        <v>98</v>
      </c>
      <c r="C437" s="58" t="s">
        <v>142</v>
      </c>
      <c r="D437" s="61">
        <v>6</v>
      </c>
      <c r="E437" s="60">
        <v>1E-3</v>
      </c>
    </row>
    <row r="438" spans="2:5" ht="14.45" customHeight="1">
      <c r="B438" s="102"/>
      <c r="C438" s="58" t="s">
        <v>143</v>
      </c>
      <c r="D438" s="61">
        <v>5</v>
      </c>
      <c r="E438" s="60">
        <v>1E-3</v>
      </c>
    </row>
    <row r="439" spans="2:5" ht="14.45" customHeight="1">
      <c r="B439" s="102"/>
      <c r="C439" s="58" t="s">
        <v>55</v>
      </c>
      <c r="D439" s="61">
        <v>5</v>
      </c>
      <c r="E439" s="60">
        <v>1E-3</v>
      </c>
    </row>
    <row r="440" spans="2:5" ht="14.45" customHeight="1">
      <c r="B440" s="102"/>
      <c r="C440" s="58" t="s">
        <v>161</v>
      </c>
      <c r="D440" s="61">
        <v>2</v>
      </c>
      <c r="E440" s="60">
        <v>0</v>
      </c>
    </row>
    <row r="441" spans="2:5" ht="14.45" customHeight="1">
      <c r="B441" s="102"/>
      <c r="C441" s="58" t="s">
        <v>172</v>
      </c>
      <c r="D441" s="61">
        <v>2</v>
      </c>
      <c r="E441" s="60">
        <v>0</v>
      </c>
    </row>
    <row r="442" spans="2:5" ht="14.45" customHeight="1">
      <c r="B442" s="102"/>
      <c r="C442" s="58" t="s">
        <v>182</v>
      </c>
      <c r="D442" s="61">
        <v>2</v>
      </c>
      <c r="E442" s="60">
        <v>0</v>
      </c>
    </row>
    <row r="443" spans="2:5" ht="14.45" customHeight="1">
      <c r="B443" s="102"/>
      <c r="C443" s="58" t="s">
        <v>146</v>
      </c>
      <c r="D443" s="61">
        <v>1</v>
      </c>
      <c r="E443" s="60">
        <v>0</v>
      </c>
    </row>
    <row r="444" spans="2:5" ht="14.45" customHeight="1">
      <c r="B444" s="102"/>
      <c r="C444" s="58" t="s">
        <v>162</v>
      </c>
      <c r="D444" s="61">
        <v>1</v>
      </c>
      <c r="E444" s="60">
        <v>0</v>
      </c>
    </row>
    <row r="445" spans="2:5" ht="14.45" customHeight="1">
      <c r="B445" s="102"/>
      <c r="C445" s="58" t="s">
        <v>144</v>
      </c>
      <c r="D445" s="61">
        <v>1</v>
      </c>
      <c r="E445" s="60">
        <v>0</v>
      </c>
    </row>
    <row r="446" spans="2:5" ht="14.45" customHeight="1">
      <c r="B446" s="103"/>
      <c r="C446" s="75" t="s">
        <v>324</v>
      </c>
      <c r="D446" s="71">
        <v>25</v>
      </c>
      <c r="E446" s="72">
        <v>4.0000000000000001E-3</v>
      </c>
    </row>
    <row r="447" spans="2:5" ht="14.45" customHeight="1">
      <c r="B447" s="101" t="s">
        <v>121</v>
      </c>
      <c r="C447" s="58" t="s">
        <v>193</v>
      </c>
      <c r="D447" s="61">
        <v>8</v>
      </c>
      <c r="E447" s="60">
        <v>1E-3</v>
      </c>
    </row>
    <row r="448" spans="2:5" ht="14.45" customHeight="1">
      <c r="B448" s="102"/>
      <c r="C448" s="58" t="s">
        <v>143</v>
      </c>
      <c r="D448" s="61">
        <v>5</v>
      </c>
      <c r="E448" s="60">
        <v>1E-3</v>
      </c>
    </row>
    <row r="449" spans="2:5" ht="14.45" customHeight="1">
      <c r="B449" s="102"/>
      <c r="C449" s="58" t="s">
        <v>167</v>
      </c>
      <c r="D449" s="61">
        <v>2</v>
      </c>
      <c r="E449" s="60">
        <v>0</v>
      </c>
    </row>
    <row r="450" spans="2:5" ht="14.45" customHeight="1">
      <c r="B450" s="102"/>
      <c r="C450" s="58" t="s">
        <v>172</v>
      </c>
      <c r="D450" s="61">
        <v>2</v>
      </c>
      <c r="E450" s="60">
        <v>0</v>
      </c>
    </row>
    <row r="451" spans="2:5" ht="14.45" customHeight="1">
      <c r="B451" s="102"/>
      <c r="C451" s="58" t="s">
        <v>55</v>
      </c>
      <c r="D451" s="61">
        <v>2</v>
      </c>
      <c r="E451" s="60">
        <v>0</v>
      </c>
    </row>
    <row r="452" spans="2:5" ht="14.45" customHeight="1">
      <c r="B452" s="102"/>
      <c r="C452" s="58" t="s">
        <v>146</v>
      </c>
      <c r="D452" s="61">
        <v>1</v>
      </c>
      <c r="E452" s="60">
        <v>0</v>
      </c>
    </row>
    <row r="453" spans="2:5" ht="14.45" customHeight="1">
      <c r="B453" s="102"/>
      <c r="C453" s="58" t="s">
        <v>161</v>
      </c>
      <c r="D453" s="61">
        <v>1</v>
      </c>
      <c r="E453" s="60">
        <v>0</v>
      </c>
    </row>
    <row r="454" spans="2:5" ht="14.45" customHeight="1">
      <c r="B454" s="102"/>
      <c r="C454" s="58" t="s">
        <v>142</v>
      </c>
      <c r="D454" s="61">
        <v>1</v>
      </c>
      <c r="E454" s="60">
        <v>0</v>
      </c>
    </row>
    <row r="455" spans="2:5" ht="14.45" customHeight="1">
      <c r="B455" s="102"/>
      <c r="C455" s="58" t="s">
        <v>168</v>
      </c>
      <c r="D455" s="61">
        <v>1</v>
      </c>
      <c r="E455" s="60">
        <v>0</v>
      </c>
    </row>
    <row r="456" spans="2:5" ht="14.45" customHeight="1">
      <c r="B456" s="102"/>
      <c r="C456" s="58" t="s">
        <v>144</v>
      </c>
      <c r="D456" s="61">
        <v>1</v>
      </c>
      <c r="E456" s="60">
        <v>0</v>
      </c>
    </row>
    <row r="457" spans="2:5" ht="14.45" customHeight="1">
      <c r="B457" s="102"/>
      <c r="C457" s="58" t="s">
        <v>186</v>
      </c>
      <c r="D457" s="61">
        <v>1</v>
      </c>
      <c r="E457" s="60">
        <v>0</v>
      </c>
    </row>
    <row r="458" spans="2:5" ht="14.45" customHeight="1">
      <c r="B458" s="103"/>
      <c r="C458" s="75" t="s">
        <v>324</v>
      </c>
      <c r="D458" s="71">
        <v>25</v>
      </c>
      <c r="E458" s="72">
        <v>4.0000000000000001E-3</v>
      </c>
    </row>
    <row r="459" spans="2:5" ht="14.45" customHeight="1">
      <c r="B459" s="101" t="s">
        <v>107</v>
      </c>
      <c r="C459" s="58" t="s">
        <v>142</v>
      </c>
      <c r="D459" s="61">
        <v>9</v>
      </c>
      <c r="E459" s="60">
        <v>1E-3</v>
      </c>
    </row>
    <row r="460" spans="2:5" ht="14.45" customHeight="1">
      <c r="B460" s="102"/>
      <c r="C460" s="58" t="s">
        <v>143</v>
      </c>
      <c r="D460" s="61">
        <v>4</v>
      </c>
      <c r="E460" s="60">
        <v>1E-3</v>
      </c>
    </row>
    <row r="461" spans="2:5" ht="14.45" customHeight="1">
      <c r="B461" s="102"/>
      <c r="C461" s="58" t="s">
        <v>161</v>
      </c>
      <c r="D461" s="61">
        <v>3</v>
      </c>
      <c r="E461" s="60">
        <v>0</v>
      </c>
    </row>
    <row r="462" spans="2:5" ht="14.45" customHeight="1">
      <c r="B462" s="102"/>
      <c r="C462" s="58" t="s">
        <v>55</v>
      </c>
      <c r="D462" s="61">
        <v>2</v>
      </c>
      <c r="E462" s="60">
        <v>0</v>
      </c>
    </row>
    <row r="463" spans="2:5" ht="14.45" customHeight="1">
      <c r="B463" s="102"/>
      <c r="C463" s="58" t="s">
        <v>193</v>
      </c>
      <c r="D463" s="61">
        <v>2</v>
      </c>
      <c r="E463" s="60">
        <v>0</v>
      </c>
    </row>
    <row r="464" spans="2:5" ht="14.45" customHeight="1">
      <c r="B464" s="102"/>
      <c r="C464" s="58" t="s">
        <v>168</v>
      </c>
      <c r="D464" s="61">
        <v>1</v>
      </c>
      <c r="E464" s="60">
        <v>0</v>
      </c>
    </row>
    <row r="465" spans="2:5" ht="14.45" customHeight="1">
      <c r="B465" s="102"/>
      <c r="C465" s="58" t="s">
        <v>180</v>
      </c>
      <c r="D465" s="61">
        <v>1</v>
      </c>
      <c r="E465" s="60">
        <v>0</v>
      </c>
    </row>
    <row r="466" spans="2:5" ht="14.45" customHeight="1">
      <c r="B466" s="102"/>
      <c r="C466" s="58" t="s">
        <v>182</v>
      </c>
      <c r="D466" s="61">
        <v>1</v>
      </c>
      <c r="E466" s="60">
        <v>0</v>
      </c>
    </row>
    <row r="467" spans="2:5" ht="14.45" customHeight="1">
      <c r="B467" s="102"/>
      <c r="C467" s="58" t="s">
        <v>144</v>
      </c>
      <c r="D467" s="61">
        <v>1</v>
      </c>
      <c r="E467" s="60">
        <v>0</v>
      </c>
    </row>
    <row r="468" spans="2:5" ht="14.45" customHeight="1">
      <c r="B468" s="103"/>
      <c r="C468" s="75" t="s">
        <v>324</v>
      </c>
      <c r="D468" s="71">
        <v>24</v>
      </c>
      <c r="E468" s="72">
        <v>4.0000000000000001E-3</v>
      </c>
    </row>
    <row r="469" spans="2:5" ht="14.45" customHeight="1">
      <c r="B469" s="101" t="s">
        <v>119</v>
      </c>
      <c r="C469" s="58" t="s">
        <v>142</v>
      </c>
      <c r="D469" s="61">
        <v>5</v>
      </c>
      <c r="E469" s="60">
        <v>1E-3</v>
      </c>
    </row>
    <row r="470" spans="2:5" ht="14.45" customHeight="1">
      <c r="B470" s="102"/>
      <c r="C470" s="58" t="s">
        <v>143</v>
      </c>
      <c r="D470" s="61">
        <v>5</v>
      </c>
      <c r="E470" s="60">
        <v>1E-3</v>
      </c>
    </row>
    <row r="471" spans="2:5" ht="14.45" customHeight="1">
      <c r="B471" s="102"/>
      <c r="C471" s="58" t="s">
        <v>55</v>
      </c>
      <c r="D471" s="61">
        <v>4</v>
      </c>
      <c r="E471" s="60">
        <v>1E-3</v>
      </c>
    </row>
    <row r="472" spans="2:5" ht="14.45" customHeight="1">
      <c r="B472" s="102"/>
      <c r="C472" s="58" t="s">
        <v>172</v>
      </c>
      <c r="D472" s="61">
        <v>2</v>
      </c>
      <c r="E472" s="60">
        <v>0</v>
      </c>
    </row>
    <row r="473" spans="2:5" ht="14.45" customHeight="1">
      <c r="B473" s="102"/>
      <c r="C473" s="58" t="s">
        <v>182</v>
      </c>
      <c r="D473" s="61">
        <v>2</v>
      </c>
      <c r="E473" s="60">
        <v>0</v>
      </c>
    </row>
    <row r="474" spans="2:5" ht="14.45" customHeight="1">
      <c r="B474" s="102"/>
      <c r="C474" s="58" t="s">
        <v>146</v>
      </c>
      <c r="D474" s="61">
        <v>1</v>
      </c>
      <c r="E474" s="60">
        <v>0</v>
      </c>
    </row>
    <row r="475" spans="2:5" ht="14.45" customHeight="1">
      <c r="B475" s="102"/>
      <c r="C475" s="58" t="s">
        <v>161</v>
      </c>
      <c r="D475" s="61">
        <v>1</v>
      </c>
      <c r="E475" s="60">
        <v>0</v>
      </c>
    </row>
    <row r="476" spans="2:5" ht="14.45" customHeight="1">
      <c r="B476" s="102"/>
      <c r="C476" s="58" t="s">
        <v>292</v>
      </c>
      <c r="D476" s="61">
        <v>1</v>
      </c>
      <c r="E476" s="60">
        <v>0</v>
      </c>
    </row>
    <row r="477" spans="2:5" ht="14.45" customHeight="1">
      <c r="B477" s="102"/>
      <c r="C477" s="58" t="s">
        <v>170</v>
      </c>
      <c r="D477" s="61">
        <v>1</v>
      </c>
      <c r="E477" s="60">
        <v>0</v>
      </c>
    </row>
    <row r="478" spans="2:5" ht="14.45" customHeight="1">
      <c r="B478" s="102"/>
      <c r="C478" s="58" t="s">
        <v>193</v>
      </c>
      <c r="D478" s="61">
        <v>1</v>
      </c>
      <c r="E478" s="60">
        <v>0</v>
      </c>
    </row>
    <row r="479" spans="2:5" ht="14.45" customHeight="1">
      <c r="B479" s="102"/>
      <c r="C479" s="58" t="s">
        <v>200</v>
      </c>
      <c r="D479" s="61">
        <v>1</v>
      </c>
      <c r="E479" s="60">
        <v>0</v>
      </c>
    </row>
    <row r="480" spans="2:5" ht="14.45" customHeight="1">
      <c r="B480" s="103"/>
      <c r="C480" s="75" t="s">
        <v>324</v>
      </c>
      <c r="D480" s="71">
        <v>24</v>
      </c>
      <c r="E480" s="72">
        <v>4.0000000000000001E-3</v>
      </c>
    </row>
    <row r="481" spans="2:5" ht="14.45" customHeight="1">
      <c r="B481" s="101" t="s">
        <v>130</v>
      </c>
      <c r="C481" s="58" t="s">
        <v>172</v>
      </c>
      <c r="D481" s="61">
        <v>7</v>
      </c>
      <c r="E481" s="60">
        <v>1E-3</v>
      </c>
    </row>
    <row r="482" spans="2:5" ht="14.45" customHeight="1">
      <c r="B482" s="102"/>
      <c r="C482" s="58" t="s">
        <v>193</v>
      </c>
      <c r="D482" s="61">
        <v>4</v>
      </c>
      <c r="E482" s="60">
        <v>1E-3</v>
      </c>
    </row>
    <row r="483" spans="2:5" ht="14.45" customHeight="1">
      <c r="B483" s="102"/>
      <c r="C483" s="58" t="s">
        <v>161</v>
      </c>
      <c r="D483" s="61">
        <v>2</v>
      </c>
      <c r="E483" s="60">
        <v>0</v>
      </c>
    </row>
    <row r="484" spans="2:5" ht="14.45" customHeight="1">
      <c r="B484" s="102"/>
      <c r="C484" s="58" t="s">
        <v>143</v>
      </c>
      <c r="D484" s="61">
        <v>2</v>
      </c>
      <c r="E484" s="60">
        <v>0</v>
      </c>
    </row>
    <row r="485" spans="2:5" ht="14.45" customHeight="1">
      <c r="B485" s="102"/>
      <c r="C485" s="58" t="s">
        <v>147</v>
      </c>
      <c r="D485" s="61">
        <v>1</v>
      </c>
      <c r="E485" s="60">
        <v>0</v>
      </c>
    </row>
    <row r="486" spans="2:5" ht="14.45" customHeight="1">
      <c r="B486" s="102"/>
      <c r="C486" s="58" t="s">
        <v>142</v>
      </c>
      <c r="D486" s="61">
        <v>1</v>
      </c>
      <c r="E486" s="60">
        <v>0</v>
      </c>
    </row>
    <row r="487" spans="2:5" ht="14.45" customHeight="1">
      <c r="B487" s="102"/>
      <c r="C487" s="58" t="s">
        <v>55</v>
      </c>
      <c r="D487" s="61">
        <v>1</v>
      </c>
      <c r="E487" s="60">
        <v>0</v>
      </c>
    </row>
    <row r="488" spans="2:5" ht="14.45" customHeight="1">
      <c r="B488" s="102"/>
      <c r="C488" s="58" t="s">
        <v>187</v>
      </c>
      <c r="D488" s="61">
        <v>1</v>
      </c>
      <c r="E488" s="60">
        <v>0</v>
      </c>
    </row>
    <row r="489" spans="2:5" ht="14.45" customHeight="1">
      <c r="B489" s="102"/>
      <c r="C489" s="58" t="s">
        <v>206</v>
      </c>
      <c r="D489" s="61">
        <v>1</v>
      </c>
      <c r="E489" s="60">
        <v>0</v>
      </c>
    </row>
    <row r="490" spans="2:5" ht="14.45" customHeight="1">
      <c r="B490" s="103"/>
      <c r="C490" s="75" t="s">
        <v>324</v>
      </c>
      <c r="D490" s="71">
        <v>20</v>
      </c>
      <c r="E490" s="72">
        <v>3.0000000000000001E-3</v>
      </c>
    </row>
    <row r="491" spans="2:5" ht="14.45" customHeight="1">
      <c r="B491" s="101" t="s">
        <v>111</v>
      </c>
      <c r="C491" s="58" t="s">
        <v>142</v>
      </c>
      <c r="D491" s="61">
        <v>5</v>
      </c>
      <c r="E491" s="60">
        <v>1E-3</v>
      </c>
    </row>
    <row r="492" spans="2:5" ht="14.45" customHeight="1">
      <c r="B492" s="102"/>
      <c r="C492" s="58" t="s">
        <v>161</v>
      </c>
      <c r="D492" s="61">
        <v>3</v>
      </c>
      <c r="E492" s="60">
        <v>0</v>
      </c>
    </row>
    <row r="493" spans="2:5" ht="14.45" customHeight="1">
      <c r="B493" s="102"/>
      <c r="C493" s="58" t="s">
        <v>193</v>
      </c>
      <c r="D493" s="61">
        <v>3</v>
      </c>
      <c r="E493" s="60">
        <v>0</v>
      </c>
    </row>
    <row r="494" spans="2:5" ht="14.45" customHeight="1">
      <c r="B494" s="102"/>
      <c r="C494" s="58" t="s">
        <v>292</v>
      </c>
      <c r="D494" s="61">
        <v>1</v>
      </c>
      <c r="E494" s="60">
        <v>0</v>
      </c>
    </row>
    <row r="495" spans="2:5" ht="14.45" customHeight="1">
      <c r="B495" s="102"/>
      <c r="C495" s="58" t="s">
        <v>167</v>
      </c>
      <c r="D495" s="61">
        <v>1</v>
      </c>
      <c r="E495" s="60">
        <v>0</v>
      </c>
    </row>
    <row r="496" spans="2:5" ht="14.45" customHeight="1">
      <c r="B496" s="102"/>
      <c r="C496" s="58" t="s">
        <v>172</v>
      </c>
      <c r="D496" s="61">
        <v>1</v>
      </c>
      <c r="E496" s="60">
        <v>0</v>
      </c>
    </row>
    <row r="497" spans="2:5" ht="14.45" customHeight="1">
      <c r="B497" s="102"/>
      <c r="C497" s="58" t="s">
        <v>143</v>
      </c>
      <c r="D497" s="61">
        <v>1</v>
      </c>
      <c r="E497" s="60">
        <v>0</v>
      </c>
    </row>
    <row r="498" spans="2:5" ht="14.45" customHeight="1">
      <c r="B498" s="102"/>
      <c r="C498" s="58" t="s">
        <v>182</v>
      </c>
      <c r="D498" s="61">
        <v>1</v>
      </c>
      <c r="E498" s="60">
        <v>0</v>
      </c>
    </row>
    <row r="499" spans="2:5" ht="14.45" customHeight="1">
      <c r="B499" s="102"/>
      <c r="C499" s="58" t="s">
        <v>144</v>
      </c>
      <c r="D499" s="61">
        <v>1</v>
      </c>
      <c r="E499" s="60">
        <v>0</v>
      </c>
    </row>
    <row r="500" spans="2:5" ht="14.45" customHeight="1">
      <c r="B500" s="102"/>
      <c r="C500" s="58" t="s">
        <v>187</v>
      </c>
      <c r="D500" s="61">
        <v>1</v>
      </c>
      <c r="E500" s="60">
        <v>0</v>
      </c>
    </row>
    <row r="501" spans="2:5" ht="14.45" customHeight="1">
      <c r="B501" s="102"/>
      <c r="C501" s="58" t="s">
        <v>202</v>
      </c>
      <c r="D501" s="61">
        <v>1</v>
      </c>
      <c r="E501" s="60">
        <v>0</v>
      </c>
    </row>
    <row r="502" spans="2:5" ht="14.45" customHeight="1">
      <c r="B502" s="103"/>
      <c r="C502" s="75" t="s">
        <v>324</v>
      </c>
      <c r="D502" s="71">
        <v>19</v>
      </c>
      <c r="E502" s="72">
        <v>3.0000000000000001E-3</v>
      </c>
    </row>
    <row r="503" spans="2:5" ht="14.45" customHeight="1">
      <c r="B503" s="101" t="s">
        <v>116</v>
      </c>
      <c r="C503" s="58" t="s">
        <v>142</v>
      </c>
      <c r="D503" s="61">
        <v>4</v>
      </c>
      <c r="E503" s="60">
        <v>1E-3</v>
      </c>
    </row>
    <row r="504" spans="2:5" ht="14.45" customHeight="1">
      <c r="B504" s="102"/>
      <c r="C504" s="58" t="s">
        <v>193</v>
      </c>
      <c r="D504" s="61">
        <v>4</v>
      </c>
      <c r="E504" s="60">
        <v>1E-3</v>
      </c>
    </row>
    <row r="505" spans="2:5" ht="14.45" customHeight="1">
      <c r="B505" s="102"/>
      <c r="C505" s="58" t="s">
        <v>146</v>
      </c>
      <c r="D505" s="61">
        <v>2</v>
      </c>
      <c r="E505" s="60">
        <v>0</v>
      </c>
    </row>
    <row r="506" spans="2:5" ht="14.45" customHeight="1">
      <c r="B506" s="102"/>
      <c r="C506" s="58" t="s">
        <v>161</v>
      </c>
      <c r="D506" s="61">
        <v>2</v>
      </c>
      <c r="E506" s="60">
        <v>0</v>
      </c>
    </row>
    <row r="507" spans="2:5" ht="14.45" customHeight="1">
      <c r="B507" s="102"/>
      <c r="C507" s="58" t="s">
        <v>167</v>
      </c>
      <c r="D507" s="61">
        <v>2</v>
      </c>
      <c r="E507" s="60">
        <v>0</v>
      </c>
    </row>
    <row r="508" spans="2:5" ht="14.45" customHeight="1">
      <c r="B508" s="102"/>
      <c r="C508" s="58" t="s">
        <v>292</v>
      </c>
      <c r="D508" s="61">
        <v>1</v>
      </c>
      <c r="E508" s="60">
        <v>0</v>
      </c>
    </row>
    <row r="509" spans="2:5" ht="14.45" customHeight="1">
      <c r="B509" s="102"/>
      <c r="C509" s="58" t="s">
        <v>172</v>
      </c>
      <c r="D509" s="61">
        <v>1</v>
      </c>
      <c r="E509" s="60">
        <v>0</v>
      </c>
    </row>
    <row r="510" spans="2:5" ht="14.45" customHeight="1">
      <c r="B510" s="102"/>
      <c r="C510" s="58" t="s">
        <v>143</v>
      </c>
      <c r="D510" s="61">
        <v>1</v>
      </c>
      <c r="E510" s="60">
        <v>0</v>
      </c>
    </row>
    <row r="511" spans="2:5" ht="14.45" customHeight="1">
      <c r="B511" s="102"/>
      <c r="C511" s="58" t="s">
        <v>186</v>
      </c>
      <c r="D511" s="61">
        <v>1</v>
      </c>
      <c r="E511" s="60">
        <v>0</v>
      </c>
    </row>
    <row r="512" spans="2:5" ht="14.45" customHeight="1">
      <c r="B512" s="103"/>
      <c r="C512" s="75" t="s">
        <v>324</v>
      </c>
      <c r="D512" s="71">
        <v>18</v>
      </c>
      <c r="E512" s="72">
        <v>3.0000000000000001E-3</v>
      </c>
    </row>
    <row r="513" spans="2:5" ht="14.45" customHeight="1">
      <c r="B513" s="101" t="s">
        <v>138</v>
      </c>
      <c r="C513" s="58" t="s">
        <v>142</v>
      </c>
      <c r="D513" s="61">
        <v>5</v>
      </c>
      <c r="E513" s="60">
        <v>1E-3</v>
      </c>
    </row>
    <row r="514" spans="2:5" ht="14.45" customHeight="1">
      <c r="B514" s="102"/>
      <c r="C514" s="58" t="s">
        <v>55</v>
      </c>
      <c r="D514" s="61">
        <v>3</v>
      </c>
      <c r="E514" s="60">
        <v>0</v>
      </c>
    </row>
    <row r="515" spans="2:5" ht="14.45" customHeight="1">
      <c r="B515" s="102"/>
      <c r="C515" s="58" t="s">
        <v>143</v>
      </c>
      <c r="D515" s="61">
        <v>2</v>
      </c>
      <c r="E515" s="60">
        <v>0</v>
      </c>
    </row>
    <row r="516" spans="2:5" ht="14.45" customHeight="1">
      <c r="B516" s="102"/>
      <c r="C516" s="58" t="s">
        <v>174</v>
      </c>
      <c r="D516" s="61">
        <v>2</v>
      </c>
      <c r="E516" s="60">
        <v>0</v>
      </c>
    </row>
    <row r="517" spans="2:5" ht="14.45" customHeight="1">
      <c r="B517" s="102"/>
      <c r="C517" s="58" t="s">
        <v>146</v>
      </c>
      <c r="D517" s="61">
        <v>1</v>
      </c>
      <c r="E517" s="60">
        <v>0</v>
      </c>
    </row>
    <row r="518" spans="2:5" ht="14.45" customHeight="1">
      <c r="B518" s="102"/>
      <c r="C518" s="58" t="s">
        <v>161</v>
      </c>
      <c r="D518" s="61">
        <v>1</v>
      </c>
      <c r="E518" s="60">
        <v>0</v>
      </c>
    </row>
    <row r="519" spans="2:5" ht="14.45" customHeight="1">
      <c r="B519" s="102"/>
      <c r="C519" s="58" t="s">
        <v>172</v>
      </c>
      <c r="D519" s="61">
        <v>1</v>
      </c>
      <c r="E519" s="60">
        <v>0</v>
      </c>
    </row>
    <row r="520" spans="2:5" ht="14.45" customHeight="1">
      <c r="B520" s="102"/>
      <c r="C520" s="58" t="s">
        <v>190</v>
      </c>
      <c r="D520" s="61">
        <v>1</v>
      </c>
      <c r="E520" s="60">
        <v>0</v>
      </c>
    </row>
    <row r="521" spans="2:5" ht="14.45" customHeight="1">
      <c r="B521" s="102"/>
      <c r="C521" s="58" t="s">
        <v>194</v>
      </c>
      <c r="D521" s="61">
        <v>1</v>
      </c>
      <c r="E521" s="60">
        <v>0</v>
      </c>
    </row>
    <row r="522" spans="2:5" ht="14.45" customHeight="1">
      <c r="B522" s="102"/>
      <c r="C522" s="58" t="s">
        <v>61</v>
      </c>
      <c r="D522" s="61">
        <v>1</v>
      </c>
      <c r="E522" s="60">
        <v>0</v>
      </c>
    </row>
    <row r="523" spans="2:5" ht="14.45" customHeight="1">
      <c r="B523" s="103"/>
      <c r="C523" s="75" t="s">
        <v>324</v>
      </c>
      <c r="D523" s="71">
        <v>18</v>
      </c>
      <c r="E523" s="72">
        <v>3.0000000000000001E-3</v>
      </c>
    </row>
    <row r="524" spans="2:5" ht="14.45" customHeight="1">
      <c r="B524" s="101" t="s">
        <v>123</v>
      </c>
      <c r="C524" s="58" t="s">
        <v>143</v>
      </c>
      <c r="D524" s="61">
        <v>4</v>
      </c>
      <c r="E524" s="60">
        <v>1E-3</v>
      </c>
    </row>
    <row r="525" spans="2:5" ht="14.45" customHeight="1">
      <c r="B525" s="102"/>
      <c r="C525" s="58" t="s">
        <v>161</v>
      </c>
      <c r="D525" s="61">
        <v>3</v>
      </c>
      <c r="E525" s="60">
        <v>0</v>
      </c>
    </row>
    <row r="526" spans="2:5" ht="14.45" customHeight="1">
      <c r="B526" s="102"/>
      <c r="C526" s="58" t="s">
        <v>193</v>
      </c>
      <c r="D526" s="61">
        <v>2</v>
      </c>
      <c r="E526" s="60">
        <v>0</v>
      </c>
    </row>
    <row r="527" spans="2:5" ht="14.45" customHeight="1">
      <c r="B527" s="102"/>
      <c r="C527" s="58" t="s">
        <v>146</v>
      </c>
      <c r="D527" s="61">
        <v>1</v>
      </c>
      <c r="E527" s="60">
        <v>0</v>
      </c>
    </row>
    <row r="528" spans="2:5" ht="14.45" customHeight="1">
      <c r="B528" s="102"/>
      <c r="C528" s="58" t="s">
        <v>142</v>
      </c>
      <c r="D528" s="61">
        <v>1</v>
      </c>
      <c r="E528" s="60">
        <v>0</v>
      </c>
    </row>
    <row r="529" spans="2:5" ht="14.45" customHeight="1">
      <c r="B529" s="102"/>
      <c r="C529" s="58" t="s">
        <v>162</v>
      </c>
      <c r="D529" s="61">
        <v>1</v>
      </c>
      <c r="E529" s="60">
        <v>0</v>
      </c>
    </row>
    <row r="530" spans="2:5" ht="14.45" customHeight="1">
      <c r="B530" s="102"/>
      <c r="C530" s="58" t="s">
        <v>178</v>
      </c>
      <c r="D530" s="61">
        <v>1</v>
      </c>
      <c r="E530" s="60">
        <v>0</v>
      </c>
    </row>
    <row r="531" spans="2:5" ht="14.45" customHeight="1">
      <c r="B531" s="102"/>
      <c r="C531" s="58" t="s">
        <v>144</v>
      </c>
      <c r="D531" s="61">
        <v>1</v>
      </c>
      <c r="E531" s="60">
        <v>0</v>
      </c>
    </row>
    <row r="532" spans="2:5" ht="14.45" customHeight="1">
      <c r="B532" s="102"/>
      <c r="C532" s="58" t="s">
        <v>55</v>
      </c>
      <c r="D532" s="61">
        <v>1</v>
      </c>
      <c r="E532" s="60">
        <v>0</v>
      </c>
    </row>
    <row r="533" spans="2:5" ht="14.45" customHeight="1">
      <c r="B533" s="102"/>
      <c r="C533" s="58" t="s">
        <v>206</v>
      </c>
      <c r="D533" s="61">
        <v>1</v>
      </c>
      <c r="E533" s="60">
        <v>0</v>
      </c>
    </row>
    <row r="534" spans="2:5" ht="14.45" customHeight="1">
      <c r="B534" s="103"/>
      <c r="C534" s="75" t="s">
        <v>324</v>
      </c>
      <c r="D534" s="71">
        <v>16</v>
      </c>
      <c r="E534" s="72">
        <v>2E-3</v>
      </c>
    </row>
    <row r="535" spans="2:5" ht="14.45" customHeight="1">
      <c r="B535" s="101" t="s">
        <v>133</v>
      </c>
      <c r="C535" s="58" t="s">
        <v>161</v>
      </c>
      <c r="D535" s="61">
        <v>4</v>
      </c>
      <c r="E535" s="60">
        <v>1E-3</v>
      </c>
    </row>
    <row r="536" spans="2:5" ht="14.45" customHeight="1">
      <c r="B536" s="102"/>
      <c r="C536" s="58" t="s">
        <v>143</v>
      </c>
      <c r="D536" s="61">
        <v>4</v>
      </c>
      <c r="E536" s="60">
        <v>1E-3</v>
      </c>
    </row>
    <row r="537" spans="2:5" ht="14.45" customHeight="1">
      <c r="B537" s="102"/>
      <c r="C537" s="58" t="s">
        <v>172</v>
      </c>
      <c r="D537" s="61">
        <v>3</v>
      </c>
      <c r="E537" s="60">
        <v>0</v>
      </c>
    </row>
    <row r="538" spans="2:5" ht="14.45" customHeight="1">
      <c r="B538" s="102"/>
      <c r="C538" s="58" t="s">
        <v>193</v>
      </c>
      <c r="D538" s="61">
        <v>2</v>
      </c>
      <c r="E538" s="60">
        <v>0</v>
      </c>
    </row>
    <row r="539" spans="2:5" ht="14.45" customHeight="1">
      <c r="B539" s="102"/>
      <c r="C539" s="58" t="s">
        <v>146</v>
      </c>
      <c r="D539" s="61">
        <v>1</v>
      </c>
      <c r="E539" s="60">
        <v>0</v>
      </c>
    </row>
    <row r="540" spans="2:5" ht="14.45" customHeight="1">
      <c r="B540" s="102"/>
      <c r="C540" s="58" t="s">
        <v>148</v>
      </c>
      <c r="D540" s="61">
        <v>1</v>
      </c>
      <c r="E540" s="60">
        <v>0</v>
      </c>
    </row>
    <row r="541" spans="2:5" ht="14.45" customHeight="1">
      <c r="B541" s="102"/>
      <c r="C541" s="58" t="s">
        <v>144</v>
      </c>
      <c r="D541" s="61">
        <v>1</v>
      </c>
      <c r="E541" s="60">
        <v>0</v>
      </c>
    </row>
    <row r="542" spans="2:5" ht="14.45" customHeight="1">
      <c r="B542" s="103"/>
      <c r="C542" s="75" t="s">
        <v>324</v>
      </c>
      <c r="D542" s="71">
        <v>16</v>
      </c>
      <c r="E542" s="72">
        <v>2E-3</v>
      </c>
    </row>
    <row r="543" spans="2:5" ht="14.45" customHeight="1">
      <c r="B543" s="101" t="s">
        <v>100</v>
      </c>
      <c r="C543" s="58" t="s">
        <v>142</v>
      </c>
      <c r="D543" s="61">
        <v>4</v>
      </c>
      <c r="E543" s="60">
        <v>1E-3</v>
      </c>
    </row>
    <row r="544" spans="2:5" ht="14.45" customHeight="1">
      <c r="B544" s="102"/>
      <c r="C544" s="58" t="s">
        <v>144</v>
      </c>
      <c r="D544" s="61">
        <v>4</v>
      </c>
      <c r="E544" s="60">
        <v>1E-3</v>
      </c>
    </row>
    <row r="545" spans="2:5" ht="14.45" customHeight="1">
      <c r="B545" s="102"/>
      <c r="C545" s="58" t="s">
        <v>146</v>
      </c>
      <c r="D545" s="61">
        <v>1</v>
      </c>
      <c r="E545" s="60">
        <v>0</v>
      </c>
    </row>
    <row r="546" spans="2:5" ht="14.45" customHeight="1">
      <c r="B546" s="102"/>
      <c r="C546" s="58" t="s">
        <v>162</v>
      </c>
      <c r="D546" s="61">
        <v>1</v>
      </c>
      <c r="E546" s="60">
        <v>0</v>
      </c>
    </row>
    <row r="547" spans="2:5" ht="14.45" customHeight="1">
      <c r="B547" s="102"/>
      <c r="C547" s="58" t="s">
        <v>168</v>
      </c>
      <c r="D547" s="61">
        <v>1</v>
      </c>
      <c r="E547" s="60">
        <v>0</v>
      </c>
    </row>
    <row r="548" spans="2:5" ht="14.45" customHeight="1">
      <c r="B548" s="102"/>
      <c r="C548" s="58" t="s">
        <v>172</v>
      </c>
      <c r="D548" s="61">
        <v>1</v>
      </c>
      <c r="E548" s="60">
        <v>0</v>
      </c>
    </row>
    <row r="549" spans="2:5" ht="14.45" customHeight="1">
      <c r="B549" s="102"/>
      <c r="C549" s="58" t="s">
        <v>143</v>
      </c>
      <c r="D549" s="61">
        <v>1</v>
      </c>
      <c r="E549" s="60">
        <v>0</v>
      </c>
    </row>
    <row r="550" spans="2:5" ht="14.45" customHeight="1">
      <c r="B550" s="102"/>
      <c r="C550" s="58" t="s">
        <v>55</v>
      </c>
      <c r="D550" s="61">
        <v>1</v>
      </c>
      <c r="E550" s="60">
        <v>0</v>
      </c>
    </row>
    <row r="551" spans="2:5" ht="14.45" customHeight="1">
      <c r="B551" s="103"/>
      <c r="C551" s="75" t="s">
        <v>324</v>
      </c>
      <c r="D551" s="71">
        <v>14</v>
      </c>
      <c r="E551" s="72">
        <v>2E-3</v>
      </c>
    </row>
    <row r="552" spans="2:5" ht="14.45" customHeight="1">
      <c r="B552" s="101" t="s">
        <v>125</v>
      </c>
      <c r="C552" s="58" t="s">
        <v>161</v>
      </c>
      <c r="D552" s="61">
        <v>3</v>
      </c>
      <c r="E552" s="60">
        <v>0</v>
      </c>
    </row>
    <row r="553" spans="2:5" ht="14.45" customHeight="1">
      <c r="B553" s="102"/>
      <c r="C553" s="58" t="s">
        <v>143</v>
      </c>
      <c r="D553" s="61">
        <v>3</v>
      </c>
      <c r="E553" s="60">
        <v>0</v>
      </c>
    </row>
    <row r="554" spans="2:5" ht="14.45" customHeight="1">
      <c r="B554" s="102"/>
      <c r="C554" s="58" t="s">
        <v>172</v>
      </c>
      <c r="D554" s="61">
        <v>2</v>
      </c>
      <c r="E554" s="60">
        <v>0</v>
      </c>
    </row>
    <row r="555" spans="2:5" ht="14.45" customHeight="1">
      <c r="B555" s="102"/>
      <c r="C555" s="58" t="s">
        <v>144</v>
      </c>
      <c r="D555" s="61">
        <v>2</v>
      </c>
      <c r="E555" s="60">
        <v>0</v>
      </c>
    </row>
    <row r="556" spans="2:5" ht="14.45" customHeight="1">
      <c r="B556" s="102"/>
      <c r="C556" s="58" t="s">
        <v>162</v>
      </c>
      <c r="D556" s="61">
        <v>1</v>
      </c>
      <c r="E556" s="60">
        <v>0</v>
      </c>
    </row>
    <row r="557" spans="2:5" ht="14.45" customHeight="1">
      <c r="B557" s="102"/>
      <c r="C557" s="58" t="s">
        <v>292</v>
      </c>
      <c r="D557" s="61">
        <v>1</v>
      </c>
      <c r="E557" s="60">
        <v>0</v>
      </c>
    </row>
    <row r="558" spans="2:5" ht="14.45" customHeight="1">
      <c r="B558" s="102"/>
      <c r="C558" s="58" t="s">
        <v>55</v>
      </c>
      <c r="D558" s="61">
        <v>1</v>
      </c>
      <c r="E558" s="60">
        <v>0</v>
      </c>
    </row>
    <row r="559" spans="2:5" ht="14.45" customHeight="1">
      <c r="B559" s="102"/>
      <c r="C559" s="58" t="s">
        <v>200</v>
      </c>
      <c r="D559" s="61">
        <v>1</v>
      </c>
      <c r="E559" s="60">
        <v>0</v>
      </c>
    </row>
    <row r="560" spans="2:5" ht="14.45" customHeight="1">
      <c r="B560" s="103"/>
      <c r="C560" s="75" t="s">
        <v>324</v>
      </c>
      <c r="D560" s="71">
        <v>14</v>
      </c>
      <c r="E560" s="72">
        <v>2E-3</v>
      </c>
    </row>
    <row r="561" spans="2:5" ht="14.45" customHeight="1">
      <c r="B561" s="101" t="s">
        <v>113</v>
      </c>
      <c r="C561" s="58" t="s">
        <v>161</v>
      </c>
      <c r="D561" s="61">
        <v>3</v>
      </c>
      <c r="E561" s="60">
        <v>0</v>
      </c>
    </row>
    <row r="562" spans="2:5" ht="14.45" customHeight="1">
      <c r="B562" s="102"/>
      <c r="C562" s="58" t="s">
        <v>146</v>
      </c>
      <c r="D562" s="61">
        <v>2</v>
      </c>
      <c r="E562" s="60">
        <v>0</v>
      </c>
    </row>
    <row r="563" spans="2:5" ht="14.45" customHeight="1">
      <c r="B563" s="102"/>
      <c r="C563" s="58" t="s">
        <v>142</v>
      </c>
      <c r="D563" s="61">
        <v>2</v>
      </c>
      <c r="E563" s="60">
        <v>0</v>
      </c>
    </row>
    <row r="564" spans="2:5" ht="14.45" customHeight="1">
      <c r="B564" s="102"/>
      <c r="C564" s="58" t="s">
        <v>168</v>
      </c>
      <c r="D564" s="61">
        <v>2</v>
      </c>
      <c r="E564" s="60">
        <v>0</v>
      </c>
    </row>
    <row r="565" spans="2:5" ht="14.45" customHeight="1">
      <c r="B565" s="102"/>
      <c r="C565" s="58" t="s">
        <v>162</v>
      </c>
      <c r="D565" s="61">
        <v>1</v>
      </c>
      <c r="E565" s="60">
        <v>0</v>
      </c>
    </row>
    <row r="566" spans="2:5" ht="14.45" customHeight="1">
      <c r="B566" s="102"/>
      <c r="C566" s="58" t="s">
        <v>55</v>
      </c>
      <c r="D566" s="61">
        <v>1</v>
      </c>
      <c r="E566" s="60">
        <v>0</v>
      </c>
    </row>
    <row r="567" spans="2:5" ht="14.45" customHeight="1">
      <c r="B567" s="102"/>
      <c r="C567" s="58" t="s">
        <v>193</v>
      </c>
      <c r="D567" s="61">
        <v>1</v>
      </c>
      <c r="E567" s="60">
        <v>0</v>
      </c>
    </row>
    <row r="568" spans="2:5" ht="14.45" customHeight="1">
      <c r="B568" s="103"/>
      <c r="C568" s="75" t="s">
        <v>324</v>
      </c>
      <c r="D568" s="71">
        <v>12</v>
      </c>
      <c r="E568" s="72">
        <v>2E-3</v>
      </c>
    </row>
    <row r="569" spans="2:5" ht="14.45" customHeight="1">
      <c r="B569" s="101" t="s">
        <v>139</v>
      </c>
      <c r="C569" s="58" t="s">
        <v>143</v>
      </c>
      <c r="D569" s="61">
        <v>3</v>
      </c>
      <c r="E569" s="60">
        <v>0</v>
      </c>
    </row>
    <row r="570" spans="2:5" ht="14.45" customHeight="1">
      <c r="B570" s="102"/>
      <c r="C570" s="58" t="s">
        <v>172</v>
      </c>
      <c r="D570" s="61">
        <v>2</v>
      </c>
      <c r="E570" s="60">
        <v>0</v>
      </c>
    </row>
    <row r="571" spans="2:5" ht="14.45" customHeight="1">
      <c r="B571" s="102"/>
      <c r="C571" s="58" t="s">
        <v>148</v>
      </c>
      <c r="D571" s="61">
        <v>1</v>
      </c>
      <c r="E571" s="60">
        <v>0</v>
      </c>
    </row>
    <row r="572" spans="2:5" ht="14.45" customHeight="1">
      <c r="B572" s="102"/>
      <c r="C572" s="58" t="s">
        <v>152</v>
      </c>
      <c r="D572" s="61">
        <v>1</v>
      </c>
      <c r="E572" s="60">
        <v>0</v>
      </c>
    </row>
    <row r="573" spans="2:5" ht="14.45" customHeight="1">
      <c r="B573" s="102"/>
      <c r="C573" s="58" t="s">
        <v>142</v>
      </c>
      <c r="D573" s="61">
        <v>1</v>
      </c>
      <c r="E573" s="60">
        <v>0</v>
      </c>
    </row>
    <row r="574" spans="2:5" ht="14.45" customHeight="1">
      <c r="B574" s="102"/>
      <c r="C574" s="58" t="s">
        <v>292</v>
      </c>
      <c r="D574" s="61">
        <v>1</v>
      </c>
      <c r="E574" s="60">
        <v>0</v>
      </c>
    </row>
    <row r="575" spans="2:5" ht="14.45" customHeight="1">
      <c r="B575" s="102"/>
      <c r="C575" s="58" t="s">
        <v>144</v>
      </c>
      <c r="D575" s="61">
        <v>1</v>
      </c>
      <c r="E575" s="60">
        <v>0</v>
      </c>
    </row>
    <row r="576" spans="2:5" ht="14.45" customHeight="1">
      <c r="B576" s="103"/>
      <c r="C576" s="75" t="s">
        <v>324</v>
      </c>
      <c r="D576" s="71">
        <v>10</v>
      </c>
      <c r="E576" s="72">
        <v>1E-3</v>
      </c>
    </row>
    <row r="577" spans="2:5" ht="14.45" customHeight="1">
      <c r="B577" s="101" t="s">
        <v>115</v>
      </c>
      <c r="C577" s="58" t="s">
        <v>143</v>
      </c>
      <c r="D577" s="61">
        <v>4</v>
      </c>
      <c r="E577" s="60">
        <v>1E-3</v>
      </c>
    </row>
    <row r="578" spans="2:5" ht="14.45" customHeight="1">
      <c r="B578" s="102"/>
      <c r="C578" s="58" t="s">
        <v>142</v>
      </c>
      <c r="D578" s="61">
        <v>2</v>
      </c>
      <c r="E578" s="60">
        <v>0</v>
      </c>
    </row>
    <row r="579" spans="2:5" ht="14.45" customHeight="1">
      <c r="B579" s="102"/>
      <c r="C579" s="58" t="s">
        <v>147</v>
      </c>
      <c r="D579" s="61">
        <v>1</v>
      </c>
      <c r="E579" s="60">
        <v>0</v>
      </c>
    </row>
    <row r="580" spans="2:5" ht="14.45" customHeight="1">
      <c r="B580" s="103"/>
      <c r="C580" s="75" t="s">
        <v>324</v>
      </c>
      <c r="D580" s="71">
        <v>7</v>
      </c>
      <c r="E580" s="72">
        <v>1E-3</v>
      </c>
    </row>
    <row r="581" spans="2:5" ht="14.45" customHeight="1">
      <c r="B581" s="101" t="s">
        <v>114</v>
      </c>
      <c r="C581" s="58" t="s">
        <v>143</v>
      </c>
      <c r="D581" s="61">
        <v>3</v>
      </c>
      <c r="E581" s="60">
        <v>0</v>
      </c>
    </row>
    <row r="582" spans="2:5" ht="14.45" customHeight="1">
      <c r="B582" s="102"/>
      <c r="C582" s="58" t="s">
        <v>146</v>
      </c>
      <c r="D582" s="61">
        <v>1</v>
      </c>
      <c r="E582" s="60">
        <v>0</v>
      </c>
    </row>
    <row r="583" spans="2:5" ht="15" customHeight="1">
      <c r="B583" s="102"/>
      <c r="C583" s="58" t="s">
        <v>174</v>
      </c>
      <c r="D583" s="61">
        <v>1</v>
      </c>
      <c r="E583" s="60">
        <v>0</v>
      </c>
    </row>
    <row r="584" spans="2:5" ht="15" customHeight="1">
      <c r="B584" s="102"/>
      <c r="C584" s="58" t="s">
        <v>144</v>
      </c>
      <c r="D584" s="61">
        <v>1</v>
      </c>
      <c r="E584" s="60">
        <v>0</v>
      </c>
    </row>
    <row r="585" spans="2:5" ht="15" customHeight="1">
      <c r="B585" s="103"/>
      <c r="C585" s="75" t="s">
        <v>324</v>
      </c>
      <c r="D585" s="71">
        <v>6</v>
      </c>
      <c r="E585" s="72">
        <v>1E-3</v>
      </c>
    </row>
    <row r="586" spans="2:5" ht="15" customHeight="1">
      <c r="B586" s="101" t="s">
        <v>103</v>
      </c>
      <c r="C586" s="58" t="s">
        <v>143</v>
      </c>
      <c r="D586" s="61">
        <v>2</v>
      </c>
      <c r="E586" s="60">
        <v>0</v>
      </c>
    </row>
    <row r="587" spans="2:5" ht="15" customHeight="1">
      <c r="B587" s="102"/>
      <c r="C587" s="58" t="s">
        <v>146</v>
      </c>
      <c r="D587" s="61">
        <v>1</v>
      </c>
      <c r="E587" s="60">
        <v>0</v>
      </c>
    </row>
    <row r="588" spans="2:5" ht="15" customHeight="1">
      <c r="B588" s="102"/>
      <c r="C588" s="58" t="s">
        <v>142</v>
      </c>
      <c r="D588" s="61">
        <v>1</v>
      </c>
      <c r="E588" s="60">
        <v>0</v>
      </c>
    </row>
    <row r="589" spans="2:5" ht="15" customHeight="1">
      <c r="B589" s="102"/>
      <c r="C589" s="58" t="s">
        <v>55</v>
      </c>
      <c r="D589" s="61">
        <v>1</v>
      </c>
      <c r="E589" s="60">
        <v>0</v>
      </c>
    </row>
    <row r="590" spans="2:5" ht="15" customHeight="1">
      <c r="B590" s="103"/>
      <c r="C590" s="75" t="s">
        <v>324</v>
      </c>
      <c r="D590" s="71">
        <v>5</v>
      </c>
      <c r="E590" s="72">
        <v>1E-3</v>
      </c>
    </row>
    <row r="591" spans="2:5" ht="15" customHeight="1">
      <c r="B591" s="101" t="s">
        <v>131</v>
      </c>
      <c r="C591" s="58" t="s">
        <v>142</v>
      </c>
      <c r="D591" s="61">
        <v>1</v>
      </c>
      <c r="E591" s="60">
        <v>0</v>
      </c>
    </row>
    <row r="592" spans="2:5" ht="15" customHeight="1">
      <c r="B592" s="102"/>
      <c r="C592" s="58" t="s">
        <v>167</v>
      </c>
      <c r="D592" s="61">
        <v>1</v>
      </c>
      <c r="E592" s="60">
        <v>0</v>
      </c>
    </row>
    <row r="593" spans="2:5" ht="15" customHeight="1">
      <c r="B593" s="102"/>
      <c r="C593" s="58" t="s">
        <v>172</v>
      </c>
      <c r="D593" s="61">
        <v>1</v>
      </c>
      <c r="E593" s="60">
        <v>0</v>
      </c>
    </row>
    <row r="594" spans="2:5" ht="15" customHeight="1">
      <c r="B594" s="102"/>
      <c r="C594" s="58" t="s">
        <v>143</v>
      </c>
      <c r="D594" s="61">
        <v>1</v>
      </c>
      <c r="E594" s="60">
        <v>0</v>
      </c>
    </row>
    <row r="595" spans="2:5" ht="15" customHeight="1">
      <c r="B595" s="102"/>
      <c r="C595" s="58" t="s">
        <v>55</v>
      </c>
      <c r="D595" s="61">
        <v>1</v>
      </c>
      <c r="E595" s="60">
        <v>0</v>
      </c>
    </row>
    <row r="596" spans="2:5" ht="15" customHeight="1">
      <c r="B596" s="103"/>
      <c r="C596" s="75" t="s">
        <v>324</v>
      </c>
      <c r="D596" s="71">
        <v>5</v>
      </c>
      <c r="E596" s="72">
        <v>1E-3</v>
      </c>
    </row>
    <row r="597" spans="2:5" ht="15" customHeight="1">
      <c r="B597" s="101" t="s">
        <v>137</v>
      </c>
      <c r="C597" s="58" t="s">
        <v>143</v>
      </c>
      <c r="D597" s="61">
        <v>2</v>
      </c>
      <c r="E597" s="60">
        <v>0</v>
      </c>
    </row>
    <row r="598" spans="2:5" ht="15" customHeight="1">
      <c r="B598" s="102"/>
      <c r="C598" s="58" t="s">
        <v>146</v>
      </c>
      <c r="D598" s="61">
        <v>1</v>
      </c>
      <c r="E598" s="60">
        <v>0</v>
      </c>
    </row>
    <row r="599" spans="2:5" ht="15" customHeight="1">
      <c r="B599" s="102"/>
      <c r="C599" s="58" t="s">
        <v>142</v>
      </c>
      <c r="D599" s="61">
        <v>1</v>
      </c>
      <c r="E599" s="60">
        <v>0</v>
      </c>
    </row>
    <row r="600" spans="2:5" ht="15" customHeight="1">
      <c r="B600" s="102"/>
      <c r="C600" s="58" t="s">
        <v>193</v>
      </c>
      <c r="D600" s="61">
        <v>1</v>
      </c>
      <c r="E600" s="60">
        <v>0</v>
      </c>
    </row>
    <row r="601" spans="2:5" ht="15" customHeight="1">
      <c r="B601" s="103"/>
      <c r="C601" s="75" t="s">
        <v>324</v>
      </c>
      <c r="D601" s="71">
        <v>5</v>
      </c>
      <c r="E601" s="72">
        <v>1E-3</v>
      </c>
    </row>
    <row r="602" spans="2:5" ht="15" customHeight="1">
      <c r="B602" s="101" t="s">
        <v>120</v>
      </c>
      <c r="C602" s="58" t="s">
        <v>142</v>
      </c>
      <c r="D602" s="61">
        <v>1</v>
      </c>
      <c r="E602" s="60">
        <v>0</v>
      </c>
    </row>
    <row r="603" spans="2:5" ht="15" customHeight="1">
      <c r="B603" s="102"/>
      <c r="C603" s="58" t="s">
        <v>172</v>
      </c>
      <c r="D603" s="61">
        <v>1</v>
      </c>
      <c r="E603" s="60">
        <v>0</v>
      </c>
    </row>
    <row r="604" spans="2:5" ht="15" customHeight="1">
      <c r="B604" s="102"/>
      <c r="C604" s="58" t="s">
        <v>143</v>
      </c>
      <c r="D604" s="61">
        <v>1</v>
      </c>
      <c r="E604" s="60">
        <v>0</v>
      </c>
    </row>
    <row r="605" spans="2:5" ht="15" customHeight="1">
      <c r="B605" s="102"/>
      <c r="C605" s="58" t="s">
        <v>206</v>
      </c>
      <c r="D605" s="61">
        <v>1</v>
      </c>
      <c r="E605" s="60">
        <v>0</v>
      </c>
    </row>
    <row r="606" spans="2:5" ht="15" customHeight="1">
      <c r="B606" s="103"/>
      <c r="C606" s="75" t="s">
        <v>324</v>
      </c>
      <c r="D606" s="71">
        <v>4</v>
      </c>
      <c r="E606" s="72">
        <v>1E-3</v>
      </c>
    </row>
    <row r="607" spans="2:5" ht="15" customHeight="1">
      <c r="B607" s="101" t="s">
        <v>127</v>
      </c>
      <c r="C607" s="58" t="s">
        <v>146</v>
      </c>
      <c r="D607" s="61">
        <v>1</v>
      </c>
      <c r="E607" s="60">
        <v>0</v>
      </c>
    </row>
    <row r="608" spans="2:5" ht="15" customHeight="1">
      <c r="B608" s="102"/>
      <c r="C608" s="58" t="s">
        <v>142</v>
      </c>
      <c r="D608" s="61">
        <v>1</v>
      </c>
      <c r="E608" s="60">
        <v>0</v>
      </c>
    </row>
    <row r="609" spans="2:5" ht="15" customHeight="1">
      <c r="B609" s="102"/>
      <c r="C609" s="58" t="s">
        <v>193</v>
      </c>
      <c r="D609" s="61">
        <v>1</v>
      </c>
      <c r="E609" s="60">
        <v>0</v>
      </c>
    </row>
    <row r="610" spans="2:5" ht="15" customHeight="1">
      <c r="B610" s="103"/>
      <c r="C610" s="75" t="s">
        <v>324</v>
      </c>
      <c r="D610" s="71">
        <v>3</v>
      </c>
      <c r="E610" s="72">
        <v>0</v>
      </c>
    </row>
    <row r="611" spans="2:5" ht="15" customHeight="1">
      <c r="B611" s="101" t="s">
        <v>132</v>
      </c>
      <c r="C611" s="58" t="s">
        <v>142</v>
      </c>
      <c r="D611" s="61">
        <v>1</v>
      </c>
      <c r="E611" s="60">
        <v>0</v>
      </c>
    </row>
    <row r="612" spans="2:5" ht="15" customHeight="1">
      <c r="B612" s="102"/>
      <c r="C612" s="58" t="s">
        <v>192</v>
      </c>
      <c r="D612" s="61">
        <v>1</v>
      </c>
      <c r="E612" s="60">
        <v>0</v>
      </c>
    </row>
    <row r="613" spans="2:5" ht="15" customHeight="1">
      <c r="B613" s="103"/>
      <c r="C613" s="75" t="s">
        <v>324</v>
      </c>
      <c r="D613" s="71">
        <v>2</v>
      </c>
      <c r="E613" s="72">
        <v>0</v>
      </c>
    </row>
    <row r="614" spans="2:5" ht="15" customHeight="1">
      <c r="B614" s="101" t="s">
        <v>289</v>
      </c>
      <c r="C614" s="58" t="s">
        <v>168</v>
      </c>
      <c r="D614" s="61">
        <v>1</v>
      </c>
      <c r="E614" s="60">
        <v>0</v>
      </c>
    </row>
    <row r="615" spans="2:5" ht="15" customHeight="1">
      <c r="B615" s="103"/>
      <c r="C615" s="75" t="s">
        <v>324</v>
      </c>
      <c r="D615" s="71">
        <v>1</v>
      </c>
      <c r="E615" s="72">
        <v>0</v>
      </c>
    </row>
    <row r="616" spans="2:5" ht="15" customHeight="1">
      <c r="B616" s="101" t="s">
        <v>104</v>
      </c>
      <c r="C616" s="58" t="s">
        <v>187</v>
      </c>
      <c r="D616" s="61">
        <v>1</v>
      </c>
      <c r="E616" s="60">
        <v>0</v>
      </c>
    </row>
    <row r="617" spans="2:5" ht="15" customHeight="1">
      <c r="B617" s="103"/>
      <c r="C617" s="75" t="s">
        <v>324</v>
      </c>
      <c r="D617" s="71">
        <v>1</v>
      </c>
      <c r="E617" s="72">
        <v>0</v>
      </c>
    </row>
    <row r="618" spans="2:5" ht="15" customHeight="1">
      <c r="B618" s="101" t="s">
        <v>105</v>
      </c>
      <c r="C618" s="58" t="s">
        <v>143</v>
      </c>
      <c r="D618" s="61">
        <v>1</v>
      </c>
      <c r="E618" s="60">
        <v>0</v>
      </c>
    </row>
    <row r="619" spans="2:5" ht="15" customHeight="1">
      <c r="B619" s="103"/>
      <c r="C619" s="75" t="s">
        <v>324</v>
      </c>
      <c r="D619" s="71">
        <v>1</v>
      </c>
      <c r="E619" s="72">
        <v>0</v>
      </c>
    </row>
    <row r="620" spans="2:5" ht="15" customHeight="1">
      <c r="B620" s="101" t="s">
        <v>118</v>
      </c>
      <c r="C620" s="58" t="s">
        <v>143</v>
      </c>
      <c r="D620" s="61">
        <v>1</v>
      </c>
      <c r="E620" s="60">
        <v>0</v>
      </c>
    </row>
    <row r="621" spans="2:5" ht="15" customHeight="1">
      <c r="B621" s="103"/>
      <c r="C621" s="75" t="s">
        <v>324</v>
      </c>
      <c r="D621" s="71">
        <v>1</v>
      </c>
      <c r="E621" s="72">
        <v>0</v>
      </c>
    </row>
    <row r="622" spans="2:5" ht="15" customHeight="1">
      <c r="B622" s="101" t="s">
        <v>291</v>
      </c>
      <c r="C622" s="58" t="s">
        <v>143</v>
      </c>
      <c r="D622" s="61">
        <v>1</v>
      </c>
      <c r="E622" s="60">
        <v>0</v>
      </c>
    </row>
    <row r="623" spans="2:5" ht="15" customHeight="1">
      <c r="B623" s="103"/>
      <c r="C623" s="75" t="s">
        <v>324</v>
      </c>
      <c r="D623" s="71">
        <v>1</v>
      </c>
      <c r="E623" s="72">
        <v>0</v>
      </c>
    </row>
    <row r="624" spans="2:5" ht="15" customHeight="1">
      <c r="B624" s="104" t="s">
        <v>321</v>
      </c>
      <c r="C624" s="104"/>
      <c r="D624" s="73">
        <v>6718</v>
      </c>
      <c r="E624" s="74">
        <v>1</v>
      </c>
    </row>
    <row r="625" spans="2:5" ht="15" customHeight="1">
      <c r="B625" s="52"/>
      <c r="C625" s="52"/>
      <c r="D625" s="52"/>
      <c r="E625" s="52"/>
    </row>
    <row r="626" spans="2:5" ht="15" customHeight="1">
      <c r="B626" s="36" t="s">
        <v>288</v>
      </c>
      <c r="C626" s="52"/>
      <c r="D626" s="52"/>
      <c r="E626" s="52"/>
    </row>
    <row r="627" spans="2:5" ht="15" customHeight="1">
      <c r="B627" s="38" t="s">
        <v>18</v>
      </c>
      <c r="C627" s="52"/>
      <c r="D627" s="52"/>
      <c r="E627" s="52"/>
    </row>
    <row r="628" spans="2:5" ht="15" customHeight="1">
      <c r="B628" s="39" t="s">
        <v>46</v>
      </c>
      <c r="C628" s="52"/>
      <c r="D628" s="52"/>
      <c r="E628" s="52"/>
    </row>
    <row r="629" spans="2:5" ht="15" customHeight="1">
      <c r="B629" s="36" t="s">
        <v>17</v>
      </c>
      <c r="C629" s="52"/>
      <c r="D629" s="52"/>
      <c r="E629" s="52"/>
    </row>
    <row r="630" spans="2:5" ht="15" customHeight="1">
      <c r="B630" s="36" t="s">
        <v>322</v>
      </c>
      <c r="C630" s="52"/>
      <c r="D630" s="52"/>
      <c r="E630" s="52"/>
    </row>
  </sheetData>
  <mergeCells count="47">
    <mergeCell ref="B7:E8"/>
    <mergeCell ref="B251:B277"/>
    <mergeCell ref="B278:B294"/>
    <mergeCell ref="B295:B314"/>
    <mergeCell ref="B225:B250"/>
    <mergeCell ref="B10:B75"/>
    <mergeCell ref="B76:B136"/>
    <mergeCell ref="B137:B172"/>
    <mergeCell ref="B173:B203"/>
    <mergeCell ref="B204:B224"/>
    <mergeCell ref="B402:B414"/>
    <mergeCell ref="B535:B542"/>
    <mergeCell ref="B543:B551"/>
    <mergeCell ref="B552:B560"/>
    <mergeCell ref="B524:B534"/>
    <mergeCell ref="B388:B401"/>
    <mergeCell ref="B577:B580"/>
    <mergeCell ref="B581:B585"/>
    <mergeCell ref="B586:B590"/>
    <mergeCell ref="B561:B568"/>
    <mergeCell ref="B569:B576"/>
    <mergeCell ref="B415:B426"/>
    <mergeCell ref="B427:B436"/>
    <mergeCell ref="B437:B446"/>
    <mergeCell ref="B447:B458"/>
    <mergeCell ref="B459:B468"/>
    <mergeCell ref="B469:B480"/>
    <mergeCell ref="B481:B490"/>
    <mergeCell ref="B491:B502"/>
    <mergeCell ref="B503:B512"/>
    <mergeCell ref="B513:B523"/>
    <mergeCell ref="B602:B606"/>
    <mergeCell ref="B607:B610"/>
    <mergeCell ref="B611:B613"/>
    <mergeCell ref="B591:B596"/>
    <mergeCell ref="B597:B601"/>
    <mergeCell ref="B624:C624"/>
    <mergeCell ref="B614:B615"/>
    <mergeCell ref="B616:B617"/>
    <mergeCell ref="B618:B619"/>
    <mergeCell ref="B620:B621"/>
    <mergeCell ref="B622:B623"/>
    <mergeCell ref="B315:B328"/>
    <mergeCell ref="B329:B344"/>
    <mergeCell ref="B345:B359"/>
    <mergeCell ref="B360:B374"/>
    <mergeCell ref="B375:B38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891"/>
  <sheetViews>
    <sheetView showGridLines="0" view="pageBreakPreview" topLeftCell="A872" zoomScaleNormal="100" zoomScaleSheetLayoutView="100" workbookViewId="0">
      <selection activeCell="D884" sqref="D884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22" customFormat="1" ht="12" customHeight="1">
      <c r="B1" s="25"/>
      <c r="C1" s="24"/>
      <c r="D1" s="24"/>
      <c r="E1" s="24"/>
    </row>
    <row r="2" spans="1:5" s="22" customFormat="1" ht="15" customHeight="1">
      <c r="C2" s="27"/>
    </row>
    <row r="3" spans="1:5" s="22" customFormat="1" ht="15" customHeight="1">
      <c r="C3" s="27"/>
    </row>
    <row r="4" spans="1:5" s="22" customFormat="1" ht="30" customHeight="1">
      <c r="C4" s="27"/>
      <c r="D4" s="26"/>
    </row>
    <row r="5" spans="1:5" s="22" customFormat="1" ht="15" customHeight="1">
      <c r="C5" s="27"/>
      <c r="D5" s="26"/>
    </row>
    <row r="6" spans="1:5" s="22" customFormat="1" ht="24" customHeight="1">
      <c r="B6" s="47"/>
      <c r="C6" s="48"/>
      <c r="D6" s="48"/>
      <c r="E6" s="48"/>
    </row>
    <row r="7" spans="1:5" s="22" customFormat="1" ht="26.25" customHeight="1">
      <c r="A7" s="23"/>
      <c r="B7" s="105"/>
      <c r="C7" s="105"/>
      <c r="D7" s="105"/>
      <c r="E7" s="105"/>
    </row>
    <row r="8" spans="1:5" s="22" customFormat="1" ht="33" customHeight="1">
      <c r="A8" s="23"/>
      <c r="B8" s="105"/>
      <c r="C8" s="105"/>
      <c r="D8" s="105"/>
      <c r="E8" s="105"/>
    </row>
    <row r="9" spans="1:5" s="16" customFormat="1" ht="40.5" customHeight="1">
      <c r="B9" s="49" t="s">
        <v>22</v>
      </c>
      <c r="C9" s="50" t="s">
        <v>24</v>
      </c>
      <c r="D9" s="51" t="s">
        <v>20</v>
      </c>
      <c r="E9" s="49" t="s">
        <v>19</v>
      </c>
    </row>
    <row r="10" spans="1:5">
      <c r="B10" s="101" t="s">
        <v>67</v>
      </c>
      <c r="C10" s="58" t="s">
        <v>146</v>
      </c>
      <c r="D10" s="61">
        <v>6</v>
      </c>
      <c r="E10" s="60">
        <v>1E-3</v>
      </c>
    </row>
    <row r="11" spans="1:5">
      <c r="B11" s="102"/>
      <c r="C11" s="58" t="s">
        <v>149</v>
      </c>
      <c r="D11" s="61">
        <v>3</v>
      </c>
      <c r="E11" s="60">
        <v>0</v>
      </c>
    </row>
    <row r="12" spans="1:5">
      <c r="B12" s="102"/>
      <c r="C12" s="58" t="s">
        <v>153</v>
      </c>
      <c r="D12" s="61">
        <v>1</v>
      </c>
      <c r="E12" s="60">
        <v>0</v>
      </c>
    </row>
    <row r="13" spans="1:5">
      <c r="B13" s="102"/>
      <c r="C13" s="58" t="s">
        <v>158</v>
      </c>
      <c r="D13" s="61">
        <v>1</v>
      </c>
      <c r="E13" s="60">
        <v>0</v>
      </c>
    </row>
    <row r="14" spans="1:5">
      <c r="B14" s="102"/>
      <c r="C14" s="58" t="s">
        <v>160</v>
      </c>
      <c r="D14" s="61">
        <v>1</v>
      </c>
      <c r="E14" s="60">
        <v>0</v>
      </c>
    </row>
    <row r="15" spans="1:5">
      <c r="B15" s="102"/>
      <c r="C15" s="58" t="s">
        <v>161</v>
      </c>
      <c r="D15" s="61">
        <v>2</v>
      </c>
      <c r="E15" s="60">
        <v>0</v>
      </c>
    </row>
    <row r="16" spans="1:5">
      <c r="B16" s="102"/>
      <c r="C16" s="58" t="s">
        <v>142</v>
      </c>
      <c r="D16" s="61">
        <v>11</v>
      </c>
      <c r="E16" s="60">
        <v>2E-3</v>
      </c>
    </row>
    <row r="17" spans="2:5">
      <c r="B17" s="102"/>
      <c r="C17" s="58" t="s">
        <v>162</v>
      </c>
      <c r="D17" s="61">
        <v>1</v>
      </c>
      <c r="E17" s="60">
        <v>0</v>
      </c>
    </row>
    <row r="18" spans="2:5">
      <c r="B18" s="102"/>
      <c r="C18" s="58" t="s">
        <v>172</v>
      </c>
      <c r="D18" s="61">
        <v>7</v>
      </c>
      <c r="E18" s="60">
        <v>1E-3</v>
      </c>
    </row>
    <row r="19" spans="2:5">
      <c r="B19" s="102"/>
      <c r="C19" s="58" t="s">
        <v>143</v>
      </c>
      <c r="D19" s="61">
        <v>4</v>
      </c>
      <c r="E19" s="60">
        <v>1E-3</v>
      </c>
    </row>
    <row r="20" spans="2:5">
      <c r="B20" s="102"/>
      <c r="C20" s="58" t="s">
        <v>174</v>
      </c>
      <c r="D20" s="61">
        <v>1</v>
      </c>
      <c r="E20" s="60">
        <v>0</v>
      </c>
    </row>
    <row r="21" spans="2:5">
      <c r="B21" s="102"/>
      <c r="C21" s="58" t="s">
        <v>178</v>
      </c>
      <c r="D21" s="61">
        <v>1</v>
      </c>
      <c r="E21" s="60">
        <v>0</v>
      </c>
    </row>
    <row r="22" spans="2:5">
      <c r="B22" s="102"/>
      <c r="C22" s="58" t="s">
        <v>181</v>
      </c>
      <c r="D22" s="61">
        <v>2</v>
      </c>
      <c r="E22" s="60">
        <v>0</v>
      </c>
    </row>
    <row r="23" spans="2:5">
      <c r="B23" s="102"/>
      <c r="C23" s="58" t="s">
        <v>144</v>
      </c>
      <c r="D23" s="61">
        <v>4</v>
      </c>
      <c r="E23" s="60">
        <v>1E-3</v>
      </c>
    </row>
    <row r="24" spans="2:5">
      <c r="B24" s="102"/>
      <c r="C24" s="58" t="s">
        <v>55</v>
      </c>
      <c r="D24" s="61">
        <v>3</v>
      </c>
      <c r="E24" s="60">
        <v>0</v>
      </c>
    </row>
    <row r="25" spans="2:5">
      <c r="B25" s="102"/>
      <c r="C25" s="58" t="s">
        <v>187</v>
      </c>
      <c r="D25" s="61">
        <v>2</v>
      </c>
      <c r="E25" s="60">
        <v>0</v>
      </c>
    </row>
    <row r="26" spans="2:5">
      <c r="B26" s="102"/>
      <c r="C26" s="58" t="s">
        <v>189</v>
      </c>
      <c r="D26" s="61">
        <v>1</v>
      </c>
      <c r="E26" s="60">
        <v>0</v>
      </c>
    </row>
    <row r="27" spans="2:5">
      <c r="B27" s="102"/>
      <c r="C27" s="58" t="s">
        <v>191</v>
      </c>
      <c r="D27" s="61">
        <v>1</v>
      </c>
      <c r="E27" s="60">
        <v>0</v>
      </c>
    </row>
    <row r="28" spans="2:5">
      <c r="B28" s="102"/>
      <c r="C28" s="58" t="s">
        <v>192</v>
      </c>
      <c r="D28" s="61">
        <v>1</v>
      </c>
      <c r="E28" s="60">
        <v>0</v>
      </c>
    </row>
    <row r="29" spans="2:5">
      <c r="B29" s="102"/>
      <c r="C29" s="58" t="s">
        <v>194</v>
      </c>
      <c r="D29" s="61">
        <v>1</v>
      </c>
      <c r="E29" s="60">
        <v>0</v>
      </c>
    </row>
    <row r="30" spans="2:5">
      <c r="B30" s="102"/>
      <c r="C30" s="58" t="s">
        <v>204</v>
      </c>
      <c r="D30" s="61">
        <v>1</v>
      </c>
      <c r="E30" s="60">
        <v>0</v>
      </c>
    </row>
    <row r="31" spans="2:5">
      <c r="B31" s="103"/>
      <c r="C31" s="75" t="s">
        <v>324</v>
      </c>
      <c r="D31" s="76">
        <v>55</v>
      </c>
      <c r="E31" s="72">
        <v>8.0000000000000002E-3</v>
      </c>
    </row>
    <row r="32" spans="2:5">
      <c r="B32" s="101" t="s">
        <v>71</v>
      </c>
      <c r="C32" s="58" t="s">
        <v>146</v>
      </c>
      <c r="D32" s="61">
        <v>1</v>
      </c>
      <c r="E32" s="60">
        <v>0</v>
      </c>
    </row>
    <row r="33" spans="2:5">
      <c r="B33" s="102"/>
      <c r="C33" s="58" t="s">
        <v>161</v>
      </c>
      <c r="D33" s="61">
        <v>6</v>
      </c>
      <c r="E33" s="60">
        <v>1E-3</v>
      </c>
    </row>
    <row r="34" spans="2:5">
      <c r="B34" s="102"/>
      <c r="C34" s="58" t="s">
        <v>142</v>
      </c>
      <c r="D34" s="61">
        <v>8</v>
      </c>
      <c r="E34" s="60">
        <v>1E-3</v>
      </c>
    </row>
    <row r="35" spans="2:5">
      <c r="B35" s="102"/>
      <c r="C35" s="58" t="s">
        <v>168</v>
      </c>
      <c r="D35" s="61">
        <v>1</v>
      </c>
      <c r="E35" s="60">
        <v>0</v>
      </c>
    </row>
    <row r="36" spans="2:5">
      <c r="B36" s="102"/>
      <c r="C36" s="58" t="s">
        <v>172</v>
      </c>
      <c r="D36" s="61">
        <v>1</v>
      </c>
      <c r="E36" s="60">
        <v>0</v>
      </c>
    </row>
    <row r="37" spans="2:5">
      <c r="B37" s="102"/>
      <c r="C37" s="58" t="s">
        <v>143</v>
      </c>
      <c r="D37" s="61">
        <v>8</v>
      </c>
      <c r="E37" s="60">
        <v>1E-3</v>
      </c>
    </row>
    <row r="38" spans="2:5">
      <c r="B38" s="102"/>
      <c r="C38" s="58" t="s">
        <v>174</v>
      </c>
      <c r="D38" s="61">
        <v>2</v>
      </c>
      <c r="E38" s="60">
        <v>0</v>
      </c>
    </row>
    <row r="39" spans="2:5">
      <c r="B39" s="102"/>
      <c r="C39" s="58" t="s">
        <v>180</v>
      </c>
      <c r="D39" s="61">
        <v>1</v>
      </c>
      <c r="E39" s="60">
        <v>0</v>
      </c>
    </row>
    <row r="40" spans="2:5">
      <c r="B40" s="102"/>
      <c r="C40" s="58" t="s">
        <v>182</v>
      </c>
      <c r="D40" s="61">
        <v>3</v>
      </c>
      <c r="E40" s="60">
        <v>0</v>
      </c>
    </row>
    <row r="41" spans="2:5">
      <c r="B41" s="102"/>
      <c r="C41" s="58" t="s">
        <v>144</v>
      </c>
      <c r="D41" s="61">
        <v>4</v>
      </c>
      <c r="E41" s="60">
        <v>1E-3</v>
      </c>
    </row>
    <row r="42" spans="2:5">
      <c r="B42" s="102"/>
      <c r="C42" s="58" t="s">
        <v>55</v>
      </c>
      <c r="D42" s="61">
        <v>5</v>
      </c>
      <c r="E42" s="60">
        <v>1E-3</v>
      </c>
    </row>
    <row r="43" spans="2:5">
      <c r="B43" s="102"/>
      <c r="C43" s="58" t="s">
        <v>187</v>
      </c>
      <c r="D43" s="61">
        <v>1</v>
      </c>
      <c r="E43" s="60">
        <v>0</v>
      </c>
    </row>
    <row r="44" spans="2:5">
      <c r="B44" s="102"/>
      <c r="C44" s="58" t="s">
        <v>193</v>
      </c>
      <c r="D44" s="61">
        <v>1</v>
      </c>
      <c r="E44" s="60">
        <v>0</v>
      </c>
    </row>
    <row r="45" spans="2:5">
      <c r="B45" s="103"/>
      <c r="C45" s="75" t="s">
        <v>324</v>
      </c>
      <c r="D45" s="76">
        <v>42</v>
      </c>
      <c r="E45" s="72">
        <v>6.0000000000000001E-3</v>
      </c>
    </row>
    <row r="46" spans="2:5">
      <c r="B46" s="101" t="s">
        <v>81</v>
      </c>
      <c r="C46" s="58" t="s">
        <v>142</v>
      </c>
      <c r="D46" s="61">
        <v>7</v>
      </c>
      <c r="E46" s="60">
        <v>1E-3</v>
      </c>
    </row>
    <row r="47" spans="2:5">
      <c r="B47" s="102"/>
      <c r="C47" s="58" t="s">
        <v>292</v>
      </c>
      <c r="D47" s="61">
        <v>4</v>
      </c>
      <c r="E47" s="60">
        <v>1E-3</v>
      </c>
    </row>
    <row r="48" spans="2:5">
      <c r="B48" s="102"/>
      <c r="C48" s="58" t="s">
        <v>167</v>
      </c>
      <c r="D48" s="61">
        <v>1</v>
      </c>
      <c r="E48" s="60">
        <v>0</v>
      </c>
    </row>
    <row r="49" spans="2:5">
      <c r="B49" s="102"/>
      <c r="C49" s="58" t="s">
        <v>168</v>
      </c>
      <c r="D49" s="61">
        <v>1</v>
      </c>
      <c r="E49" s="60">
        <v>0</v>
      </c>
    </row>
    <row r="50" spans="2:5">
      <c r="B50" s="102"/>
      <c r="C50" s="58" t="s">
        <v>172</v>
      </c>
      <c r="D50" s="61">
        <v>4</v>
      </c>
      <c r="E50" s="60">
        <v>1E-3</v>
      </c>
    </row>
    <row r="51" spans="2:5">
      <c r="B51" s="102"/>
      <c r="C51" s="58" t="s">
        <v>143</v>
      </c>
      <c r="D51" s="61">
        <v>3</v>
      </c>
      <c r="E51" s="60">
        <v>0</v>
      </c>
    </row>
    <row r="52" spans="2:5">
      <c r="B52" s="102"/>
      <c r="C52" s="58" t="s">
        <v>174</v>
      </c>
      <c r="D52" s="61">
        <v>2</v>
      </c>
      <c r="E52" s="60">
        <v>0</v>
      </c>
    </row>
    <row r="53" spans="2:5">
      <c r="B53" s="102"/>
      <c r="C53" s="58" t="s">
        <v>182</v>
      </c>
      <c r="D53" s="61">
        <v>1</v>
      </c>
      <c r="E53" s="60">
        <v>0</v>
      </c>
    </row>
    <row r="54" spans="2:5">
      <c r="B54" s="102"/>
      <c r="C54" s="58" t="s">
        <v>144</v>
      </c>
      <c r="D54" s="61">
        <v>2</v>
      </c>
      <c r="E54" s="60">
        <v>0</v>
      </c>
    </row>
    <row r="55" spans="2:5">
      <c r="B55" s="102"/>
      <c r="C55" s="58" t="s">
        <v>55</v>
      </c>
      <c r="D55" s="61">
        <v>3</v>
      </c>
      <c r="E55" s="60">
        <v>0</v>
      </c>
    </row>
    <row r="56" spans="2:5">
      <c r="B56" s="102"/>
      <c r="C56" s="58" t="s">
        <v>187</v>
      </c>
      <c r="D56" s="61">
        <v>1</v>
      </c>
      <c r="E56" s="60">
        <v>0</v>
      </c>
    </row>
    <row r="57" spans="2:5">
      <c r="B57" s="102"/>
      <c r="C57" s="58" t="s">
        <v>193</v>
      </c>
      <c r="D57" s="61">
        <v>1</v>
      </c>
      <c r="E57" s="60">
        <v>0</v>
      </c>
    </row>
    <row r="58" spans="2:5">
      <c r="B58" s="103"/>
      <c r="C58" s="75" t="s">
        <v>324</v>
      </c>
      <c r="D58" s="76">
        <v>30</v>
      </c>
      <c r="E58" s="72">
        <v>4.0000000000000001E-3</v>
      </c>
    </row>
    <row r="59" spans="2:5">
      <c r="B59" s="101" t="s">
        <v>64</v>
      </c>
      <c r="C59" s="58" t="s">
        <v>146</v>
      </c>
      <c r="D59" s="61">
        <v>3</v>
      </c>
      <c r="E59" s="60">
        <v>0</v>
      </c>
    </row>
    <row r="60" spans="2:5">
      <c r="B60" s="102"/>
      <c r="C60" s="58" t="s">
        <v>147</v>
      </c>
      <c r="D60" s="61">
        <v>3</v>
      </c>
      <c r="E60" s="60">
        <v>0</v>
      </c>
    </row>
    <row r="61" spans="2:5">
      <c r="B61" s="102"/>
      <c r="C61" s="58" t="s">
        <v>207</v>
      </c>
      <c r="D61" s="61">
        <v>2</v>
      </c>
      <c r="E61" s="60">
        <v>0</v>
      </c>
    </row>
    <row r="62" spans="2:5">
      <c r="B62" s="102"/>
      <c r="C62" s="58" t="s">
        <v>152</v>
      </c>
      <c r="D62" s="61">
        <v>1</v>
      </c>
      <c r="E62" s="60">
        <v>0</v>
      </c>
    </row>
    <row r="63" spans="2:5">
      <c r="B63" s="102"/>
      <c r="C63" s="58" t="s">
        <v>158</v>
      </c>
      <c r="D63" s="61">
        <v>1</v>
      </c>
      <c r="E63" s="60">
        <v>0</v>
      </c>
    </row>
    <row r="64" spans="2:5">
      <c r="B64" s="102"/>
      <c r="C64" s="58" t="s">
        <v>161</v>
      </c>
      <c r="D64" s="61">
        <v>2</v>
      </c>
      <c r="E64" s="60">
        <v>0</v>
      </c>
    </row>
    <row r="65" spans="2:5">
      <c r="B65" s="102"/>
      <c r="C65" s="58" t="s">
        <v>142</v>
      </c>
      <c r="D65" s="61">
        <v>21</v>
      </c>
      <c r="E65" s="60">
        <v>3.0000000000000001E-3</v>
      </c>
    </row>
    <row r="66" spans="2:5">
      <c r="B66" s="102"/>
      <c r="C66" s="58" t="s">
        <v>172</v>
      </c>
      <c r="D66" s="61">
        <v>5</v>
      </c>
      <c r="E66" s="60">
        <v>1E-3</v>
      </c>
    </row>
    <row r="67" spans="2:5">
      <c r="B67" s="102"/>
      <c r="C67" s="58" t="s">
        <v>143</v>
      </c>
      <c r="D67" s="61">
        <v>21</v>
      </c>
      <c r="E67" s="60">
        <v>3.0000000000000001E-3</v>
      </c>
    </row>
    <row r="68" spans="2:5">
      <c r="B68" s="102"/>
      <c r="C68" s="58" t="s">
        <v>174</v>
      </c>
      <c r="D68" s="61">
        <v>1</v>
      </c>
      <c r="E68" s="60">
        <v>0</v>
      </c>
    </row>
    <row r="69" spans="2:5">
      <c r="B69" s="102"/>
      <c r="C69" s="58" t="s">
        <v>176</v>
      </c>
      <c r="D69" s="61">
        <v>1</v>
      </c>
      <c r="E69" s="60">
        <v>0</v>
      </c>
    </row>
    <row r="70" spans="2:5">
      <c r="B70" s="102"/>
      <c r="C70" s="58" t="s">
        <v>179</v>
      </c>
      <c r="D70" s="61">
        <v>1</v>
      </c>
      <c r="E70" s="60">
        <v>0</v>
      </c>
    </row>
    <row r="71" spans="2:5">
      <c r="B71" s="102"/>
      <c r="C71" s="58" t="s">
        <v>144</v>
      </c>
      <c r="D71" s="61">
        <v>3</v>
      </c>
      <c r="E71" s="60">
        <v>0</v>
      </c>
    </row>
    <row r="72" spans="2:5">
      <c r="B72" s="102"/>
      <c r="C72" s="58" t="s">
        <v>55</v>
      </c>
      <c r="D72" s="61">
        <v>7</v>
      </c>
      <c r="E72" s="60">
        <v>1E-3</v>
      </c>
    </row>
    <row r="73" spans="2:5">
      <c r="B73" s="102"/>
      <c r="C73" s="58" t="s">
        <v>193</v>
      </c>
      <c r="D73" s="61">
        <v>7</v>
      </c>
      <c r="E73" s="60">
        <v>1E-3</v>
      </c>
    </row>
    <row r="74" spans="2:5">
      <c r="B74" s="102"/>
      <c r="C74" s="58" t="s">
        <v>195</v>
      </c>
      <c r="D74" s="61">
        <v>1</v>
      </c>
      <c r="E74" s="60">
        <v>0</v>
      </c>
    </row>
    <row r="75" spans="2:5">
      <c r="B75" s="102"/>
      <c r="C75" s="58" t="s">
        <v>206</v>
      </c>
      <c r="D75" s="61">
        <v>1</v>
      </c>
      <c r="E75" s="60">
        <v>0</v>
      </c>
    </row>
    <row r="76" spans="2:5">
      <c r="B76" s="103"/>
      <c r="C76" s="75" t="s">
        <v>324</v>
      </c>
      <c r="D76" s="76">
        <v>81</v>
      </c>
      <c r="E76" s="72">
        <v>1.2E-2</v>
      </c>
    </row>
    <row r="77" spans="2:5">
      <c r="B77" s="101" t="s">
        <v>84</v>
      </c>
      <c r="C77" s="58" t="s">
        <v>147</v>
      </c>
      <c r="D77" s="61">
        <v>1</v>
      </c>
      <c r="E77" s="60">
        <v>0</v>
      </c>
    </row>
    <row r="78" spans="2:5">
      <c r="B78" s="102"/>
      <c r="C78" s="58" t="s">
        <v>142</v>
      </c>
      <c r="D78" s="61">
        <v>3</v>
      </c>
      <c r="E78" s="60">
        <v>0</v>
      </c>
    </row>
    <row r="79" spans="2:5">
      <c r="B79" s="102"/>
      <c r="C79" s="58" t="s">
        <v>143</v>
      </c>
      <c r="D79" s="61">
        <v>5</v>
      </c>
      <c r="E79" s="60">
        <v>1E-3</v>
      </c>
    </row>
    <row r="80" spans="2:5">
      <c r="B80" s="102"/>
      <c r="C80" s="58" t="s">
        <v>192</v>
      </c>
      <c r="D80" s="61">
        <v>1</v>
      </c>
      <c r="E80" s="60">
        <v>0</v>
      </c>
    </row>
    <row r="81" spans="2:5">
      <c r="B81" s="103"/>
      <c r="C81" s="75" t="s">
        <v>324</v>
      </c>
      <c r="D81" s="76">
        <v>10</v>
      </c>
      <c r="E81" s="72">
        <v>1E-3</v>
      </c>
    </row>
    <row r="82" spans="2:5">
      <c r="B82" s="101" t="s">
        <v>94</v>
      </c>
      <c r="C82" s="58" t="s">
        <v>142</v>
      </c>
      <c r="D82" s="61">
        <v>1</v>
      </c>
      <c r="E82" s="60">
        <v>0</v>
      </c>
    </row>
    <row r="83" spans="2:5">
      <c r="B83" s="102"/>
      <c r="C83" s="58" t="s">
        <v>168</v>
      </c>
      <c r="D83" s="61">
        <v>1</v>
      </c>
      <c r="E83" s="60">
        <v>0</v>
      </c>
    </row>
    <row r="84" spans="2:5">
      <c r="B84" s="102"/>
      <c r="C84" s="58" t="s">
        <v>178</v>
      </c>
      <c r="D84" s="61">
        <v>1</v>
      </c>
      <c r="E84" s="60">
        <v>0</v>
      </c>
    </row>
    <row r="85" spans="2:5">
      <c r="B85" s="102"/>
      <c r="C85" s="58" t="s">
        <v>187</v>
      </c>
      <c r="D85" s="61">
        <v>1</v>
      </c>
      <c r="E85" s="60">
        <v>0</v>
      </c>
    </row>
    <row r="86" spans="2:5">
      <c r="B86" s="103"/>
      <c r="C86" s="75" t="s">
        <v>324</v>
      </c>
      <c r="D86" s="76">
        <v>4</v>
      </c>
      <c r="E86" s="72">
        <v>1E-3</v>
      </c>
    </row>
    <row r="87" spans="2:5">
      <c r="B87" s="101" t="s">
        <v>85</v>
      </c>
      <c r="C87" s="58" t="s">
        <v>161</v>
      </c>
      <c r="D87" s="61">
        <v>2</v>
      </c>
      <c r="E87" s="60">
        <v>0</v>
      </c>
    </row>
    <row r="88" spans="2:5">
      <c r="B88" s="102"/>
      <c r="C88" s="58" t="s">
        <v>142</v>
      </c>
      <c r="D88" s="61">
        <v>6</v>
      </c>
      <c r="E88" s="60">
        <v>1E-3</v>
      </c>
    </row>
    <row r="89" spans="2:5">
      <c r="B89" s="102"/>
      <c r="C89" s="58" t="s">
        <v>165</v>
      </c>
      <c r="D89" s="61">
        <v>1</v>
      </c>
      <c r="E89" s="60">
        <v>0</v>
      </c>
    </row>
    <row r="90" spans="2:5">
      <c r="B90" s="102"/>
      <c r="C90" s="58" t="s">
        <v>168</v>
      </c>
      <c r="D90" s="61">
        <v>1</v>
      </c>
      <c r="E90" s="60">
        <v>0</v>
      </c>
    </row>
    <row r="91" spans="2:5">
      <c r="B91" s="102"/>
      <c r="C91" s="58" t="s">
        <v>172</v>
      </c>
      <c r="D91" s="61">
        <v>1</v>
      </c>
      <c r="E91" s="60">
        <v>0</v>
      </c>
    </row>
    <row r="92" spans="2:5">
      <c r="B92" s="102"/>
      <c r="C92" s="58" t="s">
        <v>143</v>
      </c>
      <c r="D92" s="61">
        <v>3</v>
      </c>
      <c r="E92" s="60">
        <v>0</v>
      </c>
    </row>
    <row r="93" spans="2:5">
      <c r="B93" s="102"/>
      <c r="C93" s="58" t="s">
        <v>178</v>
      </c>
      <c r="D93" s="61">
        <v>1</v>
      </c>
      <c r="E93" s="60">
        <v>0</v>
      </c>
    </row>
    <row r="94" spans="2:5">
      <c r="B94" s="102"/>
      <c r="C94" s="58" t="s">
        <v>144</v>
      </c>
      <c r="D94" s="61">
        <v>1</v>
      </c>
      <c r="E94" s="60">
        <v>0</v>
      </c>
    </row>
    <row r="95" spans="2:5">
      <c r="B95" s="102"/>
      <c r="C95" s="58" t="s">
        <v>55</v>
      </c>
      <c r="D95" s="61">
        <v>2</v>
      </c>
      <c r="E95" s="60">
        <v>0</v>
      </c>
    </row>
    <row r="96" spans="2:5">
      <c r="B96" s="102"/>
      <c r="C96" s="58" t="s">
        <v>189</v>
      </c>
      <c r="D96" s="61">
        <v>1</v>
      </c>
      <c r="E96" s="60">
        <v>0</v>
      </c>
    </row>
    <row r="97" spans="2:5">
      <c r="B97" s="102"/>
      <c r="C97" s="58" t="s">
        <v>193</v>
      </c>
      <c r="D97" s="61">
        <v>9</v>
      </c>
      <c r="E97" s="60">
        <v>1E-3</v>
      </c>
    </row>
    <row r="98" spans="2:5">
      <c r="B98" s="102"/>
      <c r="C98" s="58" t="s">
        <v>202</v>
      </c>
      <c r="D98" s="61">
        <v>1</v>
      </c>
      <c r="E98" s="60">
        <v>0</v>
      </c>
    </row>
    <row r="99" spans="2:5">
      <c r="B99" s="103"/>
      <c r="C99" s="75" t="s">
        <v>324</v>
      </c>
      <c r="D99" s="76">
        <v>29</v>
      </c>
      <c r="E99" s="72">
        <v>4.0000000000000001E-3</v>
      </c>
    </row>
    <row r="100" spans="2:5">
      <c r="B100" s="101" t="s">
        <v>54</v>
      </c>
      <c r="C100" s="58" t="s">
        <v>146</v>
      </c>
      <c r="D100" s="61">
        <v>7</v>
      </c>
      <c r="E100" s="60">
        <v>1E-3</v>
      </c>
    </row>
    <row r="101" spans="2:5">
      <c r="B101" s="102"/>
      <c r="C101" s="58" t="s">
        <v>147</v>
      </c>
      <c r="D101" s="61">
        <v>1</v>
      </c>
      <c r="E101" s="60">
        <v>0</v>
      </c>
    </row>
    <row r="102" spans="2:5">
      <c r="B102" s="102"/>
      <c r="C102" s="58" t="s">
        <v>151</v>
      </c>
      <c r="D102" s="61">
        <v>1</v>
      </c>
      <c r="E102" s="60">
        <v>0</v>
      </c>
    </row>
    <row r="103" spans="2:5">
      <c r="B103" s="102"/>
      <c r="C103" s="58" t="s">
        <v>156</v>
      </c>
      <c r="D103" s="61">
        <v>1</v>
      </c>
      <c r="E103" s="60">
        <v>0</v>
      </c>
    </row>
    <row r="104" spans="2:5">
      <c r="B104" s="102"/>
      <c r="C104" s="58" t="s">
        <v>159</v>
      </c>
      <c r="D104" s="61">
        <v>1</v>
      </c>
      <c r="E104" s="60">
        <v>0</v>
      </c>
    </row>
    <row r="105" spans="2:5">
      <c r="B105" s="102"/>
      <c r="C105" s="58" t="s">
        <v>160</v>
      </c>
      <c r="D105" s="61">
        <v>2</v>
      </c>
      <c r="E105" s="60">
        <v>0</v>
      </c>
    </row>
    <row r="106" spans="2:5">
      <c r="B106" s="102"/>
      <c r="C106" s="58" t="s">
        <v>161</v>
      </c>
      <c r="D106" s="61">
        <v>9</v>
      </c>
      <c r="E106" s="60">
        <v>1E-3</v>
      </c>
    </row>
    <row r="107" spans="2:5">
      <c r="B107" s="102"/>
      <c r="C107" s="58" t="s">
        <v>142</v>
      </c>
      <c r="D107" s="61">
        <v>29</v>
      </c>
      <c r="E107" s="60">
        <v>4.0000000000000001E-3</v>
      </c>
    </row>
    <row r="108" spans="2:5">
      <c r="B108" s="102"/>
      <c r="C108" s="58" t="s">
        <v>162</v>
      </c>
      <c r="D108" s="61">
        <v>3</v>
      </c>
      <c r="E108" s="60">
        <v>0</v>
      </c>
    </row>
    <row r="109" spans="2:5">
      <c r="B109" s="102"/>
      <c r="C109" s="58" t="s">
        <v>165</v>
      </c>
      <c r="D109" s="61">
        <v>1</v>
      </c>
      <c r="E109" s="60">
        <v>0</v>
      </c>
    </row>
    <row r="110" spans="2:5">
      <c r="B110" s="102"/>
      <c r="C110" s="58" t="s">
        <v>167</v>
      </c>
      <c r="D110" s="61">
        <v>2</v>
      </c>
      <c r="E110" s="60">
        <v>0</v>
      </c>
    </row>
    <row r="111" spans="2:5">
      <c r="B111" s="102"/>
      <c r="C111" s="58" t="s">
        <v>168</v>
      </c>
      <c r="D111" s="61">
        <v>4</v>
      </c>
      <c r="E111" s="60">
        <v>1E-3</v>
      </c>
    </row>
    <row r="112" spans="2:5">
      <c r="B112" s="102"/>
      <c r="C112" s="58" t="s">
        <v>170</v>
      </c>
      <c r="D112" s="61">
        <v>1</v>
      </c>
      <c r="E112" s="60">
        <v>0</v>
      </c>
    </row>
    <row r="113" spans="2:5">
      <c r="B113" s="102"/>
      <c r="C113" s="58" t="s">
        <v>172</v>
      </c>
      <c r="D113" s="61">
        <v>5</v>
      </c>
      <c r="E113" s="60">
        <v>1E-3</v>
      </c>
    </row>
    <row r="114" spans="2:5">
      <c r="B114" s="102"/>
      <c r="C114" s="58" t="s">
        <v>143</v>
      </c>
      <c r="D114" s="61">
        <v>39</v>
      </c>
      <c r="E114" s="60">
        <v>6.0000000000000001E-3</v>
      </c>
    </row>
    <row r="115" spans="2:5">
      <c r="B115" s="102"/>
      <c r="C115" s="58" t="s">
        <v>174</v>
      </c>
      <c r="D115" s="61">
        <v>2</v>
      </c>
      <c r="E115" s="60">
        <v>0</v>
      </c>
    </row>
    <row r="116" spans="2:5">
      <c r="B116" s="102"/>
      <c r="C116" s="58" t="s">
        <v>182</v>
      </c>
      <c r="D116" s="61">
        <v>4</v>
      </c>
      <c r="E116" s="60">
        <v>1E-3</v>
      </c>
    </row>
    <row r="117" spans="2:5">
      <c r="B117" s="102"/>
      <c r="C117" s="58" t="s">
        <v>144</v>
      </c>
      <c r="D117" s="61">
        <v>13</v>
      </c>
      <c r="E117" s="60">
        <v>2E-3</v>
      </c>
    </row>
    <row r="118" spans="2:5">
      <c r="B118" s="102"/>
      <c r="C118" s="58" t="s">
        <v>55</v>
      </c>
      <c r="D118" s="61">
        <v>26</v>
      </c>
      <c r="E118" s="60">
        <v>4.0000000000000001E-3</v>
      </c>
    </row>
    <row r="119" spans="2:5">
      <c r="B119" s="102"/>
      <c r="C119" s="58" t="s">
        <v>186</v>
      </c>
      <c r="D119" s="61">
        <v>1</v>
      </c>
      <c r="E119" s="60">
        <v>0</v>
      </c>
    </row>
    <row r="120" spans="2:5">
      <c r="B120" s="102"/>
      <c r="C120" s="58" t="s">
        <v>187</v>
      </c>
      <c r="D120" s="61">
        <v>2</v>
      </c>
      <c r="E120" s="60">
        <v>0</v>
      </c>
    </row>
    <row r="121" spans="2:5">
      <c r="B121" s="102"/>
      <c r="C121" s="58" t="s">
        <v>193</v>
      </c>
      <c r="D121" s="61">
        <v>8</v>
      </c>
      <c r="E121" s="60">
        <v>1E-3</v>
      </c>
    </row>
    <row r="122" spans="2:5">
      <c r="B122" s="103"/>
      <c r="C122" s="75" t="s">
        <v>324</v>
      </c>
      <c r="D122" s="76">
        <v>162</v>
      </c>
      <c r="E122" s="72">
        <v>2.4E-2</v>
      </c>
    </row>
    <row r="123" spans="2:5">
      <c r="B123" s="101" t="s">
        <v>62</v>
      </c>
      <c r="C123" s="58" t="s">
        <v>146</v>
      </c>
      <c r="D123" s="61">
        <v>4</v>
      </c>
      <c r="E123" s="60">
        <v>1E-3</v>
      </c>
    </row>
    <row r="124" spans="2:5">
      <c r="B124" s="102"/>
      <c r="C124" s="58" t="s">
        <v>161</v>
      </c>
      <c r="D124" s="61">
        <v>3</v>
      </c>
      <c r="E124" s="60">
        <v>0</v>
      </c>
    </row>
    <row r="125" spans="2:5">
      <c r="B125" s="102"/>
      <c r="C125" s="58" t="s">
        <v>142</v>
      </c>
      <c r="D125" s="61">
        <v>16</v>
      </c>
      <c r="E125" s="60">
        <v>2E-3</v>
      </c>
    </row>
    <row r="126" spans="2:5">
      <c r="B126" s="102"/>
      <c r="C126" s="58" t="s">
        <v>162</v>
      </c>
      <c r="D126" s="61">
        <v>2</v>
      </c>
      <c r="E126" s="60">
        <v>0</v>
      </c>
    </row>
    <row r="127" spans="2:5">
      <c r="B127" s="102"/>
      <c r="C127" s="58" t="s">
        <v>165</v>
      </c>
      <c r="D127" s="61">
        <v>1</v>
      </c>
      <c r="E127" s="60">
        <v>0</v>
      </c>
    </row>
    <row r="128" spans="2:5">
      <c r="B128" s="102"/>
      <c r="C128" s="58" t="s">
        <v>167</v>
      </c>
      <c r="D128" s="61">
        <v>1</v>
      </c>
      <c r="E128" s="60">
        <v>0</v>
      </c>
    </row>
    <row r="129" spans="2:5">
      <c r="B129" s="102"/>
      <c r="C129" s="58" t="s">
        <v>169</v>
      </c>
      <c r="D129" s="61">
        <v>1</v>
      </c>
      <c r="E129" s="60">
        <v>0</v>
      </c>
    </row>
    <row r="130" spans="2:5">
      <c r="B130" s="102"/>
      <c r="C130" s="58" t="s">
        <v>170</v>
      </c>
      <c r="D130" s="61">
        <v>1</v>
      </c>
      <c r="E130" s="60">
        <v>0</v>
      </c>
    </row>
    <row r="131" spans="2:5">
      <c r="B131" s="102"/>
      <c r="C131" s="58" t="s">
        <v>172</v>
      </c>
      <c r="D131" s="61">
        <v>5</v>
      </c>
      <c r="E131" s="60">
        <v>1E-3</v>
      </c>
    </row>
    <row r="132" spans="2:5">
      <c r="B132" s="102"/>
      <c r="C132" s="58" t="s">
        <v>143</v>
      </c>
      <c r="D132" s="61">
        <v>17</v>
      </c>
      <c r="E132" s="60">
        <v>3.0000000000000001E-3</v>
      </c>
    </row>
    <row r="133" spans="2:5">
      <c r="B133" s="102"/>
      <c r="C133" s="58" t="s">
        <v>174</v>
      </c>
      <c r="D133" s="61">
        <v>1</v>
      </c>
      <c r="E133" s="60">
        <v>0</v>
      </c>
    </row>
    <row r="134" spans="2:5">
      <c r="B134" s="102"/>
      <c r="C134" s="58" t="s">
        <v>182</v>
      </c>
      <c r="D134" s="61">
        <v>2</v>
      </c>
      <c r="E134" s="60">
        <v>0</v>
      </c>
    </row>
    <row r="135" spans="2:5">
      <c r="B135" s="102"/>
      <c r="C135" s="58" t="s">
        <v>144</v>
      </c>
      <c r="D135" s="61">
        <v>5</v>
      </c>
      <c r="E135" s="60">
        <v>1E-3</v>
      </c>
    </row>
    <row r="136" spans="2:5">
      <c r="B136" s="102"/>
      <c r="C136" s="58" t="s">
        <v>55</v>
      </c>
      <c r="D136" s="61">
        <v>15</v>
      </c>
      <c r="E136" s="60">
        <v>2E-3</v>
      </c>
    </row>
    <row r="137" spans="2:5">
      <c r="B137" s="102"/>
      <c r="C137" s="58" t="s">
        <v>186</v>
      </c>
      <c r="D137" s="61">
        <v>1</v>
      </c>
      <c r="E137" s="60">
        <v>0</v>
      </c>
    </row>
    <row r="138" spans="2:5">
      <c r="B138" s="102"/>
      <c r="C138" s="58" t="s">
        <v>187</v>
      </c>
      <c r="D138" s="61">
        <v>1</v>
      </c>
      <c r="E138" s="60">
        <v>0</v>
      </c>
    </row>
    <row r="139" spans="2:5">
      <c r="B139" s="102"/>
      <c r="C139" s="58" t="s">
        <v>193</v>
      </c>
      <c r="D139" s="61">
        <v>6</v>
      </c>
      <c r="E139" s="60">
        <v>1E-3</v>
      </c>
    </row>
    <row r="140" spans="2:5">
      <c r="B140" s="102"/>
      <c r="C140" s="58" t="s">
        <v>206</v>
      </c>
      <c r="D140" s="61">
        <v>1</v>
      </c>
      <c r="E140" s="60">
        <v>0</v>
      </c>
    </row>
    <row r="141" spans="2:5">
      <c r="B141" s="103"/>
      <c r="C141" s="75" t="s">
        <v>324</v>
      </c>
      <c r="D141" s="76">
        <v>83</v>
      </c>
      <c r="E141" s="72">
        <v>1.2E-2</v>
      </c>
    </row>
    <row r="142" spans="2:5">
      <c r="B142" s="101" t="s">
        <v>96</v>
      </c>
      <c r="C142" s="58" t="s">
        <v>143</v>
      </c>
      <c r="D142" s="61">
        <v>1</v>
      </c>
      <c r="E142" s="60">
        <v>0</v>
      </c>
    </row>
    <row r="143" spans="2:5">
      <c r="B143" s="102"/>
      <c r="C143" s="58" t="s">
        <v>193</v>
      </c>
      <c r="D143" s="61">
        <v>1</v>
      </c>
      <c r="E143" s="60">
        <v>0</v>
      </c>
    </row>
    <row r="144" spans="2:5">
      <c r="B144" s="103"/>
      <c r="C144" s="75" t="s">
        <v>324</v>
      </c>
      <c r="D144" s="76">
        <v>2</v>
      </c>
      <c r="E144" s="72">
        <v>0</v>
      </c>
    </row>
    <row r="145" spans="2:5">
      <c r="B145" s="101" t="s">
        <v>56</v>
      </c>
      <c r="C145" s="58" t="s">
        <v>146</v>
      </c>
      <c r="D145" s="61">
        <v>12</v>
      </c>
      <c r="E145" s="60">
        <v>2E-3</v>
      </c>
    </row>
    <row r="146" spans="2:5">
      <c r="B146" s="102"/>
      <c r="C146" s="58" t="s">
        <v>147</v>
      </c>
      <c r="D146" s="61">
        <v>2</v>
      </c>
      <c r="E146" s="60">
        <v>0</v>
      </c>
    </row>
    <row r="147" spans="2:5">
      <c r="B147" s="102"/>
      <c r="C147" s="58" t="s">
        <v>148</v>
      </c>
      <c r="D147" s="61">
        <v>1</v>
      </c>
      <c r="E147" s="60">
        <v>0</v>
      </c>
    </row>
    <row r="148" spans="2:5">
      <c r="B148" s="102"/>
      <c r="C148" s="58" t="s">
        <v>158</v>
      </c>
      <c r="D148" s="61">
        <v>1</v>
      </c>
      <c r="E148" s="60">
        <v>0</v>
      </c>
    </row>
    <row r="149" spans="2:5">
      <c r="B149" s="102"/>
      <c r="C149" s="58" t="s">
        <v>160</v>
      </c>
      <c r="D149" s="61">
        <v>1</v>
      </c>
      <c r="E149" s="60">
        <v>0</v>
      </c>
    </row>
    <row r="150" spans="2:5">
      <c r="B150" s="102"/>
      <c r="C150" s="58" t="s">
        <v>161</v>
      </c>
      <c r="D150" s="61">
        <v>1</v>
      </c>
      <c r="E150" s="60">
        <v>0</v>
      </c>
    </row>
    <row r="151" spans="2:5">
      <c r="B151" s="102"/>
      <c r="C151" s="58" t="s">
        <v>142</v>
      </c>
      <c r="D151" s="61">
        <v>24</v>
      </c>
      <c r="E151" s="60">
        <v>4.0000000000000001E-3</v>
      </c>
    </row>
    <row r="152" spans="2:5">
      <c r="B152" s="102"/>
      <c r="C152" s="58" t="s">
        <v>162</v>
      </c>
      <c r="D152" s="61">
        <v>1</v>
      </c>
      <c r="E152" s="60">
        <v>0</v>
      </c>
    </row>
    <row r="153" spans="2:5">
      <c r="B153" s="102"/>
      <c r="C153" s="58" t="s">
        <v>292</v>
      </c>
      <c r="D153" s="61">
        <v>10</v>
      </c>
      <c r="E153" s="60">
        <v>1E-3</v>
      </c>
    </row>
    <row r="154" spans="2:5">
      <c r="B154" s="102"/>
      <c r="C154" s="58" t="s">
        <v>167</v>
      </c>
      <c r="D154" s="61">
        <v>1</v>
      </c>
      <c r="E154" s="60">
        <v>0</v>
      </c>
    </row>
    <row r="155" spans="2:5">
      <c r="B155" s="102"/>
      <c r="C155" s="58" t="s">
        <v>172</v>
      </c>
      <c r="D155" s="61">
        <v>2</v>
      </c>
      <c r="E155" s="60">
        <v>0</v>
      </c>
    </row>
    <row r="156" spans="2:5">
      <c r="B156" s="102"/>
      <c r="C156" s="58" t="s">
        <v>143</v>
      </c>
      <c r="D156" s="61">
        <v>14</v>
      </c>
      <c r="E156" s="60">
        <v>2E-3</v>
      </c>
    </row>
    <row r="157" spans="2:5">
      <c r="B157" s="102"/>
      <c r="C157" s="58" t="s">
        <v>174</v>
      </c>
      <c r="D157" s="61">
        <v>1</v>
      </c>
      <c r="E157" s="60">
        <v>0</v>
      </c>
    </row>
    <row r="158" spans="2:5">
      <c r="B158" s="102"/>
      <c r="C158" s="58" t="s">
        <v>178</v>
      </c>
      <c r="D158" s="61">
        <v>3</v>
      </c>
      <c r="E158" s="60">
        <v>0</v>
      </c>
    </row>
    <row r="159" spans="2:5">
      <c r="B159" s="102"/>
      <c r="C159" s="58" t="s">
        <v>179</v>
      </c>
      <c r="D159" s="61">
        <v>1</v>
      </c>
      <c r="E159" s="60">
        <v>0</v>
      </c>
    </row>
    <row r="160" spans="2:5">
      <c r="B160" s="102"/>
      <c r="C160" s="58" t="s">
        <v>182</v>
      </c>
      <c r="D160" s="61">
        <v>2</v>
      </c>
      <c r="E160" s="60">
        <v>0</v>
      </c>
    </row>
    <row r="161" spans="2:5">
      <c r="B161" s="102"/>
      <c r="C161" s="58" t="s">
        <v>144</v>
      </c>
      <c r="D161" s="61">
        <v>7</v>
      </c>
      <c r="E161" s="60">
        <v>1E-3</v>
      </c>
    </row>
    <row r="162" spans="2:5">
      <c r="B162" s="102"/>
      <c r="C162" s="58" t="s">
        <v>55</v>
      </c>
      <c r="D162" s="61">
        <v>4</v>
      </c>
      <c r="E162" s="60">
        <v>1E-3</v>
      </c>
    </row>
    <row r="163" spans="2:5">
      <c r="B163" s="102"/>
      <c r="C163" s="58" t="s">
        <v>190</v>
      </c>
      <c r="D163" s="61">
        <v>1</v>
      </c>
      <c r="E163" s="60">
        <v>0</v>
      </c>
    </row>
    <row r="164" spans="2:5">
      <c r="B164" s="102"/>
      <c r="C164" s="58" t="s">
        <v>191</v>
      </c>
      <c r="D164" s="61">
        <v>9</v>
      </c>
      <c r="E164" s="60">
        <v>1E-3</v>
      </c>
    </row>
    <row r="165" spans="2:5">
      <c r="B165" s="102"/>
      <c r="C165" s="58" t="s">
        <v>193</v>
      </c>
      <c r="D165" s="61">
        <v>4</v>
      </c>
      <c r="E165" s="60">
        <v>1E-3</v>
      </c>
    </row>
    <row r="166" spans="2:5">
      <c r="B166" s="102"/>
      <c r="C166" s="58" t="s">
        <v>61</v>
      </c>
      <c r="D166" s="61">
        <v>1</v>
      </c>
      <c r="E166" s="60">
        <v>0</v>
      </c>
    </row>
    <row r="167" spans="2:5">
      <c r="B167" s="102"/>
      <c r="C167" s="58" t="s">
        <v>206</v>
      </c>
      <c r="D167" s="61">
        <v>2</v>
      </c>
      <c r="E167" s="60">
        <v>0</v>
      </c>
    </row>
    <row r="168" spans="2:5">
      <c r="B168" s="103"/>
      <c r="C168" s="75" t="s">
        <v>324</v>
      </c>
      <c r="D168" s="76">
        <v>105</v>
      </c>
      <c r="E168" s="72">
        <v>1.6E-2</v>
      </c>
    </row>
    <row r="169" spans="2:5">
      <c r="B169" s="101" t="s">
        <v>78</v>
      </c>
      <c r="C169" s="58" t="s">
        <v>146</v>
      </c>
      <c r="D169" s="61">
        <v>3</v>
      </c>
      <c r="E169" s="60">
        <v>0</v>
      </c>
    </row>
    <row r="170" spans="2:5">
      <c r="B170" s="102"/>
      <c r="C170" s="58" t="s">
        <v>161</v>
      </c>
      <c r="D170" s="61">
        <v>4</v>
      </c>
      <c r="E170" s="60">
        <v>1E-3</v>
      </c>
    </row>
    <row r="171" spans="2:5">
      <c r="B171" s="102"/>
      <c r="C171" s="58" t="s">
        <v>142</v>
      </c>
      <c r="D171" s="61">
        <v>12</v>
      </c>
      <c r="E171" s="60">
        <v>2E-3</v>
      </c>
    </row>
    <row r="172" spans="2:5">
      <c r="B172" s="102"/>
      <c r="C172" s="58" t="s">
        <v>292</v>
      </c>
      <c r="D172" s="61">
        <v>2</v>
      </c>
      <c r="E172" s="60">
        <v>0</v>
      </c>
    </row>
    <row r="173" spans="2:5">
      <c r="B173" s="102"/>
      <c r="C173" s="58" t="s">
        <v>167</v>
      </c>
      <c r="D173" s="61">
        <v>2</v>
      </c>
      <c r="E173" s="60">
        <v>0</v>
      </c>
    </row>
    <row r="174" spans="2:5">
      <c r="B174" s="102"/>
      <c r="C174" s="58" t="s">
        <v>172</v>
      </c>
      <c r="D174" s="61">
        <v>4</v>
      </c>
      <c r="E174" s="60">
        <v>1E-3</v>
      </c>
    </row>
    <row r="175" spans="2:5">
      <c r="B175" s="102"/>
      <c r="C175" s="58" t="s">
        <v>143</v>
      </c>
      <c r="D175" s="61">
        <v>4</v>
      </c>
      <c r="E175" s="60">
        <v>1E-3</v>
      </c>
    </row>
    <row r="176" spans="2:5">
      <c r="B176" s="102"/>
      <c r="C176" s="58" t="s">
        <v>177</v>
      </c>
      <c r="D176" s="61">
        <v>1</v>
      </c>
      <c r="E176" s="60">
        <v>0</v>
      </c>
    </row>
    <row r="177" spans="2:5">
      <c r="B177" s="102"/>
      <c r="C177" s="58" t="s">
        <v>178</v>
      </c>
      <c r="D177" s="61">
        <v>1</v>
      </c>
      <c r="E177" s="60">
        <v>0</v>
      </c>
    </row>
    <row r="178" spans="2:5">
      <c r="B178" s="102"/>
      <c r="C178" s="58" t="s">
        <v>182</v>
      </c>
      <c r="D178" s="61">
        <v>1</v>
      </c>
      <c r="E178" s="60">
        <v>0</v>
      </c>
    </row>
    <row r="179" spans="2:5">
      <c r="B179" s="102"/>
      <c r="C179" s="58" t="s">
        <v>144</v>
      </c>
      <c r="D179" s="61">
        <v>2</v>
      </c>
      <c r="E179" s="60">
        <v>0</v>
      </c>
    </row>
    <row r="180" spans="2:5">
      <c r="B180" s="102"/>
      <c r="C180" s="58" t="s">
        <v>55</v>
      </c>
      <c r="D180" s="61">
        <v>4</v>
      </c>
      <c r="E180" s="60">
        <v>1E-3</v>
      </c>
    </row>
    <row r="181" spans="2:5">
      <c r="B181" s="102"/>
      <c r="C181" s="58" t="s">
        <v>193</v>
      </c>
      <c r="D181" s="61">
        <v>3</v>
      </c>
      <c r="E181" s="60">
        <v>0</v>
      </c>
    </row>
    <row r="182" spans="2:5">
      <c r="B182" s="103"/>
      <c r="C182" s="75" t="s">
        <v>324</v>
      </c>
      <c r="D182" s="76">
        <v>43</v>
      </c>
      <c r="E182" s="72">
        <v>6.0000000000000001E-3</v>
      </c>
    </row>
    <row r="183" spans="2:5">
      <c r="B183" s="101" t="s">
        <v>91</v>
      </c>
      <c r="C183" s="58" t="s">
        <v>145</v>
      </c>
      <c r="D183" s="61">
        <v>1</v>
      </c>
      <c r="E183" s="60">
        <v>0</v>
      </c>
    </row>
    <row r="184" spans="2:5">
      <c r="B184" s="102"/>
      <c r="C184" s="58" t="s">
        <v>146</v>
      </c>
      <c r="D184" s="61">
        <v>6</v>
      </c>
      <c r="E184" s="60">
        <v>1E-3</v>
      </c>
    </row>
    <row r="185" spans="2:5">
      <c r="B185" s="102"/>
      <c r="C185" s="58" t="s">
        <v>153</v>
      </c>
      <c r="D185" s="61">
        <v>1</v>
      </c>
      <c r="E185" s="60">
        <v>0</v>
      </c>
    </row>
    <row r="186" spans="2:5">
      <c r="B186" s="102"/>
      <c r="C186" s="58" t="s">
        <v>165</v>
      </c>
      <c r="D186" s="61">
        <v>1</v>
      </c>
      <c r="E186" s="60">
        <v>0</v>
      </c>
    </row>
    <row r="187" spans="2:5">
      <c r="B187" s="102"/>
      <c r="C187" s="58" t="s">
        <v>143</v>
      </c>
      <c r="D187" s="61">
        <v>1</v>
      </c>
      <c r="E187" s="60">
        <v>0</v>
      </c>
    </row>
    <row r="188" spans="2:5">
      <c r="B188" s="102"/>
      <c r="C188" s="58" t="s">
        <v>181</v>
      </c>
      <c r="D188" s="61">
        <v>2</v>
      </c>
      <c r="E188" s="60">
        <v>0</v>
      </c>
    </row>
    <row r="189" spans="2:5">
      <c r="B189" s="102"/>
      <c r="C189" s="58" t="s">
        <v>182</v>
      </c>
      <c r="D189" s="61">
        <v>3</v>
      </c>
      <c r="E189" s="60">
        <v>0</v>
      </c>
    </row>
    <row r="190" spans="2:5">
      <c r="B190" s="102"/>
      <c r="C190" s="58" t="s">
        <v>144</v>
      </c>
      <c r="D190" s="61">
        <v>1</v>
      </c>
      <c r="E190" s="60">
        <v>0</v>
      </c>
    </row>
    <row r="191" spans="2:5">
      <c r="B191" s="102"/>
      <c r="C191" s="58" t="s">
        <v>204</v>
      </c>
      <c r="D191" s="61">
        <v>2</v>
      </c>
      <c r="E191" s="60">
        <v>0</v>
      </c>
    </row>
    <row r="192" spans="2:5">
      <c r="B192" s="103"/>
      <c r="C192" s="75" t="s">
        <v>324</v>
      </c>
      <c r="D192" s="76">
        <v>18</v>
      </c>
      <c r="E192" s="72">
        <v>3.0000000000000001E-3</v>
      </c>
    </row>
    <row r="193" spans="2:5">
      <c r="B193" s="101" t="s">
        <v>80</v>
      </c>
      <c r="C193" s="58" t="s">
        <v>146</v>
      </c>
      <c r="D193" s="61">
        <v>4</v>
      </c>
      <c r="E193" s="60">
        <v>1E-3</v>
      </c>
    </row>
    <row r="194" spans="2:5">
      <c r="B194" s="102"/>
      <c r="C194" s="58" t="s">
        <v>142</v>
      </c>
      <c r="D194" s="61">
        <v>8</v>
      </c>
      <c r="E194" s="60">
        <v>1E-3</v>
      </c>
    </row>
    <row r="195" spans="2:5">
      <c r="B195" s="102"/>
      <c r="C195" s="58" t="s">
        <v>162</v>
      </c>
      <c r="D195" s="61">
        <v>1</v>
      </c>
      <c r="E195" s="60">
        <v>0</v>
      </c>
    </row>
    <row r="196" spans="2:5">
      <c r="B196" s="102"/>
      <c r="C196" s="58" t="s">
        <v>172</v>
      </c>
      <c r="D196" s="61">
        <v>4</v>
      </c>
      <c r="E196" s="60">
        <v>1E-3</v>
      </c>
    </row>
    <row r="197" spans="2:5">
      <c r="B197" s="102"/>
      <c r="C197" s="58" t="s">
        <v>143</v>
      </c>
      <c r="D197" s="61">
        <v>4</v>
      </c>
      <c r="E197" s="60">
        <v>1E-3</v>
      </c>
    </row>
    <row r="198" spans="2:5">
      <c r="B198" s="102"/>
      <c r="C198" s="58" t="s">
        <v>174</v>
      </c>
      <c r="D198" s="61">
        <v>2</v>
      </c>
      <c r="E198" s="60">
        <v>0</v>
      </c>
    </row>
    <row r="199" spans="2:5">
      <c r="B199" s="102"/>
      <c r="C199" s="58" t="s">
        <v>181</v>
      </c>
      <c r="D199" s="61">
        <v>1</v>
      </c>
      <c r="E199" s="60">
        <v>0</v>
      </c>
    </row>
    <row r="200" spans="2:5">
      <c r="B200" s="102"/>
      <c r="C200" s="58" t="s">
        <v>182</v>
      </c>
      <c r="D200" s="61">
        <v>3</v>
      </c>
      <c r="E200" s="60">
        <v>0</v>
      </c>
    </row>
    <row r="201" spans="2:5">
      <c r="B201" s="102"/>
      <c r="C201" s="58" t="s">
        <v>144</v>
      </c>
      <c r="D201" s="61">
        <v>2</v>
      </c>
      <c r="E201" s="60">
        <v>0</v>
      </c>
    </row>
    <row r="202" spans="2:5">
      <c r="B202" s="102"/>
      <c r="C202" s="58" t="s">
        <v>183</v>
      </c>
      <c r="D202" s="61">
        <v>1</v>
      </c>
      <c r="E202" s="60">
        <v>0</v>
      </c>
    </row>
    <row r="203" spans="2:5">
      <c r="B203" s="102"/>
      <c r="C203" s="58" t="s">
        <v>190</v>
      </c>
      <c r="D203" s="61">
        <v>1</v>
      </c>
      <c r="E203" s="60">
        <v>0</v>
      </c>
    </row>
    <row r="204" spans="2:5">
      <c r="B204" s="102"/>
      <c r="C204" s="58" t="s">
        <v>193</v>
      </c>
      <c r="D204" s="61">
        <v>1</v>
      </c>
      <c r="E204" s="60">
        <v>0</v>
      </c>
    </row>
    <row r="205" spans="2:5">
      <c r="B205" s="103"/>
      <c r="C205" s="75" t="s">
        <v>324</v>
      </c>
      <c r="D205" s="76">
        <v>32</v>
      </c>
      <c r="E205" s="72">
        <v>5.0000000000000001E-3</v>
      </c>
    </row>
    <row r="206" spans="2:5">
      <c r="B206" s="101" t="s">
        <v>92</v>
      </c>
      <c r="C206" s="58" t="s">
        <v>142</v>
      </c>
      <c r="D206" s="61">
        <v>1</v>
      </c>
      <c r="E206" s="60">
        <v>0</v>
      </c>
    </row>
    <row r="207" spans="2:5">
      <c r="B207" s="102"/>
      <c r="C207" s="58" t="s">
        <v>167</v>
      </c>
      <c r="D207" s="61">
        <v>1</v>
      </c>
      <c r="E207" s="60">
        <v>0</v>
      </c>
    </row>
    <row r="208" spans="2:5">
      <c r="B208" s="102"/>
      <c r="C208" s="58" t="s">
        <v>172</v>
      </c>
      <c r="D208" s="61">
        <v>1</v>
      </c>
      <c r="E208" s="60">
        <v>0</v>
      </c>
    </row>
    <row r="209" spans="2:5">
      <c r="B209" s="102"/>
      <c r="C209" s="58" t="s">
        <v>143</v>
      </c>
      <c r="D209" s="61">
        <v>1</v>
      </c>
      <c r="E209" s="60">
        <v>0</v>
      </c>
    </row>
    <row r="210" spans="2:5">
      <c r="B210" s="102"/>
      <c r="C210" s="58" t="s">
        <v>144</v>
      </c>
      <c r="D210" s="61">
        <v>1</v>
      </c>
      <c r="E210" s="60">
        <v>0</v>
      </c>
    </row>
    <row r="211" spans="2:5">
      <c r="B211" s="102"/>
      <c r="C211" s="58" t="s">
        <v>55</v>
      </c>
      <c r="D211" s="61">
        <v>1</v>
      </c>
      <c r="E211" s="60">
        <v>0</v>
      </c>
    </row>
    <row r="212" spans="2:5">
      <c r="B212" s="102"/>
      <c r="C212" s="58" t="s">
        <v>187</v>
      </c>
      <c r="D212" s="61">
        <v>1</v>
      </c>
      <c r="E212" s="60">
        <v>0</v>
      </c>
    </row>
    <row r="213" spans="2:5">
      <c r="B213" s="102"/>
      <c r="C213" s="58" t="s">
        <v>193</v>
      </c>
      <c r="D213" s="61">
        <v>2</v>
      </c>
      <c r="E213" s="60">
        <v>0</v>
      </c>
    </row>
    <row r="214" spans="2:5">
      <c r="B214" s="103"/>
      <c r="C214" s="75" t="s">
        <v>324</v>
      </c>
      <c r="D214" s="76">
        <v>9</v>
      </c>
      <c r="E214" s="72">
        <v>1E-3</v>
      </c>
    </row>
    <row r="215" spans="2:5">
      <c r="B215" s="101" t="s">
        <v>52</v>
      </c>
      <c r="C215" s="58" t="s">
        <v>146</v>
      </c>
      <c r="D215" s="61">
        <v>2</v>
      </c>
      <c r="E215" s="60">
        <v>0</v>
      </c>
    </row>
    <row r="216" spans="2:5">
      <c r="B216" s="102"/>
      <c r="C216" s="58" t="s">
        <v>147</v>
      </c>
      <c r="D216" s="61">
        <v>1</v>
      </c>
      <c r="E216" s="60">
        <v>0</v>
      </c>
    </row>
    <row r="217" spans="2:5">
      <c r="B217" s="102"/>
      <c r="C217" s="58" t="s">
        <v>153</v>
      </c>
      <c r="D217" s="61">
        <v>1</v>
      </c>
      <c r="E217" s="60">
        <v>0</v>
      </c>
    </row>
    <row r="218" spans="2:5">
      <c r="B218" s="102"/>
      <c r="C218" s="58" t="s">
        <v>158</v>
      </c>
      <c r="D218" s="61">
        <v>1</v>
      </c>
      <c r="E218" s="60">
        <v>0</v>
      </c>
    </row>
    <row r="219" spans="2:5">
      <c r="B219" s="102"/>
      <c r="C219" s="58" t="s">
        <v>159</v>
      </c>
      <c r="D219" s="61">
        <v>2</v>
      </c>
      <c r="E219" s="60">
        <v>0</v>
      </c>
    </row>
    <row r="220" spans="2:5">
      <c r="B220" s="102"/>
      <c r="C220" s="58" t="s">
        <v>161</v>
      </c>
      <c r="D220" s="61">
        <v>24</v>
      </c>
      <c r="E220" s="60">
        <v>4.0000000000000001E-3</v>
      </c>
    </row>
    <row r="221" spans="2:5">
      <c r="B221" s="102"/>
      <c r="C221" s="58" t="s">
        <v>142</v>
      </c>
      <c r="D221" s="61">
        <v>42</v>
      </c>
      <c r="E221" s="60">
        <v>6.0000000000000001E-3</v>
      </c>
    </row>
    <row r="222" spans="2:5">
      <c r="B222" s="102"/>
      <c r="C222" s="58" t="s">
        <v>163</v>
      </c>
      <c r="D222" s="61">
        <v>1</v>
      </c>
      <c r="E222" s="60">
        <v>0</v>
      </c>
    </row>
    <row r="223" spans="2:5">
      <c r="B223" s="102"/>
      <c r="C223" s="58" t="s">
        <v>292</v>
      </c>
      <c r="D223" s="61">
        <v>1</v>
      </c>
      <c r="E223" s="60">
        <v>0</v>
      </c>
    </row>
    <row r="224" spans="2:5">
      <c r="B224" s="102"/>
      <c r="C224" s="58" t="s">
        <v>167</v>
      </c>
      <c r="D224" s="61">
        <v>3</v>
      </c>
      <c r="E224" s="60">
        <v>0</v>
      </c>
    </row>
    <row r="225" spans="2:5">
      <c r="B225" s="102"/>
      <c r="C225" s="58" t="s">
        <v>168</v>
      </c>
      <c r="D225" s="61">
        <v>6</v>
      </c>
      <c r="E225" s="60">
        <v>1E-3</v>
      </c>
    </row>
    <row r="226" spans="2:5">
      <c r="B226" s="102"/>
      <c r="C226" s="58" t="s">
        <v>170</v>
      </c>
      <c r="D226" s="61">
        <v>1</v>
      </c>
      <c r="E226" s="60">
        <v>0</v>
      </c>
    </row>
    <row r="227" spans="2:5">
      <c r="B227" s="102"/>
      <c r="C227" s="58" t="s">
        <v>172</v>
      </c>
      <c r="D227" s="61">
        <v>11</v>
      </c>
      <c r="E227" s="60">
        <v>2E-3</v>
      </c>
    </row>
    <row r="228" spans="2:5">
      <c r="B228" s="102"/>
      <c r="C228" s="58" t="s">
        <v>143</v>
      </c>
      <c r="D228" s="61">
        <v>37</v>
      </c>
      <c r="E228" s="60">
        <v>6.0000000000000001E-3</v>
      </c>
    </row>
    <row r="229" spans="2:5">
      <c r="B229" s="102"/>
      <c r="C229" s="58" t="s">
        <v>174</v>
      </c>
      <c r="D229" s="61">
        <v>7</v>
      </c>
      <c r="E229" s="60">
        <v>1E-3</v>
      </c>
    </row>
    <row r="230" spans="2:5">
      <c r="B230" s="102"/>
      <c r="C230" s="58" t="s">
        <v>176</v>
      </c>
      <c r="D230" s="61">
        <v>1</v>
      </c>
      <c r="E230" s="60">
        <v>0</v>
      </c>
    </row>
    <row r="231" spans="2:5">
      <c r="B231" s="102"/>
      <c r="C231" s="58" t="s">
        <v>182</v>
      </c>
      <c r="D231" s="61">
        <v>4</v>
      </c>
      <c r="E231" s="60">
        <v>1E-3</v>
      </c>
    </row>
    <row r="232" spans="2:5">
      <c r="B232" s="102"/>
      <c r="C232" s="58" t="s">
        <v>144</v>
      </c>
      <c r="D232" s="61">
        <v>17</v>
      </c>
      <c r="E232" s="60">
        <v>3.0000000000000001E-3</v>
      </c>
    </row>
    <row r="233" spans="2:5">
      <c r="B233" s="102"/>
      <c r="C233" s="58" t="s">
        <v>55</v>
      </c>
      <c r="D233" s="61">
        <v>12</v>
      </c>
      <c r="E233" s="60">
        <v>2E-3</v>
      </c>
    </row>
    <row r="234" spans="2:5">
      <c r="B234" s="102"/>
      <c r="C234" s="58" t="s">
        <v>185</v>
      </c>
      <c r="D234" s="61">
        <v>1</v>
      </c>
      <c r="E234" s="60">
        <v>0</v>
      </c>
    </row>
    <row r="235" spans="2:5">
      <c r="B235" s="102"/>
      <c r="C235" s="58" t="s">
        <v>186</v>
      </c>
      <c r="D235" s="61">
        <v>2</v>
      </c>
      <c r="E235" s="60">
        <v>0</v>
      </c>
    </row>
    <row r="236" spans="2:5">
      <c r="B236" s="102"/>
      <c r="C236" s="58" t="s">
        <v>187</v>
      </c>
      <c r="D236" s="61">
        <v>5</v>
      </c>
      <c r="E236" s="60">
        <v>1E-3</v>
      </c>
    </row>
    <row r="237" spans="2:5">
      <c r="B237" s="102"/>
      <c r="C237" s="58" t="s">
        <v>188</v>
      </c>
      <c r="D237" s="61">
        <v>1</v>
      </c>
      <c r="E237" s="60">
        <v>0</v>
      </c>
    </row>
    <row r="238" spans="2:5">
      <c r="B238" s="102"/>
      <c r="C238" s="58" t="s">
        <v>190</v>
      </c>
      <c r="D238" s="61">
        <v>1</v>
      </c>
      <c r="E238" s="60">
        <v>0</v>
      </c>
    </row>
    <row r="239" spans="2:5">
      <c r="B239" s="102"/>
      <c r="C239" s="58" t="s">
        <v>191</v>
      </c>
      <c r="D239" s="61">
        <v>1</v>
      </c>
      <c r="E239" s="60">
        <v>0</v>
      </c>
    </row>
    <row r="240" spans="2:5">
      <c r="B240" s="102"/>
      <c r="C240" s="58" t="s">
        <v>193</v>
      </c>
      <c r="D240" s="61">
        <v>61</v>
      </c>
      <c r="E240" s="60">
        <v>8.9999999999999993E-3</v>
      </c>
    </row>
    <row r="241" spans="2:5">
      <c r="B241" s="102"/>
      <c r="C241" s="58" t="s">
        <v>61</v>
      </c>
      <c r="D241" s="61">
        <v>1</v>
      </c>
      <c r="E241" s="60">
        <v>0</v>
      </c>
    </row>
    <row r="242" spans="2:5">
      <c r="B242" s="102"/>
      <c r="C242" s="58" t="s">
        <v>199</v>
      </c>
      <c r="D242" s="61">
        <v>1</v>
      </c>
      <c r="E242" s="60">
        <v>0</v>
      </c>
    </row>
    <row r="243" spans="2:5">
      <c r="B243" s="102"/>
      <c r="C243" s="58" t="s">
        <v>200</v>
      </c>
      <c r="D243" s="61">
        <v>1</v>
      </c>
      <c r="E243" s="60">
        <v>0</v>
      </c>
    </row>
    <row r="244" spans="2:5">
      <c r="B244" s="102"/>
      <c r="C244" s="58" t="s">
        <v>203</v>
      </c>
      <c r="D244" s="61">
        <v>1</v>
      </c>
      <c r="E244" s="60">
        <v>0</v>
      </c>
    </row>
    <row r="245" spans="2:5">
      <c r="B245" s="102"/>
      <c r="C245" s="58" t="s">
        <v>206</v>
      </c>
      <c r="D245" s="61">
        <v>2</v>
      </c>
      <c r="E245" s="60">
        <v>0</v>
      </c>
    </row>
    <row r="246" spans="2:5">
      <c r="B246" s="103"/>
      <c r="C246" s="75" t="s">
        <v>324</v>
      </c>
      <c r="D246" s="76">
        <v>252</v>
      </c>
      <c r="E246" s="72">
        <v>3.7999999999999999E-2</v>
      </c>
    </row>
    <row r="247" spans="2:5">
      <c r="B247" s="101" t="s">
        <v>58</v>
      </c>
      <c r="C247" s="58" t="s">
        <v>146</v>
      </c>
      <c r="D247" s="61">
        <v>4</v>
      </c>
      <c r="E247" s="60">
        <v>1E-3</v>
      </c>
    </row>
    <row r="248" spans="2:5">
      <c r="B248" s="102"/>
      <c r="C248" s="58" t="s">
        <v>147</v>
      </c>
      <c r="D248" s="61">
        <v>1</v>
      </c>
      <c r="E248" s="60">
        <v>0</v>
      </c>
    </row>
    <row r="249" spans="2:5">
      <c r="B249" s="102"/>
      <c r="C249" s="58" t="s">
        <v>161</v>
      </c>
      <c r="D249" s="61">
        <v>2</v>
      </c>
      <c r="E249" s="60">
        <v>0</v>
      </c>
    </row>
    <row r="250" spans="2:5">
      <c r="B250" s="102"/>
      <c r="C250" s="58" t="s">
        <v>142</v>
      </c>
      <c r="D250" s="61">
        <v>11</v>
      </c>
      <c r="E250" s="60">
        <v>2E-3</v>
      </c>
    </row>
    <row r="251" spans="2:5">
      <c r="B251" s="102"/>
      <c r="C251" s="58" t="s">
        <v>162</v>
      </c>
      <c r="D251" s="61">
        <v>1</v>
      </c>
      <c r="E251" s="60">
        <v>0</v>
      </c>
    </row>
    <row r="252" spans="2:5">
      <c r="B252" s="102"/>
      <c r="C252" s="58" t="s">
        <v>165</v>
      </c>
      <c r="D252" s="61">
        <v>1</v>
      </c>
      <c r="E252" s="60">
        <v>0</v>
      </c>
    </row>
    <row r="253" spans="2:5">
      <c r="B253" s="102"/>
      <c r="C253" s="58" t="s">
        <v>292</v>
      </c>
      <c r="D253" s="61">
        <v>1</v>
      </c>
      <c r="E253" s="60">
        <v>0</v>
      </c>
    </row>
    <row r="254" spans="2:5">
      <c r="B254" s="102"/>
      <c r="C254" s="58" t="s">
        <v>172</v>
      </c>
      <c r="D254" s="61">
        <v>5</v>
      </c>
      <c r="E254" s="60">
        <v>1E-3</v>
      </c>
    </row>
    <row r="255" spans="2:5">
      <c r="B255" s="102"/>
      <c r="C255" s="58" t="s">
        <v>143</v>
      </c>
      <c r="D255" s="61">
        <v>21</v>
      </c>
      <c r="E255" s="60">
        <v>3.0000000000000001E-3</v>
      </c>
    </row>
    <row r="256" spans="2:5">
      <c r="B256" s="102"/>
      <c r="C256" s="58" t="s">
        <v>174</v>
      </c>
      <c r="D256" s="61">
        <v>3</v>
      </c>
      <c r="E256" s="60">
        <v>0</v>
      </c>
    </row>
    <row r="257" spans="2:5">
      <c r="B257" s="102"/>
      <c r="C257" s="58" t="s">
        <v>178</v>
      </c>
      <c r="D257" s="61">
        <v>1</v>
      </c>
      <c r="E257" s="60">
        <v>0</v>
      </c>
    </row>
    <row r="258" spans="2:5">
      <c r="B258" s="102"/>
      <c r="C258" s="58" t="s">
        <v>144</v>
      </c>
      <c r="D258" s="61">
        <v>5</v>
      </c>
      <c r="E258" s="60">
        <v>1E-3</v>
      </c>
    </row>
    <row r="259" spans="2:5">
      <c r="B259" s="102"/>
      <c r="C259" s="58" t="s">
        <v>55</v>
      </c>
      <c r="D259" s="61">
        <v>5</v>
      </c>
      <c r="E259" s="60">
        <v>1E-3</v>
      </c>
    </row>
    <row r="260" spans="2:5">
      <c r="B260" s="102"/>
      <c r="C260" s="58" t="s">
        <v>192</v>
      </c>
      <c r="D260" s="61">
        <v>1</v>
      </c>
      <c r="E260" s="60">
        <v>0</v>
      </c>
    </row>
    <row r="261" spans="2:5">
      <c r="B261" s="102"/>
      <c r="C261" s="58" t="s">
        <v>193</v>
      </c>
      <c r="D261" s="61">
        <v>10</v>
      </c>
      <c r="E261" s="60">
        <v>1E-3</v>
      </c>
    </row>
    <row r="262" spans="2:5">
      <c r="B262" s="103"/>
      <c r="C262" s="75" t="s">
        <v>324</v>
      </c>
      <c r="D262" s="76">
        <v>72</v>
      </c>
      <c r="E262" s="72">
        <v>1.0999999999999999E-2</v>
      </c>
    </row>
    <row r="263" spans="2:5">
      <c r="B263" s="101" t="s">
        <v>73</v>
      </c>
      <c r="C263" s="58" t="s">
        <v>146</v>
      </c>
      <c r="D263" s="61">
        <v>1</v>
      </c>
      <c r="E263" s="60">
        <v>0</v>
      </c>
    </row>
    <row r="264" spans="2:5">
      <c r="B264" s="102"/>
      <c r="C264" s="58" t="s">
        <v>160</v>
      </c>
      <c r="D264" s="61">
        <v>1</v>
      </c>
      <c r="E264" s="60">
        <v>0</v>
      </c>
    </row>
    <row r="265" spans="2:5">
      <c r="B265" s="102"/>
      <c r="C265" s="58" t="s">
        <v>161</v>
      </c>
      <c r="D265" s="61">
        <v>2</v>
      </c>
      <c r="E265" s="60">
        <v>0</v>
      </c>
    </row>
    <row r="266" spans="2:5">
      <c r="B266" s="102"/>
      <c r="C266" s="58" t="s">
        <v>142</v>
      </c>
      <c r="D266" s="61">
        <v>3</v>
      </c>
      <c r="E266" s="60">
        <v>0</v>
      </c>
    </row>
    <row r="267" spans="2:5">
      <c r="B267" s="102"/>
      <c r="C267" s="58" t="s">
        <v>162</v>
      </c>
      <c r="D267" s="61">
        <v>1</v>
      </c>
      <c r="E267" s="60">
        <v>0</v>
      </c>
    </row>
    <row r="268" spans="2:5">
      <c r="B268" s="102"/>
      <c r="C268" s="58" t="s">
        <v>167</v>
      </c>
      <c r="D268" s="61">
        <v>2</v>
      </c>
      <c r="E268" s="60">
        <v>0</v>
      </c>
    </row>
    <row r="269" spans="2:5">
      <c r="B269" s="102"/>
      <c r="C269" s="58" t="s">
        <v>172</v>
      </c>
      <c r="D269" s="61">
        <v>1</v>
      </c>
      <c r="E269" s="60">
        <v>0</v>
      </c>
    </row>
    <row r="270" spans="2:5">
      <c r="B270" s="102"/>
      <c r="C270" s="58" t="s">
        <v>143</v>
      </c>
      <c r="D270" s="61">
        <v>2</v>
      </c>
      <c r="E270" s="60">
        <v>0</v>
      </c>
    </row>
    <row r="271" spans="2:5">
      <c r="B271" s="102"/>
      <c r="C271" s="58" t="s">
        <v>176</v>
      </c>
      <c r="D271" s="61">
        <v>1</v>
      </c>
      <c r="E271" s="60">
        <v>0</v>
      </c>
    </row>
    <row r="272" spans="2:5">
      <c r="B272" s="102"/>
      <c r="C272" s="58" t="s">
        <v>177</v>
      </c>
      <c r="D272" s="61">
        <v>1</v>
      </c>
      <c r="E272" s="60">
        <v>0</v>
      </c>
    </row>
    <row r="273" spans="2:5">
      <c r="B273" s="102"/>
      <c r="C273" s="58" t="s">
        <v>55</v>
      </c>
      <c r="D273" s="61">
        <v>2</v>
      </c>
      <c r="E273" s="60">
        <v>0</v>
      </c>
    </row>
    <row r="274" spans="2:5">
      <c r="B274" s="102"/>
      <c r="C274" s="58" t="s">
        <v>193</v>
      </c>
      <c r="D274" s="61">
        <v>2</v>
      </c>
      <c r="E274" s="60">
        <v>0</v>
      </c>
    </row>
    <row r="275" spans="2:5">
      <c r="B275" s="103"/>
      <c r="C275" s="75" t="s">
        <v>324</v>
      </c>
      <c r="D275" s="76">
        <v>19</v>
      </c>
      <c r="E275" s="72">
        <v>3.0000000000000001E-3</v>
      </c>
    </row>
    <row r="276" spans="2:5">
      <c r="B276" s="101" t="s">
        <v>66</v>
      </c>
      <c r="C276" s="58" t="s">
        <v>146</v>
      </c>
      <c r="D276" s="61">
        <v>3</v>
      </c>
      <c r="E276" s="60">
        <v>0</v>
      </c>
    </row>
    <row r="277" spans="2:5">
      <c r="B277" s="102"/>
      <c r="C277" s="58" t="s">
        <v>155</v>
      </c>
      <c r="D277" s="61">
        <v>1</v>
      </c>
      <c r="E277" s="60">
        <v>0</v>
      </c>
    </row>
    <row r="278" spans="2:5">
      <c r="B278" s="102"/>
      <c r="C278" s="58" t="s">
        <v>160</v>
      </c>
      <c r="D278" s="61">
        <v>1</v>
      </c>
      <c r="E278" s="60">
        <v>0</v>
      </c>
    </row>
    <row r="279" spans="2:5">
      <c r="B279" s="102"/>
      <c r="C279" s="58" t="s">
        <v>161</v>
      </c>
      <c r="D279" s="61">
        <v>2</v>
      </c>
      <c r="E279" s="60">
        <v>0</v>
      </c>
    </row>
    <row r="280" spans="2:5">
      <c r="B280" s="102"/>
      <c r="C280" s="58" t="s">
        <v>142</v>
      </c>
      <c r="D280" s="61">
        <v>12</v>
      </c>
      <c r="E280" s="60">
        <v>2E-3</v>
      </c>
    </row>
    <row r="281" spans="2:5">
      <c r="B281" s="102"/>
      <c r="C281" s="58" t="s">
        <v>292</v>
      </c>
      <c r="D281" s="61">
        <v>1</v>
      </c>
      <c r="E281" s="60">
        <v>0</v>
      </c>
    </row>
    <row r="282" spans="2:5">
      <c r="B282" s="102"/>
      <c r="C282" s="58" t="s">
        <v>167</v>
      </c>
      <c r="D282" s="61">
        <v>1</v>
      </c>
      <c r="E282" s="60">
        <v>0</v>
      </c>
    </row>
    <row r="283" spans="2:5">
      <c r="B283" s="102"/>
      <c r="C283" s="58" t="s">
        <v>168</v>
      </c>
      <c r="D283" s="61">
        <v>1</v>
      </c>
      <c r="E283" s="60">
        <v>0</v>
      </c>
    </row>
    <row r="284" spans="2:5">
      <c r="B284" s="102"/>
      <c r="C284" s="58" t="s">
        <v>170</v>
      </c>
      <c r="D284" s="61">
        <v>1</v>
      </c>
      <c r="E284" s="60">
        <v>0</v>
      </c>
    </row>
    <row r="285" spans="2:5">
      <c r="B285" s="102"/>
      <c r="C285" s="58" t="s">
        <v>172</v>
      </c>
      <c r="D285" s="61">
        <v>3</v>
      </c>
      <c r="E285" s="60">
        <v>0</v>
      </c>
    </row>
    <row r="286" spans="2:5">
      <c r="B286" s="102"/>
      <c r="C286" s="58" t="s">
        <v>143</v>
      </c>
      <c r="D286" s="61">
        <v>9</v>
      </c>
      <c r="E286" s="60">
        <v>1E-3</v>
      </c>
    </row>
    <row r="287" spans="2:5">
      <c r="B287" s="102"/>
      <c r="C287" s="58" t="s">
        <v>174</v>
      </c>
      <c r="D287" s="61">
        <v>1</v>
      </c>
      <c r="E287" s="60">
        <v>0</v>
      </c>
    </row>
    <row r="288" spans="2:5">
      <c r="B288" s="102"/>
      <c r="C288" s="58" t="s">
        <v>182</v>
      </c>
      <c r="D288" s="61">
        <v>1</v>
      </c>
      <c r="E288" s="60">
        <v>0</v>
      </c>
    </row>
    <row r="289" spans="2:5">
      <c r="B289" s="102"/>
      <c r="C289" s="58" t="s">
        <v>55</v>
      </c>
      <c r="D289" s="61">
        <v>6</v>
      </c>
      <c r="E289" s="60">
        <v>1E-3</v>
      </c>
    </row>
    <row r="290" spans="2:5">
      <c r="B290" s="102"/>
      <c r="C290" s="58" t="s">
        <v>193</v>
      </c>
      <c r="D290" s="61">
        <v>4</v>
      </c>
      <c r="E290" s="60">
        <v>1E-3</v>
      </c>
    </row>
    <row r="291" spans="2:5">
      <c r="B291" s="102"/>
      <c r="C291" s="58" t="s">
        <v>200</v>
      </c>
      <c r="D291" s="61">
        <v>1</v>
      </c>
      <c r="E291" s="60">
        <v>0</v>
      </c>
    </row>
    <row r="292" spans="2:5">
      <c r="B292" s="103"/>
      <c r="C292" s="75" t="s">
        <v>324</v>
      </c>
      <c r="D292" s="76">
        <v>48</v>
      </c>
      <c r="E292" s="72">
        <v>7.0000000000000001E-3</v>
      </c>
    </row>
    <row r="293" spans="2:5">
      <c r="B293" s="101" t="s">
        <v>95</v>
      </c>
      <c r="C293" s="58" t="s">
        <v>143</v>
      </c>
      <c r="D293" s="61">
        <v>1</v>
      </c>
      <c r="E293" s="60">
        <v>0</v>
      </c>
    </row>
    <row r="294" spans="2:5">
      <c r="B294" s="102"/>
      <c r="C294" s="58" t="s">
        <v>144</v>
      </c>
      <c r="D294" s="61">
        <v>1</v>
      </c>
      <c r="E294" s="60">
        <v>0</v>
      </c>
    </row>
    <row r="295" spans="2:5">
      <c r="B295" s="103"/>
      <c r="C295" s="75" t="s">
        <v>324</v>
      </c>
      <c r="D295" s="76">
        <v>2</v>
      </c>
      <c r="E295" s="72">
        <v>0</v>
      </c>
    </row>
    <row r="296" spans="2:5">
      <c r="B296" s="101" t="s">
        <v>50</v>
      </c>
      <c r="C296" s="58" t="s">
        <v>145</v>
      </c>
      <c r="D296" s="61">
        <v>1</v>
      </c>
      <c r="E296" s="60">
        <v>0</v>
      </c>
    </row>
    <row r="297" spans="2:5">
      <c r="B297" s="102"/>
      <c r="C297" s="58" t="s">
        <v>146</v>
      </c>
      <c r="D297" s="61">
        <v>12</v>
      </c>
      <c r="E297" s="60">
        <v>2E-3</v>
      </c>
    </row>
    <row r="298" spans="2:5">
      <c r="B298" s="102"/>
      <c r="C298" s="58" t="s">
        <v>147</v>
      </c>
      <c r="D298" s="61">
        <v>5</v>
      </c>
      <c r="E298" s="60">
        <v>1E-3</v>
      </c>
    </row>
    <row r="299" spans="2:5">
      <c r="B299" s="102"/>
      <c r="C299" s="58" t="s">
        <v>148</v>
      </c>
      <c r="D299" s="61">
        <v>1</v>
      </c>
      <c r="E299" s="60">
        <v>0</v>
      </c>
    </row>
    <row r="300" spans="2:5">
      <c r="B300" s="102"/>
      <c r="C300" s="58" t="s">
        <v>150</v>
      </c>
      <c r="D300" s="61">
        <v>1</v>
      </c>
      <c r="E300" s="60">
        <v>0</v>
      </c>
    </row>
    <row r="301" spans="2:5">
      <c r="B301" s="102"/>
      <c r="C301" s="58" t="s">
        <v>152</v>
      </c>
      <c r="D301" s="61">
        <v>1</v>
      </c>
      <c r="E301" s="60">
        <v>0</v>
      </c>
    </row>
    <row r="302" spans="2:5">
      <c r="B302" s="102"/>
      <c r="C302" s="58" t="s">
        <v>153</v>
      </c>
      <c r="D302" s="61">
        <v>2</v>
      </c>
      <c r="E302" s="60">
        <v>0</v>
      </c>
    </row>
    <row r="303" spans="2:5">
      <c r="B303" s="102"/>
      <c r="C303" s="58" t="s">
        <v>158</v>
      </c>
      <c r="D303" s="61">
        <v>1</v>
      </c>
      <c r="E303" s="60">
        <v>0</v>
      </c>
    </row>
    <row r="304" spans="2:5">
      <c r="B304" s="102"/>
      <c r="C304" s="58" t="s">
        <v>159</v>
      </c>
      <c r="D304" s="61">
        <v>1</v>
      </c>
      <c r="E304" s="60">
        <v>0</v>
      </c>
    </row>
    <row r="305" spans="2:5">
      <c r="B305" s="102"/>
      <c r="C305" s="58" t="s">
        <v>160</v>
      </c>
      <c r="D305" s="61">
        <v>1</v>
      </c>
      <c r="E305" s="60">
        <v>0</v>
      </c>
    </row>
    <row r="306" spans="2:5">
      <c r="B306" s="102"/>
      <c r="C306" s="58" t="s">
        <v>161</v>
      </c>
      <c r="D306" s="61">
        <v>9</v>
      </c>
      <c r="E306" s="60">
        <v>1E-3</v>
      </c>
    </row>
    <row r="307" spans="2:5">
      <c r="B307" s="102"/>
      <c r="C307" s="58" t="s">
        <v>142</v>
      </c>
      <c r="D307" s="61">
        <v>70</v>
      </c>
      <c r="E307" s="60">
        <v>0.01</v>
      </c>
    </row>
    <row r="308" spans="2:5">
      <c r="B308" s="102"/>
      <c r="C308" s="58" t="s">
        <v>162</v>
      </c>
      <c r="D308" s="61">
        <v>3</v>
      </c>
      <c r="E308" s="60">
        <v>0</v>
      </c>
    </row>
    <row r="309" spans="2:5">
      <c r="B309" s="102"/>
      <c r="C309" s="58" t="s">
        <v>292</v>
      </c>
      <c r="D309" s="61">
        <v>28</v>
      </c>
      <c r="E309" s="60">
        <v>4.0000000000000001E-3</v>
      </c>
    </row>
    <row r="310" spans="2:5">
      <c r="B310" s="102"/>
      <c r="C310" s="58" t="s">
        <v>167</v>
      </c>
      <c r="D310" s="61">
        <v>10</v>
      </c>
      <c r="E310" s="60">
        <v>1E-3</v>
      </c>
    </row>
    <row r="311" spans="2:5">
      <c r="B311" s="102"/>
      <c r="C311" s="58" t="s">
        <v>168</v>
      </c>
      <c r="D311" s="61">
        <v>3</v>
      </c>
      <c r="E311" s="60">
        <v>0</v>
      </c>
    </row>
    <row r="312" spans="2:5">
      <c r="B312" s="102"/>
      <c r="C312" s="58" t="s">
        <v>169</v>
      </c>
      <c r="D312" s="61">
        <v>1</v>
      </c>
      <c r="E312" s="60">
        <v>0</v>
      </c>
    </row>
    <row r="313" spans="2:5">
      <c r="B313" s="102"/>
      <c r="C313" s="58" t="s">
        <v>170</v>
      </c>
      <c r="D313" s="61">
        <v>1</v>
      </c>
      <c r="E313" s="60">
        <v>0</v>
      </c>
    </row>
    <row r="314" spans="2:5">
      <c r="B314" s="102"/>
      <c r="C314" s="58" t="s">
        <v>172</v>
      </c>
      <c r="D314" s="61">
        <v>24</v>
      </c>
      <c r="E314" s="60">
        <v>4.0000000000000001E-3</v>
      </c>
    </row>
    <row r="315" spans="2:5">
      <c r="B315" s="102"/>
      <c r="C315" s="58" t="s">
        <v>143</v>
      </c>
      <c r="D315" s="61">
        <v>60</v>
      </c>
      <c r="E315" s="60">
        <v>8.9999999999999993E-3</v>
      </c>
    </row>
    <row r="316" spans="2:5">
      <c r="B316" s="102"/>
      <c r="C316" s="58" t="s">
        <v>173</v>
      </c>
      <c r="D316" s="61">
        <v>1</v>
      </c>
      <c r="E316" s="60">
        <v>0</v>
      </c>
    </row>
    <row r="317" spans="2:5">
      <c r="B317" s="102"/>
      <c r="C317" s="58" t="s">
        <v>174</v>
      </c>
      <c r="D317" s="61">
        <v>9</v>
      </c>
      <c r="E317" s="60">
        <v>1E-3</v>
      </c>
    </row>
    <row r="318" spans="2:5">
      <c r="B318" s="102"/>
      <c r="C318" s="58" t="s">
        <v>178</v>
      </c>
      <c r="D318" s="61">
        <v>2</v>
      </c>
      <c r="E318" s="60">
        <v>0</v>
      </c>
    </row>
    <row r="319" spans="2:5">
      <c r="B319" s="102"/>
      <c r="C319" s="58" t="s">
        <v>179</v>
      </c>
      <c r="D319" s="61">
        <v>1</v>
      </c>
      <c r="E319" s="60">
        <v>0</v>
      </c>
    </row>
    <row r="320" spans="2:5">
      <c r="B320" s="102"/>
      <c r="C320" s="58" t="s">
        <v>182</v>
      </c>
      <c r="D320" s="61">
        <v>7</v>
      </c>
      <c r="E320" s="60">
        <v>1E-3</v>
      </c>
    </row>
    <row r="321" spans="2:5">
      <c r="B321" s="102"/>
      <c r="C321" s="58" t="s">
        <v>144</v>
      </c>
      <c r="D321" s="61">
        <v>13</v>
      </c>
      <c r="E321" s="60">
        <v>2E-3</v>
      </c>
    </row>
    <row r="322" spans="2:5">
      <c r="B322" s="102"/>
      <c r="C322" s="58" t="s">
        <v>55</v>
      </c>
      <c r="D322" s="61">
        <v>21</v>
      </c>
      <c r="E322" s="60">
        <v>3.0000000000000001E-3</v>
      </c>
    </row>
    <row r="323" spans="2:5">
      <c r="B323" s="102"/>
      <c r="C323" s="58" t="s">
        <v>187</v>
      </c>
      <c r="D323" s="61">
        <v>5</v>
      </c>
      <c r="E323" s="60">
        <v>1E-3</v>
      </c>
    </row>
    <row r="324" spans="2:5">
      <c r="B324" s="102"/>
      <c r="C324" s="58" t="s">
        <v>190</v>
      </c>
      <c r="D324" s="61">
        <v>1</v>
      </c>
      <c r="E324" s="60">
        <v>0</v>
      </c>
    </row>
    <row r="325" spans="2:5">
      <c r="B325" s="102"/>
      <c r="C325" s="58" t="s">
        <v>191</v>
      </c>
      <c r="D325" s="61">
        <v>3</v>
      </c>
      <c r="E325" s="60">
        <v>0</v>
      </c>
    </row>
    <row r="326" spans="2:5">
      <c r="B326" s="102"/>
      <c r="C326" s="58" t="s">
        <v>193</v>
      </c>
      <c r="D326" s="61">
        <v>29</v>
      </c>
      <c r="E326" s="60">
        <v>4.0000000000000001E-3</v>
      </c>
    </row>
    <row r="327" spans="2:5">
      <c r="B327" s="102"/>
      <c r="C327" s="58" t="s">
        <v>61</v>
      </c>
      <c r="D327" s="61">
        <v>2</v>
      </c>
      <c r="E327" s="60">
        <v>0</v>
      </c>
    </row>
    <row r="328" spans="2:5">
      <c r="B328" s="102"/>
      <c r="C328" s="58" t="s">
        <v>204</v>
      </c>
      <c r="D328" s="61">
        <v>1</v>
      </c>
      <c r="E328" s="60">
        <v>0</v>
      </c>
    </row>
    <row r="329" spans="2:5">
      <c r="B329" s="102"/>
      <c r="C329" s="58" t="s">
        <v>206</v>
      </c>
      <c r="D329" s="61">
        <v>1</v>
      </c>
      <c r="E329" s="60">
        <v>0</v>
      </c>
    </row>
    <row r="330" spans="2:5">
      <c r="B330" s="103"/>
      <c r="C330" s="75" t="s">
        <v>324</v>
      </c>
      <c r="D330" s="76">
        <v>331</v>
      </c>
      <c r="E330" s="72">
        <v>4.9000000000000002E-2</v>
      </c>
    </row>
    <row r="331" spans="2:5">
      <c r="B331" s="101" t="s">
        <v>70</v>
      </c>
      <c r="C331" s="58" t="s">
        <v>146</v>
      </c>
      <c r="D331" s="61">
        <v>2</v>
      </c>
      <c r="E331" s="60">
        <v>0</v>
      </c>
    </row>
    <row r="332" spans="2:5">
      <c r="B332" s="102"/>
      <c r="C332" s="58" t="s">
        <v>161</v>
      </c>
      <c r="D332" s="61">
        <v>1</v>
      </c>
      <c r="E332" s="60">
        <v>0</v>
      </c>
    </row>
    <row r="333" spans="2:5">
      <c r="B333" s="102"/>
      <c r="C333" s="58" t="s">
        <v>142</v>
      </c>
      <c r="D333" s="61">
        <v>8</v>
      </c>
      <c r="E333" s="60">
        <v>1E-3</v>
      </c>
    </row>
    <row r="334" spans="2:5">
      <c r="B334" s="102"/>
      <c r="C334" s="58" t="s">
        <v>162</v>
      </c>
      <c r="D334" s="61">
        <v>1</v>
      </c>
      <c r="E334" s="60">
        <v>0</v>
      </c>
    </row>
    <row r="335" spans="2:5">
      <c r="B335" s="102"/>
      <c r="C335" s="58" t="s">
        <v>168</v>
      </c>
      <c r="D335" s="61">
        <v>1</v>
      </c>
      <c r="E335" s="60">
        <v>0</v>
      </c>
    </row>
    <row r="336" spans="2:5">
      <c r="B336" s="102"/>
      <c r="C336" s="58" t="s">
        <v>172</v>
      </c>
      <c r="D336" s="61">
        <v>1</v>
      </c>
      <c r="E336" s="60">
        <v>0</v>
      </c>
    </row>
    <row r="337" spans="2:5">
      <c r="B337" s="102"/>
      <c r="C337" s="58" t="s">
        <v>143</v>
      </c>
      <c r="D337" s="61">
        <v>8</v>
      </c>
      <c r="E337" s="60">
        <v>1E-3</v>
      </c>
    </row>
    <row r="338" spans="2:5">
      <c r="B338" s="102"/>
      <c r="C338" s="58" t="s">
        <v>182</v>
      </c>
      <c r="D338" s="61">
        <v>1</v>
      </c>
      <c r="E338" s="60">
        <v>0</v>
      </c>
    </row>
    <row r="339" spans="2:5">
      <c r="B339" s="102"/>
      <c r="C339" s="58" t="s">
        <v>144</v>
      </c>
      <c r="D339" s="61">
        <v>5</v>
      </c>
      <c r="E339" s="60">
        <v>1E-3</v>
      </c>
    </row>
    <row r="340" spans="2:5">
      <c r="B340" s="102"/>
      <c r="C340" s="58" t="s">
        <v>55</v>
      </c>
      <c r="D340" s="61">
        <v>3</v>
      </c>
      <c r="E340" s="60">
        <v>0</v>
      </c>
    </row>
    <row r="341" spans="2:5">
      <c r="B341" s="102"/>
      <c r="C341" s="58" t="s">
        <v>186</v>
      </c>
      <c r="D341" s="61">
        <v>2</v>
      </c>
      <c r="E341" s="60">
        <v>0</v>
      </c>
    </row>
    <row r="342" spans="2:5">
      <c r="B342" s="102"/>
      <c r="C342" s="58" t="s">
        <v>193</v>
      </c>
      <c r="D342" s="61">
        <v>1</v>
      </c>
      <c r="E342" s="60">
        <v>0</v>
      </c>
    </row>
    <row r="343" spans="2:5">
      <c r="B343" s="102"/>
      <c r="C343" s="58" t="s">
        <v>206</v>
      </c>
      <c r="D343" s="61">
        <v>1</v>
      </c>
      <c r="E343" s="60">
        <v>0</v>
      </c>
    </row>
    <row r="344" spans="2:5">
      <c r="B344" s="103"/>
      <c r="C344" s="75" t="s">
        <v>324</v>
      </c>
      <c r="D344" s="76">
        <v>35</v>
      </c>
      <c r="E344" s="72">
        <v>5.0000000000000001E-3</v>
      </c>
    </row>
    <row r="345" spans="2:5">
      <c r="B345" s="101" t="s">
        <v>49</v>
      </c>
      <c r="C345" s="58" t="s">
        <v>146</v>
      </c>
      <c r="D345" s="61">
        <v>3</v>
      </c>
      <c r="E345" s="60">
        <v>0</v>
      </c>
    </row>
    <row r="346" spans="2:5">
      <c r="B346" s="102"/>
      <c r="C346" s="58" t="s">
        <v>147</v>
      </c>
      <c r="D346" s="61">
        <v>8</v>
      </c>
      <c r="E346" s="60">
        <v>1E-3</v>
      </c>
    </row>
    <row r="347" spans="2:5">
      <c r="B347" s="102"/>
      <c r="C347" s="58" t="s">
        <v>148</v>
      </c>
      <c r="D347" s="61">
        <v>1</v>
      </c>
      <c r="E347" s="60">
        <v>0</v>
      </c>
    </row>
    <row r="348" spans="2:5">
      <c r="B348" s="102"/>
      <c r="C348" s="58" t="s">
        <v>152</v>
      </c>
      <c r="D348" s="61">
        <v>1</v>
      </c>
      <c r="E348" s="60">
        <v>0</v>
      </c>
    </row>
    <row r="349" spans="2:5">
      <c r="B349" s="102"/>
      <c r="C349" s="58" t="s">
        <v>158</v>
      </c>
      <c r="D349" s="61">
        <v>1</v>
      </c>
      <c r="E349" s="60">
        <v>0</v>
      </c>
    </row>
    <row r="350" spans="2:5">
      <c r="B350" s="102"/>
      <c r="C350" s="58" t="s">
        <v>159</v>
      </c>
      <c r="D350" s="61">
        <v>2</v>
      </c>
      <c r="E350" s="60">
        <v>0</v>
      </c>
    </row>
    <row r="351" spans="2:5">
      <c r="B351" s="102"/>
      <c r="C351" s="58" t="s">
        <v>160</v>
      </c>
      <c r="D351" s="61">
        <v>3</v>
      </c>
      <c r="E351" s="60">
        <v>0</v>
      </c>
    </row>
    <row r="352" spans="2:5">
      <c r="B352" s="102"/>
      <c r="C352" s="58" t="s">
        <v>161</v>
      </c>
      <c r="D352" s="61">
        <v>20</v>
      </c>
      <c r="E352" s="60">
        <v>3.0000000000000001E-3</v>
      </c>
    </row>
    <row r="353" spans="2:5">
      <c r="B353" s="102"/>
      <c r="C353" s="58" t="s">
        <v>142</v>
      </c>
      <c r="D353" s="61">
        <v>137</v>
      </c>
      <c r="E353" s="60">
        <v>0.02</v>
      </c>
    </row>
    <row r="354" spans="2:5">
      <c r="B354" s="102"/>
      <c r="C354" s="58" t="s">
        <v>162</v>
      </c>
      <c r="D354" s="61">
        <v>5</v>
      </c>
      <c r="E354" s="60">
        <v>1E-3</v>
      </c>
    </row>
    <row r="355" spans="2:5">
      <c r="B355" s="102"/>
      <c r="C355" s="58" t="s">
        <v>163</v>
      </c>
      <c r="D355" s="61">
        <v>1</v>
      </c>
      <c r="E355" s="60">
        <v>0</v>
      </c>
    </row>
    <row r="356" spans="2:5">
      <c r="B356" s="102"/>
      <c r="C356" s="58" t="s">
        <v>165</v>
      </c>
      <c r="D356" s="61">
        <v>1</v>
      </c>
      <c r="E356" s="60">
        <v>0</v>
      </c>
    </row>
    <row r="357" spans="2:5">
      <c r="B357" s="102"/>
      <c r="C357" s="58" t="s">
        <v>292</v>
      </c>
      <c r="D357" s="61">
        <v>2</v>
      </c>
      <c r="E357" s="60">
        <v>0</v>
      </c>
    </row>
    <row r="358" spans="2:5">
      <c r="B358" s="102"/>
      <c r="C358" s="58" t="s">
        <v>167</v>
      </c>
      <c r="D358" s="61">
        <v>12</v>
      </c>
      <c r="E358" s="60">
        <v>2E-3</v>
      </c>
    </row>
    <row r="359" spans="2:5">
      <c r="B359" s="102"/>
      <c r="C359" s="58" t="s">
        <v>168</v>
      </c>
      <c r="D359" s="61">
        <v>7</v>
      </c>
      <c r="E359" s="60">
        <v>1E-3</v>
      </c>
    </row>
    <row r="360" spans="2:5">
      <c r="B360" s="102"/>
      <c r="C360" s="58" t="s">
        <v>169</v>
      </c>
      <c r="D360" s="61">
        <v>1</v>
      </c>
      <c r="E360" s="60">
        <v>0</v>
      </c>
    </row>
    <row r="361" spans="2:5">
      <c r="B361" s="102"/>
      <c r="C361" s="58" t="s">
        <v>170</v>
      </c>
      <c r="D361" s="61">
        <v>3</v>
      </c>
      <c r="E361" s="60">
        <v>0</v>
      </c>
    </row>
    <row r="362" spans="2:5">
      <c r="B362" s="102"/>
      <c r="C362" s="58" t="s">
        <v>172</v>
      </c>
      <c r="D362" s="61">
        <v>52</v>
      </c>
      <c r="E362" s="60">
        <v>8.0000000000000002E-3</v>
      </c>
    </row>
    <row r="363" spans="2:5">
      <c r="B363" s="102"/>
      <c r="C363" s="58" t="s">
        <v>143</v>
      </c>
      <c r="D363" s="61">
        <v>89</v>
      </c>
      <c r="E363" s="60">
        <v>1.2999999999999999E-2</v>
      </c>
    </row>
    <row r="364" spans="2:5">
      <c r="B364" s="102"/>
      <c r="C364" s="58" t="s">
        <v>174</v>
      </c>
      <c r="D364" s="61">
        <v>23</v>
      </c>
      <c r="E364" s="60">
        <v>3.0000000000000001E-3</v>
      </c>
    </row>
    <row r="365" spans="2:5">
      <c r="B365" s="102"/>
      <c r="C365" s="58" t="s">
        <v>176</v>
      </c>
      <c r="D365" s="61">
        <v>2</v>
      </c>
      <c r="E365" s="60">
        <v>0</v>
      </c>
    </row>
    <row r="366" spans="2:5">
      <c r="B366" s="102"/>
      <c r="C366" s="58" t="s">
        <v>178</v>
      </c>
      <c r="D366" s="61">
        <v>6</v>
      </c>
      <c r="E366" s="60">
        <v>1E-3</v>
      </c>
    </row>
    <row r="367" spans="2:5">
      <c r="B367" s="102"/>
      <c r="C367" s="58" t="s">
        <v>181</v>
      </c>
      <c r="D367" s="61">
        <v>2</v>
      </c>
      <c r="E367" s="60">
        <v>0</v>
      </c>
    </row>
    <row r="368" spans="2:5">
      <c r="B368" s="102"/>
      <c r="C368" s="58" t="s">
        <v>182</v>
      </c>
      <c r="D368" s="61">
        <v>5</v>
      </c>
      <c r="E368" s="60">
        <v>1E-3</v>
      </c>
    </row>
    <row r="369" spans="2:5">
      <c r="B369" s="102"/>
      <c r="C369" s="58" t="s">
        <v>144</v>
      </c>
      <c r="D369" s="61">
        <v>43</v>
      </c>
      <c r="E369" s="60">
        <v>6.0000000000000001E-3</v>
      </c>
    </row>
    <row r="370" spans="2:5">
      <c r="B370" s="102"/>
      <c r="C370" s="58" t="s">
        <v>55</v>
      </c>
      <c r="D370" s="61">
        <v>32</v>
      </c>
      <c r="E370" s="60">
        <v>5.0000000000000001E-3</v>
      </c>
    </row>
    <row r="371" spans="2:5">
      <c r="B371" s="102"/>
      <c r="C371" s="58" t="s">
        <v>183</v>
      </c>
      <c r="D371" s="61">
        <v>1</v>
      </c>
      <c r="E371" s="60">
        <v>0</v>
      </c>
    </row>
    <row r="372" spans="2:5">
      <c r="B372" s="102"/>
      <c r="C372" s="58" t="s">
        <v>185</v>
      </c>
      <c r="D372" s="61">
        <v>1</v>
      </c>
      <c r="E372" s="60">
        <v>0</v>
      </c>
    </row>
    <row r="373" spans="2:5">
      <c r="B373" s="102"/>
      <c r="C373" s="58" t="s">
        <v>186</v>
      </c>
      <c r="D373" s="61">
        <v>1</v>
      </c>
      <c r="E373" s="60">
        <v>0</v>
      </c>
    </row>
    <row r="374" spans="2:5">
      <c r="B374" s="102"/>
      <c r="C374" s="58" t="s">
        <v>187</v>
      </c>
      <c r="D374" s="61">
        <v>6</v>
      </c>
      <c r="E374" s="60">
        <v>1E-3</v>
      </c>
    </row>
    <row r="375" spans="2:5">
      <c r="B375" s="102"/>
      <c r="C375" s="58" t="s">
        <v>188</v>
      </c>
      <c r="D375" s="61">
        <v>1</v>
      </c>
      <c r="E375" s="60">
        <v>0</v>
      </c>
    </row>
    <row r="376" spans="2:5">
      <c r="B376" s="102"/>
      <c r="C376" s="58" t="s">
        <v>191</v>
      </c>
      <c r="D376" s="61">
        <v>3</v>
      </c>
      <c r="E376" s="60">
        <v>0</v>
      </c>
    </row>
    <row r="377" spans="2:5">
      <c r="B377" s="102"/>
      <c r="C377" s="58" t="s">
        <v>193</v>
      </c>
      <c r="D377" s="61">
        <v>63</v>
      </c>
      <c r="E377" s="60">
        <v>8.9999999999999993E-3</v>
      </c>
    </row>
    <row r="378" spans="2:5">
      <c r="B378" s="102"/>
      <c r="C378" s="58" t="s">
        <v>194</v>
      </c>
      <c r="D378" s="61">
        <v>1</v>
      </c>
      <c r="E378" s="60">
        <v>0</v>
      </c>
    </row>
    <row r="379" spans="2:5">
      <c r="B379" s="102"/>
      <c r="C379" s="58" t="s">
        <v>195</v>
      </c>
      <c r="D379" s="61">
        <v>1</v>
      </c>
      <c r="E379" s="60">
        <v>0</v>
      </c>
    </row>
    <row r="380" spans="2:5">
      <c r="B380" s="102"/>
      <c r="C380" s="58" t="s">
        <v>61</v>
      </c>
      <c r="D380" s="61">
        <v>3</v>
      </c>
      <c r="E380" s="60">
        <v>0</v>
      </c>
    </row>
    <row r="381" spans="2:5">
      <c r="B381" s="102"/>
      <c r="C381" s="58" t="s">
        <v>196</v>
      </c>
      <c r="D381" s="61">
        <v>2</v>
      </c>
      <c r="E381" s="60">
        <v>0</v>
      </c>
    </row>
    <row r="382" spans="2:5">
      <c r="B382" s="102"/>
      <c r="C382" s="58" t="s">
        <v>198</v>
      </c>
      <c r="D382" s="61">
        <v>1</v>
      </c>
      <c r="E382" s="60">
        <v>0</v>
      </c>
    </row>
    <row r="383" spans="2:5">
      <c r="B383" s="102"/>
      <c r="C383" s="58" t="s">
        <v>203</v>
      </c>
      <c r="D383" s="61">
        <v>1</v>
      </c>
      <c r="E383" s="60">
        <v>0</v>
      </c>
    </row>
    <row r="384" spans="2:5">
      <c r="B384" s="102"/>
      <c r="C384" s="58" t="s">
        <v>206</v>
      </c>
      <c r="D384" s="61">
        <v>1</v>
      </c>
      <c r="E384" s="60">
        <v>0</v>
      </c>
    </row>
    <row r="385" spans="2:5">
      <c r="B385" s="103"/>
      <c r="C385" s="75" t="s">
        <v>324</v>
      </c>
      <c r="D385" s="76">
        <v>548</v>
      </c>
      <c r="E385" s="72">
        <v>8.2000000000000003E-2</v>
      </c>
    </row>
    <row r="386" spans="2:5">
      <c r="B386" s="101" t="s">
        <v>86</v>
      </c>
      <c r="C386" s="58" t="s">
        <v>142</v>
      </c>
      <c r="D386" s="61">
        <v>4</v>
      </c>
      <c r="E386" s="60">
        <v>1E-3</v>
      </c>
    </row>
    <row r="387" spans="2:5">
      <c r="B387" s="102"/>
      <c r="C387" s="58" t="s">
        <v>167</v>
      </c>
      <c r="D387" s="61">
        <v>1</v>
      </c>
      <c r="E387" s="60">
        <v>0</v>
      </c>
    </row>
    <row r="388" spans="2:5">
      <c r="B388" s="102"/>
      <c r="C388" s="58" t="s">
        <v>168</v>
      </c>
      <c r="D388" s="61">
        <v>1</v>
      </c>
      <c r="E388" s="60">
        <v>0</v>
      </c>
    </row>
    <row r="389" spans="2:5">
      <c r="B389" s="102"/>
      <c r="C389" s="58" t="s">
        <v>143</v>
      </c>
      <c r="D389" s="61">
        <v>4</v>
      </c>
      <c r="E389" s="60">
        <v>1E-3</v>
      </c>
    </row>
    <row r="390" spans="2:5">
      <c r="B390" s="102"/>
      <c r="C390" s="58" t="s">
        <v>187</v>
      </c>
      <c r="D390" s="61">
        <v>1</v>
      </c>
      <c r="E390" s="60">
        <v>0</v>
      </c>
    </row>
    <row r="391" spans="2:5">
      <c r="B391" s="102"/>
      <c r="C391" s="58" t="s">
        <v>193</v>
      </c>
      <c r="D391" s="61">
        <v>5</v>
      </c>
      <c r="E391" s="60">
        <v>1E-3</v>
      </c>
    </row>
    <row r="392" spans="2:5">
      <c r="B392" s="103"/>
      <c r="C392" s="75" t="s">
        <v>324</v>
      </c>
      <c r="D392" s="76">
        <v>16</v>
      </c>
      <c r="E392" s="72">
        <v>2E-3</v>
      </c>
    </row>
    <row r="393" spans="2:5">
      <c r="B393" s="101" t="s">
        <v>89</v>
      </c>
      <c r="C393" s="58" t="s">
        <v>161</v>
      </c>
      <c r="D393" s="61">
        <v>3</v>
      </c>
      <c r="E393" s="60">
        <v>0</v>
      </c>
    </row>
    <row r="394" spans="2:5">
      <c r="B394" s="102"/>
      <c r="C394" s="58" t="s">
        <v>172</v>
      </c>
      <c r="D394" s="61">
        <v>2</v>
      </c>
      <c r="E394" s="60">
        <v>0</v>
      </c>
    </row>
    <row r="395" spans="2:5">
      <c r="B395" s="102"/>
      <c r="C395" s="58" t="s">
        <v>143</v>
      </c>
      <c r="D395" s="61">
        <v>1</v>
      </c>
      <c r="E395" s="60">
        <v>0</v>
      </c>
    </row>
    <row r="396" spans="2:5">
      <c r="B396" s="102"/>
      <c r="C396" s="58" t="s">
        <v>144</v>
      </c>
      <c r="D396" s="61">
        <v>1</v>
      </c>
      <c r="E396" s="60">
        <v>0</v>
      </c>
    </row>
    <row r="397" spans="2:5">
      <c r="B397" s="102"/>
      <c r="C397" s="58" t="s">
        <v>55</v>
      </c>
      <c r="D397" s="61">
        <v>1</v>
      </c>
      <c r="E397" s="60">
        <v>0</v>
      </c>
    </row>
    <row r="398" spans="2:5">
      <c r="B398" s="102"/>
      <c r="C398" s="58" t="s">
        <v>193</v>
      </c>
      <c r="D398" s="61">
        <v>1</v>
      </c>
      <c r="E398" s="60">
        <v>0</v>
      </c>
    </row>
    <row r="399" spans="2:5">
      <c r="B399" s="103"/>
      <c r="C399" s="75" t="s">
        <v>324</v>
      </c>
      <c r="D399" s="76">
        <v>9</v>
      </c>
      <c r="E399" s="72">
        <v>1E-3</v>
      </c>
    </row>
    <row r="400" spans="2:5">
      <c r="B400" s="101" t="s">
        <v>75</v>
      </c>
      <c r="C400" s="58" t="s">
        <v>146</v>
      </c>
      <c r="D400" s="61">
        <v>1</v>
      </c>
      <c r="E400" s="60">
        <v>0</v>
      </c>
    </row>
    <row r="401" spans="2:5">
      <c r="B401" s="102"/>
      <c r="C401" s="58" t="s">
        <v>161</v>
      </c>
      <c r="D401" s="61">
        <v>1</v>
      </c>
      <c r="E401" s="60">
        <v>0</v>
      </c>
    </row>
    <row r="402" spans="2:5">
      <c r="B402" s="102"/>
      <c r="C402" s="58" t="s">
        <v>142</v>
      </c>
      <c r="D402" s="61">
        <v>3</v>
      </c>
      <c r="E402" s="60">
        <v>0</v>
      </c>
    </row>
    <row r="403" spans="2:5">
      <c r="B403" s="102"/>
      <c r="C403" s="58" t="s">
        <v>172</v>
      </c>
      <c r="D403" s="61">
        <v>1</v>
      </c>
      <c r="E403" s="60">
        <v>0</v>
      </c>
    </row>
    <row r="404" spans="2:5">
      <c r="B404" s="102"/>
      <c r="C404" s="58" t="s">
        <v>143</v>
      </c>
      <c r="D404" s="61">
        <v>1</v>
      </c>
      <c r="E404" s="60">
        <v>0</v>
      </c>
    </row>
    <row r="405" spans="2:5">
      <c r="B405" s="102"/>
      <c r="C405" s="58" t="s">
        <v>174</v>
      </c>
      <c r="D405" s="61">
        <v>2</v>
      </c>
      <c r="E405" s="60">
        <v>0</v>
      </c>
    </row>
    <row r="406" spans="2:5">
      <c r="B406" s="102"/>
      <c r="C406" s="58" t="s">
        <v>55</v>
      </c>
      <c r="D406" s="61">
        <v>2</v>
      </c>
      <c r="E406" s="60">
        <v>0</v>
      </c>
    </row>
    <row r="407" spans="2:5">
      <c r="B407" s="102"/>
      <c r="C407" s="58" t="s">
        <v>190</v>
      </c>
      <c r="D407" s="61">
        <v>1</v>
      </c>
      <c r="E407" s="60">
        <v>0</v>
      </c>
    </row>
    <row r="408" spans="2:5">
      <c r="B408" s="102"/>
      <c r="C408" s="58" t="s">
        <v>194</v>
      </c>
      <c r="D408" s="61">
        <v>1</v>
      </c>
      <c r="E408" s="60">
        <v>0</v>
      </c>
    </row>
    <row r="409" spans="2:5">
      <c r="B409" s="102"/>
      <c r="C409" s="58" t="s">
        <v>61</v>
      </c>
      <c r="D409" s="61">
        <v>1</v>
      </c>
      <c r="E409" s="60">
        <v>0</v>
      </c>
    </row>
    <row r="410" spans="2:5">
      <c r="B410" s="103"/>
      <c r="C410" s="75" t="s">
        <v>324</v>
      </c>
      <c r="D410" s="76">
        <v>14</v>
      </c>
      <c r="E410" s="72">
        <v>2E-3</v>
      </c>
    </row>
    <row r="411" spans="2:5">
      <c r="B411" s="101" t="s">
        <v>97</v>
      </c>
      <c r="C411" s="58" t="s">
        <v>146</v>
      </c>
      <c r="D411" s="61">
        <v>1</v>
      </c>
      <c r="E411" s="60">
        <v>0</v>
      </c>
    </row>
    <row r="412" spans="2:5">
      <c r="B412" s="102"/>
      <c r="C412" s="58" t="s">
        <v>161</v>
      </c>
      <c r="D412" s="61">
        <v>3</v>
      </c>
      <c r="E412" s="60">
        <v>0</v>
      </c>
    </row>
    <row r="413" spans="2:5">
      <c r="B413" s="102"/>
      <c r="C413" s="58" t="s">
        <v>142</v>
      </c>
      <c r="D413" s="61">
        <v>1</v>
      </c>
      <c r="E413" s="60">
        <v>0</v>
      </c>
    </row>
    <row r="414" spans="2:5">
      <c r="B414" s="102"/>
      <c r="C414" s="58" t="s">
        <v>143</v>
      </c>
      <c r="D414" s="61">
        <v>2</v>
      </c>
      <c r="E414" s="60">
        <v>0</v>
      </c>
    </row>
    <row r="415" spans="2:5">
      <c r="B415" s="102"/>
      <c r="C415" s="58" t="s">
        <v>178</v>
      </c>
      <c r="D415" s="61">
        <v>1</v>
      </c>
      <c r="E415" s="60">
        <v>0</v>
      </c>
    </row>
    <row r="416" spans="2:5">
      <c r="B416" s="102"/>
      <c r="C416" s="58" t="s">
        <v>55</v>
      </c>
      <c r="D416" s="61">
        <v>1</v>
      </c>
      <c r="E416" s="60">
        <v>0</v>
      </c>
    </row>
    <row r="417" spans="2:5">
      <c r="B417" s="102"/>
      <c r="C417" s="58" t="s">
        <v>206</v>
      </c>
      <c r="D417" s="61">
        <v>1</v>
      </c>
      <c r="E417" s="60">
        <v>0</v>
      </c>
    </row>
    <row r="418" spans="2:5">
      <c r="B418" s="103"/>
      <c r="C418" s="75" t="s">
        <v>324</v>
      </c>
      <c r="D418" s="76">
        <v>10</v>
      </c>
      <c r="E418" s="72">
        <v>1E-3</v>
      </c>
    </row>
    <row r="419" spans="2:5">
      <c r="B419" s="101" t="s">
        <v>55</v>
      </c>
      <c r="C419" s="58" t="s">
        <v>145</v>
      </c>
      <c r="D419" s="61">
        <v>1</v>
      </c>
      <c r="E419" s="60">
        <v>0</v>
      </c>
    </row>
    <row r="420" spans="2:5">
      <c r="B420" s="102"/>
      <c r="C420" s="58" t="s">
        <v>146</v>
      </c>
      <c r="D420" s="61">
        <v>2</v>
      </c>
      <c r="E420" s="60">
        <v>0</v>
      </c>
    </row>
    <row r="421" spans="2:5">
      <c r="B421" s="102"/>
      <c r="C421" s="58" t="s">
        <v>147</v>
      </c>
      <c r="D421" s="61">
        <v>2</v>
      </c>
      <c r="E421" s="60">
        <v>0</v>
      </c>
    </row>
    <row r="422" spans="2:5">
      <c r="B422" s="102"/>
      <c r="C422" s="58" t="s">
        <v>149</v>
      </c>
      <c r="D422" s="61">
        <v>1</v>
      </c>
      <c r="E422" s="60">
        <v>0</v>
      </c>
    </row>
    <row r="423" spans="2:5">
      <c r="B423" s="102"/>
      <c r="C423" s="58" t="s">
        <v>161</v>
      </c>
      <c r="D423" s="61">
        <v>2</v>
      </c>
      <c r="E423" s="60">
        <v>0</v>
      </c>
    </row>
    <row r="424" spans="2:5">
      <c r="B424" s="102"/>
      <c r="C424" s="58" t="s">
        <v>142</v>
      </c>
      <c r="D424" s="61">
        <v>16</v>
      </c>
      <c r="E424" s="60">
        <v>2E-3</v>
      </c>
    </row>
    <row r="425" spans="2:5">
      <c r="B425" s="102"/>
      <c r="C425" s="58" t="s">
        <v>162</v>
      </c>
      <c r="D425" s="61">
        <v>1</v>
      </c>
      <c r="E425" s="60">
        <v>0</v>
      </c>
    </row>
    <row r="426" spans="2:5">
      <c r="B426" s="102"/>
      <c r="C426" s="58" t="s">
        <v>165</v>
      </c>
      <c r="D426" s="61">
        <v>1</v>
      </c>
      <c r="E426" s="60">
        <v>0</v>
      </c>
    </row>
    <row r="427" spans="2:5">
      <c r="B427" s="102"/>
      <c r="C427" s="58" t="s">
        <v>172</v>
      </c>
      <c r="D427" s="61">
        <v>3</v>
      </c>
      <c r="E427" s="60">
        <v>0</v>
      </c>
    </row>
    <row r="428" spans="2:5">
      <c r="B428" s="102"/>
      <c r="C428" s="58" t="s">
        <v>143</v>
      </c>
      <c r="D428" s="61">
        <v>23</v>
      </c>
      <c r="E428" s="60">
        <v>3.0000000000000001E-3</v>
      </c>
    </row>
    <row r="429" spans="2:5">
      <c r="B429" s="102"/>
      <c r="C429" s="58" t="s">
        <v>174</v>
      </c>
      <c r="D429" s="61">
        <v>3</v>
      </c>
      <c r="E429" s="60">
        <v>0</v>
      </c>
    </row>
    <row r="430" spans="2:5">
      <c r="B430" s="102"/>
      <c r="C430" s="58" t="s">
        <v>176</v>
      </c>
      <c r="D430" s="61">
        <v>1</v>
      </c>
      <c r="E430" s="60">
        <v>0</v>
      </c>
    </row>
    <row r="431" spans="2:5">
      <c r="B431" s="102"/>
      <c r="C431" s="58" t="s">
        <v>178</v>
      </c>
      <c r="D431" s="61">
        <v>2</v>
      </c>
      <c r="E431" s="60">
        <v>0</v>
      </c>
    </row>
    <row r="432" spans="2:5">
      <c r="B432" s="102"/>
      <c r="C432" s="58" t="s">
        <v>144</v>
      </c>
      <c r="D432" s="61">
        <v>5</v>
      </c>
      <c r="E432" s="60">
        <v>1E-3</v>
      </c>
    </row>
    <row r="433" spans="2:5">
      <c r="B433" s="102"/>
      <c r="C433" s="58" t="s">
        <v>55</v>
      </c>
      <c r="D433" s="61">
        <v>95</v>
      </c>
      <c r="E433" s="60">
        <v>1.4E-2</v>
      </c>
    </row>
    <row r="434" spans="2:5">
      <c r="B434" s="102"/>
      <c r="C434" s="58" t="s">
        <v>184</v>
      </c>
      <c r="D434" s="61">
        <v>1</v>
      </c>
      <c r="E434" s="60">
        <v>0</v>
      </c>
    </row>
    <row r="435" spans="2:5">
      <c r="B435" s="102"/>
      <c r="C435" s="58" t="s">
        <v>186</v>
      </c>
      <c r="D435" s="61">
        <v>1</v>
      </c>
      <c r="E435" s="60">
        <v>0</v>
      </c>
    </row>
    <row r="436" spans="2:5">
      <c r="B436" s="102"/>
      <c r="C436" s="58" t="s">
        <v>191</v>
      </c>
      <c r="D436" s="61">
        <v>1</v>
      </c>
      <c r="E436" s="60">
        <v>0</v>
      </c>
    </row>
    <row r="437" spans="2:5">
      <c r="B437" s="102"/>
      <c r="C437" s="58" t="s">
        <v>193</v>
      </c>
      <c r="D437" s="61">
        <v>1</v>
      </c>
      <c r="E437" s="60">
        <v>0</v>
      </c>
    </row>
    <row r="438" spans="2:5">
      <c r="B438" s="102"/>
      <c r="C438" s="58" t="s">
        <v>203</v>
      </c>
      <c r="D438" s="61">
        <v>1</v>
      </c>
      <c r="E438" s="60">
        <v>0</v>
      </c>
    </row>
    <row r="439" spans="2:5">
      <c r="B439" s="103"/>
      <c r="C439" s="75" t="s">
        <v>324</v>
      </c>
      <c r="D439" s="76">
        <v>163</v>
      </c>
      <c r="E439" s="72">
        <v>2.4E-2</v>
      </c>
    </row>
    <row r="440" spans="2:5">
      <c r="B440" s="101" t="s">
        <v>88</v>
      </c>
      <c r="C440" s="58" t="s">
        <v>146</v>
      </c>
      <c r="D440" s="61">
        <v>1</v>
      </c>
      <c r="E440" s="60">
        <v>0</v>
      </c>
    </row>
    <row r="441" spans="2:5">
      <c r="B441" s="102"/>
      <c r="C441" s="58" t="s">
        <v>142</v>
      </c>
      <c r="D441" s="61">
        <v>2</v>
      </c>
      <c r="E441" s="60">
        <v>0</v>
      </c>
    </row>
    <row r="442" spans="2:5">
      <c r="B442" s="102"/>
      <c r="C442" s="58" t="s">
        <v>162</v>
      </c>
      <c r="D442" s="61">
        <v>1</v>
      </c>
      <c r="E442" s="60">
        <v>0</v>
      </c>
    </row>
    <row r="443" spans="2:5">
      <c r="B443" s="102"/>
      <c r="C443" s="58" t="s">
        <v>172</v>
      </c>
      <c r="D443" s="61">
        <v>1</v>
      </c>
      <c r="E443" s="60">
        <v>0</v>
      </c>
    </row>
    <row r="444" spans="2:5">
      <c r="B444" s="102"/>
      <c r="C444" s="58" t="s">
        <v>143</v>
      </c>
      <c r="D444" s="61">
        <v>7</v>
      </c>
      <c r="E444" s="60">
        <v>1E-3</v>
      </c>
    </row>
    <row r="445" spans="2:5">
      <c r="B445" s="102"/>
      <c r="C445" s="58" t="s">
        <v>174</v>
      </c>
      <c r="D445" s="61">
        <v>1</v>
      </c>
      <c r="E445" s="60">
        <v>0</v>
      </c>
    </row>
    <row r="446" spans="2:5">
      <c r="B446" s="102"/>
      <c r="C446" s="58" t="s">
        <v>144</v>
      </c>
      <c r="D446" s="61">
        <v>1</v>
      </c>
      <c r="E446" s="60">
        <v>0</v>
      </c>
    </row>
    <row r="447" spans="2:5">
      <c r="B447" s="102"/>
      <c r="C447" s="58" t="s">
        <v>55</v>
      </c>
      <c r="D447" s="61">
        <v>2</v>
      </c>
      <c r="E447" s="60">
        <v>0</v>
      </c>
    </row>
    <row r="448" spans="2:5">
      <c r="B448" s="102"/>
      <c r="C448" s="58" t="s">
        <v>203</v>
      </c>
      <c r="D448" s="61">
        <v>1</v>
      </c>
      <c r="E448" s="60">
        <v>0</v>
      </c>
    </row>
    <row r="449" spans="2:5">
      <c r="B449" s="103"/>
      <c r="C449" s="75" t="s">
        <v>324</v>
      </c>
      <c r="D449" s="76">
        <v>17</v>
      </c>
      <c r="E449" s="72">
        <v>3.0000000000000001E-3</v>
      </c>
    </row>
    <row r="450" spans="2:5">
      <c r="B450" s="101" t="s">
        <v>82</v>
      </c>
      <c r="C450" s="58" t="s">
        <v>146</v>
      </c>
      <c r="D450" s="61">
        <v>1</v>
      </c>
      <c r="E450" s="60">
        <v>0</v>
      </c>
    </row>
    <row r="451" spans="2:5">
      <c r="B451" s="102"/>
      <c r="C451" s="58" t="s">
        <v>161</v>
      </c>
      <c r="D451" s="61">
        <v>3</v>
      </c>
      <c r="E451" s="60">
        <v>0</v>
      </c>
    </row>
    <row r="452" spans="2:5">
      <c r="B452" s="102"/>
      <c r="C452" s="58" t="s">
        <v>142</v>
      </c>
      <c r="D452" s="61">
        <v>1</v>
      </c>
      <c r="E452" s="60">
        <v>0</v>
      </c>
    </row>
    <row r="453" spans="2:5">
      <c r="B453" s="102"/>
      <c r="C453" s="58" t="s">
        <v>162</v>
      </c>
      <c r="D453" s="61">
        <v>2</v>
      </c>
      <c r="E453" s="60">
        <v>0</v>
      </c>
    </row>
    <row r="454" spans="2:5">
      <c r="B454" s="102"/>
      <c r="C454" s="58" t="s">
        <v>292</v>
      </c>
      <c r="D454" s="61">
        <v>1</v>
      </c>
      <c r="E454" s="60">
        <v>0</v>
      </c>
    </row>
    <row r="455" spans="2:5">
      <c r="B455" s="102"/>
      <c r="C455" s="58" t="s">
        <v>172</v>
      </c>
      <c r="D455" s="61">
        <v>2</v>
      </c>
      <c r="E455" s="60">
        <v>0</v>
      </c>
    </row>
    <row r="456" spans="2:5">
      <c r="B456" s="102"/>
      <c r="C456" s="58" t="s">
        <v>143</v>
      </c>
      <c r="D456" s="61">
        <v>7</v>
      </c>
      <c r="E456" s="60">
        <v>1E-3</v>
      </c>
    </row>
    <row r="457" spans="2:5">
      <c r="B457" s="102"/>
      <c r="C457" s="58" t="s">
        <v>144</v>
      </c>
      <c r="D457" s="61">
        <v>2</v>
      </c>
      <c r="E457" s="60">
        <v>0</v>
      </c>
    </row>
    <row r="458" spans="2:5">
      <c r="B458" s="102"/>
      <c r="C458" s="58" t="s">
        <v>55</v>
      </c>
      <c r="D458" s="61">
        <v>2</v>
      </c>
      <c r="E458" s="60">
        <v>0</v>
      </c>
    </row>
    <row r="459" spans="2:5">
      <c r="B459" s="102"/>
      <c r="C459" s="58" t="s">
        <v>200</v>
      </c>
      <c r="D459" s="61">
        <v>1</v>
      </c>
      <c r="E459" s="60">
        <v>0</v>
      </c>
    </row>
    <row r="460" spans="2:5">
      <c r="B460" s="103"/>
      <c r="C460" s="75" t="s">
        <v>324</v>
      </c>
      <c r="D460" s="76">
        <v>22</v>
      </c>
      <c r="E460" s="72">
        <v>3.0000000000000001E-3</v>
      </c>
    </row>
    <row r="461" spans="2:5">
      <c r="B461" s="101" t="s">
        <v>68</v>
      </c>
      <c r="C461" s="58" t="s">
        <v>146</v>
      </c>
      <c r="D461" s="61">
        <v>9</v>
      </c>
      <c r="E461" s="60">
        <v>1E-3</v>
      </c>
    </row>
    <row r="462" spans="2:5">
      <c r="B462" s="102"/>
      <c r="C462" s="58" t="s">
        <v>161</v>
      </c>
      <c r="D462" s="61">
        <v>2</v>
      </c>
      <c r="E462" s="60">
        <v>0</v>
      </c>
    </row>
    <row r="463" spans="2:5">
      <c r="B463" s="102"/>
      <c r="C463" s="58" t="s">
        <v>142</v>
      </c>
      <c r="D463" s="61">
        <v>17</v>
      </c>
      <c r="E463" s="60">
        <v>3.0000000000000001E-3</v>
      </c>
    </row>
    <row r="464" spans="2:5">
      <c r="B464" s="102"/>
      <c r="C464" s="58" t="s">
        <v>167</v>
      </c>
      <c r="D464" s="61">
        <v>1</v>
      </c>
      <c r="E464" s="60">
        <v>0</v>
      </c>
    </row>
    <row r="465" spans="2:5">
      <c r="B465" s="102"/>
      <c r="C465" s="58" t="s">
        <v>168</v>
      </c>
      <c r="D465" s="61">
        <v>1</v>
      </c>
      <c r="E465" s="60">
        <v>0</v>
      </c>
    </row>
    <row r="466" spans="2:5">
      <c r="B466" s="102"/>
      <c r="C466" s="58" t="s">
        <v>172</v>
      </c>
      <c r="D466" s="61">
        <v>3</v>
      </c>
      <c r="E466" s="60">
        <v>0</v>
      </c>
    </row>
    <row r="467" spans="2:5">
      <c r="B467" s="102"/>
      <c r="C467" s="58" t="s">
        <v>143</v>
      </c>
      <c r="D467" s="61">
        <v>18</v>
      </c>
      <c r="E467" s="60">
        <v>3.0000000000000001E-3</v>
      </c>
    </row>
    <row r="468" spans="2:5">
      <c r="B468" s="102"/>
      <c r="C468" s="58" t="s">
        <v>174</v>
      </c>
      <c r="D468" s="61">
        <v>2</v>
      </c>
      <c r="E468" s="60">
        <v>0</v>
      </c>
    </row>
    <row r="469" spans="2:5">
      <c r="B469" s="102"/>
      <c r="C469" s="58" t="s">
        <v>178</v>
      </c>
      <c r="D469" s="61">
        <v>3</v>
      </c>
      <c r="E469" s="60">
        <v>0</v>
      </c>
    </row>
    <row r="470" spans="2:5">
      <c r="B470" s="102"/>
      <c r="C470" s="58" t="s">
        <v>181</v>
      </c>
      <c r="D470" s="61">
        <v>1</v>
      </c>
      <c r="E470" s="60">
        <v>0</v>
      </c>
    </row>
    <row r="471" spans="2:5">
      <c r="B471" s="102"/>
      <c r="C471" s="58" t="s">
        <v>182</v>
      </c>
      <c r="D471" s="61">
        <v>1</v>
      </c>
      <c r="E471" s="60">
        <v>0</v>
      </c>
    </row>
    <row r="472" spans="2:5">
      <c r="B472" s="102"/>
      <c r="C472" s="58" t="s">
        <v>144</v>
      </c>
      <c r="D472" s="61">
        <v>3</v>
      </c>
      <c r="E472" s="60">
        <v>0</v>
      </c>
    </row>
    <row r="473" spans="2:5">
      <c r="B473" s="102"/>
      <c r="C473" s="58" t="s">
        <v>55</v>
      </c>
      <c r="D473" s="61">
        <v>4</v>
      </c>
      <c r="E473" s="60">
        <v>1E-3</v>
      </c>
    </row>
    <row r="474" spans="2:5">
      <c r="B474" s="102"/>
      <c r="C474" s="58" t="s">
        <v>187</v>
      </c>
      <c r="D474" s="61">
        <v>5</v>
      </c>
      <c r="E474" s="60">
        <v>1E-3</v>
      </c>
    </row>
    <row r="475" spans="2:5">
      <c r="B475" s="102"/>
      <c r="C475" s="58" t="s">
        <v>188</v>
      </c>
      <c r="D475" s="61">
        <v>1</v>
      </c>
      <c r="E475" s="60">
        <v>0</v>
      </c>
    </row>
    <row r="476" spans="2:5">
      <c r="B476" s="102"/>
      <c r="C476" s="58" t="s">
        <v>191</v>
      </c>
      <c r="D476" s="61">
        <v>1</v>
      </c>
      <c r="E476" s="60">
        <v>0</v>
      </c>
    </row>
    <row r="477" spans="2:5">
      <c r="B477" s="102"/>
      <c r="C477" s="58" t="s">
        <v>193</v>
      </c>
      <c r="D477" s="61">
        <v>5</v>
      </c>
      <c r="E477" s="60">
        <v>1E-3</v>
      </c>
    </row>
    <row r="478" spans="2:5">
      <c r="B478" s="102"/>
      <c r="C478" s="58" t="s">
        <v>206</v>
      </c>
      <c r="D478" s="61">
        <v>1</v>
      </c>
      <c r="E478" s="60">
        <v>0</v>
      </c>
    </row>
    <row r="479" spans="2:5">
      <c r="B479" s="103"/>
      <c r="C479" s="75" t="s">
        <v>324</v>
      </c>
      <c r="D479" s="76">
        <v>78</v>
      </c>
      <c r="E479" s="72">
        <v>1.2E-2</v>
      </c>
    </row>
    <row r="480" spans="2:5">
      <c r="B480" s="101" t="s">
        <v>87</v>
      </c>
      <c r="C480" s="58" t="s">
        <v>146</v>
      </c>
      <c r="D480" s="61">
        <v>2</v>
      </c>
      <c r="E480" s="60">
        <v>0</v>
      </c>
    </row>
    <row r="481" spans="2:5">
      <c r="B481" s="102"/>
      <c r="C481" s="58" t="s">
        <v>161</v>
      </c>
      <c r="D481" s="61">
        <v>4</v>
      </c>
      <c r="E481" s="60">
        <v>1E-3</v>
      </c>
    </row>
    <row r="482" spans="2:5">
      <c r="B482" s="102"/>
      <c r="C482" s="58" t="s">
        <v>142</v>
      </c>
      <c r="D482" s="61">
        <v>8</v>
      </c>
      <c r="E482" s="60">
        <v>1E-3</v>
      </c>
    </row>
    <row r="483" spans="2:5">
      <c r="B483" s="102"/>
      <c r="C483" s="58" t="s">
        <v>292</v>
      </c>
      <c r="D483" s="61">
        <v>1</v>
      </c>
      <c r="E483" s="60">
        <v>0</v>
      </c>
    </row>
    <row r="484" spans="2:5">
      <c r="B484" s="102"/>
      <c r="C484" s="58" t="s">
        <v>167</v>
      </c>
      <c r="D484" s="61">
        <v>3</v>
      </c>
      <c r="E484" s="60">
        <v>0</v>
      </c>
    </row>
    <row r="485" spans="2:5">
      <c r="B485" s="102"/>
      <c r="C485" s="58" t="s">
        <v>168</v>
      </c>
      <c r="D485" s="61">
        <v>1</v>
      </c>
      <c r="E485" s="60">
        <v>0</v>
      </c>
    </row>
    <row r="486" spans="2:5">
      <c r="B486" s="102"/>
      <c r="C486" s="58" t="s">
        <v>172</v>
      </c>
      <c r="D486" s="61">
        <v>3</v>
      </c>
      <c r="E486" s="60">
        <v>0</v>
      </c>
    </row>
    <row r="487" spans="2:5">
      <c r="B487" s="102"/>
      <c r="C487" s="58" t="s">
        <v>143</v>
      </c>
      <c r="D487" s="61">
        <v>7</v>
      </c>
      <c r="E487" s="60">
        <v>1E-3</v>
      </c>
    </row>
    <row r="488" spans="2:5">
      <c r="B488" s="102"/>
      <c r="C488" s="58" t="s">
        <v>182</v>
      </c>
      <c r="D488" s="61">
        <v>1</v>
      </c>
      <c r="E488" s="60">
        <v>0</v>
      </c>
    </row>
    <row r="489" spans="2:5">
      <c r="B489" s="102"/>
      <c r="C489" s="58" t="s">
        <v>144</v>
      </c>
      <c r="D489" s="61">
        <v>2</v>
      </c>
      <c r="E489" s="60">
        <v>0</v>
      </c>
    </row>
    <row r="490" spans="2:5">
      <c r="B490" s="102"/>
      <c r="C490" s="58" t="s">
        <v>55</v>
      </c>
      <c r="D490" s="61">
        <v>3</v>
      </c>
      <c r="E490" s="60">
        <v>0</v>
      </c>
    </row>
    <row r="491" spans="2:5">
      <c r="B491" s="102"/>
      <c r="C491" s="58" t="s">
        <v>186</v>
      </c>
      <c r="D491" s="61">
        <v>1</v>
      </c>
      <c r="E491" s="60">
        <v>0</v>
      </c>
    </row>
    <row r="492" spans="2:5">
      <c r="B492" s="102"/>
      <c r="C492" s="58" t="s">
        <v>187</v>
      </c>
      <c r="D492" s="61">
        <v>1</v>
      </c>
      <c r="E492" s="60">
        <v>0</v>
      </c>
    </row>
    <row r="493" spans="2:5">
      <c r="B493" s="102"/>
      <c r="C493" s="58" t="s">
        <v>193</v>
      </c>
      <c r="D493" s="61">
        <v>10</v>
      </c>
      <c r="E493" s="60">
        <v>1E-3</v>
      </c>
    </row>
    <row r="494" spans="2:5">
      <c r="B494" s="102"/>
      <c r="C494" s="58" t="s">
        <v>202</v>
      </c>
      <c r="D494" s="61">
        <v>1</v>
      </c>
      <c r="E494" s="60">
        <v>0</v>
      </c>
    </row>
    <row r="495" spans="2:5">
      <c r="B495" s="103"/>
      <c r="C495" s="75" t="s">
        <v>324</v>
      </c>
      <c r="D495" s="76">
        <v>48</v>
      </c>
      <c r="E495" s="72">
        <v>7.0000000000000001E-3</v>
      </c>
    </row>
    <row r="496" spans="2:5">
      <c r="B496" s="101" t="s">
        <v>76</v>
      </c>
      <c r="C496" s="58" t="s">
        <v>142</v>
      </c>
      <c r="D496" s="61">
        <v>3</v>
      </c>
      <c r="E496" s="60">
        <v>0</v>
      </c>
    </row>
    <row r="497" spans="2:5">
      <c r="B497" s="102"/>
      <c r="C497" s="58" t="s">
        <v>163</v>
      </c>
      <c r="D497" s="61">
        <v>1</v>
      </c>
      <c r="E497" s="60">
        <v>0</v>
      </c>
    </row>
    <row r="498" spans="2:5">
      <c r="B498" s="102"/>
      <c r="C498" s="58" t="s">
        <v>170</v>
      </c>
      <c r="D498" s="61">
        <v>1</v>
      </c>
      <c r="E498" s="60">
        <v>0</v>
      </c>
    </row>
    <row r="499" spans="2:5">
      <c r="B499" s="102"/>
      <c r="C499" s="58" t="s">
        <v>143</v>
      </c>
      <c r="D499" s="61">
        <v>8</v>
      </c>
      <c r="E499" s="60">
        <v>1E-3</v>
      </c>
    </row>
    <row r="500" spans="2:5">
      <c r="B500" s="102"/>
      <c r="C500" s="58" t="s">
        <v>144</v>
      </c>
      <c r="D500" s="61">
        <v>2</v>
      </c>
      <c r="E500" s="60">
        <v>0</v>
      </c>
    </row>
    <row r="501" spans="2:5">
      <c r="B501" s="102"/>
      <c r="C501" s="58" t="s">
        <v>55</v>
      </c>
      <c r="D501" s="61">
        <v>1</v>
      </c>
      <c r="E501" s="60">
        <v>0</v>
      </c>
    </row>
    <row r="502" spans="2:5">
      <c r="B502" s="102"/>
      <c r="C502" s="58" t="s">
        <v>208</v>
      </c>
      <c r="D502" s="61">
        <v>1</v>
      </c>
      <c r="E502" s="60">
        <v>0</v>
      </c>
    </row>
    <row r="503" spans="2:5">
      <c r="B503" s="103"/>
      <c r="C503" s="75" t="s">
        <v>324</v>
      </c>
      <c r="D503" s="76">
        <v>17</v>
      </c>
      <c r="E503" s="72">
        <v>3.0000000000000001E-3</v>
      </c>
    </row>
    <row r="504" spans="2:5">
      <c r="B504" s="101" t="s">
        <v>74</v>
      </c>
      <c r="C504" s="58" t="s">
        <v>146</v>
      </c>
      <c r="D504" s="61">
        <v>1</v>
      </c>
      <c r="E504" s="60">
        <v>0</v>
      </c>
    </row>
    <row r="505" spans="2:5">
      <c r="B505" s="102"/>
      <c r="C505" s="58" t="s">
        <v>147</v>
      </c>
      <c r="D505" s="61">
        <v>1</v>
      </c>
      <c r="E505" s="60">
        <v>0</v>
      </c>
    </row>
    <row r="506" spans="2:5">
      <c r="B506" s="102"/>
      <c r="C506" s="58" t="s">
        <v>161</v>
      </c>
      <c r="D506" s="61">
        <v>7</v>
      </c>
      <c r="E506" s="60">
        <v>1E-3</v>
      </c>
    </row>
    <row r="507" spans="2:5">
      <c r="B507" s="102"/>
      <c r="C507" s="58" t="s">
        <v>142</v>
      </c>
      <c r="D507" s="61">
        <v>9</v>
      </c>
      <c r="E507" s="60">
        <v>1E-3</v>
      </c>
    </row>
    <row r="508" spans="2:5">
      <c r="B508" s="102"/>
      <c r="C508" s="58" t="s">
        <v>167</v>
      </c>
      <c r="D508" s="61">
        <v>1</v>
      </c>
      <c r="E508" s="60">
        <v>0</v>
      </c>
    </row>
    <row r="509" spans="2:5">
      <c r="B509" s="102"/>
      <c r="C509" s="58" t="s">
        <v>168</v>
      </c>
      <c r="D509" s="61">
        <v>5</v>
      </c>
      <c r="E509" s="60">
        <v>1E-3</v>
      </c>
    </row>
    <row r="510" spans="2:5">
      <c r="B510" s="102"/>
      <c r="C510" s="58" t="s">
        <v>171</v>
      </c>
      <c r="D510" s="61">
        <v>1</v>
      </c>
      <c r="E510" s="60">
        <v>0</v>
      </c>
    </row>
    <row r="511" spans="2:5">
      <c r="B511" s="102"/>
      <c r="C511" s="58" t="s">
        <v>172</v>
      </c>
      <c r="D511" s="61">
        <v>2</v>
      </c>
      <c r="E511" s="60">
        <v>0</v>
      </c>
    </row>
    <row r="512" spans="2:5">
      <c r="B512" s="102"/>
      <c r="C512" s="58" t="s">
        <v>143</v>
      </c>
      <c r="D512" s="61">
        <v>10</v>
      </c>
      <c r="E512" s="60">
        <v>1E-3</v>
      </c>
    </row>
    <row r="513" spans="2:5">
      <c r="B513" s="102"/>
      <c r="C513" s="58" t="s">
        <v>176</v>
      </c>
      <c r="D513" s="61">
        <v>1</v>
      </c>
      <c r="E513" s="60">
        <v>0</v>
      </c>
    </row>
    <row r="514" spans="2:5">
      <c r="B514" s="102"/>
      <c r="C514" s="58" t="s">
        <v>144</v>
      </c>
      <c r="D514" s="61">
        <v>5</v>
      </c>
      <c r="E514" s="60">
        <v>1E-3</v>
      </c>
    </row>
    <row r="515" spans="2:5">
      <c r="B515" s="102"/>
      <c r="C515" s="58" t="s">
        <v>55</v>
      </c>
      <c r="D515" s="61">
        <v>2</v>
      </c>
      <c r="E515" s="60">
        <v>0</v>
      </c>
    </row>
    <row r="516" spans="2:5">
      <c r="B516" s="102"/>
      <c r="C516" s="58" t="s">
        <v>193</v>
      </c>
      <c r="D516" s="61">
        <v>4</v>
      </c>
      <c r="E516" s="60">
        <v>1E-3</v>
      </c>
    </row>
    <row r="517" spans="2:5">
      <c r="B517" s="102"/>
      <c r="C517" s="58" t="s">
        <v>197</v>
      </c>
      <c r="D517" s="61">
        <v>1</v>
      </c>
      <c r="E517" s="60">
        <v>0</v>
      </c>
    </row>
    <row r="518" spans="2:5">
      <c r="B518" s="102"/>
      <c r="C518" s="58" t="s">
        <v>206</v>
      </c>
      <c r="D518" s="61">
        <v>1</v>
      </c>
      <c r="E518" s="60">
        <v>0</v>
      </c>
    </row>
    <row r="519" spans="2:5">
      <c r="B519" s="103"/>
      <c r="C519" s="75" t="s">
        <v>324</v>
      </c>
      <c r="D519" s="76">
        <v>51</v>
      </c>
      <c r="E519" s="72">
        <v>8.0000000000000002E-3</v>
      </c>
    </row>
    <row r="520" spans="2:5">
      <c r="B520" s="101" t="s">
        <v>47</v>
      </c>
      <c r="C520" s="58" t="s">
        <v>146</v>
      </c>
      <c r="D520" s="61">
        <v>93</v>
      </c>
      <c r="E520" s="60">
        <v>1.4E-2</v>
      </c>
    </row>
    <row r="521" spans="2:5">
      <c r="B521" s="102"/>
      <c r="C521" s="58" t="s">
        <v>147</v>
      </c>
      <c r="D521" s="61">
        <v>32</v>
      </c>
      <c r="E521" s="60">
        <v>5.0000000000000001E-3</v>
      </c>
    </row>
    <row r="522" spans="2:5">
      <c r="B522" s="102"/>
      <c r="C522" s="58" t="s">
        <v>148</v>
      </c>
      <c r="D522" s="61">
        <v>3</v>
      </c>
      <c r="E522" s="60">
        <v>0</v>
      </c>
    </row>
    <row r="523" spans="2:5">
      <c r="B523" s="102"/>
      <c r="C523" s="58" t="s">
        <v>207</v>
      </c>
      <c r="D523" s="61">
        <v>2</v>
      </c>
      <c r="E523" s="60">
        <v>0</v>
      </c>
    </row>
    <row r="524" spans="2:5">
      <c r="B524" s="102"/>
      <c r="C524" s="58" t="s">
        <v>149</v>
      </c>
      <c r="D524" s="61">
        <v>2</v>
      </c>
      <c r="E524" s="60">
        <v>0</v>
      </c>
    </row>
    <row r="525" spans="2:5">
      <c r="B525" s="102"/>
      <c r="C525" s="58" t="s">
        <v>151</v>
      </c>
      <c r="D525" s="61">
        <v>1</v>
      </c>
      <c r="E525" s="60">
        <v>0</v>
      </c>
    </row>
    <row r="526" spans="2:5">
      <c r="B526" s="102"/>
      <c r="C526" s="58" t="s">
        <v>152</v>
      </c>
      <c r="D526" s="61">
        <v>1</v>
      </c>
      <c r="E526" s="60">
        <v>0</v>
      </c>
    </row>
    <row r="527" spans="2:5">
      <c r="B527" s="102"/>
      <c r="C527" s="58" t="s">
        <v>153</v>
      </c>
      <c r="D527" s="61">
        <v>4</v>
      </c>
      <c r="E527" s="60">
        <v>1E-3</v>
      </c>
    </row>
    <row r="528" spans="2:5">
      <c r="B528" s="102"/>
      <c r="C528" s="58" t="s">
        <v>154</v>
      </c>
      <c r="D528" s="61">
        <v>3</v>
      </c>
      <c r="E528" s="60">
        <v>0</v>
      </c>
    </row>
    <row r="529" spans="2:5">
      <c r="B529" s="102"/>
      <c r="C529" s="58" t="s">
        <v>155</v>
      </c>
      <c r="D529" s="61">
        <v>1</v>
      </c>
      <c r="E529" s="60">
        <v>0</v>
      </c>
    </row>
    <row r="530" spans="2:5">
      <c r="B530" s="102"/>
      <c r="C530" s="58" t="s">
        <v>156</v>
      </c>
      <c r="D530" s="61">
        <v>3</v>
      </c>
      <c r="E530" s="60">
        <v>0</v>
      </c>
    </row>
    <row r="531" spans="2:5">
      <c r="B531" s="102"/>
      <c r="C531" s="58" t="s">
        <v>158</v>
      </c>
      <c r="D531" s="61">
        <v>3</v>
      </c>
      <c r="E531" s="60">
        <v>0</v>
      </c>
    </row>
    <row r="532" spans="2:5">
      <c r="B532" s="102"/>
      <c r="C532" s="58" t="s">
        <v>159</v>
      </c>
      <c r="D532" s="61">
        <v>8</v>
      </c>
      <c r="E532" s="60">
        <v>1E-3</v>
      </c>
    </row>
    <row r="533" spans="2:5">
      <c r="B533" s="102"/>
      <c r="C533" s="58" t="s">
        <v>160</v>
      </c>
      <c r="D533" s="61">
        <v>18</v>
      </c>
      <c r="E533" s="60">
        <v>3.0000000000000001E-3</v>
      </c>
    </row>
    <row r="534" spans="2:5">
      <c r="B534" s="102"/>
      <c r="C534" s="58" t="s">
        <v>161</v>
      </c>
      <c r="D534" s="61">
        <v>116</v>
      </c>
      <c r="E534" s="60">
        <v>1.7000000000000001E-2</v>
      </c>
    </row>
    <row r="535" spans="2:5">
      <c r="B535" s="102"/>
      <c r="C535" s="58" t="s">
        <v>142</v>
      </c>
      <c r="D535" s="61">
        <v>335</v>
      </c>
      <c r="E535" s="60">
        <v>0.05</v>
      </c>
    </row>
    <row r="536" spans="2:5">
      <c r="B536" s="102"/>
      <c r="C536" s="58" t="s">
        <v>162</v>
      </c>
      <c r="D536" s="61">
        <v>34</v>
      </c>
      <c r="E536" s="60">
        <v>5.0000000000000001E-3</v>
      </c>
    </row>
    <row r="537" spans="2:5">
      <c r="B537" s="102"/>
      <c r="C537" s="58" t="s">
        <v>163</v>
      </c>
      <c r="D537" s="61">
        <v>2</v>
      </c>
      <c r="E537" s="60">
        <v>0</v>
      </c>
    </row>
    <row r="538" spans="2:5">
      <c r="B538" s="102"/>
      <c r="C538" s="58" t="s">
        <v>164</v>
      </c>
      <c r="D538" s="61">
        <v>1</v>
      </c>
      <c r="E538" s="60">
        <v>0</v>
      </c>
    </row>
    <row r="539" spans="2:5">
      <c r="B539" s="102"/>
      <c r="C539" s="58" t="s">
        <v>165</v>
      </c>
      <c r="D539" s="61">
        <v>8</v>
      </c>
      <c r="E539" s="60">
        <v>1E-3</v>
      </c>
    </row>
    <row r="540" spans="2:5">
      <c r="B540" s="102"/>
      <c r="C540" s="58" t="s">
        <v>292</v>
      </c>
      <c r="D540" s="61">
        <v>3</v>
      </c>
      <c r="E540" s="60">
        <v>0</v>
      </c>
    </row>
    <row r="541" spans="2:5">
      <c r="B541" s="102"/>
      <c r="C541" s="58" t="s">
        <v>166</v>
      </c>
      <c r="D541" s="61">
        <v>1</v>
      </c>
      <c r="E541" s="60">
        <v>0</v>
      </c>
    </row>
    <row r="542" spans="2:5">
      <c r="B542" s="102"/>
      <c r="C542" s="58" t="s">
        <v>167</v>
      </c>
      <c r="D542" s="61">
        <v>32</v>
      </c>
      <c r="E542" s="60">
        <v>5.0000000000000001E-3</v>
      </c>
    </row>
    <row r="543" spans="2:5">
      <c r="B543" s="102"/>
      <c r="C543" s="58" t="s">
        <v>168</v>
      </c>
      <c r="D543" s="61">
        <v>13</v>
      </c>
      <c r="E543" s="60">
        <v>2E-3</v>
      </c>
    </row>
    <row r="544" spans="2:5">
      <c r="B544" s="102"/>
      <c r="C544" s="58" t="s">
        <v>169</v>
      </c>
      <c r="D544" s="61">
        <v>11</v>
      </c>
      <c r="E544" s="60">
        <v>2E-3</v>
      </c>
    </row>
    <row r="545" spans="2:5">
      <c r="B545" s="102"/>
      <c r="C545" s="58" t="s">
        <v>170</v>
      </c>
      <c r="D545" s="61">
        <v>18</v>
      </c>
      <c r="E545" s="60">
        <v>3.0000000000000001E-3</v>
      </c>
    </row>
    <row r="546" spans="2:5">
      <c r="B546" s="102"/>
      <c r="C546" s="58" t="s">
        <v>171</v>
      </c>
      <c r="D546" s="61">
        <v>1</v>
      </c>
      <c r="E546" s="60">
        <v>0</v>
      </c>
    </row>
    <row r="547" spans="2:5">
      <c r="B547" s="102"/>
      <c r="C547" s="58" t="s">
        <v>172</v>
      </c>
      <c r="D547" s="61">
        <v>128</v>
      </c>
      <c r="E547" s="60">
        <v>1.9E-2</v>
      </c>
    </row>
    <row r="548" spans="2:5">
      <c r="B548" s="102"/>
      <c r="C548" s="58" t="s">
        <v>143</v>
      </c>
      <c r="D548" s="61">
        <v>362</v>
      </c>
      <c r="E548" s="60">
        <v>5.3999999999999999E-2</v>
      </c>
    </row>
    <row r="549" spans="2:5">
      <c r="B549" s="102"/>
      <c r="C549" s="58" t="s">
        <v>173</v>
      </c>
      <c r="D549" s="61">
        <v>3</v>
      </c>
      <c r="E549" s="60">
        <v>0</v>
      </c>
    </row>
    <row r="550" spans="2:5">
      <c r="B550" s="102"/>
      <c r="C550" s="58" t="s">
        <v>174</v>
      </c>
      <c r="D550" s="61">
        <v>33</v>
      </c>
      <c r="E550" s="60">
        <v>5.0000000000000001E-3</v>
      </c>
    </row>
    <row r="551" spans="2:5">
      <c r="B551" s="102"/>
      <c r="C551" s="58" t="s">
        <v>175</v>
      </c>
      <c r="D551" s="61">
        <v>1</v>
      </c>
      <c r="E551" s="60">
        <v>0</v>
      </c>
    </row>
    <row r="552" spans="2:5">
      <c r="B552" s="102"/>
      <c r="C552" s="58" t="s">
        <v>176</v>
      </c>
      <c r="D552" s="61">
        <v>8</v>
      </c>
      <c r="E552" s="60">
        <v>1E-3</v>
      </c>
    </row>
    <row r="553" spans="2:5">
      <c r="B553" s="102"/>
      <c r="C553" s="58" t="s">
        <v>178</v>
      </c>
      <c r="D553" s="61">
        <v>32</v>
      </c>
      <c r="E553" s="60">
        <v>5.0000000000000001E-3</v>
      </c>
    </row>
    <row r="554" spans="2:5">
      <c r="B554" s="102"/>
      <c r="C554" s="58" t="s">
        <v>180</v>
      </c>
      <c r="D554" s="61">
        <v>3</v>
      </c>
      <c r="E554" s="60">
        <v>0</v>
      </c>
    </row>
    <row r="555" spans="2:5">
      <c r="B555" s="102"/>
      <c r="C555" s="58" t="s">
        <v>181</v>
      </c>
      <c r="D555" s="61">
        <v>2</v>
      </c>
      <c r="E555" s="60">
        <v>0</v>
      </c>
    </row>
    <row r="556" spans="2:5">
      <c r="B556" s="102"/>
      <c r="C556" s="58" t="s">
        <v>182</v>
      </c>
      <c r="D556" s="61">
        <v>9</v>
      </c>
      <c r="E556" s="60">
        <v>1E-3</v>
      </c>
    </row>
    <row r="557" spans="2:5">
      <c r="B557" s="102"/>
      <c r="C557" s="58" t="s">
        <v>144</v>
      </c>
      <c r="D557" s="61">
        <v>91</v>
      </c>
      <c r="E557" s="60">
        <v>1.4E-2</v>
      </c>
    </row>
    <row r="558" spans="2:5">
      <c r="B558" s="102"/>
      <c r="C558" s="58" t="s">
        <v>55</v>
      </c>
      <c r="D558" s="61">
        <v>196</v>
      </c>
      <c r="E558" s="60">
        <v>2.9000000000000001E-2</v>
      </c>
    </row>
    <row r="559" spans="2:5">
      <c r="B559" s="102"/>
      <c r="C559" s="58" t="s">
        <v>183</v>
      </c>
      <c r="D559" s="61">
        <v>2</v>
      </c>
      <c r="E559" s="60">
        <v>0</v>
      </c>
    </row>
    <row r="560" spans="2:5">
      <c r="B560" s="102"/>
      <c r="C560" s="58" t="s">
        <v>185</v>
      </c>
      <c r="D560" s="61">
        <v>5</v>
      </c>
      <c r="E560" s="60">
        <v>1E-3</v>
      </c>
    </row>
    <row r="561" spans="2:5">
      <c r="B561" s="102"/>
      <c r="C561" s="58" t="s">
        <v>186</v>
      </c>
      <c r="D561" s="61">
        <v>4</v>
      </c>
      <c r="E561" s="60">
        <v>1E-3</v>
      </c>
    </row>
    <row r="562" spans="2:5">
      <c r="B562" s="102"/>
      <c r="C562" s="58" t="s">
        <v>187</v>
      </c>
      <c r="D562" s="61">
        <v>38</v>
      </c>
      <c r="E562" s="60">
        <v>6.0000000000000001E-3</v>
      </c>
    </row>
    <row r="563" spans="2:5">
      <c r="B563" s="102"/>
      <c r="C563" s="58" t="s">
        <v>188</v>
      </c>
      <c r="D563" s="61">
        <v>3</v>
      </c>
      <c r="E563" s="60">
        <v>0</v>
      </c>
    </row>
    <row r="564" spans="2:5">
      <c r="B564" s="102"/>
      <c r="C564" s="58" t="s">
        <v>190</v>
      </c>
      <c r="D564" s="61">
        <v>5</v>
      </c>
      <c r="E564" s="60">
        <v>1E-3</v>
      </c>
    </row>
    <row r="565" spans="2:5">
      <c r="B565" s="102"/>
      <c r="C565" s="58" t="s">
        <v>191</v>
      </c>
      <c r="D565" s="61">
        <v>10</v>
      </c>
      <c r="E565" s="60">
        <v>1E-3</v>
      </c>
    </row>
    <row r="566" spans="2:5">
      <c r="B566" s="102"/>
      <c r="C566" s="58" t="s">
        <v>192</v>
      </c>
      <c r="D566" s="61">
        <v>5</v>
      </c>
      <c r="E566" s="60">
        <v>1E-3</v>
      </c>
    </row>
    <row r="567" spans="2:5">
      <c r="B567" s="102"/>
      <c r="C567" s="58" t="s">
        <v>193</v>
      </c>
      <c r="D567" s="61">
        <v>92</v>
      </c>
      <c r="E567" s="60">
        <v>1.4E-2</v>
      </c>
    </row>
    <row r="568" spans="2:5">
      <c r="B568" s="102"/>
      <c r="C568" s="58" t="s">
        <v>61</v>
      </c>
      <c r="D568" s="61">
        <v>15</v>
      </c>
      <c r="E568" s="60">
        <v>2E-3</v>
      </c>
    </row>
    <row r="569" spans="2:5">
      <c r="B569" s="102"/>
      <c r="C569" s="58" t="s">
        <v>196</v>
      </c>
      <c r="D569" s="61">
        <v>1</v>
      </c>
      <c r="E569" s="60">
        <v>0</v>
      </c>
    </row>
    <row r="570" spans="2:5">
      <c r="B570" s="102"/>
      <c r="C570" s="58" t="s">
        <v>198</v>
      </c>
      <c r="D570" s="61">
        <v>1</v>
      </c>
      <c r="E570" s="60">
        <v>0</v>
      </c>
    </row>
    <row r="571" spans="2:5">
      <c r="B571" s="102"/>
      <c r="C571" s="58" t="s">
        <v>200</v>
      </c>
      <c r="D571" s="61">
        <v>2</v>
      </c>
      <c r="E571" s="60">
        <v>0</v>
      </c>
    </row>
    <row r="572" spans="2:5">
      <c r="B572" s="102"/>
      <c r="C572" s="58" t="s">
        <v>201</v>
      </c>
      <c r="D572" s="61">
        <v>5</v>
      </c>
      <c r="E572" s="60">
        <v>1E-3</v>
      </c>
    </row>
    <row r="573" spans="2:5">
      <c r="B573" s="102"/>
      <c r="C573" s="58" t="s">
        <v>202</v>
      </c>
      <c r="D573" s="61">
        <v>1</v>
      </c>
      <c r="E573" s="60">
        <v>0</v>
      </c>
    </row>
    <row r="574" spans="2:5">
      <c r="B574" s="102"/>
      <c r="C574" s="58" t="s">
        <v>203</v>
      </c>
      <c r="D574" s="61">
        <v>10</v>
      </c>
      <c r="E574" s="60">
        <v>1E-3</v>
      </c>
    </row>
    <row r="575" spans="2:5">
      <c r="B575" s="102"/>
      <c r="C575" s="58" t="s">
        <v>204</v>
      </c>
      <c r="D575" s="61">
        <v>3</v>
      </c>
      <c r="E575" s="60">
        <v>0</v>
      </c>
    </row>
    <row r="576" spans="2:5">
      <c r="B576" s="102"/>
      <c r="C576" s="58" t="s">
        <v>206</v>
      </c>
      <c r="D576" s="61">
        <v>4</v>
      </c>
      <c r="E576" s="60">
        <v>1E-3</v>
      </c>
    </row>
    <row r="577" spans="2:5">
      <c r="B577" s="103"/>
      <c r="C577" s="75" t="s">
        <v>324</v>
      </c>
      <c r="D577" s="76">
        <v>1823</v>
      </c>
      <c r="E577" s="72">
        <v>0.27100000000000002</v>
      </c>
    </row>
    <row r="578" spans="2:5">
      <c r="B578" s="101" t="s">
        <v>79</v>
      </c>
      <c r="C578" s="58" t="s">
        <v>147</v>
      </c>
      <c r="D578" s="61">
        <v>1</v>
      </c>
      <c r="E578" s="60">
        <v>0</v>
      </c>
    </row>
    <row r="579" spans="2:5">
      <c r="B579" s="102"/>
      <c r="C579" s="58" t="s">
        <v>161</v>
      </c>
      <c r="D579" s="61">
        <v>2</v>
      </c>
      <c r="E579" s="60">
        <v>0</v>
      </c>
    </row>
    <row r="580" spans="2:5">
      <c r="B580" s="102"/>
      <c r="C580" s="58" t="s">
        <v>142</v>
      </c>
      <c r="D580" s="61">
        <v>3</v>
      </c>
      <c r="E580" s="60">
        <v>0</v>
      </c>
    </row>
    <row r="581" spans="2:5">
      <c r="B581" s="102"/>
      <c r="C581" s="58" t="s">
        <v>168</v>
      </c>
      <c r="D581" s="61">
        <v>1</v>
      </c>
      <c r="E581" s="60">
        <v>0</v>
      </c>
    </row>
    <row r="582" spans="2:5">
      <c r="B582" s="102"/>
      <c r="C582" s="58" t="s">
        <v>172</v>
      </c>
      <c r="D582" s="61">
        <v>7</v>
      </c>
      <c r="E582" s="60">
        <v>1E-3</v>
      </c>
    </row>
    <row r="583" spans="2:5">
      <c r="B583" s="102"/>
      <c r="C583" s="58" t="s">
        <v>143</v>
      </c>
      <c r="D583" s="61">
        <v>3</v>
      </c>
      <c r="E583" s="60">
        <v>0</v>
      </c>
    </row>
    <row r="584" spans="2:5">
      <c r="B584" s="102"/>
      <c r="C584" s="58" t="s">
        <v>174</v>
      </c>
      <c r="D584" s="61">
        <v>1</v>
      </c>
      <c r="E584" s="60">
        <v>0</v>
      </c>
    </row>
    <row r="585" spans="2:5">
      <c r="B585" s="102"/>
      <c r="C585" s="58" t="s">
        <v>144</v>
      </c>
      <c r="D585" s="61">
        <v>1</v>
      </c>
      <c r="E585" s="60">
        <v>0</v>
      </c>
    </row>
    <row r="586" spans="2:5">
      <c r="B586" s="102"/>
      <c r="C586" s="58" t="s">
        <v>55</v>
      </c>
      <c r="D586" s="61">
        <v>1</v>
      </c>
      <c r="E586" s="60">
        <v>0</v>
      </c>
    </row>
    <row r="587" spans="2:5">
      <c r="B587" s="102"/>
      <c r="C587" s="58" t="s">
        <v>187</v>
      </c>
      <c r="D587" s="61">
        <v>1</v>
      </c>
      <c r="E587" s="60">
        <v>0</v>
      </c>
    </row>
    <row r="588" spans="2:5">
      <c r="B588" s="102"/>
      <c r="C588" s="58" t="s">
        <v>193</v>
      </c>
      <c r="D588" s="61">
        <v>3</v>
      </c>
      <c r="E588" s="60">
        <v>0</v>
      </c>
    </row>
    <row r="589" spans="2:5">
      <c r="B589" s="102"/>
      <c r="C589" s="58" t="s">
        <v>206</v>
      </c>
      <c r="D589" s="61">
        <v>1</v>
      </c>
      <c r="E589" s="60">
        <v>0</v>
      </c>
    </row>
    <row r="590" spans="2:5">
      <c r="B590" s="103"/>
      <c r="C590" s="75" t="s">
        <v>324</v>
      </c>
      <c r="D590" s="76">
        <v>25</v>
      </c>
      <c r="E590" s="72">
        <v>4.0000000000000001E-3</v>
      </c>
    </row>
    <row r="591" spans="2:5">
      <c r="B591" s="101" t="s">
        <v>90</v>
      </c>
      <c r="C591" s="58" t="s">
        <v>146</v>
      </c>
      <c r="D591" s="61">
        <v>1</v>
      </c>
      <c r="E591" s="60">
        <v>0</v>
      </c>
    </row>
    <row r="592" spans="2:5">
      <c r="B592" s="102"/>
      <c r="C592" s="58" t="s">
        <v>292</v>
      </c>
      <c r="D592" s="61">
        <v>1</v>
      </c>
      <c r="E592" s="60">
        <v>0</v>
      </c>
    </row>
    <row r="593" spans="2:5">
      <c r="B593" s="102"/>
      <c r="C593" s="58" t="s">
        <v>143</v>
      </c>
      <c r="D593" s="61">
        <v>1</v>
      </c>
      <c r="E593" s="60">
        <v>0</v>
      </c>
    </row>
    <row r="594" spans="2:5">
      <c r="B594" s="102"/>
      <c r="C594" s="58" t="s">
        <v>195</v>
      </c>
      <c r="D594" s="61">
        <v>1</v>
      </c>
      <c r="E594" s="60">
        <v>0</v>
      </c>
    </row>
    <row r="595" spans="2:5">
      <c r="B595" s="103"/>
      <c r="C595" s="75" t="s">
        <v>324</v>
      </c>
      <c r="D595" s="76">
        <v>4</v>
      </c>
      <c r="E595" s="72">
        <v>1E-3</v>
      </c>
    </row>
    <row r="596" spans="2:5">
      <c r="B596" s="101" t="s">
        <v>65</v>
      </c>
      <c r="C596" s="58" t="s">
        <v>146</v>
      </c>
      <c r="D596" s="61">
        <v>4</v>
      </c>
      <c r="E596" s="60">
        <v>1E-3</v>
      </c>
    </row>
    <row r="597" spans="2:5">
      <c r="B597" s="102"/>
      <c r="C597" s="58" t="s">
        <v>148</v>
      </c>
      <c r="D597" s="61">
        <v>1</v>
      </c>
      <c r="E597" s="60">
        <v>0</v>
      </c>
    </row>
    <row r="598" spans="2:5">
      <c r="B598" s="102"/>
      <c r="C598" s="58" t="s">
        <v>160</v>
      </c>
      <c r="D598" s="61">
        <v>1</v>
      </c>
      <c r="E598" s="60">
        <v>0</v>
      </c>
    </row>
    <row r="599" spans="2:5">
      <c r="B599" s="102"/>
      <c r="C599" s="58" t="s">
        <v>161</v>
      </c>
      <c r="D599" s="61">
        <v>6</v>
      </c>
      <c r="E599" s="60">
        <v>1E-3</v>
      </c>
    </row>
    <row r="600" spans="2:5">
      <c r="B600" s="102"/>
      <c r="C600" s="58" t="s">
        <v>142</v>
      </c>
      <c r="D600" s="61">
        <v>10</v>
      </c>
      <c r="E600" s="60">
        <v>1E-3</v>
      </c>
    </row>
    <row r="601" spans="2:5">
      <c r="B601" s="102"/>
      <c r="C601" s="58" t="s">
        <v>165</v>
      </c>
      <c r="D601" s="61">
        <v>1</v>
      </c>
      <c r="E601" s="60">
        <v>0</v>
      </c>
    </row>
    <row r="602" spans="2:5">
      <c r="B602" s="102"/>
      <c r="C602" s="58" t="s">
        <v>169</v>
      </c>
      <c r="D602" s="61">
        <v>1</v>
      </c>
      <c r="E602" s="60">
        <v>0</v>
      </c>
    </row>
    <row r="603" spans="2:5">
      <c r="B603" s="102"/>
      <c r="C603" s="58" t="s">
        <v>172</v>
      </c>
      <c r="D603" s="61">
        <v>5</v>
      </c>
      <c r="E603" s="60">
        <v>1E-3</v>
      </c>
    </row>
    <row r="604" spans="2:5">
      <c r="B604" s="102"/>
      <c r="C604" s="58" t="s">
        <v>143</v>
      </c>
      <c r="D604" s="61">
        <v>12</v>
      </c>
      <c r="E604" s="60">
        <v>2E-3</v>
      </c>
    </row>
    <row r="605" spans="2:5">
      <c r="B605" s="102"/>
      <c r="C605" s="58" t="s">
        <v>174</v>
      </c>
      <c r="D605" s="61">
        <v>3</v>
      </c>
      <c r="E605" s="60">
        <v>0</v>
      </c>
    </row>
    <row r="606" spans="2:5">
      <c r="B606" s="102"/>
      <c r="C606" s="58" t="s">
        <v>293</v>
      </c>
      <c r="D606" s="61">
        <v>2</v>
      </c>
      <c r="E606" s="60">
        <v>0</v>
      </c>
    </row>
    <row r="607" spans="2:5">
      <c r="B607" s="102"/>
      <c r="C607" s="58" t="s">
        <v>144</v>
      </c>
      <c r="D607" s="61">
        <v>5</v>
      </c>
      <c r="E607" s="60">
        <v>1E-3</v>
      </c>
    </row>
    <row r="608" spans="2:5">
      <c r="B608" s="102"/>
      <c r="C608" s="58" t="s">
        <v>55</v>
      </c>
      <c r="D608" s="61">
        <v>1</v>
      </c>
      <c r="E608" s="60">
        <v>0</v>
      </c>
    </row>
    <row r="609" spans="2:5">
      <c r="B609" s="102"/>
      <c r="C609" s="58" t="s">
        <v>192</v>
      </c>
      <c r="D609" s="61">
        <v>1</v>
      </c>
      <c r="E609" s="60">
        <v>0</v>
      </c>
    </row>
    <row r="610" spans="2:5">
      <c r="B610" s="102"/>
      <c r="C610" s="58" t="s">
        <v>193</v>
      </c>
      <c r="D610" s="61">
        <v>3</v>
      </c>
      <c r="E610" s="60">
        <v>0</v>
      </c>
    </row>
    <row r="611" spans="2:5">
      <c r="B611" s="103"/>
      <c r="C611" s="75" t="s">
        <v>324</v>
      </c>
      <c r="D611" s="76">
        <v>56</v>
      </c>
      <c r="E611" s="72">
        <v>8.0000000000000002E-3</v>
      </c>
    </row>
    <row r="612" spans="2:5">
      <c r="B612" s="101" t="s">
        <v>57</v>
      </c>
      <c r="C612" s="58" t="s">
        <v>145</v>
      </c>
      <c r="D612" s="61">
        <v>1</v>
      </c>
      <c r="E612" s="60">
        <v>0</v>
      </c>
    </row>
    <row r="613" spans="2:5">
      <c r="B613" s="102"/>
      <c r="C613" s="58" t="s">
        <v>150</v>
      </c>
      <c r="D613" s="61">
        <v>1</v>
      </c>
      <c r="E613" s="60">
        <v>0</v>
      </c>
    </row>
    <row r="614" spans="2:5">
      <c r="B614" s="102"/>
      <c r="C614" s="58" t="s">
        <v>161</v>
      </c>
      <c r="D614" s="61">
        <v>8</v>
      </c>
      <c r="E614" s="60">
        <v>1E-3</v>
      </c>
    </row>
    <row r="615" spans="2:5">
      <c r="B615" s="102"/>
      <c r="C615" s="58" t="s">
        <v>142</v>
      </c>
      <c r="D615" s="61">
        <v>34</v>
      </c>
      <c r="E615" s="60">
        <v>5.0000000000000001E-3</v>
      </c>
    </row>
    <row r="616" spans="2:5">
      <c r="B616" s="102"/>
      <c r="C616" s="58" t="s">
        <v>292</v>
      </c>
      <c r="D616" s="61">
        <v>1</v>
      </c>
      <c r="E616" s="60">
        <v>0</v>
      </c>
    </row>
    <row r="617" spans="2:5">
      <c r="B617" s="102"/>
      <c r="C617" s="58" t="s">
        <v>166</v>
      </c>
      <c r="D617" s="61">
        <v>1</v>
      </c>
      <c r="E617" s="60">
        <v>0</v>
      </c>
    </row>
    <row r="618" spans="2:5">
      <c r="B618" s="102"/>
      <c r="C618" s="58" t="s">
        <v>167</v>
      </c>
      <c r="D618" s="61">
        <v>3</v>
      </c>
      <c r="E618" s="60">
        <v>0</v>
      </c>
    </row>
    <row r="619" spans="2:5">
      <c r="B619" s="102"/>
      <c r="C619" s="58" t="s">
        <v>168</v>
      </c>
      <c r="D619" s="61">
        <v>2</v>
      </c>
      <c r="E619" s="60">
        <v>0</v>
      </c>
    </row>
    <row r="620" spans="2:5">
      <c r="B620" s="102"/>
      <c r="C620" s="58" t="s">
        <v>172</v>
      </c>
      <c r="D620" s="61">
        <v>8</v>
      </c>
      <c r="E620" s="60">
        <v>1E-3</v>
      </c>
    </row>
    <row r="621" spans="2:5">
      <c r="B621" s="102"/>
      <c r="C621" s="58" t="s">
        <v>143</v>
      </c>
      <c r="D621" s="61">
        <v>24</v>
      </c>
      <c r="E621" s="60">
        <v>4.0000000000000001E-3</v>
      </c>
    </row>
    <row r="622" spans="2:5">
      <c r="B622" s="102"/>
      <c r="C622" s="58" t="s">
        <v>174</v>
      </c>
      <c r="D622" s="61">
        <v>4</v>
      </c>
      <c r="E622" s="60">
        <v>1E-3</v>
      </c>
    </row>
    <row r="623" spans="2:5">
      <c r="B623" s="102"/>
      <c r="C623" s="58" t="s">
        <v>181</v>
      </c>
      <c r="D623" s="61">
        <v>1</v>
      </c>
      <c r="E623" s="60">
        <v>0</v>
      </c>
    </row>
    <row r="624" spans="2:5">
      <c r="B624" s="102"/>
      <c r="C624" s="58" t="s">
        <v>144</v>
      </c>
      <c r="D624" s="61">
        <v>6</v>
      </c>
      <c r="E624" s="60">
        <v>1E-3</v>
      </c>
    </row>
    <row r="625" spans="2:5">
      <c r="B625" s="102"/>
      <c r="C625" s="58" t="s">
        <v>55</v>
      </c>
      <c r="D625" s="61">
        <v>9</v>
      </c>
      <c r="E625" s="60">
        <v>1E-3</v>
      </c>
    </row>
    <row r="626" spans="2:5">
      <c r="B626" s="102"/>
      <c r="C626" s="58" t="s">
        <v>186</v>
      </c>
      <c r="D626" s="61">
        <v>1</v>
      </c>
      <c r="E626" s="60">
        <v>0</v>
      </c>
    </row>
    <row r="627" spans="2:5">
      <c r="B627" s="102"/>
      <c r="C627" s="58" t="s">
        <v>187</v>
      </c>
      <c r="D627" s="61">
        <v>2</v>
      </c>
      <c r="E627" s="60">
        <v>0</v>
      </c>
    </row>
    <row r="628" spans="2:5">
      <c r="B628" s="102"/>
      <c r="C628" s="58" t="s">
        <v>190</v>
      </c>
      <c r="D628" s="61">
        <v>1</v>
      </c>
      <c r="E628" s="60">
        <v>0</v>
      </c>
    </row>
    <row r="629" spans="2:5">
      <c r="B629" s="102"/>
      <c r="C629" s="58" t="s">
        <v>193</v>
      </c>
      <c r="D629" s="61">
        <v>9</v>
      </c>
      <c r="E629" s="60">
        <v>1E-3</v>
      </c>
    </row>
    <row r="630" spans="2:5">
      <c r="B630" s="102"/>
      <c r="C630" s="58" t="s">
        <v>194</v>
      </c>
      <c r="D630" s="61">
        <v>2</v>
      </c>
      <c r="E630" s="60">
        <v>0</v>
      </c>
    </row>
    <row r="631" spans="2:5">
      <c r="B631" s="103"/>
      <c r="C631" s="75" t="s">
        <v>324</v>
      </c>
      <c r="D631" s="76">
        <v>118</v>
      </c>
      <c r="E631" s="72">
        <v>1.7999999999999999E-2</v>
      </c>
    </row>
    <row r="632" spans="2:5">
      <c r="B632" s="101" t="s">
        <v>72</v>
      </c>
      <c r="C632" s="58" t="s">
        <v>146</v>
      </c>
      <c r="D632" s="61">
        <v>1</v>
      </c>
      <c r="E632" s="60">
        <v>0</v>
      </c>
    </row>
    <row r="633" spans="2:5">
      <c r="B633" s="102"/>
      <c r="C633" s="58" t="s">
        <v>147</v>
      </c>
      <c r="D633" s="61">
        <v>1</v>
      </c>
      <c r="E633" s="60">
        <v>0</v>
      </c>
    </row>
    <row r="634" spans="2:5">
      <c r="B634" s="102"/>
      <c r="C634" s="58" t="s">
        <v>142</v>
      </c>
      <c r="D634" s="61">
        <v>7</v>
      </c>
      <c r="E634" s="60">
        <v>1E-3</v>
      </c>
    </row>
    <row r="635" spans="2:5">
      <c r="B635" s="102"/>
      <c r="C635" s="58" t="s">
        <v>162</v>
      </c>
      <c r="D635" s="61">
        <v>2</v>
      </c>
      <c r="E635" s="60">
        <v>0</v>
      </c>
    </row>
    <row r="636" spans="2:5">
      <c r="B636" s="102"/>
      <c r="C636" s="58" t="s">
        <v>167</v>
      </c>
      <c r="D636" s="61">
        <v>2</v>
      </c>
      <c r="E636" s="60">
        <v>0</v>
      </c>
    </row>
    <row r="637" spans="2:5">
      <c r="B637" s="102"/>
      <c r="C637" s="58" t="s">
        <v>168</v>
      </c>
      <c r="D637" s="61">
        <v>1</v>
      </c>
      <c r="E637" s="60">
        <v>0</v>
      </c>
    </row>
    <row r="638" spans="2:5">
      <c r="B638" s="102"/>
      <c r="C638" s="58" t="s">
        <v>172</v>
      </c>
      <c r="D638" s="61">
        <v>2</v>
      </c>
      <c r="E638" s="60">
        <v>0</v>
      </c>
    </row>
    <row r="639" spans="2:5">
      <c r="B639" s="102"/>
      <c r="C639" s="58" t="s">
        <v>143</v>
      </c>
      <c r="D639" s="61">
        <v>2</v>
      </c>
      <c r="E639" s="60">
        <v>0</v>
      </c>
    </row>
    <row r="640" spans="2:5">
      <c r="B640" s="102"/>
      <c r="C640" s="58" t="s">
        <v>182</v>
      </c>
      <c r="D640" s="61">
        <v>2</v>
      </c>
      <c r="E640" s="60">
        <v>0</v>
      </c>
    </row>
    <row r="641" spans="2:5">
      <c r="B641" s="102"/>
      <c r="C641" s="58" t="s">
        <v>144</v>
      </c>
      <c r="D641" s="61">
        <v>2</v>
      </c>
      <c r="E641" s="60">
        <v>0</v>
      </c>
    </row>
    <row r="642" spans="2:5">
      <c r="B642" s="102"/>
      <c r="C642" s="58" t="s">
        <v>55</v>
      </c>
      <c r="D642" s="61">
        <v>4</v>
      </c>
      <c r="E642" s="60">
        <v>1E-3</v>
      </c>
    </row>
    <row r="643" spans="2:5">
      <c r="B643" s="102"/>
      <c r="C643" s="58" t="s">
        <v>183</v>
      </c>
      <c r="D643" s="61">
        <v>1</v>
      </c>
      <c r="E643" s="60">
        <v>0</v>
      </c>
    </row>
    <row r="644" spans="2:5">
      <c r="B644" s="102"/>
      <c r="C644" s="58" t="s">
        <v>187</v>
      </c>
      <c r="D644" s="61">
        <v>3</v>
      </c>
      <c r="E644" s="60">
        <v>0</v>
      </c>
    </row>
    <row r="645" spans="2:5">
      <c r="B645" s="102"/>
      <c r="C645" s="58" t="s">
        <v>193</v>
      </c>
      <c r="D645" s="61">
        <v>7</v>
      </c>
      <c r="E645" s="60">
        <v>1E-3</v>
      </c>
    </row>
    <row r="646" spans="2:5">
      <c r="B646" s="102"/>
      <c r="C646" s="58" t="s">
        <v>206</v>
      </c>
      <c r="D646" s="61">
        <v>1</v>
      </c>
      <c r="E646" s="60">
        <v>0</v>
      </c>
    </row>
    <row r="647" spans="2:5">
      <c r="B647" s="103"/>
      <c r="C647" s="75" t="s">
        <v>324</v>
      </c>
      <c r="D647" s="76">
        <v>38</v>
      </c>
      <c r="E647" s="72">
        <v>6.0000000000000001E-3</v>
      </c>
    </row>
    <row r="648" spans="2:5">
      <c r="B648" s="101" t="s">
        <v>63</v>
      </c>
      <c r="C648" s="58" t="s">
        <v>146</v>
      </c>
      <c r="D648" s="61">
        <v>8</v>
      </c>
      <c r="E648" s="60">
        <v>1E-3</v>
      </c>
    </row>
    <row r="649" spans="2:5">
      <c r="B649" s="102"/>
      <c r="C649" s="58" t="s">
        <v>147</v>
      </c>
      <c r="D649" s="61">
        <v>2</v>
      </c>
      <c r="E649" s="60">
        <v>0</v>
      </c>
    </row>
    <row r="650" spans="2:5">
      <c r="B650" s="102"/>
      <c r="C650" s="58" t="s">
        <v>148</v>
      </c>
      <c r="D650" s="61">
        <v>1</v>
      </c>
      <c r="E650" s="60">
        <v>0</v>
      </c>
    </row>
    <row r="651" spans="2:5">
      <c r="B651" s="102"/>
      <c r="C651" s="58" t="s">
        <v>152</v>
      </c>
      <c r="D651" s="61">
        <v>1</v>
      </c>
      <c r="E651" s="60">
        <v>0</v>
      </c>
    </row>
    <row r="652" spans="2:5">
      <c r="B652" s="102"/>
      <c r="C652" s="58" t="s">
        <v>153</v>
      </c>
      <c r="D652" s="61">
        <v>1</v>
      </c>
      <c r="E652" s="60">
        <v>0</v>
      </c>
    </row>
    <row r="653" spans="2:5">
      <c r="B653" s="102"/>
      <c r="C653" s="58" t="s">
        <v>156</v>
      </c>
      <c r="D653" s="61">
        <v>4</v>
      </c>
      <c r="E653" s="60">
        <v>1E-3</v>
      </c>
    </row>
    <row r="654" spans="2:5">
      <c r="B654" s="102"/>
      <c r="C654" s="58" t="s">
        <v>157</v>
      </c>
      <c r="D654" s="61">
        <v>1</v>
      </c>
      <c r="E654" s="60">
        <v>0</v>
      </c>
    </row>
    <row r="655" spans="2:5">
      <c r="B655" s="102"/>
      <c r="C655" s="58" t="s">
        <v>161</v>
      </c>
      <c r="D655" s="61">
        <v>11</v>
      </c>
      <c r="E655" s="60">
        <v>2E-3</v>
      </c>
    </row>
    <row r="656" spans="2:5">
      <c r="B656" s="102"/>
      <c r="C656" s="58" t="s">
        <v>142</v>
      </c>
      <c r="D656" s="61">
        <v>19</v>
      </c>
      <c r="E656" s="60">
        <v>3.0000000000000001E-3</v>
      </c>
    </row>
    <row r="657" spans="2:5">
      <c r="B657" s="102"/>
      <c r="C657" s="58" t="s">
        <v>162</v>
      </c>
      <c r="D657" s="61">
        <v>1</v>
      </c>
      <c r="E657" s="60">
        <v>0</v>
      </c>
    </row>
    <row r="658" spans="2:5">
      <c r="B658" s="102"/>
      <c r="C658" s="58" t="s">
        <v>163</v>
      </c>
      <c r="D658" s="61">
        <v>1</v>
      </c>
      <c r="E658" s="60">
        <v>0</v>
      </c>
    </row>
    <row r="659" spans="2:5">
      <c r="B659" s="102"/>
      <c r="C659" s="58" t="s">
        <v>165</v>
      </c>
      <c r="D659" s="61">
        <v>1</v>
      </c>
      <c r="E659" s="60">
        <v>0</v>
      </c>
    </row>
    <row r="660" spans="2:5">
      <c r="B660" s="102"/>
      <c r="C660" s="58" t="s">
        <v>292</v>
      </c>
      <c r="D660" s="61">
        <v>1</v>
      </c>
      <c r="E660" s="60">
        <v>0</v>
      </c>
    </row>
    <row r="661" spans="2:5">
      <c r="B661" s="102"/>
      <c r="C661" s="58" t="s">
        <v>172</v>
      </c>
      <c r="D661" s="61">
        <v>5</v>
      </c>
      <c r="E661" s="60">
        <v>1E-3</v>
      </c>
    </row>
    <row r="662" spans="2:5">
      <c r="B662" s="102"/>
      <c r="C662" s="58" t="s">
        <v>143</v>
      </c>
      <c r="D662" s="61">
        <v>21</v>
      </c>
      <c r="E662" s="60">
        <v>3.0000000000000001E-3</v>
      </c>
    </row>
    <row r="663" spans="2:5">
      <c r="B663" s="102"/>
      <c r="C663" s="58" t="s">
        <v>174</v>
      </c>
      <c r="D663" s="61">
        <v>4</v>
      </c>
      <c r="E663" s="60">
        <v>1E-3</v>
      </c>
    </row>
    <row r="664" spans="2:5">
      <c r="B664" s="102"/>
      <c r="C664" s="58" t="s">
        <v>177</v>
      </c>
      <c r="D664" s="61">
        <v>1</v>
      </c>
      <c r="E664" s="60">
        <v>0</v>
      </c>
    </row>
    <row r="665" spans="2:5">
      <c r="B665" s="102"/>
      <c r="C665" s="58" t="s">
        <v>182</v>
      </c>
      <c r="D665" s="61">
        <v>2</v>
      </c>
      <c r="E665" s="60">
        <v>0</v>
      </c>
    </row>
    <row r="666" spans="2:5">
      <c r="B666" s="102"/>
      <c r="C666" s="58" t="s">
        <v>144</v>
      </c>
      <c r="D666" s="61">
        <v>4</v>
      </c>
      <c r="E666" s="60">
        <v>1E-3</v>
      </c>
    </row>
    <row r="667" spans="2:5">
      <c r="B667" s="102"/>
      <c r="C667" s="58" t="s">
        <v>55</v>
      </c>
      <c r="D667" s="61">
        <v>6</v>
      </c>
      <c r="E667" s="60">
        <v>1E-3</v>
      </c>
    </row>
    <row r="668" spans="2:5">
      <c r="B668" s="102"/>
      <c r="C668" s="58" t="s">
        <v>187</v>
      </c>
      <c r="D668" s="61">
        <v>1</v>
      </c>
      <c r="E668" s="60">
        <v>0</v>
      </c>
    </row>
    <row r="669" spans="2:5">
      <c r="B669" s="102"/>
      <c r="C669" s="58" t="s">
        <v>191</v>
      </c>
      <c r="D669" s="61">
        <v>2</v>
      </c>
      <c r="E669" s="60">
        <v>0</v>
      </c>
    </row>
    <row r="670" spans="2:5">
      <c r="B670" s="102"/>
      <c r="C670" s="58" t="s">
        <v>192</v>
      </c>
      <c r="D670" s="61">
        <v>1</v>
      </c>
      <c r="E670" s="60">
        <v>0</v>
      </c>
    </row>
    <row r="671" spans="2:5">
      <c r="B671" s="102"/>
      <c r="C671" s="58" t="s">
        <v>193</v>
      </c>
      <c r="D671" s="61">
        <v>9</v>
      </c>
      <c r="E671" s="60">
        <v>1E-3</v>
      </c>
    </row>
    <row r="672" spans="2:5">
      <c r="B672" s="102"/>
      <c r="C672" s="58" t="s">
        <v>195</v>
      </c>
      <c r="D672" s="61">
        <v>1</v>
      </c>
      <c r="E672" s="60">
        <v>0</v>
      </c>
    </row>
    <row r="673" spans="2:5">
      <c r="B673" s="102"/>
      <c r="C673" s="58" t="s">
        <v>61</v>
      </c>
      <c r="D673" s="61">
        <v>2</v>
      </c>
      <c r="E673" s="60">
        <v>0</v>
      </c>
    </row>
    <row r="674" spans="2:5">
      <c r="B674" s="102"/>
      <c r="C674" s="58" t="s">
        <v>203</v>
      </c>
      <c r="D674" s="61">
        <v>1</v>
      </c>
      <c r="E674" s="60">
        <v>0</v>
      </c>
    </row>
    <row r="675" spans="2:5">
      <c r="B675" s="103"/>
      <c r="C675" s="75" t="s">
        <v>324</v>
      </c>
      <c r="D675" s="76">
        <v>112</v>
      </c>
      <c r="E675" s="72">
        <v>1.7000000000000001E-2</v>
      </c>
    </row>
    <row r="676" spans="2:5">
      <c r="B676" s="101" t="s">
        <v>83</v>
      </c>
      <c r="C676" s="58" t="s">
        <v>146</v>
      </c>
      <c r="D676" s="61">
        <v>3</v>
      </c>
      <c r="E676" s="60">
        <v>0</v>
      </c>
    </row>
    <row r="677" spans="2:5">
      <c r="B677" s="102"/>
      <c r="C677" s="58" t="s">
        <v>149</v>
      </c>
      <c r="D677" s="61">
        <v>1</v>
      </c>
      <c r="E677" s="60">
        <v>0</v>
      </c>
    </row>
    <row r="678" spans="2:5">
      <c r="B678" s="102"/>
      <c r="C678" s="58" t="s">
        <v>160</v>
      </c>
      <c r="D678" s="61">
        <v>1</v>
      </c>
      <c r="E678" s="60">
        <v>0</v>
      </c>
    </row>
    <row r="679" spans="2:5">
      <c r="B679" s="102"/>
      <c r="C679" s="58" t="s">
        <v>142</v>
      </c>
      <c r="D679" s="61">
        <v>3</v>
      </c>
      <c r="E679" s="60">
        <v>0</v>
      </c>
    </row>
    <row r="680" spans="2:5">
      <c r="B680" s="102"/>
      <c r="C680" s="58" t="s">
        <v>172</v>
      </c>
      <c r="D680" s="61">
        <v>2</v>
      </c>
      <c r="E680" s="60">
        <v>0</v>
      </c>
    </row>
    <row r="681" spans="2:5">
      <c r="B681" s="102"/>
      <c r="C681" s="58" t="s">
        <v>143</v>
      </c>
      <c r="D681" s="61">
        <v>5</v>
      </c>
      <c r="E681" s="60">
        <v>1E-3</v>
      </c>
    </row>
    <row r="682" spans="2:5">
      <c r="B682" s="102"/>
      <c r="C682" s="58" t="s">
        <v>174</v>
      </c>
      <c r="D682" s="61">
        <v>1</v>
      </c>
      <c r="E682" s="60">
        <v>0</v>
      </c>
    </row>
    <row r="683" spans="2:5">
      <c r="B683" s="102"/>
      <c r="C683" s="58" t="s">
        <v>55</v>
      </c>
      <c r="D683" s="61">
        <v>1</v>
      </c>
      <c r="E683" s="60">
        <v>0</v>
      </c>
    </row>
    <row r="684" spans="2:5">
      <c r="B684" s="102"/>
      <c r="C684" s="58" t="s">
        <v>194</v>
      </c>
      <c r="D684" s="61">
        <v>1</v>
      </c>
      <c r="E684" s="60">
        <v>0</v>
      </c>
    </row>
    <row r="685" spans="2:5">
      <c r="B685" s="103"/>
      <c r="C685" s="75" t="s">
        <v>324</v>
      </c>
      <c r="D685" s="76">
        <v>18</v>
      </c>
      <c r="E685" s="72">
        <v>3.0000000000000001E-3</v>
      </c>
    </row>
    <row r="686" spans="2:5">
      <c r="B686" s="101" t="s">
        <v>51</v>
      </c>
      <c r="C686" s="58" t="s">
        <v>146</v>
      </c>
      <c r="D686" s="61">
        <v>2</v>
      </c>
      <c r="E686" s="60">
        <v>0</v>
      </c>
    </row>
    <row r="687" spans="2:5">
      <c r="B687" s="102"/>
      <c r="C687" s="58" t="s">
        <v>147</v>
      </c>
      <c r="D687" s="61">
        <v>4</v>
      </c>
      <c r="E687" s="60">
        <v>1E-3</v>
      </c>
    </row>
    <row r="688" spans="2:5">
      <c r="B688" s="102"/>
      <c r="C688" s="58" t="s">
        <v>148</v>
      </c>
      <c r="D688" s="61">
        <v>1</v>
      </c>
      <c r="E688" s="60">
        <v>0</v>
      </c>
    </row>
    <row r="689" spans="2:5">
      <c r="B689" s="102"/>
      <c r="C689" s="58" t="s">
        <v>149</v>
      </c>
      <c r="D689" s="61">
        <v>1</v>
      </c>
      <c r="E689" s="60">
        <v>0</v>
      </c>
    </row>
    <row r="690" spans="2:5">
      <c r="B690" s="102"/>
      <c r="C690" s="58" t="s">
        <v>151</v>
      </c>
      <c r="D690" s="61">
        <v>1</v>
      </c>
      <c r="E690" s="60">
        <v>0</v>
      </c>
    </row>
    <row r="691" spans="2:5">
      <c r="B691" s="102"/>
      <c r="C691" s="58" t="s">
        <v>158</v>
      </c>
      <c r="D691" s="61">
        <v>2</v>
      </c>
      <c r="E691" s="60">
        <v>0</v>
      </c>
    </row>
    <row r="692" spans="2:5">
      <c r="B692" s="102"/>
      <c r="C692" s="58" t="s">
        <v>159</v>
      </c>
      <c r="D692" s="61">
        <v>1</v>
      </c>
      <c r="E692" s="60">
        <v>0</v>
      </c>
    </row>
    <row r="693" spans="2:5">
      <c r="B693" s="102"/>
      <c r="C693" s="58" t="s">
        <v>160</v>
      </c>
      <c r="D693" s="61">
        <v>2</v>
      </c>
      <c r="E693" s="60">
        <v>0</v>
      </c>
    </row>
    <row r="694" spans="2:5">
      <c r="B694" s="102"/>
      <c r="C694" s="58" t="s">
        <v>161</v>
      </c>
      <c r="D694" s="61">
        <v>13</v>
      </c>
      <c r="E694" s="60">
        <v>2E-3</v>
      </c>
    </row>
    <row r="695" spans="2:5">
      <c r="B695" s="102"/>
      <c r="C695" s="58" t="s">
        <v>142</v>
      </c>
      <c r="D695" s="61">
        <v>53</v>
      </c>
      <c r="E695" s="60">
        <v>8.0000000000000002E-3</v>
      </c>
    </row>
    <row r="696" spans="2:5">
      <c r="B696" s="102"/>
      <c r="C696" s="58" t="s">
        <v>162</v>
      </c>
      <c r="D696" s="61">
        <v>2</v>
      </c>
      <c r="E696" s="60">
        <v>0</v>
      </c>
    </row>
    <row r="697" spans="2:5">
      <c r="B697" s="102"/>
      <c r="C697" s="58" t="s">
        <v>165</v>
      </c>
      <c r="D697" s="61">
        <v>1</v>
      </c>
      <c r="E697" s="60">
        <v>0</v>
      </c>
    </row>
    <row r="698" spans="2:5">
      <c r="B698" s="102"/>
      <c r="C698" s="58" t="s">
        <v>292</v>
      </c>
      <c r="D698" s="61">
        <v>1</v>
      </c>
      <c r="E698" s="60">
        <v>0</v>
      </c>
    </row>
    <row r="699" spans="2:5">
      <c r="B699" s="102"/>
      <c r="C699" s="58" t="s">
        <v>167</v>
      </c>
      <c r="D699" s="61">
        <v>5</v>
      </c>
      <c r="E699" s="60">
        <v>1E-3</v>
      </c>
    </row>
    <row r="700" spans="2:5">
      <c r="B700" s="102"/>
      <c r="C700" s="58" t="s">
        <v>168</v>
      </c>
      <c r="D700" s="61">
        <v>7</v>
      </c>
      <c r="E700" s="60">
        <v>1E-3</v>
      </c>
    </row>
    <row r="701" spans="2:5">
      <c r="B701" s="102"/>
      <c r="C701" s="58" t="s">
        <v>169</v>
      </c>
      <c r="D701" s="61">
        <v>1</v>
      </c>
      <c r="E701" s="60">
        <v>0</v>
      </c>
    </row>
    <row r="702" spans="2:5">
      <c r="B702" s="102"/>
      <c r="C702" s="58" t="s">
        <v>170</v>
      </c>
      <c r="D702" s="61">
        <v>1</v>
      </c>
      <c r="E702" s="60">
        <v>0</v>
      </c>
    </row>
    <row r="703" spans="2:5">
      <c r="B703" s="102"/>
      <c r="C703" s="58" t="s">
        <v>172</v>
      </c>
      <c r="D703" s="61">
        <v>26</v>
      </c>
      <c r="E703" s="60">
        <v>4.0000000000000001E-3</v>
      </c>
    </row>
    <row r="704" spans="2:5">
      <c r="B704" s="102"/>
      <c r="C704" s="58" t="s">
        <v>143</v>
      </c>
      <c r="D704" s="61">
        <v>57</v>
      </c>
      <c r="E704" s="60">
        <v>8.0000000000000002E-3</v>
      </c>
    </row>
    <row r="705" spans="2:5">
      <c r="B705" s="102"/>
      <c r="C705" s="58" t="s">
        <v>174</v>
      </c>
      <c r="D705" s="61">
        <v>10</v>
      </c>
      <c r="E705" s="60">
        <v>1E-3</v>
      </c>
    </row>
    <row r="706" spans="2:5">
      <c r="B706" s="102"/>
      <c r="C706" s="58" t="s">
        <v>175</v>
      </c>
      <c r="D706" s="61">
        <v>1</v>
      </c>
      <c r="E706" s="60">
        <v>0</v>
      </c>
    </row>
    <row r="707" spans="2:5">
      <c r="B707" s="102"/>
      <c r="C707" s="58" t="s">
        <v>176</v>
      </c>
      <c r="D707" s="61">
        <v>1</v>
      </c>
      <c r="E707" s="60">
        <v>0</v>
      </c>
    </row>
    <row r="708" spans="2:5">
      <c r="B708" s="102"/>
      <c r="C708" s="58" t="s">
        <v>178</v>
      </c>
      <c r="D708" s="61">
        <v>2</v>
      </c>
      <c r="E708" s="60">
        <v>0</v>
      </c>
    </row>
    <row r="709" spans="2:5">
      <c r="B709" s="102"/>
      <c r="C709" s="58" t="s">
        <v>180</v>
      </c>
      <c r="D709" s="61">
        <v>1</v>
      </c>
      <c r="E709" s="60">
        <v>0</v>
      </c>
    </row>
    <row r="710" spans="2:5">
      <c r="B710" s="102"/>
      <c r="C710" s="58" t="s">
        <v>182</v>
      </c>
      <c r="D710" s="61">
        <v>2</v>
      </c>
      <c r="E710" s="60">
        <v>0</v>
      </c>
    </row>
    <row r="711" spans="2:5">
      <c r="B711" s="102"/>
      <c r="C711" s="58" t="s">
        <v>144</v>
      </c>
      <c r="D711" s="61">
        <v>17</v>
      </c>
      <c r="E711" s="60">
        <v>3.0000000000000001E-3</v>
      </c>
    </row>
    <row r="712" spans="2:5">
      <c r="B712" s="102"/>
      <c r="C712" s="58" t="s">
        <v>55</v>
      </c>
      <c r="D712" s="61">
        <v>15</v>
      </c>
      <c r="E712" s="60">
        <v>2E-3</v>
      </c>
    </row>
    <row r="713" spans="2:5">
      <c r="B713" s="102"/>
      <c r="C713" s="58" t="s">
        <v>186</v>
      </c>
      <c r="D713" s="61">
        <v>1</v>
      </c>
      <c r="E713" s="60">
        <v>0</v>
      </c>
    </row>
    <row r="714" spans="2:5">
      <c r="B714" s="102"/>
      <c r="C714" s="58" t="s">
        <v>187</v>
      </c>
      <c r="D714" s="61">
        <v>5</v>
      </c>
      <c r="E714" s="60">
        <v>1E-3</v>
      </c>
    </row>
    <row r="715" spans="2:5">
      <c r="B715" s="102"/>
      <c r="C715" s="58" t="s">
        <v>190</v>
      </c>
      <c r="D715" s="61">
        <v>2</v>
      </c>
      <c r="E715" s="60">
        <v>0</v>
      </c>
    </row>
    <row r="716" spans="2:5">
      <c r="B716" s="102"/>
      <c r="C716" s="58" t="s">
        <v>192</v>
      </c>
      <c r="D716" s="61">
        <v>1</v>
      </c>
      <c r="E716" s="60">
        <v>0</v>
      </c>
    </row>
    <row r="717" spans="2:5">
      <c r="B717" s="102"/>
      <c r="C717" s="58" t="s">
        <v>193</v>
      </c>
      <c r="D717" s="61">
        <v>50</v>
      </c>
      <c r="E717" s="60">
        <v>7.0000000000000001E-3</v>
      </c>
    </row>
    <row r="718" spans="2:5">
      <c r="B718" s="102"/>
      <c r="C718" s="58" t="s">
        <v>61</v>
      </c>
      <c r="D718" s="61">
        <v>1</v>
      </c>
      <c r="E718" s="60">
        <v>0</v>
      </c>
    </row>
    <row r="719" spans="2:5">
      <c r="B719" s="102"/>
      <c r="C719" s="58" t="s">
        <v>201</v>
      </c>
      <c r="D719" s="61">
        <v>1</v>
      </c>
      <c r="E719" s="60">
        <v>0</v>
      </c>
    </row>
    <row r="720" spans="2:5">
      <c r="B720" s="102"/>
      <c r="C720" s="58" t="s">
        <v>206</v>
      </c>
      <c r="D720" s="61">
        <v>1</v>
      </c>
      <c r="E720" s="60">
        <v>0</v>
      </c>
    </row>
    <row r="721" spans="2:5">
      <c r="B721" s="103"/>
      <c r="C721" s="75" t="s">
        <v>324</v>
      </c>
      <c r="D721" s="76">
        <v>292</v>
      </c>
      <c r="E721" s="72">
        <v>4.2999999999999997E-2</v>
      </c>
    </row>
    <row r="722" spans="2:5">
      <c r="B722" s="101" t="s">
        <v>59</v>
      </c>
      <c r="C722" s="58" t="s">
        <v>147</v>
      </c>
      <c r="D722" s="61">
        <v>5</v>
      </c>
      <c r="E722" s="60">
        <v>1E-3</v>
      </c>
    </row>
    <row r="723" spans="2:5">
      <c r="B723" s="102"/>
      <c r="C723" s="58" t="s">
        <v>158</v>
      </c>
      <c r="D723" s="61">
        <v>4</v>
      </c>
      <c r="E723" s="60">
        <v>1E-3</v>
      </c>
    </row>
    <row r="724" spans="2:5">
      <c r="B724" s="102"/>
      <c r="C724" s="58" t="s">
        <v>159</v>
      </c>
      <c r="D724" s="61">
        <v>1</v>
      </c>
      <c r="E724" s="60">
        <v>0</v>
      </c>
    </row>
    <row r="725" spans="2:5">
      <c r="B725" s="102"/>
      <c r="C725" s="58" t="s">
        <v>161</v>
      </c>
      <c r="D725" s="61">
        <v>3</v>
      </c>
      <c r="E725" s="60">
        <v>0</v>
      </c>
    </row>
    <row r="726" spans="2:5">
      <c r="B726" s="102"/>
      <c r="C726" s="58" t="s">
        <v>142</v>
      </c>
      <c r="D726" s="61">
        <v>49</v>
      </c>
      <c r="E726" s="60">
        <v>7.0000000000000001E-3</v>
      </c>
    </row>
    <row r="727" spans="2:5">
      <c r="B727" s="102"/>
      <c r="C727" s="58" t="s">
        <v>167</v>
      </c>
      <c r="D727" s="61">
        <v>2</v>
      </c>
      <c r="E727" s="60">
        <v>0</v>
      </c>
    </row>
    <row r="728" spans="2:5">
      <c r="B728" s="102"/>
      <c r="C728" s="58" t="s">
        <v>168</v>
      </c>
      <c r="D728" s="61">
        <v>4</v>
      </c>
      <c r="E728" s="60">
        <v>1E-3</v>
      </c>
    </row>
    <row r="729" spans="2:5">
      <c r="B729" s="102"/>
      <c r="C729" s="58" t="s">
        <v>172</v>
      </c>
      <c r="D729" s="61">
        <v>10</v>
      </c>
      <c r="E729" s="60">
        <v>1E-3</v>
      </c>
    </row>
    <row r="730" spans="2:5">
      <c r="B730" s="102"/>
      <c r="C730" s="58" t="s">
        <v>143</v>
      </c>
      <c r="D730" s="61">
        <v>27</v>
      </c>
      <c r="E730" s="60">
        <v>4.0000000000000001E-3</v>
      </c>
    </row>
    <row r="731" spans="2:5">
      <c r="B731" s="102"/>
      <c r="C731" s="58" t="s">
        <v>293</v>
      </c>
      <c r="D731" s="61">
        <v>1</v>
      </c>
      <c r="E731" s="60">
        <v>0</v>
      </c>
    </row>
    <row r="732" spans="2:5">
      <c r="B732" s="102"/>
      <c r="C732" s="58" t="s">
        <v>178</v>
      </c>
      <c r="D732" s="61">
        <v>1</v>
      </c>
      <c r="E732" s="60">
        <v>0</v>
      </c>
    </row>
    <row r="733" spans="2:5">
      <c r="B733" s="102"/>
      <c r="C733" s="58" t="s">
        <v>144</v>
      </c>
      <c r="D733" s="61">
        <v>23</v>
      </c>
      <c r="E733" s="60">
        <v>3.0000000000000001E-3</v>
      </c>
    </row>
    <row r="734" spans="2:5">
      <c r="B734" s="102"/>
      <c r="C734" s="58" t="s">
        <v>55</v>
      </c>
      <c r="D734" s="61">
        <v>6</v>
      </c>
      <c r="E734" s="60">
        <v>1E-3</v>
      </c>
    </row>
    <row r="735" spans="2:5">
      <c r="B735" s="102"/>
      <c r="C735" s="58" t="s">
        <v>183</v>
      </c>
      <c r="D735" s="61">
        <v>1</v>
      </c>
      <c r="E735" s="60">
        <v>0</v>
      </c>
    </row>
    <row r="736" spans="2:5">
      <c r="B736" s="102"/>
      <c r="C736" s="58" t="s">
        <v>187</v>
      </c>
      <c r="D736" s="61">
        <v>2</v>
      </c>
      <c r="E736" s="60">
        <v>0</v>
      </c>
    </row>
    <row r="737" spans="2:5">
      <c r="B737" s="102"/>
      <c r="C737" s="58" t="s">
        <v>190</v>
      </c>
      <c r="D737" s="61">
        <v>1</v>
      </c>
      <c r="E737" s="60">
        <v>0</v>
      </c>
    </row>
    <row r="738" spans="2:5">
      <c r="B738" s="102"/>
      <c r="C738" s="58" t="s">
        <v>193</v>
      </c>
      <c r="D738" s="61">
        <v>9</v>
      </c>
      <c r="E738" s="60">
        <v>1E-3</v>
      </c>
    </row>
    <row r="739" spans="2:5">
      <c r="B739" s="103"/>
      <c r="C739" s="75" t="s">
        <v>324</v>
      </c>
      <c r="D739" s="76">
        <v>149</v>
      </c>
      <c r="E739" s="72">
        <v>2.1999999999999999E-2</v>
      </c>
    </row>
    <row r="740" spans="2:5">
      <c r="B740" s="101" t="s">
        <v>69</v>
      </c>
      <c r="C740" s="58" t="s">
        <v>147</v>
      </c>
      <c r="D740" s="61">
        <v>2</v>
      </c>
      <c r="E740" s="60">
        <v>0</v>
      </c>
    </row>
    <row r="741" spans="2:5">
      <c r="B741" s="102"/>
      <c r="C741" s="58" t="s">
        <v>161</v>
      </c>
      <c r="D741" s="61">
        <v>3</v>
      </c>
      <c r="E741" s="60">
        <v>0</v>
      </c>
    </row>
    <row r="742" spans="2:5">
      <c r="B742" s="102"/>
      <c r="C742" s="58" t="s">
        <v>142</v>
      </c>
      <c r="D742" s="61">
        <v>10</v>
      </c>
      <c r="E742" s="60">
        <v>1E-3</v>
      </c>
    </row>
    <row r="743" spans="2:5">
      <c r="B743" s="102"/>
      <c r="C743" s="58" t="s">
        <v>292</v>
      </c>
      <c r="D743" s="61">
        <v>6</v>
      </c>
      <c r="E743" s="60">
        <v>1E-3</v>
      </c>
    </row>
    <row r="744" spans="2:5">
      <c r="B744" s="102"/>
      <c r="C744" s="58" t="s">
        <v>172</v>
      </c>
      <c r="D744" s="61">
        <v>1</v>
      </c>
      <c r="E744" s="60">
        <v>0</v>
      </c>
    </row>
    <row r="745" spans="2:5">
      <c r="B745" s="102"/>
      <c r="C745" s="58" t="s">
        <v>143</v>
      </c>
      <c r="D745" s="61">
        <v>5</v>
      </c>
      <c r="E745" s="60">
        <v>1E-3</v>
      </c>
    </row>
    <row r="746" spans="2:5">
      <c r="B746" s="102"/>
      <c r="C746" s="58" t="s">
        <v>182</v>
      </c>
      <c r="D746" s="61">
        <v>3</v>
      </c>
      <c r="E746" s="60">
        <v>0</v>
      </c>
    </row>
    <row r="747" spans="2:5">
      <c r="B747" s="102"/>
      <c r="C747" s="58" t="s">
        <v>144</v>
      </c>
      <c r="D747" s="61">
        <v>10</v>
      </c>
      <c r="E747" s="60">
        <v>1E-3</v>
      </c>
    </row>
    <row r="748" spans="2:5">
      <c r="B748" s="102"/>
      <c r="C748" s="58" t="s">
        <v>55</v>
      </c>
      <c r="D748" s="61">
        <v>6</v>
      </c>
      <c r="E748" s="60">
        <v>1E-3</v>
      </c>
    </row>
    <row r="749" spans="2:5">
      <c r="B749" s="102"/>
      <c r="C749" s="58" t="s">
        <v>193</v>
      </c>
      <c r="D749" s="61">
        <v>2</v>
      </c>
      <c r="E749" s="60">
        <v>0</v>
      </c>
    </row>
    <row r="750" spans="2:5">
      <c r="B750" s="102"/>
      <c r="C750" s="58" t="s">
        <v>197</v>
      </c>
      <c r="D750" s="61">
        <v>1</v>
      </c>
      <c r="E750" s="60">
        <v>0</v>
      </c>
    </row>
    <row r="751" spans="2:5">
      <c r="B751" s="103"/>
      <c r="C751" s="75" t="s">
        <v>324</v>
      </c>
      <c r="D751" s="76">
        <v>49</v>
      </c>
      <c r="E751" s="72">
        <v>7.0000000000000001E-3</v>
      </c>
    </row>
    <row r="752" spans="2:5">
      <c r="B752" s="101" t="s">
        <v>60</v>
      </c>
      <c r="C752" s="58" t="s">
        <v>146</v>
      </c>
      <c r="D752" s="61">
        <v>3</v>
      </c>
      <c r="E752" s="60">
        <v>0</v>
      </c>
    </row>
    <row r="753" spans="2:5">
      <c r="B753" s="102"/>
      <c r="C753" s="58" t="s">
        <v>147</v>
      </c>
      <c r="D753" s="61">
        <v>3</v>
      </c>
      <c r="E753" s="60">
        <v>0</v>
      </c>
    </row>
    <row r="754" spans="2:5">
      <c r="B754" s="102"/>
      <c r="C754" s="58" t="s">
        <v>160</v>
      </c>
      <c r="D754" s="61">
        <v>1</v>
      </c>
      <c r="E754" s="60">
        <v>0</v>
      </c>
    </row>
    <row r="755" spans="2:5">
      <c r="B755" s="102"/>
      <c r="C755" s="58" t="s">
        <v>161</v>
      </c>
      <c r="D755" s="61">
        <v>7</v>
      </c>
      <c r="E755" s="60">
        <v>1E-3</v>
      </c>
    </row>
    <row r="756" spans="2:5">
      <c r="B756" s="102"/>
      <c r="C756" s="58" t="s">
        <v>142</v>
      </c>
      <c r="D756" s="61">
        <v>37</v>
      </c>
      <c r="E756" s="60">
        <v>6.0000000000000001E-3</v>
      </c>
    </row>
    <row r="757" spans="2:5">
      <c r="B757" s="102"/>
      <c r="C757" s="58" t="s">
        <v>292</v>
      </c>
      <c r="D757" s="61">
        <v>1</v>
      </c>
      <c r="E757" s="60">
        <v>0</v>
      </c>
    </row>
    <row r="758" spans="2:5">
      <c r="B758" s="102"/>
      <c r="C758" s="58" t="s">
        <v>167</v>
      </c>
      <c r="D758" s="61">
        <v>3</v>
      </c>
      <c r="E758" s="60">
        <v>0</v>
      </c>
    </row>
    <row r="759" spans="2:5">
      <c r="B759" s="102"/>
      <c r="C759" s="58" t="s">
        <v>168</v>
      </c>
      <c r="D759" s="61">
        <v>1</v>
      </c>
      <c r="E759" s="60">
        <v>0</v>
      </c>
    </row>
    <row r="760" spans="2:5">
      <c r="B760" s="102"/>
      <c r="C760" s="58" t="s">
        <v>172</v>
      </c>
      <c r="D760" s="61">
        <v>6</v>
      </c>
      <c r="E760" s="60">
        <v>1E-3</v>
      </c>
    </row>
    <row r="761" spans="2:5">
      <c r="B761" s="102"/>
      <c r="C761" s="58" t="s">
        <v>143</v>
      </c>
      <c r="D761" s="61">
        <v>30</v>
      </c>
      <c r="E761" s="60">
        <v>4.0000000000000001E-3</v>
      </c>
    </row>
    <row r="762" spans="2:5">
      <c r="B762" s="102"/>
      <c r="C762" s="58" t="s">
        <v>174</v>
      </c>
      <c r="D762" s="61">
        <v>5</v>
      </c>
      <c r="E762" s="60">
        <v>1E-3</v>
      </c>
    </row>
    <row r="763" spans="2:5">
      <c r="B763" s="102"/>
      <c r="C763" s="58" t="s">
        <v>178</v>
      </c>
      <c r="D763" s="61">
        <v>1</v>
      </c>
      <c r="E763" s="60">
        <v>0</v>
      </c>
    </row>
    <row r="764" spans="2:5">
      <c r="B764" s="102"/>
      <c r="C764" s="58" t="s">
        <v>144</v>
      </c>
      <c r="D764" s="61">
        <v>8</v>
      </c>
      <c r="E764" s="60">
        <v>1E-3</v>
      </c>
    </row>
    <row r="765" spans="2:5">
      <c r="B765" s="102"/>
      <c r="C765" s="58" t="s">
        <v>55</v>
      </c>
      <c r="D765" s="61">
        <v>5</v>
      </c>
      <c r="E765" s="60">
        <v>1E-3</v>
      </c>
    </row>
    <row r="766" spans="2:5">
      <c r="B766" s="102"/>
      <c r="C766" s="58" t="s">
        <v>189</v>
      </c>
      <c r="D766" s="61">
        <v>1</v>
      </c>
      <c r="E766" s="60">
        <v>0</v>
      </c>
    </row>
    <row r="767" spans="2:5">
      <c r="B767" s="102"/>
      <c r="C767" s="58" t="s">
        <v>191</v>
      </c>
      <c r="D767" s="61">
        <v>1</v>
      </c>
      <c r="E767" s="60">
        <v>0</v>
      </c>
    </row>
    <row r="768" spans="2:5">
      <c r="B768" s="102"/>
      <c r="C768" s="58" t="s">
        <v>192</v>
      </c>
      <c r="D768" s="61">
        <v>1</v>
      </c>
      <c r="E768" s="60">
        <v>0</v>
      </c>
    </row>
    <row r="769" spans="2:5">
      <c r="B769" s="102"/>
      <c r="C769" s="58" t="s">
        <v>193</v>
      </c>
      <c r="D769" s="61">
        <v>25</v>
      </c>
      <c r="E769" s="60">
        <v>4.0000000000000001E-3</v>
      </c>
    </row>
    <row r="770" spans="2:5">
      <c r="B770" s="102"/>
      <c r="C770" s="58" t="s">
        <v>194</v>
      </c>
      <c r="D770" s="61">
        <v>3</v>
      </c>
      <c r="E770" s="60">
        <v>0</v>
      </c>
    </row>
    <row r="771" spans="2:5">
      <c r="B771" s="102"/>
      <c r="C771" s="58" t="s">
        <v>198</v>
      </c>
      <c r="D771" s="61">
        <v>3</v>
      </c>
      <c r="E771" s="60">
        <v>0</v>
      </c>
    </row>
    <row r="772" spans="2:5">
      <c r="B772" s="103"/>
      <c r="C772" s="75" t="s">
        <v>324</v>
      </c>
      <c r="D772" s="76">
        <v>145</v>
      </c>
      <c r="E772" s="72">
        <v>2.1999999999999999E-2</v>
      </c>
    </row>
    <row r="773" spans="2:5">
      <c r="B773" s="101" t="s">
        <v>61</v>
      </c>
      <c r="C773" s="58" t="s">
        <v>146</v>
      </c>
      <c r="D773" s="61">
        <v>3</v>
      </c>
      <c r="E773" s="60">
        <v>0</v>
      </c>
    </row>
    <row r="774" spans="2:5">
      <c r="B774" s="102"/>
      <c r="C774" s="58" t="s">
        <v>147</v>
      </c>
      <c r="D774" s="61">
        <v>2</v>
      </c>
      <c r="E774" s="60">
        <v>0</v>
      </c>
    </row>
    <row r="775" spans="2:5">
      <c r="B775" s="102"/>
      <c r="C775" s="58" t="s">
        <v>148</v>
      </c>
      <c r="D775" s="61">
        <v>1</v>
      </c>
      <c r="E775" s="60">
        <v>0</v>
      </c>
    </row>
    <row r="776" spans="2:5">
      <c r="B776" s="102"/>
      <c r="C776" s="58" t="s">
        <v>161</v>
      </c>
      <c r="D776" s="61">
        <v>4</v>
      </c>
      <c r="E776" s="60">
        <v>1E-3</v>
      </c>
    </row>
    <row r="777" spans="2:5">
      <c r="B777" s="102"/>
      <c r="C777" s="58" t="s">
        <v>142</v>
      </c>
      <c r="D777" s="61">
        <v>34</v>
      </c>
      <c r="E777" s="60">
        <v>5.0000000000000001E-3</v>
      </c>
    </row>
    <row r="778" spans="2:5">
      <c r="B778" s="102"/>
      <c r="C778" s="58" t="s">
        <v>163</v>
      </c>
      <c r="D778" s="61">
        <v>1</v>
      </c>
      <c r="E778" s="60">
        <v>0</v>
      </c>
    </row>
    <row r="779" spans="2:5">
      <c r="B779" s="102"/>
      <c r="C779" s="58" t="s">
        <v>164</v>
      </c>
      <c r="D779" s="61">
        <v>1</v>
      </c>
      <c r="E779" s="60">
        <v>0</v>
      </c>
    </row>
    <row r="780" spans="2:5">
      <c r="B780" s="102"/>
      <c r="C780" s="58" t="s">
        <v>165</v>
      </c>
      <c r="D780" s="61">
        <v>1</v>
      </c>
      <c r="E780" s="60">
        <v>0</v>
      </c>
    </row>
    <row r="781" spans="2:5">
      <c r="B781" s="102"/>
      <c r="C781" s="58" t="s">
        <v>292</v>
      </c>
      <c r="D781" s="61">
        <v>2</v>
      </c>
      <c r="E781" s="60">
        <v>0</v>
      </c>
    </row>
    <row r="782" spans="2:5">
      <c r="B782" s="102"/>
      <c r="C782" s="58" t="s">
        <v>167</v>
      </c>
      <c r="D782" s="61">
        <v>1</v>
      </c>
      <c r="E782" s="60">
        <v>0</v>
      </c>
    </row>
    <row r="783" spans="2:5">
      <c r="B783" s="102"/>
      <c r="C783" s="58" t="s">
        <v>168</v>
      </c>
      <c r="D783" s="61">
        <v>1</v>
      </c>
      <c r="E783" s="60">
        <v>0</v>
      </c>
    </row>
    <row r="784" spans="2:5">
      <c r="B784" s="102"/>
      <c r="C784" s="58" t="s">
        <v>172</v>
      </c>
      <c r="D784" s="61">
        <v>9</v>
      </c>
      <c r="E784" s="60">
        <v>1E-3</v>
      </c>
    </row>
    <row r="785" spans="2:5">
      <c r="B785" s="102"/>
      <c r="C785" s="58" t="s">
        <v>143</v>
      </c>
      <c r="D785" s="61">
        <v>12</v>
      </c>
      <c r="E785" s="60">
        <v>2E-3</v>
      </c>
    </row>
    <row r="786" spans="2:5">
      <c r="B786" s="102"/>
      <c r="C786" s="58" t="s">
        <v>174</v>
      </c>
      <c r="D786" s="61">
        <v>1</v>
      </c>
      <c r="E786" s="60">
        <v>0</v>
      </c>
    </row>
    <row r="787" spans="2:5">
      <c r="B787" s="102"/>
      <c r="C787" s="58" t="s">
        <v>181</v>
      </c>
      <c r="D787" s="61">
        <v>1</v>
      </c>
      <c r="E787" s="60">
        <v>0</v>
      </c>
    </row>
    <row r="788" spans="2:5">
      <c r="B788" s="102"/>
      <c r="C788" s="58" t="s">
        <v>144</v>
      </c>
      <c r="D788" s="61">
        <v>8</v>
      </c>
      <c r="E788" s="60">
        <v>1E-3</v>
      </c>
    </row>
    <row r="789" spans="2:5">
      <c r="B789" s="102"/>
      <c r="C789" s="58" t="s">
        <v>55</v>
      </c>
      <c r="D789" s="61">
        <v>3</v>
      </c>
      <c r="E789" s="60">
        <v>0</v>
      </c>
    </row>
    <row r="790" spans="2:5">
      <c r="B790" s="102"/>
      <c r="C790" s="58" t="s">
        <v>187</v>
      </c>
      <c r="D790" s="61">
        <v>6</v>
      </c>
      <c r="E790" s="60">
        <v>1E-3</v>
      </c>
    </row>
    <row r="791" spans="2:5">
      <c r="B791" s="102"/>
      <c r="C791" s="58" t="s">
        <v>193</v>
      </c>
      <c r="D791" s="61">
        <v>16</v>
      </c>
      <c r="E791" s="60">
        <v>2E-3</v>
      </c>
    </row>
    <row r="792" spans="2:5">
      <c r="B792" s="102"/>
      <c r="C792" s="58" t="s">
        <v>195</v>
      </c>
      <c r="D792" s="61">
        <v>1</v>
      </c>
      <c r="E792" s="60">
        <v>0</v>
      </c>
    </row>
    <row r="793" spans="2:5">
      <c r="B793" s="102"/>
      <c r="C793" s="58" t="s">
        <v>197</v>
      </c>
      <c r="D793" s="61">
        <v>2</v>
      </c>
      <c r="E793" s="60">
        <v>0</v>
      </c>
    </row>
    <row r="794" spans="2:5">
      <c r="B794" s="102"/>
      <c r="C794" s="58" t="s">
        <v>205</v>
      </c>
      <c r="D794" s="61">
        <v>1</v>
      </c>
      <c r="E794" s="60">
        <v>0</v>
      </c>
    </row>
    <row r="795" spans="2:5">
      <c r="B795" s="103"/>
      <c r="C795" s="75" t="s">
        <v>324</v>
      </c>
      <c r="D795" s="76">
        <v>111</v>
      </c>
      <c r="E795" s="72">
        <v>1.7000000000000001E-2</v>
      </c>
    </row>
    <row r="796" spans="2:5">
      <c r="B796" s="101" t="s">
        <v>77</v>
      </c>
      <c r="C796" s="58" t="s">
        <v>146</v>
      </c>
      <c r="D796" s="61">
        <v>1</v>
      </c>
      <c r="E796" s="60">
        <v>0</v>
      </c>
    </row>
    <row r="797" spans="2:5">
      <c r="B797" s="102"/>
      <c r="C797" s="58" t="s">
        <v>147</v>
      </c>
      <c r="D797" s="61">
        <v>1</v>
      </c>
      <c r="E797" s="60">
        <v>0</v>
      </c>
    </row>
    <row r="798" spans="2:5">
      <c r="B798" s="102"/>
      <c r="C798" s="58" t="s">
        <v>148</v>
      </c>
      <c r="D798" s="61">
        <v>1</v>
      </c>
      <c r="E798" s="60">
        <v>0</v>
      </c>
    </row>
    <row r="799" spans="2:5">
      <c r="B799" s="102"/>
      <c r="C799" s="58" t="s">
        <v>142</v>
      </c>
      <c r="D799" s="61">
        <v>8</v>
      </c>
      <c r="E799" s="60">
        <v>1E-3</v>
      </c>
    </row>
    <row r="800" spans="2:5">
      <c r="B800" s="102"/>
      <c r="C800" s="58" t="s">
        <v>167</v>
      </c>
      <c r="D800" s="61">
        <v>1</v>
      </c>
      <c r="E800" s="60">
        <v>0</v>
      </c>
    </row>
    <row r="801" spans="2:5">
      <c r="B801" s="102"/>
      <c r="C801" s="58" t="s">
        <v>172</v>
      </c>
      <c r="D801" s="61">
        <v>1</v>
      </c>
      <c r="E801" s="60">
        <v>0</v>
      </c>
    </row>
    <row r="802" spans="2:5">
      <c r="B802" s="102"/>
      <c r="C802" s="58" t="s">
        <v>143</v>
      </c>
      <c r="D802" s="61">
        <v>7</v>
      </c>
      <c r="E802" s="60">
        <v>1E-3</v>
      </c>
    </row>
    <row r="803" spans="2:5">
      <c r="B803" s="102"/>
      <c r="C803" s="58" t="s">
        <v>144</v>
      </c>
      <c r="D803" s="61">
        <v>3</v>
      </c>
      <c r="E803" s="60">
        <v>0</v>
      </c>
    </row>
    <row r="804" spans="2:5">
      <c r="B804" s="102"/>
      <c r="C804" s="58" t="s">
        <v>55</v>
      </c>
      <c r="D804" s="61">
        <v>2</v>
      </c>
      <c r="E804" s="60">
        <v>0</v>
      </c>
    </row>
    <row r="805" spans="2:5">
      <c r="B805" s="102"/>
      <c r="C805" s="58" t="s">
        <v>187</v>
      </c>
      <c r="D805" s="61">
        <v>1</v>
      </c>
      <c r="E805" s="60">
        <v>0</v>
      </c>
    </row>
    <row r="806" spans="2:5">
      <c r="B806" s="102"/>
      <c r="C806" s="58" t="s">
        <v>194</v>
      </c>
      <c r="D806" s="61">
        <v>3</v>
      </c>
      <c r="E806" s="60">
        <v>0</v>
      </c>
    </row>
    <row r="807" spans="2:5">
      <c r="B807" s="103"/>
      <c r="C807" s="75" t="s">
        <v>324</v>
      </c>
      <c r="D807" s="76">
        <v>29</v>
      </c>
      <c r="E807" s="72">
        <v>4.0000000000000001E-3</v>
      </c>
    </row>
    <row r="808" spans="2:5" ht="15" customHeight="1">
      <c r="B808" s="101" t="s">
        <v>48</v>
      </c>
      <c r="C808" s="58" t="s">
        <v>146</v>
      </c>
      <c r="D808" s="61">
        <v>62</v>
      </c>
      <c r="E808" s="60">
        <v>8.9999999999999993E-3</v>
      </c>
    </row>
    <row r="809" spans="2:5" ht="15" customHeight="1">
      <c r="B809" s="102"/>
      <c r="C809" s="58" t="s">
        <v>147</v>
      </c>
      <c r="D809" s="61">
        <v>10</v>
      </c>
      <c r="E809" s="60">
        <v>1E-3</v>
      </c>
    </row>
    <row r="810" spans="2:5" ht="15" customHeight="1">
      <c r="B810" s="102"/>
      <c r="C810" s="58" t="s">
        <v>148</v>
      </c>
      <c r="D810" s="61">
        <v>7</v>
      </c>
      <c r="E810" s="60">
        <v>1E-3</v>
      </c>
    </row>
    <row r="811" spans="2:5" ht="15" customHeight="1">
      <c r="B811" s="102"/>
      <c r="C811" s="58" t="s">
        <v>207</v>
      </c>
      <c r="D811" s="61">
        <v>1</v>
      </c>
      <c r="E811" s="60">
        <v>0</v>
      </c>
    </row>
    <row r="812" spans="2:5" ht="15" customHeight="1">
      <c r="B812" s="102"/>
      <c r="C812" s="58" t="s">
        <v>149</v>
      </c>
      <c r="D812" s="61">
        <v>7</v>
      </c>
      <c r="E812" s="60">
        <v>1E-3</v>
      </c>
    </row>
    <row r="813" spans="2:5" ht="15" customHeight="1">
      <c r="B813" s="102"/>
      <c r="C813" s="58" t="s">
        <v>150</v>
      </c>
      <c r="D813" s="61">
        <v>1</v>
      </c>
      <c r="E813" s="60">
        <v>0</v>
      </c>
    </row>
    <row r="814" spans="2:5" ht="15" customHeight="1">
      <c r="B814" s="102"/>
      <c r="C814" s="58" t="s">
        <v>151</v>
      </c>
      <c r="D814" s="61">
        <v>1</v>
      </c>
      <c r="E814" s="60">
        <v>0</v>
      </c>
    </row>
    <row r="815" spans="2:5" ht="15" customHeight="1">
      <c r="B815" s="102"/>
      <c r="C815" s="58" t="s">
        <v>152</v>
      </c>
      <c r="D815" s="61">
        <v>2</v>
      </c>
      <c r="E815" s="60">
        <v>0</v>
      </c>
    </row>
    <row r="816" spans="2:5" ht="15" customHeight="1">
      <c r="B816" s="102"/>
      <c r="C816" s="58" t="s">
        <v>153</v>
      </c>
      <c r="D816" s="61">
        <v>4</v>
      </c>
      <c r="E816" s="60">
        <v>1E-3</v>
      </c>
    </row>
    <row r="817" spans="2:5" ht="15" customHeight="1">
      <c r="B817" s="102"/>
      <c r="C817" s="58" t="s">
        <v>154</v>
      </c>
      <c r="D817" s="61">
        <v>6</v>
      </c>
      <c r="E817" s="60">
        <v>1E-3</v>
      </c>
    </row>
    <row r="818" spans="2:5" ht="15" customHeight="1">
      <c r="B818" s="102"/>
      <c r="C818" s="58" t="s">
        <v>156</v>
      </c>
      <c r="D818" s="61">
        <v>5</v>
      </c>
      <c r="E818" s="60">
        <v>1E-3</v>
      </c>
    </row>
    <row r="819" spans="2:5" ht="15" customHeight="1">
      <c r="B819" s="102"/>
      <c r="C819" s="58" t="s">
        <v>157</v>
      </c>
      <c r="D819" s="61">
        <v>3</v>
      </c>
      <c r="E819" s="60">
        <v>0</v>
      </c>
    </row>
    <row r="820" spans="2:5" ht="15" customHeight="1">
      <c r="B820" s="102"/>
      <c r="C820" s="58" t="s">
        <v>158</v>
      </c>
      <c r="D820" s="61">
        <v>5</v>
      </c>
      <c r="E820" s="60">
        <v>1E-3</v>
      </c>
    </row>
    <row r="821" spans="2:5" ht="15" customHeight="1">
      <c r="B821" s="102"/>
      <c r="C821" s="58" t="s">
        <v>159</v>
      </c>
      <c r="D821" s="61">
        <v>6</v>
      </c>
      <c r="E821" s="60">
        <v>1E-3</v>
      </c>
    </row>
    <row r="822" spans="2:5" ht="15" customHeight="1">
      <c r="B822" s="102"/>
      <c r="C822" s="58" t="s">
        <v>161</v>
      </c>
      <c r="D822" s="61">
        <v>65</v>
      </c>
      <c r="E822" s="60">
        <v>0.01</v>
      </c>
    </row>
    <row r="823" spans="2:5" ht="15" customHeight="1">
      <c r="B823" s="102"/>
      <c r="C823" s="58" t="s">
        <v>142</v>
      </c>
      <c r="D823" s="61">
        <v>132</v>
      </c>
      <c r="E823" s="60">
        <v>0.02</v>
      </c>
    </row>
    <row r="824" spans="2:5" ht="15" customHeight="1">
      <c r="B824" s="102"/>
      <c r="C824" s="58" t="s">
        <v>162</v>
      </c>
      <c r="D824" s="61">
        <v>79</v>
      </c>
      <c r="E824" s="60">
        <v>1.2E-2</v>
      </c>
    </row>
    <row r="825" spans="2:5" ht="15" customHeight="1">
      <c r="B825" s="102"/>
      <c r="C825" s="58" t="s">
        <v>163</v>
      </c>
      <c r="D825" s="61">
        <v>3</v>
      </c>
      <c r="E825" s="60">
        <v>0</v>
      </c>
    </row>
    <row r="826" spans="2:5" ht="15" customHeight="1">
      <c r="B826" s="102"/>
      <c r="C826" s="58" t="s">
        <v>164</v>
      </c>
      <c r="D826" s="61">
        <v>5</v>
      </c>
      <c r="E826" s="60">
        <v>1E-3</v>
      </c>
    </row>
    <row r="827" spans="2:5" ht="15" customHeight="1">
      <c r="B827" s="102"/>
      <c r="C827" s="58" t="s">
        <v>165</v>
      </c>
      <c r="D827" s="61">
        <v>14</v>
      </c>
      <c r="E827" s="60">
        <v>2E-3</v>
      </c>
    </row>
    <row r="828" spans="2:5" ht="15" customHeight="1">
      <c r="B828" s="102"/>
      <c r="C828" s="58" t="s">
        <v>292</v>
      </c>
      <c r="D828" s="61">
        <v>4</v>
      </c>
      <c r="E828" s="60">
        <v>1E-3</v>
      </c>
    </row>
    <row r="829" spans="2:5" ht="15" customHeight="1">
      <c r="B829" s="102"/>
      <c r="C829" s="58" t="s">
        <v>167</v>
      </c>
      <c r="D829" s="61">
        <v>4</v>
      </c>
      <c r="E829" s="60">
        <v>1E-3</v>
      </c>
    </row>
    <row r="830" spans="2:5" ht="15" customHeight="1">
      <c r="B830" s="102"/>
      <c r="C830" s="58" t="s">
        <v>168</v>
      </c>
      <c r="D830" s="61">
        <v>4</v>
      </c>
      <c r="E830" s="60">
        <v>1E-3</v>
      </c>
    </row>
    <row r="831" spans="2:5" ht="15" customHeight="1">
      <c r="B831" s="102"/>
      <c r="C831" s="58" t="s">
        <v>169</v>
      </c>
      <c r="D831" s="61">
        <v>10</v>
      </c>
      <c r="E831" s="60">
        <v>1E-3</v>
      </c>
    </row>
    <row r="832" spans="2:5" ht="15" customHeight="1">
      <c r="B832" s="102"/>
      <c r="C832" s="58" t="s">
        <v>171</v>
      </c>
      <c r="D832" s="61">
        <v>1</v>
      </c>
      <c r="E832" s="60">
        <v>0</v>
      </c>
    </row>
    <row r="833" spans="2:5" ht="15" customHeight="1">
      <c r="B833" s="102"/>
      <c r="C833" s="58" t="s">
        <v>172</v>
      </c>
      <c r="D833" s="61">
        <v>30</v>
      </c>
      <c r="E833" s="60">
        <v>4.0000000000000001E-3</v>
      </c>
    </row>
    <row r="834" spans="2:5" ht="15" customHeight="1">
      <c r="B834" s="102"/>
      <c r="C834" s="58" t="s">
        <v>143</v>
      </c>
      <c r="D834" s="61">
        <v>183</v>
      </c>
      <c r="E834" s="60">
        <v>2.7E-2</v>
      </c>
    </row>
    <row r="835" spans="2:5" ht="15" customHeight="1">
      <c r="B835" s="102"/>
      <c r="C835" s="58" t="s">
        <v>174</v>
      </c>
      <c r="D835" s="61">
        <v>17</v>
      </c>
      <c r="E835" s="60">
        <v>3.0000000000000001E-3</v>
      </c>
    </row>
    <row r="836" spans="2:5" ht="15" customHeight="1">
      <c r="B836" s="102"/>
      <c r="C836" s="58" t="s">
        <v>175</v>
      </c>
      <c r="D836" s="61">
        <v>1</v>
      </c>
      <c r="E836" s="60">
        <v>0</v>
      </c>
    </row>
    <row r="837" spans="2:5" ht="15" customHeight="1">
      <c r="B837" s="102"/>
      <c r="C837" s="58" t="s">
        <v>293</v>
      </c>
      <c r="D837" s="61">
        <v>2</v>
      </c>
      <c r="E837" s="60">
        <v>0</v>
      </c>
    </row>
    <row r="838" spans="2:5" ht="15" customHeight="1">
      <c r="B838" s="102"/>
      <c r="C838" s="58" t="s">
        <v>176</v>
      </c>
      <c r="D838" s="61">
        <v>20</v>
      </c>
      <c r="E838" s="60">
        <v>3.0000000000000001E-3</v>
      </c>
    </row>
    <row r="839" spans="2:5" ht="15" customHeight="1">
      <c r="B839" s="102"/>
      <c r="C839" s="58" t="s">
        <v>178</v>
      </c>
      <c r="D839" s="61">
        <v>64</v>
      </c>
      <c r="E839" s="60">
        <v>0.01</v>
      </c>
    </row>
    <row r="840" spans="2:5" ht="15" customHeight="1">
      <c r="B840" s="102"/>
      <c r="C840" s="58" t="s">
        <v>180</v>
      </c>
      <c r="D840" s="61">
        <v>6</v>
      </c>
      <c r="E840" s="60">
        <v>1E-3</v>
      </c>
    </row>
    <row r="841" spans="2:5" ht="15" customHeight="1">
      <c r="B841" s="102"/>
      <c r="C841" s="58" t="s">
        <v>181</v>
      </c>
      <c r="D841" s="61">
        <v>6</v>
      </c>
      <c r="E841" s="60">
        <v>1E-3</v>
      </c>
    </row>
    <row r="842" spans="2:5" ht="15" customHeight="1">
      <c r="B842" s="102"/>
      <c r="C842" s="58" t="s">
        <v>182</v>
      </c>
      <c r="D842" s="61">
        <v>28</v>
      </c>
      <c r="E842" s="60">
        <v>4.0000000000000001E-3</v>
      </c>
    </row>
    <row r="843" spans="2:5" ht="15" customHeight="1">
      <c r="B843" s="102"/>
      <c r="C843" s="58" t="s">
        <v>144</v>
      </c>
      <c r="D843" s="61">
        <v>31</v>
      </c>
      <c r="E843" s="60">
        <v>5.0000000000000001E-3</v>
      </c>
    </row>
    <row r="844" spans="2:5" ht="15" customHeight="1">
      <c r="B844" s="102"/>
      <c r="C844" s="58" t="s">
        <v>55</v>
      </c>
      <c r="D844" s="61">
        <v>171</v>
      </c>
      <c r="E844" s="60">
        <v>2.5000000000000001E-2</v>
      </c>
    </row>
    <row r="845" spans="2:5" ht="15" customHeight="1">
      <c r="B845" s="102"/>
      <c r="C845" s="58" t="s">
        <v>183</v>
      </c>
      <c r="D845" s="61">
        <v>3</v>
      </c>
      <c r="E845" s="60">
        <v>0</v>
      </c>
    </row>
    <row r="846" spans="2:5" ht="15" customHeight="1">
      <c r="B846" s="102"/>
      <c r="C846" s="58" t="s">
        <v>185</v>
      </c>
      <c r="D846" s="61">
        <v>5</v>
      </c>
      <c r="E846" s="60">
        <v>1E-3</v>
      </c>
    </row>
    <row r="847" spans="2:5" ht="15" customHeight="1">
      <c r="B847" s="102"/>
      <c r="C847" s="58" t="s">
        <v>186</v>
      </c>
      <c r="D847" s="61">
        <v>1</v>
      </c>
      <c r="E847" s="60">
        <v>0</v>
      </c>
    </row>
    <row r="848" spans="2:5" ht="15" customHeight="1">
      <c r="B848" s="102"/>
      <c r="C848" s="58" t="s">
        <v>187</v>
      </c>
      <c r="D848" s="61">
        <v>9</v>
      </c>
      <c r="E848" s="60">
        <v>1E-3</v>
      </c>
    </row>
    <row r="849" spans="2:5" ht="15" customHeight="1">
      <c r="B849" s="102"/>
      <c r="C849" s="58" t="s">
        <v>188</v>
      </c>
      <c r="D849" s="61">
        <v>1</v>
      </c>
      <c r="E849" s="60">
        <v>0</v>
      </c>
    </row>
    <row r="850" spans="2:5" ht="15" customHeight="1">
      <c r="B850" s="102"/>
      <c r="C850" s="58" t="s">
        <v>190</v>
      </c>
      <c r="D850" s="61">
        <v>1</v>
      </c>
      <c r="E850" s="60">
        <v>0</v>
      </c>
    </row>
    <row r="851" spans="2:5" ht="15" customHeight="1">
      <c r="B851" s="102"/>
      <c r="C851" s="58" t="s">
        <v>191</v>
      </c>
      <c r="D851" s="61">
        <v>8</v>
      </c>
      <c r="E851" s="60">
        <v>1E-3</v>
      </c>
    </row>
    <row r="852" spans="2:5" ht="15" customHeight="1">
      <c r="B852" s="102"/>
      <c r="C852" s="58" t="s">
        <v>192</v>
      </c>
      <c r="D852" s="61">
        <v>1</v>
      </c>
      <c r="E852" s="60">
        <v>0</v>
      </c>
    </row>
    <row r="853" spans="2:5" ht="15" customHeight="1">
      <c r="B853" s="102"/>
      <c r="C853" s="58" t="s">
        <v>193</v>
      </c>
      <c r="D853" s="61">
        <v>9</v>
      </c>
      <c r="E853" s="60">
        <v>1E-3</v>
      </c>
    </row>
    <row r="854" spans="2:5" ht="15" customHeight="1">
      <c r="B854" s="102"/>
      <c r="C854" s="58" t="s">
        <v>195</v>
      </c>
      <c r="D854" s="61">
        <v>1</v>
      </c>
      <c r="E854" s="60">
        <v>0</v>
      </c>
    </row>
    <row r="855" spans="2:5" ht="15" customHeight="1">
      <c r="B855" s="102"/>
      <c r="C855" s="58" t="s">
        <v>61</v>
      </c>
      <c r="D855" s="61">
        <v>25</v>
      </c>
      <c r="E855" s="60">
        <v>4.0000000000000001E-3</v>
      </c>
    </row>
    <row r="856" spans="2:5" ht="15" customHeight="1">
      <c r="B856" s="102"/>
      <c r="C856" s="58" t="s">
        <v>196</v>
      </c>
      <c r="D856" s="61">
        <v>1</v>
      </c>
      <c r="E856" s="60">
        <v>0</v>
      </c>
    </row>
    <row r="857" spans="2:5" ht="15" customHeight="1">
      <c r="B857" s="102"/>
      <c r="C857" s="58" t="s">
        <v>197</v>
      </c>
      <c r="D857" s="61">
        <v>1</v>
      </c>
      <c r="E857" s="60">
        <v>0</v>
      </c>
    </row>
    <row r="858" spans="2:5" ht="15" customHeight="1">
      <c r="B858" s="102"/>
      <c r="C858" s="58" t="s">
        <v>199</v>
      </c>
      <c r="D858" s="61">
        <v>10</v>
      </c>
      <c r="E858" s="60">
        <v>1E-3</v>
      </c>
    </row>
    <row r="859" spans="2:5" ht="15" customHeight="1">
      <c r="B859" s="102"/>
      <c r="C859" s="58" t="s">
        <v>200</v>
      </c>
      <c r="D859" s="61">
        <v>4</v>
      </c>
      <c r="E859" s="60">
        <v>1E-3</v>
      </c>
    </row>
    <row r="860" spans="2:5" ht="15" customHeight="1">
      <c r="B860" s="102"/>
      <c r="C860" s="58" t="s">
        <v>202</v>
      </c>
      <c r="D860" s="61">
        <v>4</v>
      </c>
      <c r="E860" s="60">
        <v>1E-3</v>
      </c>
    </row>
    <row r="861" spans="2:5" ht="15" customHeight="1">
      <c r="B861" s="102"/>
      <c r="C861" s="58" t="s">
        <v>203</v>
      </c>
      <c r="D861" s="61">
        <v>6</v>
      </c>
      <c r="E861" s="60">
        <v>1E-3</v>
      </c>
    </row>
    <row r="862" spans="2:5" ht="15" customHeight="1">
      <c r="B862" s="102"/>
      <c r="C862" s="58" t="s">
        <v>204</v>
      </c>
      <c r="D862" s="61">
        <v>2</v>
      </c>
      <c r="E862" s="60">
        <v>0</v>
      </c>
    </row>
    <row r="863" spans="2:5" ht="15" customHeight="1">
      <c r="B863" s="102"/>
      <c r="C863" s="58" t="s">
        <v>206</v>
      </c>
      <c r="D863" s="61">
        <v>3</v>
      </c>
      <c r="E863" s="60">
        <v>0</v>
      </c>
    </row>
    <row r="864" spans="2:5" ht="15" customHeight="1">
      <c r="B864" s="103"/>
      <c r="C864" s="75" t="s">
        <v>324</v>
      </c>
      <c r="D864" s="76">
        <v>1095</v>
      </c>
      <c r="E864" s="72">
        <v>0.16300000000000001</v>
      </c>
    </row>
    <row r="865" spans="2:5" ht="15" customHeight="1">
      <c r="B865" s="101" t="s">
        <v>93</v>
      </c>
      <c r="C865" s="58" t="s">
        <v>146</v>
      </c>
      <c r="D865" s="61">
        <v>1</v>
      </c>
      <c r="E865" s="60">
        <v>0</v>
      </c>
    </row>
    <row r="866" spans="2:5" ht="15" customHeight="1">
      <c r="B866" s="102"/>
      <c r="C866" s="58" t="s">
        <v>142</v>
      </c>
      <c r="D866" s="61">
        <v>1</v>
      </c>
      <c r="E866" s="60">
        <v>0</v>
      </c>
    </row>
    <row r="867" spans="2:5" ht="15" customHeight="1">
      <c r="B867" s="102"/>
      <c r="C867" s="58" t="s">
        <v>143</v>
      </c>
      <c r="D867" s="61">
        <v>4</v>
      </c>
      <c r="E867" s="60">
        <v>1E-3</v>
      </c>
    </row>
    <row r="868" spans="2:5" ht="15" customHeight="1">
      <c r="B868" s="102"/>
      <c r="C868" s="58" t="s">
        <v>193</v>
      </c>
      <c r="D868" s="61">
        <v>1</v>
      </c>
      <c r="E868" s="60">
        <v>0</v>
      </c>
    </row>
    <row r="869" spans="2:5" ht="15" customHeight="1">
      <c r="B869" s="103"/>
      <c r="C869" s="75" t="s">
        <v>324</v>
      </c>
      <c r="D869" s="76">
        <v>7</v>
      </c>
      <c r="E869" s="72">
        <v>1E-3</v>
      </c>
    </row>
    <row r="870" spans="2:5" ht="15" customHeight="1">
      <c r="B870" s="101" t="s">
        <v>53</v>
      </c>
      <c r="C870" s="58" t="s">
        <v>146</v>
      </c>
      <c r="D870" s="61">
        <v>3</v>
      </c>
      <c r="E870" s="60">
        <v>0</v>
      </c>
    </row>
    <row r="871" spans="2:5" ht="15" customHeight="1">
      <c r="B871" s="102"/>
      <c r="C871" s="58" t="s">
        <v>161</v>
      </c>
      <c r="D871" s="61">
        <v>1</v>
      </c>
      <c r="E871" s="60">
        <v>0</v>
      </c>
    </row>
    <row r="872" spans="2:5" ht="15" customHeight="1">
      <c r="B872" s="102"/>
      <c r="C872" s="58" t="s">
        <v>142</v>
      </c>
      <c r="D872" s="61">
        <v>7</v>
      </c>
      <c r="E872" s="60">
        <v>1E-3</v>
      </c>
    </row>
    <row r="873" spans="2:5" ht="15" customHeight="1">
      <c r="B873" s="102"/>
      <c r="C873" s="58" t="s">
        <v>168</v>
      </c>
      <c r="D873" s="61">
        <v>1</v>
      </c>
      <c r="E873" s="60">
        <v>0</v>
      </c>
    </row>
    <row r="874" spans="2:5" ht="15" customHeight="1">
      <c r="B874" s="102"/>
      <c r="C874" s="58" t="s">
        <v>143</v>
      </c>
      <c r="D874" s="61">
        <v>3</v>
      </c>
      <c r="E874" s="60">
        <v>0</v>
      </c>
    </row>
    <row r="875" spans="2:5" ht="15" customHeight="1">
      <c r="B875" s="102"/>
      <c r="C875" s="58" t="s">
        <v>174</v>
      </c>
      <c r="D875" s="61">
        <v>1</v>
      </c>
      <c r="E875" s="60">
        <v>0</v>
      </c>
    </row>
    <row r="876" spans="2:5" ht="15" customHeight="1">
      <c r="B876" s="102"/>
      <c r="C876" s="58" t="s">
        <v>181</v>
      </c>
      <c r="D876" s="61">
        <v>1</v>
      </c>
      <c r="E876" s="60">
        <v>0</v>
      </c>
    </row>
    <row r="877" spans="2:5" ht="15" customHeight="1">
      <c r="B877" s="102"/>
      <c r="C877" s="58" t="s">
        <v>144</v>
      </c>
      <c r="D877" s="61">
        <v>1</v>
      </c>
      <c r="E877" s="60">
        <v>0</v>
      </c>
    </row>
    <row r="878" spans="2:5" ht="15" customHeight="1">
      <c r="B878" s="102"/>
      <c r="C878" s="58" t="s">
        <v>55</v>
      </c>
      <c r="D878" s="61">
        <v>3</v>
      </c>
      <c r="E878" s="60">
        <v>0</v>
      </c>
    </row>
    <row r="879" spans="2:5" ht="15" customHeight="1">
      <c r="B879" s="102"/>
      <c r="C879" s="58" t="s">
        <v>186</v>
      </c>
      <c r="D879" s="61">
        <v>1</v>
      </c>
      <c r="E879" s="60">
        <v>0</v>
      </c>
    </row>
    <row r="880" spans="2:5" ht="15" customHeight="1">
      <c r="B880" s="102"/>
      <c r="C880" s="58" t="s">
        <v>187</v>
      </c>
      <c r="D880" s="61">
        <v>3</v>
      </c>
      <c r="E880" s="60">
        <v>0</v>
      </c>
    </row>
    <row r="881" spans="2:5" ht="15" customHeight="1">
      <c r="B881" s="102"/>
      <c r="C881" s="58" t="s">
        <v>191</v>
      </c>
      <c r="D881" s="61">
        <v>2</v>
      </c>
      <c r="E881" s="60">
        <v>0</v>
      </c>
    </row>
    <row r="882" spans="2:5" ht="15" customHeight="1">
      <c r="B882" s="102"/>
      <c r="C882" s="58" t="s">
        <v>193</v>
      </c>
      <c r="D882" s="61">
        <v>163</v>
      </c>
      <c r="E882" s="60">
        <v>2.4E-2</v>
      </c>
    </row>
    <row r="883" spans="2:5" ht="15" customHeight="1">
      <c r="B883" s="103"/>
      <c r="C883" s="75" t="s">
        <v>324</v>
      </c>
      <c r="D883" s="76">
        <v>190</v>
      </c>
      <c r="E883" s="72">
        <v>2.8000000000000001E-2</v>
      </c>
    </row>
    <row r="884" spans="2:5" ht="15" customHeight="1">
      <c r="B884" s="104" t="s">
        <v>324</v>
      </c>
      <c r="C884" s="104"/>
      <c r="D884" s="73">
        <v>6718</v>
      </c>
      <c r="E884" s="74">
        <v>1</v>
      </c>
    </row>
    <row r="885" spans="2:5" ht="15" customHeight="1">
      <c r="B885" s="52"/>
      <c r="C885" s="52"/>
      <c r="D885" s="52"/>
      <c r="E885" s="52"/>
    </row>
    <row r="886" spans="2:5" ht="15" customHeight="1">
      <c r="B886" s="36" t="s">
        <v>288</v>
      </c>
      <c r="C886" s="52"/>
      <c r="D886" s="52"/>
      <c r="E886" s="52"/>
    </row>
    <row r="887" spans="2:5" ht="15" customHeight="1">
      <c r="B887" s="38" t="s">
        <v>18</v>
      </c>
      <c r="C887" s="52"/>
      <c r="D887" s="52"/>
      <c r="E887" s="52"/>
    </row>
    <row r="888" spans="2:5" ht="15" customHeight="1">
      <c r="B888" s="39" t="s">
        <v>46</v>
      </c>
      <c r="C888" s="52"/>
      <c r="D888" s="52"/>
      <c r="E888" s="52"/>
    </row>
    <row r="889" spans="2:5" ht="15" customHeight="1">
      <c r="B889" s="36" t="s">
        <v>17</v>
      </c>
      <c r="C889" s="52"/>
      <c r="D889" s="52"/>
      <c r="E889" s="52"/>
    </row>
    <row r="890" spans="2:5" ht="15" customHeight="1">
      <c r="B890" s="36" t="s">
        <v>322</v>
      </c>
      <c r="C890" s="52"/>
      <c r="D890" s="52"/>
      <c r="E890" s="52"/>
    </row>
    <row r="891" spans="2:5" ht="15" customHeight="1">
      <c r="B891" s="52"/>
      <c r="C891" s="52"/>
      <c r="D891" s="52"/>
      <c r="E891" s="52"/>
    </row>
  </sheetData>
  <mergeCells count="53">
    <mergeCell ref="B193:B205"/>
    <mergeCell ref="B884:C884"/>
    <mergeCell ref="B676:B685"/>
    <mergeCell ref="B7:E8"/>
    <mergeCell ref="B10:B31"/>
    <mergeCell ref="B32:B45"/>
    <mergeCell ref="B46:B58"/>
    <mergeCell ref="B59:B76"/>
    <mergeCell ref="B77:B81"/>
    <mergeCell ref="B82:B86"/>
    <mergeCell ref="B87:B99"/>
    <mergeCell ref="B100:B122"/>
    <mergeCell ref="B123:B141"/>
    <mergeCell ref="B142:B144"/>
    <mergeCell ref="B145:B168"/>
    <mergeCell ref="B169:B182"/>
    <mergeCell ref="B183:B192"/>
    <mergeCell ref="B440:B449"/>
    <mergeCell ref="B450:B460"/>
    <mergeCell ref="B461:B479"/>
    <mergeCell ref="B480:B495"/>
    <mergeCell ref="B206:B214"/>
    <mergeCell ref="B215:B246"/>
    <mergeCell ref="B247:B262"/>
    <mergeCell ref="B263:B275"/>
    <mergeCell ref="B276:B292"/>
    <mergeCell ref="B293:B295"/>
    <mergeCell ref="B296:B330"/>
    <mergeCell ref="B331:B344"/>
    <mergeCell ref="B345:B385"/>
    <mergeCell ref="B386:B392"/>
    <mergeCell ref="B393:B399"/>
    <mergeCell ref="B400:B410"/>
    <mergeCell ref="B411:B418"/>
    <mergeCell ref="B419:B439"/>
    <mergeCell ref="B796:B807"/>
    <mergeCell ref="B808:B864"/>
    <mergeCell ref="B865:B869"/>
    <mergeCell ref="B870:B883"/>
    <mergeCell ref="B496:B503"/>
    <mergeCell ref="B504:B519"/>
    <mergeCell ref="B520:B577"/>
    <mergeCell ref="B578:B590"/>
    <mergeCell ref="B591:B595"/>
    <mergeCell ref="B596:B611"/>
    <mergeCell ref="B612:B631"/>
    <mergeCell ref="B632:B647"/>
    <mergeCell ref="B648:B675"/>
    <mergeCell ref="B686:B721"/>
    <mergeCell ref="B722:B739"/>
    <mergeCell ref="B740:B751"/>
    <mergeCell ref="B752:B772"/>
    <mergeCell ref="B773:B79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3" orientation="portrait" r:id="rId1"/>
  <rowBreaks count="1" manualBreakCount="1">
    <brk id="844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70"/>
  <sheetViews>
    <sheetView showGridLines="0" view="pageBreakPreview" topLeftCell="A26" zoomScale="120" zoomScaleNormal="100" zoomScaleSheetLayoutView="120" workbookViewId="0">
      <selection activeCell="C45" sqref="C45"/>
    </sheetView>
  </sheetViews>
  <sheetFormatPr baseColWidth="10" defaultColWidth="11.42578125" defaultRowHeight="15"/>
  <cols>
    <col min="1" max="1" width="9.28515625" style="13" customWidth="1"/>
    <col min="2" max="2" width="35.5703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9"/>
    </row>
    <row r="2" spans="1:6" s="16" customFormat="1" ht="15" customHeight="1">
      <c r="C2" s="19"/>
    </row>
    <row r="3" spans="1:6" s="16" customFormat="1" ht="15" customHeight="1">
      <c r="C3" s="19"/>
    </row>
    <row r="4" spans="1:6" s="16" customFormat="1" ht="30" customHeight="1">
      <c r="C4" s="19"/>
      <c r="D4" s="18"/>
    </row>
    <row r="5" spans="1:6" s="16" customFormat="1" ht="15" customHeight="1">
      <c r="C5" s="19"/>
      <c r="D5" s="18"/>
    </row>
    <row r="6" spans="1:6" s="16" customFormat="1" ht="15" customHeight="1">
      <c r="C6" s="19"/>
      <c r="D6" s="18"/>
    </row>
    <row r="7" spans="1:6" s="16" customFormat="1" ht="15" customHeight="1">
      <c r="A7" s="33"/>
      <c r="B7" s="100" t="s">
        <v>38</v>
      </c>
      <c r="C7" s="100"/>
      <c r="D7" s="100"/>
      <c r="E7" s="33"/>
      <c r="F7" s="33"/>
    </row>
    <row r="8" spans="1:6" s="16" customFormat="1" ht="15" customHeight="1">
      <c r="A8" s="33"/>
      <c r="B8" s="100"/>
      <c r="C8" s="100"/>
      <c r="D8" s="100"/>
      <c r="E8" s="33"/>
      <c r="F8" s="33"/>
    </row>
    <row r="9" spans="1:6" s="16" customFormat="1" ht="33" customHeight="1">
      <c r="A9" s="33"/>
      <c r="B9" s="100"/>
      <c r="C9" s="100"/>
      <c r="D9" s="100"/>
      <c r="E9" s="33"/>
      <c r="F9" s="33"/>
    </row>
    <row r="10" spans="1:6" s="16" customFormat="1" ht="4.5" customHeight="1">
      <c r="A10" s="33"/>
      <c r="B10" s="34"/>
      <c r="C10" s="34"/>
      <c r="D10" s="34"/>
      <c r="E10" s="33"/>
      <c r="F10" s="33"/>
    </row>
    <row r="11" spans="1:6" s="16" customFormat="1" ht="33" customHeight="1">
      <c r="A11" s="33"/>
      <c r="B11" s="40" t="s">
        <v>27</v>
      </c>
      <c r="C11" s="41" t="s">
        <v>26</v>
      </c>
      <c r="D11" s="42" t="s">
        <v>19</v>
      </c>
      <c r="E11" s="33"/>
      <c r="F11" s="33"/>
    </row>
    <row r="12" spans="1:6" ht="14.45" customHeight="1">
      <c r="A12" s="35"/>
      <c r="B12" s="64" t="s">
        <v>209</v>
      </c>
      <c r="C12" s="65">
        <v>24</v>
      </c>
      <c r="D12" s="66">
        <v>3.57249181304E-3</v>
      </c>
      <c r="E12" s="35"/>
      <c r="F12" s="35"/>
    </row>
    <row r="13" spans="1:6" ht="14.45" customHeight="1">
      <c r="A13" s="35"/>
      <c r="B13" s="64" t="s">
        <v>210</v>
      </c>
      <c r="C13" s="65">
        <v>9</v>
      </c>
      <c r="D13" s="66">
        <v>1.33968442989E-3</v>
      </c>
      <c r="E13" s="35"/>
      <c r="F13" s="35"/>
    </row>
    <row r="14" spans="1:6" ht="14.45" customHeight="1">
      <c r="A14" s="35"/>
      <c r="B14" s="64" t="s">
        <v>211</v>
      </c>
      <c r="C14" s="65">
        <v>13</v>
      </c>
      <c r="D14" s="66">
        <v>1.9350997320630001E-3</v>
      </c>
      <c r="E14" s="35"/>
      <c r="F14" s="35"/>
    </row>
    <row r="15" spans="1:6" ht="14.45" customHeight="1">
      <c r="A15" s="35"/>
      <c r="B15" s="64" t="s">
        <v>212</v>
      </c>
      <c r="C15" s="65">
        <v>41</v>
      </c>
      <c r="D15" s="66">
        <v>6.1030068472759996E-3</v>
      </c>
      <c r="E15" s="35"/>
      <c r="F15" s="35"/>
    </row>
    <row r="16" spans="1:6" ht="14.45" customHeight="1">
      <c r="A16" s="35"/>
      <c r="B16" s="64" t="s">
        <v>213</v>
      </c>
      <c r="C16" s="65">
        <v>30</v>
      </c>
      <c r="D16" s="66">
        <v>4.4656147662989996E-3</v>
      </c>
      <c r="E16" s="35"/>
      <c r="F16" s="35"/>
    </row>
    <row r="17" spans="1:6" ht="14.45" customHeight="1">
      <c r="A17" s="35"/>
      <c r="B17" s="64" t="s">
        <v>214</v>
      </c>
      <c r="C17" s="65">
        <v>65</v>
      </c>
      <c r="D17" s="66">
        <v>9.6754986603159992E-3</v>
      </c>
      <c r="E17" s="35"/>
      <c r="F17" s="35"/>
    </row>
    <row r="18" spans="1:6" ht="14.45" customHeight="1">
      <c r="A18" s="35"/>
      <c r="B18" s="64" t="s">
        <v>215</v>
      </c>
      <c r="C18" s="65">
        <v>232</v>
      </c>
      <c r="D18" s="66">
        <v>3.4534087526049001E-2</v>
      </c>
      <c r="E18" s="35"/>
      <c r="F18" s="35"/>
    </row>
    <row r="19" spans="1:6" ht="14.45" customHeight="1">
      <c r="A19" s="35"/>
      <c r="B19" s="64" t="s">
        <v>216</v>
      </c>
      <c r="C19" s="65">
        <v>349</v>
      </c>
      <c r="D19" s="66">
        <v>5.1949985114617001E-2</v>
      </c>
      <c r="E19" s="35"/>
      <c r="F19" s="35"/>
    </row>
    <row r="20" spans="1:6" ht="14.45" customHeight="1">
      <c r="A20" s="35"/>
      <c r="B20" s="64" t="s">
        <v>217</v>
      </c>
      <c r="C20" s="65">
        <v>58</v>
      </c>
      <c r="D20" s="66">
        <v>8.6335218815120005E-3</v>
      </c>
      <c r="E20" s="35"/>
      <c r="F20" s="35"/>
    </row>
    <row r="21" spans="1:6" ht="14.45" customHeight="1">
      <c r="A21" s="35"/>
      <c r="B21" s="64" t="s">
        <v>218</v>
      </c>
      <c r="C21" s="65">
        <v>140</v>
      </c>
      <c r="D21" s="66">
        <v>2.0839535576064001E-2</v>
      </c>
      <c r="E21" s="35"/>
      <c r="F21" s="35"/>
    </row>
    <row r="22" spans="1:6" ht="14.45" customHeight="1">
      <c r="A22" s="35"/>
      <c r="B22" s="64" t="s">
        <v>219</v>
      </c>
      <c r="C22" s="65">
        <v>254</v>
      </c>
      <c r="D22" s="66">
        <v>3.7808871688002003E-2</v>
      </c>
      <c r="E22" s="35"/>
      <c r="F22" s="35"/>
    </row>
    <row r="23" spans="1:6" ht="14.45" customHeight="1">
      <c r="A23" s="35"/>
      <c r="B23" s="64" t="s">
        <v>220</v>
      </c>
      <c r="C23" s="65">
        <v>1525</v>
      </c>
      <c r="D23" s="66">
        <v>0.227002083953558</v>
      </c>
      <c r="E23" s="35"/>
      <c r="F23" s="35"/>
    </row>
    <row r="24" spans="1:6" ht="14.45" customHeight="1">
      <c r="A24" s="35"/>
      <c r="B24" s="64" t="s">
        <v>221</v>
      </c>
      <c r="C24" s="65">
        <v>185</v>
      </c>
      <c r="D24" s="66">
        <v>2.7537957725514001E-2</v>
      </c>
      <c r="E24" s="35"/>
      <c r="F24" s="35"/>
    </row>
    <row r="25" spans="1:6" ht="14.45" customHeight="1">
      <c r="A25" s="35"/>
      <c r="B25" s="64" t="s">
        <v>222</v>
      </c>
      <c r="C25" s="65">
        <v>542</v>
      </c>
      <c r="D25" s="66">
        <v>8.0678773444478005E-2</v>
      </c>
      <c r="E25" s="35"/>
      <c r="F25" s="35"/>
    </row>
    <row r="26" spans="1:6" ht="14.45" customHeight="1">
      <c r="A26" s="35"/>
      <c r="B26" s="64" t="s">
        <v>223</v>
      </c>
      <c r="C26" s="65">
        <v>2042</v>
      </c>
      <c r="D26" s="66">
        <v>0.30395951175945202</v>
      </c>
      <c r="E26" s="35"/>
      <c r="F26" s="35"/>
    </row>
    <row r="27" spans="1:6" ht="14.45" customHeight="1">
      <c r="A27" s="35"/>
      <c r="B27" s="64" t="s">
        <v>224</v>
      </c>
      <c r="C27" s="65">
        <v>53</v>
      </c>
      <c r="D27" s="66">
        <v>7.8892527537960007E-3</v>
      </c>
      <c r="E27" s="35"/>
      <c r="F27" s="35"/>
    </row>
    <row r="28" spans="1:6" ht="14.45" customHeight="1">
      <c r="A28" s="35"/>
      <c r="B28" s="64" t="s">
        <v>225</v>
      </c>
      <c r="C28" s="65">
        <v>47</v>
      </c>
      <c r="D28" s="66">
        <v>6.9961298005359997E-3</v>
      </c>
      <c r="E28" s="35"/>
      <c r="F28" s="35"/>
    </row>
    <row r="29" spans="1:6" ht="14.45" customHeight="1">
      <c r="A29" s="35"/>
      <c r="B29" s="64" t="s">
        <v>226</v>
      </c>
      <c r="C29" s="65">
        <v>41</v>
      </c>
      <c r="D29" s="66">
        <v>6.1030068472759996E-3</v>
      </c>
      <c r="E29" s="35"/>
      <c r="F29" s="35"/>
    </row>
    <row r="30" spans="1:6" ht="14.45" customHeight="1">
      <c r="A30" s="35"/>
      <c r="B30" s="64" t="s">
        <v>227</v>
      </c>
      <c r="C30" s="65">
        <v>22</v>
      </c>
      <c r="D30" s="66">
        <v>3.2747841619529998E-3</v>
      </c>
      <c r="E30" s="35"/>
      <c r="F30" s="35"/>
    </row>
    <row r="31" spans="1:6" ht="14.45" customHeight="1">
      <c r="A31" s="35"/>
      <c r="B31" s="64" t="s">
        <v>228</v>
      </c>
      <c r="C31" s="65">
        <v>232</v>
      </c>
      <c r="D31" s="66">
        <v>3.4534087526049001E-2</v>
      </c>
      <c r="E31" s="35"/>
      <c r="F31" s="35"/>
    </row>
    <row r="32" spans="1:6" ht="14.45" customHeight="1">
      <c r="A32" s="35"/>
      <c r="B32" s="64" t="s">
        <v>229</v>
      </c>
      <c r="C32" s="65">
        <v>759</v>
      </c>
      <c r="D32" s="66">
        <v>0.11298005358737701</v>
      </c>
      <c r="E32" s="35"/>
      <c r="F32" s="35"/>
    </row>
    <row r="33" spans="1:6" ht="14.45" customHeight="1">
      <c r="A33" s="35"/>
      <c r="B33" s="64" t="s">
        <v>230</v>
      </c>
      <c r="C33" s="65">
        <v>13</v>
      </c>
      <c r="D33" s="66">
        <v>1.9350997320630001E-3</v>
      </c>
      <c r="E33" s="35"/>
      <c r="F33" s="35"/>
    </row>
    <row r="34" spans="1:6" ht="14.45" customHeight="1">
      <c r="A34" s="35"/>
      <c r="B34" s="64" t="s">
        <v>231</v>
      </c>
      <c r="C34" s="65">
        <v>37</v>
      </c>
      <c r="D34" s="66">
        <v>5.5075915451030001E-3</v>
      </c>
      <c r="E34" s="35"/>
      <c r="F34" s="35"/>
    </row>
    <row r="35" spans="1:6" ht="14.45" customHeight="1">
      <c r="A35" s="35"/>
      <c r="B35" s="64" t="s">
        <v>232</v>
      </c>
      <c r="C35" s="65">
        <v>5</v>
      </c>
      <c r="D35" s="66">
        <v>7.4426912771700005E-4</v>
      </c>
      <c r="E35" s="35"/>
      <c r="F35" s="35"/>
    </row>
    <row r="36" spans="1:6" ht="14.45" customHeight="1">
      <c r="A36" s="35"/>
      <c r="B36" s="77" t="s">
        <v>325</v>
      </c>
      <c r="C36" s="68">
        <v>6718</v>
      </c>
      <c r="D36" s="69">
        <v>1</v>
      </c>
      <c r="E36" s="35"/>
      <c r="F36" s="35"/>
    </row>
    <row r="37" spans="1:6" ht="14.45" customHeight="1">
      <c r="A37" s="35"/>
      <c r="B37" s="35"/>
      <c r="C37" s="37"/>
      <c r="D37" s="35"/>
      <c r="E37" s="35"/>
      <c r="F37" s="35"/>
    </row>
    <row r="38" spans="1:6" ht="14.45" customHeight="1">
      <c r="A38" s="35"/>
      <c r="B38" s="36" t="s">
        <v>288</v>
      </c>
      <c r="C38" s="37"/>
      <c r="D38" s="35"/>
      <c r="E38" s="35"/>
      <c r="F38" s="35"/>
    </row>
    <row r="39" spans="1:6" ht="14.45" customHeight="1">
      <c r="A39" s="35"/>
      <c r="B39" s="38" t="s">
        <v>18</v>
      </c>
      <c r="C39" s="37"/>
      <c r="D39" s="35"/>
      <c r="E39" s="35"/>
      <c r="F39" s="35"/>
    </row>
    <row r="40" spans="1:6" ht="14.45" customHeight="1">
      <c r="A40" s="35"/>
      <c r="B40" s="39" t="s">
        <v>46</v>
      </c>
      <c r="C40" s="37"/>
      <c r="D40" s="35"/>
      <c r="E40" s="35"/>
      <c r="F40" s="35"/>
    </row>
    <row r="41" spans="1:6" ht="14.45" customHeight="1">
      <c r="A41" s="35"/>
      <c r="B41" s="36" t="s">
        <v>17</v>
      </c>
      <c r="C41" s="37"/>
      <c r="D41" s="35"/>
      <c r="E41" s="35"/>
      <c r="F41" s="35"/>
    </row>
    <row r="42" spans="1:6" ht="14.45" customHeight="1">
      <c r="A42" s="35"/>
      <c r="B42" s="36" t="s">
        <v>322</v>
      </c>
      <c r="C42" s="37"/>
      <c r="D42" s="35"/>
      <c r="E42" s="35"/>
      <c r="F42" s="35"/>
    </row>
    <row r="43" spans="1:6">
      <c r="A43" s="28"/>
    </row>
    <row r="45" spans="1:6">
      <c r="C45" s="13"/>
    </row>
    <row r="46" spans="1:6">
      <c r="C46" s="13"/>
    </row>
    <row r="47" spans="1:6">
      <c r="C47" s="13"/>
    </row>
    <row r="48" spans="1:6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427"/>
  <sheetViews>
    <sheetView showGridLines="0" view="pageBreakPreview" zoomScale="118" zoomScaleNormal="100" zoomScaleSheetLayoutView="118" workbookViewId="0">
      <selection activeCell="D420" sqref="D420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22" customFormat="1" ht="12" customHeight="1">
      <c r="B1" s="25"/>
      <c r="C1" s="24"/>
      <c r="D1" s="24"/>
      <c r="E1" s="24"/>
    </row>
    <row r="2" spans="1:5" s="22" customFormat="1" ht="15" customHeight="1">
      <c r="C2" s="27"/>
    </row>
    <row r="3" spans="1:5" s="22" customFormat="1" ht="15" customHeight="1">
      <c r="C3" s="27"/>
    </row>
    <row r="4" spans="1:5" s="22" customFormat="1" ht="30" customHeight="1">
      <c r="C4" s="27"/>
      <c r="D4" s="26"/>
    </row>
    <row r="5" spans="1:5" s="22" customFormat="1" ht="15" customHeight="1">
      <c r="C5" s="27"/>
      <c r="D5" s="26"/>
    </row>
    <row r="6" spans="1:5" s="22" customFormat="1" ht="24" customHeight="1">
      <c r="B6" s="47"/>
      <c r="C6" s="48"/>
      <c r="D6" s="48"/>
      <c r="E6" s="48"/>
    </row>
    <row r="7" spans="1:5" s="22" customFormat="1" ht="26.25" customHeight="1">
      <c r="A7" s="23"/>
      <c r="B7" s="105"/>
      <c r="C7" s="105"/>
      <c r="D7" s="105"/>
      <c r="E7" s="105"/>
    </row>
    <row r="8" spans="1:5" s="22" customFormat="1" ht="33" customHeight="1">
      <c r="A8" s="23"/>
      <c r="B8" s="105"/>
      <c r="C8" s="105"/>
      <c r="D8" s="105"/>
      <c r="E8" s="105"/>
    </row>
    <row r="9" spans="1:5" s="16" customFormat="1" ht="40.5" customHeight="1">
      <c r="B9" s="49" t="s">
        <v>28</v>
      </c>
      <c r="C9" s="50" t="s">
        <v>25</v>
      </c>
      <c r="D9" s="51" t="s">
        <v>20</v>
      </c>
      <c r="E9" s="49" t="s">
        <v>19</v>
      </c>
    </row>
    <row r="10" spans="1:5" s="32" customFormat="1" ht="14.45" customHeight="1">
      <c r="B10" s="101" t="s">
        <v>209</v>
      </c>
      <c r="C10" s="58" t="s">
        <v>98</v>
      </c>
      <c r="D10" s="61">
        <v>1</v>
      </c>
      <c r="E10" s="60">
        <v>0</v>
      </c>
    </row>
    <row r="11" spans="1:5" s="32" customFormat="1" ht="14.45" customHeight="1">
      <c r="B11" s="102"/>
      <c r="C11" s="58" t="s">
        <v>99</v>
      </c>
      <c r="D11" s="61">
        <v>9</v>
      </c>
      <c r="E11" s="60">
        <v>1E-3</v>
      </c>
    </row>
    <row r="12" spans="1:5" s="32" customFormat="1" ht="14.45" customHeight="1">
      <c r="B12" s="102"/>
      <c r="C12" s="58" t="s">
        <v>101</v>
      </c>
      <c r="D12" s="61">
        <v>8</v>
      </c>
      <c r="E12" s="60">
        <v>1E-3</v>
      </c>
    </row>
    <row r="13" spans="1:5" s="32" customFormat="1" ht="14.45" customHeight="1">
      <c r="B13" s="102"/>
      <c r="C13" s="58" t="s">
        <v>106</v>
      </c>
      <c r="D13" s="61">
        <v>1</v>
      </c>
      <c r="E13" s="60">
        <v>0</v>
      </c>
    </row>
    <row r="14" spans="1:5" s="32" customFormat="1" ht="14.45" customHeight="1">
      <c r="B14" s="102"/>
      <c r="C14" s="58" t="s">
        <v>121</v>
      </c>
      <c r="D14" s="61">
        <v>1</v>
      </c>
      <c r="E14" s="60">
        <v>0</v>
      </c>
    </row>
    <row r="15" spans="1:5" s="32" customFormat="1" ht="14.45" customHeight="1">
      <c r="B15" s="102"/>
      <c r="C15" s="58" t="s">
        <v>122</v>
      </c>
      <c r="D15" s="61">
        <v>1</v>
      </c>
      <c r="E15" s="60">
        <v>0</v>
      </c>
    </row>
    <row r="16" spans="1:5" s="32" customFormat="1" ht="14.45" customHeight="1">
      <c r="B16" s="102"/>
      <c r="C16" s="58" t="s">
        <v>126</v>
      </c>
      <c r="D16" s="61">
        <v>1</v>
      </c>
      <c r="E16" s="60">
        <v>0</v>
      </c>
    </row>
    <row r="17" spans="2:5" s="32" customFormat="1" ht="14.45" customHeight="1">
      <c r="B17" s="102"/>
      <c r="C17" s="58" t="s">
        <v>135</v>
      </c>
      <c r="D17" s="61">
        <v>2</v>
      </c>
      <c r="E17" s="60">
        <v>0</v>
      </c>
    </row>
    <row r="18" spans="2:5" s="32" customFormat="1" ht="14.45" customHeight="1">
      <c r="B18" s="103"/>
      <c r="C18" s="75" t="s">
        <v>324</v>
      </c>
      <c r="D18" s="76">
        <v>24</v>
      </c>
      <c r="E18" s="72">
        <v>4.0000000000000001E-3</v>
      </c>
    </row>
    <row r="19" spans="2:5" s="32" customFormat="1" ht="14.45" customHeight="1">
      <c r="B19" s="101" t="s">
        <v>294</v>
      </c>
      <c r="C19" s="58" t="s">
        <v>99</v>
      </c>
      <c r="D19" s="61">
        <v>4</v>
      </c>
      <c r="E19" s="60">
        <v>1E-3</v>
      </c>
    </row>
    <row r="20" spans="2:5" s="32" customFormat="1" ht="14.45" customHeight="1">
      <c r="B20" s="102"/>
      <c r="C20" s="58" t="s">
        <v>101</v>
      </c>
      <c r="D20" s="61">
        <v>4</v>
      </c>
      <c r="E20" s="60">
        <v>1E-3</v>
      </c>
    </row>
    <row r="21" spans="2:5" s="32" customFormat="1" ht="14.45" customHeight="1">
      <c r="B21" s="102"/>
      <c r="C21" s="58" t="s">
        <v>129</v>
      </c>
      <c r="D21" s="61">
        <v>1</v>
      </c>
      <c r="E21" s="60">
        <v>0</v>
      </c>
    </row>
    <row r="22" spans="2:5" s="32" customFormat="1" ht="14.45" customHeight="1">
      <c r="B22" s="103"/>
      <c r="C22" s="75" t="s">
        <v>324</v>
      </c>
      <c r="D22" s="76">
        <v>9</v>
      </c>
      <c r="E22" s="72">
        <v>1E-3</v>
      </c>
    </row>
    <row r="23" spans="2:5" s="32" customFormat="1" ht="14.45" customHeight="1">
      <c r="B23" s="101" t="s">
        <v>295</v>
      </c>
      <c r="C23" s="58" t="s">
        <v>99</v>
      </c>
      <c r="D23" s="61">
        <v>5</v>
      </c>
      <c r="E23" s="60">
        <v>1E-3</v>
      </c>
    </row>
    <row r="24" spans="2:5" s="32" customFormat="1" ht="14.45" customHeight="1">
      <c r="B24" s="102"/>
      <c r="C24" s="58" t="s">
        <v>100</v>
      </c>
      <c r="D24" s="61">
        <v>1</v>
      </c>
      <c r="E24" s="60">
        <v>0</v>
      </c>
    </row>
    <row r="25" spans="2:5" s="32" customFormat="1" ht="14.45" customHeight="1">
      <c r="B25" s="102"/>
      <c r="C25" s="58" t="s">
        <v>101</v>
      </c>
      <c r="D25" s="61">
        <v>5</v>
      </c>
      <c r="E25" s="60">
        <v>1E-3</v>
      </c>
    </row>
    <row r="26" spans="2:5" s="32" customFormat="1" ht="14.45" customHeight="1">
      <c r="B26" s="102"/>
      <c r="C26" s="58" t="s">
        <v>112</v>
      </c>
      <c r="D26" s="61">
        <v>1</v>
      </c>
      <c r="E26" s="60">
        <v>0</v>
      </c>
    </row>
    <row r="27" spans="2:5" s="32" customFormat="1" ht="14.45" customHeight="1">
      <c r="B27" s="102"/>
      <c r="C27" s="58" t="s">
        <v>135</v>
      </c>
      <c r="D27" s="61">
        <v>1</v>
      </c>
      <c r="E27" s="60">
        <v>0</v>
      </c>
    </row>
    <row r="28" spans="2:5" s="32" customFormat="1" ht="14.45" customHeight="1">
      <c r="B28" s="103"/>
      <c r="C28" s="75" t="s">
        <v>324</v>
      </c>
      <c r="D28" s="76">
        <v>13</v>
      </c>
      <c r="E28" s="72">
        <v>2E-3</v>
      </c>
    </row>
    <row r="29" spans="2:5" s="32" customFormat="1" ht="14.45" customHeight="1">
      <c r="B29" s="101" t="s">
        <v>296</v>
      </c>
      <c r="C29" s="58" t="s">
        <v>99</v>
      </c>
      <c r="D29" s="61">
        <v>15</v>
      </c>
      <c r="E29" s="60">
        <v>2E-3</v>
      </c>
    </row>
    <row r="30" spans="2:5" s="32" customFormat="1" ht="14.45" customHeight="1">
      <c r="B30" s="102"/>
      <c r="C30" s="58" t="s">
        <v>101</v>
      </c>
      <c r="D30" s="61">
        <v>15</v>
      </c>
      <c r="E30" s="60">
        <v>2E-3</v>
      </c>
    </row>
    <row r="31" spans="2:5" s="32" customFormat="1" ht="14.45" customHeight="1">
      <c r="B31" s="102"/>
      <c r="C31" s="58" t="s">
        <v>102</v>
      </c>
      <c r="D31" s="61">
        <v>2</v>
      </c>
      <c r="E31" s="60">
        <v>0</v>
      </c>
    </row>
    <row r="32" spans="2:5" s="32" customFormat="1" ht="14.45" customHeight="1">
      <c r="B32" s="102"/>
      <c r="C32" s="58" t="s">
        <v>109</v>
      </c>
      <c r="D32" s="61">
        <v>1</v>
      </c>
      <c r="E32" s="60">
        <v>0</v>
      </c>
    </row>
    <row r="33" spans="2:5" s="32" customFormat="1" ht="14.45" customHeight="1">
      <c r="B33" s="102"/>
      <c r="C33" s="58" t="s">
        <v>116</v>
      </c>
      <c r="D33" s="61">
        <v>1</v>
      </c>
      <c r="E33" s="60">
        <v>0</v>
      </c>
    </row>
    <row r="34" spans="2:5" s="32" customFormat="1" ht="14.45" customHeight="1">
      <c r="B34" s="102"/>
      <c r="C34" s="58" t="s">
        <v>122</v>
      </c>
      <c r="D34" s="61">
        <v>3</v>
      </c>
      <c r="E34" s="60">
        <v>0</v>
      </c>
    </row>
    <row r="35" spans="2:5" s="32" customFormat="1" ht="14.45" customHeight="1">
      <c r="B35" s="102"/>
      <c r="C35" s="58" t="s">
        <v>123</v>
      </c>
      <c r="D35" s="61">
        <v>2</v>
      </c>
      <c r="E35" s="60">
        <v>0</v>
      </c>
    </row>
    <row r="36" spans="2:5" s="32" customFormat="1" ht="14.45" customHeight="1">
      <c r="B36" s="102"/>
      <c r="C36" s="58" t="s">
        <v>126</v>
      </c>
      <c r="D36" s="61">
        <v>1</v>
      </c>
      <c r="E36" s="60">
        <v>0</v>
      </c>
    </row>
    <row r="37" spans="2:5" s="32" customFormat="1" ht="14.45" customHeight="1">
      <c r="B37" s="102"/>
      <c r="C37" s="58" t="s">
        <v>135</v>
      </c>
      <c r="D37" s="61">
        <v>1</v>
      </c>
      <c r="E37" s="60">
        <v>0</v>
      </c>
    </row>
    <row r="38" spans="2:5" s="32" customFormat="1" ht="14.45" customHeight="1">
      <c r="B38" s="103"/>
      <c r="C38" s="75" t="s">
        <v>324</v>
      </c>
      <c r="D38" s="76">
        <v>41</v>
      </c>
      <c r="E38" s="72">
        <v>6.0000000000000001E-3</v>
      </c>
    </row>
    <row r="39" spans="2:5" s="32" customFormat="1" ht="14.45" customHeight="1">
      <c r="B39" s="101" t="s">
        <v>297</v>
      </c>
      <c r="C39" s="58" t="s">
        <v>99</v>
      </c>
      <c r="D39" s="61">
        <v>9</v>
      </c>
      <c r="E39" s="60">
        <v>1E-3</v>
      </c>
    </row>
    <row r="40" spans="2:5" s="32" customFormat="1" ht="14.45" customHeight="1">
      <c r="B40" s="102"/>
      <c r="C40" s="58" t="s">
        <v>100</v>
      </c>
      <c r="D40" s="61">
        <v>1</v>
      </c>
      <c r="E40" s="60">
        <v>0</v>
      </c>
    </row>
    <row r="41" spans="2:5" s="32" customFormat="1" ht="14.45" customHeight="1">
      <c r="B41" s="102"/>
      <c r="C41" s="58" t="s">
        <v>101</v>
      </c>
      <c r="D41" s="61">
        <v>11</v>
      </c>
      <c r="E41" s="60">
        <v>2E-3</v>
      </c>
    </row>
    <row r="42" spans="2:5" s="32" customFormat="1" ht="14.45" customHeight="1">
      <c r="B42" s="102"/>
      <c r="C42" s="58" t="s">
        <v>102</v>
      </c>
      <c r="D42" s="61">
        <v>2</v>
      </c>
      <c r="E42" s="60">
        <v>0</v>
      </c>
    </row>
    <row r="43" spans="2:5" s="32" customFormat="1" ht="14.45" customHeight="1">
      <c r="B43" s="102"/>
      <c r="C43" s="58" t="s">
        <v>112</v>
      </c>
      <c r="D43" s="61">
        <v>1</v>
      </c>
      <c r="E43" s="60">
        <v>0</v>
      </c>
    </row>
    <row r="44" spans="2:5" s="32" customFormat="1" ht="14.45" customHeight="1">
      <c r="B44" s="102"/>
      <c r="C44" s="58" t="s">
        <v>119</v>
      </c>
      <c r="D44" s="61">
        <v>1</v>
      </c>
      <c r="E44" s="60">
        <v>0</v>
      </c>
    </row>
    <row r="45" spans="2:5" s="32" customFormat="1" ht="14.45" customHeight="1">
      <c r="B45" s="102"/>
      <c r="C45" s="58" t="s">
        <v>122</v>
      </c>
      <c r="D45" s="61">
        <v>1</v>
      </c>
      <c r="E45" s="60">
        <v>0</v>
      </c>
    </row>
    <row r="46" spans="2:5" s="32" customFormat="1" ht="14.45" customHeight="1">
      <c r="B46" s="102"/>
      <c r="C46" s="58" t="s">
        <v>129</v>
      </c>
      <c r="D46" s="61">
        <v>1</v>
      </c>
      <c r="E46" s="60">
        <v>0</v>
      </c>
    </row>
    <row r="47" spans="2:5" s="32" customFormat="1" ht="14.45" customHeight="1">
      <c r="B47" s="102"/>
      <c r="C47" s="58" t="s">
        <v>135</v>
      </c>
      <c r="D47" s="61">
        <v>1</v>
      </c>
      <c r="E47" s="60">
        <v>0</v>
      </c>
    </row>
    <row r="48" spans="2:5" s="32" customFormat="1" ht="14.45" customHeight="1">
      <c r="B48" s="102"/>
      <c r="C48" s="58" t="s">
        <v>136</v>
      </c>
      <c r="D48" s="61">
        <v>2</v>
      </c>
      <c r="E48" s="60">
        <v>0</v>
      </c>
    </row>
    <row r="49" spans="2:5" s="32" customFormat="1" ht="14.45" customHeight="1">
      <c r="B49" s="103"/>
      <c r="C49" s="75" t="s">
        <v>324</v>
      </c>
      <c r="D49" s="76">
        <v>30</v>
      </c>
      <c r="E49" s="72">
        <v>4.0000000000000001E-3</v>
      </c>
    </row>
    <row r="50" spans="2:5" s="32" customFormat="1" ht="14.45" customHeight="1">
      <c r="B50" s="101" t="s">
        <v>298</v>
      </c>
      <c r="C50" s="58" t="s">
        <v>99</v>
      </c>
      <c r="D50" s="61">
        <v>25</v>
      </c>
      <c r="E50" s="60">
        <v>4.0000000000000001E-3</v>
      </c>
    </row>
    <row r="51" spans="2:5" s="32" customFormat="1" ht="14.45" customHeight="1">
      <c r="B51" s="102"/>
      <c r="C51" s="58" t="s">
        <v>100</v>
      </c>
      <c r="D51" s="61">
        <v>1</v>
      </c>
      <c r="E51" s="60">
        <v>0</v>
      </c>
    </row>
    <row r="52" spans="2:5" s="32" customFormat="1" ht="14.45" customHeight="1">
      <c r="B52" s="102"/>
      <c r="C52" s="58" t="s">
        <v>101</v>
      </c>
      <c r="D52" s="61">
        <v>25</v>
      </c>
      <c r="E52" s="60">
        <v>4.0000000000000001E-3</v>
      </c>
    </row>
    <row r="53" spans="2:5" s="32" customFormat="1" ht="14.45" customHeight="1">
      <c r="B53" s="102"/>
      <c r="C53" s="58" t="s">
        <v>102</v>
      </c>
      <c r="D53" s="61">
        <v>1</v>
      </c>
      <c r="E53" s="60">
        <v>0</v>
      </c>
    </row>
    <row r="54" spans="2:5" s="32" customFormat="1" ht="14.45" customHeight="1">
      <c r="B54" s="102"/>
      <c r="C54" s="58" t="s">
        <v>108</v>
      </c>
      <c r="D54" s="61">
        <v>1</v>
      </c>
      <c r="E54" s="60">
        <v>0</v>
      </c>
    </row>
    <row r="55" spans="2:5" s="32" customFormat="1" ht="14.45" customHeight="1">
      <c r="B55" s="102"/>
      <c r="C55" s="58" t="s">
        <v>109</v>
      </c>
      <c r="D55" s="61">
        <v>1</v>
      </c>
      <c r="E55" s="60">
        <v>0</v>
      </c>
    </row>
    <row r="56" spans="2:5" s="32" customFormat="1" ht="14.45" customHeight="1">
      <c r="B56" s="102"/>
      <c r="C56" s="58" t="s">
        <v>116</v>
      </c>
      <c r="D56" s="61">
        <v>2</v>
      </c>
      <c r="E56" s="60">
        <v>0</v>
      </c>
    </row>
    <row r="57" spans="2:5" s="32" customFormat="1" ht="14.45" customHeight="1">
      <c r="B57" s="102"/>
      <c r="C57" s="58" t="s">
        <v>122</v>
      </c>
      <c r="D57" s="61">
        <v>1</v>
      </c>
      <c r="E57" s="60">
        <v>0</v>
      </c>
    </row>
    <row r="58" spans="2:5" s="32" customFormat="1" ht="14.45" customHeight="1">
      <c r="B58" s="102"/>
      <c r="C58" s="58" t="s">
        <v>124</v>
      </c>
      <c r="D58" s="61">
        <v>1</v>
      </c>
      <c r="E58" s="60">
        <v>0</v>
      </c>
    </row>
    <row r="59" spans="2:5" s="32" customFormat="1" ht="14.45" customHeight="1">
      <c r="B59" s="102"/>
      <c r="C59" s="58" t="s">
        <v>130</v>
      </c>
      <c r="D59" s="61">
        <v>1</v>
      </c>
      <c r="E59" s="60">
        <v>0</v>
      </c>
    </row>
    <row r="60" spans="2:5" s="32" customFormat="1" ht="14.45" customHeight="1">
      <c r="B60" s="102"/>
      <c r="C60" s="58" t="s">
        <v>134</v>
      </c>
      <c r="D60" s="61">
        <v>3</v>
      </c>
      <c r="E60" s="60">
        <v>0</v>
      </c>
    </row>
    <row r="61" spans="2:5" s="32" customFormat="1" ht="14.45" customHeight="1">
      <c r="B61" s="102"/>
      <c r="C61" s="58" t="s">
        <v>135</v>
      </c>
      <c r="D61" s="61">
        <v>1</v>
      </c>
      <c r="E61" s="60">
        <v>0</v>
      </c>
    </row>
    <row r="62" spans="2:5" s="32" customFormat="1" ht="14.45" customHeight="1">
      <c r="B62" s="102"/>
      <c r="C62" s="58" t="s">
        <v>93</v>
      </c>
      <c r="D62" s="61">
        <v>2</v>
      </c>
      <c r="E62" s="60">
        <v>0</v>
      </c>
    </row>
    <row r="63" spans="2:5" s="32" customFormat="1" ht="14.45" customHeight="1">
      <c r="B63" s="103"/>
      <c r="C63" s="75" t="s">
        <v>324</v>
      </c>
      <c r="D63" s="76">
        <v>65</v>
      </c>
      <c r="E63" s="72">
        <v>0.01</v>
      </c>
    </row>
    <row r="64" spans="2:5" s="32" customFormat="1" ht="14.45" customHeight="1">
      <c r="B64" s="101" t="s">
        <v>299</v>
      </c>
      <c r="C64" s="58" t="s">
        <v>98</v>
      </c>
      <c r="D64" s="61">
        <v>1</v>
      </c>
      <c r="E64" s="60">
        <v>0</v>
      </c>
    </row>
    <row r="65" spans="2:5" s="32" customFormat="1" ht="14.45" customHeight="1">
      <c r="B65" s="102"/>
      <c r="C65" s="58" t="s">
        <v>99</v>
      </c>
      <c r="D65" s="61">
        <v>97</v>
      </c>
      <c r="E65" s="60">
        <v>1.4E-2</v>
      </c>
    </row>
    <row r="66" spans="2:5" s="32" customFormat="1" ht="14.45" customHeight="1">
      <c r="B66" s="102"/>
      <c r="C66" s="58" t="s">
        <v>101</v>
      </c>
      <c r="D66" s="61">
        <v>77</v>
      </c>
      <c r="E66" s="60">
        <v>1.0999999999999999E-2</v>
      </c>
    </row>
    <row r="67" spans="2:5" s="32" customFormat="1" ht="14.45" customHeight="1">
      <c r="B67" s="102"/>
      <c r="C67" s="58" t="s">
        <v>102</v>
      </c>
      <c r="D67" s="61">
        <v>6</v>
      </c>
      <c r="E67" s="60">
        <v>1E-3</v>
      </c>
    </row>
    <row r="68" spans="2:5" s="32" customFormat="1" ht="14.45" customHeight="1">
      <c r="B68" s="102"/>
      <c r="C68" s="58" t="s">
        <v>107</v>
      </c>
      <c r="D68" s="61">
        <v>1</v>
      </c>
      <c r="E68" s="60">
        <v>0</v>
      </c>
    </row>
    <row r="69" spans="2:5" s="32" customFormat="1" ht="14.45" customHeight="1">
      <c r="B69" s="102"/>
      <c r="C69" s="58" t="s">
        <v>108</v>
      </c>
      <c r="D69" s="61">
        <v>3</v>
      </c>
      <c r="E69" s="60">
        <v>0</v>
      </c>
    </row>
    <row r="70" spans="2:5" s="32" customFormat="1" ht="14.45" customHeight="1">
      <c r="B70" s="102"/>
      <c r="C70" s="58" t="s">
        <v>109</v>
      </c>
      <c r="D70" s="61">
        <v>2</v>
      </c>
      <c r="E70" s="60">
        <v>0</v>
      </c>
    </row>
    <row r="71" spans="2:5" s="32" customFormat="1" ht="14.45" customHeight="1">
      <c r="B71" s="102"/>
      <c r="C71" s="58" t="s">
        <v>120</v>
      </c>
      <c r="D71" s="61">
        <v>1</v>
      </c>
      <c r="E71" s="60">
        <v>0</v>
      </c>
    </row>
    <row r="72" spans="2:5" s="32" customFormat="1" ht="14.45" customHeight="1">
      <c r="B72" s="102"/>
      <c r="C72" s="58" t="s">
        <v>121</v>
      </c>
      <c r="D72" s="61">
        <v>2</v>
      </c>
      <c r="E72" s="60">
        <v>0</v>
      </c>
    </row>
    <row r="73" spans="2:5" s="32" customFormat="1" ht="14.45" customHeight="1">
      <c r="B73" s="102"/>
      <c r="C73" s="58" t="s">
        <v>122</v>
      </c>
      <c r="D73" s="61">
        <v>14</v>
      </c>
      <c r="E73" s="60">
        <v>2E-3</v>
      </c>
    </row>
    <row r="74" spans="2:5" s="32" customFormat="1" ht="14.45" customHeight="1">
      <c r="B74" s="102"/>
      <c r="C74" s="58" t="s">
        <v>124</v>
      </c>
      <c r="D74" s="61">
        <v>3</v>
      </c>
      <c r="E74" s="60">
        <v>0</v>
      </c>
    </row>
    <row r="75" spans="2:5" s="32" customFormat="1" ht="14.45" customHeight="1">
      <c r="B75" s="102"/>
      <c r="C75" s="58" t="s">
        <v>125</v>
      </c>
      <c r="D75" s="61">
        <v>1</v>
      </c>
      <c r="E75" s="60">
        <v>0</v>
      </c>
    </row>
    <row r="76" spans="2:5" s="32" customFormat="1" ht="14.45" customHeight="1">
      <c r="B76" s="102"/>
      <c r="C76" s="58" t="s">
        <v>126</v>
      </c>
      <c r="D76" s="61">
        <v>1</v>
      </c>
      <c r="E76" s="60">
        <v>0</v>
      </c>
    </row>
    <row r="77" spans="2:5" s="32" customFormat="1" ht="14.45" customHeight="1">
      <c r="B77" s="102"/>
      <c r="C77" s="58" t="s">
        <v>128</v>
      </c>
      <c r="D77" s="61">
        <v>2</v>
      </c>
      <c r="E77" s="60">
        <v>0</v>
      </c>
    </row>
    <row r="78" spans="2:5" s="32" customFormat="1" ht="14.45" customHeight="1">
      <c r="B78" s="102"/>
      <c r="C78" s="58" t="s">
        <v>129</v>
      </c>
      <c r="D78" s="61">
        <v>2</v>
      </c>
      <c r="E78" s="60">
        <v>0</v>
      </c>
    </row>
    <row r="79" spans="2:5" s="32" customFormat="1" ht="14.45" customHeight="1">
      <c r="B79" s="102"/>
      <c r="C79" s="58" t="s">
        <v>134</v>
      </c>
      <c r="D79" s="61">
        <v>3</v>
      </c>
      <c r="E79" s="60">
        <v>0</v>
      </c>
    </row>
    <row r="80" spans="2:5" s="32" customFormat="1" ht="14.45" customHeight="1">
      <c r="B80" s="102"/>
      <c r="C80" s="58" t="s">
        <v>135</v>
      </c>
      <c r="D80" s="61">
        <v>11</v>
      </c>
      <c r="E80" s="60">
        <v>2E-3</v>
      </c>
    </row>
    <row r="81" spans="2:5" s="32" customFormat="1" ht="14.45" customHeight="1">
      <c r="B81" s="102"/>
      <c r="C81" s="58" t="s">
        <v>136</v>
      </c>
      <c r="D81" s="61">
        <v>4</v>
      </c>
      <c r="E81" s="60">
        <v>1E-3</v>
      </c>
    </row>
    <row r="82" spans="2:5" s="32" customFormat="1" ht="14.45" customHeight="1">
      <c r="B82" s="102"/>
      <c r="C82" s="58" t="s">
        <v>93</v>
      </c>
      <c r="D82" s="61">
        <v>1</v>
      </c>
      <c r="E82" s="60">
        <v>0</v>
      </c>
    </row>
    <row r="83" spans="2:5" s="32" customFormat="1" ht="14.45" customHeight="1">
      <c r="B83" s="103"/>
      <c r="C83" s="75" t="s">
        <v>324</v>
      </c>
      <c r="D83" s="76">
        <v>232</v>
      </c>
      <c r="E83" s="72">
        <v>3.5000000000000003E-2</v>
      </c>
    </row>
    <row r="84" spans="2:5" s="32" customFormat="1" ht="14.45" customHeight="1">
      <c r="B84" s="101" t="s">
        <v>216</v>
      </c>
      <c r="C84" s="58" t="s">
        <v>99</v>
      </c>
      <c r="D84" s="61">
        <v>111</v>
      </c>
      <c r="E84" s="60">
        <v>1.7000000000000001E-2</v>
      </c>
    </row>
    <row r="85" spans="2:5" s="32" customFormat="1" ht="14.45" customHeight="1">
      <c r="B85" s="102"/>
      <c r="C85" s="58" t="s">
        <v>100</v>
      </c>
      <c r="D85" s="61">
        <v>2</v>
      </c>
      <c r="E85" s="60">
        <v>0</v>
      </c>
    </row>
    <row r="86" spans="2:5" s="32" customFormat="1" ht="14.45" customHeight="1">
      <c r="B86" s="102"/>
      <c r="C86" s="58" t="s">
        <v>101</v>
      </c>
      <c r="D86" s="61">
        <v>138</v>
      </c>
      <c r="E86" s="60">
        <v>2.1000000000000001E-2</v>
      </c>
    </row>
    <row r="87" spans="2:5" s="32" customFormat="1" ht="14.45" customHeight="1">
      <c r="B87" s="102"/>
      <c r="C87" s="58" t="s">
        <v>102</v>
      </c>
      <c r="D87" s="61">
        <v>8</v>
      </c>
      <c r="E87" s="60">
        <v>1E-3</v>
      </c>
    </row>
    <row r="88" spans="2:5" s="32" customFormat="1" ht="14.45" customHeight="1">
      <c r="B88" s="102"/>
      <c r="C88" s="58" t="s">
        <v>103</v>
      </c>
      <c r="D88" s="61">
        <v>1</v>
      </c>
      <c r="E88" s="60">
        <v>0</v>
      </c>
    </row>
    <row r="89" spans="2:5" s="32" customFormat="1" ht="14.45" customHeight="1">
      <c r="B89" s="102"/>
      <c r="C89" s="58" t="s">
        <v>104</v>
      </c>
      <c r="D89" s="61">
        <v>1</v>
      </c>
      <c r="E89" s="60">
        <v>0</v>
      </c>
    </row>
    <row r="90" spans="2:5" s="32" customFormat="1" ht="14.45" customHeight="1">
      <c r="B90" s="102"/>
      <c r="C90" s="58" t="s">
        <v>107</v>
      </c>
      <c r="D90" s="61">
        <v>2</v>
      </c>
      <c r="E90" s="60">
        <v>0</v>
      </c>
    </row>
    <row r="91" spans="2:5" s="32" customFormat="1" ht="14.45" customHeight="1">
      <c r="B91" s="102"/>
      <c r="C91" s="58" t="s">
        <v>108</v>
      </c>
      <c r="D91" s="61">
        <v>2</v>
      </c>
      <c r="E91" s="60">
        <v>0</v>
      </c>
    </row>
    <row r="92" spans="2:5" s="32" customFormat="1" ht="14.45" customHeight="1">
      <c r="B92" s="102"/>
      <c r="C92" s="58" t="s">
        <v>109</v>
      </c>
      <c r="D92" s="61">
        <v>16</v>
      </c>
      <c r="E92" s="60">
        <v>2E-3</v>
      </c>
    </row>
    <row r="93" spans="2:5" s="32" customFormat="1" ht="14.45" customHeight="1">
      <c r="B93" s="102"/>
      <c r="C93" s="58" t="s">
        <v>110</v>
      </c>
      <c r="D93" s="61">
        <v>2</v>
      </c>
      <c r="E93" s="60">
        <v>0</v>
      </c>
    </row>
    <row r="94" spans="2:5" s="32" customFormat="1" ht="14.45" customHeight="1">
      <c r="B94" s="102"/>
      <c r="C94" s="58" t="s">
        <v>116</v>
      </c>
      <c r="D94" s="61">
        <v>2</v>
      </c>
      <c r="E94" s="60">
        <v>0</v>
      </c>
    </row>
    <row r="95" spans="2:5" s="32" customFormat="1" ht="14.45" customHeight="1">
      <c r="B95" s="102"/>
      <c r="C95" s="58" t="s">
        <v>117</v>
      </c>
      <c r="D95" s="61">
        <v>2</v>
      </c>
      <c r="E95" s="60">
        <v>0</v>
      </c>
    </row>
    <row r="96" spans="2:5" s="32" customFormat="1" ht="14.45" customHeight="1">
      <c r="B96" s="102"/>
      <c r="C96" s="58" t="s">
        <v>119</v>
      </c>
      <c r="D96" s="61">
        <v>4</v>
      </c>
      <c r="E96" s="60">
        <v>1E-3</v>
      </c>
    </row>
    <row r="97" spans="2:5" s="32" customFormat="1" ht="14.45" customHeight="1">
      <c r="B97" s="102"/>
      <c r="C97" s="58" t="s">
        <v>120</v>
      </c>
      <c r="D97" s="61">
        <v>1</v>
      </c>
      <c r="E97" s="60">
        <v>0</v>
      </c>
    </row>
    <row r="98" spans="2:5" s="32" customFormat="1" ht="14.45" customHeight="1">
      <c r="B98" s="102"/>
      <c r="C98" s="58" t="s">
        <v>121</v>
      </c>
      <c r="D98" s="61">
        <v>1</v>
      </c>
      <c r="E98" s="60">
        <v>0</v>
      </c>
    </row>
    <row r="99" spans="2:5" s="32" customFormat="1" ht="14.45" customHeight="1">
      <c r="B99" s="102"/>
      <c r="C99" s="58" t="s">
        <v>122</v>
      </c>
      <c r="D99" s="61">
        <v>26</v>
      </c>
      <c r="E99" s="60">
        <v>4.0000000000000001E-3</v>
      </c>
    </row>
    <row r="100" spans="2:5" s="32" customFormat="1" ht="14.45" customHeight="1">
      <c r="B100" s="102"/>
      <c r="C100" s="58" t="s">
        <v>124</v>
      </c>
      <c r="D100" s="61">
        <v>2</v>
      </c>
      <c r="E100" s="60">
        <v>0</v>
      </c>
    </row>
    <row r="101" spans="2:5" s="32" customFormat="1" ht="14.45" customHeight="1">
      <c r="B101" s="102"/>
      <c r="C101" s="58" t="s">
        <v>126</v>
      </c>
      <c r="D101" s="61">
        <v>1</v>
      </c>
      <c r="E101" s="60">
        <v>0</v>
      </c>
    </row>
    <row r="102" spans="2:5" s="32" customFormat="1" ht="14.45" customHeight="1">
      <c r="B102" s="102"/>
      <c r="C102" s="58" t="s">
        <v>128</v>
      </c>
      <c r="D102" s="61">
        <v>2</v>
      </c>
      <c r="E102" s="60">
        <v>0</v>
      </c>
    </row>
    <row r="103" spans="2:5" s="32" customFormat="1" ht="14.45" customHeight="1">
      <c r="B103" s="102"/>
      <c r="C103" s="58" t="s">
        <v>129</v>
      </c>
      <c r="D103" s="61">
        <v>2</v>
      </c>
      <c r="E103" s="60">
        <v>0</v>
      </c>
    </row>
    <row r="104" spans="2:5" s="32" customFormat="1" ht="14.45" customHeight="1">
      <c r="B104" s="102"/>
      <c r="C104" s="58" t="s">
        <v>134</v>
      </c>
      <c r="D104" s="61">
        <v>1</v>
      </c>
      <c r="E104" s="60">
        <v>0</v>
      </c>
    </row>
    <row r="105" spans="2:5" s="32" customFormat="1" ht="14.45" customHeight="1">
      <c r="B105" s="102"/>
      <c r="C105" s="58" t="s">
        <v>135</v>
      </c>
      <c r="D105" s="61">
        <v>14</v>
      </c>
      <c r="E105" s="60">
        <v>2E-3</v>
      </c>
    </row>
    <row r="106" spans="2:5" s="32" customFormat="1" ht="14.45" customHeight="1">
      <c r="B106" s="102"/>
      <c r="C106" s="58" t="s">
        <v>136</v>
      </c>
      <c r="D106" s="61">
        <v>3</v>
      </c>
      <c r="E106" s="60">
        <v>0</v>
      </c>
    </row>
    <row r="107" spans="2:5" s="32" customFormat="1" ht="14.45" customHeight="1">
      <c r="B107" s="102"/>
      <c r="C107" s="58" t="s">
        <v>93</v>
      </c>
      <c r="D107" s="61">
        <v>3</v>
      </c>
      <c r="E107" s="60">
        <v>0</v>
      </c>
    </row>
    <row r="108" spans="2:5" s="32" customFormat="1" ht="14.45" customHeight="1">
      <c r="B108" s="102"/>
      <c r="C108" s="58" t="s">
        <v>138</v>
      </c>
      <c r="D108" s="61">
        <v>2</v>
      </c>
      <c r="E108" s="60">
        <v>0</v>
      </c>
    </row>
    <row r="109" spans="2:5" s="32" customFormat="1" ht="14.45" customHeight="1">
      <c r="B109" s="103"/>
      <c r="C109" s="75" t="s">
        <v>324</v>
      </c>
      <c r="D109" s="76">
        <v>349</v>
      </c>
      <c r="E109" s="72">
        <v>5.1999999999999998E-2</v>
      </c>
    </row>
    <row r="110" spans="2:5" s="32" customFormat="1" ht="14.45" customHeight="1">
      <c r="B110" s="101" t="s">
        <v>300</v>
      </c>
      <c r="C110" s="58" t="s">
        <v>99</v>
      </c>
      <c r="D110" s="61">
        <v>25</v>
      </c>
      <c r="E110" s="60">
        <v>4.0000000000000001E-3</v>
      </c>
    </row>
    <row r="111" spans="2:5" s="32" customFormat="1" ht="14.45" customHeight="1">
      <c r="B111" s="102"/>
      <c r="C111" s="58" t="s">
        <v>101</v>
      </c>
      <c r="D111" s="61">
        <v>22</v>
      </c>
      <c r="E111" s="60">
        <v>3.0000000000000001E-3</v>
      </c>
    </row>
    <row r="112" spans="2:5" s="32" customFormat="1" ht="14.45" customHeight="1">
      <c r="B112" s="102"/>
      <c r="C112" s="58" t="s">
        <v>108</v>
      </c>
      <c r="D112" s="61">
        <v>1</v>
      </c>
      <c r="E112" s="60">
        <v>0</v>
      </c>
    </row>
    <row r="113" spans="2:5" s="32" customFormat="1" ht="14.45" customHeight="1">
      <c r="B113" s="102"/>
      <c r="C113" s="58" t="s">
        <v>109</v>
      </c>
      <c r="D113" s="61">
        <v>1</v>
      </c>
      <c r="E113" s="60">
        <v>0</v>
      </c>
    </row>
    <row r="114" spans="2:5" s="32" customFormat="1" ht="14.45" customHeight="1">
      <c r="B114" s="102"/>
      <c r="C114" s="58" t="s">
        <v>112</v>
      </c>
      <c r="D114" s="61">
        <v>1</v>
      </c>
      <c r="E114" s="60">
        <v>0</v>
      </c>
    </row>
    <row r="115" spans="2:5" s="32" customFormat="1" ht="14.45" customHeight="1">
      <c r="B115" s="102"/>
      <c r="C115" s="58" t="s">
        <v>119</v>
      </c>
      <c r="D115" s="61">
        <v>1</v>
      </c>
      <c r="E115" s="60">
        <v>0</v>
      </c>
    </row>
    <row r="116" spans="2:5" s="32" customFormat="1" ht="14.45" customHeight="1">
      <c r="B116" s="102"/>
      <c r="C116" s="58" t="s">
        <v>122</v>
      </c>
      <c r="D116" s="61">
        <v>1</v>
      </c>
      <c r="E116" s="60">
        <v>0</v>
      </c>
    </row>
    <row r="117" spans="2:5" s="32" customFormat="1" ht="14.45" customHeight="1">
      <c r="B117" s="102"/>
      <c r="C117" s="58" t="s">
        <v>124</v>
      </c>
      <c r="D117" s="61">
        <v>1</v>
      </c>
      <c r="E117" s="60">
        <v>0</v>
      </c>
    </row>
    <row r="118" spans="2:5" s="32" customFormat="1" ht="14.45" customHeight="1">
      <c r="B118" s="102"/>
      <c r="C118" s="58" t="s">
        <v>129</v>
      </c>
      <c r="D118" s="61">
        <v>1</v>
      </c>
      <c r="E118" s="60">
        <v>0</v>
      </c>
    </row>
    <row r="119" spans="2:5" s="32" customFormat="1" ht="14.45" customHeight="1">
      <c r="B119" s="102"/>
      <c r="C119" s="58" t="s">
        <v>131</v>
      </c>
      <c r="D119" s="61">
        <v>1</v>
      </c>
      <c r="E119" s="60">
        <v>0</v>
      </c>
    </row>
    <row r="120" spans="2:5" s="32" customFormat="1" ht="14.45" customHeight="1">
      <c r="B120" s="102"/>
      <c r="C120" s="58" t="s">
        <v>135</v>
      </c>
      <c r="D120" s="61">
        <v>3</v>
      </c>
      <c r="E120" s="60">
        <v>0</v>
      </c>
    </row>
    <row r="121" spans="2:5" s="32" customFormat="1" ht="14.45" customHeight="1">
      <c r="B121" s="103"/>
      <c r="C121" s="75" t="s">
        <v>324</v>
      </c>
      <c r="D121" s="76">
        <v>58</v>
      </c>
      <c r="E121" s="72">
        <v>8.9999999999999993E-3</v>
      </c>
    </row>
    <row r="122" spans="2:5" s="32" customFormat="1" ht="14.45" customHeight="1">
      <c r="B122" s="101" t="s">
        <v>301</v>
      </c>
      <c r="C122" s="58" t="s">
        <v>99</v>
      </c>
      <c r="D122" s="61">
        <v>67</v>
      </c>
      <c r="E122" s="60">
        <v>0.01</v>
      </c>
    </row>
    <row r="123" spans="2:5" s="32" customFormat="1" ht="14.45" customHeight="1">
      <c r="B123" s="102"/>
      <c r="C123" s="58" t="s">
        <v>101</v>
      </c>
      <c r="D123" s="61">
        <v>28</v>
      </c>
      <c r="E123" s="60">
        <v>4.0000000000000001E-3</v>
      </c>
    </row>
    <row r="124" spans="2:5" s="32" customFormat="1" ht="14.45" customHeight="1">
      <c r="B124" s="102"/>
      <c r="C124" s="58" t="s">
        <v>102</v>
      </c>
      <c r="D124" s="61">
        <v>3</v>
      </c>
      <c r="E124" s="60">
        <v>0</v>
      </c>
    </row>
    <row r="125" spans="2:5" s="32" customFormat="1" ht="14.45" customHeight="1">
      <c r="B125" s="102"/>
      <c r="C125" s="58" t="s">
        <v>108</v>
      </c>
      <c r="D125" s="61">
        <v>2</v>
      </c>
      <c r="E125" s="60">
        <v>0</v>
      </c>
    </row>
    <row r="126" spans="2:5" s="32" customFormat="1" ht="14.45" customHeight="1">
      <c r="B126" s="102"/>
      <c r="C126" s="58" t="s">
        <v>109</v>
      </c>
      <c r="D126" s="61">
        <v>1</v>
      </c>
      <c r="E126" s="60">
        <v>0</v>
      </c>
    </row>
    <row r="127" spans="2:5" s="32" customFormat="1" ht="14.45" customHeight="1">
      <c r="B127" s="102"/>
      <c r="C127" s="58" t="s">
        <v>110</v>
      </c>
      <c r="D127" s="61">
        <v>1</v>
      </c>
      <c r="E127" s="60">
        <v>0</v>
      </c>
    </row>
    <row r="128" spans="2:5" s="32" customFormat="1" ht="14.45" customHeight="1">
      <c r="B128" s="102"/>
      <c r="C128" s="58" t="s">
        <v>112</v>
      </c>
      <c r="D128" s="61">
        <v>2</v>
      </c>
      <c r="E128" s="60">
        <v>0</v>
      </c>
    </row>
    <row r="129" spans="2:5" s="32" customFormat="1" ht="14.45" customHeight="1">
      <c r="B129" s="102"/>
      <c r="C129" s="58" t="s">
        <v>113</v>
      </c>
      <c r="D129" s="61">
        <v>1</v>
      </c>
      <c r="E129" s="60">
        <v>0</v>
      </c>
    </row>
    <row r="130" spans="2:5" s="32" customFormat="1" ht="14.45" customHeight="1">
      <c r="B130" s="102"/>
      <c r="C130" s="58" t="s">
        <v>116</v>
      </c>
      <c r="D130" s="61">
        <v>2</v>
      </c>
      <c r="E130" s="60">
        <v>0</v>
      </c>
    </row>
    <row r="131" spans="2:5" s="32" customFormat="1" ht="14.45" customHeight="1">
      <c r="B131" s="102"/>
      <c r="C131" s="58" t="s">
        <v>117</v>
      </c>
      <c r="D131" s="61">
        <v>1</v>
      </c>
      <c r="E131" s="60">
        <v>0</v>
      </c>
    </row>
    <row r="132" spans="2:5" s="32" customFormat="1" ht="14.45" customHeight="1">
      <c r="B132" s="102"/>
      <c r="C132" s="58" t="s">
        <v>119</v>
      </c>
      <c r="D132" s="61">
        <v>1</v>
      </c>
      <c r="E132" s="60">
        <v>0</v>
      </c>
    </row>
    <row r="133" spans="2:5" s="32" customFormat="1" ht="14.45" customHeight="1">
      <c r="B133" s="102"/>
      <c r="C133" s="58" t="s">
        <v>121</v>
      </c>
      <c r="D133" s="61">
        <v>4</v>
      </c>
      <c r="E133" s="60">
        <v>1E-3</v>
      </c>
    </row>
    <row r="134" spans="2:5" s="32" customFormat="1" ht="14.45" customHeight="1">
      <c r="B134" s="102"/>
      <c r="C134" s="58" t="s">
        <v>122</v>
      </c>
      <c r="D134" s="61">
        <v>6</v>
      </c>
      <c r="E134" s="60">
        <v>1E-3</v>
      </c>
    </row>
    <row r="135" spans="2:5" s="32" customFormat="1" ht="14.45" customHeight="1">
      <c r="B135" s="102"/>
      <c r="C135" s="58" t="s">
        <v>123</v>
      </c>
      <c r="D135" s="61">
        <v>1</v>
      </c>
      <c r="E135" s="60">
        <v>0</v>
      </c>
    </row>
    <row r="136" spans="2:5" s="32" customFormat="1" ht="14.45" customHeight="1">
      <c r="B136" s="102"/>
      <c r="C136" s="58" t="s">
        <v>125</v>
      </c>
      <c r="D136" s="61">
        <v>1</v>
      </c>
      <c r="E136" s="60">
        <v>0</v>
      </c>
    </row>
    <row r="137" spans="2:5" s="32" customFormat="1" ht="14.45" customHeight="1">
      <c r="B137" s="102"/>
      <c r="C137" s="58" t="s">
        <v>129</v>
      </c>
      <c r="D137" s="61">
        <v>1</v>
      </c>
      <c r="E137" s="60">
        <v>0</v>
      </c>
    </row>
    <row r="138" spans="2:5" s="32" customFormat="1" ht="14.45" customHeight="1">
      <c r="B138" s="102"/>
      <c r="C138" s="58" t="s">
        <v>133</v>
      </c>
      <c r="D138" s="61">
        <v>1</v>
      </c>
      <c r="E138" s="60">
        <v>0</v>
      </c>
    </row>
    <row r="139" spans="2:5" s="32" customFormat="1" ht="14.45" customHeight="1">
      <c r="B139" s="102"/>
      <c r="C139" s="58" t="s">
        <v>134</v>
      </c>
      <c r="D139" s="61">
        <v>1</v>
      </c>
      <c r="E139" s="60">
        <v>0</v>
      </c>
    </row>
    <row r="140" spans="2:5" s="32" customFormat="1" ht="14.45" customHeight="1">
      <c r="B140" s="102"/>
      <c r="C140" s="58" t="s">
        <v>135</v>
      </c>
      <c r="D140" s="61">
        <v>12</v>
      </c>
      <c r="E140" s="60">
        <v>2E-3</v>
      </c>
    </row>
    <row r="141" spans="2:5" s="32" customFormat="1" ht="14.45" customHeight="1">
      <c r="B141" s="102"/>
      <c r="C141" s="58" t="s">
        <v>136</v>
      </c>
      <c r="D141" s="61">
        <v>4</v>
      </c>
      <c r="E141" s="60">
        <v>1E-3</v>
      </c>
    </row>
    <row r="142" spans="2:5" s="32" customFormat="1" ht="14.45" customHeight="1">
      <c r="B142" s="103"/>
      <c r="C142" s="75" t="s">
        <v>324</v>
      </c>
      <c r="D142" s="76">
        <v>140</v>
      </c>
      <c r="E142" s="72">
        <v>2.1000000000000001E-2</v>
      </c>
    </row>
    <row r="143" spans="2:5" s="32" customFormat="1" ht="14.45" customHeight="1">
      <c r="B143" s="101" t="s">
        <v>302</v>
      </c>
      <c r="C143" s="58" t="s">
        <v>98</v>
      </c>
      <c r="D143" s="61">
        <v>1</v>
      </c>
      <c r="E143" s="60">
        <v>0</v>
      </c>
    </row>
    <row r="144" spans="2:5" s="32" customFormat="1" ht="14.45" customHeight="1">
      <c r="B144" s="102"/>
      <c r="C144" s="58" t="s">
        <v>99</v>
      </c>
      <c r="D144" s="61">
        <v>111</v>
      </c>
      <c r="E144" s="60">
        <v>1.7000000000000001E-2</v>
      </c>
    </row>
    <row r="145" spans="2:5" s="32" customFormat="1" ht="14.45" customHeight="1">
      <c r="B145" s="102"/>
      <c r="C145" s="58" t="s">
        <v>101</v>
      </c>
      <c r="D145" s="61">
        <v>77</v>
      </c>
      <c r="E145" s="60">
        <v>1.0999999999999999E-2</v>
      </c>
    </row>
    <row r="146" spans="2:5" s="32" customFormat="1" ht="14.45" customHeight="1">
      <c r="B146" s="102"/>
      <c r="C146" s="58" t="s">
        <v>102</v>
      </c>
      <c r="D146" s="61">
        <v>4</v>
      </c>
      <c r="E146" s="60">
        <v>1E-3</v>
      </c>
    </row>
    <row r="147" spans="2:5" s="32" customFormat="1" ht="14.45" customHeight="1">
      <c r="B147" s="102"/>
      <c r="C147" s="58" t="s">
        <v>106</v>
      </c>
      <c r="D147" s="61">
        <v>1</v>
      </c>
      <c r="E147" s="60">
        <v>0</v>
      </c>
    </row>
    <row r="148" spans="2:5" s="32" customFormat="1" ht="14.45" customHeight="1">
      <c r="B148" s="102"/>
      <c r="C148" s="58" t="s">
        <v>107</v>
      </c>
      <c r="D148" s="61">
        <v>1</v>
      </c>
      <c r="E148" s="60">
        <v>0</v>
      </c>
    </row>
    <row r="149" spans="2:5" s="32" customFormat="1" ht="14.45" customHeight="1">
      <c r="B149" s="102"/>
      <c r="C149" s="58" t="s">
        <v>108</v>
      </c>
      <c r="D149" s="61">
        <v>3</v>
      </c>
      <c r="E149" s="60">
        <v>0</v>
      </c>
    </row>
    <row r="150" spans="2:5" s="32" customFormat="1" ht="14.45" customHeight="1">
      <c r="B150" s="102"/>
      <c r="C150" s="58" t="s">
        <v>109</v>
      </c>
      <c r="D150" s="61">
        <v>1</v>
      </c>
      <c r="E150" s="60">
        <v>0</v>
      </c>
    </row>
    <row r="151" spans="2:5" s="32" customFormat="1" ht="14.45" customHeight="1">
      <c r="B151" s="102"/>
      <c r="C151" s="58" t="s">
        <v>110</v>
      </c>
      <c r="D151" s="61">
        <v>1</v>
      </c>
      <c r="E151" s="60">
        <v>0</v>
      </c>
    </row>
    <row r="152" spans="2:5" s="32" customFormat="1" ht="14.45" customHeight="1">
      <c r="B152" s="102"/>
      <c r="C152" s="58" t="s">
        <v>111</v>
      </c>
      <c r="D152" s="61">
        <v>1</v>
      </c>
      <c r="E152" s="60">
        <v>0</v>
      </c>
    </row>
    <row r="153" spans="2:5" s="32" customFormat="1" ht="14.45" customHeight="1">
      <c r="B153" s="102"/>
      <c r="C153" s="58" t="s">
        <v>112</v>
      </c>
      <c r="D153" s="61">
        <v>2</v>
      </c>
      <c r="E153" s="60">
        <v>0</v>
      </c>
    </row>
    <row r="154" spans="2:5" s="32" customFormat="1" ht="14.45" customHeight="1">
      <c r="B154" s="102"/>
      <c r="C154" s="58" t="s">
        <v>117</v>
      </c>
      <c r="D154" s="61">
        <v>1</v>
      </c>
      <c r="E154" s="60">
        <v>0</v>
      </c>
    </row>
    <row r="155" spans="2:5" s="32" customFormat="1" ht="14.45" customHeight="1">
      <c r="B155" s="102"/>
      <c r="C155" s="58" t="s">
        <v>119</v>
      </c>
      <c r="D155" s="61">
        <v>2</v>
      </c>
      <c r="E155" s="60">
        <v>0</v>
      </c>
    </row>
    <row r="156" spans="2:5" s="32" customFormat="1" ht="14.45" customHeight="1">
      <c r="B156" s="102"/>
      <c r="C156" s="58" t="s">
        <v>121</v>
      </c>
      <c r="D156" s="61">
        <v>1</v>
      </c>
      <c r="E156" s="60">
        <v>0</v>
      </c>
    </row>
    <row r="157" spans="2:5" s="32" customFormat="1" ht="14.45" customHeight="1">
      <c r="B157" s="102"/>
      <c r="C157" s="58" t="s">
        <v>122</v>
      </c>
      <c r="D157" s="61">
        <v>22</v>
      </c>
      <c r="E157" s="60">
        <v>3.0000000000000001E-3</v>
      </c>
    </row>
    <row r="158" spans="2:5" s="32" customFormat="1" ht="14.45" customHeight="1">
      <c r="B158" s="102"/>
      <c r="C158" s="58" t="s">
        <v>123</v>
      </c>
      <c r="D158" s="61">
        <v>1</v>
      </c>
      <c r="E158" s="60">
        <v>0</v>
      </c>
    </row>
    <row r="159" spans="2:5" s="32" customFormat="1" ht="14.45" customHeight="1">
      <c r="B159" s="102"/>
      <c r="C159" s="58" t="s">
        <v>124</v>
      </c>
      <c r="D159" s="61">
        <v>1</v>
      </c>
      <c r="E159" s="60">
        <v>0</v>
      </c>
    </row>
    <row r="160" spans="2:5" s="32" customFormat="1" ht="14.45" customHeight="1">
      <c r="B160" s="102"/>
      <c r="C160" s="58" t="s">
        <v>126</v>
      </c>
      <c r="D160" s="61">
        <v>1</v>
      </c>
      <c r="E160" s="60">
        <v>0</v>
      </c>
    </row>
    <row r="161" spans="2:5" s="32" customFormat="1" ht="14.45" customHeight="1">
      <c r="B161" s="102"/>
      <c r="C161" s="58" t="s">
        <v>127</v>
      </c>
      <c r="D161" s="61">
        <v>1</v>
      </c>
      <c r="E161" s="60">
        <v>0</v>
      </c>
    </row>
    <row r="162" spans="2:5" s="32" customFormat="1" ht="14.45" customHeight="1">
      <c r="B162" s="102"/>
      <c r="C162" s="58" t="s">
        <v>128</v>
      </c>
      <c r="D162" s="61">
        <v>2</v>
      </c>
      <c r="E162" s="60">
        <v>0</v>
      </c>
    </row>
    <row r="163" spans="2:5" s="32" customFormat="1" ht="14.45" customHeight="1">
      <c r="B163" s="102"/>
      <c r="C163" s="58" t="s">
        <v>133</v>
      </c>
      <c r="D163" s="61">
        <v>1</v>
      </c>
      <c r="E163" s="60">
        <v>0</v>
      </c>
    </row>
    <row r="164" spans="2:5" s="32" customFormat="1" ht="14.45" customHeight="1">
      <c r="B164" s="102"/>
      <c r="C164" s="58" t="s">
        <v>134</v>
      </c>
      <c r="D164" s="61">
        <v>1</v>
      </c>
      <c r="E164" s="60">
        <v>0</v>
      </c>
    </row>
    <row r="165" spans="2:5" s="32" customFormat="1" ht="14.45" customHeight="1">
      <c r="B165" s="102"/>
      <c r="C165" s="58" t="s">
        <v>135</v>
      </c>
      <c r="D165" s="61">
        <v>12</v>
      </c>
      <c r="E165" s="60">
        <v>2E-3</v>
      </c>
    </row>
    <row r="166" spans="2:5" s="32" customFormat="1" ht="14.45" customHeight="1">
      <c r="B166" s="102"/>
      <c r="C166" s="58" t="s">
        <v>136</v>
      </c>
      <c r="D166" s="61">
        <v>2</v>
      </c>
      <c r="E166" s="60">
        <v>0</v>
      </c>
    </row>
    <row r="167" spans="2:5" s="32" customFormat="1" ht="14.45" customHeight="1">
      <c r="B167" s="102"/>
      <c r="C167" s="58" t="s">
        <v>93</v>
      </c>
      <c r="D167" s="61">
        <v>2</v>
      </c>
      <c r="E167" s="60">
        <v>0</v>
      </c>
    </row>
    <row r="168" spans="2:5" s="32" customFormat="1" ht="14.45" customHeight="1">
      <c r="B168" s="102"/>
      <c r="C168" s="58" t="s">
        <v>138</v>
      </c>
      <c r="D168" s="61">
        <v>1</v>
      </c>
      <c r="E168" s="60">
        <v>0</v>
      </c>
    </row>
    <row r="169" spans="2:5" s="32" customFormat="1" ht="14.45" customHeight="1">
      <c r="B169" s="103"/>
      <c r="C169" s="75" t="s">
        <v>324</v>
      </c>
      <c r="D169" s="76">
        <v>254</v>
      </c>
      <c r="E169" s="72">
        <v>3.7999999999999999E-2</v>
      </c>
    </row>
    <row r="170" spans="2:5" s="32" customFormat="1" ht="14.45" customHeight="1">
      <c r="B170" s="101" t="s">
        <v>220</v>
      </c>
      <c r="C170" s="58" t="s">
        <v>98</v>
      </c>
      <c r="D170" s="61">
        <v>5</v>
      </c>
      <c r="E170" s="60">
        <v>1E-3</v>
      </c>
    </row>
    <row r="171" spans="2:5" s="32" customFormat="1" ht="14.45" customHeight="1">
      <c r="B171" s="102"/>
      <c r="C171" s="58" t="s">
        <v>289</v>
      </c>
      <c r="D171" s="61">
        <v>1</v>
      </c>
      <c r="E171" s="60">
        <v>0</v>
      </c>
    </row>
    <row r="172" spans="2:5" s="32" customFormat="1" ht="14.45" customHeight="1">
      <c r="B172" s="102"/>
      <c r="C172" s="58" t="s">
        <v>99</v>
      </c>
      <c r="D172" s="61">
        <v>660</v>
      </c>
      <c r="E172" s="60">
        <v>9.8000000000000004E-2</v>
      </c>
    </row>
    <row r="173" spans="2:5" s="32" customFormat="1" ht="14.45" customHeight="1">
      <c r="B173" s="102"/>
      <c r="C173" s="58" t="s">
        <v>100</v>
      </c>
      <c r="D173" s="61">
        <v>3</v>
      </c>
      <c r="E173" s="60">
        <v>0</v>
      </c>
    </row>
    <row r="174" spans="2:5" s="32" customFormat="1" ht="14.45" customHeight="1">
      <c r="B174" s="102"/>
      <c r="C174" s="58" t="s">
        <v>101</v>
      </c>
      <c r="D174" s="61">
        <v>442</v>
      </c>
      <c r="E174" s="60">
        <v>6.6000000000000003E-2</v>
      </c>
    </row>
    <row r="175" spans="2:5" s="32" customFormat="1" ht="14.45" customHeight="1">
      <c r="B175" s="102"/>
      <c r="C175" s="58" t="s">
        <v>102</v>
      </c>
      <c r="D175" s="61">
        <v>37</v>
      </c>
      <c r="E175" s="60">
        <v>6.0000000000000001E-3</v>
      </c>
    </row>
    <row r="176" spans="2:5" s="32" customFormat="1" ht="14.45" customHeight="1">
      <c r="B176" s="102"/>
      <c r="C176" s="58" t="s">
        <v>103</v>
      </c>
      <c r="D176" s="61">
        <v>1</v>
      </c>
      <c r="E176" s="60">
        <v>0</v>
      </c>
    </row>
    <row r="177" spans="2:5" s="32" customFormat="1" ht="14.45" customHeight="1">
      <c r="B177" s="102"/>
      <c r="C177" s="58" t="s">
        <v>106</v>
      </c>
      <c r="D177" s="61">
        <v>9</v>
      </c>
      <c r="E177" s="60">
        <v>1E-3</v>
      </c>
    </row>
    <row r="178" spans="2:5" s="32" customFormat="1" ht="14.45" customHeight="1">
      <c r="B178" s="102"/>
      <c r="C178" s="58" t="s">
        <v>107</v>
      </c>
      <c r="D178" s="61">
        <v>8</v>
      </c>
      <c r="E178" s="60">
        <v>1E-3</v>
      </c>
    </row>
    <row r="179" spans="2:5" s="32" customFormat="1" ht="14.45" customHeight="1">
      <c r="B179" s="102"/>
      <c r="C179" s="58" t="s">
        <v>108</v>
      </c>
      <c r="D179" s="61">
        <v>12</v>
      </c>
      <c r="E179" s="60">
        <v>2E-3</v>
      </c>
    </row>
    <row r="180" spans="2:5" s="32" customFormat="1" ht="14.45" customHeight="1">
      <c r="B180" s="102"/>
      <c r="C180" s="58" t="s">
        <v>109</v>
      </c>
      <c r="D180" s="61">
        <v>29</v>
      </c>
      <c r="E180" s="60">
        <v>4.0000000000000001E-3</v>
      </c>
    </row>
    <row r="181" spans="2:5" s="32" customFormat="1" ht="14.45" customHeight="1">
      <c r="B181" s="102"/>
      <c r="C181" s="58" t="s">
        <v>110</v>
      </c>
      <c r="D181" s="61">
        <v>12</v>
      </c>
      <c r="E181" s="60">
        <v>2E-3</v>
      </c>
    </row>
    <row r="182" spans="2:5" s="32" customFormat="1" ht="14.45" customHeight="1">
      <c r="B182" s="102"/>
      <c r="C182" s="58" t="s">
        <v>111</v>
      </c>
      <c r="D182" s="61">
        <v>5</v>
      </c>
      <c r="E182" s="60">
        <v>1E-3</v>
      </c>
    </row>
    <row r="183" spans="2:5" s="32" customFormat="1" ht="14.45" customHeight="1">
      <c r="B183" s="102"/>
      <c r="C183" s="58" t="s">
        <v>112</v>
      </c>
      <c r="D183" s="61">
        <v>3</v>
      </c>
      <c r="E183" s="60">
        <v>0</v>
      </c>
    </row>
    <row r="184" spans="2:5" s="32" customFormat="1" ht="14.45" customHeight="1">
      <c r="B184" s="102"/>
      <c r="C184" s="58" t="s">
        <v>113</v>
      </c>
      <c r="D184" s="61">
        <v>1</v>
      </c>
      <c r="E184" s="60">
        <v>0</v>
      </c>
    </row>
    <row r="185" spans="2:5" s="32" customFormat="1" ht="14.45" customHeight="1">
      <c r="B185" s="102"/>
      <c r="C185" s="58" t="s">
        <v>114</v>
      </c>
      <c r="D185" s="61">
        <v>3</v>
      </c>
      <c r="E185" s="60">
        <v>0</v>
      </c>
    </row>
    <row r="186" spans="2:5" s="32" customFormat="1" ht="14.45" customHeight="1">
      <c r="B186" s="102"/>
      <c r="C186" s="58" t="s">
        <v>115</v>
      </c>
      <c r="D186" s="61">
        <v>1</v>
      </c>
      <c r="E186" s="60">
        <v>0</v>
      </c>
    </row>
    <row r="187" spans="2:5" s="32" customFormat="1" ht="14.45" customHeight="1">
      <c r="B187" s="102"/>
      <c r="C187" s="58" t="s">
        <v>116</v>
      </c>
      <c r="D187" s="61">
        <v>5</v>
      </c>
      <c r="E187" s="60">
        <v>1E-3</v>
      </c>
    </row>
    <row r="188" spans="2:5" s="32" customFormat="1" ht="14.45" customHeight="1">
      <c r="B188" s="102"/>
      <c r="C188" s="58" t="s">
        <v>117</v>
      </c>
      <c r="D188" s="61">
        <v>9</v>
      </c>
      <c r="E188" s="60">
        <v>1E-3</v>
      </c>
    </row>
    <row r="189" spans="2:5" s="32" customFormat="1" ht="14.45" customHeight="1">
      <c r="B189" s="102"/>
      <c r="C189" s="58" t="s">
        <v>119</v>
      </c>
      <c r="D189" s="61">
        <v>6</v>
      </c>
      <c r="E189" s="60">
        <v>1E-3</v>
      </c>
    </row>
    <row r="190" spans="2:5" s="32" customFormat="1" ht="14.45" customHeight="1">
      <c r="B190" s="102"/>
      <c r="C190" s="58" t="s">
        <v>121</v>
      </c>
      <c r="D190" s="61">
        <v>7</v>
      </c>
      <c r="E190" s="60">
        <v>1E-3</v>
      </c>
    </row>
    <row r="191" spans="2:5" s="32" customFormat="1" ht="14.45" customHeight="1">
      <c r="B191" s="102"/>
      <c r="C191" s="58" t="s">
        <v>122</v>
      </c>
      <c r="D191" s="61">
        <v>74</v>
      </c>
      <c r="E191" s="60">
        <v>1.0999999999999999E-2</v>
      </c>
    </row>
    <row r="192" spans="2:5" s="32" customFormat="1" ht="14.45" customHeight="1">
      <c r="B192" s="102"/>
      <c r="C192" s="58" t="s">
        <v>123</v>
      </c>
      <c r="D192" s="61">
        <v>7</v>
      </c>
      <c r="E192" s="60">
        <v>1E-3</v>
      </c>
    </row>
    <row r="193" spans="2:5" s="32" customFormat="1" ht="14.45" customHeight="1">
      <c r="B193" s="102"/>
      <c r="C193" s="58" t="s">
        <v>124</v>
      </c>
      <c r="D193" s="61">
        <v>21</v>
      </c>
      <c r="E193" s="60">
        <v>3.0000000000000001E-3</v>
      </c>
    </row>
    <row r="194" spans="2:5" s="32" customFormat="1" ht="14.45" customHeight="1">
      <c r="B194" s="102"/>
      <c r="C194" s="58" t="s">
        <v>125</v>
      </c>
      <c r="D194" s="61">
        <v>3</v>
      </c>
      <c r="E194" s="60">
        <v>0</v>
      </c>
    </row>
    <row r="195" spans="2:5" s="32" customFormat="1" ht="14.45" customHeight="1">
      <c r="B195" s="102"/>
      <c r="C195" s="58" t="s">
        <v>126</v>
      </c>
      <c r="D195" s="61">
        <v>14</v>
      </c>
      <c r="E195" s="60">
        <v>2E-3</v>
      </c>
    </row>
    <row r="196" spans="2:5" s="32" customFormat="1" ht="14.45" customHeight="1">
      <c r="B196" s="102"/>
      <c r="C196" s="58" t="s">
        <v>128</v>
      </c>
      <c r="D196" s="61">
        <v>13</v>
      </c>
      <c r="E196" s="60">
        <v>2E-3</v>
      </c>
    </row>
    <row r="197" spans="2:5" s="32" customFormat="1" ht="14.45" customHeight="1">
      <c r="B197" s="102"/>
      <c r="C197" s="58" t="s">
        <v>129</v>
      </c>
      <c r="D197" s="61">
        <v>12</v>
      </c>
      <c r="E197" s="60">
        <v>2E-3</v>
      </c>
    </row>
    <row r="198" spans="2:5" s="32" customFormat="1" ht="14.45" customHeight="1">
      <c r="B198" s="102"/>
      <c r="C198" s="58" t="s">
        <v>130</v>
      </c>
      <c r="D198" s="61">
        <v>5</v>
      </c>
      <c r="E198" s="60">
        <v>1E-3</v>
      </c>
    </row>
    <row r="199" spans="2:5" s="32" customFormat="1" ht="14.45" customHeight="1">
      <c r="B199" s="102"/>
      <c r="C199" s="58" t="s">
        <v>131</v>
      </c>
      <c r="D199" s="61">
        <v>2</v>
      </c>
      <c r="E199" s="60">
        <v>0</v>
      </c>
    </row>
    <row r="200" spans="2:5" s="32" customFormat="1" ht="14.45" customHeight="1">
      <c r="B200" s="102"/>
      <c r="C200" s="58" t="s">
        <v>132</v>
      </c>
      <c r="D200" s="61">
        <v>1</v>
      </c>
      <c r="E200" s="60">
        <v>0</v>
      </c>
    </row>
    <row r="201" spans="2:5" s="32" customFormat="1" ht="14.45" customHeight="1">
      <c r="B201" s="102"/>
      <c r="C201" s="58" t="s">
        <v>133</v>
      </c>
      <c r="D201" s="61">
        <v>5</v>
      </c>
      <c r="E201" s="60">
        <v>1E-3</v>
      </c>
    </row>
    <row r="202" spans="2:5" s="32" customFormat="1" ht="14.45" customHeight="1">
      <c r="B202" s="102"/>
      <c r="C202" s="58" t="s">
        <v>134</v>
      </c>
      <c r="D202" s="61">
        <v>4</v>
      </c>
      <c r="E202" s="60">
        <v>1E-3</v>
      </c>
    </row>
    <row r="203" spans="2:5" s="32" customFormat="1" ht="14.45" customHeight="1">
      <c r="B203" s="102"/>
      <c r="C203" s="58" t="s">
        <v>135</v>
      </c>
      <c r="D203" s="61">
        <v>59</v>
      </c>
      <c r="E203" s="60">
        <v>8.9999999999999993E-3</v>
      </c>
    </row>
    <row r="204" spans="2:5" s="32" customFormat="1" ht="14.45" customHeight="1">
      <c r="B204" s="102"/>
      <c r="C204" s="58" t="s">
        <v>136</v>
      </c>
      <c r="D204" s="61">
        <v>26</v>
      </c>
      <c r="E204" s="60">
        <v>4.0000000000000001E-3</v>
      </c>
    </row>
    <row r="205" spans="2:5" s="32" customFormat="1" ht="14.45" customHeight="1">
      <c r="B205" s="102"/>
      <c r="C205" s="58" t="s">
        <v>137</v>
      </c>
      <c r="D205" s="61">
        <v>1</v>
      </c>
      <c r="E205" s="60">
        <v>0</v>
      </c>
    </row>
    <row r="206" spans="2:5" s="32" customFormat="1" ht="14.45" customHeight="1">
      <c r="B206" s="102"/>
      <c r="C206" s="58" t="s">
        <v>93</v>
      </c>
      <c r="D206" s="61">
        <v>9</v>
      </c>
      <c r="E206" s="60">
        <v>1E-3</v>
      </c>
    </row>
    <row r="207" spans="2:5" s="32" customFormat="1" ht="14.45" customHeight="1">
      <c r="B207" s="102"/>
      <c r="C207" s="58" t="s">
        <v>138</v>
      </c>
      <c r="D207" s="61">
        <v>8</v>
      </c>
      <c r="E207" s="60">
        <v>1E-3</v>
      </c>
    </row>
    <row r="208" spans="2:5" s="32" customFormat="1" ht="14.45" customHeight="1">
      <c r="B208" s="102"/>
      <c r="C208" s="58" t="s">
        <v>139</v>
      </c>
      <c r="D208" s="61">
        <v>2</v>
      </c>
      <c r="E208" s="60">
        <v>0</v>
      </c>
    </row>
    <row r="209" spans="2:5" s="32" customFormat="1" ht="14.45" customHeight="1">
      <c r="B209" s="103"/>
      <c r="C209" s="75" t="s">
        <v>324</v>
      </c>
      <c r="D209" s="76">
        <v>1525</v>
      </c>
      <c r="E209" s="72">
        <v>0.22700000000000001</v>
      </c>
    </row>
    <row r="210" spans="2:5" s="32" customFormat="1" ht="14.45" customHeight="1">
      <c r="B210" s="101" t="s">
        <v>221</v>
      </c>
      <c r="C210" s="58" t="s">
        <v>98</v>
      </c>
      <c r="D210" s="61">
        <v>2</v>
      </c>
      <c r="E210" s="60">
        <v>0</v>
      </c>
    </row>
    <row r="211" spans="2:5" s="32" customFormat="1" ht="14.45" customHeight="1">
      <c r="B211" s="102"/>
      <c r="C211" s="58" t="s">
        <v>99</v>
      </c>
      <c r="D211" s="61">
        <v>97</v>
      </c>
      <c r="E211" s="60">
        <v>1.4E-2</v>
      </c>
    </row>
    <row r="212" spans="2:5" s="32" customFormat="1" ht="14.45" customHeight="1">
      <c r="B212" s="102"/>
      <c r="C212" s="58" t="s">
        <v>100</v>
      </c>
      <c r="D212" s="61">
        <v>1</v>
      </c>
      <c r="E212" s="60">
        <v>0</v>
      </c>
    </row>
    <row r="213" spans="2:5" s="32" customFormat="1" ht="14.45" customHeight="1">
      <c r="B213" s="102"/>
      <c r="C213" s="58" t="s">
        <v>101</v>
      </c>
      <c r="D213" s="61">
        <v>47</v>
      </c>
      <c r="E213" s="60">
        <v>7.0000000000000001E-3</v>
      </c>
    </row>
    <row r="214" spans="2:5" s="32" customFormat="1" ht="14.45" customHeight="1">
      <c r="B214" s="102"/>
      <c r="C214" s="58" t="s">
        <v>102</v>
      </c>
      <c r="D214" s="61">
        <v>1</v>
      </c>
      <c r="E214" s="60">
        <v>0</v>
      </c>
    </row>
    <row r="215" spans="2:5" s="32" customFormat="1" ht="14.45" customHeight="1">
      <c r="B215" s="102"/>
      <c r="C215" s="58" t="s">
        <v>109</v>
      </c>
      <c r="D215" s="61">
        <v>3</v>
      </c>
      <c r="E215" s="60">
        <v>0</v>
      </c>
    </row>
    <row r="216" spans="2:5" s="32" customFormat="1" ht="14.45" customHeight="1">
      <c r="B216" s="102"/>
      <c r="C216" s="58" t="s">
        <v>111</v>
      </c>
      <c r="D216" s="61">
        <v>1</v>
      </c>
      <c r="E216" s="60">
        <v>0</v>
      </c>
    </row>
    <row r="217" spans="2:5" s="32" customFormat="1" ht="14.45" customHeight="1">
      <c r="B217" s="102"/>
      <c r="C217" s="58" t="s">
        <v>117</v>
      </c>
      <c r="D217" s="61">
        <v>3</v>
      </c>
      <c r="E217" s="60">
        <v>0</v>
      </c>
    </row>
    <row r="218" spans="2:5" s="32" customFormat="1" ht="14.45" customHeight="1">
      <c r="B218" s="102"/>
      <c r="C218" s="58" t="s">
        <v>121</v>
      </c>
      <c r="D218" s="61">
        <v>1</v>
      </c>
      <c r="E218" s="60">
        <v>0</v>
      </c>
    </row>
    <row r="219" spans="2:5" s="32" customFormat="1" ht="14.45" customHeight="1">
      <c r="B219" s="102"/>
      <c r="C219" s="58" t="s">
        <v>122</v>
      </c>
      <c r="D219" s="61">
        <v>11</v>
      </c>
      <c r="E219" s="60">
        <v>2E-3</v>
      </c>
    </row>
    <row r="220" spans="2:5" s="32" customFormat="1" ht="14.45" customHeight="1">
      <c r="B220" s="102"/>
      <c r="C220" s="58" t="s">
        <v>124</v>
      </c>
      <c r="D220" s="61">
        <v>1</v>
      </c>
      <c r="E220" s="60">
        <v>0</v>
      </c>
    </row>
    <row r="221" spans="2:5" s="32" customFormat="1" ht="14.45" customHeight="1">
      <c r="B221" s="102"/>
      <c r="C221" s="58" t="s">
        <v>126</v>
      </c>
      <c r="D221" s="61">
        <v>2</v>
      </c>
      <c r="E221" s="60">
        <v>0</v>
      </c>
    </row>
    <row r="222" spans="2:5" s="32" customFormat="1" ht="14.45" customHeight="1">
      <c r="B222" s="102"/>
      <c r="C222" s="58" t="s">
        <v>129</v>
      </c>
      <c r="D222" s="61">
        <v>3</v>
      </c>
      <c r="E222" s="60">
        <v>0</v>
      </c>
    </row>
    <row r="223" spans="2:5" s="32" customFormat="1" ht="14.45" customHeight="1">
      <c r="B223" s="102"/>
      <c r="C223" s="58" t="s">
        <v>130</v>
      </c>
      <c r="D223" s="61">
        <v>1</v>
      </c>
      <c r="E223" s="60">
        <v>0</v>
      </c>
    </row>
    <row r="224" spans="2:5" s="32" customFormat="1" ht="14.45" customHeight="1">
      <c r="B224" s="102"/>
      <c r="C224" s="58" t="s">
        <v>135</v>
      </c>
      <c r="D224" s="61">
        <v>7</v>
      </c>
      <c r="E224" s="60">
        <v>1E-3</v>
      </c>
    </row>
    <row r="225" spans="2:5" s="32" customFormat="1" ht="14.45" customHeight="1">
      <c r="B225" s="102"/>
      <c r="C225" s="58" t="s">
        <v>136</v>
      </c>
      <c r="D225" s="61">
        <v>1</v>
      </c>
      <c r="E225" s="60">
        <v>0</v>
      </c>
    </row>
    <row r="226" spans="2:5" s="32" customFormat="1" ht="14.45" customHeight="1">
      <c r="B226" s="102"/>
      <c r="C226" s="58" t="s">
        <v>93</v>
      </c>
      <c r="D226" s="61">
        <v>1</v>
      </c>
      <c r="E226" s="60">
        <v>0</v>
      </c>
    </row>
    <row r="227" spans="2:5" s="32" customFormat="1" ht="14.45" customHeight="1">
      <c r="B227" s="102"/>
      <c r="C227" s="58" t="s">
        <v>138</v>
      </c>
      <c r="D227" s="61">
        <v>2</v>
      </c>
      <c r="E227" s="60">
        <v>0</v>
      </c>
    </row>
    <row r="228" spans="2:5" s="32" customFormat="1" ht="14.45" customHeight="1">
      <c r="B228" s="103"/>
      <c r="C228" s="75" t="s">
        <v>324</v>
      </c>
      <c r="D228" s="76">
        <v>185</v>
      </c>
      <c r="E228" s="72">
        <v>2.8000000000000001E-2</v>
      </c>
    </row>
    <row r="229" spans="2:5" s="32" customFormat="1" ht="14.45" customHeight="1">
      <c r="B229" s="101" t="s">
        <v>222</v>
      </c>
      <c r="C229" s="58" t="s">
        <v>98</v>
      </c>
      <c r="D229" s="61">
        <v>7</v>
      </c>
      <c r="E229" s="60">
        <v>1E-3</v>
      </c>
    </row>
    <row r="230" spans="2:5" s="32" customFormat="1" ht="14.45" customHeight="1">
      <c r="B230" s="102"/>
      <c r="C230" s="58" t="s">
        <v>99</v>
      </c>
      <c r="D230" s="61">
        <v>268</v>
      </c>
      <c r="E230" s="60">
        <v>0.04</v>
      </c>
    </row>
    <row r="231" spans="2:5" s="32" customFormat="1" ht="14.45" customHeight="1">
      <c r="B231" s="102"/>
      <c r="C231" s="58" t="s">
        <v>101</v>
      </c>
      <c r="D231" s="61">
        <v>127</v>
      </c>
      <c r="E231" s="60">
        <v>1.9E-2</v>
      </c>
    </row>
    <row r="232" spans="2:5" s="32" customFormat="1" ht="14.45" customHeight="1">
      <c r="B232" s="102"/>
      <c r="C232" s="58" t="s">
        <v>102</v>
      </c>
      <c r="D232" s="61">
        <v>6</v>
      </c>
      <c r="E232" s="60">
        <v>1E-3</v>
      </c>
    </row>
    <row r="233" spans="2:5" s="32" customFormat="1" ht="14.45" customHeight="1">
      <c r="B233" s="102"/>
      <c r="C233" s="58" t="s">
        <v>106</v>
      </c>
      <c r="D233" s="61">
        <v>4</v>
      </c>
      <c r="E233" s="60">
        <v>1E-3</v>
      </c>
    </row>
    <row r="234" spans="2:5" s="32" customFormat="1" ht="14.45" customHeight="1">
      <c r="B234" s="102"/>
      <c r="C234" s="58" t="s">
        <v>107</v>
      </c>
      <c r="D234" s="61">
        <v>2</v>
      </c>
      <c r="E234" s="60">
        <v>0</v>
      </c>
    </row>
    <row r="235" spans="2:5" s="32" customFormat="1" ht="14.45" customHeight="1">
      <c r="B235" s="102"/>
      <c r="C235" s="58" t="s">
        <v>108</v>
      </c>
      <c r="D235" s="61">
        <v>4</v>
      </c>
      <c r="E235" s="60">
        <v>1E-3</v>
      </c>
    </row>
    <row r="236" spans="2:5" s="32" customFormat="1" ht="14.45" customHeight="1">
      <c r="B236" s="102"/>
      <c r="C236" s="58" t="s">
        <v>109</v>
      </c>
      <c r="D236" s="61">
        <v>12</v>
      </c>
      <c r="E236" s="60">
        <v>2E-3</v>
      </c>
    </row>
    <row r="237" spans="2:5" s="32" customFormat="1" ht="14.45" customHeight="1">
      <c r="B237" s="102"/>
      <c r="C237" s="58" t="s">
        <v>110</v>
      </c>
      <c r="D237" s="61">
        <v>2</v>
      </c>
      <c r="E237" s="60">
        <v>0</v>
      </c>
    </row>
    <row r="238" spans="2:5" s="32" customFormat="1" ht="14.45" customHeight="1">
      <c r="B238" s="102"/>
      <c r="C238" s="58" t="s">
        <v>111</v>
      </c>
      <c r="D238" s="61">
        <v>1</v>
      </c>
      <c r="E238" s="60">
        <v>0</v>
      </c>
    </row>
    <row r="239" spans="2:5" s="32" customFormat="1" ht="14.45" customHeight="1">
      <c r="B239" s="102"/>
      <c r="C239" s="58" t="s">
        <v>112</v>
      </c>
      <c r="D239" s="61">
        <v>8</v>
      </c>
      <c r="E239" s="60">
        <v>1E-3</v>
      </c>
    </row>
    <row r="240" spans="2:5" s="32" customFormat="1" ht="14.45" customHeight="1">
      <c r="B240" s="102"/>
      <c r="C240" s="58" t="s">
        <v>113</v>
      </c>
      <c r="D240" s="61">
        <v>3</v>
      </c>
      <c r="E240" s="60">
        <v>0</v>
      </c>
    </row>
    <row r="241" spans="2:5" s="32" customFormat="1" ht="14.45" customHeight="1">
      <c r="B241" s="102"/>
      <c r="C241" s="58" t="s">
        <v>114</v>
      </c>
      <c r="D241" s="61">
        <v>1</v>
      </c>
      <c r="E241" s="60">
        <v>0</v>
      </c>
    </row>
    <row r="242" spans="2:5" s="32" customFormat="1" ht="14.45" customHeight="1">
      <c r="B242" s="102"/>
      <c r="C242" s="58" t="s">
        <v>116</v>
      </c>
      <c r="D242" s="61">
        <v>1</v>
      </c>
      <c r="E242" s="60">
        <v>0</v>
      </c>
    </row>
    <row r="243" spans="2:5" s="32" customFormat="1" ht="14.45" customHeight="1">
      <c r="B243" s="102"/>
      <c r="C243" s="58" t="s">
        <v>117</v>
      </c>
      <c r="D243" s="61">
        <v>3</v>
      </c>
      <c r="E243" s="60">
        <v>0</v>
      </c>
    </row>
    <row r="244" spans="2:5" s="32" customFormat="1" ht="14.45" customHeight="1">
      <c r="B244" s="102"/>
      <c r="C244" s="58" t="s">
        <v>119</v>
      </c>
      <c r="D244" s="61">
        <v>2</v>
      </c>
      <c r="E244" s="60">
        <v>0</v>
      </c>
    </row>
    <row r="245" spans="2:5" s="32" customFormat="1" ht="14.45" customHeight="1">
      <c r="B245" s="102"/>
      <c r="C245" s="58" t="s">
        <v>120</v>
      </c>
      <c r="D245" s="61">
        <v>1</v>
      </c>
      <c r="E245" s="60">
        <v>0</v>
      </c>
    </row>
    <row r="246" spans="2:5" s="32" customFormat="1" ht="14.45" customHeight="1">
      <c r="B246" s="102"/>
      <c r="C246" s="58" t="s">
        <v>121</v>
      </c>
      <c r="D246" s="61">
        <v>1</v>
      </c>
      <c r="E246" s="60">
        <v>0</v>
      </c>
    </row>
    <row r="247" spans="2:5" s="32" customFormat="1" ht="14.45" customHeight="1">
      <c r="B247" s="102"/>
      <c r="C247" s="58" t="s">
        <v>122</v>
      </c>
      <c r="D247" s="61">
        <v>31</v>
      </c>
      <c r="E247" s="60">
        <v>5.0000000000000001E-3</v>
      </c>
    </row>
    <row r="248" spans="2:5" s="32" customFormat="1" ht="14.45" customHeight="1">
      <c r="B248" s="102"/>
      <c r="C248" s="58" t="s">
        <v>123</v>
      </c>
      <c r="D248" s="61">
        <v>2</v>
      </c>
      <c r="E248" s="60">
        <v>0</v>
      </c>
    </row>
    <row r="249" spans="2:5" s="32" customFormat="1" ht="14.45" customHeight="1">
      <c r="B249" s="102"/>
      <c r="C249" s="58" t="s">
        <v>124</v>
      </c>
      <c r="D249" s="61">
        <v>6</v>
      </c>
      <c r="E249" s="60">
        <v>1E-3</v>
      </c>
    </row>
    <row r="250" spans="2:5" s="32" customFormat="1" ht="14.45" customHeight="1">
      <c r="B250" s="102"/>
      <c r="C250" s="58" t="s">
        <v>125</v>
      </c>
      <c r="D250" s="61">
        <v>1</v>
      </c>
      <c r="E250" s="60">
        <v>0</v>
      </c>
    </row>
    <row r="251" spans="2:5" s="32" customFormat="1" ht="14.45" customHeight="1">
      <c r="B251" s="102"/>
      <c r="C251" s="58" t="s">
        <v>127</v>
      </c>
      <c r="D251" s="61">
        <v>1</v>
      </c>
      <c r="E251" s="60">
        <v>0</v>
      </c>
    </row>
    <row r="252" spans="2:5" s="32" customFormat="1" ht="14.45" customHeight="1">
      <c r="B252" s="102"/>
      <c r="C252" s="58" t="s">
        <v>128</v>
      </c>
      <c r="D252" s="61">
        <v>3</v>
      </c>
      <c r="E252" s="60">
        <v>0</v>
      </c>
    </row>
    <row r="253" spans="2:5" s="32" customFormat="1" ht="14.45" customHeight="1">
      <c r="B253" s="102"/>
      <c r="C253" s="58" t="s">
        <v>129</v>
      </c>
      <c r="D253" s="61">
        <v>8</v>
      </c>
      <c r="E253" s="60">
        <v>1E-3</v>
      </c>
    </row>
    <row r="254" spans="2:5" s="32" customFormat="1" ht="14.45" customHeight="1">
      <c r="B254" s="102"/>
      <c r="C254" s="58" t="s">
        <v>130</v>
      </c>
      <c r="D254" s="61">
        <v>2</v>
      </c>
      <c r="E254" s="60">
        <v>0</v>
      </c>
    </row>
    <row r="255" spans="2:5" s="32" customFormat="1" ht="14.45" customHeight="1">
      <c r="B255" s="102"/>
      <c r="C255" s="58" t="s">
        <v>132</v>
      </c>
      <c r="D255" s="61">
        <v>1</v>
      </c>
      <c r="E255" s="60">
        <v>0</v>
      </c>
    </row>
    <row r="256" spans="2:5" s="32" customFormat="1" ht="14.45" customHeight="1">
      <c r="B256" s="102"/>
      <c r="C256" s="58" t="s">
        <v>133</v>
      </c>
      <c r="D256" s="61">
        <v>2</v>
      </c>
      <c r="E256" s="60">
        <v>0</v>
      </c>
    </row>
    <row r="257" spans="2:5" s="32" customFormat="1" ht="14.45" customHeight="1">
      <c r="B257" s="102"/>
      <c r="C257" s="58" t="s">
        <v>134</v>
      </c>
      <c r="D257" s="61">
        <v>4</v>
      </c>
      <c r="E257" s="60">
        <v>1E-3</v>
      </c>
    </row>
    <row r="258" spans="2:5" s="32" customFormat="1" ht="14.45" customHeight="1">
      <c r="B258" s="102"/>
      <c r="C258" s="58" t="s">
        <v>135</v>
      </c>
      <c r="D258" s="61">
        <v>14</v>
      </c>
      <c r="E258" s="60">
        <v>2E-3</v>
      </c>
    </row>
    <row r="259" spans="2:5" s="32" customFormat="1" ht="14.45" customHeight="1">
      <c r="B259" s="102"/>
      <c r="C259" s="58" t="s">
        <v>136</v>
      </c>
      <c r="D259" s="61">
        <v>10</v>
      </c>
      <c r="E259" s="60">
        <v>1E-3</v>
      </c>
    </row>
    <row r="260" spans="2:5" s="32" customFormat="1" ht="14.45" customHeight="1">
      <c r="B260" s="102"/>
      <c r="C260" s="58" t="s">
        <v>93</v>
      </c>
      <c r="D260" s="61">
        <v>3</v>
      </c>
      <c r="E260" s="60">
        <v>0</v>
      </c>
    </row>
    <row r="261" spans="2:5" s="32" customFormat="1" ht="14.45" customHeight="1">
      <c r="B261" s="102"/>
      <c r="C261" s="58" t="s">
        <v>138</v>
      </c>
      <c r="D261" s="61">
        <v>1</v>
      </c>
      <c r="E261" s="60">
        <v>0</v>
      </c>
    </row>
    <row r="262" spans="2:5" s="32" customFormat="1" ht="14.45" customHeight="1">
      <c r="B262" s="103"/>
      <c r="C262" s="75" t="s">
        <v>324</v>
      </c>
      <c r="D262" s="76">
        <v>542</v>
      </c>
      <c r="E262" s="72">
        <v>8.1000000000000003E-2</v>
      </c>
    </row>
    <row r="263" spans="2:5" s="32" customFormat="1" ht="14.45" customHeight="1">
      <c r="B263" s="101" t="s">
        <v>223</v>
      </c>
      <c r="C263" s="58" t="s">
        <v>98</v>
      </c>
      <c r="D263" s="61">
        <v>5</v>
      </c>
      <c r="E263" s="60">
        <v>1E-3</v>
      </c>
    </row>
    <row r="264" spans="2:5" s="32" customFormat="1" ht="14.45" customHeight="1">
      <c r="B264" s="102"/>
      <c r="C264" s="58" t="s">
        <v>99</v>
      </c>
      <c r="D264" s="59">
        <v>1032</v>
      </c>
      <c r="E264" s="60">
        <v>0.154</v>
      </c>
    </row>
    <row r="265" spans="2:5" s="32" customFormat="1" ht="14.45" customHeight="1">
      <c r="B265" s="102"/>
      <c r="C265" s="58" t="s">
        <v>100</v>
      </c>
      <c r="D265" s="61">
        <v>3</v>
      </c>
      <c r="E265" s="60">
        <v>0</v>
      </c>
    </row>
    <row r="266" spans="2:5" s="32" customFormat="1" ht="14.45" customHeight="1">
      <c r="B266" s="102"/>
      <c r="C266" s="58" t="s">
        <v>101</v>
      </c>
      <c r="D266" s="61">
        <v>497</v>
      </c>
      <c r="E266" s="60">
        <v>7.3999999999999996E-2</v>
      </c>
    </row>
    <row r="267" spans="2:5" s="32" customFormat="1" ht="14.45" customHeight="1">
      <c r="B267" s="102"/>
      <c r="C267" s="58" t="s">
        <v>102</v>
      </c>
      <c r="D267" s="61">
        <v>26</v>
      </c>
      <c r="E267" s="60">
        <v>4.0000000000000001E-3</v>
      </c>
    </row>
    <row r="268" spans="2:5" s="32" customFormat="1" ht="14.45" customHeight="1">
      <c r="B268" s="102"/>
      <c r="C268" s="58" t="s">
        <v>103</v>
      </c>
      <c r="D268" s="61">
        <v>2</v>
      </c>
      <c r="E268" s="60">
        <v>0</v>
      </c>
    </row>
    <row r="269" spans="2:5" s="32" customFormat="1" ht="14.45" customHeight="1">
      <c r="B269" s="102"/>
      <c r="C269" s="58" t="s">
        <v>105</v>
      </c>
      <c r="D269" s="61">
        <v>1</v>
      </c>
      <c r="E269" s="60">
        <v>0</v>
      </c>
    </row>
    <row r="270" spans="2:5" s="32" customFormat="1" ht="14.45" customHeight="1">
      <c r="B270" s="102"/>
      <c r="C270" s="58" t="s">
        <v>106</v>
      </c>
      <c r="D270" s="61">
        <v>6</v>
      </c>
      <c r="E270" s="60">
        <v>1E-3</v>
      </c>
    </row>
    <row r="271" spans="2:5" s="32" customFormat="1" ht="14.45" customHeight="1">
      <c r="B271" s="102"/>
      <c r="C271" s="58" t="s">
        <v>107</v>
      </c>
      <c r="D271" s="61">
        <v>9</v>
      </c>
      <c r="E271" s="60">
        <v>1E-3</v>
      </c>
    </row>
    <row r="272" spans="2:5" s="32" customFormat="1" ht="14.45" customHeight="1">
      <c r="B272" s="102"/>
      <c r="C272" s="58" t="s">
        <v>108</v>
      </c>
      <c r="D272" s="61">
        <v>22</v>
      </c>
      <c r="E272" s="60">
        <v>3.0000000000000001E-3</v>
      </c>
    </row>
    <row r="273" spans="2:5" s="32" customFormat="1" ht="14.45" customHeight="1">
      <c r="B273" s="102"/>
      <c r="C273" s="58" t="s">
        <v>109</v>
      </c>
      <c r="D273" s="61">
        <v>34</v>
      </c>
      <c r="E273" s="60">
        <v>5.0000000000000001E-3</v>
      </c>
    </row>
    <row r="274" spans="2:5" s="32" customFormat="1" ht="14.45" customHeight="1">
      <c r="B274" s="102"/>
      <c r="C274" s="58" t="s">
        <v>110</v>
      </c>
      <c r="D274" s="61">
        <v>7</v>
      </c>
      <c r="E274" s="60">
        <v>1E-3</v>
      </c>
    </row>
    <row r="275" spans="2:5" s="32" customFormat="1" ht="14.45" customHeight="1">
      <c r="B275" s="102"/>
      <c r="C275" s="58" t="s">
        <v>111</v>
      </c>
      <c r="D275" s="61">
        <v>10</v>
      </c>
      <c r="E275" s="60">
        <v>1E-3</v>
      </c>
    </row>
    <row r="276" spans="2:5" s="32" customFormat="1" ht="14.45" customHeight="1">
      <c r="B276" s="102"/>
      <c r="C276" s="58" t="s">
        <v>112</v>
      </c>
      <c r="D276" s="61">
        <v>12</v>
      </c>
      <c r="E276" s="60">
        <v>2E-3</v>
      </c>
    </row>
    <row r="277" spans="2:5" s="32" customFormat="1" ht="14.45" customHeight="1">
      <c r="B277" s="102"/>
      <c r="C277" s="58" t="s">
        <v>113</v>
      </c>
      <c r="D277" s="61">
        <v>7</v>
      </c>
      <c r="E277" s="60">
        <v>1E-3</v>
      </c>
    </row>
    <row r="278" spans="2:5" s="32" customFormat="1" ht="14.45" customHeight="1">
      <c r="B278" s="102"/>
      <c r="C278" s="58" t="s">
        <v>114</v>
      </c>
      <c r="D278" s="61">
        <v>1</v>
      </c>
      <c r="E278" s="60">
        <v>0</v>
      </c>
    </row>
    <row r="279" spans="2:5" s="32" customFormat="1" ht="14.45" customHeight="1">
      <c r="B279" s="102"/>
      <c r="C279" s="58" t="s">
        <v>115</v>
      </c>
      <c r="D279" s="61">
        <v>1</v>
      </c>
      <c r="E279" s="60">
        <v>0</v>
      </c>
    </row>
    <row r="280" spans="2:5" s="32" customFormat="1" ht="14.45" customHeight="1">
      <c r="B280" s="102"/>
      <c r="C280" s="58" t="s">
        <v>116</v>
      </c>
      <c r="D280" s="61">
        <v>4</v>
      </c>
      <c r="E280" s="60">
        <v>1E-3</v>
      </c>
    </row>
    <row r="281" spans="2:5" s="32" customFormat="1" ht="14.45" customHeight="1">
      <c r="B281" s="102"/>
      <c r="C281" s="58" t="s">
        <v>117</v>
      </c>
      <c r="D281" s="61">
        <v>13</v>
      </c>
      <c r="E281" s="60">
        <v>2E-3</v>
      </c>
    </row>
    <row r="282" spans="2:5" s="32" customFormat="1" ht="14.45" customHeight="1">
      <c r="B282" s="102"/>
      <c r="C282" s="58" t="s">
        <v>119</v>
      </c>
      <c r="D282" s="61">
        <v>3</v>
      </c>
      <c r="E282" s="60">
        <v>0</v>
      </c>
    </row>
    <row r="283" spans="2:5" s="32" customFormat="1" ht="14.45" customHeight="1">
      <c r="B283" s="102"/>
      <c r="C283" s="58" t="s">
        <v>120</v>
      </c>
      <c r="D283" s="61">
        <v>1</v>
      </c>
      <c r="E283" s="60">
        <v>0</v>
      </c>
    </row>
    <row r="284" spans="2:5" s="32" customFormat="1" ht="14.45" customHeight="1">
      <c r="B284" s="102"/>
      <c r="C284" s="58" t="s">
        <v>121</v>
      </c>
      <c r="D284" s="61">
        <v>5</v>
      </c>
      <c r="E284" s="60">
        <v>1E-3</v>
      </c>
    </row>
    <row r="285" spans="2:5" s="32" customFormat="1" ht="14.45" customHeight="1">
      <c r="B285" s="102"/>
      <c r="C285" s="58" t="s">
        <v>122</v>
      </c>
      <c r="D285" s="61">
        <v>115</v>
      </c>
      <c r="E285" s="60">
        <v>1.7000000000000001E-2</v>
      </c>
    </row>
    <row r="286" spans="2:5" s="32" customFormat="1" ht="14.45" customHeight="1">
      <c r="B286" s="102"/>
      <c r="C286" s="58" t="s">
        <v>123</v>
      </c>
      <c r="D286" s="61">
        <v>1</v>
      </c>
      <c r="E286" s="60">
        <v>0</v>
      </c>
    </row>
    <row r="287" spans="2:5" s="32" customFormat="1" ht="14.45" customHeight="1">
      <c r="B287" s="102"/>
      <c r="C287" s="58" t="s">
        <v>124</v>
      </c>
      <c r="D287" s="61">
        <v>11</v>
      </c>
      <c r="E287" s="60">
        <v>2E-3</v>
      </c>
    </row>
    <row r="288" spans="2:5" s="32" customFormat="1" ht="14.45" customHeight="1">
      <c r="B288" s="102"/>
      <c r="C288" s="58" t="s">
        <v>125</v>
      </c>
      <c r="D288" s="61">
        <v>2</v>
      </c>
      <c r="E288" s="60">
        <v>0</v>
      </c>
    </row>
    <row r="289" spans="2:5" s="32" customFormat="1" ht="14.45" customHeight="1">
      <c r="B289" s="102"/>
      <c r="C289" s="58" t="s">
        <v>126</v>
      </c>
      <c r="D289" s="61">
        <v>8</v>
      </c>
      <c r="E289" s="60">
        <v>1E-3</v>
      </c>
    </row>
    <row r="290" spans="2:5" s="32" customFormat="1" ht="14.45" customHeight="1">
      <c r="B290" s="102"/>
      <c r="C290" s="58" t="s">
        <v>127</v>
      </c>
      <c r="D290" s="61">
        <v>1</v>
      </c>
      <c r="E290" s="60">
        <v>0</v>
      </c>
    </row>
    <row r="291" spans="2:5" s="32" customFormat="1" ht="14.45" customHeight="1">
      <c r="B291" s="102"/>
      <c r="C291" s="58" t="s">
        <v>128</v>
      </c>
      <c r="D291" s="61">
        <v>6</v>
      </c>
      <c r="E291" s="60">
        <v>1E-3</v>
      </c>
    </row>
    <row r="292" spans="2:5" s="32" customFormat="1" ht="14.45" customHeight="1">
      <c r="B292" s="102"/>
      <c r="C292" s="58" t="s">
        <v>129</v>
      </c>
      <c r="D292" s="61">
        <v>27</v>
      </c>
      <c r="E292" s="60">
        <v>4.0000000000000001E-3</v>
      </c>
    </row>
    <row r="293" spans="2:5" s="32" customFormat="1" ht="14.45" customHeight="1">
      <c r="B293" s="102"/>
      <c r="C293" s="58" t="s">
        <v>130</v>
      </c>
      <c r="D293" s="61">
        <v>7</v>
      </c>
      <c r="E293" s="60">
        <v>1E-3</v>
      </c>
    </row>
    <row r="294" spans="2:5" s="32" customFormat="1" ht="14.45" customHeight="1">
      <c r="B294" s="102"/>
      <c r="C294" s="58" t="s">
        <v>131</v>
      </c>
      <c r="D294" s="61">
        <v>2</v>
      </c>
      <c r="E294" s="60">
        <v>0</v>
      </c>
    </row>
    <row r="295" spans="2:5" s="32" customFormat="1" ht="14.45" customHeight="1">
      <c r="B295" s="102"/>
      <c r="C295" s="58" t="s">
        <v>133</v>
      </c>
      <c r="D295" s="61">
        <v>4</v>
      </c>
      <c r="E295" s="60">
        <v>1E-3</v>
      </c>
    </row>
    <row r="296" spans="2:5" s="32" customFormat="1" ht="14.45" customHeight="1">
      <c r="B296" s="102"/>
      <c r="C296" s="58" t="s">
        <v>134</v>
      </c>
      <c r="D296" s="61">
        <v>11</v>
      </c>
      <c r="E296" s="60">
        <v>2E-3</v>
      </c>
    </row>
    <row r="297" spans="2:5" s="32" customFormat="1" ht="14.45" customHeight="1">
      <c r="B297" s="102"/>
      <c r="C297" s="58" t="s">
        <v>135</v>
      </c>
      <c r="D297" s="61">
        <v>74</v>
      </c>
      <c r="E297" s="60">
        <v>1.0999999999999999E-2</v>
      </c>
    </row>
    <row r="298" spans="2:5" s="32" customFormat="1" ht="14.45" customHeight="1">
      <c r="B298" s="102"/>
      <c r="C298" s="58" t="s">
        <v>136</v>
      </c>
      <c r="D298" s="61">
        <v>48</v>
      </c>
      <c r="E298" s="60">
        <v>7.0000000000000001E-3</v>
      </c>
    </row>
    <row r="299" spans="2:5" s="32" customFormat="1" ht="14.45" customHeight="1">
      <c r="B299" s="102"/>
      <c r="C299" s="58" t="s">
        <v>137</v>
      </c>
      <c r="D299" s="61">
        <v>3</v>
      </c>
      <c r="E299" s="60">
        <v>0</v>
      </c>
    </row>
    <row r="300" spans="2:5" s="32" customFormat="1" ht="14.45" customHeight="1">
      <c r="B300" s="102"/>
      <c r="C300" s="58" t="s">
        <v>93</v>
      </c>
      <c r="D300" s="61">
        <v>12</v>
      </c>
      <c r="E300" s="60">
        <v>2E-3</v>
      </c>
    </row>
    <row r="301" spans="2:5" s="32" customFormat="1" ht="14.45" customHeight="1">
      <c r="B301" s="102"/>
      <c r="C301" s="58" t="s">
        <v>291</v>
      </c>
      <c r="D301" s="61">
        <v>1</v>
      </c>
      <c r="E301" s="60">
        <v>0</v>
      </c>
    </row>
    <row r="302" spans="2:5" s="32" customFormat="1" ht="14.45" customHeight="1">
      <c r="B302" s="102"/>
      <c r="C302" s="58" t="s">
        <v>138</v>
      </c>
      <c r="D302" s="61">
        <v>4</v>
      </c>
      <c r="E302" s="60">
        <v>1E-3</v>
      </c>
    </row>
    <row r="303" spans="2:5" s="32" customFormat="1" ht="14.45" customHeight="1">
      <c r="B303" s="102"/>
      <c r="C303" s="58" t="s">
        <v>139</v>
      </c>
      <c r="D303" s="61">
        <v>4</v>
      </c>
      <c r="E303" s="60">
        <v>1E-3</v>
      </c>
    </row>
    <row r="304" spans="2:5" s="32" customFormat="1" ht="14.45" customHeight="1">
      <c r="B304" s="103"/>
      <c r="C304" s="75" t="s">
        <v>324</v>
      </c>
      <c r="D304" s="76">
        <v>2042</v>
      </c>
      <c r="E304" s="72">
        <v>0.30399999999999999</v>
      </c>
    </row>
    <row r="305" spans="2:5" s="32" customFormat="1" ht="14.45" customHeight="1">
      <c r="B305" s="101" t="s">
        <v>303</v>
      </c>
      <c r="C305" s="58" t="s">
        <v>99</v>
      </c>
      <c r="D305" s="61">
        <v>29</v>
      </c>
      <c r="E305" s="60">
        <v>4.0000000000000001E-3</v>
      </c>
    </row>
    <row r="306" spans="2:5" s="32" customFormat="1" ht="14.45" customHeight="1">
      <c r="B306" s="102"/>
      <c r="C306" s="58" t="s">
        <v>101</v>
      </c>
      <c r="D306" s="61">
        <v>13</v>
      </c>
      <c r="E306" s="60">
        <v>2E-3</v>
      </c>
    </row>
    <row r="307" spans="2:5" s="32" customFormat="1" ht="14.45" customHeight="1">
      <c r="B307" s="102"/>
      <c r="C307" s="58" t="s">
        <v>108</v>
      </c>
      <c r="D307" s="61">
        <v>1</v>
      </c>
      <c r="E307" s="60">
        <v>0</v>
      </c>
    </row>
    <row r="308" spans="2:5" s="32" customFormat="1" ht="14.45" customHeight="1">
      <c r="B308" s="102"/>
      <c r="C308" s="58" t="s">
        <v>109</v>
      </c>
      <c r="D308" s="61">
        <v>1</v>
      </c>
      <c r="E308" s="60">
        <v>0</v>
      </c>
    </row>
    <row r="309" spans="2:5" s="32" customFormat="1" ht="14.45" customHeight="1">
      <c r="B309" s="102"/>
      <c r="C309" s="58" t="s">
        <v>110</v>
      </c>
      <c r="D309" s="61">
        <v>1</v>
      </c>
      <c r="E309" s="60">
        <v>0</v>
      </c>
    </row>
    <row r="310" spans="2:5" s="32" customFormat="1" ht="14.45" customHeight="1">
      <c r="B310" s="102"/>
      <c r="C310" s="58" t="s">
        <v>117</v>
      </c>
      <c r="D310" s="61">
        <v>1</v>
      </c>
      <c r="E310" s="60">
        <v>0</v>
      </c>
    </row>
    <row r="311" spans="2:5" s="32" customFormat="1" ht="14.45" customHeight="1">
      <c r="B311" s="102"/>
      <c r="C311" s="58" t="s">
        <v>119</v>
      </c>
      <c r="D311" s="61">
        <v>1</v>
      </c>
      <c r="E311" s="60">
        <v>0</v>
      </c>
    </row>
    <row r="312" spans="2:5" s="32" customFormat="1" ht="14.45" customHeight="1">
      <c r="B312" s="102"/>
      <c r="C312" s="58" t="s">
        <v>121</v>
      </c>
      <c r="D312" s="61">
        <v>1</v>
      </c>
      <c r="E312" s="60">
        <v>0</v>
      </c>
    </row>
    <row r="313" spans="2:5" s="32" customFormat="1" ht="14.45" customHeight="1">
      <c r="B313" s="102"/>
      <c r="C313" s="58" t="s">
        <v>122</v>
      </c>
      <c r="D313" s="61">
        <v>1</v>
      </c>
      <c r="E313" s="60">
        <v>0</v>
      </c>
    </row>
    <row r="314" spans="2:5" s="32" customFormat="1" ht="14.45" customHeight="1">
      <c r="B314" s="102"/>
      <c r="C314" s="58" t="s">
        <v>135</v>
      </c>
      <c r="D314" s="61">
        <v>1</v>
      </c>
      <c r="E314" s="60">
        <v>0</v>
      </c>
    </row>
    <row r="315" spans="2:5" s="32" customFormat="1" ht="14.45" customHeight="1">
      <c r="B315" s="102"/>
      <c r="C315" s="58" t="s">
        <v>136</v>
      </c>
      <c r="D315" s="61">
        <v>1</v>
      </c>
      <c r="E315" s="60">
        <v>0</v>
      </c>
    </row>
    <row r="316" spans="2:5" s="32" customFormat="1" ht="14.45" customHeight="1">
      <c r="B316" s="102"/>
      <c r="C316" s="58" t="s">
        <v>139</v>
      </c>
      <c r="D316" s="61">
        <v>2</v>
      </c>
      <c r="E316" s="60">
        <v>0</v>
      </c>
    </row>
    <row r="317" spans="2:5" s="32" customFormat="1" ht="14.45" customHeight="1">
      <c r="B317" s="103"/>
      <c r="C317" s="75" t="s">
        <v>324</v>
      </c>
      <c r="D317" s="76">
        <v>53</v>
      </c>
      <c r="E317" s="72">
        <v>8.0000000000000002E-3</v>
      </c>
    </row>
    <row r="318" spans="2:5" s="32" customFormat="1" ht="14.45" customHeight="1">
      <c r="B318" s="101" t="s">
        <v>304</v>
      </c>
      <c r="C318" s="58" t="s">
        <v>99</v>
      </c>
      <c r="D318" s="61">
        <v>29</v>
      </c>
      <c r="E318" s="60">
        <v>4.0000000000000001E-3</v>
      </c>
    </row>
    <row r="319" spans="2:5" s="32" customFormat="1" ht="14.45" customHeight="1">
      <c r="B319" s="102"/>
      <c r="C319" s="58" t="s">
        <v>101</v>
      </c>
      <c r="D319" s="61">
        <v>10</v>
      </c>
      <c r="E319" s="60">
        <v>1E-3</v>
      </c>
    </row>
    <row r="320" spans="2:5" s="32" customFormat="1" ht="14.45" customHeight="1">
      <c r="B320" s="102"/>
      <c r="C320" s="58" t="s">
        <v>102</v>
      </c>
      <c r="D320" s="61">
        <v>1</v>
      </c>
      <c r="E320" s="60">
        <v>0</v>
      </c>
    </row>
    <row r="321" spans="2:5" s="32" customFormat="1" ht="14.45" customHeight="1">
      <c r="B321" s="102"/>
      <c r="C321" s="58" t="s">
        <v>108</v>
      </c>
      <c r="D321" s="61">
        <v>1</v>
      </c>
      <c r="E321" s="60">
        <v>0</v>
      </c>
    </row>
    <row r="322" spans="2:5" s="32" customFormat="1" ht="14.45" customHeight="1">
      <c r="B322" s="102"/>
      <c r="C322" s="58" t="s">
        <v>112</v>
      </c>
      <c r="D322" s="61">
        <v>1</v>
      </c>
      <c r="E322" s="60">
        <v>0</v>
      </c>
    </row>
    <row r="323" spans="2:5" s="32" customFormat="1" ht="14.45" customHeight="1">
      <c r="B323" s="102"/>
      <c r="C323" s="58" t="s">
        <v>122</v>
      </c>
      <c r="D323" s="61">
        <v>2</v>
      </c>
      <c r="E323" s="60">
        <v>0</v>
      </c>
    </row>
    <row r="324" spans="2:5" s="32" customFormat="1" ht="14.45" customHeight="1">
      <c r="B324" s="102"/>
      <c r="C324" s="58" t="s">
        <v>129</v>
      </c>
      <c r="D324" s="61">
        <v>1</v>
      </c>
      <c r="E324" s="60">
        <v>0</v>
      </c>
    </row>
    <row r="325" spans="2:5" s="32" customFormat="1" ht="14.45" customHeight="1">
      <c r="B325" s="102"/>
      <c r="C325" s="58" t="s">
        <v>135</v>
      </c>
      <c r="D325" s="61">
        <v>1</v>
      </c>
      <c r="E325" s="60">
        <v>0</v>
      </c>
    </row>
    <row r="326" spans="2:5" s="32" customFormat="1" ht="14.45" customHeight="1">
      <c r="B326" s="102"/>
      <c r="C326" s="58" t="s">
        <v>136</v>
      </c>
      <c r="D326" s="61">
        <v>1</v>
      </c>
      <c r="E326" s="60">
        <v>0</v>
      </c>
    </row>
    <row r="327" spans="2:5" s="32" customFormat="1" ht="14.45" customHeight="1">
      <c r="B327" s="103"/>
      <c r="C327" s="75" t="s">
        <v>324</v>
      </c>
      <c r="D327" s="76">
        <v>47</v>
      </c>
      <c r="E327" s="72">
        <v>7.0000000000000001E-3</v>
      </c>
    </row>
    <row r="328" spans="2:5" s="32" customFormat="1" ht="14.45" customHeight="1">
      <c r="B328" s="101" t="s">
        <v>305</v>
      </c>
      <c r="C328" s="58" t="s">
        <v>99</v>
      </c>
      <c r="D328" s="61">
        <v>29</v>
      </c>
      <c r="E328" s="60">
        <v>4.0000000000000001E-3</v>
      </c>
    </row>
    <row r="329" spans="2:5" s="32" customFormat="1" ht="14.45" customHeight="1">
      <c r="B329" s="102"/>
      <c r="C329" s="58" t="s">
        <v>101</v>
      </c>
      <c r="D329" s="61">
        <v>5</v>
      </c>
      <c r="E329" s="60">
        <v>1E-3</v>
      </c>
    </row>
    <row r="330" spans="2:5" s="32" customFormat="1" ht="14.45" customHeight="1">
      <c r="B330" s="102"/>
      <c r="C330" s="58" t="s">
        <v>109</v>
      </c>
      <c r="D330" s="61">
        <v>1</v>
      </c>
      <c r="E330" s="60">
        <v>0</v>
      </c>
    </row>
    <row r="331" spans="2:5" s="32" customFormat="1" ht="14.45" customHeight="1">
      <c r="B331" s="102"/>
      <c r="C331" s="58" t="s">
        <v>117</v>
      </c>
      <c r="D331" s="61">
        <v>1</v>
      </c>
      <c r="E331" s="60">
        <v>0</v>
      </c>
    </row>
    <row r="332" spans="2:5" s="32" customFormat="1" ht="14.45" customHeight="1">
      <c r="B332" s="102"/>
      <c r="C332" s="58" t="s">
        <v>122</v>
      </c>
      <c r="D332" s="61">
        <v>1</v>
      </c>
      <c r="E332" s="60">
        <v>0</v>
      </c>
    </row>
    <row r="333" spans="2:5" s="32" customFormat="1" ht="14.45" customHeight="1">
      <c r="B333" s="102"/>
      <c r="C333" s="58" t="s">
        <v>123</v>
      </c>
      <c r="D333" s="61">
        <v>1</v>
      </c>
      <c r="E333" s="60">
        <v>0</v>
      </c>
    </row>
    <row r="334" spans="2:5" s="32" customFormat="1" ht="14.45" customHeight="1">
      <c r="B334" s="102"/>
      <c r="C334" s="58" t="s">
        <v>124</v>
      </c>
      <c r="D334" s="61">
        <v>1</v>
      </c>
      <c r="E334" s="60">
        <v>0</v>
      </c>
    </row>
    <row r="335" spans="2:5" s="32" customFormat="1" ht="14.45" customHeight="1">
      <c r="B335" s="102"/>
      <c r="C335" s="58" t="s">
        <v>135</v>
      </c>
      <c r="D335" s="61">
        <v>2</v>
      </c>
      <c r="E335" s="60">
        <v>0</v>
      </c>
    </row>
    <row r="336" spans="2:5" s="32" customFormat="1" ht="14.45" customHeight="1">
      <c r="B336" s="103"/>
      <c r="C336" s="75" t="s">
        <v>324</v>
      </c>
      <c r="D336" s="76">
        <v>41</v>
      </c>
      <c r="E336" s="72">
        <v>6.0000000000000001E-3</v>
      </c>
    </row>
    <row r="337" spans="2:5" s="32" customFormat="1" ht="14.45" customHeight="1">
      <c r="B337" s="101" t="s">
        <v>306</v>
      </c>
      <c r="C337" s="58" t="s">
        <v>99</v>
      </c>
      <c r="D337" s="61">
        <v>14</v>
      </c>
      <c r="E337" s="60">
        <v>2E-3</v>
      </c>
    </row>
    <row r="338" spans="2:5" s="32" customFormat="1" ht="14.45" customHeight="1">
      <c r="B338" s="102"/>
      <c r="C338" s="58" t="s">
        <v>101</v>
      </c>
      <c r="D338" s="61">
        <v>1</v>
      </c>
      <c r="E338" s="60">
        <v>0</v>
      </c>
    </row>
    <row r="339" spans="2:5" s="32" customFormat="1" ht="14.45" customHeight="1">
      <c r="B339" s="102"/>
      <c r="C339" s="58" t="s">
        <v>122</v>
      </c>
      <c r="D339" s="61">
        <v>2</v>
      </c>
      <c r="E339" s="60">
        <v>0</v>
      </c>
    </row>
    <row r="340" spans="2:5" s="32" customFormat="1" ht="14.45" customHeight="1">
      <c r="B340" s="102"/>
      <c r="C340" s="58" t="s">
        <v>128</v>
      </c>
      <c r="D340" s="61">
        <v>1</v>
      </c>
      <c r="E340" s="60">
        <v>0</v>
      </c>
    </row>
    <row r="341" spans="2:5" s="32" customFormat="1" ht="14.45" customHeight="1">
      <c r="B341" s="102"/>
      <c r="C341" s="58" t="s">
        <v>129</v>
      </c>
      <c r="D341" s="61">
        <v>1</v>
      </c>
      <c r="E341" s="60">
        <v>0</v>
      </c>
    </row>
    <row r="342" spans="2:5" s="32" customFormat="1" ht="14.45" customHeight="1">
      <c r="B342" s="102"/>
      <c r="C342" s="58" t="s">
        <v>133</v>
      </c>
      <c r="D342" s="61">
        <v>1</v>
      </c>
      <c r="E342" s="60">
        <v>0</v>
      </c>
    </row>
    <row r="343" spans="2:5" s="32" customFormat="1" ht="14.45" customHeight="1">
      <c r="B343" s="102"/>
      <c r="C343" s="58" t="s">
        <v>135</v>
      </c>
      <c r="D343" s="61">
        <v>2</v>
      </c>
      <c r="E343" s="60">
        <v>0</v>
      </c>
    </row>
    <row r="344" spans="2:5" s="32" customFormat="1" ht="14.45" customHeight="1">
      <c r="B344" s="103"/>
      <c r="C344" s="75" t="s">
        <v>324</v>
      </c>
      <c r="D344" s="76">
        <v>22</v>
      </c>
      <c r="E344" s="72">
        <v>3.0000000000000001E-3</v>
      </c>
    </row>
    <row r="345" spans="2:5" s="32" customFormat="1" ht="14.45" customHeight="1">
      <c r="B345" s="101" t="s">
        <v>228</v>
      </c>
      <c r="C345" s="58" t="s">
        <v>98</v>
      </c>
      <c r="D345" s="61">
        <v>2</v>
      </c>
      <c r="E345" s="60">
        <v>0</v>
      </c>
    </row>
    <row r="346" spans="2:5" s="32" customFormat="1" ht="14.45" customHeight="1">
      <c r="B346" s="102"/>
      <c r="C346" s="58" t="s">
        <v>99</v>
      </c>
      <c r="D346" s="61">
        <v>130</v>
      </c>
      <c r="E346" s="60">
        <v>1.9E-2</v>
      </c>
    </row>
    <row r="347" spans="2:5" s="32" customFormat="1" ht="14.45" customHeight="1">
      <c r="B347" s="102"/>
      <c r="C347" s="58" t="s">
        <v>100</v>
      </c>
      <c r="D347" s="61">
        <v>1</v>
      </c>
      <c r="E347" s="60">
        <v>0</v>
      </c>
    </row>
    <row r="348" spans="2:5" s="32" customFormat="1" ht="14.45" customHeight="1">
      <c r="B348" s="102"/>
      <c r="C348" s="58" t="s">
        <v>101</v>
      </c>
      <c r="D348" s="61">
        <v>49</v>
      </c>
      <c r="E348" s="60">
        <v>7.0000000000000001E-3</v>
      </c>
    </row>
    <row r="349" spans="2:5" s="32" customFormat="1" ht="14.45" customHeight="1">
      <c r="B349" s="102"/>
      <c r="C349" s="58" t="s">
        <v>102</v>
      </c>
      <c r="D349" s="61">
        <v>5</v>
      </c>
      <c r="E349" s="60">
        <v>1E-3</v>
      </c>
    </row>
    <row r="350" spans="2:5" s="32" customFormat="1" ht="14.45" customHeight="1">
      <c r="B350" s="102"/>
      <c r="C350" s="58" t="s">
        <v>106</v>
      </c>
      <c r="D350" s="61">
        <v>1</v>
      </c>
      <c r="E350" s="60">
        <v>0</v>
      </c>
    </row>
    <row r="351" spans="2:5" s="32" customFormat="1" ht="14.45" customHeight="1">
      <c r="B351" s="102"/>
      <c r="C351" s="58" t="s">
        <v>109</v>
      </c>
      <c r="D351" s="61">
        <v>2</v>
      </c>
      <c r="E351" s="60">
        <v>0</v>
      </c>
    </row>
    <row r="352" spans="2:5" s="32" customFormat="1" ht="14.45" customHeight="1">
      <c r="B352" s="102"/>
      <c r="C352" s="58" t="s">
        <v>112</v>
      </c>
      <c r="D352" s="61">
        <v>1</v>
      </c>
      <c r="E352" s="60">
        <v>0</v>
      </c>
    </row>
    <row r="353" spans="2:5" s="32" customFormat="1" ht="14.45" customHeight="1">
      <c r="B353" s="102"/>
      <c r="C353" s="58" t="s">
        <v>115</v>
      </c>
      <c r="D353" s="61">
        <v>1</v>
      </c>
      <c r="E353" s="60">
        <v>0</v>
      </c>
    </row>
    <row r="354" spans="2:5" s="32" customFormat="1" ht="14.45" customHeight="1">
      <c r="B354" s="102"/>
      <c r="C354" s="58" t="s">
        <v>116</v>
      </c>
      <c r="D354" s="61">
        <v>1</v>
      </c>
      <c r="E354" s="60">
        <v>0</v>
      </c>
    </row>
    <row r="355" spans="2:5" s="32" customFormat="1" ht="14.45" customHeight="1">
      <c r="B355" s="102"/>
      <c r="C355" s="58" t="s">
        <v>117</v>
      </c>
      <c r="D355" s="61">
        <v>1</v>
      </c>
      <c r="E355" s="60">
        <v>0</v>
      </c>
    </row>
    <row r="356" spans="2:5" s="32" customFormat="1" ht="14.45" customHeight="1">
      <c r="B356" s="102"/>
      <c r="C356" s="58" t="s">
        <v>118</v>
      </c>
      <c r="D356" s="61">
        <v>1</v>
      </c>
      <c r="E356" s="60">
        <v>0</v>
      </c>
    </row>
    <row r="357" spans="2:5" s="32" customFormat="1" ht="14.45" customHeight="1">
      <c r="B357" s="102"/>
      <c r="C357" s="58" t="s">
        <v>122</v>
      </c>
      <c r="D357" s="61">
        <v>10</v>
      </c>
      <c r="E357" s="60">
        <v>1E-3</v>
      </c>
    </row>
    <row r="358" spans="2:5" s="32" customFormat="1" ht="14.45" customHeight="1">
      <c r="B358" s="102"/>
      <c r="C358" s="58" t="s">
        <v>124</v>
      </c>
      <c r="D358" s="61">
        <v>1</v>
      </c>
      <c r="E358" s="60">
        <v>0</v>
      </c>
    </row>
    <row r="359" spans="2:5" s="32" customFormat="1" ht="14.45" customHeight="1">
      <c r="B359" s="102"/>
      <c r="C359" s="58" t="s">
        <v>125</v>
      </c>
      <c r="D359" s="61">
        <v>1</v>
      </c>
      <c r="E359" s="60">
        <v>0</v>
      </c>
    </row>
    <row r="360" spans="2:5" s="32" customFormat="1" ht="14.45" customHeight="1">
      <c r="B360" s="102"/>
      <c r="C360" s="58" t="s">
        <v>126</v>
      </c>
      <c r="D360" s="61">
        <v>2</v>
      </c>
      <c r="E360" s="60">
        <v>0</v>
      </c>
    </row>
    <row r="361" spans="2:5" s="32" customFormat="1" ht="14.45" customHeight="1">
      <c r="B361" s="102"/>
      <c r="C361" s="58" t="s">
        <v>129</v>
      </c>
      <c r="D361" s="61">
        <v>3</v>
      </c>
      <c r="E361" s="60">
        <v>0</v>
      </c>
    </row>
    <row r="362" spans="2:5" s="32" customFormat="1" ht="14.45" customHeight="1">
      <c r="B362" s="102"/>
      <c r="C362" s="58" t="s">
        <v>130</v>
      </c>
      <c r="D362" s="61">
        <v>1</v>
      </c>
      <c r="E362" s="60">
        <v>0</v>
      </c>
    </row>
    <row r="363" spans="2:5" s="32" customFormat="1" ht="14.45" customHeight="1">
      <c r="B363" s="102"/>
      <c r="C363" s="58" t="s">
        <v>134</v>
      </c>
      <c r="D363" s="61">
        <v>2</v>
      </c>
      <c r="E363" s="60">
        <v>0</v>
      </c>
    </row>
    <row r="364" spans="2:5" s="32" customFormat="1" ht="14.45" customHeight="1">
      <c r="B364" s="102"/>
      <c r="C364" s="58" t="s">
        <v>135</v>
      </c>
      <c r="D364" s="61">
        <v>8</v>
      </c>
      <c r="E364" s="60">
        <v>1E-3</v>
      </c>
    </row>
    <row r="365" spans="2:5" s="32" customFormat="1" ht="14.45" customHeight="1">
      <c r="B365" s="102"/>
      <c r="C365" s="58" t="s">
        <v>136</v>
      </c>
      <c r="D365" s="61">
        <v>6</v>
      </c>
      <c r="E365" s="60">
        <v>1E-3</v>
      </c>
    </row>
    <row r="366" spans="2:5" s="32" customFormat="1" ht="14.45" customHeight="1">
      <c r="B366" s="102"/>
      <c r="C366" s="58" t="s">
        <v>93</v>
      </c>
      <c r="D366" s="61">
        <v>3</v>
      </c>
      <c r="E366" s="60">
        <v>0</v>
      </c>
    </row>
    <row r="367" spans="2:5" s="32" customFormat="1" ht="14.45" customHeight="1">
      <c r="B367" s="103"/>
      <c r="C367" s="75" t="s">
        <v>324</v>
      </c>
      <c r="D367" s="76">
        <v>232</v>
      </c>
      <c r="E367" s="72">
        <v>3.5000000000000003E-2</v>
      </c>
    </row>
    <row r="368" spans="2:5" s="32" customFormat="1" ht="14.45" customHeight="1">
      <c r="B368" s="101" t="s">
        <v>229</v>
      </c>
      <c r="C368" s="58" t="s">
        <v>98</v>
      </c>
      <c r="D368" s="61">
        <v>1</v>
      </c>
      <c r="E368" s="60">
        <v>0</v>
      </c>
    </row>
    <row r="369" spans="2:5" s="32" customFormat="1" ht="14.45" customHeight="1">
      <c r="B369" s="102"/>
      <c r="C369" s="58" t="s">
        <v>99</v>
      </c>
      <c r="D369" s="61">
        <v>437</v>
      </c>
      <c r="E369" s="60">
        <v>6.5000000000000002E-2</v>
      </c>
    </row>
    <row r="370" spans="2:5" s="32" customFormat="1" ht="14.45" customHeight="1">
      <c r="B370" s="102"/>
      <c r="C370" s="58" t="s">
        <v>100</v>
      </c>
      <c r="D370" s="61">
        <v>1</v>
      </c>
      <c r="E370" s="60">
        <v>0</v>
      </c>
    </row>
    <row r="371" spans="2:5" s="32" customFormat="1" ht="14.45" customHeight="1">
      <c r="B371" s="102"/>
      <c r="C371" s="58" t="s">
        <v>101</v>
      </c>
      <c r="D371" s="61">
        <v>132</v>
      </c>
      <c r="E371" s="60">
        <v>0.02</v>
      </c>
    </row>
    <row r="372" spans="2:5" s="32" customFormat="1" ht="14.45" customHeight="1">
      <c r="B372" s="102"/>
      <c r="C372" s="58" t="s">
        <v>102</v>
      </c>
      <c r="D372" s="61">
        <v>10</v>
      </c>
      <c r="E372" s="60">
        <v>1E-3</v>
      </c>
    </row>
    <row r="373" spans="2:5" s="32" customFormat="1" ht="14.45" customHeight="1">
      <c r="B373" s="102"/>
      <c r="C373" s="58" t="s">
        <v>103</v>
      </c>
      <c r="D373" s="61">
        <v>1</v>
      </c>
      <c r="E373" s="60">
        <v>0</v>
      </c>
    </row>
    <row r="374" spans="2:5" s="32" customFormat="1" ht="14.45" customHeight="1">
      <c r="B374" s="102"/>
      <c r="C374" s="58" t="s">
        <v>106</v>
      </c>
      <c r="D374" s="61">
        <v>5</v>
      </c>
      <c r="E374" s="60">
        <v>1E-3</v>
      </c>
    </row>
    <row r="375" spans="2:5" s="32" customFormat="1" ht="14.45" customHeight="1">
      <c r="B375" s="102"/>
      <c r="C375" s="58" t="s">
        <v>107</v>
      </c>
      <c r="D375" s="61">
        <v>1</v>
      </c>
      <c r="E375" s="60">
        <v>0</v>
      </c>
    </row>
    <row r="376" spans="2:5" s="32" customFormat="1" ht="14.45" customHeight="1">
      <c r="B376" s="102"/>
      <c r="C376" s="58" t="s">
        <v>108</v>
      </c>
      <c r="D376" s="61">
        <v>6</v>
      </c>
      <c r="E376" s="60">
        <v>1E-3</v>
      </c>
    </row>
    <row r="377" spans="2:5" s="32" customFormat="1" ht="14.45" customHeight="1">
      <c r="B377" s="102"/>
      <c r="C377" s="58" t="s">
        <v>109</v>
      </c>
      <c r="D377" s="61">
        <v>21</v>
      </c>
      <c r="E377" s="60">
        <v>3.0000000000000001E-3</v>
      </c>
    </row>
    <row r="378" spans="2:5" s="32" customFormat="1" ht="14.45" customHeight="1">
      <c r="B378" s="102"/>
      <c r="C378" s="58" t="s">
        <v>110</v>
      </c>
      <c r="D378" s="61">
        <v>2</v>
      </c>
      <c r="E378" s="60">
        <v>0</v>
      </c>
    </row>
    <row r="379" spans="2:5" s="32" customFormat="1" ht="14.45" customHeight="1">
      <c r="B379" s="102"/>
      <c r="C379" s="58" t="s">
        <v>111</v>
      </c>
      <c r="D379" s="61">
        <v>1</v>
      </c>
      <c r="E379" s="60">
        <v>0</v>
      </c>
    </row>
    <row r="380" spans="2:5" s="32" customFormat="1" ht="14.45" customHeight="1">
      <c r="B380" s="102"/>
      <c r="C380" s="58" t="s">
        <v>112</v>
      </c>
      <c r="D380" s="61">
        <v>2</v>
      </c>
      <c r="E380" s="60">
        <v>0</v>
      </c>
    </row>
    <row r="381" spans="2:5" s="32" customFormat="1" ht="14.45" customHeight="1">
      <c r="B381" s="102"/>
      <c r="C381" s="58" t="s">
        <v>114</v>
      </c>
      <c r="D381" s="61">
        <v>1</v>
      </c>
      <c r="E381" s="60">
        <v>0</v>
      </c>
    </row>
    <row r="382" spans="2:5" s="32" customFormat="1" ht="14.45" customHeight="1">
      <c r="B382" s="102"/>
      <c r="C382" s="58" t="s">
        <v>115</v>
      </c>
      <c r="D382" s="61">
        <v>4</v>
      </c>
      <c r="E382" s="60">
        <v>1E-3</v>
      </c>
    </row>
    <row r="383" spans="2:5" s="32" customFormat="1" ht="14.45" customHeight="1">
      <c r="B383" s="102"/>
      <c r="C383" s="58" t="s">
        <v>117</v>
      </c>
      <c r="D383" s="61">
        <v>1</v>
      </c>
      <c r="E383" s="60">
        <v>0</v>
      </c>
    </row>
    <row r="384" spans="2:5" s="32" customFormat="1" ht="14.45" customHeight="1">
      <c r="B384" s="102"/>
      <c r="C384" s="58" t="s">
        <v>119</v>
      </c>
      <c r="D384" s="61">
        <v>2</v>
      </c>
      <c r="E384" s="60">
        <v>0</v>
      </c>
    </row>
    <row r="385" spans="2:5" s="32" customFormat="1" ht="14.45" customHeight="1">
      <c r="B385" s="102"/>
      <c r="C385" s="58" t="s">
        <v>121</v>
      </c>
      <c r="D385" s="61">
        <v>1</v>
      </c>
      <c r="E385" s="60">
        <v>0</v>
      </c>
    </row>
    <row r="386" spans="2:5" s="32" customFormat="1" ht="14.45" customHeight="1">
      <c r="B386" s="102"/>
      <c r="C386" s="58" t="s">
        <v>122</v>
      </c>
      <c r="D386" s="61">
        <v>46</v>
      </c>
      <c r="E386" s="60">
        <v>7.0000000000000001E-3</v>
      </c>
    </row>
    <row r="387" spans="2:5" s="32" customFormat="1" ht="14.45" customHeight="1">
      <c r="B387" s="102"/>
      <c r="C387" s="58" t="s">
        <v>123</v>
      </c>
      <c r="D387" s="61">
        <v>1</v>
      </c>
      <c r="E387" s="60">
        <v>0</v>
      </c>
    </row>
    <row r="388" spans="2:5" s="32" customFormat="1" ht="14.45" customHeight="1">
      <c r="B388" s="102"/>
      <c r="C388" s="58" t="s">
        <v>124</v>
      </c>
      <c r="D388" s="61">
        <v>12</v>
      </c>
      <c r="E388" s="60">
        <v>2E-3</v>
      </c>
    </row>
    <row r="389" spans="2:5" s="32" customFormat="1" ht="14.45" customHeight="1">
      <c r="B389" s="102"/>
      <c r="C389" s="58" t="s">
        <v>125</v>
      </c>
      <c r="D389" s="61">
        <v>4</v>
      </c>
      <c r="E389" s="60">
        <v>1E-3</v>
      </c>
    </row>
    <row r="390" spans="2:5" s="32" customFormat="1" ht="14.45" customHeight="1">
      <c r="B390" s="102"/>
      <c r="C390" s="58" t="s">
        <v>126</v>
      </c>
      <c r="D390" s="61">
        <v>1</v>
      </c>
      <c r="E390" s="60">
        <v>0</v>
      </c>
    </row>
    <row r="391" spans="2:5" s="32" customFormat="1" ht="14.45" customHeight="1">
      <c r="B391" s="102"/>
      <c r="C391" s="58" t="s">
        <v>128</v>
      </c>
      <c r="D391" s="61">
        <v>4</v>
      </c>
      <c r="E391" s="60">
        <v>1E-3</v>
      </c>
    </row>
    <row r="392" spans="2:5" s="32" customFormat="1" ht="14.45" customHeight="1">
      <c r="B392" s="102"/>
      <c r="C392" s="58" t="s">
        <v>129</v>
      </c>
      <c r="D392" s="61">
        <v>6</v>
      </c>
      <c r="E392" s="60">
        <v>1E-3</v>
      </c>
    </row>
    <row r="393" spans="2:5" s="32" customFormat="1" ht="14.45" customHeight="1">
      <c r="B393" s="102"/>
      <c r="C393" s="58" t="s">
        <v>130</v>
      </c>
      <c r="D393" s="61">
        <v>3</v>
      </c>
      <c r="E393" s="60">
        <v>0</v>
      </c>
    </row>
    <row r="394" spans="2:5" s="32" customFormat="1" ht="14.45" customHeight="1">
      <c r="B394" s="102"/>
      <c r="C394" s="58" t="s">
        <v>133</v>
      </c>
      <c r="D394" s="61">
        <v>2</v>
      </c>
      <c r="E394" s="60">
        <v>0</v>
      </c>
    </row>
    <row r="395" spans="2:5" s="32" customFormat="1" ht="14.45" customHeight="1">
      <c r="B395" s="102"/>
      <c r="C395" s="58" t="s">
        <v>134</v>
      </c>
      <c r="D395" s="61">
        <v>3</v>
      </c>
      <c r="E395" s="60">
        <v>0</v>
      </c>
    </row>
    <row r="396" spans="2:5" s="32" customFormat="1" ht="14.45" customHeight="1">
      <c r="B396" s="102"/>
      <c r="C396" s="58" t="s">
        <v>135</v>
      </c>
      <c r="D396" s="61">
        <v>31</v>
      </c>
      <c r="E396" s="60">
        <v>5.0000000000000001E-3</v>
      </c>
    </row>
    <row r="397" spans="2:5" s="32" customFormat="1" ht="14.45" customHeight="1">
      <c r="B397" s="102"/>
      <c r="C397" s="58" t="s">
        <v>136</v>
      </c>
      <c r="D397" s="61">
        <v>8</v>
      </c>
      <c r="E397" s="60">
        <v>1E-3</v>
      </c>
    </row>
    <row r="398" spans="2:5" s="32" customFormat="1" ht="14.45" customHeight="1">
      <c r="B398" s="102"/>
      <c r="C398" s="58" t="s">
        <v>137</v>
      </c>
      <c r="D398" s="61">
        <v>1</v>
      </c>
      <c r="E398" s="60">
        <v>0</v>
      </c>
    </row>
    <row r="399" spans="2:5" s="32" customFormat="1" ht="14.45" customHeight="1">
      <c r="B399" s="102"/>
      <c r="C399" s="58" t="s">
        <v>93</v>
      </c>
      <c r="D399" s="61">
        <v>6</v>
      </c>
      <c r="E399" s="60">
        <v>1E-3</v>
      </c>
    </row>
    <row r="400" spans="2:5" s="32" customFormat="1" ht="14.45" customHeight="1">
      <c r="B400" s="102"/>
      <c r="C400" s="58" t="s">
        <v>139</v>
      </c>
      <c r="D400" s="61">
        <v>2</v>
      </c>
      <c r="E400" s="60">
        <v>0</v>
      </c>
    </row>
    <row r="401" spans="2:5" s="32" customFormat="1" ht="14.45" customHeight="1">
      <c r="B401" s="103"/>
      <c r="C401" s="75" t="s">
        <v>324</v>
      </c>
      <c r="D401" s="76">
        <v>759</v>
      </c>
      <c r="E401" s="72">
        <v>0.113</v>
      </c>
    </row>
    <row r="402" spans="2:5" s="32" customFormat="1" ht="14.45" customHeight="1">
      <c r="B402" s="101" t="s">
        <v>230</v>
      </c>
      <c r="C402" s="58" t="s">
        <v>99</v>
      </c>
      <c r="D402" s="61">
        <v>12</v>
      </c>
      <c r="E402" s="60">
        <v>2E-3</v>
      </c>
    </row>
    <row r="403" spans="2:5" s="32" customFormat="1" ht="14.45" customHeight="1">
      <c r="B403" s="102"/>
      <c r="C403" s="58" t="s">
        <v>101</v>
      </c>
      <c r="D403" s="61">
        <v>1</v>
      </c>
      <c r="E403" s="60">
        <v>0</v>
      </c>
    </row>
    <row r="404" spans="2:5" s="32" customFormat="1" ht="14.45" customHeight="1">
      <c r="B404" s="103"/>
      <c r="C404" s="75" t="s">
        <v>324</v>
      </c>
      <c r="D404" s="76">
        <v>13</v>
      </c>
      <c r="E404" s="72">
        <v>2E-3</v>
      </c>
    </row>
    <row r="405" spans="2:5" s="32" customFormat="1" ht="14.45" customHeight="1">
      <c r="B405" s="101" t="s">
        <v>231</v>
      </c>
      <c r="C405" s="58" t="s">
        <v>99</v>
      </c>
      <c r="D405" s="61">
        <v>20</v>
      </c>
      <c r="E405" s="60">
        <v>3.0000000000000001E-3</v>
      </c>
    </row>
    <row r="406" spans="2:5" s="32" customFormat="1" ht="14.45" customHeight="1">
      <c r="B406" s="102"/>
      <c r="C406" s="58" t="s">
        <v>101</v>
      </c>
      <c r="D406" s="61">
        <v>7</v>
      </c>
      <c r="E406" s="60">
        <v>1E-3</v>
      </c>
    </row>
    <row r="407" spans="2:5" s="32" customFormat="1" ht="14.45" customHeight="1">
      <c r="B407" s="102"/>
      <c r="C407" s="58" t="s">
        <v>102</v>
      </c>
      <c r="D407" s="61">
        <v>2</v>
      </c>
      <c r="E407" s="60">
        <v>0</v>
      </c>
    </row>
    <row r="408" spans="2:5" s="32" customFormat="1" ht="14.45" customHeight="1">
      <c r="B408" s="102"/>
      <c r="C408" s="58" t="s">
        <v>108</v>
      </c>
      <c r="D408" s="61">
        <v>1</v>
      </c>
      <c r="E408" s="60">
        <v>0</v>
      </c>
    </row>
    <row r="409" spans="2:5" s="32" customFormat="1" ht="14.45" customHeight="1">
      <c r="B409" s="102"/>
      <c r="C409" s="58" t="s">
        <v>119</v>
      </c>
      <c r="D409" s="61">
        <v>1</v>
      </c>
      <c r="E409" s="60">
        <v>0</v>
      </c>
    </row>
    <row r="410" spans="2:5" s="32" customFormat="1" ht="14.45" customHeight="1">
      <c r="B410" s="102"/>
      <c r="C410" s="58" t="s">
        <v>122</v>
      </c>
      <c r="D410" s="61">
        <v>3</v>
      </c>
      <c r="E410" s="60">
        <v>0</v>
      </c>
    </row>
    <row r="411" spans="2:5" ht="15" customHeight="1">
      <c r="B411" s="102"/>
      <c r="C411" s="58" t="s">
        <v>125</v>
      </c>
      <c r="D411" s="61">
        <v>1</v>
      </c>
      <c r="E411" s="60">
        <v>0</v>
      </c>
    </row>
    <row r="412" spans="2:5" ht="15" customHeight="1">
      <c r="B412" s="102"/>
      <c r="C412" s="58" t="s">
        <v>129</v>
      </c>
      <c r="D412" s="61">
        <v>1</v>
      </c>
      <c r="E412" s="60">
        <v>0</v>
      </c>
    </row>
    <row r="413" spans="2:5" ht="15" customHeight="1">
      <c r="B413" s="102"/>
      <c r="C413" s="58" t="s">
        <v>93</v>
      </c>
      <c r="D413" s="61">
        <v>1</v>
      </c>
      <c r="E413" s="60">
        <v>0</v>
      </c>
    </row>
    <row r="414" spans="2:5" ht="15" customHeight="1">
      <c r="B414" s="103"/>
      <c r="C414" s="75" t="s">
        <v>324</v>
      </c>
      <c r="D414" s="76">
        <v>37</v>
      </c>
      <c r="E414" s="72">
        <v>6.0000000000000001E-3</v>
      </c>
    </row>
    <row r="415" spans="2:5" ht="15" customHeight="1">
      <c r="B415" s="101" t="s">
        <v>232</v>
      </c>
      <c r="C415" s="58" t="s">
        <v>99</v>
      </c>
      <c r="D415" s="61">
        <v>2</v>
      </c>
      <c r="E415" s="60">
        <v>0</v>
      </c>
    </row>
    <row r="416" spans="2:5" ht="15" customHeight="1">
      <c r="B416" s="102"/>
      <c r="C416" s="58" t="s">
        <v>101</v>
      </c>
      <c r="D416" s="61">
        <v>1</v>
      </c>
      <c r="E416" s="60">
        <v>0</v>
      </c>
    </row>
    <row r="417" spans="2:5" ht="15" customHeight="1">
      <c r="B417" s="102"/>
      <c r="C417" s="58" t="s">
        <v>117</v>
      </c>
      <c r="D417" s="61">
        <v>1</v>
      </c>
      <c r="E417" s="60">
        <v>0</v>
      </c>
    </row>
    <row r="418" spans="2:5" ht="15" customHeight="1">
      <c r="B418" s="102"/>
      <c r="C418" s="58" t="s">
        <v>135</v>
      </c>
      <c r="D418" s="61">
        <v>1</v>
      </c>
      <c r="E418" s="60">
        <v>0</v>
      </c>
    </row>
    <row r="419" spans="2:5" ht="15" customHeight="1">
      <c r="B419" s="103"/>
      <c r="C419" s="75" t="s">
        <v>324</v>
      </c>
      <c r="D419" s="76">
        <v>5</v>
      </c>
      <c r="E419" s="72">
        <v>1E-3</v>
      </c>
    </row>
    <row r="420" spans="2:5" ht="15" customHeight="1">
      <c r="B420" s="106" t="s">
        <v>324</v>
      </c>
      <c r="C420" s="104"/>
      <c r="D420" s="73">
        <v>6718</v>
      </c>
      <c r="E420" s="74">
        <v>1</v>
      </c>
    </row>
    <row r="421" spans="2:5" ht="15" customHeight="1">
      <c r="B421" s="52"/>
      <c r="C421" s="52"/>
      <c r="D421" s="52"/>
      <c r="E421" s="52"/>
    </row>
    <row r="422" spans="2:5" ht="15" customHeight="1">
      <c r="B422" s="36" t="s">
        <v>288</v>
      </c>
      <c r="C422" s="38"/>
      <c r="D422" s="52"/>
      <c r="E422" s="52"/>
    </row>
    <row r="423" spans="2:5" ht="15" customHeight="1">
      <c r="B423" s="38" t="s">
        <v>18</v>
      </c>
      <c r="C423" s="39"/>
      <c r="D423" s="52"/>
      <c r="E423" s="52"/>
    </row>
    <row r="424" spans="2:5" ht="15" customHeight="1">
      <c r="B424" s="39" t="s">
        <v>46</v>
      </c>
      <c r="C424" s="36"/>
      <c r="D424" s="52"/>
      <c r="E424" s="52"/>
    </row>
    <row r="425" spans="2:5" ht="15" customHeight="1">
      <c r="B425" s="36" t="s">
        <v>17</v>
      </c>
      <c r="C425" s="36"/>
      <c r="D425" s="52"/>
      <c r="E425" s="52"/>
    </row>
    <row r="426" spans="2:5" ht="15" customHeight="1">
      <c r="B426" s="36" t="s">
        <v>322</v>
      </c>
      <c r="C426" s="35"/>
      <c r="D426" s="52"/>
      <c r="E426" s="52"/>
    </row>
    <row r="427" spans="2:5" ht="15" customHeight="1">
      <c r="B427" s="52"/>
      <c r="C427" s="52"/>
      <c r="D427" s="52"/>
      <c r="E427" s="52"/>
    </row>
  </sheetData>
  <mergeCells count="26">
    <mergeCell ref="B7:E8"/>
    <mergeCell ref="B110:B121"/>
    <mergeCell ref="B122:B142"/>
    <mergeCell ref="B50:B63"/>
    <mergeCell ref="B64:B83"/>
    <mergeCell ref="B84:B109"/>
    <mergeCell ref="B10:B18"/>
    <mergeCell ref="B19:B22"/>
    <mergeCell ref="B23:B28"/>
    <mergeCell ref="B29:B38"/>
    <mergeCell ref="B39:B49"/>
    <mergeCell ref="B305:B317"/>
    <mergeCell ref="B318:B327"/>
    <mergeCell ref="B328:B336"/>
    <mergeCell ref="B337:B344"/>
    <mergeCell ref="B345:B367"/>
    <mergeCell ref="B143:B169"/>
    <mergeCell ref="B170:B209"/>
    <mergeCell ref="B210:B228"/>
    <mergeCell ref="B229:B262"/>
    <mergeCell ref="B263:B304"/>
    <mergeCell ref="B420:C420"/>
    <mergeCell ref="B368:B401"/>
    <mergeCell ref="B402:B404"/>
    <mergeCell ref="B405:B414"/>
    <mergeCell ref="B415:B41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58" orientation="portrait" r:id="rId1"/>
  <rowBreaks count="1" manualBreakCount="1">
    <brk id="363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636"/>
  <sheetViews>
    <sheetView showGridLines="0" view="pageBreakPreview" topLeftCell="A629" zoomScaleNormal="100" zoomScaleSheetLayoutView="100" workbookViewId="0">
      <selection activeCell="C9" sqref="C9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9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22" customFormat="1" ht="12" customHeight="1">
      <c r="B1" s="25"/>
      <c r="C1" s="24"/>
      <c r="D1" s="24"/>
      <c r="E1" s="24"/>
    </row>
    <row r="2" spans="1:5" s="22" customFormat="1" ht="15" customHeight="1">
      <c r="C2" s="27"/>
    </row>
    <row r="3" spans="1:5" s="22" customFormat="1" ht="15" customHeight="1">
      <c r="C3" s="27"/>
    </row>
    <row r="4" spans="1:5" s="22" customFormat="1" ht="30" customHeight="1">
      <c r="C4" s="27"/>
      <c r="D4" s="26"/>
    </row>
    <row r="5" spans="1:5" s="22" customFormat="1" ht="15" customHeight="1">
      <c r="C5" s="27"/>
      <c r="D5" s="26"/>
    </row>
    <row r="6" spans="1:5" s="22" customFormat="1" ht="24" customHeight="1">
      <c r="B6" s="47"/>
      <c r="C6" s="48"/>
      <c r="D6" s="48"/>
      <c r="E6" s="48"/>
    </row>
    <row r="7" spans="1:5" s="22" customFormat="1" ht="26.25" customHeight="1">
      <c r="A7" s="23"/>
      <c r="B7" s="105"/>
      <c r="C7" s="105"/>
      <c r="D7" s="105"/>
      <c r="E7" s="105"/>
    </row>
    <row r="8" spans="1:5" s="22" customFormat="1" ht="33" customHeight="1">
      <c r="A8" s="23"/>
      <c r="B8" s="105"/>
      <c r="C8" s="105"/>
      <c r="D8" s="105"/>
      <c r="E8" s="105"/>
    </row>
    <row r="9" spans="1:5" s="16" customFormat="1" ht="40.5" customHeight="1">
      <c r="B9" s="49" t="s">
        <v>22</v>
      </c>
      <c r="C9" s="50" t="s">
        <v>27</v>
      </c>
      <c r="D9" s="51" t="s">
        <v>20</v>
      </c>
      <c r="E9" s="49" t="s">
        <v>19</v>
      </c>
    </row>
    <row r="10" spans="1:5" ht="15" customHeight="1">
      <c r="B10" s="101" t="s">
        <v>67</v>
      </c>
      <c r="C10" s="58" t="s">
        <v>298</v>
      </c>
      <c r="D10" s="61">
        <v>1</v>
      </c>
      <c r="E10" s="60">
        <v>0</v>
      </c>
    </row>
    <row r="11" spans="1:5" ht="15" customHeight="1">
      <c r="B11" s="102"/>
      <c r="C11" s="58" t="s">
        <v>299</v>
      </c>
      <c r="D11" s="61">
        <v>2</v>
      </c>
      <c r="E11" s="60">
        <v>0</v>
      </c>
    </row>
    <row r="12" spans="1:5" ht="15" customHeight="1">
      <c r="B12" s="102"/>
      <c r="C12" s="58" t="s">
        <v>216</v>
      </c>
      <c r="D12" s="61">
        <v>4</v>
      </c>
      <c r="E12" s="60">
        <v>1E-3</v>
      </c>
    </row>
    <row r="13" spans="1:5" ht="15" customHeight="1">
      <c r="B13" s="102"/>
      <c r="C13" s="58" t="s">
        <v>302</v>
      </c>
      <c r="D13" s="61">
        <v>1</v>
      </c>
      <c r="E13" s="60">
        <v>0</v>
      </c>
    </row>
    <row r="14" spans="1:5" ht="15" customHeight="1">
      <c r="B14" s="102"/>
      <c r="C14" s="58" t="s">
        <v>220</v>
      </c>
      <c r="D14" s="61">
        <v>21</v>
      </c>
      <c r="E14" s="60">
        <v>3.0000000000000001E-3</v>
      </c>
    </row>
    <row r="15" spans="1:5" ht="15" customHeight="1">
      <c r="B15" s="102"/>
      <c r="C15" s="58" t="s">
        <v>222</v>
      </c>
      <c r="D15" s="61">
        <v>4</v>
      </c>
      <c r="E15" s="60">
        <v>1E-3</v>
      </c>
    </row>
    <row r="16" spans="1:5" ht="15" customHeight="1">
      <c r="B16" s="102"/>
      <c r="C16" s="58" t="s">
        <v>223</v>
      </c>
      <c r="D16" s="61">
        <v>10</v>
      </c>
      <c r="E16" s="60">
        <v>1E-3</v>
      </c>
    </row>
    <row r="17" spans="2:5" ht="15" customHeight="1">
      <c r="B17" s="102"/>
      <c r="C17" s="58" t="s">
        <v>305</v>
      </c>
      <c r="D17" s="61">
        <v>1</v>
      </c>
      <c r="E17" s="60">
        <v>0</v>
      </c>
    </row>
    <row r="18" spans="2:5" ht="15" customHeight="1">
      <c r="B18" s="102"/>
      <c r="C18" s="58" t="s">
        <v>228</v>
      </c>
      <c r="D18" s="61">
        <v>1</v>
      </c>
      <c r="E18" s="60">
        <v>0</v>
      </c>
    </row>
    <row r="19" spans="2:5" ht="15" customHeight="1">
      <c r="B19" s="102"/>
      <c r="C19" s="58" t="s">
        <v>229</v>
      </c>
      <c r="D19" s="61">
        <v>10</v>
      </c>
      <c r="E19" s="60">
        <v>1E-3</v>
      </c>
    </row>
    <row r="20" spans="2:5" ht="15" customHeight="1">
      <c r="B20" s="103"/>
      <c r="C20" s="75" t="s">
        <v>324</v>
      </c>
      <c r="D20" s="76">
        <v>55</v>
      </c>
      <c r="E20" s="72">
        <v>8.0000000000000002E-3</v>
      </c>
    </row>
    <row r="21" spans="2:5" ht="15" customHeight="1">
      <c r="B21" s="101" t="s">
        <v>71</v>
      </c>
      <c r="C21" s="58" t="s">
        <v>209</v>
      </c>
      <c r="D21" s="61">
        <v>1</v>
      </c>
      <c r="E21" s="60">
        <v>0</v>
      </c>
    </row>
    <row r="22" spans="2:5" ht="15" customHeight="1">
      <c r="B22" s="102"/>
      <c r="C22" s="58" t="s">
        <v>298</v>
      </c>
      <c r="D22" s="61">
        <v>1</v>
      </c>
      <c r="E22" s="60">
        <v>0</v>
      </c>
    </row>
    <row r="23" spans="2:5" ht="15" customHeight="1">
      <c r="B23" s="102"/>
      <c r="C23" s="58" t="s">
        <v>299</v>
      </c>
      <c r="D23" s="61">
        <v>2</v>
      </c>
      <c r="E23" s="60">
        <v>0</v>
      </c>
    </row>
    <row r="24" spans="2:5" ht="15" customHeight="1">
      <c r="B24" s="102"/>
      <c r="C24" s="58" t="s">
        <v>216</v>
      </c>
      <c r="D24" s="61">
        <v>1</v>
      </c>
      <c r="E24" s="60">
        <v>0</v>
      </c>
    </row>
    <row r="25" spans="2:5" ht="15" customHeight="1">
      <c r="B25" s="102"/>
      <c r="C25" s="58" t="s">
        <v>302</v>
      </c>
      <c r="D25" s="61">
        <v>1</v>
      </c>
      <c r="E25" s="60">
        <v>0</v>
      </c>
    </row>
    <row r="26" spans="2:5" ht="15" customHeight="1">
      <c r="B26" s="102"/>
      <c r="C26" s="58" t="s">
        <v>220</v>
      </c>
      <c r="D26" s="61">
        <v>11</v>
      </c>
      <c r="E26" s="60">
        <v>2E-3</v>
      </c>
    </row>
    <row r="27" spans="2:5" ht="15" customHeight="1">
      <c r="B27" s="102"/>
      <c r="C27" s="58" t="s">
        <v>222</v>
      </c>
      <c r="D27" s="61">
        <v>6</v>
      </c>
      <c r="E27" s="60">
        <v>1E-3</v>
      </c>
    </row>
    <row r="28" spans="2:5" ht="15" customHeight="1">
      <c r="B28" s="102"/>
      <c r="C28" s="58" t="s">
        <v>223</v>
      </c>
      <c r="D28" s="61">
        <v>16</v>
      </c>
      <c r="E28" s="60">
        <v>2E-3</v>
      </c>
    </row>
    <row r="29" spans="2:5" ht="15" customHeight="1">
      <c r="B29" s="102"/>
      <c r="C29" s="58" t="s">
        <v>228</v>
      </c>
      <c r="D29" s="61">
        <v>2</v>
      </c>
      <c r="E29" s="60">
        <v>0</v>
      </c>
    </row>
    <row r="30" spans="2:5" ht="15" customHeight="1">
      <c r="B30" s="102"/>
      <c r="C30" s="58" t="s">
        <v>229</v>
      </c>
      <c r="D30" s="61">
        <v>1</v>
      </c>
      <c r="E30" s="60">
        <v>0</v>
      </c>
    </row>
    <row r="31" spans="2:5" ht="15" customHeight="1">
      <c r="B31" s="103"/>
      <c r="C31" s="75" t="s">
        <v>324</v>
      </c>
      <c r="D31" s="76">
        <v>42</v>
      </c>
      <c r="E31" s="72">
        <v>6.0000000000000001E-3</v>
      </c>
    </row>
    <row r="32" spans="2:5" ht="15" customHeight="1">
      <c r="B32" s="101" t="s">
        <v>81</v>
      </c>
      <c r="C32" s="58" t="s">
        <v>209</v>
      </c>
      <c r="D32" s="61">
        <v>1</v>
      </c>
      <c r="E32" s="60">
        <v>0</v>
      </c>
    </row>
    <row r="33" spans="2:5" ht="15" customHeight="1">
      <c r="B33" s="102"/>
      <c r="C33" s="58" t="s">
        <v>299</v>
      </c>
      <c r="D33" s="61">
        <v>2</v>
      </c>
      <c r="E33" s="60">
        <v>0</v>
      </c>
    </row>
    <row r="34" spans="2:5" ht="15" customHeight="1">
      <c r="B34" s="102"/>
      <c r="C34" s="58" t="s">
        <v>216</v>
      </c>
      <c r="D34" s="61">
        <v>2</v>
      </c>
      <c r="E34" s="60">
        <v>0</v>
      </c>
    </row>
    <row r="35" spans="2:5" ht="15" customHeight="1">
      <c r="B35" s="102"/>
      <c r="C35" s="58" t="s">
        <v>301</v>
      </c>
      <c r="D35" s="61">
        <v>2</v>
      </c>
      <c r="E35" s="60">
        <v>0</v>
      </c>
    </row>
    <row r="36" spans="2:5" ht="15" customHeight="1">
      <c r="B36" s="102"/>
      <c r="C36" s="58" t="s">
        <v>302</v>
      </c>
      <c r="D36" s="61">
        <v>1</v>
      </c>
      <c r="E36" s="60">
        <v>0</v>
      </c>
    </row>
    <row r="37" spans="2:5" ht="15" customHeight="1">
      <c r="B37" s="102"/>
      <c r="C37" s="58" t="s">
        <v>220</v>
      </c>
      <c r="D37" s="61">
        <v>7</v>
      </c>
      <c r="E37" s="60">
        <v>1E-3</v>
      </c>
    </row>
    <row r="38" spans="2:5" ht="15" customHeight="1">
      <c r="B38" s="102"/>
      <c r="C38" s="58" t="s">
        <v>221</v>
      </c>
      <c r="D38" s="61">
        <v>1</v>
      </c>
      <c r="E38" s="60">
        <v>0</v>
      </c>
    </row>
    <row r="39" spans="2:5" ht="15" customHeight="1">
      <c r="B39" s="102"/>
      <c r="C39" s="58" t="s">
        <v>222</v>
      </c>
      <c r="D39" s="61">
        <v>2</v>
      </c>
      <c r="E39" s="60">
        <v>0</v>
      </c>
    </row>
    <row r="40" spans="2:5" ht="15" customHeight="1">
      <c r="B40" s="102"/>
      <c r="C40" s="58" t="s">
        <v>223</v>
      </c>
      <c r="D40" s="61">
        <v>9</v>
      </c>
      <c r="E40" s="60">
        <v>1E-3</v>
      </c>
    </row>
    <row r="41" spans="2:5" ht="15" customHeight="1">
      <c r="B41" s="102"/>
      <c r="C41" s="58" t="s">
        <v>228</v>
      </c>
      <c r="D41" s="61">
        <v>1</v>
      </c>
      <c r="E41" s="60">
        <v>0</v>
      </c>
    </row>
    <row r="42" spans="2:5" ht="15" customHeight="1">
      <c r="B42" s="102"/>
      <c r="C42" s="58" t="s">
        <v>229</v>
      </c>
      <c r="D42" s="61">
        <v>2</v>
      </c>
      <c r="E42" s="60">
        <v>0</v>
      </c>
    </row>
    <row r="43" spans="2:5" ht="15" customHeight="1">
      <c r="B43" s="103"/>
      <c r="C43" s="75" t="s">
        <v>324</v>
      </c>
      <c r="D43" s="76">
        <v>30</v>
      </c>
      <c r="E43" s="72">
        <v>4.0000000000000001E-3</v>
      </c>
    </row>
    <row r="44" spans="2:5" ht="15" customHeight="1">
      <c r="B44" s="101" t="s">
        <v>64</v>
      </c>
      <c r="C44" s="58" t="s">
        <v>298</v>
      </c>
      <c r="D44" s="61">
        <v>1</v>
      </c>
      <c r="E44" s="60">
        <v>0</v>
      </c>
    </row>
    <row r="45" spans="2:5" ht="15" customHeight="1">
      <c r="B45" s="102"/>
      <c r="C45" s="58" t="s">
        <v>299</v>
      </c>
      <c r="D45" s="61">
        <v>5</v>
      </c>
      <c r="E45" s="60">
        <v>1E-3</v>
      </c>
    </row>
    <row r="46" spans="2:5" ht="15" customHeight="1">
      <c r="B46" s="102"/>
      <c r="C46" s="58" t="s">
        <v>216</v>
      </c>
      <c r="D46" s="61">
        <v>2</v>
      </c>
      <c r="E46" s="60">
        <v>0</v>
      </c>
    </row>
    <row r="47" spans="2:5" ht="15" customHeight="1">
      <c r="B47" s="102"/>
      <c r="C47" s="58" t="s">
        <v>300</v>
      </c>
      <c r="D47" s="61">
        <v>1</v>
      </c>
      <c r="E47" s="60">
        <v>0</v>
      </c>
    </row>
    <row r="48" spans="2:5" ht="15" customHeight="1">
      <c r="B48" s="102"/>
      <c r="C48" s="58" t="s">
        <v>301</v>
      </c>
      <c r="D48" s="61">
        <v>2</v>
      </c>
      <c r="E48" s="60">
        <v>0</v>
      </c>
    </row>
    <row r="49" spans="2:5" ht="15" customHeight="1">
      <c r="B49" s="102"/>
      <c r="C49" s="58" t="s">
        <v>302</v>
      </c>
      <c r="D49" s="61">
        <v>4</v>
      </c>
      <c r="E49" s="60">
        <v>1E-3</v>
      </c>
    </row>
    <row r="50" spans="2:5" ht="15" customHeight="1">
      <c r="B50" s="102"/>
      <c r="C50" s="58" t="s">
        <v>220</v>
      </c>
      <c r="D50" s="61">
        <v>18</v>
      </c>
      <c r="E50" s="60">
        <v>3.0000000000000001E-3</v>
      </c>
    </row>
    <row r="51" spans="2:5" ht="15" customHeight="1">
      <c r="B51" s="102"/>
      <c r="C51" s="58" t="s">
        <v>221</v>
      </c>
      <c r="D51" s="61">
        <v>1</v>
      </c>
      <c r="E51" s="60">
        <v>0</v>
      </c>
    </row>
    <row r="52" spans="2:5" ht="15" customHeight="1">
      <c r="B52" s="102"/>
      <c r="C52" s="58" t="s">
        <v>222</v>
      </c>
      <c r="D52" s="61">
        <v>8</v>
      </c>
      <c r="E52" s="60">
        <v>1E-3</v>
      </c>
    </row>
    <row r="53" spans="2:5" ht="15" customHeight="1">
      <c r="B53" s="102"/>
      <c r="C53" s="58" t="s">
        <v>223</v>
      </c>
      <c r="D53" s="61">
        <v>26</v>
      </c>
      <c r="E53" s="60">
        <v>4.0000000000000001E-3</v>
      </c>
    </row>
    <row r="54" spans="2:5" ht="15" customHeight="1">
      <c r="B54" s="102"/>
      <c r="C54" s="58" t="s">
        <v>303</v>
      </c>
      <c r="D54" s="61">
        <v>2</v>
      </c>
      <c r="E54" s="60">
        <v>0</v>
      </c>
    </row>
    <row r="55" spans="2:5" ht="15" customHeight="1">
      <c r="B55" s="102"/>
      <c r="C55" s="58" t="s">
        <v>304</v>
      </c>
      <c r="D55" s="61">
        <v>1</v>
      </c>
      <c r="E55" s="60">
        <v>0</v>
      </c>
    </row>
    <row r="56" spans="2:5" ht="15" customHeight="1">
      <c r="B56" s="102"/>
      <c r="C56" s="58" t="s">
        <v>228</v>
      </c>
      <c r="D56" s="61">
        <v>1</v>
      </c>
      <c r="E56" s="60">
        <v>0</v>
      </c>
    </row>
    <row r="57" spans="2:5" ht="15" customHeight="1">
      <c r="B57" s="102"/>
      <c r="C57" s="58" t="s">
        <v>229</v>
      </c>
      <c r="D57" s="61">
        <v>8</v>
      </c>
      <c r="E57" s="60">
        <v>1E-3</v>
      </c>
    </row>
    <row r="58" spans="2:5" ht="15" customHeight="1">
      <c r="B58" s="102"/>
      <c r="C58" s="58" t="s">
        <v>231</v>
      </c>
      <c r="D58" s="61">
        <v>1</v>
      </c>
      <c r="E58" s="60">
        <v>0</v>
      </c>
    </row>
    <row r="59" spans="2:5" ht="15" customHeight="1">
      <c r="B59" s="103"/>
      <c r="C59" s="75" t="s">
        <v>324</v>
      </c>
      <c r="D59" s="76">
        <v>81</v>
      </c>
      <c r="E59" s="72">
        <v>1.2E-2</v>
      </c>
    </row>
    <row r="60" spans="2:5" ht="15" customHeight="1">
      <c r="B60" s="101" t="s">
        <v>84</v>
      </c>
      <c r="C60" s="58" t="s">
        <v>220</v>
      </c>
      <c r="D60" s="61">
        <v>2</v>
      </c>
      <c r="E60" s="60">
        <v>0</v>
      </c>
    </row>
    <row r="61" spans="2:5" ht="15" customHeight="1">
      <c r="B61" s="102"/>
      <c r="C61" s="58" t="s">
        <v>222</v>
      </c>
      <c r="D61" s="61">
        <v>1</v>
      </c>
      <c r="E61" s="60">
        <v>0</v>
      </c>
    </row>
    <row r="62" spans="2:5" ht="15" customHeight="1">
      <c r="B62" s="102"/>
      <c r="C62" s="58" t="s">
        <v>223</v>
      </c>
      <c r="D62" s="61">
        <v>2</v>
      </c>
      <c r="E62" s="60">
        <v>0</v>
      </c>
    </row>
    <row r="63" spans="2:5" ht="15" customHeight="1">
      <c r="B63" s="102"/>
      <c r="C63" s="58" t="s">
        <v>228</v>
      </c>
      <c r="D63" s="61">
        <v>1</v>
      </c>
      <c r="E63" s="60">
        <v>0</v>
      </c>
    </row>
    <row r="64" spans="2:5" ht="15" customHeight="1">
      <c r="B64" s="102"/>
      <c r="C64" s="58" t="s">
        <v>229</v>
      </c>
      <c r="D64" s="61">
        <v>4</v>
      </c>
      <c r="E64" s="60">
        <v>1E-3</v>
      </c>
    </row>
    <row r="65" spans="2:5" ht="15" customHeight="1">
      <c r="B65" s="103"/>
      <c r="C65" s="75" t="s">
        <v>324</v>
      </c>
      <c r="D65" s="76">
        <v>10</v>
      </c>
      <c r="E65" s="72">
        <v>1E-3</v>
      </c>
    </row>
    <row r="66" spans="2:5" ht="15" customHeight="1">
      <c r="B66" s="101" t="s">
        <v>94</v>
      </c>
      <c r="C66" s="58" t="s">
        <v>220</v>
      </c>
      <c r="D66" s="61">
        <v>1</v>
      </c>
      <c r="E66" s="60">
        <v>0</v>
      </c>
    </row>
    <row r="67" spans="2:5" ht="15" customHeight="1">
      <c r="B67" s="102"/>
      <c r="C67" s="58" t="s">
        <v>221</v>
      </c>
      <c r="D67" s="61">
        <v>1</v>
      </c>
      <c r="E67" s="60">
        <v>0</v>
      </c>
    </row>
    <row r="68" spans="2:5" ht="15" customHeight="1">
      <c r="B68" s="102"/>
      <c r="C68" s="58" t="s">
        <v>228</v>
      </c>
      <c r="D68" s="61">
        <v>1</v>
      </c>
      <c r="E68" s="60">
        <v>0</v>
      </c>
    </row>
    <row r="69" spans="2:5" ht="15" customHeight="1">
      <c r="B69" s="102"/>
      <c r="C69" s="58" t="s">
        <v>229</v>
      </c>
      <c r="D69" s="61">
        <v>1</v>
      </c>
      <c r="E69" s="60">
        <v>0</v>
      </c>
    </row>
    <row r="70" spans="2:5" ht="15" customHeight="1">
      <c r="B70" s="103"/>
      <c r="C70" s="75" t="s">
        <v>324</v>
      </c>
      <c r="D70" s="76">
        <v>4</v>
      </c>
      <c r="E70" s="72">
        <v>1E-3</v>
      </c>
    </row>
    <row r="71" spans="2:5" ht="15" customHeight="1">
      <c r="B71" s="101" t="s">
        <v>85</v>
      </c>
      <c r="C71" s="58" t="s">
        <v>299</v>
      </c>
      <c r="D71" s="61">
        <v>1</v>
      </c>
      <c r="E71" s="60">
        <v>0</v>
      </c>
    </row>
    <row r="72" spans="2:5" ht="15" customHeight="1">
      <c r="B72" s="102"/>
      <c r="C72" s="58" t="s">
        <v>216</v>
      </c>
      <c r="D72" s="61">
        <v>1</v>
      </c>
      <c r="E72" s="60">
        <v>0</v>
      </c>
    </row>
    <row r="73" spans="2:5" ht="15" customHeight="1">
      <c r="B73" s="102"/>
      <c r="C73" s="58" t="s">
        <v>220</v>
      </c>
      <c r="D73" s="61">
        <v>4</v>
      </c>
      <c r="E73" s="60">
        <v>1E-3</v>
      </c>
    </row>
    <row r="74" spans="2:5" ht="15" customHeight="1">
      <c r="B74" s="102"/>
      <c r="C74" s="58" t="s">
        <v>221</v>
      </c>
      <c r="D74" s="61">
        <v>3</v>
      </c>
      <c r="E74" s="60">
        <v>0</v>
      </c>
    </row>
    <row r="75" spans="2:5" ht="15" customHeight="1">
      <c r="B75" s="102"/>
      <c r="C75" s="58" t="s">
        <v>223</v>
      </c>
      <c r="D75" s="61">
        <v>11</v>
      </c>
      <c r="E75" s="60">
        <v>2E-3</v>
      </c>
    </row>
    <row r="76" spans="2:5" ht="15" customHeight="1">
      <c r="B76" s="102"/>
      <c r="C76" s="58" t="s">
        <v>228</v>
      </c>
      <c r="D76" s="61">
        <v>2</v>
      </c>
      <c r="E76" s="60">
        <v>0</v>
      </c>
    </row>
    <row r="77" spans="2:5" ht="15" customHeight="1">
      <c r="B77" s="102"/>
      <c r="C77" s="58" t="s">
        <v>229</v>
      </c>
      <c r="D77" s="61">
        <v>6</v>
      </c>
      <c r="E77" s="60">
        <v>1E-3</v>
      </c>
    </row>
    <row r="78" spans="2:5" ht="15" customHeight="1">
      <c r="B78" s="102"/>
      <c r="C78" s="58" t="s">
        <v>231</v>
      </c>
      <c r="D78" s="61">
        <v>1</v>
      </c>
      <c r="E78" s="60">
        <v>0</v>
      </c>
    </row>
    <row r="79" spans="2:5" ht="15" customHeight="1">
      <c r="B79" s="103"/>
      <c r="C79" s="75" t="s">
        <v>324</v>
      </c>
      <c r="D79" s="76">
        <v>29</v>
      </c>
      <c r="E79" s="72">
        <v>4.0000000000000001E-3</v>
      </c>
    </row>
    <row r="80" spans="2:5" ht="15" customHeight="1">
      <c r="B80" s="101" t="s">
        <v>54</v>
      </c>
      <c r="C80" s="58" t="s">
        <v>296</v>
      </c>
      <c r="D80" s="61">
        <v>1</v>
      </c>
      <c r="E80" s="60">
        <v>0</v>
      </c>
    </row>
    <row r="81" spans="2:5" ht="15" customHeight="1">
      <c r="B81" s="102"/>
      <c r="C81" s="58" t="s">
        <v>298</v>
      </c>
      <c r="D81" s="61">
        <v>1</v>
      </c>
      <c r="E81" s="60">
        <v>0</v>
      </c>
    </row>
    <row r="82" spans="2:5" ht="15" customHeight="1">
      <c r="B82" s="102"/>
      <c r="C82" s="58" t="s">
        <v>299</v>
      </c>
      <c r="D82" s="61">
        <v>2</v>
      </c>
      <c r="E82" s="60">
        <v>0</v>
      </c>
    </row>
    <row r="83" spans="2:5" ht="15" customHeight="1">
      <c r="B83" s="102"/>
      <c r="C83" s="58" t="s">
        <v>216</v>
      </c>
      <c r="D83" s="61">
        <v>19</v>
      </c>
      <c r="E83" s="60">
        <v>3.0000000000000001E-3</v>
      </c>
    </row>
    <row r="84" spans="2:5" ht="15" customHeight="1">
      <c r="B84" s="102"/>
      <c r="C84" s="58" t="s">
        <v>300</v>
      </c>
      <c r="D84" s="61">
        <v>1</v>
      </c>
      <c r="E84" s="60">
        <v>0</v>
      </c>
    </row>
    <row r="85" spans="2:5" ht="15" customHeight="1">
      <c r="B85" s="102"/>
      <c r="C85" s="58" t="s">
        <v>301</v>
      </c>
      <c r="D85" s="61">
        <v>2</v>
      </c>
      <c r="E85" s="60">
        <v>0</v>
      </c>
    </row>
    <row r="86" spans="2:5" ht="15" customHeight="1">
      <c r="B86" s="102"/>
      <c r="C86" s="58" t="s">
        <v>302</v>
      </c>
      <c r="D86" s="61">
        <v>3</v>
      </c>
      <c r="E86" s="60">
        <v>0</v>
      </c>
    </row>
    <row r="87" spans="2:5" ht="15" customHeight="1">
      <c r="B87" s="102"/>
      <c r="C87" s="58" t="s">
        <v>220</v>
      </c>
      <c r="D87" s="61">
        <v>42</v>
      </c>
      <c r="E87" s="60">
        <v>6.0000000000000001E-3</v>
      </c>
    </row>
    <row r="88" spans="2:5" ht="15" customHeight="1">
      <c r="B88" s="102"/>
      <c r="C88" s="58" t="s">
        <v>221</v>
      </c>
      <c r="D88" s="61">
        <v>3</v>
      </c>
      <c r="E88" s="60">
        <v>0</v>
      </c>
    </row>
    <row r="89" spans="2:5" ht="15" customHeight="1">
      <c r="B89" s="102"/>
      <c r="C89" s="58" t="s">
        <v>222</v>
      </c>
      <c r="D89" s="61">
        <v>16</v>
      </c>
      <c r="E89" s="60">
        <v>2E-3</v>
      </c>
    </row>
    <row r="90" spans="2:5" ht="15" customHeight="1">
      <c r="B90" s="102"/>
      <c r="C90" s="58" t="s">
        <v>223</v>
      </c>
      <c r="D90" s="61">
        <v>42</v>
      </c>
      <c r="E90" s="60">
        <v>6.0000000000000001E-3</v>
      </c>
    </row>
    <row r="91" spans="2:5" ht="15" customHeight="1">
      <c r="B91" s="102"/>
      <c r="C91" s="58" t="s">
        <v>303</v>
      </c>
      <c r="D91" s="61">
        <v>3</v>
      </c>
      <c r="E91" s="60">
        <v>0</v>
      </c>
    </row>
    <row r="92" spans="2:5" ht="15" customHeight="1">
      <c r="B92" s="102"/>
      <c r="C92" s="58" t="s">
        <v>305</v>
      </c>
      <c r="D92" s="61">
        <v>1</v>
      </c>
      <c r="E92" s="60">
        <v>0</v>
      </c>
    </row>
    <row r="93" spans="2:5" ht="15" customHeight="1">
      <c r="B93" s="102"/>
      <c r="C93" s="58" t="s">
        <v>228</v>
      </c>
      <c r="D93" s="61">
        <v>2</v>
      </c>
      <c r="E93" s="60">
        <v>0</v>
      </c>
    </row>
    <row r="94" spans="2:5" ht="15" customHeight="1">
      <c r="B94" s="102"/>
      <c r="C94" s="58" t="s">
        <v>229</v>
      </c>
      <c r="D94" s="61">
        <v>24</v>
      </c>
      <c r="E94" s="60">
        <v>4.0000000000000001E-3</v>
      </c>
    </row>
    <row r="95" spans="2:5" ht="15" customHeight="1">
      <c r="B95" s="103"/>
      <c r="C95" s="75" t="s">
        <v>324</v>
      </c>
      <c r="D95" s="76">
        <v>162</v>
      </c>
      <c r="E95" s="72">
        <v>2.4E-2</v>
      </c>
    </row>
    <row r="96" spans="2:5" ht="15" customHeight="1">
      <c r="B96" s="101" t="s">
        <v>62</v>
      </c>
      <c r="C96" s="58" t="s">
        <v>209</v>
      </c>
      <c r="D96" s="61">
        <v>1</v>
      </c>
      <c r="E96" s="60">
        <v>0</v>
      </c>
    </row>
    <row r="97" spans="2:5" ht="15" customHeight="1">
      <c r="B97" s="102"/>
      <c r="C97" s="58" t="s">
        <v>296</v>
      </c>
      <c r="D97" s="61">
        <v>1</v>
      </c>
      <c r="E97" s="60">
        <v>0</v>
      </c>
    </row>
    <row r="98" spans="2:5" ht="15" customHeight="1">
      <c r="B98" s="102"/>
      <c r="C98" s="58" t="s">
        <v>299</v>
      </c>
      <c r="D98" s="61">
        <v>2</v>
      </c>
      <c r="E98" s="60">
        <v>0</v>
      </c>
    </row>
    <row r="99" spans="2:5" ht="15" customHeight="1">
      <c r="B99" s="102"/>
      <c r="C99" s="58" t="s">
        <v>216</v>
      </c>
      <c r="D99" s="61">
        <v>3</v>
      </c>
      <c r="E99" s="60">
        <v>0</v>
      </c>
    </row>
    <row r="100" spans="2:5" ht="15" customHeight="1">
      <c r="B100" s="102"/>
      <c r="C100" s="58" t="s">
        <v>300</v>
      </c>
      <c r="D100" s="61">
        <v>1</v>
      </c>
      <c r="E100" s="60">
        <v>0</v>
      </c>
    </row>
    <row r="101" spans="2:5" ht="15" customHeight="1">
      <c r="B101" s="102"/>
      <c r="C101" s="58" t="s">
        <v>301</v>
      </c>
      <c r="D101" s="61">
        <v>2</v>
      </c>
      <c r="E101" s="60">
        <v>0</v>
      </c>
    </row>
    <row r="102" spans="2:5" ht="15" customHeight="1">
      <c r="B102" s="102"/>
      <c r="C102" s="58" t="s">
        <v>302</v>
      </c>
      <c r="D102" s="61">
        <v>2</v>
      </c>
      <c r="E102" s="60">
        <v>0</v>
      </c>
    </row>
    <row r="103" spans="2:5" ht="15" customHeight="1">
      <c r="B103" s="102"/>
      <c r="C103" s="58" t="s">
        <v>220</v>
      </c>
      <c r="D103" s="61">
        <v>29</v>
      </c>
      <c r="E103" s="60">
        <v>4.0000000000000001E-3</v>
      </c>
    </row>
    <row r="104" spans="2:5" ht="15" customHeight="1">
      <c r="B104" s="102"/>
      <c r="C104" s="58" t="s">
        <v>221</v>
      </c>
      <c r="D104" s="61">
        <v>2</v>
      </c>
      <c r="E104" s="60">
        <v>0</v>
      </c>
    </row>
    <row r="105" spans="2:5" ht="15" customHeight="1">
      <c r="B105" s="102"/>
      <c r="C105" s="58" t="s">
        <v>222</v>
      </c>
      <c r="D105" s="61">
        <v>4</v>
      </c>
      <c r="E105" s="60">
        <v>1E-3</v>
      </c>
    </row>
    <row r="106" spans="2:5" ht="15" customHeight="1">
      <c r="B106" s="102"/>
      <c r="C106" s="58" t="s">
        <v>223</v>
      </c>
      <c r="D106" s="61">
        <v>21</v>
      </c>
      <c r="E106" s="60">
        <v>3.0000000000000001E-3</v>
      </c>
    </row>
    <row r="107" spans="2:5" ht="15" customHeight="1">
      <c r="B107" s="102"/>
      <c r="C107" s="58" t="s">
        <v>306</v>
      </c>
      <c r="D107" s="61">
        <v>2</v>
      </c>
      <c r="E107" s="60">
        <v>0</v>
      </c>
    </row>
    <row r="108" spans="2:5" ht="15" customHeight="1">
      <c r="B108" s="102"/>
      <c r="C108" s="58" t="s">
        <v>228</v>
      </c>
      <c r="D108" s="61">
        <v>3</v>
      </c>
      <c r="E108" s="60">
        <v>0</v>
      </c>
    </row>
    <row r="109" spans="2:5" ht="15" customHeight="1">
      <c r="B109" s="102"/>
      <c r="C109" s="58" t="s">
        <v>229</v>
      </c>
      <c r="D109" s="61">
        <v>10</v>
      </c>
      <c r="E109" s="60">
        <v>1E-3</v>
      </c>
    </row>
    <row r="110" spans="2:5" ht="15" customHeight="1">
      <c r="B110" s="103"/>
      <c r="C110" s="75" t="s">
        <v>324</v>
      </c>
      <c r="D110" s="76">
        <v>83</v>
      </c>
      <c r="E110" s="72">
        <v>1.2E-2</v>
      </c>
    </row>
    <row r="111" spans="2:5" ht="15" customHeight="1">
      <c r="B111" s="101" t="s">
        <v>96</v>
      </c>
      <c r="C111" s="58" t="s">
        <v>220</v>
      </c>
      <c r="D111" s="61">
        <v>1</v>
      </c>
      <c r="E111" s="60">
        <v>0</v>
      </c>
    </row>
    <row r="112" spans="2:5" ht="15" customHeight="1">
      <c r="B112" s="102"/>
      <c r="C112" s="58" t="s">
        <v>229</v>
      </c>
      <c r="D112" s="61">
        <v>1</v>
      </c>
      <c r="E112" s="60">
        <v>0</v>
      </c>
    </row>
    <row r="113" spans="2:5" ht="15" customHeight="1">
      <c r="B113" s="103"/>
      <c r="C113" s="75" t="s">
        <v>324</v>
      </c>
      <c r="D113" s="76">
        <v>2</v>
      </c>
      <c r="E113" s="72">
        <v>0</v>
      </c>
    </row>
    <row r="114" spans="2:5" ht="15" customHeight="1">
      <c r="B114" s="101" t="s">
        <v>56</v>
      </c>
      <c r="C114" s="58" t="s">
        <v>296</v>
      </c>
      <c r="D114" s="61">
        <v>2</v>
      </c>
      <c r="E114" s="60">
        <v>0</v>
      </c>
    </row>
    <row r="115" spans="2:5" ht="15" customHeight="1">
      <c r="B115" s="102"/>
      <c r="C115" s="58" t="s">
        <v>297</v>
      </c>
      <c r="D115" s="61">
        <v>2</v>
      </c>
      <c r="E115" s="60">
        <v>0</v>
      </c>
    </row>
    <row r="116" spans="2:5" ht="15" customHeight="1">
      <c r="B116" s="102"/>
      <c r="C116" s="58" t="s">
        <v>298</v>
      </c>
      <c r="D116" s="61">
        <v>1</v>
      </c>
      <c r="E116" s="60">
        <v>0</v>
      </c>
    </row>
    <row r="117" spans="2:5" ht="15" customHeight="1">
      <c r="B117" s="102"/>
      <c r="C117" s="58" t="s">
        <v>299</v>
      </c>
      <c r="D117" s="61">
        <v>6</v>
      </c>
      <c r="E117" s="60">
        <v>1E-3</v>
      </c>
    </row>
    <row r="118" spans="2:5" ht="15" customHeight="1">
      <c r="B118" s="102"/>
      <c r="C118" s="58" t="s">
        <v>216</v>
      </c>
      <c r="D118" s="61">
        <v>8</v>
      </c>
      <c r="E118" s="60">
        <v>1E-3</v>
      </c>
    </row>
    <row r="119" spans="2:5" ht="15" customHeight="1">
      <c r="B119" s="102"/>
      <c r="C119" s="58" t="s">
        <v>301</v>
      </c>
      <c r="D119" s="61">
        <v>3</v>
      </c>
      <c r="E119" s="60">
        <v>0</v>
      </c>
    </row>
    <row r="120" spans="2:5" ht="15" customHeight="1">
      <c r="B120" s="102"/>
      <c r="C120" s="58" t="s">
        <v>302</v>
      </c>
      <c r="D120" s="61">
        <v>5</v>
      </c>
      <c r="E120" s="60">
        <v>1E-3</v>
      </c>
    </row>
    <row r="121" spans="2:5" ht="15" customHeight="1">
      <c r="B121" s="102"/>
      <c r="C121" s="58" t="s">
        <v>220</v>
      </c>
      <c r="D121" s="61">
        <v>33</v>
      </c>
      <c r="E121" s="60">
        <v>5.0000000000000001E-3</v>
      </c>
    </row>
    <row r="122" spans="2:5" ht="15" customHeight="1">
      <c r="B122" s="102"/>
      <c r="C122" s="58" t="s">
        <v>222</v>
      </c>
      <c r="D122" s="61">
        <v>6</v>
      </c>
      <c r="E122" s="60">
        <v>1E-3</v>
      </c>
    </row>
    <row r="123" spans="2:5" ht="15" customHeight="1">
      <c r="B123" s="102"/>
      <c r="C123" s="58" t="s">
        <v>223</v>
      </c>
      <c r="D123" s="61">
        <v>25</v>
      </c>
      <c r="E123" s="60">
        <v>4.0000000000000001E-3</v>
      </c>
    </row>
    <row r="124" spans="2:5" ht="15" customHeight="1">
      <c r="B124" s="102"/>
      <c r="C124" s="58" t="s">
        <v>304</v>
      </c>
      <c r="D124" s="61">
        <v>1</v>
      </c>
      <c r="E124" s="60">
        <v>0</v>
      </c>
    </row>
    <row r="125" spans="2:5" ht="15" customHeight="1">
      <c r="B125" s="102"/>
      <c r="C125" s="58" t="s">
        <v>228</v>
      </c>
      <c r="D125" s="61">
        <v>5</v>
      </c>
      <c r="E125" s="60">
        <v>1E-3</v>
      </c>
    </row>
    <row r="126" spans="2:5" ht="15" customHeight="1">
      <c r="B126" s="102"/>
      <c r="C126" s="58" t="s">
        <v>229</v>
      </c>
      <c r="D126" s="61">
        <v>6</v>
      </c>
      <c r="E126" s="60">
        <v>1E-3</v>
      </c>
    </row>
    <row r="127" spans="2:5" ht="15" customHeight="1">
      <c r="B127" s="102"/>
      <c r="C127" s="58" t="s">
        <v>231</v>
      </c>
      <c r="D127" s="61">
        <v>2</v>
      </c>
      <c r="E127" s="60">
        <v>0</v>
      </c>
    </row>
    <row r="128" spans="2:5" ht="15" customHeight="1">
      <c r="B128" s="103"/>
      <c r="C128" s="75" t="s">
        <v>324</v>
      </c>
      <c r="D128" s="76">
        <v>105</v>
      </c>
      <c r="E128" s="72">
        <v>1.6E-2</v>
      </c>
    </row>
    <row r="129" spans="2:5" ht="15" customHeight="1">
      <c r="B129" s="101" t="s">
        <v>78</v>
      </c>
      <c r="C129" s="58" t="s">
        <v>296</v>
      </c>
      <c r="D129" s="61">
        <v>1</v>
      </c>
      <c r="E129" s="60">
        <v>0</v>
      </c>
    </row>
    <row r="130" spans="2:5" ht="15" customHeight="1">
      <c r="B130" s="102"/>
      <c r="C130" s="58" t="s">
        <v>298</v>
      </c>
      <c r="D130" s="61">
        <v>3</v>
      </c>
      <c r="E130" s="60">
        <v>0</v>
      </c>
    </row>
    <row r="131" spans="2:5" ht="15" customHeight="1">
      <c r="B131" s="102"/>
      <c r="C131" s="58" t="s">
        <v>299</v>
      </c>
      <c r="D131" s="61">
        <v>2</v>
      </c>
      <c r="E131" s="60">
        <v>0</v>
      </c>
    </row>
    <row r="132" spans="2:5" ht="15" customHeight="1">
      <c r="B132" s="102"/>
      <c r="C132" s="58" t="s">
        <v>216</v>
      </c>
      <c r="D132" s="61">
        <v>3</v>
      </c>
      <c r="E132" s="60">
        <v>0</v>
      </c>
    </row>
    <row r="133" spans="2:5" ht="15" customHeight="1">
      <c r="B133" s="102"/>
      <c r="C133" s="58" t="s">
        <v>301</v>
      </c>
      <c r="D133" s="61">
        <v>2</v>
      </c>
      <c r="E133" s="60">
        <v>0</v>
      </c>
    </row>
    <row r="134" spans="2:5" ht="15" customHeight="1">
      <c r="B134" s="102"/>
      <c r="C134" s="58" t="s">
        <v>302</v>
      </c>
      <c r="D134" s="61">
        <v>2</v>
      </c>
      <c r="E134" s="60">
        <v>0</v>
      </c>
    </row>
    <row r="135" spans="2:5" ht="15" customHeight="1">
      <c r="B135" s="102"/>
      <c r="C135" s="58" t="s">
        <v>220</v>
      </c>
      <c r="D135" s="61">
        <v>13</v>
      </c>
      <c r="E135" s="60">
        <v>2E-3</v>
      </c>
    </row>
    <row r="136" spans="2:5" ht="15" customHeight="1">
      <c r="B136" s="102"/>
      <c r="C136" s="58" t="s">
        <v>222</v>
      </c>
      <c r="D136" s="61">
        <v>4</v>
      </c>
      <c r="E136" s="60">
        <v>1E-3</v>
      </c>
    </row>
    <row r="137" spans="2:5" ht="15" customHeight="1">
      <c r="B137" s="102"/>
      <c r="C137" s="58" t="s">
        <v>223</v>
      </c>
      <c r="D137" s="61">
        <v>9</v>
      </c>
      <c r="E137" s="60">
        <v>1E-3</v>
      </c>
    </row>
    <row r="138" spans="2:5" ht="15" customHeight="1">
      <c r="B138" s="102"/>
      <c r="C138" s="58" t="s">
        <v>306</v>
      </c>
      <c r="D138" s="61">
        <v>1</v>
      </c>
      <c r="E138" s="60">
        <v>0</v>
      </c>
    </row>
    <row r="139" spans="2:5" ht="15" customHeight="1">
      <c r="B139" s="102"/>
      <c r="C139" s="58" t="s">
        <v>228</v>
      </c>
      <c r="D139" s="61">
        <v>1</v>
      </c>
      <c r="E139" s="60">
        <v>0</v>
      </c>
    </row>
    <row r="140" spans="2:5" ht="15" customHeight="1">
      <c r="B140" s="102"/>
      <c r="C140" s="58" t="s">
        <v>229</v>
      </c>
      <c r="D140" s="61">
        <v>2</v>
      </c>
      <c r="E140" s="60">
        <v>0</v>
      </c>
    </row>
    <row r="141" spans="2:5" ht="15" customHeight="1">
      <c r="B141" s="103"/>
      <c r="C141" s="75" t="s">
        <v>324</v>
      </c>
      <c r="D141" s="76">
        <v>43</v>
      </c>
      <c r="E141" s="72">
        <v>6.0000000000000001E-3</v>
      </c>
    </row>
    <row r="142" spans="2:5" ht="15" customHeight="1">
      <c r="B142" s="101" t="s">
        <v>91</v>
      </c>
      <c r="C142" s="58" t="s">
        <v>216</v>
      </c>
      <c r="D142" s="61">
        <v>1</v>
      </c>
      <c r="E142" s="60">
        <v>0</v>
      </c>
    </row>
    <row r="143" spans="2:5" ht="15" customHeight="1">
      <c r="B143" s="102"/>
      <c r="C143" s="58" t="s">
        <v>301</v>
      </c>
      <c r="D143" s="61">
        <v>2</v>
      </c>
      <c r="E143" s="60">
        <v>0</v>
      </c>
    </row>
    <row r="144" spans="2:5" ht="15" customHeight="1">
      <c r="B144" s="102"/>
      <c r="C144" s="58" t="s">
        <v>302</v>
      </c>
      <c r="D144" s="61">
        <v>1</v>
      </c>
      <c r="E144" s="60">
        <v>0</v>
      </c>
    </row>
    <row r="145" spans="2:5" ht="15" customHeight="1">
      <c r="B145" s="102"/>
      <c r="C145" s="58" t="s">
        <v>220</v>
      </c>
      <c r="D145" s="61">
        <v>4</v>
      </c>
      <c r="E145" s="60">
        <v>1E-3</v>
      </c>
    </row>
    <row r="146" spans="2:5" ht="15" customHeight="1">
      <c r="B146" s="102"/>
      <c r="C146" s="58" t="s">
        <v>222</v>
      </c>
      <c r="D146" s="61">
        <v>1</v>
      </c>
      <c r="E146" s="60">
        <v>0</v>
      </c>
    </row>
    <row r="147" spans="2:5" ht="15" customHeight="1">
      <c r="B147" s="102"/>
      <c r="C147" s="58" t="s">
        <v>223</v>
      </c>
      <c r="D147" s="61">
        <v>8</v>
      </c>
      <c r="E147" s="60">
        <v>1E-3</v>
      </c>
    </row>
    <row r="148" spans="2:5" ht="15" customHeight="1">
      <c r="B148" s="102"/>
      <c r="C148" s="58" t="s">
        <v>229</v>
      </c>
      <c r="D148" s="61">
        <v>1</v>
      </c>
      <c r="E148" s="60">
        <v>0</v>
      </c>
    </row>
    <row r="149" spans="2:5" ht="15" customHeight="1">
      <c r="B149" s="103"/>
      <c r="C149" s="75" t="s">
        <v>324</v>
      </c>
      <c r="D149" s="76">
        <v>18</v>
      </c>
      <c r="E149" s="72">
        <v>3.0000000000000001E-3</v>
      </c>
    </row>
    <row r="150" spans="2:5" ht="15" customHeight="1">
      <c r="B150" s="101" t="s">
        <v>80</v>
      </c>
      <c r="C150" s="58" t="s">
        <v>300</v>
      </c>
      <c r="D150" s="61">
        <v>2</v>
      </c>
      <c r="E150" s="60">
        <v>0</v>
      </c>
    </row>
    <row r="151" spans="2:5" ht="15" customHeight="1">
      <c r="B151" s="102"/>
      <c r="C151" s="58" t="s">
        <v>302</v>
      </c>
      <c r="D151" s="61">
        <v>2</v>
      </c>
      <c r="E151" s="60">
        <v>0</v>
      </c>
    </row>
    <row r="152" spans="2:5" ht="15" customHeight="1">
      <c r="B152" s="102"/>
      <c r="C152" s="58" t="s">
        <v>220</v>
      </c>
      <c r="D152" s="61">
        <v>9</v>
      </c>
      <c r="E152" s="60">
        <v>1E-3</v>
      </c>
    </row>
    <row r="153" spans="2:5" ht="15" customHeight="1">
      <c r="B153" s="102"/>
      <c r="C153" s="58" t="s">
        <v>221</v>
      </c>
      <c r="D153" s="61">
        <v>1</v>
      </c>
      <c r="E153" s="60">
        <v>0</v>
      </c>
    </row>
    <row r="154" spans="2:5" ht="15" customHeight="1">
      <c r="B154" s="102"/>
      <c r="C154" s="58" t="s">
        <v>222</v>
      </c>
      <c r="D154" s="61">
        <v>2</v>
      </c>
      <c r="E154" s="60">
        <v>0</v>
      </c>
    </row>
    <row r="155" spans="2:5" ht="15" customHeight="1">
      <c r="B155" s="102"/>
      <c r="C155" s="58" t="s">
        <v>223</v>
      </c>
      <c r="D155" s="61">
        <v>7</v>
      </c>
      <c r="E155" s="60">
        <v>1E-3</v>
      </c>
    </row>
    <row r="156" spans="2:5" ht="15" customHeight="1">
      <c r="B156" s="102"/>
      <c r="C156" s="58" t="s">
        <v>229</v>
      </c>
      <c r="D156" s="61">
        <v>9</v>
      </c>
      <c r="E156" s="60">
        <v>1E-3</v>
      </c>
    </row>
    <row r="157" spans="2:5" ht="15" customHeight="1">
      <c r="B157" s="103"/>
      <c r="C157" s="75" t="s">
        <v>324</v>
      </c>
      <c r="D157" s="76">
        <v>32</v>
      </c>
      <c r="E157" s="72">
        <v>5.0000000000000001E-3</v>
      </c>
    </row>
    <row r="158" spans="2:5" ht="15" customHeight="1">
      <c r="B158" s="101" t="s">
        <v>92</v>
      </c>
      <c r="C158" s="58" t="s">
        <v>216</v>
      </c>
      <c r="D158" s="61">
        <v>1</v>
      </c>
      <c r="E158" s="60">
        <v>0</v>
      </c>
    </row>
    <row r="159" spans="2:5" ht="15" customHeight="1">
      <c r="B159" s="102"/>
      <c r="C159" s="58" t="s">
        <v>300</v>
      </c>
      <c r="D159" s="61">
        <v>1</v>
      </c>
      <c r="E159" s="60">
        <v>0</v>
      </c>
    </row>
    <row r="160" spans="2:5" ht="15" customHeight="1">
      <c r="B160" s="102"/>
      <c r="C160" s="58" t="s">
        <v>220</v>
      </c>
      <c r="D160" s="61">
        <v>5</v>
      </c>
      <c r="E160" s="60">
        <v>1E-3</v>
      </c>
    </row>
    <row r="161" spans="2:5" ht="15" customHeight="1">
      <c r="B161" s="102"/>
      <c r="C161" s="58" t="s">
        <v>223</v>
      </c>
      <c r="D161" s="61">
        <v>2</v>
      </c>
      <c r="E161" s="60">
        <v>0</v>
      </c>
    </row>
    <row r="162" spans="2:5" ht="15" customHeight="1">
      <c r="B162" s="103"/>
      <c r="C162" s="75" t="s">
        <v>324</v>
      </c>
      <c r="D162" s="76">
        <v>9</v>
      </c>
      <c r="E162" s="72">
        <v>1E-3</v>
      </c>
    </row>
    <row r="163" spans="2:5" ht="15" customHeight="1">
      <c r="B163" s="101" t="s">
        <v>52</v>
      </c>
      <c r="C163" s="58" t="s">
        <v>295</v>
      </c>
      <c r="D163" s="61">
        <v>2</v>
      </c>
      <c r="E163" s="60">
        <v>0</v>
      </c>
    </row>
    <row r="164" spans="2:5" ht="15" customHeight="1">
      <c r="B164" s="102"/>
      <c r="C164" s="58" t="s">
        <v>296</v>
      </c>
      <c r="D164" s="61">
        <v>4</v>
      </c>
      <c r="E164" s="60">
        <v>1E-3</v>
      </c>
    </row>
    <row r="165" spans="2:5" ht="15" customHeight="1">
      <c r="B165" s="102"/>
      <c r="C165" s="58" t="s">
        <v>297</v>
      </c>
      <c r="D165" s="61">
        <v>5</v>
      </c>
      <c r="E165" s="60">
        <v>1E-3</v>
      </c>
    </row>
    <row r="166" spans="2:5" ht="15" customHeight="1">
      <c r="B166" s="102"/>
      <c r="C166" s="58" t="s">
        <v>298</v>
      </c>
      <c r="D166" s="61">
        <v>5</v>
      </c>
      <c r="E166" s="60">
        <v>1E-3</v>
      </c>
    </row>
    <row r="167" spans="2:5" ht="15" customHeight="1">
      <c r="B167" s="102"/>
      <c r="C167" s="58" t="s">
        <v>299</v>
      </c>
      <c r="D167" s="61">
        <v>16</v>
      </c>
      <c r="E167" s="60">
        <v>2E-3</v>
      </c>
    </row>
    <row r="168" spans="2:5" ht="15" customHeight="1">
      <c r="B168" s="102"/>
      <c r="C168" s="58" t="s">
        <v>216</v>
      </c>
      <c r="D168" s="61">
        <v>17</v>
      </c>
      <c r="E168" s="60">
        <v>3.0000000000000001E-3</v>
      </c>
    </row>
    <row r="169" spans="2:5" ht="15" customHeight="1">
      <c r="B169" s="102"/>
      <c r="C169" s="58" t="s">
        <v>300</v>
      </c>
      <c r="D169" s="61">
        <v>4</v>
      </c>
      <c r="E169" s="60">
        <v>1E-3</v>
      </c>
    </row>
    <row r="170" spans="2:5" ht="15" customHeight="1">
      <c r="B170" s="102"/>
      <c r="C170" s="58" t="s">
        <v>301</v>
      </c>
      <c r="D170" s="61">
        <v>7</v>
      </c>
      <c r="E170" s="60">
        <v>1E-3</v>
      </c>
    </row>
    <row r="171" spans="2:5" ht="15" customHeight="1">
      <c r="B171" s="102"/>
      <c r="C171" s="58" t="s">
        <v>302</v>
      </c>
      <c r="D171" s="61">
        <v>14</v>
      </c>
      <c r="E171" s="60">
        <v>2E-3</v>
      </c>
    </row>
    <row r="172" spans="2:5" ht="15" customHeight="1">
      <c r="B172" s="102"/>
      <c r="C172" s="58" t="s">
        <v>220</v>
      </c>
      <c r="D172" s="61">
        <v>63</v>
      </c>
      <c r="E172" s="60">
        <v>8.9999999999999993E-3</v>
      </c>
    </row>
    <row r="173" spans="2:5" ht="15" customHeight="1">
      <c r="B173" s="102"/>
      <c r="C173" s="58" t="s">
        <v>221</v>
      </c>
      <c r="D173" s="61">
        <v>5</v>
      </c>
      <c r="E173" s="60">
        <v>1E-3</v>
      </c>
    </row>
    <row r="174" spans="2:5" ht="15" customHeight="1">
      <c r="B174" s="102"/>
      <c r="C174" s="58" t="s">
        <v>222</v>
      </c>
      <c r="D174" s="61">
        <v>33</v>
      </c>
      <c r="E174" s="60">
        <v>5.0000000000000001E-3</v>
      </c>
    </row>
    <row r="175" spans="2:5" ht="15" customHeight="1">
      <c r="B175" s="102"/>
      <c r="C175" s="58" t="s">
        <v>223</v>
      </c>
      <c r="D175" s="61">
        <v>57</v>
      </c>
      <c r="E175" s="60">
        <v>8.0000000000000002E-3</v>
      </c>
    </row>
    <row r="176" spans="2:5" ht="15" customHeight="1">
      <c r="B176" s="102"/>
      <c r="C176" s="58" t="s">
        <v>304</v>
      </c>
      <c r="D176" s="61">
        <v>1</v>
      </c>
      <c r="E176" s="60">
        <v>0</v>
      </c>
    </row>
    <row r="177" spans="2:5" ht="15" customHeight="1">
      <c r="B177" s="102"/>
      <c r="C177" s="58" t="s">
        <v>305</v>
      </c>
      <c r="D177" s="61">
        <v>1</v>
      </c>
      <c r="E177" s="60">
        <v>0</v>
      </c>
    </row>
    <row r="178" spans="2:5" ht="15" customHeight="1">
      <c r="B178" s="102"/>
      <c r="C178" s="58" t="s">
        <v>228</v>
      </c>
      <c r="D178" s="61">
        <v>2</v>
      </c>
      <c r="E178" s="60">
        <v>0</v>
      </c>
    </row>
    <row r="179" spans="2:5" ht="15" customHeight="1">
      <c r="B179" s="102"/>
      <c r="C179" s="58" t="s">
        <v>229</v>
      </c>
      <c r="D179" s="61">
        <v>16</v>
      </c>
      <c r="E179" s="60">
        <v>2E-3</v>
      </c>
    </row>
    <row r="180" spans="2:5" ht="15" customHeight="1">
      <c r="B180" s="103"/>
      <c r="C180" s="75" t="s">
        <v>324</v>
      </c>
      <c r="D180" s="76">
        <v>252</v>
      </c>
      <c r="E180" s="72">
        <v>3.7999999999999999E-2</v>
      </c>
    </row>
    <row r="181" spans="2:5" ht="15" customHeight="1">
      <c r="B181" s="101" t="s">
        <v>58</v>
      </c>
      <c r="C181" s="58" t="s">
        <v>295</v>
      </c>
      <c r="D181" s="61">
        <v>1</v>
      </c>
      <c r="E181" s="60">
        <v>0</v>
      </c>
    </row>
    <row r="182" spans="2:5" ht="15" customHeight="1">
      <c r="B182" s="102"/>
      <c r="C182" s="58" t="s">
        <v>297</v>
      </c>
      <c r="D182" s="61">
        <v>1</v>
      </c>
      <c r="E182" s="60">
        <v>0</v>
      </c>
    </row>
    <row r="183" spans="2:5" ht="15" customHeight="1">
      <c r="B183" s="102"/>
      <c r="C183" s="58" t="s">
        <v>298</v>
      </c>
      <c r="D183" s="61">
        <v>1</v>
      </c>
      <c r="E183" s="60">
        <v>0</v>
      </c>
    </row>
    <row r="184" spans="2:5" ht="15" customHeight="1">
      <c r="B184" s="102"/>
      <c r="C184" s="58" t="s">
        <v>299</v>
      </c>
      <c r="D184" s="61">
        <v>4</v>
      </c>
      <c r="E184" s="60">
        <v>1E-3</v>
      </c>
    </row>
    <row r="185" spans="2:5" ht="15" customHeight="1">
      <c r="B185" s="102"/>
      <c r="C185" s="58" t="s">
        <v>216</v>
      </c>
      <c r="D185" s="61">
        <v>6</v>
      </c>
      <c r="E185" s="60">
        <v>1E-3</v>
      </c>
    </row>
    <row r="186" spans="2:5" ht="15" customHeight="1">
      <c r="B186" s="102"/>
      <c r="C186" s="58" t="s">
        <v>301</v>
      </c>
      <c r="D186" s="61">
        <v>3</v>
      </c>
      <c r="E186" s="60">
        <v>0</v>
      </c>
    </row>
    <row r="187" spans="2:5" ht="15" customHeight="1">
      <c r="B187" s="102"/>
      <c r="C187" s="58" t="s">
        <v>302</v>
      </c>
      <c r="D187" s="61">
        <v>4</v>
      </c>
      <c r="E187" s="60">
        <v>1E-3</v>
      </c>
    </row>
    <row r="188" spans="2:5" ht="15" customHeight="1">
      <c r="B188" s="102"/>
      <c r="C188" s="58" t="s">
        <v>220</v>
      </c>
      <c r="D188" s="61">
        <v>10</v>
      </c>
      <c r="E188" s="60">
        <v>1E-3</v>
      </c>
    </row>
    <row r="189" spans="2:5" ht="15" customHeight="1">
      <c r="B189" s="102"/>
      <c r="C189" s="58" t="s">
        <v>221</v>
      </c>
      <c r="D189" s="61">
        <v>1</v>
      </c>
      <c r="E189" s="60">
        <v>0</v>
      </c>
    </row>
    <row r="190" spans="2:5" ht="15" customHeight="1">
      <c r="B190" s="102"/>
      <c r="C190" s="58" t="s">
        <v>222</v>
      </c>
      <c r="D190" s="61">
        <v>3</v>
      </c>
      <c r="E190" s="60">
        <v>0</v>
      </c>
    </row>
    <row r="191" spans="2:5" ht="15" customHeight="1">
      <c r="B191" s="102"/>
      <c r="C191" s="58" t="s">
        <v>223</v>
      </c>
      <c r="D191" s="61">
        <v>27</v>
      </c>
      <c r="E191" s="60">
        <v>4.0000000000000001E-3</v>
      </c>
    </row>
    <row r="192" spans="2:5" ht="15" customHeight="1">
      <c r="B192" s="102"/>
      <c r="C192" s="58" t="s">
        <v>303</v>
      </c>
      <c r="D192" s="61">
        <v>1</v>
      </c>
      <c r="E192" s="60">
        <v>0</v>
      </c>
    </row>
    <row r="193" spans="2:5" ht="15" customHeight="1">
      <c r="B193" s="102"/>
      <c r="C193" s="58" t="s">
        <v>304</v>
      </c>
      <c r="D193" s="61">
        <v>1</v>
      </c>
      <c r="E193" s="60">
        <v>0</v>
      </c>
    </row>
    <row r="194" spans="2:5" ht="15" customHeight="1">
      <c r="B194" s="102"/>
      <c r="C194" s="58" t="s">
        <v>305</v>
      </c>
      <c r="D194" s="61">
        <v>1</v>
      </c>
      <c r="E194" s="60">
        <v>0</v>
      </c>
    </row>
    <row r="195" spans="2:5" ht="15" customHeight="1">
      <c r="B195" s="102"/>
      <c r="C195" s="58" t="s">
        <v>228</v>
      </c>
      <c r="D195" s="61">
        <v>1</v>
      </c>
      <c r="E195" s="60">
        <v>0</v>
      </c>
    </row>
    <row r="196" spans="2:5" ht="15" customHeight="1">
      <c r="B196" s="102"/>
      <c r="C196" s="58" t="s">
        <v>229</v>
      </c>
      <c r="D196" s="61">
        <v>6</v>
      </c>
      <c r="E196" s="60">
        <v>1E-3</v>
      </c>
    </row>
    <row r="197" spans="2:5" ht="15" customHeight="1">
      <c r="B197" s="102"/>
      <c r="C197" s="58" t="s">
        <v>232</v>
      </c>
      <c r="D197" s="61">
        <v>1</v>
      </c>
      <c r="E197" s="60">
        <v>0</v>
      </c>
    </row>
    <row r="198" spans="2:5" ht="15" customHeight="1">
      <c r="B198" s="103"/>
      <c r="C198" s="75" t="s">
        <v>324</v>
      </c>
      <c r="D198" s="76">
        <v>72</v>
      </c>
      <c r="E198" s="72">
        <v>1.0999999999999999E-2</v>
      </c>
    </row>
    <row r="199" spans="2:5" ht="15" customHeight="1">
      <c r="B199" s="101" t="s">
        <v>73</v>
      </c>
      <c r="C199" s="58" t="s">
        <v>301</v>
      </c>
      <c r="D199" s="61">
        <v>1</v>
      </c>
      <c r="E199" s="60">
        <v>0</v>
      </c>
    </row>
    <row r="200" spans="2:5" ht="15" customHeight="1">
      <c r="B200" s="102"/>
      <c r="C200" s="58" t="s">
        <v>302</v>
      </c>
      <c r="D200" s="61">
        <v>1</v>
      </c>
      <c r="E200" s="60">
        <v>0</v>
      </c>
    </row>
    <row r="201" spans="2:5" ht="15" customHeight="1">
      <c r="B201" s="102"/>
      <c r="C201" s="58" t="s">
        <v>220</v>
      </c>
      <c r="D201" s="61">
        <v>6</v>
      </c>
      <c r="E201" s="60">
        <v>1E-3</v>
      </c>
    </row>
    <row r="202" spans="2:5" ht="15" customHeight="1">
      <c r="B202" s="102"/>
      <c r="C202" s="58" t="s">
        <v>222</v>
      </c>
      <c r="D202" s="61">
        <v>2</v>
      </c>
      <c r="E202" s="60">
        <v>0</v>
      </c>
    </row>
    <row r="203" spans="2:5" ht="15" customHeight="1">
      <c r="B203" s="102"/>
      <c r="C203" s="58" t="s">
        <v>223</v>
      </c>
      <c r="D203" s="61">
        <v>8</v>
      </c>
      <c r="E203" s="60">
        <v>1E-3</v>
      </c>
    </row>
    <row r="204" spans="2:5" ht="15" customHeight="1">
      <c r="B204" s="102"/>
      <c r="C204" s="58" t="s">
        <v>229</v>
      </c>
      <c r="D204" s="61">
        <v>1</v>
      </c>
      <c r="E204" s="60">
        <v>0</v>
      </c>
    </row>
    <row r="205" spans="2:5" ht="15" customHeight="1">
      <c r="B205" s="103"/>
      <c r="C205" s="75" t="s">
        <v>324</v>
      </c>
      <c r="D205" s="76">
        <v>19</v>
      </c>
      <c r="E205" s="72">
        <v>3.0000000000000001E-3</v>
      </c>
    </row>
    <row r="206" spans="2:5" ht="15" customHeight="1">
      <c r="B206" s="101" t="s">
        <v>66</v>
      </c>
      <c r="C206" s="58" t="s">
        <v>295</v>
      </c>
      <c r="D206" s="61">
        <v>1</v>
      </c>
      <c r="E206" s="60">
        <v>0</v>
      </c>
    </row>
    <row r="207" spans="2:5" ht="15" customHeight="1">
      <c r="B207" s="102"/>
      <c r="C207" s="58" t="s">
        <v>297</v>
      </c>
      <c r="D207" s="61">
        <v>1</v>
      </c>
      <c r="E207" s="60">
        <v>0</v>
      </c>
    </row>
    <row r="208" spans="2:5" ht="15" customHeight="1">
      <c r="B208" s="102"/>
      <c r="C208" s="58" t="s">
        <v>216</v>
      </c>
      <c r="D208" s="61">
        <v>4</v>
      </c>
      <c r="E208" s="60">
        <v>1E-3</v>
      </c>
    </row>
    <row r="209" spans="2:5" ht="15" customHeight="1">
      <c r="B209" s="102"/>
      <c r="C209" s="58" t="s">
        <v>300</v>
      </c>
      <c r="D209" s="61">
        <v>2</v>
      </c>
      <c r="E209" s="60">
        <v>0</v>
      </c>
    </row>
    <row r="210" spans="2:5" ht="15" customHeight="1">
      <c r="B210" s="102"/>
      <c r="C210" s="58" t="s">
        <v>301</v>
      </c>
      <c r="D210" s="61">
        <v>3</v>
      </c>
      <c r="E210" s="60">
        <v>0</v>
      </c>
    </row>
    <row r="211" spans="2:5" ht="15" customHeight="1">
      <c r="B211" s="102"/>
      <c r="C211" s="58" t="s">
        <v>302</v>
      </c>
      <c r="D211" s="61">
        <v>2</v>
      </c>
      <c r="E211" s="60">
        <v>0</v>
      </c>
    </row>
    <row r="212" spans="2:5" ht="15" customHeight="1">
      <c r="B212" s="102"/>
      <c r="C212" s="58" t="s">
        <v>220</v>
      </c>
      <c r="D212" s="61">
        <v>9</v>
      </c>
      <c r="E212" s="60">
        <v>1E-3</v>
      </c>
    </row>
    <row r="213" spans="2:5" ht="15" customHeight="1">
      <c r="B213" s="102"/>
      <c r="C213" s="58" t="s">
        <v>222</v>
      </c>
      <c r="D213" s="61">
        <v>8</v>
      </c>
      <c r="E213" s="60">
        <v>1E-3</v>
      </c>
    </row>
    <row r="214" spans="2:5" ht="15" customHeight="1">
      <c r="B214" s="102"/>
      <c r="C214" s="58" t="s">
        <v>223</v>
      </c>
      <c r="D214" s="61">
        <v>13</v>
      </c>
      <c r="E214" s="60">
        <v>2E-3</v>
      </c>
    </row>
    <row r="215" spans="2:5" ht="15" customHeight="1">
      <c r="B215" s="102"/>
      <c r="C215" s="58" t="s">
        <v>228</v>
      </c>
      <c r="D215" s="61">
        <v>1</v>
      </c>
      <c r="E215" s="60">
        <v>0</v>
      </c>
    </row>
    <row r="216" spans="2:5" ht="15" customHeight="1">
      <c r="B216" s="102"/>
      <c r="C216" s="58" t="s">
        <v>229</v>
      </c>
      <c r="D216" s="61">
        <v>3</v>
      </c>
      <c r="E216" s="60">
        <v>0</v>
      </c>
    </row>
    <row r="217" spans="2:5" ht="15" customHeight="1">
      <c r="B217" s="102"/>
      <c r="C217" s="58" t="s">
        <v>231</v>
      </c>
      <c r="D217" s="61">
        <v>1</v>
      </c>
      <c r="E217" s="60">
        <v>0</v>
      </c>
    </row>
    <row r="218" spans="2:5" ht="15" customHeight="1">
      <c r="B218" s="103"/>
      <c r="C218" s="75" t="s">
        <v>324</v>
      </c>
      <c r="D218" s="76">
        <v>48</v>
      </c>
      <c r="E218" s="72">
        <v>7.0000000000000001E-3</v>
      </c>
    </row>
    <row r="219" spans="2:5" ht="15" customHeight="1">
      <c r="B219" s="101" t="s">
        <v>95</v>
      </c>
      <c r="C219" s="58" t="s">
        <v>301</v>
      </c>
      <c r="D219" s="61">
        <v>1</v>
      </c>
      <c r="E219" s="60">
        <v>0</v>
      </c>
    </row>
    <row r="220" spans="2:5" ht="15" customHeight="1">
      <c r="B220" s="102"/>
      <c r="C220" s="58" t="s">
        <v>229</v>
      </c>
      <c r="D220" s="61">
        <v>1</v>
      </c>
      <c r="E220" s="60">
        <v>0</v>
      </c>
    </row>
    <row r="221" spans="2:5" ht="15" customHeight="1">
      <c r="B221" s="103"/>
      <c r="C221" s="75" t="s">
        <v>324</v>
      </c>
      <c r="D221" s="76">
        <v>2</v>
      </c>
      <c r="E221" s="72">
        <v>0</v>
      </c>
    </row>
    <row r="222" spans="2:5" ht="15" customHeight="1">
      <c r="B222" s="101" t="s">
        <v>50</v>
      </c>
      <c r="C222" s="58" t="s">
        <v>209</v>
      </c>
      <c r="D222" s="61">
        <v>1</v>
      </c>
      <c r="E222" s="60">
        <v>0</v>
      </c>
    </row>
    <row r="223" spans="2:5" ht="15" customHeight="1">
      <c r="B223" s="102"/>
      <c r="C223" s="58" t="s">
        <v>296</v>
      </c>
      <c r="D223" s="61">
        <v>3</v>
      </c>
      <c r="E223" s="60">
        <v>0</v>
      </c>
    </row>
    <row r="224" spans="2:5" ht="15" customHeight="1">
      <c r="B224" s="102"/>
      <c r="C224" s="58" t="s">
        <v>297</v>
      </c>
      <c r="D224" s="61">
        <v>1</v>
      </c>
      <c r="E224" s="60">
        <v>0</v>
      </c>
    </row>
    <row r="225" spans="2:5" ht="15" customHeight="1">
      <c r="B225" s="102"/>
      <c r="C225" s="58" t="s">
        <v>298</v>
      </c>
      <c r="D225" s="61">
        <v>1</v>
      </c>
      <c r="E225" s="60">
        <v>0</v>
      </c>
    </row>
    <row r="226" spans="2:5" ht="15" customHeight="1">
      <c r="B226" s="102"/>
      <c r="C226" s="58" t="s">
        <v>299</v>
      </c>
      <c r="D226" s="61">
        <v>13</v>
      </c>
      <c r="E226" s="60">
        <v>2E-3</v>
      </c>
    </row>
    <row r="227" spans="2:5" ht="15" customHeight="1">
      <c r="B227" s="102"/>
      <c r="C227" s="58" t="s">
        <v>216</v>
      </c>
      <c r="D227" s="61">
        <v>22</v>
      </c>
      <c r="E227" s="60">
        <v>3.0000000000000001E-3</v>
      </c>
    </row>
    <row r="228" spans="2:5" ht="15" customHeight="1">
      <c r="B228" s="102"/>
      <c r="C228" s="58" t="s">
        <v>300</v>
      </c>
      <c r="D228" s="61">
        <v>1</v>
      </c>
      <c r="E228" s="60">
        <v>0</v>
      </c>
    </row>
    <row r="229" spans="2:5" ht="15" customHeight="1">
      <c r="B229" s="102"/>
      <c r="C229" s="58" t="s">
        <v>301</v>
      </c>
      <c r="D229" s="61">
        <v>6</v>
      </c>
      <c r="E229" s="60">
        <v>1E-3</v>
      </c>
    </row>
    <row r="230" spans="2:5" ht="15" customHeight="1">
      <c r="B230" s="102"/>
      <c r="C230" s="58" t="s">
        <v>302</v>
      </c>
      <c r="D230" s="61">
        <v>17</v>
      </c>
      <c r="E230" s="60">
        <v>3.0000000000000001E-3</v>
      </c>
    </row>
    <row r="231" spans="2:5" ht="15" customHeight="1">
      <c r="B231" s="102"/>
      <c r="C231" s="58" t="s">
        <v>220</v>
      </c>
      <c r="D231" s="61">
        <v>65</v>
      </c>
      <c r="E231" s="60">
        <v>0.01</v>
      </c>
    </row>
    <row r="232" spans="2:5" ht="15" customHeight="1">
      <c r="B232" s="102"/>
      <c r="C232" s="58" t="s">
        <v>221</v>
      </c>
      <c r="D232" s="61">
        <v>10</v>
      </c>
      <c r="E232" s="60">
        <v>1E-3</v>
      </c>
    </row>
    <row r="233" spans="2:5" ht="15" customHeight="1">
      <c r="B233" s="102"/>
      <c r="C233" s="58" t="s">
        <v>222</v>
      </c>
      <c r="D233" s="61">
        <v>29</v>
      </c>
      <c r="E233" s="60">
        <v>4.0000000000000001E-3</v>
      </c>
    </row>
    <row r="234" spans="2:5" ht="15" customHeight="1">
      <c r="B234" s="102"/>
      <c r="C234" s="58" t="s">
        <v>223</v>
      </c>
      <c r="D234" s="61">
        <v>109</v>
      </c>
      <c r="E234" s="60">
        <v>1.6E-2</v>
      </c>
    </row>
    <row r="235" spans="2:5" ht="15" customHeight="1">
      <c r="B235" s="102"/>
      <c r="C235" s="58" t="s">
        <v>304</v>
      </c>
      <c r="D235" s="61">
        <v>2</v>
      </c>
      <c r="E235" s="60">
        <v>0</v>
      </c>
    </row>
    <row r="236" spans="2:5" ht="15" customHeight="1">
      <c r="B236" s="102"/>
      <c r="C236" s="58" t="s">
        <v>305</v>
      </c>
      <c r="D236" s="61">
        <v>1</v>
      </c>
      <c r="E236" s="60">
        <v>0</v>
      </c>
    </row>
    <row r="237" spans="2:5" ht="15" customHeight="1">
      <c r="B237" s="102"/>
      <c r="C237" s="58" t="s">
        <v>306</v>
      </c>
      <c r="D237" s="61">
        <v>2</v>
      </c>
      <c r="E237" s="60">
        <v>0</v>
      </c>
    </row>
    <row r="238" spans="2:5" ht="15" customHeight="1">
      <c r="B238" s="102"/>
      <c r="C238" s="58" t="s">
        <v>228</v>
      </c>
      <c r="D238" s="61">
        <v>10</v>
      </c>
      <c r="E238" s="60">
        <v>1E-3</v>
      </c>
    </row>
    <row r="239" spans="2:5" ht="15" customHeight="1">
      <c r="B239" s="102"/>
      <c r="C239" s="58" t="s">
        <v>229</v>
      </c>
      <c r="D239" s="61">
        <v>36</v>
      </c>
      <c r="E239" s="60">
        <v>5.0000000000000001E-3</v>
      </c>
    </row>
    <row r="240" spans="2:5" ht="15" customHeight="1">
      <c r="B240" s="102"/>
      <c r="C240" s="58" t="s">
        <v>231</v>
      </c>
      <c r="D240" s="61">
        <v>2</v>
      </c>
      <c r="E240" s="60">
        <v>0</v>
      </c>
    </row>
    <row r="241" spans="2:5" ht="15" customHeight="1">
      <c r="B241" s="103"/>
      <c r="C241" s="75" t="s">
        <v>324</v>
      </c>
      <c r="D241" s="76">
        <v>331</v>
      </c>
      <c r="E241" s="72">
        <v>4.9000000000000002E-2</v>
      </c>
    </row>
    <row r="242" spans="2:5" ht="15" customHeight="1">
      <c r="B242" s="101" t="s">
        <v>70</v>
      </c>
      <c r="C242" s="58" t="s">
        <v>295</v>
      </c>
      <c r="D242" s="61">
        <v>1</v>
      </c>
      <c r="E242" s="60">
        <v>0</v>
      </c>
    </row>
    <row r="243" spans="2:5" ht="15" customHeight="1">
      <c r="B243" s="102"/>
      <c r="C243" s="58" t="s">
        <v>297</v>
      </c>
      <c r="D243" s="61">
        <v>1</v>
      </c>
      <c r="E243" s="60">
        <v>0</v>
      </c>
    </row>
    <row r="244" spans="2:5" ht="15" customHeight="1">
      <c r="B244" s="102"/>
      <c r="C244" s="58" t="s">
        <v>298</v>
      </c>
      <c r="D244" s="61">
        <v>2</v>
      </c>
      <c r="E244" s="60">
        <v>0</v>
      </c>
    </row>
    <row r="245" spans="2:5" ht="15" customHeight="1">
      <c r="B245" s="102"/>
      <c r="C245" s="58" t="s">
        <v>299</v>
      </c>
      <c r="D245" s="61">
        <v>1</v>
      </c>
      <c r="E245" s="60">
        <v>0</v>
      </c>
    </row>
    <row r="246" spans="2:5" ht="15" customHeight="1">
      <c r="B246" s="102"/>
      <c r="C246" s="58" t="s">
        <v>216</v>
      </c>
      <c r="D246" s="61">
        <v>3</v>
      </c>
      <c r="E246" s="60">
        <v>0</v>
      </c>
    </row>
    <row r="247" spans="2:5" ht="15" customHeight="1">
      <c r="B247" s="102"/>
      <c r="C247" s="58" t="s">
        <v>301</v>
      </c>
      <c r="D247" s="61">
        <v>1</v>
      </c>
      <c r="E247" s="60">
        <v>0</v>
      </c>
    </row>
    <row r="248" spans="2:5" ht="15" customHeight="1">
      <c r="B248" s="102"/>
      <c r="C248" s="58" t="s">
        <v>302</v>
      </c>
      <c r="D248" s="61">
        <v>1</v>
      </c>
      <c r="E248" s="60">
        <v>0</v>
      </c>
    </row>
    <row r="249" spans="2:5" ht="15" customHeight="1">
      <c r="B249" s="102"/>
      <c r="C249" s="58" t="s">
        <v>220</v>
      </c>
      <c r="D249" s="61">
        <v>7</v>
      </c>
      <c r="E249" s="60">
        <v>1E-3</v>
      </c>
    </row>
    <row r="250" spans="2:5" ht="15" customHeight="1">
      <c r="B250" s="102"/>
      <c r="C250" s="58" t="s">
        <v>221</v>
      </c>
      <c r="D250" s="61">
        <v>1</v>
      </c>
      <c r="E250" s="60">
        <v>0</v>
      </c>
    </row>
    <row r="251" spans="2:5" ht="15" customHeight="1">
      <c r="B251" s="102"/>
      <c r="C251" s="58" t="s">
        <v>222</v>
      </c>
      <c r="D251" s="61">
        <v>2</v>
      </c>
      <c r="E251" s="60">
        <v>0</v>
      </c>
    </row>
    <row r="252" spans="2:5" ht="15" customHeight="1">
      <c r="B252" s="102"/>
      <c r="C252" s="58" t="s">
        <v>223</v>
      </c>
      <c r="D252" s="61">
        <v>9</v>
      </c>
      <c r="E252" s="60">
        <v>1E-3</v>
      </c>
    </row>
    <row r="253" spans="2:5" ht="15" customHeight="1">
      <c r="B253" s="102"/>
      <c r="C253" s="58" t="s">
        <v>228</v>
      </c>
      <c r="D253" s="61">
        <v>2</v>
      </c>
      <c r="E253" s="60">
        <v>0</v>
      </c>
    </row>
    <row r="254" spans="2:5" ht="15" customHeight="1">
      <c r="B254" s="102"/>
      <c r="C254" s="58" t="s">
        <v>229</v>
      </c>
      <c r="D254" s="61">
        <v>4</v>
      </c>
      <c r="E254" s="60">
        <v>1E-3</v>
      </c>
    </row>
    <row r="255" spans="2:5" ht="15" customHeight="1">
      <c r="B255" s="103"/>
      <c r="C255" s="75" t="s">
        <v>324</v>
      </c>
      <c r="D255" s="76">
        <v>35</v>
      </c>
      <c r="E255" s="72">
        <v>5.0000000000000001E-3</v>
      </c>
    </row>
    <row r="256" spans="2:5" ht="15" customHeight="1">
      <c r="B256" s="101" t="s">
        <v>49</v>
      </c>
      <c r="C256" s="58" t="s">
        <v>209</v>
      </c>
      <c r="D256" s="61">
        <v>4</v>
      </c>
      <c r="E256" s="60">
        <v>1E-3</v>
      </c>
    </row>
    <row r="257" spans="2:5" ht="15" customHeight="1">
      <c r="B257" s="102"/>
      <c r="C257" s="58" t="s">
        <v>294</v>
      </c>
      <c r="D257" s="61">
        <v>1</v>
      </c>
      <c r="E257" s="60">
        <v>0</v>
      </c>
    </row>
    <row r="258" spans="2:5" ht="15" customHeight="1">
      <c r="B258" s="102"/>
      <c r="C258" s="58" t="s">
        <v>295</v>
      </c>
      <c r="D258" s="61">
        <v>2</v>
      </c>
      <c r="E258" s="60">
        <v>0</v>
      </c>
    </row>
    <row r="259" spans="2:5" ht="15" customHeight="1">
      <c r="B259" s="102"/>
      <c r="C259" s="58" t="s">
        <v>296</v>
      </c>
      <c r="D259" s="61">
        <v>2</v>
      </c>
      <c r="E259" s="60">
        <v>0</v>
      </c>
    </row>
    <row r="260" spans="2:5" ht="15" customHeight="1">
      <c r="B260" s="102"/>
      <c r="C260" s="58" t="s">
        <v>298</v>
      </c>
      <c r="D260" s="61">
        <v>7</v>
      </c>
      <c r="E260" s="60">
        <v>1E-3</v>
      </c>
    </row>
    <row r="261" spans="2:5" ht="15" customHeight="1">
      <c r="B261" s="102"/>
      <c r="C261" s="58" t="s">
        <v>299</v>
      </c>
      <c r="D261" s="61">
        <v>20</v>
      </c>
      <c r="E261" s="60">
        <v>3.0000000000000001E-3</v>
      </c>
    </row>
    <row r="262" spans="2:5" ht="15" customHeight="1">
      <c r="B262" s="102"/>
      <c r="C262" s="58" t="s">
        <v>216</v>
      </c>
      <c r="D262" s="61">
        <v>55</v>
      </c>
      <c r="E262" s="60">
        <v>8.0000000000000002E-3</v>
      </c>
    </row>
    <row r="263" spans="2:5" ht="15" customHeight="1">
      <c r="B263" s="102"/>
      <c r="C263" s="58" t="s">
        <v>300</v>
      </c>
      <c r="D263" s="61">
        <v>2</v>
      </c>
      <c r="E263" s="60">
        <v>0</v>
      </c>
    </row>
    <row r="264" spans="2:5" ht="15" customHeight="1">
      <c r="B264" s="102"/>
      <c r="C264" s="58" t="s">
        <v>301</v>
      </c>
      <c r="D264" s="61">
        <v>8</v>
      </c>
      <c r="E264" s="60">
        <v>1E-3</v>
      </c>
    </row>
    <row r="265" spans="2:5" ht="15" customHeight="1">
      <c r="B265" s="102"/>
      <c r="C265" s="58" t="s">
        <v>302</v>
      </c>
      <c r="D265" s="61">
        <v>32</v>
      </c>
      <c r="E265" s="60">
        <v>5.0000000000000001E-3</v>
      </c>
    </row>
    <row r="266" spans="2:5" ht="15" customHeight="1">
      <c r="B266" s="102"/>
      <c r="C266" s="58" t="s">
        <v>220</v>
      </c>
      <c r="D266" s="61">
        <v>141</v>
      </c>
      <c r="E266" s="60">
        <v>2.1000000000000001E-2</v>
      </c>
    </row>
    <row r="267" spans="2:5" ht="15" customHeight="1">
      <c r="B267" s="102"/>
      <c r="C267" s="58" t="s">
        <v>221</v>
      </c>
      <c r="D267" s="61">
        <v>11</v>
      </c>
      <c r="E267" s="60">
        <v>2E-3</v>
      </c>
    </row>
    <row r="268" spans="2:5" ht="15" customHeight="1">
      <c r="B268" s="102"/>
      <c r="C268" s="58" t="s">
        <v>222</v>
      </c>
      <c r="D268" s="61">
        <v>37</v>
      </c>
      <c r="E268" s="60">
        <v>6.0000000000000001E-3</v>
      </c>
    </row>
    <row r="269" spans="2:5" ht="15" customHeight="1">
      <c r="B269" s="102"/>
      <c r="C269" s="58" t="s">
        <v>223</v>
      </c>
      <c r="D269" s="61">
        <v>150</v>
      </c>
      <c r="E269" s="60">
        <v>2.1999999999999999E-2</v>
      </c>
    </row>
    <row r="270" spans="2:5" ht="15" customHeight="1">
      <c r="B270" s="102"/>
      <c r="C270" s="58" t="s">
        <v>303</v>
      </c>
      <c r="D270" s="61">
        <v>4</v>
      </c>
      <c r="E270" s="60">
        <v>1E-3</v>
      </c>
    </row>
    <row r="271" spans="2:5" ht="15" customHeight="1">
      <c r="B271" s="102"/>
      <c r="C271" s="58" t="s">
        <v>304</v>
      </c>
      <c r="D271" s="61">
        <v>4</v>
      </c>
      <c r="E271" s="60">
        <v>1E-3</v>
      </c>
    </row>
    <row r="272" spans="2:5" ht="15" customHeight="1">
      <c r="B272" s="102"/>
      <c r="C272" s="58" t="s">
        <v>305</v>
      </c>
      <c r="D272" s="61">
        <v>2</v>
      </c>
      <c r="E272" s="60">
        <v>0</v>
      </c>
    </row>
    <row r="273" spans="2:5" ht="15" customHeight="1">
      <c r="B273" s="102"/>
      <c r="C273" s="58" t="s">
        <v>306</v>
      </c>
      <c r="D273" s="61">
        <v>1</v>
      </c>
      <c r="E273" s="60">
        <v>0</v>
      </c>
    </row>
    <row r="274" spans="2:5" ht="15" customHeight="1">
      <c r="B274" s="102"/>
      <c r="C274" s="58" t="s">
        <v>228</v>
      </c>
      <c r="D274" s="61">
        <v>20</v>
      </c>
      <c r="E274" s="60">
        <v>3.0000000000000001E-3</v>
      </c>
    </row>
    <row r="275" spans="2:5" ht="15" customHeight="1">
      <c r="B275" s="102"/>
      <c r="C275" s="58" t="s">
        <v>229</v>
      </c>
      <c r="D275" s="61">
        <v>44</v>
      </c>
      <c r="E275" s="60">
        <v>7.0000000000000001E-3</v>
      </c>
    </row>
    <row r="276" spans="2:5" ht="15" customHeight="1">
      <c r="B276" s="102"/>
      <c r="C276" s="58" t="s">
        <v>231</v>
      </c>
      <c r="D276" s="61">
        <v>1</v>
      </c>
      <c r="E276" s="60">
        <v>0</v>
      </c>
    </row>
    <row r="277" spans="2:5" ht="15" customHeight="1">
      <c r="B277" s="103"/>
      <c r="C277" s="75" t="s">
        <v>324</v>
      </c>
      <c r="D277" s="76">
        <v>548</v>
      </c>
      <c r="E277" s="72">
        <v>8.2000000000000003E-2</v>
      </c>
    </row>
    <row r="278" spans="2:5" ht="15" customHeight="1">
      <c r="B278" s="101" t="s">
        <v>86</v>
      </c>
      <c r="C278" s="58" t="s">
        <v>299</v>
      </c>
      <c r="D278" s="61">
        <v>1</v>
      </c>
      <c r="E278" s="60">
        <v>0</v>
      </c>
    </row>
    <row r="279" spans="2:5" ht="15" customHeight="1">
      <c r="B279" s="102"/>
      <c r="C279" s="58" t="s">
        <v>216</v>
      </c>
      <c r="D279" s="61">
        <v>1</v>
      </c>
      <c r="E279" s="60">
        <v>0</v>
      </c>
    </row>
    <row r="280" spans="2:5" ht="15" customHeight="1">
      <c r="B280" s="102"/>
      <c r="C280" s="58" t="s">
        <v>300</v>
      </c>
      <c r="D280" s="61">
        <v>1</v>
      </c>
      <c r="E280" s="60">
        <v>0</v>
      </c>
    </row>
    <row r="281" spans="2:5" ht="15" customHeight="1">
      <c r="B281" s="102"/>
      <c r="C281" s="58" t="s">
        <v>302</v>
      </c>
      <c r="D281" s="61">
        <v>2</v>
      </c>
      <c r="E281" s="60">
        <v>0</v>
      </c>
    </row>
    <row r="282" spans="2:5" ht="15" customHeight="1">
      <c r="B282" s="102"/>
      <c r="C282" s="58" t="s">
        <v>220</v>
      </c>
      <c r="D282" s="61">
        <v>1</v>
      </c>
      <c r="E282" s="60">
        <v>0</v>
      </c>
    </row>
    <row r="283" spans="2:5" ht="15" customHeight="1">
      <c r="B283" s="102"/>
      <c r="C283" s="58" t="s">
        <v>222</v>
      </c>
      <c r="D283" s="61">
        <v>1</v>
      </c>
      <c r="E283" s="60">
        <v>0</v>
      </c>
    </row>
    <row r="284" spans="2:5" ht="15" customHeight="1">
      <c r="B284" s="102"/>
      <c r="C284" s="58" t="s">
        <v>223</v>
      </c>
      <c r="D284" s="61">
        <v>5</v>
      </c>
      <c r="E284" s="60">
        <v>1E-3</v>
      </c>
    </row>
    <row r="285" spans="2:5" ht="15" customHeight="1">
      <c r="B285" s="102"/>
      <c r="C285" s="58" t="s">
        <v>305</v>
      </c>
      <c r="D285" s="61">
        <v>1</v>
      </c>
      <c r="E285" s="60">
        <v>0</v>
      </c>
    </row>
    <row r="286" spans="2:5" ht="15" customHeight="1">
      <c r="B286" s="102"/>
      <c r="C286" s="58" t="s">
        <v>229</v>
      </c>
      <c r="D286" s="61">
        <v>3</v>
      </c>
      <c r="E286" s="60">
        <v>0</v>
      </c>
    </row>
    <row r="287" spans="2:5" ht="15" customHeight="1">
      <c r="B287" s="103"/>
      <c r="C287" s="75" t="s">
        <v>324</v>
      </c>
      <c r="D287" s="76">
        <v>16</v>
      </c>
      <c r="E287" s="72">
        <v>2E-3</v>
      </c>
    </row>
    <row r="288" spans="2:5" ht="15" customHeight="1">
      <c r="B288" s="101" t="s">
        <v>89</v>
      </c>
      <c r="C288" s="58" t="s">
        <v>302</v>
      </c>
      <c r="D288" s="61">
        <v>1</v>
      </c>
      <c r="E288" s="60">
        <v>0</v>
      </c>
    </row>
    <row r="289" spans="2:5" ht="15" customHeight="1">
      <c r="B289" s="102"/>
      <c r="C289" s="58" t="s">
        <v>220</v>
      </c>
      <c r="D289" s="61">
        <v>3</v>
      </c>
      <c r="E289" s="60">
        <v>0</v>
      </c>
    </row>
    <row r="290" spans="2:5" ht="15" customHeight="1">
      <c r="B290" s="102"/>
      <c r="C290" s="58" t="s">
        <v>222</v>
      </c>
      <c r="D290" s="61">
        <v>3</v>
      </c>
      <c r="E290" s="60">
        <v>0</v>
      </c>
    </row>
    <row r="291" spans="2:5" ht="15" customHeight="1">
      <c r="B291" s="102"/>
      <c r="C291" s="58" t="s">
        <v>223</v>
      </c>
      <c r="D291" s="61">
        <v>1</v>
      </c>
      <c r="E291" s="60">
        <v>0</v>
      </c>
    </row>
    <row r="292" spans="2:5" ht="15" customHeight="1">
      <c r="B292" s="102"/>
      <c r="C292" s="58" t="s">
        <v>228</v>
      </c>
      <c r="D292" s="61">
        <v>1</v>
      </c>
      <c r="E292" s="60">
        <v>0</v>
      </c>
    </row>
    <row r="293" spans="2:5" ht="15" customHeight="1">
      <c r="B293" s="103"/>
      <c r="C293" s="75" t="s">
        <v>324</v>
      </c>
      <c r="D293" s="76">
        <v>9</v>
      </c>
      <c r="E293" s="72">
        <v>1E-3</v>
      </c>
    </row>
    <row r="294" spans="2:5" ht="15" customHeight="1">
      <c r="B294" s="101" t="s">
        <v>75</v>
      </c>
      <c r="C294" s="58" t="s">
        <v>216</v>
      </c>
      <c r="D294" s="61">
        <v>2</v>
      </c>
      <c r="E294" s="60">
        <v>0</v>
      </c>
    </row>
    <row r="295" spans="2:5" ht="15" customHeight="1">
      <c r="B295" s="102"/>
      <c r="C295" s="58" t="s">
        <v>220</v>
      </c>
      <c r="D295" s="61">
        <v>7</v>
      </c>
      <c r="E295" s="60">
        <v>1E-3</v>
      </c>
    </row>
    <row r="296" spans="2:5" ht="15" customHeight="1">
      <c r="B296" s="102"/>
      <c r="C296" s="58" t="s">
        <v>221</v>
      </c>
      <c r="D296" s="61">
        <v>1</v>
      </c>
      <c r="E296" s="60">
        <v>0</v>
      </c>
    </row>
    <row r="297" spans="2:5" ht="15" customHeight="1">
      <c r="B297" s="102"/>
      <c r="C297" s="58" t="s">
        <v>223</v>
      </c>
      <c r="D297" s="61">
        <v>4</v>
      </c>
      <c r="E297" s="60">
        <v>1E-3</v>
      </c>
    </row>
    <row r="298" spans="2:5" ht="15" customHeight="1">
      <c r="B298" s="103"/>
      <c r="C298" s="75" t="s">
        <v>324</v>
      </c>
      <c r="D298" s="76">
        <v>14</v>
      </c>
      <c r="E298" s="72">
        <v>2E-3</v>
      </c>
    </row>
    <row r="299" spans="2:5" ht="15" customHeight="1">
      <c r="B299" s="101" t="s">
        <v>97</v>
      </c>
      <c r="C299" s="58" t="s">
        <v>296</v>
      </c>
      <c r="D299" s="61">
        <v>2</v>
      </c>
      <c r="E299" s="60">
        <v>0</v>
      </c>
    </row>
    <row r="300" spans="2:5" ht="15" customHeight="1">
      <c r="B300" s="102"/>
      <c r="C300" s="58" t="s">
        <v>302</v>
      </c>
      <c r="D300" s="61">
        <v>1</v>
      </c>
      <c r="E300" s="60">
        <v>0</v>
      </c>
    </row>
    <row r="301" spans="2:5" ht="15" customHeight="1">
      <c r="B301" s="102"/>
      <c r="C301" s="58" t="s">
        <v>220</v>
      </c>
      <c r="D301" s="61">
        <v>3</v>
      </c>
      <c r="E301" s="60">
        <v>0</v>
      </c>
    </row>
    <row r="302" spans="2:5" ht="15" customHeight="1">
      <c r="B302" s="102"/>
      <c r="C302" s="58" t="s">
        <v>222</v>
      </c>
      <c r="D302" s="61">
        <v>1</v>
      </c>
      <c r="E302" s="60">
        <v>0</v>
      </c>
    </row>
    <row r="303" spans="2:5" ht="15" customHeight="1">
      <c r="B303" s="102"/>
      <c r="C303" s="58" t="s">
        <v>223</v>
      </c>
      <c r="D303" s="61">
        <v>1</v>
      </c>
      <c r="E303" s="60">
        <v>0</v>
      </c>
    </row>
    <row r="304" spans="2:5" ht="15" customHeight="1">
      <c r="B304" s="102"/>
      <c r="C304" s="58" t="s">
        <v>305</v>
      </c>
      <c r="D304" s="61">
        <v>1</v>
      </c>
      <c r="E304" s="60">
        <v>0</v>
      </c>
    </row>
    <row r="305" spans="2:5" ht="15" customHeight="1">
      <c r="B305" s="102"/>
      <c r="C305" s="58" t="s">
        <v>229</v>
      </c>
      <c r="D305" s="61">
        <v>1</v>
      </c>
      <c r="E305" s="60">
        <v>0</v>
      </c>
    </row>
    <row r="306" spans="2:5" ht="15" customHeight="1">
      <c r="B306" s="103"/>
      <c r="C306" s="75" t="s">
        <v>324</v>
      </c>
      <c r="D306" s="76">
        <v>10</v>
      </c>
      <c r="E306" s="72">
        <v>1E-3</v>
      </c>
    </row>
    <row r="307" spans="2:5" ht="15" customHeight="1">
      <c r="B307" s="101" t="s">
        <v>55</v>
      </c>
      <c r="C307" s="58" t="s">
        <v>299</v>
      </c>
      <c r="D307" s="61">
        <v>3</v>
      </c>
      <c r="E307" s="60">
        <v>0</v>
      </c>
    </row>
    <row r="308" spans="2:5" ht="15" customHeight="1">
      <c r="B308" s="102"/>
      <c r="C308" s="58" t="s">
        <v>216</v>
      </c>
      <c r="D308" s="61">
        <v>1</v>
      </c>
      <c r="E308" s="60">
        <v>0</v>
      </c>
    </row>
    <row r="309" spans="2:5" ht="15" customHeight="1">
      <c r="B309" s="102"/>
      <c r="C309" s="58" t="s">
        <v>302</v>
      </c>
      <c r="D309" s="61">
        <v>1</v>
      </c>
      <c r="E309" s="60">
        <v>0</v>
      </c>
    </row>
    <row r="310" spans="2:5" ht="15" customHeight="1">
      <c r="B310" s="102"/>
      <c r="C310" s="58" t="s">
        <v>220</v>
      </c>
      <c r="D310" s="61">
        <v>11</v>
      </c>
      <c r="E310" s="60">
        <v>2E-3</v>
      </c>
    </row>
    <row r="311" spans="2:5" ht="15" customHeight="1">
      <c r="B311" s="102"/>
      <c r="C311" s="58" t="s">
        <v>221</v>
      </c>
      <c r="D311" s="61">
        <v>9</v>
      </c>
      <c r="E311" s="60">
        <v>1E-3</v>
      </c>
    </row>
    <row r="312" spans="2:5" ht="15" customHeight="1">
      <c r="B312" s="102"/>
      <c r="C312" s="58" t="s">
        <v>222</v>
      </c>
      <c r="D312" s="61">
        <v>8</v>
      </c>
      <c r="E312" s="60">
        <v>1E-3</v>
      </c>
    </row>
    <row r="313" spans="2:5" ht="15" customHeight="1">
      <c r="B313" s="102"/>
      <c r="C313" s="58" t="s">
        <v>223</v>
      </c>
      <c r="D313" s="61">
        <v>35</v>
      </c>
      <c r="E313" s="60">
        <v>5.0000000000000001E-3</v>
      </c>
    </row>
    <row r="314" spans="2:5" ht="15" customHeight="1">
      <c r="B314" s="102"/>
      <c r="C314" s="58" t="s">
        <v>303</v>
      </c>
      <c r="D314" s="61">
        <v>2</v>
      </c>
      <c r="E314" s="60">
        <v>0</v>
      </c>
    </row>
    <row r="315" spans="2:5" ht="15" customHeight="1">
      <c r="B315" s="102"/>
      <c r="C315" s="58" t="s">
        <v>304</v>
      </c>
      <c r="D315" s="61">
        <v>2</v>
      </c>
      <c r="E315" s="60">
        <v>0</v>
      </c>
    </row>
    <row r="316" spans="2:5" ht="15" customHeight="1">
      <c r="B316" s="102"/>
      <c r="C316" s="58" t="s">
        <v>228</v>
      </c>
      <c r="D316" s="61">
        <v>12</v>
      </c>
      <c r="E316" s="60">
        <v>2E-3</v>
      </c>
    </row>
    <row r="317" spans="2:5" ht="15" customHeight="1">
      <c r="B317" s="102"/>
      <c r="C317" s="58" t="s">
        <v>229</v>
      </c>
      <c r="D317" s="61">
        <v>70</v>
      </c>
      <c r="E317" s="60">
        <v>0.01</v>
      </c>
    </row>
    <row r="318" spans="2:5" ht="15" customHeight="1">
      <c r="B318" s="102"/>
      <c r="C318" s="58" t="s">
        <v>231</v>
      </c>
      <c r="D318" s="61">
        <v>7</v>
      </c>
      <c r="E318" s="60">
        <v>1E-3</v>
      </c>
    </row>
    <row r="319" spans="2:5" ht="15" customHeight="1">
      <c r="B319" s="102"/>
      <c r="C319" s="58" t="s">
        <v>232</v>
      </c>
      <c r="D319" s="61">
        <v>2</v>
      </c>
      <c r="E319" s="60">
        <v>0</v>
      </c>
    </row>
    <row r="320" spans="2:5" ht="15" customHeight="1">
      <c r="B320" s="103"/>
      <c r="C320" s="75" t="s">
        <v>324</v>
      </c>
      <c r="D320" s="76">
        <v>163</v>
      </c>
      <c r="E320" s="72">
        <v>2.4E-2</v>
      </c>
    </row>
    <row r="321" spans="2:5" ht="15" customHeight="1">
      <c r="B321" s="101" t="s">
        <v>88</v>
      </c>
      <c r="C321" s="58" t="s">
        <v>302</v>
      </c>
      <c r="D321" s="61">
        <v>1</v>
      </c>
      <c r="E321" s="60">
        <v>0</v>
      </c>
    </row>
    <row r="322" spans="2:5" ht="15" customHeight="1">
      <c r="B322" s="102"/>
      <c r="C322" s="58" t="s">
        <v>220</v>
      </c>
      <c r="D322" s="61">
        <v>4</v>
      </c>
      <c r="E322" s="60">
        <v>1E-3</v>
      </c>
    </row>
    <row r="323" spans="2:5" ht="15" customHeight="1">
      <c r="B323" s="102"/>
      <c r="C323" s="58" t="s">
        <v>221</v>
      </c>
      <c r="D323" s="61">
        <v>2</v>
      </c>
      <c r="E323" s="60">
        <v>0</v>
      </c>
    </row>
    <row r="324" spans="2:5" ht="15" customHeight="1">
      <c r="B324" s="102"/>
      <c r="C324" s="58" t="s">
        <v>222</v>
      </c>
      <c r="D324" s="61">
        <v>4</v>
      </c>
      <c r="E324" s="60">
        <v>1E-3</v>
      </c>
    </row>
    <row r="325" spans="2:5" ht="15" customHeight="1">
      <c r="B325" s="102"/>
      <c r="C325" s="58" t="s">
        <v>223</v>
      </c>
      <c r="D325" s="61">
        <v>3</v>
      </c>
      <c r="E325" s="60">
        <v>0</v>
      </c>
    </row>
    <row r="326" spans="2:5" ht="15" customHeight="1">
      <c r="B326" s="102"/>
      <c r="C326" s="58" t="s">
        <v>228</v>
      </c>
      <c r="D326" s="61">
        <v>2</v>
      </c>
      <c r="E326" s="60">
        <v>0</v>
      </c>
    </row>
    <row r="327" spans="2:5" ht="15" customHeight="1">
      <c r="B327" s="102"/>
      <c r="C327" s="58" t="s">
        <v>229</v>
      </c>
      <c r="D327" s="61">
        <v>1</v>
      </c>
      <c r="E327" s="60">
        <v>0</v>
      </c>
    </row>
    <row r="328" spans="2:5" ht="15" customHeight="1">
      <c r="B328" s="103"/>
      <c r="C328" s="75" t="s">
        <v>324</v>
      </c>
      <c r="D328" s="76">
        <v>17</v>
      </c>
      <c r="E328" s="72">
        <v>3.0000000000000001E-3</v>
      </c>
    </row>
    <row r="329" spans="2:5" ht="15" customHeight="1">
      <c r="B329" s="101" t="s">
        <v>82</v>
      </c>
      <c r="C329" s="58" t="s">
        <v>299</v>
      </c>
      <c r="D329" s="61">
        <v>1</v>
      </c>
      <c r="E329" s="60">
        <v>0</v>
      </c>
    </row>
    <row r="330" spans="2:5" ht="15" customHeight="1">
      <c r="B330" s="102"/>
      <c r="C330" s="58" t="s">
        <v>216</v>
      </c>
      <c r="D330" s="61">
        <v>1</v>
      </c>
      <c r="E330" s="60">
        <v>0</v>
      </c>
    </row>
    <row r="331" spans="2:5" ht="15" customHeight="1">
      <c r="B331" s="102"/>
      <c r="C331" s="58" t="s">
        <v>301</v>
      </c>
      <c r="D331" s="61">
        <v>2</v>
      </c>
      <c r="E331" s="60">
        <v>0</v>
      </c>
    </row>
    <row r="332" spans="2:5" ht="15" customHeight="1">
      <c r="B332" s="102"/>
      <c r="C332" s="58" t="s">
        <v>220</v>
      </c>
      <c r="D332" s="61">
        <v>5</v>
      </c>
      <c r="E332" s="60">
        <v>1E-3</v>
      </c>
    </row>
    <row r="333" spans="2:5" ht="15" customHeight="1">
      <c r="B333" s="102"/>
      <c r="C333" s="58" t="s">
        <v>222</v>
      </c>
      <c r="D333" s="61">
        <v>2</v>
      </c>
      <c r="E333" s="60">
        <v>0</v>
      </c>
    </row>
    <row r="334" spans="2:5" ht="15" customHeight="1">
      <c r="B334" s="102"/>
      <c r="C334" s="58" t="s">
        <v>223</v>
      </c>
      <c r="D334" s="61">
        <v>3</v>
      </c>
      <c r="E334" s="60">
        <v>0</v>
      </c>
    </row>
    <row r="335" spans="2:5" ht="15" customHeight="1">
      <c r="B335" s="102"/>
      <c r="C335" s="58" t="s">
        <v>228</v>
      </c>
      <c r="D335" s="61">
        <v>1</v>
      </c>
      <c r="E335" s="60">
        <v>0</v>
      </c>
    </row>
    <row r="336" spans="2:5" ht="15" customHeight="1">
      <c r="B336" s="102"/>
      <c r="C336" s="58" t="s">
        <v>229</v>
      </c>
      <c r="D336" s="61">
        <v>6</v>
      </c>
      <c r="E336" s="60">
        <v>1E-3</v>
      </c>
    </row>
    <row r="337" spans="2:5" ht="15" customHeight="1">
      <c r="B337" s="102"/>
      <c r="C337" s="58" t="s">
        <v>231</v>
      </c>
      <c r="D337" s="61">
        <v>1</v>
      </c>
      <c r="E337" s="60">
        <v>0</v>
      </c>
    </row>
    <row r="338" spans="2:5" ht="15" customHeight="1">
      <c r="B338" s="103"/>
      <c r="C338" s="75" t="s">
        <v>324</v>
      </c>
      <c r="D338" s="76">
        <v>22</v>
      </c>
      <c r="E338" s="72">
        <v>3.0000000000000001E-3</v>
      </c>
    </row>
    <row r="339" spans="2:5" ht="15" customHeight="1">
      <c r="B339" s="101" t="s">
        <v>68</v>
      </c>
      <c r="C339" s="58" t="s">
        <v>294</v>
      </c>
      <c r="D339" s="61">
        <v>1</v>
      </c>
      <c r="E339" s="60">
        <v>0</v>
      </c>
    </row>
    <row r="340" spans="2:5" ht="15" customHeight="1">
      <c r="B340" s="102"/>
      <c r="C340" s="58" t="s">
        <v>297</v>
      </c>
      <c r="D340" s="61">
        <v>1</v>
      </c>
      <c r="E340" s="60">
        <v>0</v>
      </c>
    </row>
    <row r="341" spans="2:5" ht="15" customHeight="1">
      <c r="B341" s="102"/>
      <c r="C341" s="58" t="s">
        <v>299</v>
      </c>
      <c r="D341" s="61">
        <v>3</v>
      </c>
      <c r="E341" s="60">
        <v>0</v>
      </c>
    </row>
    <row r="342" spans="2:5" ht="15" customHeight="1">
      <c r="B342" s="102"/>
      <c r="C342" s="58" t="s">
        <v>216</v>
      </c>
      <c r="D342" s="61">
        <v>2</v>
      </c>
      <c r="E342" s="60">
        <v>0</v>
      </c>
    </row>
    <row r="343" spans="2:5" ht="15" customHeight="1">
      <c r="B343" s="102"/>
      <c r="C343" s="58" t="s">
        <v>300</v>
      </c>
      <c r="D343" s="61">
        <v>1</v>
      </c>
      <c r="E343" s="60">
        <v>0</v>
      </c>
    </row>
    <row r="344" spans="2:5" ht="15" customHeight="1">
      <c r="B344" s="102"/>
      <c r="C344" s="58" t="s">
        <v>301</v>
      </c>
      <c r="D344" s="61">
        <v>2</v>
      </c>
      <c r="E344" s="60">
        <v>0</v>
      </c>
    </row>
    <row r="345" spans="2:5" ht="15" customHeight="1">
      <c r="B345" s="102"/>
      <c r="C345" s="58" t="s">
        <v>220</v>
      </c>
      <c r="D345" s="61">
        <v>13</v>
      </c>
      <c r="E345" s="60">
        <v>2E-3</v>
      </c>
    </row>
    <row r="346" spans="2:5" ht="15" customHeight="1">
      <c r="B346" s="102"/>
      <c r="C346" s="58" t="s">
        <v>221</v>
      </c>
      <c r="D346" s="61">
        <v>3</v>
      </c>
      <c r="E346" s="60">
        <v>0</v>
      </c>
    </row>
    <row r="347" spans="2:5" ht="15" customHeight="1">
      <c r="B347" s="102"/>
      <c r="C347" s="58" t="s">
        <v>222</v>
      </c>
      <c r="D347" s="61">
        <v>10</v>
      </c>
      <c r="E347" s="60">
        <v>1E-3</v>
      </c>
    </row>
    <row r="348" spans="2:5" ht="15" customHeight="1">
      <c r="B348" s="102"/>
      <c r="C348" s="58" t="s">
        <v>223</v>
      </c>
      <c r="D348" s="61">
        <v>29</v>
      </c>
      <c r="E348" s="60">
        <v>4.0000000000000001E-3</v>
      </c>
    </row>
    <row r="349" spans="2:5" ht="15" customHeight="1">
      <c r="B349" s="102"/>
      <c r="C349" s="58" t="s">
        <v>304</v>
      </c>
      <c r="D349" s="61">
        <v>1</v>
      </c>
      <c r="E349" s="60">
        <v>0</v>
      </c>
    </row>
    <row r="350" spans="2:5" ht="15" customHeight="1">
      <c r="B350" s="102"/>
      <c r="C350" s="58" t="s">
        <v>306</v>
      </c>
      <c r="D350" s="61">
        <v>1</v>
      </c>
      <c r="E350" s="60">
        <v>0</v>
      </c>
    </row>
    <row r="351" spans="2:5" ht="15" customHeight="1">
      <c r="B351" s="102"/>
      <c r="C351" s="58" t="s">
        <v>228</v>
      </c>
      <c r="D351" s="61">
        <v>3</v>
      </c>
      <c r="E351" s="60">
        <v>0</v>
      </c>
    </row>
    <row r="352" spans="2:5" ht="15" customHeight="1">
      <c r="B352" s="102"/>
      <c r="C352" s="58" t="s">
        <v>229</v>
      </c>
      <c r="D352" s="61">
        <v>7</v>
      </c>
      <c r="E352" s="60">
        <v>1E-3</v>
      </c>
    </row>
    <row r="353" spans="2:5" ht="15" customHeight="1">
      <c r="B353" s="102"/>
      <c r="C353" s="58" t="s">
        <v>231</v>
      </c>
      <c r="D353" s="61">
        <v>1</v>
      </c>
      <c r="E353" s="60">
        <v>0</v>
      </c>
    </row>
    <row r="354" spans="2:5" ht="15" customHeight="1">
      <c r="B354" s="103"/>
      <c r="C354" s="75" t="s">
        <v>324</v>
      </c>
      <c r="D354" s="76">
        <v>78</v>
      </c>
      <c r="E354" s="72">
        <v>1.2E-2</v>
      </c>
    </row>
    <row r="355" spans="2:5" ht="15" customHeight="1">
      <c r="B355" s="101" t="s">
        <v>87</v>
      </c>
      <c r="C355" s="58" t="s">
        <v>209</v>
      </c>
      <c r="D355" s="61">
        <v>1</v>
      </c>
      <c r="E355" s="60">
        <v>0</v>
      </c>
    </row>
    <row r="356" spans="2:5" ht="15" customHeight="1">
      <c r="B356" s="102"/>
      <c r="C356" s="58" t="s">
        <v>297</v>
      </c>
      <c r="D356" s="61">
        <v>1</v>
      </c>
      <c r="E356" s="60">
        <v>0</v>
      </c>
    </row>
    <row r="357" spans="2:5" ht="15" customHeight="1">
      <c r="B357" s="102"/>
      <c r="C357" s="58" t="s">
        <v>299</v>
      </c>
      <c r="D357" s="61">
        <v>1</v>
      </c>
      <c r="E357" s="60">
        <v>0</v>
      </c>
    </row>
    <row r="358" spans="2:5" ht="15" customHeight="1">
      <c r="B358" s="102"/>
      <c r="C358" s="58" t="s">
        <v>216</v>
      </c>
      <c r="D358" s="61">
        <v>1</v>
      </c>
      <c r="E358" s="60">
        <v>0</v>
      </c>
    </row>
    <row r="359" spans="2:5" ht="15" customHeight="1">
      <c r="B359" s="102"/>
      <c r="C359" s="58" t="s">
        <v>301</v>
      </c>
      <c r="D359" s="61">
        <v>4</v>
      </c>
      <c r="E359" s="60">
        <v>1E-3</v>
      </c>
    </row>
    <row r="360" spans="2:5" ht="15" customHeight="1">
      <c r="B360" s="102"/>
      <c r="C360" s="58" t="s">
        <v>302</v>
      </c>
      <c r="D360" s="61">
        <v>2</v>
      </c>
      <c r="E360" s="60">
        <v>0</v>
      </c>
    </row>
    <row r="361" spans="2:5" ht="15" customHeight="1">
      <c r="B361" s="102"/>
      <c r="C361" s="58" t="s">
        <v>220</v>
      </c>
      <c r="D361" s="61">
        <v>12</v>
      </c>
      <c r="E361" s="60">
        <v>2E-3</v>
      </c>
    </row>
    <row r="362" spans="2:5" ht="15" customHeight="1">
      <c r="B362" s="102"/>
      <c r="C362" s="58" t="s">
        <v>221</v>
      </c>
      <c r="D362" s="61">
        <v>2</v>
      </c>
      <c r="E362" s="60">
        <v>0</v>
      </c>
    </row>
    <row r="363" spans="2:5" ht="15" customHeight="1">
      <c r="B363" s="102"/>
      <c r="C363" s="58" t="s">
        <v>222</v>
      </c>
      <c r="D363" s="61">
        <v>3</v>
      </c>
      <c r="E363" s="60">
        <v>0</v>
      </c>
    </row>
    <row r="364" spans="2:5" ht="15" customHeight="1">
      <c r="B364" s="102"/>
      <c r="C364" s="58" t="s">
        <v>223</v>
      </c>
      <c r="D364" s="61">
        <v>17</v>
      </c>
      <c r="E364" s="60">
        <v>3.0000000000000001E-3</v>
      </c>
    </row>
    <row r="365" spans="2:5" ht="15" customHeight="1">
      <c r="B365" s="102"/>
      <c r="C365" s="58" t="s">
        <v>303</v>
      </c>
      <c r="D365" s="61">
        <v>1</v>
      </c>
      <c r="E365" s="60">
        <v>0</v>
      </c>
    </row>
    <row r="366" spans="2:5" ht="15" customHeight="1">
      <c r="B366" s="102"/>
      <c r="C366" s="58" t="s">
        <v>304</v>
      </c>
      <c r="D366" s="61">
        <v>1</v>
      </c>
      <c r="E366" s="60">
        <v>0</v>
      </c>
    </row>
    <row r="367" spans="2:5" ht="15" customHeight="1">
      <c r="B367" s="102"/>
      <c r="C367" s="58" t="s">
        <v>229</v>
      </c>
      <c r="D367" s="61">
        <v>2</v>
      </c>
      <c r="E367" s="60">
        <v>0</v>
      </c>
    </row>
    <row r="368" spans="2:5" ht="15" customHeight="1">
      <c r="B368" s="103"/>
      <c r="C368" s="75" t="s">
        <v>324</v>
      </c>
      <c r="D368" s="76">
        <v>48</v>
      </c>
      <c r="E368" s="72">
        <v>7.0000000000000001E-3</v>
      </c>
    </row>
    <row r="369" spans="2:5" ht="15" customHeight="1">
      <c r="B369" s="101" t="s">
        <v>76</v>
      </c>
      <c r="C369" s="58" t="s">
        <v>209</v>
      </c>
      <c r="D369" s="61">
        <v>1</v>
      </c>
      <c r="E369" s="60">
        <v>0</v>
      </c>
    </row>
    <row r="370" spans="2:5" ht="15" customHeight="1">
      <c r="B370" s="102"/>
      <c r="C370" s="58" t="s">
        <v>220</v>
      </c>
      <c r="D370" s="61">
        <v>6</v>
      </c>
      <c r="E370" s="60">
        <v>1E-3</v>
      </c>
    </row>
    <row r="371" spans="2:5" ht="15" customHeight="1">
      <c r="B371" s="102"/>
      <c r="C371" s="58" t="s">
        <v>222</v>
      </c>
      <c r="D371" s="61">
        <v>2</v>
      </c>
      <c r="E371" s="60">
        <v>0</v>
      </c>
    </row>
    <row r="372" spans="2:5" ht="15" customHeight="1">
      <c r="B372" s="102"/>
      <c r="C372" s="58" t="s">
        <v>223</v>
      </c>
      <c r="D372" s="61">
        <v>5</v>
      </c>
      <c r="E372" s="60">
        <v>1E-3</v>
      </c>
    </row>
    <row r="373" spans="2:5" ht="15" customHeight="1">
      <c r="B373" s="102"/>
      <c r="C373" s="58" t="s">
        <v>229</v>
      </c>
      <c r="D373" s="61">
        <v>3</v>
      </c>
      <c r="E373" s="60">
        <v>0</v>
      </c>
    </row>
    <row r="374" spans="2:5" ht="15" customHeight="1">
      <c r="B374" s="103"/>
      <c r="C374" s="75" t="s">
        <v>324</v>
      </c>
      <c r="D374" s="76">
        <v>17</v>
      </c>
      <c r="E374" s="72">
        <v>3.0000000000000001E-3</v>
      </c>
    </row>
    <row r="375" spans="2:5" ht="15" customHeight="1">
      <c r="B375" s="101" t="s">
        <v>74</v>
      </c>
      <c r="C375" s="58" t="s">
        <v>295</v>
      </c>
      <c r="D375" s="61">
        <v>1</v>
      </c>
      <c r="E375" s="60">
        <v>0</v>
      </c>
    </row>
    <row r="376" spans="2:5" ht="15" customHeight="1">
      <c r="B376" s="102"/>
      <c r="C376" s="58" t="s">
        <v>298</v>
      </c>
      <c r="D376" s="61">
        <v>4</v>
      </c>
      <c r="E376" s="60">
        <v>1E-3</v>
      </c>
    </row>
    <row r="377" spans="2:5" ht="15" customHeight="1">
      <c r="B377" s="102"/>
      <c r="C377" s="58" t="s">
        <v>299</v>
      </c>
      <c r="D377" s="61">
        <v>2</v>
      </c>
      <c r="E377" s="60">
        <v>0</v>
      </c>
    </row>
    <row r="378" spans="2:5" ht="15" customHeight="1">
      <c r="B378" s="102"/>
      <c r="C378" s="58" t="s">
        <v>216</v>
      </c>
      <c r="D378" s="61">
        <v>5</v>
      </c>
      <c r="E378" s="60">
        <v>1E-3</v>
      </c>
    </row>
    <row r="379" spans="2:5" ht="15" customHeight="1">
      <c r="B379" s="102"/>
      <c r="C379" s="58" t="s">
        <v>300</v>
      </c>
      <c r="D379" s="61">
        <v>1</v>
      </c>
      <c r="E379" s="60">
        <v>0</v>
      </c>
    </row>
    <row r="380" spans="2:5" ht="15" customHeight="1">
      <c r="B380" s="102"/>
      <c r="C380" s="58" t="s">
        <v>302</v>
      </c>
      <c r="D380" s="61">
        <v>3</v>
      </c>
      <c r="E380" s="60">
        <v>0</v>
      </c>
    </row>
    <row r="381" spans="2:5" ht="15" customHeight="1">
      <c r="B381" s="102"/>
      <c r="C381" s="58" t="s">
        <v>220</v>
      </c>
      <c r="D381" s="61">
        <v>11</v>
      </c>
      <c r="E381" s="60">
        <v>2E-3</v>
      </c>
    </row>
    <row r="382" spans="2:5" ht="15" customHeight="1">
      <c r="B382" s="102"/>
      <c r="C382" s="58" t="s">
        <v>221</v>
      </c>
      <c r="D382" s="61">
        <v>1</v>
      </c>
      <c r="E382" s="60">
        <v>0</v>
      </c>
    </row>
    <row r="383" spans="2:5" ht="15" customHeight="1">
      <c r="B383" s="102"/>
      <c r="C383" s="58" t="s">
        <v>222</v>
      </c>
      <c r="D383" s="61">
        <v>6</v>
      </c>
      <c r="E383" s="60">
        <v>1E-3</v>
      </c>
    </row>
    <row r="384" spans="2:5" ht="15" customHeight="1">
      <c r="B384" s="102"/>
      <c r="C384" s="58" t="s">
        <v>223</v>
      </c>
      <c r="D384" s="61">
        <v>12</v>
      </c>
      <c r="E384" s="60">
        <v>2E-3</v>
      </c>
    </row>
    <row r="385" spans="2:5" ht="15" customHeight="1">
      <c r="B385" s="102"/>
      <c r="C385" s="58" t="s">
        <v>229</v>
      </c>
      <c r="D385" s="61">
        <v>5</v>
      </c>
      <c r="E385" s="60">
        <v>1E-3</v>
      </c>
    </row>
    <row r="386" spans="2:5" ht="15" customHeight="1">
      <c r="B386" s="103"/>
      <c r="C386" s="75" t="s">
        <v>324</v>
      </c>
      <c r="D386" s="76">
        <v>51</v>
      </c>
      <c r="E386" s="72">
        <v>8.0000000000000002E-3</v>
      </c>
    </row>
    <row r="387" spans="2:5" ht="15" customHeight="1">
      <c r="B387" s="101" t="s">
        <v>47</v>
      </c>
      <c r="C387" s="58" t="s">
        <v>209</v>
      </c>
      <c r="D387" s="61">
        <v>5</v>
      </c>
      <c r="E387" s="60">
        <v>1E-3</v>
      </c>
    </row>
    <row r="388" spans="2:5" ht="15" customHeight="1">
      <c r="B388" s="102"/>
      <c r="C388" s="58" t="s">
        <v>294</v>
      </c>
      <c r="D388" s="61">
        <v>4</v>
      </c>
      <c r="E388" s="60">
        <v>1E-3</v>
      </c>
    </row>
    <row r="389" spans="2:5" ht="15" customHeight="1">
      <c r="B389" s="102"/>
      <c r="C389" s="58" t="s">
        <v>295</v>
      </c>
      <c r="D389" s="61">
        <v>4</v>
      </c>
      <c r="E389" s="60">
        <v>1E-3</v>
      </c>
    </row>
    <row r="390" spans="2:5" ht="15" customHeight="1">
      <c r="B390" s="102"/>
      <c r="C390" s="58" t="s">
        <v>296</v>
      </c>
      <c r="D390" s="61">
        <v>11</v>
      </c>
      <c r="E390" s="60">
        <v>2E-3</v>
      </c>
    </row>
    <row r="391" spans="2:5" ht="15" customHeight="1">
      <c r="B391" s="102"/>
      <c r="C391" s="58" t="s">
        <v>297</v>
      </c>
      <c r="D391" s="61">
        <v>5</v>
      </c>
      <c r="E391" s="60">
        <v>1E-3</v>
      </c>
    </row>
    <row r="392" spans="2:5" ht="15" customHeight="1">
      <c r="B392" s="102"/>
      <c r="C392" s="58" t="s">
        <v>298</v>
      </c>
      <c r="D392" s="61">
        <v>15</v>
      </c>
      <c r="E392" s="60">
        <v>2E-3</v>
      </c>
    </row>
    <row r="393" spans="2:5" ht="15" customHeight="1">
      <c r="B393" s="102"/>
      <c r="C393" s="58" t="s">
        <v>299</v>
      </c>
      <c r="D393" s="61">
        <v>52</v>
      </c>
      <c r="E393" s="60">
        <v>8.0000000000000002E-3</v>
      </c>
    </row>
    <row r="394" spans="2:5" ht="15" customHeight="1">
      <c r="B394" s="102"/>
      <c r="C394" s="58" t="s">
        <v>216</v>
      </c>
      <c r="D394" s="61">
        <v>75</v>
      </c>
      <c r="E394" s="60">
        <v>1.0999999999999999E-2</v>
      </c>
    </row>
    <row r="395" spans="2:5" ht="15" customHeight="1">
      <c r="B395" s="102"/>
      <c r="C395" s="58" t="s">
        <v>300</v>
      </c>
      <c r="D395" s="61">
        <v>15</v>
      </c>
      <c r="E395" s="60">
        <v>2E-3</v>
      </c>
    </row>
    <row r="396" spans="2:5" ht="15" customHeight="1">
      <c r="B396" s="102"/>
      <c r="C396" s="58" t="s">
        <v>301</v>
      </c>
      <c r="D396" s="61">
        <v>39</v>
      </c>
      <c r="E396" s="60">
        <v>6.0000000000000001E-3</v>
      </c>
    </row>
    <row r="397" spans="2:5" ht="15" customHeight="1">
      <c r="B397" s="102"/>
      <c r="C397" s="58" t="s">
        <v>302</v>
      </c>
      <c r="D397" s="61">
        <v>56</v>
      </c>
      <c r="E397" s="60">
        <v>8.0000000000000002E-3</v>
      </c>
    </row>
    <row r="398" spans="2:5" ht="15" customHeight="1">
      <c r="B398" s="102"/>
      <c r="C398" s="58" t="s">
        <v>220</v>
      </c>
      <c r="D398" s="61">
        <v>421</v>
      </c>
      <c r="E398" s="60">
        <v>6.3E-2</v>
      </c>
    </row>
    <row r="399" spans="2:5" ht="15" customHeight="1">
      <c r="B399" s="102"/>
      <c r="C399" s="58" t="s">
        <v>221</v>
      </c>
      <c r="D399" s="61">
        <v>44</v>
      </c>
      <c r="E399" s="60">
        <v>7.0000000000000001E-3</v>
      </c>
    </row>
    <row r="400" spans="2:5" ht="15" customHeight="1">
      <c r="B400" s="102"/>
      <c r="C400" s="58" t="s">
        <v>222</v>
      </c>
      <c r="D400" s="61">
        <v>163</v>
      </c>
      <c r="E400" s="60">
        <v>2.4E-2</v>
      </c>
    </row>
    <row r="401" spans="2:5" ht="15" customHeight="1">
      <c r="B401" s="102"/>
      <c r="C401" s="58" t="s">
        <v>223</v>
      </c>
      <c r="D401" s="61">
        <v>580</v>
      </c>
      <c r="E401" s="60">
        <v>8.5999999999999993E-2</v>
      </c>
    </row>
    <row r="402" spans="2:5" ht="15" customHeight="1">
      <c r="B402" s="102"/>
      <c r="C402" s="58" t="s">
        <v>303</v>
      </c>
      <c r="D402" s="61">
        <v>18</v>
      </c>
      <c r="E402" s="60">
        <v>3.0000000000000001E-3</v>
      </c>
    </row>
    <row r="403" spans="2:5" ht="15" customHeight="1">
      <c r="B403" s="102"/>
      <c r="C403" s="58" t="s">
        <v>304</v>
      </c>
      <c r="D403" s="61">
        <v>13</v>
      </c>
      <c r="E403" s="60">
        <v>2E-3</v>
      </c>
    </row>
    <row r="404" spans="2:5" ht="15" customHeight="1">
      <c r="B404" s="102"/>
      <c r="C404" s="58" t="s">
        <v>305</v>
      </c>
      <c r="D404" s="61">
        <v>16</v>
      </c>
      <c r="E404" s="60">
        <v>2E-3</v>
      </c>
    </row>
    <row r="405" spans="2:5" ht="15" customHeight="1">
      <c r="B405" s="102"/>
      <c r="C405" s="58" t="s">
        <v>306</v>
      </c>
      <c r="D405" s="61">
        <v>11</v>
      </c>
      <c r="E405" s="60">
        <v>2E-3</v>
      </c>
    </row>
    <row r="406" spans="2:5" ht="15" customHeight="1">
      <c r="B406" s="102"/>
      <c r="C406" s="58" t="s">
        <v>228</v>
      </c>
      <c r="D406" s="61">
        <v>65</v>
      </c>
      <c r="E406" s="60">
        <v>0.01</v>
      </c>
    </row>
    <row r="407" spans="2:5" ht="15" customHeight="1">
      <c r="B407" s="102"/>
      <c r="C407" s="58" t="s">
        <v>229</v>
      </c>
      <c r="D407" s="61">
        <v>200</v>
      </c>
      <c r="E407" s="60">
        <v>0.03</v>
      </c>
    </row>
    <row r="408" spans="2:5" ht="15" customHeight="1">
      <c r="B408" s="102"/>
      <c r="C408" s="58" t="s">
        <v>230</v>
      </c>
      <c r="D408" s="61">
        <v>7</v>
      </c>
      <c r="E408" s="60">
        <v>1E-3</v>
      </c>
    </row>
    <row r="409" spans="2:5" ht="15" customHeight="1">
      <c r="B409" s="102"/>
      <c r="C409" s="58" t="s">
        <v>231</v>
      </c>
      <c r="D409" s="61">
        <v>4</v>
      </c>
      <c r="E409" s="60">
        <v>1E-3</v>
      </c>
    </row>
    <row r="410" spans="2:5" ht="15" customHeight="1">
      <c r="B410" s="103"/>
      <c r="C410" s="75" t="s">
        <v>324</v>
      </c>
      <c r="D410" s="76">
        <v>1823</v>
      </c>
      <c r="E410" s="72">
        <v>0.27100000000000002</v>
      </c>
    </row>
    <row r="411" spans="2:5" ht="15" customHeight="1">
      <c r="B411" s="101" t="s">
        <v>79</v>
      </c>
      <c r="C411" s="58" t="s">
        <v>298</v>
      </c>
      <c r="D411" s="61">
        <v>1</v>
      </c>
      <c r="E411" s="60">
        <v>0</v>
      </c>
    </row>
    <row r="412" spans="2:5" ht="15" customHeight="1">
      <c r="B412" s="102"/>
      <c r="C412" s="58" t="s">
        <v>220</v>
      </c>
      <c r="D412" s="61">
        <v>7</v>
      </c>
      <c r="E412" s="60">
        <v>1E-3</v>
      </c>
    </row>
    <row r="413" spans="2:5" ht="15" customHeight="1">
      <c r="B413" s="102"/>
      <c r="C413" s="58" t="s">
        <v>221</v>
      </c>
      <c r="D413" s="61">
        <v>1</v>
      </c>
      <c r="E413" s="60">
        <v>0</v>
      </c>
    </row>
    <row r="414" spans="2:5" ht="15" customHeight="1">
      <c r="B414" s="102"/>
      <c r="C414" s="58" t="s">
        <v>222</v>
      </c>
      <c r="D414" s="61">
        <v>2</v>
      </c>
      <c r="E414" s="60">
        <v>0</v>
      </c>
    </row>
    <row r="415" spans="2:5" ht="15" customHeight="1">
      <c r="B415" s="102"/>
      <c r="C415" s="58" t="s">
        <v>223</v>
      </c>
      <c r="D415" s="61">
        <v>8</v>
      </c>
      <c r="E415" s="60">
        <v>1E-3</v>
      </c>
    </row>
    <row r="416" spans="2:5" ht="15" customHeight="1">
      <c r="B416" s="102"/>
      <c r="C416" s="58" t="s">
        <v>228</v>
      </c>
      <c r="D416" s="61">
        <v>1</v>
      </c>
      <c r="E416" s="60">
        <v>0</v>
      </c>
    </row>
    <row r="417" spans="2:5" ht="15" customHeight="1">
      <c r="B417" s="102"/>
      <c r="C417" s="58" t="s">
        <v>229</v>
      </c>
      <c r="D417" s="61">
        <v>4</v>
      </c>
      <c r="E417" s="60">
        <v>1E-3</v>
      </c>
    </row>
    <row r="418" spans="2:5" ht="15" customHeight="1">
      <c r="B418" s="102"/>
      <c r="C418" s="58" t="s">
        <v>231</v>
      </c>
      <c r="D418" s="61">
        <v>1</v>
      </c>
      <c r="E418" s="60">
        <v>0</v>
      </c>
    </row>
    <row r="419" spans="2:5" ht="15" customHeight="1">
      <c r="B419" s="103"/>
      <c r="C419" s="75" t="s">
        <v>324</v>
      </c>
      <c r="D419" s="76">
        <v>25</v>
      </c>
      <c r="E419" s="72">
        <v>4.0000000000000001E-3</v>
      </c>
    </row>
    <row r="420" spans="2:5" ht="15" customHeight="1">
      <c r="B420" s="101" t="s">
        <v>90</v>
      </c>
      <c r="C420" s="58" t="s">
        <v>216</v>
      </c>
      <c r="D420" s="61">
        <v>1</v>
      </c>
      <c r="E420" s="60">
        <v>0</v>
      </c>
    </row>
    <row r="421" spans="2:5" ht="15" customHeight="1">
      <c r="B421" s="102"/>
      <c r="C421" s="58" t="s">
        <v>222</v>
      </c>
      <c r="D421" s="61">
        <v>1</v>
      </c>
      <c r="E421" s="60">
        <v>0</v>
      </c>
    </row>
    <row r="422" spans="2:5" ht="15" customHeight="1">
      <c r="B422" s="102"/>
      <c r="C422" s="58" t="s">
        <v>223</v>
      </c>
      <c r="D422" s="61">
        <v>1</v>
      </c>
      <c r="E422" s="60">
        <v>0</v>
      </c>
    </row>
    <row r="423" spans="2:5" ht="15" customHeight="1">
      <c r="B423" s="102"/>
      <c r="C423" s="58" t="s">
        <v>228</v>
      </c>
      <c r="D423" s="61">
        <v>1</v>
      </c>
      <c r="E423" s="60">
        <v>0</v>
      </c>
    </row>
    <row r="424" spans="2:5" ht="15" customHeight="1">
      <c r="B424" s="103"/>
      <c r="C424" s="75" t="s">
        <v>324</v>
      </c>
      <c r="D424" s="76">
        <v>4</v>
      </c>
      <c r="E424" s="72">
        <v>1E-3</v>
      </c>
    </row>
    <row r="425" spans="2:5" ht="15" customHeight="1">
      <c r="B425" s="101" t="s">
        <v>65</v>
      </c>
      <c r="C425" s="58" t="s">
        <v>209</v>
      </c>
      <c r="D425" s="61">
        <v>1</v>
      </c>
      <c r="E425" s="60">
        <v>0</v>
      </c>
    </row>
    <row r="426" spans="2:5" ht="15" customHeight="1">
      <c r="B426" s="102"/>
      <c r="C426" s="58" t="s">
        <v>296</v>
      </c>
      <c r="D426" s="61">
        <v>1</v>
      </c>
      <c r="E426" s="60">
        <v>0</v>
      </c>
    </row>
    <row r="427" spans="2:5" ht="15" customHeight="1">
      <c r="B427" s="102"/>
      <c r="C427" s="58" t="s">
        <v>299</v>
      </c>
      <c r="D427" s="61">
        <v>3</v>
      </c>
      <c r="E427" s="60">
        <v>0</v>
      </c>
    </row>
    <row r="428" spans="2:5" ht="15" customHeight="1">
      <c r="B428" s="102"/>
      <c r="C428" s="58" t="s">
        <v>216</v>
      </c>
      <c r="D428" s="61">
        <v>2</v>
      </c>
      <c r="E428" s="60">
        <v>0</v>
      </c>
    </row>
    <row r="429" spans="2:5" ht="15" customHeight="1">
      <c r="B429" s="102"/>
      <c r="C429" s="58" t="s">
        <v>301</v>
      </c>
      <c r="D429" s="61">
        <v>1</v>
      </c>
      <c r="E429" s="60">
        <v>0</v>
      </c>
    </row>
    <row r="430" spans="2:5" ht="15" customHeight="1">
      <c r="B430" s="102"/>
      <c r="C430" s="58" t="s">
        <v>302</v>
      </c>
      <c r="D430" s="61">
        <v>2</v>
      </c>
      <c r="E430" s="60">
        <v>0</v>
      </c>
    </row>
    <row r="431" spans="2:5" ht="15" customHeight="1">
      <c r="B431" s="102"/>
      <c r="C431" s="58" t="s">
        <v>220</v>
      </c>
      <c r="D431" s="61">
        <v>20</v>
      </c>
      <c r="E431" s="60">
        <v>3.0000000000000001E-3</v>
      </c>
    </row>
    <row r="432" spans="2:5" ht="15" customHeight="1">
      <c r="B432" s="102"/>
      <c r="C432" s="58" t="s">
        <v>221</v>
      </c>
      <c r="D432" s="61">
        <v>2</v>
      </c>
      <c r="E432" s="60">
        <v>0</v>
      </c>
    </row>
    <row r="433" spans="2:5" ht="15" customHeight="1">
      <c r="B433" s="102"/>
      <c r="C433" s="58" t="s">
        <v>222</v>
      </c>
      <c r="D433" s="61">
        <v>3</v>
      </c>
      <c r="E433" s="60">
        <v>0</v>
      </c>
    </row>
    <row r="434" spans="2:5" ht="15" customHeight="1">
      <c r="B434" s="102"/>
      <c r="C434" s="58" t="s">
        <v>223</v>
      </c>
      <c r="D434" s="61">
        <v>13</v>
      </c>
      <c r="E434" s="60">
        <v>2E-3</v>
      </c>
    </row>
    <row r="435" spans="2:5" ht="15" customHeight="1">
      <c r="B435" s="102"/>
      <c r="C435" s="58" t="s">
        <v>306</v>
      </c>
      <c r="D435" s="61">
        <v>1</v>
      </c>
      <c r="E435" s="60">
        <v>0</v>
      </c>
    </row>
    <row r="436" spans="2:5" ht="15" customHeight="1">
      <c r="B436" s="102"/>
      <c r="C436" s="58" t="s">
        <v>228</v>
      </c>
      <c r="D436" s="61">
        <v>3</v>
      </c>
      <c r="E436" s="60">
        <v>0</v>
      </c>
    </row>
    <row r="437" spans="2:5" ht="15" customHeight="1">
      <c r="B437" s="102"/>
      <c r="C437" s="58" t="s">
        <v>229</v>
      </c>
      <c r="D437" s="61">
        <v>4</v>
      </c>
      <c r="E437" s="60">
        <v>1E-3</v>
      </c>
    </row>
    <row r="438" spans="2:5" ht="15" customHeight="1">
      <c r="B438" s="103"/>
      <c r="C438" s="75" t="s">
        <v>324</v>
      </c>
      <c r="D438" s="76">
        <v>56</v>
      </c>
      <c r="E438" s="72">
        <v>8.0000000000000002E-3</v>
      </c>
    </row>
    <row r="439" spans="2:5" ht="15" customHeight="1">
      <c r="B439" s="101" t="s">
        <v>57</v>
      </c>
      <c r="C439" s="58" t="s">
        <v>298</v>
      </c>
      <c r="D439" s="61">
        <v>2</v>
      </c>
      <c r="E439" s="60">
        <v>0</v>
      </c>
    </row>
    <row r="440" spans="2:5" ht="15" customHeight="1">
      <c r="B440" s="102"/>
      <c r="C440" s="58" t="s">
        <v>299</v>
      </c>
      <c r="D440" s="61">
        <v>1</v>
      </c>
      <c r="E440" s="60">
        <v>0</v>
      </c>
    </row>
    <row r="441" spans="2:5" ht="15" customHeight="1">
      <c r="B441" s="102"/>
      <c r="C441" s="58" t="s">
        <v>216</v>
      </c>
      <c r="D441" s="61">
        <v>14</v>
      </c>
      <c r="E441" s="60">
        <v>2E-3</v>
      </c>
    </row>
    <row r="442" spans="2:5" ht="15" customHeight="1">
      <c r="B442" s="102"/>
      <c r="C442" s="58" t="s">
        <v>300</v>
      </c>
      <c r="D442" s="61">
        <v>2</v>
      </c>
      <c r="E442" s="60">
        <v>0</v>
      </c>
    </row>
    <row r="443" spans="2:5" ht="15" customHeight="1">
      <c r="B443" s="102"/>
      <c r="C443" s="58" t="s">
        <v>301</v>
      </c>
      <c r="D443" s="61">
        <v>4</v>
      </c>
      <c r="E443" s="60">
        <v>1E-3</v>
      </c>
    </row>
    <row r="444" spans="2:5" ht="15" customHeight="1">
      <c r="B444" s="102"/>
      <c r="C444" s="58" t="s">
        <v>302</v>
      </c>
      <c r="D444" s="61">
        <v>9</v>
      </c>
      <c r="E444" s="60">
        <v>1E-3</v>
      </c>
    </row>
    <row r="445" spans="2:5" ht="15" customHeight="1">
      <c r="B445" s="102"/>
      <c r="C445" s="58" t="s">
        <v>220</v>
      </c>
      <c r="D445" s="61">
        <v>29</v>
      </c>
      <c r="E445" s="60">
        <v>4.0000000000000001E-3</v>
      </c>
    </row>
    <row r="446" spans="2:5" ht="15" customHeight="1">
      <c r="B446" s="102"/>
      <c r="C446" s="58" t="s">
        <v>221</v>
      </c>
      <c r="D446" s="61">
        <v>2</v>
      </c>
      <c r="E446" s="60">
        <v>0</v>
      </c>
    </row>
    <row r="447" spans="2:5" ht="15" customHeight="1">
      <c r="B447" s="102"/>
      <c r="C447" s="58" t="s">
        <v>222</v>
      </c>
      <c r="D447" s="61">
        <v>6</v>
      </c>
      <c r="E447" s="60">
        <v>1E-3</v>
      </c>
    </row>
    <row r="448" spans="2:5" ht="15" customHeight="1">
      <c r="B448" s="102"/>
      <c r="C448" s="58" t="s">
        <v>223</v>
      </c>
      <c r="D448" s="61">
        <v>38</v>
      </c>
      <c r="E448" s="60">
        <v>6.0000000000000001E-3</v>
      </c>
    </row>
    <row r="449" spans="2:5" ht="15" customHeight="1">
      <c r="B449" s="102"/>
      <c r="C449" s="58" t="s">
        <v>303</v>
      </c>
      <c r="D449" s="61">
        <v>1</v>
      </c>
      <c r="E449" s="60">
        <v>0</v>
      </c>
    </row>
    <row r="450" spans="2:5" ht="15" customHeight="1">
      <c r="B450" s="102"/>
      <c r="C450" s="58" t="s">
        <v>228</v>
      </c>
      <c r="D450" s="61">
        <v>2</v>
      </c>
      <c r="E450" s="60">
        <v>0</v>
      </c>
    </row>
    <row r="451" spans="2:5" ht="15" customHeight="1">
      <c r="B451" s="102"/>
      <c r="C451" s="58" t="s">
        <v>229</v>
      </c>
      <c r="D451" s="61">
        <v>8</v>
      </c>
      <c r="E451" s="60">
        <v>1E-3</v>
      </c>
    </row>
    <row r="452" spans="2:5" ht="15" customHeight="1">
      <c r="B452" s="103"/>
      <c r="C452" s="75" t="s">
        <v>324</v>
      </c>
      <c r="D452" s="76">
        <v>118</v>
      </c>
      <c r="E452" s="72">
        <v>1.7999999999999999E-2</v>
      </c>
    </row>
    <row r="453" spans="2:5" ht="15" customHeight="1">
      <c r="B453" s="101" t="s">
        <v>72</v>
      </c>
      <c r="C453" s="58" t="s">
        <v>216</v>
      </c>
      <c r="D453" s="61">
        <v>2</v>
      </c>
      <c r="E453" s="60">
        <v>0</v>
      </c>
    </row>
    <row r="454" spans="2:5" ht="15" customHeight="1">
      <c r="B454" s="102"/>
      <c r="C454" s="58" t="s">
        <v>301</v>
      </c>
      <c r="D454" s="61">
        <v>1</v>
      </c>
      <c r="E454" s="60">
        <v>0</v>
      </c>
    </row>
    <row r="455" spans="2:5" ht="15" customHeight="1">
      <c r="B455" s="102"/>
      <c r="C455" s="58" t="s">
        <v>302</v>
      </c>
      <c r="D455" s="61">
        <v>2</v>
      </c>
      <c r="E455" s="60">
        <v>0</v>
      </c>
    </row>
    <row r="456" spans="2:5" ht="15" customHeight="1">
      <c r="B456" s="102"/>
      <c r="C456" s="58" t="s">
        <v>220</v>
      </c>
      <c r="D456" s="61">
        <v>9</v>
      </c>
      <c r="E456" s="60">
        <v>1E-3</v>
      </c>
    </row>
    <row r="457" spans="2:5" ht="15" customHeight="1">
      <c r="B457" s="102"/>
      <c r="C457" s="58" t="s">
        <v>221</v>
      </c>
      <c r="D457" s="61">
        <v>4</v>
      </c>
      <c r="E457" s="60">
        <v>1E-3</v>
      </c>
    </row>
    <row r="458" spans="2:5" ht="15" customHeight="1">
      <c r="B458" s="102"/>
      <c r="C458" s="58" t="s">
        <v>222</v>
      </c>
      <c r="D458" s="61">
        <v>3</v>
      </c>
      <c r="E458" s="60">
        <v>0</v>
      </c>
    </row>
    <row r="459" spans="2:5" ht="15" customHeight="1">
      <c r="B459" s="102"/>
      <c r="C459" s="58" t="s">
        <v>223</v>
      </c>
      <c r="D459" s="61">
        <v>13</v>
      </c>
      <c r="E459" s="60">
        <v>2E-3</v>
      </c>
    </row>
    <row r="460" spans="2:5" ht="15" customHeight="1">
      <c r="B460" s="102"/>
      <c r="C460" s="58" t="s">
        <v>303</v>
      </c>
      <c r="D460" s="61">
        <v>1</v>
      </c>
      <c r="E460" s="60">
        <v>0</v>
      </c>
    </row>
    <row r="461" spans="2:5" ht="15" customHeight="1">
      <c r="B461" s="102"/>
      <c r="C461" s="58" t="s">
        <v>305</v>
      </c>
      <c r="D461" s="61">
        <v>1</v>
      </c>
      <c r="E461" s="60">
        <v>0</v>
      </c>
    </row>
    <row r="462" spans="2:5" ht="15" customHeight="1">
      <c r="B462" s="102"/>
      <c r="C462" s="58" t="s">
        <v>228</v>
      </c>
      <c r="D462" s="61">
        <v>1</v>
      </c>
      <c r="E462" s="60">
        <v>0</v>
      </c>
    </row>
    <row r="463" spans="2:5" ht="15" customHeight="1">
      <c r="B463" s="102"/>
      <c r="C463" s="58" t="s">
        <v>229</v>
      </c>
      <c r="D463" s="61">
        <v>1</v>
      </c>
      <c r="E463" s="60">
        <v>0</v>
      </c>
    </row>
    <row r="464" spans="2:5" ht="15" customHeight="1">
      <c r="B464" s="103"/>
      <c r="C464" s="75" t="s">
        <v>324</v>
      </c>
      <c r="D464" s="76">
        <v>38</v>
      </c>
      <c r="E464" s="72">
        <v>6.0000000000000001E-3</v>
      </c>
    </row>
    <row r="465" spans="2:5" ht="15" customHeight="1">
      <c r="B465" s="101" t="s">
        <v>63</v>
      </c>
      <c r="C465" s="58" t="s">
        <v>297</v>
      </c>
      <c r="D465" s="61">
        <v>2</v>
      </c>
      <c r="E465" s="60">
        <v>0</v>
      </c>
    </row>
    <row r="466" spans="2:5" ht="15" customHeight="1">
      <c r="B466" s="102"/>
      <c r="C466" s="58" t="s">
        <v>299</v>
      </c>
      <c r="D466" s="61">
        <v>4</v>
      </c>
      <c r="E466" s="60">
        <v>1E-3</v>
      </c>
    </row>
    <row r="467" spans="2:5" ht="15" customHeight="1">
      <c r="B467" s="102"/>
      <c r="C467" s="58" t="s">
        <v>216</v>
      </c>
      <c r="D467" s="61">
        <v>3</v>
      </c>
      <c r="E467" s="60">
        <v>0</v>
      </c>
    </row>
    <row r="468" spans="2:5" ht="15" customHeight="1">
      <c r="B468" s="102"/>
      <c r="C468" s="58" t="s">
        <v>301</v>
      </c>
      <c r="D468" s="61">
        <v>4</v>
      </c>
      <c r="E468" s="60">
        <v>1E-3</v>
      </c>
    </row>
    <row r="469" spans="2:5" ht="15" customHeight="1">
      <c r="B469" s="102"/>
      <c r="C469" s="58" t="s">
        <v>302</v>
      </c>
      <c r="D469" s="61">
        <v>1</v>
      </c>
      <c r="E469" s="60">
        <v>0</v>
      </c>
    </row>
    <row r="470" spans="2:5" ht="15" customHeight="1">
      <c r="B470" s="102"/>
      <c r="C470" s="58" t="s">
        <v>220</v>
      </c>
      <c r="D470" s="61">
        <v>24</v>
      </c>
      <c r="E470" s="60">
        <v>4.0000000000000001E-3</v>
      </c>
    </row>
    <row r="471" spans="2:5" ht="15" customHeight="1">
      <c r="B471" s="102"/>
      <c r="C471" s="58" t="s">
        <v>221</v>
      </c>
      <c r="D471" s="61">
        <v>1</v>
      </c>
      <c r="E471" s="60">
        <v>0</v>
      </c>
    </row>
    <row r="472" spans="2:5" ht="15" customHeight="1">
      <c r="B472" s="102"/>
      <c r="C472" s="58" t="s">
        <v>222</v>
      </c>
      <c r="D472" s="61">
        <v>8</v>
      </c>
      <c r="E472" s="60">
        <v>1E-3</v>
      </c>
    </row>
    <row r="473" spans="2:5" ht="15" customHeight="1">
      <c r="B473" s="102"/>
      <c r="C473" s="58" t="s">
        <v>223</v>
      </c>
      <c r="D473" s="61">
        <v>48</v>
      </c>
      <c r="E473" s="60">
        <v>7.0000000000000001E-3</v>
      </c>
    </row>
    <row r="474" spans="2:5" ht="15" customHeight="1">
      <c r="B474" s="102"/>
      <c r="C474" s="58" t="s">
        <v>303</v>
      </c>
      <c r="D474" s="61">
        <v>2</v>
      </c>
      <c r="E474" s="60">
        <v>0</v>
      </c>
    </row>
    <row r="475" spans="2:5" ht="15" customHeight="1">
      <c r="B475" s="102"/>
      <c r="C475" s="58" t="s">
        <v>228</v>
      </c>
      <c r="D475" s="61">
        <v>5</v>
      </c>
      <c r="E475" s="60">
        <v>1E-3</v>
      </c>
    </row>
    <row r="476" spans="2:5" ht="15" customHeight="1">
      <c r="B476" s="102"/>
      <c r="C476" s="58" t="s">
        <v>229</v>
      </c>
      <c r="D476" s="61">
        <v>10</v>
      </c>
      <c r="E476" s="60">
        <v>1E-3</v>
      </c>
    </row>
    <row r="477" spans="2:5" ht="15" customHeight="1">
      <c r="B477" s="103"/>
      <c r="C477" s="75" t="s">
        <v>324</v>
      </c>
      <c r="D477" s="76">
        <v>112</v>
      </c>
      <c r="E477" s="72">
        <v>1.7000000000000001E-2</v>
      </c>
    </row>
    <row r="478" spans="2:5" ht="15" customHeight="1">
      <c r="B478" s="101" t="s">
        <v>83</v>
      </c>
      <c r="C478" s="58" t="s">
        <v>299</v>
      </c>
      <c r="D478" s="61">
        <v>2</v>
      </c>
      <c r="E478" s="60">
        <v>0</v>
      </c>
    </row>
    <row r="479" spans="2:5" ht="15" customHeight="1">
      <c r="B479" s="102"/>
      <c r="C479" s="58" t="s">
        <v>301</v>
      </c>
      <c r="D479" s="61">
        <v>3</v>
      </c>
      <c r="E479" s="60">
        <v>0</v>
      </c>
    </row>
    <row r="480" spans="2:5" ht="15" customHeight="1">
      <c r="B480" s="102"/>
      <c r="C480" s="58" t="s">
        <v>220</v>
      </c>
      <c r="D480" s="61">
        <v>4</v>
      </c>
      <c r="E480" s="60">
        <v>1E-3</v>
      </c>
    </row>
    <row r="481" spans="2:5" ht="15" customHeight="1">
      <c r="B481" s="102"/>
      <c r="C481" s="58" t="s">
        <v>221</v>
      </c>
      <c r="D481" s="61">
        <v>2</v>
      </c>
      <c r="E481" s="60">
        <v>0</v>
      </c>
    </row>
    <row r="482" spans="2:5" ht="15" customHeight="1">
      <c r="B482" s="102"/>
      <c r="C482" s="58" t="s">
        <v>222</v>
      </c>
      <c r="D482" s="61">
        <v>1</v>
      </c>
      <c r="E482" s="60">
        <v>0</v>
      </c>
    </row>
    <row r="483" spans="2:5" ht="15" customHeight="1">
      <c r="B483" s="102"/>
      <c r="C483" s="58" t="s">
        <v>223</v>
      </c>
      <c r="D483" s="61">
        <v>5</v>
      </c>
      <c r="E483" s="60">
        <v>1E-3</v>
      </c>
    </row>
    <row r="484" spans="2:5" ht="15" customHeight="1">
      <c r="B484" s="102"/>
      <c r="C484" s="58" t="s">
        <v>229</v>
      </c>
      <c r="D484" s="61">
        <v>1</v>
      </c>
      <c r="E484" s="60">
        <v>0</v>
      </c>
    </row>
    <row r="485" spans="2:5" ht="15" customHeight="1">
      <c r="B485" s="103"/>
      <c r="C485" s="75" t="s">
        <v>324</v>
      </c>
      <c r="D485" s="76">
        <v>18</v>
      </c>
      <c r="E485" s="72">
        <v>3.0000000000000001E-3</v>
      </c>
    </row>
    <row r="486" spans="2:5" ht="15" customHeight="1">
      <c r="B486" s="101" t="s">
        <v>51</v>
      </c>
      <c r="C486" s="58" t="s">
        <v>209</v>
      </c>
      <c r="D486" s="61">
        <v>1</v>
      </c>
      <c r="E486" s="60">
        <v>0</v>
      </c>
    </row>
    <row r="487" spans="2:5" ht="15" customHeight="1">
      <c r="B487" s="102"/>
      <c r="C487" s="58" t="s">
        <v>296</v>
      </c>
      <c r="D487" s="61">
        <v>4</v>
      </c>
      <c r="E487" s="60">
        <v>1E-3</v>
      </c>
    </row>
    <row r="488" spans="2:5" ht="15" customHeight="1">
      <c r="B488" s="102"/>
      <c r="C488" s="58" t="s">
        <v>297</v>
      </c>
      <c r="D488" s="61">
        <v>2</v>
      </c>
      <c r="E488" s="60">
        <v>0</v>
      </c>
    </row>
    <row r="489" spans="2:5" ht="15" customHeight="1">
      <c r="B489" s="102"/>
      <c r="C489" s="58" t="s">
        <v>298</v>
      </c>
      <c r="D489" s="61">
        <v>3</v>
      </c>
      <c r="E489" s="60">
        <v>0</v>
      </c>
    </row>
    <row r="490" spans="2:5" ht="15" customHeight="1">
      <c r="B490" s="102"/>
      <c r="C490" s="58" t="s">
        <v>299</v>
      </c>
      <c r="D490" s="61">
        <v>15</v>
      </c>
      <c r="E490" s="60">
        <v>2E-3</v>
      </c>
    </row>
    <row r="491" spans="2:5" ht="15" customHeight="1">
      <c r="B491" s="102"/>
      <c r="C491" s="58" t="s">
        <v>216</v>
      </c>
      <c r="D491" s="61">
        <v>20</v>
      </c>
      <c r="E491" s="60">
        <v>3.0000000000000001E-3</v>
      </c>
    </row>
    <row r="492" spans="2:5" ht="15" customHeight="1">
      <c r="B492" s="102"/>
      <c r="C492" s="58" t="s">
        <v>300</v>
      </c>
      <c r="D492" s="61">
        <v>7</v>
      </c>
      <c r="E492" s="60">
        <v>1E-3</v>
      </c>
    </row>
    <row r="493" spans="2:5" ht="15" customHeight="1">
      <c r="B493" s="102"/>
      <c r="C493" s="58" t="s">
        <v>301</v>
      </c>
      <c r="D493" s="61">
        <v>2</v>
      </c>
      <c r="E493" s="60">
        <v>0</v>
      </c>
    </row>
    <row r="494" spans="2:5" ht="15" customHeight="1">
      <c r="B494" s="102"/>
      <c r="C494" s="58" t="s">
        <v>302</v>
      </c>
      <c r="D494" s="61">
        <v>12</v>
      </c>
      <c r="E494" s="60">
        <v>2E-3</v>
      </c>
    </row>
    <row r="495" spans="2:5" ht="15" customHeight="1">
      <c r="B495" s="102"/>
      <c r="C495" s="58" t="s">
        <v>220</v>
      </c>
      <c r="D495" s="61">
        <v>70</v>
      </c>
      <c r="E495" s="60">
        <v>0.01</v>
      </c>
    </row>
    <row r="496" spans="2:5" ht="15" customHeight="1">
      <c r="B496" s="102"/>
      <c r="C496" s="58" t="s">
        <v>221</v>
      </c>
      <c r="D496" s="61">
        <v>12</v>
      </c>
      <c r="E496" s="60">
        <v>2E-3</v>
      </c>
    </row>
    <row r="497" spans="2:5" ht="15" customHeight="1">
      <c r="B497" s="102"/>
      <c r="C497" s="58" t="s">
        <v>222</v>
      </c>
      <c r="D497" s="61">
        <v>15</v>
      </c>
      <c r="E497" s="60">
        <v>2E-3</v>
      </c>
    </row>
    <row r="498" spans="2:5" ht="15" customHeight="1">
      <c r="B498" s="102"/>
      <c r="C498" s="58" t="s">
        <v>223</v>
      </c>
      <c r="D498" s="61">
        <v>99</v>
      </c>
      <c r="E498" s="60">
        <v>1.4999999999999999E-2</v>
      </c>
    </row>
    <row r="499" spans="2:5" ht="15" customHeight="1">
      <c r="B499" s="102"/>
      <c r="C499" s="58" t="s">
        <v>303</v>
      </c>
      <c r="D499" s="61">
        <v>2</v>
      </c>
      <c r="E499" s="60">
        <v>0</v>
      </c>
    </row>
    <row r="500" spans="2:5" ht="15" customHeight="1">
      <c r="B500" s="102"/>
      <c r="C500" s="58" t="s">
        <v>304</v>
      </c>
      <c r="D500" s="61">
        <v>2</v>
      </c>
      <c r="E500" s="60">
        <v>0</v>
      </c>
    </row>
    <row r="501" spans="2:5" ht="15" customHeight="1">
      <c r="B501" s="102"/>
      <c r="C501" s="58" t="s">
        <v>305</v>
      </c>
      <c r="D501" s="61">
        <v>1</v>
      </c>
      <c r="E501" s="60">
        <v>0</v>
      </c>
    </row>
    <row r="502" spans="2:5" ht="15" customHeight="1">
      <c r="B502" s="102"/>
      <c r="C502" s="58" t="s">
        <v>228</v>
      </c>
      <c r="D502" s="61">
        <v>6</v>
      </c>
      <c r="E502" s="60">
        <v>1E-3</v>
      </c>
    </row>
    <row r="503" spans="2:5" ht="15" customHeight="1">
      <c r="B503" s="102"/>
      <c r="C503" s="58" t="s">
        <v>229</v>
      </c>
      <c r="D503" s="61">
        <v>17</v>
      </c>
      <c r="E503" s="60">
        <v>3.0000000000000001E-3</v>
      </c>
    </row>
    <row r="504" spans="2:5" ht="15" customHeight="1">
      <c r="B504" s="102"/>
      <c r="C504" s="58" t="s">
        <v>230</v>
      </c>
      <c r="D504" s="61">
        <v>1</v>
      </c>
      <c r="E504" s="60">
        <v>0</v>
      </c>
    </row>
    <row r="505" spans="2:5" ht="15" customHeight="1">
      <c r="B505" s="102"/>
      <c r="C505" s="58" t="s">
        <v>231</v>
      </c>
      <c r="D505" s="61">
        <v>1</v>
      </c>
      <c r="E505" s="60">
        <v>0</v>
      </c>
    </row>
    <row r="506" spans="2:5" ht="15" customHeight="1">
      <c r="B506" s="103"/>
      <c r="C506" s="75" t="s">
        <v>324</v>
      </c>
      <c r="D506" s="76">
        <v>292</v>
      </c>
      <c r="E506" s="72">
        <v>4.2999999999999997E-2</v>
      </c>
    </row>
    <row r="507" spans="2:5" ht="15" customHeight="1">
      <c r="B507" s="101" t="s">
        <v>59</v>
      </c>
      <c r="C507" s="58" t="s">
        <v>294</v>
      </c>
      <c r="D507" s="61">
        <v>1</v>
      </c>
      <c r="E507" s="60">
        <v>0</v>
      </c>
    </row>
    <row r="508" spans="2:5" ht="15" customHeight="1">
      <c r="B508" s="102"/>
      <c r="C508" s="58" t="s">
        <v>296</v>
      </c>
      <c r="D508" s="61">
        <v>3</v>
      </c>
      <c r="E508" s="60">
        <v>0</v>
      </c>
    </row>
    <row r="509" spans="2:5" ht="15" customHeight="1">
      <c r="B509" s="102"/>
      <c r="C509" s="58" t="s">
        <v>297</v>
      </c>
      <c r="D509" s="61">
        <v>1</v>
      </c>
      <c r="E509" s="60">
        <v>0</v>
      </c>
    </row>
    <row r="510" spans="2:5" ht="15" customHeight="1">
      <c r="B510" s="102"/>
      <c r="C510" s="58" t="s">
        <v>299</v>
      </c>
      <c r="D510" s="61">
        <v>3</v>
      </c>
      <c r="E510" s="60">
        <v>0</v>
      </c>
    </row>
    <row r="511" spans="2:5" ht="15" customHeight="1">
      <c r="B511" s="102"/>
      <c r="C511" s="58" t="s">
        <v>216</v>
      </c>
      <c r="D511" s="61">
        <v>6</v>
      </c>
      <c r="E511" s="60">
        <v>1E-3</v>
      </c>
    </row>
    <row r="512" spans="2:5" ht="15" customHeight="1">
      <c r="B512" s="102"/>
      <c r="C512" s="58" t="s">
        <v>300</v>
      </c>
      <c r="D512" s="61">
        <v>3</v>
      </c>
      <c r="E512" s="60">
        <v>0</v>
      </c>
    </row>
    <row r="513" spans="2:5" ht="15" customHeight="1">
      <c r="B513" s="102"/>
      <c r="C513" s="58" t="s">
        <v>301</v>
      </c>
      <c r="D513" s="61">
        <v>1</v>
      </c>
      <c r="E513" s="60">
        <v>0</v>
      </c>
    </row>
    <row r="514" spans="2:5" ht="15" customHeight="1">
      <c r="B514" s="102"/>
      <c r="C514" s="58" t="s">
        <v>302</v>
      </c>
      <c r="D514" s="61">
        <v>5</v>
      </c>
      <c r="E514" s="60">
        <v>1E-3</v>
      </c>
    </row>
    <row r="515" spans="2:5" ht="15" customHeight="1">
      <c r="B515" s="102"/>
      <c r="C515" s="58" t="s">
        <v>220</v>
      </c>
      <c r="D515" s="61">
        <v>42</v>
      </c>
      <c r="E515" s="60">
        <v>6.0000000000000001E-3</v>
      </c>
    </row>
    <row r="516" spans="2:5" ht="15" customHeight="1">
      <c r="B516" s="102"/>
      <c r="C516" s="58" t="s">
        <v>221</v>
      </c>
      <c r="D516" s="61">
        <v>3</v>
      </c>
      <c r="E516" s="60">
        <v>0</v>
      </c>
    </row>
    <row r="517" spans="2:5" ht="15" customHeight="1">
      <c r="B517" s="102"/>
      <c r="C517" s="58" t="s">
        <v>222</v>
      </c>
      <c r="D517" s="61">
        <v>11</v>
      </c>
      <c r="E517" s="60">
        <v>2E-3</v>
      </c>
    </row>
    <row r="518" spans="2:5" ht="15" customHeight="1">
      <c r="B518" s="102"/>
      <c r="C518" s="58" t="s">
        <v>223</v>
      </c>
      <c r="D518" s="61">
        <v>45</v>
      </c>
      <c r="E518" s="60">
        <v>7.0000000000000001E-3</v>
      </c>
    </row>
    <row r="519" spans="2:5" ht="15" customHeight="1">
      <c r="B519" s="102"/>
      <c r="C519" s="58" t="s">
        <v>303</v>
      </c>
      <c r="D519" s="61">
        <v>3</v>
      </c>
      <c r="E519" s="60">
        <v>0</v>
      </c>
    </row>
    <row r="520" spans="2:5" ht="15" customHeight="1">
      <c r="B520" s="102"/>
      <c r="C520" s="58" t="s">
        <v>304</v>
      </c>
      <c r="D520" s="61">
        <v>1</v>
      </c>
      <c r="E520" s="60">
        <v>0</v>
      </c>
    </row>
    <row r="521" spans="2:5" ht="15" customHeight="1">
      <c r="B521" s="102"/>
      <c r="C521" s="58" t="s">
        <v>228</v>
      </c>
      <c r="D521" s="61">
        <v>1</v>
      </c>
      <c r="E521" s="60">
        <v>0</v>
      </c>
    </row>
    <row r="522" spans="2:5" ht="15" customHeight="1">
      <c r="B522" s="102"/>
      <c r="C522" s="58" t="s">
        <v>229</v>
      </c>
      <c r="D522" s="61">
        <v>18</v>
      </c>
      <c r="E522" s="60">
        <v>3.0000000000000001E-3</v>
      </c>
    </row>
    <row r="523" spans="2:5" ht="15" customHeight="1">
      <c r="B523" s="102"/>
      <c r="C523" s="58" t="s">
        <v>231</v>
      </c>
      <c r="D523" s="61">
        <v>1</v>
      </c>
      <c r="E523" s="60">
        <v>0</v>
      </c>
    </row>
    <row r="524" spans="2:5" ht="15" customHeight="1">
      <c r="B524" s="102"/>
      <c r="C524" s="58" t="s">
        <v>232</v>
      </c>
      <c r="D524" s="61">
        <v>1</v>
      </c>
      <c r="E524" s="60">
        <v>0</v>
      </c>
    </row>
    <row r="525" spans="2:5" ht="15" customHeight="1">
      <c r="B525" s="103"/>
      <c r="C525" s="75" t="s">
        <v>324</v>
      </c>
      <c r="D525" s="76">
        <v>149</v>
      </c>
      <c r="E525" s="72">
        <v>2.1999999999999999E-2</v>
      </c>
    </row>
    <row r="526" spans="2:5" ht="15" customHeight="1">
      <c r="B526" s="101" t="s">
        <v>69</v>
      </c>
      <c r="C526" s="58" t="s">
        <v>296</v>
      </c>
      <c r="D526" s="61">
        <v>1</v>
      </c>
      <c r="E526" s="60">
        <v>0</v>
      </c>
    </row>
    <row r="527" spans="2:5" ht="15" customHeight="1">
      <c r="B527" s="102"/>
      <c r="C527" s="58" t="s">
        <v>297</v>
      </c>
      <c r="D527" s="61">
        <v>1</v>
      </c>
      <c r="E527" s="60">
        <v>0</v>
      </c>
    </row>
    <row r="528" spans="2:5" ht="15" customHeight="1">
      <c r="B528" s="102"/>
      <c r="C528" s="58" t="s">
        <v>299</v>
      </c>
      <c r="D528" s="61">
        <v>6</v>
      </c>
      <c r="E528" s="60">
        <v>1E-3</v>
      </c>
    </row>
    <row r="529" spans="2:5" ht="15" customHeight="1">
      <c r="B529" s="102"/>
      <c r="C529" s="58" t="s">
        <v>216</v>
      </c>
      <c r="D529" s="61">
        <v>2</v>
      </c>
      <c r="E529" s="60">
        <v>0</v>
      </c>
    </row>
    <row r="530" spans="2:5" ht="15" customHeight="1">
      <c r="B530" s="102"/>
      <c r="C530" s="58" t="s">
        <v>301</v>
      </c>
      <c r="D530" s="61">
        <v>1</v>
      </c>
      <c r="E530" s="60">
        <v>0</v>
      </c>
    </row>
    <row r="531" spans="2:5" ht="15" customHeight="1">
      <c r="B531" s="102"/>
      <c r="C531" s="58" t="s">
        <v>220</v>
      </c>
      <c r="D531" s="61">
        <v>14</v>
      </c>
      <c r="E531" s="60">
        <v>2E-3</v>
      </c>
    </row>
    <row r="532" spans="2:5" ht="15" customHeight="1">
      <c r="B532" s="102"/>
      <c r="C532" s="58" t="s">
        <v>221</v>
      </c>
      <c r="D532" s="61">
        <v>2</v>
      </c>
      <c r="E532" s="60">
        <v>0</v>
      </c>
    </row>
    <row r="533" spans="2:5" ht="15" customHeight="1">
      <c r="B533" s="102"/>
      <c r="C533" s="58" t="s">
        <v>222</v>
      </c>
      <c r="D533" s="61">
        <v>1</v>
      </c>
      <c r="E533" s="60">
        <v>0</v>
      </c>
    </row>
    <row r="534" spans="2:5" ht="15" customHeight="1">
      <c r="B534" s="102"/>
      <c r="C534" s="58" t="s">
        <v>223</v>
      </c>
      <c r="D534" s="61">
        <v>16</v>
      </c>
      <c r="E534" s="60">
        <v>2E-3</v>
      </c>
    </row>
    <row r="535" spans="2:5" ht="15" customHeight="1">
      <c r="B535" s="102"/>
      <c r="C535" s="58" t="s">
        <v>228</v>
      </c>
      <c r="D535" s="61">
        <v>2</v>
      </c>
      <c r="E535" s="60">
        <v>0</v>
      </c>
    </row>
    <row r="536" spans="2:5" ht="15" customHeight="1">
      <c r="B536" s="102"/>
      <c r="C536" s="58" t="s">
        <v>229</v>
      </c>
      <c r="D536" s="61">
        <v>3</v>
      </c>
      <c r="E536" s="60">
        <v>0</v>
      </c>
    </row>
    <row r="537" spans="2:5" ht="15" customHeight="1">
      <c r="B537" s="103"/>
      <c r="C537" s="75" t="s">
        <v>324</v>
      </c>
      <c r="D537" s="76">
        <v>49</v>
      </c>
      <c r="E537" s="72">
        <v>7.0000000000000001E-3</v>
      </c>
    </row>
    <row r="538" spans="2:5" ht="15" customHeight="1">
      <c r="B538" s="101" t="s">
        <v>60</v>
      </c>
      <c r="C538" s="58" t="s">
        <v>209</v>
      </c>
      <c r="D538" s="61">
        <v>1</v>
      </c>
      <c r="E538" s="60">
        <v>0</v>
      </c>
    </row>
    <row r="539" spans="2:5" ht="15" customHeight="1">
      <c r="B539" s="102"/>
      <c r="C539" s="58" t="s">
        <v>294</v>
      </c>
      <c r="D539" s="61">
        <v>2</v>
      </c>
      <c r="E539" s="60">
        <v>0</v>
      </c>
    </row>
    <row r="540" spans="2:5" ht="15" customHeight="1">
      <c r="B540" s="102"/>
      <c r="C540" s="58" t="s">
        <v>296</v>
      </c>
      <c r="D540" s="61">
        <v>1</v>
      </c>
      <c r="E540" s="60">
        <v>0</v>
      </c>
    </row>
    <row r="541" spans="2:5" ht="15" customHeight="1">
      <c r="B541" s="102"/>
      <c r="C541" s="58" t="s">
        <v>297</v>
      </c>
      <c r="D541" s="61">
        <v>1</v>
      </c>
      <c r="E541" s="60">
        <v>0</v>
      </c>
    </row>
    <row r="542" spans="2:5" ht="15" customHeight="1">
      <c r="B542" s="102"/>
      <c r="C542" s="58" t="s">
        <v>298</v>
      </c>
      <c r="D542" s="61">
        <v>1</v>
      </c>
      <c r="E542" s="60">
        <v>0</v>
      </c>
    </row>
    <row r="543" spans="2:5" ht="15" customHeight="1">
      <c r="B543" s="102"/>
      <c r="C543" s="58" t="s">
        <v>299</v>
      </c>
      <c r="D543" s="61">
        <v>12</v>
      </c>
      <c r="E543" s="60">
        <v>2E-3</v>
      </c>
    </row>
    <row r="544" spans="2:5" ht="15" customHeight="1">
      <c r="B544" s="102"/>
      <c r="C544" s="58" t="s">
        <v>216</v>
      </c>
      <c r="D544" s="61">
        <v>10</v>
      </c>
      <c r="E544" s="60">
        <v>1E-3</v>
      </c>
    </row>
    <row r="545" spans="2:5" ht="15" customHeight="1">
      <c r="B545" s="102"/>
      <c r="C545" s="58" t="s">
        <v>300</v>
      </c>
      <c r="D545" s="61">
        <v>2</v>
      </c>
      <c r="E545" s="60">
        <v>0</v>
      </c>
    </row>
    <row r="546" spans="2:5" ht="15" customHeight="1">
      <c r="B546" s="102"/>
      <c r="C546" s="58" t="s">
        <v>301</v>
      </c>
      <c r="D546" s="61">
        <v>2</v>
      </c>
      <c r="E546" s="60">
        <v>0</v>
      </c>
    </row>
    <row r="547" spans="2:5" ht="15" customHeight="1">
      <c r="B547" s="102"/>
      <c r="C547" s="58" t="s">
        <v>302</v>
      </c>
      <c r="D547" s="61">
        <v>5</v>
      </c>
      <c r="E547" s="60">
        <v>1E-3</v>
      </c>
    </row>
    <row r="548" spans="2:5" ht="15" customHeight="1">
      <c r="B548" s="102"/>
      <c r="C548" s="58" t="s">
        <v>220</v>
      </c>
      <c r="D548" s="61">
        <v>48</v>
      </c>
      <c r="E548" s="60">
        <v>7.0000000000000001E-3</v>
      </c>
    </row>
    <row r="549" spans="2:5" ht="15" customHeight="1">
      <c r="B549" s="102"/>
      <c r="C549" s="58" t="s">
        <v>221</v>
      </c>
      <c r="D549" s="61">
        <v>3</v>
      </c>
      <c r="E549" s="60">
        <v>0</v>
      </c>
    </row>
    <row r="550" spans="2:5" ht="15" customHeight="1">
      <c r="B550" s="102"/>
      <c r="C550" s="58" t="s">
        <v>222</v>
      </c>
      <c r="D550" s="61">
        <v>8</v>
      </c>
      <c r="E550" s="60">
        <v>1E-3</v>
      </c>
    </row>
    <row r="551" spans="2:5" ht="15" customHeight="1">
      <c r="B551" s="102"/>
      <c r="C551" s="58" t="s">
        <v>223</v>
      </c>
      <c r="D551" s="61">
        <v>35</v>
      </c>
      <c r="E551" s="60">
        <v>5.0000000000000001E-3</v>
      </c>
    </row>
    <row r="552" spans="2:5" ht="15" customHeight="1">
      <c r="B552" s="102"/>
      <c r="C552" s="58" t="s">
        <v>303</v>
      </c>
      <c r="D552" s="61">
        <v>3</v>
      </c>
      <c r="E552" s="60">
        <v>0</v>
      </c>
    </row>
    <row r="553" spans="2:5" ht="15" customHeight="1">
      <c r="B553" s="102"/>
      <c r="C553" s="58" t="s">
        <v>304</v>
      </c>
      <c r="D553" s="61">
        <v>1</v>
      </c>
      <c r="E553" s="60">
        <v>0</v>
      </c>
    </row>
    <row r="554" spans="2:5" ht="15" customHeight="1">
      <c r="B554" s="102"/>
      <c r="C554" s="58" t="s">
        <v>228</v>
      </c>
      <c r="D554" s="61">
        <v>3</v>
      </c>
      <c r="E554" s="60">
        <v>0</v>
      </c>
    </row>
    <row r="555" spans="2:5" ht="15" customHeight="1">
      <c r="B555" s="102"/>
      <c r="C555" s="58" t="s">
        <v>229</v>
      </c>
      <c r="D555" s="61">
        <v>6</v>
      </c>
      <c r="E555" s="60">
        <v>1E-3</v>
      </c>
    </row>
    <row r="556" spans="2:5" ht="15" customHeight="1">
      <c r="B556" s="102"/>
      <c r="C556" s="58" t="s">
        <v>231</v>
      </c>
      <c r="D556" s="61">
        <v>1</v>
      </c>
      <c r="E556" s="60">
        <v>0</v>
      </c>
    </row>
    <row r="557" spans="2:5" ht="15" customHeight="1">
      <c r="B557" s="103"/>
      <c r="C557" s="75" t="s">
        <v>324</v>
      </c>
      <c r="D557" s="76">
        <v>145</v>
      </c>
      <c r="E557" s="72">
        <v>2.1999999999999999E-2</v>
      </c>
    </row>
    <row r="558" spans="2:5" ht="15" customHeight="1">
      <c r="B558" s="101" t="s">
        <v>61</v>
      </c>
      <c r="C558" s="58" t="s">
        <v>209</v>
      </c>
      <c r="D558" s="61">
        <v>1</v>
      </c>
      <c r="E558" s="60">
        <v>0</v>
      </c>
    </row>
    <row r="559" spans="2:5" ht="15" customHeight="1">
      <c r="B559" s="102"/>
      <c r="C559" s="58" t="s">
        <v>297</v>
      </c>
      <c r="D559" s="61">
        <v>1</v>
      </c>
      <c r="E559" s="60">
        <v>0</v>
      </c>
    </row>
    <row r="560" spans="2:5" ht="15" customHeight="1">
      <c r="B560" s="102"/>
      <c r="C560" s="58" t="s">
        <v>298</v>
      </c>
      <c r="D560" s="61">
        <v>3</v>
      </c>
      <c r="E560" s="60">
        <v>0</v>
      </c>
    </row>
    <row r="561" spans="2:5" ht="15" customHeight="1">
      <c r="B561" s="102"/>
      <c r="C561" s="58" t="s">
        <v>299</v>
      </c>
      <c r="D561" s="61">
        <v>1</v>
      </c>
      <c r="E561" s="60">
        <v>0</v>
      </c>
    </row>
    <row r="562" spans="2:5" ht="15" customHeight="1">
      <c r="B562" s="102"/>
      <c r="C562" s="58" t="s">
        <v>216</v>
      </c>
      <c r="D562" s="61">
        <v>8</v>
      </c>
      <c r="E562" s="60">
        <v>1E-3</v>
      </c>
    </row>
    <row r="563" spans="2:5" ht="15" customHeight="1">
      <c r="B563" s="102"/>
      <c r="C563" s="58" t="s">
        <v>300</v>
      </c>
      <c r="D563" s="61">
        <v>1</v>
      </c>
      <c r="E563" s="60">
        <v>0</v>
      </c>
    </row>
    <row r="564" spans="2:5" ht="15" customHeight="1">
      <c r="B564" s="102"/>
      <c r="C564" s="58" t="s">
        <v>301</v>
      </c>
      <c r="D564" s="61">
        <v>2</v>
      </c>
      <c r="E564" s="60">
        <v>0</v>
      </c>
    </row>
    <row r="565" spans="2:5" ht="15" customHeight="1">
      <c r="B565" s="102"/>
      <c r="C565" s="58" t="s">
        <v>302</v>
      </c>
      <c r="D565" s="61">
        <v>1</v>
      </c>
      <c r="E565" s="60">
        <v>0</v>
      </c>
    </row>
    <row r="566" spans="2:5" ht="15" customHeight="1">
      <c r="B566" s="102"/>
      <c r="C566" s="58" t="s">
        <v>220</v>
      </c>
      <c r="D566" s="61">
        <v>21</v>
      </c>
      <c r="E566" s="60">
        <v>3.0000000000000001E-3</v>
      </c>
    </row>
    <row r="567" spans="2:5" ht="15" customHeight="1">
      <c r="B567" s="102"/>
      <c r="C567" s="58" t="s">
        <v>221</v>
      </c>
      <c r="D567" s="61">
        <v>6</v>
      </c>
      <c r="E567" s="60">
        <v>1E-3</v>
      </c>
    </row>
    <row r="568" spans="2:5" ht="15" customHeight="1">
      <c r="B568" s="102"/>
      <c r="C568" s="58" t="s">
        <v>222</v>
      </c>
      <c r="D568" s="61">
        <v>11</v>
      </c>
      <c r="E568" s="60">
        <v>2E-3</v>
      </c>
    </row>
    <row r="569" spans="2:5" ht="15" customHeight="1">
      <c r="B569" s="102"/>
      <c r="C569" s="58" t="s">
        <v>223</v>
      </c>
      <c r="D569" s="61">
        <v>35</v>
      </c>
      <c r="E569" s="60">
        <v>5.0000000000000001E-3</v>
      </c>
    </row>
    <row r="570" spans="2:5" ht="15" customHeight="1">
      <c r="B570" s="102"/>
      <c r="C570" s="58" t="s">
        <v>304</v>
      </c>
      <c r="D570" s="61">
        <v>1</v>
      </c>
      <c r="E570" s="60">
        <v>0</v>
      </c>
    </row>
    <row r="571" spans="2:5" ht="15" customHeight="1">
      <c r="B571" s="102"/>
      <c r="C571" s="58" t="s">
        <v>305</v>
      </c>
      <c r="D571" s="61">
        <v>1</v>
      </c>
      <c r="E571" s="60">
        <v>0</v>
      </c>
    </row>
    <row r="572" spans="2:5" ht="15" customHeight="1">
      <c r="B572" s="102"/>
      <c r="C572" s="58" t="s">
        <v>228</v>
      </c>
      <c r="D572" s="61">
        <v>8</v>
      </c>
      <c r="E572" s="60">
        <v>1E-3</v>
      </c>
    </row>
    <row r="573" spans="2:5" ht="15" customHeight="1">
      <c r="B573" s="102"/>
      <c r="C573" s="58" t="s">
        <v>229</v>
      </c>
      <c r="D573" s="61">
        <v>9</v>
      </c>
      <c r="E573" s="60">
        <v>1E-3</v>
      </c>
    </row>
    <row r="574" spans="2:5" ht="15" customHeight="1">
      <c r="B574" s="102"/>
      <c r="C574" s="58" t="s">
        <v>231</v>
      </c>
      <c r="D574" s="61">
        <v>1</v>
      </c>
      <c r="E574" s="60">
        <v>0</v>
      </c>
    </row>
    <row r="575" spans="2:5" ht="15" customHeight="1">
      <c r="B575" s="103"/>
      <c r="C575" s="75" t="s">
        <v>324</v>
      </c>
      <c r="D575" s="76">
        <v>111</v>
      </c>
      <c r="E575" s="72">
        <v>1.7000000000000001E-2</v>
      </c>
    </row>
    <row r="576" spans="2:5" ht="15" customHeight="1">
      <c r="B576" s="101" t="s">
        <v>77</v>
      </c>
      <c r="C576" s="58" t="s">
        <v>298</v>
      </c>
      <c r="D576" s="61">
        <v>2</v>
      </c>
      <c r="E576" s="60">
        <v>0</v>
      </c>
    </row>
    <row r="577" spans="2:5" ht="15" customHeight="1">
      <c r="B577" s="102"/>
      <c r="C577" s="58" t="s">
        <v>299</v>
      </c>
      <c r="D577" s="61">
        <v>1</v>
      </c>
      <c r="E577" s="60">
        <v>0</v>
      </c>
    </row>
    <row r="578" spans="2:5" ht="15" customHeight="1">
      <c r="B578" s="102"/>
      <c r="C578" s="58" t="s">
        <v>216</v>
      </c>
      <c r="D578" s="61">
        <v>3</v>
      </c>
      <c r="E578" s="60">
        <v>0</v>
      </c>
    </row>
    <row r="579" spans="2:5" ht="15" customHeight="1">
      <c r="B579" s="102"/>
      <c r="C579" s="58" t="s">
        <v>220</v>
      </c>
      <c r="D579" s="61">
        <v>6</v>
      </c>
      <c r="E579" s="60">
        <v>1E-3</v>
      </c>
    </row>
    <row r="580" spans="2:5" ht="15" customHeight="1">
      <c r="B580" s="102"/>
      <c r="C580" s="58" t="s">
        <v>222</v>
      </c>
      <c r="D580" s="61">
        <v>2</v>
      </c>
      <c r="E580" s="60">
        <v>0</v>
      </c>
    </row>
    <row r="581" spans="2:5" ht="15" customHeight="1">
      <c r="B581" s="102"/>
      <c r="C581" s="58" t="s">
        <v>223</v>
      </c>
      <c r="D581" s="61">
        <v>9</v>
      </c>
      <c r="E581" s="60">
        <v>1E-3</v>
      </c>
    </row>
    <row r="582" spans="2:5" ht="15" customHeight="1">
      <c r="B582" s="102"/>
      <c r="C582" s="58" t="s">
        <v>228</v>
      </c>
      <c r="D582" s="61">
        <v>2</v>
      </c>
      <c r="E582" s="60">
        <v>0</v>
      </c>
    </row>
    <row r="583" spans="2:5" ht="15" customHeight="1">
      <c r="B583" s="102"/>
      <c r="C583" s="58" t="s">
        <v>229</v>
      </c>
      <c r="D583" s="61">
        <v>4</v>
      </c>
      <c r="E583" s="60">
        <v>1E-3</v>
      </c>
    </row>
    <row r="584" spans="2:5" ht="15" customHeight="1">
      <c r="B584" s="103"/>
      <c r="C584" s="75" t="s">
        <v>324</v>
      </c>
      <c r="D584" s="76">
        <v>29</v>
      </c>
      <c r="E584" s="72">
        <v>4.0000000000000001E-3</v>
      </c>
    </row>
    <row r="585" spans="2:5" ht="15" customHeight="1">
      <c r="B585" s="101" t="s">
        <v>48</v>
      </c>
      <c r="C585" s="58" t="s">
        <v>209</v>
      </c>
      <c r="D585" s="61">
        <v>5</v>
      </c>
      <c r="E585" s="60">
        <v>1E-3</v>
      </c>
    </row>
    <row r="586" spans="2:5" ht="15" customHeight="1">
      <c r="B586" s="102"/>
      <c r="C586" s="58" t="s">
        <v>295</v>
      </c>
      <c r="D586" s="61">
        <v>1</v>
      </c>
      <c r="E586" s="60">
        <v>0</v>
      </c>
    </row>
    <row r="587" spans="2:5" ht="15" customHeight="1">
      <c r="B587" s="102"/>
      <c r="C587" s="58" t="s">
        <v>296</v>
      </c>
      <c r="D587" s="61">
        <v>4</v>
      </c>
      <c r="E587" s="60">
        <v>1E-3</v>
      </c>
    </row>
    <row r="588" spans="2:5" ht="15" customHeight="1">
      <c r="B588" s="102"/>
      <c r="C588" s="58" t="s">
        <v>297</v>
      </c>
      <c r="D588" s="61">
        <v>3</v>
      </c>
      <c r="E588" s="60">
        <v>0</v>
      </c>
    </row>
    <row r="589" spans="2:5" ht="15" customHeight="1">
      <c r="B589" s="102"/>
      <c r="C589" s="58" t="s">
        <v>298</v>
      </c>
      <c r="D589" s="61">
        <v>7</v>
      </c>
      <c r="E589" s="60">
        <v>1E-3</v>
      </c>
    </row>
    <row r="590" spans="2:5" ht="15" customHeight="1">
      <c r="B590" s="102"/>
      <c r="C590" s="58" t="s">
        <v>299</v>
      </c>
      <c r="D590" s="61">
        <v>37</v>
      </c>
      <c r="E590" s="60">
        <v>6.0000000000000001E-3</v>
      </c>
    </row>
    <row r="591" spans="2:5" ht="15" customHeight="1">
      <c r="B591" s="102"/>
      <c r="C591" s="58" t="s">
        <v>216</v>
      </c>
      <c r="D591" s="61">
        <v>36</v>
      </c>
      <c r="E591" s="60">
        <v>5.0000000000000001E-3</v>
      </c>
    </row>
    <row r="592" spans="2:5" ht="15" customHeight="1">
      <c r="B592" s="102"/>
      <c r="C592" s="58" t="s">
        <v>300</v>
      </c>
      <c r="D592" s="61">
        <v>10</v>
      </c>
      <c r="E592" s="60">
        <v>1E-3</v>
      </c>
    </row>
    <row r="593" spans="2:5" ht="15" customHeight="1">
      <c r="B593" s="102"/>
      <c r="C593" s="58" t="s">
        <v>301</v>
      </c>
      <c r="D593" s="61">
        <v>24</v>
      </c>
      <c r="E593" s="60">
        <v>4.0000000000000001E-3</v>
      </c>
    </row>
    <row r="594" spans="2:5" ht="15" customHeight="1">
      <c r="B594" s="102"/>
      <c r="C594" s="58" t="s">
        <v>302</v>
      </c>
      <c r="D594" s="61">
        <v>47</v>
      </c>
      <c r="E594" s="60">
        <v>7.0000000000000001E-3</v>
      </c>
    </row>
    <row r="595" spans="2:5" ht="15" customHeight="1">
      <c r="B595" s="102"/>
      <c r="C595" s="58" t="s">
        <v>220</v>
      </c>
      <c r="D595" s="61">
        <v>212</v>
      </c>
      <c r="E595" s="60">
        <v>3.2000000000000001E-2</v>
      </c>
    </row>
    <row r="596" spans="2:5" ht="15" customHeight="1">
      <c r="B596" s="102"/>
      <c r="C596" s="58" t="s">
        <v>221</v>
      </c>
      <c r="D596" s="61">
        <v>45</v>
      </c>
      <c r="E596" s="60">
        <v>7.0000000000000001E-3</v>
      </c>
    </row>
    <row r="597" spans="2:5" ht="15" customHeight="1">
      <c r="B597" s="102"/>
      <c r="C597" s="58" t="s">
        <v>222</v>
      </c>
      <c r="D597" s="61">
        <v>93</v>
      </c>
      <c r="E597" s="60">
        <v>1.4E-2</v>
      </c>
    </row>
    <row r="598" spans="2:5" ht="15" customHeight="1">
      <c r="B598" s="102"/>
      <c r="C598" s="58" t="s">
        <v>223</v>
      </c>
      <c r="D598" s="61">
        <v>364</v>
      </c>
      <c r="E598" s="60">
        <v>5.3999999999999999E-2</v>
      </c>
    </row>
    <row r="599" spans="2:5" ht="15" customHeight="1">
      <c r="B599" s="102"/>
      <c r="C599" s="58" t="s">
        <v>303</v>
      </c>
      <c r="D599" s="61">
        <v>5</v>
      </c>
      <c r="E599" s="60">
        <v>1E-3</v>
      </c>
    </row>
    <row r="600" spans="2:5" ht="15" customHeight="1">
      <c r="B600" s="102"/>
      <c r="C600" s="58" t="s">
        <v>304</v>
      </c>
      <c r="D600" s="61">
        <v>7</v>
      </c>
      <c r="E600" s="60">
        <v>1E-3</v>
      </c>
    </row>
    <row r="601" spans="2:5" ht="15" customHeight="1">
      <c r="B601" s="102"/>
      <c r="C601" s="58" t="s">
        <v>305</v>
      </c>
      <c r="D601" s="61">
        <v>11</v>
      </c>
      <c r="E601" s="60">
        <v>2E-3</v>
      </c>
    </row>
    <row r="602" spans="2:5" ht="15" customHeight="1">
      <c r="B602" s="102"/>
      <c r="C602" s="58" t="s">
        <v>306</v>
      </c>
      <c r="D602" s="61">
        <v>2</v>
      </c>
      <c r="E602" s="60">
        <v>0</v>
      </c>
    </row>
    <row r="603" spans="2:5" ht="15" customHeight="1">
      <c r="B603" s="102"/>
      <c r="C603" s="58" t="s">
        <v>228</v>
      </c>
      <c r="D603" s="61">
        <v>51</v>
      </c>
      <c r="E603" s="60">
        <v>8.0000000000000002E-3</v>
      </c>
    </row>
    <row r="604" spans="2:5" ht="15" customHeight="1">
      <c r="B604" s="102"/>
      <c r="C604" s="58" t="s">
        <v>229</v>
      </c>
      <c r="D604" s="61">
        <v>125</v>
      </c>
      <c r="E604" s="60">
        <v>1.9E-2</v>
      </c>
    </row>
    <row r="605" spans="2:5" ht="15" customHeight="1">
      <c r="B605" s="102"/>
      <c r="C605" s="58" t="s">
        <v>231</v>
      </c>
      <c r="D605" s="61">
        <v>5</v>
      </c>
      <c r="E605" s="60">
        <v>1E-3</v>
      </c>
    </row>
    <row r="606" spans="2:5" ht="15" customHeight="1">
      <c r="B606" s="102"/>
      <c r="C606" s="58" t="s">
        <v>232</v>
      </c>
      <c r="D606" s="61">
        <v>1</v>
      </c>
      <c r="E606" s="60">
        <v>0</v>
      </c>
    </row>
    <row r="607" spans="2:5" ht="15" customHeight="1">
      <c r="B607" s="103"/>
      <c r="C607" s="75" t="s">
        <v>324</v>
      </c>
      <c r="D607" s="76">
        <v>1095</v>
      </c>
      <c r="E607" s="72">
        <v>0.16300000000000001</v>
      </c>
    </row>
    <row r="608" spans="2:5" ht="15" customHeight="1">
      <c r="B608" s="101" t="s">
        <v>93</v>
      </c>
      <c r="C608" s="58" t="s">
        <v>220</v>
      </c>
      <c r="D608" s="61">
        <v>1</v>
      </c>
      <c r="E608" s="60">
        <v>0</v>
      </c>
    </row>
    <row r="609" spans="2:5" ht="15" customHeight="1">
      <c r="B609" s="102"/>
      <c r="C609" s="58" t="s">
        <v>223</v>
      </c>
      <c r="D609" s="61">
        <v>4</v>
      </c>
      <c r="E609" s="60">
        <v>1E-3</v>
      </c>
    </row>
    <row r="610" spans="2:5" ht="15" customHeight="1">
      <c r="B610" s="102"/>
      <c r="C610" s="58" t="s">
        <v>229</v>
      </c>
      <c r="D610" s="61">
        <v>2</v>
      </c>
      <c r="E610" s="60">
        <v>0</v>
      </c>
    </row>
    <row r="611" spans="2:5" ht="15" customHeight="1">
      <c r="B611" s="103"/>
      <c r="C611" s="75" t="s">
        <v>324</v>
      </c>
      <c r="D611" s="76">
        <v>7</v>
      </c>
      <c r="E611" s="72">
        <v>1E-3</v>
      </c>
    </row>
    <row r="612" spans="2:5" ht="15" customHeight="1">
      <c r="B612" s="101" t="s">
        <v>53</v>
      </c>
      <c r="C612" s="58" t="s">
        <v>297</v>
      </c>
      <c r="D612" s="61">
        <v>1</v>
      </c>
      <c r="E612" s="60">
        <v>0</v>
      </c>
    </row>
    <row r="613" spans="2:5" ht="15" customHeight="1">
      <c r="B613" s="102"/>
      <c r="C613" s="58" t="s">
        <v>298</v>
      </c>
      <c r="D613" s="61">
        <v>3</v>
      </c>
      <c r="E613" s="60">
        <v>0</v>
      </c>
    </row>
    <row r="614" spans="2:5" ht="15" customHeight="1">
      <c r="B614" s="102"/>
      <c r="C614" s="58" t="s">
        <v>299</v>
      </c>
      <c r="D614" s="61">
        <v>6</v>
      </c>
      <c r="E614" s="60">
        <v>1E-3</v>
      </c>
    </row>
    <row r="615" spans="2:5" ht="15" customHeight="1">
      <c r="B615" s="102"/>
      <c r="C615" s="58" t="s">
        <v>216</v>
      </c>
      <c r="D615" s="61">
        <v>2</v>
      </c>
      <c r="E615" s="60">
        <v>0</v>
      </c>
    </row>
    <row r="616" spans="2:5" ht="15" customHeight="1">
      <c r="B616" s="102"/>
      <c r="C616" s="58" t="s">
        <v>301</v>
      </c>
      <c r="D616" s="61">
        <v>3</v>
      </c>
      <c r="E616" s="60">
        <v>0</v>
      </c>
    </row>
    <row r="617" spans="2:5" ht="15" customHeight="1">
      <c r="B617" s="102"/>
      <c r="C617" s="58" t="s">
        <v>302</v>
      </c>
      <c r="D617" s="61">
        <v>10</v>
      </c>
      <c r="E617" s="60">
        <v>1E-3</v>
      </c>
    </row>
    <row r="618" spans="2:5" ht="15" customHeight="1">
      <c r="B618" s="102"/>
      <c r="C618" s="58" t="s">
        <v>220</v>
      </c>
      <c r="D618" s="61">
        <v>20</v>
      </c>
      <c r="E618" s="60">
        <v>3.0000000000000001E-3</v>
      </c>
    </row>
    <row r="619" spans="2:5" ht="15" customHeight="1">
      <c r="B619" s="102"/>
      <c r="C619" s="58" t="s">
        <v>222</v>
      </c>
      <c r="D619" s="61">
        <v>6</v>
      </c>
      <c r="E619" s="60">
        <v>1E-3</v>
      </c>
    </row>
    <row r="620" spans="2:5" ht="15" customHeight="1">
      <c r="B620" s="102"/>
      <c r="C620" s="58" t="s">
        <v>223</v>
      </c>
      <c r="D620" s="61">
        <v>53</v>
      </c>
      <c r="E620" s="60">
        <v>8.0000000000000002E-3</v>
      </c>
    </row>
    <row r="621" spans="2:5" ht="15" customHeight="1">
      <c r="B621" s="102"/>
      <c r="C621" s="58" t="s">
        <v>303</v>
      </c>
      <c r="D621" s="61">
        <v>5</v>
      </c>
      <c r="E621" s="60">
        <v>1E-3</v>
      </c>
    </row>
    <row r="622" spans="2:5" ht="15" customHeight="1">
      <c r="B622" s="102"/>
      <c r="C622" s="58" t="s">
        <v>304</v>
      </c>
      <c r="D622" s="61">
        <v>8</v>
      </c>
      <c r="E622" s="60">
        <v>1E-3</v>
      </c>
    </row>
    <row r="623" spans="2:5" ht="15" customHeight="1">
      <c r="B623" s="102"/>
      <c r="C623" s="58" t="s">
        <v>305</v>
      </c>
      <c r="D623" s="61">
        <v>2</v>
      </c>
      <c r="E623" s="60">
        <v>0</v>
      </c>
    </row>
    <row r="624" spans="2:5" ht="15" customHeight="1">
      <c r="B624" s="102"/>
      <c r="C624" s="58" t="s">
        <v>306</v>
      </c>
      <c r="D624" s="61">
        <v>1</v>
      </c>
      <c r="E624" s="60">
        <v>0</v>
      </c>
    </row>
    <row r="625" spans="2:5" ht="15" customHeight="1">
      <c r="B625" s="102"/>
      <c r="C625" s="58" t="s">
        <v>228</v>
      </c>
      <c r="D625" s="61">
        <v>6</v>
      </c>
      <c r="E625" s="60">
        <v>1E-3</v>
      </c>
    </row>
    <row r="626" spans="2:5" ht="15" customHeight="1">
      <c r="B626" s="102"/>
      <c r="C626" s="58" t="s">
        <v>229</v>
      </c>
      <c r="D626" s="61">
        <v>53</v>
      </c>
      <c r="E626" s="60">
        <v>8.0000000000000002E-3</v>
      </c>
    </row>
    <row r="627" spans="2:5" ht="15" customHeight="1">
      <c r="B627" s="102"/>
      <c r="C627" s="58" t="s">
        <v>230</v>
      </c>
      <c r="D627" s="61">
        <v>5</v>
      </c>
      <c r="E627" s="60">
        <v>1E-3</v>
      </c>
    </row>
    <row r="628" spans="2:5" ht="15" customHeight="1">
      <c r="B628" s="102"/>
      <c r="C628" s="58" t="s">
        <v>231</v>
      </c>
      <c r="D628" s="61">
        <v>6</v>
      </c>
      <c r="E628" s="60">
        <v>1E-3</v>
      </c>
    </row>
    <row r="629" spans="2:5" ht="15" customHeight="1">
      <c r="B629" s="103"/>
      <c r="C629" s="75" t="s">
        <v>324</v>
      </c>
      <c r="D629" s="76">
        <v>190</v>
      </c>
      <c r="E629" s="72">
        <v>2.8000000000000001E-2</v>
      </c>
    </row>
    <row r="630" spans="2:5" ht="15" customHeight="1">
      <c r="B630" s="104" t="s">
        <v>324</v>
      </c>
      <c r="C630" s="104"/>
      <c r="D630" s="73">
        <v>6718</v>
      </c>
      <c r="E630" s="74">
        <v>1</v>
      </c>
    </row>
    <row r="631" spans="2:5" ht="15" customHeight="1">
      <c r="B631" s="52"/>
      <c r="C631" s="52"/>
      <c r="D631" s="52"/>
      <c r="E631" s="52"/>
    </row>
    <row r="632" spans="2:5" ht="15" customHeight="1">
      <c r="B632" s="36" t="s">
        <v>288</v>
      </c>
      <c r="C632" s="52"/>
      <c r="D632" s="52"/>
      <c r="E632" s="52"/>
    </row>
    <row r="633" spans="2:5" ht="15" customHeight="1">
      <c r="B633" s="38" t="s">
        <v>18</v>
      </c>
      <c r="C633" s="52"/>
      <c r="D633" s="52"/>
      <c r="E633" s="52"/>
    </row>
    <row r="634" spans="2:5" ht="15" customHeight="1">
      <c r="B634" s="39" t="s">
        <v>46</v>
      </c>
      <c r="C634" s="52"/>
      <c r="D634" s="52"/>
      <c r="E634" s="52"/>
    </row>
    <row r="635" spans="2:5" ht="15" customHeight="1">
      <c r="B635" s="36" t="s">
        <v>17</v>
      </c>
      <c r="C635" s="52"/>
      <c r="D635" s="52"/>
      <c r="E635" s="52"/>
    </row>
    <row r="636" spans="2:5" ht="15" customHeight="1">
      <c r="B636" s="36" t="s">
        <v>322</v>
      </c>
      <c r="C636" s="52"/>
      <c r="D636" s="52"/>
      <c r="E636" s="52"/>
    </row>
  </sheetData>
  <mergeCells count="53">
    <mergeCell ref="B219:B221"/>
    <mergeCell ref="B222:B241"/>
    <mergeCell ref="B242:B255"/>
    <mergeCell ref="B10:B20"/>
    <mergeCell ref="B21:B31"/>
    <mergeCell ref="B32:B43"/>
    <mergeCell ref="B44:B59"/>
    <mergeCell ref="B60:B65"/>
    <mergeCell ref="B66:B70"/>
    <mergeCell ref="B71:B79"/>
    <mergeCell ref="B80:B95"/>
    <mergeCell ref="B96:B110"/>
    <mergeCell ref="B150:B157"/>
    <mergeCell ref="B158:B162"/>
    <mergeCell ref="B163:B180"/>
    <mergeCell ref="B181:B198"/>
    <mergeCell ref="B199:B205"/>
    <mergeCell ref="B206:B218"/>
    <mergeCell ref="B453:B464"/>
    <mergeCell ref="B329:B338"/>
    <mergeCell ref="B339:B354"/>
    <mergeCell ref="B355:B368"/>
    <mergeCell ref="B369:B374"/>
    <mergeCell ref="B375:B386"/>
    <mergeCell ref="B387:B410"/>
    <mergeCell ref="B411:B419"/>
    <mergeCell ref="B420:B424"/>
    <mergeCell ref="B425:B438"/>
    <mergeCell ref="B439:B452"/>
    <mergeCell ref="B294:B298"/>
    <mergeCell ref="B299:B306"/>
    <mergeCell ref="B307:B320"/>
    <mergeCell ref="B321:B328"/>
    <mergeCell ref="B256:B277"/>
    <mergeCell ref="B278:B287"/>
    <mergeCell ref="B288:B293"/>
    <mergeCell ref="B7:E8"/>
    <mergeCell ref="B111:B113"/>
    <mergeCell ref="B114:B128"/>
    <mergeCell ref="B129:B141"/>
    <mergeCell ref="B142:B149"/>
    <mergeCell ref="B465:B477"/>
    <mergeCell ref="B478:B485"/>
    <mergeCell ref="B486:B506"/>
    <mergeCell ref="B507:B525"/>
    <mergeCell ref="B526:B537"/>
    <mergeCell ref="B630:C630"/>
    <mergeCell ref="B538:B557"/>
    <mergeCell ref="B558:B575"/>
    <mergeCell ref="B576:B584"/>
    <mergeCell ref="B585:B607"/>
    <mergeCell ref="B608:B611"/>
    <mergeCell ref="B612:B62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F21"/>
  <sheetViews>
    <sheetView showGridLines="0" view="pageBreakPreview" zoomScale="90" zoomScaleNormal="85" zoomScaleSheetLayoutView="90" workbookViewId="0">
      <selection activeCell="D22" sqref="D22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1:6" s="16" customFormat="1" ht="15" customHeight="1">
      <c r="C1" s="19"/>
    </row>
    <row r="2" spans="1:6" s="16" customFormat="1" ht="15" customHeight="1">
      <c r="C2" s="19"/>
    </row>
    <row r="3" spans="1:6" s="16" customFormat="1" ht="15" customHeight="1">
      <c r="C3" s="19"/>
    </row>
    <row r="4" spans="1:6" s="16" customFormat="1" ht="30" customHeight="1">
      <c r="C4" s="19"/>
      <c r="D4" s="18"/>
    </row>
    <row r="5" spans="1:6" s="16" customFormat="1" ht="15" customHeight="1">
      <c r="C5" s="19"/>
      <c r="D5" s="18"/>
    </row>
    <row r="6" spans="1:6" s="16" customFormat="1" ht="15" customHeight="1">
      <c r="C6" s="19"/>
      <c r="D6" s="18"/>
    </row>
    <row r="7" spans="1:6" s="16" customFormat="1" ht="15" customHeight="1">
      <c r="A7" s="33"/>
      <c r="B7" s="100" t="s">
        <v>37</v>
      </c>
      <c r="C7" s="100"/>
      <c r="D7" s="100"/>
      <c r="E7" s="33"/>
      <c r="F7" s="33"/>
    </row>
    <row r="8" spans="1:6" s="16" customFormat="1" ht="15" customHeight="1">
      <c r="A8" s="33"/>
      <c r="B8" s="100"/>
      <c r="C8" s="100"/>
      <c r="D8" s="100"/>
      <c r="E8" s="33"/>
      <c r="F8" s="33"/>
    </row>
    <row r="9" spans="1:6" s="16" customFormat="1" ht="33" customHeight="1">
      <c r="A9" s="33"/>
      <c r="B9" s="100"/>
      <c r="C9" s="100"/>
      <c r="D9" s="100"/>
      <c r="E9" s="33"/>
      <c r="F9" s="33"/>
    </row>
    <row r="10" spans="1:6" s="16" customFormat="1" ht="4.5" customHeight="1">
      <c r="A10" s="33"/>
      <c r="B10" s="34"/>
      <c r="C10" s="34"/>
      <c r="D10" s="34"/>
      <c r="E10" s="33"/>
      <c r="F10" s="33"/>
    </row>
    <row r="11" spans="1:6" s="16" customFormat="1" ht="33" customHeight="1">
      <c r="A11" s="33"/>
      <c r="B11" s="40" t="s">
        <v>29</v>
      </c>
      <c r="C11" s="41" t="s">
        <v>20</v>
      </c>
      <c r="D11" s="42" t="s">
        <v>19</v>
      </c>
      <c r="E11" s="33"/>
      <c r="F11" s="33"/>
    </row>
    <row r="12" spans="1:6" ht="16.5">
      <c r="A12" s="35"/>
      <c r="B12" s="64" t="s">
        <v>140</v>
      </c>
      <c r="C12" s="65">
        <v>3271</v>
      </c>
      <c r="D12" s="66">
        <v>0.48690086335218802</v>
      </c>
      <c r="E12" s="35"/>
      <c r="F12" s="35"/>
    </row>
    <row r="13" spans="1:6" ht="16.5">
      <c r="A13" s="35"/>
      <c r="B13" s="64" t="s">
        <v>141</v>
      </c>
      <c r="C13" s="65">
        <v>3446</v>
      </c>
      <c r="D13" s="66">
        <v>0.51295028282226895</v>
      </c>
      <c r="E13" s="35"/>
      <c r="F13" s="35"/>
    </row>
    <row r="14" spans="1:6" ht="16.5">
      <c r="A14" s="35"/>
      <c r="B14" s="64" t="s">
        <v>290</v>
      </c>
      <c r="C14" s="65">
        <v>1</v>
      </c>
      <c r="D14" s="66">
        <v>1.4885382554299999E-4</v>
      </c>
      <c r="E14" s="35"/>
      <c r="F14" s="35"/>
    </row>
    <row r="15" spans="1:6" ht="16.5">
      <c r="A15" s="35"/>
      <c r="B15" s="77" t="s">
        <v>324</v>
      </c>
      <c r="C15" s="68">
        <v>6718</v>
      </c>
      <c r="D15" s="69">
        <v>1</v>
      </c>
      <c r="E15" s="35"/>
      <c r="F15" s="35"/>
    </row>
    <row r="16" spans="1:6" ht="16.5">
      <c r="A16" s="35"/>
      <c r="B16" s="36"/>
      <c r="C16" s="37"/>
      <c r="D16" s="37"/>
      <c r="E16" s="35"/>
      <c r="F16" s="35"/>
    </row>
    <row r="17" spans="1:6" ht="16.5">
      <c r="A17" s="35"/>
      <c r="B17" s="36" t="s">
        <v>288</v>
      </c>
      <c r="C17" s="53"/>
      <c r="D17" s="53"/>
      <c r="E17" s="35"/>
      <c r="F17" s="35"/>
    </row>
    <row r="18" spans="1:6" ht="16.5">
      <c r="A18" s="35"/>
      <c r="B18" s="38" t="s">
        <v>18</v>
      </c>
      <c r="C18" s="54"/>
      <c r="D18" s="54"/>
      <c r="E18" s="35"/>
      <c r="F18" s="35"/>
    </row>
    <row r="19" spans="1:6" ht="16.5">
      <c r="A19" s="35"/>
      <c r="B19" s="39" t="s">
        <v>46</v>
      </c>
      <c r="C19" s="37"/>
      <c r="D19" s="35"/>
      <c r="E19" s="35"/>
      <c r="F19" s="35"/>
    </row>
    <row r="20" spans="1:6" ht="16.5">
      <c r="A20" s="35"/>
      <c r="B20" s="36" t="s">
        <v>17</v>
      </c>
      <c r="C20" s="37"/>
      <c r="D20" s="35"/>
      <c r="E20" s="35"/>
      <c r="F20" s="35"/>
    </row>
    <row r="21" spans="1:6" ht="16.5">
      <c r="A21" s="35"/>
      <c r="B21" s="36" t="s">
        <v>322</v>
      </c>
      <c r="C21" s="37"/>
      <c r="D21" s="35"/>
      <c r="E21" s="35"/>
      <c r="F21" s="3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F171"/>
  <sheetViews>
    <sheetView showGridLines="0" view="pageBreakPreview" topLeftCell="A158" zoomScale="130" zoomScaleNormal="100" zoomScaleSheetLayoutView="130" workbookViewId="0">
      <selection activeCell="C12" sqref="C12"/>
    </sheetView>
  </sheetViews>
  <sheetFormatPr baseColWidth="10" defaultColWidth="11.42578125" defaultRowHeight="11.25"/>
  <cols>
    <col min="1" max="1" width="5.7109375" style="16" customWidth="1"/>
    <col min="2" max="3" width="23.7109375" style="22" customWidth="1"/>
    <col min="4" max="4" width="15.7109375" style="26" customWidth="1"/>
    <col min="5" max="5" width="15.7109375" style="22" customWidth="1"/>
    <col min="6" max="6" width="5.7109375" style="16" customWidth="1"/>
    <col min="7" max="16384" width="11.42578125" style="16"/>
  </cols>
  <sheetData>
    <row r="1" spans="1:6" s="13" customFormat="1" ht="15">
      <c r="B1" s="22"/>
      <c r="C1" s="22"/>
    </row>
    <row r="2" spans="1:6" s="22" customFormat="1">
      <c r="B2" s="29"/>
    </row>
    <row r="3" spans="1:6" ht="15" customHeight="1">
      <c r="B3" s="30"/>
      <c r="C3" s="19"/>
      <c r="D3" s="16"/>
      <c r="F3" s="22"/>
    </row>
    <row r="4" spans="1:6" ht="30" customHeight="1">
      <c r="B4" s="30"/>
      <c r="C4" s="19"/>
      <c r="D4" s="16"/>
      <c r="F4" s="22"/>
    </row>
    <row r="5" spans="1:6" ht="15" customHeight="1">
      <c r="B5" s="30"/>
      <c r="C5" s="19"/>
      <c r="D5" s="16"/>
      <c r="F5" s="22"/>
    </row>
    <row r="6" spans="1:6" s="22" customFormat="1">
      <c r="B6" s="25"/>
      <c r="C6" s="24"/>
    </row>
    <row r="7" spans="1:6" s="22" customFormat="1">
      <c r="B7" s="29"/>
    </row>
    <row r="8" spans="1:6" s="13" customFormat="1" ht="15" customHeight="1">
      <c r="A8" s="35"/>
      <c r="B8" s="100" t="s">
        <v>39</v>
      </c>
      <c r="C8" s="100"/>
      <c r="D8" s="100"/>
      <c r="E8" s="100"/>
      <c r="F8" s="35"/>
    </row>
    <row r="9" spans="1:6" s="13" customFormat="1" ht="15" customHeight="1">
      <c r="A9" s="35"/>
      <c r="B9" s="100"/>
      <c r="C9" s="100"/>
      <c r="D9" s="100"/>
      <c r="E9" s="100"/>
      <c r="F9" s="55"/>
    </row>
    <row r="10" spans="1:6" s="13" customFormat="1" ht="15" customHeight="1">
      <c r="A10" s="35"/>
      <c r="B10" s="100"/>
      <c r="C10" s="100"/>
      <c r="D10" s="100"/>
      <c r="E10" s="100"/>
      <c r="F10" s="35"/>
    </row>
    <row r="11" spans="1:6" s="13" customFormat="1" ht="15" customHeight="1">
      <c r="A11" s="35"/>
      <c r="B11" s="56"/>
      <c r="C11" s="56"/>
      <c r="D11" s="56"/>
      <c r="E11" s="56"/>
      <c r="F11" s="35"/>
    </row>
    <row r="12" spans="1:6" s="13" customFormat="1" ht="36.950000000000003" customHeight="1">
      <c r="A12" s="35"/>
      <c r="B12" s="78" t="s">
        <v>22</v>
      </c>
      <c r="C12" s="78" t="s">
        <v>29</v>
      </c>
      <c r="D12" s="78" t="s">
        <v>20</v>
      </c>
      <c r="E12" s="78" t="s">
        <v>19</v>
      </c>
      <c r="F12" s="35"/>
    </row>
    <row r="13" spans="1:6" ht="14.45" customHeight="1">
      <c r="A13" s="33"/>
      <c r="B13" s="101" t="s">
        <v>67</v>
      </c>
      <c r="C13" s="58" t="s">
        <v>140</v>
      </c>
      <c r="D13" s="61">
        <v>28</v>
      </c>
      <c r="E13" s="60">
        <v>4.0000000000000001E-3</v>
      </c>
      <c r="F13" s="33"/>
    </row>
    <row r="14" spans="1:6" ht="14.45" customHeight="1">
      <c r="A14" s="33"/>
      <c r="B14" s="102"/>
      <c r="C14" s="58" t="s">
        <v>141</v>
      </c>
      <c r="D14" s="61">
        <v>27</v>
      </c>
      <c r="E14" s="60">
        <v>4.0000000000000001E-3</v>
      </c>
      <c r="F14" s="33"/>
    </row>
    <row r="15" spans="1:6" ht="14.45" customHeight="1">
      <c r="A15" s="33"/>
      <c r="B15" s="103"/>
      <c r="C15" s="75" t="s">
        <v>324</v>
      </c>
      <c r="D15" s="76">
        <v>55</v>
      </c>
      <c r="E15" s="72">
        <v>8.0000000000000002E-3</v>
      </c>
      <c r="F15" s="33"/>
    </row>
    <row r="16" spans="1:6" ht="14.45" customHeight="1">
      <c r="A16" s="33"/>
      <c r="B16" s="101" t="s">
        <v>71</v>
      </c>
      <c r="C16" s="58" t="s">
        <v>140</v>
      </c>
      <c r="D16" s="61">
        <v>23</v>
      </c>
      <c r="E16" s="60">
        <v>3.0000000000000001E-3</v>
      </c>
      <c r="F16" s="33"/>
    </row>
    <row r="17" spans="1:6" ht="14.45" customHeight="1">
      <c r="A17" s="33"/>
      <c r="B17" s="102"/>
      <c r="C17" s="58" t="s">
        <v>141</v>
      </c>
      <c r="D17" s="61">
        <v>19</v>
      </c>
      <c r="E17" s="60">
        <v>3.0000000000000001E-3</v>
      </c>
      <c r="F17" s="33"/>
    </row>
    <row r="18" spans="1:6" ht="14.45" customHeight="1">
      <c r="A18" s="33"/>
      <c r="B18" s="103"/>
      <c r="C18" s="75" t="s">
        <v>324</v>
      </c>
      <c r="D18" s="76">
        <v>42</v>
      </c>
      <c r="E18" s="72">
        <v>6.0000000000000001E-3</v>
      </c>
      <c r="F18" s="33"/>
    </row>
    <row r="19" spans="1:6" ht="14.45" customHeight="1">
      <c r="A19" s="33"/>
      <c r="B19" s="101" t="s">
        <v>81</v>
      </c>
      <c r="C19" s="58" t="s">
        <v>140</v>
      </c>
      <c r="D19" s="61">
        <v>15</v>
      </c>
      <c r="E19" s="60">
        <v>2E-3</v>
      </c>
      <c r="F19" s="33"/>
    </row>
    <row r="20" spans="1:6" ht="14.45" customHeight="1">
      <c r="A20" s="33"/>
      <c r="B20" s="102"/>
      <c r="C20" s="58" t="s">
        <v>141</v>
      </c>
      <c r="D20" s="61">
        <v>15</v>
      </c>
      <c r="E20" s="60">
        <v>2E-3</v>
      </c>
      <c r="F20" s="33"/>
    </row>
    <row r="21" spans="1:6" ht="14.45" customHeight="1">
      <c r="A21" s="33"/>
      <c r="B21" s="103"/>
      <c r="C21" s="75" t="s">
        <v>324</v>
      </c>
      <c r="D21" s="76">
        <v>30</v>
      </c>
      <c r="E21" s="72">
        <v>4.0000000000000001E-3</v>
      </c>
      <c r="F21" s="33"/>
    </row>
    <row r="22" spans="1:6" ht="14.45" customHeight="1">
      <c r="A22" s="33"/>
      <c r="B22" s="101" t="s">
        <v>64</v>
      </c>
      <c r="C22" s="58" t="s">
        <v>140</v>
      </c>
      <c r="D22" s="61">
        <v>41</v>
      </c>
      <c r="E22" s="60">
        <v>6.0000000000000001E-3</v>
      </c>
      <c r="F22" s="33"/>
    </row>
    <row r="23" spans="1:6" ht="14.45" customHeight="1">
      <c r="A23" s="33"/>
      <c r="B23" s="102"/>
      <c r="C23" s="58" t="s">
        <v>141</v>
      </c>
      <c r="D23" s="61">
        <v>40</v>
      </c>
      <c r="E23" s="60">
        <v>6.0000000000000001E-3</v>
      </c>
      <c r="F23" s="33"/>
    </row>
    <row r="24" spans="1:6" ht="14.45" customHeight="1">
      <c r="A24" s="33"/>
      <c r="B24" s="103"/>
      <c r="C24" s="75" t="s">
        <v>324</v>
      </c>
      <c r="D24" s="76">
        <v>81</v>
      </c>
      <c r="E24" s="72">
        <v>1.2E-2</v>
      </c>
      <c r="F24" s="33"/>
    </row>
    <row r="25" spans="1:6" ht="14.45" customHeight="1">
      <c r="A25" s="33"/>
      <c r="B25" s="101" t="s">
        <v>84</v>
      </c>
      <c r="C25" s="58" t="s">
        <v>140</v>
      </c>
      <c r="D25" s="61">
        <v>3</v>
      </c>
      <c r="E25" s="60">
        <v>0</v>
      </c>
      <c r="F25" s="33"/>
    </row>
    <row r="26" spans="1:6" ht="14.45" customHeight="1">
      <c r="A26" s="33"/>
      <c r="B26" s="102"/>
      <c r="C26" s="58" t="s">
        <v>141</v>
      </c>
      <c r="D26" s="61">
        <v>7</v>
      </c>
      <c r="E26" s="60">
        <v>1E-3</v>
      </c>
      <c r="F26" s="33"/>
    </row>
    <row r="27" spans="1:6" ht="14.45" customHeight="1">
      <c r="A27" s="33"/>
      <c r="B27" s="103"/>
      <c r="C27" s="75" t="s">
        <v>324</v>
      </c>
      <c r="D27" s="76">
        <v>10</v>
      </c>
      <c r="E27" s="72">
        <v>1E-3</v>
      </c>
      <c r="F27" s="33"/>
    </row>
    <row r="28" spans="1:6" ht="14.45" customHeight="1">
      <c r="A28" s="33"/>
      <c r="B28" s="101" t="s">
        <v>94</v>
      </c>
      <c r="C28" s="58" t="s">
        <v>140</v>
      </c>
      <c r="D28" s="61">
        <v>2</v>
      </c>
      <c r="E28" s="60">
        <v>0</v>
      </c>
      <c r="F28" s="33"/>
    </row>
    <row r="29" spans="1:6" ht="14.45" customHeight="1">
      <c r="A29" s="33"/>
      <c r="B29" s="102"/>
      <c r="C29" s="58" t="s">
        <v>141</v>
      </c>
      <c r="D29" s="61">
        <v>2</v>
      </c>
      <c r="E29" s="60">
        <v>0</v>
      </c>
      <c r="F29" s="33"/>
    </row>
    <row r="30" spans="1:6" ht="14.45" customHeight="1">
      <c r="A30" s="33"/>
      <c r="B30" s="103"/>
      <c r="C30" s="75" t="s">
        <v>324</v>
      </c>
      <c r="D30" s="76">
        <v>4</v>
      </c>
      <c r="E30" s="72">
        <v>1E-3</v>
      </c>
      <c r="F30" s="33"/>
    </row>
    <row r="31" spans="1:6" ht="14.45" customHeight="1">
      <c r="A31" s="33"/>
      <c r="B31" s="101" t="s">
        <v>85</v>
      </c>
      <c r="C31" s="58" t="s">
        <v>140</v>
      </c>
      <c r="D31" s="61">
        <v>17</v>
      </c>
      <c r="E31" s="60">
        <v>3.0000000000000001E-3</v>
      </c>
      <c r="F31" s="33"/>
    </row>
    <row r="32" spans="1:6" ht="14.45" customHeight="1">
      <c r="A32" s="33"/>
      <c r="B32" s="102"/>
      <c r="C32" s="58" t="s">
        <v>141</v>
      </c>
      <c r="D32" s="61">
        <v>12</v>
      </c>
      <c r="E32" s="60">
        <v>2E-3</v>
      </c>
      <c r="F32" s="33"/>
    </row>
    <row r="33" spans="1:6" ht="14.45" customHeight="1">
      <c r="A33" s="33"/>
      <c r="B33" s="103"/>
      <c r="C33" s="75" t="s">
        <v>324</v>
      </c>
      <c r="D33" s="76">
        <v>29</v>
      </c>
      <c r="E33" s="72">
        <v>4.0000000000000001E-3</v>
      </c>
      <c r="F33" s="33"/>
    </row>
    <row r="34" spans="1:6" ht="14.45" customHeight="1">
      <c r="A34" s="33"/>
      <c r="B34" s="101" t="s">
        <v>54</v>
      </c>
      <c r="C34" s="58" t="s">
        <v>140</v>
      </c>
      <c r="D34" s="61">
        <v>86</v>
      </c>
      <c r="E34" s="60">
        <v>1.2999999999999999E-2</v>
      </c>
      <c r="F34" s="33"/>
    </row>
    <row r="35" spans="1:6" ht="14.45" customHeight="1">
      <c r="A35" s="33"/>
      <c r="B35" s="102"/>
      <c r="C35" s="58" t="s">
        <v>141</v>
      </c>
      <c r="D35" s="61">
        <v>76</v>
      </c>
      <c r="E35" s="60">
        <v>1.0999999999999999E-2</v>
      </c>
      <c r="F35" s="33"/>
    </row>
    <row r="36" spans="1:6" ht="14.45" customHeight="1">
      <c r="A36" s="33"/>
      <c r="B36" s="103"/>
      <c r="C36" s="75" t="s">
        <v>324</v>
      </c>
      <c r="D36" s="76">
        <v>162</v>
      </c>
      <c r="E36" s="72">
        <v>2.4E-2</v>
      </c>
      <c r="F36" s="33"/>
    </row>
    <row r="37" spans="1:6" ht="14.45" customHeight="1">
      <c r="A37" s="33"/>
      <c r="B37" s="101" t="s">
        <v>62</v>
      </c>
      <c r="C37" s="58" t="s">
        <v>140</v>
      </c>
      <c r="D37" s="61">
        <v>44</v>
      </c>
      <c r="E37" s="60">
        <v>7.0000000000000001E-3</v>
      </c>
      <c r="F37" s="33"/>
    </row>
    <row r="38" spans="1:6" ht="14.45" customHeight="1">
      <c r="A38" s="33"/>
      <c r="B38" s="102"/>
      <c r="C38" s="58" t="s">
        <v>141</v>
      </c>
      <c r="D38" s="61">
        <v>39</v>
      </c>
      <c r="E38" s="60">
        <v>6.0000000000000001E-3</v>
      </c>
      <c r="F38" s="33"/>
    </row>
    <row r="39" spans="1:6" ht="14.45" customHeight="1">
      <c r="A39" s="33"/>
      <c r="B39" s="103"/>
      <c r="C39" s="75" t="s">
        <v>324</v>
      </c>
      <c r="D39" s="76">
        <v>83</v>
      </c>
      <c r="E39" s="72">
        <v>1.2E-2</v>
      </c>
      <c r="F39" s="33"/>
    </row>
    <row r="40" spans="1:6" ht="14.45" customHeight="1">
      <c r="A40" s="33"/>
      <c r="B40" s="101" t="s">
        <v>96</v>
      </c>
      <c r="C40" s="58" t="s">
        <v>140</v>
      </c>
      <c r="D40" s="61">
        <v>2</v>
      </c>
      <c r="E40" s="60">
        <v>0</v>
      </c>
      <c r="F40" s="33"/>
    </row>
    <row r="41" spans="1:6" ht="14.45" customHeight="1">
      <c r="A41" s="33"/>
      <c r="B41" s="103"/>
      <c r="C41" s="75" t="s">
        <v>324</v>
      </c>
      <c r="D41" s="76">
        <v>2</v>
      </c>
      <c r="E41" s="72">
        <v>0</v>
      </c>
      <c r="F41" s="33"/>
    </row>
    <row r="42" spans="1:6" ht="14.45" customHeight="1">
      <c r="A42" s="33"/>
      <c r="B42" s="101" t="s">
        <v>56</v>
      </c>
      <c r="C42" s="58" t="s">
        <v>140</v>
      </c>
      <c r="D42" s="61">
        <v>40</v>
      </c>
      <c r="E42" s="60">
        <v>6.0000000000000001E-3</v>
      </c>
      <c r="F42" s="33"/>
    </row>
    <row r="43" spans="1:6" ht="14.45" customHeight="1">
      <c r="A43" s="33"/>
      <c r="B43" s="102"/>
      <c r="C43" s="58" t="s">
        <v>141</v>
      </c>
      <c r="D43" s="61">
        <v>65</v>
      </c>
      <c r="E43" s="60">
        <v>0.01</v>
      </c>
      <c r="F43" s="33"/>
    </row>
    <row r="44" spans="1:6" ht="14.45" customHeight="1">
      <c r="A44" s="33"/>
      <c r="B44" s="103"/>
      <c r="C44" s="75" t="s">
        <v>324</v>
      </c>
      <c r="D44" s="76">
        <v>105</v>
      </c>
      <c r="E44" s="72">
        <v>1.6E-2</v>
      </c>
      <c r="F44" s="33"/>
    </row>
    <row r="45" spans="1:6" ht="14.45" customHeight="1">
      <c r="A45" s="33"/>
      <c r="B45" s="101" t="s">
        <v>78</v>
      </c>
      <c r="C45" s="58" t="s">
        <v>140</v>
      </c>
      <c r="D45" s="61">
        <v>20</v>
      </c>
      <c r="E45" s="60">
        <v>3.0000000000000001E-3</v>
      </c>
      <c r="F45" s="33"/>
    </row>
    <row r="46" spans="1:6" ht="14.45" customHeight="1">
      <c r="A46" s="33"/>
      <c r="B46" s="102"/>
      <c r="C46" s="58" t="s">
        <v>141</v>
      </c>
      <c r="D46" s="61">
        <v>23</v>
      </c>
      <c r="E46" s="60">
        <v>3.0000000000000001E-3</v>
      </c>
      <c r="F46" s="33"/>
    </row>
    <row r="47" spans="1:6" ht="14.45" customHeight="1">
      <c r="A47" s="33"/>
      <c r="B47" s="103"/>
      <c r="C47" s="75" t="s">
        <v>324</v>
      </c>
      <c r="D47" s="76">
        <v>43</v>
      </c>
      <c r="E47" s="72">
        <v>6.0000000000000001E-3</v>
      </c>
      <c r="F47" s="33"/>
    </row>
    <row r="48" spans="1:6" ht="14.45" customHeight="1">
      <c r="A48" s="33"/>
      <c r="B48" s="101" t="s">
        <v>91</v>
      </c>
      <c r="C48" s="58" t="s">
        <v>140</v>
      </c>
      <c r="D48" s="61">
        <v>12</v>
      </c>
      <c r="E48" s="60">
        <v>2E-3</v>
      </c>
      <c r="F48" s="33"/>
    </row>
    <row r="49" spans="1:6" ht="14.45" customHeight="1">
      <c r="A49" s="33"/>
      <c r="B49" s="102"/>
      <c r="C49" s="58" t="s">
        <v>141</v>
      </c>
      <c r="D49" s="61">
        <v>6</v>
      </c>
      <c r="E49" s="60">
        <v>1E-3</v>
      </c>
      <c r="F49" s="33"/>
    </row>
    <row r="50" spans="1:6" ht="14.45" customHeight="1">
      <c r="A50" s="33"/>
      <c r="B50" s="103"/>
      <c r="C50" s="75" t="s">
        <v>324</v>
      </c>
      <c r="D50" s="76">
        <v>18</v>
      </c>
      <c r="E50" s="72">
        <v>3.0000000000000001E-3</v>
      </c>
      <c r="F50" s="33"/>
    </row>
    <row r="51" spans="1:6" ht="14.45" customHeight="1">
      <c r="A51" s="33"/>
      <c r="B51" s="101" t="s">
        <v>80</v>
      </c>
      <c r="C51" s="58" t="s">
        <v>140</v>
      </c>
      <c r="D51" s="61">
        <v>14</v>
      </c>
      <c r="E51" s="60">
        <v>2E-3</v>
      </c>
      <c r="F51" s="33"/>
    </row>
    <row r="52" spans="1:6" ht="14.45" customHeight="1">
      <c r="A52" s="33"/>
      <c r="B52" s="102"/>
      <c r="C52" s="58" t="s">
        <v>141</v>
      </c>
      <c r="D52" s="61">
        <v>18</v>
      </c>
      <c r="E52" s="60">
        <v>3.0000000000000001E-3</v>
      </c>
      <c r="F52" s="33"/>
    </row>
    <row r="53" spans="1:6" ht="14.45" customHeight="1">
      <c r="A53" s="33"/>
      <c r="B53" s="103"/>
      <c r="C53" s="75" t="s">
        <v>324</v>
      </c>
      <c r="D53" s="76">
        <v>32</v>
      </c>
      <c r="E53" s="72">
        <v>5.0000000000000001E-3</v>
      </c>
      <c r="F53" s="33"/>
    </row>
    <row r="54" spans="1:6" ht="14.45" customHeight="1">
      <c r="A54" s="33"/>
      <c r="B54" s="101" t="s">
        <v>92</v>
      </c>
      <c r="C54" s="58" t="s">
        <v>140</v>
      </c>
      <c r="D54" s="61">
        <v>2</v>
      </c>
      <c r="E54" s="60">
        <v>0</v>
      </c>
      <c r="F54" s="33"/>
    </row>
    <row r="55" spans="1:6" ht="14.45" customHeight="1">
      <c r="A55" s="33"/>
      <c r="B55" s="102"/>
      <c r="C55" s="58" t="s">
        <v>141</v>
      </c>
      <c r="D55" s="61">
        <v>7</v>
      </c>
      <c r="E55" s="60">
        <v>1E-3</v>
      </c>
      <c r="F55" s="33"/>
    </row>
    <row r="56" spans="1:6" ht="14.45" customHeight="1">
      <c r="A56" s="33"/>
      <c r="B56" s="103"/>
      <c r="C56" s="75" t="s">
        <v>324</v>
      </c>
      <c r="D56" s="76">
        <v>9</v>
      </c>
      <c r="E56" s="72">
        <v>1E-3</v>
      </c>
      <c r="F56" s="33"/>
    </row>
    <row r="57" spans="1:6" ht="14.45" customHeight="1">
      <c r="A57" s="33"/>
      <c r="B57" s="101" t="s">
        <v>52</v>
      </c>
      <c r="C57" s="58" t="s">
        <v>140</v>
      </c>
      <c r="D57" s="61">
        <v>129</v>
      </c>
      <c r="E57" s="60">
        <v>1.9E-2</v>
      </c>
      <c r="F57" s="33"/>
    </row>
    <row r="58" spans="1:6" ht="14.45" customHeight="1">
      <c r="A58" s="33"/>
      <c r="B58" s="102"/>
      <c r="C58" s="58" t="s">
        <v>141</v>
      </c>
      <c r="D58" s="61">
        <v>123</v>
      </c>
      <c r="E58" s="60">
        <v>1.7999999999999999E-2</v>
      </c>
      <c r="F58" s="33"/>
    </row>
    <row r="59" spans="1:6" ht="14.45" customHeight="1">
      <c r="A59" s="33"/>
      <c r="B59" s="103"/>
      <c r="C59" s="75" t="s">
        <v>324</v>
      </c>
      <c r="D59" s="76">
        <v>252</v>
      </c>
      <c r="E59" s="72">
        <v>3.7999999999999999E-2</v>
      </c>
      <c r="F59" s="33"/>
    </row>
    <row r="60" spans="1:6" ht="14.45" customHeight="1">
      <c r="A60" s="33"/>
      <c r="B60" s="101" t="s">
        <v>58</v>
      </c>
      <c r="C60" s="58" t="s">
        <v>140</v>
      </c>
      <c r="D60" s="61">
        <v>34</v>
      </c>
      <c r="E60" s="60">
        <v>5.0000000000000001E-3</v>
      </c>
      <c r="F60" s="33"/>
    </row>
    <row r="61" spans="1:6" ht="14.45" customHeight="1">
      <c r="A61" s="33"/>
      <c r="B61" s="102"/>
      <c r="C61" s="58" t="s">
        <v>141</v>
      </c>
      <c r="D61" s="61">
        <v>38</v>
      </c>
      <c r="E61" s="60">
        <v>6.0000000000000001E-3</v>
      </c>
      <c r="F61" s="33"/>
    </row>
    <row r="62" spans="1:6" ht="14.45" customHeight="1">
      <c r="A62" s="33"/>
      <c r="B62" s="103"/>
      <c r="C62" s="75" t="s">
        <v>324</v>
      </c>
      <c r="D62" s="76">
        <v>72</v>
      </c>
      <c r="E62" s="72">
        <v>1.0999999999999999E-2</v>
      </c>
      <c r="F62" s="33"/>
    </row>
    <row r="63" spans="1:6" ht="14.45" customHeight="1">
      <c r="A63" s="33"/>
      <c r="B63" s="101" t="s">
        <v>73</v>
      </c>
      <c r="C63" s="58" t="s">
        <v>140</v>
      </c>
      <c r="D63" s="61">
        <v>6</v>
      </c>
      <c r="E63" s="60">
        <v>1E-3</v>
      </c>
      <c r="F63" s="33"/>
    </row>
    <row r="64" spans="1:6" ht="14.45" customHeight="1">
      <c r="A64" s="33"/>
      <c r="B64" s="102"/>
      <c r="C64" s="58" t="s">
        <v>141</v>
      </c>
      <c r="D64" s="61">
        <v>13</v>
      </c>
      <c r="E64" s="60">
        <v>2E-3</v>
      </c>
      <c r="F64" s="33"/>
    </row>
    <row r="65" spans="1:6" ht="14.45" customHeight="1">
      <c r="A65" s="33"/>
      <c r="B65" s="103"/>
      <c r="C65" s="75" t="s">
        <v>324</v>
      </c>
      <c r="D65" s="76">
        <v>19</v>
      </c>
      <c r="E65" s="72">
        <v>3.0000000000000001E-3</v>
      </c>
      <c r="F65" s="33"/>
    </row>
    <row r="66" spans="1:6" ht="14.45" customHeight="1">
      <c r="A66" s="33"/>
      <c r="B66" s="101" t="s">
        <v>66</v>
      </c>
      <c r="C66" s="58" t="s">
        <v>140</v>
      </c>
      <c r="D66" s="61">
        <v>24</v>
      </c>
      <c r="E66" s="60">
        <v>4.0000000000000001E-3</v>
      </c>
      <c r="F66" s="33"/>
    </row>
    <row r="67" spans="1:6" ht="14.45" customHeight="1">
      <c r="A67" s="33"/>
      <c r="B67" s="102"/>
      <c r="C67" s="58" t="s">
        <v>141</v>
      </c>
      <c r="D67" s="61">
        <v>24</v>
      </c>
      <c r="E67" s="60">
        <v>4.0000000000000001E-3</v>
      </c>
      <c r="F67" s="33"/>
    </row>
    <row r="68" spans="1:6" ht="14.45" customHeight="1">
      <c r="A68" s="33"/>
      <c r="B68" s="103"/>
      <c r="C68" s="75" t="s">
        <v>324</v>
      </c>
      <c r="D68" s="76">
        <v>48</v>
      </c>
      <c r="E68" s="72">
        <v>7.0000000000000001E-3</v>
      </c>
      <c r="F68" s="33"/>
    </row>
    <row r="69" spans="1:6" ht="14.45" customHeight="1">
      <c r="A69" s="33"/>
      <c r="B69" s="101" t="s">
        <v>95</v>
      </c>
      <c r="C69" s="58" t="s">
        <v>141</v>
      </c>
      <c r="D69" s="61">
        <v>2</v>
      </c>
      <c r="E69" s="60">
        <v>0</v>
      </c>
      <c r="F69" s="33"/>
    </row>
    <row r="70" spans="1:6" ht="14.45" customHeight="1">
      <c r="A70" s="33"/>
      <c r="B70" s="103"/>
      <c r="C70" s="75" t="s">
        <v>324</v>
      </c>
      <c r="D70" s="76">
        <v>2</v>
      </c>
      <c r="E70" s="72">
        <v>0</v>
      </c>
      <c r="F70" s="33"/>
    </row>
    <row r="71" spans="1:6" ht="14.45" customHeight="1">
      <c r="A71" s="33"/>
      <c r="B71" s="101" t="s">
        <v>50</v>
      </c>
      <c r="C71" s="58" t="s">
        <v>140</v>
      </c>
      <c r="D71" s="61">
        <v>159</v>
      </c>
      <c r="E71" s="60">
        <v>2.4E-2</v>
      </c>
      <c r="F71" s="33"/>
    </row>
    <row r="72" spans="1:6" ht="14.45" customHeight="1">
      <c r="A72" s="33"/>
      <c r="B72" s="102"/>
      <c r="C72" s="58" t="s">
        <v>141</v>
      </c>
      <c r="D72" s="61">
        <v>172</v>
      </c>
      <c r="E72" s="60">
        <v>2.5999999999999999E-2</v>
      </c>
      <c r="F72" s="33"/>
    </row>
    <row r="73" spans="1:6" ht="14.45" customHeight="1">
      <c r="A73" s="33"/>
      <c r="B73" s="103"/>
      <c r="C73" s="75" t="s">
        <v>324</v>
      </c>
      <c r="D73" s="76">
        <v>331</v>
      </c>
      <c r="E73" s="72">
        <v>4.9000000000000002E-2</v>
      </c>
      <c r="F73" s="33"/>
    </row>
    <row r="74" spans="1:6" ht="14.45" customHeight="1">
      <c r="A74" s="33"/>
      <c r="B74" s="101" t="s">
        <v>70</v>
      </c>
      <c r="C74" s="58" t="s">
        <v>140</v>
      </c>
      <c r="D74" s="61">
        <v>16</v>
      </c>
      <c r="E74" s="60">
        <v>2E-3</v>
      </c>
      <c r="F74" s="33"/>
    </row>
    <row r="75" spans="1:6" ht="14.45" customHeight="1">
      <c r="A75" s="33"/>
      <c r="B75" s="102"/>
      <c r="C75" s="58" t="s">
        <v>141</v>
      </c>
      <c r="D75" s="61">
        <v>19</v>
      </c>
      <c r="E75" s="60">
        <v>3.0000000000000001E-3</v>
      </c>
      <c r="F75" s="33"/>
    </row>
    <row r="76" spans="1:6" ht="14.45" customHeight="1">
      <c r="A76" s="33"/>
      <c r="B76" s="103"/>
      <c r="C76" s="75" t="s">
        <v>324</v>
      </c>
      <c r="D76" s="76">
        <v>35</v>
      </c>
      <c r="E76" s="72">
        <v>5.0000000000000001E-3</v>
      </c>
      <c r="F76" s="33"/>
    </row>
    <row r="77" spans="1:6" ht="14.45" customHeight="1">
      <c r="A77" s="33"/>
      <c r="B77" s="101" t="s">
        <v>49</v>
      </c>
      <c r="C77" s="58" t="s">
        <v>140</v>
      </c>
      <c r="D77" s="61">
        <v>280</v>
      </c>
      <c r="E77" s="60">
        <v>4.2000000000000003E-2</v>
      </c>
      <c r="F77" s="33"/>
    </row>
    <row r="78" spans="1:6" ht="14.45" customHeight="1">
      <c r="A78" s="33"/>
      <c r="B78" s="102"/>
      <c r="C78" s="58" t="s">
        <v>141</v>
      </c>
      <c r="D78" s="61">
        <v>268</v>
      </c>
      <c r="E78" s="60">
        <v>0.04</v>
      </c>
      <c r="F78" s="33"/>
    </row>
    <row r="79" spans="1:6" ht="14.45" customHeight="1">
      <c r="A79" s="33"/>
      <c r="B79" s="103"/>
      <c r="C79" s="75" t="s">
        <v>324</v>
      </c>
      <c r="D79" s="76">
        <v>548</v>
      </c>
      <c r="E79" s="72">
        <v>8.2000000000000003E-2</v>
      </c>
      <c r="F79" s="33"/>
    </row>
    <row r="80" spans="1:6" ht="14.45" customHeight="1">
      <c r="A80" s="33"/>
      <c r="B80" s="101" t="s">
        <v>86</v>
      </c>
      <c r="C80" s="58" t="s">
        <v>140</v>
      </c>
      <c r="D80" s="61">
        <v>8</v>
      </c>
      <c r="E80" s="60">
        <v>1E-3</v>
      </c>
      <c r="F80" s="33"/>
    </row>
    <row r="81" spans="1:6" ht="14.45" customHeight="1">
      <c r="A81" s="33"/>
      <c r="B81" s="102"/>
      <c r="C81" s="58" t="s">
        <v>141</v>
      </c>
      <c r="D81" s="61">
        <v>8</v>
      </c>
      <c r="E81" s="60">
        <v>1E-3</v>
      </c>
      <c r="F81" s="33"/>
    </row>
    <row r="82" spans="1:6" ht="14.45" customHeight="1">
      <c r="A82" s="33"/>
      <c r="B82" s="103"/>
      <c r="C82" s="75" t="s">
        <v>324</v>
      </c>
      <c r="D82" s="76">
        <v>16</v>
      </c>
      <c r="E82" s="72">
        <v>2E-3</v>
      </c>
      <c r="F82" s="33"/>
    </row>
    <row r="83" spans="1:6" ht="14.45" customHeight="1">
      <c r="A83" s="33"/>
      <c r="B83" s="101" t="s">
        <v>89</v>
      </c>
      <c r="C83" s="58" t="s">
        <v>140</v>
      </c>
      <c r="D83" s="61">
        <v>5</v>
      </c>
      <c r="E83" s="60">
        <v>1E-3</v>
      </c>
      <c r="F83" s="33"/>
    </row>
    <row r="84" spans="1:6" ht="14.45" customHeight="1">
      <c r="A84" s="33"/>
      <c r="B84" s="102"/>
      <c r="C84" s="58" t="s">
        <v>141</v>
      </c>
      <c r="D84" s="61">
        <v>4</v>
      </c>
      <c r="E84" s="60">
        <v>1E-3</v>
      </c>
      <c r="F84" s="33"/>
    </row>
    <row r="85" spans="1:6" ht="14.45" customHeight="1">
      <c r="A85" s="33"/>
      <c r="B85" s="103"/>
      <c r="C85" s="75" t="s">
        <v>324</v>
      </c>
      <c r="D85" s="76">
        <v>9</v>
      </c>
      <c r="E85" s="72">
        <v>1E-3</v>
      </c>
      <c r="F85" s="33"/>
    </row>
    <row r="86" spans="1:6" ht="14.45" customHeight="1">
      <c r="A86" s="33"/>
      <c r="B86" s="101" t="s">
        <v>75</v>
      </c>
      <c r="C86" s="58" t="s">
        <v>140</v>
      </c>
      <c r="D86" s="61">
        <v>11</v>
      </c>
      <c r="E86" s="60">
        <v>2E-3</v>
      </c>
      <c r="F86" s="33"/>
    </row>
    <row r="87" spans="1:6" ht="14.45" customHeight="1">
      <c r="A87" s="33"/>
      <c r="B87" s="102"/>
      <c r="C87" s="58" t="s">
        <v>141</v>
      </c>
      <c r="D87" s="61">
        <v>3</v>
      </c>
      <c r="E87" s="60">
        <v>0</v>
      </c>
      <c r="F87" s="33"/>
    </row>
    <row r="88" spans="1:6" ht="14.45" customHeight="1">
      <c r="A88" s="33"/>
      <c r="B88" s="103"/>
      <c r="C88" s="75" t="s">
        <v>324</v>
      </c>
      <c r="D88" s="76">
        <v>14</v>
      </c>
      <c r="E88" s="72">
        <v>2E-3</v>
      </c>
      <c r="F88" s="33"/>
    </row>
    <row r="89" spans="1:6" ht="14.45" customHeight="1">
      <c r="A89" s="33"/>
      <c r="B89" s="101" t="s">
        <v>97</v>
      </c>
      <c r="C89" s="58" t="s">
        <v>140</v>
      </c>
      <c r="D89" s="61">
        <v>3</v>
      </c>
      <c r="E89" s="60">
        <v>0</v>
      </c>
      <c r="F89" s="33"/>
    </row>
    <row r="90" spans="1:6" ht="14.45" customHeight="1">
      <c r="A90" s="33"/>
      <c r="B90" s="102"/>
      <c r="C90" s="58" t="s">
        <v>141</v>
      </c>
      <c r="D90" s="61">
        <v>7</v>
      </c>
      <c r="E90" s="60">
        <v>1E-3</v>
      </c>
      <c r="F90" s="33"/>
    </row>
    <row r="91" spans="1:6" ht="14.45" customHeight="1">
      <c r="A91" s="33"/>
      <c r="B91" s="103"/>
      <c r="C91" s="75" t="s">
        <v>324</v>
      </c>
      <c r="D91" s="76">
        <v>10</v>
      </c>
      <c r="E91" s="72">
        <v>1E-3</v>
      </c>
      <c r="F91" s="33"/>
    </row>
    <row r="92" spans="1:6" ht="14.45" customHeight="1">
      <c r="A92" s="33"/>
      <c r="B92" s="101" t="s">
        <v>55</v>
      </c>
      <c r="C92" s="58" t="s">
        <v>140</v>
      </c>
      <c r="D92" s="61">
        <v>105</v>
      </c>
      <c r="E92" s="60">
        <v>1.6E-2</v>
      </c>
      <c r="F92" s="33"/>
    </row>
    <row r="93" spans="1:6" ht="14.45" customHeight="1">
      <c r="A93" s="33"/>
      <c r="B93" s="102"/>
      <c r="C93" s="58" t="s">
        <v>141</v>
      </c>
      <c r="D93" s="61">
        <v>58</v>
      </c>
      <c r="E93" s="60">
        <v>8.9999999999999993E-3</v>
      </c>
      <c r="F93" s="33"/>
    </row>
    <row r="94" spans="1:6" ht="14.45" customHeight="1">
      <c r="A94" s="33"/>
      <c r="B94" s="103"/>
      <c r="C94" s="75" t="s">
        <v>324</v>
      </c>
      <c r="D94" s="76">
        <v>163</v>
      </c>
      <c r="E94" s="72">
        <v>2.4E-2</v>
      </c>
      <c r="F94" s="33"/>
    </row>
    <row r="95" spans="1:6" ht="14.45" customHeight="1">
      <c r="A95" s="33"/>
      <c r="B95" s="101" t="s">
        <v>88</v>
      </c>
      <c r="C95" s="58" t="s">
        <v>140</v>
      </c>
      <c r="D95" s="61">
        <v>6</v>
      </c>
      <c r="E95" s="60">
        <v>1E-3</v>
      </c>
      <c r="F95" s="33"/>
    </row>
    <row r="96" spans="1:6" ht="14.45" customHeight="1">
      <c r="A96" s="33"/>
      <c r="B96" s="102"/>
      <c r="C96" s="58" t="s">
        <v>141</v>
      </c>
      <c r="D96" s="61">
        <v>11</v>
      </c>
      <c r="E96" s="60">
        <v>2E-3</v>
      </c>
      <c r="F96" s="33"/>
    </row>
    <row r="97" spans="1:6" ht="14.45" customHeight="1">
      <c r="A97" s="33"/>
      <c r="B97" s="103"/>
      <c r="C97" s="75" t="s">
        <v>324</v>
      </c>
      <c r="D97" s="76">
        <v>17</v>
      </c>
      <c r="E97" s="72">
        <v>3.0000000000000001E-3</v>
      </c>
      <c r="F97" s="33"/>
    </row>
    <row r="98" spans="1:6" ht="14.45" customHeight="1">
      <c r="A98" s="33"/>
      <c r="B98" s="101" t="s">
        <v>82</v>
      </c>
      <c r="C98" s="58" t="s">
        <v>140</v>
      </c>
      <c r="D98" s="61">
        <v>10</v>
      </c>
      <c r="E98" s="60">
        <v>1E-3</v>
      </c>
      <c r="F98" s="33"/>
    </row>
    <row r="99" spans="1:6" ht="14.45" customHeight="1">
      <c r="A99" s="33"/>
      <c r="B99" s="102"/>
      <c r="C99" s="58" t="s">
        <v>141</v>
      </c>
      <c r="D99" s="61">
        <v>12</v>
      </c>
      <c r="E99" s="60">
        <v>2E-3</v>
      </c>
      <c r="F99" s="33"/>
    </row>
    <row r="100" spans="1:6" ht="14.45" customHeight="1">
      <c r="A100" s="33"/>
      <c r="B100" s="103"/>
      <c r="C100" s="75" t="s">
        <v>324</v>
      </c>
      <c r="D100" s="76">
        <v>22</v>
      </c>
      <c r="E100" s="72">
        <v>3.0000000000000001E-3</v>
      </c>
      <c r="F100" s="33"/>
    </row>
    <row r="101" spans="1:6" ht="14.45" customHeight="1">
      <c r="A101" s="33"/>
      <c r="B101" s="101" t="s">
        <v>68</v>
      </c>
      <c r="C101" s="58" t="s">
        <v>140</v>
      </c>
      <c r="D101" s="61">
        <v>36</v>
      </c>
      <c r="E101" s="60">
        <v>5.0000000000000001E-3</v>
      </c>
      <c r="F101" s="33"/>
    </row>
    <row r="102" spans="1:6" ht="14.45" customHeight="1">
      <c r="A102" s="33"/>
      <c r="B102" s="102"/>
      <c r="C102" s="58" t="s">
        <v>141</v>
      </c>
      <c r="D102" s="61">
        <v>42</v>
      </c>
      <c r="E102" s="60">
        <v>6.0000000000000001E-3</v>
      </c>
      <c r="F102" s="33"/>
    </row>
    <row r="103" spans="1:6" ht="14.45" customHeight="1">
      <c r="A103" s="33"/>
      <c r="B103" s="103"/>
      <c r="C103" s="75" t="s">
        <v>324</v>
      </c>
      <c r="D103" s="76">
        <v>78</v>
      </c>
      <c r="E103" s="72">
        <v>1.2E-2</v>
      </c>
      <c r="F103" s="33"/>
    </row>
    <row r="104" spans="1:6" ht="14.45" customHeight="1">
      <c r="A104" s="33"/>
      <c r="B104" s="101" t="s">
        <v>87</v>
      </c>
      <c r="C104" s="58" t="s">
        <v>140</v>
      </c>
      <c r="D104" s="61">
        <v>33</v>
      </c>
      <c r="E104" s="60">
        <v>5.0000000000000001E-3</v>
      </c>
      <c r="F104" s="33"/>
    </row>
    <row r="105" spans="1:6" ht="14.45" customHeight="1">
      <c r="A105" s="33"/>
      <c r="B105" s="102"/>
      <c r="C105" s="58" t="s">
        <v>141</v>
      </c>
      <c r="D105" s="61">
        <v>15</v>
      </c>
      <c r="E105" s="60">
        <v>2E-3</v>
      </c>
      <c r="F105" s="33"/>
    </row>
    <row r="106" spans="1:6" ht="14.45" customHeight="1">
      <c r="A106" s="33"/>
      <c r="B106" s="103"/>
      <c r="C106" s="75" t="s">
        <v>324</v>
      </c>
      <c r="D106" s="76">
        <v>48</v>
      </c>
      <c r="E106" s="72">
        <v>7.0000000000000001E-3</v>
      </c>
      <c r="F106" s="33"/>
    </row>
    <row r="107" spans="1:6" ht="14.45" customHeight="1">
      <c r="A107" s="33"/>
      <c r="B107" s="101" t="s">
        <v>76</v>
      </c>
      <c r="C107" s="58" t="s">
        <v>140</v>
      </c>
      <c r="D107" s="61">
        <v>11</v>
      </c>
      <c r="E107" s="60">
        <v>2E-3</v>
      </c>
      <c r="F107" s="33"/>
    </row>
    <row r="108" spans="1:6" ht="14.45" customHeight="1">
      <c r="A108" s="33"/>
      <c r="B108" s="102"/>
      <c r="C108" s="58" t="s">
        <v>141</v>
      </c>
      <c r="D108" s="61">
        <v>6</v>
      </c>
      <c r="E108" s="60">
        <v>1E-3</v>
      </c>
      <c r="F108" s="33"/>
    </row>
    <row r="109" spans="1:6" ht="14.45" customHeight="1">
      <c r="A109" s="33"/>
      <c r="B109" s="103"/>
      <c r="C109" s="75" t="s">
        <v>324</v>
      </c>
      <c r="D109" s="76">
        <v>17</v>
      </c>
      <c r="E109" s="72">
        <v>3.0000000000000001E-3</v>
      </c>
      <c r="F109" s="33"/>
    </row>
    <row r="110" spans="1:6" ht="14.45" customHeight="1">
      <c r="A110" s="33"/>
      <c r="B110" s="101" t="s">
        <v>74</v>
      </c>
      <c r="C110" s="58" t="s">
        <v>140</v>
      </c>
      <c r="D110" s="61">
        <v>28</v>
      </c>
      <c r="E110" s="60">
        <v>4.0000000000000001E-3</v>
      </c>
      <c r="F110" s="33"/>
    </row>
    <row r="111" spans="1:6" ht="14.45" customHeight="1">
      <c r="A111" s="33"/>
      <c r="B111" s="102"/>
      <c r="C111" s="58" t="s">
        <v>141</v>
      </c>
      <c r="D111" s="61">
        <v>23</v>
      </c>
      <c r="E111" s="60">
        <v>3.0000000000000001E-3</v>
      </c>
      <c r="F111" s="33"/>
    </row>
    <row r="112" spans="1:6" ht="14.45" customHeight="1">
      <c r="A112" s="33"/>
      <c r="B112" s="103"/>
      <c r="C112" s="75" t="s">
        <v>324</v>
      </c>
      <c r="D112" s="76">
        <v>51</v>
      </c>
      <c r="E112" s="72">
        <v>8.0000000000000002E-3</v>
      </c>
      <c r="F112" s="33"/>
    </row>
    <row r="113" spans="1:6" ht="14.45" customHeight="1">
      <c r="A113" s="33"/>
      <c r="B113" s="101" t="s">
        <v>47</v>
      </c>
      <c r="C113" s="58" t="s">
        <v>140</v>
      </c>
      <c r="D113" s="61">
        <v>823</v>
      </c>
      <c r="E113" s="60">
        <v>0.123</v>
      </c>
      <c r="F113" s="33"/>
    </row>
    <row r="114" spans="1:6" ht="14.45" customHeight="1">
      <c r="A114" s="33"/>
      <c r="B114" s="102"/>
      <c r="C114" s="58" t="s">
        <v>141</v>
      </c>
      <c r="D114" s="59">
        <v>1000</v>
      </c>
      <c r="E114" s="60">
        <v>0.14899999999999999</v>
      </c>
      <c r="F114" s="33"/>
    </row>
    <row r="115" spans="1:6" ht="14.45" customHeight="1">
      <c r="A115" s="33"/>
      <c r="B115" s="103"/>
      <c r="C115" s="75" t="s">
        <v>324</v>
      </c>
      <c r="D115" s="76">
        <v>1823</v>
      </c>
      <c r="E115" s="72">
        <v>0.27100000000000002</v>
      </c>
      <c r="F115" s="33"/>
    </row>
    <row r="116" spans="1:6" ht="14.45" customHeight="1">
      <c r="A116" s="33"/>
      <c r="B116" s="101" t="s">
        <v>79</v>
      </c>
      <c r="C116" s="58" t="s">
        <v>140</v>
      </c>
      <c r="D116" s="61">
        <v>10</v>
      </c>
      <c r="E116" s="60">
        <v>1E-3</v>
      </c>
      <c r="F116" s="33"/>
    </row>
    <row r="117" spans="1:6" ht="14.45" customHeight="1">
      <c r="A117" s="33"/>
      <c r="B117" s="102"/>
      <c r="C117" s="58" t="s">
        <v>141</v>
      </c>
      <c r="D117" s="61">
        <v>15</v>
      </c>
      <c r="E117" s="60">
        <v>2E-3</v>
      </c>
      <c r="F117" s="33"/>
    </row>
    <row r="118" spans="1:6" ht="14.45" customHeight="1">
      <c r="A118" s="33"/>
      <c r="B118" s="103"/>
      <c r="C118" s="75" t="s">
        <v>324</v>
      </c>
      <c r="D118" s="76">
        <v>25</v>
      </c>
      <c r="E118" s="72">
        <v>4.0000000000000001E-3</v>
      </c>
      <c r="F118" s="33"/>
    </row>
    <row r="119" spans="1:6" ht="14.45" customHeight="1">
      <c r="A119" s="33"/>
      <c r="B119" s="101" t="s">
        <v>90</v>
      </c>
      <c r="C119" s="58" t="s">
        <v>140</v>
      </c>
      <c r="D119" s="61">
        <v>1</v>
      </c>
      <c r="E119" s="60">
        <v>0</v>
      </c>
      <c r="F119" s="33"/>
    </row>
    <row r="120" spans="1:6" ht="14.45" customHeight="1">
      <c r="A120" s="33"/>
      <c r="B120" s="102"/>
      <c r="C120" s="58" t="s">
        <v>141</v>
      </c>
      <c r="D120" s="61">
        <v>3</v>
      </c>
      <c r="E120" s="60">
        <v>0</v>
      </c>
      <c r="F120" s="33"/>
    </row>
    <row r="121" spans="1:6" ht="14.45" customHeight="1">
      <c r="A121" s="33"/>
      <c r="B121" s="103"/>
      <c r="C121" s="75" t="s">
        <v>324</v>
      </c>
      <c r="D121" s="76">
        <v>4</v>
      </c>
      <c r="E121" s="72">
        <v>1E-3</v>
      </c>
      <c r="F121" s="33"/>
    </row>
    <row r="122" spans="1:6" ht="14.45" customHeight="1">
      <c r="A122" s="33"/>
      <c r="B122" s="101" t="s">
        <v>65</v>
      </c>
      <c r="C122" s="58" t="s">
        <v>140</v>
      </c>
      <c r="D122" s="61">
        <v>24</v>
      </c>
      <c r="E122" s="60">
        <v>4.0000000000000001E-3</v>
      </c>
      <c r="F122" s="33"/>
    </row>
    <row r="123" spans="1:6" ht="14.45" customHeight="1">
      <c r="A123" s="33"/>
      <c r="B123" s="102"/>
      <c r="C123" s="58" t="s">
        <v>141</v>
      </c>
      <c r="D123" s="61">
        <v>32</v>
      </c>
      <c r="E123" s="60">
        <v>5.0000000000000001E-3</v>
      </c>
      <c r="F123" s="33"/>
    </row>
    <row r="124" spans="1:6" ht="14.45" customHeight="1">
      <c r="A124" s="33"/>
      <c r="B124" s="103"/>
      <c r="C124" s="75" t="s">
        <v>324</v>
      </c>
      <c r="D124" s="76">
        <v>56</v>
      </c>
      <c r="E124" s="72">
        <v>8.0000000000000002E-3</v>
      </c>
      <c r="F124" s="33"/>
    </row>
    <row r="125" spans="1:6" ht="14.45" customHeight="1">
      <c r="A125" s="33"/>
      <c r="B125" s="101" t="s">
        <v>57</v>
      </c>
      <c r="C125" s="58" t="s">
        <v>140</v>
      </c>
      <c r="D125" s="61">
        <v>54</v>
      </c>
      <c r="E125" s="60">
        <v>8.0000000000000002E-3</v>
      </c>
      <c r="F125" s="33"/>
    </row>
    <row r="126" spans="1:6" ht="14.45" customHeight="1">
      <c r="A126" s="33"/>
      <c r="B126" s="102"/>
      <c r="C126" s="58" t="s">
        <v>141</v>
      </c>
      <c r="D126" s="61">
        <v>64</v>
      </c>
      <c r="E126" s="60">
        <v>0.01</v>
      </c>
      <c r="F126" s="33"/>
    </row>
    <row r="127" spans="1:6" ht="14.45" customHeight="1">
      <c r="A127" s="33"/>
      <c r="B127" s="103"/>
      <c r="C127" s="75" t="s">
        <v>324</v>
      </c>
      <c r="D127" s="76">
        <v>118</v>
      </c>
      <c r="E127" s="72">
        <v>1.7999999999999999E-2</v>
      </c>
      <c r="F127" s="33"/>
    </row>
    <row r="128" spans="1:6" ht="14.45" customHeight="1">
      <c r="A128" s="33"/>
      <c r="B128" s="101" t="s">
        <v>72</v>
      </c>
      <c r="C128" s="58" t="s">
        <v>140</v>
      </c>
      <c r="D128" s="61">
        <v>13</v>
      </c>
      <c r="E128" s="60">
        <v>2E-3</v>
      </c>
      <c r="F128" s="33"/>
    </row>
    <row r="129" spans="1:6" ht="14.45" customHeight="1">
      <c r="A129" s="33"/>
      <c r="B129" s="102"/>
      <c r="C129" s="58" t="s">
        <v>141</v>
      </c>
      <c r="D129" s="61">
        <v>25</v>
      </c>
      <c r="E129" s="60">
        <v>4.0000000000000001E-3</v>
      </c>
      <c r="F129" s="33"/>
    </row>
    <row r="130" spans="1:6" ht="14.45" customHeight="1">
      <c r="A130" s="33"/>
      <c r="B130" s="103"/>
      <c r="C130" s="75" t="s">
        <v>324</v>
      </c>
      <c r="D130" s="76">
        <v>38</v>
      </c>
      <c r="E130" s="72">
        <v>6.0000000000000001E-3</v>
      </c>
      <c r="F130" s="33"/>
    </row>
    <row r="131" spans="1:6" ht="14.45" customHeight="1">
      <c r="A131" s="33"/>
      <c r="B131" s="101" t="s">
        <v>63</v>
      </c>
      <c r="C131" s="58" t="s">
        <v>140</v>
      </c>
      <c r="D131" s="61">
        <v>43</v>
      </c>
      <c r="E131" s="60">
        <v>6.0000000000000001E-3</v>
      </c>
      <c r="F131" s="33"/>
    </row>
    <row r="132" spans="1:6" ht="14.45" customHeight="1">
      <c r="A132" s="33"/>
      <c r="B132" s="102"/>
      <c r="C132" s="58" t="s">
        <v>141</v>
      </c>
      <c r="D132" s="61">
        <v>68</v>
      </c>
      <c r="E132" s="60">
        <v>0.01</v>
      </c>
      <c r="F132" s="33"/>
    </row>
    <row r="133" spans="1:6" ht="14.45" customHeight="1">
      <c r="A133" s="33"/>
      <c r="B133" s="102"/>
      <c r="C133" s="58" t="s">
        <v>290</v>
      </c>
      <c r="D133" s="61">
        <v>1</v>
      </c>
      <c r="E133" s="60">
        <v>0</v>
      </c>
      <c r="F133" s="33"/>
    </row>
    <row r="134" spans="1:6" ht="14.45" customHeight="1">
      <c r="A134" s="33"/>
      <c r="B134" s="103"/>
      <c r="C134" s="75" t="s">
        <v>324</v>
      </c>
      <c r="D134" s="76">
        <v>112</v>
      </c>
      <c r="E134" s="72">
        <v>1.7000000000000001E-2</v>
      </c>
      <c r="F134" s="33"/>
    </row>
    <row r="135" spans="1:6" ht="14.45" customHeight="1">
      <c r="A135" s="33"/>
      <c r="B135" s="101" t="s">
        <v>83</v>
      </c>
      <c r="C135" s="58" t="s">
        <v>140</v>
      </c>
      <c r="D135" s="61">
        <v>10</v>
      </c>
      <c r="E135" s="60">
        <v>1E-3</v>
      </c>
      <c r="F135" s="33"/>
    </row>
    <row r="136" spans="1:6" ht="14.45" customHeight="1">
      <c r="A136" s="33"/>
      <c r="B136" s="102"/>
      <c r="C136" s="58" t="s">
        <v>141</v>
      </c>
      <c r="D136" s="61">
        <v>8</v>
      </c>
      <c r="E136" s="60">
        <v>1E-3</v>
      </c>
      <c r="F136" s="33"/>
    </row>
    <row r="137" spans="1:6" ht="14.45" customHeight="1">
      <c r="A137" s="33"/>
      <c r="B137" s="103"/>
      <c r="C137" s="75" t="s">
        <v>324</v>
      </c>
      <c r="D137" s="76">
        <v>18</v>
      </c>
      <c r="E137" s="72">
        <v>3.0000000000000001E-3</v>
      </c>
      <c r="F137" s="33"/>
    </row>
    <row r="138" spans="1:6" ht="14.45" customHeight="1">
      <c r="A138" s="33"/>
      <c r="B138" s="101" t="s">
        <v>51</v>
      </c>
      <c r="C138" s="58" t="s">
        <v>140</v>
      </c>
      <c r="D138" s="61">
        <v>158</v>
      </c>
      <c r="E138" s="60">
        <v>2.4E-2</v>
      </c>
      <c r="F138" s="33"/>
    </row>
    <row r="139" spans="1:6" ht="14.45" customHeight="1">
      <c r="A139" s="33"/>
      <c r="B139" s="102"/>
      <c r="C139" s="58" t="s">
        <v>141</v>
      </c>
      <c r="D139" s="61">
        <v>134</v>
      </c>
      <c r="E139" s="60">
        <v>0.02</v>
      </c>
      <c r="F139" s="33"/>
    </row>
    <row r="140" spans="1:6" ht="14.45" customHeight="1">
      <c r="A140" s="33"/>
      <c r="B140" s="103"/>
      <c r="C140" s="75" t="s">
        <v>324</v>
      </c>
      <c r="D140" s="76">
        <v>292</v>
      </c>
      <c r="E140" s="72">
        <v>4.2999999999999997E-2</v>
      </c>
      <c r="F140" s="33"/>
    </row>
    <row r="141" spans="1:6" ht="14.45" customHeight="1">
      <c r="A141" s="33"/>
      <c r="B141" s="101" t="s">
        <v>59</v>
      </c>
      <c r="C141" s="58" t="s">
        <v>140</v>
      </c>
      <c r="D141" s="61">
        <v>73</v>
      </c>
      <c r="E141" s="60">
        <v>1.0999999999999999E-2</v>
      </c>
      <c r="F141" s="33"/>
    </row>
    <row r="142" spans="1:6" ht="14.45" customHeight="1">
      <c r="A142" s="33"/>
      <c r="B142" s="102"/>
      <c r="C142" s="58" t="s">
        <v>141</v>
      </c>
      <c r="D142" s="61">
        <v>76</v>
      </c>
      <c r="E142" s="60">
        <v>1.0999999999999999E-2</v>
      </c>
      <c r="F142" s="33"/>
    </row>
    <row r="143" spans="1:6" ht="14.45" customHeight="1">
      <c r="A143" s="33"/>
      <c r="B143" s="103"/>
      <c r="C143" s="75" t="s">
        <v>324</v>
      </c>
      <c r="D143" s="76">
        <v>149</v>
      </c>
      <c r="E143" s="72">
        <v>2.1999999999999999E-2</v>
      </c>
      <c r="F143" s="33"/>
    </row>
    <row r="144" spans="1:6" ht="14.45" customHeight="1">
      <c r="A144" s="33"/>
      <c r="B144" s="101" t="s">
        <v>69</v>
      </c>
      <c r="C144" s="58" t="s">
        <v>140</v>
      </c>
      <c r="D144" s="61">
        <v>22</v>
      </c>
      <c r="E144" s="60">
        <v>3.0000000000000001E-3</v>
      </c>
      <c r="F144" s="33"/>
    </row>
    <row r="145" spans="1:6" ht="14.45" customHeight="1">
      <c r="A145" s="33"/>
      <c r="B145" s="102"/>
      <c r="C145" s="58" t="s">
        <v>141</v>
      </c>
      <c r="D145" s="61">
        <v>27</v>
      </c>
      <c r="E145" s="60">
        <v>4.0000000000000001E-3</v>
      </c>
      <c r="F145" s="33"/>
    </row>
    <row r="146" spans="1:6" ht="14.45" customHeight="1">
      <c r="A146" s="33"/>
      <c r="B146" s="103"/>
      <c r="C146" s="75" t="s">
        <v>324</v>
      </c>
      <c r="D146" s="76">
        <v>49</v>
      </c>
      <c r="E146" s="72">
        <v>7.0000000000000001E-3</v>
      </c>
      <c r="F146" s="33"/>
    </row>
    <row r="147" spans="1:6" ht="14.45" customHeight="1">
      <c r="A147" s="33"/>
      <c r="B147" s="101" t="s">
        <v>60</v>
      </c>
      <c r="C147" s="58" t="s">
        <v>140</v>
      </c>
      <c r="D147" s="61">
        <v>74</v>
      </c>
      <c r="E147" s="60">
        <v>1.0999999999999999E-2</v>
      </c>
      <c r="F147" s="33"/>
    </row>
    <row r="148" spans="1:6" ht="14.45" customHeight="1">
      <c r="A148" s="33"/>
      <c r="B148" s="102"/>
      <c r="C148" s="58" t="s">
        <v>141</v>
      </c>
      <c r="D148" s="61">
        <v>71</v>
      </c>
      <c r="E148" s="60">
        <v>1.0999999999999999E-2</v>
      </c>
      <c r="F148" s="33"/>
    </row>
    <row r="149" spans="1:6" ht="14.45" customHeight="1">
      <c r="A149" s="33"/>
      <c r="B149" s="103"/>
      <c r="C149" s="75" t="s">
        <v>324</v>
      </c>
      <c r="D149" s="76">
        <v>145</v>
      </c>
      <c r="E149" s="72">
        <v>2.1999999999999999E-2</v>
      </c>
      <c r="F149" s="33"/>
    </row>
    <row r="150" spans="1:6" ht="14.45" customHeight="1">
      <c r="A150" s="33"/>
      <c r="B150" s="101" t="s">
        <v>61</v>
      </c>
      <c r="C150" s="58" t="s">
        <v>140</v>
      </c>
      <c r="D150" s="61">
        <v>59</v>
      </c>
      <c r="E150" s="60">
        <v>8.9999999999999993E-3</v>
      </c>
      <c r="F150" s="33"/>
    </row>
    <row r="151" spans="1:6" ht="14.45" customHeight="1">
      <c r="A151" s="33"/>
      <c r="B151" s="102"/>
      <c r="C151" s="58" t="s">
        <v>141</v>
      </c>
      <c r="D151" s="61">
        <v>52</v>
      </c>
      <c r="E151" s="60">
        <v>8.0000000000000002E-3</v>
      </c>
      <c r="F151" s="33"/>
    </row>
    <row r="152" spans="1:6" ht="14.45" customHeight="1">
      <c r="A152" s="33"/>
      <c r="B152" s="103"/>
      <c r="C152" s="75" t="s">
        <v>324</v>
      </c>
      <c r="D152" s="76">
        <v>111</v>
      </c>
      <c r="E152" s="72">
        <v>1.7000000000000001E-2</v>
      </c>
      <c r="F152" s="33"/>
    </row>
    <row r="153" spans="1:6" ht="14.45" customHeight="1">
      <c r="A153" s="33"/>
      <c r="B153" s="101" t="s">
        <v>77</v>
      </c>
      <c r="C153" s="58" t="s">
        <v>140</v>
      </c>
      <c r="D153" s="61">
        <v>7</v>
      </c>
      <c r="E153" s="60">
        <v>1E-3</v>
      </c>
      <c r="F153" s="33"/>
    </row>
    <row r="154" spans="1:6" ht="14.45" customHeight="1">
      <c r="A154" s="33"/>
      <c r="B154" s="102"/>
      <c r="C154" s="58" t="s">
        <v>141</v>
      </c>
      <c r="D154" s="61">
        <v>22</v>
      </c>
      <c r="E154" s="60">
        <v>3.0000000000000001E-3</v>
      </c>
      <c r="F154" s="33"/>
    </row>
    <row r="155" spans="1:6" ht="14.45" customHeight="1">
      <c r="A155" s="33"/>
      <c r="B155" s="103"/>
      <c r="C155" s="75" t="s">
        <v>324</v>
      </c>
      <c r="D155" s="76">
        <v>29</v>
      </c>
      <c r="E155" s="72">
        <v>4.0000000000000001E-3</v>
      </c>
      <c r="F155" s="33"/>
    </row>
    <row r="156" spans="1:6" ht="14.45" customHeight="1">
      <c r="A156" s="33"/>
      <c r="B156" s="101" t="s">
        <v>48</v>
      </c>
      <c r="C156" s="58" t="s">
        <v>140</v>
      </c>
      <c r="D156" s="61">
        <v>542</v>
      </c>
      <c r="E156" s="60">
        <v>8.1000000000000003E-2</v>
      </c>
      <c r="F156" s="33"/>
    </row>
    <row r="157" spans="1:6" ht="14.45" customHeight="1">
      <c r="A157" s="33"/>
      <c r="B157" s="102"/>
      <c r="C157" s="58" t="s">
        <v>141</v>
      </c>
      <c r="D157" s="61">
        <v>553</v>
      </c>
      <c r="E157" s="60">
        <v>8.2000000000000003E-2</v>
      </c>
      <c r="F157" s="33"/>
    </row>
    <row r="158" spans="1:6" ht="14.45" customHeight="1">
      <c r="A158" s="33"/>
      <c r="B158" s="103"/>
      <c r="C158" s="75" t="s">
        <v>324</v>
      </c>
      <c r="D158" s="76">
        <v>1095</v>
      </c>
      <c r="E158" s="72">
        <v>0.16300000000000001</v>
      </c>
      <c r="F158" s="33"/>
    </row>
    <row r="159" spans="1:6" ht="14.45" customHeight="1">
      <c r="A159" s="33"/>
      <c r="B159" s="101" t="s">
        <v>93</v>
      </c>
      <c r="C159" s="58" t="s">
        <v>140</v>
      </c>
      <c r="D159" s="61">
        <v>1</v>
      </c>
      <c r="E159" s="60">
        <v>0</v>
      </c>
      <c r="F159" s="33"/>
    </row>
    <row r="160" spans="1:6" ht="14.45" customHeight="1">
      <c r="A160" s="33"/>
      <c r="B160" s="102"/>
      <c r="C160" s="58" t="s">
        <v>141</v>
      </c>
      <c r="D160" s="61">
        <v>6</v>
      </c>
      <c r="E160" s="60">
        <v>1E-3</v>
      </c>
      <c r="F160" s="33"/>
    </row>
    <row r="161" spans="1:6" ht="14.45" customHeight="1">
      <c r="A161" s="33"/>
      <c r="B161" s="103"/>
      <c r="C161" s="75" t="s">
        <v>324</v>
      </c>
      <c r="D161" s="76">
        <v>7</v>
      </c>
      <c r="E161" s="72">
        <v>1E-3</v>
      </c>
      <c r="F161" s="33"/>
    </row>
    <row r="162" spans="1:6" ht="14.45" customHeight="1">
      <c r="A162" s="33"/>
      <c r="B162" s="101" t="s">
        <v>53</v>
      </c>
      <c r="C162" s="58" t="s">
        <v>140</v>
      </c>
      <c r="D162" s="61">
        <v>104</v>
      </c>
      <c r="E162" s="60">
        <v>1.4999999999999999E-2</v>
      </c>
      <c r="F162" s="33"/>
    </row>
    <row r="163" spans="1:6" ht="14.45" customHeight="1">
      <c r="A163" s="33"/>
      <c r="B163" s="102"/>
      <c r="C163" s="58" t="s">
        <v>141</v>
      </c>
      <c r="D163" s="61">
        <v>86</v>
      </c>
      <c r="E163" s="60">
        <v>1.2999999999999999E-2</v>
      </c>
      <c r="F163" s="33"/>
    </row>
    <row r="164" spans="1:6" ht="14.45" customHeight="1">
      <c r="A164" s="33"/>
      <c r="B164" s="103"/>
      <c r="C164" s="75" t="s">
        <v>324</v>
      </c>
      <c r="D164" s="76">
        <v>190</v>
      </c>
      <c r="E164" s="72">
        <v>2.8000000000000001E-2</v>
      </c>
      <c r="F164" s="33"/>
    </row>
    <row r="165" spans="1:6" ht="14.45" customHeight="1">
      <c r="A165" s="33"/>
      <c r="B165" s="104" t="s">
        <v>324</v>
      </c>
      <c r="C165" s="104"/>
      <c r="D165" s="73">
        <v>6718</v>
      </c>
      <c r="E165" s="74">
        <v>1</v>
      </c>
      <c r="F165" s="33"/>
    </row>
    <row r="166" spans="1:6" ht="14.45" customHeight="1">
      <c r="A166" s="33"/>
      <c r="B166" s="48"/>
      <c r="C166" s="48"/>
      <c r="D166" s="57"/>
      <c r="E166" s="48"/>
      <c r="F166" s="33"/>
    </row>
    <row r="167" spans="1:6" ht="14.45" customHeight="1">
      <c r="A167" s="33"/>
      <c r="B167" s="36" t="s">
        <v>288</v>
      </c>
      <c r="C167" s="48"/>
      <c r="D167" s="57"/>
      <c r="E167" s="48"/>
      <c r="F167" s="33"/>
    </row>
    <row r="168" spans="1:6" ht="14.45" customHeight="1">
      <c r="A168" s="33"/>
      <c r="B168" s="38" t="s">
        <v>18</v>
      </c>
      <c r="C168" s="48"/>
      <c r="D168" s="57"/>
      <c r="E168" s="48"/>
      <c r="F168" s="33"/>
    </row>
    <row r="169" spans="1:6" ht="14.45" customHeight="1">
      <c r="A169" s="33"/>
      <c r="B169" s="39" t="s">
        <v>46</v>
      </c>
      <c r="C169" s="48"/>
      <c r="D169" s="57"/>
      <c r="E169" s="48"/>
      <c r="F169" s="33"/>
    </row>
    <row r="170" spans="1:6" ht="14.45" customHeight="1">
      <c r="A170" s="33"/>
      <c r="B170" s="36" t="s">
        <v>17</v>
      </c>
      <c r="C170" s="48"/>
      <c r="D170" s="57"/>
      <c r="E170" s="48"/>
      <c r="F170" s="33"/>
    </row>
    <row r="171" spans="1:6" ht="14.45" customHeight="1">
      <c r="A171" s="33"/>
      <c r="B171" s="36" t="s">
        <v>322</v>
      </c>
      <c r="C171" s="48"/>
      <c r="D171" s="57"/>
      <c r="E171" s="48"/>
      <c r="F171" s="33"/>
    </row>
  </sheetData>
  <mergeCells count="53">
    <mergeCell ref="B8:E10"/>
    <mergeCell ref="B28:B30"/>
    <mergeCell ref="B31:B33"/>
    <mergeCell ref="B34:B36"/>
    <mergeCell ref="B37:B39"/>
    <mergeCell ref="B13:B15"/>
    <mergeCell ref="B16:B18"/>
    <mergeCell ref="B19:B21"/>
    <mergeCell ref="B22:B24"/>
    <mergeCell ref="B25:B27"/>
    <mergeCell ref="B165:C165"/>
    <mergeCell ref="B66:B68"/>
    <mergeCell ref="B69:B70"/>
    <mergeCell ref="B71:B73"/>
    <mergeCell ref="B74:B76"/>
    <mergeCell ref="B77:B79"/>
    <mergeCell ref="B107:B109"/>
    <mergeCell ref="B110:B112"/>
    <mergeCell ref="B95:B97"/>
    <mergeCell ref="B98:B100"/>
    <mergeCell ref="B101:B103"/>
    <mergeCell ref="B104:B106"/>
    <mergeCell ref="B83:B85"/>
    <mergeCell ref="B86:B88"/>
    <mergeCell ref="B89:B91"/>
    <mergeCell ref="B92:B94"/>
    <mergeCell ref="B40:B41"/>
    <mergeCell ref="B42:B44"/>
    <mergeCell ref="B45:B47"/>
    <mergeCell ref="B48:B50"/>
    <mergeCell ref="B51:B53"/>
    <mergeCell ref="B150:B152"/>
    <mergeCell ref="B54:B56"/>
    <mergeCell ref="B57:B59"/>
    <mergeCell ref="B60:B62"/>
    <mergeCell ref="B63:B65"/>
    <mergeCell ref="B80:B82"/>
    <mergeCell ref="B153:B155"/>
    <mergeCell ref="B156:B158"/>
    <mergeCell ref="B159:B161"/>
    <mergeCell ref="B162:B164"/>
    <mergeCell ref="B113:B115"/>
    <mergeCell ref="B116:B118"/>
    <mergeCell ref="B119:B121"/>
    <mergeCell ref="B122:B124"/>
    <mergeCell ref="B125:B127"/>
    <mergeCell ref="B128:B130"/>
    <mergeCell ref="B131:B134"/>
    <mergeCell ref="B135:B137"/>
    <mergeCell ref="B138:B140"/>
    <mergeCell ref="B141:B143"/>
    <mergeCell ref="B144:B146"/>
    <mergeCell ref="B147:B149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F148"/>
  <sheetViews>
    <sheetView showGridLines="0" view="pageBreakPreview" topLeftCell="A123" zoomScaleNormal="100" zoomScaleSheetLayoutView="100" workbookViewId="0">
      <selection activeCell="C16" sqref="C16"/>
    </sheetView>
  </sheetViews>
  <sheetFormatPr baseColWidth="10" defaultColWidth="11.42578125" defaultRowHeight="11.25"/>
  <cols>
    <col min="1" max="1" width="5.7109375" style="16" customWidth="1"/>
    <col min="2" max="3" width="23.7109375" style="22" customWidth="1"/>
    <col min="4" max="4" width="15.7109375" style="26" customWidth="1"/>
    <col min="5" max="5" width="15.7109375" style="22" customWidth="1"/>
    <col min="6" max="6" width="5.7109375" style="16" customWidth="1"/>
    <col min="7" max="16384" width="11.42578125" style="16"/>
  </cols>
  <sheetData>
    <row r="1" spans="1:6" s="13" customFormat="1" ht="15">
      <c r="B1" s="22"/>
      <c r="C1" s="22"/>
    </row>
    <row r="2" spans="1:6" s="22" customFormat="1">
      <c r="B2" s="29"/>
    </row>
    <row r="3" spans="1:6" ht="15" customHeight="1">
      <c r="B3" s="30"/>
      <c r="C3" s="19"/>
      <c r="D3" s="16"/>
      <c r="F3" s="22"/>
    </row>
    <row r="4" spans="1:6" ht="30" customHeight="1">
      <c r="B4" s="30"/>
      <c r="C4" s="19"/>
      <c r="D4" s="16"/>
      <c r="F4" s="22"/>
    </row>
    <row r="5" spans="1:6" ht="15" customHeight="1">
      <c r="B5" s="30"/>
      <c r="C5" s="19"/>
      <c r="D5" s="16"/>
      <c r="F5" s="22"/>
    </row>
    <row r="6" spans="1:6" s="22" customFormat="1">
      <c r="B6" s="25"/>
      <c r="C6" s="24"/>
    </row>
    <row r="7" spans="1:6" s="22" customFormat="1">
      <c r="B7" s="29"/>
    </row>
    <row r="8" spans="1:6" s="13" customFormat="1" ht="15" customHeight="1">
      <c r="A8" s="35"/>
      <c r="B8" s="100" t="s">
        <v>40</v>
      </c>
      <c r="C8" s="100"/>
      <c r="D8" s="100"/>
      <c r="E8" s="100"/>
      <c r="F8" s="35"/>
    </row>
    <row r="9" spans="1:6" s="13" customFormat="1" ht="15" customHeight="1">
      <c r="A9" s="35"/>
      <c r="B9" s="100"/>
      <c r="C9" s="100"/>
      <c r="D9" s="100"/>
      <c r="E9" s="100"/>
      <c r="F9" s="55"/>
    </row>
    <row r="10" spans="1:6" s="13" customFormat="1" ht="15" customHeight="1">
      <c r="A10" s="35"/>
      <c r="B10" s="100"/>
      <c r="C10" s="100"/>
      <c r="D10" s="100"/>
      <c r="E10" s="100"/>
      <c r="F10" s="35"/>
    </row>
    <row r="11" spans="1:6" s="13" customFormat="1" ht="15" customHeight="1">
      <c r="A11" s="35"/>
      <c r="B11" s="56"/>
      <c r="C11" s="56"/>
      <c r="D11" s="56"/>
      <c r="E11" s="56"/>
      <c r="F11" s="35"/>
    </row>
    <row r="12" spans="1:6" s="13" customFormat="1" ht="36.950000000000003" customHeight="1">
      <c r="A12" s="35"/>
      <c r="B12" s="78" t="s">
        <v>25</v>
      </c>
      <c r="C12" s="78" t="s">
        <v>29</v>
      </c>
      <c r="D12" s="78" t="s">
        <v>20</v>
      </c>
      <c r="E12" s="78" t="s">
        <v>19</v>
      </c>
      <c r="F12" s="35"/>
    </row>
    <row r="13" spans="1:6" ht="14.45" customHeight="1">
      <c r="A13" s="33"/>
      <c r="B13" s="101" t="s">
        <v>98</v>
      </c>
      <c r="C13" s="58" t="s">
        <v>140</v>
      </c>
      <c r="D13" s="61">
        <v>13</v>
      </c>
      <c r="E13" s="60">
        <v>2E-3</v>
      </c>
      <c r="F13" s="33"/>
    </row>
    <row r="14" spans="1:6" ht="14.45" customHeight="1">
      <c r="A14" s="33"/>
      <c r="B14" s="102"/>
      <c r="C14" s="58" t="s">
        <v>141</v>
      </c>
      <c r="D14" s="61">
        <v>12</v>
      </c>
      <c r="E14" s="60">
        <v>2E-3</v>
      </c>
      <c r="F14" s="33"/>
    </row>
    <row r="15" spans="1:6" ht="14.45" customHeight="1">
      <c r="A15" s="33"/>
      <c r="B15" s="103"/>
      <c r="C15" s="75" t="s">
        <v>324</v>
      </c>
      <c r="D15" s="76">
        <v>25</v>
      </c>
      <c r="E15" s="72">
        <v>4.0000000000000001E-3</v>
      </c>
      <c r="F15" s="33"/>
    </row>
    <row r="16" spans="1:6" ht="14.45" customHeight="1">
      <c r="A16" s="33"/>
      <c r="B16" s="101" t="s">
        <v>289</v>
      </c>
      <c r="C16" s="58" t="s">
        <v>141</v>
      </c>
      <c r="D16" s="61">
        <v>1</v>
      </c>
      <c r="E16" s="60">
        <v>0</v>
      </c>
      <c r="F16" s="33"/>
    </row>
    <row r="17" spans="1:6" ht="14.45" customHeight="1">
      <c r="A17" s="33"/>
      <c r="B17" s="103"/>
      <c r="C17" s="75" t="s">
        <v>324</v>
      </c>
      <c r="D17" s="76">
        <v>1</v>
      </c>
      <c r="E17" s="72">
        <v>0</v>
      </c>
      <c r="F17" s="33"/>
    </row>
    <row r="18" spans="1:6" ht="14.45" customHeight="1">
      <c r="A18" s="33"/>
      <c r="B18" s="101" t="s">
        <v>99</v>
      </c>
      <c r="C18" s="58" t="s">
        <v>140</v>
      </c>
      <c r="D18" s="59">
        <v>1560</v>
      </c>
      <c r="E18" s="60">
        <v>0.23200000000000001</v>
      </c>
      <c r="F18" s="33"/>
    </row>
    <row r="19" spans="1:6" ht="14.45" customHeight="1">
      <c r="A19" s="33"/>
      <c r="B19" s="102"/>
      <c r="C19" s="58" t="s">
        <v>141</v>
      </c>
      <c r="D19" s="59">
        <v>1677</v>
      </c>
      <c r="E19" s="60">
        <v>0.25</v>
      </c>
      <c r="F19" s="33"/>
    </row>
    <row r="20" spans="1:6" ht="14.45" customHeight="1">
      <c r="A20" s="33"/>
      <c r="B20" s="103"/>
      <c r="C20" s="75" t="s">
        <v>324</v>
      </c>
      <c r="D20" s="76">
        <v>3237</v>
      </c>
      <c r="E20" s="72">
        <v>0.48199999999999998</v>
      </c>
      <c r="F20" s="33"/>
    </row>
    <row r="21" spans="1:6" ht="14.45" customHeight="1">
      <c r="A21" s="33"/>
      <c r="B21" s="101" t="s">
        <v>100</v>
      </c>
      <c r="C21" s="58" t="s">
        <v>140</v>
      </c>
      <c r="D21" s="61">
        <v>5</v>
      </c>
      <c r="E21" s="60">
        <v>1E-3</v>
      </c>
      <c r="F21" s="33"/>
    </row>
    <row r="22" spans="1:6" ht="14.45" customHeight="1">
      <c r="A22" s="33"/>
      <c r="B22" s="102"/>
      <c r="C22" s="58" t="s">
        <v>141</v>
      </c>
      <c r="D22" s="61">
        <v>9</v>
      </c>
      <c r="E22" s="60">
        <v>1E-3</v>
      </c>
      <c r="F22" s="33"/>
    </row>
    <row r="23" spans="1:6" ht="14.45" customHeight="1">
      <c r="A23" s="33"/>
      <c r="B23" s="103"/>
      <c r="C23" s="75" t="s">
        <v>324</v>
      </c>
      <c r="D23" s="76">
        <v>14</v>
      </c>
      <c r="E23" s="72">
        <v>2E-3</v>
      </c>
      <c r="F23" s="33"/>
    </row>
    <row r="24" spans="1:6" ht="14.45" customHeight="1">
      <c r="A24" s="33"/>
      <c r="B24" s="101" t="s">
        <v>101</v>
      </c>
      <c r="C24" s="58" t="s">
        <v>140</v>
      </c>
      <c r="D24" s="61">
        <v>892</v>
      </c>
      <c r="E24" s="60">
        <v>0.13300000000000001</v>
      </c>
      <c r="F24" s="33"/>
    </row>
    <row r="25" spans="1:6" ht="14.45" customHeight="1">
      <c r="A25" s="33"/>
      <c r="B25" s="102"/>
      <c r="C25" s="58" t="s">
        <v>141</v>
      </c>
      <c r="D25" s="61">
        <v>850</v>
      </c>
      <c r="E25" s="60">
        <v>0.127</v>
      </c>
      <c r="F25" s="33"/>
    </row>
    <row r="26" spans="1:6" ht="14.45" customHeight="1">
      <c r="A26" s="33"/>
      <c r="B26" s="103"/>
      <c r="C26" s="75" t="s">
        <v>324</v>
      </c>
      <c r="D26" s="76">
        <v>1742</v>
      </c>
      <c r="E26" s="72">
        <v>0.25900000000000001</v>
      </c>
      <c r="F26" s="33"/>
    </row>
    <row r="27" spans="1:6" ht="14.45" customHeight="1">
      <c r="A27" s="33"/>
      <c r="B27" s="101" t="s">
        <v>102</v>
      </c>
      <c r="C27" s="58" t="s">
        <v>140</v>
      </c>
      <c r="D27" s="61">
        <v>41</v>
      </c>
      <c r="E27" s="60">
        <v>6.0000000000000001E-3</v>
      </c>
      <c r="F27" s="33"/>
    </row>
    <row r="28" spans="1:6" ht="14.45" customHeight="1">
      <c r="A28" s="33"/>
      <c r="B28" s="102"/>
      <c r="C28" s="58" t="s">
        <v>141</v>
      </c>
      <c r="D28" s="61">
        <v>73</v>
      </c>
      <c r="E28" s="60">
        <v>1.0999999999999999E-2</v>
      </c>
      <c r="F28" s="33"/>
    </row>
    <row r="29" spans="1:6" ht="14.45" customHeight="1">
      <c r="A29" s="33"/>
      <c r="B29" s="103"/>
      <c r="C29" s="75" t="s">
        <v>324</v>
      </c>
      <c r="D29" s="76">
        <v>114</v>
      </c>
      <c r="E29" s="72">
        <v>1.7000000000000001E-2</v>
      </c>
      <c r="F29" s="33"/>
    </row>
    <row r="30" spans="1:6" ht="14.45" customHeight="1">
      <c r="A30" s="33"/>
      <c r="B30" s="101" t="s">
        <v>103</v>
      </c>
      <c r="C30" s="58" t="s">
        <v>140</v>
      </c>
      <c r="D30" s="61">
        <v>3</v>
      </c>
      <c r="E30" s="60">
        <v>0</v>
      </c>
      <c r="F30" s="33"/>
    </row>
    <row r="31" spans="1:6" ht="14.45" customHeight="1">
      <c r="A31" s="33"/>
      <c r="B31" s="102"/>
      <c r="C31" s="58" t="s">
        <v>141</v>
      </c>
      <c r="D31" s="61">
        <v>2</v>
      </c>
      <c r="E31" s="60">
        <v>0</v>
      </c>
      <c r="F31" s="33"/>
    </row>
    <row r="32" spans="1:6" ht="14.45" customHeight="1">
      <c r="A32" s="33"/>
      <c r="B32" s="103"/>
      <c r="C32" s="75" t="s">
        <v>324</v>
      </c>
      <c r="D32" s="76">
        <v>5</v>
      </c>
      <c r="E32" s="72">
        <v>1E-3</v>
      </c>
      <c r="F32" s="33"/>
    </row>
    <row r="33" spans="1:6" ht="14.45" customHeight="1">
      <c r="A33" s="33"/>
      <c r="B33" s="101" t="s">
        <v>104</v>
      </c>
      <c r="C33" s="58" t="s">
        <v>141</v>
      </c>
      <c r="D33" s="61">
        <v>1</v>
      </c>
      <c r="E33" s="60">
        <v>0</v>
      </c>
      <c r="F33" s="33"/>
    </row>
    <row r="34" spans="1:6" ht="14.45" customHeight="1">
      <c r="A34" s="33"/>
      <c r="B34" s="103"/>
      <c r="C34" s="75" t="s">
        <v>324</v>
      </c>
      <c r="D34" s="76">
        <v>1</v>
      </c>
      <c r="E34" s="72">
        <v>0</v>
      </c>
      <c r="F34" s="33"/>
    </row>
    <row r="35" spans="1:6" ht="14.45" customHeight="1">
      <c r="A35" s="33"/>
      <c r="B35" s="101" t="s">
        <v>105</v>
      </c>
      <c r="C35" s="58" t="s">
        <v>141</v>
      </c>
      <c r="D35" s="61">
        <v>1</v>
      </c>
      <c r="E35" s="60">
        <v>0</v>
      </c>
      <c r="F35" s="33"/>
    </row>
    <row r="36" spans="1:6" ht="14.45" customHeight="1">
      <c r="A36" s="33"/>
      <c r="B36" s="103"/>
      <c r="C36" s="75" t="s">
        <v>324</v>
      </c>
      <c r="D36" s="76">
        <v>1</v>
      </c>
      <c r="E36" s="72">
        <v>0</v>
      </c>
      <c r="F36" s="33"/>
    </row>
    <row r="37" spans="1:6" ht="14.45" customHeight="1">
      <c r="A37" s="33"/>
      <c r="B37" s="101" t="s">
        <v>106</v>
      </c>
      <c r="C37" s="58" t="s">
        <v>140</v>
      </c>
      <c r="D37" s="61">
        <v>16</v>
      </c>
      <c r="E37" s="60">
        <v>2E-3</v>
      </c>
      <c r="F37" s="33"/>
    </row>
    <row r="38" spans="1:6" ht="14.45" customHeight="1">
      <c r="A38" s="33"/>
      <c r="B38" s="102"/>
      <c r="C38" s="58" t="s">
        <v>141</v>
      </c>
      <c r="D38" s="61">
        <v>11</v>
      </c>
      <c r="E38" s="60">
        <v>2E-3</v>
      </c>
      <c r="F38" s="33"/>
    </row>
    <row r="39" spans="1:6" ht="14.45" customHeight="1">
      <c r="A39" s="33"/>
      <c r="B39" s="103"/>
      <c r="C39" s="75" t="s">
        <v>324</v>
      </c>
      <c r="D39" s="76">
        <v>27</v>
      </c>
      <c r="E39" s="72">
        <v>4.0000000000000001E-3</v>
      </c>
      <c r="F39" s="33"/>
    </row>
    <row r="40" spans="1:6" ht="14.45" customHeight="1">
      <c r="A40" s="33"/>
      <c r="B40" s="101" t="s">
        <v>107</v>
      </c>
      <c r="C40" s="58" t="s">
        <v>140</v>
      </c>
      <c r="D40" s="61">
        <v>12</v>
      </c>
      <c r="E40" s="60">
        <v>2E-3</v>
      </c>
      <c r="F40" s="33"/>
    </row>
    <row r="41" spans="1:6" ht="14.45" customHeight="1">
      <c r="A41" s="33"/>
      <c r="B41" s="102"/>
      <c r="C41" s="58" t="s">
        <v>141</v>
      </c>
      <c r="D41" s="61">
        <v>12</v>
      </c>
      <c r="E41" s="60">
        <v>2E-3</v>
      </c>
      <c r="F41" s="33"/>
    </row>
    <row r="42" spans="1:6" ht="14.45" customHeight="1">
      <c r="A42" s="33"/>
      <c r="B42" s="103"/>
      <c r="C42" s="75" t="s">
        <v>324</v>
      </c>
      <c r="D42" s="76">
        <v>24</v>
      </c>
      <c r="E42" s="72">
        <v>4.0000000000000001E-3</v>
      </c>
      <c r="F42" s="33"/>
    </row>
    <row r="43" spans="1:6" ht="14.45" customHeight="1">
      <c r="A43" s="33"/>
      <c r="B43" s="101" t="s">
        <v>108</v>
      </c>
      <c r="C43" s="58" t="s">
        <v>140</v>
      </c>
      <c r="D43" s="61">
        <v>30</v>
      </c>
      <c r="E43" s="60">
        <v>4.0000000000000001E-3</v>
      </c>
      <c r="F43" s="33"/>
    </row>
    <row r="44" spans="1:6" ht="14.45" customHeight="1">
      <c r="A44" s="33"/>
      <c r="B44" s="102"/>
      <c r="C44" s="58" t="s">
        <v>141</v>
      </c>
      <c r="D44" s="61">
        <v>29</v>
      </c>
      <c r="E44" s="60">
        <v>4.0000000000000001E-3</v>
      </c>
      <c r="F44" s="33"/>
    </row>
    <row r="45" spans="1:6" ht="14.45" customHeight="1">
      <c r="A45" s="33"/>
      <c r="B45" s="103"/>
      <c r="C45" s="75" t="s">
        <v>324</v>
      </c>
      <c r="D45" s="76">
        <v>59</v>
      </c>
      <c r="E45" s="72">
        <v>8.9999999999999993E-3</v>
      </c>
      <c r="F45" s="33"/>
    </row>
    <row r="46" spans="1:6" ht="14.45" customHeight="1">
      <c r="A46" s="33"/>
      <c r="B46" s="101" t="s">
        <v>109</v>
      </c>
      <c r="C46" s="58" t="s">
        <v>140</v>
      </c>
      <c r="D46" s="61">
        <v>63</v>
      </c>
      <c r="E46" s="60">
        <v>8.9999999999999993E-3</v>
      </c>
      <c r="F46" s="33"/>
    </row>
    <row r="47" spans="1:6" ht="14.45" customHeight="1">
      <c r="A47" s="33"/>
      <c r="B47" s="102"/>
      <c r="C47" s="58" t="s">
        <v>141</v>
      </c>
      <c r="D47" s="61">
        <v>63</v>
      </c>
      <c r="E47" s="60">
        <v>8.9999999999999993E-3</v>
      </c>
      <c r="F47" s="33"/>
    </row>
    <row r="48" spans="1:6" ht="14.45" customHeight="1">
      <c r="A48" s="33"/>
      <c r="B48" s="103"/>
      <c r="C48" s="75" t="s">
        <v>324</v>
      </c>
      <c r="D48" s="76">
        <v>126</v>
      </c>
      <c r="E48" s="72">
        <v>1.9E-2</v>
      </c>
      <c r="F48" s="33"/>
    </row>
    <row r="49" spans="1:6" ht="14.45" customHeight="1">
      <c r="A49" s="33"/>
      <c r="B49" s="101" t="s">
        <v>110</v>
      </c>
      <c r="C49" s="58" t="s">
        <v>140</v>
      </c>
      <c r="D49" s="61">
        <v>15</v>
      </c>
      <c r="E49" s="60">
        <v>2E-3</v>
      </c>
      <c r="F49" s="33"/>
    </row>
    <row r="50" spans="1:6" ht="14.45" customHeight="1">
      <c r="A50" s="33"/>
      <c r="B50" s="102"/>
      <c r="C50" s="58" t="s">
        <v>141</v>
      </c>
      <c r="D50" s="61">
        <v>13</v>
      </c>
      <c r="E50" s="60">
        <v>2E-3</v>
      </c>
      <c r="F50" s="33"/>
    </row>
    <row r="51" spans="1:6" ht="14.45" customHeight="1">
      <c r="A51" s="33"/>
      <c r="B51" s="103"/>
      <c r="C51" s="75" t="s">
        <v>324</v>
      </c>
      <c r="D51" s="76">
        <v>28</v>
      </c>
      <c r="E51" s="72">
        <v>4.0000000000000001E-3</v>
      </c>
      <c r="F51" s="33"/>
    </row>
    <row r="52" spans="1:6" ht="14.45" customHeight="1">
      <c r="A52" s="33"/>
      <c r="B52" s="101" t="s">
        <v>111</v>
      </c>
      <c r="C52" s="58" t="s">
        <v>140</v>
      </c>
      <c r="D52" s="61">
        <v>13</v>
      </c>
      <c r="E52" s="60">
        <v>2E-3</v>
      </c>
      <c r="F52" s="33"/>
    </row>
    <row r="53" spans="1:6" ht="14.45" customHeight="1">
      <c r="A53" s="33"/>
      <c r="B53" s="102"/>
      <c r="C53" s="58" t="s">
        <v>141</v>
      </c>
      <c r="D53" s="61">
        <v>6</v>
      </c>
      <c r="E53" s="60">
        <v>1E-3</v>
      </c>
      <c r="F53" s="33"/>
    </row>
    <row r="54" spans="1:6" ht="14.45" customHeight="1">
      <c r="A54" s="33"/>
      <c r="B54" s="103"/>
      <c r="C54" s="75" t="s">
        <v>324</v>
      </c>
      <c r="D54" s="76">
        <v>19</v>
      </c>
      <c r="E54" s="72">
        <v>3.0000000000000001E-3</v>
      </c>
      <c r="F54" s="33"/>
    </row>
    <row r="55" spans="1:6" ht="14.45" customHeight="1">
      <c r="A55" s="33"/>
      <c r="B55" s="101" t="s">
        <v>112</v>
      </c>
      <c r="C55" s="58" t="s">
        <v>140</v>
      </c>
      <c r="D55" s="61">
        <v>17</v>
      </c>
      <c r="E55" s="60">
        <v>3.0000000000000001E-3</v>
      </c>
      <c r="F55" s="33"/>
    </row>
    <row r="56" spans="1:6" ht="14.45" customHeight="1">
      <c r="A56" s="33"/>
      <c r="B56" s="102"/>
      <c r="C56" s="58" t="s">
        <v>141</v>
      </c>
      <c r="D56" s="61">
        <v>17</v>
      </c>
      <c r="E56" s="60">
        <v>3.0000000000000001E-3</v>
      </c>
      <c r="F56" s="33"/>
    </row>
    <row r="57" spans="1:6" ht="14.45" customHeight="1">
      <c r="A57" s="33"/>
      <c r="B57" s="103"/>
      <c r="C57" s="75" t="s">
        <v>324</v>
      </c>
      <c r="D57" s="76">
        <v>34</v>
      </c>
      <c r="E57" s="72">
        <v>5.0000000000000001E-3</v>
      </c>
      <c r="F57" s="33"/>
    </row>
    <row r="58" spans="1:6" ht="14.45" customHeight="1">
      <c r="A58" s="33"/>
      <c r="B58" s="101" t="s">
        <v>113</v>
      </c>
      <c r="C58" s="58" t="s">
        <v>140</v>
      </c>
      <c r="D58" s="61">
        <v>5</v>
      </c>
      <c r="E58" s="60">
        <v>1E-3</v>
      </c>
      <c r="F58" s="33"/>
    </row>
    <row r="59" spans="1:6" ht="14.45" customHeight="1">
      <c r="A59" s="33"/>
      <c r="B59" s="102"/>
      <c r="C59" s="58" t="s">
        <v>141</v>
      </c>
      <c r="D59" s="61">
        <v>7</v>
      </c>
      <c r="E59" s="60">
        <v>1E-3</v>
      </c>
      <c r="F59" s="33"/>
    </row>
    <row r="60" spans="1:6" ht="14.45" customHeight="1">
      <c r="A60" s="33"/>
      <c r="B60" s="103"/>
      <c r="C60" s="75" t="s">
        <v>324</v>
      </c>
      <c r="D60" s="76">
        <v>12</v>
      </c>
      <c r="E60" s="72">
        <v>2E-3</v>
      </c>
      <c r="F60" s="33"/>
    </row>
    <row r="61" spans="1:6" ht="14.45" customHeight="1">
      <c r="A61" s="33"/>
      <c r="B61" s="101" t="s">
        <v>114</v>
      </c>
      <c r="C61" s="58" t="s">
        <v>140</v>
      </c>
      <c r="D61" s="61">
        <v>1</v>
      </c>
      <c r="E61" s="60">
        <v>0</v>
      </c>
      <c r="F61" s="33"/>
    </row>
    <row r="62" spans="1:6" ht="14.45" customHeight="1">
      <c r="A62" s="33"/>
      <c r="B62" s="102"/>
      <c r="C62" s="58" t="s">
        <v>141</v>
      </c>
      <c r="D62" s="61">
        <v>5</v>
      </c>
      <c r="E62" s="60">
        <v>1E-3</v>
      </c>
      <c r="F62" s="33"/>
    </row>
    <row r="63" spans="1:6" ht="14.45" customHeight="1">
      <c r="A63" s="33"/>
      <c r="B63" s="103"/>
      <c r="C63" s="75" t="s">
        <v>324</v>
      </c>
      <c r="D63" s="76">
        <v>6</v>
      </c>
      <c r="E63" s="72">
        <v>1E-3</v>
      </c>
      <c r="F63" s="33"/>
    </row>
    <row r="64" spans="1:6" ht="14.45" customHeight="1">
      <c r="A64" s="33"/>
      <c r="B64" s="101" t="s">
        <v>115</v>
      </c>
      <c r="C64" s="58" t="s">
        <v>140</v>
      </c>
      <c r="D64" s="61">
        <v>2</v>
      </c>
      <c r="E64" s="60">
        <v>0</v>
      </c>
      <c r="F64" s="33"/>
    </row>
    <row r="65" spans="1:6" ht="14.45" customHeight="1">
      <c r="A65" s="33"/>
      <c r="B65" s="102"/>
      <c r="C65" s="58" t="s">
        <v>141</v>
      </c>
      <c r="D65" s="61">
        <v>5</v>
      </c>
      <c r="E65" s="60">
        <v>1E-3</v>
      </c>
      <c r="F65" s="33"/>
    </row>
    <row r="66" spans="1:6" ht="14.45" customHeight="1">
      <c r="A66" s="33"/>
      <c r="B66" s="103"/>
      <c r="C66" s="75" t="s">
        <v>324</v>
      </c>
      <c r="D66" s="76">
        <v>7</v>
      </c>
      <c r="E66" s="72">
        <v>1E-3</v>
      </c>
      <c r="F66" s="33"/>
    </row>
    <row r="67" spans="1:6" ht="14.45" customHeight="1">
      <c r="A67" s="33"/>
      <c r="B67" s="101" t="s">
        <v>116</v>
      </c>
      <c r="C67" s="58" t="s">
        <v>140</v>
      </c>
      <c r="D67" s="61">
        <v>7</v>
      </c>
      <c r="E67" s="60">
        <v>1E-3</v>
      </c>
      <c r="F67" s="33"/>
    </row>
    <row r="68" spans="1:6" ht="14.45" customHeight="1">
      <c r="A68" s="33"/>
      <c r="B68" s="102"/>
      <c r="C68" s="58" t="s">
        <v>141</v>
      </c>
      <c r="D68" s="61">
        <v>11</v>
      </c>
      <c r="E68" s="60">
        <v>2E-3</v>
      </c>
      <c r="F68" s="33"/>
    </row>
    <row r="69" spans="1:6" ht="14.45" customHeight="1">
      <c r="A69" s="33"/>
      <c r="B69" s="103"/>
      <c r="C69" s="75" t="s">
        <v>324</v>
      </c>
      <c r="D69" s="76">
        <v>18</v>
      </c>
      <c r="E69" s="72">
        <v>3.0000000000000001E-3</v>
      </c>
      <c r="F69" s="33"/>
    </row>
    <row r="70" spans="1:6" ht="14.45" customHeight="1">
      <c r="A70" s="33"/>
      <c r="B70" s="101" t="s">
        <v>117</v>
      </c>
      <c r="C70" s="58" t="s">
        <v>140</v>
      </c>
      <c r="D70" s="61">
        <v>15</v>
      </c>
      <c r="E70" s="60">
        <v>2E-3</v>
      </c>
      <c r="F70" s="33"/>
    </row>
    <row r="71" spans="1:6" ht="14.45" customHeight="1">
      <c r="A71" s="33"/>
      <c r="B71" s="102"/>
      <c r="C71" s="58" t="s">
        <v>141</v>
      </c>
      <c r="D71" s="61">
        <v>22</v>
      </c>
      <c r="E71" s="60">
        <v>3.0000000000000001E-3</v>
      </c>
      <c r="F71" s="33"/>
    </row>
    <row r="72" spans="1:6" ht="14.45" customHeight="1">
      <c r="A72" s="33"/>
      <c r="B72" s="103"/>
      <c r="C72" s="75" t="s">
        <v>324</v>
      </c>
      <c r="D72" s="76">
        <v>37</v>
      </c>
      <c r="E72" s="72">
        <v>6.0000000000000001E-3</v>
      </c>
      <c r="F72" s="33"/>
    </row>
    <row r="73" spans="1:6" ht="14.45" customHeight="1">
      <c r="A73" s="33"/>
      <c r="B73" s="101" t="s">
        <v>118</v>
      </c>
      <c r="C73" s="58" t="s">
        <v>141</v>
      </c>
      <c r="D73" s="61">
        <v>1</v>
      </c>
      <c r="E73" s="60">
        <v>0</v>
      </c>
      <c r="F73" s="33"/>
    </row>
    <row r="74" spans="1:6" ht="14.45" customHeight="1">
      <c r="A74" s="33"/>
      <c r="B74" s="103"/>
      <c r="C74" s="75" t="s">
        <v>324</v>
      </c>
      <c r="D74" s="76">
        <v>1</v>
      </c>
      <c r="E74" s="72">
        <v>0</v>
      </c>
      <c r="F74" s="33"/>
    </row>
    <row r="75" spans="1:6" ht="14.45" customHeight="1">
      <c r="A75" s="33"/>
      <c r="B75" s="101" t="s">
        <v>119</v>
      </c>
      <c r="C75" s="58" t="s">
        <v>140</v>
      </c>
      <c r="D75" s="61">
        <v>11</v>
      </c>
      <c r="E75" s="60">
        <v>2E-3</v>
      </c>
      <c r="F75" s="33"/>
    </row>
    <row r="76" spans="1:6" ht="14.45" customHeight="1">
      <c r="A76" s="33"/>
      <c r="B76" s="102"/>
      <c r="C76" s="58" t="s">
        <v>141</v>
      </c>
      <c r="D76" s="61">
        <v>13</v>
      </c>
      <c r="E76" s="60">
        <v>2E-3</v>
      </c>
      <c r="F76" s="33"/>
    </row>
    <row r="77" spans="1:6" ht="14.45" customHeight="1">
      <c r="A77" s="33"/>
      <c r="B77" s="103"/>
      <c r="C77" s="75" t="s">
        <v>324</v>
      </c>
      <c r="D77" s="76">
        <v>24</v>
      </c>
      <c r="E77" s="72">
        <v>4.0000000000000001E-3</v>
      </c>
      <c r="F77" s="33"/>
    </row>
    <row r="78" spans="1:6" ht="14.45" customHeight="1">
      <c r="A78" s="33"/>
      <c r="B78" s="101" t="s">
        <v>120</v>
      </c>
      <c r="C78" s="58" t="s">
        <v>140</v>
      </c>
      <c r="D78" s="61">
        <v>2</v>
      </c>
      <c r="E78" s="60">
        <v>0</v>
      </c>
      <c r="F78" s="33"/>
    </row>
    <row r="79" spans="1:6" ht="14.45" customHeight="1">
      <c r="A79" s="33"/>
      <c r="B79" s="102"/>
      <c r="C79" s="58" t="s">
        <v>141</v>
      </c>
      <c r="D79" s="61">
        <v>2</v>
      </c>
      <c r="E79" s="60">
        <v>0</v>
      </c>
      <c r="F79" s="33"/>
    </row>
    <row r="80" spans="1:6" ht="14.45" customHeight="1">
      <c r="A80" s="33"/>
      <c r="B80" s="103"/>
      <c r="C80" s="75" t="s">
        <v>324</v>
      </c>
      <c r="D80" s="76">
        <v>4</v>
      </c>
      <c r="E80" s="72">
        <v>1E-3</v>
      </c>
      <c r="F80" s="33"/>
    </row>
    <row r="81" spans="1:6" ht="14.45" customHeight="1">
      <c r="A81" s="33"/>
      <c r="B81" s="101" t="s">
        <v>121</v>
      </c>
      <c r="C81" s="58" t="s">
        <v>140</v>
      </c>
      <c r="D81" s="61">
        <v>17</v>
      </c>
      <c r="E81" s="60">
        <v>3.0000000000000001E-3</v>
      </c>
      <c r="F81" s="33"/>
    </row>
    <row r="82" spans="1:6" ht="14.45" customHeight="1">
      <c r="A82" s="33"/>
      <c r="B82" s="102"/>
      <c r="C82" s="58" t="s">
        <v>141</v>
      </c>
      <c r="D82" s="61">
        <v>8</v>
      </c>
      <c r="E82" s="60">
        <v>1E-3</v>
      </c>
      <c r="F82" s="33"/>
    </row>
    <row r="83" spans="1:6" ht="14.45" customHeight="1">
      <c r="A83" s="33"/>
      <c r="B83" s="103"/>
      <c r="C83" s="75" t="s">
        <v>324</v>
      </c>
      <c r="D83" s="76">
        <v>25</v>
      </c>
      <c r="E83" s="72">
        <v>4.0000000000000001E-3</v>
      </c>
      <c r="F83" s="33"/>
    </row>
    <row r="84" spans="1:6" ht="14.45" customHeight="1">
      <c r="A84" s="33"/>
      <c r="B84" s="101" t="s">
        <v>122</v>
      </c>
      <c r="C84" s="58" t="s">
        <v>140</v>
      </c>
      <c r="D84" s="61">
        <v>177</v>
      </c>
      <c r="E84" s="60">
        <v>2.5999999999999999E-2</v>
      </c>
      <c r="F84" s="33"/>
    </row>
    <row r="85" spans="1:6" ht="14.45" customHeight="1">
      <c r="A85" s="33"/>
      <c r="B85" s="102"/>
      <c r="C85" s="58" t="s">
        <v>141</v>
      </c>
      <c r="D85" s="61">
        <v>194</v>
      </c>
      <c r="E85" s="60">
        <v>2.9000000000000001E-2</v>
      </c>
      <c r="F85" s="33"/>
    </row>
    <row r="86" spans="1:6" ht="14.45" customHeight="1">
      <c r="A86" s="33"/>
      <c r="B86" s="103"/>
      <c r="C86" s="75" t="s">
        <v>324</v>
      </c>
      <c r="D86" s="76">
        <v>371</v>
      </c>
      <c r="E86" s="72">
        <v>5.5E-2</v>
      </c>
      <c r="F86" s="33"/>
    </row>
    <row r="87" spans="1:6" ht="14.45" customHeight="1">
      <c r="A87" s="33"/>
      <c r="B87" s="101" t="s">
        <v>123</v>
      </c>
      <c r="C87" s="58" t="s">
        <v>140</v>
      </c>
      <c r="D87" s="61">
        <v>4</v>
      </c>
      <c r="E87" s="60">
        <v>1E-3</v>
      </c>
      <c r="F87" s="33"/>
    </row>
    <row r="88" spans="1:6" ht="14.45" customHeight="1">
      <c r="A88" s="33"/>
      <c r="B88" s="102"/>
      <c r="C88" s="58" t="s">
        <v>141</v>
      </c>
      <c r="D88" s="61">
        <v>12</v>
      </c>
      <c r="E88" s="60">
        <v>2E-3</v>
      </c>
      <c r="F88" s="33"/>
    </row>
    <row r="89" spans="1:6" ht="14.45" customHeight="1">
      <c r="A89" s="33"/>
      <c r="B89" s="103"/>
      <c r="C89" s="75" t="s">
        <v>324</v>
      </c>
      <c r="D89" s="76">
        <v>16</v>
      </c>
      <c r="E89" s="72">
        <v>2E-3</v>
      </c>
      <c r="F89" s="33"/>
    </row>
    <row r="90" spans="1:6" ht="14.45" customHeight="1">
      <c r="A90" s="33"/>
      <c r="B90" s="101" t="s">
        <v>124</v>
      </c>
      <c r="C90" s="58" t="s">
        <v>140</v>
      </c>
      <c r="D90" s="61">
        <v>30</v>
      </c>
      <c r="E90" s="60">
        <v>4.0000000000000001E-3</v>
      </c>
      <c r="F90" s="33"/>
    </row>
    <row r="91" spans="1:6" ht="14.45" customHeight="1">
      <c r="A91" s="33"/>
      <c r="B91" s="102"/>
      <c r="C91" s="58" t="s">
        <v>141</v>
      </c>
      <c r="D91" s="61">
        <v>31</v>
      </c>
      <c r="E91" s="60">
        <v>5.0000000000000001E-3</v>
      </c>
      <c r="F91" s="33"/>
    </row>
    <row r="92" spans="1:6" ht="14.45" customHeight="1">
      <c r="A92" s="33"/>
      <c r="B92" s="103"/>
      <c r="C92" s="75" t="s">
        <v>324</v>
      </c>
      <c r="D92" s="76">
        <v>61</v>
      </c>
      <c r="E92" s="72">
        <v>8.9999999999999993E-3</v>
      </c>
      <c r="F92" s="33"/>
    </row>
    <row r="93" spans="1:6" ht="14.45" customHeight="1">
      <c r="A93" s="33"/>
      <c r="B93" s="101" t="s">
        <v>125</v>
      </c>
      <c r="C93" s="58" t="s">
        <v>140</v>
      </c>
      <c r="D93" s="61">
        <v>7</v>
      </c>
      <c r="E93" s="60">
        <v>1E-3</v>
      </c>
      <c r="F93" s="33"/>
    </row>
    <row r="94" spans="1:6" ht="14.45" customHeight="1">
      <c r="A94" s="33"/>
      <c r="B94" s="102"/>
      <c r="C94" s="58" t="s">
        <v>141</v>
      </c>
      <c r="D94" s="61">
        <v>7</v>
      </c>
      <c r="E94" s="60">
        <v>1E-3</v>
      </c>
      <c r="F94" s="33"/>
    </row>
    <row r="95" spans="1:6" ht="14.45" customHeight="1">
      <c r="A95" s="33"/>
      <c r="B95" s="103"/>
      <c r="C95" s="75" t="s">
        <v>324</v>
      </c>
      <c r="D95" s="76">
        <v>14</v>
      </c>
      <c r="E95" s="72">
        <v>2E-3</v>
      </c>
      <c r="F95" s="33"/>
    </row>
    <row r="96" spans="1:6" ht="14.45" customHeight="1">
      <c r="A96" s="33"/>
      <c r="B96" s="101" t="s">
        <v>126</v>
      </c>
      <c r="C96" s="58" t="s">
        <v>140</v>
      </c>
      <c r="D96" s="61">
        <v>15</v>
      </c>
      <c r="E96" s="60">
        <v>2E-3</v>
      </c>
      <c r="F96" s="33"/>
    </row>
    <row r="97" spans="1:6" ht="14.45" customHeight="1">
      <c r="A97" s="33"/>
      <c r="B97" s="102"/>
      <c r="C97" s="58" t="s">
        <v>141</v>
      </c>
      <c r="D97" s="61">
        <v>17</v>
      </c>
      <c r="E97" s="60">
        <v>3.0000000000000001E-3</v>
      </c>
      <c r="F97" s="33"/>
    </row>
    <row r="98" spans="1:6" ht="14.45" customHeight="1">
      <c r="A98" s="33"/>
      <c r="B98" s="103"/>
      <c r="C98" s="75" t="s">
        <v>324</v>
      </c>
      <c r="D98" s="76">
        <v>32</v>
      </c>
      <c r="E98" s="72">
        <v>5.0000000000000001E-3</v>
      </c>
      <c r="F98" s="33"/>
    </row>
    <row r="99" spans="1:6" ht="14.45" customHeight="1">
      <c r="A99" s="33"/>
      <c r="B99" s="101" t="s">
        <v>127</v>
      </c>
      <c r="C99" s="58" t="s">
        <v>141</v>
      </c>
      <c r="D99" s="61">
        <v>3</v>
      </c>
      <c r="E99" s="60">
        <v>0</v>
      </c>
      <c r="F99" s="33"/>
    </row>
    <row r="100" spans="1:6" ht="14.45" customHeight="1">
      <c r="A100" s="33"/>
      <c r="B100" s="103"/>
      <c r="C100" s="75" t="s">
        <v>324</v>
      </c>
      <c r="D100" s="76">
        <v>3</v>
      </c>
      <c r="E100" s="72">
        <v>0</v>
      </c>
      <c r="F100" s="33"/>
    </row>
    <row r="101" spans="1:6" ht="14.45" customHeight="1">
      <c r="A101" s="33"/>
      <c r="B101" s="101" t="s">
        <v>128</v>
      </c>
      <c r="C101" s="58" t="s">
        <v>140</v>
      </c>
      <c r="D101" s="61">
        <v>19</v>
      </c>
      <c r="E101" s="60">
        <v>3.0000000000000001E-3</v>
      </c>
      <c r="F101" s="33"/>
    </row>
    <row r="102" spans="1:6" ht="14.45" customHeight="1">
      <c r="A102" s="33"/>
      <c r="B102" s="102"/>
      <c r="C102" s="58" t="s">
        <v>141</v>
      </c>
      <c r="D102" s="61">
        <v>14</v>
      </c>
      <c r="E102" s="60">
        <v>2E-3</v>
      </c>
      <c r="F102" s="33"/>
    </row>
    <row r="103" spans="1:6" ht="14.45" customHeight="1">
      <c r="A103" s="33"/>
      <c r="B103" s="103"/>
      <c r="C103" s="75" t="s">
        <v>324</v>
      </c>
      <c r="D103" s="76">
        <v>33</v>
      </c>
      <c r="E103" s="72">
        <v>5.0000000000000001E-3</v>
      </c>
      <c r="F103" s="33"/>
    </row>
    <row r="104" spans="1:6" ht="14.45" customHeight="1">
      <c r="A104" s="33"/>
      <c r="B104" s="101" t="s">
        <v>129</v>
      </c>
      <c r="C104" s="58" t="s">
        <v>140</v>
      </c>
      <c r="D104" s="61">
        <v>34</v>
      </c>
      <c r="E104" s="60">
        <v>5.0000000000000001E-3</v>
      </c>
      <c r="F104" s="33"/>
    </row>
    <row r="105" spans="1:6" ht="14.45" customHeight="1">
      <c r="A105" s="33"/>
      <c r="B105" s="102"/>
      <c r="C105" s="58" t="s">
        <v>141</v>
      </c>
      <c r="D105" s="61">
        <v>36</v>
      </c>
      <c r="E105" s="60">
        <v>5.0000000000000001E-3</v>
      </c>
      <c r="F105" s="33"/>
    </row>
    <row r="106" spans="1:6" ht="14.45" customHeight="1">
      <c r="A106" s="33"/>
      <c r="B106" s="103"/>
      <c r="C106" s="75" t="s">
        <v>324</v>
      </c>
      <c r="D106" s="76">
        <v>70</v>
      </c>
      <c r="E106" s="72">
        <v>0.01</v>
      </c>
      <c r="F106" s="33"/>
    </row>
    <row r="107" spans="1:6" ht="14.45" customHeight="1">
      <c r="A107" s="33"/>
      <c r="B107" s="101" t="s">
        <v>130</v>
      </c>
      <c r="C107" s="58" t="s">
        <v>140</v>
      </c>
      <c r="D107" s="61">
        <v>9</v>
      </c>
      <c r="E107" s="60">
        <v>1E-3</v>
      </c>
      <c r="F107" s="33"/>
    </row>
    <row r="108" spans="1:6" ht="14.45" customHeight="1">
      <c r="A108" s="33"/>
      <c r="B108" s="102"/>
      <c r="C108" s="58" t="s">
        <v>141</v>
      </c>
      <c r="D108" s="61">
        <v>11</v>
      </c>
      <c r="E108" s="60">
        <v>2E-3</v>
      </c>
      <c r="F108" s="33"/>
    </row>
    <row r="109" spans="1:6" ht="14.45" customHeight="1">
      <c r="A109" s="33"/>
      <c r="B109" s="103"/>
      <c r="C109" s="75" t="s">
        <v>324</v>
      </c>
      <c r="D109" s="76">
        <v>20</v>
      </c>
      <c r="E109" s="72">
        <v>3.0000000000000001E-3</v>
      </c>
      <c r="F109" s="33"/>
    </row>
    <row r="110" spans="1:6" ht="14.45" customHeight="1">
      <c r="A110" s="33"/>
      <c r="B110" s="101" t="s">
        <v>131</v>
      </c>
      <c r="C110" s="58" t="s">
        <v>140</v>
      </c>
      <c r="D110" s="61">
        <v>2</v>
      </c>
      <c r="E110" s="60">
        <v>0</v>
      </c>
      <c r="F110" s="33"/>
    </row>
    <row r="111" spans="1:6" ht="14.45" customHeight="1">
      <c r="A111" s="33"/>
      <c r="B111" s="102"/>
      <c r="C111" s="58" t="s">
        <v>141</v>
      </c>
      <c r="D111" s="61">
        <v>3</v>
      </c>
      <c r="E111" s="60">
        <v>0</v>
      </c>
      <c r="F111" s="33"/>
    </row>
    <row r="112" spans="1:6" ht="14.45" customHeight="1">
      <c r="A112" s="33"/>
      <c r="B112" s="103"/>
      <c r="C112" s="75" t="s">
        <v>324</v>
      </c>
      <c r="D112" s="76">
        <v>5</v>
      </c>
      <c r="E112" s="72">
        <v>1E-3</v>
      </c>
      <c r="F112" s="33"/>
    </row>
    <row r="113" spans="1:6" ht="14.45" customHeight="1">
      <c r="A113" s="33"/>
      <c r="B113" s="101" t="s">
        <v>132</v>
      </c>
      <c r="C113" s="58" t="s">
        <v>141</v>
      </c>
      <c r="D113" s="61">
        <v>2</v>
      </c>
      <c r="E113" s="60">
        <v>0</v>
      </c>
      <c r="F113" s="33"/>
    </row>
    <row r="114" spans="1:6" ht="14.45" customHeight="1">
      <c r="A114" s="33"/>
      <c r="B114" s="103"/>
      <c r="C114" s="75" t="s">
        <v>324</v>
      </c>
      <c r="D114" s="76">
        <v>2</v>
      </c>
      <c r="E114" s="72">
        <v>0</v>
      </c>
      <c r="F114" s="33"/>
    </row>
    <row r="115" spans="1:6" ht="14.45" customHeight="1">
      <c r="A115" s="33"/>
      <c r="B115" s="101" t="s">
        <v>133</v>
      </c>
      <c r="C115" s="58" t="s">
        <v>140</v>
      </c>
      <c r="D115" s="61">
        <v>6</v>
      </c>
      <c r="E115" s="60">
        <v>1E-3</v>
      </c>
      <c r="F115" s="33"/>
    </row>
    <row r="116" spans="1:6" ht="14.45" customHeight="1">
      <c r="A116" s="33"/>
      <c r="B116" s="102"/>
      <c r="C116" s="58" t="s">
        <v>141</v>
      </c>
      <c r="D116" s="61">
        <v>10</v>
      </c>
      <c r="E116" s="60">
        <v>1E-3</v>
      </c>
      <c r="F116" s="33"/>
    </row>
    <row r="117" spans="1:6" ht="14.45" customHeight="1">
      <c r="A117" s="33"/>
      <c r="B117" s="103"/>
      <c r="C117" s="75" t="s">
        <v>324</v>
      </c>
      <c r="D117" s="76">
        <v>16</v>
      </c>
      <c r="E117" s="72">
        <v>2E-3</v>
      </c>
      <c r="F117" s="33"/>
    </row>
    <row r="118" spans="1:6" ht="14.45" customHeight="1">
      <c r="A118" s="33"/>
      <c r="B118" s="101" t="s">
        <v>134</v>
      </c>
      <c r="C118" s="58" t="s">
        <v>140</v>
      </c>
      <c r="D118" s="61">
        <v>19</v>
      </c>
      <c r="E118" s="60">
        <v>3.0000000000000001E-3</v>
      </c>
      <c r="F118" s="33"/>
    </row>
    <row r="119" spans="1:6" ht="14.45" customHeight="1">
      <c r="A119" s="33"/>
      <c r="B119" s="102"/>
      <c r="C119" s="58" t="s">
        <v>141</v>
      </c>
      <c r="D119" s="61">
        <v>14</v>
      </c>
      <c r="E119" s="60">
        <v>2E-3</v>
      </c>
      <c r="F119" s="33"/>
    </row>
    <row r="120" spans="1:6" ht="14.45" customHeight="1">
      <c r="A120" s="33"/>
      <c r="B120" s="103"/>
      <c r="C120" s="75" t="s">
        <v>324</v>
      </c>
      <c r="D120" s="76">
        <v>33</v>
      </c>
      <c r="E120" s="72">
        <v>5.0000000000000001E-3</v>
      </c>
      <c r="F120" s="33"/>
    </row>
    <row r="121" spans="1:6" ht="14.45" customHeight="1">
      <c r="A121" s="33"/>
      <c r="B121" s="101" t="s">
        <v>135</v>
      </c>
      <c r="C121" s="58" t="s">
        <v>140</v>
      </c>
      <c r="D121" s="61">
        <v>130</v>
      </c>
      <c r="E121" s="60">
        <v>1.9E-2</v>
      </c>
      <c r="F121" s="33"/>
    </row>
    <row r="122" spans="1:6" ht="14.45" customHeight="1">
      <c r="A122" s="33"/>
      <c r="B122" s="102"/>
      <c r="C122" s="58" t="s">
        <v>141</v>
      </c>
      <c r="D122" s="61">
        <v>128</v>
      </c>
      <c r="E122" s="60">
        <v>1.9E-2</v>
      </c>
      <c r="F122" s="33"/>
    </row>
    <row r="123" spans="1:6" ht="14.45" customHeight="1">
      <c r="A123" s="33"/>
      <c r="B123" s="103"/>
      <c r="C123" s="75" t="s">
        <v>324</v>
      </c>
      <c r="D123" s="76">
        <v>258</v>
      </c>
      <c r="E123" s="72">
        <v>3.7999999999999999E-2</v>
      </c>
      <c r="F123" s="33"/>
    </row>
    <row r="124" spans="1:6" ht="14.45" customHeight="1">
      <c r="A124" s="33"/>
      <c r="B124" s="101" t="s">
        <v>136</v>
      </c>
      <c r="C124" s="58" t="s">
        <v>140</v>
      </c>
      <c r="D124" s="61">
        <v>45</v>
      </c>
      <c r="E124" s="60">
        <v>7.0000000000000001E-3</v>
      </c>
      <c r="F124" s="33"/>
    </row>
    <row r="125" spans="1:6" ht="14.45" customHeight="1">
      <c r="A125" s="33"/>
      <c r="B125" s="102"/>
      <c r="C125" s="58" t="s">
        <v>141</v>
      </c>
      <c r="D125" s="61">
        <v>70</v>
      </c>
      <c r="E125" s="60">
        <v>0.01</v>
      </c>
      <c r="F125" s="33"/>
    </row>
    <row r="126" spans="1:6" ht="14.45" customHeight="1">
      <c r="A126" s="33"/>
      <c r="B126" s="102"/>
      <c r="C126" s="58" t="s">
        <v>290</v>
      </c>
      <c r="D126" s="61">
        <v>1</v>
      </c>
      <c r="E126" s="60">
        <v>0</v>
      </c>
      <c r="F126" s="33"/>
    </row>
    <row r="127" spans="1:6" ht="14.45" customHeight="1">
      <c r="A127" s="33"/>
      <c r="B127" s="103"/>
      <c r="C127" s="75" t="s">
        <v>324</v>
      </c>
      <c r="D127" s="76">
        <v>116</v>
      </c>
      <c r="E127" s="72">
        <v>1.7000000000000001E-2</v>
      </c>
      <c r="F127" s="33"/>
    </row>
    <row r="128" spans="1:6" ht="14.45" customHeight="1">
      <c r="A128" s="33"/>
      <c r="B128" s="101" t="s">
        <v>137</v>
      </c>
      <c r="C128" s="58" t="s">
        <v>140</v>
      </c>
      <c r="D128" s="61">
        <v>1</v>
      </c>
      <c r="E128" s="60">
        <v>0</v>
      </c>
      <c r="F128" s="33"/>
    </row>
    <row r="129" spans="1:6" ht="14.45" customHeight="1">
      <c r="A129" s="33"/>
      <c r="B129" s="102"/>
      <c r="C129" s="58" t="s">
        <v>141</v>
      </c>
      <c r="D129" s="61">
        <v>4</v>
      </c>
      <c r="E129" s="60">
        <v>1E-3</v>
      </c>
      <c r="F129" s="33"/>
    </row>
    <row r="130" spans="1:6" ht="14.45" customHeight="1">
      <c r="A130" s="33"/>
      <c r="B130" s="103"/>
      <c r="C130" s="75" t="s">
        <v>324</v>
      </c>
      <c r="D130" s="76">
        <v>5</v>
      </c>
      <c r="E130" s="72">
        <v>1E-3</v>
      </c>
      <c r="F130" s="33"/>
    </row>
    <row r="131" spans="1:6" ht="14.45" customHeight="1">
      <c r="A131" s="33"/>
      <c r="B131" s="101" t="s">
        <v>93</v>
      </c>
      <c r="C131" s="58" t="s">
        <v>140</v>
      </c>
      <c r="D131" s="61">
        <v>14</v>
      </c>
      <c r="E131" s="60">
        <v>2E-3</v>
      </c>
      <c r="F131" s="33"/>
    </row>
    <row r="132" spans="1:6" ht="14.45" customHeight="1">
      <c r="A132" s="33"/>
      <c r="B132" s="102"/>
      <c r="C132" s="58" t="s">
        <v>141</v>
      </c>
      <c r="D132" s="61">
        <v>29</v>
      </c>
      <c r="E132" s="60">
        <v>4.0000000000000001E-3</v>
      </c>
      <c r="F132" s="33"/>
    </row>
    <row r="133" spans="1:6" ht="14.45" customHeight="1">
      <c r="A133" s="33"/>
      <c r="B133" s="103"/>
      <c r="C133" s="75" t="s">
        <v>324</v>
      </c>
      <c r="D133" s="76">
        <v>43</v>
      </c>
      <c r="E133" s="72">
        <v>6.0000000000000001E-3</v>
      </c>
      <c r="F133" s="33"/>
    </row>
    <row r="134" spans="1:6" ht="14.45" customHeight="1">
      <c r="A134" s="33"/>
      <c r="B134" s="101" t="s">
        <v>291</v>
      </c>
      <c r="C134" s="58" t="s">
        <v>141</v>
      </c>
      <c r="D134" s="61">
        <v>1</v>
      </c>
      <c r="E134" s="60">
        <v>0</v>
      </c>
      <c r="F134" s="33"/>
    </row>
    <row r="135" spans="1:6" ht="14.45" customHeight="1">
      <c r="A135" s="33"/>
      <c r="B135" s="103"/>
      <c r="C135" s="75" t="s">
        <v>324</v>
      </c>
      <c r="D135" s="76">
        <v>1</v>
      </c>
      <c r="E135" s="72">
        <v>0</v>
      </c>
      <c r="F135" s="33"/>
    </row>
    <row r="136" spans="1:6" ht="14.45" customHeight="1">
      <c r="A136" s="33"/>
      <c r="B136" s="101" t="s">
        <v>138</v>
      </c>
      <c r="C136" s="58" t="s">
        <v>140</v>
      </c>
      <c r="D136" s="61">
        <v>13</v>
      </c>
      <c r="E136" s="60">
        <v>2E-3</v>
      </c>
      <c r="F136" s="33"/>
    </row>
    <row r="137" spans="1:6" ht="14.45" customHeight="1">
      <c r="A137" s="33"/>
      <c r="B137" s="102"/>
      <c r="C137" s="58" t="s">
        <v>141</v>
      </c>
      <c r="D137" s="61">
        <v>5</v>
      </c>
      <c r="E137" s="60">
        <v>1E-3</v>
      </c>
      <c r="F137" s="33"/>
    </row>
    <row r="138" spans="1:6" ht="14.45" customHeight="1">
      <c r="A138" s="33"/>
      <c r="B138" s="103"/>
      <c r="C138" s="75" t="s">
        <v>324</v>
      </c>
      <c r="D138" s="76">
        <v>18</v>
      </c>
      <c r="E138" s="72">
        <v>3.0000000000000001E-3</v>
      </c>
      <c r="F138" s="33"/>
    </row>
    <row r="139" spans="1:6" ht="14.45" customHeight="1">
      <c r="A139" s="33"/>
      <c r="B139" s="101" t="s">
        <v>139</v>
      </c>
      <c r="C139" s="58" t="s">
        <v>140</v>
      </c>
      <c r="D139" s="61">
        <v>6</v>
      </c>
      <c r="E139" s="60">
        <v>1E-3</v>
      </c>
      <c r="F139" s="33"/>
    </row>
    <row r="140" spans="1:6" ht="14.45" customHeight="1">
      <c r="A140" s="33"/>
      <c r="B140" s="102"/>
      <c r="C140" s="58" t="s">
        <v>141</v>
      </c>
      <c r="D140" s="61">
        <v>4</v>
      </c>
      <c r="E140" s="60">
        <v>1E-3</v>
      </c>
      <c r="F140" s="33"/>
    </row>
    <row r="141" spans="1:6" ht="14.45" customHeight="1">
      <c r="A141" s="33"/>
      <c r="B141" s="103"/>
      <c r="C141" s="75" t="s">
        <v>324</v>
      </c>
      <c r="D141" s="76">
        <v>10</v>
      </c>
      <c r="E141" s="72">
        <v>1E-3</v>
      </c>
      <c r="F141" s="33"/>
    </row>
    <row r="142" spans="1:6" ht="14.45" customHeight="1">
      <c r="A142" s="33"/>
      <c r="B142" s="104" t="s">
        <v>321</v>
      </c>
      <c r="C142" s="104"/>
      <c r="D142" s="73">
        <v>6718</v>
      </c>
      <c r="E142" s="74">
        <v>1</v>
      </c>
      <c r="F142" s="33"/>
    </row>
    <row r="143" spans="1:6" s="22" customFormat="1" ht="14.45" customHeight="1">
      <c r="A143" s="33"/>
      <c r="B143" s="36"/>
      <c r="C143" s="48"/>
      <c r="D143" s="57"/>
      <c r="E143" s="48"/>
      <c r="F143" s="33"/>
    </row>
    <row r="144" spans="1:6" s="22" customFormat="1" ht="14.45" customHeight="1">
      <c r="A144" s="33"/>
      <c r="B144" s="36" t="s">
        <v>288</v>
      </c>
      <c r="C144" s="48"/>
      <c r="D144" s="57"/>
      <c r="E144" s="48"/>
      <c r="F144" s="33"/>
    </row>
    <row r="145" spans="1:6" ht="14.45" customHeight="1">
      <c r="A145" s="33"/>
      <c r="B145" s="38" t="s">
        <v>18</v>
      </c>
      <c r="C145" s="48"/>
      <c r="D145" s="57"/>
      <c r="E145" s="48"/>
      <c r="F145" s="33"/>
    </row>
    <row r="146" spans="1:6" ht="14.45" customHeight="1">
      <c r="A146" s="33"/>
      <c r="B146" s="39" t="s">
        <v>46</v>
      </c>
      <c r="C146" s="48"/>
      <c r="D146" s="57"/>
      <c r="E146" s="48"/>
      <c r="F146" s="33"/>
    </row>
    <row r="147" spans="1:6" ht="14.45" customHeight="1">
      <c r="A147" s="33"/>
      <c r="B147" s="36" t="s">
        <v>17</v>
      </c>
      <c r="C147" s="48"/>
      <c r="D147" s="57"/>
      <c r="E147" s="48"/>
      <c r="F147" s="33"/>
    </row>
    <row r="148" spans="1:6" ht="14.45" customHeight="1">
      <c r="A148" s="33"/>
      <c r="B148" s="36" t="s">
        <v>322</v>
      </c>
      <c r="C148" s="48"/>
      <c r="D148" s="57"/>
      <c r="E148" s="48"/>
      <c r="F148" s="33"/>
    </row>
  </sheetData>
  <mergeCells count="47">
    <mergeCell ref="B27:B29"/>
    <mergeCell ref="B30:B32"/>
    <mergeCell ref="B33:B34"/>
    <mergeCell ref="B8:E10"/>
    <mergeCell ref="B52:B54"/>
    <mergeCell ref="B13:B15"/>
    <mergeCell ref="B16:B17"/>
    <mergeCell ref="B18:B20"/>
    <mergeCell ref="B21:B23"/>
    <mergeCell ref="B24:B26"/>
    <mergeCell ref="B55:B57"/>
    <mergeCell ref="B58:B60"/>
    <mergeCell ref="B35:B36"/>
    <mergeCell ref="B37:B39"/>
    <mergeCell ref="B40:B42"/>
    <mergeCell ref="B43:B45"/>
    <mergeCell ref="B46:B48"/>
    <mergeCell ref="B49:B51"/>
    <mergeCell ref="B87:B89"/>
    <mergeCell ref="B90:B92"/>
    <mergeCell ref="B93:B95"/>
    <mergeCell ref="B61:B63"/>
    <mergeCell ref="B64:B66"/>
    <mergeCell ref="B67:B69"/>
    <mergeCell ref="B70:B72"/>
    <mergeCell ref="B73:B74"/>
    <mergeCell ref="B75:B77"/>
    <mergeCell ref="B78:B80"/>
    <mergeCell ref="B81:B83"/>
    <mergeCell ref="B84:B86"/>
    <mergeCell ref="B110:B112"/>
    <mergeCell ref="B113:B114"/>
    <mergeCell ref="B139:B141"/>
    <mergeCell ref="B124:B127"/>
    <mergeCell ref="B128:B130"/>
    <mergeCell ref="B131:B133"/>
    <mergeCell ref="B134:B135"/>
    <mergeCell ref="B96:B98"/>
    <mergeCell ref="B99:B100"/>
    <mergeCell ref="B101:B103"/>
    <mergeCell ref="B104:B106"/>
    <mergeCell ref="B107:B109"/>
    <mergeCell ref="B136:B138"/>
    <mergeCell ref="B142:C142"/>
    <mergeCell ref="B115:B117"/>
    <mergeCell ref="B118:B120"/>
    <mergeCell ref="B121:B123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G40"/>
  <sheetViews>
    <sheetView showGridLines="0" view="pageBreakPreview" topLeftCell="A12" zoomScaleNormal="95" zoomScaleSheetLayoutView="100" workbookViewId="0">
      <selection activeCell="E32" sqref="E32"/>
    </sheetView>
  </sheetViews>
  <sheetFormatPr baseColWidth="10" defaultColWidth="11.42578125" defaultRowHeight="11.25"/>
  <cols>
    <col min="1" max="1" width="5.7109375" style="16" customWidth="1"/>
    <col min="2" max="2" width="19" style="22" customWidth="1"/>
    <col min="3" max="3" width="26.28515625" style="22" customWidth="1"/>
    <col min="4" max="4" width="17.140625" style="26" customWidth="1"/>
    <col min="5" max="5" width="16.5703125" style="26" customWidth="1"/>
    <col min="6" max="6" width="16.5703125" style="22" customWidth="1"/>
    <col min="7" max="7" width="5.7109375" style="16" customWidth="1"/>
    <col min="8" max="8" width="11.42578125" style="16" customWidth="1"/>
    <col min="9" max="16384" width="11.42578125" style="16"/>
  </cols>
  <sheetData>
    <row r="1" spans="1:7" s="13" customFormat="1" ht="15">
      <c r="B1" s="22"/>
      <c r="C1" s="22"/>
    </row>
    <row r="2" spans="1:7" s="22" customFormat="1">
      <c r="B2" s="29"/>
    </row>
    <row r="3" spans="1:7" ht="15" customHeight="1">
      <c r="B3" s="30"/>
      <c r="C3" s="19"/>
      <c r="D3" s="16"/>
      <c r="E3" s="16"/>
      <c r="G3" s="22"/>
    </row>
    <row r="4" spans="1:7" ht="30" customHeight="1">
      <c r="B4" s="30"/>
      <c r="C4" s="19"/>
      <c r="D4" s="16"/>
      <c r="E4" s="16"/>
      <c r="G4" s="22"/>
    </row>
    <row r="5" spans="1:7" ht="15" customHeight="1">
      <c r="B5" s="30"/>
      <c r="C5" s="19"/>
      <c r="D5" s="16"/>
      <c r="E5" s="16"/>
      <c r="G5" s="22"/>
    </row>
    <row r="6" spans="1:7" s="22" customFormat="1">
      <c r="B6" s="25"/>
      <c r="C6" s="24"/>
    </row>
    <row r="7" spans="1:7" s="22" customFormat="1">
      <c r="B7" s="29"/>
    </row>
    <row r="8" spans="1:7" s="13" customFormat="1" ht="15" customHeight="1">
      <c r="A8" s="35"/>
      <c r="B8" s="100" t="s">
        <v>33</v>
      </c>
      <c r="C8" s="100"/>
      <c r="D8" s="100"/>
      <c r="E8" s="100"/>
      <c r="F8" s="100"/>
      <c r="G8" s="35"/>
    </row>
    <row r="9" spans="1:7" s="13" customFormat="1" ht="15" customHeight="1">
      <c r="A9" s="35"/>
      <c r="B9" s="100"/>
      <c r="C9" s="100"/>
      <c r="D9" s="100"/>
      <c r="E9" s="100"/>
      <c r="F9" s="100"/>
      <c r="G9" s="55"/>
    </row>
    <row r="10" spans="1:7" s="13" customFormat="1" ht="15" customHeight="1">
      <c r="A10" s="35"/>
      <c r="B10" s="100"/>
      <c r="C10" s="100"/>
      <c r="D10" s="100"/>
      <c r="E10" s="100"/>
      <c r="F10" s="100"/>
      <c r="G10" s="35"/>
    </row>
    <row r="11" spans="1:7" s="13" customFormat="1" ht="15" customHeight="1">
      <c r="A11" s="35"/>
      <c r="B11" s="56"/>
      <c r="C11" s="56"/>
      <c r="D11" s="56"/>
      <c r="E11" s="56"/>
      <c r="F11" s="56"/>
      <c r="G11" s="35"/>
    </row>
    <row r="12" spans="1:7" s="13" customFormat="1" ht="48" customHeight="1">
      <c r="A12" s="35"/>
      <c r="B12" s="78" t="s">
        <v>29</v>
      </c>
      <c r="C12" s="78" t="s">
        <v>32</v>
      </c>
      <c r="D12" s="78" t="s">
        <v>20</v>
      </c>
      <c r="E12" s="78" t="s">
        <v>31</v>
      </c>
      <c r="F12" s="78" t="s">
        <v>30</v>
      </c>
      <c r="G12" s="35"/>
    </row>
    <row r="13" spans="1:7" ht="14.45" customHeight="1">
      <c r="A13" s="33"/>
      <c r="B13" s="109" t="s">
        <v>310</v>
      </c>
      <c r="C13" s="64" t="s">
        <v>307</v>
      </c>
      <c r="D13" s="65">
        <v>3</v>
      </c>
      <c r="E13" s="66">
        <f>D13/$D$21</f>
        <v>9.1715071843472939E-4</v>
      </c>
      <c r="F13" s="66">
        <f>D13/$D$33</f>
        <v>4.4656147662994937E-4</v>
      </c>
      <c r="G13" s="33"/>
    </row>
    <row r="14" spans="1:7" ht="14.45" customHeight="1">
      <c r="A14" s="33"/>
      <c r="B14" s="110"/>
      <c r="C14" s="64" t="s">
        <v>233</v>
      </c>
      <c r="D14" s="65">
        <v>28</v>
      </c>
      <c r="E14" s="66">
        <f t="shared" ref="E14:E20" si="0">D14/$D$21</f>
        <v>8.5600733720574747E-3</v>
      </c>
      <c r="F14" s="66">
        <f>D14/$D$33</f>
        <v>4.1679071152128612E-3</v>
      </c>
      <c r="G14" s="33"/>
    </row>
    <row r="15" spans="1:7" ht="14.45" customHeight="1">
      <c r="A15" s="33"/>
      <c r="B15" s="110"/>
      <c r="C15" s="64" t="s">
        <v>234</v>
      </c>
      <c r="D15" s="65">
        <v>508</v>
      </c>
      <c r="E15" s="66">
        <f t="shared" si="0"/>
        <v>0.15530418832161419</v>
      </c>
      <c r="F15" s="66">
        <f>D15/$D$33</f>
        <v>7.561774337600477E-2</v>
      </c>
      <c r="G15" s="33"/>
    </row>
    <row r="16" spans="1:7" ht="14.45" customHeight="1">
      <c r="A16" s="33"/>
      <c r="B16" s="110"/>
      <c r="C16" s="64" t="s">
        <v>235</v>
      </c>
      <c r="D16" s="65">
        <v>769</v>
      </c>
      <c r="E16" s="66">
        <f>D16/$D$21</f>
        <v>0.23509630082543564</v>
      </c>
      <c r="F16" s="66">
        <f t="shared" ref="F14:F20" si="1">D16/$D$33</f>
        <v>0.11446859184281036</v>
      </c>
      <c r="G16" s="33"/>
    </row>
    <row r="17" spans="1:7" ht="14.45" customHeight="1">
      <c r="A17" s="33"/>
      <c r="B17" s="110"/>
      <c r="C17" s="64" t="s">
        <v>236</v>
      </c>
      <c r="D17" s="65">
        <v>930</v>
      </c>
      <c r="E17" s="66">
        <f>D17/$D$21</f>
        <v>0.2843167227147661</v>
      </c>
      <c r="F17" s="66">
        <f t="shared" si="1"/>
        <v>0.13843405775528431</v>
      </c>
      <c r="G17" s="33"/>
    </row>
    <row r="18" spans="1:7" ht="14.45" customHeight="1">
      <c r="A18" s="33"/>
      <c r="B18" s="110"/>
      <c r="C18" s="64" t="s">
        <v>237</v>
      </c>
      <c r="D18" s="65">
        <v>913</v>
      </c>
      <c r="E18" s="66">
        <f t="shared" si="0"/>
        <v>0.27911953531030265</v>
      </c>
      <c r="F18" s="66">
        <f t="shared" si="1"/>
        <v>0.13590354272104793</v>
      </c>
      <c r="G18" s="33"/>
    </row>
    <row r="19" spans="1:7" ht="14.45" customHeight="1">
      <c r="A19" s="33"/>
      <c r="B19" s="110"/>
      <c r="C19" s="64" t="s">
        <v>238</v>
      </c>
      <c r="D19" s="65">
        <v>101</v>
      </c>
      <c r="E19" s="66">
        <f t="shared" si="0"/>
        <v>3.0877407520635891E-2</v>
      </c>
      <c r="F19" s="66">
        <f t="shared" si="1"/>
        <v>1.5034236379874963E-2</v>
      </c>
      <c r="G19" s="33"/>
    </row>
    <row r="20" spans="1:7" ht="14.45" customHeight="1">
      <c r="A20" s="33"/>
      <c r="B20" s="110"/>
      <c r="C20" s="64" t="s">
        <v>239</v>
      </c>
      <c r="D20" s="65">
        <v>19</v>
      </c>
      <c r="E20" s="66">
        <f t="shared" si="0"/>
        <v>5.8086212167532862E-3</v>
      </c>
      <c r="F20" s="66">
        <f t="shared" si="1"/>
        <v>2.8282226853230128E-3</v>
      </c>
      <c r="G20" s="33"/>
    </row>
    <row r="21" spans="1:7" ht="14.45" customHeight="1">
      <c r="A21" s="33"/>
      <c r="B21" s="111"/>
      <c r="C21" s="89" t="s">
        <v>324</v>
      </c>
      <c r="D21" s="79">
        <v>3271</v>
      </c>
      <c r="E21" s="88"/>
      <c r="F21" s="88">
        <f>D21/D33</f>
        <v>0.48690086335218813</v>
      </c>
      <c r="G21" s="33"/>
    </row>
    <row r="22" spans="1:7" ht="14.45" customHeight="1">
      <c r="A22" s="33"/>
      <c r="B22" s="109" t="s">
        <v>309</v>
      </c>
      <c r="C22" s="64" t="s">
        <v>307</v>
      </c>
      <c r="D22" s="65">
        <v>9</v>
      </c>
      <c r="E22" s="66">
        <f>D22/$D$30</f>
        <v>2.6117237376668601E-3</v>
      </c>
      <c r="F22" s="66">
        <f>D22/$D$33</f>
        <v>1.3396844298898482E-3</v>
      </c>
      <c r="G22" s="33"/>
    </row>
    <row r="23" spans="1:7" ht="14.45" customHeight="1">
      <c r="A23" s="33"/>
      <c r="B23" s="110"/>
      <c r="C23" s="64" t="s">
        <v>233</v>
      </c>
      <c r="D23" s="65">
        <v>31</v>
      </c>
      <c r="E23" s="66">
        <f>D23/$D$30</f>
        <v>8.9959373186302965E-3</v>
      </c>
      <c r="F23" s="66">
        <f t="shared" ref="F23:F29" si="2">D23/$D$33</f>
        <v>4.61446859184281E-3</v>
      </c>
      <c r="G23" s="33"/>
    </row>
    <row r="24" spans="1:7" ht="14.45" customHeight="1">
      <c r="A24" s="33"/>
      <c r="B24" s="110"/>
      <c r="C24" s="64" t="s">
        <v>234</v>
      </c>
      <c r="D24" s="65">
        <v>675</v>
      </c>
      <c r="E24" s="66">
        <f t="shared" ref="E23:E29" si="3">D24/$D$30</f>
        <v>0.1958792803250145</v>
      </c>
      <c r="F24" s="66">
        <f t="shared" si="2"/>
        <v>0.10047633224173862</v>
      </c>
      <c r="G24" s="33"/>
    </row>
    <row r="25" spans="1:7" ht="14.45" customHeight="1">
      <c r="A25" s="33"/>
      <c r="B25" s="110"/>
      <c r="C25" s="64" t="s">
        <v>235</v>
      </c>
      <c r="D25" s="65">
        <v>858</v>
      </c>
      <c r="E25" s="66">
        <f t="shared" si="3"/>
        <v>0.248984329657574</v>
      </c>
      <c r="F25" s="66">
        <f t="shared" si="2"/>
        <v>0.12771658231616553</v>
      </c>
      <c r="G25" s="33"/>
    </row>
    <row r="26" spans="1:7" ht="14.45" customHeight="1">
      <c r="A26" s="33"/>
      <c r="B26" s="110"/>
      <c r="C26" s="64" t="s">
        <v>236</v>
      </c>
      <c r="D26" s="65">
        <v>894</v>
      </c>
      <c r="E26" s="66">
        <f t="shared" si="3"/>
        <v>0.25943122460824142</v>
      </c>
      <c r="F26" s="66">
        <f t="shared" si="2"/>
        <v>0.13307532003572492</v>
      </c>
      <c r="G26" s="33"/>
    </row>
    <row r="27" spans="1:7" ht="14.45" customHeight="1">
      <c r="A27" s="33"/>
      <c r="B27" s="110"/>
      <c r="C27" s="64" t="s">
        <v>237</v>
      </c>
      <c r="D27" s="65">
        <v>847</v>
      </c>
      <c r="E27" s="66">
        <f t="shared" si="3"/>
        <v>0.24579222286709229</v>
      </c>
      <c r="F27" s="66">
        <f t="shared" si="2"/>
        <v>0.12607919023518904</v>
      </c>
      <c r="G27" s="33"/>
    </row>
    <row r="28" spans="1:7" ht="14.45" customHeight="1">
      <c r="A28" s="33"/>
      <c r="B28" s="110"/>
      <c r="C28" s="64" t="s">
        <v>238</v>
      </c>
      <c r="D28" s="65">
        <v>125</v>
      </c>
      <c r="E28" s="66">
        <f t="shared" si="3"/>
        <v>3.6273940800928613E-2</v>
      </c>
      <c r="F28" s="66">
        <f t="shared" si="2"/>
        <v>1.8606728192914559E-2</v>
      </c>
      <c r="G28" s="33"/>
    </row>
    <row r="29" spans="1:7" ht="14.45" customHeight="1">
      <c r="A29" s="33"/>
      <c r="B29" s="110"/>
      <c r="C29" s="64" t="s">
        <v>239</v>
      </c>
      <c r="D29" s="65">
        <v>7</v>
      </c>
      <c r="E29" s="66">
        <f t="shared" si="3"/>
        <v>2.0313406848520023E-3</v>
      </c>
      <c r="F29" s="66">
        <f t="shared" si="2"/>
        <v>1.0419767788032153E-3</v>
      </c>
      <c r="G29" s="33"/>
    </row>
    <row r="30" spans="1:7" ht="14.45" customHeight="1">
      <c r="A30" s="33"/>
      <c r="B30" s="111"/>
      <c r="C30" s="89" t="s">
        <v>324</v>
      </c>
      <c r="D30" s="79">
        <v>3446</v>
      </c>
      <c r="E30" s="88"/>
      <c r="F30" s="88">
        <f>D30/D33</f>
        <v>0.51295028282226851</v>
      </c>
      <c r="G30" s="33"/>
    </row>
    <row r="31" spans="1:7" ht="14.45" customHeight="1">
      <c r="A31" s="33"/>
      <c r="B31" s="109" t="s">
        <v>308</v>
      </c>
      <c r="C31" s="64" t="s">
        <v>234</v>
      </c>
      <c r="D31" s="90" t="s">
        <v>327</v>
      </c>
      <c r="E31" s="66">
        <f>D31/D32</f>
        <v>1</v>
      </c>
      <c r="F31" s="66">
        <f>D31/D33</f>
        <v>1.4885382554331647E-4</v>
      </c>
      <c r="G31" s="33"/>
    </row>
    <row r="32" spans="1:7" ht="14.45" customHeight="1">
      <c r="A32" s="33"/>
      <c r="B32" s="111"/>
      <c r="C32" s="89" t="s">
        <v>324</v>
      </c>
      <c r="D32" s="79">
        <v>1</v>
      </c>
      <c r="E32" s="88"/>
      <c r="F32" s="88">
        <f>D32/D33</f>
        <v>1.4885382554331647E-4</v>
      </c>
      <c r="G32" s="33"/>
    </row>
    <row r="33" spans="1:7" ht="14.45" customHeight="1">
      <c r="A33" s="33"/>
      <c r="B33" s="107" t="s">
        <v>324</v>
      </c>
      <c r="C33" s="108"/>
      <c r="D33" s="68">
        <v>6718</v>
      </c>
      <c r="E33" s="69">
        <v>1</v>
      </c>
      <c r="F33" s="69">
        <f>E33/E33</f>
        <v>1</v>
      </c>
      <c r="G33" s="33"/>
    </row>
    <row r="34" spans="1:7" ht="14.45" customHeight="1">
      <c r="A34" s="33"/>
      <c r="B34" s="36"/>
      <c r="C34" s="48"/>
      <c r="D34" s="57"/>
      <c r="E34" s="57"/>
      <c r="F34" s="48"/>
      <c r="G34" s="33"/>
    </row>
    <row r="35" spans="1:7" ht="14.45" customHeight="1">
      <c r="A35" s="33"/>
      <c r="B35" s="36" t="s">
        <v>288</v>
      </c>
      <c r="C35" s="48"/>
      <c r="D35" s="57"/>
      <c r="E35" s="57"/>
      <c r="F35" s="48"/>
      <c r="G35" s="33"/>
    </row>
    <row r="36" spans="1:7" ht="12.75">
      <c r="A36" s="33"/>
      <c r="B36" s="38" t="s">
        <v>18</v>
      </c>
      <c r="C36" s="48"/>
      <c r="D36" s="57"/>
      <c r="E36" s="57"/>
      <c r="F36" s="48"/>
      <c r="G36" s="33"/>
    </row>
    <row r="37" spans="1:7" ht="12.75">
      <c r="A37" s="33"/>
      <c r="B37" s="39" t="s">
        <v>46</v>
      </c>
      <c r="C37" s="48"/>
      <c r="D37" s="57"/>
      <c r="E37" s="57"/>
      <c r="F37" s="48"/>
      <c r="G37" s="33"/>
    </row>
    <row r="38" spans="1:7" ht="12.75">
      <c r="A38" s="33"/>
      <c r="B38" s="36" t="s">
        <v>17</v>
      </c>
      <c r="C38" s="48"/>
      <c r="D38" s="57"/>
      <c r="E38" s="57"/>
      <c r="F38" s="48"/>
      <c r="G38" s="33"/>
    </row>
    <row r="39" spans="1:7" ht="12.75">
      <c r="A39" s="33"/>
      <c r="B39" s="36" t="s">
        <v>322</v>
      </c>
      <c r="C39" s="48"/>
      <c r="D39" s="57"/>
      <c r="E39" s="57"/>
      <c r="F39" s="48"/>
      <c r="G39" s="33"/>
    </row>
    <row r="40" spans="1:7" ht="12.75">
      <c r="A40" s="33"/>
      <c r="B40" s="48"/>
      <c r="C40" s="48"/>
      <c r="D40" s="57"/>
      <c r="E40" s="57"/>
      <c r="F40" s="48"/>
      <c r="G40" s="33"/>
    </row>
  </sheetData>
  <mergeCells count="5">
    <mergeCell ref="B8:F10"/>
    <mergeCell ref="B33:C33"/>
    <mergeCell ref="B13:B21"/>
    <mergeCell ref="B22:B30"/>
    <mergeCell ref="B31:B32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ignoredErrors>
    <ignoredError sqref="D31" numberStoredAsText="1"/>
    <ignoredError sqref="F21" formula="1"/>
  </ignoredErrors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B1:E76"/>
  <sheetViews>
    <sheetView showGridLines="0" tabSelected="1" view="pageBreakPreview" zoomScale="90" zoomScaleNormal="100" zoomScaleSheetLayoutView="90" workbookViewId="0">
      <selection activeCell="H7" sqref="H7"/>
    </sheetView>
  </sheetViews>
  <sheetFormatPr baseColWidth="10" defaultColWidth="11.42578125" defaultRowHeight="15"/>
  <cols>
    <col min="1" max="1" width="9.28515625" style="13" customWidth="1"/>
    <col min="2" max="2" width="44.42578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5" s="16" customFormat="1" ht="15" customHeight="1">
      <c r="C1" s="19"/>
    </row>
    <row r="2" spans="2:5" s="16" customFormat="1" ht="15" customHeight="1">
      <c r="C2" s="19"/>
    </row>
    <row r="3" spans="2:5" s="16" customFormat="1" ht="15" customHeight="1">
      <c r="C3" s="19"/>
    </row>
    <row r="4" spans="2:5" s="16" customFormat="1" ht="30" customHeight="1">
      <c r="C4" s="19"/>
      <c r="D4" s="18"/>
    </row>
    <row r="5" spans="2:5" s="16" customFormat="1" ht="15" customHeight="1">
      <c r="C5" s="19"/>
      <c r="D5" s="18"/>
    </row>
    <row r="6" spans="2:5" s="16" customFormat="1" ht="15" customHeight="1">
      <c r="C6" s="19"/>
      <c r="D6" s="18"/>
    </row>
    <row r="7" spans="2:5" s="16" customFormat="1" ht="15" customHeight="1">
      <c r="B7" s="112" t="s">
        <v>287</v>
      </c>
      <c r="C7" s="113"/>
      <c r="D7" s="113"/>
    </row>
    <row r="8" spans="2:5" s="16" customFormat="1" ht="15" customHeight="1">
      <c r="B8" s="113"/>
      <c r="C8" s="113"/>
      <c r="D8" s="113"/>
    </row>
    <row r="9" spans="2:5" s="16" customFormat="1" ht="33" customHeight="1">
      <c r="B9" s="113"/>
      <c r="C9" s="113"/>
      <c r="D9" s="113"/>
    </row>
    <row r="10" spans="2:5" s="16" customFormat="1" ht="4.5" customHeight="1">
      <c r="B10" s="17"/>
      <c r="C10" s="17"/>
      <c r="D10" s="17"/>
    </row>
    <row r="11" spans="2:5" s="16" customFormat="1" ht="33" customHeight="1">
      <c r="B11" s="119" t="s">
        <v>34</v>
      </c>
      <c r="C11" s="120" t="s">
        <v>20</v>
      </c>
      <c r="D11" s="119" t="s">
        <v>19</v>
      </c>
    </row>
    <row r="12" spans="2:5">
      <c r="B12" s="121" t="s">
        <v>240</v>
      </c>
      <c r="C12" s="122">
        <v>3531</v>
      </c>
      <c r="D12" s="123">
        <v>0.52600000000000002</v>
      </c>
    </row>
    <row r="13" spans="2:5">
      <c r="B13" s="121" t="s">
        <v>241</v>
      </c>
      <c r="C13" s="122">
        <v>1723</v>
      </c>
      <c r="D13" s="123">
        <v>0.25600000000000001</v>
      </c>
    </row>
    <row r="14" spans="2:5">
      <c r="B14" s="121" t="s">
        <v>242</v>
      </c>
      <c r="C14" s="124">
        <v>292</v>
      </c>
      <c r="D14" s="123">
        <v>4.2999999999999997E-2</v>
      </c>
      <c r="E14" s="15"/>
    </row>
    <row r="15" spans="2:5">
      <c r="B15" s="121" t="s">
        <v>243</v>
      </c>
      <c r="C15" s="124">
        <v>220</v>
      </c>
      <c r="D15" s="123">
        <v>3.3000000000000002E-2</v>
      </c>
      <c r="E15" s="15"/>
    </row>
    <row r="16" spans="2:5">
      <c r="B16" s="121" t="s">
        <v>244</v>
      </c>
      <c r="C16" s="124">
        <v>114</v>
      </c>
      <c r="D16" s="123">
        <v>1.7000000000000001E-2</v>
      </c>
    </row>
    <row r="17" spans="2:4">
      <c r="B17" s="121" t="s">
        <v>245</v>
      </c>
      <c r="C17" s="124">
        <v>90</v>
      </c>
      <c r="D17" s="123">
        <v>1.2999999999999999E-2</v>
      </c>
    </row>
    <row r="18" spans="2:4">
      <c r="B18" s="121" t="s">
        <v>249</v>
      </c>
      <c r="C18" s="124">
        <v>74</v>
      </c>
      <c r="D18" s="123">
        <v>1.0999999999999999E-2</v>
      </c>
    </row>
    <row r="19" spans="2:4">
      <c r="B19" s="121" t="s">
        <v>247</v>
      </c>
      <c r="C19" s="124">
        <v>72</v>
      </c>
      <c r="D19" s="123">
        <v>1.0999999999999999E-2</v>
      </c>
    </row>
    <row r="20" spans="2:4">
      <c r="B20" s="121" t="s">
        <v>246</v>
      </c>
      <c r="C20" s="124">
        <v>67</v>
      </c>
      <c r="D20" s="123">
        <v>0.01</v>
      </c>
    </row>
    <row r="21" spans="2:4">
      <c r="B21" s="121" t="s">
        <v>251</v>
      </c>
      <c r="C21" s="124">
        <v>58</v>
      </c>
      <c r="D21" s="123">
        <v>8.9999999999999993E-3</v>
      </c>
    </row>
    <row r="22" spans="2:4">
      <c r="B22" s="121" t="s">
        <v>256</v>
      </c>
      <c r="C22" s="124">
        <v>46</v>
      </c>
      <c r="D22" s="123">
        <v>7.0000000000000001E-3</v>
      </c>
    </row>
    <row r="23" spans="2:4">
      <c r="B23" s="121" t="s">
        <v>253</v>
      </c>
      <c r="C23" s="124">
        <v>45</v>
      </c>
      <c r="D23" s="123">
        <v>7.0000000000000001E-3</v>
      </c>
    </row>
    <row r="24" spans="2:4">
      <c r="B24" s="121" t="s">
        <v>248</v>
      </c>
      <c r="C24" s="124">
        <v>43</v>
      </c>
      <c r="D24" s="123">
        <v>6.0000000000000001E-3</v>
      </c>
    </row>
    <row r="25" spans="2:4">
      <c r="B25" s="121" t="s">
        <v>250</v>
      </c>
      <c r="C25" s="124">
        <v>42</v>
      </c>
      <c r="D25" s="123">
        <v>6.0000000000000001E-3</v>
      </c>
    </row>
    <row r="26" spans="2:4">
      <c r="B26" s="121" t="s">
        <v>279</v>
      </c>
      <c r="C26" s="124">
        <v>36</v>
      </c>
      <c r="D26" s="123">
        <v>5.0000000000000001E-3</v>
      </c>
    </row>
    <row r="27" spans="2:4">
      <c r="B27" s="121" t="s">
        <v>255</v>
      </c>
      <c r="C27" s="124">
        <v>34</v>
      </c>
      <c r="D27" s="123">
        <v>5.0000000000000001E-3</v>
      </c>
    </row>
    <row r="28" spans="2:4">
      <c r="B28" s="121" t="s">
        <v>254</v>
      </c>
      <c r="C28" s="124">
        <v>32</v>
      </c>
      <c r="D28" s="123">
        <v>5.0000000000000001E-3</v>
      </c>
    </row>
    <row r="29" spans="2:4">
      <c r="B29" s="121" t="s">
        <v>252</v>
      </c>
      <c r="C29" s="124">
        <v>29</v>
      </c>
      <c r="D29" s="123">
        <v>4.0000000000000001E-3</v>
      </c>
    </row>
    <row r="30" spans="2:4">
      <c r="B30" s="121" t="s">
        <v>269</v>
      </c>
      <c r="C30" s="124">
        <v>22</v>
      </c>
      <c r="D30" s="123">
        <v>3.0000000000000001E-3</v>
      </c>
    </row>
    <row r="31" spans="2:4">
      <c r="B31" s="121" t="s">
        <v>271</v>
      </c>
      <c r="C31" s="124">
        <v>14</v>
      </c>
      <c r="D31" s="123">
        <v>2E-3</v>
      </c>
    </row>
    <row r="32" spans="2:4">
      <c r="B32" s="121" t="s">
        <v>259</v>
      </c>
      <c r="C32" s="124">
        <v>13</v>
      </c>
      <c r="D32" s="123">
        <v>2E-3</v>
      </c>
    </row>
    <row r="33" spans="2:4">
      <c r="B33" s="121" t="s">
        <v>257</v>
      </c>
      <c r="C33" s="124">
        <v>11</v>
      </c>
      <c r="D33" s="123">
        <v>2E-3</v>
      </c>
    </row>
    <row r="34" spans="2:4">
      <c r="B34" s="121" t="s">
        <v>258</v>
      </c>
      <c r="C34" s="124">
        <v>10</v>
      </c>
      <c r="D34" s="123">
        <v>1E-3</v>
      </c>
    </row>
    <row r="35" spans="2:4">
      <c r="B35" s="121" t="s">
        <v>262</v>
      </c>
      <c r="C35" s="124">
        <v>9</v>
      </c>
      <c r="D35" s="123">
        <v>1E-3</v>
      </c>
    </row>
    <row r="36" spans="2:4">
      <c r="B36" s="121" t="s">
        <v>266</v>
      </c>
      <c r="C36" s="124">
        <v>9</v>
      </c>
      <c r="D36" s="123">
        <v>1E-3</v>
      </c>
    </row>
    <row r="37" spans="2:4">
      <c r="B37" s="121" t="s">
        <v>263</v>
      </c>
      <c r="C37" s="124">
        <v>7</v>
      </c>
      <c r="D37" s="123">
        <v>1E-3</v>
      </c>
    </row>
    <row r="38" spans="2:4">
      <c r="B38" s="121" t="s">
        <v>264</v>
      </c>
      <c r="C38" s="124">
        <v>7</v>
      </c>
      <c r="D38" s="123">
        <v>1E-3</v>
      </c>
    </row>
    <row r="39" spans="2:4">
      <c r="B39" s="121" t="s">
        <v>282</v>
      </c>
      <c r="C39" s="124">
        <v>6</v>
      </c>
      <c r="D39" s="123">
        <v>1E-3</v>
      </c>
    </row>
    <row r="40" spans="2:4">
      <c r="B40" s="121" t="s">
        <v>265</v>
      </c>
      <c r="C40" s="124">
        <v>5</v>
      </c>
      <c r="D40" s="123">
        <v>1E-3</v>
      </c>
    </row>
    <row r="41" spans="2:4">
      <c r="B41" s="121" t="s">
        <v>260</v>
      </c>
      <c r="C41" s="124">
        <v>5</v>
      </c>
      <c r="D41" s="123">
        <v>1E-3</v>
      </c>
    </row>
    <row r="42" spans="2:4">
      <c r="B42" s="121" t="s">
        <v>261</v>
      </c>
      <c r="C42" s="124">
        <v>5</v>
      </c>
      <c r="D42" s="123">
        <v>1E-3</v>
      </c>
    </row>
    <row r="43" spans="2:4">
      <c r="B43" s="121" t="s">
        <v>268</v>
      </c>
      <c r="C43" s="124">
        <v>4</v>
      </c>
      <c r="D43" s="123">
        <v>1E-3</v>
      </c>
    </row>
    <row r="44" spans="2:4">
      <c r="B44" s="121" t="s">
        <v>267</v>
      </c>
      <c r="C44" s="124">
        <v>4</v>
      </c>
      <c r="D44" s="123">
        <v>1E-3</v>
      </c>
    </row>
    <row r="45" spans="2:4">
      <c r="B45" s="121" t="s">
        <v>280</v>
      </c>
      <c r="C45" s="124">
        <v>4</v>
      </c>
      <c r="D45" s="123">
        <v>1E-3</v>
      </c>
    </row>
    <row r="46" spans="2:4">
      <c r="B46" s="121" t="s">
        <v>272</v>
      </c>
      <c r="C46" s="124">
        <v>3</v>
      </c>
      <c r="D46" s="123">
        <v>0</v>
      </c>
    </row>
    <row r="47" spans="2:4">
      <c r="B47" s="121" t="s">
        <v>277</v>
      </c>
      <c r="C47" s="124">
        <v>3</v>
      </c>
      <c r="D47" s="123">
        <v>0</v>
      </c>
    </row>
    <row r="48" spans="2:4">
      <c r="B48" s="121" t="s">
        <v>275</v>
      </c>
      <c r="C48" s="124">
        <v>3</v>
      </c>
      <c r="D48" s="123">
        <v>0</v>
      </c>
    </row>
    <row r="49" spans="2:4">
      <c r="B49" s="121" t="s">
        <v>276</v>
      </c>
      <c r="C49" s="124">
        <v>2</v>
      </c>
      <c r="D49" s="123">
        <v>0</v>
      </c>
    </row>
    <row r="50" spans="2:4">
      <c r="B50" s="121" t="s">
        <v>311</v>
      </c>
      <c r="C50" s="124">
        <v>2</v>
      </c>
      <c r="D50" s="123">
        <v>0</v>
      </c>
    </row>
    <row r="51" spans="2:4">
      <c r="B51" s="121" t="s">
        <v>312</v>
      </c>
      <c r="C51" s="124">
        <v>2</v>
      </c>
      <c r="D51" s="123">
        <v>0</v>
      </c>
    </row>
    <row r="52" spans="2:4">
      <c r="B52" s="121" t="s">
        <v>285</v>
      </c>
      <c r="C52" s="124">
        <v>2</v>
      </c>
      <c r="D52" s="123">
        <v>0</v>
      </c>
    </row>
    <row r="53" spans="2:4">
      <c r="B53" s="121" t="s">
        <v>230</v>
      </c>
      <c r="C53" s="124">
        <v>2</v>
      </c>
      <c r="D53" s="123">
        <v>0</v>
      </c>
    </row>
    <row r="54" spans="2:4">
      <c r="B54" s="121" t="s">
        <v>281</v>
      </c>
      <c r="C54" s="124">
        <v>1</v>
      </c>
      <c r="D54" s="123">
        <v>0</v>
      </c>
    </row>
    <row r="55" spans="2:4">
      <c r="B55" s="121" t="s">
        <v>313</v>
      </c>
      <c r="C55" s="124">
        <v>1</v>
      </c>
      <c r="D55" s="123">
        <v>0</v>
      </c>
    </row>
    <row r="56" spans="2:4">
      <c r="B56" s="121" t="s">
        <v>283</v>
      </c>
      <c r="C56" s="124">
        <v>1</v>
      </c>
      <c r="D56" s="123">
        <v>0</v>
      </c>
    </row>
    <row r="57" spans="2:4">
      <c r="B57" s="121" t="s">
        <v>314</v>
      </c>
      <c r="C57" s="124">
        <v>1</v>
      </c>
      <c r="D57" s="123">
        <v>0</v>
      </c>
    </row>
    <row r="58" spans="2:4">
      <c r="B58" s="121" t="s">
        <v>273</v>
      </c>
      <c r="C58" s="124">
        <v>1</v>
      </c>
      <c r="D58" s="123">
        <v>0</v>
      </c>
    </row>
    <row r="59" spans="2:4">
      <c r="B59" s="121" t="s">
        <v>284</v>
      </c>
      <c r="C59" s="124">
        <v>1</v>
      </c>
      <c r="D59" s="123">
        <v>0</v>
      </c>
    </row>
    <row r="60" spans="2:4">
      <c r="B60" s="121" t="s">
        <v>270</v>
      </c>
      <c r="C60" s="124">
        <v>1</v>
      </c>
      <c r="D60" s="123">
        <v>0</v>
      </c>
    </row>
    <row r="61" spans="2:4">
      <c r="B61" s="121" t="s">
        <v>315</v>
      </c>
      <c r="C61" s="124">
        <v>1</v>
      </c>
      <c r="D61" s="123">
        <v>0</v>
      </c>
    </row>
    <row r="62" spans="2:4">
      <c r="B62" s="121" t="s">
        <v>278</v>
      </c>
      <c r="C62" s="124">
        <v>1</v>
      </c>
      <c r="D62" s="123">
        <v>0</v>
      </c>
    </row>
    <row r="63" spans="2:4">
      <c r="B63" s="121" t="s">
        <v>316</v>
      </c>
      <c r="C63" s="124">
        <v>1</v>
      </c>
      <c r="D63" s="123">
        <v>0</v>
      </c>
    </row>
    <row r="64" spans="2:4">
      <c r="B64" s="121" t="s">
        <v>274</v>
      </c>
      <c r="C64" s="124">
        <v>1</v>
      </c>
      <c r="D64" s="123">
        <v>0</v>
      </c>
    </row>
    <row r="65" spans="2:4">
      <c r="B65" s="121" t="s">
        <v>317</v>
      </c>
      <c r="C65" s="124">
        <v>1</v>
      </c>
      <c r="D65" s="123">
        <v>0</v>
      </c>
    </row>
    <row r="66" spans="2:4">
      <c r="B66" s="121" t="s">
        <v>318</v>
      </c>
      <c r="C66" s="124">
        <v>1</v>
      </c>
      <c r="D66" s="123">
        <v>0</v>
      </c>
    </row>
    <row r="67" spans="2:4">
      <c r="B67" s="121" t="s">
        <v>319</v>
      </c>
      <c r="C67" s="124">
        <v>1</v>
      </c>
      <c r="D67" s="123">
        <v>0</v>
      </c>
    </row>
    <row r="68" spans="2:4">
      <c r="B68" s="121" t="s">
        <v>320</v>
      </c>
      <c r="C68" s="124">
        <v>1</v>
      </c>
      <c r="D68" s="123">
        <v>0</v>
      </c>
    </row>
    <row r="69" spans="2:4">
      <c r="B69" s="121" t="s">
        <v>286</v>
      </c>
      <c r="C69" s="124">
        <v>1</v>
      </c>
      <c r="D69" s="123">
        <v>0</v>
      </c>
    </row>
    <row r="70" spans="2:4">
      <c r="B70" s="80" t="s">
        <v>324</v>
      </c>
      <c r="C70" s="81">
        <v>6718</v>
      </c>
      <c r="D70" s="82">
        <v>1</v>
      </c>
    </row>
    <row r="72" spans="2:4">
      <c r="B72" s="83" t="s">
        <v>288</v>
      </c>
    </row>
    <row r="73" spans="2:4">
      <c r="B73" s="84" t="s">
        <v>18</v>
      </c>
      <c r="C73" s="85"/>
      <c r="D73" s="86"/>
    </row>
    <row r="74" spans="2:4">
      <c r="B74" s="87" t="s">
        <v>46</v>
      </c>
      <c r="C74" s="85"/>
    </row>
    <row r="75" spans="2:4">
      <c r="B75" s="83" t="s">
        <v>17</v>
      </c>
    </row>
    <row r="76" spans="2:4">
      <c r="B76" s="83" t="s">
        <v>322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23</vt:i4>
      </vt:variant>
    </vt:vector>
  </HeadingPairs>
  <TitlesOfParts>
    <vt:vector size="38" baseType="lpstr">
      <vt:lpstr>Índice</vt:lpstr>
      <vt:lpstr>Sonora_EdoUsa</vt:lpstr>
      <vt:lpstr>Sonora_Cons</vt:lpstr>
      <vt:lpstr>SonoraXCons</vt:lpstr>
      <vt:lpstr>Sonora_EdoMun</vt:lpstr>
      <vt:lpstr>Sonora_USAMuni</vt:lpstr>
      <vt:lpstr>Sonora_MUNICIPIO</vt:lpstr>
      <vt:lpstr>Sonora_educ_gral</vt:lpstr>
      <vt:lpstr>Sonora_NivelE_Cons</vt:lpstr>
      <vt:lpstr>Sonora_EducCons</vt:lpstr>
      <vt:lpstr>Sonora_GenGral</vt:lpstr>
      <vt:lpstr>Sonora_GENERO</vt:lpstr>
      <vt:lpstr>Sonora_GENERO_EUA</vt:lpstr>
      <vt:lpstr>Sonora_Gen_Edad</vt:lpstr>
      <vt:lpstr>Sonora_ocup_gral</vt:lpstr>
      <vt:lpstr>Sonora_educ_gral!Área_de_impresión</vt:lpstr>
      <vt:lpstr>Sonora_EducCons!Área_de_impresión</vt:lpstr>
      <vt:lpstr>Sonora_Gen_Edad!Área_de_impresión</vt:lpstr>
      <vt:lpstr>Sonora_GENERO_EUA!Área_de_impresión</vt:lpstr>
      <vt:lpstr>Sonora_GenGral!Área_de_impresión</vt:lpstr>
      <vt:lpstr>Sonora_MUNICIPIO!Área_de_impresión</vt:lpstr>
      <vt:lpstr>Sonora_NivelE_Cons!Área_de_impresión</vt:lpstr>
      <vt:lpstr>Sonora_ocup_gral!Área_de_impresión</vt:lpstr>
      <vt:lpstr>Sonora_USAMuni!Área_de_impresión</vt:lpstr>
      <vt:lpstr>Sonora_Cons!Títulos_a_imprimir</vt:lpstr>
      <vt:lpstr>Sonora_EdoMun!Títulos_a_imprimir</vt:lpstr>
      <vt:lpstr>Sonora_EdoUsa!Títulos_a_imprimir</vt:lpstr>
      <vt:lpstr>Sonora_educ_gral!Títulos_a_imprimir</vt:lpstr>
      <vt:lpstr>Sonora_EducCons!Títulos_a_imprimir</vt:lpstr>
      <vt:lpstr>Sonora_Gen_Edad!Títulos_a_imprimir</vt:lpstr>
      <vt:lpstr>Sonora_GENERO!Títulos_a_imprimir</vt:lpstr>
      <vt:lpstr>Sonora_GENERO_EUA!Títulos_a_imprimir</vt:lpstr>
      <vt:lpstr>Sonora_GenGral!Títulos_a_imprimir</vt:lpstr>
      <vt:lpstr>Sonora_MUNICIPIO!Títulos_a_imprimir</vt:lpstr>
      <vt:lpstr>Sonora_NivelE_Cons!Títulos_a_imprimir</vt:lpstr>
      <vt:lpstr>Sonora_ocup_gral!Títulos_a_imprimir</vt:lpstr>
      <vt:lpstr>Sonora_USAMuni!Títulos_a_imprimir</vt:lpstr>
      <vt:lpstr>SonoraXCons!Títulos_a_imprimir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2020-06-03T23:59:40Z</dcterms:created>
  <dcterms:modified xsi:type="dcterms:W3CDTF">2025-08-23T03:04:59Z</dcterms:modified>
</cp:coreProperties>
</file>