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2BF54517-402D-4E22-905D-0D71C04A62FC}" xr6:coauthVersionLast="47" xr6:coauthVersionMax="47" xr10:uidLastSave="{00000000-0000-0000-0000-000000000000}"/>
  <bookViews>
    <workbookView xWindow="-120" yWindow="-120" windowWidth="20730" windowHeight="11160" tabRatio="834" firstSheet="9" activeTab="14" xr2:uid="{00000000-000D-0000-FFFF-FFFF00000000}"/>
  </bookViews>
  <sheets>
    <sheet name="Índice" sheetId="1" r:id="rId1"/>
    <sheet name="Zacatecas_EdoUsa" sheetId="2" r:id="rId2"/>
    <sheet name="Zacatecas_Cons" sheetId="15" r:id="rId3"/>
    <sheet name="ZacatecasXCons" sheetId="16" r:id="rId4"/>
    <sheet name="Zacatecas_EdoMun" sheetId="5" r:id="rId5"/>
    <sheet name="Zacatecas_USAMuni" sheetId="6" r:id="rId6"/>
    <sheet name="Zacatecas_MUNICIPIO" sheetId="7" r:id="rId7"/>
    <sheet name="Zacatecas_educ_gral" sheetId="8" r:id="rId8"/>
    <sheet name="Zacatecas_NivelE_USA" sheetId="9" r:id="rId9"/>
    <sheet name="Zacatecas_EducCons" sheetId="10" r:id="rId10"/>
    <sheet name="Zacatecas_GenGral" sheetId="11" r:id="rId11"/>
    <sheet name="Zacatecas_GENERO" sheetId="12" r:id="rId12"/>
    <sheet name="Zacatecas_GENERO_EUA" sheetId="17" r:id="rId13"/>
    <sheet name="Zacatecas_Gen_Edad" sheetId="13" r:id="rId14"/>
    <sheet name="Zacatecas_ocup_gral" sheetId="14" r:id="rId15"/>
  </sheets>
  <definedNames>
    <definedName name="_xlnm._FilterDatabase" localSheetId="2" hidden="1">Zacatecas_Cons!$B$11:$D$11</definedName>
    <definedName name="_xlnm._FilterDatabase" localSheetId="4" hidden="1">Zacatecas_EdoMun!$B$11:$D$11</definedName>
    <definedName name="_xlnm._FilterDatabase" localSheetId="1" hidden="1">Zacatecas_EdoUsa!$B$62:$B$66</definedName>
    <definedName name="_xlnm._FilterDatabase" localSheetId="7" hidden="1">Zacatecas_educ_gral!$B$11:$D$11</definedName>
    <definedName name="_xlnm._FilterDatabase" localSheetId="9" hidden="1">Zacatecas_EducCons!$B$9:$E$9</definedName>
    <definedName name="_xlnm._FilterDatabase" localSheetId="11" hidden="1">Zacatecas_GENERO!$B$12:$E$12</definedName>
    <definedName name="_xlnm._FilterDatabase" localSheetId="12" hidden="1">Zacatecas_GENERO_EUA!$B$12:$E$12</definedName>
    <definedName name="_xlnm._FilterDatabase" localSheetId="10" hidden="1">Zacatecas_GenGral!$B$11:$D$11</definedName>
    <definedName name="_xlnm._FilterDatabase" localSheetId="6" hidden="1">Zacatecas_MUNICIPIO!$B$9:$E$9</definedName>
    <definedName name="_xlnm._FilterDatabase" localSheetId="8" hidden="1">Zacatecas_NivelE_USA!$B$9:$E$9</definedName>
    <definedName name="_xlnm._FilterDatabase" localSheetId="14" hidden="1">Zacatecas_ocup_gral!$B$11:$D$11</definedName>
    <definedName name="_xlnm._FilterDatabase" localSheetId="5" hidden="1">Zacatecas_USAMuni!$B$9:$E$9</definedName>
    <definedName name="_xlnm._FilterDatabase" localSheetId="3" hidden="1">ZacatecasXCons!$B$11:$D$11</definedName>
    <definedName name="_xlnm.Print_Area" localSheetId="9">Zacatecas_EducCons!$A$1:$E$900</definedName>
    <definedName name="_xlnm.Print_Area" localSheetId="12">Zacatecas_GENERO_EUA!$A$1:$F$161</definedName>
    <definedName name="_xlnm.Print_Area" localSheetId="6">Zacatecas_MUNICIPIO!$A$1:$E$1776</definedName>
    <definedName name="_xlnm.Print_Area" localSheetId="8">Zacatecas_NivelE_USA!$A$1:$E$705</definedName>
    <definedName name="_xlnm.Print_Area" localSheetId="14">Zacatecas_ocup_gral!$A$1:$E$70</definedName>
    <definedName name="_xlnm.Print_Area" localSheetId="5">Zacatecas_USAMuni!$A$1:$E$1339</definedName>
    <definedName name="_xlnm.Print_Titles" localSheetId="2">Zacatecas_Cons!$1:$11</definedName>
    <definedName name="_xlnm.Print_Titles" localSheetId="4">Zacatecas_EdoMun!$1:$11</definedName>
    <definedName name="_xlnm.Print_Titles" localSheetId="1">Zacatecas_EdoUsa!$1:$11</definedName>
    <definedName name="_xlnm.Print_Titles" localSheetId="7">Zacatecas_educ_gral!$1:$11</definedName>
    <definedName name="_xlnm.Print_Titles" localSheetId="9">Zacatecas_EducCons!$1:$9</definedName>
    <definedName name="_xlnm.Print_Titles" localSheetId="13">Zacatecas_Gen_Edad!$1:$12</definedName>
    <definedName name="_xlnm.Print_Titles" localSheetId="11">Zacatecas_GENERO!$1:$12</definedName>
    <definedName name="_xlnm.Print_Titles" localSheetId="12">Zacatecas_GENERO_EUA!$1:$12</definedName>
    <definedName name="_xlnm.Print_Titles" localSheetId="10">Zacatecas_GenGral!$1:$11</definedName>
    <definedName name="_xlnm.Print_Titles" localSheetId="6">Zacatecas_MUNICIPIO!$1:$9</definedName>
    <definedName name="_xlnm.Print_Titles" localSheetId="8">Zacatecas_NivelE_USA!$1:$9</definedName>
    <definedName name="_xlnm.Print_Titles" localSheetId="14">Zacatecas_ocup_gral!$1:$11</definedName>
    <definedName name="_xlnm.Print_Titles" localSheetId="5">Zacatecas_USAMuni!$1:$9</definedName>
    <definedName name="_xlnm.Print_Titles" localSheetId="3">ZacatecasXCons!$1:$11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3" l="1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F13" i="13"/>
  <c r="D21" i="16"/>
  <c r="D20" i="16"/>
  <c r="D19" i="16"/>
  <c r="D18" i="16"/>
  <c r="D17" i="16"/>
  <c r="D16" i="16"/>
  <c r="D15" i="16"/>
  <c r="D14" i="16"/>
  <c r="D13" i="16"/>
  <c r="C22" i="16"/>
  <c r="F30" i="13"/>
  <c r="F21" i="13"/>
  <c r="F23" i="13"/>
  <c r="F24" i="13"/>
  <c r="F25" i="13"/>
  <c r="F26" i="13"/>
  <c r="F27" i="13"/>
  <c r="F28" i="13"/>
  <c r="F29" i="13"/>
  <c r="F22" i="13"/>
  <c r="F14" i="13"/>
  <c r="F15" i="13"/>
  <c r="F16" i="13"/>
  <c r="F17" i="13"/>
  <c r="F18" i="13"/>
  <c r="F19" i="13"/>
  <c r="F20" i="13"/>
  <c r="D22" i="16" l="1"/>
  <c r="D12" i="16"/>
</calcChain>
</file>

<file path=xl/sharedStrings.xml><?xml version="1.0" encoding="utf-8"?>
<sst xmlns="http://schemas.openxmlformats.org/spreadsheetml/2006/main" count="5656" uniqueCount="314">
  <si>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</si>
  <si>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</si>
  <si>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</si>
  <si>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</si>
  <si>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</si>
  <si>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</si>
  <si>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</si>
  <si>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</si>
  <si>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</si>
  <si>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</si>
  <si>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</si>
  <si>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</si>
  <si>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</si>
  <si>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</si>
  <si>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</si>
  <si>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</si>
  <si>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</si>
  <si>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</si>
  <si>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</si>
  <si>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</si>
  <si>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</si>
  <si>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</si>
  <si>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</si>
  <si>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</si>
  <si>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</si>
  <si>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</si>
  <si>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</si>
  <si>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</si>
  <si>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</si>
  <si>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</si>
  <si>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</si>
  <si>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</si>
  <si>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</si>
  <si>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</si>
  <si>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>5.3 Por Estado de la Unión Americana</t>
  </si>
  <si>
    <t>MATRÍCULAS CONSULARES DE ALTA SEGURIDAD EXPEDIDAS A ORIGINARIOS DE ZACATECAS EN LOS CONSULADOS DE MÉXICO EN EE.UU.</t>
  </si>
  <si>
    <t>MATRÍCULAS CONSULARES EXPEDIDAS A ORIGINARIOS DE ZACATECAS POR GÉNERO EN EE.UU</t>
  </si>
  <si>
    <t>MATRÍCULAS CONSULARES EXPEDIDAS EN EE.UU. A ORIGINARIOS DE ZACATECAS POR NIVEL DE EDUCACIÓN</t>
  </si>
  <si>
    <t>MATRÍCULAS CONSULARES EXPEDIDAS A ORIGINARIOS DE ZACATECAS POR GÉNERO Y CONSULADO</t>
  </si>
  <si>
    <t>MATRÍCULAS CONSULARES EXPEDIDAS A ORIGINARIOS DE ZACATECAS POR GÉNERO Y POR ESTADO DE LA UNIÓN AMERICANA</t>
  </si>
  <si>
    <t xml:space="preserve">MATRÍCULAS CONSULARES DE ALTA SEGURIDAD EXPEDIDAS POR MUNICIPIO A ORIGINARIOS DEL ESTADO DE ZACATECAS EN LOS CONSULADOS DE MÉXICO EN EE.UU. </t>
  </si>
  <si>
    <t>MATRÍCULAS CONSULARES DE ALTA SEGURIDAD EXPEDIDAS A ORIGINARIOS DE ZACATECAS POR ESTADO DE LA UNIÓN AMERICANA</t>
  </si>
  <si>
    <t>LOS 10 CONSULADOS  DE MÉXICO EN EE.UU., CON MAYOR NÚMERO DE EXPEDICIÓN DE  MATRÍCULAS CONSULARES DE ALTA SEGURIDAD A ORIGINARIOS DE ZACATECAS</t>
  </si>
  <si>
    <t>TOTAL TOP 10</t>
  </si>
  <si>
    <t>TOTAL GENERAL</t>
  </si>
  <si>
    <t>DALLAS</t>
  </si>
  <si>
    <t>CHICAGO</t>
  </si>
  <si>
    <t>LOS ANGELES</t>
  </si>
  <si>
    <t>HOUSTON</t>
  </si>
  <si>
    <t>OKLAHOMA CITY</t>
  </si>
  <si>
    <t>DENVER</t>
  </si>
  <si>
    <t>LITTLE ROCK</t>
  </si>
  <si>
    <t>KANSAS CITY</t>
  </si>
  <si>
    <t>SAN BERNARDINO</t>
  </si>
  <si>
    <t>ATLANTA</t>
  </si>
  <si>
    <t>AUSTIN</t>
  </si>
  <si>
    <t>LAS VEGAS</t>
  </si>
  <si>
    <t>RALEIGH</t>
  </si>
  <si>
    <t>FRESNO</t>
  </si>
  <si>
    <t>SANTA ANA</t>
  </si>
  <si>
    <t>DETROIT</t>
  </si>
  <si>
    <t>SACRAMENTO</t>
  </si>
  <si>
    <t>PHOENIX</t>
  </si>
  <si>
    <t>SAN ANTONIO</t>
  </si>
  <si>
    <t>MILWAUKEE</t>
  </si>
  <si>
    <t>SAN JOSE</t>
  </si>
  <si>
    <t>ALBUQUERQUE</t>
  </si>
  <si>
    <t>BOISE</t>
  </si>
  <si>
    <t>NUEVA ORLEANS</t>
  </si>
  <si>
    <t>SAN FRANCISCO</t>
  </si>
  <si>
    <t>MCALLEN</t>
  </si>
  <si>
    <t>INDIANAPOLIS</t>
  </si>
  <si>
    <t>ORLANDO</t>
  </si>
  <si>
    <t>EL PASO</t>
  </si>
  <si>
    <t>OXNARD</t>
  </si>
  <si>
    <t>OMAHA</t>
  </si>
  <si>
    <t>SAINT PAUL</t>
  </si>
  <si>
    <t>SALT LAKE CITY</t>
  </si>
  <si>
    <t>MIAMI</t>
  </si>
  <si>
    <t>SAN DIEGO</t>
  </si>
  <si>
    <t>WASHINGTON</t>
  </si>
  <si>
    <t>FILADELFIA</t>
  </si>
  <si>
    <t>PORTLAND</t>
  </si>
  <si>
    <t>PRESIDIO</t>
  </si>
  <si>
    <t>SEATTLE</t>
  </si>
  <si>
    <t>BROWNSVILLE</t>
  </si>
  <si>
    <t>BOSTON</t>
  </si>
  <si>
    <t>LAREDO</t>
  </si>
  <si>
    <t>NUEVA YORK</t>
  </si>
  <si>
    <t>DEL RIO</t>
  </si>
  <si>
    <t>TUCSON</t>
  </si>
  <si>
    <t>YUMA</t>
  </si>
  <si>
    <t>CALEXICO</t>
  </si>
  <si>
    <t>EAGLE PASS</t>
  </si>
  <si>
    <t>NEW BRUNSWICK</t>
  </si>
  <si>
    <t>NOGALES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</si>
  <si>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</si>
  <si>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</si>
  <si>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</si>
  <si>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</si>
  <si>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</si>
  <si>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</si>
  <si>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</si>
  <si>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</si>
  <si>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</si>
  <si>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</si>
  <si>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</si>
  <si>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</si>
  <si>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</si>
  <si>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</si>
  <si>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</si>
  <si>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</si>
  <si>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</si>
  <si>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</si>
  <si>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</si>
  <si>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</si>
  <si>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</si>
  <si>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</si>
  <si>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</si>
  <si>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</si>
  <si>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</si>
  <si>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</si>
  <si>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</si>
  <si>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</si>
  <si>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</si>
  <si>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</si>
  <si>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</si>
  <si>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</si>
  <si>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</si>
  <si>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</si>
  <si>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</si>
  <si>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</si>
  <si>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</si>
  <si>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</si>
  <si>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</si>
  <si>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</si>
  <si>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</si>
  <si>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</si>
  <si>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</si>
  <si>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</si>
  <si>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WEST VIRGINIA</t>
  </si>
  <si>
    <t>WISCONSIN</t>
  </si>
  <si>
    <t>WYOMING</t>
  </si>
  <si>
    <t>Elaborado por: Análisis de Información, Instituto de Mexicanas y Mexicanos en el Exterior</t>
  </si>
  <si>
    <t>FEMENINO</t>
  </si>
  <si>
    <t>MASCULINO</t>
  </si>
  <si>
    <t>FRESNILLO</t>
  </si>
  <si>
    <t>GENERAL FRANCISCO R. MURGUÍA</t>
  </si>
  <si>
    <t>GUADALUPE</t>
  </si>
  <si>
    <t>JUCHIPILA</t>
  </si>
  <si>
    <t>LORETO</t>
  </si>
  <si>
    <t>MIGUEL AUZA</t>
  </si>
  <si>
    <t>NOCHISTLÁN DE MEJÍA</t>
  </si>
  <si>
    <t>PINOS</t>
  </si>
  <si>
    <t>RÍO GRANDE</t>
  </si>
  <si>
    <t>SOMBRERETE</t>
  </si>
  <si>
    <t>VETAGRANDE</t>
  </si>
  <si>
    <t>VILLA GONZÁLEZ ORTEGA</t>
  </si>
  <si>
    <t>VILLA HIDALGO</t>
  </si>
  <si>
    <t>VILLANUEVA</t>
  </si>
  <si>
    <t>ZACATECAS</t>
  </si>
  <si>
    <t>CUAUHTÉMOC</t>
  </si>
  <si>
    <t>OJOCALIENTE</t>
  </si>
  <si>
    <t>APOZOL</t>
  </si>
  <si>
    <t>ATOLINGA</t>
  </si>
  <si>
    <t>BENITO JUÁREZ</t>
  </si>
  <si>
    <t>CALERA</t>
  </si>
  <si>
    <t>CAÑITAS DE FELIPE PESCADOR</t>
  </si>
  <si>
    <t>CHALCHIHUITES</t>
  </si>
  <si>
    <t>CONCEPCIÓN DEL ORO</t>
  </si>
  <si>
    <t>EL PLATEADO DE JOAQUÍN AMARO</t>
  </si>
  <si>
    <t>GENARO CODINA</t>
  </si>
  <si>
    <t>GENERAL ENRIQUE ESTRADA</t>
  </si>
  <si>
    <t>GENERAL PÁNFILO NATERA</t>
  </si>
  <si>
    <t>JALPA</t>
  </si>
  <si>
    <t>JEREZ</t>
  </si>
  <si>
    <t>JIMÉNEZ DEL TEUL</t>
  </si>
  <si>
    <t>JUAN ALDAMA</t>
  </si>
  <si>
    <t>MAZAPIL</t>
  </si>
  <si>
    <t>MEZQUITAL DEL ORO</t>
  </si>
  <si>
    <t>MONTE ESCOBEDO</t>
  </si>
  <si>
    <t>MOYAHUA DE ESTRADA</t>
  </si>
  <si>
    <t>PÁNUCO</t>
  </si>
  <si>
    <t>SAIN ALTO</t>
  </si>
  <si>
    <t>SANTA MARÍA DE LA PAZ</t>
  </si>
  <si>
    <t>TABASCO</t>
  </si>
  <si>
    <t>TEPECHITLÁN</t>
  </si>
  <si>
    <t>TEPETONGO</t>
  </si>
  <si>
    <t>TEÚL DE GONZÁLEZ ORTEGA</t>
  </si>
  <si>
    <t>TLALTENANGO DE SÁNCHEZ ROMÁN</t>
  </si>
  <si>
    <t>TRINIDAD GARCÍA DE LA CADENA</t>
  </si>
  <si>
    <t>VALPARAÍSO</t>
  </si>
  <si>
    <t>VILLA DE COS</t>
  </si>
  <si>
    <t>LUIS MOYA</t>
  </si>
  <si>
    <t>SUSTICACÁN</t>
  </si>
  <si>
    <t>TRANCOSO</t>
  </si>
  <si>
    <t>VILLA GARCÍA</t>
  </si>
  <si>
    <t>APULCO</t>
  </si>
  <si>
    <t>EL SALVADOR</t>
  </si>
  <si>
    <t>HUANUSCO</t>
  </si>
  <si>
    <t>MELCHOR OCAMPO</t>
  </si>
  <si>
    <t>MOMAX</t>
  </si>
  <si>
    <t>MORELOS</t>
  </si>
  <si>
    <t>NORIA DE ÁNGELES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</si>
  <si>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</si>
  <si>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</si>
  <si>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</si>
  <si>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</si>
  <si>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</si>
  <si>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</si>
  <si>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</si>
  <si>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</si>
  <si>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</si>
  <si>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</si>
  <si>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</si>
  <si>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</si>
  <si>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</si>
  <si>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</si>
  <si>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</si>
  <si>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</si>
  <si>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</si>
  <si>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</si>
  <si>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</si>
  <si>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</si>
  <si>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</si>
  <si>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</si>
  <si>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</si>
  <si>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</si>
  <si>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</si>
  <si>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</si>
  <si>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</si>
  <si>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</si>
  <si>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</si>
  <si>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</si>
  <si>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</si>
  <si>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</si>
  <si>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</si>
  <si>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CONSTRUCCIÓN, TRAB. DE LA IND. DE LA</t>
  </si>
  <si>
    <t>OBRERO(A)</t>
  </si>
  <si>
    <t>ESTUDIANTE</t>
  </si>
  <si>
    <t>ALIMENTOS Y BEBIDAS, ESP. EN PREPARACIÓN DE</t>
  </si>
  <si>
    <t>JARDINERO(A)</t>
  </si>
  <si>
    <t>AGROPECUARIA, TRAB. DE LA INDUSTRIA</t>
  </si>
  <si>
    <t>PINTOR(A)</t>
  </si>
  <si>
    <t>JUBILADO(A)/PENSIONADO(A)</t>
  </si>
  <si>
    <t>SIN ESPECIFICAR</t>
  </si>
  <si>
    <t>LIMPIEZA, EMPLEADO DE</t>
  </si>
  <si>
    <t>OPERARIO(A)</t>
  </si>
  <si>
    <t>MECÁNICO(A)</t>
  </si>
  <si>
    <t>MESERO(A)</t>
  </si>
  <si>
    <t>CARPINTERO/TAPICERO</t>
  </si>
  <si>
    <t>CHOFER</t>
  </si>
  <si>
    <t>DESEMPLEADO</t>
  </si>
  <si>
    <t>SOLDADOR</t>
  </si>
  <si>
    <t>EMPRESARIO(A)</t>
  </si>
  <si>
    <t>PROFESIONISTA</t>
  </si>
  <si>
    <t>TÉCNICO(A) EN MANTENIMIENTO</t>
  </si>
  <si>
    <t>CAJERO(A)/COBRADOR(A)</t>
  </si>
  <si>
    <t>VENDEDOR(A)</t>
  </si>
  <si>
    <t>CARNICERO(A)</t>
  </si>
  <si>
    <t>DISCAPACITADO</t>
  </si>
  <si>
    <t>SUPERVISOR(A)</t>
  </si>
  <si>
    <t>AEROCOMERCIAL, TRAB. DE LA INDUSTRIA</t>
  </si>
  <si>
    <t>ENFERMERO(A)/TRAB. DE APOYO EN SALUD</t>
  </si>
  <si>
    <t>TRABAJADOR(A) DOMÉSTICO(A)</t>
  </si>
  <si>
    <t>ADMINISTRADOR(A)/CONTADOR(A)</t>
  </si>
  <si>
    <t>BELLEZA, PROFESIONAL DE SERVICIOS DE</t>
  </si>
  <si>
    <t>ARTISTA INTERPRETATIVO(A)</t>
  </si>
  <si>
    <t>PROFESIONAL TÉCNICO</t>
  </si>
  <si>
    <t>CONSULTOR</t>
  </si>
  <si>
    <t>INGENIERO(A)</t>
  </si>
  <si>
    <t>MINISTRO(A) RELIGIOSO(A)</t>
  </si>
  <si>
    <t>OTRO</t>
  </si>
  <si>
    <t>PROFESOR(A)</t>
  </si>
  <si>
    <t>ARTESANO(A)</t>
  </si>
  <si>
    <t>AUXILIARES ADMINISTRATIVOS Y DE OFICINA</t>
  </si>
  <si>
    <t>COMERCIANTE</t>
  </si>
  <si>
    <t>DISEÑADOR(A)</t>
  </si>
  <si>
    <t>ABOGADO(A)</t>
  </si>
  <si>
    <t>GERENTE/DIRECTOR(A)</t>
  </si>
  <si>
    <t>INVESTIGADOR(A)</t>
  </si>
  <si>
    <t>MODISTA/SASTRE</t>
  </si>
  <si>
    <t>MATRÍCULAS CONSULARES EXPEDIDAS A ORIGINARIOS DE ZACATECAS POR GÉNERO Y 
EDAD EN EE.UU.</t>
  </si>
  <si>
    <t>MATRÍCULAS CONSULARES EXPEDIDAS EN EE.UU. ORIGINARIOS DE ZACATECAS POR PERFIL OCUPACIONAL</t>
  </si>
  <si>
    <t>Tamaño de la muestra: 808,027</t>
  </si>
  <si>
    <t>DESCONOCIDO</t>
  </si>
  <si>
    <t>KINDERGARTEN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</si>
  <si>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</si>
  <si>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</si>
  <si>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</si>
  <si>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</si>
  <si>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</si>
  <si>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</si>
  <si>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</si>
  <si>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</si>
  <si>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</si>
  <si>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</si>
  <si>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</si>
  <si>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</si>
  <si>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</si>
  <si>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</si>
  <si>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FEMENINO  </t>
  </si>
  <si>
    <t xml:space="preserve">MASCULINO  </t>
  </si>
  <si>
    <t>BANQUERO/INVERSIONISTA</t>
  </si>
  <si>
    <t>ARTISTA PLÁSTICO/PINTOR(A)</t>
  </si>
  <si>
    <t>FOTÓGRAFO(A)</t>
  </si>
  <si>
    <t>VETERINARIO</t>
  </si>
  <si>
    <t xml:space="preserve"> TOTAL</t>
  </si>
  <si>
    <t xml:space="preserve"> TOTAL </t>
  </si>
  <si>
    <t>TOTAL</t>
  </si>
  <si>
    <t xml:space="preserve">TOTAL </t>
  </si>
  <si>
    <t>Junio de 2025</t>
  </si>
  <si>
    <t xml:space="preserve">  Matrículas consulares expedidas a originarios de Zacatecas en el 2024.</t>
  </si>
  <si>
    <t>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</si>
</sst>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9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sz val="8"/>
      <color theme="1"/>
      <name val="Soberana Sans"/>
      <family val="3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11"/>
      <name val="Noto Sans"/>
      <family val="2"/>
    </font>
    <font>
      <sz val="7"/>
      <color indexed="8"/>
      <name val="Noto Sans"/>
      <family val="2"/>
    </font>
    <font>
      <b/>
      <sz val="11"/>
      <name val="Noto Sans"/>
      <family val="2"/>
    </font>
    <font>
      <b/>
      <sz val="9"/>
      <color indexed="9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9"/>
      <name val="Noto Sans"/>
      <family val="2"/>
    </font>
    <font>
      <sz val="9"/>
      <color theme="0"/>
      <name val="Noto Sans"/>
      <family val="2"/>
    </font>
    <font>
      <b/>
      <sz val="9"/>
      <color theme="0"/>
      <name val="Noto Sans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7" fillId="0" borderId="0"/>
    <xf numFmtId="9" fontId="28" fillId="0" borderId="0" applyFont="0" applyFill="0" applyBorder="0" applyAlignment="0" applyProtection="0"/>
  </cellStyleXfs>
  <cellXfs count="12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3" fontId="4" fillId="0" borderId="0" xfId="0" applyNumberFormat="1" applyFont="1"/>
    <xf numFmtId="1" fontId="4" fillId="0" borderId="0" xfId="0" applyNumberFormat="1" applyFont="1"/>
    <xf numFmtId="0" fontId="5" fillId="3" borderId="0" xfId="0" applyFont="1" applyFill="1"/>
    <xf numFmtId="0" fontId="6" fillId="3" borderId="0" xfId="0" applyFont="1" applyFill="1"/>
    <xf numFmtId="0" fontId="4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9" fillId="3" borderId="0" xfId="0" applyFont="1" applyFill="1" applyAlignment="1">
      <alignment vertical="center"/>
    </xf>
    <xf numFmtId="3" fontId="4" fillId="3" borderId="0" xfId="0" applyNumberFormat="1" applyFont="1" applyFill="1"/>
    <xf numFmtId="1" fontId="4" fillId="3" borderId="0" xfId="0" applyNumberFormat="1" applyFont="1" applyFill="1"/>
    <xf numFmtId="0" fontId="4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11" fillId="0" borderId="4" xfId="0" applyFont="1" applyBorder="1"/>
    <xf numFmtId="0" fontId="3" fillId="0" borderId="0" xfId="2"/>
    <xf numFmtId="0" fontId="13" fillId="0" borderId="0" xfId="0" applyFont="1"/>
    <xf numFmtId="0" fontId="15" fillId="0" borderId="0" xfId="0" applyFont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1" fontId="16" fillId="2" borderId="9" xfId="0" applyNumberFormat="1" applyFont="1" applyFill="1" applyBorder="1" applyAlignment="1">
      <alignment horizontal="center" vertical="center" wrapText="1"/>
    </xf>
    <xf numFmtId="0" fontId="15" fillId="3" borderId="0" xfId="0" applyFont="1" applyFill="1"/>
    <xf numFmtId="0" fontId="17" fillId="3" borderId="0" xfId="0" applyFont="1" applyFill="1"/>
    <xf numFmtId="3" fontId="15" fillId="3" borderId="0" xfId="0" applyNumberFormat="1" applyFont="1" applyFill="1"/>
    <xf numFmtId="0" fontId="18" fillId="3" borderId="0" xfId="0" applyFont="1" applyFill="1"/>
    <xf numFmtId="0" fontId="18" fillId="3" borderId="0" xfId="0" applyFont="1" applyFill="1" applyAlignment="1">
      <alignment vertical="center"/>
    </xf>
    <xf numFmtId="0" fontId="18" fillId="3" borderId="0" xfId="0" applyFont="1" applyFill="1" applyAlignment="1">
      <alignment vertical="top"/>
    </xf>
    <xf numFmtId="49" fontId="16" fillId="4" borderId="9" xfId="0" applyNumberFormat="1" applyFont="1" applyFill="1" applyBorder="1" applyAlignment="1">
      <alignment vertical="center" wrapText="1"/>
    </xf>
    <xf numFmtId="3" fontId="16" fillId="4" borderId="9" xfId="0" applyNumberFormat="1" applyFont="1" applyFill="1" applyBorder="1" applyAlignment="1">
      <alignment horizontal="right" vertical="center" wrapText="1"/>
    </xf>
    <xf numFmtId="0" fontId="16" fillId="2" borderId="11" xfId="0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3" fillId="3" borderId="0" xfId="0" applyFont="1" applyFill="1"/>
    <xf numFmtId="0" fontId="13" fillId="3" borderId="0" xfId="0" applyFont="1" applyFill="1" applyAlignment="1">
      <alignment vertical="center"/>
    </xf>
    <xf numFmtId="0" fontId="19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0" fontId="16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21" fillId="3" borderId="0" xfId="0" applyFont="1" applyFill="1"/>
    <xf numFmtId="0" fontId="21" fillId="3" borderId="12" xfId="0" applyFont="1" applyFill="1" applyBorder="1" applyAlignment="1">
      <alignment horizontal="center" vertical="distributed"/>
    </xf>
    <xf numFmtId="3" fontId="13" fillId="3" borderId="0" xfId="0" applyNumberFormat="1" applyFont="1" applyFill="1"/>
    <xf numFmtId="0" fontId="20" fillId="2" borderId="9" xfId="3" applyFont="1" applyFill="1" applyBorder="1" applyAlignment="1">
      <alignment horizontal="center" vertical="center" wrapText="1"/>
    </xf>
    <xf numFmtId="0" fontId="16" fillId="2" borderId="9" xfId="3" applyFont="1" applyFill="1" applyBorder="1" applyAlignment="1">
      <alignment horizontal="center" vertical="center" wrapText="1"/>
    </xf>
    <xf numFmtId="1" fontId="20" fillId="2" borderId="9" xfId="3" applyNumberFormat="1" applyFont="1" applyFill="1" applyBorder="1" applyAlignment="1">
      <alignment horizontal="center" vertical="center" wrapText="1"/>
    </xf>
    <xf numFmtId="0" fontId="22" fillId="5" borderId="10" xfId="3" applyFont="1" applyFill="1" applyBorder="1" applyAlignment="1">
      <alignment horizontal="center" vertical="center" wrapText="1"/>
    </xf>
    <xf numFmtId="49" fontId="16" fillId="8" borderId="9" xfId="0" applyNumberFormat="1" applyFont="1" applyFill="1" applyBorder="1" applyAlignment="1">
      <alignment vertical="center" wrapText="1"/>
    </xf>
    <xf numFmtId="3" fontId="16" fillId="8" borderId="9" xfId="0" applyNumberFormat="1" applyFont="1" applyFill="1" applyBorder="1" applyAlignment="1">
      <alignment horizontal="right" vertical="center" wrapText="1"/>
    </xf>
    <xf numFmtId="164" fontId="16" fillId="8" borderId="9" xfId="0" applyNumberFormat="1" applyFont="1" applyFill="1" applyBorder="1" applyAlignment="1">
      <alignment horizontal="right" vertical="center" wrapText="1"/>
    </xf>
    <xf numFmtId="0" fontId="23" fillId="0" borderId="9" xfId="0" applyFont="1" applyBorder="1" applyAlignment="1">
      <alignment vertical="center" wrapText="1"/>
    </xf>
    <xf numFmtId="165" fontId="23" fillId="6" borderId="9" xfId="0" applyNumberFormat="1" applyFont="1" applyFill="1" applyBorder="1" applyAlignment="1">
      <alignment horizontal="right" vertical="top" wrapText="1"/>
    </xf>
    <xf numFmtId="164" fontId="23" fillId="6" borderId="9" xfId="0" applyNumberFormat="1" applyFont="1" applyFill="1" applyBorder="1" applyAlignment="1">
      <alignment horizontal="right" vertical="top" wrapText="1"/>
    </xf>
    <xf numFmtId="165" fontId="16" fillId="4" borderId="9" xfId="0" applyNumberFormat="1" applyFont="1" applyFill="1" applyBorder="1" applyAlignment="1">
      <alignment horizontal="left" vertical="top" wrapText="1"/>
    </xf>
    <xf numFmtId="165" fontId="16" fillId="4" borderId="9" xfId="0" applyNumberFormat="1" applyFont="1" applyFill="1" applyBorder="1" applyAlignment="1">
      <alignment horizontal="right" vertical="top" wrapText="1"/>
    </xf>
    <xf numFmtId="164" fontId="16" fillId="4" borderId="9" xfId="0" applyNumberFormat="1" applyFont="1" applyFill="1" applyBorder="1" applyAlignment="1">
      <alignment horizontal="right" vertical="top" wrapText="1"/>
    </xf>
    <xf numFmtId="49" fontId="24" fillId="0" borderId="9" xfId="0" applyNumberFormat="1" applyFont="1" applyBorder="1" applyAlignment="1">
      <alignment vertical="top" wrapText="1"/>
    </xf>
    <xf numFmtId="0" fontId="24" fillId="3" borderId="9" xfId="0" applyFont="1" applyFill="1" applyBorder="1"/>
    <xf numFmtId="3" fontId="23" fillId="6" borderId="9" xfId="0" applyNumberFormat="1" applyFont="1" applyFill="1" applyBorder="1" applyAlignment="1">
      <alignment horizontal="right" vertical="center" wrapText="1"/>
    </xf>
    <xf numFmtId="10" fontId="23" fillId="6" borderId="9" xfId="0" applyNumberFormat="1" applyFont="1" applyFill="1" applyBorder="1" applyAlignment="1">
      <alignment horizontal="right" vertical="center" wrapText="1"/>
    </xf>
    <xf numFmtId="0" fontId="23" fillId="6" borderId="9" xfId="0" applyFont="1" applyFill="1" applyBorder="1" applyAlignment="1">
      <alignment horizontal="right" vertical="center" wrapText="1"/>
    </xf>
    <xf numFmtId="0" fontId="16" fillId="4" borderId="9" xfId="0" applyFont="1" applyFill="1" applyBorder="1" applyAlignment="1">
      <alignment vertical="center" wrapText="1"/>
    </xf>
    <xf numFmtId="10" fontId="16" fillId="4" borderId="9" xfId="0" applyNumberFormat="1" applyFont="1" applyFill="1" applyBorder="1" applyAlignment="1">
      <alignment horizontal="right" vertical="center" wrapText="1"/>
    </xf>
    <xf numFmtId="0" fontId="16" fillId="8" borderId="9" xfId="0" applyFont="1" applyFill="1" applyBorder="1" applyAlignment="1">
      <alignment vertical="center" wrapText="1"/>
    </xf>
    <xf numFmtId="10" fontId="16" fillId="8" borderId="9" xfId="0" applyNumberFormat="1" applyFont="1" applyFill="1" applyBorder="1" applyAlignment="1">
      <alignment horizontal="right" vertical="center" wrapText="1"/>
    </xf>
    <xf numFmtId="0" fontId="25" fillId="3" borderId="9" xfId="0" applyFont="1" applyFill="1" applyBorder="1"/>
    <xf numFmtId="0" fontId="16" fillId="8" borderId="9" xfId="0" applyFont="1" applyFill="1" applyBorder="1" applyAlignment="1">
      <alignment horizontal="right" vertical="center" wrapText="1"/>
    </xf>
    <xf numFmtId="0" fontId="16" fillId="4" borderId="9" xfId="0" applyFont="1" applyFill="1" applyBorder="1" applyAlignment="1">
      <alignment horizontal="right" vertical="center" wrapText="1"/>
    </xf>
    <xf numFmtId="10" fontId="26" fillId="8" borderId="9" xfId="0" applyNumberFormat="1" applyFont="1" applyFill="1" applyBorder="1" applyAlignment="1">
      <alignment horizontal="right" vertical="center" wrapText="1"/>
    </xf>
    <xf numFmtId="49" fontId="16" fillId="4" borderId="9" xfId="0" applyNumberFormat="1" applyFont="1" applyFill="1" applyBorder="1" applyAlignment="1">
      <alignment vertical="top" wrapText="1"/>
    </xf>
    <xf numFmtId="0" fontId="26" fillId="8" borderId="9" xfId="0" applyFont="1" applyFill="1" applyBorder="1" applyAlignment="1">
      <alignment vertical="center" wrapText="1"/>
    </xf>
    <xf numFmtId="165" fontId="16" fillId="8" borderId="9" xfId="0" applyNumberFormat="1" applyFont="1" applyFill="1" applyBorder="1" applyAlignment="1">
      <alignment horizontal="right" vertical="top" wrapText="1"/>
    </xf>
    <xf numFmtId="0" fontId="27" fillId="8" borderId="9" xfId="0" applyFont="1" applyFill="1" applyBorder="1" applyAlignment="1">
      <alignment vertical="center" wrapText="1"/>
    </xf>
    <xf numFmtId="165" fontId="27" fillId="8" borderId="9" xfId="0" applyNumberFormat="1" applyFont="1" applyFill="1" applyBorder="1" applyAlignment="1">
      <alignment horizontal="right" vertical="top" wrapText="1"/>
    </xf>
    <xf numFmtId="164" fontId="27" fillId="8" borderId="9" xfId="0" applyNumberFormat="1" applyFont="1" applyFill="1" applyBorder="1" applyAlignment="1">
      <alignment horizontal="right" vertical="top" wrapText="1"/>
    </xf>
    <xf numFmtId="165" fontId="27" fillId="4" borderId="9" xfId="0" applyNumberFormat="1" applyFont="1" applyFill="1" applyBorder="1" applyAlignment="1">
      <alignment horizontal="right" vertical="top" wrapText="1"/>
    </xf>
    <xf numFmtId="164" fontId="27" fillId="4" borderId="9" xfId="0" applyNumberFormat="1" applyFont="1" applyFill="1" applyBorder="1" applyAlignment="1">
      <alignment horizontal="right" vertical="top" wrapText="1"/>
    </xf>
    <xf numFmtId="0" fontId="16" fillId="7" borderId="9" xfId="0" applyFont="1" applyFill="1" applyBorder="1" applyAlignment="1">
      <alignment vertical="center" wrapText="1"/>
    </xf>
    <xf numFmtId="0" fontId="16" fillId="7" borderId="9" xfId="0" applyFont="1" applyFill="1" applyBorder="1" applyAlignment="1">
      <alignment horizontal="right" vertical="center" wrapText="1"/>
    </xf>
    <xf numFmtId="10" fontId="16" fillId="7" borderId="9" xfId="0" applyNumberFormat="1" applyFont="1" applyFill="1" applyBorder="1" applyAlignment="1">
      <alignment horizontal="right" vertical="center" wrapText="1"/>
    </xf>
    <xf numFmtId="3" fontId="16" fillId="7" borderId="9" xfId="0" applyNumberFormat="1" applyFont="1" applyFill="1" applyBorder="1" applyAlignment="1">
      <alignment horizontal="right" vertical="center" wrapText="1"/>
    </xf>
    <xf numFmtId="0" fontId="16" fillId="8" borderId="9" xfId="0" applyFont="1" applyFill="1" applyBorder="1" applyAlignment="1">
      <alignment horizontal="left" vertical="center" wrapText="1"/>
    </xf>
    <xf numFmtId="49" fontId="27" fillId="8" borderId="9" xfId="0" applyNumberFormat="1" applyFont="1" applyFill="1" applyBorder="1" applyAlignment="1">
      <alignment vertical="top" wrapText="1"/>
    </xf>
    <xf numFmtId="164" fontId="16" fillId="8" borderId="9" xfId="0" applyNumberFormat="1" applyFont="1" applyFill="1" applyBorder="1" applyAlignment="1">
      <alignment horizontal="right" vertical="top" wrapText="1"/>
    </xf>
    <xf numFmtId="9" fontId="24" fillId="3" borderId="9" xfId="4" applyFont="1" applyFill="1" applyBorder="1"/>
    <xf numFmtId="9" fontId="16" fillId="8" borderId="9" xfId="4" applyFont="1" applyFill="1" applyBorder="1" applyAlignment="1">
      <alignment vertical="top" wrapText="1"/>
    </xf>
    <xf numFmtId="49" fontId="16" fillId="4" borderId="9" xfId="0" applyNumberFormat="1" applyFont="1" applyFill="1" applyBorder="1" applyAlignment="1">
      <alignment horizontal="right" vertical="top" wrapText="1"/>
    </xf>
    <xf numFmtId="9" fontId="16" fillId="8" borderId="9" xfId="4" applyFont="1" applyFill="1" applyBorder="1"/>
    <xf numFmtId="0" fontId="12" fillId="3" borderId="4" xfId="1" applyFont="1" applyFill="1" applyBorder="1" applyAlignment="1">
      <alignment horizontal="left"/>
    </xf>
    <xf numFmtId="0" fontId="12" fillId="3" borderId="0" xfId="1" applyFont="1" applyFill="1" applyBorder="1" applyAlignment="1">
      <alignment horizontal="left"/>
    </xf>
    <xf numFmtId="0" fontId="10" fillId="2" borderId="1" xfId="0" applyFont="1" applyFill="1" applyBorder="1" applyAlignment="1">
      <alignment horizontal="center" wrapText="1"/>
    </xf>
    <xf numFmtId="0" fontId="10" fillId="2" borderId="2" xfId="0" applyFont="1" applyFill="1" applyBorder="1" applyAlignment="1">
      <alignment horizontal="center" wrapText="1"/>
    </xf>
    <xf numFmtId="0" fontId="10" fillId="2" borderId="3" xfId="0" applyFont="1" applyFill="1" applyBorder="1" applyAlignment="1">
      <alignment horizontal="center" wrapText="1"/>
    </xf>
    <xf numFmtId="0" fontId="11" fillId="0" borderId="4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1" fillId="0" borderId="5" xfId="0" applyFont="1" applyBorder="1" applyAlignment="1">
      <alignment horizontal="left" wrapText="1"/>
    </xf>
    <xf numFmtId="0" fontId="12" fillId="0" borderId="4" xfId="1" applyFont="1" applyBorder="1" applyAlignment="1">
      <alignment horizontal="left"/>
    </xf>
    <xf numFmtId="0" fontId="12" fillId="0" borderId="0" xfId="1" applyFont="1" applyBorder="1" applyAlignment="1">
      <alignment horizontal="left"/>
    </xf>
    <xf numFmtId="0" fontId="12" fillId="0" borderId="5" xfId="1" applyFont="1" applyBorder="1" applyAlignment="1">
      <alignment horizontal="left"/>
    </xf>
    <xf numFmtId="0" fontId="14" fillId="0" borderId="0" xfId="0" applyFont="1" applyAlignment="1">
      <alignment horizontal="center" vertical="center" wrapText="1"/>
    </xf>
    <xf numFmtId="0" fontId="15" fillId="3" borderId="0" xfId="0" applyFont="1" applyFill="1" applyAlignment="1">
      <alignment horizontal="center" wrapText="1"/>
    </xf>
    <xf numFmtId="0" fontId="23" fillId="0" borderId="9" xfId="0" applyFont="1" applyBorder="1" applyAlignment="1">
      <alignment horizontal="center" vertical="center" wrapText="1"/>
    </xf>
    <xf numFmtId="0" fontId="16" fillId="4" borderId="9" xfId="0" applyFont="1" applyFill="1" applyBorder="1" applyAlignment="1">
      <alignment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7" fillId="4" borderId="15" xfId="0" applyFont="1" applyFill="1" applyBorder="1" applyAlignment="1">
      <alignment horizontal="left" vertical="center" wrapText="1"/>
    </xf>
    <xf numFmtId="0" fontId="27" fillId="4" borderId="16" xfId="0" applyFont="1" applyFill="1" applyBorder="1" applyAlignment="1">
      <alignment horizontal="left" vertical="center" wrapText="1"/>
    </xf>
    <xf numFmtId="49" fontId="24" fillId="0" borderId="10" xfId="0" applyNumberFormat="1" applyFont="1" applyBorder="1" applyAlignment="1">
      <alignment horizontal="center" vertical="center" wrapText="1"/>
    </xf>
    <xf numFmtId="49" fontId="24" fillId="0" borderId="13" xfId="0" applyNumberFormat="1" applyFont="1" applyBorder="1" applyAlignment="1">
      <alignment horizontal="center" vertical="center" wrapText="1"/>
    </xf>
    <xf numFmtId="49" fontId="24" fillId="0" borderId="14" xfId="0" applyNumberFormat="1" applyFont="1" applyBorder="1" applyAlignment="1">
      <alignment horizontal="center" vertical="center" wrapText="1"/>
    </xf>
    <xf numFmtId="49" fontId="16" fillId="4" borderId="15" xfId="0" applyNumberFormat="1" applyFont="1" applyFill="1" applyBorder="1" applyAlignment="1">
      <alignment horizontal="left" vertical="top" wrapText="1"/>
    </xf>
    <xf numFmtId="49" fontId="16" fillId="4" borderId="16" xfId="0" applyNumberFormat="1" applyFont="1" applyFill="1" applyBorder="1" applyAlignment="1">
      <alignment horizontal="left" vertical="top" wrapText="1"/>
    </xf>
  </cellXfs>
  <cellStyles count="5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416641</xdr:colOff>
      <xdr:row>1</xdr:row>
      <xdr:rowOff>193367</xdr:rowOff>
    </xdr:from>
    <xdr:to>
      <xdr:col>3</xdr:col>
      <xdr:colOff>928738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02791" y="7267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193261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420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173935</xdr:colOff>
      <xdr:row>8</xdr:row>
      <xdr:rowOff>49696</xdr:rowOff>
    </xdr:from>
    <xdr:to>
      <xdr:col>5</xdr:col>
      <xdr:colOff>66907</xdr:colOff>
      <xdr:row>8</xdr:row>
      <xdr:rowOff>240196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812196" y="1783522"/>
          <a:ext cx="53901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179734</xdr:colOff>
      <xdr:row>1</xdr:row>
      <xdr:rowOff>91390</xdr:rowOff>
    </xdr:from>
    <xdr:to>
      <xdr:col>1</xdr:col>
      <xdr:colOff>1179859</xdr:colOff>
      <xdr:row>2</xdr:row>
      <xdr:rowOff>122767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A252B2A-682F-4BC3-BB06-4EF811BD5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9734" y="281890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173108</xdr:colOff>
      <xdr:row>1</xdr:row>
      <xdr:rowOff>55218</xdr:rowOff>
    </xdr:from>
    <xdr:to>
      <xdr:col>4</xdr:col>
      <xdr:colOff>613328</xdr:colOff>
      <xdr:row>3</xdr:row>
      <xdr:rowOff>142653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0CCB295-780E-4EA1-947D-89C306CF35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1369" y="248479"/>
          <a:ext cx="440220" cy="4739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276087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503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249859</xdr:colOff>
      <xdr:row>7</xdr:row>
      <xdr:rowOff>81584</xdr:rowOff>
    </xdr:from>
    <xdr:to>
      <xdr:col>5</xdr:col>
      <xdr:colOff>115913</xdr:colOff>
      <xdr:row>8</xdr:row>
      <xdr:rowOff>75439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888120" y="1622149"/>
          <a:ext cx="512097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189259</xdr:colOff>
      <xdr:row>1</xdr:row>
      <xdr:rowOff>106160</xdr:rowOff>
    </xdr:from>
    <xdr:to>
      <xdr:col>1</xdr:col>
      <xdr:colOff>1189384</xdr:colOff>
      <xdr:row>2</xdr:row>
      <xdr:rowOff>137537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95645F1-92B8-4124-902A-BA4886DF6B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259" y="296660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380173</xdr:colOff>
      <xdr:row>1</xdr:row>
      <xdr:rowOff>77304</xdr:rowOff>
    </xdr:from>
    <xdr:to>
      <xdr:col>5</xdr:col>
      <xdr:colOff>199197</xdr:colOff>
      <xdr:row>3</xdr:row>
      <xdr:rowOff>164739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7F357D4-D619-40A1-B5E4-00ACAE2A3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9651" y="2678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292653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3261"/>
          <a:ext cx="551980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289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73717</xdr:colOff>
      <xdr:row>1</xdr:row>
      <xdr:rowOff>44176</xdr:rowOff>
    </xdr:from>
    <xdr:to>
      <xdr:col>1</xdr:col>
      <xdr:colOff>1073842</xdr:colOff>
      <xdr:row>2</xdr:row>
      <xdr:rowOff>75553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0D4E243-9D86-4643-9932-BA512251A1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17" y="23467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305630</xdr:colOff>
      <xdr:row>1</xdr:row>
      <xdr:rowOff>60739</xdr:rowOff>
    </xdr:from>
    <xdr:to>
      <xdr:col>5</xdr:col>
      <xdr:colOff>124654</xdr:colOff>
      <xdr:row>3</xdr:row>
      <xdr:rowOff>148174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43496E4-8380-441F-AFA5-C9772C772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45108" y="25123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237435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546458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180837</xdr:colOff>
      <xdr:row>7</xdr:row>
      <xdr:rowOff>172278</xdr:rowOff>
    </xdr:from>
    <xdr:to>
      <xdr:col>5</xdr:col>
      <xdr:colOff>73809</xdr:colOff>
      <xdr:row>8</xdr:row>
      <xdr:rowOff>172278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581098" y="1712843"/>
          <a:ext cx="539015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90283</xdr:colOff>
      <xdr:row>1</xdr:row>
      <xdr:rowOff>91113</xdr:rowOff>
    </xdr:from>
    <xdr:to>
      <xdr:col>1</xdr:col>
      <xdr:colOff>1090408</xdr:colOff>
      <xdr:row>2</xdr:row>
      <xdr:rowOff>122490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FFCF9E7-B921-4EB1-B0E6-980647A7E3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283" y="284374"/>
          <a:ext cx="1646168" cy="2246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222803</xdr:colOff>
      <xdr:row>1</xdr:row>
      <xdr:rowOff>102152</xdr:rowOff>
    </xdr:from>
    <xdr:to>
      <xdr:col>5</xdr:col>
      <xdr:colOff>41827</xdr:colOff>
      <xdr:row>3</xdr:row>
      <xdr:rowOff>189587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BA1A9D1-46F0-460D-B3DF-40E87ED9E8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2868" y="29265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ZACATECAS POR ESTADO EN EE.UU.</a:t>
          </a:r>
        </a:p>
      </xdr:txBody>
    </xdr:sp>
    <xdr:clientData/>
  </xdr:twoCellAnchor>
  <xdr:twoCellAnchor>
    <xdr:from>
      <xdr:col>4</xdr:col>
      <xdr:colOff>575157</xdr:colOff>
      <xdr:row>7</xdr:row>
      <xdr:rowOff>37334</xdr:rowOff>
    </xdr:from>
    <xdr:to>
      <xdr:col>4</xdr:col>
      <xdr:colOff>1117600</xdr:colOff>
      <xdr:row>7</xdr:row>
      <xdr:rowOff>279400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432907" y="1777234"/>
          <a:ext cx="542443" cy="24206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66001</xdr:colOff>
      <xdr:row>1</xdr:row>
      <xdr:rowOff>103618</xdr:rowOff>
    </xdr:from>
    <xdr:to>
      <xdr:col>2</xdr:col>
      <xdr:colOff>167170</xdr:colOff>
      <xdr:row>2</xdr:row>
      <xdr:rowOff>133070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5FF2BC-96C1-4AAD-876F-3748171123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943" y="257483"/>
          <a:ext cx="1625169" cy="2199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393122</xdr:colOff>
      <xdr:row>1</xdr:row>
      <xdr:rowOff>33062</xdr:rowOff>
    </xdr:from>
    <xdr:to>
      <xdr:col>4</xdr:col>
      <xdr:colOff>833342</xdr:colOff>
      <xdr:row>3</xdr:row>
      <xdr:rowOff>116648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60B710A-A562-4B7B-9848-DBC789E5DB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31064" y="186927"/>
          <a:ext cx="440220" cy="4645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ZACATECAS EN LOS CONSULADOS DE MÉXICO EN EE.UU. </a:t>
          </a:r>
        </a:p>
      </xdr:txBody>
    </xdr:sp>
    <xdr:clientData/>
  </xdr:twoCellAnchor>
  <xdr:twoCellAnchor>
    <xdr:from>
      <xdr:col>4</xdr:col>
      <xdr:colOff>590176</xdr:colOff>
      <xdr:row>7</xdr:row>
      <xdr:rowOff>141941</xdr:rowOff>
    </xdr:from>
    <xdr:to>
      <xdr:col>4</xdr:col>
      <xdr:colOff>1102273</xdr:colOff>
      <xdr:row>7</xdr:row>
      <xdr:rowOff>332441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438588" y="189005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129614</xdr:colOff>
      <xdr:row>1</xdr:row>
      <xdr:rowOff>152039</xdr:rowOff>
    </xdr:from>
    <xdr:to>
      <xdr:col>2</xdr:col>
      <xdr:colOff>226935</xdr:colOff>
      <xdr:row>2</xdr:row>
      <xdr:rowOff>183416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CB118A6-A2DC-4215-9A79-DA998E0CD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114" y="30020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368673</xdr:colOff>
      <xdr:row>1</xdr:row>
      <xdr:rowOff>17318</xdr:rowOff>
    </xdr:from>
    <xdr:to>
      <xdr:col>4</xdr:col>
      <xdr:colOff>808893</xdr:colOff>
      <xdr:row>3</xdr:row>
      <xdr:rowOff>100271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AB990E2-8C00-4C76-B11A-2398D4C4FF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26423" y="169718"/>
          <a:ext cx="440220" cy="4639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209827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571306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171173</xdr:colOff>
      <xdr:row>7</xdr:row>
      <xdr:rowOff>165652</xdr:rowOff>
    </xdr:from>
    <xdr:to>
      <xdr:col>5</xdr:col>
      <xdr:colOff>103908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202105" y="1689652"/>
          <a:ext cx="556189" cy="2153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177251</xdr:colOff>
      <xdr:row>1</xdr:row>
      <xdr:rowOff>184060</xdr:rowOff>
    </xdr:from>
    <xdr:to>
      <xdr:col>1</xdr:col>
      <xdr:colOff>1177376</xdr:colOff>
      <xdr:row>3</xdr:row>
      <xdr:rowOff>24937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B62B3CA-1B16-46F2-A88E-995A9BB81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251" y="374560"/>
          <a:ext cx="1624542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156543</xdr:colOff>
      <xdr:row>1</xdr:row>
      <xdr:rowOff>77304</xdr:rowOff>
    </xdr:from>
    <xdr:to>
      <xdr:col>4</xdr:col>
      <xdr:colOff>596763</xdr:colOff>
      <xdr:row>3</xdr:row>
      <xdr:rowOff>164739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D20566E-A37E-474F-AB68-CECD7F66C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92369" y="2678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2614</xdr:colOff>
      <xdr:row>1</xdr:row>
      <xdr:rowOff>2004</xdr:rowOff>
    </xdr:from>
    <xdr:to>
      <xdr:col>4</xdr:col>
      <xdr:colOff>1195294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69849" y="151416"/>
          <a:ext cx="5973857" cy="1011833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ZACATECAS POR NIVEL DE EDUCACIÓN Y ESTADO EN EE.UU.</a:t>
          </a:r>
        </a:p>
      </xdr:txBody>
    </xdr:sp>
    <xdr:clientData/>
  </xdr:twoCellAnchor>
  <xdr:twoCellAnchor>
    <xdr:from>
      <xdr:col>4</xdr:col>
      <xdr:colOff>545224</xdr:colOff>
      <xdr:row>7</xdr:row>
      <xdr:rowOff>137948</xdr:rowOff>
    </xdr:from>
    <xdr:to>
      <xdr:col>4</xdr:col>
      <xdr:colOff>1057321</xdr:colOff>
      <xdr:row>7</xdr:row>
      <xdr:rowOff>328448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82914" y="187872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90020</xdr:colOff>
      <xdr:row>1</xdr:row>
      <xdr:rowOff>106033</xdr:rowOff>
    </xdr:from>
    <xdr:to>
      <xdr:col>2</xdr:col>
      <xdr:colOff>187341</xdr:colOff>
      <xdr:row>2</xdr:row>
      <xdr:rowOff>137410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35A3F71-3654-4106-99BB-50861692CF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695" y="258433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450850</xdr:colOff>
      <xdr:row>1</xdr:row>
      <xdr:rowOff>50564</xdr:rowOff>
    </xdr:from>
    <xdr:to>
      <xdr:col>4</xdr:col>
      <xdr:colOff>891070</xdr:colOff>
      <xdr:row>3</xdr:row>
      <xdr:rowOff>137999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14EEB0-9E0C-4447-A338-399AA41634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0085" y="20744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</a:t>
          </a:r>
          <a:r>
            <a:rPr lang="es-MX" sz="1050">
              <a:latin typeface="Noto Sans" panose="020B0502040504020204" pitchFamily="34" charset="0"/>
              <a:ea typeface="Noto Sans" panose="020B0502040504020204" pitchFamily="34" charset="0"/>
            </a:rPr>
            <a:t> </a:t>
          </a:r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CONSULARES DE ALTA SEGURIDAD EXPEDIDAS A ORIGINARIOS DEL ESTADO DE ZACATECAS POR CONSULADO Y NIVEL DE EDUCACIÓN EN EE.UU. </a:t>
          </a:r>
          <a:endParaRPr lang="es-MX" sz="1050"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378952</xdr:colOff>
      <xdr:row>7</xdr:row>
      <xdr:rowOff>92178</xdr:rowOff>
    </xdr:from>
    <xdr:to>
      <xdr:col>4</xdr:col>
      <xdr:colOff>891049</xdr:colOff>
      <xdr:row>7</xdr:row>
      <xdr:rowOff>286775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028791" y="1853791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201082</xdr:colOff>
      <xdr:row>1</xdr:row>
      <xdr:rowOff>90904</xdr:rowOff>
    </xdr:from>
    <xdr:to>
      <xdr:col>2</xdr:col>
      <xdr:colOff>298403</xdr:colOff>
      <xdr:row>2</xdr:row>
      <xdr:rowOff>122281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82D91A5-A33D-4014-A199-8A87CC2AA7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4582" y="23907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409574</xdr:colOff>
      <xdr:row>1</xdr:row>
      <xdr:rowOff>68679</xdr:rowOff>
    </xdr:from>
    <xdr:to>
      <xdr:col>4</xdr:col>
      <xdr:colOff>849794</xdr:colOff>
      <xdr:row>3</xdr:row>
      <xdr:rowOff>156114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A61C4E5-3B9F-4322-8EC1-35E64AED4C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8249" y="22107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248479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3261"/>
          <a:ext cx="5475632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1010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159442</xdr:colOff>
      <xdr:row>1</xdr:row>
      <xdr:rowOff>112093</xdr:rowOff>
    </xdr:from>
    <xdr:to>
      <xdr:col>1</xdr:col>
      <xdr:colOff>1159567</xdr:colOff>
      <xdr:row>2</xdr:row>
      <xdr:rowOff>143470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4A42C85-09E9-4491-9EE3-5734C3D0B8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9442" y="302593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156542</xdr:colOff>
      <xdr:row>1</xdr:row>
      <xdr:rowOff>44174</xdr:rowOff>
    </xdr:from>
    <xdr:to>
      <xdr:col>4</xdr:col>
      <xdr:colOff>596762</xdr:colOff>
      <xdr:row>3</xdr:row>
      <xdr:rowOff>131609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82C1A9C-9046-4E08-8EBC-A99191DBD0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6020" y="23467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547636</xdr:colOff>
      <xdr:row>9</xdr:row>
      <xdr:rowOff>50800</xdr:rowOff>
    </xdr:from>
    <xdr:to>
      <xdr:col>5</xdr:col>
      <xdr:colOff>22519</xdr:colOff>
      <xdr:row>10</xdr:row>
      <xdr:rowOff>50800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4948186" y="1765300"/>
          <a:ext cx="535333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38100</xdr:colOff>
      <xdr:row>1</xdr:row>
      <xdr:rowOff>26284</xdr:rowOff>
    </xdr:from>
    <xdr:to>
      <xdr:col>2</xdr:col>
      <xdr:colOff>392596</xdr:colOff>
      <xdr:row>2</xdr:row>
      <xdr:rowOff>105286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C926F05-55BE-48FD-97E5-86EBA417D1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210434"/>
          <a:ext cx="1681646" cy="2060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466725</xdr:colOff>
      <xdr:row>1</xdr:row>
      <xdr:rowOff>2004</xdr:rowOff>
    </xdr:from>
    <xdr:to>
      <xdr:col>4</xdr:col>
      <xdr:colOff>906945</xdr:colOff>
      <xdr:row>3</xdr:row>
      <xdr:rowOff>137064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0CEA354-025E-4CBD-ADDE-BE7C0D803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00575" y="1925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465086</xdr:colOff>
      <xdr:row>9</xdr:row>
      <xdr:rowOff>114300</xdr:rowOff>
    </xdr:from>
    <xdr:to>
      <xdr:col>4</xdr:col>
      <xdr:colOff>1000419</xdr:colOff>
      <xdr:row>10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4865636" y="1828800"/>
          <a:ext cx="535333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105834</xdr:colOff>
      <xdr:row>1</xdr:row>
      <xdr:rowOff>105471</xdr:rowOff>
    </xdr:from>
    <xdr:to>
      <xdr:col>2</xdr:col>
      <xdr:colOff>460330</xdr:colOff>
      <xdr:row>2</xdr:row>
      <xdr:rowOff>184473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F1292F6-599C-44A9-A7E4-5E6C490CE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834" y="295971"/>
          <a:ext cx="1624496" cy="2271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504825</xdr:colOff>
      <xdr:row>0</xdr:row>
      <xdr:rowOff>140397</xdr:rowOff>
    </xdr:from>
    <xdr:to>
      <xdr:col>4</xdr:col>
      <xdr:colOff>945045</xdr:colOff>
      <xdr:row>3</xdr:row>
      <xdr:rowOff>84957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E30E402-791B-40F9-AD26-218639917C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7031" y="140397"/>
          <a:ext cx="440220" cy="4712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592804</xdr:colOff>
      <xdr:row>9</xdr:row>
      <xdr:rowOff>32160</xdr:rowOff>
    </xdr:from>
    <xdr:to>
      <xdr:col>5</xdr:col>
      <xdr:colOff>1125999</xdr:colOff>
      <xdr:row>10</xdr:row>
      <xdr:rowOff>32160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5876004" y="1746660"/>
          <a:ext cx="53319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50800</xdr:colOff>
      <xdr:row>1</xdr:row>
      <xdr:rowOff>49629</xdr:rowOff>
    </xdr:from>
    <xdr:to>
      <xdr:col>2</xdr:col>
      <xdr:colOff>405296</xdr:colOff>
      <xdr:row>2</xdr:row>
      <xdr:rowOff>122281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A5231ED-F9F0-41C9-B4F6-55366965B6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850" y="233779"/>
          <a:ext cx="1681646" cy="199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654050</xdr:colOff>
      <xdr:row>0</xdr:row>
      <xdr:rowOff>176629</xdr:rowOff>
    </xdr:from>
    <xdr:to>
      <xdr:col>5</xdr:col>
      <xdr:colOff>1094270</xdr:colOff>
      <xdr:row>3</xdr:row>
      <xdr:rowOff>121189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AB2A8DE-07D1-4573-BB21-8D0212DAB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5200" y="176629"/>
          <a:ext cx="440220" cy="4462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629479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574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ZACATECAS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1199045</xdr:colOff>
      <xdr:row>7</xdr:row>
      <xdr:rowOff>171174</xdr:rowOff>
    </xdr:from>
    <xdr:to>
      <xdr:col>4</xdr:col>
      <xdr:colOff>501192</xdr:colOff>
      <xdr:row>8</xdr:row>
      <xdr:rowOff>168413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964306" y="1711739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185533</xdr:colOff>
      <xdr:row>1</xdr:row>
      <xdr:rowOff>116877</xdr:rowOff>
    </xdr:from>
    <xdr:to>
      <xdr:col>1</xdr:col>
      <xdr:colOff>1185658</xdr:colOff>
      <xdr:row>2</xdr:row>
      <xdr:rowOff>148254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D3F2182-755D-44C3-8588-63D4C19F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5533" y="307377"/>
          <a:ext cx="1624542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1150455</xdr:colOff>
      <xdr:row>1</xdr:row>
      <xdr:rowOff>60739</xdr:rowOff>
    </xdr:from>
    <xdr:to>
      <xdr:col>4</xdr:col>
      <xdr:colOff>406262</xdr:colOff>
      <xdr:row>3</xdr:row>
      <xdr:rowOff>148174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45DC3A8-CF18-4C5B-B7FC-78C5E57996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05890" y="25123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="110" zoomScaleNormal="100" zoomScaleSheetLayoutView="11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101" t="s">
        <v>312</v>
      </c>
      <c r="B1" s="102"/>
      <c r="C1" s="102"/>
      <c r="D1" s="103"/>
    </row>
    <row r="2" spans="1:4">
      <c r="A2" s="2"/>
      <c r="B2" s="3"/>
      <c r="C2" s="3"/>
      <c r="D2" s="4"/>
    </row>
    <row r="3" spans="1:4">
      <c r="A3" s="104" t="s">
        <v>0</v>
      </c>
      <c r="B3" s="105"/>
      <c r="C3" s="105"/>
      <c r="D3" s="106"/>
    </row>
    <row r="4" spans="1:4">
      <c r="A4" s="104"/>
      <c r="B4" s="105"/>
      <c r="C4" s="105"/>
      <c r="D4" s="106"/>
    </row>
    <row r="5" spans="1:4">
      <c r="A5" s="5"/>
      <c r="B5" s="6"/>
      <c r="C5" s="6"/>
      <c r="D5" s="7"/>
    </row>
    <row r="6" spans="1:4" ht="18.75">
      <c r="A6" s="107" t="s">
        <v>1</v>
      </c>
      <c r="B6" s="108"/>
      <c r="C6" s="108"/>
      <c r="D6" s="109"/>
    </row>
    <row r="7" spans="1:4">
      <c r="A7" s="8"/>
      <c r="D7" s="9"/>
    </row>
    <row r="8" spans="1:4" ht="18.75">
      <c r="A8" s="107" t="s">
        <v>2</v>
      </c>
      <c r="B8" s="108"/>
      <c r="C8" s="108"/>
      <c r="D8" s="109"/>
    </row>
    <row r="9" spans="1:4" ht="18.75">
      <c r="A9" s="8"/>
      <c r="B9" s="107" t="s">
        <v>3</v>
      </c>
      <c r="C9" s="108"/>
      <c r="D9" s="108"/>
    </row>
    <row r="10" spans="1:4">
      <c r="A10" s="8"/>
      <c r="D10" s="9"/>
    </row>
    <row r="11" spans="1:4" ht="18.75">
      <c r="A11" s="28" t="s">
        <v>4</v>
      </c>
      <c r="D11" s="9"/>
    </row>
    <row r="12" spans="1:4" ht="18.75">
      <c r="A12" s="29"/>
      <c r="B12" s="99" t="s">
        <v>5</v>
      </c>
      <c r="C12" s="100"/>
      <c r="D12" s="100"/>
    </row>
    <row r="13" spans="1:4" ht="18.75">
      <c r="A13" s="29"/>
      <c r="B13" s="107" t="s">
        <v>6</v>
      </c>
      <c r="C13" s="108"/>
      <c r="D13" s="108"/>
    </row>
    <row r="14" spans="1:4" ht="18.75">
      <c r="A14" s="8"/>
      <c r="B14" s="107" t="s">
        <v>7</v>
      </c>
      <c r="C14" s="108"/>
      <c r="D14" s="108"/>
    </row>
    <row r="15" spans="1:4">
      <c r="A15" s="8"/>
      <c r="D15" s="9"/>
    </row>
    <row r="16" spans="1:4" ht="18.75">
      <c r="A16" s="28" t="s">
        <v>8</v>
      </c>
      <c r="D16" s="9"/>
    </row>
    <row r="17" spans="1:4" ht="18.75">
      <c r="A17" s="8"/>
      <c r="B17" s="107" t="s">
        <v>9</v>
      </c>
      <c r="C17" s="108"/>
      <c r="D17" s="108"/>
    </row>
    <row r="18" spans="1:4" ht="18.75">
      <c r="A18" s="8"/>
      <c r="B18" s="107" t="s">
        <v>10</v>
      </c>
      <c r="C18" s="108"/>
      <c r="D18" s="108"/>
    </row>
    <row r="19" spans="1:4" ht="18.75">
      <c r="A19" s="8"/>
      <c r="B19" s="107" t="s">
        <v>11</v>
      </c>
      <c r="C19" s="108"/>
      <c r="D19" s="108"/>
    </row>
    <row r="20" spans="1:4">
      <c r="A20" s="8"/>
      <c r="D20" s="9"/>
    </row>
    <row r="21" spans="1:4" ht="18.75">
      <c r="A21" s="28" t="s">
        <v>12</v>
      </c>
      <c r="D21" s="9"/>
    </row>
    <row r="22" spans="1:4" ht="18.75">
      <c r="A22" s="8"/>
      <c r="B22" s="107" t="s">
        <v>13</v>
      </c>
      <c r="C22" s="108"/>
      <c r="D22" s="108"/>
    </row>
    <row r="23" spans="1:4" ht="18.75">
      <c r="A23" s="8"/>
      <c r="B23" s="107" t="s">
        <v>14</v>
      </c>
      <c r="C23" s="108"/>
      <c r="D23" s="108"/>
    </row>
    <row r="24" spans="1:4" ht="18.75">
      <c r="A24" s="8"/>
      <c r="B24" s="107" t="s">
        <v>34</v>
      </c>
      <c r="C24" s="108"/>
      <c r="D24" s="108"/>
    </row>
    <row r="25" spans="1:4">
      <c r="A25" s="8"/>
      <c r="D25" s="9"/>
    </row>
    <row r="26" spans="1:4" ht="18.75">
      <c r="A26" s="107" t="s">
        <v>15</v>
      </c>
      <c r="B26" s="108"/>
      <c r="C26" s="108"/>
      <c r="D26" s="109"/>
    </row>
    <row r="27" spans="1:4">
      <c r="A27" s="8"/>
      <c r="D27" s="9"/>
    </row>
    <row r="28" spans="1:4" ht="18.75">
      <c r="A28" s="107" t="s">
        <v>16</v>
      </c>
      <c r="B28" s="108"/>
      <c r="C28" s="108"/>
      <c r="D28" s="109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Zacatecas_USAMuni!A1" display="3.2 Por Estado de USA" xr:uid="{00000000-0004-0000-0000-00000D000000}"/>
    <hyperlink ref="A8:D8" location="Zacatecas_Cons!A1" display="2. Por Circunscripción Consular" xr:uid="{00000000-0004-0000-0000-00000E000000}"/>
    <hyperlink ref="B9:D9" location="ZacatecasXCons!A1" display="2.1 Top ten por circunscripción consular" xr:uid="{00000000-0004-0000-0000-00000F000000}"/>
    <hyperlink ref="A6:D6" location="Zacatecas_EdoUsa!A1" display="1. Por Estados de USA" xr:uid="{00000000-0004-0000-0000-000010000000}"/>
    <hyperlink ref="B12:D12" location="Zacatecas_EdoMun!A1" display="3.1 Municipio general" xr:uid="{00000000-0004-0000-0000-000011000000}"/>
    <hyperlink ref="B14:D14" location="Zacatecas_MUNICIPIO!A1" display="3.3 Por Circunscripción Consular" xr:uid="{00000000-0004-0000-0000-000012000000}"/>
    <hyperlink ref="B17:D17" location="Zacatecas_educ_gral!A1" display="4.1 Educación general" xr:uid="{00000000-0004-0000-0000-000013000000}"/>
    <hyperlink ref="B18:D18" location="Zacatecas_NivelE_Cons!A1" display="4.2 Por Estado de USA" xr:uid="{00000000-0004-0000-0000-000014000000}"/>
    <hyperlink ref="B19:D19" location="Zacatecas_EducCons!A1" display="4.3 Por Circunscripción Consular" xr:uid="{00000000-0004-0000-0000-000015000000}"/>
    <hyperlink ref="B22:D22" location="Zacatecas_GenGral!A1" display="5.1 Género General" xr:uid="{00000000-0004-0000-0000-000016000000}"/>
    <hyperlink ref="B23:D23" location="Zacatecas_GENERO!A1" display="5.2 Por Circunscripción Consular" xr:uid="{00000000-0004-0000-0000-000017000000}"/>
    <hyperlink ref="A26:D26" location="Zacatecas_Gen_Edad!A1" display="6. Por estructura de Edad" xr:uid="{00000000-0004-0000-0000-000018000000}"/>
    <hyperlink ref="A28:D28" location="Zacatecas_ocup_gral!A1" display="7. Por Ocupación" xr:uid="{00000000-0004-0000-0000-000019000000}"/>
    <hyperlink ref="B24" location="Zacatecas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6"/>
  <sheetViews>
    <sheetView showGridLines="0" view="pageBreakPreview" topLeftCell="A43" zoomScaleNormal="100" zoomScaleSheetLayoutView="100" workbookViewId="0">
      <selection activeCell="I4" sqref="I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1406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0" t="s">
        <v>41</v>
      </c>
      <c r="C7" s="110"/>
      <c r="D7" s="110"/>
      <c r="E7" s="30"/>
      <c r="F7" s="30"/>
    </row>
    <row r="8" spans="1:6" s="15" customFormat="1" ht="15" customHeight="1">
      <c r="A8" s="30"/>
      <c r="B8" s="110"/>
      <c r="C8" s="110"/>
      <c r="D8" s="110"/>
      <c r="E8" s="30"/>
      <c r="F8" s="30"/>
    </row>
    <row r="9" spans="1:6" s="15" customFormat="1" ht="33" customHeight="1">
      <c r="A9" s="30"/>
      <c r="B9" s="110"/>
      <c r="C9" s="110"/>
      <c r="D9" s="110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32" t="s">
        <v>21</v>
      </c>
      <c r="C11" s="33" t="s">
        <v>20</v>
      </c>
      <c r="D11" s="32" t="s">
        <v>19</v>
      </c>
      <c r="E11" s="30"/>
      <c r="F11" s="30"/>
    </row>
    <row r="12" spans="1:6" ht="14.45" customHeight="1">
      <c r="A12" s="34"/>
      <c r="B12" s="61" t="s">
        <v>137</v>
      </c>
      <c r="C12" s="62">
        <v>8208</v>
      </c>
      <c r="D12" s="63">
        <v>0.30196453535427897</v>
      </c>
      <c r="E12" s="34"/>
      <c r="F12" s="34"/>
    </row>
    <row r="13" spans="1:6" ht="14.45" customHeight="1">
      <c r="A13" s="34"/>
      <c r="B13" s="61" t="s">
        <v>100</v>
      </c>
      <c r="C13" s="62">
        <v>5781</v>
      </c>
      <c r="D13" s="63">
        <v>0.21267750717386499</v>
      </c>
      <c r="E13" s="34"/>
      <c r="F13" s="34"/>
    </row>
    <row r="14" spans="1:6" ht="14.45" customHeight="1">
      <c r="A14" s="34"/>
      <c r="B14" s="61" t="s">
        <v>108</v>
      </c>
      <c r="C14" s="62">
        <v>2465</v>
      </c>
      <c r="D14" s="63">
        <v>9.0685012140387003E-2</v>
      </c>
      <c r="E14" s="34"/>
      <c r="F14" s="34"/>
    </row>
    <row r="15" spans="1:6" ht="14.45" customHeight="1">
      <c r="A15" s="34"/>
      <c r="B15" s="61" t="s">
        <v>130</v>
      </c>
      <c r="C15" s="62">
        <v>1833</v>
      </c>
      <c r="D15" s="63">
        <v>6.7434331542933004E-2</v>
      </c>
      <c r="E15" s="34"/>
      <c r="F15" s="34"/>
    </row>
    <row r="16" spans="1:6" ht="14.45" customHeight="1">
      <c r="A16" s="34"/>
      <c r="B16" s="61" t="s">
        <v>101</v>
      </c>
      <c r="C16" s="62">
        <v>1492</v>
      </c>
      <c r="D16" s="63">
        <v>5.4889264954749002E-2</v>
      </c>
      <c r="E16" s="34"/>
      <c r="F16" s="34"/>
    </row>
    <row r="17" spans="1:6" ht="14.45" customHeight="1">
      <c r="A17" s="34"/>
      <c r="B17" s="61" t="s">
        <v>122</v>
      </c>
      <c r="C17" s="62">
        <v>618</v>
      </c>
      <c r="D17" s="63">
        <v>2.2735633875358999E-2</v>
      </c>
      <c r="E17" s="34"/>
      <c r="F17" s="34"/>
    </row>
    <row r="18" spans="1:6" ht="14.45" customHeight="1">
      <c r="A18" s="34"/>
      <c r="B18" s="61" t="s">
        <v>111</v>
      </c>
      <c r="C18" s="62">
        <v>595</v>
      </c>
      <c r="D18" s="63">
        <v>2.1889485689059001E-2</v>
      </c>
      <c r="E18" s="34"/>
      <c r="F18" s="34"/>
    </row>
    <row r="19" spans="1:6" ht="14.45" customHeight="1">
      <c r="A19" s="34"/>
      <c r="B19" s="61" t="s">
        <v>105</v>
      </c>
      <c r="C19" s="62">
        <v>583</v>
      </c>
      <c r="D19" s="63">
        <v>2.144801707012E-2</v>
      </c>
      <c r="E19" s="34"/>
      <c r="F19" s="34"/>
    </row>
    <row r="20" spans="1:6" ht="14.45" customHeight="1">
      <c r="A20" s="34"/>
      <c r="B20" s="61" t="s">
        <v>136</v>
      </c>
      <c r="C20" s="62">
        <v>539</v>
      </c>
      <c r="D20" s="63">
        <v>1.9829298800676999E-2</v>
      </c>
      <c r="E20" s="34"/>
      <c r="F20" s="34"/>
    </row>
    <row r="21" spans="1:6" ht="14.45" customHeight="1">
      <c r="A21" s="34"/>
      <c r="B21" s="61" t="s">
        <v>116</v>
      </c>
      <c r="C21" s="62">
        <v>507</v>
      </c>
      <c r="D21" s="63">
        <v>1.8652049150172999E-2</v>
      </c>
      <c r="E21" s="34"/>
      <c r="F21" s="34"/>
    </row>
    <row r="22" spans="1:6" ht="14.45" customHeight="1">
      <c r="A22" s="34"/>
      <c r="B22" s="61" t="s">
        <v>98</v>
      </c>
      <c r="C22" s="62">
        <v>397</v>
      </c>
      <c r="D22" s="63">
        <v>1.4605253476565E-2</v>
      </c>
      <c r="E22" s="34"/>
      <c r="F22" s="34"/>
    </row>
    <row r="23" spans="1:6" ht="14.45" customHeight="1">
      <c r="A23" s="34"/>
      <c r="B23" s="61" t="s">
        <v>127</v>
      </c>
      <c r="C23" s="62">
        <v>384</v>
      </c>
      <c r="D23" s="63">
        <v>1.4126995806048001E-2</v>
      </c>
      <c r="E23" s="34"/>
      <c r="F23" s="34"/>
    </row>
    <row r="24" spans="1:6" ht="14.45" customHeight="1">
      <c r="A24" s="34"/>
      <c r="B24" s="61" t="s">
        <v>141</v>
      </c>
      <c r="C24" s="62">
        <v>356</v>
      </c>
      <c r="D24" s="63">
        <v>1.3096902361857E-2</v>
      </c>
      <c r="E24" s="34"/>
      <c r="F24" s="34"/>
    </row>
    <row r="25" spans="1:6" ht="14.45" customHeight="1">
      <c r="A25" s="34"/>
      <c r="B25" s="61" t="s">
        <v>99</v>
      </c>
      <c r="C25" s="62">
        <v>353</v>
      </c>
      <c r="D25" s="63">
        <v>1.2986535207122001E-2</v>
      </c>
      <c r="E25" s="34"/>
      <c r="F25" s="34"/>
    </row>
    <row r="26" spans="1:6" ht="14.45" customHeight="1">
      <c r="A26" s="34"/>
      <c r="B26" s="61" t="s">
        <v>109</v>
      </c>
      <c r="C26" s="62">
        <v>297</v>
      </c>
      <c r="D26" s="63">
        <v>1.092634831874E-2</v>
      </c>
      <c r="E26" s="34"/>
      <c r="F26" s="34"/>
    </row>
    <row r="27" spans="1:6" ht="14.45" customHeight="1">
      <c r="A27" s="34"/>
      <c r="B27" s="61" t="s">
        <v>104</v>
      </c>
      <c r="C27" s="62">
        <v>272</v>
      </c>
      <c r="D27" s="63">
        <v>1.0006622029284E-2</v>
      </c>
      <c r="E27" s="34"/>
      <c r="F27" s="34"/>
    </row>
    <row r="28" spans="1:6" ht="14.45" customHeight="1">
      <c r="A28" s="34"/>
      <c r="B28" s="61" t="s">
        <v>125</v>
      </c>
      <c r="C28" s="62">
        <v>251</v>
      </c>
      <c r="D28" s="63">
        <v>9.2340519461410007E-3</v>
      </c>
      <c r="E28" s="34"/>
      <c r="F28" s="34"/>
    </row>
    <row r="29" spans="1:6" ht="14.45" customHeight="1">
      <c r="A29" s="34"/>
      <c r="B29" s="61" t="s">
        <v>107</v>
      </c>
      <c r="C29" s="62">
        <v>228</v>
      </c>
      <c r="D29" s="63">
        <v>8.3879037598409995E-3</v>
      </c>
      <c r="E29" s="34"/>
      <c r="F29" s="34"/>
    </row>
    <row r="30" spans="1:6" ht="14.45" customHeight="1">
      <c r="A30" s="34"/>
      <c r="B30" s="61" t="s">
        <v>110</v>
      </c>
      <c r="C30" s="62">
        <v>226</v>
      </c>
      <c r="D30" s="63">
        <v>8.3143256566850007E-3</v>
      </c>
      <c r="E30" s="34"/>
      <c r="F30" s="34"/>
    </row>
    <row r="31" spans="1:6" ht="14.45" customHeight="1">
      <c r="A31" s="34"/>
      <c r="B31" s="61" t="s">
        <v>138</v>
      </c>
      <c r="C31" s="62">
        <v>216</v>
      </c>
      <c r="D31" s="63">
        <v>7.9464351409020001E-3</v>
      </c>
      <c r="E31" s="34"/>
      <c r="F31" s="34"/>
    </row>
    <row r="32" spans="1:6" ht="14.45" customHeight="1">
      <c r="A32" s="34"/>
      <c r="B32" s="61" t="s">
        <v>117</v>
      </c>
      <c r="C32" s="62">
        <v>193</v>
      </c>
      <c r="D32" s="63">
        <v>7.1002869546019998E-3</v>
      </c>
      <c r="E32" s="34"/>
      <c r="F32" s="34"/>
    </row>
    <row r="33" spans="1:6" ht="14.45" customHeight="1">
      <c r="A33" s="34"/>
      <c r="B33" s="61" t="s">
        <v>119</v>
      </c>
      <c r="C33" s="62">
        <v>161</v>
      </c>
      <c r="D33" s="63">
        <v>5.9230373040980002E-3</v>
      </c>
      <c r="E33" s="34"/>
      <c r="F33" s="34"/>
    </row>
    <row r="34" spans="1:6" ht="14.45" customHeight="1">
      <c r="A34" s="34"/>
      <c r="B34" s="61" t="s">
        <v>113</v>
      </c>
      <c r="C34" s="62">
        <v>143</v>
      </c>
      <c r="D34" s="63">
        <v>5.2608343756899998E-3</v>
      </c>
      <c r="E34" s="34"/>
      <c r="F34" s="34"/>
    </row>
    <row r="35" spans="1:6" ht="14.45" customHeight="1">
      <c r="A35" s="34"/>
      <c r="B35" s="61" t="s">
        <v>129</v>
      </c>
      <c r="C35" s="62">
        <v>131</v>
      </c>
      <c r="D35" s="63">
        <v>4.8193657567510003E-3</v>
      </c>
      <c r="E35" s="34"/>
      <c r="F35" s="34"/>
    </row>
    <row r="36" spans="1:6" ht="14.45" customHeight="1">
      <c r="A36" s="34"/>
      <c r="B36" s="61" t="s">
        <v>121</v>
      </c>
      <c r="C36" s="62">
        <v>130</v>
      </c>
      <c r="D36" s="63">
        <v>4.782576705173E-3</v>
      </c>
      <c r="E36" s="34"/>
      <c r="F36" s="34"/>
    </row>
    <row r="37" spans="1:6" ht="14.45" customHeight="1">
      <c r="A37" s="34"/>
      <c r="B37" s="61" t="s">
        <v>118</v>
      </c>
      <c r="C37" s="62">
        <v>118</v>
      </c>
      <c r="D37" s="63">
        <v>4.3411080862339997E-3</v>
      </c>
      <c r="E37" s="34"/>
      <c r="F37" s="34"/>
    </row>
    <row r="38" spans="1:6" ht="14.45" customHeight="1">
      <c r="A38" s="34"/>
      <c r="B38" s="61" t="s">
        <v>112</v>
      </c>
      <c r="C38" s="62">
        <v>116</v>
      </c>
      <c r="D38" s="63">
        <v>4.267529983077E-3</v>
      </c>
      <c r="E38" s="34"/>
      <c r="F38" s="34"/>
    </row>
    <row r="39" spans="1:6" ht="14.45" customHeight="1">
      <c r="A39" s="34"/>
      <c r="B39" s="61" t="s">
        <v>139</v>
      </c>
      <c r="C39" s="62">
        <v>111</v>
      </c>
      <c r="D39" s="63">
        <v>4.0835847251860001E-3</v>
      </c>
      <c r="E39" s="34"/>
      <c r="F39" s="34"/>
    </row>
    <row r="40" spans="1:6" ht="14.45" customHeight="1">
      <c r="A40" s="34"/>
      <c r="B40" s="61" t="s">
        <v>134</v>
      </c>
      <c r="C40" s="62">
        <v>89</v>
      </c>
      <c r="D40" s="63">
        <v>3.2742255904640001E-3</v>
      </c>
      <c r="E40" s="34"/>
      <c r="F40" s="34"/>
    </row>
    <row r="41" spans="1:6" ht="14.45" customHeight="1">
      <c r="A41" s="34"/>
      <c r="B41" s="61" t="s">
        <v>80</v>
      </c>
      <c r="C41" s="62">
        <v>66</v>
      </c>
      <c r="D41" s="63">
        <v>2.4280774041649999E-3</v>
      </c>
      <c r="E41" s="34"/>
      <c r="F41" s="34"/>
    </row>
    <row r="42" spans="1:6" ht="14.45" customHeight="1">
      <c r="A42" s="34"/>
      <c r="B42" s="61" t="s">
        <v>131</v>
      </c>
      <c r="C42" s="62">
        <v>65</v>
      </c>
      <c r="D42" s="63">
        <v>2.391288352586E-3</v>
      </c>
      <c r="E42" s="34"/>
      <c r="F42" s="34"/>
    </row>
    <row r="43" spans="1:6" ht="14.45" customHeight="1">
      <c r="A43" s="34"/>
      <c r="B43" s="61" t="s">
        <v>96</v>
      </c>
      <c r="C43" s="62">
        <v>64</v>
      </c>
      <c r="D43" s="63">
        <v>2.3544993010080001E-3</v>
      </c>
      <c r="E43" s="34"/>
      <c r="F43" s="34"/>
    </row>
    <row r="44" spans="1:6" ht="14.45" customHeight="1">
      <c r="A44" s="34"/>
      <c r="B44" s="61" t="s">
        <v>132</v>
      </c>
      <c r="C44" s="62">
        <v>42</v>
      </c>
      <c r="D44" s="63">
        <v>1.545140166287E-3</v>
      </c>
      <c r="E44" s="34"/>
      <c r="F44" s="34"/>
    </row>
    <row r="45" spans="1:6" ht="14.45" customHeight="1">
      <c r="A45" s="34"/>
      <c r="B45" s="61" t="s">
        <v>142</v>
      </c>
      <c r="C45" s="62">
        <v>28</v>
      </c>
      <c r="D45" s="63">
        <v>1.0300934441909999E-3</v>
      </c>
      <c r="E45" s="34"/>
      <c r="F45" s="34"/>
    </row>
    <row r="46" spans="1:6" ht="14.45" customHeight="1">
      <c r="A46" s="34"/>
      <c r="B46" s="61" t="s">
        <v>126</v>
      </c>
      <c r="C46" s="62">
        <v>26</v>
      </c>
      <c r="D46" s="63">
        <v>9.5651534103499995E-4</v>
      </c>
      <c r="E46" s="34"/>
      <c r="F46" s="34"/>
    </row>
    <row r="47" spans="1:6" ht="14.45" customHeight="1">
      <c r="A47" s="34"/>
      <c r="B47" s="61" t="s">
        <v>124</v>
      </c>
      <c r="C47" s="62">
        <v>22</v>
      </c>
      <c r="D47" s="63">
        <v>8.09359134722E-4</v>
      </c>
      <c r="E47" s="34"/>
      <c r="F47" s="34"/>
    </row>
    <row r="48" spans="1:6" ht="14.45" customHeight="1">
      <c r="A48" s="34"/>
      <c r="B48" s="61" t="s">
        <v>103</v>
      </c>
      <c r="C48" s="62">
        <v>17</v>
      </c>
      <c r="D48" s="63">
        <v>6.2541387683E-4</v>
      </c>
      <c r="E48" s="34"/>
      <c r="F48" s="34"/>
    </row>
    <row r="49" spans="1:6" ht="14.45" customHeight="1">
      <c r="A49" s="34"/>
      <c r="B49" s="61" t="s">
        <v>135</v>
      </c>
      <c r="C49" s="62">
        <v>14</v>
      </c>
      <c r="D49" s="63">
        <v>5.1504672209599998E-4</v>
      </c>
      <c r="E49" s="34"/>
      <c r="F49" s="34"/>
    </row>
    <row r="50" spans="1:6" ht="14.45" customHeight="1">
      <c r="A50" s="34"/>
      <c r="B50" s="61" t="s">
        <v>123</v>
      </c>
      <c r="C50" s="62">
        <v>11</v>
      </c>
      <c r="D50" s="63">
        <v>4.04679567361E-4</v>
      </c>
      <c r="E50" s="34"/>
      <c r="F50" s="34"/>
    </row>
    <row r="51" spans="1:6" ht="14.45" customHeight="1">
      <c r="A51" s="34"/>
      <c r="B51" s="61" t="s">
        <v>114</v>
      </c>
      <c r="C51" s="62">
        <v>7</v>
      </c>
      <c r="D51" s="63">
        <v>2.5752336104799999E-4</v>
      </c>
      <c r="E51" s="34"/>
      <c r="F51" s="34"/>
    </row>
    <row r="52" spans="1:6" ht="14.45" customHeight="1">
      <c r="A52" s="34"/>
      <c r="B52" s="61" t="s">
        <v>97</v>
      </c>
      <c r="C52" s="62">
        <v>6</v>
      </c>
      <c r="D52" s="63">
        <v>2.2073430946999999E-4</v>
      </c>
      <c r="E52" s="34"/>
      <c r="F52" s="34"/>
    </row>
    <row r="53" spans="1:6" ht="14.45" customHeight="1">
      <c r="A53" s="34"/>
      <c r="B53" s="61" t="s">
        <v>120</v>
      </c>
      <c r="C53" s="62">
        <v>5</v>
      </c>
      <c r="D53" s="63">
        <v>1.8394525789100001E-4</v>
      </c>
      <c r="E53" s="34"/>
      <c r="F53" s="34"/>
    </row>
    <row r="54" spans="1:6" ht="14.45" customHeight="1">
      <c r="A54" s="34"/>
      <c r="B54" s="61" t="s">
        <v>128</v>
      </c>
      <c r="C54" s="62">
        <v>5</v>
      </c>
      <c r="D54" s="63">
        <v>1.8394525789100001E-4</v>
      </c>
      <c r="E54" s="34"/>
      <c r="F54" s="34"/>
    </row>
    <row r="55" spans="1:6" ht="14.45" customHeight="1">
      <c r="A55" s="34"/>
      <c r="B55" s="61" t="s">
        <v>140</v>
      </c>
      <c r="C55" s="62">
        <v>3</v>
      </c>
      <c r="D55" s="63">
        <v>1.10367154735E-4</v>
      </c>
      <c r="E55" s="34"/>
      <c r="F55" s="34"/>
    </row>
    <row r="56" spans="1:6" ht="14.45" customHeight="1">
      <c r="A56" s="34"/>
      <c r="B56" s="61" t="s">
        <v>102</v>
      </c>
      <c r="C56" s="62">
        <v>2</v>
      </c>
      <c r="D56" s="63">
        <v>7.3578103156999997E-5</v>
      </c>
      <c r="E56" s="34"/>
      <c r="F56" s="34"/>
    </row>
    <row r="57" spans="1:6" ht="14.45" customHeight="1">
      <c r="A57" s="34"/>
      <c r="B57" s="61" t="s">
        <v>106</v>
      </c>
      <c r="C57" s="62">
        <v>2</v>
      </c>
      <c r="D57" s="63">
        <v>7.3578103156999997E-5</v>
      </c>
      <c r="E57" s="34"/>
      <c r="F57" s="34"/>
    </row>
    <row r="58" spans="1:6" ht="14.45" customHeight="1">
      <c r="A58" s="34"/>
      <c r="B58" s="61" t="s">
        <v>115</v>
      </c>
      <c r="C58" s="62">
        <v>2</v>
      </c>
      <c r="D58" s="63">
        <v>7.3578103156999997E-5</v>
      </c>
      <c r="E58" s="34"/>
      <c r="F58" s="34"/>
    </row>
    <row r="59" spans="1:6" ht="14.45" customHeight="1">
      <c r="A59" s="34"/>
      <c r="B59" s="61" t="s">
        <v>133</v>
      </c>
      <c r="C59" s="62">
        <v>2</v>
      </c>
      <c r="D59" s="63">
        <v>7.3578103156999997E-5</v>
      </c>
      <c r="E59" s="34"/>
      <c r="F59" s="34"/>
    </row>
    <row r="60" spans="1:6" ht="14.45" customHeight="1">
      <c r="A60" s="34"/>
      <c r="B60" s="64" t="s">
        <v>307</v>
      </c>
      <c r="C60" s="65">
        <v>27182</v>
      </c>
      <c r="D60" s="66">
        <v>1</v>
      </c>
      <c r="E60" s="34"/>
      <c r="F60" s="34"/>
    </row>
    <row r="61" spans="1:6" ht="14.45" customHeight="1">
      <c r="A61" s="34"/>
      <c r="B61" s="35"/>
      <c r="C61" s="36"/>
      <c r="D61" s="34"/>
      <c r="E61" s="34"/>
      <c r="F61" s="34"/>
    </row>
    <row r="62" spans="1:6" ht="14.45" customHeight="1">
      <c r="A62" s="34"/>
      <c r="B62" s="37" t="s">
        <v>284</v>
      </c>
      <c r="C62" s="36"/>
      <c r="D62" s="34"/>
      <c r="E62" s="34"/>
      <c r="F62" s="34"/>
    </row>
    <row r="63" spans="1:6" ht="14.45" customHeight="1">
      <c r="A63" s="34"/>
      <c r="B63" s="38" t="s">
        <v>18</v>
      </c>
      <c r="C63" s="36"/>
      <c r="D63" s="34"/>
      <c r="E63" s="34"/>
      <c r="F63" s="34"/>
    </row>
    <row r="64" spans="1:6" ht="14.45" customHeight="1">
      <c r="A64" s="34"/>
      <c r="B64" s="39" t="s">
        <v>143</v>
      </c>
      <c r="C64" s="36"/>
      <c r="D64" s="34"/>
      <c r="E64" s="34"/>
      <c r="F64" s="34"/>
    </row>
    <row r="65" spans="1:6" ht="14.45" customHeight="1">
      <c r="A65" s="34"/>
      <c r="B65" s="37" t="s">
        <v>17</v>
      </c>
      <c r="C65" s="36"/>
      <c r="D65" s="34"/>
      <c r="E65" s="34"/>
      <c r="F65" s="34"/>
    </row>
    <row r="66" spans="1:6" ht="14.45" customHeight="1">
      <c r="A66" s="34"/>
      <c r="B66" s="37" t="s">
        <v>311</v>
      </c>
      <c r="C66" s="36"/>
      <c r="D66" s="34"/>
      <c r="E66" s="34"/>
      <c r="F66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fitToWidth="0" fitToHeight="0" orientation="portrait" r:id="rId1"/>
  <headerFooter>
    <oddFooter>&amp;C&amp;P de &amp;N</oddFooter>
  </headerFooter>
  <rowBreaks count="1" manualBreakCount="1">
    <brk id="50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9"/>
  <sheetViews>
    <sheetView showGridLines="0" view="pageBreakPreview" zoomScaleNormal="100" zoomScaleSheetLayoutView="100" workbookViewId="0">
      <selection activeCell="H9" sqref="H9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855468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0" t="s">
        <v>35</v>
      </c>
      <c r="C7" s="110"/>
      <c r="D7" s="110"/>
      <c r="E7" s="30"/>
      <c r="F7" s="30"/>
    </row>
    <row r="8" spans="1:6" s="15" customFormat="1" ht="15" customHeight="1">
      <c r="A8" s="30"/>
      <c r="B8" s="110"/>
      <c r="C8" s="110"/>
      <c r="D8" s="110"/>
      <c r="E8" s="30"/>
      <c r="F8" s="30"/>
    </row>
    <row r="9" spans="1:6" s="15" customFormat="1" ht="33" customHeight="1">
      <c r="A9" s="30"/>
      <c r="B9" s="110"/>
      <c r="C9" s="110"/>
      <c r="D9" s="110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32" t="s">
        <v>22</v>
      </c>
      <c r="C11" s="33" t="s">
        <v>20</v>
      </c>
      <c r="D11" s="32" t="s">
        <v>19</v>
      </c>
      <c r="E11" s="30"/>
      <c r="F11" s="30"/>
    </row>
    <row r="12" spans="1:6" ht="16.5">
      <c r="A12" s="34"/>
      <c r="B12" s="67" t="s">
        <v>45</v>
      </c>
      <c r="C12" s="62">
        <v>4676</v>
      </c>
      <c r="D12" s="63">
        <v>0.17202560517989801</v>
      </c>
      <c r="E12" s="34"/>
      <c r="F12" s="34"/>
    </row>
    <row r="13" spans="1:6" ht="16.5">
      <c r="A13" s="34"/>
      <c r="B13" s="67" t="s">
        <v>46</v>
      </c>
      <c r="C13" s="62">
        <v>2792</v>
      </c>
      <c r="D13" s="63">
        <v>0.102715032006475</v>
      </c>
      <c r="E13" s="34"/>
      <c r="F13" s="34"/>
    </row>
    <row r="14" spans="1:6" ht="16.5">
      <c r="A14" s="34"/>
      <c r="B14" s="67" t="s">
        <v>47</v>
      </c>
      <c r="C14" s="62">
        <v>2694</v>
      </c>
      <c r="D14" s="63">
        <v>9.9109704951806002E-2</v>
      </c>
      <c r="E14" s="34"/>
      <c r="F14" s="34"/>
    </row>
    <row r="15" spans="1:6" ht="16.5">
      <c r="A15" s="34"/>
      <c r="B15" s="67" t="s">
        <v>49</v>
      </c>
      <c r="C15" s="62">
        <v>1980</v>
      </c>
      <c r="D15" s="63">
        <v>7.2842322124935993E-2</v>
      </c>
      <c r="E15" s="34"/>
      <c r="F15" s="34"/>
    </row>
    <row r="16" spans="1:6" ht="16.5">
      <c r="A16" s="34"/>
      <c r="B16" s="67" t="s">
        <v>48</v>
      </c>
      <c r="C16" s="62">
        <v>1932</v>
      </c>
      <c r="D16" s="63">
        <v>7.1076447649180002E-2</v>
      </c>
      <c r="E16" s="34"/>
      <c r="F16" s="34"/>
    </row>
    <row r="17" spans="1:6" ht="16.5">
      <c r="A17" s="34"/>
      <c r="B17" s="67" t="s">
        <v>50</v>
      </c>
      <c r="C17" s="62">
        <v>1487</v>
      </c>
      <c r="D17" s="63">
        <v>5.4705319696857997E-2</v>
      </c>
      <c r="E17" s="34"/>
      <c r="F17" s="34"/>
    </row>
    <row r="18" spans="1:6" ht="16.5">
      <c r="A18" s="34"/>
      <c r="B18" s="67" t="s">
        <v>53</v>
      </c>
      <c r="C18" s="62">
        <v>785</v>
      </c>
      <c r="D18" s="63">
        <v>2.8879405488926001E-2</v>
      </c>
      <c r="E18" s="34"/>
      <c r="F18" s="34"/>
    </row>
    <row r="19" spans="1:6" ht="16.5">
      <c r="A19" s="34"/>
      <c r="B19" s="67" t="s">
        <v>51</v>
      </c>
      <c r="C19" s="62">
        <v>776</v>
      </c>
      <c r="D19" s="63">
        <v>2.8548304024721999E-2</v>
      </c>
      <c r="E19" s="34"/>
      <c r="F19" s="34"/>
    </row>
    <row r="20" spans="1:6" ht="16.5">
      <c r="A20" s="34"/>
      <c r="B20" s="67" t="s">
        <v>54</v>
      </c>
      <c r="C20" s="62">
        <v>714</v>
      </c>
      <c r="D20" s="63">
        <v>2.6267382826871001E-2</v>
      </c>
      <c r="E20" s="34"/>
      <c r="F20" s="34"/>
    </row>
    <row r="21" spans="1:6" ht="16.5">
      <c r="A21" s="34"/>
      <c r="B21" s="67" t="s">
        <v>52</v>
      </c>
      <c r="C21" s="62">
        <v>678</v>
      </c>
      <c r="D21" s="63">
        <v>2.4942976970054001E-2</v>
      </c>
      <c r="E21" s="34"/>
      <c r="F21" s="34"/>
    </row>
    <row r="22" spans="1:6" ht="16.5">
      <c r="A22" s="34"/>
      <c r="B22" s="67" t="s">
        <v>60</v>
      </c>
      <c r="C22" s="62">
        <v>634</v>
      </c>
      <c r="D22" s="63">
        <v>2.3324258700611E-2</v>
      </c>
      <c r="E22" s="34"/>
      <c r="F22" s="34"/>
    </row>
    <row r="23" spans="1:6" ht="16.5">
      <c r="A23" s="34"/>
      <c r="B23" s="67" t="s">
        <v>57</v>
      </c>
      <c r="C23" s="62">
        <v>545</v>
      </c>
      <c r="D23" s="63">
        <v>2.0050033110145998E-2</v>
      </c>
      <c r="E23" s="34"/>
      <c r="F23" s="34"/>
    </row>
    <row r="24" spans="1:6" ht="16.5">
      <c r="A24" s="34"/>
      <c r="B24" s="67" t="s">
        <v>55</v>
      </c>
      <c r="C24" s="62">
        <v>544</v>
      </c>
      <c r="D24" s="63">
        <v>2.0013244058568001E-2</v>
      </c>
      <c r="E24" s="34"/>
      <c r="F24" s="34"/>
    </row>
    <row r="25" spans="1:6" ht="16.5">
      <c r="A25" s="34"/>
      <c r="B25" s="67" t="s">
        <v>56</v>
      </c>
      <c r="C25" s="62">
        <v>521</v>
      </c>
      <c r="D25" s="63">
        <v>1.9167095872267999E-2</v>
      </c>
      <c r="E25" s="34"/>
      <c r="F25" s="34"/>
    </row>
    <row r="26" spans="1:6" ht="16.5">
      <c r="A26" s="34"/>
      <c r="B26" s="67" t="s">
        <v>58</v>
      </c>
      <c r="C26" s="62">
        <v>516</v>
      </c>
      <c r="D26" s="63">
        <v>1.8983150614377001E-2</v>
      </c>
      <c r="E26" s="34"/>
      <c r="F26" s="34"/>
    </row>
    <row r="27" spans="1:6" ht="16.5">
      <c r="A27" s="34"/>
      <c r="B27" s="67" t="s">
        <v>59</v>
      </c>
      <c r="C27" s="62">
        <v>451</v>
      </c>
      <c r="D27" s="63">
        <v>1.6591862261791001E-2</v>
      </c>
      <c r="E27" s="34"/>
      <c r="F27" s="34"/>
    </row>
    <row r="28" spans="1:6" ht="16.5">
      <c r="A28" s="34"/>
      <c r="B28" s="67" t="s">
        <v>63</v>
      </c>
      <c r="C28" s="62">
        <v>400</v>
      </c>
      <c r="D28" s="63">
        <v>1.4715620631300001E-2</v>
      </c>
      <c r="E28" s="34"/>
      <c r="F28" s="34"/>
    </row>
    <row r="29" spans="1:6" ht="16.5">
      <c r="A29" s="34"/>
      <c r="B29" s="67" t="s">
        <v>61</v>
      </c>
      <c r="C29" s="62">
        <v>384</v>
      </c>
      <c r="D29" s="63">
        <v>1.4126995806048001E-2</v>
      </c>
      <c r="E29" s="34"/>
      <c r="F29" s="34"/>
    </row>
    <row r="30" spans="1:6" ht="16.5">
      <c r="A30" s="34"/>
      <c r="B30" s="67" t="s">
        <v>62</v>
      </c>
      <c r="C30" s="62">
        <v>380</v>
      </c>
      <c r="D30" s="63">
        <v>1.3979839599735E-2</v>
      </c>
      <c r="E30" s="34"/>
      <c r="F30" s="34"/>
    </row>
    <row r="31" spans="1:6" ht="16.5">
      <c r="A31" s="34"/>
      <c r="B31" s="67" t="s">
        <v>65</v>
      </c>
      <c r="C31" s="62">
        <v>355</v>
      </c>
      <c r="D31" s="63">
        <v>1.3060113310279E-2</v>
      </c>
      <c r="E31" s="34"/>
      <c r="F31" s="34"/>
    </row>
    <row r="32" spans="1:6" ht="16.5">
      <c r="A32" s="34"/>
      <c r="B32" s="67" t="s">
        <v>75</v>
      </c>
      <c r="C32" s="62">
        <v>315</v>
      </c>
      <c r="D32" s="63">
        <v>1.1588551247149E-2</v>
      </c>
      <c r="E32" s="34"/>
      <c r="F32" s="34"/>
    </row>
    <row r="33" spans="1:6" ht="16.5">
      <c r="A33" s="34"/>
      <c r="B33" s="67" t="s">
        <v>66</v>
      </c>
      <c r="C33" s="62">
        <v>309</v>
      </c>
      <c r="D33" s="63">
        <v>1.1367816937679E-2</v>
      </c>
      <c r="E33" s="34"/>
      <c r="F33" s="34"/>
    </row>
    <row r="34" spans="1:6" ht="16.5">
      <c r="A34" s="34"/>
      <c r="B34" s="67" t="s">
        <v>67</v>
      </c>
      <c r="C34" s="62">
        <v>285</v>
      </c>
      <c r="D34" s="63">
        <v>1.0484879699800999E-2</v>
      </c>
      <c r="E34" s="34"/>
      <c r="F34" s="34"/>
    </row>
    <row r="35" spans="1:6" ht="16.5">
      <c r="A35" s="34"/>
      <c r="B35" s="67" t="s">
        <v>64</v>
      </c>
      <c r="C35" s="62">
        <v>272</v>
      </c>
      <c r="D35" s="63">
        <v>1.0006622029284E-2</v>
      </c>
      <c r="E35" s="34"/>
      <c r="F35" s="34"/>
    </row>
    <row r="36" spans="1:6" ht="16.5">
      <c r="A36" s="34"/>
      <c r="B36" s="67" t="s">
        <v>69</v>
      </c>
      <c r="C36" s="62">
        <v>266</v>
      </c>
      <c r="D36" s="63">
        <v>9.7858877198149993E-3</v>
      </c>
      <c r="E36" s="34"/>
      <c r="F36" s="34"/>
    </row>
    <row r="37" spans="1:6" ht="16.5">
      <c r="A37" s="34"/>
      <c r="B37" s="67" t="s">
        <v>68</v>
      </c>
      <c r="C37" s="62">
        <v>245</v>
      </c>
      <c r="D37" s="63">
        <v>9.0133176366710005E-3</v>
      </c>
      <c r="E37" s="34"/>
      <c r="F37" s="34"/>
    </row>
    <row r="38" spans="1:6" ht="16.5">
      <c r="A38" s="34"/>
      <c r="B38" s="67" t="s">
        <v>70</v>
      </c>
      <c r="C38" s="62">
        <v>243</v>
      </c>
      <c r="D38" s="63">
        <v>8.9397395335149999E-3</v>
      </c>
      <c r="E38" s="34"/>
      <c r="F38" s="34"/>
    </row>
    <row r="39" spans="1:6" ht="16.5">
      <c r="A39" s="34"/>
      <c r="B39" s="67" t="s">
        <v>77</v>
      </c>
      <c r="C39" s="62">
        <v>239</v>
      </c>
      <c r="D39" s="63">
        <v>8.7925833272019995E-3</v>
      </c>
      <c r="E39" s="34"/>
      <c r="F39" s="34"/>
    </row>
    <row r="40" spans="1:6" ht="16.5">
      <c r="A40" s="34"/>
      <c r="B40" s="67" t="s">
        <v>74</v>
      </c>
      <c r="C40" s="62">
        <v>213</v>
      </c>
      <c r="D40" s="63">
        <v>7.8360679861669991E-3</v>
      </c>
      <c r="E40" s="34"/>
      <c r="F40" s="34"/>
    </row>
    <row r="41" spans="1:6" ht="16.5">
      <c r="A41" s="34"/>
      <c r="B41" s="67" t="s">
        <v>76</v>
      </c>
      <c r="C41" s="62">
        <v>213</v>
      </c>
      <c r="D41" s="63">
        <v>7.8360679861669991E-3</v>
      </c>
      <c r="E41" s="34"/>
      <c r="F41" s="34"/>
    </row>
    <row r="42" spans="1:6" ht="16.5">
      <c r="A42" s="34"/>
      <c r="B42" s="67" t="s">
        <v>79</v>
      </c>
      <c r="C42" s="62">
        <v>175</v>
      </c>
      <c r="D42" s="63">
        <v>6.4380840261940003E-3</v>
      </c>
      <c r="E42" s="34"/>
      <c r="F42" s="34"/>
    </row>
    <row r="43" spans="1:6" ht="16.5">
      <c r="A43" s="34"/>
      <c r="B43" s="67" t="s">
        <v>71</v>
      </c>
      <c r="C43" s="62">
        <v>172</v>
      </c>
      <c r="D43" s="63">
        <v>6.3277168714590002E-3</v>
      </c>
      <c r="E43" s="34"/>
      <c r="F43" s="34"/>
    </row>
    <row r="44" spans="1:6" ht="16.5">
      <c r="A44" s="34"/>
      <c r="B44" s="67" t="s">
        <v>73</v>
      </c>
      <c r="C44" s="62">
        <v>162</v>
      </c>
      <c r="D44" s="63">
        <v>5.9598263556769997E-3</v>
      </c>
      <c r="E44" s="34"/>
      <c r="F44" s="34"/>
    </row>
    <row r="45" spans="1:6" ht="16.5">
      <c r="A45" s="34"/>
      <c r="B45" s="67" t="s">
        <v>78</v>
      </c>
      <c r="C45" s="62">
        <v>142</v>
      </c>
      <c r="D45" s="63">
        <v>5.2240453241120003E-3</v>
      </c>
      <c r="E45" s="34"/>
      <c r="F45" s="34"/>
    </row>
    <row r="46" spans="1:6" ht="16.5">
      <c r="A46" s="34"/>
      <c r="B46" s="67" t="s">
        <v>72</v>
      </c>
      <c r="C46" s="62">
        <v>139</v>
      </c>
      <c r="D46" s="63">
        <v>5.1136781693770002E-3</v>
      </c>
      <c r="E46" s="34"/>
      <c r="F46" s="34"/>
    </row>
    <row r="47" spans="1:6" ht="16.5">
      <c r="A47" s="34"/>
      <c r="B47" s="67" t="s">
        <v>80</v>
      </c>
      <c r="C47" s="62">
        <v>96</v>
      </c>
      <c r="D47" s="63">
        <v>3.5317489515120002E-3</v>
      </c>
      <c r="E47" s="34"/>
      <c r="F47" s="34"/>
    </row>
    <row r="48" spans="1:6" ht="16.5">
      <c r="A48" s="34"/>
      <c r="B48" s="67" t="s">
        <v>82</v>
      </c>
      <c r="C48" s="62">
        <v>78</v>
      </c>
      <c r="D48" s="63">
        <v>2.8695460231040002E-3</v>
      </c>
      <c r="E48" s="34"/>
      <c r="F48" s="34"/>
    </row>
    <row r="49" spans="1:6" ht="16.5">
      <c r="A49" s="34"/>
      <c r="B49" s="67" t="s">
        <v>81</v>
      </c>
      <c r="C49" s="62">
        <v>77</v>
      </c>
      <c r="D49" s="63">
        <v>2.8327569715249998E-3</v>
      </c>
      <c r="E49" s="34"/>
      <c r="F49" s="34"/>
    </row>
    <row r="50" spans="1:6" ht="16.5">
      <c r="A50" s="34"/>
      <c r="B50" s="67" t="s">
        <v>83</v>
      </c>
      <c r="C50" s="62">
        <v>71</v>
      </c>
      <c r="D50" s="63">
        <v>2.6120226620560002E-3</v>
      </c>
      <c r="E50" s="34"/>
      <c r="F50" s="34"/>
    </row>
    <row r="51" spans="1:6" ht="16.5">
      <c r="A51" s="34"/>
      <c r="B51" s="67" t="s">
        <v>85</v>
      </c>
      <c r="C51" s="62">
        <v>43</v>
      </c>
      <c r="D51" s="63">
        <v>1.5819292178650001E-3</v>
      </c>
      <c r="E51" s="34"/>
      <c r="F51" s="34"/>
    </row>
    <row r="52" spans="1:6" ht="16.5">
      <c r="A52" s="34"/>
      <c r="B52" s="67" t="s">
        <v>84</v>
      </c>
      <c r="C52" s="62">
        <v>37</v>
      </c>
      <c r="D52" s="63">
        <v>1.3611949083950001E-3</v>
      </c>
      <c r="E52" s="34"/>
      <c r="F52" s="34"/>
    </row>
    <row r="53" spans="1:6" ht="16.5">
      <c r="A53" s="34"/>
      <c r="B53" s="67" t="s">
        <v>88</v>
      </c>
      <c r="C53" s="62">
        <v>30</v>
      </c>
      <c r="D53" s="63">
        <v>1.1036715473479999E-3</v>
      </c>
      <c r="E53" s="34"/>
      <c r="F53" s="34"/>
    </row>
    <row r="54" spans="1:6" ht="16.5">
      <c r="A54" s="34"/>
      <c r="B54" s="67" t="s">
        <v>87</v>
      </c>
      <c r="C54" s="62">
        <v>29</v>
      </c>
      <c r="D54" s="63">
        <v>1.066882495769E-3</v>
      </c>
      <c r="E54" s="34"/>
      <c r="F54" s="34"/>
    </row>
    <row r="55" spans="1:6" ht="16.5">
      <c r="A55" s="34"/>
      <c r="B55" s="67" t="s">
        <v>90</v>
      </c>
      <c r="C55" s="62">
        <v>22</v>
      </c>
      <c r="D55" s="63">
        <v>8.09359134722E-4</v>
      </c>
      <c r="E55" s="34"/>
      <c r="F55" s="34"/>
    </row>
    <row r="56" spans="1:6" ht="16.5">
      <c r="A56" s="34"/>
      <c r="B56" s="67" t="s">
        <v>86</v>
      </c>
      <c r="C56" s="62">
        <v>16</v>
      </c>
      <c r="D56" s="63">
        <v>5.8862482525200003E-4</v>
      </c>
      <c r="E56" s="34"/>
      <c r="F56" s="34"/>
    </row>
    <row r="57" spans="1:6" ht="16.5">
      <c r="A57" s="34"/>
      <c r="B57" s="67" t="s">
        <v>89</v>
      </c>
      <c r="C57" s="62">
        <v>15</v>
      </c>
      <c r="D57" s="63">
        <v>5.5183577367399995E-4</v>
      </c>
      <c r="E57" s="34"/>
      <c r="F57" s="34"/>
    </row>
    <row r="58" spans="1:6" ht="16.5">
      <c r="A58" s="34"/>
      <c r="B58" s="67" t="s">
        <v>93</v>
      </c>
      <c r="C58" s="62">
        <v>12</v>
      </c>
      <c r="D58" s="63">
        <v>4.4146861893900002E-4</v>
      </c>
      <c r="E58" s="34"/>
      <c r="F58" s="34"/>
    </row>
    <row r="59" spans="1:6" ht="16.5">
      <c r="A59" s="34"/>
      <c r="B59" s="67" t="s">
        <v>94</v>
      </c>
      <c r="C59" s="62">
        <v>10</v>
      </c>
      <c r="D59" s="63">
        <v>3.6789051578300003E-4</v>
      </c>
      <c r="E59" s="34"/>
      <c r="F59" s="34"/>
    </row>
    <row r="60" spans="1:6" ht="16.5">
      <c r="A60" s="34"/>
      <c r="B60" s="67" t="s">
        <v>92</v>
      </c>
      <c r="C60" s="62">
        <v>8</v>
      </c>
      <c r="D60" s="63">
        <v>2.9431241262600002E-4</v>
      </c>
      <c r="E60" s="34"/>
      <c r="F60" s="34"/>
    </row>
    <row r="61" spans="1:6" ht="16.5">
      <c r="A61" s="34"/>
      <c r="B61" s="67" t="s">
        <v>91</v>
      </c>
      <c r="C61" s="62">
        <v>3</v>
      </c>
      <c r="D61" s="63">
        <v>1.10367154735E-4</v>
      </c>
      <c r="E61" s="34"/>
      <c r="F61" s="34"/>
    </row>
    <row r="62" spans="1:6" ht="16.5">
      <c r="A62" s="34"/>
      <c r="B62" s="67" t="s">
        <v>95</v>
      </c>
      <c r="C62" s="62">
        <v>1</v>
      </c>
      <c r="D62" s="63">
        <v>3.6789051577999998E-5</v>
      </c>
      <c r="E62" s="34"/>
      <c r="F62" s="34"/>
    </row>
    <row r="63" spans="1:6" ht="16.5">
      <c r="A63" s="34"/>
      <c r="B63" s="64" t="s">
        <v>308</v>
      </c>
      <c r="C63" s="65">
        <v>27182</v>
      </c>
      <c r="D63" s="66">
        <v>1</v>
      </c>
      <c r="E63" s="34"/>
      <c r="F63" s="34"/>
    </row>
    <row r="64" spans="1:6" ht="16.5">
      <c r="A64" s="34"/>
      <c r="B64" s="35"/>
      <c r="C64" s="36"/>
      <c r="D64" s="34"/>
      <c r="E64" s="34"/>
      <c r="F64" s="34"/>
    </row>
    <row r="65" spans="1:6" ht="16.5">
      <c r="A65" s="34"/>
      <c r="B65" s="37" t="s">
        <v>284</v>
      </c>
      <c r="C65" s="36"/>
      <c r="D65" s="34"/>
      <c r="E65" s="34"/>
      <c r="F65" s="34"/>
    </row>
    <row r="66" spans="1:6" ht="16.5">
      <c r="A66" s="34"/>
      <c r="B66" s="38" t="s">
        <v>18</v>
      </c>
      <c r="C66" s="36"/>
      <c r="D66" s="34"/>
      <c r="E66" s="34"/>
      <c r="F66" s="34"/>
    </row>
    <row r="67" spans="1:6" ht="16.5">
      <c r="A67" s="34"/>
      <c r="B67" s="39" t="s">
        <v>143</v>
      </c>
      <c r="C67" s="36"/>
      <c r="D67" s="34"/>
      <c r="E67" s="34"/>
      <c r="F67" s="34"/>
    </row>
    <row r="68" spans="1:6" ht="16.5">
      <c r="A68" s="34"/>
      <c r="B68" s="37" t="s">
        <v>17</v>
      </c>
      <c r="C68" s="36"/>
      <c r="D68" s="34"/>
      <c r="E68" s="34"/>
      <c r="F68" s="34"/>
    </row>
    <row r="69" spans="1:6" ht="16.5">
      <c r="A69" s="34"/>
      <c r="B69" s="37" t="s">
        <v>311</v>
      </c>
      <c r="C69" s="36"/>
      <c r="D69" s="34"/>
      <c r="E69" s="34"/>
      <c r="F69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="110" zoomScaleNormal="100" zoomScaleSheetLayoutView="110" workbookViewId="0">
      <selection activeCell="B25" sqref="B2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1406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0" t="s">
        <v>42</v>
      </c>
      <c r="C7" s="110"/>
      <c r="D7" s="110"/>
      <c r="E7" s="30"/>
      <c r="F7" s="30"/>
    </row>
    <row r="8" spans="1:6" s="15" customFormat="1" ht="15" customHeight="1">
      <c r="A8" s="30"/>
      <c r="B8" s="110"/>
      <c r="C8" s="110"/>
      <c r="D8" s="110"/>
      <c r="E8" s="30"/>
      <c r="F8" s="30"/>
    </row>
    <row r="9" spans="1:6" s="15" customFormat="1" ht="33" customHeight="1">
      <c r="A9" s="30"/>
      <c r="B9" s="110"/>
      <c r="C9" s="110"/>
      <c r="D9" s="110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44" t="s">
        <v>22</v>
      </c>
      <c r="C11" s="43" t="s">
        <v>20</v>
      </c>
      <c r="D11" s="44" t="s">
        <v>19</v>
      </c>
      <c r="E11" s="30"/>
      <c r="F11" s="30"/>
    </row>
    <row r="12" spans="1:6" ht="16.5">
      <c r="A12" s="34"/>
      <c r="B12" s="67" t="s">
        <v>45</v>
      </c>
      <c r="C12" s="62">
        <v>4676</v>
      </c>
      <c r="D12" s="63">
        <f>C12/$C$22</f>
        <v>0.25256562601274712</v>
      </c>
      <c r="E12" s="34"/>
      <c r="F12" s="34"/>
    </row>
    <row r="13" spans="1:6" ht="16.5">
      <c r="A13" s="34"/>
      <c r="B13" s="67" t="s">
        <v>46</v>
      </c>
      <c r="C13" s="62">
        <v>2792</v>
      </c>
      <c r="D13" s="63">
        <f t="shared" ref="D13:D21" si="0">C13/$C$22</f>
        <v>0.15080479637031435</v>
      </c>
      <c r="E13" s="34"/>
      <c r="F13" s="34"/>
    </row>
    <row r="14" spans="1:6" ht="16.5">
      <c r="A14" s="34"/>
      <c r="B14" s="67" t="s">
        <v>47</v>
      </c>
      <c r="C14" s="62">
        <v>2694</v>
      </c>
      <c r="D14" s="63">
        <f t="shared" si="0"/>
        <v>0.14551150480717295</v>
      </c>
      <c r="E14" s="34"/>
      <c r="F14" s="34"/>
    </row>
    <row r="15" spans="1:6" ht="16.5">
      <c r="A15" s="34"/>
      <c r="B15" s="67" t="s">
        <v>49</v>
      </c>
      <c r="C15" s="62">
        <v>1980</v>
      </c>
      <c r="D15" s="63">
        <f t="shared" si="0"/>
        <v>0.10694609484714271</v>
      </c>
      <c r="E15" s="34"/>
      <c r="F15" s="34"/>
    </row>
    <row r="16" spans="1:6" ht="16.5">
      <c r="A16" s="34"/>
      <c r="B16" s="67" t="s">
        <v>48</v>
      </c>
      <c r="C16" s="62">
        <v>1932</v>
      </c>
      <c r="D16" s="63">
        <f t="shared" si="0"/>
        <v>0.10435346224478773</v>
      </c>
      <c r="E16" s="34"/>
      <c r="F16" s="34"/>
    </row>
    <row r="17" spans="1:6" ht="16.5">
      <c r="A17" s="34"/>
      <c r="B17" s="67" t="s">
        <v>50</v>
      </c>
      <c r="C17" s="62">
        <v>1487</v>
      </c>
      <c r="D17" s="63">
        <f t="shared" si="0"/>
        <v>8.0317597493788487E-2</v>
      </c>
      <c r="E17" s="34"/>
      <c r="F17" s="34"/>
    </row>
    <row r="18" spans="1:6" ht="16.5">
      <c r="A18" s="34"/>
      <c r="B18" s="67" t="s">
        <v>53</v>
      </c>
      <c r="C18" s="62">
        <v>785</v>
      </c>
      <c r="D18" s="63">
        <f t="shared" si="0"/>
        <v>4.2400345684346981E-2</v>
      </c>
      <c r="E18" s="34"/>
      <c r="F18" s="34"/>
    </row>
    <row r="19" spans="1:6" ht="16.5">
      <c r="A19" s="34"/>
      <c r="B19" s="67" t="s">
        <v>51</v>
      </c>
      <c r="C19" s="62">
        <v>776</v>
      </c>
      <c r="D19" s="63">
        <f t="shared" si="0"/>
        <v>4.1914227071405422E-2</v>
      </c>
      <c r="E19" s="34"/>
      <c r="F19" s="34"/>
    </row>
    <row r="20" spans="1:6" ht="16.5">
      <c r="A20" s="34"/>
      <c r="B20" s="67" t="s">
        <v>54</v>
      </c>
      <c r="C20" s="62">
        <v>714</v>
      </c>
      <c r="D20" s="63">
        <f t="shared" si="0"/>
        <v>3.8565409960030245E-2</v>
      </c>
      <c r="E20" s="34"/>
      <c r="F20" s="34"/>
    </row>
    <row r="21" spans="1:6" ht="16.5">
      <c r="A21" s="34"/>
      <c r="B21" s="67" t="s">
        <v>52</v>
      </c>
      <c r="C21" s="62">
        <v>678</v>
      </c>
      <c r="D21" s="63">
        <f t="shared" si="0"/>
        <v>3.6620935508264015E-2</v>
      </c>
      <c r="E21" s="34"/>
      <c r="F21" s="34"/>
    </row>
    <row r="22" spans="1:6" ht="16.5">
      <c r="A22" s="34"/>
      <c r="B22" s="58" t="s">
        <v>43</v>
      </c>
      <c r="C22" s="59">
        <f>SUM(C12:C21)</f>
        <v>18514</v>
      </c>
      <c r="D22" s="60">
        <f>C22/$C$22</f>
        <v>1</v>
      </c>
      <c r="E22" s="34"/>
      <c r="F22" s="34"/>
    </row>
    <row r="23" spans="1:6" ht="16.5">
      <c r="A23" s="34"/>
      <c r="B23" s="40" t="s">
        <v>44</v>
      </c>
      <c r="C23" s="41">
        <v>27182</v>
      </c>
      <c r="D23" s="68"/>
      <c r="E23" s="34"/>
      <c r="F23" s="34"/>
    </row>
    <row r="24" spans="1:6" ht="16.5">
      <c r="A24" s="34"/>
      <c r="B24" s="35"/>
      <c r="C24" s="36"/>
      <c r="D24" s="34"/>
      <c r="E24" s="34"/>
      <c r="F24" s="34"/>
    </row>
    <row r="25" spans="1:6" ht="16.5">
      <c r="A25" s="34"/>
      <c r="B25" s="37" t="s">
        <v>284</v>
      </c>
      <c r="C25" s="36"/>
      <c r="D25" s="34"/>
      <c r="E25" s="34"/>
      <c r="F25" s="34"/>
    </row>
    <row r="26" spans="1:6" ht="16.5">
      <c r="A26" s="34"/>
      <c r="B26" s="38" t="s">
        <v>18</v>
      </c>
      <c r="C26" s="36"/>
      <c r="D26" s="34"/>
      <c r="E26" s="34"/>
      <c r="F26" s="34"/>
    </row>
    <row r="27" spans="1:6" ht="16.5">
      <c r="A27" s="34"/>
      <c r="B27" s="39" t="s">
        <v>143</v>
      </c>
      <c r="C27" s="36"/>
      <c r="D27" s="34"/>
      <c r="E27" s="34"/>
      <c r="F27" s="34"/>
    </row>
    <row r="28" spans="1:6" ht="16.5">
      <c r="A28" s="34"/>
      <c r="B28" s="37" t="s">
        <v>17</v>
      </c>
      <c r="C28" s="36"/>
      <c r="D28" s="34"/>
      <c r="E28" s="34"/>
      <c r="F28" s="34"/>
    </row>
    <row r="29" spans="1:6" ht="16.5">
      <c r="A29" s="34"/>
      <c r="B29" s="37" t="s">
        <v>311</v>
      </c>
      <c r="C29" s="36"/>
      <c r="D29" s="34"/>
      <c r="E29" s="34"/>
      <c r="F29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77"/>
  <sheetViews>
    <sheetView showGridLines="0" view="pageBreakPreview" zoomScaleNormal="100" zoomScaleSheetLayoutView="100" workbookViewId="0">
      <selection activeCell="F77" sqref="F77"/>
    </sheetView>
  </sheetViews>
  <sheetFormatPr baseColWidth="10" defaultColWidth="11.42578125" defaultRowHeight="15"/>
  <cols>
    <col min="1" max="1" width="9.28515625" style="13" customWidth="1"/>
    <col min="2" max="2" width="32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1406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0" t="s">
        <v>40</v>
      </c>
      <c r="C7" s="110"/>
      <c r="D7" s="110"/>
      <c r="E7" s="30"/>
      <c r="F7" s="30"/>
    </row>
    <row r="8" spans="1:6" s="15" customFormat="1" ht="15" customHeight="1">
      <c r="A8" s="30"/>
      <c r="B8" s="110"/>
      <c r="C8" s="110"/>
      <c r="D8" s="110"/>
      <c r="E8" s="30"/>
      <c r="F8" s="30"/>
    </row>
    <row r="9" spans="1:6" s="15" customFormat="1" ht="33" customHeight="1">
      <c r="A9" s="30"/>
      <c r="B9" s="110"/>
      <c r="C9" s="110"/>
      <c r="D9" s="110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32" t="s">
        <v>23</v>
      </c>
      <c r="C11" s="33" t="s">
        <v>20</v>
      </c>
      <c r="D11" s="32" t="s">
        <v>19</v>
      </c>
      <c r="E11" s="30"/>
      <c r="F11" s="30"/>
    </row>
    <row r="12" spans="1:6" ht="14.45" customHeight="1">
      <c r="A12" s="34"/>
      <c r="B12" s="61" t="s">
        <v>146</v>
      </c>
      <c r="C12" s="69">
        <v>3493</v>
      </c>
      <c r="D12" s="70">
        <v>0.129</v>
      </c>
      <c r="E12" s="34"/>
      <c r="F12" s="34"/>
    </row>
    <row r="13" spans="1:6" ht="14.45" customHeight="1">
      <c r="A13" s="34"/>
      <c r="B13" s="61" t="s">
        <v>154</v>
      </c>
      <c r="C13" s="69">
        <v>1889</v>
      </c>
      <c r="D13" s="70">
        <v>6.9000000000000006E-2</v>
      </c>
      <c r="E13" s="34"/>
      <c r="F13" s="34"/>
    </row>
    <row r="14" spans="1:6" ht="14.45" customHeight="1">
      <c r="A14" s="34"/>
      <c r="B14" s="61" t="s">
        <v>148</v>
      </c>
      <c r="C14" s="69">
        <v>1737</v>
      </c>
      <c r="D14" s="70">
        <v>6.4000000000000001E-2</v>
      </c>
      <c r="E14" s="34"/>
      <c r="F14" s="34"/>
    </row>
    <row r="15" spans="1:6" ht="14.45" customHeight="1">
      <c r="A15" s="34"/>
      <c r="B15" s="61" t="s">
        <v>153</v>
      </c>
      <c r="C15" s="69">
        <v>1638</v>
      </c>
      <c r="D15" s="70">
        <v>0.06</v>
      </c>
      <c r="E15" s="34"/>
      <c r="F15" s="34"/>
    </row>
    <row r="16" spans="1:6" ht="14.45" customHeight="1">
      <c r="A16" s="34"/>
      <c r="B16" s="61" t="s">
        <v>160</v>
      </c>
      <c r="C16" s="69">
        <v>1351</v>
      </c>
      <c r="D16" s="70">
        <v>0.05</v>
      </c>
      <c r="E16" s="34"/>
      <c r="F16" s="34"/>
    </row>
    <row r="17" spans="1:6" ht="14.45" customHeight="1">
      <c r="A17" s="34"/>
      <c r="B17" s="61" t="s">
        <v>155</v>
      </c>
      <c r="C17" s="69">
        <v>1217</v>
      </c>
      <c r="D17" s="70">
        <v>4.4999999999999998E-2</v>
      </c>
      <c r="E17" s="34"/>
      <c r="F17" s="34"/>
    </row>
    <row r="18" spans="1:6" ht="14.45" customHeight="1">
      <c r="A18" s="34"/>
      <c r="B18" s="61" t="s">
        <v>191</v>
      </c>
      <c r="C18" s="69">
        <v>1180</v>
      </c>
      <c r="D18" s="70">
        <v>4.2999999999999997E-2</v>
      </c>
      <c r="E18" s="34"/>
      <c r="F18" s="34"/>
    </row>
    <row r="19" spans="1:6" ht="14.45" customHeight="1">
      <c r="A19" s="34"/>
      <c r="B19" s="61" t="s">
        <v>175</v>
      </c>
      <c r="C19" s="69">
        <v>1059</v>
      </c>
      <c r="D19" s="70">
        <v>3.9E-2</v>
      </c>
      <c r="E19" s="34"/>
      <c r="F19" s="34"/>
    </row>
    <row r="20" spans="1:6" ht="14.45" customHeight="1">
      <c r="A20" s="34"/>
      <c r="B20" s="61" t="s">
        <v>159</v>
      </c>
      <c r="C20" s="69">
        <v>1015</v>
      </c>
      <c r="D20" s="70">
        <v>3.6999999999999998E-2</v>
      </c>
      <c r="E20" s="34"/>
      <c r="F20" s="34"/>
    </row>
    <row r="21" spans="1:6" ht="14.45" customHeight="1">
      <c r="A21" s="34"/>
      <c r="B21" s="61" t="s">
        <v>147</v>
      </c>
      <c r="C21" s="71">
        <v>782</v>
      </c>
      <c r="D21" s="70">
        <v>2.9000000000000001E-2</v>
      </c>
      <c r="E21" s="34"/>
      <c r="F21" s="34"/>
    </row>
    <row r="22" spans="1:6" ht="14.45" customHeight="1">
      <c r="A22" s="34"/>
      <c r="B22" s="61" t="s">
        <v>162</v>
      </c>
      <c r="C22" s="71">
        <v>753</v>
      </c>
      <c r="D22" s="70">
        <v>2.8000000000000001E-2</v>
      </c>
      <c r="E22" s="34"/>
      <c r="F22" s="34"/>
    </row>
    <row r="23" spans="1:6" ht="14.45" customHeight="1">
      <c r="A23" s="34"/>
      <c r="B23" s="61" t="s">
        <v>152</v>
      </c>
      <c r="C23" s="71">
        <v>727</v>
      </c>
      <c r="D23" s="70">
        <v>2.7E-2</v>
      </c>
      <c r="E23" s="34"/>
      <c r="F23" s="34"/>
    </row>
    <row r="24" spans="1:6" ht="14.45" customHeight="1">
      <c r="A24" s="34"/>
      <c r="B24" s="61" t="s">
        <v>173</v>
      </c>
      <c r="C24" s="71">
        <v>671</v>
      </c>
      <c r="D24" s="70">
        <v>2.5000000000000001E-2</v>
      </c>
      <c r="E24" s="34"/>
      <c r="F24" s="34"/>
    </row>
    <row r="25" spans="1:6" ht="14.45" customHeight="1">
      <c r="A25" s="34"/>
      <c r="B25" s="61" t="s">
        <v>183</v>
      </c>
      <c r="C25" s="71">
        <v>632</v>
      </c>
      <c r="D25" s="70">
        <v>2.3E-2</v>
      </c>
      <c r="E25" s="34"/>
      <c r="F25" s="34"/>
    </row>
    <row r="26" spans="1:6" ht="14.45" customHeight="1">
      <c r="A26" s="34"/>
      <c r="B26" s="61" t="s">
        <v>174</v>
      </c>
      <c r="C26" s="71">
        <v>612</v>
      </c>
      <c r="D26" s="70">
        <v>2.3E-2</v>
      </c>
      <c r="E26" s="34"/>
      <c r="F26" s="34"/>
    </row>
    <row r="27" spans="1:6" ht="14.45" customHeight="1">
      <c r="A27" s="34"/>
      <c r="B27" s="61" t="s">
        <v>189</v>
      </c>
      <c r="C27" s="71">
        <v>598</v>
      </c>
      <c r="D27" s="70">
        <v>2.1999999999999999E-2</v>
      </c>
      <c r="E27" s="34"/>
      <c r="F27" s="34"/>
    </row>
    <row r="28" spans="1:6" ht="14.45" customHeight="1">
      <c r="A28" s="34"/>
      <c r="B28" s="61" t="s">
        <v>177</v>
      </c>
      <c r="C28" s="71">
        <v>588</v>
      </c>
      <c r="D28" s="70">
        <v>2.1999999999999999E-2</v>
      </c>
      <c r="E28" s="34"/>
      <c r="F28" s="34"/>
    </row>
    <row r="29" spans="1:6" ht="14.45" customHeight="1">
      <c r="A29" s="34"/>
      <c r="B29" s="61" t="s">
        <v>150</v>
      </c>
      <c r="C29" s="71">
        <v>510</v>
      </c>
      <c r="D29" s="70">
        <v>1.9E-2</v>
      </c>
      <c r="E29" s="34"/>
      <c r="F29" s="34"/>
    </row>
    <row r="30" spans="1:6" ht="14.45" customHeight="1">
      <c r="A30" s="34"/>
      <c r="B30" s="61" t="s">
        <v>192</v>
      </c>
      <c r="C30" s="71">
        <v>470</v>
      </c>
      <c r="D30" s="70">
        <v>1.7000000000000001E-2</v>
      </c>
      <c r="E30" s="34"/>
      <c r="F30" s="34"/>
    </row>
    <row r="31" spans="1:6" ht="14.45" customHeight="1">
      <c r="A31" s="34"/>
      <c r="B31" s="61" t="s">
        <v>151</v>
      </c>
      <c r="C31" s="71">
        <v>446</v>
      </c>
      <c r="D31" s="70">
        <v>1.6E-2</v>
      </c>
      <c r="E31" s="34"/>
      <c r="F31" s="34"/>
    </row>
    <row r="32" spans="1:6" ht="14.45" customHeight="1">
      <c r="A32" s="34"/>
      <c r="B32" s="61" t="s">
        <v>157</v>
      </c>
      <c r="C32" s="71">
        <v>334</v>
      </c>
      <c r="D32" s="70">
        <v>1.2E-2</v>
      </c>
      <c r="E32" s="34"/>
      <c r="F32" s="34"/>
    </row>
    <row r="33" spans="1:6" ht="14.45" customHeight="1">
      <c r="A33" s="34"/>
      <c r="B33" s="61" t="s">
        <v>185</v>
      </c>
      <c r="C33" s="71">
        <v>321</v>
      </c>
      <c r="D33" s="70">
        <v>1.2E-2</v>
      </c>
      <c r="E33" s="34"/>
      <c r="F33" s="34"/>
    </row>
    <row r="34" spans="1:6" ht="14.45" customHeight="1">
      <c r="A34" s="34"/>
      <c r="B34" s="61" t="s">
        <v>168</v>
      </c>
      <c r="C34" s="71">
        <v>314</v>
      </c>
      <c r="D34" s="70">
        <v>1.2E-2</v>
      </c>
      <c r="E34" s="34"/>
      <c r="F34" s="34"/>
    </row>
    <row r="35" spans="1:6" ht="14.45" customHeight="1">
      <c r="A35" s="34"/>
      <c r="B35" s="61" t="s">
        <v>158</v>
      </c>
      <c r="C35" s="71">
        <v>312</v>
      </c>
      <c r="D35" s="70">
        <v>1.0999999999999999E-2</v>
      </c>
      <c r="E35" s="34"/>
      <c r="F35" s="34"/>
    </row>
    <row r="36" spans="1:6" ht="14.45" customHeight="1">
      <c r="A36" s="34"/>
      <c r="B36" s="61" t="s">
        <v>203</v>
      </c>
      <c r="C36" s="71">
        <v>311</v>
      </c>
      <c r="D36" s="70">
        <v>1.0999999999999999E-2</v>
      </c>
      <c r="E36" s="34"/>
      <c r="F36" s="34"/>
    </row>
    <row r="37" spans="1:6" ht="14.45" customHeight="1">
      <c r="A37" s="34"/>
      <c r="B37" s="61" t="s">
        <v>180</v>
      </c>
      <c r="C37" s="71">
        <v>284</v>
      </c>
      <c r="D37" s="70">
        <v>0.01</v>
      </c>
      <c r="E37" s="34"/>
      <c r="F37" s="34"/>
    </row>
    <row r="38" spans="1:6" ht="14.45" customHeight="1">
      <c r="A38" s="34"/>
      <c r="B38" s="61" t="s">
        <v>187</v>
      </c>
      <c r="C38" s="71">
        <v>269</v>
      </c>
      <c r="D38" s="70">
        <v>0.01</v>
      </c>
      <c r="E38" s="34"/>
      <c r="F38" s="34"/>
    </row>
    <row r="39" spans="1:6" ht="14.45" customHeight="1">
      <c r="A39" s="34"/>
      <c r="B39" s="61" t="s">
        <v>166</v>
      </c>
      <c r="C39" s="71">
        <v>257</v>
      </c>
      <c r="D39" s="70">
        <v>8.9999999999999993E-3</v>
      </c>
      <c r="E39" s="34"/>
      <c r="F39" s="34"/>
    </row>
    <row r="40" spans="1:6" ht="14.45" customHeight="1">
      <c r="A40" s="34"/>
      <c r="B40" s="61" t="s">
        <v>186</v>
      </c>
      <c r="C40" s="71">
        <v>225</v>
      </c>
      <c r="D40" s="70">
        <v>8.0000000000000002E-3</v>
      </c>
      <c r="E40" s="34"/>
      <c r="F40" s="34"/>
    </row>
    <row r="41" spans="1:6" ht="14.45" customHeight="1">
      <c r="A41" s="34"/>
      <c r="B41" s="61" t="s">
        <v>193</v>
      </c>
      <c r="C41" s="71">
        <v>221</v>
      </c>
      <c r="D41" s="70">
        <v>8.0000000000000002E-3</v>
      </c>
      <c r="E41" s="34"/>
      <c r="F41" s="34"/>
    </row>
    <row r="42" spans="1:6" ht="14.45" customHeight="1">
      <c r="A42" s="34"/>
      <c r="B42" s="61" t="s">
        <v>149</v>
      </c>
      <c r="C42" s="71">
        <v>216</v>
      </c>
      <c r="D42" s="70">
        <v>8.0000000000000002E-3</v>
      </c>
      <c r="E42" s="34"/>
      <c r="F42" s="34"/>
    </row>
    <row r="43" spans="1:6" ht="14.45" customHeight="1">
      <c r="A43" s="34"/>
      <c r="B43" s="61" t="s">
        <v>171</v>
      </c>
      <c r="C43" s="71">
        <v>208</v>
      </c>
      <c r="D43" s="70">
        <v>8.0000000000000002E-3</v>
      </c>
      <c r="E43" s="34"/>
      <c r="F43" s="34"/>
    </row>
    <row r="44" spans="1:6" ht="14.45" customHeight="1">
      <c r="A44" s="34"/>
      <c r="B44" s="61" t="s">
        <v>176</v>
      </c>
      <c r="C44" s="71">
        <v>193</v>
      </c>
      <c r="D44" s="70">
        <v>7.0000000000000001E-3</v>
      </c>
      <c r="E44" s="34"/>
      <c r="F44" s="34"/>
    </row>
    <row r="45" spans="1:6" ht="14.45" customHeight="1">
      <c r="A45" s="34"/>
      <c r="B45" s="61" t="s">
        <v>178</v>
      </c>
      <c r="C45" s="71">
        <v>175</v>
      </c>
      <c r="D45" s="70">
        <v>6.0000000000000001E-3</v>
      </c>
      <c r="E45" s="34"/>
      <c r="F45" s="34"/>
    </row>
    <row r="46" spans="1:6" ht="14.45" customHeight="1">
      <c r="A46" s="34"/>
      <c r="B46" s="61" t="s">
        <v>196</v>
      </c>
      <c r="C46" s="71">
        <v>169</v>
      </c>
      <c r="D46" s="70">
        <v>6.0000000000000001E-3</v>
      </c>
      <c r="E46" s="34"/>
      <c r="F46" s="34"/>
    </row>
    <row r="47" spans="1:6" ht="14.45" customHeight="1">
      <c r="A47" s="34"/>
      <c r="B47" s="61" t="s">
        <v>188</v>
      </c>
      <c r="C47" s="71">
        <v>162</v>
      </c>
      <c r="D47" s="70">
        <v>6.0000000000000001E-3</v>
      </c>
      <c r="E47" s="34"/>
      <c r="F47" s="34"/>
    </row>
    <row r="48" spans="1:6" ht="14.45" customHeight="1">
      <c r="A48" s="34"/>
      <c r="B48" s="61" t="s">
        <v>161</v>
      </c>
      <c r="C48" s="71">
        <v>151</v>
      </c>
      <c r="D48" s="70">
        <v>6.0000000000000001E-3</v>
      </c>
      <c r="E48" s="34"/>
      <c r="F48" s="34"/>
    </row>
    <row r="49" spans="1:6" ht="14.45" customHeight="1">
      <c r="A49" s="34"/>
      <c r="B49" s="61" t="s">
        <v>285</v>
      </c>
      <c r="C49" s="71">
        <v>143</v>
      </c>
      <c r="D49" s="70">
        <v>5.0000000000000001E-3</v>
      </c>
      <c r="E49" s="34"/>
      <c r="F49" s="34"/>
    </row>
    <row r="50" spans="1:6" ht="14.45" customHeight="1">
      <c r="A50" s="34"/>
      <c r="B50" s="61" t="s">
        <v>167</v>
      </c>
      <c r="C50" s="71">
        <v>138</v>
      </c>
      <c r="D50" s="70">
        <v>5.0000000000000001E-3</v>
      </c>
      <c r="E50" s="34"/>
      <c r="F50" s="34"/>
    </row>
    <row r="51" spans="1:6" ht="14.45" customHeight="1">
      <c r="A51" s="34"/>
      <c r="B51" s="61" t="s">
        <v>163</v>
      </c>
      <c r="C51" s="71">
        <v>130</v>
      </c>
      <c r="D51" s="70">
        <v>5.0000000000000001E-3</v>
      </c>
      <c r="E51" s="34"/>
      <c r="F51" s="34"/>
    </row>
    <row r="52" spans="1:6" ht="14.45" customHeight="1">
      <c r="A52" s="34"/>
      <c r="B52" s="61" t="s">
        <v>169</v>
      </c>
      <c r="C52" s="71">
        <v>121</v>
      </c>
      <c r="D52" s="70">
        <v>4.0000000000000001E-3</v>
      </c>
      <c r="E52" s="34"/>
      <c r="F52" s="34"/>
    </row>
    <row r="53" spans="1:6" ht="14.45" customHeight="1">
      <c r="A53" s="34"/>
      <c r="B53" s="61" t="s">
        <v>199</v>
      </c>
      <c r="C53" s="71">
        <v>116</v>
      </c>
      <c r="D53" s="70">
        <v>4.0000000000000001E-3</v>
      </c>
      <c r="E53" s="34"/>
      <c r="F53" s="34"/>
    </row>
    <row r="54" spans="1:6" ht="14.45" customHeight="1">
      <c r="A54" s="34"/>
      <c r="B54" s="61" t="s">
        <v>164</v>
      </c>
      <c r="C54" s="71">
        <v>112</v>
      </c>
      <c r="D54" s="70">
        <v>4.0000000000000001E-3</v>
      </c>
      <c r="E54" s="34"/>
      <c r="F54" s="34"/>
    </row>
    <row r="55" spans="1:6" ht="14.45" customHeight="1">
      <c r="A55" s="34"/>
      <c r="B55" s="61" t="s">
        <v>181</v>
      </c>
      <c r="C55" s="71">
        <v>107</v>
      </c>
      <c r="D55" s="70">
        <v>4.0000000000000001E-3</v>
      </c>
      <c r="E55" s="34"/>
      <c r="F55" s="34"/>
    </row>
    <row r="56" spans="1:6" ht="14.45" customHeight="1">
      <c r="A56" s="34"/>
      <c r="B56" s="61" t="s">
        <v>197</v>
      </c>
      <c r="C56" s="71">
        <v>94</v>
      </c>
      <c r="D56" s="70">
        <v>3.0000000000000001E-3</v>
      </c>
      <c r="E56" s="34"/>
      <c r="F56" s="34"/>
    </row>
    <row r="57" spans="1:6" ht="14.45" customHeight="1">
      <c r="A57" s="34"/>
      <c r="B57" s="61" t="s">
        <v>156</v>
      </c>
      <c r="C57" s="71">
        <v>86</v>
      </c>
      <c r="D57" s="70">
        <v>3.0000000000000001E-3</v>
      </c>
      <c r="E57" s="34"/>
      <c r="F57" s="34"/>
    </row>
    <row r="58" spans="1:6" ht="14.45" customHeight="1">
      <c r="A58" s="34"/>
      <c r="B58" s="61" t="s">
        <v>170</v>
      </c>
      <c r="C58" s="71">
        <v>82</v>
      </c>
      <c r="D58" s="70">
        <v>3.0000000000000001E-3</v>
      </c>
      <c r="E58" s="34"/>
      <c r="F58" s="34"/>
    </row>
    <row r="59" spans="1:6" ht="14.45" customHeight="1">
      <c r="A59" s="34"/>
      <c r="B59" s="61" t="s">
        <v>202</v>
      </c>
      <c r="C59" s="71">
        <v>75</v>
      </c>
      <c r="D59" s="70">
        <v>3.0000000000000001E-3</v>
      </c>
      <c r="E59" s="34"/>
      <c r="F59" s="34"/>
    </row>
    <row r="60" spans="1:6" ht="14.45" customHeight="1">
      <c r="A60" s="34"/>
      <c r="B60" s="61" t="s">
        <v>182</v>
      </c>
      <c r="C60" s="71">
        <v>71</v>
      </c>
      <c r="D60" s="70">
        <v>3.0000000000000001E-3</v>
      </c>
      <c r="E60" s="34"/>
      <c r="F60" s="34"/>
    </row>
    <row r="61" spans="1:6" ht="14.45" customHeight="1">
      <c r="A61" s="34"/>
      <c r="B61" s="61" t="s">
        <v>165</v>
      </c>
      <c r="C61" s="71">
        <v>66</v>
      </c>
      <c r="D61" s="70">
        <v>2E-3</v>
      </c>
      <c r="E61" s="34"/>
      <c r="F61" s="34"/>
    </row>
    <row r="62" spans="1:6" ht="14.45" customHeight="1">
      <c r="A62" s="34"/>
      <c r="B62" s="61" t="s">
        <v>194</v>
      </c>
      <c r="C62" s="71">
        <v>63</v>
      </c>
      <c r="D62" s="70">
        <v>2E-3</v>
      </c>
      <c r="E62" s="34"/>
      <c r="F62" s="34"/>
    </row>
    <row r="63" spans="1:6" ht="14.45" customHeight="1">
      <c r="A63" s="34"/>
      <c r="B63" s="61" t="s">
        <v>190</v>
      </c>
      <c r="C63" s="71">
        <v>62</v>
      </c>
      <c r="D63" s="70">
        <v>2E-3</v>
      </c>
      <c r="E63" s="34"/>
      <c r="F63" s="34"/>
    </row>
    <row r="64" spans="1:6" ht="14.45" customHeight="1">
      <c r="A64" s="34"/>
      <c r="B64" s="61" t="s">
        <v>179</v>
      </c>
      <c r="C64" s="71">
        <v>61</v>
      </c>
      <c r="D64" s="70">
        <v>2E-3</v>
      </c>
      <c r="E64" s="34"/>
      <c r="F64" s="34"/>
    </row>
    <row r="65" spans="1:6" ht="14.45" customHeight="1">
      <c r="A65" s="34"/>
      <c r="B65" s="61" t="s">
        <v>201</v>
      </c>
      <c r="C65" s="71">
        <v>55</v>
      </c>
      <c r="D65" s="70">
        <v>2E-3</v>
      </c>
      <c r="E65" s="34"/>
      <c r="F65" s="34"/>
    </row>
    <row r="66" spans="1:6" ht="15.95" customHeight="1">
      <c r="A66" s="34"/>
      <c r="B66" s="61" t="s">
        <v>172</v>
      </c>
      <c r="C66" s="71">
        <v>53</v>
      </c>
      <c r="D66" s="70">
        <v>2E-3</v>
      </c>
      <c r="E66" s="34"/>
      <c r="F66" s="34"/>
    </row>
    <row r="67" spans="1:6" ht="14.45" customHeight="1">
      <c r="A67" s="34"/>
      <c r="B67" s="61" t="s">
        <v>195</v>
      </c>
      <c r="C67" s="71">
        <v>23</v>
      </c>
      <c r="D67" s="70">
        <v>1E-3</v>
      </c>
      <c r="E67" s="34"/>
      <c r="F67" s="34"/>
    </row>
    <row r="68" spans="1:6" ht="14.45" customHeight="1">
      <c r="A68" s="34"/>
      <c r="B68" s="61" t="s">
        <v>198</v>
      </c>
      <c r="C68" s="71">
        <v>19</v>
      </c>
      <c r="D68" s="70">
        <v>1E-3</v>
      </c>
      <c r="E68" s="34"/>
      <c r="F68" s="34"/>
    </row>
    <row r="69" spans="1:6" ht="14.45" customHeight="1">
      <c r="A69" s="34"/>
      <c r="B69" s="61" t="s">
        <v>200</v>
      </c>
      <c r="C69" s="71">
        <v>13</v>
      </c>
      <c r="D69" s="70">
        <v>0</v>
      </c>
      <c r="E69" s="34"/>
      <c r="F69" s="34"/>
    </row>
    <row r="70" spans="1:6" ht="14.45" customHeight="1">
      <c r="A70" s="34"/>
      <c r="B70" s="61" t="s">
        <v>184</v>
      </c>
      <c r="C70" s="71">
        <v>2</v>
      </c>
      <c r="D70" s="70">
        <v>0</v>
      </c>
      <c r="E70" s="34"/>
      <c r="F70" s="34"/>
    </row>
    <row r="71" spans="1:6" ht="14.45" customHeight="1">
      <c r="A71" s="34"/>
      <c r="B71" s="72" t="s">
        <v>309</v>
      </c>
      <c r="C71" s="41">
        <v>27182</v>
      </c>
      <c r="D71" s="73">
        <v>1</v>
      </c>
      <c r="E71" s="34"/>
      <c r="F71" s="34"/>
    </row>
    <row r="72" spans="1:6" ht="16.5">
      <c r="A72" s="34"/>
      <c r="B72" s="35"/>
      <c r="C72" s="36"/>
      <c r="D72" s="34"/>
      <c r="E72" s="34"/>
      <c r="F72" s="34"/>
    </row>
    <row r="73" spans="1:6" ht="16.5">
      <c r="A73" s="34"/>
      <c r="B73" s="37" t="s">
        <v>284</v>
      </c>
      <c r="C73" s="36"/>
      <c r="D73" s="34"/>
      <c r="E73" s="34"/>
      <c r="F73" s="34"/>
    </row>
    <row r="74" spans="1:6" ht="16.5">
      <c r="A74" s="34"/>
      <c r="B74" s="38" t="s">
        <v>18</v>
      </c>
      <c r="C74" s="36"/>
      <c r="D74" s="34"/>
      <c r="E74" s="34"/>
      <c r="F74" s="34"/>
    </row>
    <row r="75" spans="1:6" ht="16.5">
      <c r="A75" s="34"/>
      <c r="B75" s="39" t="s">
        <v>143</v>
      </c>
      <c r="C75" s="36"/>
      <c r="D75" s="34"/>
      <c r="E75" s="34"/>
      <c r="F75" s="34"/>
    </row>
    <row r="76" spans="1:6" ht="16.5">
      <c r="A76" s="34"/>
      <c r="B76" s="37" t="s">
        <v>17</v>
      </c>
      <c r="C76" s="36"/>
      <c r="D76" s="34"/>
      <c r="E76" s="34"/>
      <c r="F76" s="34"/>
    </row>
    <row r="77" spans="1:6" ht="16.5">
      <c r="A77" s="34"/>
      <c r="B77" s="37" t="s">
        <v>311</v>
      </c>
      <c r="C77" s="36"/>
      <c r="D77" s="34"/>
      <c r="E77" s="34"/>
      <c r="F77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339"/>
  <sheetViews>
    <sheetView showGridLines="0" view="pageBreakPreview" zoomScaleNormal="100" zoomScaleSheetLayoutView="100" workbookViewId="0">
      <selection activeCell="B1333" sqref="B1333:C1333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0" customFormat="1" ht="12" customHeight="1">
      <c r="B1" s="23"/>
      <c r="C1" s="22"/>
      <c r="D1" s="22"/>
      <c r="E1" s="22"/>
    </row>
    <row r="2" spans="1:5" s="20" customFormat="1" ht="15" customHeight="1">
      <c r="C2" s="25"/>
    </row>
    <row r="3" spans="1:5" s="20" customFormat="1" ht="15" customHeight="1">
      <c r="C3" s="25"/>
    </row>
    <row r="4" spans="1:5" s="20" customFormat="1" ht="30" customHeight="1">
      <c r="C4" s="25"/>
      <c r="D4" s="24"/>
    </row>
    <row r="5" spans="1:5" s="20" customFormat="1" ht="15" customHeight="1">
      <c r="C5" s="25"/>
      <c r="D5" s="24"/>
    </row>
    <row r="6" spans="1:5" s="20" customFormat="1" ht="24" customHeight="1">
      <c r="A6" s="45"/>
      <c r="B6" s="46"/>
      <c r="C6" s="45"/>
      <c r="D6" s="45"/>
      <c r="E6" s="45"/>
    </row>
    <row r="7" spans="1:5" s="20" customFormat="1" ht="26.25" customHeight="1">
      <c r="A7" s="47"/>
      <c r="B7" s="111"/>
      <c r="C7" s="111"/>
      <c r="D7" s="111"/>
      <c r="E7" s="111"/>
    </row>
    <row r="8" spans="1:5" s="20" customFormat="1" ht="29.1" customHeight="1">
      <c r="A8" s="47"/>
      <c r="B8" s="111"/>
      <c r="C8" s="111"/>
      <c r="D8" s="111"/>
      <c r="E8" s="111"/>
    </row>
    <row r="9" spans="1:5" s="15" customFormat="1" ht="40.5" customHeight="1">
      <c r="A9" s="30"/>
      <c r="B9" s="48" t="s">
        <v>25</v>
      </c>
      <c r="C9" s="49" t="s">
        <v>24</v>
      </c>
      <c r="D9" s="50" t="s">
        <v>20</v>
      </c>
      <c r="E9" s="48" t="s">
        <v>19</v>
      </c>
    </row>
    <row r="10" spans="1:5" ht="15" customHeight="1">
      <c r="A10" s="112" t="s">
        <v>137</v>
      </c>
      <c r="B10" s="112"/>
      <c r="C10" s="61" t="s">
        <v>154</v>
      </c>
      <c r="D10" s="69">
        <v>1081</v>
      </c>
      <c r="E10" s="70">
        <v>0.04</v>
      </c>
    </row>
    <row r="11" spans="1:5" ht="15" customHeight="1">
      <c r="A11" s="112"/>
      <c r="B11" s="112"/>
      <c r="C11" s="61" t="s">
        <v>146</v>
      </c>
      <c r="D11" s="71">
        <v>934</v>
      </c>
      <c r="E11" s="70">
        <v>3.4000000000000002E-2</v>
      </c>
    </row>
    <row r="12" spans="1:5" ht="15" customHeight="1">
      <c r="A12" s="112"/>
      <c r="B12" s="112"/>
      <c r="C12" s="61" t="s">
        <v>153</v>
      </c>
      <c r="D12" s="71">
        <v>787</v>
      </c>
      <c r="E12" s="70">
        <v>2.9000000000000001E-2</v>
      </c>
    </row>
    <row r="13" spans="1:5" ht="15" customHeight="1">
      <c r="A13" s="112"/>
      <c r="B13" s="112"/>
      <c r="C13" s="61" t="s">
        <v>155</v>
      </c>
      <c r="D13" s="71">
        <v>537</v>
      </c>
      <c r="E13" s="70">
        <v>0.02</v>
      </c>
    </row>
    <row r="14" spans="1:5" ht="15" customHeight="1">
      <c r="A14" s="112"/>
      <c r="B14" s="112"/>
      <c r="C14" s="61" t="s">
        <v>148</v>
      </c>
      <c r="D14" s="71">
        <v>416</v>
      </c>
      <c r="E14" s="70">
        <v>1.4999999999999999E-2</v>
      </c>
    </row>
    <row r="15" spans="1:5" ht="15" customHeight="1">
      <c r="A15" s="112"/>
      <c r="B15" s="112"/>
      <c r="C15" s="61" t="s">
        <v>147</v>
      </c>
      <c r="D15" s="71">
        <v>367</v>
      </c>
      <c r="E15" s="70">
        <v>1.4E-2</v>
      </c>
    </row>
    <row r="16" spans="1:5" ht="15" customHeight="1">
      <c r="A16" s="112"/>
      <c r="B16" s="112"/>
      <c r="C16" s="61" t="s">
        <v>183</v>
      </c>
      <c r="D16" s="71">
        <v>335</v>
      </c>
      <c r="E16" s="70">
        <v>1.2E-2</v>
      </c>
    </row>
    <row r="17" spans="1:5" ht="15" customHeight="1">
      <c r="A17" s="112"/>
      <c r="B17" s="112"/>
      <c r="C17" s="61" t="s">
        <v>177</v>
      </c>
      <c r="D17" s="71">
        <v>309</v>
      </c>
      <c r="E17" s="70">
        <v>1.0999999999999999E-2</v>
      </c>
    </row>
    <row r="18" spans="1:5" ht="15" customHeight="1">
      <c r="A18" s="112"/>
      <c r="B18" s="112"/>
      <c r="C18" s="61" t="s">
        <v>160</v>
      </c>
      <c r="D18" s="71">
        <v>285</v>
      </c>
      <c r="E18" s="70">
        <v>0.01</v>
      </c>
    </row>
    <row r="19" spans="1:5" ht="15" customHeight="1">
      <c r="A19" s="112"/>
      <c r="B19" s="112"/>
      <c r="C19" s="61" t="s">
        <v>191</v>
      </c>
      <c r="D19" s="71">
        <v>245</v>
      </c>
      <c r="E19" s="70">
        <v>8.9999999999999993E-3</v>
      </c>
    </row>
    <row r="20" spans="1:5" ht="15" customHeight="1">
      <c r="A20" s="112"/>
      <c r="B20" s="112"/>
      <c r="C20" s="61" t="s">
        <v>173</v>
      </c>
      <c r="D20" s="71">
        <v>239</v>
      </c>
      <c r="E20" s="70">
        <v>8.9999999999999993E-3</v>
      </c>
    </row>
    <row r="21" spans="1:5" ht="15" customHeight="1">
      <c r="A21" s="112"/>
      <c r="B21" s="112"/>
      <c r="C21" s="61" t="s">
        <v>151</v>
      </c>
      <c r="D21" s="71">
        <v>236</v>
      </c>
      <c r="E21" s="70">
        <v>8.9999999999999993E-3</v>
      </c>
    </row>
    <row r="22" spans="1:5" ht="15" customHeight="1">
      <c r="A22" s="112"/>
      <c r="B22" s="112"/>
      <c r="C22" s="61" t="s">
        <v>152</v>
      </c>
      <c r="D22" s="71">
        <v>216</v>
      </c>
      <c r="E22" s="70">
        <v>8.0000000000000002E-3</v>
      </c>
    </row>
    <row r="23" spans="1:5" ht="15" customHeight="1">
      <c r="A23" s="112"/>
      <c r="B23" s="112"/>
      <c r="C23" s="61" t="s">
        <v>162</v>
      </c>
      <c r="D23" s="71">
        <v>206</v>
      </c>
      <c r="E23" s="70">
        <v>8.0000000000000002E-3</v>
      </c>
    </row>
    <row r="24" spans="1:5" ht="15" customHeight="1">
      <c r="A24" s="112"/>
      <c r="B24" s="112"/>
      <c r="C24" s="61" t="s">
        <v>158</v>
      </c>
      <c r="D24" s="71">
        <v>193</v>
      </c>
      <c r="E24" s="70">
        <v>7.0000000000000001E-3</v>
      </c>
    </row>
    <row r="25" spans="1:5" ht="15" customHeight="1">
      <c r="A25" s="112"/>
      <c r="B25" s="112"/>
      <c r="C25" s="61" t="s">
        <v>150</v>
      </c>
      <c r="D25" s="71">
        <v>162</v>
      </c>
      <c r="E25" s="70">
        <v>6.0000000000000001E-3</v>
      </c>
    </row>
    <row r="26" spans="1:5" ht="15" customHeight="1">
      <c r="A26" s="112"/>
      <c r="B26" s="112"/>
      <c r="C26" s="61" t="s">
        <v>174</v>
      </c>
      <c r="D26" s="71">
        <v>150</v>
      </c>
      <c r="E26" s="70">
        <v>6.0000000000000001E-3</v>
      </c>
    </row>
    <row r="27" spans="1:5" ht="15" customHeight="1">
      <c r="A27" s="112"/>
      <c r="B27" s="112"/>
      <c r="C27" s="61" t="s">
        <v>192</v>
      </c>
      <c r="D27" s="71">
        <v>113</v>
      </c>
      <c r="E27" s="70">
        <v>4.0000000000000001E-3</v>
      </c>
    </row>
    <row r="28" spans="1:5" ht="15" customHeight="1">
      <c r="A28" s="112"/>
      <c r="B28" s="112"/>
      <c r="C28" s="61" t="s">
        <v>176</v>
      </c>
      <c r="D28" s="71">
        <v>109</v>
      </c>
      <c r="E28" s="70">
        <v>4.0000000000000001E-3</v>
      </c>
    </row>
    <row r="29" spans="1:5" ht="15" customHeight="1">
      <c r="A29" s="112"/>
      <c r="B29" s="112"/>
      <c r="C29" s="61" t="s">
        <v>168</v>
      </c>
      <c r="D29" s="71">
        <v>98</v>
      </c>
      <c r="E29" s="70">
        <v>4.0000000000000001E-3</v>
      </c>
    </row>
    <row r="30" spans="1:5" ht="15" customHeight="1">
      <c r="A30" s="112"/>
      <c r="B30" s="112"/>
      <c r="C30" s="61" t="s">
        <v>171</v>
      </c>
      <c r="D30" s="71">
        <v>94</v>
      </c>
      <c r="E30" s="70">
        <v>3.0000000000000001E-3</v>
      </c>
    </row>
    <row r="31" spans="1:5" ht="15" customHeight="1">
      <c r="A31" s="112"/>
      <c r="B31" s="112"/>
      <c r="C31" s="61" t="s">
        <v>178</v>
      </c>
      <c r="D31" s="71">
        <v>93</v>
      </c>
      <c r="E31" s="70">
        <v>3.0000000000000001E-3</v>
      </c>
    </row>
    <row r="32" spans="1:5" ht="15" customHeight="1">
      <c r="A32" s="112"/>
      <c r="B32" s="112"/>
      <c r="C32" s="61" t="s">
        <v>189</v>
      </c>
      <c r="D32" s="71">
        <v>91</v>
      </c>
      <c r="E32" s="70">
        <v>3.0000000000000001E-3</v>
      </c>
    </row>
    <row r="33" spans="1:5" ht="15" customHeight="1">
      <c r="A33" s="112"/>
      <c r="B33" s="112"/>
      <c r="C33" s="61" t="s">
        <v>175</v>
      </c>
      <c r="D33" s="71">
        <v>86</v>
      </c>
      <c r="E33" s="70">
        <v>3.0000000000000001E-3</v>
      </c>
    </row>
    <row r="34" spans="1:5" ht="15" customHeight="1">
      <c r="A34" s="112"/>
      <c r="B34" s="112"/>
      <c r="C34" s="61" t="s">
        <v>159</v>
      </c>
      <c r="D34" s="71">
        <v>85</v>
      </c>
      <c r="E34" s="70">
        <v>3.0000000000000001E-3</v>
      </c>
    </row>
    <row r="35" spans="1:5" ht="15" customHeight="1">
      <c r="A35" s="112"/>
      <c r="B35" s="112"/>
      <c r="C35" s="61" t="s">
        <v>203</v>
      </c>
      <c r="D35" s="71">
        <v>84</v>
      </c>
      <c r="E35" s="70">
        <v>3.0000000000000001E-3</v>
      </c>
    </row>
    <row r="36" spans="1:5" ht="15" customHeight="1">
      <c r="A36" s="112"/>
      <c r="B36" s="112"/>
      <c r="C36" s="61" t="s">
        <v>157</v>
      </c>
      <c r="D36" s="71">
        <v>70</v>
      </c>
      <c r="E36" s="70">
        <v>3.0000000000000001E-3</v>
      </c>
    </row>
    <row r="37" spans="1:5" ht="15" customHeight="1">
      <c r="A37" s="112"/>
      <c r="B37" s="112"/>
      <c r="C37" s="61" t="s">
        <v>169</v>
      </c>
      <c r="D37" s="71">
        <v>66</v>
      </c>
      <c r="E37" s="70">
        <v>2E-3</v>
      </c>
    </row>
    <row r="38" spans="1:5" ht="15" customHeight="1">
      <c r="A38" s="112"/>
      <c r="B38" s="112"/>
      <c r="C38" s="61" t="s">
        <v>196</v>
      </c>
      <c r="D38" s="71">
        <v>51</v>
      </c>
      <c r="E38" s="70">
        <v>2E-3</v>
      </c>
    </row>
    <row r="39" spans="1:5" ht="15" customHeight="1">
      <c r="A39" s="112"/>
      <c r="B39" s="112"/>
      <c r="C39" s="61" t="s">
        <v>167</v>
      </c>
      <c r="D39" s="71">
        <v>50</v>
      </c>
      <c r="E39" s="70">
        <v>2E-3</v>
      </c>
    </row>
    <row r="40" spans="1:5" ht="15" customHeight="1">
      <c r="A40" s="112"/>
      <c r="B40" s="112"/>
      <c r="C40" s="61" t="s">
        <v>186</v>
      </c>
      <c r="D40" s="71">
        <v>45</v>
      </c>
      <c r="E40" s="70">
        <v>2E-3</v>
      </c>
    </row>
    <row r="41" spans="1:5" ht="15" customHeight="1">
      <c r="A41" s="112"/>
      <c r="B41" s="112"/>
      <c r="C41" s="61" t="s">
        <v>185</v>
      </c>
      <c r="D41" s="71">
        <v>41</v>
      </c>
      <c r="E41" s="70">
        <v>2E-3</v>
      </c>
    </row>
    <row r="42" spans="1:5" ht="15" customHeight="1">
      <c r="A42" s="112"/>
      <c r="B42" s="112"/>
      <c r="C42" s="61" t="s">
        <v>197</v>
      </c>
      <c r="D42" s="71">
        <v>32</v>
      </c>
      <c r="E42" s="70">
        <v>1E-3</v>
      </c>
    </row>
    <row r="43" spans="1:5" ht="15" customHeight="1">
      <c r="A43" s="112"/>
      <c r="B43" s="112"/>
      <c r="C43" s="61" t="s">
        <v>166</v>
      </c>
      <c r="D43" s="71">
        <v>28</v>
      </c>
      <c r="E43" s="70">
        <v>1E-3</v>
      </c>
    </row>
    <row r="44" spans="1:5" ht="15" customHeight="1">
      <c r="A44" s="112"/>
      <c r="B44" s="112"/>
      <c r="C44" s="61" t="s">
        <v>193</v>
      </c>
      <c r="D44" s="71">
        <v>21</v>
      </c>
      <c r="E44" s="70">
        <v>1E-3</v>
      </c>
    </row>
    <row r="45" spans="1:5" ht="15" customHeight="1">
      <c r="A45" s="112"/>
      <c r="B45" s="112"/>
      <c r="C45" s="61" t="s">
        <v>163</v>
      </c>
      <c r="D45" s="71">
        <v>19</v>
      </c>
      <c r="E45" s="70">
        <v>1E-3</v>
      </c>
    </row>
    <row r="46" spans="1:5" ht="15" customHeight="1">
      <c r="A46" s="112"/>
      <c r="B46" s="112"/>
      <c r="C46" s="61" t="s">
        <v>180</v>
      </c>
      <c r="D46" s="71">
        <v>19</v>
      </c>
      <c r="E46" s="70">
        <v>1E-3</v>
      </c>
    </row>
    <row r="47" spans="1:5" ht="15" customHeight="1">
      <c r="A47" s="112"/>
      <c r="B47" s="112"/>
      <c r="C47" s="61" t="s">
        <v>285</v>
      </c>
      <c r="D47" s="71">
        <v>18</v>
      </c>
      <c r="E47" s="70">
        <v>1E-3</v>
      </c>
    </row>
    <row r="48" spans="1:5" ht="15" customHeight="1">
      <c r="A48" s="112"/>
      <c r="B48" s="112"/>
      <c r="C48" s="61" t="s">
        <v>149</v>
      </c>
      <c r="D48" s="71">
        <v>18</v>
      </c>
      <c r="E48" s="70">
        <v>1E-3</v>
      </c>
    </row>
    <row r="49" spans="1:5" ht="15" customHeight="1">
      <c r="A49" s="112"/>
      <c r="B49" s="112"/>
      <c r="C49" s="61" t="s">
        <v>202</v>
      </c>
      <c r="D49" s="71">
        <v>17</v>
      </c>
      <c r="E49" s="70">
        <v>1E-3</v>
      </c>
    </row>
    <row r="50" spans="1:5" ht="15" customHeight="1">
      <c r="A50" s="112"/>
      <c r="B50" s="112"/>
      <c r="C50" s="61" t="s">
        <v>156</v>
      </c>
      <c r="D50" s="71">
        <v>15</v>
      </c>
      <c r="E50" s="70">
        <v>1E-3</v>
      </c>
    </row>
    <row r="51" spans="1:5" ht="15" customHeight="1">
      <c r="A51" s="112"/>
      <c r="B51" s="112"/>
      <c r="C51" s="61" t="s">
        <v>164</v>
      </c>
      <c r="D51" s="71">
        <v>14</v>
      </c>
      <c r="E51" s="70">
        <v>1E-3</v>
      </c>
    </row>
    <row r="52" spans="1:5" ht="15" customHeight="1">
      <c r="A52" s="112"/>
      <c r="B52" s="112"/>
      <c r="C52" s="61" t="s">
        <v>198</v>
      </c>
      <c r="D52" s="71">
        <v>14</v>
      </c>
      <c r="E52" s="70">
        <v>1E-3</v>
      </c>
    </row>
    <row r="53" spans="1:5" ht="15" customHeight="1">
      <c r="A53" s="112"/>
      <c r="B53" s="112"/>
      <c r="C53" s="61" t="s">
        <v>187</v>
      </c>
      <c r="D53" s="71">
        <v>14</v>
      </c>
      <c r="E53" s="70">
        <v>1E-3</v>
      </c>
    </row>
    <row r="54" spans="1:5" ht="15" customHeight="1">
      <c r="A54" s="112"/>
      <c r="B54" s="112"/>
      <c r="C54" s="61" t="s">
        <v>200</v>
      </c>
      <c r="D54" s="71">
        <v>13</v>
      </c>
      <c r="E54" s="70">
        <v>0</v>
      </c>
    </row>
    <row r="55" spans="1:5" ht="15" customHeight="1">
      <c r="A55" s="112"/>
      <c r="B55" s="112"/>
      <c r="C55" s="61" t="s">
        <v>182</v>
      </c>
      <c r="D55" s="71">
        <v>13</v>
      </c>
      <c r="E55" s="70">
        <v>0</v>
      </c>
    </row>
    <row r="56" spans="1:5" ht="15" customHeight="1">
      <c r="A56" s="112"/>
      <c r="B56" s="112"/>
      <c r="C56" s="61" t="s">
        <v>172</v>
      </c>
      <c r="D56" s="71">
        <v>12</v>
      </c>
      <c r="E56" s="70">
        <v>0</v>
      </c>
    </row>
    <row r="57" spans="1:5" ht="15" customHeight="1">
      <c r="A57" s="112"/>
      <c r="B57" s="112"/>
      <c r="C57" s="61" t="s">
        <v>181</v>
      </c>
      <c r="D57" s="71">
        <v>10</v>
      </c>
      <c r="E57" s="70">
        <v>0</v>
      </c>
    </row>
    <row r="58" spans="1:5" ht="15" customHeight="1">
      <c r="A58" s="112"/>
      <c r="B58" s="112"/>
      <c r="C58" s="61" t="s">
        <v>188</v>
      </c>
      <c r="D58" s="71">
        <v>10</v>
      </c>
      <c r="E58" s="70">
        <v>0</v>
      </c>
    </row>
    <row r="59" spans="1:5" ht="15" customHeight="1">
      <c r="A59" s="112"/>
      <c r="B59" s="112"/>
      <c r="C59" s="61" t="s">
        <v>190</v>
      </c>
      <c r="D59" s="71">
        <v>9</v>
      </c>
      <c r="E59" s="70">
        <v>0</v>
      </c>
    </row>
    <row r="60" spans="1:5" ht="15" customHeight="1">
      <c r="A60" s="112"/>
      <c r="B60" s="112"/>
      <c r="C60" s="61" t="s">
        <v>161</v>
      </c>
      <c r="D60" s="71">
        <v>7</v>
      </c>
      <c r="E60" s="70">
        <v>0</v>
      </c>
    </row>
    <row r="61" spans="1:5" ht="15" customHeight="1">
      <c r="A61" s="112"/>
      <c r="B61" s="112"/>
      <c r="C61" s="61" t="s">
        <v>199</v>
      </c>
      <c r="D61" s="71">
        <v>7</v>
      </c>
      <c r="E61" s="70">
        <v>0</v>
      </c>
    </row>
    <row r="62" spans="1:5" ht="15" customHeight="1">
      <c r="A62" s="112"/>
      <c r="B62" s="112"/>
      <c r="C62" s="61" t="s">
        <v>179</v>
      </c>
      <c r="D62" s="71">
        <v>6</v>
      </c>
      <c r="E62" s="70">
        <v>0</v>
      </c>
    </row>
    <row r="63" spans="1:5" ht="15" customHeight="1">
      <c r="A63" s="112"/>
      <c r="B63" s="112"/>
      <c r="C63" s="61" t="s">
        <v>201</v>
      </c>
      <c r="D63" s="71">
        <v>6</v>
      </c>
      <c r="E63" s="70">
        <v>0</v>
      </c>
    </row>
    <row r="64" spans="1:5" ht="15" customHeight="1">
      <c r="A64" s="112"/>
      <c r="B64" s="112"/>
      <c r="C64" s="61" t="s">
        <v>195</v>
      </c>
      <c r="D64" s="71">
        <v>5</v>
      </c>
      <c r="E64" s="70">
        <v>0</v>
      </c>
    </row>
    <row r="65" spans="1:5" ht="15" customHeight="1">
      <c r="A65" s="112"/>
      <c r="B65" s="112"/>
      <c r="C65" s="61" t="s">
        <v>170</v>
      </c>
      <c r="D65" s="71">
        <v>3</v>
      </c>
      <c r="E65" s="70">
        <v>0</v>
      </c>
    </row>
    <row r="66" spans="1:5" ht="15" customHeight="1">
      <c r="A66" s="112"/>
      <c r="B66" s="112"/>
      <c r="C66" s="61" t="s">
        <v>165</v>
      </c>
      <c r="D66" s="71">
        <v>2</v>
      </c>
      <c r="E66" s="70">
        <v>0</v>
      </c>
    </row>
    <row r="67" spans="1:5" ht="15" customHeight="1">
      <c r="A67" s="112"/>
      <c r="B67" s="112"/>
      <c r="C67" s="61" t="s">
        <v>194</v>
      </c>
      <c r="D67" s="71">
        <v>2</v>
      </c>
      <c r="E67" s="70">
        <v>0</v>
      </c>
    </row>
    <row r="68" spans="1:5" ht="15" customHeight="1">
      <c r="A68" s="112"/>
      <c r="B68" s="112"/>
      <c r="C68" s="74" t="s">
        <v>309</v>
      </c>
      <c r="D68" s="59">
        <v>8208</v>
      </c>
      <c r="E68" s="75">
        <v>0.30199999999999999</v>
      </c>
    </row>
    <row r="69" spans="1:5" ht="15" customHeight="1">
      <c r="A69" s="76"/>
      <c r="B69" s="112" t="s">
        <v>100</v>
      </c>
      <c r="C69" s="61" t="s">
        <v>146</v>
      </c>
      <c r="D69" s="71">
        <v>766</v>
      </c>
      <c r="E69" s="70">
        <v>2.8000000000000001E-2</v>
      </c>
    </row>
    <row r="70" spans="1:5" ht="15" customHeight="1">
      <c r="A70" s="76"/>
      <c r="B70" s="112"/>
      <c r="C70" s="61" t="s">
        <v>175</v>
      </c>
      <c r="D70" s="71">
        <v>568</v>
      </c>
      <c r="E70" s="70">
        <v>2.1000000000000001E-2</v>
      </c>
    </row>
    <row r="71" spans="1:5" ht="15" customHeight="1">
      <c r="A71" s="76"/>
      <c r="B71" s="112"/>
      <c r="C71" s="61" t="s">
        <v>160</v>
      </c>
      <c r="D71" s="71">
        <v>300</v>
      </c>
      <c r="E71" s="70">
        <v>1.0999999999999999E-2</v>
      </c>
    </row>
    <row r="72" spans="1:5" ht="15" customHeight="1">
      <c r="A72" s="76"/>
      <c r="B72" s="112"/>
      <c r="C72" s="61" t="s">
        <v>159</v>
      </c>
      <c r="D72" s="71">
        <v>290</v>
      </c>
      <c r="E72" s="70">
        <v>1.0999999999999999E-2</v>
      </c>
    </row>
    <row r="73" spans="1:5" ht="15" customHeight="1">
      <c r="A73" s="76"/>
      <c r="B73" s="112"/>
      <c r="C73" s="61" t="s">
        <v>191</v>
      </c>
      <c r="D73" s="71">
        <v>282</v>
      </c>
      <c r="E73" s="70">
        <v>0.01</v>
      </c>
    </row>
    <row r="74" spans="1:5" ht="15" customHeight="1">
      <c r="A74" s="76"/>
      <c r="B74" s="112"/>
      <c r="C74" s="61" t="s">
        <v>152</v>
      </c>
      <c r="D74" s="71">
        <v>275</v>
      </c>
      <c r="E74" s="70">
        <v>0.01</v>
      </c>
    </row>
    <row r="75" spans="1:5" ht="15" customHeight="1">
      <c r="A75" s="76"/>
      <c r="B75" s="112"/>
      <c r="C75" s="61" t="s">
        <v>189</v>
      </c>
      <c r="D75" s="71">
        <v>252</v>
      </c>
      <c r="E75" s="70">
        <v>8.9999999999999993E-3</v>
      </c>
    </row>
    <row r="76" spans="1:5" ht="15" customHeight="1">
      <c r="A76" s="76"/>
      <c r="B76" s="112"/>
      <c r="C76" s="61" t="s">
        <v>174</v>
      </c>
      <c r="D76" s="71">
        <v>229</v>
      </c>
      <c r="E76" s="70">
        <v>8.0000000000000002E-3</v>
      </c>
    </row>
    <row r="77" spans="1:5" ht="15" customHeight="1">
      <c r="A77" s="76"/>
      <c r="B77" s="112"/>
      <c r="C77" s="61" t="s">
        <v>155</v>
      </c>
      <c r="D77" s="71">
        <v>214</v>
      </c>
      <c r="E77" s="70">
        <v>8.0000000000000002E-3</v>
      </c>
    </row>
    <row r="78" spans="1:5" ht="15" customHeight="1">
      <c r="A78" s="76"/>
      <c r="B78" s="112"/>
      <c r="C78" s="61" t="s">
        <v>187</v>
      </c>
      <c r="D78" s="71">
        <v>162</v>
      </c>
      <c r="E78" s="70">
        <v>6.0000000000000001E-3</v>
      </c>
    </row>
    <row r="79" spans="1:5" ht="15" customHeight="1">
      <c r="A79" s="76"/>
      <c r="B79" s="112"/>
      <c r="C79" s="61" t="s">
        <v>148</v>
      </c>
      <c r="D79" s="71">
        <v>155</v>
      </c>
      <c r="E79" s="70">
        <v>6.0000000000000001E-3</v>
      </c>
    </row>
    <row r="80" spans="1:5" ht="15" customHeight="1">
      <c r="A80" s="76"/>
      <c r="B80" s="112"/>
      <c r="C80" s="61" t="s">
        <v>149</v>
      </c>
      <c r="D80" s="71">
        <v>135</v>
      </c>
      <c r="E80" s="70">
        <v>5.0000000000000001E-3</v>
      </c>
    </row>
    <row r="81" spans="1:5" ht="15" customHeight="1">
      <c r="A81" s="76"/>
      <c r="B81" s="112"/>
      <c r="C81" s="61" t="s">
        <v>185</v>
      </c>
      <c r="D81" s="71">
        <v>129</v>
      </c>
      <c r="E81" s="70">
        <v>5.0000000000000001E-3</v>
      </c>
    </row>
    <row r="82" spans="1:5" ht="15" customHeight="1">
      <c r="A82" s="76"/>
      <c r="B82" s="112"/>
      <c r="C82" s="61" t="s">
        <v>180</v>
      </c>
      <c r="D82" s="71">
        <v>125</v>
      </c>
      <c r="E82" s="70">
        <v>5.0000000000000001E-3</v>
      </c>
    </row>
    <row r="83" spans="1:5" ht="15" customHeight="1">
      <c r="A83" s="76"/>
      <c r="B83" s="112"/>
      <c r="C83" s="61" t="s">
        <v>162</v>
      </c>
      <c r="D83" s="71">
        <v>116</v>
      </c>
      <c r="E83" s="70">
        <v>4.0000000000000001E-3</v>
      </c>
    </row>
    <row r="84" spans="1:5" ht="15" customHeight="1">
      <c r="A84" s="76"/>
      <c r="B84" s="112"/>
      <c r="C84" s="61" t="s">
        <v>166</v>
      </c>
      <c r="D84" s="71">
        <v>114</v>
      </c>
      <c r="E84" s="70">
        <v>4.0000000000000001E-3</v>
      </c>
    </row>
    <row r="85" spans="1:5" ht="15" customHeight="1">
      <c r="A85" s="76"/>
      <c r="B85" s="112"/>
      <c r="C85" s="61" t="s">
        <v>153</v>
      </c>
      <c r="D85" s="71">
        <v>112</v>
      </c>
      <c r="E85" s="70">
        <v>4.0000000000000001E-3</v>
      </c>
    </row>
    <row r="86" spans="1:5" ht="15" customHeight="1">
      <c r="A86" s="76"/>
      <c r="B86" s="112"/>
      <c r="C86" s="61" t="s">
        <v>192</v>
      </c>
      <c r="D86" s="71">
        <v>99</v>
      </c>
      <c r="E86" s="70">
        <v>4.0000000000000001E-3</v>
      </c>
    </row>
    <row r="87" spans="1:5" ht="15" customHeight="1">
      <c r="A87" s="76"/>
      <c r="B87" s="112"/>
      <c r="C87" s="61" t="s">
        <v>186</v>
      </c>
      <c r="D87" s="71">
        <v>95</v>
      </c>
      <c r="E87" s="70">
        <v>3.0000000000000001E-3</v>
      </c>
    </row>
    <row r="88" spans="1:5" ht="15" customHeight="1">
      <c r="A88" s="76"/>
      <c r="B88" s="112"/>
      <c r="C88" s="61" t="s">
        <v>154</v>
      </c>
      <c r="D88" s="71">
        <v>90</v>
      </c>
      <c r="E88" s="70">
        <v>3.0000000000000001E-3</v>
      </c>
    </row>
    <row r="89" spans="1:5" ht="15" customHeight="1">
      <c r="A89" s="76"/>
      <c r="B89" s="112"/>
      <c r="C89" s="61" t="s">
        <v>173</v>
      </c>
      <c r="D89" s="71">
        <v>89</v>
      </c>
      <c r="E89" s="70">
        <v>3.0000000000000001E-3</v>
      </c>
    </row>
    <row r="90" spans="1:5" ht="15" customHeight="1">
      <c r="A90" s="76"/>
      <c r="B90" s="112"/>
      <c r="C90" s="61" t="s">
        <v>181</v>
      </c>
      <c r="D90" s="71">
        <v>81</v>
      </c>
      <c r="E90" s="70">
        <v>3.0000000000000001E-3</v>
      </c>
    </row>
    <row r="91" spans="1:5" ht="15" customHeight="1">
      <c r="A91" s="76"/>
      <c r="B91" s="112"/>
      <c r="C91" s="61" t="s">
        <v>193</v>
      </c>
      <c r="D91" s="71">
        <v>78</v>
      </c>
      <c r="E91" s="70">
        <v>3.0000000000000001E-3</v>
      </c>
    </row>
    <row r="92" spans="1:5" ht="15" customHeight="1">
      <c r="A92" s="76"/>
      <c r="B92" s="112"/>
      <c r="C92" s="61" t="s">
        <v>199</v>
      </c>
      <c r="D92" s="71">
        <v>75</v>
      </c>
      <c r="E92" s="70">
        <v>3.0000000000000001E-3</v>
      </c>
    </row>
    <row r="93" spans="1:5" ht="15" customHeight="1">
      <c r="A93" s="76"/>
      <c r="B93" s="112"/>
      <c r="C93" s="61" t="s">
        <v>163</v>
      </c>
      <c r="D93" s="71">
        <v>69</v>
      </c>
      <c r="E93" s="70">
        <v>3.0000000000000001E-3</v>
      </c>
    </row>
    <row r="94" spans="1:5" ht="15" customHeight="1">
      <c r="A94" s="76"/>
      <c r="B94" s="112"/>
      <c r="C94" s="61" t="s">
        <v>150</v>
      </c>
      <c r="D94" s="71">
        <v>68</v>
      </c>
      <c r="E94" s="70">
        <v>3.0000000000000001E-3</v>
      </c>
    </row>
    <row r="95" spans="1:5" ht="15" customHeight="1">
      <c r="A95" s="76"/>
      <c r="B95" s="112"/>
      <c r="C95" s="61" t="s">
        <v>183</v>
      </c>
      <c r="D95" s="71">
        <v>67</v>
      </c>
      <c r="E95" s="70">
        <v>2E-3</v>
      </c>
    </row>
    <row r="96" spans="1:5" ht="15" customHeight="1">
      <c r="A96" s="76"/>
      <c r="B96" s="112"/>
      <c r="C96" s="61" t="s">
        <v>188</v>
      </c>
      <c r="D96" s="71">
        <v>66</v>
      </c>
      <c r="E96" s="70">
        <v>2E-3</v>
      </c>
    </row>
    <row r="97" spans="1:5" ht="15" customHeight="1">
      <c r="A97" s="76"/>
      <c r="B97" s="112"/>
      <c r="C97" s="61" t="s">
        <v>168</v>
      </c>
      <c r="D97" s="71">
        <v>62</v>
      </c>
      <c r="E97" s="70">
        <v>2E-3</v>
      </c>
    </row>
    <row r="98" spans="1:5" ht="15" customHeight="1">
      <c r="A98" s="76"/>
      <c r="B98" s="112"/>
      <c r="C98" s="61" t="s">
        <v>161</v>
      </c>
      <c r="D98" s="71">
        <v>59</v>
      </c>
      <c r="E98" s="70">
        <v>2E-3</v>
      </c>
    </row>
    <row r="99" spans="1:5" ht="15" customHeight="1">
      <c r="A99" s="76"/>
      <c r="B99" s="112"/>
      <c r="C99" s="61" t="s">
        <v>164</v>
      </c>
      <c r="D99" s="71">
        <v>48</v>
      </c>
      <c r="E99" s="70">
        <v>2E-3</v>
      </c>
    </row>
    <row r="100" spans="1:5" ht="15" customHeight="1">
      <c r="A100" s="76"/>
      <c r="B100" s="112"/>
      <c r="C100" s="61" t="s">
        <v>194</v>
      </c>
      <c r="D100" s="71">
        <v>43</v>
      </c>
      <c r="E100" s="70">
        <v>2E-3</v>
      </c>
    </row>
    <row r="101" spans="1:5" ht="15" customHeight="1">
      <c r="A101" s="76"/>
      <c r="B101" s="112"/>
      <c r="C101" s="61" t="s">
        <v>179</v>
      </c>
      <c r="D101" s="71">
        <v>40</v>
      </c>
      <c r="E101" s="70">
        <v>1E-3</v>
      </c>
    </row>
    <row r="102" spans="1:5" ht="15" customHeight="1">
      <c r="A102" s="76"/>
      <c r="B102" s="112"/>
      <c r="C102" s="61" t="s">
        <v>202</v>
      </c>
      <c r="D102" s="71">
        <v>37</v>
      </c>
      <c r="E102" s="70">
        <v>1E-3</v>
      </c>
    </row>
    <row r="103" spans="1:5" ht="15" customHeight="1">
      <c r="A103" s="76"/>
      <c r="B103" s="112"/>
      <c r="C103" s="61" t="s">
        <v>172</v>
      </c>
      <c r="D103" s="71">
        <v>30</v>
      </c>
      <c r="E103" s="70">
        <v>1E-3</v>
      </c>
    </row>
    <row r="104" spans="1:5" ht="15" customHeight="1">
      <c r="A104" s="76"/>
      <c r="B104" s="112"/>
      <c r="C104" s="61" t="s">
        <v>176</v>
      </c>
      <c r="D104" s="71">
        <v>29</v>
      </c>
      <c r="E104" s="70">
        <v>1E-3</v>
      </c>
    </row>
    <row r="105" spans="1:5" ht="15" customHeight="1">
      <c r="A105" s="76"/>
      <c r="B105" s="112"/>
      <c r="C105" s="61" t="s">
        <v>171</v>
      </c>
      <c r="D105" s="71">
        <v>26</v>
      </c>
      <c r="E105" s="70">
        <v>1E-3</v>
      </c>
    </row>
    <row r="106" spans="1:5" ht="15" customHeight="1">
      <c r="A106" s="76"/>
      <c r="B106" s="112"/>
      <c r="C106" s="61" t="s">
        <v>151</v>
      </c>
      <c r="D106" s="71">
        <v>25</v>
      </c>
      <c r="E106" s="70">
        <v>1E-3</v>
      </c>
    </row>
    <row r="107" spans="1:5" ht="15" customHeight="1">
      <c r="A107" s="76"/>
      <c r="B107" s="112"/>
      <c r="C107" s="61" t="s">
        <v>203</v>
      </c>
      <c r="D107" s="71">
        <v>25</v>
      </c>
      <c r="E107" s="70">
        <v>1E-3</v>
      </c>
    </row>
    <row r="108" spans="1:5" ht="15" customHeight="1">
      <c r="A108" s="76"/>
      <c r="B108" s="112"/>
      <c r="C108" s="61" t="s">
        <v>196</v>
      </c>
      <c r="D108" s="71">
        <v>25</v>
      </c>
      <c r="E108" s="70">
        <v>1E-3</v>
      </c>
    </row>
    <row r="109" spans="1:5" ht="15" customHeight="1">
      <c r="A109" s="76"/>
      <c r="B109" s="112"/>
      <c r="C109" s="61" t="s">
        <v>165</v>
      </c>
      <c r="D109" s="71">
        <v>22</v>
      </c>
      <c r="E109" s="70">
        <v>1E-3</v>
      </c>
    </row>
    <row r="110" spans="1:5" ht="15" customHeight="1">
      <c r="A110" s="76"/>
      <c r="B110" s="112"/>
      <c r="C110" s="61" t="s">
        <v>201</v>
      </c>
      <c r="D110" s="71">
        <v>20</v>
      </c>
      <c r="E110" s="70">
        <v>1E-3</v>
      </c>
    </row>
    <row r="111" spans="1:5" ht="15" customHeight="1">
      <c r="A111" s="76"/>
      <c r="B111" s="112"/>
      <c r="C111" s="61" t="s">
        <v>182</v>
      </c>
      <c r="D111" s="71">
        <v>19</v>
      </c>
      <c r="E111" s="70">
        <v>1E-3</v>
      </c>
    </row>
    <row r="112" spans="1:5" ht="15" customHeight="1">
      <c r="A112" s="76"/>
      <c r="B112" s="112"/>
      <c r="C112" s="61" t="s">
        <v>197</v>
      </c>
      <c r="D112" s="71">
        <v>18</v>
      </c>
      <c r="E112" s="70">
        <v>1E-3</v>
      </c>
    </row>
    <row r="113" spans="1:5" ht="15" customHeight="1">
      <c r="A113" s="76"/>
      <c r="B113" s="112"/>
      <c r="C113" s="61" t="s">
        <v>190</v>
      </c>
      <c r="D113" s="71">
        <v>18</v>
      </c>
      <c r="E113" s="70">
        <v>1E-3</v>
      </c>
    </row>
    <row r="114" spans="1:5" ht="15" customHeight="1">
      <c r="A114" s="76"/>
      <c r="B114" s="112"/>
      <c r="C114" s="61" t="s">
        <v>156</v>
      </c>
      <c r="D114" s="71">
        <v>18</v>
      </c>
      <c r="E114" s="70">
        <v>1E-3</v>
      </c>
    </row>
    <row r="115" spans="1:5" ht="15" customHeight="1">
      <c r="A115" s="76"/>
      <c r="B115" s="112"/>
      <c r="C115" s="61" t="s">
        <v>285</v>
      </c>
      <c r="D115" s="71">
        <v>17</v>
      </c>
      <c r="E115" s="70">
        <v>1E-3</v>
      </c>
    </row>
    <row r="116" spans="1:5" ht="15" customHeight="1">
      <c r="A116" s="76"/>
      <c r="B116" s="112"/>
      <c r="C116" s="61" t="s">
        <v>157</v>
      </c>
      <c r="D116" s="71">
        <v>17</v>
      </c>
      <c r="E116" s="70">
        <v>1E-3</v>
      </c>
    </row>
    <row r="117" spans="1:5" ht="15" customHeight="1">
      <c r="A117" s="76"/>
      <c r="B117" s="112"/>
      <c r="C117" s="61" t="s">
        <v>158</v>
      </c>
      <c r="D117" s="71">
        <v>17</v>
      </c>
      <c r="E117" s="70">
        <v>1E-3</v>
      </c>
    </row>
    <row r="118" spans="1:5" ht="15" customHeight="1">
      <c r="A118" s="76"/>
      <c r="B118" s="112"/>
      <c r="C118" s="61" t="s">
        <v>147</v>
      </c>
      <c r="D118" s="71">
        <v>16</v>
      </c>
      <c r="E118" s="70">
        <v>1E-3</v>
      </c>
    </row>
    <row r="119" spans="1:5" ht="15" customHeight="1">
      <c r="A119" s="76"/>
      <c r="B119" s="112"/>
      <c r="C119" s="61" t="s">
        <v>178</v>
      </c>
      <c r="D119" s="71">
        <v>15</v>
      </c>
      <c r="E119" s="70">
        <v>1E-3</v>
      </c>
    </row>
    <row r="120" spans="1:5" ht="15" customHeight="1">
      <c r="A120" s="76"/>
      <c r="B120" s="112"/>
      <c r="C120" s="61" t="s">
        <v>169</v>
      </c>
      <c r="D120" s="71">
        <v>9</v>
      </c>
      <c r="E120" s="70">
        <v>0</v>
      </c>
    </row>
    <row r="121" spans="1:5" ht="15" customHeight="1">
      <c r="A121" s="76"/>
      <c r="B121" s="112"/>
      <c r="C121" s="61" t="s">
        <v>170</v>
      </c>
      <c r="D121" s="71">
        <v>9</v>
      </c>
      <c r="E121" s="70">
        <v>0</v>
      </c>
    </row>
    <row r="122" spans="1:5" ht="15" customHeight="1">
      <c r="A122" s="76"/>
      <c r="B122" s="112"/>
      <c r="C122" s="61" t="s">
        <v>167</v>
      </c>
      <c r="D122" s="71">
        <v>7</v>
      </c>
      <c r="E122" s="70">
        <v>0</v>
      </c>
    </row>
    <row r="123" spans="1:5" ht="15" customHeight="1">
      <c r="A123" s="76"/>
      <c r="B123" s="112"/>
      <c r="C123" s="61" t="s">
        <v>177</v>
      </c>
      <c r="D123" s="71">
        <v>5</v>
      </c>
      <c r="E123" s="70">
        <v>0</v>
      </c>
    </row>
    <row r="124" spans="1:5" ht="15" customHeight="1">
      <c r="A124" s="76"/>
      <c r="B124" s="112"/>
      <c r="C124" s="61" t="s">
        <v>184</v>
      </c>
      <c r="D124" s="71">
        <v>2</v>
      </c>
      <c r="E124" s="70">
        <v>0</v>
      </c>
    </row>
    <row r="125" spans="1:5" ht="15" customHeight="1">
      <c r="A125" s="76"/>
      <c r="B125" s="112"/>
      <c r="C125" s="61" t="s">
        <v>195</v>
      </c>
      <c r="D125" s="71">
        <v>2</v>
      </c>
      <c r="E125" s="70">
        <v>0</v>
      </c>
    </row>
    <row r="126" spans="1:5" ht="15" customHeight="1">
      <c r="A126" s="76"/>
      <c r="B126" s="112"/>
      <c r="C126" s="74" t="s">
        <v>309</v>
      </c>
      <c r="D126" s="59">
        <v>5781</v>
      </c>
      <c r="E126" s="75">
        <v>0.21299999999999999</v>
      </c>
    </row>
    <row r="127" spans="1:5" ht="15" customHeight="1">
      <c r="A127" s="76"/>
      <c r="B127" s="112" t="s">
        <v>108</v>
      </c>
      <c r="C127" s="61" t="s">
        <v>159</v>
      </c>
      <c r="D127" s="71">
        <v>342</v>
      </c>
      <c r="E127" s="70">
        <v>1.2999999999999999E-2</v>
      </c>
    </row>
    <row r="128" spans="1:5" ht="15" customHeight="1">
      <c r="A128" s="76"/>
      <c r="B128" s="112"/>
      <c r="C128" s="61" t="s">
        <v>191</v>
      </c>
      <c r="D128" s="71">
        <v>251</v>
      </c>
      <c r="E128" s="70">
        <v>8.9999999999999993E-3</v>
      </c>
    </row>
    <row r="129" spans="1:5" ht="15" customHeight="1">
      <c r="A129" s="76"/>
      <c r="B129" s="112"/>
      <c r="C129" s="61" t="s">
        <v>146</v>
      </c>
      <c r="D129" s="71">
        <v>232</v>
      </c>
      <c r="E129" s="70">
        <v>8.9999999999999993E-3</v>
      </c>
    </row>
    <row r="130" spans="1:5" ht="15" customHeight="1">
      <c r="A130" s="76"/>
      <c r="B130" s="112"/>
      <c r="C130" s="61" t="s">
        <v>160</v>
      </c>
      <c r="D130" s="71">
        <v>196</v>
      </c>
      <c r="E130" s="70">
        <v>7.0000000000000001E-3</v>
      </c>
    </row>
    <row r="131" spans="1:5" ht="15" customHeight="1">
      <c r="A131" s="76"/>
      <c r="B131" s="112"/>
      <c r="C131" s="61" t="s">
        <v>175</v>
      </c>
      <c r="D131" s="71">
        <v>168</v>
      </c>
      <c r="E131" s="70">
        <v>6.0000000000000001E-3</v>
      </c>
    </row>
    <row r="132" spans="1:5" ht="15" customHeight="1">
      <c r="A132" s="76"/>
      <c r="B132" s="112"/>
      <c r="C132" s="61" t="s">
        <v>148</v>
      </c>
      <c r="D132" s="71">
        <v>166</v>
      </c>
      <c r="E132" s="70">
        <v>6.0000000000000001E-3</v>
      </c>
    </row>
    <row r="133" spans="1:5" ht="15" customHeight="1">
      <c r="A133" s="76"/>
      <c r="B133" s="112"/>
      <c r="C133" s="61" t="s">
        <v>157</v>
      </c>
      <c r="D133" s="71">
        <v>145</v>
      </c>
      <c r="E133" s="70">
        <v>5.0000000000000001E-3</v>
      </c>
    </row>
    <row r="134" spans="1:5" ht="15" customHeight="1">
      <c r="A134" s="76"/>
      <c r="B134" s="112"/>
      <c r="C134" s="61" t="s">
        <v>174</v>
      </c>
      <c r="D134" s="71">
        <v>136</v>
      </c>
      <c r="E134" s="70">
        <v>5.0000000000000001E-3</v>
      </c>
    </row>
    <row r="135" spans="1:5" ht="15" customHeight="1">
      <c r="A135" s="76"/>
      <c r="B135" s="112"/>
      <c r="C135" s="61" t="s">
        <v>185</v>
      </c>
      <c r="D135" s="71">
        <v>86</v>
      </c>
      <c r="E135" s="70">
        <v>3.0000000000000001E-3</v>
      </c>
    </row>
    <row r="136" spans="1:5" ht="15" customHeight="1">
      <c r="A136" s="76"/>
      <c r="B136" s="112"/>
      <c r="C136" s="61" t="s">
        <v>153</v>
      </c>
      <c r="D136" s="71">
        <v>62</v>
      </c>
      <c r="E136" s="70">
        <v>2E-3</v>
      </c>
    </row>
    <row r="137" spans="1:5" ht="15" customHeight="1">
      <c r="A137" s="76"/>
      <c r="B137" s="112"/>
      <c r="C137" s="61" t="s">
        <v>180</v>
      </c>
      <c r="D137" s="71">
        <v>50</v>
      </c>
      <c r="E137" s="70">
        <v>2E-3</v>
      </c>
    </row>
    <row r="138" spans="1:5" ht="15" customHeight="1">
      <c r="A138" s="76"/>
      <c r="B138" s="112"/>
      <c r="C138" s="61" t="s">
        <v>162</v>
      </c>
      <c r="D138" s="71">
        <v>49</v>
      </c>
      <c r="E138" s="70">
        <v>2E-3</v>
      </c>
    </row>
    <row r="139" spans="1:5" ht="15" customHeight="1">
      <c r="A139" s="76"/>
      <c r="B139" s="112"/>
      <c r="C139" s="61" t="s">
        <v>170</v>
      </c>
      <c r="D139" s="71">
        <v>47</v>
      </c>
      <c r="E139" s="70">
        <v>2E-3</v>
      </c>
    </row>
    <row r="140" spans="1:5" ht="15" customHeight="1">
      <c r="A140" s="76"/>
      <c r="B140" s="112"/>
      <c r="C140" s="61" t="s">
        <v>189</v>
      </c>
      <c r="D140" s="71">
        <v>44</v>
      </c>
      <c r="E140" s="70">
        <v>2E-3</v>
      </c>
    </row>
    <row r="141" spans="1:5" ht="15" customHeight="1">
      <c r="A141" s="76"/>
      <c r="B141" s="112"/>
      <c r="C141" s="61" t="s">
        <v>187</v>
      </c>
      <c r="D141" s="71">
        <v>41</v>
      </c>
      <c r="E141" s="70">
        <v>2E-3</v>
      </c>
    </row>
    <row r="142" spans="1:5" ht="15" customHeight="1">
      <c r="A142" s="76"/>
      <c r="B142" s="112"/>
      <c r="C142" s="61" t="s">
        <v>155</v>
      </c>
      <c r="D142" s="71">
        <v>34</v>
      </c>
      <c r="E142" s="70">
        <v>1E-3</v>
      </c>
    </row>
    <row r="143" spans="1:5" ht="15" customHeight="1">
      <c r="A143" s="76"/>
      <c r="B143" s="112"/>
      <c r="C143" s="61" t="s">
        <v>150</v>
      </c>
      <c r="D143" s="71">
        <v>33</v>
      </c>
      <c r="E143" s="70">
        <v>1E-3</v>
      </c>
    </row>
    <row r="144" spans="1:5" ht="15" customHeight="1">
      <c r="A144" s="76"/>
      <c r="B144" s="112"/>
      <c r="C144" s="61" t="s">
        <v>203</v>
      </c>
      <c r="D144" s="71">
        <v>32</v>
      </c>
      <c r="E144" s="70">
        <v>1E-3</v>
      </c>
    </row>
    <row r="145" spans="1:5" ht="15" customHeight="1">
      <c r="A145" s="76"/>
      <c r="B145" s="112"/>
      <c r="C145" s="61" t="s">
        <v>152</v>
      </c>
      <c r="D145" s="71">
        <v>29</v>
      </c>
      <c r="E145" s="70">
        <v>1E-3</v>
      </c>
    </row>
    <row r="146" spans="1:5" ht="15" customHeight="1">
      <c r="A146" s="76"/>
      <c r="B146" s="112"/>
      <c r="C146" s="61" t="s">
        <v>154</v>
      </c>
      <c r="D146" s="71">
        <v>27</v>
      </c>
      <c r="E146" s="70">
        <v>1E-3</v>
      </c>
    </row>
    <row r="147" spans="1:5" ht="15" customHeight="1">
      <c r="A147" s="76"/>
      <c r="B147" s="112"/>
      <c r="C147" s="61" t="s">
        <v>171</v>
      </c>
      <c r="D147" s="71">
        <v>23</v>
      </c>
      <c r="E147" s="70">
        <v>1E-3</v>
      </c>
    </row>
    <row r="148" spans="1:5" ht="15" customHeight="1">
      <c r="A148" s="76"/>
      <c r="B148" s="112"/>
      <c r="C148" s="61" t="s">
        <v>173</v>
      </c>
      <c r="D148" s="71">
        <v>23</v>
      </c>
      <c r="E148" s="70">
        <v>1E-3</v>
      </c>
    </row>
    <row r="149" spans="1:5" ht="15" customHeight="1">
      <c r="A149" s="76"/>
      <c r="B149" s="112"/>
      <c r="C149" s="61" t="s">
        <v>147</v>
      </c>
      <c r="D149" s="71">
        <v>21</v>
      </c>
      <c r="E149" s="70">
        <v>1E-3</v>
      </c>
    </row>
    <row r="150" spans="1:5" ht="15" customHeight="1">
      <c r="A150" s="76"/>
      <c r="B150" s="112"/>
      <c r="C150" s="61" t="s">
        <v>199</v>
      </c>
      <c r="D150" s="71">
        <v>18</v>
      </c>
      <c r="E150" s="70">
        <v>1E-3</v>
      </c>
    </row>
    <row r="151" spans="1:5" ht="15" customHeight="1">
      <c r="A151" s="76"/>
      <c r="B151" s="112"/>
      <c r="C151" s="61" t="s">
        <v>190</v>
      </c>
      <c r="D151" s="71">
        <v>18</v>
      </c>
      <c r="E151" s="70">
        <v>1E-3</v>
      </c>
    </row>
    <row r="152" spans="1:5" ht="15" customHeight="1">
      <c r="A152" s="76"/>
      <c r="B152" s="112"/>
      <c r="C152" s="61" t="s">
        <v>176</v>
      </c>
      <c r="D152" s="71">
        <v>16</v>
      </c>
      <c r="E152" s="70">
        <v>1E-3</v>
      </c>
    </row>
    <row r="153" spans="1:5" ht="15" customHeight="1">
      <c r="A153" s="76"/>
      <c r="B153" s="112"/>
      <c r="C153" s="61" t="s">
        <v>168</v>
      </c>
      <c r="D153" s="71">
        <v>13</v>
      </c>
      <c r="E153" s="70">
        <v>0</v>
      </c>
    </row>
    <row r="154" spans="1:5" ht="15" customHeight="1">
      <c r="A154" s="76"/>
      <c r="B154" s="112"/>
      <c r="C154" s="61" t="s">
        <v>201</v>
      </c>
      <c r="D154" s="71">
        <v>13</v>
      </c>
      <c r="E154" s="70">
        <v>0</v>
      </c>
    </row>
    <row r="155" spans="1:5" ht="15" customHeight="1">
      <c r="A155" s="76"/>
      <c r="B155" s="112"/>
      <c r="C155" s="61" t="s">
        <v>188</v>
      </c>
      <c r="D155" s="71">
        <v>13</v>
      </c>
      <c r="E155" s="70">
        <v>0</v>
      </c>
    </row>
    <row r="156" spans="1:5" ht="15" customHeight="1">
      <c r="A156" s="76"/>
      <c r="B156" s="112"/>
      <c r="C156" s="61" t="s">
        <v>192</v>
      </c>
      <c r="D156" s="71">
        <v>13</v>
      </c>
      <c r="E156" s="70">
        <v>0</v>
      </c>
    </row>
    <row r="157" spans="1:5" ht="15" customHeight="1">
      <c r="A157" s="76"/>
      <c r="B157" s="112"/>
      <c r="C157" s="61" t="s">
        <v>166</v>
      </c>
      <c r="D157" s="71">
        <v>12</v>
      </c>
      <c r="E157" s="70">
        <v>0</v>
      </c>
    </row>
    <row r="158" spans="1:5" ht="15" customHeight="1">
      <c r="A158" s="76"/>
      <c r="B158" s="112"/>
      <c r="C158" s="61" t="s">
        <v>161</v>
      </c>
      <c r="D158" s="71">
        <v>11</v>
      </c>
      <c r="E158" s="70">
        <v>0</v>
      </c>
    </row>
    <row r="159" spans="1:5" ht="15" customHeight="1">
      <c r="A159" s="76"/>
      <c r="B159" s="112"/>
      <c r="C159" s="61" t="s">
        <v>177</v>
      </c>
      <c r="D159" s="71">
        <v>11</v>
      </c>
      <c r="E159" s="70">
        <v>0</v>
      </c>
    </row>
    <row r="160" spans="1:5" ht="15" customHeight="1">
      <c r="A160" s="76"/>
      <c r="B160" s="112"/>
      <c r="C160" s="61" t="s">
        <v>178</v>
      </c>
      <c r="D160" s="71">
        <v>10</v>
      </c>
      <c r="E160" s="70">
        <v>0</v>
      </c>
    </row>
    <row r="161" spans="1:5" ht="15" customHeight="1">
      <c r="A161" s="76"/>
      <c r="B161" s="112"/>
      <c r="C161" s="61" t="s">
        <v>164</v>
      </c>
      <c r="D161" s="71">
        <v>8</v>
      </c>
      <c r="E161" s="70">
        <v>0</v>
      </c>
    </row>
    <row r="162" spans="1:5" ht="15" customHeight="1">
      <c r="A162" s="76"/>
      <c r="B162" s="112"/>
      <c r="C162" s="61" t="s">
        <v>196</v>
      </c>
      <c r="D162" s="71">
        <v>7</v>
      </c>
      <c r="E162" s="70">
        <v>0</v>
      </c>
    </row>
    <row r="163" spans="1:5" ht="15" customHeight="1">
      <c r="A163" s="76"/>
      <c r="B163" s="112"/>
      <c r="C163" s="61" t="s">
        <v>151</v>
      </c>
      <c r="D163" s="71">
        <v>6</v>
      </c>
      <c r="E163" s="70">
        <v>0</v>
      </c>
    </row>
    <row r="164" spans="1:5" ht="15" customHeight="1">
      <c r="A164" s="76"/>
      <c r="B164" s="112"/>
      <c r="C164" s="61" t="s">
        <v>186</v>
      </c>
      <c r="D164" s="71">
        <v>6</v>
      </c>
      <c r="E164" s="70">
        <v>0</v>
      </c>
    </row>
    <row r="165" spans="1:5" ht="15" customHeight="1">
      <c r="A165" s="76"/>
      <c r="B165" s="112"/>
      <c r="C165" s="61" t="s">
        <v>193</v>
      </c>
      <c r="D165" s="71">
        <v>5</v>
      </c>
      <c r="E165" s="70">
        <v>0</v>
      </c>
    </row>
    <row r="166" spans="1:5" ht="15" customHeight="1">
      <c r="A166" s="76"/>
      <c r="B166" s="112"/>
      <c r="C166" s="61" t="s">
        <v>183</v>
      </c>
      <c r="D166" s="71">
        <v>5</v>
      </c>
      <c r="E166" s="70">
        <v>0</v>
      </c>
    </row>
    <row r="167" spans="1:5" ht="15" customHeight="1">
      <c r="A167" s="76"/>
      <c r="B167" s="112"/>
      <c r="C167" s="61" t="s">
        <v>156</v>
      </c>
      <c r="D167" s="71">
        <v>5</v>
      </c>
      <c r="E167" s="70">
        <v>0</v>
      </c>
    </row>
    <row r="168" spans="1:5" ht="15" customHeight="1">
      <c r="A168" s="76"/>
      <c r="B168" s="112"/>
      <c r="C168" s="61" t="s">
        <v>163</v>
      </c>
      <c r="D168" s="71">
        <v>4</v>
      </c>
      <c r="E168" s="70">
        <v>0</v>
      </c>
    </row>
    <row r="169" spans="1:5" ht="15" customHeight="1">
      <c r="A169" s="76"/>
      <c r="B169" s="112"/>
      <c r="C169" s="61" t="s">
        <v>149</v>
      </c>
      <c r="D169" s="71">
        <v>4</v>
      </c>
      <c r="E169" s="70">
        <v>0</v>
      </c>
    </row>
    <row r="170" spans="1:5" ht="15" customHeight="1">
      <c r="A170" s="76"/>
      <c r="B170" s="112"/>
      <c r="C170" s="61" t="s">
        <v>194</v>
      </c>
      <c r="D170" s="71">
        <v>4</v>
      </c>
      <c r="E170" s="70">
        <v>0</v>
      </c>
    </row>
    <row r="171" spans="1:5" ht="15" customHeight="1">
      <c r="A171" s="76"/>
      <c r="B171" s="112"/>
      <c r="C171" s="61" t="s">
        <v>197</v>
      </c>
      <c r="D171" s="71">
        <v>3</v>
      </c>
      <c r="E171" s="70">
        <v>0</v>
      </c>
    </row>
    <row r="172" spans="1:5" ht="15" customHeight="1">
      <c r="A172" s="76"/>
      <c r="B172" s="112"/>
      <c r="C172" s="61" t="s">
        <v>167</v>
      </c>
      <c r="D172" s="71">
        <v>3</v>
      </c>
      <c r="E172" s="70">
        <v>0</v>
      </c>
    </row>
    <row r="173" spans="1:5" ht="15" customHeight="1">
      <c r="A173" s="76"/>
      <c r="B173" s="112"/>
      <c r="C173" s="61" t="s">
        <v>181</v>
      </c>
      <c r="D173" s="71">
        <v>3</v>
      </c>
      <c r="E173" s="70">
        <v>0</v>
      </c>
    </row>
    <row r="174" spans="1:5" ht="15" customHeight="1">
      <c r="A174" s="76"/>
      <c r="B174" s="112"/>
      <c r="C174" s="61" t="s">
        <v>158</v>
      </c>
      <c r="D174" s="71">
        <v>3</v>
      </c>
      <c r="E174" s="70">
        <v>0</v>
      </c>
    </row>
    <row r="175" spans="1:5" ht="15" customHeight="1">
      <c r="A175" s="76"/>
      <c r="B175" s="112"/>
      <c r="C175" s="61" t="s">
        <v>169</v>
      </c>
      <c r="D175" s="71">
        <v>2</v>
      </c>
      <c r="E175" s="70">
        <v>0</v>
      </c>
    </row>
    <row r="176" spans="1:5" ht="15" customHeight="1">
      <c r="A176" s="76"/>
      <c r="B176" s="112"/>
      <c r="C176" s="61" t="s">
        <v>172</v>
      </c>
      <c r="D176" s="71">
        <v>2</v>
      </c>
      <c r="E176" s="70">
        <v>0</v>
      </c>
    </row>
    <row r="177" spans="1:5" ht="15" customHeight="1">
      <c r="A177" s="76"/>
      <c r="B177" s="112"/>
      <c r="C177" s="61" t="s">
        <v>179</v>
      </c>
      <c r="D177" s="71">
        <v>2</v>
      </c>
      <c r="E177" s="70">
        <v>0</v>
      </c>
    </row>
    <row r="178" spans="1:5" ht="15" customHeight="1">
      <c r="A178" s="76"/>
      <c r="B178" s="112"/>
      <c r="C178" s="61" t="s">
        <v>202</v>
      </c>
      <c r="D178" s="71">
        <v>2</v>
      </c>
      <c r="E178" s="70">
        <v>0</v>
      </c>
    </row>
    <row r="179" spans="1:5" ht="15" customHeight="1">
      <c r="A179" s="76"/>
      <c r="B179" s="112"/>
      <c r="C179" s="61" t="s">
        <v>182</v>
      </c>
      <c r="D179" s="71">
        <v>2</v>
      </c>
      <c r="E179" s="70">
        <v>0</v>
      </c>
    </row>
    <row r="180" spans="1:5" ht="15" customHeight="1">
      <c r="A180" s="76"/>
      <c r="B180" s="112"/>
      <c r="C180" s="61" t="s">
        <v>165</v>
      </c>
      <c r="D180" s="71">
        <v>1</v>
      </c>
      <c r="E180" s="70">
        <v>0</v>
      </c>
    </row>
    <row r="181" spans="1:5" ht="15" customHeight="1">
      <c r="A181" s="76"/>
      <c r="B181" s="112"/>
      <c r="C181" s="61" t="s">
        <v>285</v>
      </c>
      <c r="D181" s="71">
        <v>1</v>
      </c>
      <c r="E181" s="70">
        <v>0</v>
      </c>
    </row>
    <row r="182" spans="1:5" ht="15" customHeight="1">
      <c r="A182" s="76"/>
      <c r="B182" s="112"/>
      <c r="C182" s="61" t="s">
        <v>198</v>
      </c>
      <c r="D182" s="71">
        <v>1</v>
      </c>
      <c r="E182" s="70">
        <v>0</v>
      </c>
    </row>
    <row r="183" spans="1:5" ht="15" customHeight="1">
      <c r="A183" s="76"/>
      <c r="B183" s="112"/>
      <c r="C183" s="61" t="s">
        <v>195</v>
      </c>
      <c r="D183" s="71">
        <v>1</v>
      </c>
      <c r="E183" s="70">
        <v>0</v>
      </c>
    </row>
    <row r="184" spans="1:5" ht="15" customHeight="1">
      <c r="A184" s="76"/>
      <c r="B184" s="112"/>
      <c r="C184" s="74" t="s">
        <v>309</v>
      </c>
      <c r="D184" s="59">
        <v>2465</v>
      </c>
      <c r="E184" s="75">
        <v>9.0999999999999998E-2</v>
      </c>
    </row>
    <row r="185" spans="1:5" ht="15" customHeight="1">
      <c r="A185" s="76"/>
      <c r="B185" s="112" t="s">
        <v>130</v>
      </c>
      <c r="C185" s="61" t="s">
        <v>148</v>
      </c>
      <c r="D185" s="71">
        <v>498</v>
      </c>
      <c r="E185" s="70">
        <v>1.7999999999999999E-2</v>
      </c>
    </row>
    <row r="186" spans="1:5" ht="15" customHeight="1">
      <c r="A186" s="76"/>
      <c r="B186" s="112"/>
      <c r="C186" s="61" t="s">
        <v>154</v>
      </c>
      <c r="D186" s="71">
        <v>192</v>
      </c>
      <c r="E186" s="70">
        <v>7.0000000000000001E-3</v>
      </c>
    </row>
    <row r="187" spans="1:5" ht="15" customHeight="1">
      <c r="A187" s="76"/>
      <c r="B187" s="112"/>
      <c r="C187" s="61" t="s">
        <v>146</v>
      </c>
      <c r="D187" s="71">
        <v>175</v>
      </c>
      <c r="E187" s="70">
        <v>6.0000000000000001E-3</v>
      </c>
    </row>
    <row r="188" spans="1:5" ht="15" customHeight="1">
      <c r="A188" s="76"/>
      <c r="B188" s="112"/>
      <c r="C188" s="61" t="s">
        <v>177</v>
      </c>
      <c r="D188" s="71">
        <v>156</v>
      </c>
      <c r="E188" s="70">
        <v>6.0000000000000001E-3</v>
      </c>
    </row>
    <row r="189" spans="1:5" ht="15" customHeight="1">
      <c r="A189" s="76"/>
      <c r="B189" s="112"/>
      <c r="C189" s="61" t="s">
        <v>152</v>
      </c>
      <c r="D189" s="71">
        <v>115</v>
      </c>
      <c r="E189" s="70">
        <v>4.0000000000000001E-3</v>
      </c>
    </row>
    <row r="190" spans="1:5" ht="15" customHeight="1">
      <c r="A190" s="76"/>
      <c r="B190" s="112"/>
      <c r="C190" s="61" t="s">
        <v>160</v>
      </c>
      <c r="D190" s="71">
        <v>110</v>
      </c>
      <c r="E190" s="70">
        <v>4.0000000000000001E-3</v>
      </c>
    </row>
    <row r="191" spans="1:5" ht="15" customHeight="1">
      <c r="A191" s="76"/>
      <c r="B191" s="112"/>
      <c r="C191" s="61" t="s">
        <v>155</v>
      </c>
      <c r="D191" s="71">
        <v>67</v>
      </c>
      <c r="E191" s="70">
        <v>2E-3</v>
      </c>
    </row>
    <row r="192" spans="1:5" ht="15" customHeight="1">
      <c r="A192" s="76"/>
      <c r="B192" s="112"/>
      <c r="C192" s="61" t="s">
        <v>153</v>
      </c>
      <c r="D192" s="71">
        <v>57</v>
      </c>
      <c r="E192" s="70">
        <v>2E-3</v>
      </c>
    </row>
    <row r="193" spans="1:5" ht="15" customHeight="1">
      <c r="A193" s="76"/>
      <c r="B193" s="112"/>
      <c r="C193" s="61" t="s">
        <v>151</v>
      </c>
      <c r="D193" s="71">
        <v>51</v>
      </c>
      <c r="E193" s="70">
        <v>2E-3</v>
      </c>
    </row>
    <row r="194" spans="1:5" ht="15" customHeight="1">
      <c r="A194" s="76"/>
      <c r="B194" s="112"/>
      <c r="C194" s="61" t="s">
        <v>147</v>
      </c>
      <c r="D194" s="71">
        <v>40</v>
      </c>
      <c r="E194" s="70">
        <v>1E-3</v>
      </c>
    </row>
    <row r="195" spans="1:5" ht="15" customHeight="1">
      <c r="A195" s="76"/>
      <c r="B195" s="112"/>
      <c r="C195" s="61" t="s">
        <v>183</v>
      </c>
      <c r="D195" s="71">
        <v>40</v>
      </c>
      <c r="E195" s="70">
        <v>1E-3</v>
      </c>
    </row>
    <row r="196" spans="1:5" ht="15" customHeight="1">
      <c r="A196" s="76"/>
      <c r="B196" s="112"/>
      <c r="C196" s="61" t="s">
        <v>156</v>
      </c>
      <c r="D196" s="71">
        <v>33</v>
      </c>
      <c r="E196" s="70">
        <v>1E-3</v>
      </c>
    </row>
    <row r="197" spans="1:5" ht="15" customHeight="1">
      <c r="A197" s="76"/>
      <c r="B197" s="112"/>
      <c r="C197" s="61" t="s">
        <v>192</v>
      </c>
      <c r="D197" s="71">
        <v>31</v>
      </c>
      <c r="E197" s="70">
        <v>1E-3</v>
      </c>
    </row>
    <row r="198" spans="1:5" ht="15" customHeight="1">
      <c r="A198" s="76"/>
      <c r="B198" s="112"/>
      <c r="C198" s="61" t="s">
        <v>159</v>
      </c>
      <c r="D198" s="71">
        <v>30</v>
      </c>
      <c r="E198" s="70">
        <v>1E-3</v>
      </c>
    </row>
    <row r="199" spans="1:5" ht="15" customHeight="1">
      <c r="A199" s="76"/>
      <c r="B199" s="112"/>
      <c r="C199" s="61" t="s">
        <v>168</v>
      </c>
      <c r="D199" s="71">
        <v>24</v>
      </c>
      <c r="E199" s="70">
        <v>1E-3</v>
      </c>
    </row>
    <row r="200" spans="1:5" ht="15" customHeight="1">
      <c r="A200" s="76"/>
      <c r="B200" s="112"/>
      <c r="C200" s="61" t="s">
        <v>197</v>
      </c>
      <c r="D200" s="71">
        <v>21</v>
      </c>
      <c r="E200" s="70">
        <v>1E-3</v>
      </c>
    </row>
    <row r="201" spans="1:5" ht="15" customHeight="1">
      <c r="A201" s="76"/>
      <c r="B201" s="112"/>
      <c r="C201" s="61" t="s">
        <v>173</v>
      </c>
      <c r="D201" s="71">
        <v>18</v>
      </c>
      <c r="E201" s="70">
        <v>1E-3</v>
      </c>
    </row>
    <row r="202" spans="1:5" ht="15" customHeight="1">
      <c r="A202" s="76"/>
      <c r="B202" s="112"/>
      <c r="C202" s="61" t="s">
        <v>174</v>
      </c>
      <c r="D202" s="71">
        <v>12</v>
      </c>
      <c r="E202" s="70">
        <v>0</v>
      </c>
    </row>
    <row r="203" spans="1:5" ht="15" customHeight="1">
      <c r="A203" s="76"/>
      <c r="B203" s="112"/>
      <c r="C203" s="61" t="s">
        <v>191</v>
      </c>
      <c r="D203" s="71">
        <v>12</v>
      </c>
      <c r="E203" s="70">
        <v>0</v>
      </c>
    </row>
    <row r="204" spans="1:5" ht="15" customHeight="1">
      <c r="A204" s="76"/>
      <c r="B204" s="112"/>
      <c r="C204" s="61" t="s">
        <v>167</v>
      </c>
      <c r="D204" s="71">
        <v>10</v>
      </c>
      <c r="E204" s="70">
        <v>0</v>
      </c>
    </row>
    <row r="205" spans="1:5" ht="15" customHeight="1">
      <c r="A205" s="76"/>
      <c r="B205" s="112"/>
      <c r="C205" s="61" t="s">
        <v>175</v>
      </c>
      <c r="D205" s="71">
        <v>10</v>
      </c>
      <c r="E205" s="70">
        <v>0</v>
      </c>
    </row>
    <row r="206" spans="1:5" ht="15" customHeight="1">
      <c r="A206" s="76"/>
      <c r="B206" s="112"/>
      <c r="C206" s="61" t="s">
        <v>193</v>
      </c>
      <c r="D206" s="71">
        <v>10</v>
      </c>
      <c r="E206" s="70">
        <v>0</v>
      </c>
    </row>
    <row r="207" spans="1:5" ht="15" customHeight="1">
      <c r="A207" s="76"/>
      <c r="B207" s="112"/>
      <c r="C207" s="61" t="s">
        <v>178</v>
      </c>
      <c r="D207" s="71">
        <v>10</v>
      </c>
      <c r="E207" s="70">
        <v>0</v>
      </c>
    </row>
    <row r="208" spans="1:5" ht="15" customHeight="1">
      <c r="A208" s="76"/>
      <c r="B208" s="112"/>
      <c r="C208" s="61" t="s">
        <v>189</v>
      </c>
      <c r="D208" s="71">
        <v>10</v>
      </c>
      <c r="E208" s="70">
        <v>0</v>
      </c>
    </row>
    <row r="209" spans="1:5" ht="15" customHeight="1">
      <c r="A209" s="76"/>
      <c r="B209" s="112"/>
      <c r="C209" s="61" t="s">
        <v>162</v>
      </c>
      <c r="D209" s="71">
        <v>9</v>
      </c>
      <c r="E209" s="70">
        <v>0</v>
      </c>
    </row>
    <row r="210" spans="1:5" ht="15" customHeight="1">
      <c r="A210" s="76"/>
      <c r="B210" s="112"/>
      <c r="C210" s="61" t="s">
        <v>166</v>
      </c>
      <c r="D210" s="71">
        <v>8</v>
      </c>
      <c r="E210" s="70">
        <v>0</v>
      </c>
    </row>
    <row r="211" spans="1:5" ht="15" customHeight="1">
      <c r="A211" s="76"/>
      <c r="B211" s="112"/>
      <c r="C211" s="61" t="s">
        <v>150</v>
      </c>
      <c r="D211" s="71">
        <v>8</v>
      </c>
      <c r="E211" s="70">
        <v>0</v>
      </c>
    </row>
    <row r="212" spans="1:5" ht="15" customHeight="1">
      <c r="A212" s="76"/>
      <c r="B212" s="112"/>
      <c r="C212" s="61" t="s">
        <v>203</v>
      </c>
      <c r="D212" s="71">
        <v>7</v>
      </c>
      <c r="E212" s="70">
        <v>0</v>
      </c>
    </row>
    <row r="213" spans="1:5" ht="15" customHeight="1">
      <c r="A213" s="76"/>
      <c r="B213" s="112"/>
      <c r="C213" s="61" t="s">
        <v>182</v>
      </c>
      <c r="D213" s="71">
        <v>7</v>
      </c>
      <c r="E213" s="70">
        <v>0</v>
      </c>
    </row>
    <row r="214" spans="1:5" ht="15" customHeight="1">
      <c r="A214" s="76"/>
      <c r="B214" s="112"/>
      <c r="C214" s="61" t="s">
        <v>180</v>
      </c>
      <c r="D214" s="71">
        <v>6</v>
      </c>
      <c r="E214" s="70">
        <v>0</v>
      </c>
    </row>
    <row r="215" spans="1:5" ht="15" customHeight="1">
      <c r="A215" s="76"/>
      <c r="B215" s="112"/>
      <c r="C215" s="61" t="s">
        <v>185</v>
      </c>
      <c r="D215" s="71">
        <v>6</v>
      </c>
      <c r="E215" s="70">
        <v>0</v>
      </c>
    </row>
    <row r="216" spans="1:5" ht="15" customHeight="1">
      <c r="A216" s="76"/>
      <c r="B216" s="112"/>
      <c r="C216" s="61" t="s">
        <v>158</v>
      </c>
      <c r="D216" s="71">
        <v>6</v>
      </c>
      <c r="E216" s="70">
        <v>0</v>
      </c>
    </row>
    <row r="217" spans="1:5" ht="15" customHeight="1">
      <c r="A217" s="76"/>
      <c r="B217" s="112"/>
      <c r="C217" s="61" t="s">
        <v>201</v>
      </c>
      <c r="D217" s="71">
        <v>5</v>
      </c>
      <c r="E217" s="70">
        <v>0</v>
      </c>
    </row>
    <row r="218" spans="1:5" ht="15" customHeight="1">
      <c r="A218" s="76"/>
      <c r="B218" s="112"/>
      <c r="C218" s="61" t="s">
        <v>195</v>
      </c>
      <c r="D218" s="71">
        <v>4</v>
      </c>
      <c r="E218" s="70">
        <v>0</v>
      </c>
    </row>
    <row r="219" spans="1:5" ht="15" customHeight="1">
      <c r="A219" s="76"/>
      <c r="B219" s="112"/>
      <c r="C219" s="61" t="s">
        <v>196</v>
      </c>
      <c r="D219" s="71">
        <v>4</v>
      </c>
      <c r="E219" s="70">
        <v>0</v>
      </c>
    </row>
    <row r="220" spans="1:5" ht="15" customHeight="1">
      <c r="A220" s="76"/>
      <c r="B220" s="112"/>
      <c r="C220" s="61" t="s">
        <v>157</v>
      </c>
      <c r="D220" s="71">
        <v>4</v>
      </c>
      <c r="E220" s="70">
        <v>0</v>
      </c>
    </row>
    <row r="221" spans="1:5" ht="15" customHeight="1">
      <c r="A221" s="76"/>
      <c r="B221" s="112"/>
      <c r="C221" s="61" t="s">
        <v>169</v>
      </c>
      <c r="D221" s="71">
        <v>3</v>
      </c>
      <c r="E221" s="70">
        <v>0</v>
      </c>
    </row>
    <row r="222" spans="1:5" ht="15" customHeight="1">
      <c r="A222" s="76"/>
      <c r="B222" s="112"/>
      <c r="C222" s="61" t="s">
        <v>199</v>
      </c>
      <c r="D222" s="71">
        <v>3</v>
      </c>
      <c r="E222" s="70">
        <v>0</v>
      </c>
    </row>
    <row r="223" spans="1:5" ht="15" customHeight="1">
      <c r="A223" s="76"/>
      <c r="B223" s="112"/>
      <c r="C223" s="61" t="s">
        <v>186</v>
      </c>
      <c r="D223" s="71">
        <v>3</v>
      </c>
      <c r="E223" s="70">
        <v>0</v>
      </c>
    </row>
    <row r="224" spans="1:5" ht="15" customHeight="1">
      <c r="A224" s="76"/>
      <c r="B224" s="112"/>
      <c r="C224" s="61" t="s">
        <v>187</v>
      </c>
      <c r="D224" s="71">
        <v>3</v>
      </c>
      <c r="E224" s="70">
        <v>0</v>
      </c>
    </row>
    <row r="225" spans="1:5" ht="15" customHeight="1">
      <c r="A225" s="76"/>
      <c r="B225" s="112"/>
      <c r="C225" s="61" t="s">
        <v>163</v>
      </c>
      <c r="D225" s="71">
        <v>2</v>
      </c>
      <c r="E225" s="70">
        <v>0</v>
      </c>
    </row>
    <row r="226" spans="1:5" ht="15" customHeight="1">
      <c r="A226" s="76"/>
      <c r="B226" s="112"/>
      <c r="C226" s="61" t="s">
        <v>171</v>
      </c>
      <c r="D226" s="71">
        <v>2</v>
      </c>
      <c r="E226" s="70">
        <v>0</v>
      </c>
    </row>
    <row r="227" spans="1:5" ht="15" customHeight="1">
      <c r="A227" s="76"/>
      <c r="B227" s="112"/>
      <c r="C227" s="61" t="s">
        <v>149</v>
      </c>
      <c r="D227" s="71">
        <v>2</v>
      </c>
      <c r="E227" s="70">
        <v>0</v>
      </c>
    </row>
    <row r="228" spans="1:5" ht="15" customHeight="1">
      <c r="A228" s="76"/>
      <c r="B228" s="112"/>
      <c r="C228" s="61" t="s">
        <v>179</v>
      </c>
      <c r="D228" s="71">
        <v>2</v>
      </c>
      <c r="E228" s="70">
        <v>0</v>
      </c>
    </row>
    <row r="229" spans="1:5" ht="15" customHeight="1">
      <c r="A229" s="76"/>
      <c r="B229" s="112"/>
      <c r="C229" s="61" t="s">
        <v>202</v>
      </c>
      <c r="D229" s="71">
        <v>2</v>
      </c>
      <c r="E229" s="70">
        <v>0</v>
      </c>
    </row>
    <row r="230" spans="1:5" ht="15" customHeight="1">
      <c r="A230" s="76"/>
      <c r="B230" s="112"/>
      <c r="C230" s="61" t="s">
        <v>165</v>
      </c>
      <c r="D230" s="71">
        <v>1</v>
      </c>
      <c r="E230" s="70">
        <v>0</v>
      </c>
    </row>
    <row r="231" spans="1:5" ht="15" customHeight="1">
      <c r="A231" s="76"/>
      <c r="B231" s="112"/>
      <c r="C231" s="61" t="s">
        <v>161</v>
      </c>
      <c r="D231" s="71">
        <v>1</v>
      </c>
      <c r="E231" s="70">
        <v>0</v>
      </c>
    </row>
    <row r="232" spans="1:5" ht="15" customHeight="1">
      <c r="A232" s="76"/>
      <c r="B232" s="112"/>
      <c r="C232" s="61" t="s">
        <v>170</v>
      </c>
      <c r="D232" s="71">
        <v>1</v>
      </c>
      <c r="E232" s="70">
        <v>0</v>
      </c>
    </row>
    <row r="233" spans="1:5" ht="15" customHeight="1">
      <c r="A233" s="76"/>
      <c r="B233" s="112"/>
      <c r="C233" s="61" t="s">
        <v>172</v>
      </c>
      <c r="D233" s="71">
        <v>1</v>
      </c>
      <c r="E233" s="70">
        <v>0</v>
      </c>
    </row>
    <row r="234" spans="1:5" ht="15" customHeight="1">
      <c r="A234" s="76"/>
      <c r="B234" s="112"/>
      <c r="C234" s="61" t="s">
        <v>181</v>
      </c>
      <c r="D234" s="71">
        <v>1</v>
      </c>
      <c r="E234" s="70">
        <v>0</v>
      </c>
    </row>
    <row r="235" spans="1:5" ht="15" customHeight="1">
      <c r="A235" s="76"/>
      <c r="B235" s="112"/>
      <c r="C235" s="74" t="s">
        <v>309</v>
      </c>
      <c r="D235" s="59">
        <v>1833</v>
      </c>
      <c r="E235" s="75">
        <v>6.7000000000000004E-2</v>
      </c>
    </row>
    <row r="236" spans="1:5" ht="15" customHeight="1">
      <c r="A236" s="76"/>
      <c r="B236" s="112" t="s">
        <v>101</v>
      </c>
      <c r="C236" s="61" t="s">
        <v>146</v>
      </c>
      <c r="D236" s="71">
        <v>448</v>
      </c>
      <c r="E236" s="70">
        <v>1.6E-2</v>
      </c>
    </row>
    <row r="237" spans="1:5" ht="15" customHeight="1">
      <c r="A237" s="76"/>
      <c r="B237" s="112"/>
      <c r="C237" s="61" t="s">
        <v>191</v>
      </c>
      <c r="D237" s="71">
        <v>122</v>
      </c>
      <c r="E237" s="70">
        <v>4.0000000000000001E-3</v>
      </c>
    </row>
    <row r="238" spans="1:5" ht="15" customHeight="1">
      <c r="A238" s="76"/>
      <c r="B238" s="112"/>
      <c r="C238" s="61" t="s">
        <v>150</v>
      </c>
      <c r="D238" s="71">
        <v>104</v>
      </c>
      <c r="E238" s="70">
        <v>4.0000000000000001E-3</v>
      </c>
    </row>
    <row r="239" spans="1:5" ht="15" customHeight="1">
      <c r="A239" s="76"/>
      <c r="B239" s="112"/>
      <c r="C239" s="61" t="s">
        <v>168</v>
      </c>
      <c r="D239" s="71">
        <v>65</v>
      </c>
      <c r="E239" s="70">
        <v>2E-3</v>
      </c>
    </row>
    <row r="240" spans="1:5" ht="15" customHeight="1">
      <c r="A240" s="76"/>
      <c r="B240" s="112"/>
      <c r="C240" s="61" t="s">
        <v>183</v>
      </c>
      <c r="D240" s="71">
        <v>61</v>
      </c>
      <c r="E240" s="70">
        <v>2E-3</v>
      </c>
    </row>
    <row r="241" spans="1:5" ht="15" customHeight="1">
      <c r="A241" s="76"/>
      <c r="B241" s="112"/>
      <c r="C241" s="61" t="s">
        <v>162</v>
      </c>
      <c r="D241" s="71">
        <v>56</v>
      </c>
      <c r="E241" s="70">
        <v>2E-3</v>
      </c>
    </row>
    <row r="242" spans="1:5" ht="15" customHeight="1">
      <c r="A242" s="76"/>
      <c r="B242" s="112"/>
      <c r="C242" s="61" t="s">
        <v>193</v>
      </c>
      <c r="D242" s="71">
        <v>53</v>
      </c>
      <c r="E242" s="70">
        <v>2E-3</v>
      </c>
    </row>
    <row r="243" spans="1:5" ht="15" customHeight="1">
      <c r="A243" s="76"/>
      <c r="B243" s="112"/>
      <c r="C243" s="61" t="s">
        <v>160</v>
      </c>
      <c r="D243" s="71">
        <v>52</v>
      </c>
      <c r="E243" s="70">
        <v>2E-3</v>
      </c>
    </row>
    <row r="244" spans="1:5" ht="15" customHeight="1">
      <c r="A244" s="76"/>
      <c r="B244" s="112"/>
      <c r="C244" s="61" t="s">
        <v>285</v>
      </c>
      <c r="D244" s="71">
        <v>49</v>
      </c>
      <c r="E244" s="70">
        <v>2E-3</v>
      </c>
    </row>
    <row r="245" spans="1:5" ht="15" customHeight="1">
      <c r="A245" s="76"/>
      <c r="B245" s="112"/>
      <c r="C245" s="61" t="s">
        <v>189</v>
      </c>
      <c r="D245" s="71">
        <v>49</v>
      </c>
      <c r="E245" s="70">
        <v>2E-3</v>
      </c>
    </row>
    <row r="246" spans="1:5" ht="15" customHeight="1">
      <c r="A246" s="76"/>
      <c r="B246" s="112"/>
      <c r="C246" s="61" t="s">
        <v>175</v>
      </c>
      <c r="D246" s="71">
        <v>48</v>
      </c>
      <c r="E246" s="70">
        <v>2E-3</v>
      </c>
    </row>
    <row r="247" spans="1:5" ht="15" customHeight="1">
      <c r="A247" s="76"/>
      <c r="B247" s="112"/>
      <c r="C247" s="61" t="s">
        <v>148</v>
      </c>
      <c r="D247" s="71">
        <v>46</v>
      </c>
      <c r="E247" s="70">
        <v>2E-3</v>
      </c>
    </row>
    <row r="248" spans="1:5" ht="15" customHeight="1">
      <c r="A248" s="76"/>
      <c r="B248" s="112"/>
      <c r="C248" s="61" t="s">
        <v>155</v>
      </c>
      <c r="D248" s="71">
        <v>46</v>
      </c>
      <c r="E248" s="70">
        <v>2E-3</v>
      </c>
    </row>
    <row r="249" spans="1:5" ht="15" customHeight="1">
      <c r="A249" s="76"/>
      <c r="B249" s="112"/>
      <c r="C249" s="61" t="s">
        <v>154</v>
      </c>
      <c r="D249" s="71">
        <v>35</v>
      </c>
      <c r="E249" s="70">
        <v>1E-3</v>
      </c>
    </row>
    <row r="250" spans="1:5" ht="15" customHeight="1">
      <c r="A250" s="76"/>
      <c r="B250" s="112"/>
      <c r="C250" s="61" t="s">
        <v>153</v>
      </c>
      <c r="D250" s="71">
        <v>26</v>
      </c>
      <c r="E250" s="70">
        <v>1E-3</v>
      </c>
    </row>
    <row r="251" spans="1:5" ht="15" customHeight="1">
      <c r="A251" s="76"/>
      <c r="B251" s="112"/>
      <c r="C251" s="61" t="s">
        <v>192</v>
      </c>
      <c r="D251" s="71">
        <v>20</v>
      </c>
      <c r="E251" s="70">
        <v>1E-3</v>
      </c>
    </row>
    <row r="252" spans="1:5" ht="15" customHeight="1">
      <c r="A252" s="76"/>
      <c r="B252" s="112"/>
      <c r="C252" s="61" t="s">
        <v>151</v>
      </c>
      <c r="D252" s="71">
        <v>17</v>
      </c>
      <c r="E252" s="70">
        <v>1E-3</v>
      </c>
    </row>
    <row r="253" spans="1:5" ht="15" customHeight="1">
      <c r="A253" s="76"/>
      <c r="B253" s="112"/>
      <c r="C253" s="61" t="s">
        <v>176</v>
      </c>
      <c r="D253" s="71">
        <v>16</v>
      </c>
      <c r="E253" s="70">
        <v>1E-3</v>
      </c>
    </row>
    <row r="254" spans="1:5" ht="15" customHeight="1">
      <c r="A254" s="76"/>
      <c r="B254" s="112"/>
      <c r="C254" s="61" t="s">
        <v>159</v>
      </c>
      <c r="D254" s="71">
        <v>16</v>
      </c>
      <c r="E254" s="70">
        <v>1E-3</v>
      </c>
    </row>
    <row r="255" spans="1:5" ht="15" customHeight="1">
      <c r="A255" s="76"/>
      <c r="B255" s="112"/>
      <c r="C255" s="61" t="s">
        <v>178</v>
      </c>
      <c r="D255" s="71">
        <v>13</v>
      </c>
      <c r="E255" s="70">
        <v>0</v>
      </c>
    </row>
    <row r="256" spans="1:5" ht="15" customHeight="1">
      <c r="A256" s="76"/>
      <c r="B256" s="112"/>
      <c r="C256" s="61" t="s">
        <v>196</v>
      </c>
      <c r="D256" s="71">
        <v>13</v>
      </c>
      <c r="E256" s="70">
        <v>0</v>
      </c>
    </row>
    <row r="257" spans="1:5" ht="15" customHeight="1">
      <c r="A257" s="76"/>
      <c r="B257" s="112"/>
      <c r="C257" s="61" t="s">
        <v>161</v>
      </c>
      <c r="D257" s="71">
        <v>11</v>
      </c>
      <c r="E257" s="70">
        <v>0</v>
      </c>
    </row>
    <row r="258" spans="1:5" ht="15" customHeight="1">
      <c r="A258" s="76"/>
      <c r="B258" s="112"/>
      <c r="C258" s="61" t="s">
        <v>147</v>
      </c>
      <c r="D258" s="71">
        <v>11</v>
      </c>
      <c r="E258" s="70">
        <v>0</v>
      </c>
    </row>
    <row r="259" spans="1:5" ht="15" customHeight="1">
      <c r="A259" s="76"/>
      <c r="B259" s="112"/>
      <c r="C259" s="61" t="s">
        <v>185</v>
      </c>
      <c r="D259" s="71">
        <v>11</v>
      </c>
      <c r="E259" s="70">
        <v>0</v>
      </c>
    </row>
    <row r="260" spans="1:5" ht="15" customHeight="1">
      <c r="A260" s="76"/>
      <c r="B260" s="112"/>
      <c r="C260" s="61" t="s">
        <v>166</v>
      </c>
      <c r="D260" s="71">
        <v>10</v>
      </c>
      <c r="E260" s="70">
        <v>0</v>
      </c>
    </row>
    <row r="261" spans="1:5" ht="15" customHeight="1">
      <c r="A261" s="76"/>
      <c r="B261" s="112"/>
      <c r="C261" s="61" t="s">
        <v>173</v>
      </c>
      <c r="D261" s="71">
        <v>9</v>
      </c>
      <c r="E261" s="70">
        <v>0</v>
      </c>
    </row>
    <row r="262" spans="1:5" ht="15" customHeight="1">
      <c r="A262" s="76"/>
      <c r="B262" s="112"/>
      <c r="C262" s="61" t="s">
        <v>171</v>
      </c>
      <c r="D262" s="71">
        <v>7</v>
      </c>
      <c r="E262" s="70">
        <v>0</v>
      </c>
    </row>
    <row r="263" spans="1:5" ht="15" customHeight="1">
      <c r="A263" s="76"/>
      <c r="B263" s="112"/>
      <c r="C263" s="61" t="s">
        <v>180</v>
      </c>
      <c r="D263" s="71">
        <v>7</v>
      </c>
      <c r="E263" s="70">
        <v>0</v>
      </c>
    </row>
    <row r="264" spans="1:5" ht="15" customHeight="1">
      <c r="A264" s="76"/>
      <c r="B264" s="112"/>
      <c r="C264" s="61" t="s">
        <v>174</v>
      </c>
      <c r="D264" s="71">
        <v>6</v>
      </c>
      <c r="E264" s="70">
        <v>0</v>
      </c>
    </row>
    <row r="265" spans="1:5" ht="15" customHeight="1">
      <c r="A265" s="76"/>
      <c r="B265" s="112"/>
      <c r="C265" s="61" t="s">
        <v>177</v>
      </c>
      <c r="D265" s="71">
        <v>6</v>
      </c>
      <c r="E265" s="70">
        <v>0</v>
      </c>
    </row>
    <row r="266" spans="1:5" ht="15" customHeight="1">
      <c r="A266" s="76"/>
      <c r="B266" s="112"/>
      <c r="C266" s="61" t="s">
        <v>149</v>
      </c>
      <c r="D266" s="71">
        <v>6</v>
      </c>
      <c r="E266" s="70">
        <v>0</v>
      </c>
    </row>
    <row r="267" spans="1:5" ht="15" customHeight="1">
      <c r="A267" s="76"/>
      <c r="B267" s="112"/>
      <c r="C267" s="61" t="s">
        <v>203</v>
      </c>
      <c r="D267" s="71">
        <v>6</v>
      </c>
      <c r="E267" s="70">
        <v>0</v>
      </c>
    </row>
    <row r="268" spans="1:5" ht="15" customHeight="1">
      <c r="A268" s="76"/>
      <c r="B268" s="112"/>
      <c r="C268" s="61" t="s">
        <v>186</v>
      </c>
      <c r="D268" s="71">
        <v>6</v>
      </c>
      <c r="E268" s="70">
        <v>0</v>
      </c>
    </row>
    <row r="269" spans="1:5" ht="15" customHeight="1">
      <c r="A269" s="76"/>
      <c r="B269" s="112"/>
      <c r="C269" s="61" t="s">
        <v>167</v>
      </c>
      <c r="D269" s="71">
        <v>5</v>
      </c>
      <c r="E269" s="70">
        <v>0</v>
      </c>
    </row>
    <row r="270" spans="1:5" ht="15" customHeight="1">
      <c r="A270" s="76"/>
      <c r="B270" s="112"/>
      <c r="C270" s="61" t="s">
        <v>169</v>
      </c>
      <c r="D270" s="71">
        <v>4</v>
      </c>
      <c r="E270" s="70">
        <v>0</v>
      </c>
    </row>
    <row r="271" spans="1:5" ht="15" customHeight="1">
      <c r="A271" s="76"/>
      <c r="B271" s="112"/>
      <c r="C271" s="61" t="s">
        <v>199</v>
      </c>
      <c r="D271" s="71">
        <v>4</v>
      </c>
      <c r="E271" s="70">
        <v>0</v>
      </c>
    </row>
    <row r="272" spans="1:5" ht="15" customHeight="1">
      <c r="A272" s="76"/>
      <c r="B272" s="112"/>
      <c r="C272" s="61" t="s">
        <v>202</v>
      </c>
      <c r="D272" s="71">
        <v>4</v>
      </c>
      <c r="E272" s="70">
        <v>0</v>
      </c>
    </row>
    <row r="273" spans="1:5" ht="15" customHeight="1">
      <c r="A273" s="76"/>
      <c r="B273" s="112"/>
      <c r="C273" s="61" t="s">
        <v>182</v>
      </c>
      <c r="D273" s="71">
        <v>4</v>
      </c>
      <c r="E273" s="70">
        <v>0</v>
      </c>
    </row>
    <row r="274" spans="1:5" ht="15" customHeight="1">
      <c r="A274" s="76"/>
      <c r="B274" s="112"/>
      <c r="C274" s="61" t="s">
        <v>194</v>
      </c>
      <c r="D274" s="71">
        <v>4</v>
      </c>
      <c r="E274" s="70">
        <v>0</v>
      </c>
    </row>
    <row r="275" spans="1:5" ht="15" customHeight="1">
      <c r="A275" s="76"/>
      <c r="B275" s="112"/>
      <c r="C275" s="61" t="s">
        <v>152</v>
      </c>
      <c r="D275" s="71">
        <v>3</v>
      </c>
      <c r="E275" s="70">
        <v>0</v>
      </c>
    </row>
    <row r="276" spans="1:5" ht="15" customHeight="1">
      <c r="A276" s="76"/>
      <c r="B276" s="112"/>
      <c r="C276" s="61" t="s">
        <v>163</v>
      </c>
      <c r="D276" s="71">
        <v>2</v>
      </c>
      <c r="E276" s="70">
        <v>0</v>
      </c>
    </row>
    <row r="277" spans="1:5" ht="15" customHeight="1">
      <c r="A277" s="76"/>
      <c r="B277" s="112"/>
      <c r="C277" s="61" t="s">
        <v>187</v>
      </c>
      <c r="D277" s="71">
        <v>2</v>
      </c>
      <c r="E277" s="70">
        <v>0</v>
      </c>
    </row>
    <row r="278" spans="1:5" ht="15" customHeight="1">
      <c r="A278" s="76"/>
      <c r="B278" s="112"/>
      <c r="C278" s="61" t="s">
        <v>188</v>
      </c>
      <c r="D278" s="71">
        <v>2</v>
      </c>
      <c r="E278" s="70">
        <v>0</v>
      </c>
    </row>
    <row r="279" spans="1:5" ht="15" customHeight="1">
      <c r="A279" s="76"/>
      <c r="B279" s="112"/>
      <c r="C279" s="61" t="s">
        <v>158</v>
      </c>
      <c r="D279" s="71">
        <v>2</v>
      </c>
      <c r="E279" s="70">
        <v>0</v>
      </c>
    </row>
    <row r="280" spans="1:5" ht="15" customHeight="1">
      <c r="A280" s="76"/>
      <c r="B280" s="112"/>
      <c r="C280" s="61" t="s">
        <v>165</v>
      </c>
      <c r="D280" s="71">
        <v>1</v>
      </c>
      <c r="E280" s="70">
        <v>0</v>
      </c>
    </row>
    <row r="281" spans="1:5" ht="15" customHeight="1">
      <c r="A281" s="76"/>
      <c r="B281" s="112"/>
      <c r="C281" s="61" t="s">
        <v>198</v>
      </c>
      <c r="D281" s="71">
        <v>1</v>
      </c>
      <c r="E281" s="70">
        <v>0</v>
      </c>
    </row>
    <row r="282" spans="1:5" ht="15" customHeight="1">
      <c r="A282" s="76"/>
      <c r="B282" s="112"/>
      <c r="C282" s="61" t="s">
        <v>195</v>
      </c>
      <c r="D282" s="71">
        <v>1</v>
      </c>
      <c r="E282" s="70">
        <v>0</v>
      </c>
    </row>
    <row r="283" spans="1:5" ht="15" customHeight="1">
      <c r="A283" s="76"/>
      <c r="B283" s="112"/>
      <c r="C283" s="61" t="s">
        <v>156</v>
      </c>
      <c r="D283" s="71">
        <v>1</v>
      </c>
      <c r="E283" s="70">
        <v>0</v>
      </c>
    </row>
    <row r="284" spans="1:5" ht="15" customHeight="1">
      <c r="A284" s="76"/>
      <c r="B284" s="112"/>
      <c r="C284" s="61" t="s">
        <v>157</v>
      </c>
      <c r="D284" s="71">
        <v>1</v>
      </c>
      <c r="E284" s="70">
        <v>0</v>
      </c>
    </row>
    <row r="285" spans="1:5" ht="15" customHeight="1">
      <c r="A285" s="76"/>
      <c r="B285" s="112"/>
      <c r="C285" s="74" t="s">
        <v>309</v>
      </c>
      <c r="D285" s="59">
        <v>1492</v>
      </c>
      <c r="E285" s="75">
        <v>5.5E-2</v>
      </c>
    </row>
    <row r="286" spans="1:5" ht="15" customHeight="1">
      <c r="A286" s="76"/>
      <c r="B286" s="112" t="s">
        <v>122</v>
      </c>
      <c r="C286" s="61" t="s">
        <v>159</v>
      </c>
      <c r="D286" s="71">
        <v>83</v>
      </c>
      <c r="E286" s="70">
        <v>3.0000000000000001E-3</v>
      </c>
    </row>
    <row r="287" spans="1:5" ht="15" customHeight="1">
      <c r="A287" s="76"/>
      <c r="B287" s="112"/>
      <c r="C287" s="61" t="s">
        <v>146</v>
      </c>
      <c r="D287" s="71">
        <v>57</v>
      </c>
      <c r="E287" s="70">
        <v>2E-3</v>
      </c>
    </row>
    <row r="288" spans="1:5" ht="15" customHeight="1">
      <c r="A288" s="76"/>
      <c r="B288" s="112"/>
      <c r="C288" s="61" t="s">
        <v>152</v>
      </c>
      <c r="D288" s="71">
        <v>39</v>
      </c>
      <c r="E288" s="70">
        <v>1E-3</v>
      </c>
    </row>
    <row r="289" spans="1:5" ht="15" customHeight="1">
      <c r="A289" s="76"/>
      <c r="B289" s="112"/>
      <c r="C289" s="61" t="s">
        <v>192</v>
      </c>
      <c r="D289" s="71">
        <v>38</v>
      </c>
      <c r="E289" s="70">
        <v>1E-3</v>
      </c>
    </row>
    <row r="290" spans="1:5" ht="15" customHeight="1">
      <c r="A290" s="76"/>
      <c r="B290" s="112"/>
      <c r="C290" s="61" t="s">
        <v>160</v>
      </c>
      <c r="D290" s="71">
        <v>36</v>
      </c>
      <c r="E290" s="70">
        <v>1E-3</v>
      </c>
    </row>
    <row r="291" spans="1:5" ht="15" customHeight="1">
      <c r="A291" s="76"/>
      <c r="B291" s="112"/>
      <c r="C291" s="61" t="s">
        <v>148</v>
      </c>
      <c r="D291" s="71">
        <v>32</v>
      </c>
      <c r="E291" s="70">
        <v>1E-3</v>
      </c>
    </row>
    <row r="292" spans="1:5" ht="15" customHeight="1">
      <c r="A292" s="76"/>
      <c r="B292" s="112"/>
      <c r="C292" s="61" t="s">
        <v>175</v>
      </c>
      <c r="D292" s="71">
        <v>32</v>
      </c>
      <c r="E292" s="70">
        <v>1E-3</v>
      </c>
    </row>
    <row r="293" spans="1:5" ht="15" customHeight="1">
      <c r="A293" s="76"/>
      <c r="B293" s="112"/>
      <c r="C293" s="61" t="s">
        <v>161</v>
      </c>
      <c r="D293" s="71">
        <v>28</v>
      </c>
      <c r="E293" s="70">
        <v>1E-3</v>
      </c>
    </row>
    <row r="294" spans="1:5" ht="15" customHeight="1">
      <c r="A294" s="76"/>
      <c r="B294" s="112"/>
      <c r="C294" s="61" t="s">
        <v>193</v>
      </c>
      <c r="D294" s="71">
        <v>28</v>
      </c>
      <c r="E294" s="70">
        <v>1E-3</v>
      </c>
    </row>
    <row r="295" spans="1:5" ht="15" customHeight="1">
      <c r="A295" s="76"/>
      <c r="B295" s="112"/>
      <c r="C295" s="61" t="s">
        <v>191</v>
      </c>
      <c r="D295" s="71">
        <v>28</v>
      </c>
      <c r="E295" s="70">
        <v>1E-3</v>
      </c>
    </row>
    <row r="296" spans="1:5" ht="15" customHeight="1">
      <c r="A296" s="76"/>
      <c r="B296" s="112"/>
      <c r="C296" s="61" t="s">
        <v>285</v>
      </c>
      <c r="D296" s="71">
        <v>22</v>
      </c>
      <c r="E296" s="70">
        <v>1E-3</v>
      </c>
    </row>
    <row r="297" spans="1:5" ht="15" customHeight="1">
      <c r="A297" s="76"/>
      <c r="B297" s="112"/>
      <c r="C297" s="61" t="s">
        <v>162</v>
      </c>
      <c r="D297" s="71">
        <v>21</v>
      </c>
      <c r="E297" s="70">
        <v>1E-3</v>
      </c>
    </row>
    <row r="298" spans="1:5" ht="15" customHeight="1">
      <c r="A298" s="76"/>
      <c r="B298" s="112"/>
      <c r="C298" s="61" t="s">
        <v>174</v>
      </c>
      <c r="D298" s="71">
        <v>19</v>
      </c>
      <c r="E298" s="70">
        <v>1E-3</v>
      </c>
    </row>
    <row r="299" spans="1:5" ht="15" customHeight="1">
      <c r="A299" s="76"/>
      <c r="B299" s="112"/>
      <c r="C299" s="61" t="s">
        <v>149</v>
      </c>
      <c r="D299" s="71">
        <v>19</v>
      </c>
      <c r="E299" s="70">
        <v>1E-3</v>
      </c>
    </row>
    <row r="300" spans="1:5" ht="15" customHeight="1">
      <c r="A300" s="76"/>
      <c r="B300" s="112"/>
      <c r="C300" s="61" t="s">
        <v>187</v>
      </c>
      <c r="D300" s="71">
        <v>13</v>
      </c>
      <c r="E300" s="70">
        <v>0</v>
      </c>
    </row>
    <row r="301" spans="1:5" ht="15" customHeight="1">
      <c r="A301" s="76"/>
      <c r="B301" s="112"/>
      <c r="C301" s="61" t="s">
        <v>188</v>
      </c>
      <c r="D301" s="71">
        <v>13</v>
      </c>
      <c r="E301" s="70">
        <v>0</v>
      </c>
    </row>
    <row r="302" spans="1:5" ht="15" customHeight="1">
      <c r="A302" s="76"/>
      <c r="B302" s="112"/>
      <c r="C302" s="61" t="s">
        <v>163</v>
      </c>
      <c r="D302" s="71">
        <v>10</v>
      </c>
      <c r="E302" s="70">
        <v>0</v>
      </c>
    </row>
    <row r="303" spans="1:5" ht="15" customHeight="1">
      <c r="A303" s="76"/>
      <c r="B303" s="112"/>
      <c r="C303" s="61" t="s">
        <v>189</v>
      </c>
      <c r="D303" s="71">
        <v>9</v>
      </c>
      <c r="E303" s="70">
        <v>0</v>
      </c>
    </row>
    <row r="304" spans="1:5" ht="15" customHeight="1">
      <c r="A304" s="76"/>
      <c r="B304" s="112"/>
      <c r="C304" s="61" t="s">
        <v>153</v>
      </c>
      <c r="D304" s="71">
        <v>8</v>
      </c>
      <c r="E304" s="70">
        <v>0</v>
      </c>
    </row>
    <row r="305" spans="1:5" ht="15" customHeight="1">
      <c r="A305" s="76"/>
      <c r="B305" s="112"/>
      <c r="C305" s="61" t="s">
        <v>186</v>
      </c>
      <c r="D305" s="71">
        <v>8</v>
      </c>
      <c r="E305" s="70">
        <v>0</v>
      </c>
    </row>
    <row r="306" spans="1:5" ht="15" customHeight="1">
      <c r="A306" s="76"/>
      <c r="B306" s="112"/>
      <c r="C306" s="61" t="s">
        <v>155</v>
      </c>
      <c r="D306" s="71">
        <v>7</v>
      </c>
      <c r="E306" s="70">
        <v>0</v>
      </c>
    </row>
    <row r="307" spans="1:5" ht="15" customHeight="1">
      <c r="A307" s="76"/>
      <c r="B307" s="112"/>
      <c r="C307" s="61" t="s">
        <v>168</v>
      </c>
      <c r="D307" s="71">
        <v>6</v>
      </c>
      <c r="E307" s="70">
        <v>0</v>
      </c>
    </row>
    <row r="308" spans="1:5" ht="15" customHeight="1">
      <c r="A308" s="76"/>
      <c r="B308" s="112"/>
      <c r="C308" s="61" t="s">
        <v>166</v>
      </c>
      <c r="D308" s="71">
        <v>5</v>
      </c>
      <c r="E308" s="70">
        <v>0</v>
      </c>
    </row>
    <row r="309" spans="1:5" ht="15" customHeight="1">
      <c r="A309" s="76"/>
      <c r="B309" s="112"/>
      <c r="C309" s="61" t="s">
        <v>169</v>
      </c>
      <c r="D309" s="71">
        <v>5</v>
      </c>
      <c r="E309" s="70">
        <v>0</v>
      </c>
    </row>
    <row r="310" spans="1:5" ht="15" customHeight="1">
      <c r="A310" s="76"/>
      <c r="B310" s="112"/>
      <c r="C310" s="61" t="s">
        <v>173</v>
      </c>
      <c r="D310" s="71">
        <v>5</v>
      </c>
      <c r="E310" s="70">
        <v>0</v>
      </c>
    </row>
    <row r="311" spans="1:5" ht="15" customHeight="1">
      <c r="A311" s="76"/>
      <c r="B311" s="112"/>
      <c r="C311" s="61" t="s">
        <v>179</v>
      </c>
      <c r="D311" s="71">
        <v>5</v>
      </c>
      <c r="E311" s="70">
        <v>0</v>
      </c>
    </row>
    <row r="312" spans="1:5" ht="15" customHeight="1">
      <c r="A312" s="76"/>
      <c r="B312" s="112"/>
      <c r="C312" s="61" t="s">
        <v>185</v>
      </c>
      <c r="D312" s="71">
        <v>5</v>
      </c>
      <c r="E312" s="70">
        <v>0</v>
      </c>
    </row>
    <row r="313" spans="1:5" ht="15" customHeight="1">
      <c r="A313" s="76"/>
      <c r="B313" s="112"/>
      <c r="C313" s="61" t="s">
        <v>190</v>
      </c>
      <c r="D313" s="71">
        <v>5</v>
      </c>
      <c r="E313" s="70">
        <v>0</v>
      </c>
    </row>
    <row r="314" spans="1:5" ht="15" customHeight="1">
      <c r="A314" s="76"/>
      <c r="B314" s="112"/>
      <c r="C314" s="61" t="s">
        <v>165</v>
      </c>
      <c r="D314" s="71">
        <v>4</v>
      </c>
      <c r="E314" s="70">
        <v>0</v>
      </c>
    </row>
    <row r="315" spans="1:5" ht="15" customHeight="1">
      <c r="A315" s="76"/>
      <c r="B315" s="112"/>
      <c r="C315" s="61" t="s">
        <v>172</v>
      </c>
      <c r="D315" s="71">
        <v>4</v>
      </c>
      <c r="E315" s="70">
        <v>0</v>
      </c>
    </row>
    <row r="316" spans="1:5" ht="15" customHeight="1">
      <c r="A316" s="76"/>
      <c r="B316" s="112"/>
      <c r="C316" s="61" t="s">
        <v>180</v>
      </c>
      <c r="D316" s="71">
        <v>3</v>
      </c>
      <c r="E316" s="70">
        <v>0</v>
      </c>
    </row>
    <row r="317" spans="1:5" ht="15" customHeight="1">
      <c r="A317" s="76"/>
      <c r="B317" s="112"/>
      <c r="C317" s="61" t="s">
        <v>202</v>
      </c>
      <c r="D317" s="71">
        <v>3</v>
      </c>
      <c r="E317" s="70">
        <v>0</v>
      </c>
    </row>
    <row r="318" spans="1:5" ht="15" customHeight="1">
      <c r="A318" s="76"/>
      <c r="B318" s="112"/>
      <c r="C318" s="61" t="s">
        <v>183</v>
      </c>
      <c r="D318" s="71">
        <v>3</v>
      </c>
      <c r="E318" s="70">
        <v>0</v>
      </c>
    </row>
    <row r="319" spans="1:5" ht="15" customHeight="1">
      <c r="A319" s="76"/>
      <c r="B319" s="112"/>
      <c r="C319" s="61" t="s">
        <v>157</v>
      </c>
      <c r="D319" s="71">
        <v>2</v>
      </c>
      <c r="E319" s="70">
        <v>0</v>
      </c>
    </row>
    <row r="320" spans="1:5" ht="15" customHeight="1">
      <c r="A320" s="76"/>
      <c r="B320" s="112"/>
      <c r="C320" s="61" t="s">
        <v>164</v>
      </c>
      <c r="D320" s="71">
        <v>1</v>
      </c>
      <c r="E320" s="70">
        <v>0</v>
      </c>
    </row>
    <row r="321" spans="1:5" ht="15" customHeight="1">
      <c r="A321" s="76"/>
      <c r="B321" s="112"/>
      <c r="C321" s="61" t="s">
        <v>167</v>
      </c>
      <c r="D321" s="71">
        <v>1</v>
      </c>
      <c r="E321" s="70">
        <v>0</v>
      </c>
    </row>
    <row r="322" spans="1:5" ht="15" customHeight="1">
      <c r="A322" s="76"/>
      <c r="B322" s="112"/>
      <c r="C322" s="61" t="s">
        <v>170</v>
      </c>
      <c r="D322" s="71">
        <v>1</v>
      </c>
      <c r="E322" s="70">
        <v>0</v>
      </c>
    </row>
    <row r="323" spans="1:5" ht="15" customHeight="1">
      <c r="A323" s="76"/>
      <c r="B323" s="112"/>
      <c r="C323" s="61" t="s">
        <v>147</v>
      </c>
      <c r="D323" s="71">
        <v>1</v>
      </c>
      <c r="E323" s="70">
        <v>0</v>
      </c>
    </row>
    <row r="324" spans="1:5" ht="15" customHeight="1">
      <c r="A324" s="76"/>
      <c r="B324" s="112"/>
      <c r="C324" s="61" t="s">
        <v>199</v>
      </c>
      <c r="D324" s="71">
        <v>1</v>
      </c>
      <c r="E324" s="70">
        <v>0</v>
      </c>
    </row>
    <row r="325" spans="1:5" ht="15" customHeight="1">
      <c r="A325" s="76"/>
      <c r="B325" s="112"/>
      <c r="C325" s="61" t="s">
        <v>176</v>
      </c>
      <c r="D325" s="71">
        <v>1</v>
      </c>
      <c r="E325" s="70">
        <v>0</v>
      </c>
    </row>
    <row r="326" spans="1:5" ht="15" customHeight="1">
      <c r="A326" s="76"/>
      <c r="B326" s="112"/>
      <c r="C326" s="61" t="s">
        <v>150</v>
      </c>
      <c r="D326" s="71">
        <v>1</v>
      </c>
      <c r="E326" s="70">
        <v>0</v>
      </c>
    </row>
    <row r="327" spans="1:5" ht="15" customHeight="1">
      <c r="A327" s="76"/>
      <c r="B327" s="112"/>
      <c r="C327" s="61" t="s">
        <v>151</v>
      </c>
      <c r="D327" s="71">
        <v>1</v>
      </c>
      <c r="E327" s="70">
        <v>0</v>
      </c>
    </row>
    <row r="328" spans="1:5" ht="15" customHeight="1">
      <c r="A328" s="76"/>
      <c r="B328" s="112"/>
      <c r="C328" s="61" t="s">
        <v>201</v>
      </c>
      <c r="D328" s="71">
        <v>1</v>
      </c>
      <c r="E328" s="70">
        <v>0</v>
      </c>
    </row>
    <row r="329" spans="1:5" ht="15" customHeight="1">
      <c r="A329" s="76"/>
      <c r="B329" s="112"/>
      <c r="C329" s="61" t="s">
        <v>181</v>
      </c>
      <c r="D329" s="71">
        <v>1</v>
      </c>
      <c r="E329" s="70">
        <v>0</v>
      </c>
    </row>
    <row r="330" spans="1:5" ht="15" customHeight="1">
      <c r="A330" s="76"/>
      <c r="B330" s="112"/>
      <c r="C330" s="61" t="s">
        <v>182</v>
      </c>
      <c r="D330" s="71">
        <v>1</v>
      </c>
      <c r="E330" s="70">
        <v>0</v>
      </c>
    </row>
    <row r="331" spans="1:5" ht="15" customHeight="1">
      <c r="A331" s="76"/>
      <c r="B331" s="112"/>
      <c r="C331" s="61" t="s">
        <v>154</v>
      </c>
      <c r="D331" s="71">
        <v>1</v>
      </c>
      <c r="E331" s="70">
        <v>0</v>
      </c>
    </row>
    <row r="332" spans="1:5" ht="15" customHeight="1">
      <c r="A332" s="76"/>
      <c r="B332" s="112"/>
      <c r="C332" s="61" t="s">
        <v>156</v>
      </c>
      <c r="D332" s="71">
        <v>1</v>
      </c>
      <c r="E332" s="70">
        <v>0</v>
      </c>
    </row>
    <row r="333" spans="1:5" ht="15" customHeight="1">
      <c r="A333" s="76"/>
      <c r="B333" s="112"/>
      <c r="C333" s="74" t="s">
        <v>309</v>
      </c>
      <c r="D333" s="77">
        <v>618</v>
      </c>
      <c r="E333" s="75">
        <v>2.3E-2</v>
      </c>
    </row>
    <row r="334" spans="1:5" ht="15" customHeight="1">
      <c r="A334" s="76"/>
      <c r="B334" s="112" t="s">
        <v>111</v>
      </c>
      <c r="C334" s="61" t="s">
        <v>146</v>
      </c>
      <c r="D334" s="71">
        <v>112</v>
      </c>
      <c r="E334" s="70">
        <v>4.0000000000000001E-3</v>
      </c>
    </row>
    <row r="335" spans="1:5" ht="15" customHeight="1">
      <c r="A335" s="76"/>
      <c r="B335" s="112"/>
      <c r="C335" s="61" t="s">
        <v>151</v>
      </c>
      <c r="D335" s="71">
        <v>56</v>
      </c>
      <c r="E335" s="70">
        <v>2E-3</v>
      </c>
    </row>
    <row r="336" spans="1:5" ht="15" customHeight="1">
      <c r="A336" s="76"/>
      <c r="B336" s="112"/>
      <c r="C336" s="61" t="s">
        <v>173</v>
      </c>
      <c r="D336" s="71">
        <v>48</v>
      </c>
      <c r="E336" s="70">
        <v>2E-3</v>
      </c>
    </row>
    <row r="337" spans="1:5" ht="15" customHeight="1">
      <c r="A337" s="76"/>
      <c r="B337" s="112"/>
      <c r="C337" s="61" t="s">
        <v>148</v>
      </c>
      <c r="D337" s="71">
        <v>44</v>
      </c>
      <c r="E337" s="70">
        <v>2E-3</v>
      </c>
    </row>
    <row r="338" spans="1:5" ht="15" customHeight="1">
      <c r="A338" s="76"/>
      <c r="B338" s="112"/>
      <c r="C338" s="61" t="s">
        <v>160</v>
      </c>
      <c r="D338" s="71">
        <v>42</v>
      </c>
      <c r="E338" s="70">
        <v>2E-3</v>
      </c>
    </row>
    <row r="339" spans="1:5" ht="15" customHeight="1">
      <c r="A339" s="76"/>
      <c r="B339" s="112"/>
      <c r="C339" s="61" t="s">
        <v>180</v>
      </c>
      <c r="D339" s="71">
        <v>41</v>
      </c>
      <c r="E339" s="70">
        <v>2E-3</v>
      </c>
    </row>
    <row r="340" spans="1:5" ht="15" customHeight="1">
      <c r="A340" s="76"/>
      <c r="B340" s="112"/>
      <c r="C340" s="61" t="s">
        <v>147</v>
      </c>
      <c r="D340" s="71">
        <v>33</v>
      </c>
      <c r="E340" s="70">
        <v>1E-3</v>
      </c>
    </row>
    <row r="341" spans="1:5" ht="15" customHeight="1">
      <c r="A341" s="76"/>
      <c r="B341" s="112"/>
      <c r="C341" s="61" t="s">
        <v>175</v>
      </c>
      <c r="D341" s="71">
        <v>28</v>
      </c>
      <c r="E341" s="70">
        <v>1E-3</v>
      </c>
    </row>
    <row r="342" spans="1:5" ht="15" customHeight="1">
      <c r="A342" s="76"/>
      <c r="B342" s="112"/>
      <c r="C342" s="61" t="s">
        <v>155</v>
      </c>
      <c r="D342" s="71">
        <v>24</v>
      </c>
      <c r="E342" s="70">
        <v>1E-3</v>
      </c>
    </row>
    <row r="343" spans="1:5" ht="15" customHeight="1">
      <c r="A343" s="76"/>
      <c r="B343" s="112"/>
      <c r="C343" s="61" t="s">
        <v>154</v>
      </c>
      <c r="D343" s="71">
        <v>23</v>
      </c>
      <c r="E343" s="70">
        <v>1E-3</v>
      </c>
    </row>
    <row r="344" spans="1:5" ht="15" customHeight="1">
      <c r="A344" s="76"/>
      <c r="B344" s="112"/>
      <c r="C344" s="61" t="s">
        <v>168</v>
      </c>
      <c r="D344" s="71">
        <v>19</v>
      </c>
      <c r="E344" s="70">
        <v>1E-3</v>
      </c>
    </row>
    <row r="345" spans="1:5" ht="15" customHeight="1">
      <c r="A345" s="76"/>
      <c r="B345" s="112"/>
      <c r="C345" s="61" t="s">
        <v>159</v>
      </c>
      <c r="D345" s="71">
        <v>13</v>
      </c>
      <c r="E345" s="70">
        <v>0</v>
      </c>
    </row>
    <row r="346" spans="1:5" ht="15" customHeight="1">
      <c r="A346" s="76"/>
      <c r="B346" s="112"/>
      <c r="C346" s="61" t="s">
        <v>185</v>
      </c>
      <c r="D346" s="71">
        <v>12</v>
      </c>
      <c r="E346" s="70">
        <v>0</v>
      </c>
    </row>
    <row r="347" spans="1:5" ht="15" customHeight="1">
      <c r="A347" s="76"/>
      <c r="B347" s="112"/>
      <c r="C347" s="61" t="s">
        <v>285</v>
      </c>
      <c r="D347" s="71">
        <v>10</v>
      </c>
      <c r="E347" s="70">
        <v>0</v>
      </c>
    </row>
    <row r="348" spans="1:5" ht="15" customHeight="1">
      <c r="A348" s="76"/>
      <c r="B348" s="112"/>
      <c r="C348" s="61" t="s">
        <v>153</v>
      </c>
      <c r="D348" s="71">
        <v>10</v>
      </c>
      <c r="E348" s="70">
        <v>0</v>
      </c>
    </row>
    <row r="349" spans="1:5" ht="15" customHeight="1">
      <c r="A349" s="76"/>
      <c r="B349" s="112"/>
      <c r="C349" s="61" t="s">
        <v>182</v>
      </c>
      <c r="D349" s="71">
        <v>10</v>
      </c>
      <c r="E349" s="70">
        <v>0</v>
      </c>
    </row>
    <row r="350" spans="1:5" ht="15" customHeight="1">
      <c r="A350" s="76"/>
      <c r="B350" s="112"/>
      <c r="C350" s="61" t="s">
        <v>183</v>
      </c>
      <c r="D350" s="71">
        <v>8</v>
      </c>
      <c r="E350" s="70">
        <v>0</v>
      </c>
    </row>
    <row r="351" spans="1:5" ht="15" customHeight="1">
      <c r="A351" s="76"/>
      <c r="B351" s="112"/>
      <c r="C351" s="61" t="s">
        <v>177</v>
      </c>
      <c r="D351" s="71">
        <v>7</v>
      </c>
      <c r="E351" s="70">
        <v>0</v>
      </c>
    </row>
    <row r="352" spans="1:5" ht="15" customHeight="1">
      <c r="A352" s="76"/>
      <c r="B352" s="112"/>
      <c r="C352" s="61" t="s">
        <v>174</v>
      </c>
      <c r="D352" s="71">
        <v>5</v>
      </c>
      <c r="E352" s="70">
        <v>0</v>
      </c>
    </row>
    <row r="353" spans="1:5" ht="15" customHeight="1">
      <c r="A353" s="76"/>
      <c r="B353" s="112"/>
      <c r="C353" s="61" t="s">
        <v>186</v>
      </c>
      <c r="D353" s="71">
        <v>5</v>
      </c>
      <c r="E353" s="70">
        <v>0</v>
      </c>
    </row>
    <row r="354" spans="1:5" ht="15" customHeight="1">
      <c r="A354" s="76"/>
      <c r="B354" s="112"/>
      <c r="C354" s="61" t="s">
        <v>191</v>
      </c>
      <c r="D354" s="71">
        <v>5</v>
      </c>
      <c r="E354" s="70">
        <v>0</v>
      </c>
    </row>
    <row r="355" spans="1:5" ht="15" customHeight="1">
      <c r="A355" s="76"/>
      <c r="B355" s="112"/>
      <c r="C355" s="61" t="s">
        <v>192</v>
      </c>
      <c r="D355" s="71">
        <v>5</v>
      </c>
      <c r="E355" s="70">
        <v>0</v>
      </c>
    </row>
    <row r="356" spans="1:5" ht="15" customHeight="1">
      <c r="A356" s="76"/>
      <c r="B356" s="112"/>
      <c r="C356" s="61" t="s">
        <v>166</v>
      </c>
      <c r="D356" s="71">
        <v>3</v>
      </c>
      <c r="E356" s="70">
        <v>0</v>
      </c>
    </row>
    <row r="357" spans="1:5" ht="15" customHeight="1">
      <c r="A357" s="76"/>
      <c r="B357" s="112"/>
      <c r="C357" s="61" t="s">
        <v>162</v>
      </c>
      <c r="D357" s="71">
        <v>3</v>
      </c>
      <c r="E357" s="70">
        <v>0</v>
      </c>
    </row>
    <row r="358" spans="1:5" ht="15" customHeight="1">
      <c r="A358" s="76"/>
      <c r="B358" s="112"/>
      <c r="C358" s="61" t="s">
        <v>158</v>
      </c>
      <c r="D358" s="71">
        <v>3</v>
      </c>
      <c r="E358" s="70">
        <v>0</v>
      </c>
    </row>
    <row r="359" spans="1:5" ht="15" customHeight="1">
      <c r="A359" s="76"/>
      <c r="B359" s="112"/>
      <c r="C359" s="61" t="s">
        <v>197</v>
      </c>
      <c r="D359" s="71">
        <v>2</v>
      </c>
      <c r="E359" s="70">
        <v>0</v>
      </c>
    </row>
    <row r="360" spans="1:5" ht="15" customHeight="1">
      <c r="A360" s="76"/>
      <c r="B360" s="112"/>
      <c r="C360" s="61" t="s">
        <v>167</v>
      </c>
      <c r="D360" s="71">
        <v>2</v>
      </c>
      <c r="E360" s="70">
        <v>0</v>
      </c>
    </row>
    <row r="361" spans="1:5" ht="15" customHeight="1">
      <c r="A361" s="76"/>
      <c r="B361" s="112"/>
      <c r="C361" s="61" t="s">
        <v>199</v>
      </c>
      <c r="D361" s="71">
        <v>2</v>
      </c>
      <c r="E361" s="70">
        <v>0</v>
      </c>
    </row>
    <row r="362" spans="1:5" ht="15" customHeight="1">
      <c r="A362" s="76"/>
      <c r="B362" s="112"/>
      <c r="C362" s="61" t="s">
        <v>176</v>
      </c>
      <c r="D362" s="71">
        <v>2</v>
      </c>
      <c r="E362" s="70">
        <v>0</v>
      </c>
    </row>
    <row r="363" spans="1:5" ht="15" customHeight="1">
      <c r="A363" s="76"/>
      <c r="B363" s="112"/>
      <c r="C363" s="61" t="s">
        <v>150</v>
      </c>
      <c r="D363" s="71">
        <v>2</v>
      </c>
      <c r="E363" s="70">
        <v>0</v>
      </c>
    </row>
    <row r="364" spans="1:5" ht="15" customHeight="1">
      <c r="A364" s="76"/>
      <c r="B364" s="112"/>
      <c r="C364" s="61" t="s">
        <v>178</v>
      </c>
      <c r="D364" s="71">
        <v>2</v>
      </c>
      <c r="E364" s="70">
        <v>0</v>
      </c>
    </row>
    <row r="365" spans="1:5" ht="15" customHeight="1">
      <c r="A365" s="76"/>
      <c r="B365" s="112"/>
      <c r="C365" s="61" t="s">
        <v>188</v>
      </c>
      <c r="D365" s="71">
        <v>2</v>
      </c>
      <c r="E365" s="70">
        <v>0</v>
      </c>
    </row>
    <row r="366" spans="1:5" ht="15" customHeight="1">
      <c r="A366" s="76"/>
      <c r="B366" s="112"/>
      <c r="C366" s="61" t="s">
        <v>196</v>
      </c>
      <c r="D366" s="71">
        <v>2</v>
      </c>
      <c r="E366" s="70">
        <v>0</v>
      </c>
    </row>
    <row r="367" spans="1:5" ht="15" customHeight="1">
      <c r="A367" s="76"/>
      <c r="B367" s="112"/>
      <c r="C367" s="61" t="s">
        <v>157</v>
      </c>
      <c r="D367" s="71">
        <v>2</v>
      </c>
      <c r="E367" s="70">
        <v>0</v>
      </c>
    </row>
    <row r="368" spans="1:5" ht="15" customHeight="1">
      <c r="A368" s="76"/>
      <c r="B368" s="112"/>
      <c r="C368" s="61" t="s">
        <v>171</v>
      </c>
      <c r="D368" s="71">
        <v>1</v>
      </c>
      <c r="E368" s="70">
        <v>0</v>
      </c>
    </row>
    <row r="369" spans="1:5" ht="15" customHeight="1">
      <c r="A369" s="76"/>
      <c r="B369" s="112"/>
      <c r="C369" s="61" t="s">
        <v>149</v>
      </c>
      <c r="D369" s="71">
        <v>1</v>
      </c>
      <c r="E369" s="70">
        <v>0</v>
      </c>
    </row>
    <row r="370" spans="1:5" ht="15" customHeight="1">
      <c r="A370" s="76"/>
      <c r="B370" s="112"/>
      <c r="C370" s="61" t="s">
        <v>152</v>
      </c>
      <c r="D370" s="71">
        <v>1</v>
      </c>
      <c r="E370" s="70">
        <v>0</v>
      </c>
    </row>
    <row r="371" spans="1:5" ht="15" customHeight="1">
      <c r="A371" s="76"/>
      <c r="B371" s="112"/>
      <c r="C371" s="61" t="s">
        <v>187</v>
      </c>
      <c r="D371" s="71">
        <v>1</v>
      </c>
      <c r="E371" s="70">
        <v>0</v>
      </c>
    </row>
    <row r="372" spans="1:5" ht="15" customHeight="1">
      <c r="A372" s="76"/>
      <c r="B372" s="112"/>
      <c r="C372" s="61" t="s">
        <v>189</v>
      </c>
      <c r="D372" s="71">
        <v>1</v>
      </c>
      <c r="E372" s="70">
        <v>0</v>
      </c>
    </row>
    <row r="373" spans="1:5" ht="15" customHeight="1">
      <c r="A373" s="76"/>
      <c r="B373" s="112"/>
      <c r="C373" s="61" t="s">
        <v>195</v>
      </c>
      <c r="D373" s="71">
        <v>1</v>
      </c>
      <c r="E373" s="70">
        <v>0</v>
      </c>
    </row>
    <row r="374" spans="1:5" ht="15" customHeight="1">
      <c r="A374" s="76"/>
      <c r="B374" s="112"/>
      <c r="C374" s="61" t="s">
        <v>190</v>
      </c>
      <c r="D374" s="71">
        <v>1</v>
      </c>
      <c r="E374" s="70">
        <v>0</v>
      </c>
    </row>
    <row r="375" spans="1:5" ht="15" customHeight="1">
      <c r="A375" s="76"/>
      <c r="B375" s="112"/>
      <c r="C375" s="61" t="s">
        <v>156</v>
      </c>
      <c r="D375" s="71">
        <v>1</v>
      </c>
      <c r="E375" s="70">
        <v>0</v>
      </c>
    </row>
    <row r="376" spans="1:5" ht="15" customHeight="1">
      <c r="A376" s="76"/>
      <c r="B376" s="112"/>
      <c r="C376" s="72" t="s">
        <v>309</v>
      </c>
      <c r="D376" s="78">
        <v>595</v>
      </c>
      <c r="E376" s="73">
        <v>2.1999999999999999E-2</v>
      </c>
    </row>
    <row r="377" spans="1:5" ht="15" customHeight="1">
      <c r="A377" s="76"/>
      <c r="B377" s="112" t="s">
        <v>105</v>
      </c>
      <c r="C377" s="61" t="s">
        <v>153</v>
      </c>
      <c r="D377" s="71">
        <v>101</v>
      </c>
      <c r="E377" s="70">
        <v>4.0000000000000001E-3</v>
      </c>
    </row>
    <row r="378" spans="1:5" ht="15" customHeight="1">
      <c r="A378" s="76"/>
      <c r="B378" s="112"/>
      <c r="C378" s="61" t="s">
        <v>146</v>
      </c>
      <c r="D378" s="71">
        <v>69</v>
      </c>
      <c r="E378" s="70">
        <v>3.0000000000000001E-3</v>
      </c>
    </row>
    <row r="379" spans="1:5" ht="15" customHeight="1">
      <c r="A379" s="76"/>
      <c r="B379" s="112"/>
      <c r="C379" s="61" t="s">
        <v>148</v>
      </c>
      <c r="D379" s="71">
        <v>42</v>
      </c>
      <c r="E379" s="70">
        <v>2E-3</v>
      </c>
    </row>
    <row r="380" spans="1:5" ht="15" customHeight="1">
      <c r="A380" s="76"/>
      <c r="B380" s="112"/>
      <c r="C380" s="61" t="s">
        <v>177</v>
      </c>
      <c r="D380" s="71">
        <v>40</v>
      </c>
      <c r="E380" s="70">
        <v>1E-3</v>
      </c>
    </row>
    <row r="381" spans="1:5" ht="15" customHeight="1">
      <c r="A381" s="76"/>
      <c r="B381" s="112"/>
      <c r="C381" s="61" t="s">
        <v>173</v>
      </c>
      <c r="D381" s="71">
        <v>27</v>
      </c>
      <c r="E381" s="70">
        <v>1E-3</v>
      </c>
    </row>
    <row r="382" spans="1:5" ht="15" customHeight="1">
      <c r="A382" s="76"/>
      <c r="B382" s="112"/>
      <c r="C382" s="61" t="s">
        <v>160</v>
      </c>
      <c r="D382" s="71">
        <v>27</v>
      </c>
      <c r="E382" s="70">
        <v>1E-3</v>
      </c>
    </row>
    <row r="383" spans="1:5" ht="15" customHeight="1">
      <c r="A383" s="76"/>
      <c r="B383" s="112"/>
      <c r="C383" s="61" t="s">
        <v>186</v>
      </c>
      <c r="D383" s="71">
        <v>26</v>
      </c>
      <c r="E383" s="70">
        <v>1E-3</v>
      </c>
    </row>
    <row r="384" spans="1:5" ht="15" customHeight="1">
      <c r="A384" s="76"/>
      <c r="B384" s="112"/>
      <c r="C384" s="61" t="s">
        <v>157</v>
      </c>
      <c r="D384" s="71">
        <v>24</v>
      </c>
      <c r="E384" s="70">
        <v>1E-3</v>
      </c>
    </row>
    <row r="385" spans="1:5" ht="15" customHeight="1">
      <c r="A385" s="76"/>
      <c r="B385" s="112"/>
      <c r="C385" s="61" t="s">
        <v>162</v>
      </c>
      <c r="D385" s="71">
        <v>20</v>
      </c>
      <c r="E385" s="70">
        <v>1E-3</v>
      </c>
    </row>
    <row r="386" spans="1:5" ht="15" customHeight="1">
      <c r="A386" s="76"/>
      <c r="B386" s="112"/>
      <c r="C386" s="61" t="s">
        <v>154</v>
      </c>
      <c r="D386" s="71">
        <v>19</v>
      </c>
      <c r="E386" s="70">
        <v>1E-3</v>
      </c>
    </row>
    <row r="387" spans="1:5" ht="15" customHeight="1">
      <c r="A387" s="76"/>
      <c r="B387" s="112"/>
      <c r="C387" s="61" t="s">
        <v>147</v>
      </c>
      <c r="D387" s="71">
        <v>18</v>
      </c>
      <c r="E387" s="70">
        <v>1E-3</v>
      </c>
    </row>
    <row r="388" spans="1:5" ht="15" customHeight="1">
      <c r="A388" s="76"/>
      <c r="B388" s="112"/>
      <c r="C388" s="61" t="s">
        <v>175</v>
      </c>
      <c r="D388" s="71">
        <v>18</v>
      </c>
      <c r="E388" s="70">
        <v>1E-3</v>
      </c>
    </row>
    <row r="389" spans="1:5" ht="15" customHeight="1">
      <c r="A389" s="76"/>
      <c r="B389" s="112"/>
      <c r="C389" s="61" t="s">
        <v>150</v>
      </c>
      <c r="D389" s="71">
        <v>17</v>
      </c>
      <c r="E389" s="70">
        <v>1E-3</v>
      </c>
    </row>
    <row r="390" spans="1:5" ht="15" customHeight="1">
      <c r="A390" s="76"/>
      <c r="B390" s="112"/>
      <c r="C390" s="61" t="s">
        <v>203</v>
      </c>
      <c r="D390" s="71">
        <v>17</v>
      </c>
      <c r="E390" s="70">
        <v>1E-3</v>
      </c>
    </row>
    <row r="391" spans="1:5" ht="15" customHeight="1">
      <c r="A391" s="76"/>
      <c r="B391" s="112"/>
      <c r="C391" s="61" t="s">
        <v>155</v>
      </c>
      <c r="D391" s="71">
        <v>15</v>
      </c>
      <c r="E391" s="70">
        <v>1E-3</v>
      </c>
    </row>
    <row r="392" spans="1:5" ht="15" customHeight="1">
      <c r="A392" s="76"/>
      <c r="B392" s="112"/>
      <c r="C392" s="61" t="s">
        <v>189</v>
      </c>
      <c r="D392" s="71">
        <v>14</v>
      </c>
      <c r="E392" s="70">
        <v>1E-3</v>
      </c>
    </row>
    <row r="393" spans="1:5" ht="15" customHeight="1">
      <c r="A393" s="76"/>
      <c r="B393" s="112"/>
      <c r="C393" s="61" t="s">
        <v>183</v>
      </c>
      <c r="D393" s="71">
        <v>12</v>
      </c>
      <c r="E393" s="70">
        <v>0</v>
      </c>
    </row>
    <row r="394" spans="1:5" ht="15" customHeight="1">
      <c r="A394" s="76"/>
      <c r="B394" s="112"/>
      <c r="C394" s="61" t="s">
        <v>191</v>
      </c>
      <c r="D394" s="71">
        <v>11</v>
      </c>
      <c r="E394" s="70">
        <v>0</v>
      </c>
    </row>
    <row r="395" spans="1:5" ht="15" customHeight="1">
      <c r="A395" s="76"/>
      <c r="B395" s="112"/>
      <c r="C395" s="61" t="s">
        <v>192</v>
      </c>
      <c r="D395" s="71">
        <v>11</v>
      </c>
      <c r="E395" s="70">
        <v>0</v>
      </c>
    </row>
    <row r="396" spans="1:5" ht="15" customHeight="1">
      <c r="A396" s="76"/>
      <c r="B396" s="112"/>
      <c r="C396" s="61" t="s">
        <v>171</v>
      </c>
      <c r="D396" s="71">
        <v>7</v>
      </c>
      <c r="E396" s="70">
        <v>0</v>
      </c>
    </row>
    <row r="397" spans="1:5" ht="15" customHeight="1">
      <c r="A397" s="76"/>
      <c r="B397" s="112"/>
      <c r="C397" s="61" t="s">
        <v>188</v>
      </c>
      <c r="D397" s="71">
        <v>6</v>
      </c>
      <c r="E397" s="70">
        <v>0</v>
      </c>
    </row>
    <row r="398" spans="1:5" ht="15" customHeight="1">
      <c r="A398" s="76"/>
      <c r="B398" s="112"/>
      <c r="C398" s="61" t="s">
        <v>158</v>
      </c>
      <c r="D398" s="71">
        <v>5</v>
      </c>
      <c r="E398" s="70">
        <v>0</v>
      </c>
    </row>
    <row r="399" spans="1:5" ht="15" customHeight="1">
      <c r="A399" s="76"/>
      <c r="B399" s="112"/>
      <c r="C399" s="61" t="s">
        <v>164</v>
      </c>
      <c r="D399" s="71">
        <v>4</v>
      </c>
      <c r="E399" s="70">
        <v>0</v>
      </c>
    </row>
    <row r="400" spans="1:5" ht="15" customHeight="1">
      <c r="A400" s="76"/>
      <c r="B400" s="112"/>
      <c r="C400" s="61" t="s">
        <v>159</v>
      </c>
      <c r="D400" s="71">
        <v>4</v>
      </c>
      <c r="E400" s="70">
        <v>0</v>
      </c>
    </row>
    <row r="401" spans="1:5" ht="15" customHeight="1">
      <c r="A401" s="76"/>
      <c r="B401" s="112"/>
      <c r="C401" s="61" t="s">
        <v>174</v>
      </c>
      <c r="D401" s="71">
        <v>3</v>
      </c>
      <c r="E401" s="70">
        <v>0</v>
      </c>
    </row>
    <row r="402" spans="1:5" ht="15" customHeight="1">
      <c r="A402" s="76"/>
      <c r="B402" s="112"/>
      <c r="C402" s="61" t="s">
        <v>193</v>
      </c>
      <c r="D402" s="71">
        <v>3</v>
      </c>
      <c r="E402" s="70">
        <v>0</v>
      </c>
    </row>
    <row r="403" spans="1:5" ht="15" customHeight="1">
      <c r="A403" s="76"/>
      <c r="B403" s="112"/>
      <c r="C403" s="61" t="s">
        <v>151</v>
      </c>
      <c r="D403" s="71">
        <v>3</v>
      </c>
      <c r="E403" s="70">
        <v>0</v>
      </c>
    </row>
    <row r="404" spans="1:5" ht="15" customHeight="1">
      <c r="A404" s="76"/>
      <c r="B404" s="112"/>
      <c r="C404" s="61" t="s">
        <v>196</v>
      </c>
      <c r="D404" s="71">
        <v>3</v>
      </c>
      <c r="E404" s="70">
        <v>0</v>
      </c>
    </row>
    <row r="405" spans="1:5" ht="15" customHeight="1">
      <c r="A405" s="76"/>
      <c r="B405" s="112"/>
      <c r="C405" s="61" t="s">
        <v>149</v>
      </c>
      <c r="D405" s="71">
        <v>2</v>
      </c>
      <c r="E405" s="70">
        <v>0</v>
      </c>
    </row>
    <row r="406" spans="1:5" ht="15" customHeight="1">
      <c r="A406" s="76"/>
      <c r="B406" s="112"/>
      <c r="C406" s="61" t="s">
        <v>202</v>
      </c>
      <c r="D406" s="71">
        <v>2</v>
      </c>
      <c r="E406" s="70">
        <v>0</v>
      </c>
    </row>
    <row r="407" spans="1:5" ht="15" customHeight="1">
      <c r="A407" s="76"/>
      <c r="B407" s="112"/>
      <c r="C407" s="61" t="s">
        <v>195</v>
      </c>
      <c r="D407" s="71">
        <v>2</v>
      </c>
      <c r="E407" s="70">
        <v>0</v>
      </c>
    </row>
    <row r="408" spans="1:5" ht="15" customHeight="1">
      <c r="A408" s="76"/>
      <c r="B408" s="112"/>
      <c r="C408" s="61" t="s">
        <v>165</v>
      </c>
      <c r="D408" s="71">
        <v>1</v>
      </c>
      <c r="E408" s="70">
        <v>0</v>
      </c>
    </row>
    <row r="409" spans="1:5" ht="15" customHeight="1">
      <c r="A409" s="76"/>
      <c r="B409" s="112"/>
      <c r="C409" s="61" t="s">
        <v>166</v>
      </c>
      <c r="D409" s="71">
        <v>1</v>
      </c>
      <c r="E409" s="70">
        <v>0</v>
      </c>
    </row>
    <row r="410" spans="1:5" ht="15" customHeight="1">
      <c r="A410" s="76"/>
      <c r="B410" s="112"/>
      <c r="C410" s="61" t="s">
        <v>167</v>
      </c>
      <c r="D410" s="71">
        <v>1</v>
      </c>
      <c r="E410" s="70">
        <v>0</v>
      </c>
    </row>
    <row r="411" spans="1:5" ht="15" customHeight="1">
      <c r="A411" s="76"/>
      <c r="B411" s="112"/>
      <c r="C411" s="61" t="s">
        <v>168</v>
      </c>
      <c r="D411" s="71">
        <v>1</v>
      </c>
      <c r="E411" s="70">
        <v>0</v>
      </c>
    </row>
    <row r="412" spans="1:5" ht="15" customHeight="1">
      <c r="A412" s="76"/>
      <c r="B412" s="112"/>
      <c r="C412" s="61" t="s">
        <v>285</v>
      </c>
      <c r="D412" s="71">
        <v>1</v>
      </c>
      <c r="E412" s="70">
        <v>0</v>
      </c>
    </row>
    <row r="413" spans="1:5" ht="15" customHeight="1">
      <c r="A413" s="76"/>
      <c r="B413" s="112"/>
      <c r="C413" s="61" t="s">
        <v>179</v>
      </c>
      <c r="D413" s="71">
        <v>1</v>
      </c>
      <c r="E413" s="70">
        <v>0</v>
      </c>
    </row>
    <row r="414" spans="1:5" ht="15" customHeight="1">
      <c r="A414" s="76"/>
      <c r="B414" s="112"/>
      <c r="C414" s="61" t="s">
        <v>201</v>
      </c>
      <c r="D414" s="71">
        <v>1</v>
      </c>
      <c r="E414" s="70">
        <v>0</v>
      </c>
    </row>
    <row r="415" spans="1:5" ht="15" customHeight="1">
      <c r="A415" s="76"/>
      <c r="B415" s="112"/>
      <c r="C415" s="61" t="s">
        <v>152</v>
      </c>
      <c r="D415" s="71">
        <v>1</v>
      </c>
      <c r="E415" s="70">
        <v>0</v>
      </c>
    </row>
    <row r="416" spans="1:5" ht="15" customHeight="1">
      <c r="A416" s="76"/>
      <c r="B416" s="112"/>
      <c r="C416" s="61" t="s">
        <v>182</v>
      </c>
      <c r="D416" s="71">
        <v>1</v>
      </c>
      <c r="E416" s="70">
        <v>0</v>
      </c>
    </row>
    <row r="417" spans="1:5" ht="15" customHeight="1">
      <c r="A417" s="76"/>
      <c r="B417" s="112"/>
      <c r="C417" s="61" t="s">
        <v>185</v>
      </c>
      <c r="D417" s="71">
        <v>1</v>
      </c>
      <c r="E417" s="70">
        <v>0</v>
      </c>
    </row>
    <row r="418" spans="1:5" ht="15" customHeight="1">
      <c r="A418" s="76"/>
      <c r="B418" s="112"/>
      <c r="C418" s="61" t="s">
        <v>187</v>
      </c>
      <c r="D418" s="71">
        <v>1</v>
      </c>
      <c r="E418" s="70">
        <v>0</v>
      </c>
    </row>
    <row r="419" spans="1:5" ht="15" customHeight="1">
      <c r="A419" s="76"/>
      <c r="B419" s="112"/>
      <c r="C419" s="74" t="s">
        <v>309</v>
      </c>
      <c r="D419" s="77">
        <v>583</v>
      </c>
      <c r="E419" s="75">
        <v>2.1000000000000001E-2</v>
      </c>
    </row>
    <row r="420" spans="1:5" ht="15" customHeight="1">
      <c r="A420" s="76"/>
      <c r="B420" s="112" t="s">
        <v>136</v>
      </c>
      <c r="C420" s="61" t="s">
        <v>154</v>
      </c>
      <c r="D420" s="71">
        <v>97</v>
      </c>
      <c r="E420" s="70">
        <v>4.0000000000000001E-3</v>
      </c>
    </row>
    <row r="421" spans="1:5" ht="15" customHeight="1">
      <c r="A421" s="76"/>
      <c r="B421" s="112"/>
      <c r="C421" s="61" t="s">
        <v>147</v>
      </c>
      <c r="D421" s="71">
        <v>85</v>
      </c>
      <c r="E421" s="70">
        <v>3.0000000000000001E-3</v>
      </c>
    </row>
    <row r="422" spans="1:5" ht="15" customHeight="1">
      <c r="A422" s="76"/>
      <c r="B422" s="112"/>
      <c r="C422" s="61" t="s">
        <v>148</v>
      </c>
      <c r="D422" s="71">
        <v>65</v>
      </c>
      <c r="E422" s="70">
        <v>2E-3</v>
      </c>
    </row>
    <row r="423" spans="1:5" ht="15" customHeight="1">
      <c r="A423" s="76"/>
      <c r="B423" s="112"/>
      <c r="C423" s="61" t="s">
        <v>146</v>
      </c>
      <c r="D423" s="71">
        <v>50</v>
      </c>
      <c r="E423" s="70">
        <v>2E-3</v>
      </c>
    </row>
    <row r="424" spans="1:5" ht="15" customHeight="1">
      <c r="A424" s="76"/>
      <c r="B424" s="112"/>
      <c r="C424" s="61" t="s">
        <v>153</v>
      </c>
      <c r="D424" s="71">
        <v>41</v>
      </c>
      <c r="E424" s="70">
        <v>2E-3</v>
      </c>
    </row>
    <row r="425" spans="1:5" ht="15" customHeight="1">
      <c r="A425" s="76"/>
      <c r="B425" s="112"/>
      <c r="C425" s="61" t="s">
        <v>160</v>
      </c>
      <c r="D425" s="71">
        <v>25</v>
      </c>
      <c r="E425" s="70">
        <v>1E-3</v>
      </c>
    </row>
    <row r="426" spans="1:5" ht="15" customHeight="1">
      <c r="A426" s="76"/>
      <c r="B426" s="112"/>
      <c r="C426" s="61" t="s">
        <v>159</v>
      </c>
      <c r="D426" s="71">
        <v>23</v>
      </c>
      <c r="E426" s="70">
        <v>1E-3</v>
      </c>
    </row>
    <row r="427" spans="1:5" ht="15" customHeight="1">
      <c r="A427" s="76"/>
      <c r="B427" s="112"/>
      <c r="C427" s="61" t="s">
        <v>183</v>
      </c>
      <c r="D427" s="71">
        <v>21</v>
      </c>
      <c r="E427" s="70">
        <v>1E-3</v>
      </c>
    </row>
    <row r="428" spans="1:5" ht="15" customHeight="1">
      <c r="A428" s="76"/>
      <c r="B428" s="112"/>
      <c r="C428" s="61" t="s">
        <v>155</v>
      </c>
      <c r="D428" s="71">
        <v>18</v>
      </c>
      <c r="E428" s="70">
        <v>1E-3</v>
      </c>
    </row>
    <row r="429" spans="1:5" ht="15" customHeight="1">
      <c r="A429" s="76"/>
      <c r="B429" s="112"/>
      <c r="C429" s="61" t="s">
        <v>173</v>
      </c>
      <c r="D429" s="71">
        <v>16</v>
      </c>
      <c r="E429" s="70">
        <v>1E-3</v>
      </c>
    </row>
    <row r="430" spans="1:5" ht="15" customHeight="1">
      <c r="A430" s="76"/>
      <c r="B430" s="112"/>
      <c r="C430" s="61" t="s">
        <v>162</v>
      </c>
      <c r="D430" s="71">
        <v>14</v>
      </c>
      <c r="E430" s="70">
        <v>1E-3</v>
      </c>
    </row>
    <row r="431" spans="1:5" ht="15" customHeight="1">
      <c r="A431" s="76"/>
      <c r="B431" s="112"/>
      <c r="C431" s="61" t="s">
        <v>157</v>
      </c>
      <c r="D431" s="71">
        <v>13</v>
      </c>
      <c r="E431" s="70">
        <v>0</v>
      </c>
    </row>
    <row r="432" spans="1:5" ht="15" customHeight="1">
      <c r="A432" s="76"/>
      <c r="B432" s="112"/>
      <c r="C432" s="61" t="s">
        <v>150</v>
      </c>
      <c r="D432" s="71">
        <v>12</v>
      </c>
      <c r="E432" s="70">
        <v>0</v>
      </c>
    </row>
    <row r="433" spans="1:5" ht="15" customHeight="1">
      <c r="A433" s="76"/>
      <c r="B433" s="112"/>
      <c r="C433" s="61" t="s">
        <v>191</v>
      </c>
      <c r="D433" s="71">
        <v>7</v>
      </c>
      <c r="E433" s="70">
        <v>0</v>
      </c>
    </row>
    <row r="434" spans="1:5" ht="15" customHeight="1">
      <c r="A434" s="76"/>
      <c r="B434" s="112"/>
      <c r="C434" s="61" t="s">
        <v>177</v>
      </c>
      <c r="D434" s="71">
        <v>6</v>
      </c>
      <c r="E434" s="70">
        <v>0</v>
      </c>
    </row>
    <row r="435" spans="1:5" ht="15" customHeight="1">
      <c r="A435" s="76"/>
      <c r="B435" s="112"/>
      <c r="C435" s="61" t="s">
        <v>174</v>
      </c>
      <c r="D435" s="71">
        <v>5</v>
      </c>
      <c r="E435" s="70">
        <v>0</v>
      </c>
    </row>
    <row r="436" spans="1:5" ht="15" customHeight="1">
      <c r="A436" s="76"/>
      <c r="B436" s="112"/>
      <c r="C436" s="61" t="s">
        <v>166</v>
      </c>
      <c r="D436" s="71">
        <v>4</v>
      </c>
      <c r="E436" s="70">
        <v>0</v>
      </c>
    </row>
    <row r="437" spans="1:5" ht="15" customHeight="1">
      <c r="A437" s="76"/>
      <c r="B437" s="112"/>
      <c r="C437" s="61" t="s">
        <v>167</v>
      </c>
      <c r="D437" s="71">
        <v>4</v>
      </c>
      <c r="E437" s="70">
        <v>0</v>
      </c>
    </row>
    <row r="438" spans="1:5" ht="15" customHeight="1">
      <c r="A438" s="76"/>
      <c r="B438" s="112"/>
      <c r="C438" s="61" t="s">
        <v>158</v>
      </c>
      <c r="D438" s="71">
        <v>4</v>
      </c>
      <c r="E438" s="70">
        <v>0</v>
      </c>
    </row>
    <row r="439" spans="1:5" ht="15" customHeight="1">
      <c r="A439" s="76"/>
      <c r="B439" s="112"/>
      <c r="C439" s="61" t="s">
        <v>192</v>
      </c>
      <c r="D439" s="71">
        <v>4</v>
      </c>
      <c r="E439" s="70">
        <v>0</v>
      </c>
    </row>
    <row r="440" spans="1:5" ht="15" customHeight="1">
      <c r="A440" s="76"/>
      <c r="B440" s="112"/>
      <c r="C440" s="61" t="s">
        <v>186</v>
      </c>
      <c r="D440" s="71">
        <v>3</v>
      </c>
      <c r="E440" s="70">
        <v>0</v>
      </c>
    </row>
    <row r="441" spans="1:5" ht="15" customHeight="1">
      <c r="A441" s="76"/>
      <c r="B441" s="112"/>
      <c r="C441" s="61" t="s">
        <v>168</v>
      </c>
      <c r="D441" s="71">
        <v>2</v>
      </c>
      <c r="E441" s="70">
        <v>0</v>
      </c>
    </row>
    <row r="442" spans="1:5" ht="15" customHeight="1">
      <c r="A442" s="76"/>
      <c r="B442" s="112"/>
      <c r="C442" s="61" t="s">
        <v>193</v>
      </c>
      <c r="D442" s="71">
        <v>2</v>
      </c>
      <c r="E442" s="70">
        <v>0</v>
      </c>
    </row>
    <row r="443" spans="1:5" ht="15" customHeight="1">
      <c r="A443" s="76"/>
      <c r="B443" s="112"/>
      <c r="C443" s="61" t="s">
        <v>202</v>
      </c>
      <c r="D443" s="71">
        <v>2</v>
      </c>
      <c r="E443" s="70">
        <v>0</v>
      </c>
    </row>
    <row r="444" spans="1:5" ht="15" customHeight="1">
      <c r="A444" s="76"/>
      <c r="B444" s="112"/>
      <c r="C444" s="61" t="s">
        <v>152</v>
      </c>
      <c r="D444" s="71">
        <v>2</v>
      </c>
      <c r="E444" s="70">
        <v>0</v>
      </c>
    </row>
    <row r="445" spans="1:5" ht="15" customHeight="1">
      <c r="A445" s="76"/>
      <c r="B445" s="112"/>
      <c r="C445" s="61" t="s">
        <v>203</v>
      </c>
      <c r="D445" s="71">
        <v>2</v>
      </c>
      <c r="E445" s="70">
        <v>0</v>
      </c>
    </row>
    <row r="446" spans="1:5" ht="15" customHeight="1">
      <c r="A446" s="76"/>
      <c r="B446" s="112"/>
      <c r="C446" s="61" t="s">
        <v>196</v>
      </c>
      <c r="D446" s="71">
        <v>2</v>
      </c>
      <c r="E446" s="70">
        <v>0</v>
      </c>
    </row>
    <row r="447" spans="1:5" ht="15" customHeight="1">
      <c r="A447" s="76"/>
      <c r="B447" s="112"/>
      <c r="C447" s="61" t="s">
        <v>169</v>
      </c>
      <c r="D447" s="71">
        <v>1</v>
      </c>
      <c r="E447" s="70">
        <v>0</v>
      </c>
    </row>
    <row r="448" spans="1:5" ht="15" customHeight="1">
      <c r="A448" s="76"/>
      <c r="B448" s="112"/>
      <c r="C448" s="61" t="s">
        <v>170</v>
      </c>
      <c r="D448" s="71">
        <v>1</v>
      </c>
      <c r="E448" s="70">
        <v>0</v>
      </c>
    </row>
    <row r="449" spans="1:5" ht="15" customHeight="1">
      <c r="A449" s="76"/>
      <c r="B449" s="112"/>
      <c r="C449" s="61" t="s">
        <v>171</v>
      </c>
      <c r="D449" s="71">
        <v>1</v>
      </c>
      <c r="E449" s="70">
        <v>0</v>
      </c>
    </row>
    <row r="450" spans="1:5" ht="15" customHeight="1">
      <c r="A450" s="76"/>
      <c r="B450" s="112"/>
      <c r="C450" s="61" t="s">
        <v>178</v>
      </c>
      <c r="D450" s="71">
        <v>1</v>
      </c>
      <c r="E450" s="70">
        <v>0</v>
      </c>
    </row>
    <row r="451" spans="1:5" ht="15" customHeight="1">
      <c r="A451" s="76"/>
      <c r="B451" s="112"/>
      <c r="C451" s="61" t="s">
        <v>151</v>
      </c>
      <c r="D451" s="71">
        <v>1</v>
      </c>
      <c r="E451" s="70">
        <v>0</v>
      </c>
    </row>
    <row r="452" spans="1:5" ht="15" customHeight="1">
      <c r="A452" s="76"/>
      <c r="B452" s="112"/>
      <c r="C452" s="61" t="s">
        <v>180</v>
      </c>
      <c r="D452" s="71">
        <v>1</v>
      </c>
      <c r="E452" s="70">
        <v>0</v>
      </c>
    </row>
    <row r="453" spans="1:5" ht="15" customHeight="1">
      <c r="A453" s="76"/>
      <c r="B453" s="112"/>
      <c r="C453" s="61" t="s">
        <v>181</v>
      </c>
      <c r="D453" s="71">
        <v>1</v>
      </c>
      <c r="E453" s="70">
        <v>0</v>
      </c>
    </row>
    <row r="454" spans="1:5" ht="15" customHeight="1">
      <c r="A454" s="76"/>
      <c r="B454" s="112"/>
      <c r="C454" s="61" t="s">
        <v>185</v>
      </c>
      <c r="D454" s="71">
        <v>1</v>
      </c>
      <c r="E454" s="70">
        <v>0</v>
      </c>
    </row>
    <row r="455" spans="1:5" ht="15" customHeight="1">
      <c r="A455" s="76"/>
      <c r="B455" s="112"/>
      <c r="C455" s="61" t="s">
        <v>188</v>
      </c>
      <c r="D455" s="71">
        <v>1</v>
      </c>
      <c r="E455" s="70">
        <v>0</v>
      </c>
    </row>
    <row r="456" spans="1:5" ht="15" customHeight="1">
      <c r="A456" s="76"/>
      <c r="B456" s="112"/>
      <c r="C456" s="61" t="s">
        <v>189</v>
      </c>
      <c r="D456" s="71">
        <v>1</v>
      </c>
      <c r="E456" s="70">
        <v>0</v>
      </c>
    </row>
    <row r="457" spans="1:5" ht="15" customHeight="1">
      <c r="A457" s="76"/>
      <c r="B457" s="112"/>
      <c r="C457" s="74" t="s">
        <v>309</v>
      </c>
      <c r="D457" s="77">
        <v>539</v>
      </c>
      <c r="E457" s="75">
        <v>0.02</v>
      </c>
    </row>
    <row r="458" spans="1:5" ht="15" customHeight="1">
      <c r="A458" s="76"/>
      <c r="B458" s="112" t="s">
        <v>116</v>
      </c>
      <c r="C458" s="61" t="s">
        <v>153</v>
      </c>
      <c r="D458" s="71">
        <v>118</v>
      </c>
      <c r="E458" s="70">
        <v>4.0000000000000001E-3</v>
      </c>
    </row>
    <row r="459" spans="1:5" ht="15" customHeight="1">
      <c r="A459" s="76"/>
      <c r="B459" s="112"/>
      <c r="C459" s="61" t="s">
        <v>203</v>
      </c>
      <c r="D459" s="71">
        <v>97</v>
      </c>
      <c r="E459" s="70">
        <v>4.0000000000000001E-3</v>
      </c>
    </row>
    <row r="460" spans="1:5" ht="15" customHeight="1">
      <c r="A460" s="76"/>
      <c r="B460" s="112"/>
      <c r="C460" s="61" t="s">
        <v>146</v>
      </c>
      <c r="D460" s="71">
        <v>72</v>
      </c>
      <c r="E460" s="70">
        <v>3.0000000000000001E-3</v>
      </c>
    </row>
    <row r="461" spans="1:5" ht="15" customHeight="1">
      <c r="A461" s="76"/>
      <c r="B461" s="112"/>
      <c r="C461" s="61" t="s">
        <v>162</v>
      </c>
      <c r="D461" s="71">
        <v>48</v>
      </c>
      <c r="E461" s="70">
        <v>2E-3</v>
      </c>
    </row>
    <row r="462" spans="1:5" ht="15" customHeight="1">
      <c r="A462" s="76"/>
      <c r="B462" s="112"/>
      <c r="C462" s="61" t="s">
        <v>150</v>
      </c>
      <c r="D462" s="71">
        <v>27</v>
      </c>
      <c r="E462" s="70">
        <v>1E-3</v>
      </c>
    </row>
    <row r="463" spans="1:5" ht="15" customHeight="1">
      <c r="A463" s="76"/>
      <c r="B463" s="112"/>
      <c r="C463" s="61" t="s">
        <v>160</v>
      </c>
      <c r="D463" s="71">
        <v>24</v>
      </c>
      <c r="E463" s="70">
        <v>1E-3</v>
      </c>
    </row>
    <row r="464" spans="1:5" ht="15" customHeight="1">
      <c r="A464" s="76"/>
      <c r="B464" s="112"/>
      <c r="C464" s="61" t="s">
        <v>157</v>
      </c>
      <c r="D464" s="71">
        <v>21</v>
      </c>
      <c r="E464" s="70">
        <v>1E-3</v>
      </c>
    </row>
    <row r="465" spans="1:5" ht="15" customHeight="1">
      <c r="A465" s="76"/>
      <c r="B465" s="112"/>
      <c r="C465" s="61" t="s">
        <v>148</v>
      </c>
      <c r="D465" s="71">
        <v>17</v>
      </c>
      <c r="E465" s="70">
        <v>1E-3</v>
      </c>
    </row>
    <row r="466" spans="1:5" ht="15" customHeight="1">
      <c r="A466" s="76"/>
      <c r="B466" s="112"/>
      <c r="C466" s="61" t="s">
        <v>166</v>
      </c>
      <c r="D466" s="71">
        <v>10</v>
      </c>
      <c r="E466" s="70">
        <v>0</v>
      </c>
    </row>
    <row r="467" spans="1:5" ht="15" customHeight="1">
      <c r="A467" s="76"/>
      <c r="B467" s="112"/>
      <c r="C467" s="61" t="s">
        <v>189</v>
      </c>
      <c r="D467" s="71">
        <v>10</v>
      </c>
      <c r="E467" s="70">
        <v>0</v>
      </c>
    </row>
    <row r="468" spans="1:5" ht="15" customHeight="1">
      <c r="A468" s="76"/>
      <c r="B468" s="112"/>
      <c r="C468" s="61" t="s">
        <v>191</v>
      </c>
      <c r="D468" s="71">
        <v>10</v>
      </c>
      <c r="E468" s="70">
        <v>0</v>
      </c>
    </row>
    <row r="469" spans="1:5" ht="15" customHeight="1">
      <c r="A469" s="76"/>
      <c r="B469" s="112"/>
      <c r="C469" s="61" t="s">
        <v>154</v>
      </c>
      <c r="D469" s="71">
        <v>9</v>
      </c>
      <c r="E469" s="70">
        <v>0</v>
      </c>
    </row>
    <row r="470" spans="1:5" ht="15" customHeight="1">
      <c r="A470" s="76"/>
      <c r="B470" s="112"/>
      <c r="C470" s="61" t="s">
        <v>192</v>
      </c>
      <c r="D470" s="71">
        <v>9</v>
      </c>
      <c r="E470" s="70">
        <v>0</v>
      </c>
    </row>
    <row r="471" spans="1:5" ht="15" customHeight="1">
      <c r="A471" s="76"/>
      <c r="B471" s="112"/>
      <c r="C471" s="61" t="s">
        <v>147</v>
      </c>
      <c r="D471" s="71">
        <v>4</v>
      </c>
      <c r="E471" s="70">
        <v>0</v>
      </c>
    </row>
    <row r="472" spans="1:5" ht="15" customHeight="1">
      <c r="A472" s="76"/>
      <c r="B472" s="112"/>
      <c r="C472" s="61" t="s">
        <v>173</v>
      </c>
      <c r="D472" s="71">
        <v>4</v>
      </c>
      <c r="E472" s="70">
        <v>0</v>
      </c>
    </row>
    <row r="473" spans="1:5" ht="15" customHeight="1">
      <c r="A473" s="76"/>
      <c r="B473" s="112"/>
      <c r="C473" s="61" t="s">
        <v>171</v>
      </c>
      <c r="D473" s="71">
        <v>3</v>
      </c>
      <c r="E473" s="70">
        <v>0</v>
      </c>
    </row>
    <row r="474" spans="1:5" ht="15" customHeight="1">
      <c r="A474" s="76"/>
      <c r="B474" s="112"/>
      <c r="C474" s="61" t="s">
        <v>158</v>
      </c>
      <c r="D474" s="71">
        <v>3</v>
      </c>
      <c r="E474" s="70">
        <v>0</v>
      </c>
    </row>
    <row r="475" spans="1:5" ht="15" customHeight="1">
      <c r="A475" s="76"/>
      <c r="B475" s="112"/>
      <c r="C475" s="61" t="s">
        <v>165</v>
      </c>
      <c r="D475" s="71">
        <v>2</v>
      </c>
      <c r="E475" s="70">
        <v>0</v>
      </c>
    </row>
    <row r="476" spans="1:5" ht="15" customHeight="1">
      <c r="A476" s="76"/>
      <c r="B476" s="112"/>
      <c r="C476" s="61" t="s">
        <v>169</v>
      </c>
      <c r="D476" s="71">
        <v>2</v>
      </c>
      <c r="E476" s="70">
        <v>0</v>
      </c>
    </row>
    <row r="477" spans="1:5" ht="15" customHeight="1">
      <c r="A477" s="76"/>
      <c r="B477" s="112"/>
      <c r="C477" s="61" t="s">
        <v>161</v>
      </c>
      <c r="D477" s="71">
        <v>2</v>
      </c>
      <c r="E477" s="70">
        <v>0</v>
      </c>
    </row>
    <row r="478" spans="1:5" ht="15" customHeight="1">
      <c r="A478" s="76"/>
      <c r="B478" s="112"/>
      <c r="C478" s="61" t="s">
        <v>285</v>
      </c>
      <c r="D478" s="71">
        <v>2</v>
      </c>
      <c r="E478" s="70">
        <v>0</v>
      </c>
    </row>
    <row r="479" spans="1:5" ht="15" customHeight="1">
      <c r="A479" s="76"/>
      <c r="B479" s="112"/>
      <c r="C479" s="61" t="s">
        <v>174</v>
      </c>
      <c r="D479" s="71">
        <v>2</v>
      </c>
      <c r="E479" s="70">
        <v>0</v>
      </c>
    </row>
    <row r="480" spans="1:5" ht="15" customHeight="1">
      <c r="A480" s="76"/>
      <c r="B480" s="112"/>
      <c r="C480" s="61" t="s">
        <v>175</v>
      </c>
      <c r="D480" s="71">
        <v>2</v>
      </c>
      <c r="E480" s="70">
        <v>0</v>
      </c>
    </row>
    <row r="481" spans="1:5" ht="15" customHeight="1">
      <c r="A481" s="76"/>
      <c r="B481" s="112"/>
      <c r="C481" s="61" t="s">
        <v>152</v>
      </c>
      <c r="D481" s="71">
        <v>2</v>
      </c>
      <c r="E481" s="70">
        <v>0</v>
      </c>
    </row>
    <row r="482" spans="1:5" ht="15" customHeight="1">
      <c r="A482" s="76"/>
      <c r="B482" s="112"/>
      <c r="C482" s="61" t="s">
        <v>177</v>
      </c>
      <c r="D482" s="71">
        <v>1</v>
      </c>
      <c r="E482" s="70">
        <v>0</v>
      </c>
    </row>
    <row r="483" spans="1:5" ht="15" customHeight="1">
      <c r="A483" s="76"/>
      <c r="B483" s="112"/>
      <c r="C483" s="61" t="s">
        <v>149</v>
      </c>
      <c r="D483" s="71">
        <v>1</v>
      </c>
      <c r="E483" s="70">
        <v>0</v>
      </c>
    </row>
    <row r="484" spans="1:5" ht="15" customHeight="1">
      <c r="A484" s="76"/>
      <c r="B484" s="112"/>
      <c r="C484" s="61" t="s">
        <v>178</v>
      </c>
      <c r="D484" s="71">
        <v>1</v>
      </c>
      <c r="E484" s="70">
        <v>0</v>
      </c>
    </row>
    <row r="485" spans="1:5" ht="15" customHeight="1">
      <c r="A485" s="76"/>
      <c r="B485" s="112"/>
      <c r="C485" s="61" t="s">
        <v>151</v>
      </c>
      <c r="D485" s="71">
        <v>1</v>
      </c>
      <c r="E485" s="70">
        <v>0</v>
      </c>
    </row>
    <row r="486" spans="1:5" ht="15" customHeight="1">
      <c r="A486" s="76"/>
      <c r="B486" s="112"/>
      <c r="C486" s="61" t="s">
        <v>181</v>
      </c>
      <c r="D486" s="71">
        <v>1</v>
      </c>
      <c r="E486" s="70">
        <v>0</v>
      </c>
    </row>
    <row r="487" spans="1:5" ht="15" customHeight="1">
      <c r="A487" s="76"/>
      <c r="B487" s="112"/>
      <c r="C487" s="61" t="s">
        <v>183</v>
      </c>
      <c r="D487" s="71">
        <v>1</v>
      </c>
      <c r="E487" s="70">
        <v>0</v>
      </c>
    </row>
    <row r="488" spans="1:5" ht="15" customHeight="1">
      <c r="A488" s="76"/>
      <c r="B488" s="112"/>
      <c r="C488" s="61" t="s">
        <v>159</v>
      </c>
      <c r="D488" s="71">
        <v>1</v>
      </c>
      <c r="E488" s="70">
        <v>0</v>
      </c>
    </row>
    <row r="489" spans="1:5" ht="15" customHeight="1">
      <c r="A489" s="76"/>
      <c r="B489" s="112"/>
      <c r="C489" s="74" t="s">
        <v>309</v>
      </c>
      <c r="D489" s="77">
        <v>507</v>
      </c>
      <c r="E489" s="75">
        <v>1.9E-2</v>
      </c>
    </row>
    <row r="490" spans="1:5" ht="15" customHeight="1">
      <c r="A490" s="76"/>
      <c r="B490" s="112" t="s">
        <v>98</v>
      </c>
      <c r="C490" s="61" t="s">
        <v>146</v>
      </c>
      <c r="D490" s="71">
        <v>56</v>
      </c>
      <c r="E490" s="70">
        <v>2E-3</v>
      </c>
    </row>
    <row r="491" spans="1:5" ht="15" customHeight="1">
      <c r="A491" s="76"/>
      <c r="B491" s="112"/>
      <c r="C491" s="61" t="s">
        <v>155</v>
      </c>
      <c r="D491" s="71">
        <v>35</v>
      </c>
      <c r="E491" s="70">
        <v>1E-3</v>
      </c>
    </row>
    <row r="492" spans="1:5" ht="15" customHeight="1">
      <c r="A492" s="76"/>
      <c r="B492" s="112"/>
      <c r="C492" s="61" t="s">
        <v>191</v>
      </c>
      <c r="D492" s="71">
        <v>31</v>
      </c>
      <c r="E492" s="70">
        <v>1E-3</v>
      </c>
    </row>
    <row r="493" spans="1:5" ht="15" customHeight="1">
      <c r="A493" s="76"/>
      <c r="B493" s="112"/>
      <c r="C493" s="61" t="s">
        <v>148</v>
      </c>
      <c r="D493" s="71">
        <v>17</v>
      </c>
      <c r="E493" s="70">
        <v>1E-3</v>
      </c>
    </row>
    <row r="494" spans="1:5" ht="15" customHeight="1">
      <c r="A494" s="76"/>
      <c r="B494" s="112"/>
      <c r="C494" s="61" t="s">
        <v>175</v>
      </c>
      <c r="D494" s="71">
        <v>17</v>
      </c>
      <c r="E494" s="70">
        <v>1E-3</v>
      </c>
    </row>
    <row r="495" spans="1:5" ht="15" customHeight="1">
      <c r="A495" s="76"/>
      <c r="B495" s="112"/>
      <c r="C495" s="61" t="s">
        <v>160</v>
      </c>
      <c r="D495" s="71">
        <v>17</v>
      </c>
      <c r="E495" s="70">
        <v>1E-3</v>
      </c>
    </row>
    <row r="496" spans="1:5" ht="15" customHeight="1">
      <c r="A496" s="76"/>
      <c r="B496" s="112"/>
      <c r="C496" s="61" t="s">
        <v>159</v>
      </c>
      <c r="D496" s="71">
        <v>15</v>
      </c>
      <c r="E496" s="70">
        <v>1E-3</v>
      </c>
    </row>
    <row r="497" spans="1:5" ht="15" customHeight="1">
      <c r="A497" s="76"/>
      <c r="B497" s="112"/>
      <c r="C497" s="61" t="s">
        <v>147</v>
      </c>
      <c r="D497" s="71">
        <v>14</v>
      </c>
      <c r="E497" s="70">
        <v>1E-3</v>
      </c>
    </row>
    <row r="498" spans="1:5" ht="15" customHeight="1">
      <c r="A498" s="76"/>
      <c r="B498" s="112"/>
      <c r="C498" s="61" t="s">
        <v>154</v>
      </c>
      <c r="D498" s="71">
        <v>12</v>
      </c>
      <c r="E498" s="70">
        <v>0</v>
      </c>
    </row>
    <row r="499" spans="1:5" ht="15" customHeight="1">
      <c r="A499" s="76"/>
      <c r="B499" s="112"/>
      <c r="C499" s="61" t="s">
        <v>192</v>
      </c>
      <c r="D499" s="71">
        <v>12</v>
      </c>
      <c r="E499" s="70">
        <v>0</v>
      </c>
    </row>
    <row r="500" spans="1:5" ht="15" customHeight="1">
      <c r="A500" s="76"/>
      <c r="B500" s="112"/>
      <c r="C500" s="61" t="s">
        <v>178</v>
      </c>
      <c r="D500" s="71">
        <v>10</v>
      </c>
      <c r="E500" s="70">
        <v>0</v>
      </c>
    </row>
    <row r="501" spans="1:5" ht="15" customHeight="1">
      <c r="A501" s="76"/>
      <c r="B501" s="112"/>
      <c r="C501" s="61" t="s">
        <v>166</v>
      </c>
      <c r="D501" s="71">
        <v>9</v>
      </c>
      <c r="E501" s="70">
        <v>0</v>
      </c>
    </row>
    <row r="502" spans="1:5" ht="15" customHeight="1">
      <c r="A502" s="76"/>
      <c r="B502" s="112"/>
      <c r="C502" s="61" t="s">
        <v>180</v>
      </c>
      <c r="D502" s="71">
        <v>9</v>
      </c>
      <c r="E502" s="70">
        <v>0</v>
      </c>
    </row>
    <row r="503" spans="1:5" ht="15" customHeight="1">
      <c r="A503" s="76"/>
      <c r="B503" s="112"/>
      <c r="C503" s="61" t="s">
        <v>152</v>
      </c>
      <c r="D503" s="71">
        <v>9</v>
      </c>
      <c r="E503" s="70">
        <v>0</v>
      </c>
    </row>
    <row r="504" spans="1:5" ht="15" customHeight="1">
      <c r="A504" s="76"/>
      <c r="B504" s="112"/>
      <c r="C504" s="61" t="s">
        <v>189</v>
      </c>
      <c r="D504" s="71">
        <v>9</v>
      </c>
      <c r="E504" s="70">
        <v>0</v>
      </c>
    </row>
    <row r="505" spans="1:5" ht="15" customHeight="1">
      <c r="A505" s="76"/>
      <c r="B505" s="112"/>
      <c r="C505" s="61" t="s">
        <v>165</v>
      </c>
      <c r="D505" s="71">
        <v>7</v>
      </c>
      <c r="E505" s="70">
        <v>0</v>
      </c>
    </row>
    <row r="506" spans="1:5" ht="15" customHeight="1">
      <c r="A506" s="76"/>
      <c r="B506" s="112"/>
      <c r="C506" s="61" t="s">
        <v>167</v>
      </c>
      <c r="D506" s="71">
        <v>7</v>
      </c>
      <c r="E506" s="70">
        <v>0</v>
      </c>
    </row>
    <row r="507" spans="1:5" ht="15" customHeight="1">
      <c r="A507" s="76"/>
      <c r="B507" s="112"/>
      <c r="C507" s="61" t="s">
        <v>173</v>
      </c>
      <c r="D507" s="71">
        <v>7</v>
      </c>
      <c r="E507" s="70">
        <v>0</v>
      </c>
    </row>
    <row r="508" spans="1:5" ht="15" customHeight="1">
      <c r="A508" s="76"/>
      <c r="B508" s="112"/>
      <c r="C508" s="61" t="s">
        <v>174</v>
      </c>
      <c r="D508" s="71">
        <v>7</v>
      </c>
      <c r="E508" s="70">
        <v>0</v>
      </c>
    </row>
    <row r="509" spans="1:5" ht="15" customHeight="1">
      <c r="A509" s="76"/>
      <c r="B509" s="112"/>
      <c r="C509" s="61" t="s">
        <v>151</v>
      </c>
      <c r="D509" s="71">
        <v>7</v>
      </c>
      <c r="E509" s="70">
        <v>0</v>
      </c>
    </row>
    <row r="510" spans="1:5" ht="15" customHeight="1">
      <c r="A510" s="76"/>
      <c r="B510" s="112"/>
      <c r="C510" s="61" t="s">
        <v>183</v>
      </c>
      <c r="D510" s="71">
        <v>7</v>
      </c>
      <c r="E510" s="70">
        <v>0</v>
      </c>
    </row>
    <row r="511" spans="1:5" ht="15" customHeight="1">
      <c r="A511" s="76"/>
      <c r="B511" s="112"/>
      <c r="C511" s="61" t="s">
        <v>170</v>
      </c>
      <c r="D511" s="71">
        <v>6</v>
      </c>
      <c r="E511" s="70">
        <v>0</v>
      </c>
    </row>
    <row r="512" spans="1:5" ht="15" customHeight="1">
      <c r="A512" s="76"/>
      <c r="B512" s="112"/>
      <c r="C512" s="61" t="s">
        <v>149</v>
      </c>
      <c r="D512" s="71">
        <v>6</v>
      </c>
      <c r="E512" s="70">
        <v>0</v>
      </c>
    </row>
    <row r="513" spans="1:5" ht="15" customHeight="1">
      <c r="A513" s="76"/>
      <c r="B513" s="112"/>
      <c r="C513" s="61" t="s">
        <v>188</v>
      </c>
      <c r="D513" s="71">
        <v>6</v>
      </c>
      <c r="E513" s="70">
        <v>0</v>
      </c>
    </row>
    <row r="514" spans="1:5" ht="15" customHeight="1">
      <c r="A514" s="76"/>
      <c r="B514" s="112"/>
      <c r="C514" s="61" t="s">
        <v>285</v>
      </c>
      <c r="D514" s="71">
        <v>5</v>
      </c>
      <c r="E514" s="70">
        <v>0</v>
      </c>
    </row>
    <row r="515" spans="1:5" ht="15" customHeight="1">
      <c r="A515" s="76"/>
      <c r="B515" s="112"/>
      <c r="C515" s="61" t="s">
        <v>153</v>
      </c>
      <c r="D515" s="71">
        <v>5</v>
      </c>
      <c r="E515" s="70">
        <v>0</v>
      </c>
    </row>
    <row r="516" spans="1:5" ht="15" customHeight="1">
      <c r="A516" s="76"/>
      <c r="B516" s="112"/>
      <c r="C516" s="61" t="s">
        <v>187</v>
      </c>
      <c r="D516" s="71">
        <v>5</v>
      </c>
      <c r="E516" s="70">
        <v>0</v>
      </c>
    </row>
    <row r="517" spans="1:5" ht="15" customHeight="1">
      <c r="A517" s="76"/>
      <c r="B517" s="112"/>
      <c r="C517" s="61" t="s">
        <v>193</v>
      </c>
      <c r="D517" s="71">
        <v>4</v>
      </c>
      <c r="E517" s="70">
        <v>0</v>
      </c>
    </row>
    <row r="518" spans="1:5" ht="15" customHeight="1">
      <c r="A518" s="76"/>
      <c r="B518" s="112"/>
      <c r="C518" s="61" t="s">
        <v>162</v>
      </c>
      <c r="D518" s="71">
        <v>4</v>
      </c>
      <c r="E518" s="70">
        <v>0</v>
      </c>
    </row>
    <row r="519" spans="1:5" ht="15" customHeight="1">
      <c r="A519" s="76"/>
      <c r="B519" s="112"/>
      <c r="C519" s="61" t="s">
        <v>185</v>
      </c>
      <c r="D519" s="71">
        <v>4</v>
      </c>
      <c r="E519" s="70">
        <v>0</v>
      </c>
    </row>
    <row r="520" spans="1:5" ht="15" customHeight="1">
      <c r="A520" s="76"/>
      <c r="B520" s="112"/>
      <c r="C520" s="61" t="s">
        <v>157</v>
      </c>
      <c r="D520" s="71">
        <v>4</v>
      </c>
      <c r="E520" s="70">
        <v>0</v>
      </c>
    </row>
    <row r="521" spans="1:5" ht="15" customHeight="1">
      <c r="A521" s="76"/>
      <c r="B521" s="112"/>
      <c r="C521" s="61" t="s">
        <v>164</v>
      </c>
      <c r="D521" s="71">
        <v>3</v>
      </c>
      <c r="E521" s="70">
        <v>0</v>
      </c>
    </row>
    <row r="522" spans="1:5" ht="15" customHeight="1">
      <c r="A522" s="76"/>
      <c r="B522" s="112"/>
      <c r="C522" s="61" t="s">
        <v>168</v>
      </c>
      <c r="D522" s="71">
        <v>3</v>
      </c>
      <c r="E522" s="70">
        <v>0</v>
      </c>
    </row>
    <row r="523" spans="1:5" ht="15" customHeight="1">
      <c r="A523" s="76"/>
      <c r="B523" s="112"/>
      <c r="C523" s="61" t="s">
        <v>171</v>
      </c>
      <c r="D523" s="71">
        <v>3</v>
      </c>
      <c r="E523" s="70">
        <v>0</v>
      </c>
    </row>
    <row r="524" spans="1:5" ht="15" customHeight="1">
      <c r="A524" s="76"/>
      <c r="B524" s="112"/>
      <c r="C524" s="61" t="s">
        <v>176</v>
      </c>
      <c r="D524" s="71">
        <v>3</v>
      </c>
      <c r="E524" s="70">
        <v>0</v>
      </c>
    </row>
    <row r="525" spans="1:5" ht="15" customHeight="1">
      <c r="A525" s="76"/>
      <c r="B525" s="112"/>
      <c r="C525" s="61" t="s">
        <v>195</v>
      </c>
      <c r="D525" s="71">
        <v>3</v>
      </c>
      <c r="E525" s="70">
        <v>0</v>
      </c>
    </row>
    <row r="526" spans="1:5" ht="15" customHeight="1">
      <c r="A526" s="76"/>
      <c r="B526" s="112"/>
      <c r="C526" s="61" t="s">
        <v>163</v>
      </c>
      <c r="D526" s="71">
        <v>2</v>
      </c>
      <c r="E526" s="70">
        <v>0</v>
      </c>
    </row>
    <row r="527" spans="1:5" ht="15" customHeight="1">
      <c r="A527" s="76"/>
      <c r="B527" s="112"/>
      <c r="C527" s="61" t="s">
        <v>161</v>
      </c>
      <c r="D527" s="71">
        <v>2</v>
      </c>
      <c r="E527" s="70">
        <v>0</v>
      </c>
    </row>
    <row r="528" spans="1:5" ht="15" customHeight="1">
      <c r="A528" s="76"/>
      <c r="B528" s="112"/>
      <c r="C528" s="61" t="s">
        <v>172</v>
      </c>
      <c r="D528" s="71">
        <v>2</v>
      </c>
      <c r="E528" s="70">
        <v>0</v>
      </c>
    </row>
    <row r="529" spans="1:5" ht="15" customHeight="1">
      <c r="A529" s="76"/>
      <c r="B529" s="112"/>
      <c r="C529" s="61" t="s">
        <v>150</v>
      </c>
      <c r="D529" s="71">
        <v>2</v>
      </c>
      <c r="E529" s="70">
        <v>0</v>
      </c>
    </row>
    <row r="530" spans="1:5" ht="15" customHeight="1">
      <c r="A530" s="76"/>
      <c r="B530" s="112"/>
      <c r="C530" s="61" t="s">
        <v>182</v>
      </c>
      <c r="D530" s="71">
        <v>2</v>
      </c>
      <c r="E530" s="70">
        <v>0</v>
      </c>
    </row>
    <row r="531" spans="1:5" ht="15" customHeight="1">
      <c r="A531" s="76"/>
      <c r="B531" s="112"/>
      <c r="C531" s="61" t="s">
        <v>186</v>
      </c>
      <c r="D531" s="71">
        <v>2</v>
      </c>
      <c r="E531" s="70">
        <v>0</v>
      </c>
    </row>
    <row r="532" spans="1:5" ht="15" customHeight="1">
      <c r="A532" s="76"/>
      <c r="B532" s="112"/>
      <c r="C532" s="61" t="s">
        <v>197</v>
      </c>
      <c r="D532" s="71">
        <v>1</v>
      </c>
      <c r="E532" s="70">
        <v>0</v>
      </c>
    </row>
    <row r="533" spans="1:5" ht="15" customHeight="1">
      <c r="A533" s="76"/>
      <c r="B533" s="112"/>
      <c r="C533" s="61" t="s">
        <v>198</v>
      </c>
      <c r="D533" s="71">
        <v>1</v>
      </c>
      <c r="E533" s="70">
        <v>0</v>
      </c>
    </row>
    <row r="534" spans="1:5" ht="15" customHeight="1">
      <c r="A534" s="76"/>
      <c r="B534" s="112"/>
      <c r="C534" s="61" t="s">
        <v>199</v>
      </c>
      <c r="D534" s="71">
        <v>1</v>
      </c>
      <c r="E534" s="70">
        <v>0</v>
      </c>
    </row>
    <row r="535" spans="1:5" ht="15" customHeight="1">
      <c r="A535" s="76"/>
      <c r="B535" s="112"/>
      <c r="C535" s="61" t="s">
        <v>177</v>
      </c>
      <c r="D535" s="71">
        <v>1</v>
      </c>
      <c r="E535" s="70">
        <v>0</v>
      </c>
    </row>
    <row r="536" spans="1:5" ht="15" customHeight="1">
      <c r="A536" s="76"/>
      <c r="B536" s="112"/>
      <c r="C536" s="61" t="s">
        <v>201</v>
      </c>
      <c r="D536" s="71">
        <v>1</v>
      </c>
      <c r="E536" s="70">
        <v>0</v>
      </c>
    </row>
    <row r="537" spans="1:5" ht="15" customHeight="1">
      <c r="A537" s="76"/>
      <c r="B537" s="112"/>
      <c r="C537" s="61" t="s">
        <v>181</v>
      </c>
      <c r="D537" s="71">
        <v>1</v>
      </c>
      <c r="E537" s="70">
        <v>0</v>
      </c>
    </row>
    <row r="538" spans="1:5" ht="15" customHeight="1">
      <c r="A538" s="76"/>
      <c r="B538" s="112"/>
      <c r="C538" s="61" t="s">
        <v>158</v>
      </c>
      <c r="D538" s="71">
        <v>1</v>
      </c>
      <c r="E538" s="70">
        <v>0</v>
      </c>
    </row>
    <row r="539" spans="1:5" ht="15" customHeight="1">
      <c r="A539" s="76"/>
      <c r="B539" s="112"/>
      <c r="C539" s="74" t="s">
        <v>309</v>
      </c>
      <c r="D539" s="77">
        <v>397</v>
      </c>
      <c r="E539" s="75">
        <v>1.4999999999999999E-2</v>
      </c>
    </row>
    <row r="540" spans="1:5" ht="15" customHeight="1">
      <c r="A540" s="76"/>
      <c r="B540" s="112" t="s">
        <v>127</v>
      </c>
      <c r="C540" s="61" t="s">
        <v>153</v>
      </c>
      <c r="D540" s="71">
        <v>53</v>
      </c>
      <c r="E540" s="70">
        <v>2E-3</v>
      </c>
    </row>
    <row r="541" spans="1:5" ht="15" customHeight="1">
      <c r="A541" s="76"/>
      <c r="B541" s="112"/>
      <c r="C541" s="61" t="s">
        <v>146</v>
      </c>
      <c r="D541" s="71">
        <v>33</v>
      </c>
      <c r="E541" s="70">
        <v>1E-3</v>
      </c>
    </row>
    <row r="542" spans="1:5" ht="15" customHeight="1">
      <c r="A542" s="76"/>
      <c r="B542" s="112"/>
      <c r="C542" s="61" t="s">
        <v>173</v>
      </c>
      <c r="D542" s="71">
        <v>33</v>
      </c>
      <c r="E542" s="70">
        <v>1E-3</v>
      </c>
    </row>
    <row r="543" spans="1:5" ht="15" customHeight="1">
      <c r="A543" s="76"/>
      <c r="B543" s="112"/>
      <c r="C543" s="61" t="s">
        <v>155</v>
      </c>
      <c r="D543" s="71">
        <v>30</v>
      </c>
      <c r="E543" s="70">
        <v>1E-3</v>
      </c>
    </row>
    <row r="544" spans="1:5" ht="15" customHeight="1">
      <c r="A544" s="76"/>
      <c r="B544" s="112"/>
      <c r="C544" s="61" t="s">
        <v>191</v>
      </c>
      <c r="D544" s="71">
        <v>24</v>
      </c>
      <c r="E544" s="70">
        <v>1E-3</v>
      </c>
    </row>
    <row r="545" spans="1:5" ht="15" customHeight="1">
      <c r="A545" s="76"/>
      <c r="B545" s="112"/>
      <c r="C545" s="61" t="s">
        <v>162</v>
      </c>
      <c r="D545" s="71">
        <v>20</v>
      </c>
      <c r="E545" s="70">
        <v>1E-3</v>
      </c>
    </row>
    <row r="546" spans="1:5" ht="15" customHeight="1">
      <c r="A546" s="76"/>
      <c r="B546" s="112"/>
      <c r="C546" s="61" t="s">
        <v>147</v>
      </c>
      <c r="D546" s="71">
        <v>19</v>
      </c>
      <c r="E546" s="70">
        <v>1E-3</v>
      </c>
    </row>
    <row r="547" spans="1:5" ht="15" customHeight="1">
      <c r="A547" s="76"/>
      <c r="B547" s="112"/>
      <c r="C547" s="61" t="s">
        <v>148</v>
      </c>
      <c r="D547" s="71">
        <v>18</v>
      </c>
      <c r="E547" s="70">
        <v>1E-3</v>
      </c>
    </row>
    <row r="548" spans="1:5" ht="15" customHeight="1">
      <c r="A548" s="76"/>
      <c r="B548" s="112"/>
      <c r="C548" s="61" t="s">
        <v>154</v>
      </c>
      <c r="D548" s="71">
        <v>18</v>
      </c>
      <c r="E548" s="70">
        <v>1E-3</v>
      </c>
    </row>
    <row r="549" spans="1:5" ht="15" customHeight="1">
      <c r="A549" s="76"/>
      <c r="B549" s="112"/>
      <c r="C549" s="61" t="s">
        <v>160</v>
      </c>
      <c r="D549" s="71">
        <v>16</v>
      </c>
      <c r="E549" s="70">
        <v>1E-3</v>
      </c>
    </row>
    <row r="550" spans="1:5" ht="15" customHeight="1">
      <c r="A550" s="76"/>
      <c r="B550" s="112"/>
      <c r="C550" s="61" t="s">
        <v>150</v>
      </c>
      <c r="D550" s="71">
        <v>14</v>
      </c>
      <c r="E550" s="70">
        <v>1E-3</v>
      </c>
    </row>
    <row r="551" spans="1:5" ht="15" customHeight="1">
      <c r="A551" s="76"/>
      <c r="B551" s="112"/>
      <c r="C551" s="61" t="s">
        <v>169</v>
      </c>
      <c r="D551" s="71">
        <v>11</v>
      </c>
      <c r="E551" s="70">
        <v>0</v>
      </c>
    </row>
    <row r="552" spans="1:5" ht="15" customHeight="1">
      <c r="A552" s="76"/>
      <c r="B552" s="112"/>
      <c r="C552" s="61" t="s">
        <v>165</v>
      </c>
      <c r="D552" s="71">
        <v>9</v>
      </c>
      <c r="E552" s="70">
        <v>0</v>
      </c>
    </row>
    <row r="553" spans="1:5" ht="15" customHeight="1">
      <c r="A553" s="76"/>
      <c r="B553" s="112"/>
      <c r="C553" s="61" t="s">
        <v>196</v>
      </c>
      <c r="D553" s="71">
        <v>8</v>
      </c>
      <c r="E553" s="70">
        <v>0</v>
      </c>
    </row>
    <row r="554" spans="1:5" ht="15" customHeight="1">
      <c r="A554" s="76"/>
      <c r="B554" s="112"/>
      <c r="C554" s="61" t="s">
        <v>183</v>
      </c>
      <c r="D554" s="71">
        <v>7</v>
      </c>
      <c r="E554" s="70">
        <v>0</v>
      </c>
    </row>
    <row r="555" spans="1:5" ht="15" customHeight="1">
      <c r="A555" s="76"/>
      <c r="B555" s="112"/>
      <c r="C555" s="61" t="s">
        <v>168</v>
      </c>
      <c r="D555" s="71">
        <v>5</v>
      </c>
      <c r="E555" s="70">
        <v>0</v>
      </c>
    </row>
    <row r="556" spans="1:5" ht="15" customHeight="1">
      <c r="A556" s="76"/>
      <c r="B556" s="112"/>
      <c r="C556" s="61" t="s">
        <v>171</v>
      </c>
      <c r="D556" s="71">
        <v>5</v>
      </c>
      <c r="E556" s="70">
        <v>0</v>
      </c>
    </row>
    <row r="557" spans="1:5" ht="15" customHeight="1">
      <c r="A557" s="76"/>
      <c r="B557" s="112"/>
      <c r="C557" s="61" t="s">
        <v>177</v>
      </c>
      <c r="D557" s="71">
        <v>5</v>
      </c>
      <c r="E557" s="70">
        <v>0</v>
      </c>
    </row>
    <row r="558" spans="1:5" ht="15" customHeight="1">
      <c r="A558" s="76"/>
      <c r="B558" s="112"/>
      <c r="C558" s="61" t="s">
        <v>182</v>
      </c>
      <c r="D558" s="71">
        <v>5</v>
      </c>
      <c r="E558" s="70">
        <v>0</v>
      </c>
    </row>
    <row r="559" spans="1:5" ht="15" customHeight="1">
      <c r="A559" s="76"/>
      <c r="B559" s="112"/>
      <c r="C559" s="61" t="s">
        <v>157</v>
      </c>
      <c r="D559" s="71">
        <v>5</v>
      </c>
      <c r="E559" s="70">
        <v>0</v>
      </c>
    </row>
    <row r="560" spans="1:5" ht="15" customHeight="1">
      <c r="A560" s="76"/>
      <c r="B560" s="112"/>
      <c r="C560" s="61" t="s">
        <v>192</v>
      </c>
      <c r="D560" s="71">
        <v>5</v>
      </c>
      <c r="E560" s="70">
        <v>0</v>
      </c>
    </row>
    <row r="561" spans="1:5" ht="15" customHeight="1">
      <c r="A561" s="76"/>
      <c r="B561" s="112"/>
      <c r="C561" s="61" t="s">
        <v>203</v>
      </c>
      <c r="D561" s="71">
        <v>4</v>
      </c>
      <c r="E561" s="70">
        <v>0</v>
      </c>
    </row>
    <row r="562" spans="1:5" ht="15" customHeight="1">
      <c r="A562" s="76"/>
      <c r="B562" s="112"/>
      <c r="C562" s="61" t="s">
        <v>189</v>
      </c>
      <c r="D562" s="71">
        <v>4</v>
      </c>
      <c r="E562" s="70">
        <v>0</v>
      </c>
    </row>
    <row r="563" spans="1:5" ht="15" customHeight="1">
      <c r="A563" s="76"/>
      <c r="B563" s="112"/>
      <c r="C563" s="61" t="s">
        <v>175</v>
      </c>
      <c r="D563" s="71">
        <v>3</v>
      </c>
      <c r="E563" s="70">
        <v>0</v>
      </c>
    </row>
    <row r="564" spans="1:5" ht="15" customHeight="1">
      <c r="A564" s="76"/>
      <c r="B564" s="112"/>
      <c r="C564" s="61" t="s">
        <v>178</v>
      </c>
      <c r="D564" s="71">
        <v>3</v>
      </c>
      <c r="E564" s="70">
        <v>0</v>
      </c>
    </row>
    <row r="565" spans="1:5" ht="15" customHeight="1">
      <c r="A565" s="76"/>
      <c r="B565" s="112"/>
      <c r="C565" s="61" t="s">
        <v>156</v>
      </c>
      <c r="D565" s="71">
        <v>3</v>
      </c>
      <c r="E565" s="70">
        <v>0</v>
      </c>
    </row>
    <row r="566" spans="1:5" ht="15" customHeight="1">
      <c r="A566" s="76"/>
      <c r="B566" s="112"/>
      <c r="C566" s="61" t="s">
        <v>159</v>
      </c>
      <c r="D566" s="71">
        <v>3</v>
      </c>
      <c r="E566" s="70">
        <v>0</v>
      </c>
    </row>
    <row r="567" spans="1:5" ht="15" customHeight="1">
      <c r="A567" s="76"/>
      <c r="B567" s="112"/>
      <c r="C567" s="61" t="s">
        <v>174</v>
      </c>
      <c r="D567" s="71">
        <v>2</v>
      </c>
      <c r="E567" s="70">
        <v>0</v>
      </c>
    </row>
    <row r="568" spans="1:5" ht="15" customHeight="1">
      <c r="A568" s="76"/>
      <c r="B568" s="112"/>
      <c r="C568" s="61" t="s">
        <v>176</v>
      </c>
      <c r="D568" s="71">
        <v>2</v>
      </c>
      <c r="E568" s="70">
        <v>0</v>
      </c>
    </row>
    <row r="569" spans="1:5" ht="15" customHeight="1">
      <c r="A569" s="76"/>
      <c r="B569" s="112"/>
      <c r="C569" s="61" t="s">
        <v>195</v>
      </c>
      <c r="D569" s="71">
        <v>2</v>
      </c>
      <c r="E569" s="70">
        <v>0</v>
      </c>
    </row>
    <row r="570" spans="1:5" ht="15" customHeight="1">
      <c r="A570" s="76"/>
      <c r="B570" s="112"/>
      <c r="C570" s="61" t="s">
        <v>158</v>
      </c>
      <c r="D570" s="71">
        <v>2</v>
      </c>
      <c r="E570" s="70">
        <v>0</v>
      </c>
    </row>
    <row r="571" spans="1:5" ht="15" customHeight="1">
      <c r="A571" s="76"/>
      <c r="B571" s="112"/>
      <c r="C571" s="61" t="s">
        <v>166</v>
      </c>
      <c r="D571" s="71">
        <v>1</v>
      </c>
      <c r="E571" s="70">
        <v>0</v>
      </c>
    </row>
    <row r="572" spans="1:5" ht="15" customHeight="1">
      <c r="A572" s="76"/>
      <c r="B572" s="112"/>
      <c r="C572" s="61" t="s">
        <v>167</v>
      </c>
      <c r="D572" s="71">
        <v>1</v>
      </c>
      <c r="E572" s="70">
        <v>0</v>
      </c>
    </row>
    <row r="573" spans="1:5" ht="15" customHeight="1">
      <c r="A573" s="76"/>
      <c r="B573" s="112"/>
      <c r="C573" s="61" t="s">
        <v>170</v>
      </c>
      <c r="D573" s="71">
        <v>1</v>
      </c>
      <c r="E573" s="70">
        <v>0</v>
      </c>
    </row>
    <row r="574" spans="1:5" ht="15" customHeight="1">
      <c r="A574" s="76"/>
      <c r="B574" s="112"/>
      <c r="C574" s="61" t="s">
        <v>199</v>
      </c>
      <c r="D574" s="71">
        <v>1</v>
      </c>
      <c r="E574" s="70">
        <v>0</v>
      </c>
    </row>
    <row r="575" spans="1:5" ht="15" customHeight="1">
      <c r="A575" s="76"/>
      <c r="B575" s="112"/>
      <c r="C575" s="61" t="s">
        <v>149</v>
      </c>
      <c r="D575" s="71">
        <v>1</v>
      </c>
      <c r="E575" s="70">
        <v>0</v>
      </c>
    </row>
    <row r="576" spans="1:5" ht="15" customHeight="1">
      <c r="A576" s="76"/>
      <c r="B576" s="112"/>
      <c r="C576" s="61" t="s">
        <v>193</v>
      </c>
      <c r="D576" s="71">
        <v>1</v>
      </c>
      <c r="E576" s="70">
        <v>0</v>
      </c>
    </row>
    <row r="577" spans="1:5" ht="15" customHeight="1">
      <c r="A577" s="76"/>
      <c r="B577" s="112"/>
      <c r="C577" s="61" t="s">
        <v>180</v>
      </c>
      <c r="D577" s="71">
        <v>1</v>
      </c>
      <c r="E577" s="70">
        <v>0</v>
      </c>
    </row>
    <row r="578" spans="1:5" ht="15" customHeight="1">
      <c r="A578" s="76"/>
      <c r="B578" s="112"/>
      <c r="C578" s="61" t="s">
        <v>152</v>
      </c>
      <c r="D578" s="71">
        <v>1</v>
      </c>
      <c r="E578" s="70">
        <v>0</v>
      </c>
    </row>
    <row r="579" spans="1:5" ht="15" customHeight="1">
      <c r="A579" s="76"/>
      <c r="B579" s="112"/>
      <c r="C579" s="61" t="s">
        <v>194</v>
      </c>
      <c r="D579" s="71">
        <v>1</v>
      </c>
      <c r="E579" s="70">
        <v>0</v>
      </c>
    </row>
    <row r="580" spans="1:5" ht="15" customHeight="1">
      <c r="A580" s="76"/>
      <c r="B580" s="112"/>
      <c r="C580" s="61" t="s">
        <v>185</v>
      </c>
      <c r="D580" s="71">
        <v>1</v>
      </c>
      <c r="E580" s="70">
        <v>0</v>
      </c>
    </row>
    <row r="581" spans="1:5" ht="15" customHeight="1">
      <c r="A581" s="76"/>
      <c r="B581" s="112"/>
      <c r="C581" s="61" t="s">
        <v>187</v>
      </c>
      <c r="D581" s="71">
        <v>1</v>
      </c>
      <c r="E581" s="70">
        <v>0</v>
      </c>
    </row>
    <row r="582" spans="1:5" ht="15" customHeight="1">
      <c r="A582" s="76"/>
      <c r="B582" s="112"/>
      <c r="C582" s="61" t="s">
        <v>188</v>
      </c>
      <c r="D582" s="71">
        <v>1</v>
      </c>
      <c r="E582" s="70">
        <v>0</v>
      </c>
    </row>
    <row r="583" spans="1:5" ht="15" customHeight="1">
      <c r="A583" s="76"/>
      <c r="B583" s="112"/>
      <c r="C583" s="61" t="s">
        <v>190</v>
      </c>
      <c r="D583" s="71">
        <v>1</v>
      </c>
      <c r="E583" s="70">
        <v>0</v>
      </c>
    </row>
    <row r="584" spans="1:5" ht="15" customHeight="1">
      <c r="A584" s="76"/>
      <c r="B584" s="112"/>
      <c r="C584" s="74" t="s">
        <v>309</v>
      </c>
      <c r="D584" s="77">
        <v>384</v>
      </c>
      <c r="E584" s="75">
        <v>1.4E-2</v>
      </c>
    </row>
    <row r="585" spans="1:5" ht="15" customHeight="1">
      <c r="A585" s="76"/>
      <c r="B585" s="112" t="s">
        <v>141</v>
      </c>
      <c r="C585" s="61" t="s">
        <v>162</v>
      </c>
      <c r="D585" s="71">
        <v>66</v>
      </c>
      <c r="E585" s="70">
        <v>2E-3</v>
      </c>
    </row>
    <row r="586" spans="1:5" ht="15" customHeight="1">
      <c r="A586" s="76"/>
      <c r="B586" s="112"/>
      <c r="C586" s="61" t="s">
        <v>147</v>
      </c>
      <c r="D586" s="71">
        <v>44</v>
      </c>
      <c r="E586" s="70">
        <v>2E-3</v>
      </c>
    </row>
    <row r="587" spans="1:5" ht="15" customHeight="1">
      <c r="A587" s="76"/>
      <c r="B587" s="112"/>
      <c r="C587" s="61" t="s">
        <v>146</v>
      </c>
      <c r="D587" s="71">
        <v>38</v>
      </c>
      <c r="E587" s="70">
        <v>1E-3</v>
      </c>
    </row>
    <row r="588" spans="1:5" ht="15" customHeight="1">
      <c r="A588" s="76"/>
      <c r="B588" s="112"/>
      <c r="C588" s="61" t="s">
        <v>160</v>
      </c>
      <c r="D588" s="71">
        <v>23</v>
      </c>
      <c r="E588" s="70">
        <v>1E-3</v>
      </c>
    </row>
    <row r="589" spans="1:5" ht="15" customHeight="1">
      <c r="A589" s="76"/>
      <c r="B589" s="112"/>
      <c r="C589" s="61" t="s">
        <v>158</v>
      </c>
      <c r="D589" s="71">
        <v>20</v>
      </c>
      <c r="E589" s="70">
        <v>1E-3</v>
      </c>
    </row>
    <row r="590" spans="1:5" ht="15" customHeight="1">
      <c r="A590" s="76"/>
      <c r="B590" s="112"/>
      <c r="C590" s="61" t="s">
        <v>189</v>
      </c>
      <c r="D590" s="71">
        <v>19</v>
      </c>
      <c r="E590" s="70">
        <v>1E-3</v>
      </c>
    </row>
    <row r="591" spans="1:5" ht="15" customHeight="1">
      <c r="A591" s="76"/>
      <c r="B591" s="112"/>
      <c r="C591" s="61" t="s">
        <v>159</v>
      </c>
      <c r="D591" s="71">
        <v>19</v>
      </c>
      <c r="E591" s="70">
        <v>1E-3</v>
      </c>
    </row>
    <row r="592" spans="1:5" ht="15" customHeight="1">
      <c r="A592" s="76"/>
      <c r="B592" s="112"/>
      <c r="C592" s="61" t="s">
        <v>148</v>
      </c>
      <c r="D592" s="71">
        <v>16</v>
      </c>
      <c r="E592" s="70">
        <v>1E-3</v>
      </c>
    </row>
    <row r="593" spans="1:5" ht="15" customHeight="1">
      <c r="A593" s="76"/>
      <c r="B593" s="112"/>
      <c r="C593" s="61" t="s">
        <v>154</v>
      </c>
      <c r="D593" s="71">
        <v>16</v>
      </c>
      <c r="E593" s="70">
        <v>1E-3</v>
      </c>
    </row>
    <row r="594" spans="1:5" ht="15" customHeight="1">
      <c r="A594" s="76"/>
      <c r="B594" s="112"/>
      <c r="C594" s="61" t="s">
        <v>175</v>
      </c>
      <c r="D594" s="71">
        <v>11</v>
      </c>
      <c r="E594" s="70">
        <v>0</v>
      </c>
    </row>
    <row r="595" spans="1:5" ht="15" customHeight="1">
      <c r="A595" s="76"/>
      <c r="B595" s="112"/>
      <c r="C595" s="61" t="s">
        <v>197</v>
      </c>
      <c r="D595" s="71">
        <v>9</v>
      </c>
      <c r="E595" s="70">
        <v>0</v>
      </c>
    </row>
    <row r="596" spans="1:5" ht="15" customHeight="1">
      <c r="A596" s="76"/>
      <c r="B596" s="112"/>
      <c r="C596" s="61" t="s">
        <v>174</v>
      </c>
      <c r="D596" s="71">
        <v>8</v>
      </c>
      <c r="E596" s="70">
        <v>0</v>
      </c>
    </row>
    <row r="597" spans="1:5" ht="15" customHeight="1">
      <c r="A597" s="76"/>
      <c r="B597" s="112"/>
      <c r="C597" s="61" t="s">
        <v>188</v>
      </c>
      <c r="D597" s="71">
        <v>8</v>
      </c>
      <c r="E597" s="70">
        <v>0</v>
      </c>
    </row>
    <row r="598" spans="1:5" ht="15" customHeight="1">
      <c r="A598" s="76"/>
      <c r="B598" s="112"/>
      <c r="C598" s="61" t="s">
        <v>153</v>
      </c>
      <c r="D598" s="71">
        <v>7</v>
      </c>
      <c r="E598" s="70">
        <v>0</v>
      </c>
    </row>
    <row r="599" spans="1:5" ht="15" customHeight="1">
      <c r="A599" s="76"/>
      <c r="B599" s="112"/>
      <c r="C599" s="61" t="s">
        <v>155</v>
      </c>
      <c r="D599" s="71">
        <v>7</v>
      </c>
      <c r="E599" s="70">
        <v>0</v>
      </c>
    </row>
    <row r="600" spans="1:5" ht="15" customHeight="1">
      <c r="A600" s="76"/>
      <c r="B600" s="112"/>
      <c r="C600" s="61" t="s">
        <v>190</v>
      </c>
      <c r="D600" s="71">
        <v>5</v>
      </c>
      <c r="E600" s="70">
        <v>0</v>
      </c>
    </row>
    <row r="601" spans="1:5" ht="15" customHeight="1">
      <c r="A601" s="76"/>
      <c r="B601" s="112"/>
      <c r="C601" s="61" t="s">
        <v>186</v>
      </c>
      <c r="D601" s="71">
        <v>4</v>
      </c>
      <c r="E601" s="70">
        <v>0</v>
      </c>
    </row>
    <row r="602" spans="1:5" ht="15" customHeight="1">
      <c r="A602" s="76"/>
      <c r="B602" s="112"/>
      <c r="C602" s="61" t="s">
        <v>191</v>
      </c>
      <c r="D602" s="71">
        <v>4</v>
      </c>
      <c r="E602" s="70">
        <v>0</v>
      </c>
    </row>
    <row r="603" spans="1:5" ht="15" customHeight="1">
      <c r="A603" s="76"/>
      <c r="B603" s="112"/>
      <c r="C603" s="61" t="s">
        <v>161</v>
      </c>
      <c r="D603" s="71">
        <v>3</v>
      </c>
      <c r="E603" s="70">
        <v>0</v>
      </c>
    </row>
    <row r="604" spans="1:5" ht="15" customHeight="1">
      <c r="A604" s="76"/>
      <c r="B604" s="112"/>
      <c r="C604" s="61" t="s">
        <v>176</v>
      </c>
      <c r="D604" s="71">
        <v>3</v>
      </c>
      <c r="E604" s="70">
        <v>0</v>
      </c>
    </row>
    <row r="605" spans="1:5" ht="15" customHeight="1">
      <c r="A605" s="76"/>
      <c r="B605" s="112"/>
      <c r="C605" s="61" t="s">
        <v>151</v>
      </c>
      <c r="D605" s="71">
        <v>3</v>
      </c>
      <c r="E605" s="70">
        <v>0</v>
      </c>
    </row>
    <row r="606" spans="1:5" ht="15" customHeight="1">
      <c r="A606" s="76"/>
      <c r="B606" s="112"/>
      <c r="C606" s="61" t="s">
        <v>185</v>
      </c>
      <c r="D606" s="71">
        <v>3</v>
      </c>
      <c r="E606" s="70">
        <v>0</v>
      </c>
    </row>
    <row r="607" spans="1:5" ht="15" customHeight="1">
      <c r="A607" s="76"/>
      <c r="B607" s="112"/>
      <c r="C607" s="61" t="s">
        <v>171</v>
      </c>
      <c r="D607" s="71">
        <v>2</v>
      </c>
      <c r="E607" s="70">
        <v>0</v>
      </c>
    </row>
    <row r="608" spans="1:5" ht="15" customHeight="1">
      <c r="A608" s="76"/>
      <c r="B608" s="112"/>
      <c r="C608" s="61" t="s">
        <v>173</v>
      </c>
      <c r="D608" s="71">
        <v>2</v>
      </c>
      <c r="E608" s="70">
        <v>0</v>
      </c>
    </row>
    <row r="609" spans="1:5" ht="15" customHeight="1">
      <c r="A609" s="76"/>
      <c r="B609" s="112"/>
      <c r="C609" s="61" t="s">
        <v>177</v>
      </c>
      <c r="D609" s="71">
        <v>2</v>
      </c>
      <c r="E609" s="70">
        <v>0</v>
      </c>
    </row>
    <row r="610" spans="1:5" ht="15" customHeight="1">
      <c r="A610" s="76"/>
      <c r="B610" s="112"/>
      <c r="C610" s="61" t="s">
        <v>201</v>
      </c>
      <c r="D610" s="71">
        <v>2</v>
      </c>
      <c r="E610" s="70">
        <v>0</v>
      </c>
    </row>
    <row r="611" spans="1:5" ht="15" customHeight="1">
      <c r="A611" s="76"/>
      <c r="B611" s="112"/>
      <c r="C611" s="61" t="s">
        <v>152</v>
      </c>
      <c r="D611" s="71">
        <v>2</v>
      </c>
      <c r="E611" s="70">
        <v>0</v>
      </c>
    </row>
    <row r="612" spans="1:5" ht="15" customHeight="1">
      <c r="A612" s="76"/>
      <c r="B612" s="112"/>
      <c r="C612" s="61" t="s">
        <v>203</v>
      </c>
      <c r="D612" s="71">
        <v>2</v>
      </c>
      <c r="E612" s="70">
        <v>0</v>
      </c>
    </row>
    <row r="613" spans="1:5" ht="15" customHeight="1">
      <c r="A613" s="76"/>
      <c r="B613" s="112"/>
      <c r="C613" s="61" t="s">
        <v>164</v>
      </c>
      <c r="D613" s="71">
        <v>1</v>
      </c>
      <c r="E613" s="70">
        <v>0</v>
      </c>
    </row>
    <row r="614" spans="1:5" ht="15" customHeight="1">
      <c r="A614" s="76"/>
      <c r="B614" s="112"/>
      <c r="C614" s="61" t="s">
        <v>166</v>
      </c>
      <c r="D614" s="71">
        <v>1</v>
      </c>
      <c r="E614" s="70">
        <v>0</v>
      </c>
    </row>
    <row r="615" spans="1:5" ht="15" customHeight="1">
      <c r="A615" s="76"/>
      <c r="B615" s="112"/>
      <c r="C615" s="61" t="s">
        <v>170</v>
      </c>
      <c r="D615" s="71">
        <v>1</v>
      </c>
      <c r="E615" s="70">
        <v>0</v>
      </c>
    </row>
    <row r="616" spans="1:5" ht="15" customHeight="1">
      <c r="A616" s="76"/>
      <c r="B616" s="112"/>
      <c r="C616" s="61" t="s">
        <v>172</v>
      </c>
      <c r="D616" s="71">
        <v>1</v>
      </c>
      <c r="E616" s="70">
        <v>0</v>
      </c>
    </row>
    <row r="617" spans="1:5" ht="15" customHeight="1">
      <c r="A617" s="76"/>
      <c r="B617" s="112"/>
      <c r="C617" s="61" t="s">
        <v>150</v>
      </c>
      <c r="D617" s="71">
        <v>1</v>
      </c>
      <c r="E617" s="70">
        <v>0</v>
      </c>
    </row>
    <row r="618" spans="1:5" ht="15" customHeight="1">
      <c r="A618" s="76"/>
      <c r="B618" s="112"/>
      <c r="C618" s="61" t="s">
        <v>193</v>
      </c>
      <c r="D618" s="71">
        <v>1</v>
      </c>
      <c r="E618" s="70">
        <v>0</v>
      </c>
    </row>
    <row r="619" spans="1:5" ht="15" customHeight="1">
      <c r="A619" s="76"/>
      <c r="B619" s="112"/>
      <c r="C619" s="61" t="s">
        <v>178</v>
      </c>
      <c r="D619" s="71">
        <v>1</v>
      </c>
      <c r="E619" s="70">
        <v>0</v>
      </c>
    </row>
    <row r="620" spans="1:5" ht="15" customHeight="1">
      <c r="A620" s="76"/>
      <c r="B620" s="112"/>
      <c r="C620" s="61" t="s">
        <v>194</v>
      </c>
      <c r="D620" s="71">
        <v>1</v>
      </c>
      <c r="E620" s="70">
        <v>0</v>
      </c>
    </row>
    <row r="621" spans="1:5" ht="15" customHeight="1">
      <c r="A621" s="76"/>
      <c r="B621" s="112"/>
      <c r="C621" s="74" t="s">
        <v>309</v>
      </c>
      <c r="D621" s="77">
        <v>356</v>
      </c>
      <c r="E621" s="75">
        <v>1.2999999999999999E-2</v>
      </c>
    </row>
    <row r="622" spans="1:5" ht="15" customHeight="1">
      <c r="A622" s="76"/>
      <c r="B622" s="112" t="s">
        <v>99</v>
      </c>
      <c r="C622" s="61" t="s">
        <v>154</v>
      </c>
      <c r="D622" s="71">
        <v>100</v>
      </c>
      <c r="E622" s="70">
        <v>4.0000000000000001E-3</v>
      </c>
    </row>
    <row r="623" spans="1:5" ht="15" customHeight="1">
      <c r="A623" s="76"/>
      <c r="B623" s="112"/>
      <c r="C623" s="61" t="s">
        <v>173</v>
      </c>
      <c r="D623" s="71">
        <v>43</v>
      </c>
      <c r="E623" s="70">
        <v>2E-3</v>
      </c>
    </row>
    <row r="624" spans="1:5" ht="15" customHeight="1">
      <c r="A624" s="76"/>
      <c r="B624" s="112"/>
      <c r="C624" s="61" t="s">
        <v>146</v>
      </c>
      <c r="D624" s="71">
        <v>33</v>
      </c>
      <c r="E624" s="70">
        <v>1E-3</v>
      </c>
    </row>
    <row r="625" spans="1:5" ht="15" customHeight="1">
      <c r="A625" s="76"/>
      <c r="B625" s="112"/>
      <c r="C625" s="61" t="s">
        <v>155</v>
      </c>
      <c r="D625" s="71">
        <v>24</v>
      </c>
      <c r="E625" s="70">
        <v>1E-3</v>
      </c>
    </row>
    <row r="626" spans="1:5" ht="15" customHeight="1">
      <c r="A626" s="76"/>
      <c r="B626" s="112"/>
      <c r="C626" s="61" t="s">
        <v>148</v>
      </c>
      <c r="D626" s="71">
        <v>22</v>
      </c>
      <c r="E626" s="70">
        <v>1E-3</v>
      </c>
    </row>
    <row r="627" spans="1:5" ht="15" customHeight="1">
      <c r="A627" s="76"/>
      <c r="B627" s="112"/>
      <c r="C627" s="61" t="s">
        <v>153</v>
      </c>
      <c r="D627" s="71">
        <v>18</v>
      </c>
      <c r="E627" s="70">
        <v>1E-3</v>
      </c>
    </row>
    <row r="628" spans="1:5" ht="15" customHeight="1">
      <c r="A628" s="76"/>
      <c r="B628" s="112"/>
      <c r="C628" s="61" t="s">
        <v>160</v>
      </c>
      <c r="D628" s="71">
        <v>16</v>
      </c>
      <c r="E628" s="70">
        <v>1E-3</v>
      </c>
    </row>
    <row r="629" spans="1:5" ht="15" customHeight="1">
      <c r="A629" s="76"/>
      <c r="B629" s="112"/>
      <c r="C629" s="61" t="s">
        <v>192</v>
      </c>
      <c r="D629" s="71">
        <v>15</v>
      </c>
      <c r="E629" s="70">
        <v>1E-3</v>
      </c>
    </row>
    <row r="630" spans="1:5" ht="15" customHeight="1">
      <c r="A630" s="76"/>
      <c r="B630" s="112"/>
      <c r="C630" s="61" t="s">
        <v>189</v>
      </c>
      <c r="D630" s="71">
        <v>10</v>
      </c>
      <c r="E630" s="70">
        <v>0</v>
      </c>
    </row>
    <row r="631" spans="1:5" ht="15" customHeight="1">
      <c r="A631" s="76"/>
      <c r="B631" s="112"/>
      <c r="C631" s="61" t="s">
        <v>166</v>
      </c>
      <c r="D631" s="71">
        <v>9</v>
      </c>
      <c r="E631" s="70">
        <v>0</v>
      </c>
    </row>
    <row r="632" spans="1:5" ht="15" customHeight="1">
      <c r="A632" s="76"/>
      <c r="B632" s="112"/>
      <c r="C632" s="61" t="s">
        <v>159</v>
      </c>
      <c r="D632" s="71">
        <v>9</v>
      </c>
      <c r="E632" s="70">
        <v>0</v>
      </c>
    </row>
    <row r="633" spans="1:5" ht="15" customHeight="1">
      <c r="A633" s="76"/>
      <c r="B633" s="112"/>
      <c r="C633" s="61" t="s">
        <v>162</v>
      </c>
      <c r="D633" s="71">
        <v>4</v>
      </c>
      <c r="E633" s="70">
        <v>0</v>
      </c>
    </row>
    <row r="634" spans="1:5" ht="15" customHeight="1">
      <c r="A634" s="76"/>
      <c r="B634" s="112"/>
      <c r="C634" s="61" t="s">
        <v>183</v>
      </c>
      <c r="D634" s="71">
        <v>4</v>
      </c>
      <c r="E634" s="70">
        <v>0</v>
      </c>
    </row>
    <row r="635" spans="1:5" ht="15" customHeight="1">
      <c r="A635" s="76"/>
      <c r="B635" s="112"/>
      <c r="C635" s="61" t="s">
        <v>191</v>
      </c>
      <c r="D635" s="71">
        <v>4</v>
      </c>
      <c r="E635" s="70">
        <v>0</v>
      </c>
    </row>
    <row r="636" spans="1:5" ht="15" customHeight="1">
      <c r="A636" s="76"/>
      <c r="B636" s="112"/>
      <c r="C636" s="61" t="s">
        <v>158</v>
      </c>
      <c r="D636" s="71">
        <v>4</v>
      </c>
      <c r="E636" s="70">
        <v>0</v>
      </c>
    </row>
    <row r="637" spans="1:5" ht="15" customHeight="1">
      <c r="A637" s="76"/>
      <c r="B637" s="112"/>
      <c r="C637" s="61" t="s">
        <v>147</v>
      </c>
      <c r="D637" s="71">
        <v>3</v>
      </c>
      <c r="E637" s="70">
        <v>0</v>
      </c>
    </row>
    <row r="638" spans="1:5" ht="15" customHeight="1">
      <c r="A638" s="76"/>
      <c r="B638" s="112"/>
      <c r="C638" s="61" t="s">
        <v>177</v>
      </c>
      <c r="D638" s="71">
        <v>3</v>
      </c>
      <c r="E638" s="70">
        <v>0</v>
      </c>
    </row>
    <row r="639" spans="1:5" ht="15" customHeight="1">
      <c r="A639" s="76"/>
      <c r="B639" s="112"/>
      <c r="C639" s="61" t="s">
        <v>180</v>
      </c>
      <c r="D639" s="71">
        <v>3</v>
      </c>
      <c r="E639" s="70">
        <v>0</v>
      </c>
    </row>
    <row r="640" spans="1:5" ht="15" customHeight="1">
      <c r="A640" s="76"/>
      <c r="B640" s="112"/>
      <c r="C640" s="61" t="s">
        <v>168</v>
      </c>
      <c r="D640" s="71">
        <v>2</v>
      </c>
      <c r="E640" s="70">
        <v>0</v>
      </c>
    </row>
    <row r="641" spans="1:5" ht="15" customHeight="1">
      <c r="A641" s="76"/>
      <c r="B641" s="112"/>
      <c r="C641" s="61" t="s">
        <v>175</v>
      </c>
      <c r="D641" s="71">
        <v>2</v>
      </c>
      <c r="E641" s="70">
        <v>0</v>
      </c>
    </row>
    <row r="642" spans="1:5" ht="15" customHeight="1">
      <c r="A642" s="76"/>
      <c r="B642" s="112"/>
      <c r="C642" s="61" t="s">
        <v>150</v>
      </c>
      <c r="D642" s="71">
        <v>2</v>
      </c>
      <c r="E642" s="70">
        <v>0</v>
      </c>
    </row>
    <row r="643" spans="1:5" ht="15" customHeight="1">
      <c r="A643" s="76"/>
      <c r="B643" s="112"/>
      <c r="C643" s="61" t="s">
        <v>151</v>
      </c>
      <c r="D643" s="71">
        <v>2</v>
      </c>
      <c r="E643" s="70">
        <v>0</v>
      </c>
    </row>
    <row r="644" spans="1:5" ht="15" customHeight="1">
      <c r="A644" s="76"/>
      <c r="B644" s="112"/>
      <c r="C644" s="61" t="s">
        <v>152</v>
      </c>
      <c r="D644" s="71">
        <v>2</v>
      </c>
      <c r="E644" s="70">
        <v>0</v>
      </c>
    </row>
    <row r="645" spans="1:5" ht="15" customHeight="1">
      <c r="A645" s="76"/>
      <c r="B645" s="112"/>
      <c r="C645" s="61" t="s">
        <v>194</v>
      </c>
      <c r="D645" s="71">
        <v>2</v>
      </c>
      <c r="E645" s="70">
        <v>0</v>
      </c>
    </row>
    <row r="646" spans="1:5" ht="15" customHeight="1">
      <c r="A646" s="76"/>
      <c r="B646" s="112"/>
      <c r="C646" s="61" t="s">
        <v>187</v>
      </c>
      <c r="D646" s="71">
        <v>2</v>
      </c>
      <c r="E646" s="70">
        <v>0</v>
      </c>
    </row>
    <row r="647" spans="1:5" ht="15" customHeight="1">
      <c r="A647" s="76"/>
      <c r="B647" s="112"/>
      <c r="C647" s="61" t="s">
        <v>156</v>
      </c>
      <c r="D647" s="71">
        <v>2</v>
      </c>
      <c r="E647" s="70">
        <v>0</v>
      </c>
    </row>
    <row r="648" spans="1:5" ht="15" customHeight="1">
      <c r="A648" s="76"/>
      <c r="B648" s="112"/>
      <c r="C648" s="61" t="s">
        <v>196</v>
      </c>
      <c r="D648" s="71">
        <v>2</v>
      </c>
      <c r="E648" s="70">
        <v>0</v>
      </c>
    </row>
    <row r="649" spans="1:5" ht="15" customHeight="1">
      <c r="A649" s="76"/>
      <c r="B649" s="112"/>
      <c r="C649" s="61" t="s">
        <v>197</v>
      </c>
      <c r="D649" s="71">
        <v>1</v>
      </c>
      <c r="E649" s="70">
        <v>0</v>
      </c>
    </row>
    <row r="650" spans="1:5" ht="15" customHeight="1">
      <c r="A650" s="76"/>
      <c r="B650" s="112"/>
      <c r="C650" s="61" t="s">
        <v>169</v>
      </c>
      <c r="D650" s="71">
        <v>1</v>
      </c>
      <c r="E650" s="70">
        <v>0</v>
      </c>
    </row>
    <row r="651" spans="1:5" ht="15" customHeight="1">
      <c r="A651" s="76"/>
      <c r="B651" s="112"/>
      <c r="C651" s="61" t="s">
        <v>174</v>
      </c>
      <c r="D651" s="71">
        <v>1</v>
      </c>
      <c r="E651" s="70">
        <v>0</v>
      </c>
    </row>
    <row r="652" spans="1:5" ht="15" customHeight="1">
      <c r="A652" s="76"/>
      <c r="B652" s="112"/>
      <c r="C652" s="61" t="s">
        <v>176</v>
      </c>
      <c r="D652" s="71">
        <v>1</v>
      </c>
      <c r="E652" s="70">
        <v>0</v>
      </c>
    </row>
    <row r="653" spans="1:5" ht="15" customHeight="1">
      <c r="A653" s="76"/>
      <c r="B653" s="112"/>
      <c r="C653" s="61" t="s">
        <v>193</v>
      </c>
      <c r="D653" s="71">
        <v>1</v>
      </c>
      <c r="E653" s="70">
        <v>0</v>
      </c>
    </row>
    <row r="654" spans="1:5" ht="15" customHeight="1">
      <c r="A654" s="76"/>
      <c r="B654" s="112"/>
      <c r="C654" s="61" t="s">
        <v>178</v>
      </c>
      <c r="D654" s="71">
        <v>1</v>
      </c>
      <c r="E654" s="70">
        <v>0</v>
      </c>
    </row>
    <row r="655" spans="1:5" ht="15" customHeight="1">
      <c r="A655" s="76"/>
      <c r="B655" s="112"/>
      <c r="C655" s="61" t="s">
        <v>202</v>
      </c>
      <c r="D655" s="71">
        <v>1</v>
      </c>
      <c r="E655" s="70">
        <v>0</v>
      </c>
    </row>
    <row r="656" spans="1:5" ht="15" customHeight="1">
      <c r="A656" s="76"/>
      <c r="B656" s="112"/>
      <c r="C656" s="61" t="s">
        <v>181</v>
      </c>
      <c r="D656" s="71">
        <v>1</v>
      </c>
      <c r="E656" s="70">
        <v>0</v>
      </c>
    </row>
    <row r="657" spans="1:5" ht="15" customHeight="1">
      <c r="A657" s="76"/>
      <c r="B657" s="112"/>
      <c r="C657" s="61" t="s">
        <v>182</v>
      </c>
      <c r="D657" s="71">
        <v>1</v>
      </c>
      <c r="E657" s="70">
        <v>0</v>
      </c>
    </row>
    <row r="658" spans="1:5" ht="15" customHeight="1">
      <c r="A658" s="76"/>
      <c r="B658" s="112"/>
      <c r="C658" s="61" t="s">
        <v>185</v>
      </c>
      <c r="D658" s="71">
        <v>1</v>
      </c>
      <c r="E658" s="70">
        <v>0</v>
      </c>
    </row>
    <row r="659" spans="1:5" ht="15" customHeight="1">
      <c r="A659" s="76"/>
      <c r="B659" s="112"/>
      <c r="C659" s="61" t="s">
        <v>186</v>
      </c>
      <c r="D659" s="71">
        <v>1</v>
      </c>
      <c r="E659" s="70">
        <v>0</v>
      </c>
    </row>
    <row r="660" spans="1:5" ht="15" customHeight="1">
      <c r="A660" s="76"/>
      <c r="B660" s="112"/>
      <c r="C660" s="74" t="s">
        <v>309</v>
      </c>
      <c r="D660" s="77">
        <v>353</v>
      </c>
      <c r="E660" s="75">
        <v>1.2999999999999999E-2</v>
      </c>
    </row>
    <row r="661" spans="1:5" ht="15" customHeight="1">
      <c r="A661" s="76"/>
      <c r="B661" s="112" t="s">
        <v>109</v>
      </c>
      <c r="C661" s="61" t="s">
        <v>189</v>
      </c>
      <c r="D661" s="71">
        <v>29</v>
      </c>
      <c r="E661" s="70">
        <v>1E-3</v>
      </c>
    </row>
    <row r="662" spans="1:5" ht="15" customHeight="1">
      <c r="A662" s="76"/>
      <c r="B662" s="112"/>
      <c r="C662" s="61" t="s">
        <v>164</v>
      </c>
      <c r="D662" s="71">
        <v>28</v>
      </c>
      <c r="E662" s="70">
        <v>1E-3</v>
      </c>
    </row>
    <row r="663" spans="1:5" ht="15" customHeight="1">
      <c r="A663" s="76"/>
      <c r="B663" s="112"/>
      <c r="C663" s="61" t="s">
        <v>153</v>
      </c>
      <c r="D663" s="71">
        <v>26</v>
      </c>
      <c r="E663" s="70">
        <v>1E-3</v>
      </c>
    </row>
    <row r="664" spans="1:5" ht="15" customHeight="1">
      <c r="A664" s="76"/>
      <c r="B664" s="112"/>
      <c r="C664" s="61" t="s">
        <v>146</v>
      </c>
      <c r="D664" s="71">
        <v>17</v>
      </c>
      <c r="E664" s="70">
        <v>1E-3</v>
      </c>
    </row>
    <row r="665" spans="1:5" ht="15" customHeight="1">
      <c r="A665" s="76"/>
      <c r="B665" s="112"/>
      <c r="C665" s="61" t="s">
        <v>196</v>
      </c>
      <c r="D665" s="71">
        <v>17</v>
      </c>
      <c r="E665" s="70">
        <v>1E-3</v>
      </c>
    </row>
    <row r="666" spans="1:5" ht="15" customHeight="1">
      <c r="A666" s="76"/>
      <c r="B666" s="112"/>
      <c r="C666" s="61" t="s">
        <v>160</v>
      </c>
      <c r="D666" s="71">
        <v>17</v>
      </c>
      <c r="E666" s="70">
        <v>1E-3</v>
      </c>
    </row>
    <row r="667" spans="1:5" ht="15" customHeight="1">
      <c r="A667" s="76"/>
      <c r="B667" s="112"/>
      <c r="C667" s="61" t="s">
        <v>159</v>
      </c>
      <c r="D667" s="71">
        <v>14</v>
      </c>
      <c r="E667" s="70">
        <v>1E-3</v>
      </c>
    </row>
    <row r="668" spans="1:5" ht="15" customHeight="1">
      <c r="A668" s="76"/>
      <c r="B668" s="112"/>
      <c r="C668" s="61" t="s">
        <v>173</v>
      </c>
      <c r="D668" s="71">
        <v>13</v>
      </c>
      <c r="E668" s="70">
        <v>0</v>
      </c>
    </row>
    <row r="669" spans="1:5" ht="15" customHeight="1">
      <c r="A669" s="76"/>
      <c r="B669" s="112"/>
      <c r="C669" s="61" t="s">
        <v>148</v>
      </c>
      <c r="D669" s="71">
        <v>13</v>
      </c>
      <c r="E669" s="70">
        <v>0</v>
      </c>
    </row>
    <row r="670" spans="1:5" ht="15" customHeight="1">
      <c r="A670" s="76"/>
      <c r="B670" s="112"/>
      <c r="C670" s="61" t="s">
        <v>191</v>
      </c>
      <c r="D670" s="71">
        <v>11</v>
      </c>
      <c r="E670" s="70">
        <v>0</v>
      </c>
    </row>
    <row r="671" spans="1:5" ht="15" customHeight="1">
      <c r="A671" s="76"/>
      <c r="B671" s="112"/>
      <c r="C671" s="61" t="s">
        <v>162</v>
      </c>
      <c r="D671" s="71">
        <v>10</v>
      </c>
      <c r="E671" s="70">
        <v>0</v>
      </c>
    </row>
    <row r="672" spans="1:5" ht="15" customHeight="1">
      <c r="A672" s="76"/>
      <c r="B672" s="112"/>
      <c r="C672" s="61" t="s">
        <v>177</v>
      </c>
      <c r="D672" s="71">
        <v>9</v>
      </c>
      <c r="E672" s="70">
        <v>0</v>
      </c>
    </row>
    <row r="673" spans="1:5" ht="15" customHeight="1">
      <c r="A673" s="76"/>
      <c r="B673" s="112"/>
      <c r="C673" s="61" t="s">
        <v>151</v>
      </c>
      <c r="D673" s="71">
        <v>8</v>
      </c>
      <c r="E673" s="70">
        <v>0</v>
      </c>
    </row>
    <row r="674" spans="1:5" ht="15" customHeight="1">
      <c r="A674" s="76"/>
      <c r="B674" s="112"/>
      <c r="C674" s="61" t="s">
        <v>154</v>
      </c>
      <c r="D674" s="71">
        <v>8</v>
      </c>
      <c r="E674" s="70">
        <v>0</v>
      </c>
    </row>
    <row r="675" spans="1:5" ht="15" customHeight="1">
      <c r="A675" s="76"/>
      <c r="B675" s="112"/>
      <c r="C675" s="61" t="s">
        <v>150</v>
      </c>
      <c r="D675" s="71">
        <v>7</v>
      </c>
      <c r="E675" s="70">
        <v>0</v>
      </c>
    </row>
    <row r="676" spans="1:5" ht="15" customHeight="1">
      <c r="A676" s="76"/>
      <c r="B676" s="112"/>
      <c r="C676" s="61" t="s">
        <v>203</v>
      </c>
      <c r="D676" s="71">
        <v>6</v>
      </c>
      <c r="E676" s="70">
        <v>0</v>
      </c>
    </row>
    <row r="677" spans="1:5" ht="15" customHeight="1">
      <c r="A677" s="76"/>
      <c r="B677" s="112"/>
      <c r="C677" s="61" t="s">
        <v>197</v>
      </c>
      <c r="D677" s="71">
        <v>4</v>
      </c>
      <c r="E677" s="70">
        <v>0</v>
      </c>
    </row>
    <row r="678" spans="1:5" ht="15" customHeight="1">
      <c r="A678" s="76"/>
      <c r="B678" s="112"/>
      <c r="C678" s="61" t="s">
        <v>166</v>
      </c>
      <c r="D678" s="71">
        <v>4</v>
      </c>
      <c r="E678" s="70">
        <v>0</v>
      </c>
    </row>
    <row r="679" spans="1:5" ht="15" customHeight="1">
      <c r="A679" s="76"/>
      <c r="B679" s="112"/>
      <c r="C679" s="61" t="s">
        <v>167</v>
      </c>
      <c r="D679" s="71">
        <v>4</v>
      </c>
      <c r="E679" s="70">
        <v>0</v>
      </c>
    </row>
    <row r="680" spans="1:5" ht="15" customHeight="1">
      <c r="A680" s="76"/>
      <c r="B680" s="112"/>
      <c r="C680" s="61" t="s">
        <v>174</v>
      </c>
      <c r="D680" s="71">
        <v>4</v>
      </c>
      <c r="E680" s="70">
        <v>0</v>
      </c>
    </row>
    <row r="681" spans="1:5" ht="15" customHeight="1">
      <c r="A681" s="76"/>
      <c r="B681" s="112"/>
      <c r="C681" s="61" t="s">
        <v>175</v>
      </c>
      <c r="D681" s="71">
        <v>4</v>
      </c>
      <c r="E681" s="70">
        <v>0</v>
      </c>
    </row>
    <row r="682" spans="1:5" ht="15" customHeight="1">
      <c r="A682" s="76"/>
      <c r="B682" s="112"/>
      <c r="C682" s="61" t="s">
        <v>201</v>
      </c>
      <c r="D682" s="71">
        <v>4</v>
      </c>
      <c r="E682" s="70">
        <v>0</v>
      </c>
    </row>
    <row r="683" spans="1:5" ht="15" customHeight="1">
      <c r="A683" s="76"/>
      <c r="B683" s="112"/>
      <c r="C683" s="61" t="s">
        <v>152</v>
      </c>
      <c r="D683" s="71">
        <v>4</v>
      </c>
      <c r="E683" s="70">
        <v>0</v>
      </c>
    </row>
    <row r="684" spans="1:5" ht="15" customHeight="1">
      <c r="A684" s="76"/>
      <c r="B684" s="112"/>
      <c r="C684" s="61" t="s">
        <v>158</v>
      </c>
      <c r="D684" s="71">
        <v>4</v>
      </c>
      <c r="E684" s="70">
        <v>0</v>
      </c>
    </row>
    <row r="685" spans="1:5" ht="15" customHeight="1">
      <c r="A685" s="76"/>
      <c r="B685" s="112"/>
      <c r="C685" s="61" t="s">
        <v>165</v>
      </c>
      <c r="D685" s="71">
        <v>3</v>
      </c>
      <c r="E685" s="70">
        <v>0</v>
      </c>
    </row>
    <row r="686" spans="1:5" ht="15" customHeight="1">
      <c r="A686" s="76"/>
      <c r="B686" s="112"/>
      <c r="C686" s="61" t="s">
        <v>170</v>
      </c>
      <c r="D686" s="71">
        <v>3</v>
      </c>
      <c r="E686" s="70">
        <v>0</v>
      </c>
    </row>
    <row r="687" spans="1:5" ht="15" customHeight="1">
      <c r="A687" s="76"/>
      <c r="B687" s="112"/>
      <c r="C687" s="61" t="s">
        <v>155</v>
      </c>
      <c r="D687" s="71">
        <v>3</v>
      </c>
      <c r="E687" s="70">
        <v>0</v>
      </c>
    </row>
    <row r="688" spans="1:5" ht="15" customHeight="1">
      <c r="A688" s="76"/>
      <c r="B688" s="112"/>
      <c r="C688" s="61" t="s">
        <v>185</v>
      </c>
      <c r="D688" s="71">
        <v>3</v>
      </c>
      <c r="E688" s="70">
        <v>0</v>
      </c>
    </row>
    <row r="689" spans="1:5" ht="15" customHeight="1">
      <c r="A689" s="76"/>
      <c r="B689" s="112"/>
      <c r="C689" s="61" t="s">
        <v>188</v>
      </c>
      <c r="D689" s="71">
        <v>3</v>
      </c>
      <c r="E689" s="70">
        <v>0</v>
      </c>
    </row>
    <row r="690" spans="1:5" ht="15" customHeight="1">
      <c r="A690" s="76"/>
      <c r="B690" s="112"/>
      <c r="C690" s="61" t="s">
        <v>157</v>
      </c>
      <c r="D690" s="71">
        <v>3</v>
      </c>
      <c r="E690" s="70">
        <v>0</v>
      </c>
    </row>
    <row r="691" spans="1:5" ht="15" customHeight="1">
      <c r="A691" s="76"/>
      <c r="B691" s="112"/>
      <c r="C691" s="61" t="s">
        <v>192</v>
      </c>
      <c r="D691" s="71">
        <v>3</v>
      </c>
      <c r="E691" s="70">
        <v>0</v>
      </c>
    </row>
    <row r="692" spans="1:5" ht="15" customHeight="1">
      <c r="A692" s="76"/>
      <c r="B692" s="112"/>
      <c r="C692" s="61" t="s">
        <v>171</v>
      </c>
      <c r="D692" s="71">
        <v>2</v>
      </c>
      <c r="E692" s="70">
        <v>0</v>
      </c>
    </row>
    <row r="693" spans="1:5" ht="15" customHeight="1">
      <c r="A693" s="76"/>
      <c r="B693" s="112"/>
      <c r="C693" s="61" t="s">
        <v>147</v>
      </c>
      <c r="D693" s="71">
        <v>2</v>
      </c>
      <c r="E693" s="70">
        <v>0</v>
      </c>
    </row>
    <row r="694" spans="1:5" ht="15" customHeight="1">
      <c r="A694" s="76"/>
      <c r="B694" s="112"/>
      <c r="C694" s="61" t="s">
        <v>180</v>
      </c>
      <c r="D694" s="71">
        <v>2</v>
      </c>
      <c r="E694" s="70">
        <v>0</v>
      </c>
    </row>
    <row r="695" spans="1:5" ht="15" customHeight="1">
      <c r="A695" s="76"/>
      <c r="B695" s="112"/>
      <c r="C695" s="61" t="s">
        <v>186</v>
      </c>
      <c r="D695" s="71">
        <v>2</v>
      </c>
      <c r="E695" s="70">
        <v>0</v>
      </c>
    </row>
    <row r="696" spans="1:5" ht="15" customHeight="1">
      <c r="A696" s="76"/>
      <c r="B696" s="112"/>
      <c r="C696" s="61" t="s">
        <v>193</v>
      </c>
      <c r="D696" s="71">
        <v>1</v>
      </c>
      <c r="E696" s="70">
        <v>0</v>
      </c>
    </row>
    <row r="697" spans="1:5" ht="15" customHeight="1">
      <c r="A697" s="76"/>
      <c r="B697" s="112"/>
      <c r="C697" s="61" t="s">
        <v>181</v>
      </c>
      <c r="D697" s="71">
        <v>1</v>
      </c>
      <c r="E697" s="70">
        <v>0</v>
      </c>
    </row>
    <row r="698" spans="1:5" ht="15" customHeight="1">
      <c r="A698" s="76"/>
      <c r="B698" s="112"/>
      <c r="C698" s="61" t="s">
        <v>183</v>
      </c>
      <c r="D698" s="71">
        <v>1</v>
      </c>
      <c r="E698" s="70">
        <v>0</v>
      </c>
    </row>
    <row r="699" spans="1:5" ht="15" customHeight="1">
      <c r="A699" s="76"/>
      <c r="B699" s="112"/>
      <c r="C699" s="74" t="s">
        <v>309</v>
      </c>
      <c r="D699" s="77">
        <v>297</v>
      </c>
      <c r="E699" s="75">
        <v>1.0999999999999999E-2</v>
      </c>
    </row>
    <row r="700" spans="1:5" ht="15" customHeight="1">
      <c r="A700" s="76"/>
      <c r="B700" s="112" t="s">
        <v>104</v>
      </c>
      <c r="C700" s="61" t="s">
        <v>154</v>
      </c>
      <c r="D700" s="71">
        <v>47</v>
      </c>
      <c r="E700" s="70">
        <v>2E-3</v>
      </c>
    </row>
    <row r="701" spans="1:5" ht="15" customHeight="1">
      <c r="A701" s="76"/>
      <c r="B701" s="112"/>
      <c r="C701" s="61" t="s">
        <v>153</v>
      </c>
      <c r="D701" s="71">
        <v>25</v>
      </c>
      <c r="E701" s="70">
        <v>1E-3</v>
      </c>
    </row>
    <row r="702" spans="1:5" ht="15" customHeight="1">
      <c r="A702" s="76"/>
      <c r="B702" s="112"/>
      <c r="C702" s="61" t="s">
        <v>183</v>
      </c>
      <c r="D702" s="71">
        <v>20</v>
      </c>
      <c r="E702" s="70">
        <v>1E-3</v>
      </c>
    </row>
    <row r="703" spans="1:5" ht="15" customHeight="1">
      <c r="A703" s="76"/>
      <c r="B703" s="112"/>
      <c r="C703" s="61" t="s">
        <v>160</v>
      </c>
      <c r="D703" s="71">
        <v>20</v>
      </c>
      <c r="E703" s="70">
        <v>1E-3</v>
      </c>
    </row>
    <row r="704" spans="1:5" ht="15" customHeight="1">
      <c r="A704" s="76"/>
      <c r="B704" s="112"/>
      <c r="C704" s="61" t="s">
        <v>146</v>
      </c>
      <c r="D704" s="71">
        <v>19</v>
      </c>
      <c r="E704" s="70">
        <v>1E-3</v>
      </c>
    </row>
    <row r="705" spans="1:5" ht="15" customHeight="1">
      <c r="A705" s="76"/>
      <c r="B705" s="112"/>
      <c r="C705" s="61" t="s">
        <v>175</v>
      </c>
      <c r="D705" s="71">
        <v>19</v>
      </c>
      <c r="E705" s="70">
        <v>1E-3</v>
      </c>
    </row>
    <row r="706" spans="1:5" ht="15" customHeight="1">
      <c r="A706" s="76"/>
      <c r="B706" s="112"/>
      <c r="C706" s="61" t="s">
        <v>150</v>
      </c>
      <c r="D706" s="71">
        <v>12</v>
      </c>
      <c r="E706" s="70">
        <v>0</v>
      </c>
    </row>
    <row r="707" spans="1:5" ht="15" customHeight="1">
      <c r="A707" s="76"/>
      <c r="B707" s="112"/>
      <c r="C707" s="61" t="s">
        <v>148</v>
      </c>
      <c r="D707" s="71">
        <v>10</v>
      </c>
      <c r="E707" s="70">
        <v>0</v>
      </c>
    </row>
    <row r="708" spans="1:5" ht="15" customHeight="1">
      <c r="A708" s="76"/>
      <c r="B708" s="112"/>
      <c r="C708" s="61" t="s">
        <v>151</v>
      </c>
      <c r="D708" s="71">
        <v>10</v>
      </c>
      <c r="E708" s="70">
        <v>0</v>
      </c>
    </row>
    <row r="709" spans="1:5" ht="15" customHeight="1">
      <c r="A709" s="76"/>
      <c r="B709" s="112"/>
      <c r="C709" s="61" t="s">
        <v>173</v>
      </c>
      <c r="D709" s="71">
        <v>9</v>
      </c>
      <c r="E709" s="70">
        <v>0</v>
      </c>
    </row>
    <row r="710" spans="1:5" ht="15" customHeight="1">
      <c r="A710" s="76"/>
      <c r="B710" s="112"/>
      <c r="C710" s="61" t="s">
        <v>185</v>
      </c>
      <c r="D710" s="71">
        <v>9</v>
      </c>
      <c r="E710" s="70">
        <v>0</v>
      </c>
    </row>
    <row r="711" spans="1:5" ht="15" customHeight="1">
      <c r="A711" s="76"/>
      <c r="B711" s="112"/>
      <c r="C711" s="61" t="s">
        <v>177</v>
      </c>
      <c r="D711" s="71">
        <v>7</v>
      </c>
      <c r="E711" s="70">
        <v>0</v>
      </c>
    </row>
    <row r="712" spans="1:5" ht="15" customHeight="1">
      <c r="A712" s="76"/>
      <c r="B712" s="112"/>
      <c r="C712" s="61" t="s">
        <v>171</v>
      </c>
      <c r="D712" s="71">
        <v>6</v>
      </c>
      <c r="E712" s="70">
        <v>0</v>
      </c>
    </row>
    <row r="713" spans="1:5" ht="15" customHeight="1">
      <c r="A713" s="76"/>
      <c r="B713" s="112"/>
      <c r="C713" s="61" t="s">
        <v>196</v>
      </c>
      <c r="D713" s="71">
        <v>6</v>
      </c>
      <c r="E713" s="70">
        <v>0</v>
      </c>
    </row>
    <row r="714" spans="1:5" ht="15" customHeight="1">
      <c r="A714" s="76"/>
      <c r="B714" s="112"/>
      <c r="C714" s="61" t="s">
        <v>159</v>
      </c>
      <c r="D714" s="71">
        <v>6</v>
      </c>
      <c r="E714" s="70">
        <v>0</v>
      </c>
    </row>
    <row r="715" spans="1:5" ht="15" customHeight="1">
      <c r="A715" s="76"/>
      <c r="B715" s="112"/>
      <c r="C715" s="61" t="s">
        <v>147</v>
      </c>
      <c r="D715" s="71">
        <v>5</v>
      </c>
      <c r="E715" s="70">
        <v>0</v>
      </c>
    </row>
    <row r="716" spans="1:5" ht="15" customHeight="1">
      <c r="A716" s="76"/>
      <c r="B716" s="112"/>
      <c r="C716" s="61" t="s">
        <v>176</v>
      </c>
      <c r="D716" s="71">
        <v>5</v>
      </c>
      <c r="E716" s="70">
        <v>0</v>
      </c>
    </row>
    <row r="717" spans="1:5" ht="15" customHeight="1">
      <c r="A717" s="76"/>
      <c r="B717" s="112"/>
      <c r="C717" s="61" t="s">
        <v>203</v>
      </c>
      <c r="D717" s="71">
        <v>4</v>
      </c>
      <c r="E717" s="70">
        <v>0</v>
      </c>
    </row>
    <row r="718" spans="1:5" ht="15" customHeight="1">
      <c r="A718" s="76"/>
      <c r="B718" s="112"/>
      <c r="C718" s="61" t="s">
        <v>158</v>
      </c>
      <c r="D718" s="71">
        <v>4</v>
      </c>
      <c r="E718" s="70">
        <v>0</v>
      </c>
    </row>
    <row r="719" spans="1:5" ht="15" customHeight="1">
      <c r="A719" s="76"/>
      <c r="B719" s="112"/>
      <c r="C719" s="61" t="s">
        <v>152</v>
      </c>
      <c r="D719" s="71">
        <v>3</v>
      </c>
      <c r="E719" s="70">
        <v>0</v>
      </c>
    </row>
    <row r="720" spans="1:5" ht="15" customHeight="1">
      <c r="A720" s="76"/>
      <c r="B720" s="112"/>
      <c r="C720" s="61" t="s">
        <v>162</v>
      </c>
      <c r="D720" s="71">
        <v>3</v>
      </c>
      <c r="E720" s="70">
        <v>0</v>
      </c>
    </row>
    <row r="721" spans="1:5" ht="15" customHeight="1">
      <c r="A721" s="76"/>
      <c r="B721" s="112"/>
      <c r="C721" s="61" t="s">
        <v>155</v>
      </c>
      <c r="D721" s="71">
        <v>3</v>
      </c>
      <c r="E721" s="70">
        <v>0</v>
      </c>
    </row>
    <row r="722" spans="1:5" ht="15" customHeight="1">
      <c r="A722" s="76"/>
      <c r="B722" s="112"/>
      <c r="C722" s="61" t="s">
        <v>187</v>
      </c>
      <c r="D722" s="71">
        <v>3</v>
      </c>
      <c r="E722" s="70">
        <v>0</v>
      </c>
    </row>
    <row r="723" spans="1:5" ht="15" customHeight="1">
      <c r="A723" s="76"/>
      <c r="B723" s="112"/>
      <c r="C723" s="61" t="s">
        <v>174</v>
      </c>
      <c r="D723" s="71">
        <v>2</v>
      </c>
      <c r="E723" s="70">
        <v>0</v>
      </c>
    </row>
    <row r="724" spans="1:5" ht="15" customHeight="1">
      <c r="A724" s="76"/>
      <c r="B724" s="112"/>
      <c r="C724" s="61" t="s">
        <v>193</v>
      </c>
      <c r="D724" s="71">
        <v>2</v>
      </c>
      <c r="E724" s="70">
        <v>0</v>
      </c>
    </row>
    <row r="725" spans="1:5" ht="15" customHeight="1">
      <c r="A725" s="76"/>
      <c r="B725" s="112"/>
      <c r="C725" s="61" t="s">
        <v>191</v>
      </c>
      <c r="D725" s="71">
        <v>2</v>
      </c>
      <c r="E725" s="70">
        <v>0</v>
      </c>
    </row>
    <row r="726" spans="1:5" ht="15" customHeight="1">
      <c r="A726" s="76"/>
      <c r="B726" s="112"/>
      <c r="C726" s="61" t="s">
        <v>164</v>
      </c>
      <c r="D726" s="71">
        <v>1</v>
      </c>
      <c r="E726" s="70">
        <v>0</v>
      </c>
    </row>
    <row r="727" spans="1:5" ht="15" customHeight="1">
      <c r="A727" s="76"/>
      <c r="B727" s="112"/>
      <c r="C727" s="61" t="s">
        <v>165</v>
      </c>
      <c r="D727" s="71">
        <v>1</v>
      </c>
      <c r="E727" s="70">
        <v>0</v>
      </c>
    </row>
    <row r="728" spans="1:5" ht="15" customHeight="1">
      <c r="A728" s="76"/>
      <c r="B728" s="112"/>
      <c r="C728" s="61" t="s">
        <v>167</v>
      </c>
      <c r="D728" s="71">
        <v>1</v>
      </c>
      <c r="E728" s="70">
        <v>0</v>
      </c>
    </row>
    <row r="729" spans="1:5" ht="15" customHeight="1">
      <c r="A729" s="76"/>
      <c r="B729" s="112"/>
      <c r="C729" s="61" t="s">
        <v>169</v>
      </c>
      <c r="D729" s="71">
        <v>1</v>
      </c>
      <c r="E729" s="70">
        <v>0</v>
      </c>
    </row>
    <row r="730" spans="1:5" ht="15" customHeight="1">
      <c r="A730" s="76"/>
      <c r="B730" s="112"/>
      <c r="C730" s="61" t="s">
        <v>285</v>
      </c>
      <c r="D730" s="71">
        <v>1</v>
      </c>
      <c r="E730" s="70">
        <v>0</v>
      </c>
    </row>
    <row r="731" spans="1:5" ht="15" customHeight="1">
      <c r="A731" s="76"/>
      <c r="B731" s="112"/>
      <c r="C731" s="61" t="s">
        <v>178</v>
      </c>
      <c r="D731" s="71">
        <v>1</v>
      </c>
      <c r="E731" s="70">
        <v>0</v>
      </c>
    </row>
    <row r="732" spans="1:5" ht="15" customHeight="1">
      <c r="A732" s="76"/>
      <c r="B732" s="112"/>
      <c r="C732" s="61" t="s">
        <v>180</v>
      </c>
      <c r="D732" s="71">
        <v>1</v>
      </c>
      <c r="E732" s="70">
        <v>0</v>
      </c>
    </row>
    <row r="733" spans="1:5" ht="15" customHeight="1">
      <c r="A733" s="76"/>
      <c r="B733" s="112"/>
      <c r="C733" s="61" t="s">
        <v>202</v>
      </c>
      <c r="D733" s="71">
        <v>1</v>
      </c>
      <c r="E733" s="70">
        <v>0</v>
      </c>
    </row>
    <row r="734" spans="1:5" ht="15" customHeight="1">
      <c r="A734" s="76"/>
      <c r="B734" s="112"/>
      <c r="C734" s="61" t="s">
        <v>188</v>
      </c>
      <c r="D734" s="71">
        <v>1</v>
      </c>
      <c r="E734" s="70">
        <v>0</v>
      </c>
    </row>
    <row r="735" spans="1:5" ht="15" customHeight="1">
      <c r="A735" s="76"/>
      <c r="B735" s="112"/>
      <c r="C735" s="61" t="s">
        <v>189</v>
      </c>
      <c r="D735" s="71">
        <v>1</v>
      </c>
      <c r="E735" s="70">
        <v>0</v>
      </c>
    </row>
    <row r="736" spans="1:5" ht="15" customHeight="1">
      <c r="A736" s="76"/>
      <c r="B736" s="112"/>
      <c r="C736" s="61" t="s">
        <v>156</v>
      </c>
      <c r="D736" s="71">
        <v>1</v>
      </c>
      <c r="E736" s="70">
        <v>0</v>
      </c>
    </row>
    <row r="737" spans="1:5" ht="15" customHeight="1">
      <c r="A737" s="76"/>
      <c r="B737" s="112"/>
      <c r="C737" s="74" t="s">
        <v>309</v>
      </c>
      <c r="D737" s="77">
        <v>272</v>
      </c>
      <c r="E737" s="75">
        <v>0.01</v>
      </c>
    </row>
    <row r="738" spans="1:5" ht="15" customHeight="1">
      <c r="A738" s="76"/>
      <c r="B738" s="112" t="s">
        <v>125</v>
      </c>
      <c r="C738" s="61" t="s">
        <v>146</v>
      </c>
      <c r="D738" s="71">
        <v>44</v>
      </c>
      <c r="E738" s="70">
        <v>2E-3</v>
      </c>
    </row>
    <row r="739" spans="1:5" ht="15" customHeight="1">
      <c r="A739" s="76"/>
      <c r="B739" s="112"/>
      <c r="C739" s="61" t="s">
        <v>191</v>
      </c>
      <c r="D739" s="71">
        <v>29</v>
      </c>
      <c r="E739" s="70">
        <v>1E-3</v>
      </c>
    </row>
    <row r="740" spans="1:5" ht="15" customHeight="1">
      <c r="A740" s="76"/>
      <c r="B740" s="112"/>
      <c r="C740" s="61" t="s">
        <v>160</v>
      </c>
      <c r="D740" s="71">
        <v>24</v>
      </c>
      <c r="E740" s="70">
        <v>1E-3</v>
      </c>
    </row>
    <row r="741" spans="1:5" ht="15" customHeight="1">
      <c r="A741" s="76"/>
      <c r="B741" s="112"/>
      <c r="C741" s="61" t="s">
        <v>162</v>
      </c>
      <c r="D741" s="71">
        <v>17</v>
      </c>
      <c r="E741" s="70">
        <v>1E-3</v>
      </c>
    </row>
    <row r="742" spans="1:5" ht="15" customHeight="1">
      <c r="A742" s="76"/>
      <c r="B742" s="112"/>
      <c r="C742" s="61" t="s">
        <v>155</v>
      </c>
      <c r="D742" s="71">
        <v>17</v>
      </c>
      <c r="E742" s="70">
        <v>1E-3</v>
      </c>
    </row>
    <row r="743" spans="1:5" ht="15" customHeight="1">
      <c r="A743" s="76"/>
      <c r="B743" s="112"/>
      <c r="C743" s="61" t="s">
        <v>192</v>
      </c>
      <c r="D743" s="71">
        <v>17</v>
      </c>
      <c r="E743" s="70">
        <v>1E-3</v>
      </c>
    </row>
    <row r="744" spans="1:5" ht="15" customHeight="1">
      <c r="A744" s="76"/>
      <c r="B744" s="112"/>
      <c r="C744" s="61" t="s">
        <v>148</v>
      </c>
      <c r="D744" s="71">
        <v>16</v>
      </c>
      <c r="E744" s="70">
        <v>1E-3</v>
      </c>
    </row>
    <row r="745" spans="1:5" ht="15" customHeight="1">
      <c r="A745" s="76"/>
      <c r="B745" s="112"/>
      <c r="C745" s="61" t="s">
        <v>183</v>
      </c>
      <c r="D745" s="71">
        <v>13</v>
      </c>
      <c r="E745" s="70">
        <v>0</v>
      </c>
    </row>
    <row r="746" spans="1:5" ht="15" customHeight="1">
      <c r="A746" s="76"/>
      <c r="B746" s="112"/>
      <c r="C746" s="61" t="s">
        <v>154</v>
      </c>
      <c r="D746" s="71">
        <v>11</v>
      </c>
      <c r="E746" s="70">
        <v>0</v>
      </c>
    </row>
    <row r="747" spans="1:5" ht="15" customHeight="1">
      <c r="A747" s="76"/>
      <c r="B747" s="112"/>
      <c r="C747" s="61" t="s">
        <v>175</v>
      </c>
      <c r="D747" s="71">
        <v>8</v>
      </c>
      <c r="E747" s="70">
        <v>0</v>
      </c>
    </row>
    <row r="748" spans="1:5" ht="15" customHeight="1">
      <c r="A748" s="76"/>
      <c r="B748" s="112"/>
      <c r="C748" s="61" t="s">
        <v>153</v>
      </c>
      <c r="D748" s="71">
        <v>6</v>
      </c>
      <c r="E748" s="70">
        <v>0</v>
      </c>
    </row>
    <row r="749" spans="1:5" ht="15" customHeight="1">
      <c r="A749" s="76"/>
      <c r="B749" s="112"/>
      <c r="C749" s="61" t="s">
        <v>166</v>
      </c>
      <c r="D749" s="71">
        <v>5</v>
      </c>
      <c r="E749" s="70">
        <v>0</v>
      </c>
    </row>
    <row r="750" spans="1:5" ht="15" customHeight="1">
      <c r="A750" s="76"/>
      <c r="B750" s="112"/>
      <c r="C750" s="61" t="s">
        <v>180</v>
      </c>
      <c r="D750" s="71">
        <v>5</v>
      </c>
      <c r="E750" s="70">
        <v>0</v>
      </c>
    </row>
    <row r="751" spans="1:5" ht="15" customHeight="1">
      <c r="A751" s="76"/>
      <c r="B751" s="112"/>
      <c r="C751" s="61" t="s">
        <v>150</v>
      </c>
      <c r="D751" s="71">
        <v>4</v>
      </c>
      <c r="E751" s="70">
        <v>0</v>
      </c>
    </row>
    <row r="752" spans="1:5" ht="15" customHeight="1">
      <c r="A752" s="76"/>
      <c r="B752" s="112"/>
      <c r="C752" s="61" t="s">
        <v>189</v>
      </c>
      <c r="D752" s="71">
        <v>4</v>
      </c>
      <c r="E752" s="70">
        <v>0</v>
      </c>
    </row>
    <row r="753" spans="1:5" ht="15" customHeight="1">
      <c r="A753" s="76"/>
      <c r="B753" s="112"/>
      <c r="C753" s="61" t="s">
        <v>168</v>
      </c>
      <c r="D753" s="71">
        <v>3</v>
      </c>
      <c r="E753" s="70">
        <v>0</v>
      </c>
    </row>
    <row r="754" spans="1:5" ht="15" customHeight="1">
      <c r="A754" s="76"/>
      <c r="B754" s="112"/>
      <c r="C754" s="61" t="s">
        <v>171</v>
      </c>
      <c r="D754" s="71">
        <v>3</v>
      </c>
      <c r="E754" s="70">
        <v>0</v>
      </c>
    </row>
    <row r="755" spans="1:5" ht="15" customHeight="1">
      <c r="A755" s="76"/>
      <c r="B755" s="112"/>
      <c r="C755" s="61" t="s">
        <v>177</v>
      </c>
      <c r="D755" s="71">
        <v>3</v>
      </c>
      <c r="E755" s="70">
        <v>0</v>
      </c>
    </row>
    <row r="756" spans="1:5" ht="15" customHeight="1">
      <c r="A756" s="76"/>
      <c r="B756" s="112"/>
      <c r="C756" s="61" t="s">
        <v>178</v>
      </c>
      <c r="D756" s="71">
        <v>3</v>
      </c>
      <c r="E756" s="70">
        <v>0</v>
      </c>
    </row>
    <row r="757" spans="1:5" ht="15" customHeight="1">
      <c r="A757" s="76"/>
      <c r="B757" s="112"/>
      <c r="C757" s="61" t="s">
        <v>169</v>
      </c>
      <c r="D757" s="71">
        <v>2</v>
      </c>
      <c r="E757" s="70">
        <v>0</v>
      </c>
    </row>
    <row r="758" spans="1:5" ht="15" customHeight="1">
      <c r="A758" s="76"/>
      <c r="B758" s="112"/>
      <c r="C758" s="61" t="s">
        <v>161</v>
      </c>
      <c r="D758" s="71">
        <v>2</v>
      </c>
      <c r="E758" s="70">
        <v>0</v>
      </c>
    </row>
    <row r="759" spans="1:5" ht="15" customHeight="1">
      <c r="A759" s="76"/>
      <c r="B759" s="112"/>
      <c r="C759" s="61" t="s">
        <v>147</v>
      </c>
      <c r="D759" s="71">
        <v>2</v>
      </c>
      <c r="E759" s="70">
        <v>0</v>
      </c>
    </row>
    <row r="760" spans="1:5" ht="15" customHeight="1">
      <c r="A760" s="76"/>
      <c r="B760" s="112"/>
      <c r="C760" s="61" t="s">
        <v>151</v>
      </c>
      <c r="D760" s="71">
        <v>2</v>
      </c>
      <c r="E760" s="70">
        <v>0</v>
      </c>
    </row>
    <row r="761" spans="1:5" ht="15" customHeight="1">
      <c r="A761" s="76"/>
      <c r="B761" s="112"/>
      <c r="C761" s="61" t="s">
        <v>203</v>
      </c>
      <c r="D761" s="71">
        <v>2</v>
      </c>
      <c r="E761" s="70">
        <v>0</v>
      </c>
    </row>
    <row r="762" spans="1:5" ht="15" customHeight="1">
      <c r="A762" s="76"/>
      <c r="B762" s="112"/>
      <c r="C762" s="61" t="s">
        <v>159</v>
      </c>
      <c r="D762" s="71">
        <v>2</v>
      </c>
      <c r="E762" s="70">
        <v>0</v>
      </c>
    </row>
    <row r="763" spans="1:5" ht="15" customHeight="1">
      <c r="A763" s="76"/>
      <c r="B763" s="112"/>
      <c r="C763" s="61" t="s">
        <v>167</v>
      </c>
      <c r="D763" s="71">
        <v>1</v>
      </c>
      <c r="E763" s="70">
        <v>0</v>
      </c>
    </row>
    <row r="764" spans="1:5" ht="15" customHeight="1">
      <c r="A764" s="76"/>
      <c r="B764" s="112"/>
      <c r="C764" s="61" t="s">
        <v>173</v>
      </c>
      <c r="D764" s="71">
        <v>1</v>
      </c>
      <c r="E764" s="70">
        <v>0</v>
      </c>
    </row>
    <row r="765" spans="1:5" ht="15" customHeight="1">
      <c r="A765" s="76"/>
      <c r="B765" s="112"/>
      <c r="C765" s="61" t="s">
        <v>174</v>
      </c>
      <c r="D765" s="71">
        <v>1</v>
      </c>
      <c r="E765" s="70">
        <v>0</v>
      </c>
    </row>
    <row r="766" spans="1:5" ht="15" customHeight="1">
      <c r="A766" s="76"/>
      <c r="B766" s="112"/>
      <c r="C766" s="61" t="s">
        <v>149</v>
      </c>
      <c r="D766" s="71">
        <v>1</v>
      </c>
      <c r="E766" s="70">
        <v>0</v>
      </c>
    </row>
    <row r="767" spans="1:5" ht="15" customHeight="1">
      <c r="A767" s="76"/>
      <c r="B767" s="112"/>
      <c r="C767" s="61" t="s">
        <v>193</v>
      </c>
      <c r="D767" s="71">
        <v>1</v>
      </c>
      <c r="E767" s="70">
        <v>0</v>
      </c>
    </row>
    <row r="768" spans="1:5" ht="15" customHeight="1">
      <c r="A768" s="76"/>
      <c r="B768" s="112"/>
      <c r="C768" s="61" t="s">
        <v>152</v>
      </c>
      <c r="D768" s="71">
        <v>1</v>
      </c>
      <c r="E768" s="70">
        <v>0</v>
      </c>
    </row>
    <row r="769" spans="1:5" ht="15" customHeight="1">
      <c r="A769" s="76"/>
      <c r="B769" s="112"/>
      <c r="C769" s="61" t="s">
        <v>182</v>
      </c>
      <c r="D769" s="71">
        <v>1</v>
      </c>
      <c r="E769" s="70">
        <v>0</v>
      </c>
    </row>
    <row r="770" spans="1:5" ht="15" customHeight="1">
      <c r="A770" s="76"/>
      <c r="B770" s="112"/>
      <c r="C770" s="74" t="s">
        <v>309</v>
      </c>
      <c r="D770" s="77">
        <v>251</v>
      </c>
      <c r="E770" s="75">
        <v>8.9999999999999993E-3</v>
      </c>
    </row>
    <row r="771" spans="1:5" ht="15" customHeight="1">
      <c r="A771" s="76"/>
      <c r="B771" s="112" t="s">
        <v>107</v>
      </c>
      <c r="C771" s="61" t="s">
        <v>153</v>
      </c>
      <c r="D771" s="71">
        <v>50</v>
      </c>
      <c r="E771" s="70">
        <v>2E-3</v>
      </c>
    </row>
    <row r="772" spans="1:5" ht="15" customHeight="1">
      <c r="A772" s="76"/>
      <c r="B772" s="112"/>
      <c r="C772" s="61" t="s">
        <v>191</v>
      </c>
      <c r="D772" s="71">
        <v>23</v>
      </c>
      <c r="E772" s="70">
        <v>1E-3</v>
      </c>
    </row>
    <row r="773" spans="1:5" ht="15" customHeight="1">
      <c r="A773" s="76"/>
      <c r="B773" s="112"/>
      <c r="C773" s="61" t="s">
        <v>158</v>
      </c>
      <c r="D773" s="71">
        <v>17</v>
      </c>
      <c r="E773" s="70">
        <v>1E-3</v>
      </c>
    </row>
    <row r="774" spans="1:5" ht="15" customHeight="1">
      <c r="A774" s="76"/>
      <c r="B774" s="112"/>
      <c r="C774" s="61" t="s">
        <v>146</v>
      </c>
      <c r="D774" s="71">
        <v>14</v>
      </c>
      <c r="E774" s="70">
        <v>1E-3</v>
      </c>
    </row>
    <row r="775" spans="1:5" ht="15" customHeight="1">
      <c r="A775" s="76"/>
      <c r="B775" s="112"/>
      <c r="C775" s="61" t="s">
        <v>189</v>
      </c>
      <c r="D775" s="71">
        <v>14</v>
      </c>
      <c r="E775" s="70">
        <v>1E-3</v>
      </c>
    </row>
    <row r="776" spans="1:5" ht="15" customHeight="1">
      <c r="A776" s="76"/>
      <c r="B776" s="112"/>
      <c r="C776" s="61" t="s">
        <v>161</v>
      </c>
      <c r="D776" s="71">
        <v>13</v>
      </c>
      <c r="E776" s="70">
        <v>0</v>
      </c>
    </row>
    <row r="777" spans="1:5" ht="15" customHeight="1">
      <c r="A777" s="76"/>
      <c r="B777" s="112"/>
      <c r="C777" s="61" t="s">
        <v>188</v>
      </c>
      <c r="D777" s="71">
        <v>13</v>
      </c>
      <c r="E777" s="70">
        <v>0</v>
      </c>
    </row>
    <row r="778" spans="1:5" ht="15" customHeight="1">
      <c r="A778" s="76"/>
      <c r="B778" s="112"/>
      <c r="C778" s="61" t="s">
        <v>160</v>
      </c>
      <c r="D778" s="71">
        <v>11</v>
      </c>
      <c r="E778" s="70">
        <v>0</v>
      </c>
    </row>
    <row r="779" spans="1:5" ht="15" customHeight="1">
      <c r="A779" s="76"/>
      <c r="B779" s="112"/>
      <c r="C779" s="61" t="s">
        <v>159</v>
      </c>
      <c r="D779" s="71">
        <v>8</v>
      </c>
      <c r="E779" s="70">
        <v>0</v>
      </c>
    </row>
    <row r="780" spans="1:5" ht="15" customHeight="1">
      <c r="A780" s="76"/>
      <c r="B780" s="112"/>
      <c r="C780" s="61" t="s">
        <v>149</v>
      </c>
      <c r="D780" s="71">
        <v>7</v>
      </c>
      <c r="E780" s="70">
        <v>0</v>
      </c>
    </row>
    <row r="781" spans="1:5" ht="15" customHeight="1">
      <c r="A781" s="76"/>
      <c r="B781" s="112"/>
      <c r="C781" s="61" t="s">
        <v>192</v>
      </c>
      <c r="D781" s="71">
        <v>7</v>
      </c>
      <c r="E781" s="70">
        <v>0</v>
      </c>
    </row>
    <row r="782" spans="1:5" ht="15" customHeight="1">
      <c r="A782" s="76"/>
      <c r="B782" s="112"/>
      <c r="C782" s="61" t="s">
        <v>166</v>
      </c>
      <c r="D782" s="71">
        <v>6</v>
      </c>
      <c r="E782" s="70">
        <v>0</v>
      </c>
    </row>
    <row r="783" spans="1:5" ht="15" customHeight="1">
      <c r="A783" s="76"/>
      <c r="B783" s="112"/>
      <c r="C783" s="61" t="s">
        <v>155</v>
      </c>
      <c r="D783" s="71">
        <v>4</v>
      </c>
      <c r="E783" s="70">
        <v>0</v>
      </c>
    </row>
    <row r="784" spans="1:5" ht="15" customHeight="1">
      <c r="A784" s="76"/>
      <c r="B784" s="112"/>
      <c r="C784" s="61" t="s">
        <v>156</v>
      </c>
      <c r="D784" s="71">
        <v>4</v>
      </c>
      <c r="E784" s="70">
        <v>0</v>
      </c>
    </row>
    <row r="785" spans="1:5" ht="15" customHeight="1">
      <c r="A785" s="76"/>
      <c r="B785" s="112"/>
      <c r="C785" s="61" t="s">
        <v>168</v>
      </c>
      <c r="D785" s="71">
        <v>3</v>
      </c>
      <c r="E785" s="70">
        <v>0</v>
      </c>
    </row>
    <row r="786" spans="1:5" ht="15" customHeight="1">
      <c r="A786" s="76"/>
      <c r="B786" s="112"/>
      <c r="C786" s="61" t="s">
        <v>148</v>
      </c>
      <c r="D786" s="71">
        <v>3</v>
      </c>
      <c r="E786" s="70">
        <v>0</v>
      </c>
    </row>
    <row r="787" spans="1:5" ht="15" customHeight="1">
      <c r="A787" s="76"/>
      <c r="B787" s="112"/>
      <c r="C787" s="61" t="s">
        <v>152</v>
      </c>
      <c r="D787" s="71">
        <v>3</v>
      </c>
      <c r="E787" s="70">
        <v>0</v>
      </c>
    </row>
    <row r="788" spans="1:5" ht="15" customHeight="1">
      <c r="A788" s="76"/>
      <c r="B788" s="112"/>
      <c r="C788" s="61" t="s">
        <v>183</v>
      </c>
      <c r="D788" s="71">
        <v>3</v>
      </c>
      <c r="E788" s="70">
        <v>0</v>
      </c>
    </row>
    <row r="789" spans="1:5" ht="15" customHeight="1">
      <c r="A789" s="76"/>
      <c r="B789" s="112"/>
      <c r="C789" s="61" t="s">
        <v>196</v>
      </c>
      <c r="D789" s="71">
        <v>3</v>
      </c>
      <c r="E789" s="70">
        <v>0</v>
      </c>
    </row>
    <row r="790" spans="1:5" ht="15" customHeight="1">
      <c r="A790" s="76"/>
      <c r="B790" s="112"/>
      <c r="C790" s="61" t="s">
        <v>169</v>
      </c>
      <c r="D790" s="71">
        <v>2</v>
      </c>
      <c r="E790" s="70">
        <v>0</v>
      </c>
    </row>
    <row r="791" spans="1:5" ht="15" customHeight="1">
      <c r="A791" s="76"/>
      <c r="B791" s="112"/>
      <c r="C791" s="61" t="s">
        <v>150</v>
      </c>
      <c r="D791" s="71">
        <v>2</v>
      </c>
      <c r="E791" s="70">
        <v>0</v>
      </c>
    </row>
    <row r="792" spans="1:5" ht="15" customHeight="1">
      <c r="A792" s="76"/>
      <c r="B792" s="112"/>
      <c r="C792" s="61" t="s">
        <v>193</v>
      </c>
      <c r="D792" s="71">
        <v>2</v>
      </c>
      <c r="E792" s="70">
        <v>0</v>
      </c>
    </row>
    <row r="793" spans="1:5" ht="15" customHeight="1">
      <c r="A793" s="76"/>
      <c r="B793" s="112"/>
      <c r="C793" s="61" t="s">
        <v>162</v>
      </c>
      <c r="D793" s="71">
        <v>2</v>
      </c>
      <c r="E793" s="70">
        <v>0</v>
      </c>
    </row>
    <row r="794" spans="1:5" ht="15" customHeight="1">
      <c r="A794" s="76"/>
      <c r="B794" s="112"/>
      <c r="C794" s="61" t="s">
        <v>186</v>
      </c>
      <c r="D794" s="71">
        <v>2</v>
      </c>
      <c r="E794" s="70">
        <v>0</v>
      </c>
    </row>
    <row r="795" spans="1:5" ht="15" customHeight="1">
      <c r="A795" s="76"/>
      <c r="B795" s="112"/>
      <c r="C795" s="61" t="s">
        <v>165</v>
      </c>
      <c r="D795" s="71">
        <v>1</v>
      </c>
      <c r="E795" s="70">
        <v>0</v>
      </c>
    </row>
    <row r="796" spans="1:5" ht="15" customHeight="1">
      <c r="A796" s="76"/>
      <c r="B796" s="112"/>
      <c r="C796" s="61" t="s">
        <v>170</v>
      </c>
      <c r="D796" s="71">
        <v>1</v>
      </c>
      <c r="E796" s="70">
        <v>0</v>
      </c>
    </row>
    <row r="797" spans="1:5" ht="15" customHeight="1">
      <c r="A797" s="76"/>
      <c r="B797" s="112"/>
      <c r="C797" s="61" t="s">
        <v>147</v>
      </c>
      <c r="D797" s="71">
        <v>1</v>
      </c>
      <c r="E797" s="70">
        <v>0</v>
      </c>
    </row>
    <row r="798" spans="1:5" ht="15" customHeight="1">
      <c r="A798" s="76"/>
      <c r="B798" s="112"/>
      <c r="C798" s="61" t="s">
        <v>199</v>
      </c>
      <c r="D798" s="71">
        <v>1</v>
      </c>
      <c r="E798" s="70">
        <v>0</v>
      </c>
    </row>
    <row r="799" spans="1:5" ht="15" customHeight="1">
      <c r="A799" s="76"/>
      <c r="B799" s="112"/>
      <c r="C799" s="61" t="s">
        <v>174</v>
      </c>
      <c r="D799" s="71">
        <v>1</v>
      </c>
      <c r="E799" s="70">
        <v>0</v>
      </c>
    </row>
    <row r="800" spans="1:5" ht="15" customHeight="1">
      <c r="A800" s="76"/>
      <c r="B800" s="112"/>
      <c r="C800" s="61" t="s">
        <v>177</v>
      </c>
      <c r="D800" s="71">
        <v>1</v>
      </c>
      <c r="E800" s="70">
        <v>0</v>
      </c>
    </row>
    <row r="801" spans="1:5" ht="15" customHeight="1">
      <c r="A801" s="76"/>
      <c r="B801" s="112"/>
      <c r="C801" s="61" t="s">
        <v>202</v>
      </c>
      <c r="D801" s="71">
        <v>1</v>
      </c>
      <c r="E801" s="70">
        <v>0</v>
      </c>
    </row>
    <row r="802" spans="1:5" ht="15" customHeight="1">
      <c r="A802" s="76"/>
      <c r="B802" s="112"/>
      <c r="C802" s="61" t="s">
        <v>203</v>
      </c>
      <c r="D802" s="71">
        <v>1</v>
      </c>
      <c r="E802" s="70">
        <v>0</v>
      </c>
    </row>
    <row r="803" spans="1:5" ht="15" customHeight="1">
      <c r="A803" s="76"/>
      <c r="B803" s="112"/>
      <c r="C803" s="61" t="s">
        <v>182</v>
      </c>
      <c r="D803" s="71">
        <v>1</v>
      </c>
      <c r="E803" s="70">
        <v>0</v>
      </c>
    </row>
    <row r="804" spans="1:5" ht="15" customHeight="1">
      <c r="A804" s="76"/>
      <c r="B804" s="112"/>
      <c r="C804" s="61" t="s">
        <v>154</v>
      </c>
      <c r="D804" s="71">
        <v>1</v>
      </c>
      <c r="E804" s="70">
        <v>0</v>
      </c>
    </row>
    <row r="805" spans="1:5" ht="15" customHeight="1">
      <c r="A805" s="76"/>
      <c r="B805" s="112"/>
      <c r="C805" s="61" t="s">
        <v>187</v>
      </c>
      <c r="D805" s="71">
        <v>1</v>
      </c>
      <c r="E805" s="70">
        <v>0</v>
      </c>
    </row>
    <row r="806" spans="1:5" ht="15" customHeight="1">
      <c r="A806" s="76"/>
      <c r="B806" s="112"/>
      <c r="C806" s="61" t="s">
        <v>190</v>
      </c>
      <c r="D806" s="71">
        <v>1</v>
      </c>
      <c r="E806" s="70">
        <v>0</v>
      </c>
    </row>
    <row r="807" spans="1:5" ht="15" customHeight="1">
      <c r="A807" s="76"/>
      <c r="B807" s="112"/>
      <c r="C807" s="74" t="s">
        <v>309</v>
      </c>
      <c r="D807" s="77">
        <v>228</v>
      </c>
      <c r="E807" s="75">
        <v>8.0000000000000002E-3</v>
      </c>
    </row>
    <row r="808" spans="1:5" ht="15" customHeight="1">
      <c r="A808" s="76"/>
      <c r="B808" s="112" t="s">
        <v>110</v>
      </c>
      <c r="C808" s="61" t="s">
        <v>146</v>
      </c>
      <c r="D808" s="71">
        <v>65</v>
      </c>
      <c r="E808" s="70">
        <v>2E-3</v>
      </c>
    </row>
    <row r="809" spans="1:5" ht="15" customHeight="1">
      <c r="A809" s="76"/>
      <c r="B809" s="112"/>
      <c r="C809" s="61" t="s">
        <v>147</v>
      </c>
      <c r="D809" s="71">
        <v>22</v>
      </c>
      <c r="E809" s="70">
        <v>1E-3</v>
      </c>
    </row>
    <row r="810" spans="1:5" ht="15" customHeight="1">
      <c r="A810" s="76"/>
      <c r="B810" s="112"/>
      <c r="C810" s="61" t="s">
        <v>159</v>
      </c>
      <c r="D810" s="71">
        <v>19</v>
      </c>
      <c r="E810" s="70">
        <v>1E-3</v>
      </c>
    </row>
    <row r="811" spans="1:5" ht="15" customHeight="1">
      <c r="A811" s="76"/>
      <c r="B811" s="112"/>
      <c r="C811" s="61" t="s">
        <v>148</v>
      </c>
      <c r="D811" s="71">
        <v>16</v>
      </c>
      <c r="E811" s="70">
        <v>1E-3</v>
      </c>
    </row>
    <row r="812" spans="1:5" ht="15" customHeight="1">
      <c r="A812" s="76"/>
      <c r="B812" s="112"/>
      <c r="C812" s="61" t="s">
        <v>154</v>
      </c>
      <c r="D812" s="71">
        <v>16</v>
      </c>
      <c r="E812" s="70">
        <v>1E-3</v>
      </c>
    </row>
    <row r="813" spans="1:5" ht="15" customHeight="1">
      <c r="A813" s="76"/>
      <c r="B813" s="112"/>
      <c r="C813" s="61" t="s">
        <v>173</v>
      </c>
      <c r="D813" s="71">
        <v>7</v>
      </c>
      <c r="E813" s="70">
        <v>0</v>
      </c>
    </row>
    <row r="814" spans="1:5" ht="15" customHeight="1">
      <c r="A814" s="76"/>
      <c r="B814" s="112"/>
      <c r="C814" s="61" t="s">
        <v>155</v>
      </c>
      <c r="D814" s="71">
        <v>7</v>
      </c>
      <c r="E814" s="70">
        <v>0</v>
      </c>
    </row>
    <row r="815" spans="1:5" ht="15" customHeight="1">
      <c r="A815" s="76"/>
      <c r="B815" s="112"/>
      <c r="C815" s="61" t="s">
        <v>170</v>
      </c>
      <c r="D815" s="71">
        <v>6</v>
      </c>
      <c r="E815" s="70">
        <v>0</v>
      </c>
    </row>
    <row r="816" spans="1:5" ht="15" customHeight="1">
      <c r="A816" s="76"/>
      <c r="B816" s="112"/>
      <c r="C816" s="61" t="s">
        <v>175</v>
      </c>
      <c r="D816" s="71">
        <v>6</v>
      </c>
      <c r="E816" s="70">
        <v>0</v>
      </c>
    </row>
    <row r="817" spans="1:5" ht="15" customHeight="1">
      <c r="A817" s="76"/>
      <c r="B817" s="112"/>
      <c r="C817" s="61" t="s">
        <v>187</v>
      </c>
      <c r="D817" s="71">
        <v>5</v>
      </c>
      <c r="E817" s="70">
        <v>0</v>
      </c>
    </row>
    <row r="818" spans="1:5" ht="15" customHeight="1">
      <c r="A818" s="76"/>
      <c r="B818" s="112"/>
      <c r="C818" s="61" t="s">
        <v>160</v>
      </c>
      <c r="D818" s="71">
        <v>5</v>
      </c>
      <c r="E818" s="70">
        <v>0</v>
      </c>
    </row>
    <row r="819" spans="1:5" ht="15" customHeight="1">
      <c r="A819" s="76"/>
      <c r="B819" s="112"/>
      <c r="C819" s="61" t="s">
        <v>180</v>
      </c>
      <c r="D819" s="71">
        <v>4</v>
      </c>
      <c r="E819" s="70">
        <v>0</v>
      </c>
    </row>
    <row r="820" spans="1:5" ht="15" customHeight="1">
      <c r="A820" s="76"/>
      <c r="B820" s="112"/>
      <c r="C820" s="61" t="s">
        <v>185</v>
      </c>
      <c r="D820" s="71">
        <v>4</v>
      </c>
      <c r="E820" s="70">
        <v>0</v>
      </c>
    </row>
    <row r="821" spans="1:5" ht="15" customHeight="1">
      <c r="A821" s="76"/>
      <c r="B821" s="112"/>
      <c r="C821" s="61" t="s">
        <v>157</v>
      </c>
      <c r="D821" s="71">
        <v>4</v>
      </c>
      <c r="E821" s="70">
        <v>0</v>
      </c>
    </row>
    <row r="822" spans="1:5" ht="15" customHeight="1">
      <c r="A822" s="76"/>
      <c r="B822" s="112"/>
      <c r="C822" s="61" t="s">
        <v>158</v>
      </c>
      <c r="D822" s="71">
        <v>4</v>
      </c>
      <c r="E822" s="70">
        <v>0</v>
      </c>
    </row>
    <row r="823" spans="1:5" ht="15" customHeight="1">
      <c r="A823" s="76"/>
      <c r="B823" s="112"/>
      <c r="C823" s="61" t="s">
        <v>177</v>
      </c>
      <c r="D823" s="71">
        <v>3</v>
      </c>
      <c r="E823" s="70">
        <v>0</v>
      </c>
    </row>
    <row r="824" spans="1:5" ht="15" customHeight="1">
      <c r="A824" s="76"/>
      <c r="B824" s="112"/>
      <c r="C824" s="61" t="s">
        <v>153</v>
      </c>
      <c r="D824" s="71">
        <v>3</v>
      </c>
      <c r="E824" s="70">
        <v>0</v>
      </c>
    </row>
    <row r="825" spans="1:5" ht="15" customHeight="1">
      <c r="A825" s="76"/>
      <c r="B825" s="112"/>
      <c r="C825" s="61" t="s">
        <v>191</v>
      </c>
      <c r="D825" s="71">
        <v>3</v>
      </c>
      <c r="E825" s="70">
        <v>0</v>
      </c>
    </row>
    <row r="826" spans="1:5" ht="15" customHeight="1">
      <c r="A826" s="76"/>
      <c r="B826" s="112"/>
      <c r="C826" s="61" t="s">
        <v>163</v>
      </c>
      <c r="D826" s="71">
        <v>2</v>
      </c>
      <c r="E826" s="70">
        <v>0</v>
      </c>
    </row>
    <row r="827" spans="1:5" ht="15" customHeight="1">
      <c r="A827" s="76"/>
      <c r="B827" s="112"/>
      <c r="C827" s="61" t="s">
        <v>166</v>
      </c>
      <c r="D827" s="71">
        <v>2</v>
      </c>
      <c r="E827" s="70">
        <v>0</v>
      </c>
    </row>
    <row r="828" spans="1:5" ht="15" customHeight="1">
      <c r="A828" s="76"/>
      <c r="B828" s="112"/>
      <c r="C828" s="61" t="s">
        <v>174</v>
      </c>
      <c r="D828" s="71">
        <v>2</v>
      </c>
      <c r="E828" s="70">
        <v>0</v>
      </c>
    </row>
    <row r="829" spans="1:5" ht="15" customHeight="1">
      <c r="A829" s="76"/>
      <c r="B829" s="112"/>
      <c r="C829" s="61" t="s">
        <v>151</v>
      </c>
      <c r="D829" s="71">
        <v>2</v>
      </c>
      <c r="E829" s="70">
        <v>0</v>
      </c>
    </row>
    <row r="830" spans="1:5" ht="15" customHeight="1">
      <c r="A830" s="76"/>
      <c r="B830" s="112"/>
      <c r="C830" s="61" t="s">
        <v>201</v>
      </c>
      <c r="D830" s="71">
        <v>2</v>
      </c>
      <c r="E830" s="70">
        <v>0</v>
      </c>
    </row>
    <row r="831" spans="1:5" ht="15" customHeight="1">
      <c r="A831" s="76"/>
      <c r="B831" s="112"/>
      <c r="C831" s="61" t="s">
        <v>162</v>
      </c>
      <c r="D831" s="71">
        <v>2</v>
      </c>
      <c r="E831" s="70">
        <v>0</v>
      </c>
    </row>
    <row r="832" spans="1:5" ht="15" customHeight="1">
      <c r="A832" s="76"/>
      <c r="B832" s="112"/>
      <c r="C832" s="61" t="s">
        <v>186</v>
      </c>
      <c r="D832" s="71">
        <v>2</v>
      </c>
      <c r="E832" s="70">
        <v>0</v>
      </c>
    </row>
    <row r="833" spans="1:5" ht="15" customHeight="1">
      <c r="A833" s="76"/>
      <c r="B833" s="112"/>
      <c r="C833" s="61" t="s">
        <v>189</v>
      </c>
      <c r="D833" s="71">
        <v>2</v>
      </c>
      <c r="E833" s="70">
        <v>0</v>
      </c>
    </row>
    <row r="834" spans="1:5" ht="15" customHeight="1">
      <c r="A834" s="76"/>
      <c r="B834" s="112"/>
      <c r="C834" s="61" t="s">
        <v>165</v>
      </c>
      <c r="D834" s="71">
        <v>1</v>
      </c>
      <c r="E834" s="70">
        <v>0</v>
      </c>
    </row>
    <row r="835" spans="1:5" ht="15" customHeight="1">
      <c r="A835" s="76"/>
      <c r="B835" s="112"/>
      <c r="C835" s="61" t="s">
        <v>167</v>
      </c>
      <c r="D835" s="71">
        <v>1</v>
      </c>
      <c r="E835" s="70">
        <v>0</v>
      </c>
    </row>
    <row r="836" spans="1:5" ht="15" customHeight="1">
      <c r="A836" s="76"/>
      <c r="B836" s="112"/>
      <c r="C836" s="61" t="s">
        <v>169</v>
      </c>
      <c r="D836" s="71">
        <v>1</v>
      </c>
      <c r="E836" s="70">
        <v>0</v>
      </c>
    </row>
    <row r="837" spans="1:5" ht="15" customHeight="1">
      <c r="A837" s="76"/>
      <c r="B837" s="112"/>
      <c r="C837" s="61" t="s">
        <v>171</v>
      </c>
      <c r="D837" s="71">
        <v>1</v>
      </c>
      <c r="E837" s="70">
        <v>0</v>
      </c>
    </row>
    <row r="838" spans="1:5" ht="15" customHeight="1">
      <c r="A838" s="76"/>
      <c r="B838" s="112"/>
      <c r="C838" s="61" t="s">
        <v>149</v>
      </c>
      <c r="D838" s="71">
        <v>1</v>
      </c>
      <c r="E838" s="70">
        <v>0</v>
      </c>
    </row>
    <row r="839" spans="1:5" ht="15" customHeight="1">
      <c r="A839" s="76"/>
      <c r="B839" s="112"/>
      <c r="C839" s="61" t="s">
        <v>181</v>
      </c>
      <c r="D839" s="71">
        <v>1</v>
      </c>
      <c r="E839" s="70">
        <v>0</v>
      </c>
    </row>
    <row r="840" spans="1:5" ht="15" customHeight="1">
      <c r="A840" s="76"/>
      <c r="B840" s="112"/>
      <c r="C840" s="61" t="s">
        <v>152</v>
      </c>
      <c r="D840" s="71">
        <v>1</v>
      </c>
      <c r="E840" s="70">
        <v>0</v>
      </c>
    </row>
    <row r="841" spans="1:5" ht="15" customHeight="1">
      <c r="A841" s="76"/>
      <c r="B841" s="112"/>
      <c r="C841" s="61" t="s">
        <v>203</v>
      </c>
      <c r="D841" s="71">
        <v>1</v>
      </c>
      <c r="E841" s="70">
        <v>0</v>
      </c>
    </row>
    <row r="842" spans="1:5" ht="15" customHeight="1">
      <c r="A842" s="76"/>
      <c r="B842" s="112"/>
      <c r="C842" s="61" t="s">
        <v>183</v>
      </c>
      <c r="D842" s="71">
        <v>1</v>
      </c>
      <c r="E842" s="70">
        <v>0</v>
      </c>
    </row>
    <row r="843" spans="1:5" ht="15" customHeight="1">
      <c r="A843" s="76"/>
      <c r="B843" s="112"/>
      <c r="C843" s="61" t="s">
        <v>188</v>
      </c>
      <c r="D843" s="71">
        <v>1</v>
      </c>
      <c r="E843" s="70">
        <v>0</v>
      </c>
    </row>
    <row r="844" spans="1:5" ht="15" customHeight="1">
      <c r="A844" s="76"/>
      <c r="B844" s="112"/>
      <c r="C844" s="61" t="s">
        <v>192</v>
      </c>
      <c r="D844" s="71">
        <v>1</v>
      </c>
      <c r="E844" s="70">
        <v>0</v>
      </c>
    </row>
    <row r="845" spans="1:5" ht="15" customHeight="1">
      <c r="A845" s="76"/>
      <c r="B845" s="112"/>
      <c r="C845" s="74" t="s">
        <v>309</v>
      </c>
      <c r="D845" s="77">
        <v>226</v>
      </c>
      <c r="E845" s="75">
        <v>8.0000000000000002E-3</v>
      </c>
    </row>
    <row r="846" spans="1:5" ht="15" customHeight="1">
      <c r="A846" s="76"/>
      <c r="B846" s="112" t="s">
        <v>138</v>
      </c>
      <c r="C846" s="61" t="s">
        <v>146</v>
      </c>
      <c r="D846" s="71">
        <v>47</v>
      </c>
      <c r="E846" s="70">
        <v>2E-3</v>
      </c>
    </row>
    <row r="847" spans="1:5" ht="15" customHeight="1">
      <c r="A847" s="76"/>
      <c r="B847" s="112"/>
      <c r="C847" s="61" t="s">
        <v>191</v>
      </c>
      <c r="D847" s="71">
        <v>18</v>
      </c>
      <c r="E847" s="70">
        <v>1E-3</v>
      </c>
    </row>
    <row r="848" spans="1:5" ht="15" customHeight="1">
      <c r="A848" s="76"/>
      <c r="B848" s="112"/>
      <c r="C848" s="61" t="s">
        <v>192</v>
      </c>
      <c r="D848" s="71">
        <v>16</v>
      </c>
      <c r="E848" s="70">
        <v>1E-3</v>
      </c>
    </row>
    <row r="849" spans="1:5" ht="15" customHeight="1">
      <c r="A849" s="76"/>
      <c r="B849" s="112"/>
      <c r="C849" s="61" t="s">
        <v>166</v>
      </c>
      <c r="D849" s="71">
        <v>15</v>
      </c>
      <c r="E849" s="70">
        <v>1E-3</v>
      </c>
    </row>
    <row r="850" spans="1:5" ht="15" customHeight="1">
      <c r="A850" s="76"/>
      <c r="B850" s="112"/>
      <c r="C850" s="61" t="s">
        <v>160</v>
      </c>
      <c r="D850" s="71">
        <v>13</v>
      </c>
      <c r="E850" s="70">
        <v>0</v>
      </c>
    </row>
    <row r="851" spans="1:5" ht="15" customHeight="1">
      <c r="A851" s="76"/>
      <c r="B851" s="112"/>
      <c r="C851" s="61" t="s">
        <v>148</v>
      </c>
      <c r="D851" s="71">
        <v>12</v>
      </c>
      <c r="E851" s="70">
        <v>0</v>
      </c>
    </row>
    <row r="852" spans="1:5" ht="15" customHeight="1">
      <c r="A852" s="76"/>
      <c r="B852" s="112"/>
      <c r="C852" s="61" t="s">
        <v>183</v>
      </c>
      <c r="D852" s="71">
        <v>12</v>
      </c>
      <c r="E852" s="70">
        <v>0</v>
      </c>
    </row>
    <row r="853" spans="1:5" ht="15" customHeight="1">
      <c r="A853" s="76"/>
      <c r="B853" s="112"/>
      <c r="C853" s="61" t="s">
        <v>175</v>
      </c>
      <c r="D853" s="71">
        <v>9</v>
      </c>
      <c r="E853" s="70">
        <v>0</v>
      </c>
    </row>
    <row r="854" spans="1:5" ht="15" customHeight="1">
      <c r="A854" s="76"/>
      <c r="B854" s="112"/>
      <c r="C854" s="61" t="s">
        <v>159</v>
      </c>
      <c r="D854" s="71">
        <v>8</v>
      </c>
      <c r="E854" s="70">
        <v>0</v>
      </c>
    </row>
    <row r="855" spans="1:5" ht="15" customHeight="1">
      <c r="A855" s="76"/>
      <c r="B855" s="112"/>
      <c r="C855" s="61" t="s">
        <v>150</v>
      </c>
      <c r="D855" s="71">
        <v>7</v>
      </c>
      <c r="E855" s="70">
        <v>0</v>
      </c>
    </row>
    <row r="856" spans="1:5" ht="15" customHeight="1">
      <c r="A856" s="76"/>
      <c r="B856" s="112"/>
      <c r="C856" s="61" t="s">
        <v>155</v>
      </c>
      <c r="D856" s="71">
        <v>7</v>
      </c>
      <c r="E856" s="70">
        <v>0</v>
      </c>
    </row>
    <row r="857" spans="1:5" ht="15" customHeight="1">
      <c r="A857" s="76"/>
      <c r="B857" s="112"/>
      <c r="C857" s="61" t="s">
        <v>153</v>
      </c>
      <c r="D857" s="71">
        <v>5</v>
      </c>
      <c r="E857" s="70">
        <v>0</v>
      </c>
    </row>
    <row r="858" spans="1:5" ht="15" customHeight="1">
      <c r="A858" s="76"/>
      <c r="B858" s="112"/>
      <c r="C858" s="61" t="s">
        <v>194</v>
      </c>
      <c r="D858" s="71">
        <v>5</v>
      </c>
      <c r="E858" s="70">
        <v>0</v>
      </c>
    </row>
    <row r="859" spans="1:5" ht="15" customHeight="1">
      <c r="A859" s="76"/>
      <c r="B859" s="112"/>
      <c r="C859" s="61" t="s">
        <v>188</v>
      </c>
      <c r="D859" s="71">
        <v>5</v>
      </c>
      <c r="E859" s="70">
        <v>0</v>
      </c>
    </row>
    <row r="860" spans="1:5" ht="15" customHeight="1">
      <c r="A860" s="76"/>
      <c r="B860" s="112"/>
      <c r="C860" s="61" t="s">
        <v>171</v>
      </c>
      <c r="D860" s="71">
        <v>4</v>
      </c>
      <c r="E860" s="70">
        <v>0</v>
      </c>
    </row>
    <row r="861" spans="1:5" ht="15" customHeight="1">
      <c r="A861" s="76"/>
      <c r="B861" s="112"/>
      <c r="C861" s="61" t="s">
        <v>189</v>
      </c>
      <c r="D861" s="71">
        <v>4</v>
      </c>
      <c r="E861" s="70">
        <v>0</v>
      </c>
    </row>
    <row r="862" spans="1:5" ht="15" customHeight="1">
      <c r="A862" s="76"/>
      <c r="B862" s="112"/>
      <c r="C862" s="61" t="s">
        <v>161</v>
      </c>
      <c r="D862" s="71">
        <v>3</v>
      </c>
      <c r="E862" s="70">
        <v>0</v>
      </c>
    </row>
    <row r="863" spans="1:5" ht="15" customHeight="1">
      <c r="A863" s="76"/>
      <c r="B863" s="112"/>
      <c r="C863" s="61" t="s">
        <v>154</v>
      </c>
      <c r="D863" s="71">
        <v>3</v>
      </c>
      <c r="E863" s="70">
        <v>0</v>
      </c>
    </row>
    <row r="864" spans="1:5" ht="15" customHeight="1">
      <c r="A864" s="76"/>
      <c r="B864" s="112"/>
      <c r="C864" s="61" t="s">
        <v>186</v>
      </c>
      <c r="D864" s="71">
        <v>3</v>
      </c>
      <c r="E864" s="70">
        <v>0</v>
      </c>
    </row>
    <row r="865" spans="1:5" ht="15" customHeight="1">
      <c r="A865" s="76"/>
      <c r="B865" s="112"/>
      <c r="C865" s="61" t="s">
        <v>196</v>
      </c>
      <c r="D865" s="71">
        <v>3</v>
      </c>
      <c r="E865" s="70">
        <v>0</v>
      </c>
    </row>
    <row r="866" spans="1:5" ht="15" customHeight="1">
      <c r="A866" s="76"/>
      <c r="B866" s="112"/>
      <c r="C866" s="61" t="s">
        <v>169</v>
      </c>
      <c r="D866" s="71">
        <v>2</v>
      </c>
      <c r="E866" s="70">
        <v>0</v>
      </c>
    </row>
    <row r="867" spans="1:5" ht="15" customHeight="1">
      <c r="A867" s="76"/>
      <c r="B867" s="112"/>
      <c r="C867" s="61" t="s">
        <v>149</v>
      </c>
      <c r="D867" s="71">
        <v>2</v>
      </c>
      <c r="E867" s="70">
        <v>0</v>
      </c>
    </row>
    <row r="868" spans="1:5" ht="15" customHeight="1">
      <c r="A868" s="76"/>
      <c r="B868" s="112"/>
      <c r="C868" s="61" t="s">
        <v>193</v>
      </c>
      <c r="D868" s="71">
        <v>2</v>
      </c>
      <c r="E868" s="70">
        <v>0</v>
      </c>
    </row>
    <row r="869" spans="1:5" ht="15" customHeight="1">
      <c r="A869" s="76"/>
      <c r="B869" s="112"/>
      <c r="C869" s="61" t="s">
        <v>151</v>
      </c>
      <c r="D869" s="71">
        <v>2</v>
      </c>
      <c r="E869" s="70">
        <v>0</v>
      </c>
    </row>
    <row r="870" spans="1:5" ht="15" customHeight="1">
      <c r="A870" s="76"/>
      <c r="B870" s="112"/>
      <c r="C870" s="61" t="s">
        <v>203</v>
      </c>
      <c r="D870" s="71">
        <v>2</v>
      </c>
      <c r="E870" s="70">
        <v>0</v>
      </c>
    </row>
    <row r="871" spans="1:5" ht="15" customHeight="1">
      <c r="A871" s="76"/>
      <c r="B871" s="112"/>
      <c r="C871" s="61" t="s">
        <v>162</v>
      </c>
      <c r="D871" s="71">
        <v>2</v>
      </c>
      <c r="E871" s="70">
        <v>0</v>
      </c>
    </row>
    <row r="872" spans="1:5" ht="15" customHeight="1">
      <c r="A872" s="76"/>
      <c r="B872" s="112"/>
      <c r="C872" s="61" t="s">
        <v>187</v>
      </c>
      <c r="D872" s="71">
        <v>2</v>
      </c>
      <c r="E872" s="70">
        <v>0</v>
      </c>
    </row>
    <row r="873" spans="1:5" ht="15" customHeight="1">
      <c r="A873" s="76"/>
      <c r="B873" s="112"/>
      <c r="C873" s="61" t="s">
        <v>197</v>
      </c>
      <c r="D873" s="71">
        <v>1</v>
      </c>
      <c r="E873" s="70">
        <v>0</v>
      </c>
    </row>
    <row r="874" spans="1:5" ht="15" customHeight="1">
      <c r="A874" s="76"/>
      <c r="B874" s="112"/>
      <c r="C874" s="61" t="s">
        <v>165</v>
      </c>
      <c r="D874" s="71">
        <v>1</v>
      </c>
      <c r="E874" s="70">
        <v>0</v>
      </c>
    </row>
    <row r="875" spans="1:5" ht="15" customHeight="1">
      <c r="A875" s="76"/>
      <c r="B875" s="112"/>
      <c r="C875" s="61" t="s">
        <v>285</v>
      </c>
      <c r="D875" s="71">
        <v>1</v>
      </c>
      <c r="E875" s="70">
        <v>0</v>
      </c>
    </row>
    <row r="876" spans="1:5" ht="15" customHeight="1">
      <c r="A876" s="76"/>
      <c r="B876" s="112"/>
      <c r="C876" s="74" t="s">
        <v>309</v>
      </c>
      <c r="D876" s="77">
        <v>216</v>
      </c>
      <c r="E876" s="75">
        <v>8.0000000000000002E-3</v>
      </c>
    </row>
    <row r="877" spans="1:5" ht="15" customHeight="1">
      <c r="A877" s="76"/>
      <c r="B877" s="112" t="s">
        <v>117</v>
      </c>
      <c r="C877" s="61" t="s">
        <v>147</v>
      </c>
      <c r="D877" s="71">
        <v>43</v>
      </c>
      <c r="E877" s="70">
        <v>2E-3</v>
      </c>
    </row>
    <row r="878" spans="1:5" ht="15" customHeight="1">
      <c r="A878" s="76"/>
      <c r="B878" s="112"/>
      <c r="C878" s="61" t="s">
        <v>146</v>
      </c>
      <c r="D878" s="71">
        <v>30</v>
      </c>
      <c r="E878" s="70">
        <v>1E-3</v>
      </c>
    </row>
    <row r="879" spans="1:5" ht="15" customHeight="1">
      <c r="A879" s="76"/>
      <c r="B879" s="112"/>
      <c r="C879" s="61" t="s">
        <v>153</v>
      </c>
      <c r="D879" s="71">
        <v>17</v>
      </c>
      <c r="E879" s="70">
        <v>1E-3</v>
      </c>
    </row>
    <row r="880" spans="1:5" ht="15" customHeight="1">
      <c r="A880" s="76"/>
      <c r="B880" s="112"/>
      <c r="C880" s="61" t="s">
        <v>148</v>
      </c>
      <c r="D880" s="71">
        <v>16</v>
      </c>
      <c r="E880" s="70">
        <v>1E-3</v>
      </c>
    </row>
    <row r="881" spans="1:5" ht="15" customHeight="1">
      <c r="A881" s="76"/>
      <c r="B881" s="112"/>
      <c r="C881" s="61" t="s">
        <v>160</v>
      </c>
      <c r="D881" s="71">
        <v>13</v>
      </c>
      <c r="E881" s="70">
        <v>0</v>
      </c>
    </row>
    <row r="882" spans="1:5" ht="15" customHeight="1">
      <c r="A882" s="76"/>
      <c r="B882" s="112"/>
      <c r="C882" s="61" t="s">
        <v>154</v>
      </c>
      <c r="D882" s="71">
        <v>12</v>
      </c>
      <c r="E882" s="70">
        <v>0</v>
      </c>
    </row>
    <row r="883" spans="1:5" ht="15" customHeight="1">
      <c r="A883" s="76"/>
      <c r="B883" s="112"/>
      <c r="C883" s="61" t="s">
        <v>155</v>
      </c>
      <c r="D883" s="71">
        <v>12</v>
      </c>
      <c r="E883" s="70">
        <v>0</v>
      </c>
    </row>
    <row r="884" spans="1:5" ht="15" customHeight="1">
      <c r="A884" s="76"/>
      <c r="B884" s="112"/>
      <c r="C884" s="61" t="s">
        <v>178</v>
      </c>
      <c r="D884" s="71">
        <v>5</v>
      </c>
      <c r="E884" s="70">
        <v>0</v>
      </c>
    </row>
    <row r="885" spans="1:5" ht="15" customHeight="1">
      <c r="A885" s="76"/>
      <c r="B885" s="112"/>
      <c r="C885" s="61" t="s">
        <v>191</v>
      </c>
      <c r="D885" s="71">
        <v>5</v>
      </c>
      <c r="E885" s="70">
        <v>0</v>
      </c>
    </row>
    <row r="886" spans="1:5" ht="15" customHeight="1">
      <c r="A886" s="76"/>
      <c r="B886" s="112"/>
      <c r="C886" s="61" t="s">
        <v>159</v>
      </c>
      <c r="D886" s="71">
        <v>5</v>
      </c>
      <c r="E886" s="70">
        <v>0</v>
      </c>
    </row>
    <row r="887" spans="1:5" ht="15" customHeight="1">
      <c r="A887" s="76"/>
      <c r="B887" s="112"/>
      <c r="C887" s="61" t="s">
        <v>158</v>
      </c>
      <c r="D887" s="71">
        <v>4</v>
      </c>
      <c r="E887" s="70">
        <v>0</v>
      </c>
    </row>
    <row r="888" spans="1:5" ht="15" customHeight="1">
      <c r="A888" s="76"/>
      <c r="B888" s="112"/>
      <c r="C888" s="61" t="s">
        <v>203</v>
      </c>
      <c r="D888" s="71">
        <v>3</v>
      </c>
      <c r="E888" s="70">
        <v>0</v>
      </c>
    </row>
    <row r="889" spans="1:5" ht="15" customHeight="1">
      <c r="A889" s="76"/>
      <c r="B889" s="112"/>
      <c r="C889" s="61" t="s">
        <v>163</v>
      </c>
      <c r="D889" s="71">
        <v>2</v>
      </c>
      <c r="E889" s="70">
        <v>0</v>
      </c>
    </row>
    <row r="890" spans="1:5" ht="15" customHeight="1">
      <c r="A890" s="76"/>
      <c r="B890" s="112"/>
      <c r="C890" s="61" t="s">
        <v>150</v>
      </c>
      <c r="D890" s="71">
        <v>2</v>
      </c>
      <c r="E890" s="70">
        <v>0</v>
      </c>
    </row>
    <row r="891" spans="1:5" ht="15" customHeight="1">
      <c r="A891" s="76"/>
      <c r="B891" s="112"/>
      <c r="C891" s="61" t="s">
        <v>183</v>
      </c>
      <c r="D891" s="71">
        <v>2</v>
      </c>
      <c r="E891" s="70">
        <v>0</v>
      </c>
    </row>
    <row r="892" spans="1:5" ht="15" customHeight="1">
      <c r="A892" s="76"/>
      <c r="B892" s="112"/>
      <c r="C892" s="61" t="s">
        <v>189</v>
      </c>
      <c r="D892" s="71">
        <v>2</v>
      </c>
      <c r="E892" s="70">
        <v>0</v>
      </c>
    </row>
    <row r="893" spans="1:5" ht="15" customHeight="1">
      <c r="A893" s="76"/>
      <c r="B893" s="112"/>
      <c r="C893" s="61" t="s">
        <v>166</v>
      </c>
      <c r="D893" s="71">
        <v>1</v>
      </c>
      <c r="E893" s="70">
        <v>0</v>
      </c>
    </row>
    <row r="894" spans="1:5" ht="15" customHeight="1">
      <c r="A894" s="76"/>
      <c r="B894" s="112"/>
      <c r="C894" s="61" t="s">
        <v>167</v>
      </c>
      <c r="D894" s="71">
        <v>1</v>
      </c>
      <c r="E894" s="70">
        <v>0</v>
      </c>
    </row>
    <row r="895" spans="1:5" ht="15" customHeight="1">
      <c r="A895" s="76"/>
      <c r="B895" s="112"/>
      <c r="C895" s="61" t="s">
        <v>168</v>
      </c>
      <c r="D895" s="71">
        <v>1</v>
      </c>
      <c r="E895" s="70">
        <v>0</v>
      </c>
    </row>
    <row r="896" spans="1:5" ht="15" customHeight="1">
      <c r="A896" s="76"/>
      <c r="B896" s="112"/>
      <c r="C896" s="61" t="s">
        <v>169</v>
      </c>
      <c r="D896" s="71">
        <v>1</v>
      </c>
      <c r="E896" s="70">
        <v>0</v>
      </c>
    </row>
    <row r="897" spans="1:5" ht="15" customHeight="1">
      <c r="A897" s="76"/>
      <c r="B897" s="112"/>
      <c r="C897" s="61" t="s">
        <v>161</v>
      </c>
      <c r="D897" s="71">
        <v>1</v>
      </c>
      <c r="E897" s="70">
        <v>0</v>
      </c>
    </row>
    <row r="898" spans="1:5" ht="15" customHeight="1">
      <c r="A898" s="76"/>
      <c r="B898" s="112"/>
      <c r="C898" s="61" t="s">
        <v>170</v>
      </c>
      <c r="D898" s="71">
        <v>1</v>
      </c>
      <c r="E898" s="70">
        <v>0</v>
      </c>
    </row>
    <row r="899" spans="1:5" ht="15" customHeight="1">
      <c r="A899" s="76"/>
      <c r="B899" s="112"/>
      <c r="C899" s="61" t="s">
        <v>171</v>
      </c>
      <c r="D899" s="71">
        <v>1</v>
      </c>
      <c r="E899" s="70">
        <v>0</v>
      </c>
    </row>
    <row r="900" spans="1:5" ht="15" customHeight="1">
      <c r="A900" s="76"/>
      <c r="B900" s="112"/>
      <c r="C900" s="61" t="s">
        <v>173</v>
      </c>
      <c r="D900" s="71">
        <v>1</v>
      </c>
      <c r="E900" s="70">
        <v>0</v>
      </c>
    </row>
    <row r="901" spans="1:5" ht="15" customHeight="1">
      <c r="A901" s="76"/>
      <c r="B901" s="112"/>
      <c r="C901" s="61" t="s">
        <v>175</v>
      </c>
      <c r="D901" s="71">
        <v>1</v>
      </c>
      <c r="E901" s="70">
        <v>0</v>
      </c>
    </row>
    <row r="902" spans="1:5" ht="15" customHeight="1">
      <c r="A902" s="76"/>
      <c r="B902" s="112"/>
      <c r="C902" s="61" t="s">
        <v>177</v>
      </c>
      <c r="D902" s="71">
        <v>1</v>
      </c>
      <c r="E902" s="70">
        <v>0</v>
      </c>
    </row>
    <row r="903" spans="1:5" ht="15" customHeight="1">
      <c r="A903" s="76"/>
      <c r="B903" s="112"/>
      <c r="C903" s="61" t="s">
        <v>149</v>
      </c>
      <c r="D903" s="71">
        <v>1</v>
      </c>
      <c r="E903" s="70">
        <v>0</v>
      </c>
    </row>
    <row r="904" spans="1:5" ht="15" customHeight="1">
      <c r="A904" s="76"/>
      <c r="B904" s="112"/>
      <c r="C904" s="61" t="s">
        <v>179</v>
      </c>
      <c r="D904" s="71">
        <v>1</v>
      </c>
      <c r="E904" s="70">
        <v>0</v>
      </c>
    </row>
    <row r="905" spans="1:5" ht="15" customHeight="1">
      <c r="A905" s="76"/>
      <c r="B905" s="112"/>
      <c r="C905" s="61" t="s">
        <v>151</v>
      </c>
      <c r="D905" s="71">
        <v>1</v>
      </c>
      <c r="E905" s="70">
        <v>0</v>
      </c>
    </row>
    <row r="906" spans="1:5" ht="15" customHeight="1">
      <c r="A906" s="76"/>
      <c r="B906" s="112"/>
      <c r="C906" s="61" t="s">
        <v>181</v>
      </c>
      <c r="D906" s="71">
        <v>1</v>
      </c>
      <c r="E906" s="70">
        <v>0</v>
      </c>
    </row>
    <row r="907" spans="1:5" ht="15" customHeight="1">
      <c r="A907" s="76"/>
      <c r="B907" s="112"/>
      <c r="C907" s="61" t="s">
        <v>152</v>
      </c>
      <c r="D907" s="71">
        <v>1</v>
      </c>
      <c r="E907" s="70">
        <v>0</v>
      </c>
    </row>
    <row r="908" spans="1:5" ht="15" customHeight="1">
      <c r="A908" s="76"/>
      <c r="B908" s="112"/>
      <c r="C908" s="61" t="s">
        <v>186</v>
      </c>
      <c r="D908" s="71">
        <v>1</v>
      </c>
      <c r="E908" s="70">
        <v>0</v>
      </c>
    </row>
    <row r="909" spans="1:5" ht="15" customHeight="1">
      <c r="A909" s="76"/>
      <c r="B909" s="112"/>
      <c r="C909" s="61" t="s">
        <v>187</v>
      </c>
      <c r="D909" s="71">
        <v>1</v>
      </c>
      <c r="E909" s="70">
        <v>0</v>
      </c>
    </row>
    <row r="910" spans="1:5" ht="15" customHeight="1">
      <c r="A910" s="76"/>
      <c r="B910" s="112"/>
      <c r="C910" s="61" t="s">
        <v>195</v>
      </c>
      <c r="D910" s="71">
        <v>1</v>
      </c>
      <c r="E910" s="70">
        <v>0</v>
      </c>
    </row>
    <row r="911" spans="1:5" ht="15" customHeight="1">
      <c r="A911" s="76"/>
      <c r="B911" s="112"/>
      <c r="C911" s="61" t="s">
        <v>190</v>
      </c>
      <c r="D911" s="71">
        <v>1</v>
      </c>
      <c r="E911" s="70">
        <v>0</v>
      </c>
    </row>
    <row r="912" spans="1:5" ht="15" customHeight="1">
      <c r="A912" s="76"/>
      <c r="B912" s="112"/>
      <c r="C912" s="61" t="s">
        <v>157</v>
      </c>
      <c r="D912" s="71">
        <v>1</v>
      </c>
      <c r="E912" s="70">
        <v>0</v>
      </c>
    </row>
    <row r="913" spans="1:5" ht="15" customHeight="1">
      <c r="A913" s="76"/>
      <c r="B913" s="112"/>
      <c r="C913" s="74" t="s">
        <v>309</v>
      </c>
      <c r="D913" s="77">
        <v>193</v>
      </c>
      <c r="E913" s="75">
        <v>7.0000000000000001E-3</v>
      </c>
    </row>
    <row r="914" spans="1:5" ht="15" customHeight="1">
      <c r="A914" s="76"/>
      <c r="B914" s="112" t="s">
        <v>119</v>
      </c>
      <c r="C914" s="61" t="s">
        <v>155</v>
      </c>
      <c r="D914" s="71">
        <v>34</v>
      </c>
      <c r="E914" s="70">
        <v>1E-3</v>
      </c>
    </row>
    <row r="915" spans="1:5" ht="15" customHeight="1">
      <c r="A915" s="76"/>
      <c r="B915" s="112"/>
      <c r="C915" s="61" t="s">
        <v>160</v>
      </c>
      <c r="D915" s="71">
        <v>16</v>
      </c>
      <c r="E915" s="70">
        <v>1E-3</v>
      </c>
    </row>
    <row r="916" spans="1:5" ht="15" customHeight="1">
      <c r="A916" s="76"/>
      <c r="B916" s="112"/>
      <c r="C916" s="61" t="s">
        <v>146</v>
      </c>
      <c r="D916" s="71">
        <v>13</v>
      </c>
      <c r="E916" s="70">
        <v>0</v>
      </c>
    </row>
    <row r="917" spans="1:5" ht="15" customHeight="1">
      <c r="A917" s="76"/>
      <c r="B917" s="112"/>
      <c r="C917" s="61" t="s">
        <v>148</v>
      </c>
      <c r="D917" s="71">
        <v>12</v>
      </c>
      <c r="E917" s="70">
        <v>0</v>
      </c>
    </row>
    <row r="918" spans="1:5" ht="15" customHeight="1">
      <c r="A918" s="76"/>
      <c r="B918" s="112"/>
      <c r="C918" s="61" t="s">
        <v>285</v>
      </c>
      <c r="D918" s="71">
        <v>7</v>
      </c>
      <c r="E918" s="70">
        <v>0</v>
      </c>
    </row>
    <row r="919" spans="1:5" ht="15" customHeight="1">
      <c r="A919" s="76"/>
      <c r="B919" s="112"/>
      <c r="C919" s="61" t="s">
        <v>192</v>
      </c>
      <c r="D919" s="71">
        <v>7</v>
      </c>
      <c r="E919" s="70">
        <v>0</v>
      </c>
    </row>
    <row r="920" spans="1:5" ht="15" customHeight="1">
      <c r="A920" s="76"/>
      <c r="B920" s="112"/>
      <c r="C920" s="61" t="s">
        <v>203</v>
      </c>
      <c r="D920" s="71">
        <v>6</v>
      </c>
      <c r="E920" s="70">
        <v>0</v>
      </c>
    </row>
    <row r="921" spans="1:5" ht="15" customHeight="1">
      <c r="A921" s="76"/>
      <c r="B921" s="112"/>
      <c r="C921" s="61" t="s">
        <v>159</v>
      </c>
      <c r="D921" s="71">
        <v>5</v>
      </c>
      <c r="E921" s="70">
        <v>0</v>
      </c>
    </row>
    <row r="922" spans="1:5" ht="15" customHeight="1">
      <c r="A922" s="76"/>
      <c r="B922" s="112"/>
      <c r="C922" s="61" t="s">
        <v>147</v>
      </c>
      <c r="D922" s="71">
        <v>4</v>
      </c>
      <c r="E922" s="70">
        <v>0</v>
      </c>
    </row>
    <row r="923" spans="1:5" ht="15" customHeight="1">
      <c r="A923" s="76"/>
      <c r="B923" s="112"/>
      <c r="C923" s="61" t="s">
        <v>162</v>
      </c>
      <c r="D923" s="71">
        <v>4</v>
      </c>
      <c r="E923" s="70">
        <v>0</v>
      </c>
    </row>
    <row r="924" spans="1:5" ht="15" customHeight="1">
      <c r="A924" s="76"/>
      <c r="B924" s="112"/>
      <c r="C924" s="61" t="s">
        <v>153</v>
      </c>
      <c r="D924" s="71">
        <v>4</v>
      </c>
      <c r="E924" s="70">
        <v>0</v>
      </c>
    </row>
    <row r="925" spans="1:5" ht="15" customHeight="1">
      <c r="A925" s="76"/>
      <c r="B925" s="112"/>
      <c r="C925" s="61" t="s">
        <v>191</v>
      </c>
      <c r="D925" s="71">
        <v>4</v>
      </c>
      <c r="E925" s="70">
        <v>0</v>
      </c>
    </row>
    <row r="926" spans="1:5" ht="15" customHeight="1">
      <c r="A926" s="76"/>
      <c r="B926" s="112"/>
      <c r="C926" s="61" t="s">
        <v>167</v>
      </c>
      <c r="D926" s="71">
        <v>3</v>
      </c>
      <c r="E926" s="70">
        <v>0</v>
      </c>
    </row>
    <row r="927" spans="1:5" ht="15" customHeight="1">
      <c r="A927" s="76"/>
      <c r="B927" s="112"/>
      <c r="C927" s="61" t="s">
        <v>174</v>
      </c>
      <c r="D927" s="71">
        <v>3</v>
      </c>
      <c r="E927" s="70">
        <v>0</v>
      </c>
    </row>
    <row r="928" spans="1:5" ht="15" customHeight="1">
      <c r="A928" s="76"/>
      <c r="B928" s="112"/>
      <c r="C928" s="61" t="s">
        <v>175</v>
      </c>
      <c r="D928" s="71">
        <v>3</v>
      </c>
      <c r="E928" s="70">
        <v>0</v>
      </c>
    </row>
    <row r="929" spans="1:5" ht="15" customHeight="1">
      <c r="A929" s="76"/>
      <c r="B929" s="112"/>
      <c r="C929" s="61" t="s">
        <v>180</v>
      </c>
      <c r="D929" s="71">
        <v>3</v>
      </c>
      <c r="E929" s="70">
        <v>0</v>
      </c>
    </row>
    <row r="930" spans="1:5" ht="15" customHeight="1">
      <c r="A930" s="76"/>
      <c r="B930" s="112"/>
      <c r="C930" s="61" t="s">
        <v>185</v>
      </c>
      <c r="D930" s="71">
        <v>3</v>
      </c>
      <c r="E930" s="70">
        <v>0</v>
      </c>
    </row>
    <row r="931" spans="1:5" ht="15" customHeight="1">
      <c r="A931" s="76"/>
      <c r="B931" s="112"/>
      <c r="C931" s="61" t="s">
        <v>187</v>
      </c>
      <c r="D931" s="71">
        <v>3</v>
      </c>
      <c r="E931" s="70">
        <v>0</v>
      </c>
    </row>
    <row r="932" spans="1:5" ht="15" customHeight="1">
      <c r="A932" s="76"/>
      <c r="B932" s="112"/>
      <c r="C932" s="61" t="s">
        <v>178</v>
      </c>
      <c r="D932" s="71">
        <v>2</v>
      </c>
      <c r="E932" s="70">
        <v>0</v>
      </c>
    </row>
    <row r="933" spans="1:5" ht="15" customHeight="1">
      <c r="A933" s="76"/>
      <c r="B933" s="112"/>
      <c r="C933" s="61" t="s">
        <v>151</v>
      </c>
      <c r="D933" s="71">
        <v>2</v>
      </c>
      <c r="E933" s="70">
        <v>0</v>
      </c>
    </row>
    <row r="934" spans="1:5" ht="15" customHeight="1">
      <c r="A934" s="76"/>
      <c r="B934" s="112"/>
      <c r="C934" s="61" t="s">
        <v>202</v>
      </c>
      <c r="D934" s="71">
        <v>2</v>
      </c>
      <c r="E934" s="70">
        <v>0</v>
      </c>
    </row>
    <row r="935" spans="1:5" ht="15" customHeight="1">
      <c r="A935" s="76"/>
      <c r="B935" s="112"/>
      <c r="C935" s="61" t="s">
        <v>154</v>
      </c>
      <c r="D935" s="71">
        <v>2</v>
      </c>
      <c r="E935" s="70">
        <v>0</v>
      </c>
    </row>
    <row r="936" spans="1:5" ht="15" customHeight="1">
      <c r="A936" s="76"/>
      <c r="B936" s="112"/>
      <c r="C936" s="61" t="s">
        <v>188</v>
      </c>
      <c r="D936" s="71">
        <v>2</v>
      </c>
      <c r="E936" s="70">
        <v>0</v>
      </c>
    </row>
    <row r="937" spans="1:5" ht="15" customHeight="1">
      <c r="A937" s="76"/>
      <c r="B937" s="112"/>
      <c r="C937" s="61" t="s">
        <v>189</v>
      </c>
      <c r="D937" s="71">
        <v>2</v>
      </c>
      <c r="E937" s="70">
        <v>0</v>
      </c>
    </row>
    <row r="938" spans="1:5" ht="15" customHeight="1">
      <c r="A938" s="76"/>
      <c r="B938" s="112"/>
      <c r="C938" s="61" t="s">
        <v>163</v>
      </c>
      <c r="D938" s="71">
        <v>1</v>
      </c>
      <c r="E938" s="70">
        <v>0</v>
      </c>
    </row>
    <row r="939" spans="1:5" ht="15" customHeight="1">
      <c r="A939" s="76"/>
      <c r="B939" s="112"/>
      <c r="C939" s="61" t="s">
        <v>166</v>
      </c>
      <c r="D939" s="71">
        <v>1</v>
      </c>
      <c r="E939" s="70">
        <v>0</v>
      </c>
    </row>
    <row r="940" spans="1:5" ht="15" customHeight="1">
      <c r="A940" s="76"/>
      <c r="B940" s="112"/>
      <c r="C940" s="61" t="s">
        <v>168</v>
      </c>
      <c r="D940" s="71">
        <v>1</v>
      </c>
      <c r="E940" s="70">
        <v>0</v>
      </c>
    </row>
    <row r="941" spans="1:5" ht="15" customHeight="1">
      <c r="A941" s="76"/>
      <c r="B941" s="112"/>
      <c r="C941" s="61" t="s">
        <v>161</v>
      </c>
      <c r="D941" s="71">
        <v>1</v>
      </c>
      <c r="E941" s="70">
        <v>0</v>
      </c>
    </row>
    <row r="942" spans="1:5" ht="15" customHeight="1">
      <c r="A942" s="76"/>
      <c r="B942" s="112"/>
      <c r="C942" s="61" t="s">
        <v>171</v>
      </c>
      <c r="D942" s="71">
        <v>1</v>
      </c>
      <c r="E942" s="70">
        <v>0</v>
      </c>
    </row>
    <row r="943" spans="1:5" ht="15" customHeight="1">
      <c r="A943" s="76"/>
      <c r="B943" s="112"/>
      <c r="C943" s="61" t="s">
        <v>172</v>
      </c>
      <c r="D943" s="71">
        <v>1</v>
      </c>
      <c r="E943" s="70">
        <v>0</v>
      </c>
    </row>
    <row r="944" spans="1:5" ht="15" customHeight="1">
      <c r="A944" s="76"/>
      <c r="B944" s="112"/>
      <c r="C944" s="61" t="s">
        <v>173</v>
      </c>
      <c r="D944" s="71">
        <v>1</v>
      </c>
      <c r="E944" s="70">
        <v>0</v>
      </c>
    </row>
    <row r="945" spans="1:5" ht="15" customHeight="1">
      <c r="A945" s="76"/>
      <c r="B945" s="112"/>
      <c r="C945" s="61" t="s">
        <v>177</v>
      </c>
      <c r="D945" s="71">
        <v>1</v>
      </c>
      <c r="E945" s="70">
        <v>0</v>
      </c>
    </row>
    <row r="946" spans="1:5" ht="15" customHeight="1">
      <c r="A946" s="76"/>
      <c r="B946" s="112"/>
      <c r="C946" s="61" t="s">
        <v>149</v>
      </c>
      <c r="D946" s="71">
        <v>1</v>
      </c>
      <c r="E946" s="70">
        <v>0</v>
      </c>
    </row>
    <row r="947" spans="1:5" ht="15" customHeight="1">
      <c r="A947" s="76"/>
      <c r="B947" s="112"/>
      <c r="C947" s="61" t="s">
        <v>193</v>
      </c>
      <c r="D947" s="71">
        <v>1</v>
      </c>
      <c r="E947" s="70">
        <v>0</v>
      </c>
    </row>
    <row r="948" spans="1:5" ht="15" customHeight="1">
      <c r="A948" s="76"/>
      <c r="B948" s="112"/>
      <c r="C948" s="61" t="s">
        <v>152</v>
      </c>
      <c r="D948" s="71">
        <v>1</v>
      </c>
      <c r="E948" s="70">
        <v>0</v>
      </c>
    </row>
    <row r="949" spans="1:5" ht="15" customHeight="1">
      <c r="A949" s="76"/>
      <c r="B949" s="112"/>
      <c r="C949" s="61" t="s">
        <v>182</v>
      </c>
      <c r="D949" s="71">
        <v>1</v>
      </c>
      <c r="E949" s="70">
        <v>0</v>
      </c>
    </row>
    <row r="950" spans="1:5" ht="15" customHeight="1">
      <c r="A950" s="76"/>
      <c r="B950" s="112"/>
      <c r="C950" s="61" t="s">
        <v>183</v>
      </c>
      <c r="D950" s="71">
        <v>1</v>
      </c>
      <c r="E950" s="70">
        <v>0</v>
      </c>
    </row>
    <row r="951" spans="1:5" ht="15" customHeight="1">
      <c r="A951" s="76"/>
      <c r="B951" s="112"/>
      <c r="C951" s="61" t="s">
        <v>194</v>
      </c>
      <c r="D951" s="71">
        <v>1</v>
      </c>
      <c r="E951" s="70">
        <v>0</v>
      </c>
    </row>
    <row r="952" spans="1:5" ht="15" customHeight="1">
      <c r="A952" s="76"/>
      <c r="B952" s="112"/>
      <c r="C952" s="61" t="s">
        <v>158</v>
      </c>
      <c r="D952" s="71">
        <v>1</v>
      </c>
      <c r="E952" s="70">
        <v>0</v>
      </c>
    </row>
    <row r="953" spans="1:5" ht="15" customHeight="1">
      <c r="A953" s="76"/>
      <c r="B953" s="112"/>
      <c r="C953" s="74" t="s">
        <v>309</v>
      </c>
      <c r="D953" s="77">
        <v>161</v>
      </c>
      <c r="E953" s="75">
        <v>6.0000000000000001E-3</v>
      </c>
    </row>
    <row r="954" spans="1:5" ht="15" customHeight="1">
      <c r="A954" s="76"/>
      <c r="B954" s="112" t="s">
        <v>113</v>
      </c>
      <c r="C954" s="61" t="s">
        <v>155</v>
      </c>
      <c r="D954" s="71">
        <v>26</v>
      </c>
      <c r="E954" s="70">
        <v>1E-3</v>
      </c>
    </row>
    <row r="955" spans="1:5" ht="15" customHeight="1">
      <c r="A955" s="76"/>
      <c r="B955" s="112"/>
      <c r="C955" s="61" t="s">
        <v>146</v>
      </c>
      <c r="D955" s="71">
        <v>20</v>
      </c>
      <c r="E955" s="70">
        <v>1E-3</v>
      </c>
    </row>
    <row r="956" spans="1:5" ht="15" customHeight="1">
      <c r="A956" s="76"/>
      <c r="B956" s="112"/>
      <c r="C956" s="61" t="s">
        <v>154</v>
      </c>
      <c r="D956" s="71">
        <v>19</v>
      </c>
      <c r="E956" s="70">
        <v>1E-3</v>
      </c>
    </row>
    <row r="957" spans="1:5" ht="15" customHeight="1">
      <c r="A957" s="76"/>
      <c r="B957" s="112"/>
      <c r="C957" s="61" t="s">
        <v>162</v>
      </c>
      <c r="D957" s="71">
        <v>17</v>
      </c>
      <c r="E957" s="70">
        <v>1E-3</v>
      </c>
    </row>
    <row r="958" spans="1:5" ht="15" customHeight="1">
      <c r="A958" s="76"/>
      <c r="B958" s="112"/>
      <c r="C958" s="61" t="s">
        <v>163</v>
      </c>
      <c r="D958" s="71">
        <v>9</v>
      </c>
      <c r="E958" s="70">
        <v>0</v>
      </c>
    </row>
    <row r="959" spans="1:5" ht="15" customHeight="1">
      <c r="A959" s="76"/>
      <c r="B959" s="112"/>
      <c r="C959" s="61" t="s">
        <v>153</v>
      </c>
      <c r="D959" s="71">
        <v>9</v>
      </c>
      <c r="E959" s="70">
        <v>0</v>
      </c>
    </row>
    <row r="960" spans="1:5" ht="15" customHeight="1">
      <c r="A960" s="76"/>
      <c r="B960" s="112"/>
      <c r="C960" s="61" t="s">
        <v>148</v>
      </c>
      <c r="D960" s="71">
        <v>7</v>
      </c>
      <c r="E960" s="70">
        <v>0</v>
      </c>
    </row>
    <row r="961" spans="1:5" ht="15" customHeight="1">
      <c r="A961" s="76"/>
      <c r="B961" s="112"/>
      <c r="C961" s="61" t="s">
        <v>160</v>
      </c>
      <c r="D961" s="71">
        <v>5</v>
      </c>
      <c r="E961" s="70">
        <v>0</v>
      </c>
    </row>
    <row r="962" spans="1:5" ht="15" customHeight="1">
      <c r="A962" s="76"/>
      <c r="B962" s="112"/>
      <c r="C962" s="61" t="s">
        <v>147</v>
      </c>
      <c r="D962" s="71">
        <v>3</v>
      </c>
      <c r="E962" s="70">
        <v>0</v>
      </c>
    </row>
    <row r="963" spans="1:5" ht="15" customHeight="1">
      <c r="A963" s="76"/>
      <c r="B963" s="112"/>
      <c r="C963" s="61" t="s">
        <v>173</v>
      </c>
      <c r="D963" s="71">
        <v>3</v>
      </c>
      <c r="E963" s="70">
        <v>0</v>
      </c>
    </row>
    <row r="964" spans="1:5" ht="15" customHeight="1">
      <c r="A964" s="76"/>
      <c r="B964" s="112"/>
      <c r="C964" s="61" t="s">
        <v>149</v>
      </c>
      <c r="D964" s="71">
        <v>3</v>
      </c>
      <c r="E964" s="70">
        <v>0</v>
      </c>
    </row>
    <row r="965" spans="1:5" ht="15" customHeight="1">
      <c r="A965" s="76"/>
      <c r="B965" s="112"/>
      <c r="C965" s="61" t="s">
        <v>157</v>
      </c>
      <c r="D965" s="71">
        <v>3</v>
      </c>
      <c r="E965" s="70">
        <v>0</v>
      </c>
    </row>
    <row r="966" spans="1:5" ht="15" customHeight="1">
      <c r="A966" s="76"/>
      <c r="B966" s="112"/>
      <c r="C966" s="61" t="s">
        <v>175</v>
      </c>
      <c r="D966" s="71">
        <v>2</v>
      </c>
      <c r="E966" s="70">
        <v>0</v>
      </c>
    </row>
    <row r="967" spans="1:5" ht="15" customHeight="1">
      <c r="A967" s="76"/>
      <c r="B967" s="112"/>
      <c r="C967" s="61" t="s">
        <v>151</v>
      </c>
      <c r="D967" s="71">
        <v>2</v>
      </c>
      <c r="E967" s="70">
        <v>0</v>
      </c>
    </row>
    <row r="968" spans="1:5" ht="15" customHeight="1">
      <c r="A968" s="76"/>
      <c r="B968" s="112"/>
      <c r="C968" s="61" t="s">
        <v>152</v>
      </c>
      <c r="D968" s="71">
        <v>2</v>
      </c>
      <c r="E968" s="70">
        <v>0</v>
      </c>
    </row>
    <row r="969" spans="1:5" ht="15" customHeight="1">
      <c r="A969" s="76"/>
      <c r="B969" s="112"/>
      <c r="C969" s="61" t="s">
        <v>186</v>
      </c>
      <c r="D969" s="71">
        <v>2</v>
      </c>
      <c r="E969" s="70">
        <v>0</v>
      </c>
    </row>
    <row r="970" spans="1:5" ht="15" customHeight="1">
      <c r="A970" s="76"/>
      <c r="B970" s="112"/>
      <c r="C970" s="61" t="s">
        <v>197</v>
      </c>
      <c r="D970" s="71">
        <v>1</v>
      </c>
      <c r="E970" s="70">
        <v>0</v>
      </c>
    </row>
    <row r="971" spans="1:5" ht="15" customHeight="1">
      <c r="A971" s="76"/>
      <c r="B971" s="112"/>
      <c r="C971" s="61" t="s">
        <v>166</v>
      </c>
      <c r="D971" s="71">
        <v>1</v>
      </c>
      <c r="E971" s="70">
        <v>0</v>
      </c>
    </row>
    <row r="972" spans="1:5" ht="15" customHeight="1">
      <c r="A972" s="76"/>
      <c r="B972" s="112"/>
      <c r="C972" s="61" t="s">
        <v>285</v>
      </c>
      <c r="D972" s="71">
        <v>1</v>
      </c>
      <c r="E972" s="70">
        <v>0</v>
      </c>
    </row>
    <row r="973" spans="1:5" ht="15" customHeight="1">
      <c r="A973" s="76"/>
      <c r="B973" s="112"/>
      <c r="C973" s="61" t="s">
        <v>174</v>
      </c>
      <c r="D973" s="71">
        <v>1</v>
      </c>
      <c r="E973" s="70">
        <v>0</v>
      </c>
    </row>
    <row r="974" spans="1:5" ht="15" customHeight="1">
      <c r="A974" s="76"/>
      <c r="B974" s="112"/>
      <c r="C974" s="61" t="s">
        <v>177</v>
      </c>
      <c r="D974" s="71">
        <v>1</v>
      </c>
      <c r="E974" s="70">
        <v>0</v>
      </c>
    </row>
    <row r="975" spans="1:5" ht="15" customHeight="1">
      <c r="A975" s="76"/>
      <c r="B975" s="112"/>
      <c r="C975" s="61" t="s">
        <v>150</v>
      </c>
      <c r="D975" s="71">
        <v>1</v>
      </c>
      <c r="E975" s="70">
        <v>0</v>
      </c>
    </row>
    <row r="976" spans="1:5" ht="15" customHeight="1">
      <c r="A976" s="76"/>
      <c r="B976" s="112"/>
      <c r="C976" s="61" t="s">
        <v>183</v>
      </c>
      <c r="D976" s="71">
        <v>1</v>
      </c>
      <c r="E976" s="70">
        <v>0</v>
      </c>
    </row>
    <row r="977" spans="1:5" ht="15" customHeight="1">
      <c r="A977" s="76"/>
      <c r="B977" s="112"/>
      <c r="C977" s="61" t="s">
        <v>188</v>
      </c>
      <c r="D977" s="71">
        <v>1</v>
      </c>
      <c r="E977" s="70">
        <v>0</v>
      </c>
    </row>
    <row r="978" spans="1:5" ht="15" customHeight="1">
      <c r="A978" s="76"/>
      <c r="B978" s="112"/>
      <c r="C978" s="61" t="s">
        <v>158</v>
      </c>
      <c r="D978" s="71">
        <v>1</v>
      </c>
      <c r="E978" s="70">
        <v>0</v>
      </c>
    </row>
    <row r="979" spans="1:5" ht="15" customHeight="1">
      <c r="A979" s="76"/>
      <c r="B979" s="112"/>
      <c r="C979" s="61" t="s">
        <v>192</v>
      </c>
      <c r="D979" s="71">
        <v>1</v>
      </c>
      <c r="E979" s="70">
        <v>0</v>
      </c>
    </row>
    <row r="980" spans="1:5" ht="15" customHeight="1">
      <c r="A980" s="76"/>
      <c r="B980" s="112"/>
      <c r="C980" s="61" t="s">
        <v>159</v>
      </c>
      <c r="D980" s="71">
        <v>1</v>
      </c>
      <c r="E980" s="70">
        <v>0</v>
      </c>
    </row>
    <row r="981" spans="1:5" ht="15" customHeight="1">
      <c r="A981" s="76"/>
      <c r="B981" s="112"/>
      <c r="C981" s="74" t="s">
        <v>309</v>
      </c>
      <c r="D981" s="77">
        <v>143</v>
      </c>
      <c r="E981" s="75">
        <v>5.0000000000000001E-3</v>
      </c>
    </row>
    <row r="982" spans="1:5" ht="15" customHeight="1">
      <c r="A982" s="76"/>
      <c r="B982" s="112" t="s">
        <v>129</v>
      </c>
      <c r="C982" s="61" t="s">
        <v>153</v>
      </c>
      <c r="D982" s="71">
        <v>23</v>
      </c>
      <c r="E982" s="70">
        <v>1E-3</v>
      </c>
    </row>
    <row r="983" spans="1:5" ht="15" customHeight="1">
      <c r="A983" s="76"/>
      <c r="B983" s="112"/>
      <c r="C983" s="61" t="s">
        <v>148</v>
      </c>
      <c r="D983" s="71">
        <v>22</v>
      </c>
      <c r="E983" s="70">
        <v>1E-3</v>
      </c>
    </row>
    <row r="984" spans="1:5" ht="15" customHeight="1">
      <c r="A984" s="76"/>
      <c r="B984" s="112"/>
      <c r="C984" s="61" t="s">
        <v>146</v>
      </c>
      <c r="D984" s="71">
        <v>15</v>
      </c>
      <c r="E984" s="70">
        <v>1E-3</v>
      </c>
    </row>
    <row r="985" spans="1:5" ht="15" customHeight="1">
      <c r="A985" s="76"/>
      <c r="B985" s="112"/>
      <c r="C985" s="61" t="s">
        <v>173</v>
      </c>
      <c r="D985" s="71">
        <v>14</v>
      </c>
      <c r="E985" s="70">
        <v>1E-3</v>
      </c>
    </row>
    <row r="986" spans="1:5" ht="15" customHeight="1">
      <c r="A986" s="76"/>
      <c r="B986" s="112"/>
      <c r="C986" s="61" t="s">
        <v>160</v>
      </c>
      <c r="D986" s="71">
        <v>10</v>
      </c>
      <c r="E986" s="70">
        <v>0</v>
      </c>
    </row>
    <row r="987" spans="1:5" ht="15" customHeight="1">
      <c r="A987" s="76"/>
      <c r="B987" s="112"/>
      <c r="C987" s="61" t="s">
        <v>150</v>
      </c>
      <c r="D987" s="71">
        <v>9</v>
      </c>
      <c r="E987" s="70">
        <v>0</v>
      </c>
    </row>
    <row r="988" spans="1:5" ht="15" customHeight="1">
      <c r="A988" s="76"/>
      <c r="B988" s="112"/>
      <c r="C988" s="61" t="s">
        <v>162</v>
      </c>
      <c r="D988" s="71">
        <v>8</v>
      </c>
      <c r="E988" s="70">
        <v>0</v>
      </c>
    </row>
    <row r="989" spans="1:5" ht="15" customHeight="1">
      <c r="A989" s="76"/>
      <c r="B989" s="112"/>
      <c r="C989" s="61" t="s">
        <v>155</v>
      </c>
      <c r="D989" s="71">
        <v>5</v>
      </c>
      <c r="E989" s="70">
        <v>0</v>
      </c>
    </row>
    <row r="990" spans="1:5" ht="15" customHeight="1">
      <c r="A990" s="76"/>
      <c r="B990" s="112"/>
      <c r="C990" s="61" t="s">
        <v>191</v>
      </c>
      <c r="D990" s="71">
        <v>4</v>
      </c>
      <c r="E990" s="70">
        <v>0</v>
      </c>
    </row>
    <row r="991" spans="1:5" ht="15" customHeight="1">
      <c r="A991" s="76"/>
      <c r="B991" s="112"/>
      <c r="C991" s="61" t="s">
        <v>285</v>
      </c>
      <c r="D991" s="71">
        <v>3</v>
      </c>
      <c r="E991" s="70">
        <v>0</v>
      </c>
    </row>
    <row r="992" spans="1:5" ht="15" customHeight="1">
      <c r="A992" s="76"/>
      <c r="B992" s="112"/>
      <c r="C992" s="61" t="s">
        <v>189</v>
      </c>
      <c r="D992" s="71">
        <v>3</v>
      </c>
      <c r="E992" s="70">
        <v>0</v>
      </c>
    </row>
    <row r="993" spans="1:5" ht="15" customHeight="1">
      <c r="A993" s="76"/>
      <c r="B993" s="112"/>
      <c r="C993" s="61" t="s">
        <v>182</v>
      </c>
      <c r="D993" s="71">
        <v>2</v>
      </c>
      <c r="E993" s="70">
        <v>0</v>
      </c>
    </row>
    <row r="994" spans="1:5" ht="15" customHeight="1">
      <c r="A994" s="76"/>
      <c r="B994" s="112"/>
      <c r="C994" s="61" t="s">
        <v>196</v>
      </c>
      <c r="D994" s="71">
        <v>2</v>
      </c>
      <c r="E994" s="70">
        <v>0</v>
      </c>
    </row>
    <row r="995" spans="1:5" ht="15" customHeight="1">
      <c r="A995" s="76"/>
      <c r="B995" s="112"/>
      <c r="C995" s="61" t="s">
        <v>163</v>
      </c>
      <c r="D995" s="71">
        <v>1</v>
      </c>
      <c r="E995" s="70">
        <v>0</v>
      </c>
    </row>
    <row r="996" spans="1:5" ht="15" customHeight="1">
      <c r="A996" s="76"/>
      <c r="B996" s="112"/>
      <c r="C996" s="61" t="s">
        <v>168</v>
      </c>
      <c r="D996" s="71">
        <v>1</v>
      </c>
      <c r="E996" s="70">
        <v>0</v>
      </c>
    </row>
    <row r="997" spans="1:5" ht="15" customHeight="1">
      <c r="A997" s="76"/>
      <c r="B997" s="112"/>
      <c r="C997" s="61" t="s">
        <v>170</v>
      </c>
      <c r="D997" s="71">
        <v>1</v>
      </c>
      <c r="E997" s="70">
        <v>0</v>
      </c>
    </row>
    <row r="998" spans="1:5" ht="15" customHeight="1">
      <c r="A998" s="76"/>
      <c r="B998" s="112"/>
      <c r="C998" s="61" t="s">
        <v>177</v>
      </c>
      <c r="D998" s="71">
        <v>1</v>
      </c>
      <c r="E998" s="70">
        <v>0</v>
      </c>
    </row>
    <row r="999" spans="1:5" ht="15" customHeight="1">
      <c r="A999" s="76"/>
      <c r="B999" s="112"/>
      <c r="C999" s="61" t="s">
        <v>149</v>
      </c>
      <c r="D999" s="71">
        <v>1</v>
      </c>
      <c r="E999" s="70">
        <v>0</v>
      </c>
    </row>
    <row r="1000" spans="1:5" ht="15" customHeight="1">
      <c r="A1000" s="76"/>
      <c r="B1000" s="112"/>
      <c r="C1000" s="61" t="s">
        <v>193</v>
      </c>
      <c r="D1000" s="71">
        <v>1</v>
      </c>
      <c r="E1000" s="70">
        <v>0</v>
      </c>
    </row>
    <row r="1001" spans="1:5" ht="15" customHeight="1">
      <c r="A1001" s="76"/>
      <c r="B1001" s="112"/>
      <c r="C1001" s="61" t="s">
        <v>151</v>
      </c>
      <c r="D1001" s="71">
        <v>1</v>
      </c>
      <c r="E1001" s="70">
        <v>0</v>
      </c>
    </row>
    <row r="1002" spans="1:5" ht="15" customHeight="1">
      <c r="A1002" s="76"/>
      <c r="B1002" s="112"/>
      <c r="C1002" s="61" t="s">
        <v>203</v>
      </c>
      <c r="D1002" s="71">
        <v>1</v>
      </c>
      <c r="E1002" s="70">
        <v>0</v>
      </c>
    </row>
    <row r="1003" spans="1:5" ht="15" customHeight="1">
      <c r="A1003" s="76"/>
      <c r="B1003" s="112"/>
      <c r="C1003" s="61" t="s">
        <v>183</v>
      </c>
      <c r="D1003" s="71">
        <v>1</v>
      </c>
      <c r="E1003" s="70">
        <v>0</v>
      </c>
    </row>
    <row r="1004" spans="1:5" ht="15" customHeight="1">
      <c r="A1004" s="76"/>
      <c r="B1004" s="112"/>
      <c r="C1004" s="61" t="s">
        <v>158</v>
      </c>
      <c r="D1004" s="71">
        <v>1</v>
      </c>
      <c r="E1004" s="70">
        <v>0</v>
      </c>
    </row>
    <row r="1005" spans="1:5" ht="15" customHeight="1">
      <c r="A1005" s="76"/>
      <c r="B1005" s="112"/>
      <c r="C1005" s="61" t="s">
        <v>192</v>
      </c>
      <c r="D1005" s="71">
        <v>1</v>
      </c>
      <c r="E1005" s="70">
        <v>0</v>
      </c>
    </row>
    <row r="1006" spans="1:5" ht="15" customHeight="1">
      <c r="A1006" s="76"/>
      <c r="B1006" s="112"/>
      <c r="C1006" s="74" t="s">
        <v>309</v>
      </c>
      <c r="D1006" s="77">
        <v>131</v>
      </c>
      <c r="E1006" s="75">
        <v>5.0000000000000001E-3</v>
      </c>
    </row>
    <row r="1007" spans="1:5" ht="15" customHeight="1">
      <c r="A1007" s="76"/>
      <c r="B1007" s="112" t="s">
        <v>121</v>
      </c>
      <c r="C1007" s="61" t="s">
        <v>146</v>
      </c>
      <c r="D1007" s="71">
        <v>17</v>
      </c>
      <c r="E1007" s="70">
        <v>1E-3</v>
      </c>
    </row>
    <row r="1008" spans="1:5" ht="15" customHeight="1">
      <c r="A1008" s="76"/>
      <c r="B1008" s="112"/>
      <c r="C1008" s="61" t="s">
        <v>155</v>
      </c>
      <c r="D1008" s="71">
        <v>15</v>
      </c>
      <c r="E1008" s="70">
        <v>1E-3</v>
      </c>
    </row>
    <row r="1009" spans="1:5" ht="15" customHeight="1">
      <c r="A1009" s="76"/>
      <c r="B1009" s="112"/>
      <c r="C1009" s="61" t="s">
        <v>162</v>
      </c>
      <c r="D1009" s="71">
        <v>10</v>
      </c>
      <c r="E1009" s="70">
        <v>0</v>
      </c>
    </row>
    <row r="1010" spans="1:5" ht="15" customHeight="1">
      <c r="A1010" s="76"/>
      <c r="B1010" s="112"/>
      <c r="C1010" s="61" t="s">
        <v>173</v>
      </c>
      <c r="D1010" s="71">
        <v>9</v>
      </c>
      <c r="E1010" s="70">
        <v>0</v>
      </c>
    </row>
    <row r="1011" spans="1:5" ht="15" customHeight="1">
      <c r="A1011" s="76"/>
      <c r="B1011" s="112"/>
      <c r="C1011" s="61" t="s">
        <v>147</v>
      </c>
      <c r="D1011" s="71">
        <v>8</v>
      </c>
      <c r="E1011" s="70">
        <v>0</v>
      </c>
    </row>
    <row r="1012" spans="1:5" ht="15" customHeight="1">
      <c r="A1012" s="76"/>
      <c r="B1012" s="112"/>
      <c r="C1012" s="61" t="s">
        <v>187</v>
      </c>
      <c r="D1012" s="71">
        <v>8</v>
      </c>
      <c r="E1012" s="70">
        <v>0</v>
      </c>
    </row>
    <row r="1013" spans="1:5" ht="15" customHeight="1">
      <c r="A1013" s="76"/>
      <c r="B1013" s="112"/>
      <c r="C1013" s="61" t="s">
        <v>191</v>
      </c>
      <c r="D1013" s="71">
        <v>7</v>
      </c>
      <c r="E1013" s="70">
        <v>0</v>
      </c>
    </row>
    <row r="1014" spans="1:5" ht="15" customHeight="1">
      <c r="A1014" s="76"/>
      <c r="B1014" s="112"/>
      <c r="C1014" s="61" t="s">
        <v>148</v>
      </c>
      <c r="D1014" s="71">
        <v>6</v>
      </c>
      <c r="E1014" s="70">
        <v>0</v>
      </c>
    </row>
    <row r="1015" spans="1:5" ht="15" customHeight="1">
      <c r="A1015" s="76"/>
      <c r="B1015" s="112"/>
      <c r="C1015" s="61" t="s">
        <v>175</v>
      </c>
      <c r="D1015" s="71">
        <v>5</v>
      </c>
      <c r="E1015" s="70">
        <v>0</v>
      </c>
    </row>
    <row r="1016" spans="1:5" ht="15" customHeight="1">
      <c r="A1016" s="76"/>
      <c r="B1016" s="112"/>
      <c r="C1016" s="61" t="s">
        <v>177</v>
      </c>
      <c r="D1016" s="71">
        <v>5</v>
      </c>
      <c r="E1016" s="70">
        <v>0</v>
      </c>
    </row>
    <row r="1017" spans="1:5" ht="15" customHeight="1">
      <c r="A1017" s="76"/>
      <c r="B1017" s="112"/>
      <c r="C1017" s="61" t="s">
        <v>192</v>
      </c>
      <c r="D1017" s="71">
        <v>5</v>
      </c>
      <c r="E1017" s="70">
        <v>0</v>
      </c>
    </row>
    <row r="1018" spans="1:5" ht="15" customHeight="1">
      <c r="A1018" s="76"/>
      <c r="B1018" s="112"/>
      <c r="C1018" s="61" t="s">
        <v>154</v>
      </c>
      <c r="D1018" s="71">
        <v>4</v>
      </c>
      <c r="E1018" s="70">
        <v>0</v>
      </c>
    </row>
    <row r="1019" spans="1:5" ht="15" customHeight="1">
      <c r="A1019" s="76"/>
      <c r="B1019" s="112"/>
      <c r="C1019" s="61" t="s">
        <v>150</v>
      </c>
      <c r="D1019" s="71">
        <v>3</v>
      </c>
      <c r="E1019" s="70">
        <v>0</v>
      </c>
    </row>
    <row r="1020" spans="1:5" ht="15" customHeight="1">
      <c r="A1020" s="76"/>
      <c r="B1020" s="112"/>
      <c r="C1020" s="61" t="s">
        <v>153</v>
      </c>
      <c r="D1020" s="71">
        <v>3</v>
      </c>
      <c r="E1020" s="70">
        <v>0</v>
      </c>
    </row>
    <row r="1021" spans="1:5" ht="15" customHeight="1">
      <c r="A1021" s="76"/>
      <c r="B1021" s="112"/>
      <c r="C1021" s="61" t="s">
        <v>168</v>
      </c>
      <c r="D1021" s="71">
        <v>2</v>
      </c>
      <c r="E1021" s="70">
        <v>0</v>
      </c>
    </row>
    <row r="1022" spans="1:5" ht="15" customHeight="1">
      <c r="A1022" s="76"/>
      <c r="B1022" s="112"/>
      <c r="C1022" s="61" t="s">
        <v>176</v>
      </c>
      <c r="D1022" s="71">
        <v>2</v>
      </c>
      <c r="E1022" s="70">
        <v>0</v>
      </c>
    </row>
    <row r="1023" spans="1:5" ht="15" customHeight="1">
      <c r="A1023" s="76"/>
      <c r="B1023" s="112"/>
      <c r="C1023" s="61" t="s">
        <v>149</v>
      </c>
      <c r="D1023" s="71">
        <v>2</v>
      </c>
      <c r="E1023" s="70">
        <v>0</v>
      </c>
    </row>
    <row r="1024" spans="1:5" ht="15" customHeight="1">
      <c r="A1024" s="76"/>
      <c r="B1024" s="112"/>
      <c r="C1024" s="61" t="s">
        <v>151</v>
      </c>
      <c r="D1024" s="71">
        <v>2</v>
      </c>
      <c r="E1024" s="70">
        <v>0</v>
      </c>
    </row>
    <row r="1025" spans="1:5" ht="15" customHeight="1">
      <c r="A1025" s="76"/>
      <c r="B1025" s="112"/>
      <c r="C1025" s="61" t="s">
        <v>160</v>
      </c>
      <c r="D1025" s="71">
        <v>2</v>
      </c>
      <c r="E1025" s="70">
        <v>0</v>
      </c>
    </row>
    <row r="1026" spans="1:5" ht="15" customHeight="1">
      <c r="A1026" s="76"/>
      <c r="B1026" s="112"/>
      <c r="C1026" s="61" t="s">
        <v>197</v>
      </c>
      <c r="D1026" s="71">
        <v>1</v>
      </c>
      <c r="E1026" s="70">
        <v>0</v>
      </c>
    </row>
    <row r="1027" spans="1:5" ht="15" customHeight="1">
      <c r="A1027" s="76"/>
      <c r="B1027" s="112"/>
      <c r="C1027" s="61" t="s">
        <v>164</v>
      </c>
      <c r="D1027" s="71">
        <v>1</v>
      </c>
      <c r="E1027" s="70">
        <v>0</v>
      </c>
    </row>
    <row r="1028" spans="1:5" ht="15" customHeight="1">
      <c r="A1028" s="76"/>
      <c r="B1028" s="112"/>
      <c r="C1028" s="61" t="s">
        <v>166</v>
      </c>
      <c r="D1028" s="71">
        <v>1</v>
      </c>
      <c r="E1028" s="70">
        <v>0</v>
      </c>
    </row>
    <row r="1029" spans="1:5" ht="15" customHeight="1">
      <c r="A1029" s="76"/>
      <c r="B1029" s="112"/>
      <c r="C1029" s="61" t="s">
        <v>167</v>
      </c>
      <c r="D1029" s="71">
        <v>1</v>
      </c>
      <c r="E1029" s="70">
        <v>0</v>
      </c>
    </row>
    <row r="1030" spans="1:5" ht="15" customHeight="1">
      <c r="A1030" s="76"/>
      <c r="B1030" s="112"/>
      <c r="C1030" s="61" t="s">
        <v>285</v>
      </c>
      <c r="D1030" s="71">
        <v>1</v>
      </c>
      <c r="E1030" s="70">
        <v>0</v>
      </c>
    </row>
    <row r="1031" spans="1:5" ht="15" customHeight="1">
      <c r="A1031" s="76"/>
      <c r="B1031" s="112"/>
      <c r="C1031" s="61" t="s">
        <v>171</v>
      </c>
      <c r="D1031" s="71">
        <v>1</v>
      </c>
      <c r="E1031" s="70">
        <v>0</v>
      </c>
    </row>
    <row r="1032" spans="1:5" ht="15" customHeight="1">
      <c r="A1032" s="76"/>
      <c r="B1032" s="112"/>
      <c r="C1032" s="61" t="s">
        <v>174</v>
      </c>
      <c r="D1032" s="71">
        <v>1</v>
      </c>
      <c r="E1032" s="70">
        <v>0</v>
      </c>
    </row>
    <row r="1033" spans="1:5" ht="15" customHeight="1">
      <c r="A1033" s="76"/>
      <c r="B1033" s="112"/>
      <c r="C1033" s="61" t="s">
        <v>178</v>
      </c>
      <c r="D1033" s="71">
        <v>1</v>
      </c>
      <c r="E1033" s="70">
        <v>0</v>
      </c>
    </row>
    <row r="1034" spans="1:5" ht="15" customHeight="1">
      <c r="A1034" s="76"/>
      <c r="B1034" s="112"/>
      <c r="C1034" s="61" t="s">
        <v>152</v>
      </c>
      <c r="D1034" s="71">
        <v>1</v>
      </c>
      <c r="E1034" s="70">
        <v>0</v>
      </c>
    </row>
    <row r="1035" spans="1:5" ht="15" customHeight="1">
      <c r="A1035" s="76"/>
      <c r="B1035" s="112"/>
      <c r="C1035" s="61" t="s">
        <v>203</v>
      </c>
      <c r="D1035" s="71">
        <v>1</v>
      </c>
      <c r="E1035" s="70">
        <v>0</v>
      </c>
    </row>
    <row r="1036" spans="1:5" ht="15" customHeight="1">
      <c r="A1036" s="76"/>
      <c r="B1036" s="112"/>
      <c r="C1036" s="61" t="s">
        <v>183</v>
      </c>
      <c r="D1036" s="71">
        <v>1</v>
      </c>
      <c r="E1036" s="70">
        <v>0</v>
      </c>
    </row>
    <row r="1037" spans="1:5" ht="15" customHeight="1">
      <c r="A1037" s="76"/>
      <c r="B1037" s="112"/>
      <c r="C1037" s="61" t="s">
        <v>156</v>
      </c>
      <c r="D1037" s="71">
        <v>1</v>
      </c>
      <c r="E1037" s="70">
        <v>0</v>
      </c>
    </row>
    <row r="1038" spans="1:5" ht="15" customHeight="1">
      <c r="A1038" s="76"/>
      <c r="B1038" s="112"/>
      <c r="C1038" s="61" t="s">
        <v>157</v>
      </c>
      <c r="D1038" s="71">
        <v>1</v>
      </c>
      <c r="E1038" s="70">
        <v>0</v>
      </c>
    </row>
    <row r="1039" spans="1:5" ht="15" customHeight="1">
      <c r="A1039" s="76"/>
      <c r="B1039" s="112"/>
      <c r="C1039" s="61" t="s">
        <v>158</v>
      </c>
      <c r="D1039" s="71">
        <v>1</v>
      </c>
      <c r="E1039" s="70">
        <v>0</v>
      </c>
    </row>
    <row r="1040" spans="1:5" ht="15" customHeight="1">
      <c r="A1040" s="76"/>
      <c r="B1040" s="112"/>
      <c r="C1040" s="61" t="s">
        <v>159</v>
      </c>
      <c r="D1040" s="71">
        <v>1</v>
      </c>
      <c r="E1040" s="70">
        <v>0</v>
      </c>
    </row>
    <row r="1041" spans="1:5" ht="15" customHeight="1">
      <c r="A1041" s="76"/>
      <c r="B1041" s="112"/>
      <c r="C1041" s="74" t="s">
        <v>309</v>
      </c>
      <c r="D1041" s="77">
        <v>130</v>
      </c>
      <c r="E1041" s="75">
        <v>5.0000000000000001E-3</v>
      </c>
    </row>
    <row r="1042" spans="1:5" ht="15" customHeight="1">
      <c r="A1042" s="76"/>
      <c r="B1042" s="112" t="s">
        <v>118</v>
      </c>
      <c r="C1042" s="61" t="s">
        <v>173</v>
      </c>
      <c r="D1042" s="71">
        <v>40</v>
      </c>
      <c r="E1042" s="70">
        <v>1E-3</v>
      </c>
    </row>
    <row r="1043" spans="1:5" ht="15" customHeight="1">
      <c r="A1043" s="76"/>
      <c r="B1043" s="112"/>
      <c r="C1043" s="61" t="s">
        <v>162</v>
      </c>
      <c r="D1043" s="71">
        <v>17</v>
      </c>
      <c r="E1043" s="70">
        <v>1E-3</v>
      </c>
    </row>
    <row r="1044" spans="1:5" ht="15" customHeight="1">
      <c r="A1044" s="76"/>
      <c r="B1044" s="112"/>
      <c r="C1044" s="61" t="s">
        <v>148</v>
      </c>
      <c r="D1044" s="71">
        <v>14</v>
      </c>
      <c r="E1044" s="70">
        <v>1E-3</v>
      </c>
    </row>
    <row r="1045" spans="1:5" ht="15" customHeight="1">
      <c r="A1045" s="76"/>
      <c r="B1045" s="112"/>
      <c r="C1045" s="61" t="s">
        <v>146</v>
      </c>
      <c r="D1045" s="71">
        <v>13</v>
      </c>
      <c r="E1045" s="70">
        <v>0</v>
      </c>
    </row>
    <row r="1046" spans="1:5" ht="15" customHeight="1">
      <c r="A1046" s="76"/>
      <c r="B1046" s="112"/>
      <c r="C1046" s="61" t="s">
        <v>154</v>
      </c>
      <c r="D1046" s="71">
        <v>7</v>
      </c>
      <c r="E1046" s="70">
        <v>0</v>
      </c>
    </row>
    <row r="1047" spans="1:5" ht="15" customHeight="1">
      <c r="A1047" s="76"/>
      <c r="B1047" s="112"/>
      <c r="C1047" s="61" t="s">
        <v>153</v>
      </c>
      <c r="D1047" s="71">
        <v>3</v>
      </c>
      <c r="E1047" s="70">
        <v>0</v>
      </c>
    </row>
    <row r="1048" spans="1:5" ht="15" customHeight="1">
      <c r="A1048" s="76"/>
      <c r="B1048" s="112"/>
      <c r="C1048" s="61" t="s">
        <v>196</v>
      </c>
      <c r="D1048" s="71">
        <v>3</v>
      </c>
      <c r="E1048" s="70">
        <v>0</v>
      </c>
    </row>
    <row r="1049" spans="1:5" ht="15" customHeight="1">
      <c r="A1049" s="76"/>
      <c r="B1049" s="112"/>
      <c r="C1049" s="61" t="s">
        <v>198</v>
      </c>
      <c r="D1049" s="71">
        <v>2</v>
      </c>
      <c r="E1049" s="70">
        <v>0</v>
      </c>
    </row>
    <row r="1050" spans="1:5" ht="15" customHeight="1">
      <c r="A1050" s="76"/>
      <c r="B1050" s="112"/>
      <c r="C1050" s="61" t="s">
        <v>174</v>
      </c>
      <c r="D1050" s="71">
        <v>2</v>
      </c>
      <c r="E1050" s="70">
        <v>0</v>
      </c>
    </row>
    <row r="1051" spans="1:5" ht="15" customHeight="1">
      <c r="A1051" s="76"/>
      <c r="B1051" s="112"/>
      <c r="C1051" s="61" t="s">
        <v>151</v>
      </c>
      <c r="D1051" s="71">
        <v>2</v>
      </c>
      <c r="E1051" s="70">
        <v>0</v>
      </c>
    </row>
    <row r="1052" spans="1:5" ht="15" customHeight="1">
      <c r="A1052" s="76"/>
      <c r="B1052" s="112"/>
      <c r="C1052" s="61" t="s">
        <v>183</v>
      </c>
      <c r="D1052" s="71">
        <v>2</v>
      </c>
      <c r="E1052" s="70">
        <v>0</v>
      </c>
    </row>
    <row r="1053" spans="1:5" ht="15" customHeight="1">
      <c r="A1053" s="76"/>
      <c r="B1053" s="112"/>
      <c r="C1053" s="61" t="s">
        <v>159</v>
      </c>
      <c r="D1053" s="71">
        <v>2</v>
      </c>
      <c r="E1053" s="70">
        <v>0</v>
      </c>
    </row>
    <row r="1054" spans="1:5" ht="15" customHeight="1">
      <c r="A1054" s="76"/>
      <c r="B1054" s="112"/>
      <c r="C1054" s="61" t="s">
        <v>160</v>
      </c>
      <c r="D1054" s="71">
        <v>2</v>
      </c>
      <c r="E1054" s="70">
        <v>0</v>
      </c>
    </row>
    <row r="1055" spans="1:5" ht="15" customHeight="1">
      <c r="A1055" s="76"/>
      <c r="B1055" s="112"/>
      <c r="C1055" s="61" t="s">
        <v>171</v>
      </c>
      <c r="D1055" s="71">
        <v>1</v>
      </c>
      <c r="E1055" s="70">
        <v>0</v>
      </c>
    </row>
    <row r="1056" spans="1:5" ht="15" customHeight="1">
      <c r="A1056" s="76"/>
      <c r="B1056" s="112"/>
      <c r="C1056" s="61" t="s">
        <v>175</v>
      </c>
      <c r="D1056" s="71">
        <v>1</v>
      </c>
      <c r="E1056" s="70">
        <v>0</v>
      </c>
    </row>
    <row r="1057" spans="1:5" ht="15" customHeight="1">
      <c r="A1057" s="76"/>
      <c r="B1057" s="112"/>
      <c r="C1057" s="61" t="s">
        <v>177</v>
      </c>
      <c r="D1057" s="71">
        <v>1</v>
      </c>
      <c r="E1057" s="70">
        <v>0</v>
      </c>
    </row>
    <row r="1058" spans="1:5" ht="15" customHeight="1">
      <c r="A1058" s="76"/>
      <c r="B1058" s="112"/>
      <c r="C1058" s="61" t="s">
        <v>180</v>
      </c>
      <c r="D1058" s="71">
        <v>1</v>
      </c>
      <c r="E1058" s="70">
        <v>0</v>
      </c>
    </row>
    <row r="1059" spans="1:5" ht="15" customHeight="1">
      <c r="A1059" s="76"/>
      <c r="B1059" s="112"/>
      <c r="C1059" s="61" t="s">
        <v>152</v>
      </c>
      <c r="D1059" s="71">
        <v>1</v>
      </c>
      <c r="E1059" s="70">
        <v>0</v>
      </c>
    </row>
    <row r="1060" spans="1:5" ht="15" customHeight="1">
      <c r="A1060" s="76"/>
      <c r="B1060" s="112"/>
      <c r="C1060" s="61" t="s">
        <v>155</v>
      </c>
      <c r="D1060" s="71">
        <v>1</v>
      </c>
      <c r="E1060" s="70">
        <v>0</v>
      </c>
    </row>
    <row r="1061" spans="1:5" ht="15" customHeight="1">
      <c r="A1061" s="76"/>
      <c r="B1061" s="112"/>
      <c r="C1061" s="61" t="s">
        <v>195</v>
      </c>
      <c r="D1061" s="71">
        <v>1</v>
      </c>
      <c r="E1061" s="70">
        <v>0</v>
      </c>
    </row>
    <row r="1062" spans="1:5" ht="15" customHeight="1">
      <c r="A1062" s="76"/>
      <c r="B1062" s="112"/>
      <c r="C1062" s="61" t="s">
        <v>191</v>
      </c>
      <c r="D1062" s="71">
        <v>1</v>
      </c>
      <c r="E1062" s="70">
        <v>0</v>
      </c>
    </row>
    <row r="1063" spans="1:5" ht="15" customHeight="1">
      <c r="A1063" s="76"/>
      <c r="B1063" s="112"/>
      <c r="C1063" s="61" t="s">
        <v>158</v>
      </c>
      <c r="D1063" s="71">
        <v>1</v>
      </c>
      <c r="E1063" s="70">
        <v>0</v>
      </c>
    </row>
    <row r="1064" spans="1:5" ht="15" customHeight="1">
      <c r="A1064" s="76"/>
      <c r="B1064" s="112"/>
      <c r="C1064" s="74" t="s">
        <v>309</v>
      </c>
      <c r="D1064" s="77">
        <v>118</v>
      </c>
      <c r="E1064" s="75">
        <v>4.0000000000000001E-3</v>
      </c>
    </row>
    <row r="1065" spans="1:5" ht="15" customHeight="1">
      <c r="A1065" s="76"/>
      <c r="B1065" s="112" t="s">
        <v>112</v>
      </c>
      <c r="C1065" s="61" t="s">
        <v>167</v>
      </c>
      <c r="D1065" s="71">
        <v>31</v>
      </c>
      <c r="E1065" s="70">
        <v>1E-3</v>
      </c>
    </row>
    <row r="1066" spans="1:5" ht="15" customHeight="1">
      <c r="A1066" s="76"/>
      <c r="B1066" s="112"/>
      <c r="C1066" s="61" t="s">
        <v>146</v>
      </c>
      <c r="D1066" s="71">
        <v>18</v>
      </c>
      <c r="E1066" s="70">
        <v>1E-3</v>
      </c>
    </row>
    <row r="1067" spans="1:5" ht="15" customHeight="1">
      <c r="A1067" s="76"/>
      <c r="B1067" s="112"/>
      <c r="C1067" s="61" t="s">
        <v>191</v>
      </c>
      <c r="D1067" s="71">
        <v>11</v>
      </c>
      <c r="E1067" s="70">
        <v>0</v>
      </c>
    </row>
    <row r="1068" spans="1:5" ht="15" customHeight="1">
      <c r="A1068" s="76"/>
      <c r="B1068" s="112"/>
      <c r="C1068" s="61" t="s">
        <v>162</v>
      </c>
      <c r="D1068" s="71">
        <v>7</v>
      </c>
      <c r="E1068" s="70">
        <v>0</v>
      </c>
    </row>
    <row r="1069" spans="1:5" ht="15" customHeight="1">
      <c r="A1069" s="76"/>
      <c r="B1069" s="112"/>
      <c r="C1069" s="61" t="s">
        <v>154</v>
      </c>
      <c r="D1069" s="71">
        <v>6</v>
      </c>
      <c r="E1069" s="70">
        <v>0</v>
      </c>
    </row>
    <row r="1070" spans="1:5" ht="15" customHeight="1">
      <c r="A1070" s="76"/>
      <c r="B1070" s="112"/>
      <c r="C1070" s="61" t="s">
        <v>160</v>
      </c>
      <c r="D1070" s="71">
        <v>6</v>
      </c>
      <c r="E1070" s="70">
        <v>0</v>
      </c>
    </row>
    <row r="1071" spans="1:5" ht="15" customHeight="1">
      <c r="A1071" s="76"/>
      <c r="B1071" s="112"/>
      <c r="C1071" s="61" t="s">
        <v>153</v>
      </c>
      <c r="D1071" s="71">
        <v>5</v>
      </c>
      <c r="E1071" s="70">
        <v>0</v>
      </c>
    </row>
    <row r="1072" spans="1:5" ht="15" customHeight="1">
      <c r="A1072" s="76"/>
      <c r="B1072" s="112"/>
      <c r="C1072" s="61" t="s">
        <v>148</v>
      </c>
      <c r="D1072" s="71">
        <v>4</v>
      </c>
      <c r="E1072" s="70">
        <v>0</v>
      </c>
    </row>
    <row r="1073" spans="1:5" ht="15" customHeight="1">
      <c r="A1073" s="76"/>
      <c r="B1073" s="112"/>
      <c r="C1073" s="61" t="s">
        <v>186</v>
      </c>
      <c r="D1073" s="71">
        <v>3</v>
      </c>
      <c r="E1073" s="70">
        <v>0</v>
      </c>
    </row>
    <row r="1074" spans="1:5" ht="15" customHeight="1">
      <c r="A1074" s="76"/>
      <c r="B1074" s="112"/>
      <c r="C1074" s="61" t="s">
        <v>161</v>
      </c>
      <c r="D1074" s="71">
        <v>2</v>
      </c>
      <c r="E1074" s="70">
        <v>0</v>
      </c>
    </row>
    <row r="1075" spans="1:5" ht="15" customHeight="1">
      <c r="A1075" s="76"/>
      <c r="B1075" s="112"/>
      <c r="C1075" s="61" t="s">
        <v>150</v>
      </c>
      <c r="D1075" s="71">
        <v>2</v>
      </c>
      <c r="E1075" s="70">
        <v>0</v>
      </c>
    </row>
    <row r="1076" spans="1:5" ht="15" customHeight="1">
      <c r="A1076" s="76"/>
      <c r="B1076" s="112"/>
      <c r="C1076" s="61" t="s">
        <v>203</v>
      </c>
      <c r="D1076" s="71">
        <v>2</v>
      </c>
      <c r="E1076" s="70">
        <v>0</v>
      </c>
    </row>
    <row r="1077" spans="1:5" ht="15" customHeight="1">
      <c r="A1077" s="76"/>
      <c r="B1077" s="112"/>
      <c r="C1077" s="61" t="s">
        <v>158</v>
      </c>
      <c r="D1077" s="71">
        <v>2</v>
      </c>
      <c r="E1077" s="70">
        <v>0</v>
      </c>
    </row>
    <row r="1078" spans="1:5" ht="15" customHeight="1">
      <c r="A1078" s="76"/>
      <c r="B1078" s="112"/>
      <c r="C1078" s="61" t="s">
        <v>192</v>
      </c>
      <c r="D1078" s="71">
        <v>2</v>
      </c>
      <c r="E1078" s="70">
        <v>0</v>
      </c>
    </row>
    <row r="1079" spans="1:5" ht="15" customHeight="1">
      <c r="A1079" s="76"/>
      <c r="B1079" s="112"/>
      <c r="C1079" s="61" t="s">
        <v>285</v>
      </c>
      <c r="D1079" s="71">
        <v>1</v>
      </c>
      <c r="E1079" s="70">
        <v>0</v>
      </c>
    </row>
    <row r="1080" spans="1:5" ht="15" customHeight="1">
      <c r="A1080" s="76"/>
      <c r="B1080" s="112"/>
      <c r="C1080" s="61" t="s">
        <v>171</v>
      </c>
      <c r="D1080" s="71">
        <v>1</v>
      </c>
      <c r="E1080" s="70">
        <v>0</v>
      </c>
    </row>
    <row r="1081" spans="1:5" ht="15" customHeight="1">
      <c r="A1081" s="76"/>
      <c r="B1081" s="112"/>
      <c r="C1081" s="61" t="s">
        <v>147</v>
      </c>
      <c r="D1081" s="71">
        <v>1</v>
      </c>
      <c r="E1081" s="70">
        <v>0</v>
      </c>
    </row>
    <row r="1082" spans="1:5" ht="15" customHeight="1">
      <c r="A1082" s="76"/>
      <c r="B1082" s="112"/>
      <c r="C1082" s="61" t="s">
        <v>173</v>
      </c>
      <c r="D1082" s="71">
        <v>1</v>
      </c>
      <c r="E1082" s="70">
        <v>0</v>
      </c>
    </row>
    <row r="1083" spans="1:5" ht="15" customHeight="1">
      <c r="A1083" s="76"/>
      <c r="B1083" s="112"/>
      <c r="C1083" s="61" t="s">
        <v>177</v>
      </c>
      <c r="D1083" s="71">
        <v>1</v>
      </c>
      <c r="E1083" s="70">
        <v>0</v>
      </c>
    </row>
    <row r="1084" spans="1:5" ht="15" customHeight="1">
      <c r="A1084" s="76"/>
      <c r="B1084" s="112"/>
      <c r="C1084" s="61" t="s">
        <v>178</v>
      </c>
      <c r="D1084" s="71">
        <v>1</v>
      </c>
      <c r="E1084" s="70">
        <v>0</v>
      </c>
    </row>
    <row r="1085" spans="1:5" ht="15" customHeight="1">
      <c r="A1085" s="76"/>
      <c r="B1085" s="112"/>
      <c r="C1085" s="61" t="s">
        <v>151</v>
      </c>
      <c r="D1085" s="71">
        <v>1</v>
      </c>
      <c r="E1085" s="70">
        <v>0</v>
      </c>
    </row>
    <row r="1086" spans="1:5" ht="15" customHeight="1">
      <c r="A1086" s="76"/>
      <c r="B1086" s="112"/>
      <c r="C1086" s="61" t="s">
        <v>182</v>
      </c>
      <c r="D1086" s="71">
        <v>1</v>
      </c>
      <c r="E1086" s="70">
        <v>0</v>
      </c>
    </row>
    <row r="1087" spans="1:5" ht="15" customHeight="1">
      <c r="A1087" s="76"/>
      <c r="B1087" s="112"/>
      <c r="C1087" s="61" t="s">
        <v>183</v>
      </c>
      <c r="D1087" s="71">
        <v>1</v>
      </c>
      <c r="E1087" s="70">
        <v>0</v>
      </c>
    </row>
    <row r="1088" spans="1:5" ht="15" customHeight="1">
      <c r="A1088" s="76"/>
      <c r="B1088" s="112"/>
      <c r="C1088" s="61" t="s">
        <v>187</v>
      </c>
      <c r="D1088" s="71">
        <v>1</v>
      </c>
      <c r="E1088" s="70">
        <v>0</v>
      </c>
    </row>
    <row r="1089" spans="1:5" ht="15" customHeight="1">
      <c r="A1089" s="76"/>
      <c r="B1089" s="112"/>
      <c r="C1089" s="61" t="s">
        <v>189</v>
      </c>
      <c r="D1089" s="71">
        <v>1</v>
      </c>
      <c r="E1089" s="70">
        <v>0</v>
      </c>
    </row>
    <row r="1090" spans="1:5" ht="15" customHeight="1">
      <c r="A1090" s="76"/>
      <c r="B1090" s="112"/>
      <c r="C1090" s="61" t="s">
        <v>156</v>
      </c>
      <c r="D1090" s="71">
        <v>1</v>
      </c>
      <c r="E1090" s="70">
        <v>0</v>
      </c>
    </row>
    <row r="1091" spans="1:5" ht="15" customHeight="1">
      <c r="A1091" s="76"/>
      <c r="B1091" s="112"/>
      <c r="C1091" s="61" t="s">
        <v>196</v>
      </c>
      <c r="D1091" s="71">
        <v>1</v>
      </c>
      <c r="E1091" s="70">
        <v>0</v>
      </c>
    </row>
    <row r="1092" spans="1:5" ht="15" customHeight="1">
      <c r="A1092" s="76"/>
      <c r="B1092" s="112"/>
      <c r="C1092" s="61" t="s">
        <v>157</v>
      </c>
      <c r="D1092" s="71">
        <v>1</v>
      </c>
      <c r="E1092" s="70">
        <v>0</v>
      </c>
    </row>
    <row r="1093" spans="1:5" ht="15" customHeight="1">
      <c r="A1093" s="76"/>
      <c r="B1093" s="112"/>
      <c r="C1093" s="61" t="s">
        <v>159</v>
      </c>
      <c r="D1093" s="71">
        <v>1</v>
      </c>
      <c r="E1093" s="70">
        <v>0</v>
      </c>
    </row>
    <row r="1094" spans="1:5" ht="15" customHeight="1">
      <c r="A1094" s="76"/>
      <c r="B1094" s="112"/>
      <c r="C1094" s="74" t="s">
        <v>309</v>
      </c>
      <c r="D1094" s="77">
        <v>116</v>
      </c>
      <c r="E1094" s="75">
        <v>4.0000000000000001E-3</v>
      </c>
    </row>
    <row r="1095" spans="1:5" ht="15" customHeight="1">
      <c r="A1095" s="76"/>
      <c r="B1095" s="112" t="s">
        <v>139</v>
      </c>
      <c r="C1095" s="61" t="s">
        <v>192</v>
      </c>
      <c r="D1095" s="71">
        <v>24</v>
      </c>
      <c r="E1095" s="70">
        <v>1E-3</v>
      </c>
    </row>
    <row r="1096" spans="1:5" ht="15" customHeight="1">
      <c r="A1096" s="76"/>
      <c r="B1096" s="112"/>
      <c r="C1096" s="61" t="s">
        <v>146</v>
      </c>
      <c r="D1096" s="71">
        <v>13</v>
      </c>
      <c r="E1096" s="70">
        <v>0</v>
      </c>
    </row>
    <row r="1097" spans="1:5" ht="15" customHeight="1">
      <c r="A1097" s="76"/>
      <c r="B1097" s="112"/>
      <c r="C1097" s="61" t="s">
        <v>160</v>
      </c>
      <c r="D1097" s="71">
        <v>9</v>
      </c>
      <c r="E1097" s="70">
        <v>0</v>
      </c>
    </row>
    <row r="1098" spans="1:5" ht="15" customHeight="1">
      <c r="A1098" s="76"/>
      <c r="B1098" s="112"/>
      <c r="C1098" s="61" t="s">
        <v>147</v>
      </c>
      <c r="D1098" s="71">
        <v>8</v>
      </c>
      <c r="E1098" s="70">
        <v>0</v>
      </c>
    </row>
    <row r="1099" spans="1:5" ht="15" customHeight="1">
      <c r="A1099" s="76"/>
      <c r="B1099" s="112"/>
      <c r="C1099" s="61" t="s">
        <v>162</v>
      </c>
      <c r="D1099" s="71">
        <v>8</v>
      </c>
      <c r="E1099" s="70">
        <v>0</v>
      </c>
    </row>
    <row r="1100" spans="1:5" ht="15" customHeight="1">
      <c r="A1100" s="76"/>
      <c r="B1100" s="112"/>
      <c r="C1100" s="61" t="s">
        <v>165</v>
      </c>
      <c r="D1100" s="71">
        <v>6</v>
      </c>
      <c r="E1100" s="70">
        <v>0</v>
      </c>
    </row>
    <row r="1101" spans="1:5" ht="15" customHeight="1">
      <c r="A1101" s="76"/>
      <c r="B1101" s="112"/>
      <c r="C1101" s="61" t="s">
        <v>169</v>
      </c>
      <c r="D1101" s="71">
        <v>5</v>
      </c>
      <c r="E1101" s="70">
        <v>0</v>
      </c>
    </row>
    <row r="1102" spans="1:5" ht="15" customHeight="1">
      <c r="A1102" s="76"/>
      <c r="B1102" s="112"/>
      <c r="C1102" s="61" t="s">
        <v>148</v>
      </c>
      <c r="D1102" s="71">
        <v>4</v>
      </c>
      <c r="E1102" s="70">
        <v>0</v>
      </c>
    </row>
    <row r="1103" spans="1:5" ht="15" customHeight="1">
      <c r="A1103" s="76"/>
      <c r="B1103" s="112"/>
      <c r="C1103" s="61" t="s">
        <v>155</v>
      </c>
      <c r="D1103" s="71">
        <v>4</v>
      </c>
      <c r="E1103" s="70">
        <v>0</v>
      </c>
    </row>
    <row r="1104" spans="1:5" ht="15" customHeight="1">
      <c r="A1104" s="76"/>
      <c r="B1104" s="112"/>
      <c r="C1104" s="61" t="s">
        <v>179</v>
      </c>
      <c r="D1104" s="71">
        <v>3</v>
      </c>
      <c r="E1104" s="70">
        <v>0</v>
      </c>
    </row>
    <row r="1105" spans="1:5" ht="15" customHeight="1">
      <c r="A1105" s="76"/>
      <c r="B1105" s="112"/>
      <c r="C1105" s="61" t="s">
        <v>203</v>
      </c>
      <c r="D1105" s="71">
        <v>3</v>
      </c>
      <c r="E1105" s="70">
        <v>0</v>
      </c>
    </row>
    <row r="1106" spans="1:5" ht="15" customHeight="1">
      <c r="A1106" s="76"/>
      <c r="B1106" s="112"/>
      <c r="C1106" s="61" t="s">
        <v>153</v>
      </c>
      <c r="D1106" s="71">
        <v>3</v>
      </c>
      <c r="E1106" s="70">
        <v>0</v>
      </c>
    </row>
    <row r="1107" spans="1:5" ht="15" customHeight="1">
      <c r="A1107" s="76"/>
      <c r="B1107" s="112"/>
      <c r="C1107" s="61" t="s">
        <v>188</v>
      </c>
      <c r="D1107" s="71">
        <v>3</v>
      </c>
      <c r="E1107" s="70">
        <v>0</v>
      </c>
    </row>
    <row r="1108" spans="1:5" ht="15" customHeight="1">
      <c r="A1108" s="76"/>
      <c r="B1108" s="112"/>
      <c r="C1108" s="61" t="s">
        <v>189</v>
      </c>
      <c r="D1108" s="71">
        <v>3</v>
      </c>
      <c r="E1108" s="70">
        <v>0</v>
      </c>
    </row>
    <row r="1109" spans="1:5" ht="15" customHeight="1">
      <c r="A1109" s="76"/>
      <c r="B1109" s="112"/>
      <c r="C1109" s="61" t="s">
        <v>157</v>
      </c>
      <c r="D1109" s="71">
        <v>3</v>
      </c>
      <c r="E1109" s="70">
        <v>0</v>
      </c>
    </row>
    <row r="1110" spans="1:5" ht="15" customHeight="1">
      <c r="A1110" s="76"/>
      <c r="B1110" s="112"/>
      <c r="C1110" s="61" t="s">
        <v>150</v>
      </c>
      <c r="D1110" s="71">
        <v>2</v>
      </c>
      <c r="E1110" s="70">
        <v>0</v>
      </c>
    </row>
    <row r="1111" spans="1:5" ht="15" customHeight="1">
      <c r="A1111" s="76"/>
      <c r="B1111" s="112"/>
      <c r="C1111" s="61" t="s">
        <v>154</v>
      </c>
      <c r="D1111" s="71">
        <v>2</v>
      </c>
      <c r="E1111" s="70">
        <v>0</v>
      </c>
    </row>
    <row r="1112" spans="1:5" ht="15" customHeight="1">
      <c r="A1112" s="76"/>
      <c r="B1112" s="112"/>
      <c r="C1112" s="61" t="s">
        <v>163</v>
      </c>
      <c r="D1112" s="71">
        <v>1</v>
      </c>
      <c r="E1112" s="70">
        <v>0</v>
      </c>
    </row>
    <row r="1113" spans="1:5" ht="15" customHeight="1">
      <c r="A1113" s="76"/>
      <c r="B1113" s="112"/>
      <c r="C1113" s="61" t="s">
        <v>167</v>
      </c>
      <c r="D1113" s="71">
        <v>1</v>
      </c>
      <c r="E1113" s="70">
        <v>0</v>
      </c>
    </row>
    <row r="1114" spans="1:5" ht="15" customHeight="1">
      <c r="A1114" s="76"/>
      <c r="B1114" s="112"/>
      <c r="C1114" s="61" t="s">
        <v>285</v>
      </c>
      <c r="D1114" s="71">
        <v>1</v>
      </c>
      <c r="E1114" s="70">
        <v>0</v>
      </c>
    </row>
    <row r="1115" spans="1:5" ht="15" customHeight="1">
      <c r="A1115" s="76"/>
      <c r="B1115" s="112"/>
      <c r="C1115" s="61" t="s">
        <v>173</v>
      </c>
      <c r="D1115" s="71">
        <v>1</v>
      </c>
      <c r="E1115" s="70">
        <v>0</v>
      </c>
    </row>
    <row r="1116" spans="1:5" ht="15" customHeight="1">
      <c r="A1116" s="76"/>
      <c r="B1116" s="112"/>
      <c r="C1116" s="61" t="s">
        <v>174</v>
      </c>
      <c r="D1116" s="71">
        <v>1</v>
      </c>
      <c r="E1116" s="70">
        <v>0</v>
      </c>
    </row>
    <row r="1117" spans="1:5" ht="15" customHeight="1">
      <c r="A1117" s="76"/>
      <c r="B1117" s="112"/>
      <c r="C1117" s="61" t="s">
        <v>176</v>
      </c>
      <c r="D1117" s="71">
        <v>1</v>
      </c>
      <c r="E1117" s="70">
        <v>0</v>
      </c>
    </row>
    <row r="1118" spans="1:5" ht="15" customHeight="1">
      <c r="A1118" s="76"/>
      <c r="B1118" s="112"/>
      <c r="C1118" s="61" t="s">
        <v>152</v>
      </c>
      <c r="D1118" s="71">
        <v>1</v>
      </c>
      <c r="E1118" s="70">
        <v>0</v>
      </c>
    </row>
    <row r="1119" spans="1:5" ht="15" customHeight="1">
      <c r="A1119" s="76"/>
      <c r="B1119" s="112"/>
      <c r="C1119" s="61" t="s">
        <v>196</v>
      </c>
      <c r="D1119" s="71">
        <v>1</v>
      </c>
      <c r="E1119" s="70">
        <v>0</v>
      </c>
    </row>
    <row r="1120" spans="1:5" ht="15" customHeight="1">
      <c r="A1120" s="76"/>
      <c r="B1120" s="112"/>
      <c r="C1120" s="74" t="s">
        <v>309</v>
      </c>
      <c r="D1120" s="77">
        <v>111</v>
      </c>
      <c r="E1120" s="75">
        <v>4.0000000000000001E-3</v>
      </c>
    </row>
    <row r="1121" spans="1:5" ht="15" customHeight="1">
      <c r="A1121" s="76"/>
      <c r="B1121" s="112" t="s">
        <v>134</v>
      </c>
      <c r="C1121" s="61" t="s">
        <v>153</v>
      </c>
      <c r="D1121" s="71">
        <v>17</v>
      </c>
      <c r="E1121" s="70">
        <v>1E-3</v>
      </c>
    </row>
    <row r="1122" spans="1:5" ht="15" customHeight="1">
      <c r="A1122" s="76"/>
      <c r="B1122" s="112"/>
      <c r="C1122" s="61" t="s">
        <v>196</v>
      </c>
      <c r="D1122" s="71">
        <v>9</v>
      </c>
      <c r="E1122" s="70">
        <v>0</v>
      </c>
    </row>
    <row r="1123" spans="1:5" ht="15" customHeight="1">
      <c r="A1123" s="76"/>
      <c r="B1123" s="112"/>
      <c r="C1123" s="61" t="s">
        <v>171</v>
      </c>
      <c r="D1123" s="71">
        <v>6</v>
      </c>
      <c r="E1123" s="70">
        <v>0</v>
      </c>
    </row>
    <row r="1124" spans="1:5" ht="15" customHeight="1">
      <c r="A1124" s="76"/>
      <c r="B1124" s="112"/>
      <c r="C1124" s="61" t="s">
        <v>154</v>
      </c>
      <c r="D1124" s="71">
        <v>6</v>
      </c>
      <c r="E1124" s="70">
        <v>0</v>
      </c>
    </row>
    <row r="1125" spans="1:5" ht="15" customHeight="1">
      <c r="A1125" s="76"/>
      <c r="B1125" s="112"/>
      <c r="C1125" s="61" t="s">
        <v>157</v>
      </c>
      <c r="D1125" s="71">
        <v>6</v>
      </c>
      <c r="E1125" s="70">
        <v>0</v>
      </c>
    </row>
    <row r="1126" spans="1:5" ht="15" customHeight="1">
      <c r="A1126" s="76"/>
      <c r="B1126" s="112"/>
      <c r="C1126" s="61" t="s">
        <v>160</v>
      </c>
      <c r="D1126" s="71">
        <v>6</v>
      </c>
      <c r="E1126" s="70">
        <v>0</v>
      </c>
    </row>
    <row r="1127" spans="1:5" ht="15" customHeight="1">
      <c r="A1127" s="76"/>
      <c r="B1127" s="112"/>
      <c r="C1127" s="61" t="s">
        <v>146</v>
      </c>
      <c r="D1127" s="71">
        <v>5</v>
      </c>
      <c r="E1127" s="70">
        <v>0</v>
      </c>
    </row>
    <row r="1128" spans="1:5" ht="15" customHeight="1">
      <c r="A1128" s="76"/>
      <c r="B1128" s="112"/>
      <c r="C1128" s="61" t="s">
        <v>148</v>
      </c>
      <c r="D1128" s="71">
        <v>5</v>
      </c>
      <c r="E1128" s="70">
        <v>0</v>
      </c>
    </row>
    <row r="1129" spans="1:5" ht="15" customHeight="1">
      <c r="A1129" s="76"/>
      <c r="B1129" s="112"/>
      <c r="C1129" s="61" t="s">
        <v>155</v>
      </c>
      <c r="D1129" s="71">
        <v>4</v>
      </c>
      <c r="E1129" s="70">
        <v>0</v>
      </c>
    </row>
    <row r="1130" spans="1:5" ht="15" customHeight="1">
      <c r="A1130" s="76"/>
      <c r="B1130" s="112"/>
      <c r="C1130" s="61" t="s">
        <v>150</v>
      </c>
      <c r="D1130" s="71">
        <v>3</v>
      </c>
      <c r="E1130" s="70">
        <v>0</v>
      </c>
    </row>
    <row r="1131" spans="1:5" ht="15" customHeight="1">
      <c r="A1131" s="76"/>
      <c r="B1131" s="112"/>
      <c r="C1131" s="61" t="s">
        <v>181</v>
      </c>
      <c r="D1131" s="71">
        <v>3</v>
      </c>
      <c r="E1131" s="70">
        <v>0</v>
      </c>
    </row>
    <row r="1132" spans="1:5" ht="15" customHeight="1">
      <c r="A1132" s="76"/>
      <c r="B1132" s="112"/>
      <c r="C1132" s="61" t="s">
        <v>162</v>
      </c>
      <c r="D1132" s="71">
        <v>3</v>
      </c>
      <c r="E1132" s="70">
        <v>0</v>
      </c>
    </row>
    <row r="1133" spans="1:5" ht="15" customHeight="1">
      <c r="A1133" s="76"/>
      <c r="B1133" s="112"/>
      <c r="C1133" s="61" t="s">
        <v>173</v>
      </c>
      <c r="D1133" s="71">
        <v>2</v>
      </c>
      <c r="E1133" s="70">
        <v>0</v>
      </c>
    </row>
    <row r="1134" spans="1:5" ht="15" customHeight="1">
      <c r="A1134" s="76"/>
      <c r="B1134" s="112"/>
      <c r="C1134" s="61" t="s">
        <v>174</v>
      </c>
      <c r="D1134" s="71">
        <v>2</v>
      </c>
      <c r="E1134" s="70">
        <v>0</v>
      </c>
    </row>
    <row r="1135" spans="1:5" ht="15" customHeight="1">
      <c r="A1135" s="76"/>
      <c r="B1135" s="112"/>
      <c r="C1135" s="61" t="s">
        <v>159</v>
      </c>
      <c r="D1135" s="71">
        <v>2</v>
      </c>
      <c r="E1135" s="70">
        <v>0</v>
      </c>
    </row>
    <row r="1136" spans="1:5" ht="15" customHeight="1">
      <c r="A1136" s="76"/>
      <c r="B1136" s="112"/>
      <c r="C1136" s="61" t="s">
        <v>166</v>
      </c>
      <c r="D1136" s="71">
        <v>1</v>
      </c>
      <c r="E1136" s="70">
        <v>0</v>
      </c>
    </row>
    <row r="1137" spans="1:5" ht="15" customHeight="1">
      <c r="A1137" s="76"/>
      <c r="B1137" s="112"/>
      <c r="C1137" s="61" t="s">
        <v>167</v>
      </c>
      <c r="D1137" s="71">
        <v>1</v>
      </c>
      <c r="E1137" s="70">
        <v>0</v>
      </c>
    </row>
    <row r="1138" spans="1:5" ht="15" customHeight="1">
      <c r="A1138" s="76"/>
      <c r="B1138" s="112"/>
      <c r="C1138" s="61" t="s">
        <v>147</v>
      </c>
      <c r="D1138" s="71">
        <v>1</v>
      </c>
      <c r="E1138" s="70">
        <v>0</v>
      </c>
    </row>
    <row r="1139" spans="1:5" ht="15" customHeight="1">
      <c r="A1139" s="76"/>
      <c r="B1139" s="112"/>
      <c r="C1139" s="61" t="s">
        <v>175</v>
      </c>
      <c r="D1139" s="71">
        <v>1</v>
      </c>
      <c r="E1139" s="70">
        <v>0</v>
      </c>
    </row>
    <row r="1140" spans="1:5" ht="15" customHeight="1">
      <c r="A1140" s="76"/>
      <c r="B1140" s="112"/>
      <c r="C1140" s="61" t="s">
        <v>149</v>
      </c>
      <c r="D1140" s="71">
        <v>1</v>
      </c>
      <c r="E1140" s="70">
        <v>0</v>
      </c>
    </row>
    <row r="1141" spans="1:5" ht="15" customHeight="1">
      <c r="A1141" s="76"/>
      <c r="B1141" s="112"/>
      <c r="C1141" s="61" t="s">
        <v>178</v>
      </c>
      <c r="D1141" s="71">
        <v>1</v>
      </c>
      <c r="E1141" s="70">
        <v>0</v>
      </c>
    </row>
    <row r="1142" spans="1:5" ht="15" customHeight="1">
      <c r="A1142" s="76"/>
      <c r="B1142" s="112"/>
      <c r="C1142" s="61" t="s">
        <v>203</v>
      </c>
      <c r="D1142" s="71">
        <v>1</v>
      </c>
      <c r="E1142" s="70">
        <v>0</v>
      </c>
    </row>
    <row r="1143" spans="1:5" ht="15" customHeight="1">
      <c r="A1143" s="76"/>
      <c r="B1143" s="112"/>
      <c r="C1143" s="61" t="s">
        <v>186</v>
      </c>
      <c r="D1143" s="71">
        <v>1</v>
      </c>
      <c r="E1143" s="70">
        <v>0</v>
      </c>
    </row>
    <row r="1144" spans="1:5" ht="15" customHeight="1">
      <c r="A1144" s="76"/>
      <c r="B1144" s="112"/>
      <c r="C1144" s="61" t="s">
        <v>191</v>
      </c>
      <c r="D1144" s="71">
        <v>1</v>
      </c>
      <c r="E1144" s="70">
        <v>0</v>
      </c>
    </row>
    <row r="1145" spans="1:5" ht="15" customHeight="1">
      <c r="A1145" s="76"/>
      <c r="B1145" s="112"/>
      <c r="C1145" s="61" t="s">
        <v>158</v>
      </c>
      <c r="D1145" s="71">
        <v>1</v>
      </c>
      <c r="E1145" s="70">
        <v>0</v>
      </c>
    </row>
    <row r="1146" spans="1:5" ht="15" customHeight="1">
      <c r="A1146" s="76"/>
      <c r="B1146" s="112"/>
      <c r="C1146" s="74" t="s">
        <v>309</v>
      </c>
      <c r="D1146" s="77">
        <v>89</v>
      </c>
      <c r="E1146" s="75">
        <v>3.0000000000000001E-3</v>
      </c>
    </row>
    <row r="1147" spans="1:5" ht="15" customHeight="1">
      <c r="A1147" s="76"/>
      <c r="B1147" s="112" t="s">
        <v>80</v>
      </c>
      <c r="C1147" s="61" t="s">
        <v>146</v>
      </c>
      <c r="D1147" s="71">
        <v>14</v>
      </c>
      <c r="E1147" s="70">
        <v>1E-3</v>
      </c>
    </row>
    <row r="1148" spans="1:5" ht="15" customHeight="1">
      <c r="A1148" s="76"/>
      <c r="B1148" s="112"/>
      <c r="C1148" s="61" t="s">
        <v>153</v>
      </c>
      <c r="D1148" s="71">
        <v>7</v>
      </c>
      <c r="E1148" s="70">
        <v>0</v>
      </c>
    </row>
    <row r="1149" spans="1:5" ht="15" customHeight="1">
      <c r="A1149" s="76"/>
      <c r="B1149" s="112"/>
      <c r="C1149" s="61" t="s">
        <v>152</v>
      </c>
      <c r="D1149" s="71">
        <v>5</v>
      </c>
      <c r="E1149" s="70">
        <v>0</v>
      </c>
    </row>
    <row r="1150" spans="1:5" ht="15" customHeight="1">
      <c r="A1150" s="76"/>
      <c r="B1150" s="112"/>
      <c r="C1150" s="61" t="s">
        <v>189</v>
      </c>
      <c r="D1150" s="71">
        <v>5</v>
      </c>
      <c r="E1150" s="70">
        <v>0</v>
      </c>
    </row>
    <row r="1151" spans="1:5" ht="15" customHeight="1">
      <c r="A1151" s="76"/>
      <c r="B1151" s="112"/>
      <c r="C1151" s="61" t="s">
        <v>196</v>
      </c>
      <c r="D1151" s="71">
        <v>4</v>
      </c>
      <c r="E1151" s="70">
        <v>0</v>
      </c>
    </row>
    <row r="1152" spans="1:5" ht="15" customHeight="1">
      <c r="A1152" s="76"/>
      <c r="B1152" s="112"/>
      <c r="C1152" s="61" t="s">
        <v>191</v>
      </c>
      <c r="D1152" s="71">
        <v>3</v>
      </c>
      <c r="E1152" s="70">
        <v>0</v>
      </c>
    </row>
    <row r="1153" spans="1:5" ht="15" customHeight="1">
      <c r="A1153" s="76"/>
      <c r="B1153" s="112"/>
      <c r="C1153" s="61" t="s">
        <v>171</v>
      </c>
      <c r="D1153" s="71">
        <v>2</v>
      </c>
      <c r="E1153" s="70">
        <v>0</v>
      </c>
    </row>
    <row r="1154" spans="1:5" ht="15" customHeight="1">
      <c r="A1154" s="76"/>
      <c r="B1154" s="112"/>
      <c r="C1154" s="61" t="s">
        <v>174</v>
      </c>
      <c r="D1154" s="71">
        <v>2</v>
      </c>
      <c r="E1154" s="70">
        <v>0</v>
      </c>
    </row>
    <row r="1155" spans="1:5" ht="15" customHeight="1">
      <c r="A1155" s="76"/>
      <c r="B1155" s="112"/>
      <c r="C1155" s="61" t="s">
        <v>190</v>
      </c>
      <c r="D1155" s="71">
        <v>2</v>
      </c>
      <c r="E1155" s="70">
        <v>0</v>
      </c>
    </row>
    <row r="1156" spans="1:5" ht="15" customHeight="1">
      <c r="A1156" s="76"/>
      <c r="B1156" s="112"/>
      <c r="C1156" s="61" t="s">
        <v>192</v>
      </c>
      <c r="D1156" s="71">
        <v>2</v>
      </c>
      <c r="E1156" s="70">
        <v>0</v>
      </c>
    </row>
    <row r="1157" spans="1:5" ht="15" customHeight="1">
      <c r="A1157" s="76"/>
      <c r="B1157" s="112"/>
      <c r="C1157" s="61" t="s">
        <v>159</v>
      </c>
      <c r="D1157" s="71">
        <v>2</v>
      </c>
      <c r="E1157" s="70">
        <v>0</v>
      </c>
    </row>
    <row r="1158" spans="1:5" ht="15" customHeight="1">
      <c r="A1158" s="76"/>
      <c r="B1158" s="112"/>
      <c r="C1158" s="61" t="s">
        <v>163</v>
      </c>
      <c r="D1158" s="71">
        <v>1</v>
      </c>
      <c r="E1158" s="70">
        <v>0</v>
      </c>
    </row>
    <row r="1159" spans="1:5" ht="15" customHeight="1">
      <c r="A1159" s="76"/>
      <c r="B1159" s="112"/>
      <c r="C1159" s="61" t="s">
        <v>164</v>
      </c>
      <c r="D1159" s="71">
        <v>1</v>
      </c>
      <c r="E1159" s="70">
        <v>0</v>
      </c>
    </row>
    <row r="1160" spans="1:5" ht="15" customHeight="1">
      <c r="A1160" s="76"/>
      <c r="B1160" s="112"/>
      <c r="C1160" s="61" t="s">
        <v>168</v>
      </c>
      <c r="D1160" s="71">
        <v>1</v>
      </c>
      <c r="E1160" s="70">
        <v>0</v>
      </c>
    </row>
    <row r="1161" spans="1:5" ht="15" customHeight="1">
      <c r="A1161" s="76"/>
      <c r="B1161" s="112"/>
      <c r="C1161" s="61" t="s">
        <v>169</v>
      </c>
      <c r="D1161" s="71">
        <v>1</v>
      </c>
      <c r="E1161" s="70">
        <v>0</v>
      </c>
    </row>
    <row r="1162" spans="1:5" ht="15" customHeight="1">
      <c r="A1162" s="76"/>
      <c r="B1162" s="112"/>
      <c r="C1162" s="61" t="s">
        <v>285</v>
      </c>
      <c r="D1162" s="71">
        <v>1</v>
      </c>
      <c r="E1162" s="70">
        <v>0</v>
      </c>
    </row>
    <row r="1163" spans="1:5" ht="15" customHeight="1">
      <c r="A1163" s="76"/>
      <c r="B1163" s="112"/>
      <c r="C1163" s="61" t="s">
        <v>148</v>
      </c>
      <c r="D1163" s="71">
        <v>1</v>
      </c>
      <c r="E1163" s="70">
        <v>0</v>
      </c>
    </row>
    <row r="1164" spans="1:5" ht="15" customHeight="1">
      <c r="A1164" s="76"/>
      <c r="B1164" s="112"/>
      <c r="C1164" s="61" t="s">
        <v>175</v>
      </c>
      <c r="D1164" s="71">
        <v>1</v>
      </c>
      <c r="E1164" s="70">
        <v>0</v>
      </c>
    </row>
    <row r="1165" spans="1:5" ht="15" customHeight="1">
      <c r="A1165" s="76"/>
      <c r="B1165" s="112"/>
      <c r="C1165" s="61" t="s">
        <v>177</v>
      </c>
      <c r="D1165" s="71">
        <v>1</v>
      </c>
      <c r="E1165" s="70">
        <v>0</v>
      </c>
    </row>
    <row r="1166" spans="1:5" ht="15" customHeight="1">
      <c r="A1166" s="76"/>
      <c r="B1166" s="112"/>
      <c r="C1166" s="61" t="s">
        <v>150</v>
      </c>
      <c r="D1166" s="71">
        <v>1</v>
      </c>
      <c r="E1166" s="70">
        <v>0</v>
      </c>
    </row>
    <row r="1167" spans="1:5" ht="15" customHeight="1">
      <c r="A1167" s="76"/>
      <c r="B1167" s="112"/>
      <c r="C1167" s="61" t="s">
        <v>193</v>
      </c>
      <c r="D1167" s="71">
        <v>1</v>
      </c>
      <c r="E1167" s="70">
        <v>0</v>
      </c>
    </row>
    <row r="1168" spans="1:5" ht="15" customHeight="1">
      <c r="A1168" s="76"/>
      <c r="B1168" s="112"/>
      <c r="C1168" s="61" t="s">
        <v>179</v>
      </c>
      <c r="D1168" s="71">
        <v>1</v>
      </c>
      <c r="E1168" s="70">
        <v>0</v>
      </c>
    </row>
    <row r="1169" spans="1:5" ht="15" customHeight="1">
      <c r="A1169" s="76"/>
      <c r="B1169" s="112"/>
      <c r="C1169" s="61" t="s">
        <v>162</v>
      </c>
      <c r="D1169" s="71">
        <v>1</v>
      </c>
      <c r="E1169" s="70">
        <v>0</v>
      </c>
    </row>
    <row r="1170" spans="1:5" ht="15" customHeight="1">
      <c r="A1170" s="76"/>
      <c r="B1170" s="112"/>
      <c r="C1170" s="61" t="s">
        <v>185</v>
      </c>
      <c r="D1170" s="71">
        <v>1</v>
      </c>
      <c r="E1170" s="70">
        <v>0</v>
      </c>
    </row>
    <row r="1171" spans="1:5" ht="15" customHeight="1">
      <c r="A1171" s="76"/>
      <c r="B1171" s="112"/>
      <c r="C1171" s="61" t="s">
        <v>186</v>
      </c>
      <c r="D1171" s="71">
        <v>1</v>
      </c>
      <c r="E1171" s="70">
        <v>0</v>
      </c>
    </row>
    <row r="1172" spans="1:5" ht="15" customHeight="1">
      <c r="A1172" s="76"/>
      <c r="B1172" s="112"/>
      <c r="C1172" s="61" t="s">
        <v>188</v>
      </c>
      <c r="D1172" s="71">
        <v>1</v>
      </c>
      <c r="E1172" s="70">
        <v>0</v>
      </c>
    </row>
    <row r="1173" spans="1:5" ht="15" customHeight="1">
      <c r="A1173" s="76"/>
      <c r="B1173" s="112"/>
      <c r="C1173" s="61" t="s">
        <v>157</v>
      </c>
      <c r="D1173" s="71">
        <v>1</v>
      </c>
      <c r="E1173" s="70">
        <v>0</v>
      </c>
    </row>
    <row r="1174" spans="1:5" ht="15" customHeight="1">
      <c r="A1174" s="76"/>
      <c r="B1174" s="112"/>
      <c r="C1174" s="61" t="s">
        <v>158</v>
      </c>
      <c r="D1174" s="71">
        <v>1</v>
      </c>
      <c r="E1174" s="70">
        <v>0</v>
      </c>
    </row>
    <row r="1175" spans="1:5" ht="15" customHeight="1">
      <c r="A1175" s="76"/>
      <c r="B1175" s="112"/>
      <c r="C1175" s="61" t="s">
        <v>160</v>
      </c>
      <c r="D1175" s="71">
        <v>1</v>
      </c>
      <c r="E1175" s="70">
        <v>0</v>
      </c>
    </row>
    <row r="1176" spans="1:5" ht="15" customHeight="1">
      <c r="A1176" s="76"/>
      <c r="B1176" s="112"/>
      <c r="C1176" s="74" t="s">
        <v>309</v>
      </c>
      <c r="D1176" s="77">
        <v>66</v>
      </c>
      <c r="E1176" s="75">
        <v>2E-3</v>
      </c>
    </row>
    <row r="1177" spans="1:5" ht="15" customHeight="1">
      <c r="A1177" s="76"/>
      <c r="B1177" s="112" t="s">
        <v>131</v>
      </c>
      <c r="C1177" s="61" t="s">
        <v>191</v>
      </c>
      <c r="D1177" s="71">
        <v>10</v>
      </c>
      <c r="E1177" s="70">
        <v>0</v>
      </c>
    </row>
    <row r="1178" spans="1:5" ht="15" customHeight="1">
      <c r="A1178" s="76"/>
      <c r="B1178" s="112"/>
      <c r="C1178" s="61" t="s">
        <v>146</v>
      </c>
      <c r="D1178" s="71">
        <v>5</v>
      </c>
      <c r="E1178" s="70">
        <v>0</v>
      </c>
    </row>
    <row r="1179" spans="1:5" ht="15" customHeight="1">
      <c r="A1179" s="76"/>
      <c r="B1179" s="112"/>
      <c r="C1179" s="61" t="s">
        <v>174</v>
      </c>
      <c r="D1179" s="71">
        <v>5</v>
      </c>
      <c r="E1179" s="70">
        <v>0</v>
      </c>
    </row>
    <row r="1180" spans="1:5" ht="15" customHeight="1">
      <c r="A1180" s="76"/>
      <c r="B1180" s="112"/>
      <c r="C1180" s="61" t="s">
        <v>153</v>
      </c>
      <c r="D1180" s="71">
        <v>5</v>
      </c>
      <c r="E1180" s="70">
        <v>0</v>
      </c>
    </row>
    <row r="1181" spans="1:5" ht="15" customHeight="1">
      <c r="A1181" s="76"/>
      <c r="B1181" s="112"/>
      <c r="C1181" s="61" t="s">
        <v>163</v>
      </c>
      <c r="D1181" s="71">
        <v>4</v>
      </c>
      <c r="E1181" s="70">
        <v>0</v>
      </c>
    </row>
    <row r="1182" spans="1:5" ht="15" customHeight="1">
      <c r="A1182" s="76"/>
      <c r="B1182" s="112"/>
      <c r="C1182" s="61" t="s">
        <v>188</v>
      </c>
      <c r="D1182" s="71">
        <v>4</v>
      </c>
      <c r="E1182" s="70">
        <v>0</v>
      </c>
    </row>
    <row r="1183" spans="1:5" ht="15" customHeight="1">
      <c r="A1183" s="76"/>
      <c r="B1183" s="112"/>
      <c r="C1183" s="61" t="s">
        <v>160</v>
      </c>
      <c r="D1183" s="71">
        <v>4</v>
      </c>
      <c r="E1183" s="70">
        <v>0</v>
      </c>
    </row>
    <row r="1184" spans="1:5" ht="15" customHeight="1">
      <c r="A1184" s="76"/>
      <c r="B1184" s="112"/>
      <c r="C1184" s="61" t="s">
        <v>180</v>
      </c>
      <c r="D1184" s="71">
        <v>3</v>
      </c>
      <c r="E1184" s="70">
        <v>0</v>
      </c>
    </row>
    <row r="1185" spans="1:5" ht="15" customHeight="1">
      <c r="A1185" s="76"/>
      <c r="B1185" s="112"/>
      <c r="C1185" s="61" t="s">
        <v>155</v>
      </c>
      <c r="D1185" s="71">
        <v>3</v>
      </c>
      <c r="E1185" s="70">
        <v>0</v>
      </c>
    </row>
    <row r="1186" spans="1:5" ht="15" customHeight="1">
      <c r="A1186" s="76"/>
      <c r="B1186" s="112"/>
      <c r="C1186" s="61" t="s">
        <v>192</v>
      </c>
      <c r="D1186" s="71">
        <v>3</v>
      </c>
      <c r="E1186" s="70">
        <v>0</v>
      </c>
    </row>
    <row r="1187" spans="1:5" ht="15" customHeight="1">
      <c r="A1187" s="76"/>
      <c r="B1187" s="112"/>
      <c r="C1187" s="61" t="s">
        <v>165</v>
      </c>
      <c r="D1187" s="71">
        <v>2</v>
      </c>
      <c r="E1187" s="70">
        <v>0</v>
      </c>
    </row>
    <row r="1188" spans="1:5" ht="15" customHeight="1">
      <c r="A1188" s="76"/>
      <c r="B1188" s="112"/>
      <c r="C1188" s="61" t="s">
        <v>148</v>
      </c>
      <c r="D1188" s="71">
        <v>2</v>
      </c>
      <c r="E1188" s="70">
        <v>0</v>
      </c>
    </row>
    <row r="1189" spans="1:5" ht="15" customHeight="1">
      <c r="A1189" s="76"/>
      <c r="B1189" s="112"/>
      <c r="C1189" s="61" t="s">
        <v>152</v>
      </c>
      <c r="D1189" s="71">
        <v>2</v>
      </c>
      <c r="E1189" s="70">
        <v>0</v>
      </c>
    </row>
    <row r="1190" spans="1:5" ht="15" customHeight="1">
      <c r="A1190" s="76"/>
      <c r="B1190" s="112"/>
      <c r="C1190" s="61" t="s">
        <v>189</v>
      </c>
      <c r="D1190" s="71">
        <v>2</v>
      </c>
      <c r="E1190" s="70">
        <v>0</v>
      </c>
    </row>
    <row r="1191" spans="1:5" ht="15" customHeight="1">
      <c r="A1191" s="76"/>
      <c r="B1191" s="112"/>
      <c r="C1191" s="61" t="s">
        <v>157</v>
      </c>
      <c r="D1191" s="71">
        <v>2</v>
      </c>
      <c r="E1191" s="70">
        <v>0</v>
      </c>
    </row>
    <row r="1192" spans="1:5" ht="15" customHeight="1">
      <c r="A1192" s="76"/>
      <c r="B1192" s="112"/>
      <c r="C1192" s="61" t="s">
        <v>161</v>
      </c>
      <c r="D1192" s="71">
        <v>1</v>
      </c>
      <c r="E1192" s="70">
        <v>0</v>
      </c>
    </row>
    <row r="1193" spans="1:5" ht="15" customHeight="1">
      <c r="A1193" s="76"/>
      <c r="B1193" s="112"/>
      <c r="C1193" s="61" t="s">
        <v>175</v>
      </c>
      <c r="D1193" s="71">
        <v>1</v>
      </c>
      <c r="E1193" s="70">
        <v>0</v>
      </c>
    </row>
    <row r="1194" spans="1:5" ht="15" customHeight="1">
      <c r="A1194" s="76"/>
      <c r="B1194" s="112"/>
      <c r="C1194" s="61" t="s">
        <v>176</v>
      </c>
      <c r="D1194" s="71">
        <v>1</v>
      </c>
      <c r="E1194" s="70">
        <v>0</v>
      </c>
    </row>
    <row r="1195" spans="1:5" ht="15" customHeight="1">
      <c r="A1195" s="76"/>
      <c r="B1195" s="112"/>
      <c r="C1195" s="61" t="s">
        <v>149</v>
      </c>
      <c r="D1195" s="71">
        <v>1</v>
      </c>
      <c r="E1195" s="70">
        <v>0</v>
      </c>
    </row>
    <row r="1196" spans="1:5" ht="15" customHeight="1">
      <c r="A1196" s="76"/>
      <c r="B1196" s="112"/>
      <c r="C1196" s="61" t="s">
        <v>178</v>
      </c>
      <c r="D1196" s="71">
        <v>1</v>
      </c>
      <c r="E1196" s="70">
        <v>0</v>
      </c>
    </row>
    <row r="1197" spans="1:5" ht="15" customHeight="1">
      <c r="A1197" s="76"/>
      <c r="B1197" s="112"/>
      <c r="C1197" s="61" t="s">
        <v>181</v>
      </c>
      <c r="D1197" s="71">
        <v>1</v>
      </c>
      <c r="E1197" s="70">
        <v>0</v>
      </c>
    </row>
    <row r="1198" spans="1:5" ht="15" customHeight="1">
      <c r="A1198" s="76"/>
      <c r="B1198" s="112"/>
      <c r="C1198" s="61" t="s">
        <v>162</v>
      </c>
      <c r="D1198" s="71">
        <v>1</v>
      </c>
      <c r="E1198" s="70">
        <v>0</v>
      </c>
    </row>
    <row r="1199" spans="1:5" ht="15" customHeight="1">
      <c r="A1199" s="76"/>
      <c r="B1199" s="112"/>
      <c r="C1199" s="61" t="s">
        <v>158</v>
      </c>
      <c r="D1199" s="71">
        <v>1</v>
      </c>
      <c r="E1199" s="70">
        <v>0</v>
      </c>
    </row>
    <row r="1200" spans="1:5" ht="15" customHeight="1">
      <c r="A1200" s="76"/>
      <c r="B1200" s="112"/>
      <c r="C1200" s="61" t="s">
        <v>159</v>
      </c>
      <c r="D1200" s="71">
        <v>1</v>
      </c>
      <c r="E1200" s="70">
        <v>0</v>
      </c>
    </row>
    <row r="1201" spans="1:5" ht="15" customHeight="1">
      <c r="A1201" s="76"/>
      <c r="B1201" s="112"/>
      <c r="C1201" s="74" t="s">
        <v>309</v>
      </c>
      <c r="D1201" s="77">
        <v>65</v>
      </c>
      <c r="E1201" s="75">
        <v>2E-3</v>
      </c>
    </row>
    <row r="1202" spans="1:5" ht="15" customHeight="1">
      <c r="A1202" s="76"/>
      <c r="B1202" s="112" t="s">
        <v>96</v>
      </c>
      <c r="C1202" s="61" t="s">
        <v>148</v>
      </c>
      <c r="D1202" s="71">
        <v>9</v>
      </c>
      <c r="E1202" s="70">
        <v>0</v>
      </c>
    </row>
    <row r="1203" spans="1:5" ht="15" customHeight="1">
      <c r="A1203" s="76"/>
      <c r="B1203" s="112"/>
      <c r="C1203" s="61" t="s">
        <v>153</v>
      </c>
      <c r="D1203" s="71">
        <v>7</v>
      </c>
      <c r="E1203" s="70">
        <v>0</v>
      </c>
    </row>
    <row r="1204" spans="1:5" ht="15" customHeight="1">
      <c r="A1204" s="76"/>
      <c r="B1204" s="112"/>
      <c r="C1204" s="61" t="s">
        <v>154</v>
      </c>
      <c r="D1204" s="71">
        <v>5</v>
      </c>
      <c r="E1204" s="70">
        <v>0</v>
      </c>
    </row>
    <row r="1205" spans="1:5" ht="15" customHeight="1">
      <c r="A1205" s="76"/>
      <c r="B1205" s="112"/>
      <c r="C1205" s="61" t="s">
        <v>191</v>
      </c>
      <c r="D1205" s="71">
        <v>5</v>
      </c>
      <c r="E1205" s="70">
        <v>0</v>
      </c>
    </row>
    <row r="1206" spans="1:5" ht="15" customHeight="1">
      <c r="A1206" s="76"/>
      <c r="B1206" s="112"/>
      <c r="C1206" s="61" t="s">
        <v>173</v>
      </c>
      <c r="D1206" s="71">
        <v>4</v>
      </c>
      <c r="E1206" s="70">
        <v>0</v>
      </c>
    </row>
    <row r="1207" spans="1:5" ht="15" customHeight="1">
      <c r="A1207" s="76"/>
      <c r="B1207" s="112"/>
      <c r="C1207" s="61" t="s">
        <v>146</v>
      </c>
      <c r="D1207" s="71">
        <v>3</v>
      </c>
      <c r="E1207" s="70">
        <v>0</v>
      </c>
    </row>
    <row r="1208" spans="1:5" ht="15" customHeight="1">
      <c r="A1208" s="76"/>
      <c r="B1208" s="112"/>
      <c r="C1208" s="61" t="s">
        <v>199</v>
      </c>
      <c r="D1208" s="71">
        <v>3</v>
      </c>
      <c r="E1208" s="70">
        <v>0</v>
      </c>
    </row>
    <row r="1209" spans="1:5" ht="15" customHeight="1">
      <c r="A1209" s="76"/>
      <c r="B1209" s="112"/>
      <c r="C1209" s="61" t="s">
        <v>193</v>
      </c>
      <c r="D1209" s="71">
        <v>3</v>
      </c>
      <c r="E1209" s="70">
        <v>0</v>
      </c>
    </row>
    <row r="1210" spans="1:5" ht="15" customHeight="1">
      <c r="A1210" s="76"/>
      <c r="B1210" s="112"/>
      <c r="C1210" s="61" t="s">
        <v>158</v>
      </c>
      <c r="D1210" s="71">
        <v>3</v>
      </c>
      <c r="E1210" s="70">
        <v>0</v>
      </c>
    </row>
    <row r="1211" spans="1:5" ht="15" customHeight="1">
      <c r="A1211" s="76"/>
      <c r="B1211" s="112"/>
      <c r="C1211" s="61" t="s">
        <v>160</v>
      </c>
      <c r="D1211" s="71">
        <v>3</v>
      </c>
      <c r="E1211" s="70">
        <v>0</v>
      </c>
    </row>
    <row r="1212" spans="1:5" ht="15" customHeight="1">
      <c r="A1212" s="76"/>
      <c r="B1212" s="112"/>
      <c r="C1212" s="61" t="s">
        <v>171</v>
      </c>
      <c r="D1212" s="71">
        <v>2</v>
      </c>
      <c r="E1212" s="70">
        <v>0</v>
      </c>
    </row>
    <row r="1213" spans="1:5" ht="15" customHeight="1">
      <c r="A1213" s="76"/>
      <c r="B1213" s="112"/>
      <c r="C1213" s="61" t="s">
        <v>151</v>
      </c>
      <c r="D1213" s="71">
        <v>2</v>
      </c>
      <c r="E1213" s="70">
        <v>0</v>
      </c>
    </row>
    <row r="1214" spans="1:5" ht="15" customHeight="1">
      <c r="A1214" s="76"/>
      <c r="B1214" s="112"/>
      <c r="C1214" s="61" t="s">
        <v>203</v>
      </c>
      <c r="D1214" s="71">
        <v>2</v>
      </c>
      <c r="E1214" s="70">
        <v>0</v>
      </c>
    </row>
    <row r="1215" spans="1:5" ht="15" customHeight="1">
      <c r="A1215" s="76"/>
      <c r="B1215" s="112"/>
      <c r="C1215" s="61" t="s">
        <v>162</v>
      </c>
      <c r="D1215" s="71">
        <v>2</v>
      </c>
      <c r="E1215" s="70">
        <v>0</v>
      </c>
    </row>
    <row r="1216" spans="1:5" ht="15" customHeight="1">
      <c r="A1216" s="76"/>
      <c r="B1216" s="112"/>
      <c r="C1216" s="61" t="s">
        <v>186</v>
      </c>
      <c r="D1216" s="71">
        <v>2</v>
      </c>
      <c r="E1216" s="70">
        <v>0</v>
      </c>
    </row>
    <row r="1217" spans="1:5" ht="15" customHeight="1">
      <c r="A1217" s="76"/>
      <c r="B1217" s="112"/>
      <c r="C1217" s="61" t="s">
        <v>165</v>
      </c>
      <c r="D1217" s="71">
        <v>1</v>
      </c>
      <c r="E1217" s="70">
        <v>0</v>
      </c>
    </row>
    <row r="1218" spans="1:5" ht="15" customHeight="1">
      <c r="A1218" s="76"/>
      <c r="B1218" s="112"/>
      <c r="C1218" s="61" t="s">
        <v>166</v>
      </c>
      <c r="D1218" s="71">
        <v>1</v>
      </c>
      <c r="E1218" s="70">
        <v>0</v>
      </c>
    </row>
    <row r="1219" spans="1:5" ht="15" customHeight="1">
      <c r="A1219" s="76"/>
      <c r="B1219" s="112"/>
      <c r="C1219" s="61" t="s">
        <v>147</v>
      </c>
      <c r="D1219" s="71">
        <v>1</v>
      </c>
      <c r="E1219" s="70">
        <v>0</v>
      </c>
    </row>
    <row r="1220" spans="1:5" ht="15" customHeight="1">
      <c r="A1220" s="76"/>
      <c r="B1220" s="112"/>
      <c r="C1220" s="61" t="s">
        <v>177</v>
      </c>
      <c r="D1220" s="71">
        <v>1</v>
      </c>
      <c r="E1220" s="70">
        <v>0</v>
      </c>
    </row>
    <row r="1221" spans="1:5" ht="15" customHeight="1">
      <c r="A1221" s="76"/>
      <c r="B1221" s="112"/>
      <c r="C1221" s="61" t="s">
        <v>183</v>
      </c>
      <c r="D1221" s="71">
        <v>1</v>
      </c>
      <c r="E1221" s="70">
        <v>0</v>
      </c>
    </row>
    <row r="1222" spans="1:5" ht="15" customHeight="1">
      <c r="A1222" s="76"/>
      <c r="B1222" s="112"/>
      <c r="C1222" s="61" t="s">
        <v>155</v>
      </c>
      <c r="D1222" s="71">
        <v>1</v>
      </c>
      <c r="E1222" s="70">
        <v>0</v>
      </c>
    </row>
    <row r="1223" spans="1:5" ht="15" customHeight="1">
      <c r="A1223" s="76"/>
      <c r="B1223" s="112"/>
      <c r="C1223" s="61" t="s">
        <v>196</v>
      </c>
      <c r="D1223" s="71">
        <v>1</v>
      </c>
      <c r="E1223" s="70">
        <v>0</v>
      </c>
    </row>
    <row r="1224" spans="1:5" ht="15" customHeight="1">
      <c r="A1224" s="76"/>
      <c r="B1224" s="112"/>
      <c r="C1224" s="61" t="s">
        <v>192</v>
      </c>
      <c r="D1224" s="71">
        <v>1</v>
      </c>
      <c r="E1224" s="70">
        <v>0</v>
      </c>
    </row>
    <row r="1225" spans="1:5" ht="15" customHeight="1">
      <c r="A1225" s="76"/>
      <c r="B1225" s="112"/>
      <c r="C1225" s="61" t="s">
        <v>159</v>
      </c>
      <c r="D1225" s="71">
        <v>1</v>
      </c>
      <c r="E1225" s="70">
        <v>0</v>
      </c>
    </row>
    <row r="1226" spans="1:5" ht="15" customHeight="1">
      <c r="A1226" s="76"/>
      <c r="B1226" s="112"/>
      <c r="C1226" s="74" t="s">
        <v>309</v>
      </c>
      <c r="D1226" s="77">
        <v>64</v>
      </c>
      <c r="E1226" s="75">
        <v>2E-3</v>
      </c>
    </row>
    <row r="1227" spans="1:5" ht="15" customHeight="1">
      <c r="A1227" s="76"/>
      <c r="B1227" s="112" t="s">
        <v>132</v>
      </c>
      <c r="C1227" s="61" t="s">
        <v>146</v>
      </c>
      <c r="D1227" s="71">
        <v>24</v>
      </c>
      <c r="E1227" s="70">
        <v>1E-3</v>
      </c>
    </row>
    <row r="1228" spans="1:5" ht="15" customHeight="1">
      <c r="A1228" s="76"/>
      <c r="B1228" s="112"/>
      <c r="C1228" s="61" t="s">
        <v>153</v>
      </c>
      <c r="D1228" s="71">
        <v>7</v>
      </c>
      <c r="E1228" s="70">
        <v>0</v>
      </c>
    </row>
    <row r="1229" spans="1:5" ht="15" customHeight="1">
      <c r="A1229" s="76"/>
      <c r="B1229" s="112"/>
      <c r="C1229" s="61" t="s">
        <v>154</v>
      </c>
      <c r="D1229" s="71">
        <v>3</v>
      </c>
      <c r="E1229" s="70">
        <v>0</v>
      </c>
    </row>
    <row r="1230" spans="1:5" ht="15" customHeight="1">
      <c r="A1230" s="76"/>
      <c r="B1230" s="112"/>
      <c r="C1230" s="61" t="s">
        <v>166</v>
      </c>
      <c r="D1230" s="71">
        <v>2</v>
      </c>
      <c r="E1230" s="70">
        <v>0</v>
      </c>
    </row>
    <row r="1231" spans="1:5" ht="15" customHeight="1">
      <c r="A1231" s="76"/>
      <c r="B1231" s="112"/>
      <c r="C1231" s="61" t="s">
        <v>160</v>
      </c>
      <c r="D1231" s="71">
        <v>2</v>
      </c>
      <c r="E1231" s="70">
        <v>0</v>
      </c>
    </row>
    <row r="1232" spans="1:5" ht="15" customHeight="1">
      <c r="A1232" s="76"/>
      <c r="B1232" s="112"/>
      <c r="C1232" s="61" t="s">
        <v>148</v>
      </c>
      <c r="D1232" s="71">
        <v>1</v>
      </c>
      <c r="E1232" s="70">
        <v>0</v>
      </c>
    </row>
    <row r="1233" spans="1:5" ht="15" customHeight="1">
      <c r="A1233" s="76"/>
      <c r="B1233" s="112"/>
      <c r="C1233" s="61" t="s">
        <v>175</v>
      </c>
      <c r="D1233" s="71">
        <v>1</v>
      </c>
      <c r="E1233" s="70">
        <v>0</v>
      </c>
    </row>
    <row r="1234" spans="1:5" ht="15" customHeight="1">
      <c r="A1234" s="76"/>
      <c r="B1234" s="112"/>
      <c r="C1234" s="61" t="s">
        <v>196</v>
      </c>
      <c r="D1234" s="71">
        <v>1</v>
      </c>
      <c r="E1234" s="70">
        <v>0</v>
      </c>
    </row>
    <row r="1235" spans="1:5" ht="15" customHeight="1">
      <c r="A1235" s="76"/>
      <c r="B1235" s="112"/>
      <c r="C1235" s="61" t="s">
        <v>158</v>
      </c>
      <c r="D1235" s="71">
        <v>1</v>
      </c>
      <c r="E1235" s="70">
        <v>0</v>
      </c>
    </row>
    <row r="1236" spans="1:5" ht="15" customHeight="1">
      <c r="A1236" s="76"/>
      <c r="B1236" s="112"/>
      <c r="C1236" s="74" t="s">
        <v>309</v>
      </c>
      <c r="D1236" s="77">
        <v>42</v>
      </c>
      <c r="E1236" s="75">
        <v>2E-3</v>
      </c>
    </row>
    <row r="1237" spans="1:5" ht="15" customHeight="1">
      <c r="A1237" s="76"/>
      <c r="B1237" s="112" t="s">
        <v>142</v>
      </c>
      <c r="C1237" s="61" t="s">
        <v>146</v>
      </c>
      <c r="D1237" s="71">
        <v>4</v>
      </c>
      <c r="E1237" s="70">
        <v>0</v>
      </c>
    </row>
    <row r="1238" spans="1:5" ht="15" customHeight="1">
      <c r="A1238" s="76"/>
      <c r="B1238" s="112"/>
      <c r="C1238" s="61" t="s">
        <v>171</v>
      </c>
      <c r="D1238" s="71">
        <v>3</v>
      </c>
      <c r="E1238" s="70">
        <v>0</v>
      </c>
    </row>
    <row r="1239" spans="1:5" ht="15" customHeight="1">
      <c r="A1239" s="76"/>
      <c r="B1239" s="112"/>
      <c r="C1239" s="61" t="s">
        <v>189</v>
      </c>
      <c r="D1239" s="71">
        <v>3</v>
      </c>
      <c r="E1239" s="70">
        <v>0</v>
      </c>
    </row>
    <row r="1240" spans="1:5" ht="15" customHeight="1">
      <c r="A1240" s="76"/>
      <c r="B1240" s="112"/>
      <c r="C1240" s="61" t="s">
        <v>191</v>
      </c>
      <c r="D1240" s="71">
        <v>3</v>
      </c>
      <c r="E1240" s="70">
        <v>0</v>
      </c>
    </row>
    <row r="1241" spans="1:5" ht="15" customHeight="1">
      <c r="A1241" s="76"/>
      <c r="B1241" s="112"/>
      <c r="C1241" s="61" t="s">
        <v>159</v>
      </c>
      <c r="D1241" s="71">
        <v>3</v>
      </c>
      <c r="E1241" s="70">
        <v>0</v>
      </c>
    </row>
    <row r="1242" spans="1:5" ht="15" customHeight="1">
      <c r="A1242" s="76"/>
      <c r="B1242" s="112"/>
      <c r="C1242" s="61" t="s">
        <v>160</v>
      </c>
      <c r="D1242" s="71">
        <v>3</v>
      </c>
      <c r="E1242" s="70">
        <v>0</v>
      </c>
    </row>
    <row r="1243" spans="1:5" ht="15" customHeight="1">
      <c r="A1243" s="76"/>
      <c r="B1243" s="112"/>
      <c r="C1243" s="61" t="s">
        <v>147</v>
      </c>
      <c r="D1243" s="71">
        <v>2</v>
      </c>
      <c r="E1243" s="70">
        <v>0</v>
      </c>
    </row>
    <row r="1244" spans="1:5" ht="15" customHeight="1">
      <c r="A1244" s="76"/>
      <c r="B1244" s="112"/>
      <c r="C1244" s="61" t="s">
        <v>164</v>
      </c>
      <c r="D1244" s="71">
        <v>1</v>
      </c>
      <c r="E1244" s="70">
        <v>0</v>
      </c>
    </row>
    <row r="1245" spans="1:5" ht="15" customHeight="1">
      <c r="A1245" s="76"/>
      <c r="B1245" s="112"/>
      <c r="C1245" s="61" t="s">
        <v>148</v>
      </c>
      <c r="D1245" s="71">
        <v>1</v>
      </c>
      <c r="E1245" s="70">
        <v>0</v>
      </c>
    </row>
    <row r="1246" spans="1:5" ht="15" customHeight="1">
      <c r="A1246" s="76"/>
      <c r="B1246" s="112"/>
      <c r="C1246" s="61" t="s">
        <v>175</v>
      </c>
      <c r="D1246" s="71">
        <v>1</v>
      </c>
      <c r="E1246" s="70">
        <v>0</v>
      </c>
    </row>
    <row r="1247" spans="1:5" ht="15" customHeight="1">
      <c r="A1247" s="76"/>
      <c r="B1247" s="112"/>
      <c r="C1247" s="61" t="s">
        <v>152</v>
      </c>
      <c r="D1247" s="71">
        <v>1</v>
      </c>
      <c r="E1247" s="70">
        <v>0</v>
      </c>
    </row>
    <row r="1248" spans="1:5" ht="15" customHeight="1">
      <c r="A1248" s="76"/>
      <c r="B1248" s="112"/>
      <c r="C1248" s="61" t="s">
        <v>162</v>
      </c>
      <c r="D1248" s="71">
        <v>1</v>
      </c>
      <c r="E1248" s="70">
        <v>0</v>
      </c>
    </row>
    <row r="1249" spans="1:5" ht="15" customHeight="1">
      <c r="A1249" s="76"/>
      <c r="B1249" s="112"/>
      <c r="C1249" s="61" t="s">
        <v>186</v>
      </c>
      <c r="D1249" s="71">
        <v>1</v>
      </c>
      <c r="E1249" s="70">
        <v>0</v>
      </c>
    </row>
    <row r="1250" spans="1:5" ht="15" customHeight="1">
      <c r="A1250" s="76"/>
      <c r="B1250" s="112"/>
      <c r="C1250" s="61" t="s">
        <v>192</v>
      </c>
      <c r="D1250" s="71">
        <v>1</v>
      </c>
      <c r="E1250" s="70">
        <v>0</v>
      </c>
    </row>
    <row r="1251" spans="1:5" ht="15" customHeight="1">
      <c r="A1251" s="76"/>
      <c r="B1251" s="112"/>
      <c r="C1251" s="74" t="s">
        <v>309</v>
      </c>
      <c r="D1251" s="77">
        <v>28</v>
      </c>
      <c r="E1251" s="75">
        <v>1E-3</v>
      </c>
    </row>
    <row r="1252" spans="1:5" ht="15" customHeight="1">
      <c r="A1252" s="76"/>
      <c r="B1252" s="112" t="s">
        <v>126</v>
      </c>
      <c r="C1252" s="61" t="s">
        <v>146</v>
      </c>
      <c r="D1252" s="71">
        <v>5</v>
      </c>
      <c r="E1252" s="70">
        <v>0</v>
      </c>
    </row>
    <row r="1253" spans="1:5" ht="15" customHeight="1">
      <c r="A1253" s="76"/>
      <c r="B1253" s="112"/>
      <c r="C1253" s="61" t="s">
        <v>173</v>
      </c>
      <c r="D1253" s="71">
        <v>2</v>
      </c>
      <c r="E1253" s="70">
        <v>0</v>
      </c>
    </row>
    <row r="1254" spans="1:5" ht="15" customHeight="1">
      <c r="A1254" s="76"/>
      <c r="B1254" s="112"/>
      <c r="C1254" s="61" t="s">
        <v>175</v>
      </c>
      <c r="D1254" s="71">
        <v>2</v>
      </c>
      <c r="E1254" s="70">
        <v>0</v>
      </c>
    </row>
    <row r="1255" spans="1:5" ht="15" customHeight="1">
      <c r="A1255" s="76"/>
      <c r="B1255" s="112"/>
      <c r="C1255" s="61" t="s">
        <v>176</v>
      </c>
      <c r="D1255" s="71">
        <v>2</v>
      </c>
      <c r="E1255" s="70">
        <v>0</v>
      </c>
    </row>
    <row r="1256" spans="1:5" ht="15" customHeight="1">
      <c r="A1256" s="76"/>
      <c r="B1256" s="112"/>
      <c r="C1256" s="61" t="s">
        <v>153</v>
      </c>
      <c r="D1256" s="71">
        <v>2</v>
      </c>
      <c r="E1256" s="70">
        <v>0</v>
      </c>
    </row>
    <row r="1257" spans="1:5" ht="15" customHeight="1">
      <c r="A1257" s="76"/>
      <c r="B1257" s="112"/>
      <c r="C1257" s="61" t="s">
        <v>154</v>
      </c>
      <c r="D1257" s="71">
        <v>2</v>
      </c>
      <c r="E1257" s="70">
        <v>0</v>
      </c>
    </row>
    <row r="1258" spans="1:5" ht="15" customHeight="1">
      <c r="A1258" s="76"/>
      <c r="B1258" s="112"/>
      <c r="C1258" s="61" t="s">
        <v>191</v>
      </c>
      <c r="D1258" s="71">
        <v>2</v>
      </c>
      <c r="E1258" s="70">
        <v>0</v>
      </c>
    </row>
    <row r="1259" spans="1:5" ht="15" customHeight="1">
      <c r="A1259" s="76"/>
      <c r="B1259" s="112"/>
      <c r="C1259" s="61" t="s">
        <v>160</v>
      </c>
      <c r="D1259" s="71">
        <v>2</v>
      </c>
      <c r="E1259" s="70">
        <v>0</v>
      </c>
    </row>
    <row r="1260" spans="1:5" ht="15" customHeight="1">
      <c r="A1260" s="76"/>
      <c r="B1260" s="112"/>
      <c r="C1260" s="61" t="s">
        <v>163</v>
      </c>
      <c r="D1260" s="71">
        <v>1</v>
      </c>
      <c r="E1260" s="70">
        <v>0</v>
      </c>
    </row>
    <row r="1261" spans="1:5" ht="15" customHeight="1">
      <c r="A1261" s="76"/>
      <c r="B1261" s="112"/>
      <c r="C1261" s="61" t="s">
        <v>166</v>
      </c>
      <c r="D1261" s="71">
        <v>1</v>
      </c>
      <c r="E1261" s="70">
        <v>0</v>
      </c>
    </row>
    <row r="1262" spans="1:5" ht="15" customHeight="1">
      <c r="A1262" s="76"/>
      <c r="B1262" s="112"/>
      <c r="C1262" s="61" t="s">
        <v>167</v>
      </c>
      <c r="D1262" s="71">
        <v>1</v>
      </c>
      <c r="E1262" s="70">
        <v>0</v>
      </c>
    </row>
    <row r="1263" spans="1:5" ht="15" customHeight="1">
      <c r="A1263" s="76"/>
      <c r="B1263" s="112"/>
      <c r="C1263" s="61" t="s">
        <v>285</v>
      </c>
      <c r="D1263" s="71">
        <v>1</v>
      </c>
      <c r="E1263" s="70">
        <v>0</v>
      </c>
    </row>
    <row r="1264" spans="1:5" ht="15" customHeight="1">
      <c r="A1264" s="76"/>
      <c r="B1264" s="112"/>
      <c r="C1264" s="61" t="s">
        <v>147</v>
      </c>
      <c r="D1264" s="71">
        <v>1</v>
      </c>
      <c r="E1264" s="70">
        <v>0</v>
      </c>
    </row>
    <row r="1265" spans="1:5" ht="15" customHeight="1">
      <c r="A1265" s="76"/>
      <c r="B1265" s="112"/>
      <c r="C1265" s="61" t="s">
        <v>148</v>
      </c>
      <c r="D1265" s="71">
        <v>1</v>
      </c>
      <c r="E1265" s="70">
        <v>0</v>
      </c>
    </row>
    <row r="1266" spans="1:5" ht="15" customHeight="1">
      <c r="A1266" s="76"/>
      <c r="B1266" s="112"/>
      <c r="C1266" s="61" t="s">
        <v>186</v>
      </c>
      <c r="D1266" s="71">
        <v>1</v>
      </c>
      <c r="E1266" s="70">
        <v>0</v>
      </c>
    </row>
    <row r="1267" spans="1:5" ht="15" customHeight="1">
      <c r="A1267" s="76"/>
      <c r="B1267" s="112"/>
      <c r="C1267" s="74" t="s">
        <v>309</v>
      </c>
      <c r="D1267" s="77">
        <v>26</v>
      </c>
      <c r="E1267" s="75">
        <v>1E-3</v>
      </c>
    </row>
    <row r="1268" spans="1:5" ht="15" customHeight="1">
      <c r="A1268" s="76"/>
      <c r="B1268" s="112" t="s">
        <v>124</v>
      </c>
      <c r="C1268" s="61" t="s">
        <v>146</v>
      </c>
      <c r="D1268" s="71">
        <v>6</v>
      </c>
      <c r="E1268" s="70">
        <v>0</v>
      </c>
    </row>
    <row r="1269" spans="1:5" ht="15" customHeight="1">
      <c r="A1269" s="76"/>
      <c r="B1269" s="112"/>
      <c r="C1269" s="61" t="s">
        <v>148</v>
      </c>
      <c r="D1269" s="71">
        <v>6</v>
      </c>
      <c r="E1269" s="70">
        <v>0</v>
      </c>
    </row>
    <row r="1270" spans="1:5" ht="15" customHeight="1">
      <c r="A1270" s="76"/>
      <c r="B1270" s="112"/>
      <c r="C1270" s="61" t="s">
        <v>169</v>
      </c>
      <c r="D1270" s="71">
        <v>2</v>
      </c>
      <c r="E1270" s="70">
        <v>0</v>
      </c>
    </row>
    <row r="1271" spans="1:5" ht="15" customHeight="1">
      <c r="A1271" s="76"/>
      <c r="B1271" s="112"/>
      <c r="C1271" s="61" t="s">
        <v>153</v>
      </c>
      <c r="D1271" s="71">
        <v>2</v>
      </c>
      <c r="E1271" s="70">
        <v>0</v>
      </c>
    </row>
    <row r="1272" spans="1:5" ht="15" customHeight="1">
      <c r="A1272" s="76"/>
      <c r="B1272" s="112"/>
      <c r="C1272" s="61" t="s">
        <v>158</v>
      </c>
      <c r="D1272" s="71">
        <v>2</v>
      </c>
      <c r="E1272" s="70">
        <v>0</v>
      </c>
    </row>
    <row r="1273" spans="1:5" ht="15" customHeight="1">
      <c r="A1273" s="76"/>
      <c r="B1273" s="112"/>
      <c r="C1273" s="61" t="s">
        <v>160</v>
      </c>
      <c r="D1273" s="71">
        <v>2</v>
      </c>
      <c r="E1273" s="70">
        <v>0</v>
      </c>
    </row>
    <row r="1274" spans="1:5" ht="15" customHeight="1">
      <c r="A1274" s="76"/>
      <c r="B1274" s="112"/>
      <c r="C1274" s="61" t="s">
        <v>152</v>
      </c>
      <c r="D1274" s="71">
        <v>1</v>
      </c>
      <c r="E1274" s="70">
        <v>0</v>
      </c>
    </row>
    <row r="1275" spans="1:5" ht="15" customHeight="1">
      <c r="A1275" s="76"/>
      <c r="B1275" s="112"/>
      <c r="C1275" s="61" t="s">
        <v>159</v>
      </c>
      <c r="D1275" s="71">
        <v>1</v>
      </c>
      <c r="E1275" s="70">
        <v>0</v>
      </c>
    </row>
    <row r="1276" spans="1:5" ht="15" customHeight="1">
      <c r="A1276" s="76"/>
      <c r="B1276" s="112"/>
      <c r="C1276" s="74" t="s">
        <v>309</v>
      </c>
      <c r="D1276" s="77">
        <v>22</v>
      </c>
      <c r="E1276" s="75">
        <v>1E-3</v>
      </c>
    </row>
    <row r="1277" spans="1:5" ht="15" customHeight="1">
      <c r="A1277" s="76"/>
      <c r="B1277" s="112" t="s">
        <v>103</v>
      </c>
      <c r="C1277" s="61" t="s">
        <v>154</v>
      </c>
      <c r="D1277" s="71">
        <v>13</v>
      </c>
      <c r="E1277" s="70">
        <v>0</v>
      </c>
    </row>
    <row r="1278" spans="1:5" ht="15" customHeight="1">
      <c r="A1278" s="76"/>
      <c r="B1278" s="112"/>
      <c r="C1278" s="61" t="s">
        <v>164</v>
      </c>
      <c r="D1278" s="71">
        <v>1</v>
      </c>
      <c r="E1278" s="70">
        <v>0</v>
      </c>
    </row>
    <row r="1279" spans="1:5" ht="15" customHeight="1">
      <c r="A1279" s="76"/>
      <c r="B1279" s="112"/>
      <c r="C1279" s="61" t="s">
        <v>148</v>
      </c>
      <c r="D1279" s="71">
        <v>1</v>
      </c>
      <c r="E1279" s="70">
        <v>0</v>
      </c>
    </row>
    <row r="1280" spans="1:5" ht="15" customHeight="1">
      <c r="A1280" s="76"/>
      <c r="B1280" s="112"/>
      <c r="C1280" s="61" t="s">
        <v>153</v>
      </c>
      <c r="D1280" s="71">
        <v>1</v>
      </c>
      <c r="E1280" s="70">
        <v>0</v>
      </c>
    </row>
    <row r="1281" spans="1:5" ht="15" customHeight="1">
      <c r="A1281" s="76"/>
      <c r="B1281" s="112"/>
      <c r="C1281" s="61" t="s">
        <v>183</v>
      </c>
      <c r="D1281" s="71">
        <v>1</v>
      </c>
      <c r="E1281" s="70">
        <v>0</v>
      </c>
    </row>
    <row r="1282" spans="1:5" ht="15" customHeight="1">
      <c r="A1282" s="76"/>
      <c r="B1282" s="112"/>
      <c r="C1282" s="74" t="s">
        <v>309</v>
      </c>
      <c r="D1282" s="77">
        <v>17</v>
      </c>
      <c r="E1282" s="75">
        <v>1E-3</v>
      </c>
    </row>
    <row r="1283" spans="1:5" ht="15" customHeight="1">
      <c r="A1283" s="76"/>
      <c r="B1283" s="112" t="s">
        <v>135</v>
      </c>
      <c r="C1283" s="61" t="s">
        <v>146</v>
      </c>
      <c r="D1283" s="71">
        <v>4</v>
      </c>
      <c r="E1283" s="70">
        <v>0</v>
      </c>
    </row>
    <row r="1284" spans="1:5" ht="15" customHeight="1">
      <c r="A1284" s="76"/>
      <c r="B1284" s="112"/>
      <c r="C1284" s="61" t="s">
        <v>168</v>
      </c>
      <c r="D1284" s="71">
        <v>2</v>
      </c>
      <c r="E1284" s="70">
        <v>0</v>
      </c>
    </row>
    <row r="1285" spans="1:5" ht="15" customHeight="1">
      <c r="A1285" s="76"/>
      <c r="B1285" s="112"/>
      <c r="C1285" s="61" t="s">
        <v>191</v>
      </c>
      <c r="D1285" s="71">
        <v>2</v>
      </c>
      <c r="E1285" s="70">
        <v>0</v>
      </c>
    </row>
    <row r="1286" spans="1:5" ht="15" customHeight="1">
      <c r="A1286" s="76"/>
      <c r="B1286" s="112"/>
      <c r="C1286" s="61" t="s">
        <v>192</v>
      </c>
      <c r="D1286" s="71">
        <v>2</v>
      </c>
      <c r="E1286" s="70">
        <v>0</v>
      </c>
    </row>
    <row r="1287" spans="1:5" ht="15" customHeight="1">
      <c r="A1287" s="76"/>
      <c r="B1287" s="112"/>
      <c r="C1287" s="61" t="s">
        <v>153</v>
      </c>
      <c r="D1287" s="71">
        <v>1</v>
      </c>
      <c r="E1287" s="70">
        <v>0</v>
      </c>
    </row>
    <row r="1288" spans="1:5" ht="15" customHeight="1">
      <c r="A1288" s="76"/>
      <c r="B1288" s="112"/>
      <c r="C1288" s="61" t="s">
        <v>155</v>
      </c>
      <c r="D1288" s="71">
        <v>1</v>
      </c>
      <c r="E1288" s="70">
        <v>0</v>
      </c>
    </row>
    <row r="1289" spans="1:5" ht="15" customHeight="1">
      <c r="A1289" s="76"/>
      <c r="B1289" s="112"/>
      <c r="C1289" s="61" t="s">
        <v>190</v>
      </c>
      <c r="D1289" s="71">
        <v>1</v>
      </c>
      <c r="E1289" s="70">
        <v>0</v>
      </c>
    </row>
    <row r="1290" spans="1:5" ht="15" customHeight="1">
      <c r="A1290" s="76"/>
      <c r="B1290" s="112"/>
      <c r="C1290" s="61" t="s">
        <v>160</v>
      </c>
      <c r="D1290" s="71">
        <v>1</v>
      </c>
      <c r="E1290" s="70">
        <v>0</v>
      </c>
    </row>
    <row r="1291" spans="1:5" ht="15" customHeight="1">
      <c r="A1291" s="76"/>
      <c r="B1291" s="112"/>
      <c r="C1291" s="74" t="s">
        <v>309</v>
      </c>
      <c r="D1291" s="77">
        <v>14</v>
      </c>
      <c r="E1291" s="75">
        <v>1E-3</v>
      </c>
    </row>
    <row r="1292" spans="1:5" ht="15" customHeight="1">
      <c r="A1292" s="76"/>
      <c r="B1292" s="112" t="s">
        <v>123</v>
      </c>
      <c r="C1292" s="61" t="s">
        <v>155</v>
      </c>
      <c r="D1292" s="71">
        <v>8</v>
      </c>
      <c r="E1292" s="70">
        <v>0</v>
      </c>
    </row>
    <row r="1293" spans="1:5" ht="15" customHeight="1">
      <c r="A1293" s="76"/>
      <c r="B1293" s="112"/>
      <c r="C1293" s="61" t="s">
        <v>166</v>
      </c>
      <c r="D1293" s="71">
        <v>1</v>
      </c>
      <c r="E1293" s="70">
        <v>0</v>
      </c>
    </row>
    <row r="1294" spans="1:5" ht="15" customHeight="1">
      <c r="A1294" s="76"/>
      <c r="B1294" s="112"/>
      <c r="C1294" s="61" t="s">
        <v>146</v>
      </c>
      <c r="D1294" s="71">
        <v>1</v>
      </c>
      <c r="E1294" s="70">
        <v>0</v>
      </c>
    </row>
    <row r="1295" spans="1:5" ht="15" customHeight="1">
      <c r="A1295" s="76"/>
      <c r="B1295" s="112"/>
      <c r="C1295" s="61" t="s">
        <v>192</v>
      </c>
      <c r="D1295" s="71">
        <v>1</v>
      </c>
      <c r="E1295" s="70">
        <v>0</v>
      </c>
    </row>
    <row r="1296" spans="1:5" ht="15" customHeight="1">
      <c r="A1296" s="76"/>
      <c r="B1296" s="112"/>
      <c r="C1296" s="74" t="s">
        <v>309</v>
      </c>
      <c r="D1296" s="77">
        <v>11</v>
      </c>
      <c r="E1296" s="75">
        <v>0</v>
      </c>
    </row>
    <row r="1297" spans="1:5" ht="15" customHeight="1">
      <c r="A1297" s="76"/>
      <c r="B1297" s="112" t="s">
        <v>114</v>
      </c>
      <c r="C1297" s="61" t="s">
        <v>175</v>
      </c>
      <c r="D1297" s="71">
        <v>1</v>
      </c>
      <c r="E1297" s="70">
        <v>0</v>
      </c>
    </row>
    <row r="1298" spans="1:5" ht="15" customHeight="1">
      <c r="A1298" s="76"/>
      <c r="B1298" s="112"/>
      <c r="C1298" s="61" t="s">
        <v>150</v>
      </c>
      <c r="D1298" s="71">
        <v>1</v>
      </c>
      <c r="E1298" s="70">
        <v>0</v>
      </c>
    </row>
    <row r="1299" spans="1:5" ht="15" customHeight="1">
      <c r="A1299" s="76"/>
      <c r="B1299" s="112"/>
      <c r="C1299" s="61" t="s">
        <v>152</v>
      </c>
      <c r="D1299" s="71">
        <v>1</v>
      </c>
      <c r="E1299" s="70">
        <v>0</v>
      </c>
    </row>
    <row r="1300" spans="1:5" ht="15" customHeight="1">
      <c r="A1300" s="76"/>
      <c r="B1300" s="112"/>
      <c r="C1300" s="61" t="s">
        <v>162</v>
      </c>
      <c r="D1300" s="71">
        <v>1</v>
      </c>
      <c r="E1300" s="70">
        <v>0</v>
      </c>
    </row>
    <row r="1301" spans="1:5" ht="15" customHeight="1">
      <c r="A1301" s="76"/>
      <c r="B1301" s="112"/>
      <c r="C1301" s="61" t="s">
        <v>155</v>
      </c>
      <c r="D1301" s="71">
        <v>1</v>
      </c>
      <c r="E1301" s="70">
        <v>0</v>
      </c>
    </row>
    <row r="1302" spans="1:5" ht="15" customHeight="1">
      <c r="A1302" s="76"/>
      <c r="B1302" s="112"/>
      <c r="C1302" s="61" t="s">
        <v>157</v>
      </c>
      <c r="D1302" s="71">
        <v>1</v>
      </c>
      <c r="E1302" s="70">
        <v>0</v>
      </c>
    </row>
    <row r="1303" spans="1:5" ht="15" customHeight="1">
      <c r="A1303" s="76"/>
      <c r="B1303" s="112"/>
      <c r="C1303" s="61" t="s">
        <v>160</v>
      </c>
      <c r="D1303" s="71">
        <v>1</v>
      </c>
      <c r="E1303" s="70">
        <v>0</v>
      </c>
    </row>
    <row r="1304" spans="1:5" ht="15" customHeight="1">
      <c r="A1304" s="76"/>
      <c r="B1304" s="112"/>
      <c r="C1304" s="74" t="s">
        <v>309</v>
      </c>
      <c r="D1304" s="77">
        <v>7</v>
      </c>
      <c r="E1304" s="75">
        <v>0</v>
      </c>
    </row>
    <row r="1305" spans="1:5" ht="15" customHeight="1">
      <c r="A1305" s="76"/>
      <c r="B1305" s="112" t="s">
        <v>97</v>
      </c>
      <c r="C1305" s="61" t="s">
        <v>161</v>
      </c>
      <c r="D1305" s="71">
        <v>4</v>
      </c>
      <c r="E1305" s="70">
        <v>0</v>
      </c>
    </row>
    <row r="1306" spans="1:5" ht="15" customHeight="1">
      <c r="A1306" s="76"/>
      <c r="B1306" s="112"/>
      <c r="C1306" s="61" t="s">
        <v>162</v>
      </c>
      <c r="D1306" s="71">
        <v>1</v>
      </c>
      <c r="E1306" s="70">
        <v>0</v>
      </c>
    </row>
    <row r="1307" spans="1:5" ht="15" customHeight="1">
      <c r="A1307" s="76"/>
      <c r="B1307" s="112"/>
      <c r="C1307" s="61" t="s">
        <v>160</v>
      </c>
      <c r="D1307" s="71">
        <v>1</v>
      </c>
      <c r="E1307" s="70">
        <v>0</v>
      </c>
    </row>
    <row r="1308" spans="1:5" ht="15" customHeight="1">
      <c r="A1308" s="76"/>
      <c r="B1308" s="112"/>
      <c r="C1308" s="74" t="s">
        <v>309</v>
      </c>
      <c r="D1308" s="77">
        <v>6</v>
      </c>
      <c r="E1308" s="75">
        <v>0</v>
      </c>
    </row>
    <row r="1309" spans="1:5" ht="15" customHeight="1">
      <c r="A1309" s="76"/>
      <c r="B1309" s="112" t="s">
        <v>120</v>
      </c>
      <c r="C1309" s="61" t="s">
        <v>146</v>
      </c>
      <c r="D1309" s="71">
        <v>2</v>
      </c>
      <c r="E1309" s="70">
        <v>0</v>
      </c>
    </row>
    <row r="1310" spans="1:5" ht="15" customHeight="1">
      <c r="A1310" s="76"/>
      <c r="B1310" s="112"/>
      <c r="C1310" s="61" t="s">
        <v>153</v>
      </c>
      <c r="D1310" s="71">
        <v>1</v>
      </c>
      <c r="E1310" s="70">
        <v>0</v>
      </c>
    </row>
    <row r="1311" spans="1:5" ht="15" customHeight="1">
      <c r="A1311" s="76"/>
      <c r="B1311" s="112"/>
      <c r="C1311" s="61" t="s">
        <v>192</v>
      </c>
      <c r="D1311" s="71">
        <v>1</v>
      </c>
      <c r="E1311" s="70">
        <v>0</v>
      </c>
    </row>
    <row r="1312" spans="1:5" ht="15" customHeight="1">
      <c r="A1312" s="76"/>
      <c r="B1312" s="112"/>
      <c r="C1312" s="61" t="s">
        <v>160</v>
      </c>
      <c r="D1312" s="71">
        <v>1</v>
      </c>
      <c r="E1312" s="70">
        <v>0</v>
      </c>
    </row>
    <row r="1313" spans="1:5" ht="15" customHeight="1">
      <c r="A1313" s="76"/>
      <c r="B1313" s="112"/>
      <c r="C1313" s="74" t="s">
        <v>309</v>
      </c>
      <c r="D1313" s="77">
        <v>5</v>
      </c>
      <c r="E1313" s="75">
        <v>0</v>
      </c>
    </row>
    <row r="1314" spans="1:5" ht="15" customHeight="1">
      <c r="A1314" s="76"/>
      <c r="B1314" s="112" t="s">
        <v>128</v>
      </c>
      <c r="C1314" s="61" t="s">
        <v>147</v>
      </c>
      <c r="D1314" s="71">
        <v>2</v>
      </c>
      <c r="E1314" s="70">
        <v>0</v>
      </c>
    </row>
    <row r="1315" spans="1:5" ht="15" customHeight="1">
      <c r="A1315" s="76"/>
      <c r="B1315" s="112"/>
      <c r="C1315" s="61" t="s">
        <v>154</v>
      </c>
      <c r="D1315" s="71">
        <v>2</v>
      </c>
      <c r="E1315" s="70">
        <v>0</v>
      </c>
    </row>
    <row r="1316" spans="1:5" ht="15" customHeight="1">
      <c r="A1316" s="76"/>
      <c r="B1316" s="112"/>
      <c r="C1316" s="61" t="s">
        <v>160</v>
      </c>
      <c r="D1316" s="71">
        <v>1</v>
      </c>
      <c r="E1316" s="70">
        <v>0</v>
      </c>
    </row>
    <row r="1317" spans="1:5" ht="15" customHeight="1">
      <c r="A1317" s="76"/>
      <c r="B1317" s="112"/>
      <c r="C1317" s="74" t="s">
        <v>309</v>
      </c>
      <c r="D1317" s="77">
        <v>5</v>
      </c>
      <c r="E1317" s="75">
        <v>0</v>
      </c>
    </row>
    <row r="1318" spans="1:5" ht="15" customHeight="1">
      <c r="A1318" s="76"/>
      <c r="B1318" s="112" t="s">
        <v>140</v>
      </c>
      <c r="C1318" s="61" t="s">
        <v>167</v>
      </c>
      <c r="D1318" s="71">
        <v>1</v>
      </c>
      <c r="E1318" s="70">
        <v>0</v>
      </c>
    </row>
    <row r="1319" spans="1:5" ht="15" customHeight="1">
      <c r="A1319" s="76"/>
      <c r="B1319" s="112"/>
      <c r="C1319" s="61" t="s">
        <v>202</v>
      </c>
      <c r="D1319" s="71">
        <v>1</v>
      </c>
      <c r="E1319" s="70">
        <v>0</v>
      </c>
    </row>
    <row r="1320" spans="1:5" ht="15" customHeight="1">
      <c r="A1320" s="76"/>
      <c r="B1320" s="112"/>
      <c r="C1320" s="61" t="s">
        <v>155</v>
      </c>
      <c r="D1320" s="71">
        <v>1</v>
      </c>
      <c r="E1320" s="70">
        <v>0</v>
      </c>
    </row>
    <row r="1321" spans="1:5" ht="15" customHeight="1">
      <c r="A1321" s="76"/>
      <c r="B1321" s="112"/>
      <c r="C1321" s="74" t="s">
        <v>309</v>
      </c>
      <c r="D1321" s="77">
        <v>3</v>
      </c>
      <c r="E1321" s="75">
        <v>0</v>
      </c>
    </row>
    <row r="1322" spans="1:5" ht="15" customHeight="1">
      <c r="A1322" s="76"/>
      <c r="B1322" s="112" t="s">
        <v>102</v>
      </c>
      <c r="C1322" s="61" t="s">
        <v>155</v>
      </c>
      <c r="D1322" s="71">
        <v>2</v>
      </c>
      <c r="E1322" s="70">
        <v>0</v>
      </c>
    </row>
    <row r="1323" spans="1:5" ht="15" customHeight="1">
      <c r="A1323" s="76"/>
      <c r="B1323" s="112"/>
      <c r="C1323" s="74" t="s">
        <v>309</v>
      </c>
      <c r="D1323" s="77">
        <v>2</v>
      </c>
      <c r="E1323" s="75">
        <v>0</v>
      </c>
    </row>
    <row r="1324" spans="1:5" ht="15" customHeight="1">
      <c r="A1324" s="76"/>
      <c r="B1324" s="112" t="s">
        <v>106</v>
      </c>
      <c r="C1324" s="61" t="s">
        <v>152</v>
      </c>
      <c r="D1324" s="71">
        <v>1</v>
      </c>
      <c r="E1324" s="70">
        <v>0</v>
      </c>
    </row>
    <row r="1325" spans="1:5" ht="15" customHeight="1">
      <c r="A1325" s="76"/>
      <c r="B1325" s="112"/>
      <c r="C1325" s="61" t="s">
        <v>196</v>
      </c>
      <c r="D1325" s="71">
        <v>1</v>
      </c>
      <c r="E1325" s="70">
        <v>0</v>
      </c>
    </row>
    <row r="1326" spans="1:5" ht="15" customHeight="1">
      <c r="A1326" s="76"/>
      <c r="B1326" s="112"/>
      <c r="C1326" s="74" t="s">
        <v>309</v>
      </c>
      <c r="D1326" s="77">
        <v>2</v>
      </c>
      <c r="E1326" s="75">
        <v>0</v>
      </c>
    </row>
    <row r="1327" spans="1:5" ht="15" customHeight="1">
      <c r="A1327" s="76"/>
      <c r="B1327" s="112" t="s">
        <v>115</v>
      </c>
      <c r="C1327" s="61" t="s">
        <v>150</v>
      </c>
      <c r="D1327" s="71">
        <v>1</v>
      </c>
      <c r="E1327" s="70">
        <v>0</v>
      </c>
    </row>
    <row r="1328" spans="1:5" ht="15" customHeight="1">
      <c r="A1328" s="76"/>
      <c r="B1328" s="112"/>
      <c r="C1328" s="61" t="s">
        <v>153</v>
      </c>
      <c r="D1328" s="71">
        <v>1</v>
      </c>
      <c r="E1328" s="70">
        <v>0</v>
      </c>
    </row>
    <row r="1329" spans="1:5" ht="15" customHeight="1">
      <c r="A1329" s="76"/>
      <c r="B1329" s="112"/>
      <c r="C1329" s="74" t="s">
        <v>309</v>
      </c>
      <c r="D1329" s="77">
        <v>2</v>
      </c>
      <c r="E1329" s="75">
        <v>0</v>
      </c>
    </row>
    <row r="1330" spans="1:5" ht="15" customHeight="1">
      <c r="A1330" s="76"/>
      <c r="B1330" s="112" t="s">
        <v>133</v>
      </c>
      <c r="C1330" s="61" t="s">
        <v>148</v>
      </c>
      <c r="D1330" s="71">
        <v>1</v>
      </c>
      <c r="E1330" s="70">
        <v>0</v>
      </c>
    </row>
    <row r="1331" spans="1:5" ht="15" customHeight="1">
      <c r="A1331" s="76"/>
      <c r="B1331" s="112"/>
      <c r="C1331" s="61" t="s">
        <v>160</v>
      </c>
      <c r="D1331" s="71">
        <v>1</v>
      </c>
      <c r="E1331" s="70">
        <v>0</v>
      </c>
    </row>
    <row r="1332" spans="1:5" ht="15" customHeight="1">
      <c r="A1332" s="76"/>
      <c r="B1332" s="112"/>
      <c r="C1332" s="74" t="s">
        <v>309</v>
      </c>
      <c r="D1332" s="77">
        <v>2</v>
      </c>
      <c r="E1332" s="75">
        <v>0</v>
      </c>
    </row>
    <row r="1333" spans="1:5" ht="15" customHeight="1">
      <c r="A1333" s="76"/>
      <c r="B1333" s="113" t="s">
        <v>307</v>
      </c>
      <c r="C1333" s="113"/>
      <c r="D1333" s="41">
        <v>27182</v>
      </c>
      <c r="E1333" s="73">
        <v>1</v>
      </c>
    </row>
    <row r="1334" spans="1:5" ht="15" customHeight="1">
      <c r="A1334" s="35"/>
      <c r="B1334" s="35"/>
      <c r="C1334" s="35"/>
      <c r="D1334" s="35"/>
      <c r="E1334" s="35"/>
    </row>
    <row r="1335" spans="1:5" ht="15" customHeight="1">
      <c r="A1335" s="35"/>
      <c r="B1335" s="37" t="s">
        <v>284</v>
      </c>
      <c r="C1335" s="35"/>
      <c r="D1335" s="35"/>
      <c r="E1335" s="35"/>
    </row>
    <row r="1336" spans="1:5" ht="15" customHeight="1">
      <c r="A1336" s="35"/>
      <c r="B1336" s="38" t="s">
        <v>18</v>
      </c>
      <c r="C1336" s="35"/>
      <c r="D1336" s="35"/>
      <c r="E1336" s="35"/>
    </row>
    <row r="1337" spans="1:5" ht="15" customHeight="1">
      <c r="A1337" s="35"/>
      <c r="B1337" s="39" t="s">
        <v>143</v>
      </c>
      <c r="C1337" s="35"/>
      <c r="D1337" s="35"/>
      <c r="E1337" s="35"/>
    </row>
    <row r="1338" spans="1:5" ht="15" customHeight="1">
      <c r="A1338" s="35"/>
      <c r="B1338" s="37" t="s">
        <v>17</v>
      </c>
      <c r="C1338" s="35"/>
      <c r="D1338" s="35"/>
      <c r="E1338" s="35"/>
    </row>
    <row r="1339" spans="1:5" ht="15" customHeight="1">
      <c r="A1339" s="35"/>
      <c r="B1339" s="37" t="s">
        <v>311</v>
      </c>
      <c r="C1339" s="35"/>
      <c r="D1339" s="35"/>
      <c r="E1339" s="35"/>
    </row>
  </sheetData>
  <mergeCells count="50">
    <mergeCell ref="B1333:C1333"/>
    <mergeCell ref="B1322:B1323"/>
    <mergeCell ref="B1324:B1326"/>
    <mergeCell ref="B1327:B1329"/>
    <mergeCell ref="B1330:B1332"/>
    <mergeCell ref="B1297:B1304"/>
    <mergeCell ref="B1305:B1308"/>
    <mergeCell ref="B1309:B1313"/>
    <mergeCell ref="B1314:B1317"/>
    <mergeCell ref="B1318:B1321"/>
    <mergeCell ref="B1252:B1267"/>
    <mergeCell ref="B1268:B1276"/>
    <mergeCell ref="B1277:B1282"/>
    <mergeCell ref="B1283:B1291"/>
    <mergeCell ref="B1292:B1296"/>
    <mergeCell ref="B1147:B1176"/>
    <mergeCell ref="B1177:B1201"/>
    <mergeCell ref="B1202:B1226"/>
    <mergeCell ref="B1227:B1236"/>
    <mergeCell ref="B1237:B1251"/>
    <mergeCell ref="B1007:B1041"/>
    <mergeCell ref="B1042:B1064"/>
    <mergeCell ref="B1065:B1094"/>
    <mergeCell ref="B1095:B1120"/>
    <mergeCell ref="B1121:B1146"/>
    <mergeCell ref="B846:B876"/>
    <mergeCell ref="B877:B913"/>
    <mergeCell ref="B914:B953"/>
    <mergeCell ref="B954:B981"/>
    <mergeCell ref="B982:B1006"/>
    <mergeCell ref="B458:B489"/>
    <mergeCell ref="B490:B539"/>
    <mergeCell ref="B738:B770"/>
    <mergeCell ref="B771:B807"/>
    <mergeCell ref="B808:B845"/>
    <mergeCell ref="B540:B584"/>
    <mergeCell ref="B585:B621"/>
    <mergeCell ref="B622:B660"/>
    <mergeCell ref="B661:B699"/>
    <mergeCell ref="B700:B737"/>
    <mergeCell ref="B236:B285"/>
    <mergeCell ref="B286:B333"/>
    <mergeCell ref="B334:B376"/>
    <mergeCell ref="B377:B419"/>
    <mergeCell ref="B420:B457"/>
    <mergeCell ref="B7:E8"/>
    <mergeCell ref="A10:B68"/>
    <mergeCell ref="B69:B126"/>
    <mergeCell ref="B127:B184"/>
    <mergeCell ref="B185:B23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776"/>
  <sheetViews>
    <sheetView showGridLines="0" view="pageBreakPreview" zoomScale="90" zoomScaleNormal="100" zoomScaleSheetLayoutView="90" workbookViewId="0">
      <selection activeCell="F9" sqref="F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0" customFormat="1" ht="12" customHeight="1">
      <c r="B1" s="23"/>
      <c r="C1" s="22"/>
      <c r="D1" s="22"/>
      <c r="E1" s="22"/>
    </row>
    <row r="2" spans="1:5" s="20" customFormat="1" ht="15" customHeight="1">
      <c r="C2" s="25"/>
    </row>
    <row r="3" spans="1:5" s="20" customFormat="1" ht="15" customHeight="1">
      <c r="C3" s="25"/>
    </row>
    <row r="4" spans="1:5" s="20" customFormat="1" ht="30" customHeight="1">
      <c r="C4" s="25"/>
      <c r="D4" s="24"/>
    </row>
    <row r="5" spans="1:5" s="20" customFormat="1" ht="15" customHeight="1">
      <c r="C5" s="25"/>
      <c r="D5" s="24"/>
    </row>
    <row r="6" spans="1:5" s="20" customFormat="1" ht="24" customHeight="1">
      <c r="B6" s="46"/>
      <c r="C6" s="45"/>
      <c r="D6" s="45"/>
      <c r="E6" s="45"/>
    </row>
    <row r="7" spans="1:5" s="20" customFormat="1" ht="26.25" customHeight="1">
      <c r="A7" s="21"/>
      <c r="B7" s="111"/>
      <c r="C7" s="111"/>
      <c r="D7" s="111"/>
      <c r="E7" s="111"/>
    </row>
    <row r="8" spans="1:5" s="20" customFormat="1" ht="39.6" customHeight="1">
      <c r="A8" s="21"/>
      <c r="B8" s="111"/>
      <c r="C8" s="111"/>
      <c r="D8" s="111"/>
      <c r="E8" s="111"/>
    </row>
    <row r="9" spans="1:5" s="15" customFormat="1" ht="40.5" customHeight="1">
      <c r="B9" s="54" t="s">
        <v>22</v>
      </c>
      <c r="C9" s="55" t="s">
        <v>24</v>
      </c>
      <c r="D9" s="56" t="s">
        <v>20</v>
      </c>
      <c r="E9" s="54" t="s">
        <v>19</v>
      </c>
    </row>
    <row r="10" spans="1:5" ht="15" customHeight="1">
      <c r="B10" s="112" t="s">
        <v>66</v>
      </c>
      <c r="C10" s="61" t="s">
        <v>166</v>
      </c>
      <c r="D10" s="71">
        <v>5</v>
      </c>
      <c r="E10" s="70">
        <v>0</v>
      </c>
    </row>
    <row r="11" spans="1:5" ht="15" customHeight="1">
      <c r="B11" s="112"/>
      <c r="C11" s="61" t="s">
        <v>167</v>
      </c>
      <c r="D11" s="71">
        <v>1</v>
      </c>
      <c r="E11" s="70">
        <v>0</v>
      </c>
    </row>
    <row r="12" spans="1:5" ht="15" customHeight="1">
      <c r="B12" s="112"/>
      <c r="C12" s="61" t="s">
        <v>168</v>
      </c>
      <c r="D12" s="71">
        <v>5</v>
      </c>
      <c r="E12" s="70">
        <v>0</v>
      </c>
    </row>
    <row r="13" spans="1:5" ht="15" customHeight="1">
      <c r="B13" s="112"/>
      <c r="C13" s="61" t="s">
        <v>169</v>
      </c>
      <c r="D13" s="71">
        <v>3</v>
      </c>
      <c r="E13" s="70">
        <v>0</v>
      </c>
    </row>
    <row r="14" spans="1:5" ht="15" customHeight="1">
      <c r="B14" s="112"/>
      <c r="C14" s="61" t="s">
        <v>161</v>
      </c>
      <c r="D14" s="71">
        <v>3</v>
      </c>
      <c r="E14" s="70">
        <v>0</v>
      </c>
    </row>
    <row r="15" spans="1:5" ht="15" customHeight="1">
      <c r="B15" s="112"/>
      <c r="C15" s="61" t="s">
        <v>146</v>
      </c>
      <c r="D15" s="71">
        <v>43</v>
      </c>
      <c r="E15" s="70">
        <v>2E-3</v>
      </c>
    </row>
    <row r="16" spans="1:5" ht="15" customHeight="1">
      <c r="B16" s="112"/>
      <c r="C16" s="61" t="s">
        <v>171</v>
      </c>
      <c r="D16" s="71">
        <v>3</v>
      </c>
      <c r="E16" s="70">
        <v>0</v>
      </c>
    </row>
    <row r="17" spans="2:5" ht="15" customHeight="1">
      <c r="B17" s="112"/>
      <c r="C17" s="61" t="s">
        <v>147</v>
      </c>
      <c r="D17" s="71">
        <v>22</v>
      </c>
      <c r="E17" s="70">
        <v>1E-3</v>
      </c>
    </row>
    <row r="18" spans="2:5" ht="15" customHeight="1">
      <c r="B18" s="112"/>
      <c r="C18" s="61" t="s">
        <v>173</v>
      </c>
      <c r="D18" s="71">
        <v>1</v>
      </c>
      <c r="E18" s="70">
        <v>0</v>
      </c>
    </row>
    <row r="19" spans="2:5" ht="15" customHeight="1">
      <c r="B19" s="112"/>
      <c r="C19" s="61" t="s">
        <v>148</v>
      </c>
      <c r="D19" s="71">
        <v>20</v>
      </c>
      <c r="E19" s="70">
        <v>1E-3</v>
      </c>
    </row>
    <row r="20" spans="2:5" ht="15" customHeight="1">
      <c r="B20" s="112"/>
      <c r="C20" s="61" t="s">
        <v>175</v>
      </c>
      <c r="D20" s="71">
        <v>7</v>
      </c>
      <c r="E20" s="70">
        <v>0</v>
      </c>
    </row>
    <row r="21" spans="2:5" ht="15" customHeight="1">
      <c r="B21" s="112"/>
      <c r="C21" s="61" t="s">
        <v>177</v>
      </c>
      <c r="D21" s="71">
        <v>5</v>
      </c>
      <c r="E21" s="70">
        <v>0</v>
      </c>
    </row>
    <row r="22" spans="2:5" ht="15" customHeight="1">
      <c r="B22" s="112"/>
      <c r="C22" s="61" t="s">
        <v>150</v>
      </c>
      <c r="D22" s="71">
        <v>4</v>
      </c>
      <c r="E22" s="70">
        <v>0</v>
      </c>
    </row>
    <row r="23" spans="2:5" ht="15" customHeight="1">
      <c r="B23" s="112"/>
      <c r="C23" s="61" t="s">
        <v>193</v>
      </c>
      <c r="D23" s="71">
        <v>2</v>
      </c>
      <c r="E23" s="70">
        <v>0</v>
      </c>
    </row>
    <row r="24" spans="2:5" ht="15" customHeight="1">
      <c r="B24" s="112"/>
      <c r="C24" s="61" t="s">
        <v>178</v>
      </c>
      <c r="D24" s="71">
        <v>2</v>
      </c>
      <c r="E24" s="70">
        <v>0</v>
      </c>
    </row>
    <row r="25" spans="2:5" ht="15" customHeight="1">
      <c r="B25" s="112"/>
      <c r="C25" s="61" t="s">
        <v>200</v>
      </c>
      <c r="D25" s="71">
        <v>2</v>
      </c>
      <c r="E25" s="70">
        <v>0</v>
      </c>
    </row>
    <row r="26" spans="2:5" ht="15" customHeight="1">
      <c r="B26" s="112"/>
      <c r="C26" s="61" t="s">
        <v>151</v>
      </c>
      <c r="D26" s="71">
        <v>2</v>
      </c>
      <c r="E26" s="70">
        <v>0</v>
      </c>
    </row>
    <row r="27" spans="2:5" ht="15" customHeight="1">
      <c r="B27" s="112"/>
      <c r="C27" s="61" t="s">
        <v>180</v>
      </c>
      <c r="D27" s="71">
        <v>8</v>
      </c>
      <c r="E27" s="70">
        <v>0</v>
      </c>
    </row>
    <row r="28" spans="2:5" ht="15" customHeight="1">
      <c r="B28" s="112"/>
      <c r="C28" s="61" t="s">
        <v>202</v>
      </c>
      <c r="D28" s="71">
        <v>1</v>
      </c>
      <c r="E28" s="70">
        <v>0</v>
      </c>
    </row>
    <row r="29" spans="2:5" ht="15" customHeight="1">
      <c r="B29" s="112"/>
      <c r="C29" s="61" t="s">
        <v>152</v>
      </c>
      <c r="D29" s="71">
        <v>1</v>
      </c>
      <c r="E29" s="70">
        <v>0</v>
      </c>
    </row>
    <row r="30" spans="2:5" ht="15" customHeight="1">
      <c r="B30" s="112"/>
      <c r="C30" s="61" t="s">
        <v>203</v>
      </c>
      <c r="D30" s="71">
        <v>2</v>
      </c>
      <c r="E30" s="70">
        <v>0</v>
      </c>
    </row>
    <row r="31" spans="2:5" ht="15" customHeight="1">
      <c r="B31" s="112"/>
      <c r="C31" s="61" t="s">
        <v>162</v>
      </c>
      <c r="D31" s="71">
        <v>17</v>
      </c>
      <c r="E31" s="70">
        <v>1E-3</v>
      </c>
    </row>
    <row r="32" spans="2:5" ht="15" customHeight="1">
      <c r="B32" s="112"/>
      <c r="C32" s="61" t="s">
        <v>153</v>
      </c>
      <c r="D32" s="71">
        <v>5</v>
      </c>
      <c r="E32" s="70">
        <v>0</v>
      </c>
    </row>
    <row r="33" spans="2:5" ht="15" customHeight="1">
      <c r="B33" s="112"/>
      <c r="C33" s="61" t="s">
        <v>182</v>
      </c>
      <c r="D33" s="71">
        <v>2</v>
      </c>
      <c r="E33" s="70">
        <v>0</v>
      </c>
    </row>
    <row r="34" spans="2:5" ht="15" customHeight="1">
      <c r="B34" s="112"/>
      <c r="C34" s="61" t="s">
        <v>154</v>
      </c>
      <c r="D34" s="71">
        <v>25</v>
      </c>
      <c r="E34" s="70">
        <v>1E-3</v>
      </c>
    </row>
    <row r="35" spans="2:5" ht="15" customHeight="1">
      <c r="B35" s="112"/>
      <c r="C35" s="61" t="s">
        <v>183</v>
      </c>
      <c r="D35" s="71">
        <v>17</v>
      </c>
      <c r="E35" s="70">
        <v>1E-3</v>
      </c>
    </row>
    <row r="36" spans="2:5" ht="15" customHeight="1">
      <c r="B36" s="112"/>
      <c r="C36" s="61" t="s">
        <v>155</v>
      </c>
      <c r="D36" s="71">
        <v>19</v>
      </c>
      <c r="E36" s="70">
        <v>1E-3</v>
      </c>
    </row>
    <row r="37" spans="2:5" ht="15" customHeight="1">
      <c r="B37" s="112"/>
      <c r="C37" s="61" t="s">
        <v>185</v>
      </c>
      <c r="D37" s="71">
        <v>6</v>
      </c>
      <c r="E37" s="70">
        <v>0</v>
      </c>
    </row>
    <row r="38" spans="2:5" ht="15" customHeight="1">
      <c r="B38" s="112"/>
      <c r="C38" s="61" t="s">
        <v>186</v>
      </c>
      <c r="D38" s="71">
        <v>2</v>
      </c>
      <c r="E38" s="70">
        <v>0</v>
      </c>
    </row>
    <row r="39" spans="2:5" ht="15" customHeight="1">
      <c r="B39" s="112"/>
      <c r="C39" s="61" t="s">
        <v>189</v>
      </c>
      <c r="D39" s="71">
        <v>1</v>
      </c>
      <c r="E39" s="70">
        <v>0</v>
      </c>
    </row>
    <row r="40" spans="2:5" ht="15" customHeight="1">
      <c r="B40" s="112"/>
      <c r="C40" s="61" t="s">
        <v>191</v>
      </c>
      <c r="D40" s="71">
        <v>29</v>
      </c>
      <c r="E40" s="70">
        <v>1E-3</v>
      </c>
    </row>
    <row r="41" spans="2:5" ht="15" customHeight="1">
      <c r="B41" s="112"/>
      <c r="C41" s="61" t="s">
        <v>196</v>
      </c>
      <c r="D41" s="71">
        <v>6</v>
      </c>
      <c r="E41" s="70">
        <v>0</v>
      </c>
    </row>
    <row r="42" spans="2:5" ht="15" customHeight="1">
      <c r="B42" s="112"/>
      <c r="C42" s="61" t="s">
        <v>158</v>
      </c>
      <c r="D42" s="71">
        <v>2</v>
      </c>
      <c r="E42" s="70">
        <v>0</v>
      </c>
    </row>
    <row r="43" spans="2:5" ht="15" customHeight="1">
      <c r="B43" s="112"/>
      <c r="C43" s="61" t="s">
        <v>192</v>
      </c>
      <c r="D43" s="71">
        <v>15</v>
      </c>
      <c r="E43" s="70">
        <v>1E-3</v>
      </c>
    </row>
    <row r="44" spans="2:5" ht="15" customHeight="1">
      <c r="B44" s="112"/>
      <c r="C44" s="61" t="s">
        <v>159</v>
      </c>
      <c r="D44" s="71">
        <v>3</v>
      </c>
      <c r="E44" s="70">
        <v>0</v>
      </c>
    </row>
    <row r="45" spans="2:5" ht="15" customHeight="1">
      <c r="B45" s="112"/>
      <c r="C45" s="61" t="s">
        <v>160</v>
      </c>
      <c r="D45" s="71">
        <v>18</v>
      </c>
      <c r="E45" s="70">
        <v>1E-3</v>
      </c>
    </row>
    <row r="46" spans="2:5" ht="15" customHeight="1">
      <c r="B46" s="112"/>
      <c r="C46" s="74" t="s">
        <v>309</v>
      </c>
      <c r="D46" s="77">
        <v>309</v>
      </c>
      <c r="E46" s="75">
        <v>1.0999999999999999E-2</v>
      </c>
    </row>
    <row r="47" spans="2:5" ht="15" customHeight="1">
      <c r="B47" s="112" t="s">
        <v>54</v>
      </c>
      <c r="C47" s="61" t="s">
        <v>164</v>
      </c>
      <c r="D47" s="71">
        <v>4</v>
      </c>
      <c r="E47" s="70">
        <v>0</v>
      </c>
    </row>
    <row r="48" spans="2:5" ht="15" customHeight="1">
      <c r="B48" s="112"/>
      <c r="C48" s="61" t="s">
        <v>165</v>
      </c>
      <c r="D48" s="71">
        <v>1</v>
      </c>
      <c r="E48" s="70">
        <v>0</v>
      </c>
    </row>
    <row r="49" spans="2:5" ht="15" customHeight="1">
      <c r="B49" s="112"/>
      <c r="C49" s="61" t="s">
        <v>166</v>
      </c>
      <c r="D49" s="71">
        <v>4</v>
      </c>
      <c r="E49" s="70">
        <v>0</v>
      </c>
    </row>
    <row r="50" spans="2:5" ht="15" customHeight="1">
      <c r="B50" s="112"/>
      <c r="C50" s="61" t="s">
        <v>167</v>
      </c>
      <c r="D50" s="71">
        <v>3</v>
      </c>
      <c r="E50" s="70">
        <v>0</v>
      </c>
    </row>
    <row r="51" spans="2:5" ht="15" customHeight="1">
      <c r="B51" s="112"/>
      <c r="C51" s="61" t="s">
        <v>168</v>
      </c>
      <c r="D51" s="71">
        <v>2</v>
      </c>
      <c r="E51" s="70">
        <v>0</v>
      </c>
    </row>
    <row r="52" spans="2:5" ht="15" customHeight="1">
      <c r="B52" s="112"/>
      <c r="C52" s="61" t="s">
        <v>161</v>
      </c>
      <c r="D52" s="71">
        <v>1</v>
      </c>
      <c r="E52" s="70">
        <v>0</v>
      </c>
    </row>
    <row r="53" spans="2:5" ht="15" customHeight="1">
      <c r="B53" s="112"/>
      <c r="C53" s="61" t="s">
        <v>285</v>
      </c>
      <c r="D53" s="71">
        <v>1</v>
      </c>
      <c r="E53" s="70">
        <v>0</v>
      </c>
    </row>
    <row r="54" spans="2:5" ht="15" customHeight="1">
      <c r="B54" s="112"/>
      <c r="C54" s="61" t="s">
        <v>146</v>
      </c>
      <c r="D54" s="71">
        <v>76</v>
      </c>
      <c r="E54" s="70">
        <v>3.0000000000000001E-3</v>
      </c>
    </row>
    <row r="55" spans="2:5" ht="15" customHeight="1">
      <c r="B55" s="112"/>
      <c r="C55" s="61" t="s">
        <v>171</v>
      </c>
      <c r="D55" s="71">
        <v>9</v>
      </c>
      <c r="E55" s="70">
        <v>0</v>
      </c>
    </row>
    <row r="56" spans="2:5" ht="15" customHeight="1">
      <c r="B56" s="112"/>
      <c r="C56" s="61" t="s">
        <v>147</v>
      </c>
      <c r="D56" s="71">
        <v>18</v>
      </c>
      <c r="E56" s="70">
        <v>1E-3</v>
      </c>
    </row>
    <row r="57" spans="2:5" ht="15" customHeight="1">
      <c r="B57" s="112"/>
      <c r="C57" s="61" t="s">
        <v>173</v>
      </c>
      <c r="D57" s="71">
        <v>34</v>
      </c>
      <c r="E57" s="70">
        <v>1E-3</v>
      </c>
    </row>
    <row r="58" spans="2:5" ht="15" customHeight="1">
      <c r="B58" s="112"/>
      <c r="C58" s="61" t="s">
        <v>148</v>
      </c>
      <c r="D58" s="71">
        <v>60</v>
      </c>
      <c r="E58" s="70">
        <v>2E-3</v>
      </c>
    </row>
    <row r="59" spans="2:5" ht="15" customHeight="1">
      <c r="B59" s="112"/>
      <c r="C59" s="61" t="s">
        <v>174</v>
      </c>
      <c r="D59" s="71">
        <v>2</v>
      </c>
      <c r="E59" s="70">
        <v>0</v>
      </c>
    </row>
    <row r="60" spans="2:5" ht="15" customHeight="1">
      <c r="B60" s="112"/>
      <c r="C60" s="61" t="s">
        <v>175</v>
      </c>
      <c r="D60" s="71">
        <v>18</v>
      </c>
      <c r="E60" s="70">
        <v>1E-3</v>
      </c>
    </row>
    <row r="61" spans="2:5" ht="15" customHeight="1">
      <c r="B61" s="112"/>
      <c r="C61" s="61" t="s">
        <v>177</v>
      </c>
      <c r="D61" s="71">
        <v>45</v>
      </c>
      <c r="E61" s="70">
        <v>2E-3</v>
      </c>
    </row>
    <row r="62" spans="2:5" ht="15" customHeight="1">
      <c r="B62" s="112"/>
      <c r="C62" s="61" t="s">
        <v>149</v>
      </c>
      <c r="D62" s="71">
        <v>2</v>
      </c>
      <c r="E62" s="70">
        <v>0</v>
      </c>
    </row>
    <row r="63" spans="2:5" ht="15" customHeight="1">
      <c r="B63" s="112"/>
      <c r="C63" s="61" t="s">
        <v>150</v>
      </c>
      <c r="D63" s="71">
        <v>19</v>
      </c>
      <c r="E63" s="70">
        <v>1E-3</v>
      </c>
    </row>
    <row r="64" spans="2:5" ht="15" customHeight="1">
      <c r="B64" s="112"/>
      <c r="C64" s="61" t="s">
        <v>193</v>
      </c>
      <c r="D64" s="71">
        <v>3</v>
      </c>
      <c r="E64" s="70">
        <v>0</v>
      </c>
    </row>
    <row r="65" spans="2:5" ht="15" customHeight="1">
      <c r="B65" s="112"/>
      <c r="C65" s="61" t="s">
        <v>179</v>
      </c>
      <c r="D65" s="71">
        <v>1</v>
      </c>
      <c r="E65" s="70">
        <v>0</v>
      </c>
    </row>
    <row r="66" spans="2:5" ht="15" customHeight="1">
      <c r="B66" s="112"/>
      <c r="C66" s="61" t="s">
        <v>151</v>
      </c>
      <c r="D66" s="71">
        <v>6</v>
      </c>
      <c r="E66" s="70">
        <v>0</v>
      </c>
    </row>
    <row r="67" spans="2:5" ht="15" customHeight="1">
      <c r="B67" s="112"/>
      <c r="C67" s="61" t="s">
        <v>201</v>
      </c>
      <c r="D67" s="71">
        <v>1</v>
      </c>
      <c r="E67" s="70">
        <v>0</v>
      </c>
    </row>
    <row r="68" spans="2:5" ht="15" customHeight="1">
      <c r="B68" s="112"/>
      <c r="C68" s="61" t="s">
        <v>202</v>
      </c>
      <c r="D68" s="71">
        <v>2</v>
      </c>
      <c r="E68" s="70">
        <v>0</v>
      </c>
    </row>
    <row r="69" spans="2:5" ht="15" customHeight="1">
      <c r="B69" s="112"/>
      <c r="C69" s="61" t="s">
        <v>152</v>
      </c>
      <c r="D69" s="71">
        <v>1</v>
      </c>
      <c r="E69" s="70">
        <v>0</v>
      </c>
    </row>
    <row r="70" spans="2:5" ht="15" customHeight="1">
      <c r="B70" s="112"/>
      <c r="C70" s="61" t="s">
        <v>203</v>
      </c>
      <c r="D70" s="71">
        <v>20</v>
      </c>
      <c r="E70" s="70">
        <v>1E-3</v>
      </c>
    </row>
    <row r="71" spans="2:5" ht="15" customHeight="1">
      <c r="B71" s="112"/>
      <c r="C71" s="61" t="s">
        <v>162</v>
      </c>
      <c r="D71" s="71">
        <v>29</v>
      </c>
      <c r="E71" s="70">
        <v>1E-3</v>
      </c>
    </row>
    <row r="72" spans="2:5" ht="15" customHeight="1">
      <c r="B72" s="112"/>
      <c r="C72" s="61" t="s">
        <v>153</v>
      </c>
      <c r="D72" s="71">
        <v>123</v>
      </c>
      <c r="E72" s="70">
        <v>5.0000000000000001E-3</v>
      </c>
    </row>
    <row r="73" spans="2:5" ht="15" customHeight="1">
      <c r="B73" s="112"/>
      <c r="C73" s="61" t="s">
        <v>182</v>
      </c>
      <c r="D73" s="71">
        <v>1</v>
      </c>
      <c r="E73" s="70">
        <v>0</v>
      </c>
    </row>
    <row r="74" spans="2:5" ht="15" customHeight="1">
      <c r="B74" s="112"/>
      <c r="C74" s="61" t="s">
        <v>154</v>
      </c>
      <c r="D74" s="71">
        <v>35</v>
      </c>
      <c r="E74" s="70">
        <v>1E-3</v>
      </c>
    </row>
    <row r="75" spans="2:5" ht="15" customHeight="1">
      <c r="B75" s="112"/>
      <c r="C75" s="61" t="s">
        <v>183</v>
      </c>
      <c r="D75" s="71">
        <v>16</v>
      </c>
      <c r="E75" s="70">
        <v>1E-3</v>
      </c>
    </row>
    <row r="76" spans="2:5" ht="15" customHeight="1">
      <c r="B76" s="112"/>
      <c r="C76" s="61" t="s">
        <v>155</v>
      </c>
      <c r="D76" s="71">
        <v>17</v>
      </c>
      <c r="E76" s="70">
        <v>1E-3</v>
      </c>
    </row>
    <row r="77" spans="2:5" ht="15" customHeight="1">
      <c r="B77" s="112"/>
      <c r="C77" s="61" t="s">
        <v>185</v>
      </c>
      <c r="D77" s="71">
        <v>1</v>
      </c>
      <c r="E77" s="70">
        <v>0</v>
      </c>
    </row>
    <row r="78" spans="2:5" ht="15" customHeight="1">
      <c r="B78" s="112"/>
      <c r="C78" s="61" t="s">
        <v>186</v>
      </c>
      <c r="D78" s="71">
        <v>28</v>
      </c>
      <c r="E78" s="70">
        <v>1E-3</v>
      </c>
    </row>
    <row r="79" spans="2:5" ht="15" customHeight="1">
      <c r="B79" s="112"/>
      <c r="C79" s="61" t="s">
        <v>187</v>
      </c>
      <c r="D79" s="71">
        <v>1</v>
      </c>
      <c r="E79" s="70">
        <v>0</v>
      </c>
    </row>
    <row r="80" spans="2:5" ht="15" customHeight="1">
      <c r="B80" s="112"/>
      <c r="C80" s="61" t="s">
        <v>188</v>
      </c>
      <c r="D80" s="71">
        <v>6</v>
      </c>
      <c r="E80" s="70">
        <v>0</v>
      </c>
    </row>
    <row r="81" spans="2:5" ht="15" customHeight="1">
      <c r="B81" s="112"/>
      <c r="C81" s="61" t="s">
        <v>189</v>
      </c>
      <c r="D81" s="71">
        <v>13</v>
      </c>
      <c r="E81" s="70">
        <v>0</v>
      </c>
    </row>
    <row r="82" spans="2:5" ht="15" customHeight="1">
      <c r="B82" s="112"/>
      <c r="C82" s="61" t="s">
        <v>195</v>
      </c>
      <c r="D82" s="71">
        <v>2</v>
      </c>
      <c r="E82" s="70">
        <v>0</v>
      </c>
    </row>
    <row r="83" spans="2:5" ht="15" customHeight="1">
      <c r="B83" s="112"/>
      <c r="C83" s="61" t="s">
        <v>191</v>
      </c>
      <c r="D83" s="71">
        <v>13</v>
      </c>
      <c r="E83" s="70">
        <v>0</v>
      </c>
    </row>
    <row r="84" spans="2:5" ht="15" customHeight="1">
      <c r="B84" s="112"/>
      <c r="C84" s="61" t="s">
        <v>196</v>
      </c>
      <c r="D84" s="71">
        <v>4</v>
      </c>
      <c r="E84" s="70">
        <v>0</v>
      </c>
    </row>
    <row r="85" spans="2:5" ht="15" customHeight="1">
      <c r="B85" s="112"/>
      <c r="C85" s="61" t="s">
        <v>157</v>
      </c>
      <c r="D85" s="71">
        <v>31</v>
      </c>
      <c r="E85" s="70">
        <v>1E-3</v>
      </c>
    </row>
    <row r="86" spans="2:5" ht="15" customHeight="1">
      <c r="B86" s="112"/>
      <c r="C86" s="61" t="s">
        <v>158</v>
      </c>
      <c r="D86" s="71">
        <v>9</v>
      </c>
      <c r="E86" s="70">
        <v>0</v>
      </c>
    </row>
    <row r="87" spans="2:5" ht="15" customHeight="1">
      <c r="B87" s="112"/>
      <c r="C87" s="61" t="s">
        <v>192</v>
      </c>
      <c r="D87" s="71">
        <v>12</v>
      </c>
      <c r="E87" s="70">
        <v>0</v>
      </c>
    </row>
    <row r="88" spans="2:5" ht="15" customHeight="1">
      <c r="B88" s="112"/>
      <c r="C88" s="61" t="s">
        <v>159</v>
      </c>
      <c r="D88" s="71">
        <v>4</v>
      </c>
      <c r="E88" s="70">
        <v>0</v>
      </c>
    </row>
    <row r="89" spans="2:5" ht="15" customHeight="1">
      <c r="B89" s="112"/>
      <c r="C89" s="61" t="s">
        <v>160</v>
      </c>
      <c r="D89" s="71">
        <v>36</v>
      </c>
      <c r="E89" s="70">
        <v>1E-3</v>
      </c>
    </row>
    <row r="90" spans="2:5" ht="15" customHeight="1">
      <c r="B90" s="112"/>
      <c r="C90" s="74" t="s">
        <v>309</v>
      </c>
      <c r="D90" s="77">
        <v>714</v>
      </c>
      <c r="E90" s="75">
        <v>2.5999999999999999E-2</v>
      </c>
    </row>
    <row r="91" spans="2:5" ht="15" customHeight="1">
      <c r="B91" s="112" t="s">
        <v>55</v>
      </c>
      <c r="C91" s="61" t="s">
        <v>163</v>
      </c>
      <c r="D91" s="71">
        <v>3</v>
      </c>
      <c r="E91" s="70">
        <v>0</v>
      </c>
    </row>
    <row r="92" spans="2:5" ht="15" customHeight="1">
      <c r="B92" s="112"/>
      <c r="C92" s="61" t="s">
        <v>164</v>
      </c>
      <c r="D92" s="71">
        <v>1</v>
      </c>
      <c r="E92" s="70">
        <v>0</v>
      </c>
    </row>
    <row r="93" spans="2:5" ht="15" customHeight="1">
      <c r="B93" s="112"/>
      <c r="C93" s="61" t="s">
        <v>167</v>
      </c>
      <c r="D93" s="71">
        <v>5</v>
      </c>
      <c r="E93" s="70">
        <v>0</v>
      </c>
    </row>
    <row r="94" spans="2:5" ht="15" customHeight="1">
      <c r="B94" s="112"/>
      <c r="C94" s="61" t="s">
        <v>168</v>
      </c>
      <c r="D94" s="71">
        <v>7</v>
      </c>
      <c r="E94" s="70">
        <v>0</v>
      </c>
    </row>
    <row r="95" spans="2:5" ht="15" customHeight="1">
      <c r="B95" s="112"/>
      <c r="C95" s="61" t="s">
        <v>169</v>
      </c>
      <c r="D95" s="71">
        <v>2</v>
      </c>
      <c r="E95" s="70">
        <v>0</v>
      </c>
    </row>
    <row r="96" spans="2:5" ht="15" customHeight="1">
      <c r="B96" s="112"/>
      <c r="C96" s="61" t="s">
        <v>285</v>
      </c>
      <c r="D96" s="71">
        <v>15</v>
      </c>
      <c r="E96" s="70">
        <v>1E-3</v>
      </c>
    </row>
    <row r="97" spans="2:5" ht="15" customHeight="1">
      <c r="B97" s="112"/>
      <c r="C97" s="61" t="s">
        <v>198</v>
      </c>
      <c r="D97" s="71">
        <v>1</v>
      </c>
      <c r="E97" s="70">
        <v>0</v>
      </c>
    </row>
    <row r="98" spans="2:5" ht="15" customHeight="1">
      <c r="B98" s="112"/>
      <c r="C98" s="61" t="s">
        <v>146</v>
      </c>
      <c r="D98" s="71">
        <v>53</v>
      </c>
      <c r="E98" s="70">
        <v>2E-3</v>
      </c>
    </row>
    <row r="99" spans="2:5" ht="15" customHeight="1">
      <c r="B99" s="112"/>
      <c r="C99" s="61" t="s">
        <v>171</v>
      </c>
      <c r="D99" s="71">
        <v>1</v>
      </c>
      <c r="E99" s="70">
        <v>0</v>
      </c>
    </row>
    <row r="100" spans="2:5" ht="15" customHeight="1">
      <c r="B100" s="112"/>
      <c r="C100" s="61" t="s">
        <v>172</v>
      </c>
      <c r="D100" s="71">
        <v>8</v>
      </c>
      <c r="E100" s="70">
        <v>0</v>
      </c>
    </row>
    <row r="101" spans="2:5" ht="15" customHeight="1">
      <c r="B101" s="112"/>
      <c r="C101" s="61" t="s">
        <v>147</v>
      </c>
      <c r="D101" s="71">
        <v>34</v>
      </c>
      <c r="E101" s="70">
        <v>1E-3</v>
      </c>
    </row>
    <row r="102" spans="2:5" ht="15" customHeight="1">
      <c r="B102" s="112"/>
      <c r="C102" s="61" t="s">
        <v>173</v>
      </c>
      <c r="D102" s="71">
        <v>6</v>
      </c>
      <c r="E102" s="70">
        <v>0</v>
      </c>
    </row>
    <row r="103" spans="2:5" ht="15" customHeight="1">
      <c r="B103" s="112"/>
      <c r="C103" s="61" t="s">
        <v>148</v>
      </c>
      <c r="D103" s="71">
        <v>16</v>
      </c>
      <c r="E103" s="70">
        <v>1E-3</v>
      </c>
    </row>
    <row r="104" spans="2:5" ht="15" customHeight="1">
      <c r="B104" s="112"/>
      <c r="C104" s="61" t="s">
        <v>174</v>
      </c>
      <c r="D104" s="71">
        <v>5</v>
      </c>
      <c r="E104" s="70">
        <v>0</v>
      </c>
    </row>
    <row r="105" spans="2:5" ht="15" customHeight="1">
      <c r="B105" s="112"/>
      <c r="C105" s="61" t="s">
        <v>175</v>
      </c>
      <c r="D105" s="71">
        <v>4</v>
      </c>
      <c r="E105" s="70">
        <v>0</v>
      </c>
    </row>
    <row r="106" spans="2:5" ht="15" customHeight="1">
      <c r="B106" s="112"/>
      <c r="C106" s="61" t="s">
        <v>176</v>
      </c>
      <c r="D106" s="71">
        <v>1</v>
      </c>
      <c r="E106" s="70">
        <v>0</v>
      </c>
    </row>
    <row r="107" spans="2:5" ht="15" customHeight="1">
      <c r="B107" s="112"/>
      <c r="C107" s="61" t="s">
        <v>177</v>
      </c>
      <c r="D107" s="71">
        <v>6</v>
      </c>
      <c r="E107" s="70">
        <v>0</v>
      </c>
    </row>
    <row r="108" spans="2:5" ht="15" customHeight="1">
      <c r="B108" s="112"/>
      <c r="C108" s="61" t="s">
        <v>149</v>
      </c>
      <c r="D108" s="71">
        <v>2</v>
      </c>
      <c r="E108" s="70">
        <v>0</v>
      </c>
    </row>
    <row r="109" spans="2:5" ht="15" customHeight="1">
      <c r="B109" s="112"/>
      <c r="C109" s="61" t="s">
        <v>150</v>
      </c>
      <c r="D109" s="71">
        <v>9</v>
      </c>
      <c r="E109" s="70">
        <v>0</v>
      </c>
    </row>
    <row r="110" spans="2:5" ht="15" customHeight="1">
      <c r="B110" s="112"/>
      <c r="C110" s="61" t="s">
        <v>193</v>
      </c>
      <c r="D110" s="71">
        <v>1</v>
      </c>
      <c r="E110" s="70">
        <v>0</v>
      </c>
    </row>
    <row r="111" spans="2:5" ht="15" customHeight="1">
      <c r="B111" s="112"/>
      <c r="C111" s="61" t="s">
        <v>178</v>
      </c>
      <c r="D111" s="71">
        <v>10</v>
      </c>
      <c r="E111" s="70">
        <v>0</v>
      </c>
    </row>
    <row r="112" spans="2:5" ht="15" customHeight="1">
      <c r="B112" s="112"/>
      <c r="C112" s="61" t="s">
        <v>200</v>
      </c>
      <c r="D112" s="71">
        <v>1</v>
      </c>
      <c r="E112" s="70">
        <v>0</v>
      </c>
    </row>
    <row r="113" spans="2:5" ht="15" customHeight="1">
      <c r="B113" s="112"/>
      <c r="C113" s="61" t="s">
        <v>179</v>
      </c>
      <c r="D113" s="71">
        <v>1</v>
      </c>
      <c r="E113" s="70">
        <v>0</v>
      </c>
    </row>
    <row r="114" spans="2:5" ht="15" customHeight="1">
      <c r="B114" s="112"/>
      <c r="C114" s="61" t="s">
        <v>151</v>
      </c>
      <c r="D114" s="71">
        <v>3</v>
      </c>
      <c r="E114" s="70">
        <v>0</v>
      </c>
    </row>
    <row r="115" spans="2:5" ht="15" customHeight="1">
      <c r="B115" s="112"/>
      <c r="C115" s="61" t="s">
        <v>201</v>
      </c>
      <c r="D115" s="71">
        <v>2</v>
      </c>
      <c r="E115" s="70">
        <v>0</v>
      </c>
    </row>
    <row r="116" spans="2:5" ht="15" customHeight="1">
      <c r="B116" s="112"/>
      <c r="C116" s="61" t="s">
        <v>180</v>
      </c>
      <c r="D116" s="71">
        <v>4</v>
      </c>
      <c r="E116" s="70">
        <v>0</v>
      </c>
    </row>
    <row r="117" spans="2:5" ht="15" customHeight="1">
      <c r="B117" s="112"/>
      <c r="C117" s="61" t="s">
        <v>202</v>
      </c>
      <c r="D117" s="71">
        <v>3</v>
      </c>
      <c r="E117" s="70">
        <v>0</v>
      </c>
    </row>
    <row r="118" spans="2:5" ht="15" customHeight="1">
      <c r="B118" s="112"/>
      <c r="C118" s="61" t="s">
        <v>181</v>
      </c>
      <c r="D118" s="71">
        <v>3</v>
      </c>
      <c r="E118" s="70">
        <v>0</v>
      </c>
    </row>
    <row r="119" spans="2:5" ht="15" customHeight="1">
      <c r="B119" s="112"/>
      <c r="C119" s="61" t="s">
        <v>152</v>
      </c>
      <c r="D119" s="71">
        <v>10</v>
      </c>
      <c r="E119" s="70">
        <v>0</v>
      </c>
    </row>
    <row r="120" spans="2:5" ht="15" customHeight="1">
      <c r="B120" s="112"/>
      <c r="C120" s="61" t="s">
        <v>203</v>
      </c>
      <c r="D120" s="71">
        <v>5</v>
      </c>
      <c r="E120" s="70">
        <v>0</v>
      </c>
    </row>
    <row r="121" spans="2:5" ht="15" customHeight="1">
      <c r="B121" s="112"/>
      <c r="C121" s="61" t="s">
        <v>162</v>
      </c>
      <c r="D121" s="71">
        <v>43</v>
      </c>
      <c r="E121" s="70">
        <v>2E-3</v>
      </c>
    </row>
    <row r="122" spans="2:5" ht="15" customHeight="1">
      <c r="B122" s="112"/>
      <c r="C122" s="61" t="s">
        <v>153</v>
      </c>
      <c r="D122" s="71">
        <v>66</v>
      </c>
      <c r="E122" s="70">
        <v>2E-3</v>
      </c>
    </row>
    <row r="123" spans="2:5" ht="15" customHeight="1">
      <c r="B123" s="112"/>
      <c r="C123" s="61" t="s">
        <v>154</v>
      </c>
      <c r="D123" s="71">
        <v>128</v>
      </c>
      <c r="E123" s="70">
        <v>5.0000000000000001E-3</v>
      </c>
    </row>
    <row r="124" spans="2:5" ht="15" customHeight="1">
      <c r="B124" s="112"/>
      <c r="C124" s="61" t="s">
        <v>183</v>
      </c>
      <c r="D124" s="71">
        <v>3</v>
      </c>
      <c r="E124" s="70">
        <v>0</v>
      </c>
    </row>
    <row r="125" spans="2:5" ht="15" customHeight="1">
      <c r="B125" s="112"/>
      <c r="C125" s="61" t="s">
        <v>155</v>
      </c>
      <c r="D125" s="71">
        <v>17</v>
      </c>
      <c r="E125" s="70">
        <v>1E-3</v>
      </c>
    </row>
    <row r="126" spans="2:5" ht="15" customHeight="1">
      <c r="B126" s="112"/>
      <c r="C126" s="61" t="s">
        <v>185</v>
      </c>
      <c r="D126" s="71">
        <v>2</v>
      </c>
      <c r="E126" s="70">
        <v>0</v>
      </c>
    </row>
    <row r="127" spans="2:5" ht="15" customHeight="1">
      <c r="B127" s="112"/>
      <c r="C127" s="61" t="s">
        <v>188</v>
      </c>
      <c r="D127" s="71">
        <v>1</v>
      </c>
      <c r="E127" s="70">
        <v>0</v>
      </c>
    </row>
    <row r="128" spans="2:5" ht="15" customHeight="1">
      <c r="B128" s="112"/>
      <c r="C128" s="61" t="s">
        <v>189</v>
      </c>
      <c r="D128" s="71">
        <v>8</v>
      </c>
      <c r="E128" s="70">
        <v>0</v>
      </c>
    </row>
    <row r="129" spans="2:5" ht="15" customHeight="1">
      <c r="B129" s="112"/>
      <c r="C129" s="61" t="s">
        <v>191</v>
      </c>
      <c r="D129" s="71">
        <v>13</v>
      </c>
      <c r="E129" s="70">
        <v>0</v>
      </c>
    </row>
    <row r="130" spans="2:5" ht="15" customHeight="1">
      <c r="B130" s="112"/>
      <c r="C130" s="61" t="s">
        <v>196</v>
      </c>
      <c r="D130" s="71">
        <v>7</v>
      </c>
      <c r="E130" s="70">
        <v>0</v>
      </c>
    </row>
    <row r="131" spans="2:5" ht="15" customHeight="1">
      <c r="B131" s="112"/>
      <c r="C131" s="61" t="s">
        <v>157</v>
      </c>
      <c r="D131" s="71">
        <v>6</v>
      </c>
      <c r="E131" s="70">
        <v>0</v>
      </c>
    </row>
    <row r="132" spans="2:5" ht="15" customHeight="1">
      <c r="B132" s="112"/>
      <c r="C132" s="61" t="s">
        <v>158</v>
      </c>
      <c r="D132" s="71">
        <v>4</v>
      </c>
      <c r="E132" s="70">
        <v>0</v>
      </c>
    </row>
    <row r="133" spans="2:5" ht="15" customHeight="1">
      <c r="B133" s="112"/>
      <c r="C133" s="61" t="s">
        <v>192</v>
      </c>
      <c r="D133" s="71">
        <v>1</v>
      </c>
      <c r="E133" s="70">
        <v>0</v>
      </c>
    </row>
    <row r="134" spans="2:5" ht="15" customHeight="1">
      <c r="B134" s="112"/>
      <c r="C134" s="61" t="s">
        <v>159</v>
      </c>
      <c r="D134" s="71">
        <v>11</v>
      </c>
      <c r="E134" s="70">
        <v>0</v>
      </c>
    </row>
    <row r="135" spans="2:5" ht="15" customHeight="1">
      <c r="B135" s="112"/>
      <c r="C135" s="61" t="s">
        <v>160</v>
      </c>
      <c r="D135" s="71">
        <v>12</v>
      </c>
      <c r="E135" s="70">
        <v>0</v>
      </c>
    </row>
    <row r="136" spans="2:5" ht="15" customHeight="1">
      <c r="B136" s="112"/>
      <c r="C136" s="74" t="s">
        <v>309</v>
      </c>
      <c r="D136" s="77">
        <v>544</v>
      </c>
      <c r="E136" s="75">
        <v>0.02</v>
      </c>
    </row>
    <row r="137" spans="2:5" ht="15" customHeight="1">
      <c r="B137" s="112" t="s">
        <v>67</v>
      </c>
      <c r="C137" s="61" t="s">
        <v>165</v>
      </c>
      <c r="D137" s="71">
        <v>2</v>
      </c>
      <c r="E137" s="70">
        <v>0</v>
      </c>
    </row>
    <row r="138" spans="2:5" ht="15" customHeight="1">
      <c r="B138" s="112"/>
      <c r="C138" s="61" t="s">
        <v>166</v>
      </c>
      <c r="D138" s="71">
        <v>7</v>
      </c>
      <c r="E138" s="70">
        <v>0</v>
      </c>
    </row>
    <row r="139" spans="2:5" ht="15" customHeight="1">
      <c r="B139" s="112"/>
      <c r="C139" s="61" t="s">
        <v>168</v>
      </c>
      <c r="D139" s="71">
        <v>3</v>
      </c>
      <c r="E139" s="70">
        <v>0</v>
      </c>
    </row>
    <row r="140" spans="2:5" ht="15" customHeight="1">
      <c r="B140" s="112"/>
      <c r="C140" s="61" t="s">
        <v>169</v>
      </c>
      <c r="D140" s="71">
        <v>2</v>
      </c>
      <c r="E140" s="70">
        <v>0</v>
      </c>
    </row>
    <row r="141" spans="2:5" ht="15" customHeight="1">
      <c r="B141" s="112"/>
      <c r="C141" s="61" t="s">
        <v>161</v>
      </c>
      <c r="D141" s="71">
        <v>14</v>
      </c>
      <c r="E141" s="70">
        <v>1E-3</v>
      </c>
    </row>
    <row r="142" spans="2:5" ht="15" customHeight="1">
      <c r="B142" s="112"/>
      <c r="C142" s="61" t="s">
        <v>170</v>
      </c>
      <c r="D142" s="71">
        <v>1</v>
      </c>
      <c r="E142" s="70">
        <v>0</v>
      </c>
    </row>
    <row r="143" spans="2:5" ht="15" customHeight="1">
      <c r="B143" s="112"/>
      <c r="C143" s="61" t="s">
        <v>146</v>
      </c>
      <c r="D143" s="71">
        <v>22</v>
      </c>
      <c r="E143" s="70">
        <v>1E-3</v>
      </c>
    </row>
    <row r="144" spans="2:5" ht="15" customHeight="1">
      <c r="B144" s="112"/>
      <c r="C144" s="61" t="s">
        <v>147</v>
      </c>
      <c r="D144" s="71">
        <v>1</v>
      </c>
      <c r="E144" s="70">
        <v>0</v>
      </c>
    </row>
    <row r="145" spans="2:5" ht="15" customHeight="1">
      <c r="B145" s="112"/>
      <c r="C145" s="61" t="s">
        <v>173</v>
      </c>
      <c r="D145" s="71">
        <v>1</v>
      </c>
      <c r="E145" s="70">
        <v>0</v>
      </c>
    </row>
    <row r="146" spans="2:5" ht="15" customHeight="1">
      <c r="B146" s="112"/>
      <c r="C146" s="61" t="s">
        <v>148</v>
      </c>
      <c r="D146" s="71">
        <v>3</v>
      </c>
      <c r="E146" s="70">
        <v>0</v>
      </c>
    </row>
    <row r="147" spans="2:5" ht="15" customHeight="1">
      <c r="B147" s="112"/>
      <c r="C147" s="61" t="s">
        <v>199</v>
      </c>
      <c r="D147" s="71">
        <v>1</v>
      </c>
      <c r="E147" s="70">
        <v>0</v>
      </c>
    </row>
    <row r="148" spans="2:5" ht="15" customHeight="1">
      <c r="B148" s="112"/>
      <c r="C148" s="61" t="s">
        <v>174</v>
      </c>
      <c r="D148" s="71">
        <v>3</v>
      </c>
      <c r="E148" s="70">
        <v>0</v>
      </c>
    </row>
    <row r="149" spans="2:5" ht="15" customHeight="1">
      <c r="B149" s="112"/>
      <c r="C149" s="61" t="s">
        <v>175</v>
      </c>
      <c r="D149" s="71">
        <v>2</v>
      </c>
      <c r="E149" s="70">
        <v>0</v>
      </c>
    </row>
    <row r="150" spans="2:5" ht="15" customHeight="1">
      <c r="B150" s="112"/>
      <c r="C150" s="61" t="s">
        <v>177</v>
      </c>
      <c r="D150" s="71">
        <v>1</v>
      </c>
      <c r="E150" s="70">
        <v>0</v>
      </c>
    </row>
    <row r="151" spans="2:5" ht="15" customHeight="1">
      <c r="B151" s="112"/>
      <c r="C151" s="61" t="s">
        <v>149</v>
      </c>
      <c r="D151" s="71">
        <v>10</v>
      </c>
      <c r="E151" s="70">
        <v>0</v>
      </c>
    </row>
    <row r="152" spans="2:5" ht="15" customHeight="1">
      <c r="B152" s="112"/>
      <c r="C152" s="61" t="s">
        <v>150</v>
      </c>
      <c r="D152" s="71">
        <v>3</v>
      </c>
      <c r="E152" s="70">
        <v>0</v>
      </c>
    </row>
    <row r="153" spans="2:5" ht="15" customHeight="1">
      <c r="B153" s="112"/>
      <c r="C153" s="61" t="s">
        <v>193</v>
      </c>
      <c r="D153" s="71">
        <v>3</v>
      </c>
      <c r="E153" s="70">
        <v>0</v>
      </c>
    </row>
    <row r="154" spans="2:5" ht="15" customHeight="1">
      <c r="B154" s="112"/>
      <c r="C154" s="61" t="s">
        <v>202</v>
      </c>
      <c r="D154" s="71">
        <v>1</v>
      </c>
      <c r="E154" s="70">
        <v>0</v>
      </c>
    </row>
    <row r="155" spans="2:5" ht="15" customHeight="1">
      <c r="B155" s="112"/>
      <c r="C155" s="61" t="s">
        <v>181</v>
      </c>
      <c r="D155" s="71">
        <v>1</v>
      </c>
      <c r="E155" s="70">
        <v>0</v>
      </c>
    </row>
    <row r="156" spans="2:5" ht="15" customHeight="1">
      <c r="B156" s="112"/>
      <c r="C156" s="61" t="s">
        <v>152</v>
      </c>
      <c r="D156" s="71">
        <v>3</v>
      </c>
      <c r="E156" s="70">
        <v>0</v>
      </c>
    </row>
    <row r="157" spans="2:5" ht="15" customHeight="1">
      <c r="B157" s="112"/>
      <c r="C157" s="61" t="s">
        <v>203</v>
      </c>
      <c r="D157" s="71">
        <v>1</v>
      </c>
      <c r="E157" s="70">
        <v>0</v>
      </c>
    </row>
    <row r="158" spans="2:5" ht="15" customHeight="1">
      <c r="B158" s="112"/>
      <c r="C158" s="61" t="s">
        <v>162</v>
      </c>
      <c r="D158" s="71">
        <v>3</v>
      </c>
      <c r="E158" s="70">
        <v>0</v>
      </c>
    </row>
    <row r="159" spans="2:5" ht="15" customHeight="1">
      <c r="B159" s="112"/>
      <c r="C159" s="61" t="s">
        <v>153</v>
      </c>
      <c r="D159" s="71">
        <v>56</v>
      </c>
      <c r="E159" s="70">
        <v>2E-3</v>
      </c>
    </row>
    <row r="160" spans="2:5" ht="15" customHeight="1">
      <c r="B160" s="112"/>
      <c r="C160" s="61" t="s">
        <v>182</v>
      </c>
      <c r="D160" s="71">
        <v>1</v>
      </c>
      <c r="E160" s="70">
        <v>0</v>
      </c>
    </row>
    <row r="161" spans="2:5" ht="15" customHeight="1">
      <c r="B161" s="112"/>
      <c r="C161" s="61" t="s">
        <v>154</v>
      </c>
      <c r="D161" s="71">
        <v>1</v>
      </c>
      <c r="E161" s="70">
        <v>0</v>
      </c>
    </row>
    <row r="162" spans="2:5" ht="15" customHeight="1">
      <c r="B162" s="112"/>
      <c r="C162" s="61" t="s">
        <v>183</v>
      </c>
      <c r="D162" s="71">
        <v>5</v>
      </c>
      <c r="E162" s="70">
        <v>0</v>
      </c>
    </row>
    <row r="163" spans="2:5" ht="15" customHeight="1">
      <c r="B163" s="112"/>
      <c r="C163" s="61" t="s">
        <v>155</v>
      </c>
      <c r="D163" s="71">
        <v>7</v>
      </c>
      <c r="E163" s="70">
        <v>0</v>
      </c>
    </row>
    <row r="164" spans="2:5" ht="15" customHeight="1">
      <c r="B164" s="112"/>
      <c r="C164" s="61" t="s">
        <v>186</v>
      </c>
      <c r="D164" s="71">
        <v>5</v>
      </c>
      <c r="E164" s="70">
        <v>0</v>
      </c>
    </row>
    <row r="165" spans="2:5" ht="15" customHeight="1">
      <c r="B165" s="112"/>
      <c r="C165" s="61" t="s">
        <v>187</v>
      </c>
      <c r="D165" s="71">
        <v>1</v>
      </c>
      <c r="E165" s="70">
        <v>0</v>
      </c>
    </row>
    <row r="166" spans="2:5" ht="15" customHeight="1">
      <c r="B166" s="112"/>
      <c r="C166" s="61" t="s">
        <v>188</v>
      </c>
      <c r="D166" s="71">
        <v>18</v>
      </c>
      <c r="E166" s="70">
        <v>1E-3</v>
      </c>
    </row>
    <row r="167" spans="2:5" ht="15" customHeight="1">
      <c r="B167" s="112"/>
      <c r="C167" s="61" t="s">
        <v>189</v>
      </c>
      <c r="D167" s="71">
        <v>17</v>
      </c>
      <c r="E167" s="70">
        <v>1E-3</v>
      </c>
    </row>
    <row r="168" spans="2:5" ht="15" customHeight="1">
      <c r="B168" s="112"/>
      <c r="C168" s="61" t="s">
        <v>190</v>
      </c>
      <c r="D168" s="71">
        <v>3</v>
      </c>
      <c r="E168" s="70">
        <v>0</v>
      </c>
    </row>
    <row r="169" spans="2:5" ht="15" customHeight="1">
      <c r="B169" s="112"/>
      <c r="C169" s="61" t="s">
        <v>191</v>
      </c>
      <c r="D169" s="71">
        <v>25</v>
      </c>
      <c r="E169" s="70">
        <v>1E-3</v>
      </c>
    </row>
    <row r="170" spans="2:5" ht="15" customHeight="1">
      <c r="B170" s="112"/>
      <c r="C170" s="61" t="s">
        <v>156</v>
      </c>
      <c r="D170" s="71">
        <v>4</v>
      </c>
      <c r="E170" s="70">
        <v>0</v>
      </c>
    </row>
    <row r="171" spans="2:5" ht="15" customHeight="1">
      <c r="B171" s="112"/>
      <c r="C171" s="61" t="s">
        <v>196</v>
      </c>
      <c r="D171" s="71">
        <v>3</v>
      </c>
      <c r="E171" s="70">
        <v>0</v>
      </c>
    </row>
    <row r="172" spans="2:5" ht="15" customHeight="1">
      <c r="B172" s="112"/>
      <c r="C172" s="61" t="s">
        <v>158</v>
      </c>
      <c r="D172" s="71">
        <v>19</v>
      </c>
      <c r="E172" s="70">
        <v>1E-3</v>
      </c>
    </row>
    <row r="173" spans="2:5" ht="15" customHeight="1">
      <c r="B173" s="112"/>
      <c r="C173" s="61" t="s">
        <v>192</v>
      </c>
      <c r="D173" s="71">
        <v>8</v>
      </c>
      <c r="E173" s="70">
        <v>0</v>
      </c>
    </row>
    <row r="174" spans="2:5" ht="15" customHeight="1">
      <c r="B174" s="112"/>
      <c r="C174" s="61" t="s">
        <v>159</v>
      </c>
      <c r="D174" s="71">
        <v>10</v>
      </c>
      <c r="E174" s="70">
        <v>0</v>
      </c>
    </row>
    <row r="175" spans="2:5" ht="15" customHeight="1">
      <c r="B175" s="112"/>
      <c r="C175" s="61" t="s">
        <v>160</v>
      </c>
      <c r="D175" s="71">
        <v>14</v>
      </c>
      <c r="E175" s="70">
        <v>1E-3</v>
      </c>
    </row>
    <row r="176" spans="2:5" ht="15" customHeight="1">
      <c r="B176" s="112"/>
      <c r="C176" s="74" t="s">
        <v>309</v>
      </c>
      <c r="D176" s="77">
        <v>285</v>
      </c>
      <c r="E176" s="75">
        <v>0.01</v>
      </c>
    </row>
    <row r="177" spans="2:5" ht="15" customHeight="1">
      <c r="B177" s="112" t="s">
        <v>86</v>
      </c>
      <c r="C177" s="61" t="s">
        <v>166</v>
      </c>
      <c r="D177" s="71">
        <v>1</v>
      </c>
      <c r="E177" s="70">
        <v>0</v>
      </c>
    </row>
    <row r="178" spans="2:5" ht="15" customHeight="1">
      <c r="B178" s="112"/>
      <c r="C178" s="61" t="s">
        <v>146</v>
      </c>
      <c r="D178" s="71">
        <v>1</v>
      </c>
      <c r="E178" s="70">
        <v>0</v>
      </c>
    </row>
    <row r="179" spans="2:5" ht="15" customHeight="1">
      <c r="B179" s="112"/>
      <c r="C179" s="61" t="s">
        <v>148</v>
      </c>
      <c r="D179" s="71">
        <v>1</v>
      </c>
      <c r="E179" s="70">
        <v>0</v>
      </c>
    </row>
    <row r="180" spans="2:5" ht="15" customHeight="1">
      <c r="B180" s="112"/>
      <c r="C180" s="61" t="s">
        <v>175</v>
      </c>
      <c r="D180" s="71">
        <v>1</v>
      </c>
      <c r="E180" s="70">
        <v>0</v>
      </c>
    </row>
    <row r="181" spans="2:5" ht="15" customHeight="1">
      <c r="B181" s="112"/>
      <c r="C181" s="61" t="s">
        <v>150</v>
      </c>
      <c r="D181" s="71">
        <v>1</v>
      </c>
      <c r="E181" s="70">
        <v>0</v>
      </c>
    </row>
    <row r="182" spans="2:5" ht="15" customHeight="1">
      <c r="B182" s="112"/>
      <c r="C182" s="61" t="s">
        <v>153</v>
      </c>
      <c r="D182" s="71">
        <v>1</v>
      </c>
      <c r="E182" s="70">
        <v>0</v>
      </c>
    </row>
    <row r="183" spans="2:5" ht="15" customHeight="1">
      <c r="B183" s="112"/>
      <c r="C183" s="61" t="s">
        <v>155</v>
      </c>
      <c r="D183" s="71">
        <v>8</v>
      </c>
      <c r="E183" s="70">
        <v>0</v>
      </c>
    </row>
    <row r="184" spans="2:5" ht="15" customHeight="1">
      <c r="B184" s="112"/>
      <c r="C184" s="61" t="s">
        <v>192</v>
      </c>
      <c r="D184" s="71">
        <v>1</v>
      </c>
      <c r="E184" s="70">
        <v>0</v>
      </c>
    </row>
    <row r="185" spans="2:5" ht="15" customHeight="1">
      <c r="B185" s="112"/>
      <c r="C185" s="61" t="s">
        <v>160</v>
      </c>
      <c r="D185" s="71">
        <v>1</v>
      </c>
      <c r="E185" s="70">
        <v>0</v>
      </c>
    </row>
    <row r="186" spans="2:5" ht="15" customHeight="1">
      <c r="B186" s="112"/>
      <c r="C186" s="74" t="s">
        <v>309</v>
      </c>
      <c r="D186" s="77">
        <v>16</v>
      </c>
      <c r="E186" s="75">
        <v>1E-3</v>
      </c>
    </row>
    <row r="187" spans="2:5" ht="15" customHeight="1">
      <c r="B187" s="112" t="s">
        <v>85</v>
      </c>
      <c r="C187" s="61" t="s">
        <v>167</v>
      </c>
      <c r="D187" s="71">
        <v>2</v>
      </c>
      <c r="E187" s="70">
        <v>0</v>
      </c>
    </row>
    <row r="188" spans="2:5" ht="15" customHeight="1">
      <c r="B188" s="112"/>
      <c r="C188" s="61" t="s">
        <v>168</v>
      </c>
      <c r="D188" s="71">
        <v>1</v>
      </c>
      <c r="E188" s="70">
        <v>0</v>
      </c>
    </row>
    <row r="189" spans="2:5" ht="15" customHeight="1">
      <c r="B189" s="112"/>
      <c r="C189" s="61" t="s">
        <v>170</v>
      </c>
      <c r="D189" s="71">
        <v>1</v>
      </c>
      <c r="E189" s="70">
        <v>0</v>
      </c>
    </row>
    <row r="190" spans="2:5" ht="15" customHeight="1">
      <c r="B190" s="112"/>
      <c r="C190" s="61" t="s">
        <v>198</v>
      </c>
      <c r="D190" s="71">
        <v>1</v>
      </c>
      <c r="E190" s="70">
        <v>0</v>
      </c>
    </row>
    <row r="191" spans="2:5" ht="15" customHeight="1">
      <c r="B191" s="112"/>
      <c r="C191" s="61" t="s">
        <v>146</v>
      </c>
      <c r="D191" s="71">
        <v>7</v>
      </c>
      <c r="E191" s="70">
        <v>0</v>
      </c>
    </row>
    <row r="192" spans="2:5" ht="15" customHeight="1">
      <c r="B192" s="112"/>
      <c r="C192" s="61" t="s">
        <v>147</v>
      </c>
      <c r="D192" s="71">
        <v>2</v>
      </c>
      <c r="E192" s="70">
        <v>0</v>
      </c>
    </row>
    <row r="193" spans="2:5" ht="15" customHeight="1">
      <c r="B193" s="112"/>
      <c r="C193" s="61" t="s">
        <v>148</v>
      </c>
      <c r="D193" s="71">
        <v>6</v>
      </c>
      <c r="E193" s="70">
        <v>0</v>
      </c>
    </row>
    <row r="194" spans="2:5" ht="15" customHeight="1">
      <c r="B194" s="112"/>
      <c r="C194" s="61" t="s">
        <v>174</v>
      </c>
      <c r="D194" s="71">
        <v>3</v>
      </c>
      <c r="E194" s="70">
        <v>0</v>
      </c>
    </row>
    <row r="195" spans="2:5" ht="15" customHeight="1">
      <c r="B195" s="112"/>
      <c r="C195" s="61" t="s">
        <v>150</v>
      </c>
      <c r="D195" s="71">
        <v>3</v>
      </c>
      <c r="E195" s="70">
        <v>0</v>
      </c>
    </row>
    <row r="196" spans="2:5" ht="15" customHeight="1">
      <c r="B196" s="112"/>
      <c r="C196" s="61" t="s">
        <v>178</v>
      </c>
      <c r="D196" s="71">
        <v>1</v>
      </c>
      <c r="E196" s="70">
        <v>0</v>
      </c>
    </row>
    <row r="197" spans="2:5" ht="15" customHeight="1">
      <c r="B197" s="112"/>
      <c r="C197" s="61" t="s">
        <v>151</v>
      </c>
      <c r="D197" s="71">
        <v>1</v>
      </c>
      <c r="E197" s="70">
        <v>0</v>
      </c>
    </row>
    <row r="198" spans="2:5" ht="15" customHeight="1">
      <c r="B198" s="112"/>
      <c r="C198" s="61" t="s">
        <v>201</v>
      </c>
      <c r="D198" s="71">
        <v>1</v>
      </c>
      <c r="E198" s="70">
        <v>0</v>
      </c>
    </row>
    <row r="199" spans="2:5" ht="15" customHeight="1">
      <c r="B199" s="112"/>
      <c r="C199" s="61" t="s">
        <v>153</v>
      </c>
      <c r="D199" s="71">
        <v>2</v>
      </c>
      <c r="E199" s="70">
        <v>0</v>
      </c>
    </row>
    <row r="200" spans="2:5" ht="15" customHeight="1">
      <c r="B200" s="112"/>
      <c r="C200" s="61" t="s">
        <v>154</v>
      </c>
      <c r="D200" s="71">
        <v>1</v>
      </c>
      <c r="E200" s="70">
        <v>0</v>
      </c>
    </row>
    <row r="201" spans="2:5" ht="15" customHeight="1">
      <c r="B201" s="112"/>
      <c r="C201" s="61" t="s">
        <v>185</v>
      </c>
      <c r="D201" s="71">
        <v>1</v>
      </c>
      <c r="E201" s="70">
        <v>0</v>
      </c>
    </row>
    <row r="202" spans="2:5" ht="15" customHeight="1">
      <c r="B202" s="112"/>
      <c r="C202" s="61" t="s">
        <v>188</v>
      </c>
      <c r="D202" s="71">
        <v>1</v>
      </c>
      <c r="E202" s="70">
        <v>0</v>
      </c>
    </row>
    <row r="203" spans="2:5" ht="15" customHeight="1">
      <c r="B203" s="112"/>
      <c r="C203" s="61" t="s">
        <v>189</v>
      </c>
      <c r="D203" s="71">
        <v>1</v>
      </c>
      <c r="E203" s="70">
        <v>0</v>
      </c>
    </row>
    <row r="204" spans="2:5" ht="15" customHeight="1">
      <c r="B204" s="112"/>
      <c r="C204" s="61" t="s">
        <v>157</v>
      </c>
      <c r="D204" s="71">
        <v>1</v>
      </c>
      <c r="E204" s="70">
        <v>0</v>
      </c>
    </row>
    <row r="205" spans="2:5" ht="15" customHeight="1">
      <c r="B205" s="112"/>
      <c r="C205" s="61" t="s">
        <v>158</v>
      </c>
      <c r="D205" s="71">
        <v>3</v>
      </c>
      <c r="E205" s="70">
        <v>0</v>
      </c>
    </row>
    <row r="206" spans="2:5" ht="15" customHeight="1">
      <c r="B206" s="112"/>
      <c r="C206" s="61" t="s">
        <v>159</v>
      </c>
      <c r="D206" s="71">
        <v>1</v>
      </c>
      <c r="E206" s="70">
        <v>0</v>
      </c>
    </row>
    <row r="207" spans="2:5" ht="15" customHeight="1">
      <c r="B207" s="112"/>
      <c r="C207" s="61" t="s">
        <v>160</v>
      </c>
      <c r="D207" s="71">
        <v>3</v>
      </c>
      <c r="E207" s="70">
        <v>0</v>
      </c>
    </row>
    <row r="208" spans="2:5" ht="15" customHeight="1">
      <c r="B208" s="112"/>
      <c r="C208" s="74" t="s">
        <v>309</v>
      </c>
      <c r="D208" s="77">
        <v>43</v>
      </c>
      <c r="E208" s="75">
        <v>2E-3</v>
      </c>
    </row>
    <row r="209" spans="2:5" ht="15" customHeight="1">
      <c r="B209" s="112" t="s">
        <v>92</v>
      </c>
      <c r="C209" s="61" t="s">
        <v>146</v>
      </c>
      <c r="D209" s="71">
        <v>1</v>
      </c>
      <c r="E209" s="70">
        <v>0</v>
      </c>
    </row>
    <row r="210" spans="2:5" ht="15" customHeight="1">
      <c r="B210" s="112"/>
      <c r="C210" s="61" t="s">
        <v>175</v>
      </c>
      <c r="D210" s="71">
        <v>1</v>
      </c>
      <c r="E210" s="70">
        <v>0</v>
      </c>
    </row>
    <row r="211" spans="2:5" ht="15" customHeight="1">
      <c r="B211" s="112"/>
      <c r="C211" s="61" t="s">
        <v>149</v>
      </c>
      <c r="D211" s="71">
        <v>1</v>
      </c>
      <c r="E211" s="70">
        <v>0</v>
      </c>
    </row>
    <row r="212" spans="2:5" ht="15" customHeight="1">
      <c r="B212" s="112"/>
      <c r="C212" s="61" t="s">
        <v>180</v>
      </c>
      <c r="D212" s="71">
        <v>1</v>
      </c>
      <c r="E212" s="70">
        <v>0</v>
      </c>
    </row>
    <row r="213" spans="2:5" ht="15" customHeight="1">
      <c r="B213" s="112"/>
      <c r="C213" s="61" t="s">
        <v>181</v>
      </c>
      <c r="D213" s="71">
        <v>1</v>
      </c>
      <c r="E213" s="70">
        <v>0</v>
      </c>
    </row>
    <row r="214" spans="2:5" ht="15" customHeight="1">
      <c r="B214" s="112"/>
      <c r="C214" s="61" t="s">
        <v>203</v>
      </c>
      <c r="D214" s="71">
        <v>1</v>
      </c>
      <c r="E214" s="70">
        <v>0</v>
      </c>
    </row>
    <row r="215" spans="2:5" ht="15" customHeight="1">
      <c r="B215" s="112"/>
      <c r="C215" s="61" t="s">
        <v>186</v>
      </c>
      <c r="D215" s="71">
        <v>1</v>
      </c>
      <c r="E215" s="70">
        <v>0</v>
      </c>
    </row>
    <row r="216" spans="2:5" ht="15" customHeight="1">
      <c r="B216" s="112"/>
      <c r="C216" s="61" t="s">
        <v>189</v>
      </c>
      <c r="D216" s="71">
        <v>1</v>
      </c>
      <c r="E216" s="70">
        <v>0</v>
      </c>
    </row>
    <row r="217" spans="2:5" ht="15" customHeight="1">
      <c r="B217" s="112"/>
      <c r="C217" s="74" t="s">
        <v>309</v>
      </c>
      <c r="D217" s="77">
        <v>8</v>
      </c>
      <c r="E217" s="75">
        <v>0</v>
      </c>
    </row>
    <row r="218" spans="2:5" ht="15" customHeight="1">
      <c r="B218" s="112" t="s">
        <v>46</v>
      </c>
      <c r="C218" s="61" t="s">
        <v>163</v>
      </c>
      <c r="D218" s="71">
        <v>4</v>
      </c>
      <c r="E218" s="70">
        <v>0</v>
      </c>
    </row>
    <row r="219" spans="2:5" ht="15" customHeight="1">
      <c r="B219" s="112"/>
      <c r="C219" s="61" t="s">
        <v>197</v>
      </c>
      <c r="D219" s="71">
        <v>11</v>
      </c>
      <c r="E219" s="70">
        <v>0</v>
      </c>
    </row>
    <row r="220" spans="2:5" ht="15" customHeight="1">
      <c r="B220" s="112"/>
      <c r="C220" s="61" t="s">
        <v>164</v>
      </c>
      <c r="D220" s="71">
        <v>15</v>
      </c>
      <c r="E220" s="70">
        <v>1E-3</v>
      </c>
    </row>
    <row r="221" spans="2:5" ht="15" customHeight="1">
      <c r="B221" s="112"/>
      <c r="C221" s="61" t="s">
        <v>165</v>
      </c>
      <c r="D221" s="71">
        <v>3</v>
      </c>
      <c r="E221" s="70">
        <v>0</v>
      </c>
    </row>
    <row r="222" spans="2:5" ht="15" customHeight="1">
      <c r="B222" s="112"/>
      <c r="C222" s="61" t="s">
        <v>166</v>
      </c>
      <c r="D222" s="71">
        <v>16</v>
      </c>
      <c r="E222" s="70">
        <v>1E-3</v>
      </c>
    </row>
    <row r="223" spans="2:5" ht="15" customHeight="1">
      <c r="B223" s="112"/>
      <c r="C223" s="61" t="s">
        <v>167</v>
      </c>
      <c r="D223" s="71">
        <v>19</v>
      </c>
      <c r="E223" s="70">
        <v>1E-3</v>
      </c>
    </row>
    <row r="224" spans="2:5" ht="15" customHeight="1">
      <c r="B224" s="112"/>
      <c r="C224" s="61" t="s">
        <v>168</v>
      </c>
      <c r="D224" s="71">
        <v>13</v>
      </c>
      <c r="E224" s="70">
        <v>0</v>
      </c>
    </row>
    <row r="225" spans="2:5" ht="15" customHeight="1">
      <c r="B225" s="112"/>
      <c r="C225" s="61" t="s">
        <v>169</v>
      </c>
      <c r="D225" s="71">
        <v>3</v>
      </c>
      <c r="E225" s="70">
        <v>0</v>
      </c>
    </row>
    <row r="226" spans="2:5" ht="15" customHeight="1">
      <c r="B226" s="112"/>
      <c r="C226" s="61" t="s">
        <v>161</v>
      </c>
      <c r="D226" s="71">
        <v>13</v>
      </c>
      <c r="E226" s="70">
        <v>0</v>
      </c>
    </row>
    <row r="227" spans="2:5" ht="15" customHeight="1">
      <c r="B227" s="112"/>
      <c r="C227" s="61" t="s">
        <v>285</v>
      </c>
      <c r="D227" s="71">
        <v>1</v>
      </c>
      <c r="E227" s="70">
        <v>0</v>
      </c>
    </row>
    <row r="228" spans="2:5" ht="15" customHeight="1">
      <c r="B228" s="112"/>
      <c r="C228" s="61" t="s">
        <v>170</v>
      </c>
      <c r="D228" s="71">
        <v>51</v>
      </c>
      <c r="E228" s="70">
        <v>2E-3</v>
      </c>
    </row>
    <row r="229" spans="2:5" ht="15" customHeight="1">
      <c r="B229" s="112"/>
      <c r="C229" s="61" t="s">
        <v>198</v>
      </c>
      <c r="D229" s="71">
        <v>1</v>
      </c>
      <c r="E229" s="70">
        <v>0</v>
      </c>
    </row>
    <row r="230" spans="2:5" ht="15" customHeight="1">
      <c r="B230" s="112"/>
      <c r="C230" s="61" t="s">
        <v>146</v>
      </c>
      <c r="D230" s="71">
        <v>264</v>
      </c>
      <c r="E230" s="70">
        <v>0.01</v>
      </c>
    </row>
    <row r="231" spans="2:5" ht="15" customHeight="1">
      <c r="B231" s="112"/>
      <c r="C231" s="61" t="s">
        <v>171</v>
      </c>
      <c r="D231" s="71">
        <v>24</v>
      </c>
      <c r="E231" s="70">
        <v>1E-3</v>
      </c>
    </row>
    <row r="232" spans="2:5" ht="15" customHeight="1">
      <c r="B232" s="112"/>
      <c r="C232" s="61" t="s">
        <v>172</v>
      </c>
      <c r="D232" s="71">
        <v>2</v>
      </c>
      <c r="E232" s="70">
        <v>0</v>
      </c>
    </row>
    <row r="233" spans="2:5" ht="15" customHeight="1">
      <c r="B233" s="112"/>
      <c r="C233" s="61" t="s">
        <v>147</v>
      </c>
      <c r="D233" s="71">
        <v>32</v>
      </c>
      <c r="E233" s="70">
        <v>1E-3</v>
      </c>
    </row>
    <row r="234" spans="2:5" ht="15" customHeight="1">
      <c r="B234" s="112"/>
      <c r="C234" s="61" t="s">
        <v>173</v>
      </c>
      <c r="D234" s="71">
        <v>30</v>
      </c>
      <c r="E234" s="70">
        <v>1E-3</v>
      </c>
    </row>
    <row r="235" spans="2:5" ht="15" customHeight="1">
      <c r="B235" s="112"/>
      <c r="C235" s="61" t="s">
        <v>148</v>
      </c>
      <c r="D235" s="71">
        <v>191</v>
      </c>
      <c r="E235" s="70">
        <v>7.0000000000000001E-3</v>
      </c>
    </row>
    <row r="236" spans="2:5" ht="15" customHeight="1">
      <c r="B236" s="112"/>
      <c r="C236" s="61" t="s">
        <v>199</v>
      </c>
      <c r="D236" s="71">
        <v>18</v>
      </c>
      <c r="E236" s="70">
        <v>1E-3</v>
      </c>
    </row>
    <row r="237" spans="2:5" ht="15" customHeight="1">
      <c r="B237" s="112"/>
      <c r="C237" s="61" t="s">
        <v>174</v>
      </c>
      <c r="D237" s="71">
        <v>143</v>
      </c>
      <c r="E237" s="70">
        <v>5.0000000000000001E-3</v>
      </c>
    </row>
    <row r="238" spans="2:5" ht="15" customHeight="1">
      <c r="B238" s="112"/>
      <c r="C238" s="61" t="s">
        <v>175</v>
      </c>
      <c r="D238" s="71">
        <v>172</v>
      </c>
      <c r="E238" s="70">
        <v>6.0000000000000001E-3</v>
      </c>
    </row>
    <row r="239" spans="2:5" ht="15" customHeight="1">
      <c r="B239" s="112"/>
      <c r="C239" s="61" t="s">
        <v>176</v>
      </c>
      <c r="D239" s="71">
        <v>17</v>
      </c>
      <c r="E239" s="70">
        <v>1E-3</v>
      </c>
    </row>
    <row r="240" spans="2:5" ht="15" customHeight="1">
      <c r="B240" s="112"/>
      <c r="C240" s="61" t="s">
        <v>177</v>
      </c>
      <c r="D240" s="71">
        <v>18</v>
      </c>
      <c r="E240" s="70">
        <v>1E-3</v>
      </c>
    </row>
    <row r="241" spans="2:5" ht="15" customHeight="1">
      <c r="B241" s="112"/>
      <c r="C241" s="61" t="s">
        <v>149</v>
      </c>
      <c r="D241" s="71">
        <v>6</v>
      </c>
      <c r="E241" s="70">
        <v>0</v>
      </c>
    </row>
    <row r="242" spans="2:5" ht="15" customHeight="1">
      <c r="B242" s="112"/>
      <c r="C242" s="61" t="s">
        <v>150</v>
      </c>
      <c r="D242" s="71">
        <v>40</v>
      </c>
      <c r="E242" s="70">
        <v>1E-3</v>
      </c>
    </row>
    <row r="243" spans="2:5" ht="15" customHeight="1">
      <c r="B243" s="112"/>
      <c r="C243" s="61" t="s">
        <v>193</v>
      </c>
      <c r="D243" s="71">
        <v>7</v>
      </c>
      <c r="E243" s="70">
        <v>0</v>
      </c>
    </row>
    <row r="244" spans="2:5" ht="15" customHeight="1">
      <c r="B244" s="112"/>
      <c r="C244" s="61" t="s">
        <v>178</v>
      </c>
      <c r="D244" s="71">
        <v>11</v>
      </c>
      <c r="E244" s="70">
        <v>0</v>
      </c>
    </row>
    <row r="245" spans="2:5" ht="15" customHeight="1">
      <c r="B245" s="112"/>
      <c r="C245" s="61" t="s">
        <v>179</v>
      </c>
      <c r="D245" s="71">
        <v>2</v>
      </c>
      <c r="E245" s="70">
        <v>0</v>
      </c>
    </row>
    <row r="246" spans="2:5" ht="15" customHeight="1">
      <c r="B246" s="112"/>
      <c r="C246" s="61" t="s">
        <v>151</v>
      </c>
      <c r="D246" s="71">
        <v>14</v>
      </c>
      <c r="E246" s="70">
        <v>1E-3</v>
      </c>
    </row>
    <row r="247" spans="2:5" ht="15" customHeight="1">
      <c r="B247" s="112"/>
      <c r="C247" s="61" t="s">
        <v>201</v>
      </c>
      <c r="D247" s="71">
        <v>17</v>
      </c>
      <c r="E247" s="70">
        <v>1E-3</v>
      </c>
    </row>
    <row r="248" spans="2:5" ht="15" customHeight="1">
      <c r="B248" s="112"/>
      <c r="C248" s="61" t="s">
        <v>180</v>
      </c>
      <c r="D248" s="71">
        <v>51</v>
      </c>
      <c r="E248" s="70">
        <v>2E-3</v>
      </c>
    </row>
    <row r="249" spans="2:5" ht="15" customHeight="1">
      <c r="B249" s="112"/>
      <c r="C249" s="61" t="s">
        <v>202</v>
      </c>
      <c r="D249" s="71">
        <v>2</v>
      </c>
      <c r="E249" s="70">
        <v>0</v>
      </c>
    </row>
    <row r="250" spans="2:5" ht="15" customHeight="1">
      <c r="B250" s="112"/>
      <c r="C250" s="61" t="s">
        <v>181</v>
      </c>
      <c r="D250" s="71">
        <v>5</v>
      </c>
      <c r="E250" s="70">
        <v>0</v>
      </c>
    </row>
    <row r="251" spans="2:5" ht="15" customHeight="1">
      <c r="B251" s="112"/>
      <c r="C251" s="61" t="s">
        <v>152</v>
      </c>
      <c r="D251" s="71">
        <v>33</v>
      </c>
      <c r="E251" s="70">
        <v>1E-3</v>
      </c>
    </row>
    <row r="252" spans="2:5" ht="15" customHeight="1">
      <c r="B252" s="112"/>
      <c r="C252" s="61" t="s">
        <v>203</v>
      </c>
      <c r="D252" s="71">
        <v>37</v>
      </c>
      <c r="E252" s="70">
        <v>1E-3</v>
      </c>
    </row>
    <row r="253" spans="2:5" ht="15" customHeight="1">
      <c r="B253" s="112"/>
      <c r="C253" s="61" t="s">
        <v>162</v>
      </c>
      <c r="D253" s="71">
        <v>72</v>
      </c>
      <c r="E253" s="70">
        <v>3.0000000000000001E-3</v>
      </c>
    </row>
    <row r="254" spans="2:5" ht="15" customHeight="1">
      <c r="B254" s="112"/>
      <c r="C254" s="61" t="s">
        <v>153</v>
      </c>
      <c r="D254" s="71">
        <v>72</v>
      </c>
      <c r="E254" s="70">
        <v>3.0000000000000001E-3</v>
      </c>
    </row>
    <row r="255" spans="2:5" ht="15" customHeight="1">
      <c r="B255" s="112"/>
      <c r="C255" s="61" t="s">
        <v>182</v>
      </c>
      <c r="D255" s="71">
        <v>2</v>
      </c>
      <c r="E255" s="70">
        <v>0</v>
      </c>
    </row>
    <row r="256" spans="2:5" ht="15" customHeight="1">
      <c r="B256" s="112"/>
      <c r="C256" s="61" t="s">
        <v>154</v>
      </c>
      <c r="D256" s="71">
        <v>40</v>
      </c>
      <c r="E256" s="70">
        <v>1E-3</v>
      </c>
    </row>
    <row r="257" spans="2:5" ht="15" customHeight="1">
      <c r="B257" s="112"/>
      <c r="C257" s="61" t="s">
        <v>183</v>
      </c>
      <c r="D257" s="71">
        <v>6</v>
      </c>
      <c r="E257" s="70">
        <v>0</v>
      </c>
    </row>
    <row r="258" spans="2:5" ht="15" customHeight="1">
      <c r="B258" s="112"/>
      <c r="C258" s="61" t="s">
        <v>155</v>
      </c>
      <c r="D258" s="71">
        <v>41</v>
      </c>
      <c r="E258" s="70">
        <v>2E-3</v>
      </c>
    </row>
    <row r="259" spans="2:5" ht="15" customHeight="1">
      <c r="B259" s="112"/>
      <c r="C259" s="61" t="s">
        <v>194</v>
      </c>
      <c r="D259" s="71">
        <v>4</v>
      </c>
      <c r="E259" s="70">
        <v>0</v>
      </c>
    </row>
    <row r="260" spans="2:5" ht="15" customHeight="1">
      <c r="B260" s="112"/>
      <c r="C260" s="61" t="s">
        <v>185</v>
      </c>
      <c r="D260" s="71">
        <v>89</v>
      </c>
      <c r="E260" s="70">
        <v>3.0000000000000001E-3</v>
      </c>
    </row>
    <row r="261" spans="2:5" ht="15" customHeight="1">
      <c r="B261" s="112"/>
      <c r="C261" s="61" t="s">
        <v>186</v>
      </c>
      <c r="D261" s="71">
        <v>7</v>
      </c>
      <c r="E261" s="70">
        <v>0</v>
      </c>
    </row>
    <row r="262" spans="2:5" ht="15" customHeight="1">
      <c r="B262" s="112"/>
      <c r="C262" s="61" t="s">
        <v>187</v>
      </c>
      <c r="D262" s="71">
        <v>41</v>
      </c>
      <c r="E262" s="70">
        <v>2E-3</v>
      </c>
    </row>
    <row r="263" spans="2:5" ht="15" customHeight="1">
      <c r="B263" s="112"/>
      <c r="C263" s="61" t="s">
        <v>188</v>
      </c>
      <c r="D263" s="71">
        <v>17</v>
      </c>
      <c r="E263" s="70">
        <v>1E-3</v>
      </c>
    </row>
    <row r="264" spans="2:5" ht="15" customHeight="1">
      <c r="B264" s="112"/>
      <c r="C264" s="61" t="s">
        <v>189</v>
      </c>
      <c r="D264" s="71">
        <v>63</v>
      </c>
      <c r="E264" s="70">
        <v>2E-3</v>
      </c>
    </row>
    <row r="265" spans="2:5" ht="15" customHeight="1">
      <c r="B265" s="112"/>
      <c r="C265" s="61" t="s">
        <v>195</v>
      </c>
      <c r="D265" s="71">
        <v>1</v>
      </c>
      <c r="E265" s="70">
        <v>0</v>
      </c>
    </row>
    <row r="266" spans="2:5" ht="15" customHeight="1">
      <c r="B266" s="112"/>
      <c r="C266" s="61" t="s">
        <v>190</v>
      </c>
      <c r="D266" s="71">
        <v>18</v>
      </c>
      <c r="E266" s="70">
        <v>1E-3</v>
      </c>
    </row>
    <row r="267" spans="2:5" ht="15" customHeight="1">
      <c r="B267" s="112"/>
      <c r="C267" s="61" t="s">
        <v>191</v>
      </c>
      <c r="D267" s="71">
        <v>262</v>
      </c>
      <c r="E267" s="70">
        <v>0.01</v>
      </c>
    </row>
    <row r="268" spans="2:5" ht="15" customHeight="1">
      <c r="B268" s="112"/>
      <c r="C268" s="61" t="s">
        <v>156</v>
      </c>
      <c r="D268" s="71">
        <v>5</v>
      </c>
      <c r="E268" s="70">
        <v>0</v>
      </c>
    </row>
    <row r="269" spans="2:5" ht="15" customHeight="1">
      <c r="B269" s="112"/>
      <c r="C269" s="61" t="s">
        <v>196</v>
      </c>
      <c r="D269" s="71">
        <v>24</v>
      </c>
      <c r="E269" s="70">
        <v>1E-3</v>
      </c>
    </row>
    <row r="270" spans="2:5" ht="15" customHeight="1">
      <c r="B270" s="112"/>
      <c r="C270" s="61" t="s">
        <v>157</v>
      </c>
      <c r="D270" s="71">
        <v>149</v>
      </c>
      <c r="E270" s="70">
        <v>5.0000000000000001E-3</v>
      </c>
    </row>
    <row r="271" spans="2:5" ht="15" customHeight="1">
      <c r="B271" s="112"/>
      <c r="C271" s="61" t="s">
        <v>158</v>
      </c>
      <c r="D271" s="71">
        <v>5</v>
      </c>
      <c r="E271" s="70">
        <v>0</v>
      </c>
    </row>
    <row r="272" spans="2:5" ht="15" customHeight="1">
      <c r="B272" s="112"/>
      <c r="C272" s="61" t="s">
        <v>192</v>
      </c>
      <c r="D272" s="71">
        <v>15</v>
      </c>
      <c r="E272" s="70">
        <v>1E-3</v>
      </c>
    </row>
    <row r="273" spans="2:5" ht="15" customHeight="1">
      <c r="B273" s="112"/>
      <c r="C273" s="61" t="s">
        <v>159</v>
      </c>
      <c r="D273" s="71">
        <v>360</v>
      </c>
      <c r="E273" s="70">
        <v>1.2999999999999999E-2</v>
      </c>
    </row>
    <row r="274" spans="2:5" ht="15" customHeight="1">
      <c r="B274" s="112"/>
      <c r="C274" s="61" t="s">
        <v>160</v>
      </c>
      <c r="D274" s="71">
        <v>213</v>
      </c>
      <c r="E274" s="70">
        <v>8.0000000000000002E-3</v>
      </c>
    </row>
    <row r="275" spans="2:5" ht="15" customHeight="1">
      <c r="B275" s="112"/>
      <c r="C275" s="74" t="s">
        <v>309</v>
      </c>
      <c r="D275" s="59">
        <v>2792</v>
      </c>
      <c r="E275" s="75">
        <v>0.10299999999999999</v>
      </c>
    </row>
    <row r="276" spans="2:5" ht="15" customHeight="1">
      <c r="B276" s="112" t="s">
        <v>45</v>
      </c>
      <c r="C276" s="61" t="s">
        <v>163</v>
      </c>
      <c r="D276" s="71">
        <v>4</v>
      </c>
      <c r="E276" s="70">
        <v>0</v>
      </c>
    </row>
    <row r="277" spans="2:5" ht="15" customHeight="1">
      <c r="B277" s="112"/>
      <c r="C277" s="61" t="s">
        <v>197</v>
      </c>
      <c r="D277" s="71">
        <v>32</v>
      </c>
      <c r="E277" s="70">
        <v>1E-3</v>
      </c>
    </row>
    <row r="278" spans="2:5" ht="15" customHeight="1">
      <c r="B278" s="112"/>
      <c r="C278" s="61" t="s">
        <v>165</v>
      </c>
      <c r="D278" s="71">
        <v>1</v>
      </c>
      <c r="E278" s="70">
        <v>0</v>
      </c>
    </row>
    <row r="279" spans="2:5" ht="15" customHeight="1">
      <c r="B279" s="112"/>
      <c r="C279" s="61" t="s">
        <v>166</v>
      </c>
      <c r="D279" s="71">
        <v>12</v>
      </c>
      <c r="E279" s="70">
        <v>0</v>
      </c>
    </row>
    <row r="280" spans="2:5" ht="15" customHeight="1">
      <c r="B280" s="112"/>
      <c r="C280" s="61" t="s">
        <v>167</v>
      </c>
      <c r="D280" s="71">
        <v>29</v>
      </c>
      <c r="E280" s="70">
        <v>1E-3</v>
      </c>
    </row>
    <row r="281" spans="2:5" ht="15" customHeight="1">
      <c r="B281" s="112"/>
      <c r="C281" s="61" t="s">
        <v>168</v>
      </c>
      <c r="D281" s="71">
        <v>70</v>
      </c>
      <c r="E281" s="70">
        <v>3.0000000000000001E-3</v>
      </c>
    </row>
    <row r="282" spans="2:5" ht="15" customHeight="1">
      <c r="B282" s="112"/>
      <c r="C282" s="61" t="s">
        <v>169</v>
      </c>
      <c r="D282" s="71">
        <v>38</v>
      </c>
      <c r="E282" s="70">
        <v>1E-3</v>
      </c>
    </row>
    <row r="283" spans="2:5" ht="15" customHeight="1">
      <c r="B283" s="112"/>
      <c r="C283" s="61" t="s">
        <v>161</v>
      </c>
      <c r="D283" s="71">
        <v>1</v>
      </c>
      <c r="E283" s="70">
        <v>0</v>
      </c>
    </row>
    <row r="284" spans="2:5" ht="15" customHeight="1">
      <c r="B284" s="112"/>
      <c r="C284" s="61" t="s">
        <v>285</v>
      </c>
      <c r="D284" s="71">
        <v>2</v>
      </c>
      <c r="E284" s="70">
        <v>0</v>
      </c>
    </row>
    <row r="285" spans="2:5" ht="15" customHeight="1">
      <c r="B285" s="112"/>
      <c r="C285" s="61" t="s">
        <v>170</v>
      </c>
      <c r="D285" s="71">
        <v>2</v>
      </c>
      <c r="E285" s="70">
        <v>0</v>
      </c>
    </row>
    <row r="286" spans="2:5" ht="15" customHeight="1">
      <c r="B286" s="112"/>
      <c r="C286" s="61" t="s">
        <v>198</v>
      </c>
      <c r="D286" s="71">
        <v>3</v>
      </c>
      <c r="E286" s="70">
        <v>0</v>
      </c>
    </row>
    <row r="287" spans="2:5" ht="15" customHeight="1">
      <c r="B287" s="112"/>
      <c r="C287" s="61" t="s">
        <v>146</v>
      </c>
      <c r="D287" s="71">
        <v>467</v>
      </c>
      <c r="E287" s="70">
        <v>1.7000000000000001E-2</v>
      </c>
    </row>
    <row r="288" spans="2:5" ht="15" customHeight="1">
      <c r="B288" s="112"/>
      <c r="C288" s="61" t="s">
        <v>171</v>
      </c>
      <c r="D288" s="71">
        <v>52</v>
      </c>
      <c r="E288" s="70">
        <v>2E-3</v>
      </c>
    </row>
    <row r="289" spans="2:5" ht="15" customHeight="1">
      <c r="B289" s="112"/>
      <c r="C289" s="61" t="s">
        <v>172</v>
      </c>
      <c r="D289" s="71">
        <v>4</v>
      </c>
      <c r="E289" s="70">
        <v>0</v>
      </c>
    </row>
    <row r="290" spans="2:5" ht="15" customHeight="1">
      <c r="B290" s="112"/>
      <c r="C290" s="61" t="s">
        <v>147</v>
      </c>
      <c r="D290" s="71">
        <v>180</v>
      </c>
      <c r="E290" s="70">
        <v>7.0000000000000001E-3</v>
      </c>
    </row>
    <row r="291" spans="2:5" ht="15" customHeight="1">
      <c r="B291" s="112"/>
      <c r="C291" s="61" t="s">
        <v>173</v>
      </c>
      <c r="D291" s="71">
        <v>123</v>
      </c>
      <c r="E291" s="70">
        <v>5.0000000000000001E-3</v>
      </c>
    </row>
    <row r="292" spans="2:5" ht="15" customHeight="1">
      <c r="B292" s="112"/>
      <c r="C292" s="61" t="s">
        <v>148</v>
      </c>
      <c r="D292" s="71">
        <v>231</v>
      </c>
      <c r="E292" s="70">
        <v>8.0000000000000002E-3</v>
      </c>
    </row>
    <row r="293" spans="2:5" ht="15" customHeight="1">
      <c r="B293" s="112"/>
      <c r="C293" s="61" t="s">
        <v>199</v>
      </c>
      <c r="D293" s="71">
        <v>2</v>
      </c>
      <c r="E293" s="70">
        <v>0</v>
      </c>
    </row>
    <row r="294" spans="2:5" ht="15" customHeight="1">
      <c r="B294" s="112"/>
      <c r="C294" s="61" t="s">
        <v>174</v>
      </c>
      <c r="D294" s="71">
        <v>63</v>
      </c>
      <c r="E294" s="70">
        <v>2E-3</v>
      </c>
    </row>
    <row r="295" spans="2:5" ht="15" customHeight="1">
      <c r="B295" s="112"/>
      <c r="C295" s="61" t="s">
        <v>175</v>
      </c>
      <c r="D295" s="71">
        <v>38</v>
      </c>
      <c r="E295" s="70">
        <v>1E-3</v>
      </c>
    </row>
    <row r="296" spans="2:5" ht="15" customHeight="1">
      <c r="B296" s="112"/>
      <c r="C296" s="61" t="s">
        <v>176</v>
      </c>
      <c r="D296" s="71">
        <v>105</v>
      </c>
      <c r="E296" s="70">
        <v>4.0000000000000001E-3</v>
      </c>
    </row>
    <row r="297" spans="2:5" ht="15" customHeight="1">
      <c r="B297" s="112"/>
      <c r="C297" s="61" t="s">
        <v>177</v>
      </c>
      <c r="D297" s="71">
        <v>242</v>
      </c>
      <c r="E297" s="70">
        <v>8.9999999999999993E-3</v>
      </c>
    </row>
    <row r="298" spans="2:5" ht="15" customHeight="1">
      <c r="B298" s="112"/>
      <c r="C298" s="61" t="s">
        <v>149</v>
      </c>
      <c r="D298" s="71">
        <v>8</v>
      </c>
      <c r="E298" s="70">
        <v>0</v>
      </c>
    </row>
    <row r="299" spans="2:5" ht="15" customHeight="1">
      <c r="B299" s="112"/>
      <c r="C299" s="61" t="s">
        <v>150</v>
      </c>
      <c r="D299" s="71">
        <v>104</v>
      </c>
      <c r="E299" s="70">
        <v>4.0000000000000001E-3</v>
      </c>
    </row>
    <row r="300" spans="2:5" ht="15" customHeight="1">
      <c r="B300" s="112"/>
      <c r="C300" s="61" t="s">
        <v>193</v>
      </c>
      <c r="D300" s="71">
        <v>12</v>
      </c>
      <c r="E300" s="70">
        <v>0</v>
      </c>
    </row>
    <row r="301" spans="2:5" ht="15" customHeight="1">
      <c r="B301" s="112"/>
      <c r="C301" s="61" t="s">
        <v>178</v>
      </c>
      <c r="D301" s="71">
        <v>54</v>
      </c>
      <c r="E301" s="70">
        <v>2E-3</v>
      </c>
    </row>
    <row r="302" spans="2:5" ht="15" customHeight="1">
      <c r="B302" s="112"/>
      <c r="C302" s="61" t="s">
        <v>200</v>
      </c>
      <c r="D302" s="71">
        <v>9</v>
      </c>
      <c r="E302" s="70">
        <v>0</v>
      </c>
    </row>
    <row r="303" spans="2:5" ht="15" customHeight="1">
      <c r="B303" s="112"/>
      <c r="C303" s="61" t="s">
        <v>151</v>
      </c>
      <c r="D303" s="71">
        <v>174</v>
      </c>
      <c r="E303" s="70">
        <v>6.0000000000000001E-3</v>
      </c>
    </row>
    <row r="304" spans="2:5" ht="15" customHeight="1">
      <c r="B304" s="112"/>
      <c r="C304" s="61" t="s">
        <v>201</v>
      </c>
      <c r="D304" s="71">
        <v>1</v>
      </c>
      <c r="E304" s="70">
        <v>0</v>
      </c>
    </row>
    <row r="305" spans="2:5" ht="15" customHeight="1">
      <c r="B305" s="112"/>
      <c r="C305" s="61" t="s">
        <v>180</v>
      </c>
      <c r="D305" s="71">
        <v>9</v>
      </c>
      <c r="E305" s="70">
        <v>0</v>
      </c>
    </row>
    <row r="306" spans="2:5" ht="15" customHeight="1">
      <c r="B306" s="112"/>
      <c r="C306" s="61" t="s">
        <v>202</v>
      </c>
      <c r="D306" s="71">
        <v>2</v>
      </c>
      <c r="E306" s="70">
        <v>0</v>
      </c>
    </row>
    <row r="307" spans="2:5" ht="15" customHeight="1">
      <c r="B307" s="112"/>
      <c r="C307" s="61" t="s">
        <v>181</v>
      </c>
      <c r="D307" s="71">
        <v>2</v>
      </c>
      <c r="E307" s="70">
        <v>0</v>
      </c>
    </row>
    <row r="308" spans="2:5" ht="15" customHeight="1">
      <c r="B308" s="112"/>
      <c r="C308" s="61" t="s">
        <v>152</v>
      </c>
      <c r="D308" s="71">
        <v>183</v>
      </c>
      <c r="E308" s="70">
        <v>7.0000000000000001E-3</v>
      </c>
    </row>
    <row r="309" spans="2:5" ht="15" customHeight="1">
      <c r="B309" s="112"/>
      <c r="C309" s="61" t="s">
        <v>203</v>
      </c>
      <c r="D309" s="71">
        <v>28</v>
      </c>
      <c r="E309" s="70">
        <v>1E-3</v>
      </c>
    </row>
    <row r="310" spans="2:5" ht="15" customHeight="1">
      <c r="B310" s="112"/>
      <c r="C310" s="61" t="s">
        <v>162</v>
      </c>
      <c r="D310" s="71">
        <v>80</v>
      </c>
      <c r="E310" s="70">
        <v>3.0000000000000001E-3</v>
      </c>
    </row>
    <row r="311" spans="2:5" ht="15" customHeight="1">
      <c r="B311" s="112"/>
      <c r="C311" s="61" t="s">
        <v>153</v>
      </c>
      <c r="D311" s="71">
        <v>407</v>
      </c>
      <c r="E311" s="70">
        <v>1.4999999999999999E-2</v>
      </c>
    </row>
    <row r="312" spans="2:5" ht="15" customHeight="1">
      <c r="B312" s="112"/>
      <c r="C312" s="61" t="s">
        <v>182</v>
      </c>
      <c r="D312" s="71">
        <v>1</v>
      </c>
      <c r="E312" s="70">
        <v>0</v>
      </c>
    </row>
    <row r="313" spans="2:5" ht="15" customHeight="1">
      <c r="B313" s="112"/>
      <c r="C313" s="61" t="s">
        <v>154</v>
      </c>
      <c r="D313" s="71">
        <v>601</v>
      </c>
      <c r="E313" s="70">
        <v>2.1999999999999999E-2</v>
      </c>
    </row>
    <row r="314" spans="2:5" ht="15" customHeight="1">
      <c r="B314" s="112"/>
      <c r="C314" s="61" t="s">
        <v>183</v>
      </c>
      <c r="D314" s="71">
        <v>217</v>
      </c>
      <c r="E314" s="70">
        <v>8.0000000000000002E-3</v>
      </c>
    </row>
    <row r="315" spans="2:5" ht="15" customHeight="1">
      <c r="B315" s="112"/>
      <c r="C315" s="61" t="s">
        <v>155</v>
      </c>
      <c r="D315" s="71">
        <v>439</v>
      </c>
      <c r="E315" s="70">
        <v>1.6E-2</v>
      </c>
    </row>
    <row r="316" spans="2:5" ht="15" customHeight="1">
      <c r="B316" s="112"/>
      <c r="C316" s="61" t="s">
        <v>194</v>
      </c>
      <c r="D316" s="71">
        <v>2</v>
      </c>
      <c r="E316" s="70">
        <v>0</v>
      </c>
    </row>
    <row r="317" spans="2:5" ht="15" customHeight="1">
      <c r="B317" s="112"/>
      <c r="C317" s="61" t="s">
        <v>185</v>
      </c>
      <c r="D317" s="71">
        <v>21</v>
      </c>
      <c r="E317" s="70">
        <v>1E-3</v>
      </c>
    </row>
    <row r="318" spans="2:5" ht="15" customHeight="1">
      <c r="B318" s="112"/>
      <c r="C318" s="61" t="s">
        <v>186</v>
      </c>
      <c r="D318" s="71">
        <v>21</v>
      </c>
      <c r="E318" s="70">
        <v>1E-3</v>
      </c>
    </row>
    <row r="319" spans="2:5" ht="15" customHeight="1">
      <c r="B319" s="112"/>
      <c r="C319" s="61" t="s">
        <v>187</v>
      </c>
      <c r="D319" s="71">
        <v>8</v>
      </c>
      <c r="E319" s="70">
        <v>0</v>
      </c>
    </row>
    <row r="320" spans="2:5" ht="15" customHeight="1">
      <c r="B320" s="112"/>
      <c r="C320" s="61" t="s">
        <v>188</v>
      </c>
      <c r="D320" s="71">
        <v>1</v>
      </c>
      <c r="E320" s="70">
        <v>0</v>
      </c>
    </row>
    <row r="321" spans="2:5" ht="15" customHeight="1">
      <c r="B321" s="112"/>
      <c r="C321" s="61" t="s">
        <v>189</v>
      </c>
      <c r="D321" s="71">
        <v>35</v>
      </c>
      <c r="E321" s="70">
        <v>1E-3</v>
      </c>
    </row>
    <row r="322" spans="2:5" ht="15" customHeight="1">
      <c r="B322" s="112"/>
      <c r="C322" s="61" t="s">
        <v>195</v>
      </c>
      <c r="D322" s="71">
        <v>3</v>
      </c>
      <c r="E322" s="70">
        <v>0</v>
      </c>
    </row>
    <row r="323" spans="2:5" ht="15" customHeight="1">
      <c r="B323" s="112"/>
      <c r="C323" s="61" t="s">
        <v>190</v>
      </c>
      <c r="D323" s="71">
        <v>8</v>
      </c>
      <c r="E323" s="70">
        <v>0</v>
      </c>
    </row>
    <row r="324" spans="2:5" ht="15" customHeight="1">
      <c r="B324" s="112"/>
      <c r="C324" s="61" t="s">
        <v>191</v>
      </c>
      <c r="D324" s="71">
        <v>139</v>
      </c>
      <c r="E324" s="70">
        <v>5.0000000000000001E-3</v>
      </c>
    </row>
    <row r="325" spans="2:5" ht="15" customHeight="1">
      <c r="B325" s="112"/>
      <c r="C325" s="61" t="s">
        <v>156</v>
      </c>
      <c r="D325" s="71">
        <v>8</v>
      </c>
      <c r="E325" s="70">
        <v>0</v>
      </c>
    </row>
    <row r="326" spans="2:5" ht="15" customHeight="1">
      <c r="B326" s="112"/>
      <c r="C326" s="61" t="s">
        <v>196</v>
      </c>
      <c r="D326" s="71">
        <v>21</v>
      </c>
      <c r="E326" s="70">
        <v>1E-3</v>
      </c>
    </row>
    <row r="327" spans="2:5" ht="15" customHeight="1">
      <c r="B327" s="112"/>
      <c r="C327" s="61" t="s">
        <v>157</v>
      </c>
      <c r="D327" s="71">
        <v>37</v>
      </c>
      <c r="E327" s="70">
        <v>1E-3</v>
      </c>
    </row>
    <row r="328" spans="2:5" ht="15" customHeight="1">
      <c r="B328" s="112"/>
      <c r="C328" s="61" t="s">
        <v>158</v>
      </c>
      <c r="D328" s="71">
        <v>80</v>
      </c>
      <c r="E328" s="70">
        <v>3.0000000000000001E-3</v>
      </c>
    </row>
    <row r="329" spans="2:5" ht="15" customHeight="1">
      <c r="B329" s="112"/>
      <c r="C329" s="61" t="s">
        <v>192</v>
      </c>
      <c r="D329" s="71">
        <v>54</v>
      </c>
      <c r="E329" s="70">
        <v>2E-3</v>
      </c>
    </row>
    <row r="330" spans="2:5" ht="15" customHeight="1">
      <c r="B330" s="112"/>
      <c r="C330" s="61" t="s">
        <v>159</v>
      </c>
      <c r="D330" s="71">
        <v>44</v>
      </c>
      <c r="E330" s="70">
        <v>2E-3</v>
      </c>
    </row>
    <row r="331" spans="2:5" ht="15" customHeight="1">
      <c r="B331" s="112"/>
      <c r="C331" s="61" t="s">
        <v>160</v>
      </c>
      <c r="D331" s="71">
        <v>162</v>
      </c>
      <c r="E331" s="70">
        <v>6.0000000000000001E-3</v>
      </c>
    </row>
    <row r="332" spans="2:5" ht="15" customHeight="1">
      <c r="B332" s="112"/>
      <c r="C332" s="74" t="s">
        <v>309</v>
      </c>
      <c r="D332" s="59">
        <v>4676</v>
      </c>
      <c r="E332" s="75">
        <v>0.17199999999999999</v>
      </c>
    </row>
    <row r="333" spans="2:5" ht="15" customHeight="1">
      <c r="B333" s="112" t="s">
        <v>89</v>
      </c>
      <c r="C333" s="61" t="s">
        <v>146</v>
      </c>
      <c r="D333" s="71">
        <v>3</v>
      </c>
      <c r="E333" s="70">
        <v>0</v>
      </c>
    </row>
    <row r="334" spans="2:5" ht="15" customHeight="1">
      <c r="B334" s="112"/>
      <c r="C334" s="61" t="s">
        <v>148</v>
      </c>
      <c r="D334" s="71">
        <v>1</v>
      </c>
      <c r="E334" s="70">
        <v>0</v>
      </c>
    </row>
    <row r="335" spans="2:5" ht="15" customHeight="1">
      <c r="B335" s="112"/>
      <c r="C335" s="61" t="s">
        <v>151</v>
      </c>
      <c r="D335" s="71">
        <v>1</v>
      </c>
      <c r="E335" s="70">
        <v>0</v>
      </c>
    </row>
    <row r="336" spans="2:5" ht="15" customHeight="1">
      <c r="B336" s="112"/>
      <c r="C336" s="61" t="s">
        <v>153</v>
      </c>
      <c r="D336" s="71">
        <v>4</v>
      </c>
      <c r="E336" s="70">
        <v>0</v>
      </c>
    </row>
    <row r="337" spans="2:5" ht="15" customHeight="1">
      <c r="B337" s="112"/>
      <c r="C337" s="61" t="s">
        <v>183</v>
      </c>
      <c r="D337" s="71">
        <v>3</v>
      </c>
      <c r="E337" s="70">
        <v>0</v>
      </c>
    </row>
    <row r="338" spans="2:5" ht="15" customHeight="1">
      <c r="B338" s="112"/>
      <c r="C338" s="61" t="s">
        <v>191</v>
      </c>
      <c r="D338" s="71">
        <v>2</v>
      </c>
      <c r="E338" s="70">
        <v>0</v>
      </c>
    </row>
    <row r="339" spans="2:5" ht="15" customHeight="1">
      <c r="B339" s="112"/>
      <c r="C339" s="61" t="s">
        <v>160</v>
      </c>
      <c r="D339" s="71">
        <v>1</v>
      </c>
      <c r="E339" s="70">
        <v>0</v>
      </c>
    </row>
    <row r="340" spans="2:5" ht="15" customHeight="1">
      <c r="B340" s="112"/>
      <c r="C340" s="74" t="s">
        <v>309</v>
      </c>
      <c r="D340" s="77">
        <v>15</v>
      </c>
      <c r="E340" s="75">
        <v>1E-3</v>
      </c>
    </row>
    <row r="341" spans="2:5" ht="15" customHeight="1">
      <c r="B341" s="112" t="s">
        <v>50</v>
      </c>
      <c r="C341" s="61" t="s">
        <v>163</v>
      </c>
      <c r="D341" s="71">
        <v>2</v>
      </c>
      <c r="E341" s="70">
        <v>0</v>
      </c>
    </row>
    <row r="342" spans="2:5" ht="15" customHeight="1">
      <c r="B342" s="112"/>
      <c r="C342" s="61" t="s">
        <v>165</v>
      </c>
      <c r="D342" s="71">
        <v>1</v>
      </c>
      <c r="E342" s="70">
        <v>0</v>
      </c>
    </row>
    <row r="343" spans="2:5" ht="15" customHeight="1">
      <c r="B343" s="112"/>
      <c r="C343" s="61" t="s">
        <v>166</v>
      </c>
      <c r="D343" s="71">
        <v>10</v>
      </c>
      <c r="E343" s="70">
        <v>0</v>
      </c>
    </row>
    <row r="344" spans="2:5" ht="15" customHeight="1">
      <c r="B344" s="112"/>
      <c r="C344" s="61" t="s">
        <v>167</v>
      </c>
      <c r="D344" s="71">
        <v>5</v>
      </c>
      <c r="E344" s="70">
        <v>0</v>
      </c>
    </row>
    <row r="345" spans="2:5" ht="15" customHeight="1">
      <c r="B345" s="112"/>
      <c r="C345" s="61" t="s">
        <v>168</v>
      </c>
      <c r="D345" s="71">
        <v>64</v>
      </c>
      <c r="E345" s="70">
        <v>2E-3</v>
      </c>
    </row>
    <row r="346" spans="2:5" ht="15" customHeight="1">
      <c r="B346" s="112"/>
      <c r="C346" s="61" t="s">
        <v>169</v>
      </c>
      <c r="D346" s="71">
        <v>4</v>
      </c>
      <c r="E346" s="70">
        <v>0</v>
      </c>
    </row>
    <row r="347" spans="2:5" ht="15" customHeight="1">
      <c r="B347" s="112"/>
      <c r="C347" s="61" t="s">
        <v>161</v>
      </c>
      <c r="D347" s="71">
        <v>11</v>
      </c>
      <c r="E347" s="70">
        <v>0</v>
      </c>
    </row>
    <row r="348" spans="2:5" ht="15" customHeight="1">
      <c r="B348" s="112"/>
      <c r="C348" s="61" t="s">
        <v>285</v>
      </c>
      <c r="D348" s="71">
        <v>49</v>
      </c>
      <c r="E348" s="70">
        <v>2E-3</v>
      </c>
    </row>
    <row r="349" spans="2:5" ht="15" customHeight="1">
      <c r="B349" s="112"/>
      <c r="C349" s="61" t="s">
        <v>198</v>
      </c>
      <c r="D349" s="71">
        <v>1</v>
      </c>
      <c r="E349" s="70">
        <v>0</v>
      </c>
    </row>
    <row r="350" spans="2:5" ht="15" customHeight="1">
      <c r="B350" s="112"/>
      <c r="C350" s="61" t="s">
        <v>146</v>
      </c>
      <c r="D350" s="71">
        <v>445</v>
      </c>
      <c r="E350" s="70">
        <v>1.6E-2</v>
      </c>
    </row>
    <row r="351" spans="2:5" ht="15" customHeight="1">
      <c r="B351" s="112"/>
      <c r="C351" s="61" t="s">
        <v>171</v>
      </c>
      <c r="D351" s="71">
        <v>7</v>
      </c>
      <c r="E351" s="70">
        <v>0</v>
      </c>
    </row>
    <row r="352" spans="2:5" ht="15" customHeight="1">
      <c r="B352" s="112"/>
      <c r="C352" s="61" t="s">
        <v>147</v>
      </c>
      <c r="D352" s="71">
        <v>12</v>
      </c>
      <c r="E352" s="70">
        <v>0</v>
      </c>
    </row>
    <row r="353" spans="2:5" ht="15" customHeight="1">
      <c r="B353" s="112"/>
      <c r="C353" s="61" t="s">
        <v>173</v>
      </c>
      <c r="D353" s="71">
        <v>9</v>
      </c>
      <c r="E353" s="70">
        <v>0</v>
      </c>
    </row>
    <row r="354" spans="2:5" ht="15" customHeight="1">
      <c r="B354" s="112"/>
      <c r="C354" s="61" t="s">
        <v>148</v>
      </c>
      <c r="D354" s="71">
        <v>46</v>
      </c>
      <c r="E354" s="70">
        <v>2E-3</v>
      </c>
    </row>
    <row r="355" spans="2:5" ht="15" customHeight="1">
      <c r="B355" s="112"/>
      <c r="C355" s="61" t="s">
        <v>199</v>
      </c>
      <c r="D355" s="71">
        <v>4</v>
      </c>
      <c r="E355" s="70">
        <v>0</v>
      </c>
    </row>
    <row r="356" spans="2:5" ht="15" customHeight="1">
      <c r="B356" s="112"/>
      <c r="C356" s="61" t="s">
        <v>174</v>
      </c>
      <c r="D356" s="71">
        <v>6</v>
      </c>
      <c r="E356" s="70">
        <v>0</v>
      </c>
    </row>
    <row r="357" spans="2:5" ht="15" customHeight="1">
      <c r="B357" s="112"/>
      <c r="C357" s="61" t="s">
        <v>175</v>
      </c>
      <c r="D357" s="71">
        <v>48</v>
      </c>
      <c r="E357" s="70">
        <v>2E-3</v>
      </c>
    </row>
    <row r="358" spans="2:5" ht="15" customHeight="1">
      <c r="B358" s="112"/>
      <c r="C358" s="61" t="s">
        <v>176</v>
      </c>
      <c r="D358" s="71">
        <v>16</v>
      </c>
      <c r="E358" s="70">
        <v>1E-3</v>
      </c>
    </row>
    <row r="359" spans="2:5" ht="15" customHeight="1">
      <c r="B359" s="112"/>
      <c r="C359" s="61" t="s">
        <v>177</v>
      </c>
      <c r="D359" s="71">
        <v>6</v>
      </c>
      <c r="E359" s="70">
        <v>0</v>
      </c>
    </row>
    <row r="360" spans="2:5" ht="15" customHeight="1">
      <c r="B360" s="112"/>
      <c r="C360" s="61" t="s">
        <v>149</v>
      </c>
      <c r="D360" s="71">
        <v>6</v>
      </c>
      <c r="E360" s="70">
        <v>0</v>
      </c>
    </row>
    <row r="361" spans="2:5" ht="15" customHeight="1">
      <c r="B361" s="112"/>
      <c r="C361" s="61" t="s">
        <v>150</v>
      </c>
      <c r="D361" s="71">
        <v>105</v>
      </c>
      <c r="E361" s="70">
        <v>4.0000000000000001E-3</v>
      </c>
    </row>
    <row r="362" spans="2:5" ht="15" customHeight="1">
      <c r="B362" s="112"/>
      <c r="C362" s="61" t="s">
        <v>193</v>
      </c>
      <c r="D362" s="71">
        <v>53</v>
      </c>
      <c r="E362" s="70">
        <v>2E-3</v>
      </c>
    </row>
    <row r="363" spans="2:5" ht="15" customHeight="1">
      <c r="B363" s="112"/>
      <c r="C363" s="61" t="s">
        <v>178</v>
      </c>
      <c r="D363" s="71">
        <v>12</v>
      </c>
      <c r="E363" s="70">
        <v>0</v>
      </c>
    </row>
    <row r="364" spans="2:5" ht="15" customHeight="1">
      <c r="B364" s="112"/>
      <c r="C364" s="61" t="s">
        <v>151</v>
      </c>
      <c r="D364" s="71">
        <v>17</v>
      </c>
      <c r="E364" s="70">
        <v>1E-3</v>
      </c>
    </row>
    <row r="365" spans="2:5" ht="15" customHeight="1">
      <c r="B365" s="112"/>
      <c r="C365" s="61" t="s">
        <v>180</v>
      </c>
      <c r="D365" s="71">
        <v>7</v>
      </c>
      <c r="E365" s="70">
        <v>0</v>
      </c>
    </row>
    <row r="366" spans="2:5" ht="15" customHeight="1">
      <c r="B366" s="112"/>
      <c r="C366" s="61" t="s">
        <v>202</v>
      </c>
      <c r="D366" s="71">
        <v>4</v>
      </c>
      <c r="E366" s="70">
        <v>0</v>
      </c>
    </row>
    <row r="367" spans="2:5" ht="15" customHeight="1">
      <c r="B367" s="112"/>
      <c r="C367" s="61" t="s">
        <v>152</v>
      </c>
      <c r="D367" s="71">
        <v>4</v>
      </c>
      <c r="E367" s="70">
        <v>0</v>
      </c>
    </row>
    <row r="368" spans="2:5" ht="15" customHeight="1">
      <c r="B368" s="112"/>
      <c r="C368" s="61" t="s">
        <v>203</v>
      </c>
      <c r="D368" s="71">
        <v>6</v>
      </c>
      <c r="E368" s="70">
        <v>0</v>
      </c>
    </row>
    <row r="369" spans="2:5" ht="15" customHeight="1">
      <c r="B369" s="112"/>
      <c r="C369" s="61" t="s">
        <v>162</v>
      </c>
      <c r="D369" s="71">
        <v>57</v>
      </c>
      <c r="E369" s="70">
        <v>2E-3</v>
      </c>
    </row>
    <row r="370" spans="2:5" ht="15" customHeight="1">
      <c r="B370" s="112"/>
      <c r="C370" s="61" t="s">
        <v>153</v>
      </c>
      <c r="D370" s="71">
        <v>27</v>
      </c>
      <c r="E370" s="70">
        <v>1E-3</v>
      </c>
    </row>
    <row r="371" spans="2:5" ht="15" customHeight="1">
      <c r="B371" s="112"/>
      <c r="C371" s="61" t="s">
        <v>182</v>
      </c>
      <c r="D371" s="71">
        <v>4</v>
      </c>
      <c r="E371" s="70">
        <v>0</v>
      </c>
    </row>
    <row r="372" spans="2:5" ht="15" customHeight="1">
      <c r="B372" s="112"/>
      <c r="C372" s="61" t="s">
        <v>154</v>
      </c>
      <c r="D372" s="71">
        <v>34</v>
      </c>
      <c r="E372" s="70">
        <v>1E-3</v>
      </c>
    </row>
    <row r="373" spans="2:5" ht="15" customHeight="1">
      <c r="B373" s="112"/>
      <c r="C373" s="61" t="s">
        <v>183</v>
      </c>
      <c r="D373" s="71">
        <v>62</v>
      </c>
      <c r="E373" s="70">
        <v>2E-3</v>
      </c>
    </row>
    <row r="374" spans="2:5" ht="15" customHeight="1">
      <c r="B374" s="112"/>
      <c r="C374" s="61" t="s">
        <v>155</v>
      </c>
      <c r="D374" s="71">
        <v>45</v>
      </c>
      <c r="E374" s="70">
        <v>2E-3</v>
      </c>
    </row>
    <row r="375" spans="2:5" ht="15" customHeight="1">
      <c r="B375" s="112"/>
      <c r="C375" s="61" t="s">
        <v>194</v>
      </c>
      <c r="D375" s="71">
        <v>4</v>
      </c>
      <c r="E375" s="70">
        <v>0</v>
      </c>
    </row>
    <row r="376" spans="2:5" ht="15" customHeight="1">
      <c r="B376" s="112"/>
      <c r="C376" s="61" t="s">
        <v>185</v>
      </c>
      <c r="D376" s="71">
        <v>7</v>
      </c>
      <c r="E376" s="70">
        <v>0</v>
      </c>
    </row>
    <row r="377" spans="2:5" ht="15" customHeight="1">
      <c r="B377" s="112"/>
      <c r="C377" s="61" t="s">
        <v>186</v>
      </c>
      <c r="D377" s="71">
        <v>6</v>
      </c>
      <c r="E377" s="70">
        <v>0</v>
      </c>
    </row>
    <row r="378" spans="2:5" ht="15" customHeight="1">
      <c r="B378" s="112"/>
      <c r="C378" s="61" t="s">
        <v>187</v>
      </c>
      <c r="D378" s="71">
        <v>3</v>
      </c>
      <c r="E378" s="70">
        <v>0</v>
      </c>
    </row>
    <row r="379" spans="2:5" ht="15" customHeight="1">
      <c r="B379" s="112"/>
      <c r="C379" s="61" t="s">
        <v>188</v>
      </c>
      <c r="D379" s="71">
        <v>1</v>
      </c>
      <c r="E379" s="70">
        <v>0</v>
      </c>
    </row>
    <row r="380" spans="2:5" ht="15" customHeight="1">
      <c r="B380" s="112"/>
      <c r="C380" s="61" t="s">
        <v>189</v>
      </c>
      <c r="D380" s="71">
        <v>49</v>
      </c>
      <c r="E380" s="70">
        <v>2E-3</v>
      </c>
    </row>
    <row r="381" spans="2:5" ht="15" customHeight="1">
      <c r="B381" s="112"/>
      <c r="C381" s="61" t="s">
        <v>195</v>
      </c>
      <c r="D381" s="71">
        <v>1</v>
      </c>
      <c r="E381" s="70">
        <v>0</v>
      </c>
    </row>
    <row r="382" spans="2:5" ht="15" customHeight="1">
      <c r="B382" s="112"/>
      <c r="C382" s="61" t="s">
        <v>191</v>
      </c>
      <c r="D382" s="71">
        <v>119</v>
      </c>
      <c r="E382" s="70">
        <v>4.0000000000000001E-3</v>
      </c>
    </row>
    <row r="383" spans="2:5" ht="15" customHeight="1">
      <c r="B383" s="112"/>
      <c r="C383" s="61" t="s">
        <v>156</v>
      </c>
      <c r="D383" s="71">
        <v>1</v>
      </c>
      <c r="E383" s="70">
        <v>0</v>
      </c>
    </row>
    <row r="384" spans="2:5" ht="15" customHeight="1">
      <c r="B384" s="112"/>
      <c r="C384" s="61" t="s">
        <v>196</v>
      </c>
      <c r="D384" s="71">
        <v>14</v>
      </c>
      <c r="E384" s="70">
        <v>1E-3</v>
      </c>
    </row>
    <row r="385" spans="2:5" ht="15" customHeight="1">
      <c r="B385" s="112"/>
      <c r="C385" s="61" t="s">
        <v>157</v>
      </c>
      <c r="D385" s="71">
        <v>1</v>
      </c>
      <c r="E385" s="70">
        <v>0</v>
      </c>
    </row>
    <row r="386" spans="2:5" ht="15" customHeight="1">
      <c r="B386" s="112"/>
      <c r="C386" s="61" t="s">
        <v>158</v>
      </c>
      <c r="D386" s="71">
        <v>2</v>
      </c>
      <c r="E386" s="70">
        <v>0</v>
      </c>
    </row>
    <row r="387" spans="2:5" ht="15" customHeight="1">
      <c r="B387" s="112"/>
      <c r="C387" s="61" t="s">
        <v>192</v>
      </c>
      <c r="D387" s="71">
        <v>21</v>
      </c>
      <c r="E387" s="70">
        <v>1E-3</v>
      </c>
    </row>
    <row r="388" spans="2:5" ht="15" customHeight="1">
      <c r="B388" s="112"/>
      <c r="C388" s="61" t="s">
        <v>159</v>
      </c>
      <c r="D388" s="71">
        <v>16</v>
      </c>
      <c r="E388" s="70">
        <v>1E-3</v>
      </c>
    </row>
    <row r="389" spans="2:5" ht="15" customHeight="1">
      <c r="B389" s="112"/>
      <c r="C389" s="61" t="s">
        <v>160</v>
      </c>
      <c r="D389" s="71">
        <v>53</v>
      </c>
      <c r="E389" s="70">
        <v>2E-3</v>
      </c>
    </row>
    <row r="390" spans="2:5" ht="15" customHeight="1">
      <c r="B390" s="112"/>
      <c r="C390" s="74" t="s">
        <v>309</v>
      </c>
      <c r="D390" s="59">
        <v>1487</v>
      </c>
      <c r="E390" s="75">
        <v>5.5E-2</v>
      </c>
    </row>
    <row r="391" spans="2:5" ht="15" customHeight="1">
      <c r="B391" s="112" t="s">
        <v>60</v>
      </c>
      <c r="C391" s="61" t="s">
        <v>163</v>
      </c>
      <c r="D391" s="71">
        <v>1</v>
      </c>
      <c r="E391" s="70">
        <v>0</v>
      </c>
    </row>
    <row r="392" spans="2:5" ht="15" customHeight="1">
      <c r="B392" s="112"/>
      <c r="C392" s="61" t="s">
        <v>165</v>
      </c>
      <c r="D392" s="71">
        <v>2</v>
      </c>
      <c r="E392" s="70">
        <v>0</v>
      </c>
    </row>
    <row r="393" spans="2:5" ht="15" customHeight="1">
      <c r="B393" s="112"/>
      <c r="C393" s="61" t="s">
        <v>166</v>
      </c>
      <c r="D393" s="71">
        <v>8</v>
      </c>
      <c r="E393" s="70">
        <v>0</v>
      </c>
    </row>
    <row r="394" spans="2:5" ht="15" customHeight="1">
      <c r="B394" s="112"/>
      <c r="C394" s="61" t="s">
        <v>167</v>
      </c>
      <c r="D394" s="71">
        <v>3</v>
      </c>
      <c r="E394" s="70">
        <v>0</v>
      </c>
    </row>
    <row r="395" spans="2:5" ht="15" customHeight="1">
      <c r="B395" s="112"/>
      <c r="C395" s="61" t="s">
        <v>168</v>
      </c>
      <c r="D395" s="71">
        <v>1</v>
      </c>
      <c r="E395" s="70">
        <v>0</v>
      </c>
    </row>
    <row r="396" spans="2:5" ht="15" customHeight="1">
      <c r="B396" s="112"/>
      <c r="C396" s="61" t="s">
        <v>169</v>
      </c>
      <c r="D396" s="71">
        <v>2</v>
      </c>
      <c r="E396" s="70">
        <v>0</v>
      </c>
    </row>
    <row r="397" spans="2:5" ht="15" customHeight="1">
      <c r="B397" s="112"/>
      <c r="C397" s="61" t="s">
        <v>285</v>
      </c>
      <c r="D397" s="71">
        <v>5</v>
      </c>
      <c r="E397" s="70">
        <v>0</v>
      </c>
    </row>
    <row r="398" spans="2:5" ht="15" customHeight="1">
      <c r="B398" s="112"/>
      <c r="C398" s="61" t="s">
        <v>170</v>
      </c>
      <c r="D398" s="71">
        <v>1</v>
      </c>
      <c r="E398" s="70">
        <v>0</v>
      </c>
    </row>
    <row r="399" spans="2:5" ht="15" customHeight="1">
      <c r="B399" s="112"/>
      <c r="C399" s="61" t="s">
        <v>146</v>
      </c>
      <c r="D399" s="71">
        <v>84</v>
      </c>
      <c r="E399" s="70">
        <v>3.0000000000000001E-3</v>
      </c>
    </row>
    <row r="400" spans="2:5" ht="15" customHeight="1">
      <c r="B400" s="112"/>
      <c r="C400" s="61" t="s">
        <v>171</v>
      </c>
      <c r="D400" s="71">
        <v>3</v>
      </c>
      <c r="E400" s="70">
        <v>0</v>
      </c>
    </row>
    <row r="401" spans="2:5" ht="15" customHeight="1">
      <c r="B401" s="112"/>
      <c r="C401" s="61" t="s">
        <v>147</v>
      </c>
      <c r="D401" s="71">
        <v>4</v>
      </c>
      <c r="E401" s="70">
        <v>0</v>
      </c>
    </row>
    <row r="402" spans="2:5" ht="15" customHeight="1">
      <c r="B402" s="112"/>
      <c r="C402" s="61" t="s">
        <v>173</v>
      </c>
      <c r="D402" s="71">
        <v>20</v>
      </c>
      <c r="E402" s="70">
        <v>1E-3</v>
      </c>
    </row>
    <row r="403" spans="2:5" ht="15" customHeight="1">
      <c r="B403" s="112"/>
      <c r="C403" s="61" t="s">
        <v>148</v>
      </c>
      <c r="D403" s="71">
        <v>32</v>
      </c>
      <c r="E403" s="70">
        <v>1E-3</v>
      </c>
    </row>
    <row r="404" spans="2:5" ht="15" customHeight="1">
      <c r="B404" s="112"/>
      <c r="C404" s="61" t="s">
        <v>174</v>
      </c>
      <c r="D404" s="71">
        <v>2</v>
      </c>
      <c r="E404" s="70">
        <v>0</v>
      </c>
    </row>
    <row r="405" spans="2:5" ht="15" customHeight="1">
      <c r="B405" s="112"/>
      <c r="C405" s="61" t="s">
        <v>175</v>
      </c>
      <c r="D405" s="71">
        <v>2</v>
      </c>
      <c r="E405" s="70">
        <v>0</v>
      </c>
    </row>
    <row r="406" spans="2:5" ht="15" customHeight="1">
      <c r="B406" s="112"/>
      <c r="C406" s="61" t="s">
        <v>177</v>
      </c>
      <c r="D406" s="71">
        <v>1</v>
      </c>
      <c r="E406" s="70">
        <v>0</v>
      </c>
    </row>
    <row r="407" spans="2:5" ht="15" customHeight="1">
      <c r="B407" s="112"/>
      <c r="C407" s="61" t="s">
        <v>149</v>
      </c>
      <c r="D407" s="71">
        <v>2</v>
      </c>
      <c r="E407" s="70">
        <v>0</v>
      </c>
    </row>
    <row r="408" spans="2:5" ht="15" customHeight="1">
      <c r="B408" s="112"/>
      <c r="C408" s="61" t="s">
        <v>150</v>
      </c>
      <c r="D408" s="71">
        <v>37</v>
      </c>
      <c r="E408" s="70">
        <v>1E-3</v>
      </c>
    </row>
    <row r="409" spans="2:5" ht="15" customHeight="1">
      <c r="B409" s="112"/>
      <c r="C409" s="61" t="s">
        <v>178</v>
      </c>
      <c r="D409" s="71">
        <v>1</v>
      </c>
      <c r="E409" s="70">
        <v>0</v>
      </c>
    </row>
    <row r="410" spans="2:5" ht="15" customHeight="1">
      <c r="B410" s="112"/>
      <c r="C410" s="61" t="s">
        <v>151</v>
      </c>
      <c r="D410" s="71">
        <v>2</v>
      </c>
      <c r="E410" s="70">
        <v>0</v>
      </c>
    </row>
    <row r="411" spans="2:5" ht="15" customHeight="1">
      <c r="B411" s="112"/>
      <c r="C411" s="61" t="s">
        <v>181</v>
      </c>
      <c r="D411" s="71">
        <v>2</v>
      </c>
      <c r="E411" s="70">
        <v>0</v>
      </c>
    </row>
    <row r="412" spans="2:5" ht="15" customHeight="1">
      <c r="B412" s="112"/>
      <c r="C412" s="61" t="s">
        <v>152</v>
      </c>
      <c r="D412" s="71">
        <v>2</v>
      </c>
      <c r="E412" s="70">
        <v>0</v>
      </c>
    </row>
    <row r="413" spans="2:5" ht="15" customHeight="1">
      <c r="B413" s="112"/>
      <c r="C413" s="61" t="s">
        <v>203</v>
      </c>
      <c r="D413" s="71">
        <v>101</v>
      </c>
      <c r="E413" s="70">
        <v>4.0000000000000001E-3</v>
      </c>
    </row>
    <row r="414" spans="2:5" ht="15" customHeight="1">
      <c r="B414" s="112"/>
      <c r="C414" s="61" t="s">
        <v>162</v>
      </c>
      <c r="D414" s="71">
        <v>57</v>
      </c>
      <c r="E414" s="70">
        <v>2E-3</v>
      </c>
    </row>
    <row r="415" spans="2:5" ht="15" customHeight="1">
      <c r="B415" s="112"/>
      <c r="C415" s="61" t="s">
        <v>153</v>
      </c>
      <c r="D415" s="71">
        <v>139</v>
      </c>
      <c r="E415" s="70">
        <v>5.0000000000000001E-3</v>
      </c>
    </row>
    <row r="416" spans="2:5" ht="15" customHeight="1">
      <c r="B416" s="112"/>
      <c r="C416" s="61" t="s">
        <v>182</v>
      </c>
      <c r="D416" s="71">
        <v>1</v>
      </c>
      <c r="E416" s="70">
        <v>0</v>
      </c>
    </row>
    <row r="417" spans="2:5" ht="15" customHeight="1">
      <c r="B417" s="112"/>
      <c r="C417" s="61" t="s">
        <v>154</v>
      </c>
      <c r="D417" s="71">
        <v>9</v>
      </c>
      <c r="E417" s="70">
        <v>0</v>
      </c>
    </row>
    <row r="418" spans="2:5" ht="15" customHeight="1">
      <c r="B418" s="112"/>
      <c r="C418" s="61" t="s">
        <v>183</v>
      </c>
      <c r="D418" s="71">
        <v>1</v>
      </c>
      <c r="E418" s="70">
        <v>0</v>
      </c>
    </row>
    <row r="419" spans="2:5" ht="15" customHeight="1">
      <c r="B419" s="112"/>
      <c r="C419" s="61" t="s">
        <v>155</v>
      </c>
      <c r="D419" s="71">
        <v>5</v>
      </c>
      <c r="E419" s="70">
        <v>0</v>
      </c>
    </row>
    <row r="420" spans="2:5" ht="15" customHeight="1">
      <c r="B420" s="112"/>
      <c r="C420" s="61" t="s">
        <v>186</v>
      </c>
      <c r="D420" s="71">
        <v>1</v>
      </c>
      <c r="E420" s="70">
        <v>0</v>
      </c>
    </row>
    <row r="421" spans="2:5" ht="15" customHeight="1">
      <c r="B421" s="112"/>
      <c r="C421" s="61" t="s">
        <v>189</v>
      </c>
      <c r="D421" s="71">
        <v>13</v>
      </c>
      <c r="E421" s="70">
        <v>0</v>
      </c>
    </row>
    <row r="422" spans="2:5" ht="15" customHeight="1">
      <c r="B422" s="112"/>
      <c r="C422" s="61" t="s">
        <v>191</v>
      </c>
      <c r="D422" s="71">
        <v>16</v>
      </c>
      <c r="E422" s="70">
        <v>1E-3</v>
      </c>
    </row>
    <row r="423" spans="2:5" ht="15" customHeight="1">
      <c r="B423" s="112"/>
      <c r="C423" s="61" t="s">
        <v>156</v>
      </c>
      <c r="D423" s="71">
        <v>1</v>
      </c>
      <c r="E423" s="70">
        <v>0</v>
      </c>
    </row>
    <row r="424" spans="2:5" ht="15" customHeight="1">
      <c r="B424" s="112"/>
      <c r="C424" s="61" t="s">
        <v>196</v>
      </c>
      <c r="D424" s="71">
        <v>2</v>
      </c>
      <c r="E424" s="70">
        <v>0</v>
      </c>
    </row>
    <row r="425" spans="2:5" ht="15" customHeight="1">
      <c r="B425" s="112"/>
      <c r="C425" s="61" t="s">
        <v>157</v>
      </c>
      <c r="D425" s="71">
        <v>22</v>
      </c>
      <c r="E425" s="70">
        <v>1E-3</v>
      </c>
    </row>
    <row r="426" spans="2:5" ht="15" customHeight="1">
      <c r="B426" s="112"/>
      <c r="C426" s="61" t="s">
        <v>158</v>
      </c>
      <c r="D426" s="71">
        <v>5</v>
      </c>
      <c r="E426" s="70">
        <v>0</v>
      </c>
    </row>
    <row r="427" spans="2:5" ht="15" customHeight="1">
      <c r="B427" s="112"/>
      <c r="C427" s="61" t="s">
        <v>192</v>
      </c>
      <c r="D427" s="71">
        <v>9</v>
      </c>
      <c r="E427" s="70">
        <v>0</v>
      </c>
    </row>
    <row r="428" spans="2:5" ht="15" customHeight="1">
      <c r="B428" s="112"/>
      <c r="C428" s="61" t="s">
        <v>159</v>
      </c>
      <c r="D428" s="71">
        <v>3</v>
      </c>
      <c r="E428" s="70">
        <v>0</v>
      </c>
    </row>
    <row r="429" spans="2:5" ht="15" customHeight="1">
      <c r="B429" s="112"/>
      <c r="C429" s="61" t="s">
        <v>160</v>
      </c>
      <c r="D429" s="71">
        <v>32</v>
      </c>
      <c r="E429" s="70">
        <v>1E-3</v>
      </c>
    </row>
    <row r="430" spans="2:5" ht="15" customHeight="1">
      <c r="B430" s="112"/>
      <c r="C430" s="74" t="s">
        <v>309</v>
      </c>
      <c r="D430" s="77">
        <v>634</v>
      </c>
      <c r="E430" s="75">
        <v>2.3E-2</v>
      </c>
    </row>
    <row r="431" spans="2:5" ht="15" customHeight="1">
      <c r="B431" s="112" t="s">
        <v>93</v>
      </c>
      <c r="C431" s="61" t="s">
        <v>174</v>
      </c>
      <c r="D431" s="71">
        <v>2</v>
      </c>
      <c r="E431" s="70">
        <v>0</v>
      </c>
    </row>
    <row r="432" spans="2:5" ht="15" customHeight="1">
      <c r="B432" s="112"/>
      <c r="C432" s="61" t="s">
        <v>175</v>
      </c>
      <c r="D432" s="71">
        <v>1</v>
      </c>
      <c r="E432" s="70">
        <v>0</v>
      </c>
    </row>
    <row r="433" spans="2:5" ht="15" customHeight="1">
      <c r="B433" s="112"/>
      <c r="C433" s="61" t="s">
        <v>150</v>
      </c>
      <c r="D433" s="71">
        <v>1</v>
      </c>
      <c r="E433" s="70">
        <v>0</v>
      </c>
    </row>
    <row r="434" spans="2:5" ht="15" customHeight="1">
      <c r="B434" s="112"/>
      <c r="C434" s="61" t="s">
        <v>179</v>
      </c>
      <c r="D434" s="71">
        <v>1</v>
      </c>
      <c r="E434" s="70">
        <v>0</v>
      </c>
    </row>
    <row r="435" spans="2:5" ht="15" customHeight="1">
      <c r="B435" s="112"/>
      <c r="C435" s="61" t="s">
        <v>154</v>
      </c>
      <c r="D435" s="71">
        <v>2</v>
      </c>
      <c r="E435" s="70">
        <v>0</v>
      </c>
    </row>
    <row r="436" spans="2:5" ht="15" customHeight="1">
      <c r="B436" s="112"/>
      <c r="C436" s="61" t="s">
        <v>190</v>
      </c>
      <c r="D436" s="71">
        <v>1</v>
      </c>
      <c r="E436" s="70">
        <v>0</v>
      </c>
    </row>
    <row r="437" spans="2:5" ht="15" customHeight="1">
      <c r="B437" s="112"/>
      <c r="C437" s="61" t="s">
        <v>191</v>
      </c>
      <c r="D437" s="71">
        <v>4</v>
      </c>
      <c r="E437" s="70">
        <v>0</v>
      </c>
    </row>
    <row r="438" spans="2:5" ht="15" customHeight="1">
      <c r="B438" s="112"/>
      <c r="C438" s="74" t="s">
        <v>309</v>
      </c>
      <c r="D438" s="77">
        <v>12</v>
      </c>
      <c r="E438" s="75">
        <v>0</v>
      </c>
    </row>
    <row r="439" spans="2:5" ht="15" customHeight="1">
      <c r="B439" s="112" t="s">
        <v>73</v>
      </c>
      <c r="C439" s="61" t="s">
        <v>168</v>
      </c>
      <c r="D439" s="71">
        <v>2</v>
      </c>
      <c r="E439" s="70">
        <v>0</v>
      </c>
    </row>
    <row r="440" spans="2:5" ht="15" customHeight="1">
      <c r="B440" s="112"/>
      <c r="C440" s="61" t="s">
        <v>161</v>
      </c>
      <c r="D440" s="71">
        <v>1</v>
      </c>
      <c r="E440" s="70">
        <v>0</v>
      </c>
    </row>
    <row r="441" spans="2:5" ht="15" customHeight="1">
      <c r="B441" s="112"/>
      <c r="C441" s="61" t="s">
        <v>146</v>
      </c>
      <c r="D441" s="71">
        <v>33</v>
      </c>
      <c r="E441" s="70">
        <v>1E-3</v>
      </c>
    </row>
    <row r="442" spans="2:5" ht="15" customHeight="1">
      <c r="B442" s="112"/>
      <c r="C442" s="61" t="s">
        <v>147</v>
      </c>
      <c r="D442" s="71">
        <v>9</v>
      </c>
      <c r="E442" s="70">
        <v>0</v>
      </c>
    </row>
    <row r="443" spans="2:5" ht="15" customHeight="1">
      <c r="B443" s="112"/>
      <c r="C443" s="61" t="s">
        <v>148</v>
      </c>
      <c r="D443" s="71">
        <v>6</v>
      </c>
      <c r="E443" s="70">
        <v>0</v>
      </c>
    </row>
    <row r="444" spans="2:5" ht="15" customHeight="1">
      <c r="B444" s="112"/>
      <c r="C444" s="61" t="s">
        <v>174</v>
      </c>
      <c r="D444" s="71">
        <v>1</v>
      </c>
      <c r="E444" s="70">
        <v>0</v>
      </c>
    </row>
    <row r="445" spans="2:5" ht="15" customHeight="1">
      <c r="B445" s="112"/>
      <c r="C445" s="61" t="s">
        <v>175</v>
      </c>
      <c r="D445" s="71">
        <v>4</v>
      </c>
      <c r="E445" s="70">
        <v>0</v>
      </c>
    </row>
    <row r="446" spans="2:5" ht="15" customHeight="1">
      <c r="B446" s="112"/>
      <c r="C446" s="61" t="s">
        <v>177</v>
      </c>
      <c r="D446" s="71">
        <v>5</v>
      </c>
      <c r="E446" s="70">
        <v>0</v>
      </c>
    </row>
    <row r="447" spans="2:5" ht="15" customHeight="1">
      <c r="B447" s="112"/>
      <c r="C447" s="61" t="s">
        <v>149</v>
      </c>
      <c r="D447" s="71">
        <v>1</v>
      </c>
      <c r="E447" s="70">
        <v>0</v>
      </c>
    </row>
    <row r="448" spans="2:5" ht="15" customHeight="1">
      <c r="B448" s="112"/>
      <c r="C448" s="61" t="s">
        <v>150</v>
      </c>
      <c r="D448" s="71">
        <v>4</v>
      </c>
      <c r="E448" s="70">
        <v>0</v>
      </c>
    </row>
    <row r="449" spans="2:5" ht="15" customHeight="1">
      <c r="B449" s="112"/>
      <c r="C449" s="61" t="s">
        <v>193</v>
      </c>
      <c r="D449" s="71">
        <v>2</v>
      </c>
      <c r="E449" s="70">
        <v>0</v>
      </c>
    </row>
    <row r="450" spans="2:5" ht="15" customHeight="1">
      <c r="B450" s="112"/>
      <c r="C450" s="61" t="s">
        <v>178</v>
      </c>
      <c r="D450" s="71">
        <v>5</v>
      </c>
      <c r="E450" s="70">
        <v>0</v>
      </c>
    </row>
    <row r="451" spans="2:5" ht="15" customHeight="1">
      <c r="B451" s="112"/>
      <c r="C451" s="61" t="s">
        <v>179</v>
      </c>
      <c r="D451" s="71">
        <v>1</v>
      </c>
      <c r="E451" s="70">
        <v>0</v>
      </c>
    </row>
    <row r="452" spans="2:5" ht="15" customHeight="1">
      <c r="B452" s="112"/>
      <c r="C452" s="61" t="s">
        <v>151</v>
      </c>
      <c r="D452" s="71">
        <v>13</v>
      </c>
      <c r="E452" s="70">
        <v>0</v>
      </c>
    </row>
    <row r="453" spans="2:5" ht="15" customHeight="1">
      <c r="B453" s="112"/>
      <c r="C453" s="61" t="s">
        <v>201</v>
      </c>
      <c r="D453" s="71">
        <v>1</v>
      </c>
      <c r="E453" s="70">
        <v>0</v>
      </c>
    </row>
    <row r="454" spans="2:5" ht="15" customHeight="1">
      <c r="B454" s="112"/>
      <c r="C454" s="61" t="s">
        <v>180</v>
      </c>
      <c r="D454" s="71">
        <v>1</v>
      </c>
      <c r="E454" s="70">
        <v>0</v>
      </c>
    </row>
    <row r="455" spans="2:5" ht="15" customHeight="1">
      <c r="B455" s="112"/>
      <c r="C455" s="61" t="s">
        <v>153</v>
      </c>
      <c r="D455" s="71">
        <v>6</v>
      </c>
      <c r="E455" s="70">
        <v>0</v>
      </c>
    </row>
    <row r="456" spans="2:5" ht="15" customHeight="1">
      <c r="B456" s="112"/>
      <c r="C456" s="61" t="s">
        <v>154</v>
      </c>
      <c r="D456" s="71">
        <v>8</v>
      </c>
      <c r="E456" s="70">
        <v>0</v>
      </c>
    </row>
    <row r="457" spans="2:5" ht="15" customHeight="1">
      <c r="B457" s="112"/>
      <c r="C457" s="61" t="s">
        <v>183</v>
      </c>
      <c r="D457" s="71">
        <v>8</v>
      </c>
      <c r="E457" s="70">
        <v>0</v>
      </c>
    </row>
    <row r="458" spans="2:5" ht="15" customHeight="1">
      <c r="B458" s="112"/>
      <c r="C458" s="61" t="s">
        <v>155</v>
      </c>
      <c r="D458" s="71">
        <v>17</v>
      </c>
      <c r="E458" s="70">
        <v>1E-3</v>
      </c>
    </row>
    <row r="459" spans="2:5" ht="15" customHeight="1">
      <c r="B459" s="112"/>
      <c r="C459" s="61" t="s">
        <v>185</v>
      </c>
      <c r="D459" s="71">
        <v>1</v>
      </c>
      <c r="E459" s="70">
        <v>0</v>
      </c>
    </row>
    <row r="460" spans="2:5" ht="15" customHeight="1">
      <c r="B460" s="112"/>
      <c r="C460" s="61" t="s">
        <v>186</v>
      </c>
      <c r="D460" s="71">
        <v>2</v>
      </c>
      <c r="E460" s="70">
        <v>0</v>
      </c>
    </row>
    <row r="461" spans="2:5" ht="15" customHeight="1">
      <c r="B461" s="112"/>
      <c r="C461" s="61" t="s">
        <v>189</v>
      </c>
      <c r="D461" s="71">
        <v>4</v>
      </c>
      <c r="E461" s="70">
        <v>0</v>
      </c>
    </row>
    <row r="462" spans="2:5" ht="15" customHeight="1">
      <c r="B462" s="112"/>
      <c r="C462" s="61" t="s">
        <v>191</v>
      </c>
      <c r="D462" s="71">
        <v>8</v>
      </c>
      <c r="E462" s="70">
        <v>0</v>
      </c>
    </row>
    <row r="463" spans="2:5" ht="15" customHeight="1">
      <c r="B463" s="112"/>
      <c r="C463" s="61" t="s">
        <v>196</v>
      </c>
      <c r="D463" s="71">
        <v>2</v>
      </c>
      <c r="E463" s="70">
        <v>0</v>
      </c>
    </row>
    <row r="464" spans="2:5" ht="15" customHeight="1">
      <c r="B464" s="112"/>
      <c r="C464" s="61" t="s">
        <v>192</v>
      </c>
      <c r="D464" s="71">
        <v>2</v>
      </c>
      <c r="E464" s="70">
        <v>0</v>
      </c>
    </row>
    <row r="465" spans="2:5" ht="15" customHeight="1">
      <c r="B465" s="112"/>
      <c r="C465" s="61" t="s">
        <v>159</v>
      </c>
      <c r="D465" s="71">
        <v>2</v>
      </c>
      <c r="E465" s="70">
        <v>0</v>
      </c>
    </row>
    <row r="466" spans="2:5" ht="15" customHeight="1">
      <c r="B466" s="112"/>
      <c r="C466" s="61" t="s">
        <v>160</v>
      </c>
      <c r="D466" s="71">
        <v>13</v>
      </c>
      <c r="E466" s="70">
        <v>0</v>
      </c>
    </row>
    <row r="467" spans="2:5" ht="15" customHeight="1">
      <c r="B467" s="112"/>
      <c r="C467" s="74" t="s">
        <v>309</v>
      </c>
      <c r="D467" s="77">
        <v>162</v>
      </c>
      <c r="E467" s="75">
        <v>6.0000000000000001E-3</v>
      </c>
    </row>
    <row r="468" spans="2:5" ht="15" customHeight="1">
      <c r="B468" s="112" t="s">
        <v>81</v>
      </c>
      <c r="C468" s="61" t="s">
        <v>164</v>
      </c>
      <c r="D468" s="71">
        <v>1</v>
      </c>
      <c r="E468" s="70">
        <v>0</v>
      </c>
    </row>
    <row r="469" spans="2:5" ht="15" customHeight="1">
      <c r="B469" s="112"/>
      <c r="C469" s="61" t="s">
        <v>166</v>
      </c>
      <c r="D469" s="71">
        <v>2</v>
      </c>
      <c r="E469" s="70">
        <v>0</v>
      </c>
    </row>
    <row r="470" spans="2:5" ht="15" customHeight="1">
      <c r="B470" s="112"/>
      <c r="C470" s="61" t="s">
        <v>167</v>
      </c>
      <c r="D470" s="71">
        <v>1</v>
      </c>
      <c r="E470" s="70">
        <v>0</v>
      </c>
    </row>
    <row r="471" spans="2:5" ht="15" customHeight="1">
      <c r="B471" s="112"/>
      <c r="C471" s="61" t="s">
        <v>146</v>
      </c>
      <c r="D471" s="71">
        <v>28</v>
      </c>
      <c r="E471" s="70">
        <v>1E-3</v>
      </c>
    </row>
    <row r="472" spans="2:5" ht="15" customHeight="1">
      <c r="B472" s="112"/>
      <c r="C472" s="61" t="s">
        <v>173</v>
      </c>
      <c r="D472" s="71">
        <v>1</v>
      </c>
      <c r="E472" s="70">
        <v>0</v>
      </c>
    </row>
    <row r="473" spans="2:5" ht="15" customHeight="1">
      <c r="B473" s="112"/>
      <c r="C473" s="61" t="s">
        <v>148</v>
      </c>
      <c r="D473" s="71">
        <v>7</v>
      </c>
      <c r="E473" s="70">
        <v>0</v>
      </c>
    </row>
    <row r="474" spans="2:5" ht="15" customHeight="1">
      <c r="B474" s="112"/>
      <c r="C474" s="61" t="s">
        <v>175</v>
      </c>
      <c r="D474" s="71">
        <v>1</v>
      </c>
      <c r="E474" s="70">
        <v>0</v>
      </c>
    </row>
    <row r="475" spans="2:5" ht="15" customHeight="1">
      <c r="B475" s="112"/>
      <c r="C475" s="61" t="s">
        <v>153</v>
      </c>
      <c r="D475" s="71">
        <v>10</v>
      </c>
      <c r="E475" s="70">
        <v>0</v>
      </c>
    </row>
    <row r="476" spans="2:5" ht="15" customHeight="1">
      <c r="B476" s="112"/>
      <c r="C476" s="61" t="s">
        <v>154</v>
      </c>
      <c r="D476" s="71">
        <v>17</v>
      </c>
      <c r="E476" s="70">
        <v>1E-3</v>
      </c>
    </row>
    <row r="477" spans="2:5" ht="15" customHeight="1">
      <c r="B477" s="112"/>
      <c r="C477" s="61" t="s">
        <v>183</v>
      </c>
      <c r="D477" s="71">
        <v>2</v>
      </c>
      <c r="E477" s="70">
        <v>0</v>
      </c>
    </row>
    <row r="478" spans="2:5" ht="15" customHeight="1">
      <c r="B478" s="112"/>
      <c r="C478" s="61" t="s">
        <v>155</v>
      </c>
      <c r="D478" s="71">
        <v>2</v>
      </c>
      <c r="E478" s="70">
        <v>0</v>
      </c>
    </row>
    <row r="479" spans="2:5" ht="15" customHeight="1">
      <c r="B479" s="112"/>
      <c r="C479" s="61" t="s">
        <v>196</v>
      </c>
      <c r="D479" s="71">
        <v>1</v>
      </c>
      <c r="E479" s="70">
        <v>0</v>
      </c>
    </row>
    <row r="480" spans="2:5" ht="15" customHeight="1">
      <c r="B480" s="112"/>
      <c r="C480" s="61" t="s">
        <v>158</v>
      </c>
      <c r="D480" s="71">
        <v>1</v>
      </c>
      <c r="E480" s="70">
        <v>0</v>
      </c>
    </row>
    <row r="481" spans="2:5" ht="15" customHeight="1">
      <c r="B481" s="112"/>
      <c r="C481" s="61" t="s">
        <v>160</v>
      </c>
      <c r="D481" s="71">
        <v>3</v>
      </c>
      <c r="E481" s="70">
        <v>0</v>
      </c>
    </row>
    <row r="482" spans="2:5" ht="15" customHeight="1">
      <c r="B482" s="112"/>
      <c r="C482" s="74" t="s">
        <v>309</v>
      </c>
      <c r="D482" s="77">
        <v>77</v>
      </c>
      <c r="E482" s="75">
        <v>3.0000000000000001E-3</v>
      </c>
    </row>
    <row r="483" spans="2:5" ht="15" customHeight="1">
      <c r="B483" s="112" t="s">
        <v>58</v>
      </c>
      <c r="C483" s="61" t="s">
        <v>163</v>
      </c>
      <c r="D483" s="71">
        <v>19</v>
      </c>
      <c r="E483" s="70">
        <v>1E-3</v>
      </c>
    </row>
    <row r="484" spans="2:5" ht="15" customHeight="1">
      <c r="B484" s="112"/>
      <c r="C484" s="61" t="s">
        <v>197</v>
      </c>
      <c r="D484" s="71">
        <v>4</v>
      </c>
      <c r="E484" s="70">
        <v>0</v>
      </c>
    </row>
    <row r="485" spans="2:5" ht="15" customHeight="1">
      <c r="B485" s="112"/>
      <c r="C485" s="61" t="s">
        <v>164</v>
      </c>
      <c r="D485" s="71">
        <v>8</v>
      </c>
      <c r="E485" s="70">
        <v>0</v>
      </c>
    </row>
    <row r="486" spans="2:5" ht="15" customHeight="1">
      <c r="B486" s="112"/>
      <c r="C486" s="61" t="s">
        <v>165</v>
      </c>
      <c r="D486" s="71">
        <v>2</v>
      </c>
      <c r="E486" s="70">
        <v>0</v>
      </c>
    </row>
    <row r="487" spans="2:5" ht="15" customHeight="1">
      <c r="B487" s="112"/>
      <c r="C487" s="61" t="s">
        <v>166</v>
      </c>
      <c r="D487" s="71">
        <v>7</v>
      </c>
      <c r="E487" s="70">
        <v>0</v>
      </c>
    </row>
    <row r="488" spans="2:5" ht="15" customHeight="1">
      <c r="B488" s="112"/>
      <c r="C488" s="61" t="s">
        <v>168</v>
      </c>
      <c r="D488" s="71">
        <v>2</v>
      </c>
      <c r="E488" s="70">
        <v>0</v>
      </c>
    </row>
    <row r="489" spans="2:5" ht="15" customHeight="1">
      <c r="B489" s="112"/>
      <c r="C489" s="61" t="s">
        <v>161</v>
      </c>
      <c r="D489" s="71">
        <v>6</v>
      </c>
      <c r="E489" s="70">
        <v>0</v>
      </c>
    </row>
    <row r="490" spans="2:5" ht="15" customHeight="1">
      <c r="B490" s="112"/>
      <c r="C490" s="61" t="s">
        <v>170</v>
      </c>
      <c r="D490" s="71">
        <v>1</v>
      </c>
      <c r="E490" s="70">
        <v>0</v>
      </c>
    </row>
    <row r="491" spans="2:5" ht="15" customHeight="1">
      <c r="B491" s="112"/>
      <c r="C491" s="61" t="s">
        <v>146</v>
      </c>
      <c r="D491" s="71">
        <v>26</v>
      </c>
      <c r="E491" s="70">
        <v>1E-3</v>
      </c>
    </row>
    <row r="492" spans="2:5" ht="15" customHeight="1">
      <c r="B492" s="112"/>
      <c r="C492" s="61" t="s">
        <v>171</v>
      </c>
      <c r="D492" s="71">
        <v>6</v>
      </c>
      <c r="E492" s="70">
        <v>0</v>
      </c>
    </row>
    <row r="493" spans="2:5" ht="15" customHeight="1">
      <c r="B493" s="112"/>
      <c r="C493" s="61" t="s">
        <v>172</v>
      </c>
      <c r="D493" s="71">
        <v>5</v>
      </c>
      <c r="E493" s="70">
        <v>0</v>
      </c>
    </row>
    <row r="494" spans="2:5" ht="15" customHeight="1">
      <c r="B494" s="112"/>
      <c r="C494" s="61" t="s">
        <v>147</v>
      </c>
      <c r="D494" s="71">
        <v>1</v>
      </c>
      <c r="E494" s="70">
        <v>0</v>
      </c>
    </row>
    <row r="495" spans="2:5" ht="15" customHeight="1">
      <c r="B495" s="112"/>
      <c r="C495" s="61" t="s">
        <v>173</v>
      </c>
      <c r="D495" s="71">
        <v>3</v>
      </c>
      <c r="E495" s="70">
        <v>0</v>
      </c>
    </row>
    <row r="496" spans="2:5" ht="15" customHeight="1">
      <c r="B496" s="112"/>
      <c r="C496" s="61" t="s">
        <v>148</v>
      </c>
      <c r="D496" s="71">
        <v>7</v>
      </c>
      <c r="E496" s="70">
        <v>0</v>
      </c>
    </row>
    <row r="497" spans="2:5" ht="15" customHeight="1">
      <c r="B497" s="112"/>
      <c r="C497" s="61" t="s">
        <v>199</v>
      </c>
      <c r="D497" s="71">
        <v>18</v>
      </c>
      <c r="E497" s="70">
        <v>1E-3</v>
      </c>
    </row>
    <row r="498" spans="2:5" ht="15" customHeight="1">
      <c r="B498" s="112"/>
      <c r="C498" s="61" t="s">
        <v>174</v>
      </c>
      <c r="D498" s="71">
        <v>38</v>
      </c>
      <c r="E498" s="70">
        <v>1E-3</v>
      </c>
    </row>
    <row r="499" spans="2:5" ht="15" customHeight="1">
      <c r="B499" s="112"/>
      <c r="C499" s="61" t="s">
        <v>175</v>
      </c>
      <c r="D499" s="71">
        <v>25</v>
      </c>
      <c r="E499" s="70">
        <v>1E-3</v>
      </c>
    </row>
    <row r="500" spans="2:5" ht="15" customHeight="1">
      <c r="B500" s="112"/>
      <c r="C500" s="61" t="s">
        <v>149</v>
      </c>
      <c r="D500" s="71">
        <v>31</v>
      </c>
      <c r="E500" s="70">
        <v>1E-3</v>
      </c>
    </row>
    <row r="501" spans="2:5" ht="15" customHeight="1">
      <c r="B501" s="112"/>
      <c r="C501" s="61" t="s">
        <v>150</v>
      </c>
      <c r="D501" s="71">
        <v>5</v>
      </c>
      <c r="E501" s="70">
        <v>0</v>
      </c>
    </row>
    <row r="502" spans="2:5" ht="15" customHeight="1">
      <c r="B502" s="112"/>
      <c r="C502" s="61" t="s">
        <v>193</v>
      </c>
      <c r="D502" s="71">
        <v>5</v>
      </c>
      <c r="E502" s="70">
        <v>0</v>
      </c>
    </row>
    <row r="503" spans="2:5" ht="15" customHeight="1">
      <c r="B503" s="112"/>
      <c r="C503" s="61" t="s">
        <v>179</v>
      </c>
      <c r="D503" s="71">
        <v>9</v>
      </c>
      <c r="E503" s="70">
        <v>0</v>
      </c>
    </row>
    <row r="504" spans="2:5" ht="15" customHeight="1">
      <c r="B504" s="112"/>
      <c r="C504" s="61" t="s">
        <v>151</v>
      </c>
      <c r="D504" s="71">
        <v>3</v>
      </c>
      <c r="E504" s="70">
        <v>0</v>
      </c>
    </row>
    <row r="505" spans="2:5" ht="15" customHeight="1">
      <c r="B505" s="112"/>
      <c r="C505" s="61" t="s">
        <v>201</v>
      </c>
      <c r="D505" s="71">
        <v>3</v>
      </c>
      <c r="E505" s="70">
        <v>0</v>
      </c>
    </row>
    <row r="506" spans="2:5" ht="15" customHeight="1">
      <c r="B506" s="112"/>
      <c r="C506" s="61" t="s">
        <v>180</v>
      </c>
      <c r="D506" s="71">
        <v>6</v>
      </c>
      <c r="E506" s="70">
        <v>0</v>
      </c>
    </row>
    <row r="507" spans="2:5" ht="15" customHeight="1">
      <c r="B507" s="112"/>
      <c r="C507" s="61" t="s">
        <v>202</v>
      </c>
      <c r="D507" s="71">
        <v>1</v>
      </c>
      <c r="E507" s="70">
        <v>0</v>
      </c>
    </row>
    <row r="508" spans="2:5" ht="15" customHeight="1">
      <c r="B508" s="112"/>
      <c r="C508" s="61" t="s">
        <v>181</v>
      </c>
      <c r="D508" s="71">
        <v>25</v>
      </c>
      <c r="E508" s="70">
        <v>1E-3</v>
      </c>
    </row>
    <row r="509" spans="2:5" ht="15" customHeight="1">
      <c r="B509" s="112"/>
      <c r="C509" s="61" t="s">
        <v>152</v>
      </c>
      <c r="D509" s="71">
        <v>56</v>
      </c>
      <c r="E509" s="70">
        <v>2E-3</v>
      </c>
    </row>
    <row r="510" spans="2:5" ht="15" customHeight="1">
      <c r="B510" s="112"/>
      <c r="C510" s="61" t="s">
        <v>203</v>
      </c>
      <c r="D510" s="71">
        <v>1</v>
      </c>
      <c r="E510" s="70">
        <v>0</v>
      </c>
    </row>
    <row r="511" spans="2:5" ht="15" customHeight="1">
      <c r="B511" s="112"/>
      <c r="C511" s="61" t="s">
        <v>162</v>
      </c>
      <c r="D511" s="71">
        <v>9</v>
      </c>
      <c r="E511" s="70">
        <v>0</v>
      </c>
    </row>
    <row r="512" spans="2:5" ht="15" customHeight="1">
      <c r="B512" s="112"/>
      <c r="C512" s="61" t="s">
        <v>153</v>
      </c>
      <c r="D512" s="71">
        <v>7</v>
      </c>
      <c r="E512" s="70">
        <v>0</v>
      </c>
    </row>
    <row r="513" spans="2:5" ht="15" customHeight="1">
      <c r="B513" s="112"/>
      <c r="C513" s="61" t="s">
        <v>182</v>
      </c>
      <c r="D513" s="71">
        <v>1</v>
      </c>
      <c r="E513" s="70">
        <v>0</v>
      </c>
    </row>
    <row r="514" spans="2:5" ht="15" customHeight="1">
      <c r="B514" s="112"/>
      <c r="C514" s="61" t="s">
        <v>154</v>
      </c>
      <c r="D514" s="71">
        <v>4</v>
      </c>
      <c r="E514" s="70">
        <v>0</v>
      </c>
    </row>
    <row r="515" spans="2:5" ht="15" customHeight="1">
      <c r="B515" s="112"/>
      <c r="C515" s="61" t="s">
        <v>183</v>
      </c>
      <c r="D515" s="71">
        <v>2</v>
      </c>
      <c r="E515" s="70">
        <v>0</v>
      </c>
    </row>
    <row r="516" spans="2:5" ht="15" customHeight="1">
      <c r="B516" s="112"/>
      <c r="C516" s="61" t="s">
        <v>155</v>
      </c>
      <c r="D516" s="71">
        <v>6</v>
      </c>
      <c r="E516" s="70">
        <v>0</v>
      </c>
    </row>
    <row r="517" spans="2:5" ht="15" customHeight="1">
      <c r="B517" s="112"/>
      <c r="C517" s="61" t="s">
        <v>194</v>
      </c>
      <c r="D517" s="71">
        <v>3</v>
      </c>
      <c r="E517" s="70">
        <v>0</v>
      </c>
    </row>
    <row r="518" spans="2:5" ht="15" customHeight="1">
      <c r="B518" s="112"/>
      <c r="C518" s="61" t="s">
        <v>185</v>
      </c>
      <c r="D518" s="71">
        <v>23</v>
      </c>
      <c r="E518" s="70">
        <v>1E-3</v>
      </c>
    </row>
    <row r="519" spans="2:5" ht="15" customHeight="1">
      <c r="B519" s="112"/>
      <c r="C519" s="61" t="s">
        <v>186</v>
      </c>
      <c r="D519" s="71">
        <v>7</v>
      </c>
      <c r="E519" s="70">
        <v>0</v>
      </c>
    </row>
    <row r="520" spans="2:5" ht="15" customHeight="1">
      <c r="B520" s="112"/>
      <c r="C520" s="61" t="s">
        <v>187</v>
      </c>
      <c r="D520" s="71">
        <v>13</v>
      </c>
      <c r="E520" s="70">
        <v>0</v>
      </c>
    </row>
    <row r="521" spans="2:5" ht="15" customHeight="1">
      <c r="B521" s="112"/>
      <c r="C521" s="61" t="s">
        <v>188</v>
      </c>
      <c r="D521" s="71">
        <v>9</v>
      </c>
      <c r="E521" s="70">
        <v>0</v>
      </c>
    </row>
    <row r="522" spans="2:5" ht="15" customHeight="1">
      <c r="B522" s="112"/>
      <c r="C522" s="61" t="s">
        <v>189</v>
      </c>
      <c r="D522" s="71">
        <v>34</v>
      </c>
      <c r="E522" s="70">
        <v>1E-3</v>
      </c>
    </row>
    <row r="523" spans="2:5" ht="15" customHeight="1">
      <c r="B523" s="112"/>
      <c r="C523" s="61" t="s">
        <v>190</v>
      </c>
      <c r="D523" s="71">
        <v>6</v>
      </c>
      <c r="E523" s="70">
        <v>0</v>
      </c>
    </row>
    <row r="524" spans="2:5" ht="15" customHeight="1">
      <c r="B524" s="112"/>
      <c r="C524" s="61" t="s">
        <v>191</v>
      </c>
      <c r="D524" s="71">
        <v>29</v>
      </c>
      <c r="E524" s="70">
        <v>1E-3</v>
      </c>
    </row>
    <row r="525" spans="2:5" ht="15" customHeight="1">
      <c r="B525" s="112"/>
      <c r="C525" s="61" t="s">
        <v>156</v>
      </c>
      <c r="D525" s="71">
        <v>1</v>
      </c>
      <c r="E525" s="70">
        <v>0</v>
      </c>
    </row>
    <row r="526" spans="2:5" ht="15" customHeight="1">
      <c r="B526" s="112"/>
      <c r="C526" s="61" t="s">
        <v>196</v>
      </c>
      <c r="D526" s="71">
        <v>3</v>
      </c>
      <c r="E526" s="70">
        <v>0</v>
      </c>
    </row>
    <row r="527" spans="2:5" ht="15" customHeight="1">
      <c r="B527" s="112"/>
      <c r="C527" s="61" t="s">
        <v>192</v>
      </c>
      <c r="D527" s="71">
        <v>2</v>
      </c>
      <c r="E527" s="70">
        <v>0</v>
      </c>
    </row>
    <row r="528" spans="2:5" ht="15" customHeight="1">
      <c r="B528" s="112"/>
      <c r="C528" s="61" t="s">
        <v>159</v>
      </c>
      <c r="D528" s="71">
        <v>21</v>
      </c>
      <c r="E528" s="70">
        <v>1E-3</v>
      </c>
    </row>
    <row r="529" spans="2:5" ht="15" customHeight="1">
      <c r="B529" s="112"/>
      <c r="C529" s="61" t="s">
        <v>160</v>
      </c>
      <c r="D529" s="71">
        <v>13</v>
      </c>
      <c r="E529" s="70">
        <v>0</v>
      </c>
    </row>
    <row r="530" spans="2:5" ht="15" customHeight="1">
      <c r="B530" s="112"/>
      <c r="C530" s="74" t="s">
        <v>309</v>
      </c>
      <c r="D530" s="77">
        <v>516</v>
      </c>
      <c r="E530" s="75">
        <v>1.9E-2</v>
      </c>
    </row>
    <row r="531" spans="2:5" ht="15" customHeight="1">
      <c r="B531" s="112" t="s">
        <v>48</v>
      </c>
      <c r="C531" s="61" t="s">
        <v>163</v>
      </c>
      <c r="D531" s="71">
        <v>9</v>
      </c>
      <c r="E531" s="70">
        <v>0</v>
      </c>
    </row>
    <row r="532" spans="2:5" ht="15" customHeight="1">
      <c r="B532" s="112"/>
      <c r="C532" s="61" t="s">
        <v>197</v>
      </c>
      <c r="D532" s="71">
        <v>1</v>
      </c>
      <c r="E532" s="70">
        <v>0</v>
      </c>
    </row>
    <row r="533" spans="2:5" ht="15" customHeight="1">
      <c r="B533" s="112"/>
      <c r="C533" s="61" t="s">
        <v>164</v>
      </c>
      <c r="D533" s="71">
        <v>5</v>
      </c>
      <c r="E533" s="70">
        <v>0</v>
      </c>
    </row>
    <row r="534" spans="2:5" ht="15" customHeight="1">
      <c r="B534" s="112"/>
      <c r="C534" s="61" t="s">
        <v>165</v>
      </c>
      <c r="D534" s="71">
        <v>1</v>
      </c>
      <c r="E534" s="70">
        <v>0</v>
      </c>
    </row>
    <row r="535" spans="2:5" ht="15" customHeight="1">
      <c r="B535" s="112"/>
      <c r="C535" s="61" t="s">
        <v>166</v>
      </c>
      <c r="D535" s="71">
        <v>13</v>
      </c>
      <c r="E535" s="70">
        <v>0</v>
      </c>
    </row>
    <row r="536" spans="2:5" ht="15" customHeight="1">
      <c r="B536" s="112"/>
      <c r="C536" s="61" t="s">
        <v>167</v>
      </c>
      <c r="D536" s="71">
        <v>7</v>
      </c>
      <c r="E536" s="70">
        <v>0</v>
      </c>
    </row>
    <row r="537" spans="2:5" ht="15" customHeight="1">
      <c r="B537" s="112"/>
      <c r="C537" s="61" t="s">
        <v>168</v>
      </c>
      <c r="D537" s="71">
        <v>10</v>
      </c>
      <c r="E537" s="70">
        <v>0</v>
      </c>
    </row>
    <row r="538" spans="2:5" ht="15" customHeight="1">
      <c r="B538" s="112"/>
      <c r="C538" s="61" t="s">
        <v>169</v>
      </c>
      <c r="D538" s="71">
        <v>21</v>
      </c>
      <c r="E538" s="70">
        <v>1E-3</v>
      </c>
    </row>
    <row r="539" spans="2:5" ht="15" customHeight="1">
      <c r="B539" s="112"/>
      <c r="C539" s="61" t="s">
        <v>161</v>
      </c>
      <c r="D539" s="71">
        <v>4</v>
      </c>
      <c r="E539" s="70">
        <v>0</v>
      </c>
    </row>
    <row r="540" spans="2:5" ht="15" customHeight="1">
      <c r="B540" s="112"/>
      <c r="C540" s="61" t="s">
        <v>198</v>
      </c>
      <c r="D540" s="71">
        <v>4</v>
      </c>
      <c r="E540" s="70">
        <v>0</v>
      </c>
    </row>
    <row r="541" spans="2:5" ht="15" customHeight="1">
      <c r="B541" s="112"/>
      <c r="C541" s="61" t="s">
        <v>146</v>
      </c>
      <c r="D541" s="71">
        <v>308</v>
      </c>
      <c r="E541" s="70">
        <v>1.0999999999999999E-2</v>
      </c>
    </row>
    <row r="542" spans="2:5" ht="15" customHeight="1">
      <c r="B542" s="112"/>
      <c r="C542" s="61" t="s">
        <v>171</v>
      </c>
      <c r="D542" s="71">
        <v>37</v>
      </c>
      <c r="E542" s="70">
        <v>1E-3</v>
      </c>
    </row>
    <row r="543" spans="2:5" ht="15" customHeight="1">
      <c r="B543" s="112"/>
      <c r="C543" s="61" t="s">
        <v>147</v>
      </c>
      <c r="D543" s="71">
        <v>63</v>
      </c>
      <c r="E543" s="70">
        <v>2E-3</v>
      </c>
    </row>
    <row r="544" spans="2:5" ht="15" customHeight="1">
      <c r="B544" s="112"/>
      <c r="C544" s="61" t="s">
        <v>173</v>
      </c>
      <c r="D544" s="71">
        <v>52</v>
      </c>
      <c r="E544" s="70">
        <v>2E-3</v>
      </c>
    </row>
    <row r="545" spans="2:5" ht="15" customHeight="1">
      <c r="B545" s="112"/>
      <c r="C545" s="61" t="s">
        <v>148</v>
      </c>
      <c r="D545" s="71">
        <v>128</v>
      </c>
      <c r="E545" s="70">
        <v>5.0000000000000001E-3</v>
      </c>
    </row>
    <row r="546" spans="2:5" ht="15" customHeight="1">
      <c r="B546" s="112"/>
      <c r="C546" s="61" t="s">
        <v>199</v>
      </c>
      <c r="D546" s="71">
        <v>1</v>
      </c>
      <c r="E546" s="70">
        <v>0</v>
      </c>
    </row>
    <row r="547" spans="2:5" ht="15" customHeight="1">
      <c r="B547" s="112"/>
      <c r="C547" s="61" t="s">
        <v>174</v>
      </c>
      <c r="D547" s="71">
        <v>34</v>
      </c>
      <c r="E547" s="70">
        <v>1E-3</v>
      </c>
    </row>
    <row r="548" spans="2:5" ht="15" customHeight="1">
      <c r="B548" s="112"/>
      <c r="C548" s="61" t="s">
        <v>175</v>
      </c>
      <c r="D548" s="71">
        <v>24</v>
      </c>
      <c r="E548" s="70">
        <v>1E-3</v>
      </c>
    </row>
    <row r="549" spans="2:5" ht="15" customHeight="1">
      <c r="B549" s="112"/>
      <c r="C549" s="61" t="s">
        <v>176</v>
      </c>
      <c r="D549" s="71">
        <v>2</v>
      </c>
      <c r="E549" s="70">
        <v>0</v>
      </c>
    </row>
    <row r="550" spans="2:5" ht="15" customHeight="1">
      <c r="B550" s="112"/>
      <c r="C550" s="61" t="s">
        <v>177</v>
      </c>
      <c r="D550" s="71">
        <v>34</v>
      </c>
      <c r="E550" s="70">
        <v>1E-3</v>
      </c>
    </row>
    <row r="551" spans="2:5" ht="15" customHeight="1">
      <c r="B551" s="112"/>
      <c r="C551" s="61" t="s">
        <v>149</v>
      </c>
      <c r="D551" s="71">
        <v>8</v>
      </c>
      <c r="E551" s="70">
        <v>0</v>
      </c>
    </row>
    <row r="552" spans="2:5" ht="15" customHeight="1">
      <c r="B552" s="112"/>
      <c r="C552" s="61" t="s">
        <v>150</v>
      </c>
      <c r="D552" s="71">
        <v>26</v>
      </c>
      <c r="E552" s="70">
        <v>1E-3</v>
      </c>
    </row>
    <row r="553" spans="2:5" ht="15" customHeight="1">
      <c r="B553" s="112"/>
      <c r="C553" s="61" t="s">
        <v>193</v>
      </c>
      <c r="D553" s="71">
        <v>4</v>
      </c>
      <c r="E553" s="70">
        <v>0</v>
      </c>
    </row>
    <row r="554" spans="2:5" ht="15" customHeight="1">
      <c r="B554" s="112"/>
      <c r="C554" s="61" t="s">
        <v>178</v>
      </c>
      <c r="D554" s="71">
        <v>22</v>
      </c>
      <c r="E554" s="70">
        <v>1E-3</v>
      </c>
    </row>
    <row r="555" spans="2:5" ht="15" customHeight="1">
      <c r="B555" s="112"/>
      <c r="C555" s="61" t="s">
        <v>179</v>
      </c>
      <c r="D555" s="71">
        <v>3</v>
      </c>
      <c r="E555" s="70">
        <v>0</v>
      </c>
    </row>
    <row r="556" spans="2:5" ht="15" customHeight="1">
      <c r="B556" s="112"/>
      <c r="C556" s="61" t="s">
        <v>151</v>
      </c>
      <c r="D556" s="71">
        <v>30</v>
      </c>
      <c r="E556" s="70">
        <v>1E-3</v>
      </c>
    </row>
    <row r="557" spans="2:5" ht="15" customHeight="1">
      <c r="B557" s="112"/>
      <c r="C557" s="61" t="s">
        <v>201</v>
      </c>
      <c r="D557" s="71">
        <v>1</v>
      </c>
      <c r="E557" s="70">
        <v>0</v>
      </c>
    </row>
    <row r="558" spans="2:5" ht="15" customHeight="1">
      <c r="B558" s="112"/>
      <c r="C558" s="61" t="s">
        <v>180</v>
      </c>
      <c r="D558" s="71">
        <v>1</v>
      </c>
      <c r="E558" s="70">
        <v>0</v>
      </c>
    </row>
    <row r="559" spans="2:5" ht="15" customHeight="1">
      <c r="B559" s="112"/>
      <c r="C559" s="61" t="s">
        <v>202</v>
      </c>
      <c r="D559" s="71">
        <v>9</v>
      </c>
      <c r="E559" s="70">
        <v>0</v>
      </c>
    </row>
    <row r="560" spans="2:5" ht="15" customHeight="1">
      <c r="B560" s="112"/>
      <c r="C560" s="61" t="s">
        <v>181</v>
      </c>
      <c r="D560" s="71">
        <v>3</v>
      </c>
      <c r="E560" s="70">
        <v>0</v>
      </c>
    </row>
    <row r="561" spans="2:5" ht="15" customHeight="1">
      <c r="B561" s="112"/>
      <c r="C561" s="61" t="s">
        <v>152</v>
      </c>
      <c r="D561" s="71">
        <v>19</v>
      </c>
      <c r="E561" s="70">
        <v>1E-3</v>
      </c>
    </row>
    <row r="562" spans="2:5" ht="15" customHeight="1">
      <c r="B562" s="112"/>
      <c r="C562" s="61" t="s">
        <v>203</v>
      </c>
      <c r="D562" s="71">
        <v>20</v>
      </c>
      <c r="E562" s="70">
        <v>1E-3</v>
      </c>
    </row>
    <row r="563" spans="2:5" ht="15" customHeight="1">
      <c r="B563" s="112"/>
      <c r="C563" s="61" t="s">
        <v>162</v>
      </c>
      <c r="D563" s="71">
        <v>62</v>
      </c>
      <c r="E563" s="70">
        <v>2E-3</v>
      </c>
    </row>
    <row r="564" spans="2:5" ht="15" customHeight="1">
      <c r="B564" s="112"/>
      <c r="C564" s="61" t="s">
        <v>153</v>
      </c>
      <c r="D564" s="71">
        <v>240</v>
      </c>
      <c r="E564" s="70">
        <v>8.9999999999999993E-3</v>
      </c>
    </row>
    <row r="565" spans="2:5" ht="15" customHeight="1">
      <c r="B565" s="112"/>
      <c r="C565" s="61" t="s">
        <v>182</v>
      </c>
      <c r="D565" s="71">
        <v>10</v>
      </c>
      <c r="E565" s="70">
        <v>0</v>
      </c>
    </row>
    <row r="566" spans="2:5" ht="15" customHeight="1">
      <c r="B566" s="112"/>
      <c r="C566" s="61" t="s">
        <v>154</v>
      </c>
      <c r="D566" s="71">
        <v>280</v>
      </c>
      <c r="E566" s="70">
        <v>0.01</v>
      </c>
    </row>
    <row r="567" spans="2:5" ht="15" customHeight="1">
      <c r="B567" s="112"/>
      <c r="C567" s="61" t="s">
        <v>183</v>
      </c>
      <c r="D567" s="71">
        <v>84</v>
      </c>
      <c r="E567" s="70">
        <v>3.0000000000000001E-3</v>
      </c>
    </row>
    <row r="568" spans="2:5" ht="15" customHeight="1">
      <c r="B568" s="112"/>
      <c r="C568" s="61" t="s">
        <v>155</v>
      </c>
      <c r="D568" s="71">
        <v>49</v>
      </c>
      <c r="E568" s="70">
        <v>2E-3</v>
      </c>
    </row>
    <row r="569" spans="2:5" ht="15" customHeight="1">
      <c r="B569" s="112"/>
      <c r="C569" s="61" t="s">
        <v>185</v>
      </c>
      <c r="D569" s="71">
        <v>5</v>
      </c>
      <c r="E569" s="70">
        <v>0</v>
      </c>
    </row>
    <row r="570" spans="2:5" ht="15" customHeight="1">
      <c r="B570" s="112"/>
      <c r="C570" s="61" t="s">
        <v>186</v>
      </c>
      <c r="D570" s="71">
        <v>17</v>
      </c>
      <c r="E570" s="70">
        <v>1E-3</v>
      </c>
    </row>
    <row r="571" spans="2:5" ht="15" customHeight="1">
      <c r="B571" s="112"/>
      <c r="C571" s="61" t="s">
        <v>187</v>
      </c>
      <c r="D571" s="71">
        <v>3</v>
      </c>
      <c r="E571" s="70">
        <v>0</v>
      </c>
    </row>
    <row r="572" spans="2:5" ht="15" customHeight="1">
      <c r="B572" s="112"/>
      <c r="C572" s="61" t="s">
        <v>188</v>
      </c>
      <c r="D572" s="71">
        <v>5</v>
      </c>
      <c r="E572" s="70">
        <v>0</v>
      </c>
    </row>
    <row r="573" spans="2:5" ht="15" customHeight="1">
      <c r="B573" s="112"/>
      <c r="C573" s="61" t="s">
        <v>189</v>
      </c>
      <c r="D573" s="71">
        <v>31</v>
      </c>
      <c r="E573" s="70">
        <v>1E-3</v>
      </c>
    </row>
    <row r="574" spans="2:5" ht="15" customHeight="1">
      <c r="B574" s="112"/>
      <c r="C574" s="61" t="s">
        <v>195</v>
      </c>
      <c r="D574" s="71">
        <v>2</v>
      </c>
      <c r="E574" s="70">
        <v>0</v>
      </c>
    </row>
    <row r="575" spans="2:5" ht="15" customHeight="1">
      <c r="B575" s="112"/>
      <c r="C575" s="61" t="s">
        <v>191</v>
      </c>
      <c r="D575" s="71">
        <v>53</v>
      </c>
      <c r="E575" s="70">
        <v>2E-3</v>
      </c>
    </row>
    <row r="576" spans="2:5" ht="15" customHeight="1">
      <c r="B576" s="112"/>
      <c r="C576" s="61" t="s">
        <v>156</v>
      </c>
      <c r="D576" s="71">
        <v>3</v>
      </c>
      <c r="E576" s="70">
        <v>0</v>
      </c>
    </row>
    <row r="577" spans="2:5" ht="15" customHeight="1">
      <c r="B577" s="112"/>
      <c r="C577" s="61" t="s">
        <v>196</v>
      </c>
      <c r="D577" s="71">
        <v>8</v>
      </c>
      <c r="E577" s="70">
        <v>0</v>
      </c>
    </row>
    <row r="578" spans="2:5" ht="15" customHeight="1">
      <c r="B578" s="112"/>
      <c r="C578" s="61" t="s">
        <v>157</v>
      </c>
      <c r="D578" s="71">
        <v>14</v>
      </c>
      <c r="E578" s="70">
        <v>1E-3</v>
      </c>
    </row>
    <row r="579" spans="2:5" ht="15" customHeight="1">
      <c r="B579" s="112"/>
      <c r="C579" s="61" t="s">
        <v>158</v>
      </c>
      <c r="D579" s="71">
        <v>35</v>
      </c>
      <c r="E579" s="70">
        <v>1E-3</v>
      </c>
    </row>
    <row r="580" spans="2:5" ht="15" customHeight="1">
      <c r="B580" s="112"/>
      <c r="C580" s="61" t="s">
        <v>192</v>
      </c>
      <c r="D580" s="71">
        <v>44</v>
      </c>
      <c r="E580" s="70">
        <v>2E-3</v>
      </c>
    </row>
    <row r="581" spans="2:5" ht="15" customHeight="1">
      <c r="B581" s="112"/>
      <c r="C581" s="61" t="s">
        <v>159</v>
      </c>
      <c r="D581" s="71">
        <v>15</v>
      </c>
      <c r="E581" s="70">
        <v>1E-3</v>
      </c>
    </row>
    <row r="582" spans="2:5" ht="15" customHeight="1">
      <c r="B582" s="112"/>
      <c r="C582" s="61" t="s">
        <v>160</v>
      </c>
      <c r="D582" s="71">
        <v>68</v>
      </c>
      <c r="E582" s="70">
        <v>3.0000000000000001E-3</v>
      </c>
    </row>
    <row r="583" spans="2:5" ht="15" customHeight="1">
      <c r="B583" s="112"/>
      <c r="C583" s="74" t="s">
        <v>309</v>
      </c>
      <c r="D583" s="59">
        <v>1932</v>
      </c>
      <c r="E583" s="75">
        <v>7.0999999999999994E-2</v>
      </c>
    </row>
    <row r="584" spans="2:5" ht="15" customHeight="1">
      <c r="B584" s="112" t="s">
        <v>71</v>
      </c>
      <c r="C584" s="61" t="s">
        <v>164</v>
      </c>
      <c r="D584" s="71">
        <v>21</v>
      </c>
      <c r="E584" s="70">
        <v>1E-3</v>
      </c>
    </row>
    <row r="585" spans="2:5" ht="15" customHeight="1">
      <c r="B585" s="112"/>
      <c r="C585" s="61" t="s">
        <v>165</v>
      </c>
      <c r="D585" s="71">
        <v>1</v>
      </c>
      <c r="E585" s="70">
        <v>0</v>
      </c>
    </row>
    <row r="586" spans="2:5" ht="15" customHeight="1">
      <c r="B586" s="112"/>
      <c r="C586" s="61" t="s">
        <v>166</v>
      </c>
      <c r="D586" s="71">
        <v>2</v>
      </c>
      <c r="E586" s="70">
        <v>0</v>
      </c>
    </row>
    <row r="587" spans="2:5" ht="15" customHeight="1">
      <c r="B587" s="112"/>
      <c r="C587" s="61" t="s">
        <v>167</v>
      </c>
      <c r="D587" s="71">
        <v>14</v>
      </c>
      <c r="E587" s="70">
        <v>1E-3</v>
      </c>
    </row>
    <row r="588" spans="2:5" ht="15" customHeight="1">
      <c r="B588" s="112"/>
      <c r="C588" s="61" t="s">
        <v>285</v>
      </c>
      <c r="D588" s="71">
        <v>1</v>
      </c>
      <c r="E588" s="70">
        <v>0</v>
      </c>
    </row>
    <row r="589" spans="2:5" ht="15" customHeight="1">
      <c r="B589" s="112"/>
      <c r="C589" s="61" t="s">
        <v>146</v>
      </c>
      <c r="D589" s="71">
        <v>18</v>
      </c>
      <c r="E589" s="70">
        <v>1E-3</v>
      </c>
    </row>
    <row r="590" spans="2:5" ht="15" customHeight="1">
      <c r="B590" s="112"/>
      <c r="C590" s="61" t="s">
        <v>171</v>
      </c>
      <c r="D590" s="71">
        <v>1</v>
      </c>
      <c r="E590" s="70">
        <v>0</v>
      </c>
    </row>
    <row r="591" spans="2:5" ht="15" customHeight="1">
      <c r="B591" s="112"/>
      <c r="C591" s="61" t="s">
        <v>147</v>
      </c>
      <c r="D591" s="71">
        <v>2</v>
      </c>
      <c r="E591" s="70">
        <v>0</v>
      </c>
    </row>
    <row r="592" spans="2:5" ht="15" customHeight="1">
      <c r="B592" s="112"/>
      <c r="C592" s="61" t="s">
        <v>173</v>
      </c>
      <c r="D592" s="71">
        <v>6</v>
      </c>
      <c r="E592" s="70">
        <v>0</v>
      </c>
    </row>
    <row r="593" spans="2:5" ht="15" customHeight="1">
      <c r="B593" s="112"/>
      <c r="C593" s="61" t="s">
        <v>148</v>
      </c>
      <c r="D593" s="71">
        <v>11</v>
      </c>
      <c r="E593" s="70">
        <v>0</v>
      </c>
    </row>
    <row r="594" spans="2:5" ht="15" customHeight="1">
      <c r="B594" s="112"/>
      <c r="C594" s="61" t="s">
        <v>174</v>
      </c>
      <c r="D594" s="71">
        <v>1</v>
      </c>
      <c r="E594" s="70">
        <v>0</v>
      </c>
    </row>
    <row r="595" spans="2:5" ht="15" customHeight="1">
      <c r="B595" s="112"/>
      <c r="C595" s="61" t="s">
        <v>175</v>
      </c>
      <c r="D595" s="71">
        <v>1</v>
      </c>
      <c r="E595" s="70">
        <v>0</v>
      </c>
    </row>
    <row r="596" spans="2:5" ht="15" customHeight="1">
      <c r="B596" s="112"/>
      <c r="C596" s="61" t="s">
        <v>177</v>
      </c>
      <c r="D596" s="71">
        <v>2</v>
      </c>
      <c r="E596" s="70">
        <v>0</v>
      </c>
    </row>
    <row r="597" spans="2:5" ht="15" customHeight="1">
      <c r="B597" s="112"/>
      <c r="C597" s="61" t="s">
        <v>193</v>
      </c>
      <c r="D597" s="71">
        <v>1</v>
      </c>
      <c r="E597" s="70">
        <v>0</v>
      </c>
    </row>
    <row r="598" spans="2:5" ht="15" customHeight="1">
      <c r="B598" s="112"/>
      <c r="C598" s="61" t="s">
        <v>151</v>
      </c>
      <c r="D598" s="71">
        <v>1</v>
      </c>
      <c r="E598" s="70">
        <v>0</v>
      </c>
    </row>
    <row r="599" spans="2:5" ht="15" customHeight="1">
      <c r="B599" s="112"/>
      <c r="C599" s="61" t="s">
        <v>180</v>
      </c>
      <c r="D599" s="71">
        <v>1</v>
      </c>
      <c r="E599" s="70">
        <v>0</v>
      </c>
    </row>
    <row r="600" spans="2:5" ht="15" customHeight="1">
      <c r="B600" s="112"/>
      <c r="C600" s="61" t="s">
        <v>203</v>
      </c>
      <c r="D600" s="71">
        <v>1</v>
      </c>
      <c r="E600" s="70">
        <v>0</v>
      </c>
    </row>
    <row r="601" spans="2:5" ht="15" customHeight="1">
      <c r="B601" s="112"/>
      <c r="C601" s="61" t="s">
        <v>162</v>
      </c>
      <c r="D601" s="71">
        <v>7</v>
      </c>
      <c r="E601" s="70">
        <v>0</v>
      </c>
    </row>
    <row r="602" spans="2:5" ht="15" customHeight="1">
      <c r="B602" s="112"/>
      <c r="C602" s="61" t="s">
        <v>153</v>
      </c>
      <c r="D602" s="71">
        <v>28</v>
      </c>
      <c r="E602" s="70">
        <v>1E-3</v>
      </c>
    </row>
    <row r="603" spans="2:5" ht="15" customHeight="1">
      <c r="B603" s="112"/>
      <c r="C603" s="61" t="s">
        <v>182</v>
      </c>
      <c r="D603" s="71">
        <v>1</v>
      </c>
      <c r="E603" s="70">
        <v>0</v>
      </c>
    </row>
    <row r="604" spans="2:5" ht="15" customHeight="1">
      <c r="B604" s="112"/>
      <c r="C604" s="61" t="s">
        <v>154</v>
      </c>
      <c r="D604" s="71">
        <v>6</v>
      </c>
      <c r="E604" s="70">
        <v>0</v>
      </c>
    </row>
    <row r="605" spans="2:5" ht="15" customHeight="1">
      <c r="B605" s="112"/>
      <c r="C605" s="61" t="s">
        <v>183</v>
      </c>
      <c r="D605" s="71">
        <v>1</v>
      </c>
      <c r="E605" s="70">
        <v>0</v>
      </c>
    </row>
    <row r="606" spans="2:5" ht="15" customHeight="1">
      <c r="B606" s="112"/>
      <c r="C606" s="61" t="s">
        <v>155</v>
      </c>
      <c r="D606" s="71">
        <v>2</v>
      </c>
      <c r="E606" s="70">
        <v>0</v>
      </c>
    </row>
    <row r="607" spans="2:5" ht="15" customHeight="1">
      <c r="B607" s="112"/>
      <c r="C607" s="61" t="s">
        <v>186</v>
      </c>
      <c r="D607" s="71">
        <v>3</v>
      </c>
      <c r="E607" s="70">
        <v>0</v>
      </c>
    </row>
    <row r="608" spans="2:5" ht="15" customHeight="1">
      <c r="B608" s="112"/>
      <c r="C608" s="61" t="s">
        <v>187</v>
      </c>
      <c r="D608" s="71">
        <v>1</v>
      </c>
      <c r="E608" s="70">
        <v>0</v>
      </c>
    </row>
    <row r="609" spans="2:5" ht="15" customHeight="1">
      <c r="B609" s="112"/>
      <c r="C609" s="61" t="s">
        <v>189</v>
      </c>
      <c r="D609" s="71">
        <v>12</v>
      </c>
      <c r="E609" s="70">
        <v>0</v>
      </c>
    </row>
    <row r="610" spans="2:5" ht="15" customHeight="1">
      <c r="B610" s="112"/>
      <c r="C610" s="61" t="s">
        <v>191</v>
      </c>
      <c r="D610" s="71">
        <v>6</v>
      </c>
      <c r="E610" s="70">
        <v>0</v>
      </c>
    </row>
    <row r="611" spans="2:5" ht="15" customHeight="1">
      <c r="B611" s="112"/>
      <c r="C611" s="61" t="s">
        <v>196</v>
      </c>
      <c r="D611" s="71">
        <v>1</v>
      </c>
      <c r="E611" s="70">
        <v>0</v>
      </c>
    </row>
    <row r="612" spans="2:5" ht="15" customHeight="1">
      <c r="B612" s="112"/>
      <c r="C612" s="61" t="s">
        <v>157</v>
      </c>
      <c r="D612" s="71">
        <v>1</v>
      </c>
      <c r="E612" s="70">
        <v>0</v>
      </c>
    </row>
    <row r="613" spans="2:5" ht="15" customHeight="1">
      <c r="B613" s="112"/>
      <c r="C613" s="61" t="s">
        <v>158</v>
      </c>
      <c r="D613" s="71">
        <v>3</v>
      </c>
      <c r="E613" s="70">
        <v>0</v>
      </c>
    </row>
    <row r="614" spans="2:5" ht="15" customHeight="1">
      <c r="B614" s="112"/>
      <c r="C614" s="61" t="s">
        <v>192</v>
      </c>
      <c r="D614" s="71">
        <v>3</v>
      </c>
      <c r="E614" s="70">
        <v>0</v>
      </c>
    </row>
    <row r="615" spans="2:5" ht="15" customHeight="1">
      <c r="B615" s="112"/>
      <c r="C615" s="61" t="s">
        <v>159</v>
      </c>
      <c r="D615" s="71">
        <v>1</v>
      </c>
      <c r="E615" s="70">
        <v>0</v>
      </c>
    </row>
    <row r="616" spans="2:5" ht="15" customHeight="1">
      <c r="B616" s="112"/>
      <c r="C616" s="61" t="s">
        <v>160</v>
      </c>
      <c r="D616" s="71">
        <v>11</v>
      </c>
      <c r="E616" s="70">
        <v>0</v>
      </c>
    </row>
    <row r="617" spans="2:5" ht="15" customHeight="1">
      <c r="B617" s="112"/>
      <c r="C617" s="74" t="s">
        <v>309</v>
      </c>
      <c r="D617" s="77">
        <v>172</v>
      </c>
      <c r="E617" s="75">
        <v>6.0000000000000001E-3</v>
      </c>
    </row>
    <row r="618" spans="2:5" ht="15" customHeight="1">
      <c r="B618" s="112" t="s">
        <v>52</v>
      </c>
      <c r="C618" s="61" t="s">
        <v>163</v>
      </c>
      <c r="D618" s="71">
        <v>1</v>
      </c>
      <c r="E618" s="70">
        <v>0</v>
      </c>
    </row>
    <row r="619" spans="2:5" ht="15" customHeight="1">
      <c r="B619" s="112"/>
      <c r="C619" s="61" t="s">
        <v>166</v>
      </c>
      <c r="D619" s="71">
        <v>3</v>
      </c>
      <c r="E619" s="70">
        <v>0</v>
      </c>
    </row>
    <row r="620" spans="2:5" ht="15" customHeight="1">
      <c r="B620" s="112"/>
      <c r="C620" s="61" t="s">
        <v>167</v>
      </c>
      <c r="D620" s="71">
        <v>6</v>
      </c>
      <c r="E620" s="70">
        <v>0</v>
      </c>
    </row>
    <row r="621" spans="2:5" ht="15" customHeight="1">
      <c r="B621" s="112"/>
      <c r="C621" s="61" t="s">
        <v>168</v>
      </c>
      <c r="D621" s="71">
        <v>10</v>
      </c>
      <c r="E621" s="70">
        <v>0</v>
      </c>
    </row>
    <row r="622" spans="2:5" ht="15" customHeight="1">
      <c r="B622" s="112"/>
      <c r="C622" s="61" t="s">
        <v>161</v>
      </c>
      <c r="D622" s="71">
        <v>1</v>
      </c>
      <c r="E622" s="70">
        <v>0</v>
      </c>
    </row>
    <row r="623" spans="2:5" ht="15" customHeight="1">
      <c r="B623" s="112"/>
      <c r="C623" s="61" t="s">
        <v>285</v>
      </c>
      <c r="D623" s="71">
        <v>17</v>
      </c>
      <c r="E623" s="70">
        <v>1E-3</v>
      </c>
    </row>
    <row r="624" spans="2:5" ht="15" customHeight="1">
      <c r="B624" s="112"/>
      <c r="C624" s="61" t="s">
        <v>146</v>
      </c>
      <c r="D624" s="71">
        <v>117</v>
      </c>
      <c r="E624" s="70">
        <v>4.0000000000000001E-3</v>
      </c>
    </row>
    <row r="625" spans="2:5" ht="15" customHeight="1">
      <c r="B625" s="112"/>
      <c r="C625" s="61" t="s">
        <v>171</v>
      </c>
      <c r="D625" s="71">
        <v>2</v>
      </c>
      <c r="E625" s="70">
        <v>0</v>
      </c>
    </row>
    <row r="626" spans="2:5" ht="15" customHeight="1">
      <c r="B626" s="112"/>
      <c r="C626" s="61" t="s">
        <v>172</v>
      </c>
      <c r="D626" s="71">
        <v>1</v>
      </c>
      <c r="E626" s="70">
        <v>0</v>
      </c>
    </row>
    <row r="627" spans="2:5" ht="15" customHeight="1">
      <c r="B627" s="112"/>
      <c r="C627" s="61" t="s">
        <v>147</v>
      </c>
      <c r="D627" s="71">
        <v>37</v>
      </c>
      <c r="E627" s="70">
        <v>1E-3</v>
      </c>
    </row>
    <row r="628" spans="2:5" ht="15" customHeight="1">
      <c r="B628" s="112"/>
      <c r="C628" s="61" t="s">
        <v>173</v>
      </c>
      <c r="D628" s="71">
        <v>36</v>
      </c>
      <c r="E628" s="70">
        <v>1E-3</v>
      </c>
    </row>
    <row r="629" spans="2:5" ht="15" customHeight="1">
      <c r="B629" s="112"/>
      <c r="C629" s="61" t="s">
        <v>148</v>
      </c>
      <c r="D629" s="71">
        <v>47</v>
      </c>
      <c r="E629" s="70">
        <v>2E-3</v>
      </c>
    </row>
    <row r="630" spans="2:5" ht="15" customHeight="1">
      <c r="B630" s="112"/>
      <c r="C630" s="61" t="s">
        <v>199</v>
      </c>
      <c r="D630" s="71">
        <v>2</v>
      </c>
      <c r="E630" s="70">
        <v>0</v>
      </c>
    </row>
    <row r="631" spans="2:5" ht="15" customHeight="1">
      <c r="B631" s="112"/>
      <c r="C631" s="61" t="s">
        <v>174</v>
      </c>
      <c r="D631" s="71">
        <v>7</v>
      </c>
      <c r="E631" s="70">
        <v>0</v>
      </c>
    </row>
    <row r="632" spans="2:5" ht="15" customHeight="1">
      <c r="B632" s="112"/>
      <c r="C632" s="61" t="s">
        <v>175</v>
      </c>
      <c r="D632" s="71">
        <v>27</v>
      </c>
      <c r="E632" s="70">
        <v>1E-3</v>
      </c>
    </row>
    <row r="633" spans="2:5" ht="15" customHeight="1">
      <c r="B633" s="112"/>
      <c r="C633" s="61" t="s">
        <v>176</v>
      </c>
      <c r="D633" s="71">
        <v>1</v>
      </c>
      <c r="E633" s="70">
        <v>0</v>
      </c>
    </row>
    <row r="634" spans="2:5" ht="15" customHeight="1">
      <c r="B634" s="112"/>
      <c r="C634" s="61" t="s">
        <v>177</v>
      </c>
      <c r="D634" s="71">
        <v>8</v>
      </c>
      <c r="E634" s="70">
        <v>0</v>
      </c>
    </row>
    <row r="635" spans="2:5" ht="15" customHeight="1">
      <c r="B635" s="112"/>
      <c r="C635" s="61" t="s">
        <v>149</v>
      </c>
      <c r="D635" s="71">
        <v>1</v>
      </c>
      <c r="E635" s="70">
        <v>0</v>
      </c>
    </row>
    <row r="636" spans="2:5" ht="15" customHeight="1">
      <c r="B636" s="112"/>
      <c r="C636" s="61" t="s">
        <v>150</v>
      </c>
      <c r="D636" s="71">
        <v>2</v>
      </c>
      <c r="E636" s="70">
        <v>0</v>
      </c>
    </row>
    <row r="637" spans="2:5" ht="15" customHeight="1">
      <c r="B637" s="112"/>
      <c r="C637" s="61" t="s">
        <v>193</v>
      </c>
      <c r="D637" s="71">
        <v>1</v>
      </c>
      <c r="E637" s="70">
        <v>0</v>
      </c>
    </row>
    <row r="638" spans="2:5" ht="15" customHeight="1">
      <c r="B638" s="112"/>
      <c r="C638" s="61" t="s">
        <v>178</v>
      </c>
      <c r="D638" s="71">
        <v>4</v>
      </c>
      <c r="E638" s="70">
        <v>0</v>
      </c>
    </row>
    <row r="639" spans="2:5" ht="15" customHeight="1">
      <c r="B639" s="112"/>
      <c r="C639" s="61" t="s">
        <v>151</v>
      </c>
      <c r="D639" s="71">
        <v>52</v>
      </c>
      <c r="E639" s="70">
        <v>2E-3</v>
      </c>
    </row>
    <row r="640" spans="2:5" ht="15" customHeight="1">
      <c r="B640" s="112"/>
      <c r="C640" s="61" t="s">
        <v>180</v>
      </c>
      <c r="D640" s="71">
        <v>41</v>
      </c>
      <c r="E640" s="70">
        <v>2E-3</v>
      </c>
    </row>
    <row r="641" spans="2:5" ht="15" customHeight="1">
      <c r="B641" s="112"/>
      <c r="C641" s="61" t="s">
        <v>202</v>
      </c>
      <c r="D641" s="71">
        <v>2</v>
      </c>
      <c r="E641" s="70">
        <v>0</v>
      </c>
    </row>
    <row r="642" spans="2:5" ht="15" customHeight="1">
      <c r="B642" s="112"/>
      <c r="C642" s="61" t="s">
        <v>152</v>
      </c>
      <c r="D642" s="71">
        <v>2</v>
      </c>
      <c r="E642" s="70">
        <v>0</v>
      </c>
    </row>
    <row r="643" spans="2:5" ht="15" customHeight="1">
      <c r="B643" s="112"/>
      <c r="C643" s="61" t="s">
        <v>203</v>
      </c>
      <c r="D643" s="71">
        <v>6</v>
      </c>
      <c r="E643" s="70">
        <v>0</v>
      </c>
    </row>
    <row r="644" spans="2:5" ht="15" customHeight="1">
      <c r="B644" s="112"/>
      <c r="C644" s="61" t="s">
        <v>162</v>
      </c>
      <c r="D644" s="71">
        <v>7</v>
      </c>
      <c r="E644" s="70">
        <v>0</v>
      </c>
    </row>
    <row r="645" spans="2:5" ht="15" customHeight="1">
      <c r="B645" s="112"/>
      <c r="C645" s="61" t="s">
        <v>153</v>
      </c>
      <c r="D645" s="71">
        <v>15</v>
      </c>
      <c r="E645" s="70">
        <v>1E-3</v>
      </c>
    </row>
    <row r="646" spans="2:5" ht="15" customHeight="1">
      <c r="B646" s="112"/>
      <c r="C646" s="61" t="s">
        <v>182</v>
      </c>
      <c r="D646" s="71">
        <v>10</v>
      </c>
      <c r="E646" s="70">
        <v>0</v>
      </c>
    </row>
    <row r="647" spans="2:5" ht="15" customHeight="1">
      <c r="B647" s="112"/>
      <c r="C647" s="61" t="s">
        <v>154</v>
      </c>
      <c r="D647" s="71">
        <v>25</v>
      </c>
      <c r="E647" s="70">
        <v>1E-3</v>
      </c>
    </row>
    <row r="648" spans="2:5" ht="15" customHeight="1">
      <c r="B648" s="112"/>
      <c r="C648" s="61" t="s">
        <v>183</v>
      </c>
      <c r="D648" s="71">
        <v>7</v>
      </c>
      <c r="E648" s="70">
        <v>0</v>
      </c>
    </row>
    <row r="649" spans="2:5" ht="15" customHeight="1">
      <c r="B649" s="112"/>
      <c r="C649" s="61" t="s">
        <v>155</v>
      </c>
      <c r="D649" s="71">
        <v>57</v>
      </c>
      <c r="E649" s="70">
        <v>2E-3</v>
      </c>
    </row>
    <row r="650" spans="2:5" ht="15" customHeight="1">
      <c r="B650" s="112"/>
      <c r="C650" s="61" t="s">
        <v>194</v>
      </c>
      <c r="D650" s="71">
        <v>1</v>
      </c>
      <c r="E650" s="70">
        <v>0</v>
      </c>
    </row>
    <row r="651" spans="2:5" ht="15" customHeight="1">
      <c r="B651" s="112"/>
      <c r="C651" s="61" t="s">
        <v>185</v>
      </c>
      <c r="D651" s="71">
        <v>10</v>
      </c>
      <c r="E651" s="70">
        <v>0</v>
      </c>
    </row>
    <row r="652" spans="2:5" ht="15" customHeight="1">
      <c r="B652" s="112"/>
      <c r="C652" s="61" t="s">
        <v>186</v>
      </c>
      <c r="D652" s="71">
        <v>3</v>
      </c>
      <c r="E652" s="70">
        <v>0</v>
      </c>
    </row>
    <row r="653" spans="2:5" ht="15" customHeight="1">
      <c r="B653" s="112"/>
      <c r="C653" s="61" t="s">
        <v>187</v>
      </c>
      <c r="D653" s="71">
        <v>4</v>
      </c>
      <c r="E653" s="70">
        <v>0</v>
      </c>
    </row>
    <row r="654" spans="2:5" ht="15" customHeight="1">
      <c r="B654" s="112"/>
      <c r="C654" s="61" t="s">
        <v>188</v>
      </c>
      <c r="D654" s="71">
        <v>3</v>
      </c>
      <c r="E654" s="70">
        <v>0</v>
      </c>
    </row>
    <row r="655" spans="2:5" ht="15" customHeight="1">
      <c r="B655" s="112"/>
      <c r="C655" s="61" t="s">
        <v>189</v>
      </c>
      <c r="D655" s="71">
        <v>3</v>
      </c>
      <c r="E655" s="70">
        <v>0</v>
      </c>
    </row>
    <row r="656" spans="2:5" ht="15" customHeight="1">
      <c r="B656" s="112"/>
      <c r="C656" s="61" t="s">
        <v>190</v>
      </c>
      <c r="D656" s="71">
        <v>1</v>
      </c>
      <c r="E656" s="70">
        <v>0</v>
      </c>
    </row>
    <row r="657" spans="2:5" ht="15" customHeight="1">
      <c r="B657" s="112"/>
      <c r="C657" s="61" t="s">
        <v>191</v>
      </c>
      <c r="D657" s="71">
        <v>12</v>
      </c>
      <c r="E657" s="70">
        <v>0</v>
      </c>
    </row>
    <row r="658" spans="2:5" ht="15" customHeight="1">
      <c r="B658" s="112"/>
      <c r="C658" s="61" t="s">
        <v>156</v>
      </c>
      <c r="D658" s="71">
        <v>1</v>
      </c>
      <c r="E658" s="70">
        <v>0</v>
      </c>
    </row>
    <row r="659" spans="2:5" ht="15" customHeight="1">
      <c r="B659" s="112"/>
      <c r="C659" s="61" t="s">
        <v>157</v>
      </c>
      <c r="D659" s="71">
        <v>2</v>
      </c>
      <c r="E659" s="70">
        <v>0</v>
      </c>
    </row>
    <row r="660" spans="2:5" ht="15" customHeight="1">
      <c r="B660" s="112"/>
      <c r="C660" s="61" t="s">
        <v>158</v>
      </c>
      <c r="D660" s="71">
        <v>4</v>
      </c>
      <c r="E660" s="70">
        <v>0</v>
      </c>
    </row>
    <row r="661" spans="2:5" ht="15" customHeight="1">
      <c r="B661" s="112"/>
      <c r="C661" s="61" t="s">
        <v>192</v>
      </c>
      <c r="D661" s="71">
        <v>12</v>
      </c>
      <c r="E661" s="70">
        <v>0</v>
      </c>
    </row>
    <row r="662" spans="2:5" ht="15" customHeight="1">
      <c r="B662" s="112"/>
      <c r="C662" s="61" t="s">
        <v>159</v>
      </c>
      <c r="D662" s="71">
        <v>18</v>
      </c>
      <c r="E662" s="70">
        <v>1E-3</v>
      </c>
    </row>
    <row r="663" spans="2:5" ht="15" customHeight="1">
      <c r="B663" s="112"/>
      <c r="C663" s="61" t="s">
        <v>160</v>
      </c>
      <c r="D663" s="71">
        <v>49</v>
      </c>
      <c r="E663" s="70">
        <v>2E-3</v>
      </c>
    </row>
    <row r="664" spans="2:5" ht="15" customHeight="1">
      <c r="B664" s="112"/>
      <c r="C664" s="74" t="s">
        <v>309</v>
      </c>
      <c r="D664" s="77">
        <v>678</v>
      </c>
      <c r="E664" s="75">
        <v>2.5000000000000001E-2</v>
      </c>
    </row>
    <row r="665" spans="2:5" ht="15" customHeight="1">
      <c r="B665" s="112" t="s">
        <v>87</v>
      </c>
      <c r="C665" s="61" t="s">
        <v>167</v>
      </c>
      <c r="D665" s="71">
        <v>1</v>
      </c>
      <c r="E665" s="70">
        <v>0</v>
      </c>
    </row>
    <row r="666" spans="2:5" ht="15" customHeight="1">
      <c r="B666" s="112"/>
      <c r="C666" s="61" t="s">
        <v>285</v>
      </c>
      <c r="D666" s="71">
        <v>1</v>
      </c>
      <c r="E666" s="70">
        <v>0</v>
      </c>
    </row>
    <row r="667" spans="2:5" ht="15" customHeight="1">
      <c r="B667" s="112"/>
      <c r="C667" s="61" t="s">
        <v>146</v>
      </c>
      <c r="D667" s="71">
        <v>5</v>
      </c>
      <c r="E667" s="70">
        <v>0</v>
      </c>
    </row>
    <row r="668" spans="2:5" ht="15" customHeight="1">
      <c r="B668" s="112"/>
      <c r="C668" s="61" t="s">
        <v>148</v>
      </c>
      <c r="D668" s="71">
        <v>1</v>
      </c>
      <c r="E668" s="70">
        <v>0</v>
      </c>
    </row>
    <row r="669" spans="2:5" ht="15" customHeight="1">
      <c r="B669" s="112"/>
      <c r="C669" s="61" t="s">
        <v>175</v>
      </c>
      <c r="D669" s="71">
        <v>1</v>
      </c>
      <c r="E669" s="70">
        <v>0</v>
      </c>
    </row>
    <row r="670" spans="2:5" ht="15" customHeight="1">
      <c r="B670" s="112"/>
      <c r="C670" s="61" t="s">
        <v>153</v>
      </c>
      <c r="D670" s="71">
        <v>6</v>
      </c>
      <c r="E670" s="70">
        <v>0</v>
      </c>
    </row>
    <row r="671" spans="2:5" ht="15" customHeight="1">
      <c r="B671" s="112"/>
      <c r="C671" s="61" t="s">
        <v>154</v>
      </c>
      <c r="D671" s="71">
        <v>2</v>
      </c>
      <c r="E671" s="70">
        <v>0</v>
      </c>
    </row>
    <row r="672" spans="2:5" ht="15" customHeight="1">
      <c r="B672" s="112"/>
      <c r="C672" s="61" t="s">
        <v>155</v>
      </c>
      <c r="D672" s="71">
        <v>1</v>
      </c>
      <c r="E672" s="70">
        <v>0</v>
      </c>
    </row>
    <row r="673" spans="2:5" ht="15" customHeight="1">
      <c r="B673" s="112"/>
      <c r="C673" s="61" t="s">
        <v>187</v>
      </c>
      <c r="D673" s="71">
        <v>1</v>
      </c>
      <c r="E673" s="70">
        <v>0</v>
      </c>
    </row>
    <row r="674" spans="2:5" ht="15" customHeight="1">
      <c r="B674" s="112"/>
      <c r="C674" s="61" t="s">
        <v>191</v>
      </c>
      <c r="D674" s="71">
        <v>2</v>
      </c>
      <c r="E674" s="70">
        <v>0</v>
      </c>
    </row>
    <row r="675" spans="2:5" ht="15" customHeight="1">
      <c r="B675" s="112"/>
      <c r="C675" s="61" t="s">
        <v>196</v>
      </c>
      <c r="D675" s="71">
        <v>1</v>
      </c>
      <c r="E675" s="70">
        <v>0</v>
      </c>
    </row>
    <row r="676" spans="2:5" ht="15" customHeight="1">
      <c r="B676" s="112"/>
      <c r="C676" s="61" t="s">
        <v>157</v>
      </c>
      <c r="D676" s="71">
        <v>6</v>
      </c>
      <c r="E676" s="70">
        <v>0</v>
      </c>
    </row>
    <row r="677" spans="2:5" ht="15" customHeight="1">
      <c r="B677" s="112"/>
      <c r="C677" s="61" t="s">
        <v>160</v>
      </c>
      <c r="D677" s="71">
        <v>1</v>
      </c>
      <c r="E677" s="70">
        <v>0</v>
      </c>
    </row>
    <row r="678" spans="2:5" ht="15" customHeight="1">
      <c r="B678" s="112"/>
      <c r="C678" s="74" t="s">
        <v>309</v>
      </c>
      <c r="D678" s="77">
        <v>29</v>
      </c>
      <c r="E678" s="75">
        <v>1E-3</v>
      </c>
    </row>
    <row r="679" spans="2:5" ht="15" customHeight="1">
      <c r="B679" s="112" t="s">
        <v>56</v>
      </c>
      <c r="C679" s="61" t="s">
        <v>163</v>
      </c>
      <c r="D679" s="71">
        <v>10</v>
      </c>
      <c r="E679" s="70">
        <v>0</v>
      </c>
    </row>
    <row r="680" spans="2:5" ht="15" customHeight="1">
      <c r="B680" s="112"/>
      <c r="C680" s="61" t="s">
        <v>164</v>
      </c>
      <c r="D680" s="71">
        <v>1</v>
      </c>
      <c r="E680" s="70">
        <v>0</v>
      </c>
    </row>
    <row r="681" spans="2:5" ht="15" customHeight="1">
      <c r="B681" s="112"/>
      <c r="C681" s="61" t="s">
        <v>165</v>
      </c>
      <c r="D681" s="71">
        <v>3</v>
      </c>
      <c r="E681" s="70">
        <v>0</v>
      </c>
    </row>
    <row r="682" spans="2:5" ht="15" customHeight="1">
      <c r="B682" s="112"/>
      <c r="C682" s="61" t="s">
        <v>166</v>
      </c>
      <c r="D682" s="71">
        <v>5</v>
      </c>
      <c r="E682" s="70">
        <v>0</v>
      </c>
    </row>
    <row r="683" spans="2:5" ht="15" customHeight="1">
      <c r="B683" s="112"/>
      <c r="C683" s="61" t="s">
        <v>167</v>
      </c>
      <c r="D683" s="71">
        <v>1</v>
      </c>
      <c r="E683" s="70">
        <v>0</v>
      </c>
    </row>
    <row r="684" spans="2:5" ht="15" customHeight="1">
      <c r="B684" s="112"/>
      <c r="C684" s="61" t="s">
        <v>168</v>
      </c>
      <c r="D684" s="71">
        <v>6</v>
      </c>
      <c r="E684" s="70">
        <v>0</v>
      </c>
    </row>
    <row r="685" spans="2:5" ht="15" customHeight="1">
      <c r="B685" s="112"/>
      <c r="C685" s="61" t="s">
        <v>169</v>
      </c>
      <c r="D685" s="71">
        <v>5</v>
      </c>
      <c r="E685" s="70">
        <v>0</v>
      </c>
    </row>
    <row r="686" spans="2:5" ht="15" customHeight="1">
      <c r="B686" s="112"/>
      <c r="C686" s="61" t="s">
        <v>161</v>
      </c>
      <c r="D686" s="71">
        <v>16</v>
      </c>
      <c r="E686" s="70">
        <v>1E-3</v>
      </c>
    </row>
    <row r="687" spans="2:5" ht="15" customHeight="1">
      <c r="B687" s="112"/>
      <c r="C687" s="61" t="s">
        <v>285</v>
      </c>
      <c r="D687" s="71">
        <v>22</v>
      </c>
      <c r="E687" s="70">
        <v>1E-3</v>
      </c>
    </row>
    <row r="688" spans="2:5" ht="15" customHeight="1">
      <c r="B688" s="112"/>
      <c r="C688" s="61" t="s">
        <v>170</v>
      </c>
      <c r="D688" s="71">
        <v>1</v>
      </c>
      <c r="E688" s="70">
        <v>0</v>
      </c>
    </row>
    <row r="689" spans="2:5" ht="15" customHeight="1">
      <c r="B689" s="112"/>
      <c r="C689" s="61" t="s">
        <v>146</v>
      </c>
      <c r="D689" s="71">
        <v>51</v>
      </c>
      <c r="E689" s="70">
        <v>2E-3</v>
      </c>
    </row>
    <row r="690" spans="2:5" ht="15" customHeight="1">
      <c r="B690" s="112"/>
      <c r="C690" s="61" t="s">
        <v>172</v>
      </c>
      <c r="D690" s="71">
        <v>2</v>
      </c>
      <c r="E690" s="70">
        <v>0</v>
      </c>
    </row>
    <row r="691" spans="2:5" ht="15" customHeight="1">
      <c r="B691" s="112"/>
      <c r="C691" s="61" t="s">
        <v>147</v>
      </c>
      <c r="D691" s="71">
        <v>1</v>
      </c>
      <c r="E691" s="70">
        <v>0</v>
      </c>
    </row>
    <row r="692" spans="2:5" ht="15" customHeight="1">
      <c r="B692" s="112"/>
      <c r="C692" s="61" t="s">
        <v>173</v>
      </c>
      <c r="D692" s="71">
        <v>4</v>
      </c>
      <c r="E692" s="70">
        <v>0</v>
      </c>
    </row>
    <row r="693" spans="2:5" ht="15" customHeight="1">
      <c r="B693" s="112"/>
      <c r="C693" s="61" t="s">
        <v>148</v>
      </c>
      <c r="D693" s="71">
        <v>29</v>
      </c>
      <c r="E693" s="70">
        <v>1E-3</v>
      </c>
    </row>
    <row r="694" spans="2:5" ht="15" customHeight="1">
      <c r="B694" s="112"/>
      <c r="C694" s="61" t="s">
        <v>199</v>
      </c>
      <c r="D694" s="71">
        <v>1</v>
      </c>
      <c r="E694" s="70">
        <v>0</v>
      </c>
    </row>
    <row r="695" spans="2:5" ht="15" customHeight="1">
      <c r="B695" s="112"/>
      <c r="C695" s="61" t="s">
        <v>174</v>
      </c>
      <c r="D695" s="71">
        <v>18</v>
      </c>
      <c r="E695" s="70">
        <v>1E-3</v>
      </c>
    </row>
    <row r="696" spans="2:5" ht="15" customHeight="1">
      <c r="B696" s="112"/>
      <c r="C696" s="61" t="s">
        <v>175</v>
      </c>
      <c r="D696" s="71">
        <v>25</v>
      </c>
      <c r="E696" s="70">
        <v>1E-3</v>
      </c>
    </row>
    <row r="697" spans="2:5" ht="15" customHeight="1">
      <c r="B697" s="112"/>
      <c r="C697" s="61" t="s">
        <v>176</v>
      </c>
      <c r="D697" s="71">
        <v>1</v>
      </c>
      <c r="E697" s="70">
        <v>0</v>
      </c>
    </row>
    <row r="698" spans="2:5" ht="15" customHeight="1">
      <c r="B698" s="112"/>
      <c r="C698" s="61" t="s">
        <v>149</v>
      </c>
      <c r="D698" s="71">
        <v>13</v>
      </c>
      <c r="E698" s="70">
        <v>0</v>
      </c>
    </row>
    <row r="699" spans="2:5" ht="15" customHeight="1">
      <c r="B699" s="112"/>
      <c r="C699" s="61" t="s">
        <v>150</v>
      </c>
      <c r="D699" s="71">
        <v>1</v>
      </c>
      <c r="E699" s="70">
        <v>0</v>
      </c>
    </row>
    <row r="700" spans="2:5" ht="15" customHeight="1">
      <c r="B700" s="112"/>
      <c r="C700" s="61" t="s">
        <v>193</v>
      </c>
      <c r="D700" s="71">
        <v>17</v>
      </c>
      <c r="E700" s="70">
        <v>1E-3</v>
      </c>
    </row>
    <row r="701" spans="2:5" ht="15" customHeight="1">
      <c r="B701" s="112"/>
      <c r="C701" s="61" t="s">
        <v>179</v>
      </c>
      <c r="D701" s="71">
        <v>5</v>
      </c>
      <c r="E701" s="70">
        <v>0</v>
      </c>
    </row>
    <row r="702" spans="2:5" ht="15" customHeight="1">
      <c r="B702" s="112"/>
      <c r="C702" s="61" t="s">
        <v>151</v>
      </c>
      <c r="D702" s="71">
        <v>1</v>
      </c>
      <c r="E702" s="70">
        <v>0</v>
      </c>
    </row>
    <row r="703" spans="2:5" ht="15" customHeight="1">
      <c r="B703" s="112"/>
      <c r="C703" s="61" t="s">
        <v>201</v>
      </c>
      <c r="D703" s="71">
        <v>1</v>
      </c>
      <c r="E703" s="70">
        <v>0</v>
      </c>
    </row>
    <row r="704" spans="2:5" ht="15" customHeight="1">
      <c r="B704" s="112"/>
      <c r="C704" s="61" t="s">
        <v>180</v>
      </c>
      <c r="D704" s="71">
        <v>2</v>
      </c>
      <c r="E704" s="70">
        <v>0</v>
      </c>
    </row>
    <row r="705" spans="2:5" ht="15" customHeight="1">
      <c r="B705" s="112"/>
      <c r="C705" s="61" t="s">
        <v>202</v>
      </c>
      <c r="D705" s="71">
        <v>3</v>
      </c>
      <c r="E705" s="70">
        <v>0</v>
      </c>
    </row>
    <row r="706" spans="2:5" ht="15" customHeight="1">
      <c r="B706" s="112"/>
      <c r="C706" s="61" t="s">
        <v>152</v>
      </c>
      <c r="D706" s="71">
        <v>38</v>
      </c>
      <c r="E706" s="70">
        <v>1E-3</v>
      </c>
    </row>
    <row r="707" spans="2:5" ht="15" customHeight="1">
      <c r="B707" s="112"/>
      <c r="C707" s="61" t="s">
        <v>162</v>
      </c>
      <c r="D707" s="71">
        <v>11</v>
      </c>
      <c r="E707" s="70">
        <v>0</v>
      </c>
    </row>
    <row r="708" spans="2:5" ht="15" customHeight="1">
      <c r="B708" s="112"/>
      <c r="C708" s="61" t="s">
        <v>153</v>
      </c>
      <c r="D708" s="71">
        <v>6</v>
      </c>
      <c r="E708" s="70">
        <v>0</v>
      </c>
    </row>
    <row r="709" spans="2:5" ht="15" customHeight="1">
      <c r="B709" s="112"/>
      <c r="C709" s="61" t="s">
        <v>182</v>
      </c>
      <c r="D709" s="71">
        <v>1</v>
      </c>
      <c r="E709" s="70">
        <v>0</v>
      </c>
    </row>
    <row r="710" spans="2:5" ht="15" customHeight="1">
      <c r="B710" s="112"/>
      <c r="C710" s="61" t="s">
        <v>154</v>
      </c>
      <c r="D710" s="71">
        <v>1</v>
      </c>
      <c r="E710" s="70">
        <v>0</v>
      </c>
    </row>
    <row r="711" spans="2:5" ht="15" customHeight="1">
      <c r="B711" s="112"/>
      <c r="C711" s="61" t="s">
        <v>183</v>
      </c>
      <c r="D711" s="71">
        <v>3</v>
      </c>
      <c r="E711" s="70">
        <v>0</v>
      </c>
    </row>
    <row r="712" spans="2:5" ht="15" customHeight="1">
      <c r="B712" s="112"/>
      <c r="C712" s="61" t="s">
        <v>155</v>
      </c>
      <c r="D712" s="71">
        <v>7</v>
      </c>
      <c r="E712" s="70">
        <v>0</v>
      </c>
    </row>
    <row r="713" spans="2:5" ht="15" customHeight="1">
      <c r="B713" s="112"/>
      <c r="C713" s="61" t="s">
        <v>185</v>
      </c>
      <c r="D713" s="71">
        <v>5</v>
      </c>
      <c r="E713" s="70">
        <v>0</v>
      </c>
    </row>
    <row r="714" spans="2:5" ht="15" customHeight="1">
      <c r="B714" s="112"/>
      <c r="C714" s="61" t="s">
        <v>186</v>
      </c>
      <c r="D714" s="71">
        <v>4</v>
      </c>
      <c r="E714" s="70">
        <v>0</v>
      </c>
    </row>
    <row r="715" spans="2:5" ht="15" customHeight="1">
      <c r="B715" s="112"/>
      <c r="C715" s="61" t="s">
        <v>187</v>
      </c>
      <c r="D715" s="71">
        <v>11</v>
      </c>
      <c r="E715" s="70">
        <v>0</v>
      </c>
    </row>
    <row r="716" spans="2:5" ht="15" customHeight="1">
      <c r="B716" s="112"/>
      <c r="C716" s="61" t="s">
        <v>188</v>
      </c>
      <c r="D716" s="71">
        <v>9</v>
      </c>
      <c r="E716" s="70">
        <v>0</v>
      </c>
    </row>
    <row r="717" spans="2:5" ht="15" customHeight="1">
      <c r="B717" s="112"/>
      <c r="C717" s="61" t="s">
        <v>189</v>
      </c>
      <c r="D717" s="71">
        <v>8</v>
      </c>
      <c r="E717" s="70">
        <v>0</v>
      </c>
    </row>
    <row r="718" spans="2:5" ht="15" customHeight="1">
      <c r="B718" s="112"/>
      <c r="C718" s="61" t="s">
        <v>190</v>
      </c>
      <c r="D718" s="71">
        <v>5</v>
      </c>
      <c r="E718" s="70">
        <v>0</v>
      </c>
    </row>
    <row r="719" spans="2:5" ht="15" customHeight="1">
      <c r="B719" s="112"/>
      <c r="C719" s="61" t="s">
        <v>191</v>
      </c>
      <c r="D719" s="71">
        <v>16</v>
      </c>
      <c r="E719" s="70">
        <v>1E-3</v>
      </c>
    </row>
    <row r="720" spans="2:5" ht="15" customHeight="1">
      <c r="B720" s="112"/>
      <c r="C720" s="61" t="s">
        <v>156</v>
      </c>
      <c r="D720" s="71">
        <v>1</v>
      </c>
      <c r="E720" s="70">
        <v>0</v>
      </c>
    </row>
    <row r="721" spans="2:5" ht="15" customHeight="1">
      <c r="B721" s="112"/>
      <c r="C721" s="61" t="s">
        <v>157</v>
      </c>
      <c r="D721" s="71">
        <v>2</v>
      </c>
      <c r="E721" s="70">
        <v>0</v>
      </c>
    </row>
    <row r="722" spans="2:5" ht="15" customHeight="1">
      <c r="B722" s="112"/>
      <c r="C722" s="61" t="s">
        <v>158</v>
      </c>
      <c r="D722" s="71">
        <v>1</v>
      </c>
      <c r="E722" s="70">
        <v>0</v>
      </c>
    </row>
    <row r="723" spans="2:5" ht="15" customHeight="1">
      <c r="B723" s="112"/>
      <c r="C723" s="61" t="s">
        <v>192</v>
      </c>
      <c r="D723" s="71">
        <v>38</v>
      </c>
      <c r="E723" s="70">
        <v>1E-3</v>
      </c>
    </row>
    <row r="724" spans="2:5" ht="15" customHeight="1">
      <c r="B724" s="112"/>
      <c r="C724" s="61" t="s">
        <v>159</v>
      </c>
      <c r="D724" s="71">
        <v>77</v>
      </c>
      <c r="E724" s="70">
        <v>3.0000000000000001E-3</v>
      </c>
    </row>
    <row r="725" spans="2:5" ht="15" customHeight="1">
      <c r="B725" s="112"/>
      <c r="C725" s="61" t="s">
        <v>160</v>
      </c>
      <c r="D725" s="71">
        <v>32</v>
      </c>
      <c r="E725" s="70">
        <v>1E-3</v>
      </c>
    </row>
    <row r="726" spans="2:5" ht="15" customHeight="1">
      <c r="B726" s="112"/>
      <c r="C726" s="74" t="s">
        <v>309</v>
      </c>
      <c r="D726" s="77">
        <v>521</v>
      </c>
      <c r="E726" s="75">
        <v>1.9E-2</v>
      </c>
    </row>
    <row r="727" spans="2:5" ht="15" customHeight="1">
      <c r="B727" s="112" t="s">
        <v>51</v>
      </c>
      <c r="C727" s="61" t="s">
        <v>197</v>
      </c>
      <c r="D727" s="71">
        <v>1</v>
      </c>
      <c r="E727" s="70">
        <v>0</v>
      </c>
    </row>
    <row r="728" spans="2:5" ht="15" customHeight="1">
      <c r="B728" s="112"/>
      <c r="C728" s="61" t="s">
        <v>166</v>
      </c>
      <c r="D728" s="71">
        <v>11</v>
      </c>
      <c r="E728" s="70">
        <v>0</v>
      </c>
    </row>
    <row r="729" spans="2:5" ht="15" customHeight="1">
      <c r="B729" s="112"/>
      <c r="C729" s="61" t="s">
        <v>167</v>
      </c>
      <c r="D729" s="71">
        <v>3</v>
      </c>
      <c r="E729" s="70">
        <v>0</v>
      </c>
    </row>
    <row r="730" spans="2:5" ht="15" customHeight="1">
      <c r="B730" s="112"/>
      <c r="C730" s="61" t="s">
        <v>168</v>
      </c>
      <c r="D730" s="71">
        <v>3</v>
      </c>
      <c r="E730" s="70">
        <v>0</v>
      </c>
    </row>
    <row r="731" spans="2:5" ht="15" customHeight="1">
      <c r="B731" s="112"/>
      <c r="C731" s="61" t="s">
        <v>169</v>
      </c>
      <c r="D731" s="71">
        <v>2</v>
      </c>
      <c r="E731" s="70">
        <v>0</v>
      </c>
    </row>
    <row r="732" spans="2:5" ht="15" customHeight="1">
      <c r="B732" s="112"/>
      <c r="C732" s="61" t="s">
        <v>170</v>
      </c>
      <c r="D732" s="71">
        <v>1</v>
      </c>
      <c r="E732" s="70">
        <v>0</v>
      </c>
    </row>
    <row r="733" spans="2:5" ht="15" customHeight="1">
      <c r="B733" s="112"/>
      <c r="C733" s="61" t="s">
        <v>146</v>
      </c>
      <c r="D733" s="71">
        <v>70</v>
      </c>
      <c r="E733" s="70">
        <v>3.0000000000000001E-3</v>
      </c>
    </row>
    <row r="734" spans="2:5" ht="15" customHeight="1">
      <c r="B734" s="112"/>
      <c r="C734" s="61" t="s">
        <v>171</v>
      </c>
      <c r="D734" s="71">
        <v>1</v>
      </c>
      <c r="E734" s="70">
        <v>0</v>
      </c>
    </row>
    <row r="735" spans="2:5" ht="15" customHeight="1">
      <c r="B735" s="112"/>
      <c r="C735" s="61" t="s">
        <v>147</v>
      </c>
      <c r="D735" s="71">
        <v>86</v>
      </c>
      <c r="E735" s="70">
        <v>3.0000000000000001E-3</v>
      </c>
    </row>
    <row r="736" spans="2:5" ht="15" customHeight="1">
      <c r="B736" s="112"/>
      <c r="C736" s="61" t="s">
        <v>173</v>
      </c>
      <c r="D736" s="71">
        <v>66</v>
      </c>
      <c r="E736" s="70">
        <v>2E-3</v>
      </c>
    </row>
    <row r="737" spans="2:5" ht="15" customHeight="1">
      <c r="B737" s="112"/>
      <c r="C737" s="61" t="s">
        <v>148</v>
      </c>
      <c r="D737" s="71">
        <v>70</v>
      </c>
      <c r="E737" s="70">
        <v>3.0000000000000001E-3</v>
      </c>
    </row>
    <row r="738" spans="2:5" ht="15" customHeight="1">
      <c r="B738" s="112"/>
      <c r="C738" s="61" t="s">
        <v>174</v>
      </c>
      <c r="D738" s="71">
        <v>2</v>
      </c>
      <c r="E738" s="70">
        <v>0</v>
      </c>
    </row>
    <row r="739" spans="2:5" ht="15" customHeight="1">
      <c r="B739" s="112"/>
      <c r="C739" s="61" t="s">
        <v>175</v>
      </c>
      <c r="D739" s="71">
        <v>1</v>
      </c>
      <c r="E739" s="70">
        <v>0</v>
      </c>
    </row>
    <row r="740" spans="2:5" ht="15" customHeight="1">
      <c r="B740" s="112"/>
      <c r="C740" s="61" t="s">
        <v>176</v>
      </c>
      <c r="D740" s="71">
        <v>1</v>
      </c>
      <c r="E740" s="70">
        <v>0</v>
      </c>
    </row>
    <row r="741" spans="2:5" ht="15" customHeight="1">
      <c r="B741" s="112"/>
      <c r="C741" s="61" t="s">
        <v>177</v>
      </c>
      <c r="D741" s="71">
        <v>5</v>
      </c>
      <c r="E741" s="70">
        <v>0</v>
      </c>
    </row>
    <row r="742" spans="2:5" ht="15" customHeight="1">
      <c r="B742" s="112"/>
      <c r="C742" s="61" t="s">
        <v>150</v>
      </c>
      <c r="D742" s="71">
        <v>12</v>
      </c>
      <c r="E742" s="70">
        <v>0</v>
      </c>
    </row>
    <row r="743" spans="2:5" ht="15" customHeight="1">
      <c r="B743" s="112"/>
      <c r="C743" s="61" t="s">
        <v>193</v>
      </c>
      <c r="D743" s="71">
        <v>6</v>
      </c>
      <c r="E743" s="70">
        <v>0</v>
      </c>
    </row>
    <row r="744" spans="2:5" ht="15" customHeight="1">
      <c r="B744" s="112"/>
      <c r="C744" s="61" t="s">
        <v>178</v>
      </c>
      <c r="D744" s="71">
        <v>2</v>
      </c>
      <c r="E744" s="70">
        <v>0</v>
      </c>
    </row>
    <row r="745" spans="2:5" ht="15" customHeight="1">
      <c r="B745" s="112"/>
      <c r="C745" s="61" t="s">
        <v>151</v>
      </c>
      <c r="D745" s="71">
        <v>2</v>
      </c>
      <c r="E745" s="70">
        <v>0</v>
      </c>
    </row>
    <row r="746" spans="2:5" ht="15" customHeight="1">
      <c r="B746" s="112"/>
      <c r="C746" s="61" t="s">
        <v>180</v>
      </c>
      <c r="D746" s="71">
        <v>5</v>
      </c>
      <c r="E746" s="70">
        <v>0</v>
      </c>
    </row>
    <row r="747" spans="2:5" ht="15" customHeight="1">
      <c r="B747" s="112"/>
      <c r="C747" s="61" t="s">
        <v>202</v>
      </c>
      <c r="D747" s="71">
        <v>3</v>
      </c>
      <c r="E747" s="70">
        <v>0</v>
      </c>
    </row>
    <row r="748" spans="2:5" ht="15" customHeight="1">
      <c r="B748" s="112"/>
      <c r="C748" s="61" t="s">
        <v>181</v>
      </c>
      <c r="D748" s="71">
        <v>1</v>
      </c>
      <c r="E748" s="70">
        <v>0</v>
      </c>
    </row>
    <row r="749" spans="2:5" ht="15" customHeight="1">
      <c r="B749" s="112"/>
      <c r="C749" s="61" t="s">
        <v>152</v>
      </c>
      <c r="D749" s="71">
        <v>4</v>
      </c>
      <c r="E749" s="70">
        <v>0</v>
      </c>
    </row>
    <row r="750" spans="2:5" ht="15" customHeight="1">
      <c r="B750" s="112"/>
      <c r="C750" s="61" t="s">
        <v>203</v>
      </c>
      <c r="D750" s="71">
        <v>1</v>
      </c>
      <c r="E750" s="70">
        <v>0</v>
      </c>
    </row>
    <row r="751" spans="2:5" ht="15" customHeight="1">
      <c r="B751" s="112"/>
      <c r="C751" s="61" t="s">
        <v>162</v>
      </c>
      <c r="D751" s="71">
        <v>10</v>
      </c>
      <c r="E751" s="70">
        <v>0</v>
      </c>
    </row>
    <row r="752" spans="2:5" ht="15" customHeight="1">
      <c r="B752" s="112"/>
      <c r="C752" s="61" t="s">
        <v>153</v>
      </c>
      <c r="D752" s="71">
        <v>36</v>
      </c>
      <c r="E752" s="70">
        <v>1E-3</v>
      </c>
    </row>
    <row r="753" spans="2:5" ht="15" customHeight="1">
      <c r="B753" s="112"/>
      <c r="C753" s="61" t="s">
        <v>182</v>
      </c>
      <c r="D753" s="71">
        <v>1</v>
      </c>
      <c r="E753" s="70">
        <v>0</v>
      </c>
    </row>
    <row r="754" spans="2:5" ht="15" customHeight="1">
      <c r="B754" s="112"/>
      <c r="C754" s="61" t="s">
        <v>154</v>
      </c>
      <c r="D754" s="71">
        <v>177</v>
      </c>
      <c r="E754" s="70">
        <v>7.0000000000000001E-3</v>
      </c>
    </row>
    <row r="755" spans="2:5" ht="15" customHeight="1">
      <c r="B755" s="112"/>
      <c r="C755" s="61" t="s">
        <v>183</v>
      </c>
      <c r="D755" s="71">
        <v>18</v>
      </c>
      <c r="E755" s="70">
        <v>1E-3</v>
      </c>
    </row>
    <row r="756" spans="2:5" ht="15" customHeight="1">
      <c r="B756" s="112"/>
      <c r="C756" s="61" t="s">
        <v>155</v>
      </c>
      <c r="D756" s="71">
        <v>40</v>
      </c>
      <c r="E756" s="70">
        <v>1E-3</v>
      </c>
    </row>
    <row r="757" spans="2:5" ht="15" customHeight="1">
      <c r="B757" s="112"/>
      <c r="C757" s="61" t="s">
        <v>194</v>
      </c>
      <c r="D757" s="71">
        <v>2</v>
      </c>
      <c r="E757" s="70">
        <v>0</v>
      </c>
    </row>
    <row r="758" spans="2:5" ht="15" customHeight="1">
      <c r="B758" s="112"/>
      <c r="C758" s="61" t="s">
        <v>185</v>
      </c>
      <c r="D758" s="71">
        <v>2</v>
      </c>
      <c r="E758" s="70">
        <v>0</v>
      </c>
    </row>
    <row r="759" spans="2:5" ht="15" customHeight="1">
      <c r="B759" s="112"/>
      <c r="C759" s="61" t="s">
        <v>186</v>
      </c>
      <c r="D759" s="71">
        <v>4</v>
      </c>
      <c r="E759" s="70">
        <v>0</v>
      </c>
    </row>
    <row r="760" spans="2:5" ht="15" customHeight="1">
      <c r="B760" s="112"/>
      <c r="C760" s="61" t="s">
        <v>187</v>
      </c>
      <c r="D760" s="71">
        <v>2</v>
      </c>
      <c r="E760" s="70">
        <v>0</v>
      </c>
    </row>
    <row r="761" spans="2:5" ht="15" customHeight="1">
      <c r="B761" s="112"/>
      <c r="C761" s="61" t="s">
        <v>188</v>
      </c>
      <c r="D761" s="71">
        <v>1</v>
      </c>
      <c r="E761" s="70">
        <v>0</v>
      </c>
    </row>
    <row r="762" spans="2:5" ht="15" customHeight="1">
      <c r="B762" s="112"/>
      <c r="C762" s="61" t="s">
        <v>189</v>
      </c>
      <c r="D762" s="71">
        <v>11</v>
      </c>
      <c r="E762" s="70">
        <v>0</v>
      </c>
    </row>
    <row r="763" spans="2:5" ht="15" customHeight="1">
      <c r="B763" s="112"/>
      <c r="C763" s="61" t="s">
        <v>191</v>
      </c>
      <c r="D763" s="71">
        <v>12</v>
      </c>
      <c r="E763" s="70">
        <v>0</v>
      </c>
    </row>
    <row r="764" spans="2:5" ht="15" customHeight="1">
      <c r="B764" s="112"/>
      <c r="C764" s="61" t="s">
        <v>156</v>
      </c>
      <c r="D764" s="71">
        <v>2</v>
      </c>
      <c r="E764" s="70">
        <v>0</v>
      </c>
    </row>
    <row r="765" spans="2:5" ht="15" customHeight="1">
      <c r="B765" s="112"/>
      <c r="C765" s="61" t="s">
        <v>196</v>
      </c>
      <c r="D765" s="71">
        <v>3</v>
      </c>
      <c r="E765" s="70">
        <v>0</v>
      </c>
    </row>
    <row r="766" spans="2:5" ht="15" customHeight="1">
      <c r="B766" s="112"/>
      <c r="C766" s="61" t="s">
        <v>157</v>
      </c>
      <c r="D766" s="71">
        <v>5</v>
      </c>
      <c r="E766" s="70">
        <v>0</v>
      </c>
    </row>
    <row r="767" spans="2:5" ht="15" customHeight="1">
      <c r="B767" s="112"/>
      <c r="C767" s="61" t="s">
        <v>158</v>
      </c>
      <c r="D767" s="71">
        <v>6</v>
      </c>
      <c r="E767" s="70">
        <v>0</v>
      </c>
    </row>
    <row r="768" spans="2:5" ht="15" customHeight="1">
      <c r="B768" s="112"/>
      <c r="C768" s="61" t="s">
        <v>192</v>
      </c>
      <c r="D768" s="71">
        <v>18</v>
      </c>
      <c r="E768" s="70">
        <v>1E-3</v>
      </c>
    </row>
    <row r="769" spans="2:5" ht="15" customHeight="1">
      <c r="B769" s="112"/>
      <c r="C769" s="61" t="s">
        <v>159</v>
      </c>
      <c r="D769" s="71">
        <v>32</v>
      </c>
      <c r="E769" s="70">
        <v>1E-3</v>
      </c>
    </row>
    <row r="770" spans="2:5" ht="15" customHeight="1">
      <c r="B770" s="112"/>
      <c r="C770" s="61" t="s">
        <v>160</v>
      </c>
      <c r="D770" s="71">
        <v>35</v>
      </c>
      <c r="E770" s="70">
        <v>1E-3</v>
      </c>
    </row>
    <row r="771" spans="2:5" ht="15" customHeight="1">
      <c r="B771" s="112"/>
      <c r="C771" s="74" t="s">
        <v>309</v>
      </c>
      <c r="D771" s="77">
        <v>776</v>
      </c>
      <c r="E771" s="75">
        <v>2.9000000000000001E-2</v>
      </c>
    </row>
    <row r="772" spans="2:5" ht="15" customHeight="1">
      <c r="B772" s="112" t="s">
        <v>47</v>
      </c>
      <c r="C772" s="61" t="s">
        <v>163</v>
      </c>
      <c r="D772" s="71">
        <v>24</v>
      </c>
      <c r="E772" s="70">
        <v>1E-3</v>
      </c>
    </row>
    <row r="773" spans="2:5" ht="15" customHeight="1">
      <c r="B773" s="112"/>
      <c r="C773" s="61" t="s">
        <v>197</v>
      </c>
      <c r="D773" s="71">
        <v>7</v>
      </c>
      <c r="E773" s="70">
        <v>0</v>
      </c>
    </row>
    <row r="774" spans="2:5" ht="15" customHeight="1">
      <c r="B774" s="112"/>
      <c r="C774" s="61" t="s">
        <v>164</v>
      </c>
      <c r="D774" s="71">
        <v>30</v>
      </c>
      <c r="E774" s="70">
        <v>1E-3</v>
      </c>
    </row>
    <row r="775" spans="2:5" ht="15" customHeight="1">
      <c r="B775" s="112"/>
      <c r="C775" s="61" t="s">
        <v>165</v>
      </c>
      <c r="D775" s="71">
        <v>14</v>
      </c>
      <c r="E775" s="70">
        <v>1E-3</v>
      </c>
    </row>
    <row r="776" spans="2:5" ht="15" customHeight="1">
      <c r="B776" s="112"/>
      <c r="C776" s="61" t="s">
        <v>166</v>
      </c>
      <c r="D776" s="71">
        <v>44</v>
      </c>
      <c r="E776" s="70">
        <v>2E-3</v>
      </c>
    </row>
    <row r="777" spans="2:5" ht="15" customHeight="1">
      <c r="B777" s="112"/>
      <c r="C777" s="61" t="s">
        <v>167</v>
      </c>
      <c r="D777" s="71">
        <v>2</v>
      </c>
      <c r="E777" s="70">
        <v>0</v>
      </c>
    </row>
    <row r="778" spans="2:5" ht="15" customHeight="1">
      <c r="B778" s="112"/>
      <c r="C778" s="61" t="s">
        <v>168</v>
      </c>
      <c r="D778" s="71">
        <v>25</v>
      </c>
      <c r="E778" s="70">
        <v>1E-3</v>
      </c>
    </row>
    <row r="779" spans="2:5" ht="15" customHeight="1">
      <c r="B779" s="112"/>
      <c r="C779" s="61" t="s">
        <v>169</v>
      </c>
      <c r="D779" s="71">
        <v>1</v>
      </c>
      <c r="E779" s="70">
        <v>0</v>
      </c>
    </row>
    <row r="780" spans="2:5" ht="15" customHeight="1">
      <c r="B780" s="112"/>
      <c r="C780" s="61" t="s">
        <v>161</v>
      </c>
      <c r="D780" s="71">
        <v>10</v>
      </c>
      <c r="E780" s="70">
        <v>0</v>
      </c>
    </row>
    <row r="781" spans="2:5" ht="15" customHeight="1">
      <c r="B781" s="112"/>
      <c r="C781" s="61" t="s">
        <v>285</v>
      </c>
      <c r="D781" s="71">
        <v>6</v>
      </c>
      <c r="E781" s="70">
        <v>0</v>
      </c>
    </row>
    <row r="782" spans="2:5" ht="15" customHeight="1">
      <c r="B782" s="112"/>
      <c r="C782" s="61" t="s">
        <v>170</v>
      </c>
      <c r="D782" s="71">
        <v>5</v>
      </c>
      <c r="E782" s="70">
        <v>0</v>
      </c>
    </row>
    <row r="783" spans="2:5" ht="15" customHeight="1">
      <c r="B783" s="112"/>
      <c r="C783" s="61" t="s">
        <v>146</v>
      </c>
      <c r="D783" s="71">
        <v>387</v>
      </c>
      <c r="E783" s="70">
        <v>1.4E-2</v>
      </c>
    </row>
    <row r="784" spans="2:5" ht="15" customHeight="1">
      <c r="B784" s="112"/>
      <c r="C784" s="61" t="s">
        <v>171</v>
      </c>
      <c r="D784" s="71">
        <v>7</v>
      </c>
      <c r="E784" s="70">
        <v>0</v>
      </c>
    </row>
    <row r="785" spans="2:5" ht="15" customHeight="1">
      <c r="B785" s="112"/>
      <c r="C785" s="61" t="s">
        <v>172</v>
      </c>
      <c r="D785" s="71">
        <v>8</v>
      </c>
      <c r="E785" s="70">
        <v>0</v>
      </c>
    </row>
    <row r="786" spans="2:5" ht="15" customHeight="1">
      <c r="B786" s="112"/>
      <c r="C786" s="61" t="s">
        <v>147</v>
      </c>
      <c r="D786" s="71">
        <v>5</v>
      </c>
      <c r="E786" s="70">
        <v>0</v>
      </c>
    </row>
    <row r="787" spans="2:5" ht="15" customHeight="1">
      <c r="B787" s="112"/>
      <c r="C787" s="61" t="s">
        <v>173</v>
      </c>
      <c r="D787" s="71">
        <v>44</v>
      </c>
      <c r="E787" s="70">
        <v>2E-3</v>
      </c>
    </row>
    <row r="788" spans="2:5" ht="15" customHeight="1">
      <c r="B788" s="112"/>
      <c r="C788" s="61" t="s">
        <v>148</v>
      </c>
      <c r="D788" s="71">
        <v>65</v>
      </c>
      <c r="E788" s="70">
        <v>2E-3</v>
      </c>
    </row>
    <row r="789" spans="2:5" ht="15" customHeight="1">
      <c r="B789" s="112"/>
      <c r="C789" s="61" t="s">
        <v>199</v>
      </c>
      <c r="D789" s="71">
        <v>25</v>
      </c>
      <c r="E789" s="70">
        <v>1E-3</v>
      </c>
    </row>
    <row r="790" spans="2:5" ht="15" customHeight="1">
      <c r="B790" s="112"/>
      <c r="C790" s="61" t="s">
        <v>174</v>
      </c>
      <c r="D790" s="71">
        <v>127</v>
      </c>
      <c r="E790" s="70">
        <v>5.0000000000000001E-3</v>
      </c>
    </row>
    <row r="791" spans="2:5" ht="15" customHeight="1">
      <c r="B791" s="112"/>
      <c r="C791" s="61" t="s">
        <v>175</v>
      </c>
      <c r="D791" s="71">
        <v>341</v>
      </c>
      <c r="E791" s="70">
        <v>1.2999999999999999E-2</v>
      </c>
    </row>
    <row r="792" spans="2:5" ht="15" customHeight="1">
      <c r="B792" s="112"/>
      <c r="C792" s="61" t="s">
        <v>176</v>
      </c>
      <c r="D792" s="71">
        <v>16</v>
      </c>
      <c r="E792" s="70">
        <v>1E-3</v>
      </c>
    </row>
    <row r="793" spans="2:5" ht="15" customHeight="1">
      <c r="B793" s="112"/>
      <c r="C793" s="61" t="s">
        <v>177</v>
      </c>
      <c r="D793" s="71">
        <v>3</v>
      </c>
      <c r="E793" s="70">
        <v>0</v>
      </c>
    </row>
    <row r="794" spans="2:5" ht="15" customHeight="1">
      <c r="B794" s="112"/>
      <c r="C794" s="61" t="s">
        <v>149</v>
      </c>
      <c r="D794" s="71">
        <v>60</v>
      </c>
      <c r="E794" s="70">
        <v>2E-3</v>
      </c>
    </row>
    <row r="795" spans="2:5" ht="15" customHeight="1">
      <c r="B795" s="112"/>
      <c r="C795" s="61" t="s">
        <v>150</v>
      </c>
      <c r="D795" s="71">
        <v>39</v>
      </c>
      <c r="E795" s="70">
        <v>1E-3</v>
      </c>
    </row>
    <row r="796" spans="2:5" ht="15" customHeight="1">
      <c r="B796" s="112"/>
      <c r="C796" s="61" t="s">
        <v>193</v>
      </c>
      <c r="D796" s="71">
        <v>17</v>
      </c>
      <c r="E796" s="70">
        <v>1E-3</v>
      </c>
    </row>
    <row r="797" spans="2:5" ht="15" customHeight="1">
      <c r="B797" s="112"/>
      <c r="C797" s="61" t="s">
        <v>178</v>
      </c>
      <c r="D797" s="71">
        <v>7</v>
      </c>
      <c r="E797" s="70">
        <v>0</v>
      </c>
    </row>
    <row r="798" spans="2:5" ht="15" customHeight="1">
      <c r="B798" s="112"/>
      <c r="C798" s="61" t="s">
        <v>179</v>
      </c>
      <c r="D798" s="71">
        <v>7</v>
      </c>
      <c r="E798" s="70">
        <v>0</v>
      </c>
    </row>
    <row r="799" spans="2:5" ht="15" customHeight="1">
      <c r="B799" s="112"/>
      <c r="C799" s="61" t="s">
        <v>151</v>
      </c>
      <c r="D799" s="71">
        <v>14</v>
      </c>
      <c r="E799" s="70">
        <v>1E-3</v>
      </c>
    </row>
    <row r="800" spans="2:5" ht="15" customHeight="1">
      <c r="B800" s="112"/>
      <c r="C800" s="61" t="s">
        <v>201</v>
      </c>
      <c r="D800" s="71">
        <v>12</v>
      </c>
      <c r="E800" s="70">
        <v>0</v>
      </c>
    </row>
    <row r="801" spans="2:5" ht="15" customHeight="1">
      <c r="B801" s="112"/>
      <c r="C801" s="61" t="s">
        <v>180</v>
      </c>
      <c r="D801" s="71">
        <v>73</v>
      </c>
      <c r="E801" s="70">
        <v>3.0000000000000001E-3</v>
      </c>
    </row>
    <row r="802" spans="2:5" ht="15" customHeight="1">
      <c r="B802" s="112"/>
      <c r="C802" s="61" t="s">
        <v>202</v>
      </c>
      <c r="D802" s="71">
        <v>22</v>
      </c>
      <c r="E802" s="70">
        <v>1E-3</v>
      </c>
    </row>
    <row r="803" spans="2:5" ht="15" customHeight="1">
      <c r="B803" s="112"/>
      <c r="C803" s="61" t="s">
        <v>181</v>
      </c>
      <c r="D803" s="71">
        <v>18</v>
      </c>
      <c r="E803" s="70">
        <v>1E-3</v>
      </c>
    </row>
    <row r="804" spans="2:5" ht="15" customHeight="1">
      <c r="B804" s="112"/>
      <c r="C804" s="61" t="s">
        <v>152</v>
      </c>
      <c r="D804" s="71">
        <v>86</v>
      </c>
      <c r="E804" s="70">
        <v>3.0000000000000001E-3</v>
      </c>
    </row>
    <row r="805" spans="2:5" ht="15" customHeight="1">
      <c r="B805" s="112"/>
      <c r="C805" s="61" t="s">
        <v>203</v>
      </c>
      <c r="D805" s="71">
        <v>12</v>
      </c>
      <c r="E805" s="70">
        <v>0</v>
      </c>
    </row>
    <row r="806" spans="2:5" ht="15" customHeight="1">
      <c r="B806" s="112"/>
      <c r="C806" s="61" t="s">
        <v>162</v>
      </c>
      <c r="D806" s="71">
        <v>56</v>
      </c>
      <c r="E806" s="70">
        <v>2E-3</v>
      </c>
    </row>
    <row r="807" spans="2:5" ht="15" customHeight="1">
      <c r="B807" s="112"/>
      <c r="C807" s="61" t="s">
        <v>153</v>
      </c>
      <c r="D807" s="71">
        <v>43</v>
      </c>
      <c r="E807" s="70">
        <v>2E-3</v>
      </c>
    </row>
    <row r="808" spans="2:5" ht="15" customHeight="1">
      <c r="B808" s="112"/>
      <c r="C808" s="61" t="s">
        <v>182</v>
      </c>
      <c r="D808" s="71">
        <v>4</v>
      </c>
      <c r="E808" s="70">
        <v>0</v>
      </c>
    </row>
    <row r="809" spans="2:5" ht="15" customHeight="1">
      <c r="B809" s="112"/>
      <c r="C809" s="61" t="s">
        <v>154</v>
      </c>
      <c r="D809" s="71">
        <v>26</v>
      </c>
      <c r="E809" s="70">
        <v>1E-3</v>
      </c>
    </row>
    <row r="810" spans="2:5" ht="15" customHeight="1">
      <c r="B810" s="112"/>
      <c r="C810" s="61" t="s">
        <v>183</v>
      </c>
      <c r="D810" s="71">
        <v>15</v>
      </c>
      <c r="E810" s="70">
        <v>1E-3</v>
      </c>
    </row>
    <row r="811" spans="2:5" ht="15" customHeight="1">
      <c r="B811" s="112"/>
      <c r="C811" s="61" t="s">
        <v>184</v>
      </c>
      <c r="D811" s="71">
        <v>1</v>
      </c>
      <c r="E811" s="70">
        <v>0</v>
      </c>
    </row>
    <row r="812" spans="2:5" ht="15" customHeight="1">
      <c r="B812" s="112"/>
      <c r="C812" s="61" t="s">
        <v>155</v>
      </c>
      <c r="D812" s="71">
        <v>104</v>
      </c>
      <c r="E812" s="70">
        <v>4.0000000000000001E-3</v>
      </c>
    </row>
    <row r="813" spans="2:5" ht="15" customHeight="1">
      <c r="B813" s="112"/>
      <c r="C813" s="61" t="s">
        <v>194</v>
      </c>
      <c r="D813" s="71">
        <v>34</v>
      </c>
      <c r="E813" s="70">
        <v>1E-3</v>
      </c>
    </row>
    <row r="814" spans="2:5" ht="15" customHeight="1">
      <c r="B814" s="112"/>
      <c r="C814" s="61" t="s">
        <v>185</v>
      </c>
      <c r="D814" s="71">
        <v>57</v>
      </c>
      <c r="E814" s="70">
        <v>2E-3</v>
      </c>
    </row>
    <row r="815" spans="2:5" ht="15" customHeight="1">
      <c r="B815" s="112"/>
      <c r="C815" s="61" t="s">
        <v>186</v>
      </c>
      <c r="D815" s="71">
        <v>49</v>
      </c>
      <c r="E815" s="70">
        <v>2E-3</v>
      </c>
    </row>
    <row r="816" spans="2:5" ht="15" customHeight="1">
      <c r="B816" s="112"/>
      <c r="C816" s="61" t="s">
        <v>187</v>
      </c>
      <c r="D816" s="71">
        <v>100</v>
      </c>
      <c r="E816" s="70">
        <v>4.0000000000000001E-3</v>
      </c>
    </row>
    <row r="817" spans="2:5" ht="15" customHeight="1">
      <c r="B817" s="112"/>
      <c r="C817" s="61" t="s">
        <v>188</v>
      </c>
      <c r="D817" s="71">
        <v>31</v>
      </c>
      <c r="E817" s="70">
        <v>1E-3</v>
      </c>
    </row>
    <row r="818" spans="2:5" ht="15" customHeight="1">
      <c r="B818" s="112"/>
      <c r="C818" s="61" t="s">
        <v>189</v>
      </c>
      <c r="D818" s="71">
        <v>135</v>
      </c>
      <c r="E818" s="70">
        <v>5.0000000000000001E-3</v>
      </c>
    </row>
    <row r="819" spans="2:5" ht="15" customHeight="1">
      <c r="B819" s="112"/>
      <c r="C819" s="61" t="s">
        <v>195</v>
      </c>
      <c r="D819" s="71">
        <v>1</v>
      </c>
      <c r="E819" s="70">
        <v>0</v>
      </c>
    </row>
    <row r="820" spans="2:5" ht="15" customHeight="1">
      <c r="B820" s="112"/>
      <c r="C820" s="61" t="s">
        <v>190</v>
      </c>
      <c r="D820" s="71">
        <v>3</v>
      </c>
      <c r="E820" s="70">
        <v>0</v>
      </c>
    </row>
    <row r="821" spans="2:5" ht="15" customHeight="1">
      <c r="B821" s="112"/>
      <c r="C821" s="61" t="s">
        <v>191</v>
      </c>
      <c r="D821" s="71">
        <v>127</v>
      </c>
      <c r="E821" s="70">
        <v>5.0000000000000001E-3</v>
      </c>
    </row>
    <row r="822" spans="2:5" ht="15" customHeight="1">
      <c r="B822" s="112"/>
      <c r="C822" s="61" t="s">
        <v>156</v>
      </c>
      <c r="D822" s="71">
        <v>7</v>
      </c>
      <c r="E822" s="70">
        <v>0</v>
      </c>
    </row>
    <row r="823" spans="2:5" ht="15" customHeight="1">
      <c r="B823" s="112"/>
      <c r="C823" s="61" t="s">
        <v>196</v>
      </c>
      <c r="D823" s="71">
        <v>7</v>
      </c>
      <c r="E823" s="70">
        <v>0</v>
      </c>
    </row>
    <row r="824" spans="2:5" ht="15" customHeight="1">
      <c r="B824" s="112"/>
      <c r="C824" s="61" t="s">
        <v>157</v>
      </c>
      <c r="D824" s="71">
        <v>5</v>
      </c>
      <c r="E824" s="70">
        <v>0</v>
      </c>
    </row>
    <row r="825" spans="2:5" ht="15" customHeight="1">
      <c r="B825" s="112"/>
      <c r="C825" s="61" t="s">
        <v>158</v>
      </c>
      <c r="D825" s="71">
        <v>4</v>
      </c>
      <c r="E825" s="70">
        <v>0</v>
      </c>
    </row>
    <row r="826" spans="2:5" ht="15" customHeight="1">
      <c r="B826" s="112"/>
      <c r="C826" s="61" t="s">
        <v>192</v>
      </c>
      <c r="D826" s="71">
        <v>18</v>
      </c>
      <c r="E826" s="70">
        <v>1E-3</v>
      </c>
    </row>
    <row r="827" spans="2:5" ht="15" customHeight="1">
      <c r="B827" s="112"/>
      <c r="C827" s="61" t="s">
        <v>159</v>
      </c>
      <c r="D827" s="71">
        <v>162</v>
      </c>
      <c r="E827" s="70">
        <v>6.0000000000000001E-3</v>
      </c>
    </row>
    <row r="828" spans="2:5" ht="15" customHeight="1">
      <c r="B828" s="112"/>
      <c r="C828" s="61" t="s">
        <v>160</v>
      </c>
      <c r="D828" s="71">
        <v>142</v>
      </c>
      <c r="E828" s="70">
        <v>5.0000000000000001E-3</v>
      </c>
    </row>
    <row r="829" spans="2:5" ht="15" customHeight="1">
      <c r="B829" s="112"/>
      <c r="C829" s="74" t="s">
        <v>309</v>
      </c>
      <c r="D829" s="59">
        <v>2694</v>
      </c>
      <c r="E829" s="75">
        <v>9.9000000000000005E-2</v>
      </c>
    </row>
    <row r="830" spans="2:5" ht="15" customHeight="1">
      <c r="B830" s="112" t="s">
        <v>70</v>
      </c>
      <c r="C830" s="61" t="s">
        <v>168</v>
      </c>
      <c r="D830" s="71">
        <v>1</v>
      </c>
      <c r="E830" s="70">
        <v>0</v>
      </c>
    </row>
    <row r="831" spans="2:5" ht="15" customHeight="1">
      <c r="B831" s="112"/>
      <c r="C831" s="61" t="s">
        <v>169</v>
      </c>
      <c r="D831" s="71">
        <v>1</v>
      </c>
      <c r="E831" s="70">
        <v>0</v>
      </c>
    </row>
    <row r="832" spans="2:5" ht="15" customHeight="1">
      <c r="B832" s="112"/>
      <c r="C832" s="61" t="s">
        <v>198</v>
      </c>
      <c r="D832" s="71">
        <v>3</v>
      </c>
      <c r="E832" s="70">
        <v>0</v>
      </c>
    </row>
    <row r="833" spans="2:5" ht="15" customHeight="1">
      <c r="B833" s="112"/>
      <c r="C833" s="61" t="s">
        <v>146</v>
      </c>
      <c r="D833" s="71">
        <v>17</v>
      </c>
      <c r="E833" s="70">
        <v>1E-3</v>
      </c>
    </row>
    <row r="834" spans="2:5" ht="15" customHeight="1">
      <c r="B834" s="112"/>
      <c r="C834" s="61" t="s">
        <v>171</v>
      </c>
      <c r="D834" s="71">
        <v>1</v>
      </c>
      <c r="E834" s="70">
        <v>0</v>
      </c>
    </row>
    <row r="835" spans="2:5" ht="15" customHeight="1">
      <c r="B835" s="112"/>
      <c r="C835" s="61" t="s">
        <v>147</v>
      </c>
      <c r="D835" s="71">
        <v>14</v>
      </c>
      <c r="E835" s="70">
        <v>1E-3</v>
      </c>
    </row>
    <row r="836" spans="2:5" ht="15" customHeight="1">
      <c r="B836" s="112"/>
      <c r="C836" s="61" t="s">
        <v>148</v>
      </c>
      <c r="D836" s="71">
        <v>7</v>
      </c>
      <c r="E836" s="70">
        <v>0</v>
      </c>
    </row>
    <row r="837" spans="2:5" ht="15" customHeight="1">
      <c r="B837" s="112"/>
      <c r="C837" s="61" t="s">
        <v>199</v>
      </c>
      <c r="D837" s="71">
        <v>1</v>
      </c>
      <c r="E837" s="70">
        <v>0</v>
      </c>
    </row>
    <row r="838" spans="2:5" ht="15" customHeight="1">
      <c r="B838" s="112"/>
      <c r="C838" s="61" t="s">
        <v>174</v>
      </c>
      <c r="D838" s="71">
        <v>2</v>
      </c>
      <c r="E838" s="70">
        <v>0</v>
      </c>
    </row>
    <row r="839" spans="2:5" ht="15" customHeight="1">
      <c r="B839" s="112"/>
      <c r="C839" s="61" t="s">
        <v>175</v>
      </c>
      <c r="D839" s="71">
        <v>3</v>
      </c>
      <c r="E839" s="70">
        <v>0</v>
      </c>
    </row>
    <row r="840" spans="2:5" ht="15" customHeight="1">
      <c r="B840" s="112"/>
      <c r="C840" s="61" t="s">
        <v>176</v>
      </c>
      <c r="D840" s="71">
        <v>1</v>
      </c>
      <c r="E840" s="70">
        <v>0</v>
      </c>
    </row>
    <row r="841" spans="2:5" ht="15" customHeight="1">
      <c r="B841" s="112"/>
      <c r="C841" s="61" t="s">
        <v>177</v>
      </c>
      <c r="D841" s="71">
        <v>2</v>
      </c>
      <c r="E841" s="70">
        <v>0</v>
      </c>
    </row>
    <row r="842" spans="2:5" ht="15" customHeight="1">
      <c r="B842" s="112"/>
      <c r="C842" s="61" t="s">
        <v>150</v>
      </c>
      <c r="D842" s="71">
        <v>10</v>
      </c>
      <c r="E842" s="70">
        <v>0</v>
      </c>
    </row>
    <row r="843" spans="2:5" ht="15" customHeight="1">
      <c r="B843" s="112"/>
      <c r="C843" s="61" t="s">
        <v>178</v>
      </c>
      <c r="D843" s="71">
        <v>1</v>
      </c>
      <c r="E843" s="70">
        <v>0</v>
      </c>
    </row>
    <row r="844" spans="2:5" ht="15" customHeight="1">
      <c r="B844" s="112"/>
      <c r="C844" s="61" t="s">
        <v>151</v>
      </c>
      <c r="D844" s="71">
        <v>2</v>
      </c>
      <c r="E844" s="70">
        <v>0</v>
      </c>
    </row>
    <row r="845" spans="2:5" ht="15" customHeight="1">
      <c r="B845" s="112"/>
      <c r="C845" s="61" t="s">
        <v>181</v>
      </c>
      <c r="D845" s="71">
        <v>1</v>
      </c>
      <c r="E845" s="70">
        <v>0</v>
      </c>
    </row>
    <row r="846" spans="2:5" ht="15" customHeight="1">
      <c r="B846" s="112"/>
      <c r="C846" s="61" t="s">
        <v>152</v>
      </c>
      <c r="D846" s="71">
        <v>1</v>
      </c>
      <c r="E846" s="70">
        <v>0</v>
      </c>
    </row>
    <row r="847" spans="2:5" ht="15" customHeight="1">
      <c r="B847" s="112"/>
      <c r="C847" s="61" t="s">
        <v>203</v>
      </c>
      <c r="D847" s="71">
        <v>26</v>
      </c>
      <c r="E847" s="70">
        <v>1E-3</v>
      </c>
    </row>
    <row r="848" spans="2:5" ht="15" customHeight="1">
      <c r="B848" s="112"/>
      <c r="C848" s="61" t="s">
        <v>162</v>
      </c>
      <c r="D848" s="71">
        <v>2</v>
      </c>
      <c r="E848" s="70">
        <v>0</v>
      </c>
    </row>
    <row r="849" spans="2:5" ht="15" customHeight="1">
      <c r="B849" s="112"/>
      <c r="C849" s="61" t="s">
        <v>153</v>
      </c>
      <c r="D849" s="71">
        <v>39</v>
      </c>
      <c r="E849" s="70">
        <v>1E-3</v>
      </c>
    </row>
    <row r="850" spans="2:5" ht="15" customHeight="1">
      <c r="B850" s="112"/>
      <c r="C850" s="61" t="s">
        <v>154</v>
      </c>
      <c r="D850" s="71">
        <v>4</v>
      </c>
      <c r="E850" s="70">
        <v>0</v>
      </c>
    </row>
    <row r="851" spans="2:5" ht="15" customHeight="1">
      <c r="B851" s="112"/>
      <c r="C851" s="61" t="s">
        <v>155</v>
      </c>
      <c r="D851" s="71">
        <v>5</v>
      </c>
      <c r="E851" s="70">
        <v>0</v>
      </c>
    </row>
    <row r="852" spans="2:5" ht="15" customHeight="1">
      <c r="B852" s="112"/>
      <c r="C852" s="61" t="s">
        <v>185</v>
      </c>
      <c r="D852" s="71">
        <v>3</v>
      </c>
      <c r="E852" s="70">
        <v>0</v>
      </c>
    </row>
    <row r="853" spans="2:5" ht="15" customHeight="1">
      <c r="B853" s="112"/>
      <c r="C853" s="61" t="s">
        <v>186</v>
      </c>
      <c r="D853" s="71">
        <v>1</v>
      </c>
      <c r="E853" s="70">
        <v>0</v>
      </c>
    </row>
    <row r="854" spans="2:5" ht="15" customHeight="1">
      <c r="B854" s="112"/>
      <c r="C854" s="61" t="s">
        <v>187</v>
      </c>
      <c r="D854" s="71">
        <v>2</v>
      </c>
      <c r="E854" s="70">
        <v>0</v>
      </c>
    </row>
    <row r="855" spans="2:5" ht="15" customHeight="1">
      <c r="B855" s="112"/>
      <c r="C855" s="61" t="s">
        <v>189</v>
      </c>
      <c r="D855" s="71">
        <v>1</v>
      </c>
      <c r="E855" s="70">
        <v>0</v>
      </c>
    </row>
    <row r="856" spans="2:5" ht="15" customHeight="1">
      <c r="B856" s="112"/>
      <c r="C856" s="61" t="s">
        <v>191</v>
      </c>
      <c r="D856" s="71">
        <v>2</v>
      </c>
      <c r="E856" s="70">
        <v>0</v>
      </c>
    </row>
    <row r="857" spans="2:5" ht="15" customHeight="1">
      <c r="B857" s="112"/>
      <c r="C857" s="61" t="s">
        <v>156</v>
      </c>
      <c r="D857" s="71">
        <v>3</v>
      </c>
      <c r="E857" s="70">
        <v>0</v>
      </c>
    </row>
    <row r="858" spans="2:5" ht="15" customHeight="1">
      <c r="B858" s="112"/>
      <c r="C858" s="61" t="s">
        <v>196</v>
      </c>
      <c r="D858" s="71">
        <v>4</v>
      </c>
      <c r="E858" s="70">
        <v>0</v>
      </c>
    </row>
    <row r="859" spans="2:5" ht="15" customHeight="1">
      <c r="B859" s="112"/>
      <c r="C859" s="61" t="s">
        <v>158</v>
      </c>
      <c r="D859" s="71">
        <v>62</v>
      </c>
      <c r="E859" s="70">
        <v>2E-3</v>
      </c>
    </row>
    <row r="860" spans="2:5" ht="15" customHeight="1">
      <c r="B860" s="112"/>
      <c r="C860" s="61" t="s">
        <v>192</v>
      </c>
      <c r="D860" s="71">
        <v>6</v>
      </c>
      <c r="E860" s="70">
        <v>0</v>
      </c>
    </row>
    <row r="861" spans="2:5" ht="15" customHeight="1">
      <c r="B861" s="112"/>
      <c r="C861" s="61" t="s">
        <v>159</v>
      </c>
      <c r="D861" s="71">
        <v>3</v>
      </c>
      <c r="E861" s="70">
        <v>0</v>
      </c>
    </row>
    <row r="862" spans="2:5" ht="15" customHeight="1">
      <c r="B862" s="112"/>
      <c r="C862" s="61" t="s">
        <v>160</v>
      </c>
      <c r="D862" s="71">
        <v>12</v>
      </c>
      <c r="E862" s="70">
        <v>0</v>
      </c>
    </row>
    <row r="863" spans="2:5" ht="15" customHeight="1">
      <c r="B863" s="112"/>
      <c r="C863" s="74" t="s">
        <v>309</v>
      </c>
      <c r="D863" s="77">
        <v>243</v>
      </c>
      <c r="E863" s="75">
        <v>8.9999999999999993E-3</v>
      </c>
    </row>
    <row r="864" spans="2:5" ht="15" customHeight="1">
      <c r="B864" s="112" t="s">
        <v>78</v>
      </c>
      <c r="C864" s="61" t="s">
        <v>165</v>
      </c>
      <c r="D864" s="71">
        <v>1</v>
      </c>
      <c r="E864" s="70">
        <v>0</v>
      </c>
    </row>
    <row r="865" spans="2:5" ht="15" customHeight="1">
      <c r="B865" s="112"/>
      <c r="C865" s="61" t="s">
        <v>167</v>
      </c>
      <c r="D865" s="71">
        <v>1</v>
      </c>
      <c r="E865" s="70">
        <v>0</v>
      </c>
    </row>
    <row r="866" spans="2:5" ht="15" customHeight="1">
      <c r="B866" s="112"/>
      <c r="C866" s="61" t="s">
        <v>169</v>
      </c>
      <c r="D866" s="71">
        <v>1</v>
      </c>
      <c r="E866" s="70">
        <v>0</v>
      </c>
    </row>
    <row r="867" spans="2:5" ht="15" customHeight="1">
      <c r="B867" s="112"/>
      <c r="C867" s="61" t="s">
        <v>285</v>
      </c>
      <c r="D867" s="71">
        <v>1</v>
      </c>
      <c r="E867" s="70">
        <v>0</v>
      </c>
    </row>
    <row r="868" spans="2:5" ht="15" customHeight="1">
      <c r="B868" s="112"/>
      <c r="C868" s="61" t="s">
        <v>146</v>
      </c>
      <c r="D868" s="71">
        <v>5</v>
      </c>
      <c r="E868" s="70">
        <v>0</v>
      </c>
    </row>
    <row r="869" spans="2:5" ht="15" customHeight="1">
      <c r="B869" s="112"/>
      <c r="C869" s="61" t="s">
        <v>171</v>
      </c>
      <c r="D869" s="71">
        <v>5</v>
      </c>
      <c r="E869" s="70">
        <v>0</v>
      </c>
    </row>
    <row r="870" spans="2:5" ht="15" customHeight="1">
      <c r="B870" s="112"/>
      <c r="C870" s="61" t="s">
        <v>147</v>
      </c>
      <c r="D870" s="71">
        <v>4</v>
      </c>
      <c r="E870" s="70">
        <v>0</v>
      </c>
    </row>
    <row r="871" spans="2:5" ht="15" customHeight="1">
      <c r="B871" s="112"/>
      <c r="C871" s="61" t="s">
        <v>173</v>
      </c>
      <c r="D871" s="71">
        <v>8</v>
      </c>
      <c r="E871" s="70">
        <v>0</v>
      </c>
    </row>
    <row r="872" spans="2:5" ht="15" customHeight="1">
      <c r="B872" s="112"/>
      <c r="C872" s="61" t="s">
        <v>148</v>
      </c>
      <c r="D872" s="71">
        <v>5</v>
      </c>
      <c r="E872" s="70">
        <v>0</v>
      </c>
    </row>
    <row r="873" spans="2:5" ht="15" customHeight="1">
      <c r="B873" s="112"/>
      <c r="C873" s="61" t="s">
        <v>174</v>
      </c>
      <c r="D873" s="71">
        <v>1</v>
      </c>
      <c r="E873" s="70">
        <v>0</v>
      </c>
    </row>
    <row r="874" spans="2:5" ht="15" customHeight="1">
      <c r="B874" s="112"/>
      <c r="C874" s="61" t="s">
        <v>175</v>
      </c>
      <c r="D874" s="71">
        <v>12</v>
      </c>
      <c r="E874" s="70">
        <v>0</v>
      </c>
    </row>
    <row r="875" spans="2:5" ht="15" customHeight="1">
      <c r="B875" s="112"/>
      <c r="C875" s="61" t="s">
        <v>176</v>
      </c>
      <c r="D875" s="71">
        <v>4</v>
      </c>
      <c r="E875" s="70">
        <v>0</v>
      </c>
    </row>
    <row r="876" spans="2:5" ht="15" customHeight="1">
      <c r="B876" s="112"/>
      <c r="C876" s="61" t="s">
        <v>177</v>
      </c>
      <c r="D876" s="71">
        <v>6</v>
      </c>
      <c r="E876" s="70">
        <v>0</v>
      </c>
    </row>
    <row r="877" spans="2:5" ht="15" customHeight="1">
      <c r="B877" s="112"/>
      <c r="C877" s="61" t="s">
        <v>150</v>
      </c>
      <c r="D877" s="71">
        <v>4</v>
      </c>
      <c r="E877" s="70">
        <v>0</v>
      </c>
    </row>
    <row r="878" spans="2:5" ht="15" customHeight="1">
      <c r="B878" s="112"/>
      <c r="C878" s="61" t="s">
        <v>193</v>
      </c>
      <c r="D878" s="71">
        <v>2</v>
      </c>
      <c r="E878" s="70">
        <v>0</v>
      </c>
    </row>
    <row r="879" spans="2:5" ht="15" customHeight="1">
      <c r="B879" s="112"/>
      <c r="C879" s="61" t="s">
        <v>151</v>
      </c>
      <c r="D879" s="71">
        <v>10</v>
      </c>
      <c r="E879" s="70">
        <v>0</v>
      </c>
    </row>
    <row r="880" spans="2:5" ht="15" customHeight="1">
      <c r="B880" s="112"/>
      <c r="C880" s="61" t="s">
        <v>180</v>
      </c>
      <c r="D880" s="71">
        <v>1</v>
      </c>
      <c r="E880" s="70">
        <v>0</v>
      </c>
    </row>
    <row r="881" spans="2:5" ht="15" customHeight="1">
      <c r="B881" s="112"/>
      <c r="C881" s="61" t="s">
        <v>202</v>
      </c>
      <c r="D881" s="71">
        <v>1</v>
      </c>
      <c r="E881" s="70">
        <v>0</v>
      </c>
    </row>
    <row r="882" spans="2:5" ht="15" customHeight="1">
      <c r="B882" s="112"/>
      <c r="C882" s="61" t="s">
        <v>152</v>
      </c>
      <c r="D882" s="71">
        <v>2</v>
      </c>
      <c r="E882" s="70">
        <v>0</v>
      </c>
    </row>
    <row r="883" spans="2:5" ht="15" customHeight="1">
      <c r="B883" s="112"/>
      <c r="C883" s="61" t="s">
        <v>203</v>
      </c>
      <c r="D883" s="71">
        <v>3</v>
      </c>
      <c r="E883" s="70">
        <v>0</v>
      </c>
    </row>
    <row r="884" spans="2:5" ht="15" customHeight="1">
      <c r="B884" s="112"/>
      <c r="C884" s="61" t="s">
        <v>153</v>
      </c>
      <c r="D884" s="71">
        <v>15</v>
      </c>
      <c r="E884" s="70">
        <v>1E-3</v>
      </c>
    </row>
    <row r="885" spans="2:5" ht="15" customHeight="1">
      <c r="B885" s="112"/>
      <c r="C885" s="61" t="s">
        <v>154</v>
      </c>
      <c r="D885" s="71">
        <v>14</v>
      </c>
      <c r="E885" s="70">
        <v>1E-3</v>
      </c>
    </row>
    <row r="886" spans="2:5" ht="15" customHeight="1">
      <c r="B886" s="112"/>
      <c r="C886" s="61" t="s">
        <v>183</v>
      </c>
      <c r="D886" s="71">
        <v>17</v>
      </c>
      <c r="E886" s="70">
        <v>1E-3</v>
      </c>
    </row>
    <row r="887" spans="2:5" ht="15" customHeight="1">
      <c r="B887" s="112"/>
      <c r="C887" s="61" t="s">
        <v>155</v>
      </c>
      <c r="D887" s="71">
        <v>3</v>
      </c>
      <c r="E887" s="70">
        <v>0</v>
      </c>
    </row>
    <row r="888" spans="2:5" ht="15" customHeight="1">
      <c r="B888" s="112"/>
      <c r="C888" s="61" t="s">
        <v>187</v>
      </c>
      <c r="D888" s="71">
        <v>2</v>
      </c>
      <c r="E888" s="70">
        <v>0</v>
      </c>
    </row>
    <row r="889" spans="2:5" ht="15" customHeight="1">
      <c r="B889" s="112"/>
      <c r="C889" s="61" t="s">
        <v>191</v>
      </c>
      <c r="D889" s="71">
        <v>2</v>
      </c>
      <c r="E889" s="70">
        <v>0</v>
      </c>
    </row>
    <row r="890" spans="2:5" ht="15" customHeight="1">
      <c r="B890" s="112"/>
      <c r="C890" s="61" t="s">
        <v>196</v>
      </c>
      <c r="D890" s="71">
        <v>1</v>
      </c>
      <c r="E890" s="70">
        <v>0</v>
      </c>
    </row>
    <row r="891" spans="2:5" ht="15" customHeight="1">
      <c r="B891" s="112"/>
      <c r="C891" s="61" t="s">
        <v>159</v>
      </c>
      <c r="D891" s="71">
        <v>1</v>
      </c>
      <c r="E891" s="70">
        <v>0</v>
      </c>
    </row>
    <row r="892" spans="2:5" ht="15" customHeight="1">
      <c r="B892" s="112"/>
      <c r="C892" s="61" t="s">
        <v>160</v>
      </c>
      <c r="D892" s="71">
        <v>10</v>
      </c>
      <c r="E892" s="70">
        <v>0</v>
      </c>
    </row>
    <row r="893" spans="2:5" ht="15" customHeight="1">
      <c r="B893" s="112"/>
      <c r="C893" s="74" t="s">
        <v>309</v>
      </c>
      <c r="D893" s="77">
        <v>142</v>
      </c>
      <c r="E893" s="75">
        <v>5.0000000000000001E-3</v>
      </c>
    </row>
    <row r="894" spans="2:5" ht="15" customHeight="1">
      <c r="B894" s="112" t="s">
        <v>64</v>
      </c>
      <c r="C894" s="61" t="s">
        <v>197</v>
      </c>
      <c r="D894" s="71">
        <v>5</v>
      </c>
      <c r="E894" s="70">
        <v>0</v>
      </c>
    </row>
    <row r="895" spans="2:5" ht="15" customHeight="1">
      <c r="B895" s="112"/>
      <c r="C895" s="61" t="s">
        <v>164</v>
      </c>
      <c r="D895" s="71">
        <v>1</v>
      </c>
      <c r="E895" s="70">
        <v>0</v>
      </c>
    </row>
    <row r="896" spans="2:5" ht="15" customHeight="1">
      <c r="B896" s="112"/>
      <c r="C896" s="61" t="s">
        <v>166</v>
      </c>
      <c r="D896" s="71">
        <v>1</v>
      </c>
      <c r="E896" s="70">
        <v>0</v>
      </c>
    </row>
    <row r="897" spans="2:5" ht="15" customHeight="1">
      <c r="B897" s="112"/>
      <c r="C897" s="61" t="s">
        <v>161</v>
      </c>
      <c r="D897" s="71">
        <v>3</v>
      </c>
      <c r="E897" s="70">
        <v>0</v>
      </c>
    </row>
    <row r="898" spans="2:5" ht="15" customHeight="1">
      <c r="B898" s="112"/>
      <c r="C898" s="61" t="s">
        <v>170</v>
      </c>
      <c r="D898" s="71">
        <v>1</v>
      </c>
      <c r="E898" s="70">
        <v>0</v>
      </c>
    </row>
    <row r="899" spans="2:5" ht="15" customHeight="1">
      <c r="B899" s="112"/>
      <c r="C899" s="61" t="s">
        <v>146</v>
      </c>
      <c r="D899" s="71">
        <v>29</v>
      </c>
      <c r="E899" s="70">
        <v>1E-3</v>
      </c>
    </row>
    <row r="900" spans="2:5" ht="15" customHeight="1">
      <c r="B900" s="112"/>
      <c r="C900" s="61" t="s">
        <v>171</v>
      </c>
      <c r="D900" s="71">
        <v>2</v>
      </c>
      <c r="E900" s="70">
        <v>0</v>
      </c>
    </row>
    <row r="901" spans="2:5" ht="15" customHeight="1">
      <c r="B901" s="112"/>
      <c r="C901" s="61" t="s">
        <v>172</v>
      </c>
      <c r="D901" s="71">
        <v>1</v>
      </c>
      <c r="E901" s="70">
        <v>0</v>
      </c>
    </row>
    <row r="902" spans="2:5" ht="15" customHeight="1">
      <c r="B902" s="112"/>
      <c r="C902" s="61" t="s">
        <v>147</v>
      </c>
      <c r="D902" s="71">
        <v>35</v>
      </c>
      <c r="E902" s="70">
        <v>1E-3</v>
      </c>
    </row>
    <row r="903" spans="2:5" ht="15" customHeight="1">
      <c r="B903" s="112"/>
      <c r="C903" s="61" t="s">
        <v>173</v>
      </c>
      <c r="D903" s="71">
        <v>1</v>
      </c>
      <c r="E903" s="70">
        <v>0</v>
      </c>
    </row>
    <row r="904" spans="2:5" ht="15" customHeight="1">
      <c r="B904" s="112"/>
      <c r="C904" s="61" t="s">
        <v>148</v>
      </c>
      <c r="D904" s="71">
        <v>11</v>
      </c>
      <c r="E904" s="70">
        <v>0</v>
      </c>
    </row>
    <row r="905" spans="2:5" ht="15" customHeight="1">
      <c r="B905" s="112"/>
      <c r="C905" s="61" t="s">
        <v>174</v>
      </c>
      <c r="D905" s="71">
        <v>6</v>
      </c>
      <c r="E905" s="70">
        <v>0</v>
      </c>
    </row>
    <row r="906" spans="2:5" ht="15" customHeight="1">
      <c r="B906" s="112"/>
      <c r="C906" s="61" t="s">
        <v>175</v>
      </c>
      <c r="D906" s="71">
        <v>9</v>
      </c>
      <c r="E906" s="70">
        <v>0</v>
      </c>
    </row>
    <row r="907" spans="2:5" ht="15" customHeight="1">
      <c r="B907" s="112"/>
      <c r="C907" s="61" t="s">
        <v>176</v>
      </c>
      <c r="D907" s="71">
        <v>2</v>
      </c>
      <c r="E907" s="70">
        <v>0</v>
      </c>
    </row>
    <row r="908" spans="2:5" ht="15" customHeight="1">
      <c r="B908" s="112"/>
      <c r="C908" s="61" t="s">
        <v>177</v>
      </c>
      <c r="D908" s="71">
        <v>2</v>
      </c>
      <c r="E908" s="70">
        <v>0</v>
      </c>
    </row>
    <row r="909" spans="2:5" ht="15" customHeight="1">
      <c r="B909" s="112"/>
      <c r="C909" s="61" t="s">
        <v>150</v>
      </c>
      <c r="D909" s="71">
        <v>2</v>
      </c>
      <c r="E909" s="70">
        <v>0</v>
      </c>
    </row>
    <row r="910" spans="2:5" ht="15" customHeight="1">
      <c r="B910" s="112"/>
      <c r="C910" s="61" t="s">
        <v>178</v>
      </c>
      <c r="D910" s="71">
        <v>1</v>
      </c>
      <c r="E910" s="70">
        <v>0</v>
      </c>
    </row>
    <row r="911" spans="2:5" ht="15" customHeight="1">
      <c r="B911" s="112"/>
      <c r="C911" s="61" t="s">
        <v>151</v>
      </c>
      <c r="D911" s="71">
        <v>3</v>
      </c>
      <c r="E911" s="70">
        <v>0</v>
      </c>
    </row>
    <row r="912" spans="2:5" ht="15" customHeight="1">
      <c r="B912" s="112"/>
      <c r="C912" s="61" t="s">
        <v>201</v>
      </c>
      <c r="D912" s="71">
        <v>2</v>
      </c>
      <c r="E912" s="70">
        <v>0</v>
      </c>
    </row>
    <row r="913" spans="2:5" ht="15" customHeight="1">
      <c r="B913" s="112"/>
      <c r="C913" s="61" t="s">
        <v>152</v>
      </c>
      <c r="D913" s="71">
        <v>2</v>
      </c>
      <c r="E913" s="70">
        <v>0</v>
      </c>
    </row>
    <row r="914" spans="2:5" ht="15" customHeight="1">
      <c r="B914" s="112"/>
      <c r="C914" s="61" t="s">
        <v>203</v>
      </c>
      <c r="D914" s="71">
        <v>1</v>
      </c>
      <c r="E914" s="70">
        <v>0</v>
      </c>
    </row>
    <row r="915" spans="2:5" ht="15" customHeight="1">
      <c r="B915" s="112"/>
      <c r="C915" s="61" t="s">
        <v>162</v>
      </c>
      <c r="D915" s="71">
        <v>50</v>
      </c>
      <c r="E915" s="70">
        <v>2E-3</v>
      </c>
    </row>
    <row r="916" spans="2:5" ht="15" customHeight="1">
      <c r="B916" s="112"/>
      <c r="C916" s="61" t="s">
        <v>153</v>
      </c>
      <c r="D916" s="71">
        <v>5</v>
      </c>
      <c r="E916" s="70">
        <v>0</v>
      </c>
    </row>
    <row r="917" spans="2:5" ht="15" customHeight="1">
      <c r="B917" s="112"/>
      <c r="C917" s="61" t="s">
        <v>182</v>
      </c>
      <c r="D917" s="71">
        <v>1</v>
      </c>
      <c r="E917" s="70">
        <v>0</v>
      </c>
    </row>
    <row r="918" spans="2:5" ht="15" customHeight="1">
      <c r="B918" s="112"/>
      <c r="C918" s="61" t="s">
        <v>154</v>
      </c>
      <c r="D918" s="71">
        <v>9</v>
      </c>
      <c r="E918" s="70">
        <v>0</v>
      </c>
    </row>
    <row r="919" spans="2:5" ht="15" customHeight="1">
      <c r="B919" s="112"/>
      <c r="C919" s="61" t="s">
        <v>155</v>
      </c>
      <c r="D919" s="71">
        <v>2</v>
      </c>
      <c r="E919" s="70">
        <v>0</v>
      </c>
    </row>
    <row r="920" spans="2:5" ht="15" customHeight="1">
      <c r="B920" s="112"/>
      <c r="C920" s="61" t="s">
        <v>194</v>
      </c>
      <c r="D920" s="71">
        <v>1</v>
      </c>
      <c r="E920" s="70">
        <v>0</v>
      </c>
    </row>
    <row r="921" spans="2:5" ht="15" customHeight="1">
      <c r="B921" s="112"/>
      <c r="C921" s="61" t="s">
        <v>186</v>
      </c>
      <c r="D921" s="71">
        <v>4</v>
      </c>
      <c r="E921" s="70">
        <v>0</v>
      </c>
    </row>
    <row r="922" spans="2:5" ht="15" customHeight="1">
      <c r="B922" s="112"/>
      <c r="C922" s="61" t="s">
        <v>188</v>
      </c>
      <c r="D922" s="71">
        <v>7</v>
      </c>
      <c r="E922" s="70">
        <v>0</v>
      </c>
    </row>
    <row r="923" spans="2:5" ht="15" customHeight="1">
      <c r="B923" s="112"/>
      <c r="C923" s="61" t="s">
        <v>189</v>
      </c>
      <c r="D923" s="71">
        <v>17</v>
      </c>
      <c r="E923" s="70">
        <v>1E-3</v>
      </c>
    </row>
    <row r="924" spans="2:5" ht="15" customHeight="1">
      <c r="B924" s="112"/>
      <c r="C924" s="61" t="s">
        <v>190</v>
      </c>
      <c r="D924" s="71">
        <v>5</v>
      </c>
      <c r="E924" s="70">
        <v>0</v>
      </c>
    </row>
    <row r="925" spans="2:5" ht="15" customHeight="1">
      <c r="B925" s="112"/>
      <c r="C925" s="61" t="s">
        <v>191</v>
      </c>
      <c r="D925" s="71">
        <v>4</v>
      </c>
      <c r="E925" s="70">
        <v>0</v>
      </c>
    </row>
    <row r="926" spans="2:5" ht="15" customHeight="1">
      <c r="B926" s="112"/>
      <c r="C926" s="61" t="s">
        <v>158</v>
      </c>
      <c r="D926" s="71">
        <v>18</v>
      </c>
      <c r="E926" s="70">
        <v>1E-3</v>
      </c>
    </row>
    <row r="927" spans="2:5" ht="15" customHeight="1">
      <c r="B927" s="112"/>
      <c r="C927" s="61" t="s">
        <v>159</v>
      </c>
      <c r="D927" s="71">
        <v>12</v>
      </c>
      <c r="E927" s="70">
        <v>0</v>
      </c>
    </row>
    <row r="928" spans="2:5" ht="15" customHeight="1">
      <c r="B928" s="112"/>
      <c r="C928" s="61" t="s">
        <v>160</v>
      </c>
      <c r="D928" s="71">
        <v>17</v>
      </c>
      <c r="E928" s="70">
        <v>1E-3</v>
      </c>
    </row>
    <row r="929" spans="2:5" ht="15" customHeight="1">
      <c r="B929" s="112"/>
      <c r="C929" s="74" t="s">
        <v>309</v>
      </c>
      <c r="D929" s="77">
        <v>272</v>
      </c>
      <c r="E929" s="75">
        <v>0.01</v>
      </c>
    </row>
    <row r="930" spans="2:5" ht="15" customHeight="1">
      <c r="B930" s="112" t="s">
        <v>94</v>
      </c>
      <c r="C930" s="61" t="s">
        <v>169</v>
      </c>
      <c r="D930" s="71">
        <v>2</v>
      </c>
      <c r="E930" s="70">
        <v>0</v>
      </c>
    </row>
    <row r="931" spans="2:5" ht="15" customHeight="1">
      <c r="B931" s="112"/>
      <c r="C931" s="61" t="s">
        <v>146</v>
      </c>
      <c r="D931" s="71">
        <v>2</v>
      </c>
      <c r="E931" s="70">
        <v>0</v>
      </c>
    </row>
    <row r="932" spans="2:5" ht="15" customHeight="1">
      <c r="B932" s="112"/>
      <c r="C932" s="61" t="s">
        <v>152</v>
      </c>
      <c r="D932" s="71">
        <v>1</v>
      </c>
      <c r="E932" s="70">
        <v>0</v>
      </c>
    </row>
    <row r="933" spans="2:5" ht="15" customHeight="1">
      <c r="B933" s="112"/>
      <c r="C933" s="61" t="s">
        <v>153</v>
      </c>
      <c r="D933" s="71">
        <v>1</v>
      </c>
      <c r="E933" s="70">
        <v>0</v>
      </c>
    </row>
    <row r="934" spans="2:5" ht="15" customHeight="1">
      <c r="B934" s="112"/>
      <c r="C934" s="61" t="s">
        <v>158</v>
      </c>
      <c r="D934" s="71">
        <v>2</v>
      </c>
      <c r="E934" s="70">
        <v>0</v>
      </c>
    </row>
    <row r="935" spans="2:5" ht="15" customHeight="1">
      <c r="B935" s="112"/>
      <c r="C935" s="61" t="s">
        <v>159</v>
      </c>
      <c r="D935" s="71">
        <v>1</v>
      </c>
      <c r="E935" s="70">
        <v>0</v>
      </c>
    </row>
    <row r="936" spans="2:5" ht="15" customHeight="1">
      <c r="B936" s="112"/>
      <c r="C936" s="61" t="s">
        <v>160</v>
      </c>
      <c r="D936" s="71">
        <v>1</v>
      </c>
      <c r="E936" s="70">
        <v>0</v>
      </c>
    </row>
    <row r="937" spans="2:5" ht="15" customHeight="1">
      <c r="B937" s="112"/>
      <c r="C937" s="74" t="s">
        <v>309</v>
      </c>
      <c r="D937" s="77">
        <v>10</v>
      </c>
      <c r="E937" s="75">
        <v>0</v>
      </c>
    </row>
    <row r="938" spans="2:5" ht="15" customHeight="1">
      <c r="B938" s="112" t="s">
        <v>95</v>
      </c>
      <c r="C938" s="61" t="s">
        <v>175</v>
      </c>
      <c r="D938" s="71">
        <v>1</v>
      </c>
      <c r="E938" s="70">
        <v>0</v>
      </c>
    </row>
    <row r="939" spans="2:5" ht="15" customHeight="1">
      <c r="B939" s="112"/>
      <c r="C939" s="74" t="s">
        <v>309</v>
      </c>
      <c r="D939" s="77">
        <v>1</v>
      </c>
      <c r="E939" s="75">
        <v>0</v>
      </c>
    </row>
    <row r="940" spans="2:5" ht="15" customHeight="1">
      <c r="B940" s="112" t="s">
        <v>68</v>
      </c>
      <c r="C940" s="61" t="s">
        <v>163</v>
      </c>
      <c r="D940" s="71">
        <v>9</v>
      </c>
      <c r="E940" s="70">
        <v>0</v>
      </c>
    </row>
    <row r="941" spans="2:5" ht="15" customHeight="1">
      <c r="B941" s="112"/>
      <c r="C941" s="61" t="s">
        <v>197</v>
      </c>
      <c r="D941" s="71">
        <v>1</v>
      </c>
      <c r="E941" s="70">
        <v>0</v>
      </c>
    </row>
    <row r="942" spans="2:5" ht="15" customHeight="1">
      <c r="B942" s="112"/>
      <c r="C942" s="61" t="s">
        <v>166</v>
      </c>
      <c r="D942" s="71">
        <v>1</v>
      </c>
      <c r="E942" s="70">
        <v>0</v>
      </c>
    </row>
    <row r="943" spans="2:5" ht="15" customHeight="1">
      <c r="B943" s="112"/>
      <c r="C943" s="61" t="s">
        <v>285</v>
      </c>
      <c r="D943" s="71">
        <v>1</v>
      </c>
      <c r="E943" s="70">
        <v>0</v>
      </c>
    </row>
    <row r="944" spans="2:5" ht="15" customHeight="1">
      <c r="B944" s="112"/>
      <c r="C944" s="61" t="s">
        <v>198</v>
      </c>
      <c r="D944" s="71">
        <v>2</v>
      </c>
      <c r="E944" s="70">
        <v>0</v>
      </c>
    </row>
    <row r="945" spans="2:5" ht="15" customHeight="1">
      <c r="B945" s="112"/>
      <c r="C945" s="61" t="s">
        <v>146</v>
      </c>
      <c r="D945" s="71">
        <v>27</v>
      </c>
      <c r="E945" s="70">
        <v>1E-3</v>
      </c>
    </row>
    <row r="946" spans="2:5" ht="15" customHeight="1">
      <c r="B946" s="112"/>
      <c r="C946" s="61" t="s">
        <v>171</v>
      </c>
      <c r="D946" s="71">
        <v>1</v>
      </c>
      <c r="E946" s="70">
        <v>0</v>
      </c>
    </row>
    <row r="947" spans="2:5" ht="15" customHeight="1">
      <c r="B947" s="112"/>
      <c r="C947" s="61" t="s">
        <v>147</v>
      </c>
      <c r="D947" s="71">
        <v>4</v>
      </c>
      <c r="E947" s="70">
        <v>0</v>
      </c>
    </row>
    <row r="948" spans="2:5" ht="15" customHeight="1">
      <c r="B948" s="112"/>
      <c r="C948" s="61" t="s">
        <v>173</v>
      </c>
      <c r="D948" s="71">
        <v>28</v>
      </c>
      <c r="E948" s="70">
        <v>1E-3</v>
      </c>
    </row>
    <row r="949" spans="2:5" ht="15" customHeight="1">
      <c r="B949" s="112"/>
      <c r="C949" s="61" t="s">
        <v>148</v>
      </c>
      <c r="D949" s="71">
        <v>20</v>
      </c>
      <c r="E949" s="70">
        <v>1E-3</v>
      </c>
    </row>
    <row r="950" spans="2:5" ht="15" customHeight="1">
      <c r="B950" s="112"/>
      <c r="C950" s="61" t="s">
        <v>199</v>
      </c>
      <c r="D950" s="71">
        <v>3</v>
      </c>
      <c r="E950" s="70">
        <v>0</v>
      </c>
    </row>
    <row r="951" spans="2:5" ht="15" customHeight="1">
      <c r="B951" s="112"/>
      <c r="C951" s="61" t="s">
        <v>174</v>
      </c>
      <c r="D951" s="71">
        <v>3</v>
      </c>
      <c r="E951" s="70">
        <v>0</v>
      </c>
    </row>
    <row r="952" spans="2:5" ht="15" customHeight="1">
      <c r="B952" s="112"/>
      <c r="C952" s="61" t="s">
        <v>175</v>
      </c>
      <c r="D952" s="71">
        <v>3</v>
      </c>
      <c r="E952" s="70">
        <v>0</v>
      </c>
    </row>
    <row r="953" spans="2:5" ht="15" customHeight="1">
      <c r="B953" s="112"/>
      <c r="C953" s="61" t="s">
        <v>177</v>
      </c>
      <c r="D953" s="71">
        <v>4</v>
      </c>
      <c r="E953" s="70">
        <v>0</v>
      </c>
    </row>
    <row r="954" spans="2:5" ht="15" customHeight="1">
      <c r="B954" s="112"/>
      <c r="C954" s="61" t="s">
        <v>149</v>
      </c>
      <c r="D954" s="71">
        <v>3</v>
      </c>
      <c r="E954" s="70">
        <v>0</v>
      </c>
    </row>
    <row r="955" spans="2:5" ht="15" customHeight="1">
      <c r="B955" s="112"/>
      <c r="C955" s="61" t="s">
        <v>150</v>
      </c>
      <c r="D955" s="71">
        <v>1</v>
      </c>
      <c r="E955" s="70">
        <v>0</v>
      </c>
    </row>
    <row r="956" spans="2:5" ht="15" customHeight="1">
      <c r="B956" s="112"/>
      <c r="C956" s="61" t="s">
        <v>193</v>
      </c>
      <c r="D956" s="71">
        <v>1</v>
      </c>
      <c r="E956" s="70">
        <v>0</v>
      </c>
    </row>
    <row r="957" spans="2:5" ht="15" customHeight="1">
      <c r="B957" s="112"/>
      <c r="C957" s="61" t="s">
        <v>151</v>
      </c>
      <c r="D957" s="71">
        <v>2</v>
      </c>
      <c r="E957" s="70">
        <v>0</v>
      </c>
    </row>
    <row r="958" spans="2:5" ht="15" customHeight="1">
      <c r="B958" s="112"/>
      <c r="C958" s="61" t="s">
        <v>152</v>
      </c>
      <c r="D958" s="71">
        <v>3</v>
      </c>
      <c r="E958" s="70">
        <v>0</v>
      </c>
    </row>
    <row r="959" spans="2:5" ht="15" customHeight="1">
      <c r="B959" s="112"/>
      <c r="C959" s="61" t="s">
        <v>162</v>
      </c>
      <c r="D959" s="71">
        <v>32</v>
      </c>
      <c r="E959" s="70">
        <v>1E-3</v>
      </c>
    </row>
    <row r="960" spans="2:5" ht="15" customHeight="1">
      <c r="B960" s="112"/>
      <c r="C960" s="61" t="s">
        <v>153</v>
      </c>
      <c r="D960" s="71">
        <v>12</v>
      </c>
      <c r="E960" s="70">
        <v>0</v>
      </c>
    </row>
    <row r="961" spans="2:5" ht="15" customHeight="1">
      <c r="B961" s="112"/>
      <c r="C961" s="61" t="s">
        <v>154</v>
      </c>
      <c r="D961" s="71">
        <v>26</v>
      </c>
      <c r="E961" s="70">
        <v>1E-3</v>
      </c>
    </row>
    <row r="962" spans="2:5" ht="15" customHeight="1">
      <c r="B962" s="112"/>
      <c r="C962" s="61" t="s">
        <v>183</v>
      </c>
      <c r="D962" s="71">
        <v>4</v>
      </c>
      <c r="E962" s="70">
        <v>0</v>
      </c>
    </row>
    <row r="963" spans="2:5" ht="15" customHeight="1">
      <c r="B963" s="112"/>
      <c r="C963" s="61" t="s">
        <v>155</v>
      </c>
      <c r="D963" s="71">
        <v>28</v>
      </c>
      <c r="E963" s="70">
        <v>1E-3</v>
      </c>
    </row>
    <row r="964" spans="2:5" ht="15" customHeight="1">
      <c r="B964" s="112"/>
      <c r="C964" s="61" t="s">
        <v>186</v>
      </c>
      <c r="D964" s="71">
        <v>1</v>
      </c>
      <c r="E964" s="70">
        <v>0</v>
      </c>
    </row>
    <row r="965" spans="2:5" ht="15" customHeight="1">
      <c r="B965" s="112"/>
      <c r="C965" s="61" t="s">
        <v>188</v>
      </c>
      <c r="D965" s="71">
        <v>1</v>
      </c>
      <c r="E965" s="70">
        <v>0</v>
      </c>
    </row>
    <row r="966" spans="2:5" ht="15" customHeight="1">
      <c r="B966" s="112"/>
      <c r="C966" s="61" t="s">
        <v>195</v>
      </c>
      <c r="D966" s="71">
        <v>1</v>
      </c>
      <c r="E966" s="70">
        <v>0</v>
      </c>
    </row>
    <row r="967" spans="2:5" ht="15" customHeight="1">
      <c r="B967" s="112"/>
      <c r="C967" s="61" t="s">
        <v>191</v>
      </c>
      <c r="D967" s="71">
        <v>1</v>
      </c>
      <c r="E967" s="70">
        <v>0</v>
      </c>
    </row>
    <row r="968" spans="2:5" ht="15" customHeight="1">
      <c r="B968" s="112"/>
      <c r="C968" s="61" t="s">
        <v>196</v>
      </c>
      <c r="D968" s="71">
        <v>4</v>
      </c>
      <c r="E968" s="70">
        <v>0</v>
      </c>
    </row>
    <row r="969" spans="2:5" ht="15" customHeight="1">
      <c r="B969" s="112"/>
      <c r="C969" s="61" t="s">
        <v>157</v>
      </c>
      <c r="D969" s="71">
        <v>2</v>
      </c>
      <c r="E969" s="70">
        <v>0</v>
      </c>
    </row>
    <row r="970" spans="2:5" ht="15" customHeight="1">
      <c r="B970" s="112"/>
      <c r="C970" s="61" t="s">
        <v>158</v>
      </c>
      <c r="D970" s="71">
        <v>4</v>
      </c>
      <c r="E970" s="70">
        <v>0</v>
      </c>
    </row>
    <row r="971" spans="2:5" ht="15" customHeight="1">
      <c r="B971" s="112"/>
      <c r="C971" s="61" t="s">
        <v>192</v>
      </c>
      <c r="D971" s="71">
        <v>1</v>
      </c>
      <c r="E971" s="70">
        <v>0</v>
      </c>
    </row>
    <row r="972" spans="2:5" ht="15" customHeight="1">
      <c r="B972" s="112"/>
      <c r="C972" s="61" t="s">
        <v>159</v>
      </c>
      <c r="D972" s="71">
        <v>3</v>
      </c>
      <c r="E972" s="70">
        <v>0</v>
      </c>
    </row>
    <row r="973" spans="2:5" ht="15" customHeight="1">
      <c r="B973" s="112"/>
      <c r="C973" s="61" t="s">
        <v>160</v>
      </c>
      <c r="D973" s="71">
        <v>8</v>
      </c>
      <c r="E973" s="70">
        <v>0</v>
      </c>
    </row>
    <row r="974" spans="2:5" ht="15" customHeight="1">
      <c r="B974" s="112"/>
      <c r="C974" s="74" t="s">
        <v>309</v>
      </c>
      <c r="D974" s="77">
        <v>245</v>
      </c>
      <c r="E974" s="79">
        <v>8.9999999999999993E-3</v>
      </c>
    </row>
    <row r="975" spans="2:5" ht="15" customHeight="1">
      <c r="B975" s="112" t="s">
        <v>88</v>
      </c>
      <c r="C975" s="61" t="s">
        <v>163</v>
      </c>
      <c r="D975" s="71">
        <v>1</v>
      </c>
      <c r="E975" s="70">
        <v>0</v>
      </c>
    </row>
    <row r="976" spans="2:5" ht="15" customHeight="1">
      <c r="B976" s="112"/>
      <c r="C976" s="61" t="s">
        <v>166</v>
      </c>
      <c r="D976" s="71">
        <v>1</v>
      </c>
      <c r="E976" s="70">
        <v>0</v>
      </c>
    </row>
    <row r="977" spans="2:5" ht="15" customHeight="1">
      <c r="B977" s="112"/>
      <c r="C977" s="61" t="s">
        <v>167</v>
      </c>
      <c r="D977" s="71">
        <v>1</v>
      </c>
      <c r="E977" s="70">
        <v>0</v>
      </c>
    </row>
    <row r="978" spans="2:5" ht="15" customHeight="1">
      <c r="B978" s="112"/>
      <c r="C978" s="61" t="s">
        <v>285</v>
      </c>
      <c r="D978" s="71">
        <v>1</v>
      </c>
      <c r="E978" s="70">
        <v>0</v>
      </c>
    </row>
    <row r="979" spans="2:5" ht="15" customHeight="1">
      <c r="B979" s="112"/>
      <c r="C979" s="61" t="s">
        <v>146</v>
      </c>
      <c r="D979" s="71">
        <v>5</v>
      </c>
      <c r="E979" s="70">
        <v>0</v>
      </c>
    </row>
    <row r="980" spans="2:5" ht="15" customHeight="1">
      <c r="B980" s="112"/>
      <c r="C980" s="61" t="s">
        <v>147</v>
      </c>
      <c r="D980" s="71">
        <v>1</v>
      </c>
      <c r="E980" s="70">
        <v>0</v>
      </c>
    </row>
    <row r="981" spans="2:5" ht="15" customHeight="1">
      <c r="B981" s="112"/>
      <c r="C981" s="61" t="s">
        <v>173</v>
      </c>
      <c r="D981" s="71">
        <v>2</v>
      </c>
      <c r="E981" s="70">
        <v>0</v>
      </c>
    </row>
    <row r="982" spans="2:5" ht="15" customHeight="1">
      <c r="B982" s="112"/>
      <c r="C982" s="61" t="s">
        <v>148</v>
      </c>
      <c r="D982" s="71">
        <v>2</v>
      </c>
      <c r="E982" s="70">
        <v>0</v>
      </c>
    </row>
    <row r="983" spans="2:5" ht="15" customHeight="1">
      <c r="B983" s="112"/>
      <c r="C983" s="61" t="s">
        <v>175</v>
      </c>
      <c r="D983" s="71">
        <v>2</v>
      </c>
      <c r="E983" s="70">
        <v>0</v>
      </c>
    </row>
    <row r="984" spans="2:5" ht="15" customHeight="1">
      <c r="B984" s="112"/>
      <c r="C984" s="61" t="s">
        <v>176</v>
      </c>
      <c r="D984" s="71">
        <v>2</v>
      </c>
      <c r="E984" s="70">
        <v>0</v>
      </c>
    </row>
    <row r="985" spans="2:5" ht="15" customHeight="1">
      <c r="B985" s="112"/>
      <c r="C985" s="61" t="s">
        <v>153</v>
      </c>
      <c r="D985" s="71">
        <v>2</v>
      </c>
      <c r="E985" s="70">
        <v>0</v>
      </c>
    </row>
    <row r="986" spans="2:5" ht="15" customHeight="1">
      <c r="B986" s="112"/>
      <c r="C986" s="61" t="s">
        <v>154</v>
      </c>
      <c r="D986" s="71">
        <v>2</v>
      </c>
      <c r="E986" s="70">
        <v>0</v>
      </c>
    </row>
    <row r="987" spans="2:5" ht="15" customHeight="1">
      <c r="B987" s="112"/>
      <c r="C987" s="61" t="s">
        <v>155</v>
      </c>
      <c r="D987" s="71">
        <v>2</v>
      </c>
      <c r="E987" s="70">
        <v>0</v>
      </c>
    </row>
    <row r="988" spans="2:5" ht="15" customHeight="1">
      <c r="B988" s="112"/>
      <c r="C988" s="61" t="s">
        <v>186</v>
      </c>
      <c r="D988" s="71">
        <v>1</v>
      </c>
      <c r="E988" s="70">
        <v>0</v>
      </c>
    </row>
    <row r="989" spans="2:5" ht="15" customHeight="1">
      <c r="B989" s="112"/>
      <c r="C989" s="61" t="s">
        <v>189</v>
      </c>
      <c r="D989" s="71">
        <v>1</v>
      </c>
      <c r="E989" s="70">
        <v>0</v>
      </c>
    </row>
    <row r="990" spans="2:5" ht="15" customHeight="1">
      <c r="B990" s="112"/>
      <c r="C990" s="61" t="s">
        <v>191</v>
      </c>
      <c r="D990" s="71">
        <v>2</v>
      </c>
      <c r="E990" s="70">
        <v>0</v>
      </c>
    </row>
    <row r="991" spans="2:5" ht="15" customHeight="1">
      <c r="B991" s="112"/>
      <c r="C991" s="61" t="s">
        <v>160</v>
      </c>
      <c r="D991" s="71">
        <v>2</v>
      </c>
      <c r="E991" s="70">
        <v>0</v>
      </c>
    </row>
    <row r="992" spans="2:5" ht="15" customHeight="1">
      <c r="B992" s="112"/>
      <c r="C992" s="74" t="s">
        <v>309</v>
      </c>
      <c r="D992" s="77">
        <v>30</v>
      </c>
      <c r="E992" s="75">
        <v>1E-3</v>
      </c>
    </row>
    <row r="993" spans="2:5" ht="15" customHeight="1">
      <c r="B993" s="112" t="s">
        <v>49</v>
      </c>
      <c r="C993" s="61" t="s">
        <v>163</v>
      </c>
      <c r="D993" s="71">
        <v>2</v>
      </c>
      <c r="E993" s="70">
        <v>0</v>
      </c>
    </row>
    <row r="994" spans="2:5" ht="15" customHeight="1">
      <c r="B994" s="112"/>
      <c r="C994" s="61" t="s">
        <v>197</v>
      </c>
      <c r="D994" s="71">
        <v>22</v>
      </c>
      <c r="E994" s="70">
        <v>1E-3</v>
      </c>
    </row>
    <row r="995" spans="2:5" ht="15" customHeight="1">
      <c r="B995" s="112"/>
      <c r="C995" s="61" t="s">
        <v>165</v>
      </c>
      <c r="D995" s="71">
        <v>1</v>
      </c>
      <c r="E995" s="70">
        <v>0</v>
      </c>
    </row>
    <row r="996" spans="2:5" ht="15" customHeight="1">
      <c r="B996" s="112"/>
      <c r="C996" s="61" t="s">
        <v>166</v>
      </c>
      <c r="D996" s="71">
        <v>9</v>
      </c>
      <c r="E996" s="70">
        <v>0</v>
      </c>
    </row>
    <row r="997" spans="2:5" ht="15" customHeight="1">
      <c r="B997" s="112"/>
      <c r="C997" s="61" t="s">
        <v>167</v>
      </c>
      <c r="D997" s="71">
        <v>10</v>
      </c>
      <c r="E997" s="70">
        <v>0</v>
      </c>
    </row>
    <row r="998" spans="2:5" ht="15" customHeight="1">
      <c r="B998" s="112"/>
      <c r="C998" s="61" t="s">
        <v>168</v>
      </c>
      <c r="D998" s="71">
        <v>36</v>
      </c>
      <c r="E998" s="70">
        <v>1E-3</v>
      </c>
    </row>
    <row r="999" spans="2:5" ht="15" customHeight="1">
      <c r="B999" s="112"/>
      <c r="C999" s="61" t="s">
        <v>169</v>
      </c>
      <c r="D999" s="71">
        <v>3</v>
      </c>
      <c r="E999" s="70">
        <v>0</v>
      </c>
    </row>
    <row r="1000" spans="2:5" ht="15" customHeight="1">
      <c r="B1000" s="112"/>
      <c r="C1000" s="61" t="s">
        <v>161</v>
      </c>
      <c r="D1000" s="71">
        <v>2</v>
      </c>
      <c r="E1000" s="70">
        <v>0</v>
      </c>
    </row>
    <row r="1001" spans="2:5" ht="15" customHeight="1">
      <c r="B1001" s="112"/>
      <c r="C1001" s="61" t="s">
        <v>170</v>
      </c>
      <c r="D1001" s="71">
        <v>1</v>
      </c>
      <c r="E1001" s="70">
        <v>0</v>
      </c>
    </row>
    <row r="1002" spans="2:5" ht="15" customHeight="1">
      <c r="B1002" s="112"/>
      <c r="C1002" s="61" t="s">
        <v>146</v>
      </c>
      <c r="D1002" s="71">
        <v>194</v>
      </c>
      <c r="E1002" s="70">
        <v>7.0000000000000001E-3</v>
      </c>
    </row>
    <row r="1003" spans="2:5" ht="15" customHeight="1">
      <c r="B1003" s="112"/>
      <c r="C1003" s="61" t="s">
        <v>171</v>
      </c>
      <c r="D1003" s="71">
        <v>2</v>
      </c>
      <c r="E1003" s="70">
        <v>0</v>
      </c>
    </row>
    <row r="1004" spans="2:5" ht="15" customHeight="1">
      <c r="B1004" s="112"/>
      <c r="C1004" s="61" t="s">
        <v>172</v>
      </c>
      <c r="D1004" s="71">
        <v>1</v>
      </c>
      <c r="E1004" s="70">
        <v>0</v>
      </c>
    </row>
    <row r="1005" spans="2:5" ht="15" customHeight="1">
      <c r="B1005" s="112"/>
      <c r="C1005" s="61" t="s">
        <v>147</v>
      </c>
      <c r="D1005" s="71">
        <v>53</v>
      </c>
      <c r="E1005" s="70">
        <v>2E-3</v>
      </c>
    </row>
    <row r="1006" spans="2:5" ht="15" customHeight="1">
      <c r="B1006" s="112"/>
      <c r="C1006" s="61" t="s">
        <v>173</v>
      </c>
      <c r="D1006" s="71">
        <v>34</v>
      </c>
      <c r="E1006" s="70">
        <v>1E-3</v>
      </c>
    </row>
    <row r="1007" spans="2:5" ht="15" customHeight="1">
      <c r="B1007" s="112"/>
      <c r="C1007" s="61" t="s">
        <v>148</v>
      </c>
      <c r="D1007" s="71">
        <v>507</v>
      </c>
      <c r="E1007" s="70">
        <v>1.9E-2</v>
      </c>
    </row>
    <row r="1008" spans="2:5" ht="15" customHeight="1">
      <c r="B1008" s="112"/>
      <c r="C1008" s="61" t="s">
        <v>199</v>
      </c>
      <c r="D1008" s="71">
        <v>3</v>
      </c>
      <c r="E1008" s="70">
        <v>0</v>
      </c>
    </row>
    <row r="1009" spans="2:5" ht="15" customHeight="1">
      <c r="B1009" s="112"/>
      <c r="C1009" s="61" t="s">
        <v>174</v>
      </c>
      <c r="D1009" s="71">
        <v>13</v>
      </c>
      <c r="E1009" s="70">
        <v>0</v>
      </c>
    </row>
    <row r="1010" spans="2:5" ht="15" customHeight="1">
      <c r="B1010" s="112"/>
      <c r="C1010" s="61" t="s">
        <v>175</v>
      </c>
      <c r="D1010" s="71">
        <v>16</v>
      </c>
      <c r="E1010" s="70">
        <v>1E-3</v>
      </c>
    </row>
    <row r="1011" spans="2:5" ht="15" customHeight="1">
      <c r="B1011" s="112"/>
      <c r="C1011" s="61" t="s">
        <v>176</v>
      </c>
      <c r="D1011" s="71">
        <v>1</v>
      </c>
      <c r="E1011" s="70">
        <v>0</v>
      </c>
    </row>
    <row r="1012" spans="2:5" ht="15" customHeight="1">
      <c r="B1012" s="112"/>
      <c r="C1012" s="61" t="s">
        <v>177</v>
      </c>
      <c r="D1012" s="71">
        <v>164</v>
      </c>
      <c r="E1012" s="70">
        <v>6.0000000000000001E-3</v>
      </c>
    </row>
    <row r="1013" spans="2:5" ht="15" customHeight="1">
      <c r="B1013" s="112"/>
      <c r="C1013" s="61" t="s">
        <v>149</v>
      </c>
      <c r="D1013" s="71">
        <v>2</v>
      </c>
      <c r="E1013" s="70">
        <v>0</v>
      </c>
    </row>
    <row r="1014" spans="2:5" ht="15" customHeight="1">
      <c r="B1014" s="112"/>
      <c r="C1014" s="61" t="s">
        <v>150</v>
      </c>
      <c r="D1014" s="71">
        <v>8</v>
      </c>
      <c r="E1014" s="70">
        <v>0</v>
      </c>
    </row>
    <row r="1015" spans="2:5" ht="15" customHeight="1">
      <c r="B1015" s="112"/>
      <c r="C1015" s="61" t="s">
        <v>193</v>
      </c>
      <c r="D1015" s="71">
        <v>10</v>
      </c>
      <c r="E1015" s="70">
        <v>0</v>
      </c>
    </row>
    <row r="1016" spans="2:5" ht="15" customHeight="1">
      <c r="B1016" s="112"/>
      <c r="C1016" s="61" t="s">
        <v>178</v>
      </c>
      <c r="D1016" s="71">
        <v>10</v>
      </c>
      <c r="E1016" s="70">
        <v>0</v>
      </c>
    </row>
    <row r="1017" spans="2:5" ht="15" customHeight="1">
      <c r="B1017" s="112"/>
      <c r="C1017" s="61" t="s">
        <v>179</v>
      </c>
      <c r="D1017" s="71">
        <v>2</v>
      </c>
      <c r="E1017" s="70">
        <v>0</v>
      </c>
    </row>
    <row r="1018" spans="2:5" ht="15" customHeight="1">
      <c r="B1018" s="112"/>
      <c r="C1018" s="61" t="s">
        <v>151</v>
      </c>
      <c r="D1018" s="71">
        <v>59</v>
      </c>
      <c r="E1018" s="70">
        <v>2E-3</v>
      </c>
    </row>
    <row r="1019" spans="2:5" ht="15" customHeight="1">
      <c r="B1019" s="112"/>
      <c r="C1019" s="61" t="s">
        <v>201</v>
      </c>
      <c r="D1019" s="71">
        <v>5</v>
      </c>
      <c r="E1019" s="70">
        <v>0</v>
      </c>
    </row>
    <row r="1020" spans="2:5" ht="15" customHeight="1">
      <c r="B1020" s="112"/>
      <c r="C1020" s="61" t="s">
        <v>180</v>
      </c>
      <c r="D1020" s="71">
        <v>9</v>
      </c>
      <c r="E1020" s="70">
        <v>0</v>
      </c>
    </row>
    <row r="1021" spans="2:5" ht="15" customHeight="1">
      <c r="B1021" s="112"/>
      <c r="C1021" s="61" t="s">
        <v>202</v>
      </c>
      <c r="D1021" s="71">
        <v>2</v>
      </c>
      <c r="E1021" s="70">
        <v>0</v>
      </c>
    </row>
    <row r="1022" spans="2:5" ht="15" customHeight="1">
      <c r="B1022" s="112"/>
      <c r="C1022" s="61" t="s">
        <v>181</v>
      </c>
      <c r="D1022" s="71">
        <v>1</v>
      </c>
      <c r="E1022" s="70">
        <v>0</v>
      </c>
    </row>
    <row r="1023" spans="2:5" ht="15" customHeight="1">
      <c r="B1023" s="112"/>
      <c r="C1023" s="61" t="s">
        <v>152</v>
      </c>
      <c r="D1023" s="71">
        <v>114</v>
      </c>
      <c r="E1023" s="70">
        <v>4.0000000000000001E-3</v>
      </c>
    </row>
    <row r="1024" spans="2:5" ht="15" customHeight="1">
      <c r="B1024" s="112"/>
      <c r="C1024" s="61" t="s">
        <v>203</v>
      </c>
      <c r="D1024" s="71">
        <v>7</v>
      </c>
      <c r="E1024" s="70">
        <v>0</v>
      </c>
    </row>
    <row r="1025" spans="2:5" ht="15" customHeight="1">
      <c r="B1025" s="112"/>
      <c r="C1025" s="61" t="s">
        <v>162</v>
      </c>
      <c r="D1025" s="71">
        <v>10</v>
      </c>
      <c r="E1025" s="70">
        <v>0</v>
      </c>
    </row>
    <row r="1026" spans="2:5" ht="15" customHeight="1">
      <c r="B1026" s="112"/>
      <c r="C1026" s="61" t="s">
        <v>153</v>
      </c>
      <c r="D1026" s="71">
        <v>55</v>
      </c>
      <c r="E1026" s="70">
        <v>2E-3</v>
      </c>
    </row>
    <row r="1027" spans="2:5" ht="15" customHeight="1">
      <c r="B1027" s="112"/>
      <c r="C1027" s="61" t="s">
        <v>182</v>
      </c>
      <c r="D1027" s="71">
        <v>7</v>
      </c>
      <c r="E1027" s="70">
        <v>0</v>
      </c>
    </row>
    <row r="1028" spans="2:5" ht="15" customHeight="1">
      <c r="B1028" s="112"/>
      <c r="C1028" s="61" t="s">
        <v>154</v>
      </c>
      <c r="D1028" s="71">
        <v>207</v>
      </c>
      <c r="E1028" s="70">
        <v>8.0000000000000002E-3</v>
      </c>
    </row>
    <row r="1029" spans="2:5" ht="15" customHeight="1">
      <c r="B1029" s="112"/>
      <c r="C1029" s="61" t="s">
        <v>183</v>
      </c>
      <c r="D1029" s="71">
        <v>46</v>
      </c>
      <c r="E1029" s="70">
        <v>2E-3</v>
      </c>
    </row>
    <row r="1030" spans="2:5" ht="15" customHeight="1">
      <c r="B1030" s="112"/>
      <c r="C1030" s="61" t="s">
        <v>155</v>
      </c>
      <c r="D1030" s="71">
        <v>68</v>
      </c>
      <c r="E1030" s="70">
        <v>3.0000000000000001E-3</v>
      </c>
    </row>
    <row r="1031" spans="2:5" ht="15" customHeight="1">
      <c r="B1031" s="112"/>
      <c r="C1031" s="61" t="s">
        <v>185</v>
      </c>
      <c r="D1031" s="71">
        <v>10</v>
      </c>
      <c r="E1031" s="70">
        <v>0</v>
      </c>
    </row>
    <row r="1032" spans="2:5" ht="15" customHeight="1">
      <c r="B1032" s="112"/>
      <c r="C1032" s="61" t="s">
        <v>186</v>
      </c>
      <c r="D1032" s="71">
        <v>6</v>
      </c>
      <c r="E1032" s="70">
        <v>0</v>
      </c>
    </row>
    <row r="1033" spans="2:5" ht="15" customHeight="1">
      <c r="B1033" s="112"/>
      <c r="C1033" s="61" t="s">
        <v>187</v>
      </c>
      <c r="D1033" s="71">
        <v>3</v>
      </c>
      <c r="E1033" s="70">
        <v>0</v>
      </c>
    </row>
    <row r="1034" spans="2:5" ht="15" customHeight="1">
      <c r="B1034" s="112"/>
      <c r="C1034" s="61" t="s">
        <v>188</v>
      </c>
      <c r="D1034" s="71">
        <v>1</v>
      </c>
      <c r="E1034" s="70">
        <v>0</v>
      </c>
    </row>
    <row r="1035" spans="2:5" ht="15" customHeight="1">
      <c r="B1035" s="112"/>
      <c r="C1035" s="61" t="s">
        <v>189</v>
      </c>
      <c r="D1035" s="71">
        <v>11</v>
      </c>
      <c r="E1035" s="70">
        <v>0</v>
      </c>
    </row>
    <row r="1036" spans="2:5" ht="15" customHeight="1">
      <c r="B1036" s="112"/>
      <c r="C1036" s="61" t="s">
        <v>195</v>
      </c>
      <c r="D1036" s="71">
        <v>5</v>
      </c>
      <c r="E1036" s="70">
        <v>0</v>
      </c>
    </row>
    <row r="1037" spans="2:5" ht="15" customHeight="1">
      <c r="B1037" s="112"/>
      <c r="C1037" s="61" t="s">
        <v>191</v>
      </c>
      <c r="D1037" s="71">
        <v>13</v>
      </c>
      <c r="E1037" s="70">
        <v>0</v>
      </c>
    </row>
    <row r="1038" spans="2:5" ht="15" customHeight="1">
      <c r="B1038" s="112"/>
      <c r="C1038" s="61" t="s">
        <v>156</v>
      </c>
      <c r="D1038" s="71">
        <v>33</v>
      </c>
      <c r="E1038" s="70">
        <v>1E-3</v>
      </c>
    </row>
    <row r="1039" spans="2:5" ht="15" customHeight="1">
      <c r="B1039" s="112"/>
      <c r="C1039" s="61" t="s">
        <v>196</v>
      </c>
      <c r="D1039" s="71">
        <v>6</v>
      </c>
      <c r="E1039" s="70">
        <v>0</v>
      </c>
    </row>
    <row r="1040" spans="2:5" ht="15" customHeight="1">
      <c r="B1040" s="112"/>
      <c r="C1040" s="61" t="s">
        <v>157</v>
      </c>
      <c r="D1040" s="71">
        <v>4</v>
      </c>
      <c r="E1040" s="70">
        <v>0</v>
      </c>
    </row>
    <row r="1041" spans="2:5" ht="15" customHeight="1">
      <c r="B1041" s="112"/>
      <c r="C1041" s="61" t="s">
        <v>158</v>
      </c>
      <c r="D1041" s="71">
        <v>9</v>
      </c>
      <c r="E1041" s="70">
        <v>0</v>
      </c>
    </row>
    <row r="1042" spans="2:5" ht="15" customHeight="1">
      <c r="B1042" s="112"/>
      <c r="C1042" s="61" t="s">
        <v>192</v>
      </c>
      <c r="D1042" s="71">
        <v>31</v>
      </c>
      <c r="E1042" s="70">
        <v>1E-3</v>
      </c>
    </row>
    <row r="1043" spans="2:5" ht="15" customHeight="1">
      <c r="B1043" s="112"/>
      <c r="C1043" s="61" t="s">
        <v>159</v>
      </c>
      <c r="D1043" s="71">
        <v>34</v>
      </c>
      <c r="E1043" s="70">
        <v>1E-3</v>
      </c>
    </row>
    <row r="1044" spans="2:5" ht="15" customHeight="1">
      <c r="B1044" s="112"/>
      <c r="C1044" s="61" t="s">
        <v>160</v>
      </c>
      <c r="D1044" s="71">
        <v>118</v>
      </c>
      <c r="E1044" s="70">
        <v>4.0000000000000001E-3</v>
      </c>
    </row>
    <row r="1045" spans="2:5" ht="15" customHeight="1">
      <c r="B1045" s="112"/>
      <c r="C1045" s="74" t="s">
        <v>309</v>
      </c>
      <c r="D1045" s="59">
        <v>1980</v>
      </c>
      <c r="E1045" s="75">
        <v>7.2999999999999995E-2</v>
      </c>
    </row>
    <row r="1046" spans="2:5" ht="15" customHeight="1">
      <c r="B1046" s="112" t="s">
        <v>75</v>
      </c>
      <c r="C1046" s="61" t="s">
        <v>197</v>
      </c>
      <c r="D1046" s="71">
        <v>1</v>
      </c>
      <c r="E1046" s="70">
        <v>0</v>
      </c>
    </row>
    <row r="1047" spans="2:5" ht="15" customHeight="1">
      <c r="B1047" s="112"/>
      <c r="C1047" s="61" t="s">
        <v>164</v>
      </c>
      <c r="D1047" s="71">
        <v>1</v>
      </c>
      <c r="E1047" s="70">
        <v>0</v>
      </c>
    </row>
    <row r="1048" spans="2:5" ht="15" customHeight="1">
      <c r="B1048" s="112"/>
      <c r="C1048" s="61" t="s">
        <v>165</v>
      </c>
      <c r="D1048" s="71">
        <v>1</v>
      </c>
      <c r="E1048" s="70">
        <v>0</v>
      </c>
    </row>
    <row r="1049" spans="2:5" ht="15" customHeight="1">
      <c r="B1049" s="112"/>
      <c r="C1049" s="61" t="s">
        <v>166</v>
      </c>
      <c r="D1049" s="71">
        <v>3</v>
      </c>
      <c r="E1049" s="70">
        <v>0</v>
      </c>
    </row>
    <row r="1050" spans="2:5" ht="15" customHeight="1">
      <c r="B1050" s="112"/>
      <c r="C1050" s="61" t="s">
        <v>167</v>
      </c>
      <c r="D1050" s="71">
        <v>1</v>
      </c>
      <c r="E1050" s="70">
        <v>0</v>
      </c>
    </row>
    <row r="1051" spans="2:5" ht="15" customHeight="1">
      <c r="B1051" s="112"/>
      <c r="C1051" s="61" t="s">
        <v>168</v>
      </c>
      <c r="D1051" s="71">
        <v>2</v>
      </c>
      <c r="E1051" s="70">
        <v>0</v>
      </c>
    </row>
    <row r="1052" spans="2:5" ht="15" customHeight="1">
      <c r="B1052" s="112"/>
      <c r="C1052" s="61" t="s">
        <v>169</v>
      </c>
      <c r="D1052" s="71">
        <v>1</v>
      </c>
      <c r="E1052" s="70">
        <v>0</v>
      </c>
    </row>
    <row r="1053" spans="2:5" ht="15" customHeight="1">
      <c r="B1053" s="112"/>
      <c r="C1053" s="61" t="s">
        <v>285</v>
      </c>
      <c r="D1053" s="71">
        <v>1</v>
      </c>
      <c r="E1053" s="70">
        <v>0</v>
      </c>
    </row>
    <row r="1054" spans="2:5" ht="15" customHeight="1">
      <c r="B1054" s="112"/>
      <c r="C1054" s="61" t="s">
        <v>170</v>
      </c>
      <c r="D1054" s="71">
        <v>5</v>
      </c>
      <c r="E1054" s="70">
        <v>0</v>
      </c>
    </row>
    <row r="1055" spans="2:5" ht="15" customHeight="1">
      <c r="B1055" s="112"/>
      <c r="C1055" s="61" t="s">
        <v>146</v>
      </c>
      <c r="D1055" s="71">
        <v>66</v>
      </c>
      <c r="E1055" s="70">
        <v>2E-3</v>
      </c>
    </row>
    <row r="1056" spans="2:5" ht="15" customHeight="1">
      <c r="B1056" s="112"/>
      <c r="C1056" s="61" t="s">
        <v>171</v>
      </c>
      <c r="D1056" s="71">
        <v>2</v>
      </c>
      <c r="E1056" s="70">
        <v>0</v>
      </c>
    </row>
    <row r="1057" spans="2:5" ht="15" customHeight="1">
      <c r="B1057" s="112"/>
      <c r="C1057" s="61" t="s">
        <v>147</v>
      </c>
      <c r="D1057" s="71">
        <v>26</v>
      </c>
      <c r="E1057" s="70">
        <v>1E-3</v>
      </c>
    </row>
    <row r="1058" spans="2:5" ht="15" customHeight="1">
      <c r="B1058" s="112"/>
      <c r="C1058" s="61" t="s">
        <v>173</v>
      </c>
      <c r="D1058" s="71">
        <v>16</v>
      </c>
      <c r="E1058" s="70">
        <v>1E-3</v>
      </c>
    </row>
    <row r="1059" spans="2:5" ht="15" customHeight="1">
      <c r="B1059" s="112"/>
      <c r="C1059" s="61" t="s">
        <v>148</v>
      </c>
      <c r="D1059" s="71">
        <v>17</v>
      </c>
      <c r="E1059" s="70">
        <v>1E-3</v>
      </c>
    </row>
    <row r="1060" spans="2:5" ht="15" customHeight="1">
      <c r="B1060" s="112"/>
      <c r="C1060" s="61" t="s">
        <v>174</v>
      </c>
      <c r="D1060" s="71">
        <v>2</v>
      </c>
      <c r="E1060" s="70">
        <v>0</v>
      </c>
    </row>
    <row r="1061" spans="2:5" ht="15" customHeight="1">
      <c r="B1061" s="112"/>
      <c r="C1061" s="61" t="s">
        <v>175</v>
      </c>
      <c r="D1061" s="71">
        <v>11</v>
      </c>
      <c r="E1061" s="70">
        <v>0</v>
      </c>
    </row>
    <row r="1062" spans="2:5" ht="15" customHeight="1">
      <c r="B1062" s="112"/>
      <c r="C1062" s="61" t="s">
        <v>176</v>
      </c>
      <c r="D1062" s="71">
        <v>2</v>
      </c>
      <c r="E1062" s="70">
        <v>0</v>
      </c>
    </row>
    <row r="1063" spans="2:5" ht="15" customHeight="1">
      <c r="B1063" s="112"/>
      <c r="C1063" s="61" t="s">
        <v>177</v>
      </c>
      <c r="D1063" s="71">
        <v>7</v>
      </c>
      <c r="E1063" s="70">
        <v>0</v>
      </c>
    </row>
    <row r="1064" spans="2:5" ht="15" customHeight="1">
      <c r="B1064" s="112"/>
      <c r="C1064" s="61" t="s">
        <v>149</v>
      </c>
      <c r="D1064" s="71">
        <v>2</v>
      </c>
      <c r="E1064" s="70">
        <v>0</v>
      </c>
    </row>
    <row r="1065" spans="2:5" ht="15" customHeight="1">
      <c r="B1065" s="112"/>
      <c r="C1065" s="61" t="s">
        <v>150</v>
      </c>
      <c r="D1065" s="71">
        <v>2</v>
      </c>
      <c r="E1065" s="70">
        <v>0</v>
      </c>
    </row>
    <row r="1066" spans="2:5" ht="15" customHeight="1">
      <c r="B1066" s="112"/>
      <c r="C1066" s="61" t="s">
        <v>178</v>
      </c>
      <c r="D1066" s="71">
        <v>1</v>
      </c>
      <c r="E1066" s="70">
        <v>0</v>
      </c>
    </row>
    <row r="1067" spans="2:5" ht="15" customHeight="1">
      <c r="B1067" s="112"/>
      <c r="C1067" s="61" t="s">
        <v>151</v>
      </c>
      <c r="D1067" s="71">
        <v>4</v>
      </c>
      <c r="E1067" s="70">
        <v>0</v>
      </c>
    </row>
    <row r="1068" spans="2:5" ht="15" customHeight="1">
      <c r="B1068" s="112"/>
      <c r="C1068" s="61" t="s">
        <v>201</v>
      </c>
      <c r="D1068" s="71">
        <v>2</v>
      </c>
      <c r="E1068" s="70">
        <v>0</v>
      </c>
    </row>
    <row r="1069" spans="2:5" ht="15" customHeight="1">
      <c r="B1069" s="112"/>
      <c r="C1069" s="61" t="s">
        <v>180</v>
      </c>
      <c r="D1069" s="71">
        <v>4</v>
      </c>
      <c r="E1069" s="70">
        <v>0</v>
      </c>
    </row>
    <row r="1070" spans="2:5" ht="15" customHeight="1">
      <c r="B1070" s="112"/>
      <c r="C1070" s="61" t="s">
        <v>181</v>
      </c>
      <c r="D1070" s="71">
        <v>1</v>
      </c>
      <c r="E1070" s="70">
        <v>0</v>
      </c>
    </row>
    <row r="1071" spans="2:5" ht="15" customHeight="1">
      <c r="B1071" s="112"/>
      <c r="C1071" s="61" t="s">
        <v>152</v>
      </c>
      <c r="D1071" s="71">
        <v>2</v>
      </c>
      <c r="E1071" s="70">
        <v>0</v>
      </c>
    </row>
    <row r="1072" spans="2:5" ht="15" customHeight="1">
      <c r="B1072" s="112"/>
      <c r="C1072" s="61" t="s">
        <v>203</v>
      </c>
      <c r="D1072" s="71">
        <v>2</v>
      </c>
      <c r="E1072" s="70">
        <v>0</v>
      </c>
    </row>
    <row r="1073" spans="2:5" ht="15" customHeight="1">
      <c r="B1073" s="112"/>
      <c r="C1073" s="61" t="s">
        <v>162</v>
      </c>
      <c r="D1073" s="71">
        <v>12</v>
      </c>
      <c r="E1073" s="70">
        <v>0</v>
      </c>
    </row>
    <row r="1074" spans="2:5" ht="15" customHeight="1">
      <c r="B1074" s="112"/>
      <c r="C1074" s="61" t="s">
        <v>153</v>
      </c>
      <c r="D1074" s="71">
        <v>4</v>
      </c>
      <c r="E1074" s="70">
        <v>0</v>
      </c>
    </row>
    <row r="1075" spans="2:5" ht="15" customHeight="1">
      <c r="B1075" s="112"/>
      <c r="C1075" s="61" t="s">
        <v>182</v>
      </c>
      <c r="D1075" s="71">
        <v>1</v>
      </c>
      <c r="E1075" s="70">
        <v>0</v>
      </c>
    </row>
    <row r="1076" spans="2:5" ht="15" customHeight="1">
      <c r="B1076" s="112"/>
      <c r="C1076" s="61" t="s">
        <v>154</v>
      </c>
      <c r="D1076" s="71">
        <v>19</v>
      </c>
      <c r="E1076" s="70">
        <v>1E-3</v>
      </c>
    </row>
    <row r="1077" spans="2:5" ht="15" customHeight="1">
      <c r="B1077" s="112"/>
      <c r="C1077" s="61" t="s">
        <v>183</v>
      </c>
      <c r="D1077" s="71">
        <v>1</v>
      </c>
      <c r="E1077" s="70">
        <v>0</v>
      </c>
    </row>
    <row r="1078" spans="2:5" ht="15" customHeight="1">
      <c r="B1078" s="112"/>
      <c r="C1078" s="61" t="s">
        <v>155</v>
      </c>
      <c r="D1078" s="71">
        <v>21</v>
      </c>
      <c r="E1078" s="70">
        <v>1E-3</v>
      </c>
    </row>
    <row r="1079" spans="2:5" ht="15" customHeight="1">
      <c r="B1079" s="112"/>
      <c r="C1079" s="61" t="s">
        <v>185</v>
      </c>
      <c r="D1079" s="71">
        <v>4</v>
      </c>
      <c r="E1079" s="70">
        <v>0</v>
      </c>
    </row>
    <row r="1080" spans="2:5" ht="15" customHeight="1">
      <c r="B1080" s="112"/>
      <c r="C1080" s="61" t="s">
        <v>186</v>
      </c>
      <c r="D1080" s="71">
        <v>2</v>
      </c>
      <c r="E1080" s="70">
        <v>0</v>
      </c>
    </row>
    <row r="1081" spans="2:5" ht="15" customHeight="1">
      <c r="B1081" s="112"/>
      <c r="C1081" s="61" t="s">
        <v>187</v>
      </c>
      <c r="D1081" s="71">
        <v>12</v>
      </c>
      <c r="E1081" s="70">
        <v>0</v>
      </c>
    </row>
    <row r="1082" spans="2:5" ht="15" customHeight="1">
      <c r="B1082" s="112"/>
      <c r="C1082" s="61" t="s">
        <v>188</v>
      </c>
      <c r="D1082" s="71">
        <v>1</v>
      </c>
      <c r="E1082" s="70">
        <v>0</v>
      </c>
    </row>
    <row r="1083" spans="2:5" ht="15" customHeight="1">
      <c r="B1083" s="112"/>
      <c r="C1083" s="61" t="s">
        <v>189</v>
      </c>
      <c r="D1083" s="71">
        <v>2</v>
      </c>
      <c r="E1083" s="70">
        <v>0</v>
      </c>
    </row>
    <row r="1084" spans="2:5" ht="15" customHeight="1">
      <c r="B1084" s="112"/>
      <c r="C1084" s="61" t="s">
        <v>191</v>
      </c>
      <c r="D1084" s="71">
        <v>11</v>
      </c>
      <c r="E1084" s="70">
        <v>0</v>
      </c>
    </row>
    <row r="1085" spans="2:5" ht="15" customHeight="1">
      <c r="B1085" s="112"/>
      <c r="C1085" s="61" t="s">
        <v>156</v>
      </c>
      <c r="D1085" s="71">
        <v>1</v>
      </c>
      <c r="E1085" s="70">
        <v>0</v>
      </c>
    </row>
    <row r="1086" spans="2:5" ht="15" customHeight="1">
      <c r="B1086" s="112"/>
      <c r="C1086" s="61" t="s">
        <v>157</v>
      </c>
      <c r="D1086" s="71">
        <v>5</v>
      </c>
      <c r="E1086" s="70">
        <v>0</v>
      </c>
    </row>
    <row r="1087" spans="2:5" ht="15" customHeight="1">
      <c r="B1087" s="112"/>
      <c r="C1087" s="61" t="s">
        <v>158</v>
      </c>
      <c r="D1087" s="71">
        <v>4</v>
      </c>
      <c r="E1087" s="70">
        <v>0</v>
      </c>
    </row>
    <row r="1088" spans="2:5" ht="15" customHeight="1">
      <c r="B1088" s="112"/>
      <c r="C1088" s="61" t="s">
        <v>192</v>
      </c>
      <c r="D1088" s="71">
        <v>6</v>
      </c>
      <c r="E1088" s="70">
        <v>0</v>
      </c>
    </row>
    <row r="1089" spans="2:5" ht="15" customHeight="1">
      <c r="B1089" s="112"/>
      <c r="C1089" s="61" t="s">
        <v>159</v>
      </c>
      <c r="D1089" s="71">
        <v>17</v>
      </c>
      <c r="E1089" s="70">
        <v>1E-3</v>
      </c>
    </row>
    <row r="1090" spans="2:5" ht="15" customHeight="1">
      <c r="B1090" s="112"/>
      <c r="C1090" s="61" t="s">
        <v>160</v>
      </c>
      <c r="D1090" s="71">
        <v>7</v>
      </c>
      <c r="E1090" s="70">
        <v>0</v>
      </c>
    </row>
    <row r="1091" spans="2:5" ht="15" customHeight="1">
      <c r="B1091" s="112"/>
      <c r="C1091" s="74" t="s">
        <v>309</v>
      </c>
      <c r="D1091" s="77">
        <v>315</v>
      </c>
      <c r="E1091" s="75">
        <v>1.2E-2</v>
      </c>
    </row>
    <row r="1092" spans="2:5" ht="15" customHeight="1">
      <c r="B1092" s="112" t="s">
        <v>72</v>
      </c>
      <c r="C1092" s="61" t="s">
        <v>164</v>
      </c>
      <c r="D1092" s="71">
        <v>1</v>
      </c>
      <c r="E1092" s="70">
        <v>0</v>
      </c>
    </row>
    <row r="1093" spans="2:5" ht="15" customHeight="1">
      <c r="B1093" s="112"/>
      <c r="C1093" s="61" t="s">
        <v>165</v>
      </c>
      <c r="D1093" s="71">
        <v>1</v>
      </c>
      <c r="E1093" s="70">
        <v>0</v>
      </c>
    </row>
    <row r="1094" spans="2:5" ht="15" customHeight="1">
      <c r="B1094" s="112"/>
      <c r="C1094" s="61" t="s">
        <v>146</v>
      </c>
      <c r="D1094" s="71">
        <v>13</v>
      </c>
      <c r="E1094" s="70">
        <v>0</v>
      </c>
    </row>
    <row r="1095" spans="2:5" ht="15" customHeight="1">
      <c r="B1095" s="112"/>
      <c r="C1095" s="61" t="s">
        <v>171</v>
      </c>
      <c r="D1095" s="71">
        <v>1</v>
      </c>
      <c r="E1095" s="70">
        <v>0</v>
      </c>
    </row>
    <row r="1096" spans="2:5" ht="15" customHeight="1">
      <c r="B1096" s="112"/>
      <c r="C1096" s="61" t="s">
        <v>147</v>
      </c>
      <c r="D1096" s="71">
        <v>1</v>
      </c>
      <c r="E1096" s="70">
        <v>0</v>
      </c>
    </row>
    <row r="1097" spans="2:5" ht="15" customHeight="1">
      <c r="B1097" s="112"/>
      <c r="C1097" s="61" t="s">
        <v>173</v>
      </c>
      <c r="D1097" s="71">
        <v>2</v>
      </c>
      <c r="E1097" s="70">
        <v>0</v>
      </c>
    </row>
    <row r="1098" spans="2:5" ht="15" customHeight="1">
      <c r="B1098" s="112"/>
      <c r="C1098" s="61" t="s">
        <v>148</v>
      </c>
      <c r="D1098" s="71">
        <v>7</v>
      </c>
      <c r="E1098" s="70">
        <v>0</v>
      </c>
    </row>
    <row r="1099" spans="2:5" ht="15" customHeight="1">
      <c r="B1099" s="112"/>
      <c r="C1099" s="61" t="s">
        <v>174</v>
      </c>
      <c r="D1099" s="71">
        <v>2</v>
      </c>
      <c r="E1099" s="70">
        <v>0</v>
      </c>
    </row>
    <row r="1100" spans="2:5" ht="15" customHeight="1">
      <c r="B1100" s="112"/>
      <c r="C1100" s="61" t="s">
        <v>175</v>
      </c>
      <c r="D1100" s="71">
        <v>7</v>
      </c>
      <c r="E1100" s="70">
        <v>0</v>
      </c>
    </row>
    <row r="1101" spans="2:5" ht="15" customHeight="1">
      <c r="B1101" s="112"/>
      <c r="C1101" s="61" t="s">
        <v>176</v>
      </c>
      <c r="D1101" s="71">
        <v>1</v>
      </c>
      <c r="E1101" s="70">
        <v>0</v>
      </c>
    </row>
    <row r="1102" spans="2:5" ht="15" customHeight="1">
      <c r="B1102" s="112"/>
      <c r="C1102" s="61" t="s">
        <v>177</v>
      </c>
      <c r="D1102" s="71">
        <v>1</v>
      </c>
      <c r="E1102" s="70">
        <v>0</v>
      </c>
    </row>
    <row r="1103" spans="2:5" ht="15" customHeight="1">
      <c r="B1103" s="112"/>
      <c r="C1103" s="61" t="s">
        <v>150</v>
      </c>
      <c r="D1103" s="71">
        <v>8</v>
      </c>
      <c r="E1103" s="70">
        <v>0</v>
      </c>
    </row>
    <row r="1104" spans="2:5" ht="15" customHeight="1">
      <c r="B1104" s="112"/>
      <c r="C1104" s="61" t="s">
        <v>178</v>
      </c>
      <c r="D1104" s="71">
        <v>1</v>
      </c>
      <c r="E1104" s="70">
        <v>0</v>
      </c>
    </row>
    <row r="1105" spans="2:5" ht="15" customHeight="1">
      <c r="B1105" s="112"/>
      <c r="C1105" s="61" t="s">
        <v>152</v>
      </c>
      <c r="D1105" s="71">
        <v>1</v>
      </c>
      <c r="E1105" s="70">
        <v>0</v>
      </c>
    </row>
    <row r="1106" spans="2:5" ht="15" customHeight="1">
      <c r="B1106" s="112"/>
      <c r="C1106" s="61" t="s">
        <v>203</v>
      </c>
      <c r="D1106" s="71">
        <v>1</v>
      </c>
      <c r="E1106" s="70">
        <v>0</v>
      </c>
    </row>
    <row r="1107" spans="2:5" ht="15" customHeight="1">
      <c r="B1107" s="112"/>
      <c r="C1107" s="61" t="s">
        <v>162</v>
      </c>
      <c r="D1107" s="71">
        <v>3</v>
      </c>
      <c r="E1107" s="70">
        <v>0</v>
      </c>
    </row>
    <row r="1108" spans="2:5" ht="15" customHeight="1">
      <c r="B1108" s="112"/>
      <c r="C1108" s="61" t="s">
        <v>153</v>
      </c>
      <c r="D1108" s="71">
        <v>11</v>
      </c>
      <c r="E1108" s="70">
        <v>0</v>
      </c>
    </row>
    <row r="1109" spans="2:5" ht="15" customHeight="1">
      <c r="B1109" s="112"/>
      <c r="C1109" s="61" t="s">
        <v>154</v>
      </c>
      <c r="D1109" s="71">
        <v>34</v>
      </c>
      <c r="E1109" s="70">
        <v>1E-3</v>
      </c>
    </row>
    <row r="1110" spans="2:5" ht="15" customHeight="1">
      <c r="B1110" s="112"/>
      <c r="C1110" s="61" t="s">
        <v>183</v>
      </c>
      <c r="D1110" s="71">
        <v>3</v>
      </c>
      <c r="E1110" s="70">
        <v>0</v>
      </c>
    </row>
    <row r="1111" spans="2:5" ht="15" customHeight="1">
      <c r="B1111" s="112"/>
      <c r="C1111" s="61" t="s">
        <v>155</v>
      </c>
      <c r="D1111" s="71">
        <v>1</v>
      </c>
      <c r="E1111" s="70">
        <v>0</v>
      </c>
    </row>
    <row r="1112" spans="2:5" ht="15" customHeight="1">
      <c r="B1112" s="112"/>
      <c r="C1112" s="61" t="s">
        <v>185</v>
      </c>
      <c r="D1112" s="71">
        <v>9</v>
      </c>
      <c r="E1112" s="70">
        <v>0</v>
      </c>
    </row>
    <row r="1113" spans="2:5" ht="15" customHeight="1">
      <c r="B1113" s="112"/>
      <c r="C1113" s="61" t="s">
        <v>187</v>
      </c>
      <c r="D1113" s="71">
        <v>1</v>
      </c>
      <c r="E1113" s="70">
        <v>0</v>
      </c>
    </row>
    <row r="1114" spans="2:5" ht="15" customHeight="1">
      <c r="B1114" s="112"/>
      <c r="C1114" s="61" t="s">
        <v>188</v>
      </c>
      <c r="D1114" s="71">
        <v>1</v>
      </c>
      <c r="E1114" s="70">
        <v>0</v>
      </c>
    </row>
    <row r="1115" spans="2:5" ht="15" customHeight="1">
      <c r="B1115" s="112"/>
      <c r="C1115" s="61" t="s">
        <v>189</v>
      </c>
      <c r="D1115" s="71">
        <v>2</v>
      </c>
      <c r="E1115" s="70">
        <v>0</v>
      </c>
    </row>
    <row r="1116" spans="2:5" ht="15" customHeight="1">
      <c r="B1116" s="112"/>
      <c r="C1116" s="61" t="s">
        <v>191</v>
      </c>
      <c r="D1116" s="71">
        <v>3</v>
      </c>
      <c r="E1116" s="70">
        <v>0</v>
      </c>
    </row>
    <row r="1117" spans="2:5" ht="15" customHeight="1">
      <c r="B1117" s="112"/>
      <c r="C1117" s="61" t="s">
        <v>156</v>
      </c>
      <c r="D1117" s="71">
        <v>1</v>
      </c>
      <c r="E1117" s="70">
        <v>0</v>
      </c>
    </row>
    <row r="1118" spans="2:5" ht="15" customHeight="1">
      <c r="B1118" s="112"/>
      <c r="C1118" s="61" t="s">
        <v>196</v>
      </c>
      <c r="D1118" s="71">
        <v>6</v>
      </c>
      <c r="E1118" s="70">
        <v>0</v>
      </c>
    </row>
    <row r="1119" spans="2:5" ht="15" customHeight="1">
      <c r="B1119" s="112"/>
      <c r="C1119" s="61" t="s">
        <v>192</v>
      </c>
      <c r="D1119" s="71">
        <v>1</v>
      </c>
      <c r="E1119" s="70">
        <v>0</v>
      </c>
    </row>
    <row r="1120" spans="2:5" ht="15" customHeight="1">
      <c r="B1120" s="112"/>
      <c r="C1120" s="61" t="s">
        <v>159</v>
      </c>
      <c r="D1120" s="71">
        <v>5</v>
      </c>
      <c r="E1120" s="70">
        <v>0</v>
      </c>
    </row>
    <row r="1121" spans="2:5" ht="15" customHeight="1">
      <c r="B1121" s="112"/>
      <c r="C1121" s="61" t="s">
        <v>160</v>
      </c>
      <c r="D1121" s="71">
        <v>10</v>
      </c>
      <c r="E1121" s="70">
        <v>0</v>
      </c>
    </row>
    <row r="1122" spans="2:5" ht="15" customHeight="1">
      <c r="B1122" s="112"/>
      <c r="C1122" s="74" t="s">
        <v>309</v>
      </c>
      <c r="D1122" s="77">
        <v>139</v>
      </c>
      <c r="E1122" s="75">
        <v>5.0000000000000001E-3</v>
      </c>
    </row>
    <row r="1123" spans="2:5" ht="15" customHeight="1">
      <c r="B1123" s="112" t="s">
        <v>74</v>
      </c>
      <c r="C1123" s="61" t="s">
        <v>163</v>
      </c>
      <c r="D1123" s="71">
        <v>2</v>
      </c>
      <c r="E1123" s="70">
        <v>0</v>
      </c>
    </row>
    <row r="1124" spans="2:5" ht="15" customHeight="1">
      <c r="B1124" s="112"/>
      <c r="C1124" s="61" t="s">
        <v>166</v>
      </c>
      <c r="D1124" s="71">
        <v>4</v>
      </c>
      <c r="E1124" s="70">
        <v>0</v>
      </c>
    </row>
    <row r="1125" spans="2:5" ht="15" customHeight="1">
      <c r="B1125" s="112"/>
      <c r="C1125" s="61" t="s">
        <v>168</v>
      </c>
      <c r="D1125" s="71">
        <v>2</v>
      </c>
      <c r="E1125" s="70">
        <v>0</v>
      </c>
    </row>
    <row r="1126" spans="2:5" ht="15" customHeight="1">
      <c r="B1126" s="112"/>
      <c r="C1126" s="61" t="s">
        <v>161</v>
      </c>
      <c r="D1126" s="71">
        <v>22</v>
      </c>
      <c r="E1126" s="70">
        <v>1E-3</v>
      </c>
    </row>
    <row r="1127" spans="2:5" ht="15" customHeight="1">
      <c r="B1127" s="112"/>
      <c r="C1127" s="61" t="s">
        <v>146</v>
      </c>
      <c r="D1127" s="71">
        <v>26</v>
      </c>
      <c r="E1127" s="70">
        <v>1E-3</v>
      </c>
    </row>
    <row r="1128" spans="2:5" ht="15" customHeight="1">
      <c r="B1128" s="112"/>
      <c r="C1128" s="61" t="s">
        <v>172</v>
      </c>
      <c r="D1128" s="71">
        <v>1</v>
      </c>
      <c r="E1128" s="70">
        <v>0</v>
      </c>
    </row>
    <row r="1129" spans="2:5" ht="15" customHeight="1">
      <c r="B1129" s="112"/>
      <c r="C1129" s="61" t="s">
        <v>148</v>
      </c>
      <c r="D1129" s="71">
        <v>9</v>
      </c>
      <c r="E1129" s="70">
        <v>0</v>
      </c>
    </row>
    <row r="1130" spans="2:5" ht="15" customHeight="1">
      <c r="B1130" s="112"/>
      <c r="C1130" s="61" t="s">
        <v>199</v>
      </c>
      <c r="D1130" s="71">
        <v>1</v>
      </c>
      <c r="E1130" s="70">
        <v>0</v>
      </c>
    </row>
    <row r="1131" spans="2:5" ht="15" customHeight="1">
      <c r="B1131" s="112"/>
      <c r="C1131" s="61" t="s">
        <v>174</v>
      </c>
      <c r="D1131" s="71">
        <v>3</v>
      </c>
      <c r="E1131" s="70">
        <v>0</v>
      </c>
    </row>
    <row r="1132" spans="2:5" ht="15" customHeight="1">
      <c r="B1132" s="112"/>
      <c r="C1132" s="61" t="s">
        <v>175</v>
      </c>
      <c r="D1132" s="71">
        <v>17</v>
      </c>
      <c r="E1132" s="70">
        <v>1E-3</v>
      </c>
    </row>
    <row r="1133" spans="2:5" ht="15" customHeight="1">
      <c r="B1133" s="112"/>
      <c r="C1133" s="61" t="s">
        <v>176</v>
      </c>
      <c r="D1133" s="71">
        <v>1</v>
      </c>
      <c r="E1133" s="70">
        <v>0</v>
      </c>
    </row>
    <row r="1134" spans="2:5" ht="15" customHeight="1">
      <c r="B1134" s="112"/>
      <c r="C1134" s="61" t="s">
        <v>149</v>
      </c>
      <c r="D1134" s="71">
        <v>1</v>
      </c>
      <c r="E1134" s="70">
        <v>0</v>
      </c>
    </row>
    <row r="1135" spans="2:5" ht="15" customHeight="1">
      <c r="B1135" s="112"/>
      <c r="C1135" s="61" t="s">
        <v>150</v>
      </c>
      <c r="D1135" s="71">
        <v>1</v>
      </c>
      <c r="E1135" s="70">
        <v>0</v>
      </c>
    </row>
    <row r="1136" spans="2:5" ht="15" customHeight="1">
      <c r="B1136" s="112"/>
      <c r="C1136" s="61" t="s">
        <v>193</v>
      </c>
      <c r="D1136" s="71">
        <v>1</v>
      </c>
      <c r="E1136" s="70">
        <v>0</v>
      </c>
    </row>
    <row r="1137" spans="2:5" ht="15" customHeight="1">
      <c r="B1137" s="112"/>
      <c r="C1137" s="61" t="s">
        <v>178</v>
      </c>
      <c r="D1137" s="71">
        <v>2</v>
      </c>
      <c r="E1137" s="70">
        <v>0</v>
      </c>
    </row>
    <row r="1138" spans="2:5" ht="15" customHeight="1">
      <c r="B1138" s="112"/>
      <c r="C1138" s="61" t="s">
        <v>201</v>
      </c>
      <c r="D1138" s="71">
        <v>1</v>
      </c>
      <c r="E1138" s="70">
        <v>0</v>
      </c>
    </row>
    <row r="1139" spans="2:5" ht="15" customHeight="1">
      <c r="B1139" s="112"/>
      <c r="C1139" s="61" t="s">
        <v>181</v>
      </c>
      <c r="D1139" s="71">
        <v>5</v>
      </c>
      <c r="E1139" s="70">
        <v>0</v>
      </c>
    </row>
    <row r="1140" spans="2:5" ht="15" customHeight="1">
      <c r="B1140" s="112"/>
      <c r="C1140" s="61" t="s">
        <v>152</v>
      </c>
      <c r="D1140" s="71">
        <v>5</v>
      </c>
      <c r="E1140" s="70">
        <v>0</v>
      </c>
    </row>
    <row r="1141" spans="2:5" ht="15" customHeight="1">
      <c r="B1141" s="112"/>
      <c r="C1141" s="61" t="s">
        <v>203</v>
      </c>
      <c r="D1141" s="71">
        <v>2</v>
      </c>
      <c r="E1141" s="70">
        <v>0</v>
      </c>
    </row>
    <row r="1142" spans="2:5" ht="15" customHeight="1">
      <c r="B1142" s="112"/>
      <c r="C1142" s="61" t="s">
        <v>162</v>
      </c>
      <c r="D1142" s="71">
        <v>14</v>
      </c>
      <c r="E1142" s="70">
        <v>1E-3</v>
      </c>
    </row>
    <row r="1143" spans="2:5" ht="15" customHeight="1">
      <c r="B1143" s="112"/>
      <c r="C1143" s="61" t="s">
        <v>153</v>
      </c>
      <c r="D1143" s="71">
        <v>10</v>
      </c>
      <c r="E1143" s="70">
        <v>0</v>
      </c>
    </row>
    <row r="1144" spans="2:5" ht="15" customHeight="1">
      <c r="B1144" s="112"/>
      <c r="C1144" s="61" t="s">
        <v>182</v>
      </c>
      <c r="D1144" s="71">
        <v>2</v>
      </c>
      <c r="E1144" s="70">
        <v>0</v>
      </c>
    </row>
    <row r="1145" spans="2:5" ht="15" customHeight="1">
      <c r="B1145" s="112"/>
      <c r="C1145" s="61" t="s">
        <v>154</v>
      </c>
      <c r="D1145" s="71">
        <v>9</v>
      </c>
      <c r="E1145" s="70">
        <v>0</v>
      </c>
    </row>
    <row r="1146" spans="2:5" ht="15" customHeight="1">
      <c r="B1146" s="112"/>
      <c r="C1146" s="61" t="s">
        <v>183</v>
      </c>
      <c r="D1146" s="71">
        <v>7</v>
      </c>
      <c r="E1146" s="70">
        <v>0</v>
      </c>
    </row>
    <row r="1147" spans="2:5" ht="15" customHeight="1">
      <c r="B1147" s="112"/>
      <c r="C1147" s="61" t="s">
        <v>155</v>
      </c>
      <c r="D1147" s="71">
        <v>4</v>
      </c>
      <c r="E1147" s="70">
        <v>0</v>
      </c>
    </row>
    <row r="1148" spans="2:5" ht="15" customHeight="1">
      <c r="B1148" s="112"/>
      <c r="C1148" s="61" t="s">
        <v>185</v>
      </c>
      <c r="D1148" s="71">
        <v>1</v>
      </c>
      <c r="E1148" s="70">
        <v>0</v>
      </c>
    </row>
    <row r="1149" spans="2:5" ht="15" customHeight="1">
      <c r="B1149" s="112"/>
      <c r="C1149" s="61" t="s">
        <v>186</v>
      </c>
      <c r="D1149" s="71">
        <v>1</v>
      </c>
      <c r="E1149" s="70">
        <v>0</v>
      </c>
    </row>
    <row r="1150" spans="2:5" ht="15" customHeight="1">
      <c r="B1150" s="112"/>
      <c r="C1150" s="61" t="s">
        <v>187</v>
      </c>
      <c r="D1150" s="71">
        <v>11</v>
      </c>
      <c r="E1150" s="70">
        <v>0</v>
      </c>
    </row>
    <row r="1151" spans="2:5" ht="15" customHeight="1">
      <c r="B1151" s="112"/>
      <c r="C1151" s="61" t="s">
        <v>188</v>
      </c>
      <c r="D1151" s="71">
        <v>3</v>
      </c>
      <c r="E1151" s="70">
        <v>0</v>
      </c>
    </row>
    <row r="1152" spans="2:5" ht="15" customHeight="1">
      <c r="B1152" s="112"/>
      <c r="C1152" s="61" t="s">
        <v>189</v>
      </c>
      <c r="D1152" s="71">
        <v>4</v>
      </c>
      <c r="E1152" s="70">
        <v>0</v>
      </c>
    </row>
    <row r="1153" spans="2:5" ht="15" customHeight="1">
      <c r="B1153" s="112"/>
      <c r="C1153" s="61" t="s">
        <v>190</v>
      </c>
      <c r="D1153" s="71">
        <v>1</v>
      </c>
      <c r="E1153" s="70">
        <v>0</v>
      </c>
    </row>
    <row r="1154" spans="2:5" ht="15" customHeight="1">
      <c r="B1154" s="112"/>
      <c r="C1154" s="61" t="s">
        <v>191</v>
      </c>
      <c r="D1154" s="71">
        <v>10</v>
      </c>
      <c r="E1154" s="70">
        <v>0</v>
      </c>
    </row>
    <row r="1155" spans="2:5" ht="15" customHeight="1">
      <c r="B1155" s="112"/>
      <c r="C1155" s="61" t="s">
        <v>157</v>
      </c>
      <c r="D1155" s="71">
        <v>6</v>
      </c>
      <c r="E1155" s="70">
        <v>0</v>
      </c>
    </row>
    <row r="1156" spans="2:5" ht="15" customHeight="1">
      <c r="B1156" s="112"/>
      <c r="C1156" s="61" t="s">
        <v>159</v>
      </c>
      <c r="D1156" s="71">
        <v>7</v>
      </c>
      <c r="E1156" s="70">
        <v>0</v>
      </c>
    </row>
    <row r="1157" spans="2:5" ht="15" customHeight="1">
      <c r="B1157" s="112"/>
      <c r="C1157" s="61" t="s">
        <v>160</v>
      </c>
      <c r="D1157" s="71">
        <v>17</v>
      </c>
      <c r="E1157" s="70">
        <v>1E-3</v>
      </c>
    </row>
    <row r="1158" spans="2:5" ht="15" customHeight="1">
      <c r="B1158" s="112"/>
      <c r="C1158" s="74" t="s">
        <v>309</v>
      </c>
      <c r="D1158" s="77">
        <v>213</v>
      </c>
      <c r="E1158" s="75">
        <v>8.0000000000000002E-3</v>
      </c>
    </row>
    <row r="1159" spans="2:5" ht="15" customHeight="1">
      <c r="B1159" s="112" t="s">
        <v>62</v>
      </c>
      <c r="C1159" s="61" t="s">
        <v>163</v>
      </c>
      <c r="D1159" s="71">
        <v>1</v>
      </c>
      <c r="E1159" s="70">
        <v>0</v>
      </c>
    </row>
    <row r="1160" spans="2:5" ht="15" customHeight="1">
      <c r="B1160" s="112"/>
      <c r="C1160" s="61" t="s">
        <v>197</v>
      </c>
      <c r="D1160" s="71">
        <v>1</v>
      </c>
      <c r="E1160" s="70">
        <v>0</v>
      </c>
    </row>
    <row r="1161" spans="2:5" ht="15" customHeight="1">
      <c r="B1161" s="112"/>
      <c r="C1161" s="61" t="s">
        <v>164</v>
      </c>
      <c r="D1161" s="71">
        <v>3</v>
      </c>
      <c r="E1161" s="70">
        <v>0</v>
      </c>
    </row>
    <row r="1162" spans="2:5" ht="15" customHeight="1">
      <c r="B1162" s="112"/>
      <c r="C1162" s="61" t="s">
        <v>165</v>
      </c>
      <c r="D1162" s="71">
        <v>7</v>
      </c>
      <c r="E1162" s="70">
        <v>0</v>
      </c>
    </row>
    <row r="1163" spans="2:5" ht="15" customHeight="1">
      <c r="B1163" s="112"/>
      <c r="C1163" s="61" t="s">
        <v>166</v>
      </c>
      <c r="D1163" s="71">
        <v>7</v>
      </c>
      <c r="E1163" s="70">
        <v>0</v>
      </c>
    </row>
    <row r="1164" spans="2:5" ht="15" customHeight="1">
      <c r="B1164" s="112"/>
      <c r="C1164" s="61" t="s">
        <v>167</v>
      </c>
      <c r="D1164" s="71">
        <v>7</v>
      </c>
      <c r="E1164" s="70">
        <v>0</v>
      </c>
    </row>
    <row r="1165" spans="2:5" ht="15" customHeight="1">
      <c r="B1165" s="112"/>
      <c r="C1165" s="61" t="s">
        <v>168</v>
      </c>
      <c r="D1165" s="71">
        <v>4</v>
      </c>
      <c r="E1165" s="70">
        <v>0</v>
      </c>
    </row>
    <row r="1166" spans="2:5" ht="15" customHeight="1">
      <c r="B1166" s="112"/>
      <c r="C1166" s="61" t="s">
        <v>161</v>
      </c>
      <c r="D1166" s="71">
        <v>2</v>
      </c>
      <c r="E1166" s="70">
        <v>0</v>
      </c>
    </row>
    <row r="1167" spans="2:5" ht="15" customHeight="1">
      <c r="B1167" s="112"/>
      <c r="C1167" s="61" t="s">
        <v>285</v>
      </c>
      <c r="D1167" s="71">
        <v>5</v>
      </c>
      <c r="E1167" s="70">
        <v>0</v>
      </c>
    </row>
    <row r="1168" spans="2:5" ht="15" customHeight="1">
      <c r="B1168" s="112"/>
      <c r="C1168" s="61" t="s">
        <v>170</v>
      </c>
      <c r="D1168" s="71">
        <v>5</v>
      </c>
      <c r="E1168" s="70">
        <v>0</v>
      </c>
    </row>
    <row r="1169" spans="2:5" ht="15" customHeight="1">
      <c r="B1169" s="112"/>
      <c r="C1169" s="61" t="s">
        <v>198</v>
      </c>
      <c r="D1169" s="71">
        <v>1</v>
      </c>
      <c r="E1169" s="70">
        <v>0</v>
      </c>
    </row>
    <row r="1170" spans="2:5" ht="15" customHeight="1">
      <c r="B1170" s="112"/>
      <c r="C1170" s="61" t="s">
        <v>146</v>
      </c>
      <c r="D1170" s="71">
        <v>56</v>
      </c>
      <c r="E1170" s="70">
        <v>2E-3</v>
      </c>
    </row>
    <row r="1171" spans="2:5" ht="15" customHeight="1">
      <c r="B1171" s="112"/>
      <c r="C1171" s="61" t="s">
        <v>171</v>
      </c>
      <c r="D1171" s="71">
        <v>3</v>
      </c>
      <c r="E1171" s="70">
        <v>0</v>
      </c>
    </row>
    <row r="1172" spans="2:5" ht="15" customHeight="1">
      <c r="B1172" s="112"/>
      <c r="C1172" s="61" t="s">
        <v>172</v>
      </c>
      <c r="D1172" s="71">
        <v>2</v>
      </c>
      <c r="E1172" s="70">
        <v>0</v>
      </c>
    </row>
    <row r="1173" spans="2:5" ht="15" customHeight="1">
      <c r="B1173" s="112"/>
      <c r="C1173" s="61" t="s">
        <v>147</v>
      </c>
      <c r="D1173" s="71">
        <v>14</v>
      </c>
      <c r="E1173" s="70">
        <v>1E-3</v>
      </c>
    </row>
    <row r="1174" spans="2:5" ht="15" customHeight="1">
      <c r="B1174" s="112"/>
      <c r="C1174" s="61" t="s">
        <v>173</v>
      </c>
      <c r="D1174" s="71">
        <v>5</v>
      </c>
      <c r="E1174" s="70">
        <v>0</v>
      </c>
    </row>
    <row r="1175" spans="2:5" ht="15" customHeight="1">
      <c r="B1175" s="112"/>
      <c r="C1175" s="61" t="s">
        <v>148</v>
      </c>
      <c r="D1175" s="71">
        <v>14</v>
      </c>
      <c r="E1175" s="70">
        <v>1E-3</v>
      </c>
    </row>
    <row r="1176" spans="2:5" ht="15" customHeight="1">
      <c r="B1176" s="112"/>
      <c r="C1176" s="61" t="s">
        <v>199</v>
      </c>
      <c r="D1176" s="71">
        <v>1</v>
      </c>
      <c r="E1176" s="70">
        <v>0</v>
      </c>
    </row>
    <row r="1177" spans="2:5" ht="15" customHeight="1">
      <c r="B1177" s="112"/>
      <c r="C1177" s="61" t="s">
        <v>174</v>
      </c>
      <c r="D1177" s="71">
        <v>5</v>
      </c>
      <c r="E1177" s="70">
        <v>0</v>
      </c>
    </row>
    <row r="1178" spans="2:5" ht="15" customHeight="1">
      <c r="B1178" s="112"/>
      <c r="C1178" s="61" t="s">
        <v>175</v>
      </c>
      <c r="D1178" s="71">
        <v>15</v>
      </c>
      <c r="E1178" s="70">
        <v>1E-3</v>
      </c>
    </row>
    <row r="1179" spans="2:5" ht="15" customHeight="1">
      <c r="B1179" s="112"/>
      <c r="C1179" s="61" t="s">
        <v>176</v>
      </c>
      <c r="D1179" s="71">
        <v>3</v>
      </c>
      <c r="E1179" s="70">
        <v>0</v>
      </c>
    </row>
    <row r="1180" spans="2:5" ht="15" customHeight="1">
      <c r="B1180" s="112"/>
      <c r="C1180" s="61" t="s">
        <v>177</v>
      </c>
      <c r="D1180" s="71">
        <v>1</v>
      </c>
      <c r="E1180" s="70">
        <v>0</v>
      </c>
    </row>
    <row r="1181" spans="2:5" ht="15" customHeight="1">
      <c r="B1181" s="112"/>
      <c r="C1181" s="61" t="s">
        <v>149</v>
      </c>
      <c r="D1181" s="71">
        <v>6</v>
      </c>
      <c r="E1181" s="70">
        <v>0</v>
      </c>
    </row>
    <row r="1182" spans="2:5" ht="15" customHeight="1">
      <c r="B1182" s="112"/>
      <c r="C1182" s="61" t="s">
        <v>150</v>
      </c>
      <c r="D1182" s="71">
        <v>2</v>
      </c>
      <c r="E1182" s="70">
        <v>0</v>
      </c>
    </row>
    <row r="1183" spans="2:5" ht="15" customHeight="1">
      <c r="B1183" s="112"/>
      <c r="C1183" s="61" t="s">
        <v>193</v>
      </c>
      <c r="D1183" s="71">
        <v>4</v>
      </c>
      <c r="E1183" s="70">
        <v>0</v>
      </c>
    </row>
    <row r="1184" spans="2:5" ht="15" customHeight="1">
      <c r="B1184" s="112"/>
      <c r="C1184" s="61" t="s">
        <v>178</v>
      </c>
      <c r="D1184" s="71">
        <v>10</v>
      </c>
      <c r="E1184" s="70">
        <v>0</v>
      </c>
    </row>
    <row r="1185" spans="2:5" ht="15" customHeight="1">
      <c r="B1185" s="112"/>
      <c r="C1185" s="61" t="s">
        <v>151</v>
      </c>
      <c r="D1185" s="71">
        <v>8</v>
      </c>
      <c r="E1185" s="70">
        <v>0</v>
      </c>
    </row>
    <row r="1186" spans="2:5" ht="15" customHeight="1">
      <c r="B1186" s="112"/>
      <c r="C1186" s="61" t="s">
        <v>201</v>
      </c>
      <c r="D1186" s="71">
        <v>1</v>
      </c>
      <c r="E1186" s="70">
        <v>0</v>
      </c>
    </row>
    <row r="1187" spans="2:5" ht="15" customHeight="1">
      <c r="B1187" s="112"/>
      <c r="C1187" s="61" t="s">
        <v>180</v>
      </c>
      <c r="D1187" s="71">
        <v>9</v>
      </c>
      <c r="E1187" s="70">
        <v>0</v>
      </c>
    </row>
    <row r="1188" spans="2:5" ht="15" customHeight="1">
      <c r="B1188" s="112"/>
      <c r="C1188" s="61" t="s">
        <v>181</v>
      </c>
      <c r="D1188" s="71">
        <v>1</v>
      </c>
      <c r="E1188" s="70">
        <v>0</v>
      </c>
    </row>
    <row r="1189" spans="2:5" ht="15" customHeight="1">
      <c r="B1189" s="112"/>
      <c r="C1189" s="61" t="s">
        <v>152</v>
      </c>
      <c r="D1189" s="71">
        <v>9</v>
      </c>
      <c r="E1189" s="70">
        <v>0</v>
      </c>
    </row>
    <row r="1190" spans="2:5" ht="15" customHeight="1">
      <c r="B1190" s="112"/>
      <c r="C1190" s="61" t="s">
        <v>162</v>
      </c>
      <c r="D1190" s="71">
        <v>3</v>
      </c>
      <c r="E1190" s="70">
        <v>0</v>
      </c>
    </row>
    <row r="1191" spans="2:5" ht="15" customHeight="1">
      <c r="B1191" s="112"/>
      <c r="C1191" s="61" t="s">
        <v>153</v>
      </c>
      <c r="D1191" s="71">
        <v>6</v>
      </c>
      <c r="E1191" s="70">
        <v>0</v>
      </c>
    </row>
    <row r="1192" spans="2:5" ht="15" customHeight="1">
      <c r="B1192" s="112"/>
      <c r="C1192" s="61" t="s">
        <v>182</v>
      </c>
      <c r="D1192" s="71">
        <v>1</v>
      </c>
      <c r="E1192" s="70">
        <v>0</v>
      </c>
    </row>
    <row r="1193" spans="2:5" ht="15" customHeight="1">
      <c r="B1193" s="112"/>
      <c r="C1193" s="61" t="s">
        <v>154</v>
      </c>
      <c r="D1193" s="71">
        <v>12</v>
      </c>
      <c r="E1193" s="70">
        <v>0</v>
      </c>
    </row>
    <row r="1194" spans="2:5" ht="15" customHeight="1">
      <c r="B1194" s="112"/>
      <c r="C1194" s="61" t="s">
        <v>183</v>
      </c>
      <c r="D1194" s="71">
        <v>5</v>
      </c>
      <c r="E1194" s="70">
        <v>0</v>
      </c>
    </row>
    <row r="1195" spans="2:5" ht="15" customHeight="1">
      <c r="B1195" s="112"/>
      <c r="C1195" s="61" t="s">
        <v>155</v>
      </c>
      <c r="D1195" s="71">
        <v>35</v>
      </c>
      <c r="E1195" s="70">
        <v>1E-3</v>
      </c>
    </row>
    <row r="1196" spans="2:5" ht="15" customHeight="1">
      <c r="B1196" s="112"/>
      <c r="C1196" s="61" t="s">
        <v>185</v>
      </c>
      <c r="D1196" s="71">
        <v>2</v>
      </c>
      <c r="E1196" s="70">
        <v>0</v>
      </c>
    </row>
    <row r="1197" spans="2:5" ht="15" customHeight="1">
      <c r="B1197" s="112"/>
      <c r="C1197" s="61" t="s">
        <v>186</v>
      </c>
      <c r="D1197" s="71">
        <v>2</v>
      </c>
      <c r="E1197" s="70">
        <v>0</v>
      </c>
    </row>
    <row r="1198" spans="2:5" ht="15" customHeight="1">
      <c r="B1198" s="112"/>
      <c r="C1198" s="61" t="s">
        <v>187</v>
      </c>
      <c r="D1198" s="71">
        <v>5</v>
      </c>
      <c r="E1198" s="70">
        <v>0</v>
      </c>
    </row>
    <row r="1199" spans="2:5" ht="15" customHeight="1">
      <c r="B1199" s="112"/>
      <c r="C1199" s="61" t="s">
        <v>188</v>
      </c>
      <c r="D1199" s="71">
        <v>6</v>
      </c>
      <c r="E1199" s="70">
        <v>0</v>
      </c>
    </row>
    <row r="1200" spans="2:5" ht="15" customHeight="1">
      <c r="B1200" s="112"/>
      <c r="C1200" s="61" t="s">
        <v>189</v>
      </c>
      <c r="D1200" s="71">
        <v>9</v>
      </c>
      <c r="E1200" s="70">
        <v>0</v>
      </c>
    </row>
    <row r="1201" spans="2:5" ht="15" customHeight="1">
      <c r="B1201" s="112"/>
      <c r="C1201" s="61" t="s">
        <v>195</v>
      </c>
      <c r="D1201" s="71">
        <v>3</v>
      </c>
      <c r="E1201" s="70">
        <v>0</v>
      </c>
    </row>
    <row r="1202" spans="2:5" ht="15" customHeight="1">
      <c r="B1202" s="112"/>
      <c r="C1202" s="61" t="s">
        <v>191</v>
      </c>
      <c r="D1202" s="71">
        <v>30</v>
      </c>
      <c r="E1202" s="70">
        <v>1E-3</v>
      </c>
    </row>
    <row r="1203" spans="2:5" ht="15" customHeight="1">
      <c r="B1203" s="112"/>
      <c r="C1203" s="61" t="s">
        <v>157</v>
      </c>
      <c r="D1203" s="71">
        <v>4</v>
      </c>
      <c r="E1203" s="70">
        <v>0</v>
      </c>
    </row>
    <row r="1204" spans="2:5" ht="15" customHeight="1">
      <c r="B1204" s="112"/>
      <c r="C1204" s="61" t="s">
        <v>158</v>
      </c>
      <c r="D1204" s="71">
        <v>1</v>
      </c>
      <c r="E1204" s="70">
        <v>0</v>
      </c>
    </row>
    <row r="1205" spans="2:5" ht="15" customHeight="1">
      <c r="B1205" s="112"/>
      <c r="C1205" s="61" t="s">
        <v>192</v>
      </c>
      <c r="D1205" s="71">
        <v>11</v>
      </c>
      <c r="E1205" s="70">
        <v>0</v>
      </c>
    </row>
    <row r="1206" spans="2:5" ht="15" customHeight="1">
      <c r="B1206" s="112"/>
      <c r="C1206" s="61" t="s">
        <v>159</v>
      </c>
      <c r="D1206" s="71">
        <v>16</v>
      </c>
      <c r="E1206" s="70">
        <v>1E-3</v>
      </c>
    </row>
    <row r="1207" spans="2:5" ht="15" customHeight="1">
      <c r="B1207" s="112"/>
      <c r="C1207" s="61" t="s">
        <v>160</v>
      </c>
      <c r="D1207" s="71">
        <v>17</v>
      </c>
      <c r="E1207" s="70">
        <v>1E-3</v>
      </c>
    </row>
    <row r="1208" spans="2:5" ht="15" customHeight="1">
      <c r="B1208" s="112"/>
      <c r="C1208" s="74" t="s">
        <v>309</v>
      </c>
      <c r="D1208" s="77">
        <v>380</v>
      </c>
      <c r="E1208" s="75">
        <v>1.4E-2</v>
      </c>
    </row>
    <row r="1209" spans="2:5" ht="15" customHeight="1">
      <c r="B1209" s="112" t="s">
        <v>82</v>
      </c>
      <c r="C1209" s="61" t="s">
        <v>163</v>
      </c>
      <c r="D1209" s="71">
        <v>4</v>
      </c>
      <c r="E1209" s="70">
        <v>0</v>
      </c>
    </row>
    <row r="1210" spans="2:5" ht="15" customHeight="1">
      <c r="B1210" s="112"/>
      <c r="C1210" s="61" t="s">
        <v>165</v>
      </c>
      <c r="D1210" s="71">
        <v>2</v>
      </c>
      <c r="E1210" s="70">
        <v>0</v>
      </c>
    </row>
    <row r="1211" spans="2:5" ht="15" customHeight="1">
      <c r="B1211" s="112"/>
      <c r="C1211" s="61" t="s">
        <v>146</v>
      </c>
      <c r="D1211" s="71">
        <v>10</v>
      </c>
      <c r="E1211" s="70">
        <v>0</v>
      </c>
    </row>
    <row r="1212" spans="2:5" ht="15" customHeight="1">
      <c r="B1212" s="112"/>
      <c r="C1212" s="61" t="s">
        <v>171</v>
      </c>
      <c r="D1212" s="71">
        <v>1</v>
      </c>
      <c r="E1212" s="70">
        <v>0</v>
      </c>
    </row>
    <row r="1213" spans="2:5" ht="15" customHeight="1">
      <c r="B1213" s="112"/>
      <c r="C1213" s="61" t="s">
        <v>148</v>
      </c>
      <c r="D1213" s="71">
        <v>2</v>
      </c>
      <c r="E1213" s="70">
        <v>0</v>
      </c>
    </row>
    <row r="1214" spans="2:5" ht="15" customHeight="1">
      <c r="B1214" s="112"/>
      <c r="C1214" s="61" t="s">
        <v>174</v>
      </c>
      <c r="D1214" s="71">
        <v>4</v>
      </c>
      <c r="E1214" s="70">
        <v>0</v>
      </c>
    </row>
    <row r="1215" spans="2:5" ht="15" customHeight="1">
      <c r="B1215" s="112"/>
      <c r="C1215" s="61" t="s">
        <v>175</v>
      </c>
      <c r="D1215" s="71">
        <v>1</v>
      </c>
      <c r="E1215" s="70">
        <v>0</v>
      </c>
    </row>
    <row r="1216" spans="2:5" ht="15" customHeight="1">
      <c r="B1216" s="112"/>
      <c r="C1216" s="61" t="s">
        <v>176</v>
      </c>
      <c r="D1216" s="71">
        <v>1</v>
      </c>
      <c r="E1216" s="70">
        <v>0</v>
      </c>
    </row>
    <row r="1217" spans="2:5" ht="15" customHeight="1">
      <c r="B1217" s="112"/>
      <c r="C1217" s="61" t="s">
        <v>149</v>
      </c>
      <c r="D1217" s="71">
        <v>1</v>
      </c>
      <c r="E1217" s="70">
        <v>0</v>
      </c>
    </row>
    <row r="1218" spans="2:5" ht="15" customHeight="1">
      <c r="B1218" s="112"/>
      <c r="C1218" s="61" t="s">
        <v>178</v>
      </c>
      <c r="D1218" s="71">
        <v>1</v>
      </c>
      <c r="E1218" s="70">
        <v>0</v>
      </c>
    </row>
    <row r="1219" spans="2:5" ht="15" customHeight="1">
      <c r="B1219" s="112"/>
      <c r="C1219" s="61" t="s">
        <v>179</v>
      </c>
      <c r="D1219" s="71">
        <v>1</v>
      </c>
      <c r="E1219" s="70">
        <v>0</v>
      </c>
    </row>
    <row r="1220" spans="2:5" ht="15" customHeight="1">
      <c r="B1220" s="112"/>
      <c r="C1220" s="61" t="s">
        <v>180</v>
      </c>
      <c r="D1220" s="71">
        <v>3</v>
      </c>
      <c r="E1220" s="70">
        <v>0</v>
      </c>
    </row>
    <row r="1221" spans="2:5" ht="15" customHeight="1">
      <c r="B1221" s="112"/>
      <c r="C1221" s="61" t="s">
        <v>152</v>
      </c>
      <c r="D1221" s="71">
        <v>2</v>
      </c>
      <c r="E1221" s="70">
        <v>0</v>
      </c>
    </row>
    <row r="1222" spans="2:5" ht="15" customHeight="1">
      <c r="B1222" s="112"/>
      <c r="C1222" s="61" t="s">
        <v>162</v>
      </c>
      <c r="D1222" s="71">
        <v>2</v>
      </c>
      <c r="E1222" s="70">
        <v>0</v>
      </c>
    </row>
    <row r="1223" spans="2:5" ht="15" customHeight="1">
      <c r="B1223" s="112"/>
      <c r="C1223" s="61" t="s">
        <v>153</v>
      </c>
      <c r="D1223" s="71">
        <v>6</v>
      </c>
      <c r="E1223" s="70">
        <v>0</v>
      </c>
    </row>
    <row r="1224" spans="2:5" ht="15" customHeight="1">
      <c r="B1224" s="112"/>
      <c r="C1224" s="61" t="s">
        <v>155</v>
      </c>
      <c r="D1224" s="71">
        <v>2</v>
      </c>
      <c r="E1224" s="70">
        <v>0</v>
      </c>
    </row>
    <row r="1225" spans="2:5" ht="15" customHeight="1">
      <c r="B1225" s="112"/>
      <c r="C1225" s="61" t="s">
        <v>188</v>
      </c>
      <c r="D1225" s="71">
        <v>3</v>
      </c>
      <c r="E1225" s="70">
        <v>0</v>
      </c>
    </row>
    <row r="1226" spans="2:5" ht="15" customHeight="1">
      <c r="B1226" s="112"/>
      <c r="C1226" s="61" t="s">
        <v>189</v>
      </c>
      <c r="D1226" s="71">
        <v>4</v>
      </c>
      <c r="E1226" s="70">
        <v>0</v>
      </c>
    </row>
    <row r="1227" spans="2:5" ht="15" customHeight="1">
      <c r="B1227" s="112"/>
      <c r="C1227" s="61" t="s">
        <v>191</v>
      </c>
      <c r="D1227" s="71">
        <v>12</v>
      </c>
      <c r="E1227" s="70">
        <v>0</v>
      </c>
    </row>
    <row r="1228" spans="2:5" ht="15" customHeight="1">
      <c r="B1228" s="112"/>
      <c r="C1228" s="61" t="s">
        <v>157</v>
      </c>
      <c r="D1228" s="71">
        <v>3</v>
      </c>
      <c r="E1228" s="70">
        <v>0</v>
      </c>
    </row>
    <row r="1229" spans="2:5" ht="15" customHeight="1">
      <c r="B1229" s="112"/>
      <c r="C1229" s="61" t="s">
        <v>158</v>
      </c>
      <c r="D1229" s="71">
        <v>1</v>
      </c>
      <c r="E1229" s="70">
        <v>0</v>
      </c>
    </row>
    <row r="1230" spans="2:5" ht="15" customHeight="1">
      <c r="B1230" s="112"/>
      <c r="C1230" s="61" t="s">
        <v>192</v>
      </c>
      <c r="D1230" s="71">
        <v>5</v>
      </c>
      <c r="E1230" s="70">
        <v>0</v>
      </c>
    </row>
    <row r="1231" spans="2:5" ht="15" customHeight="1">
      <c r="B1231" s="112"/>
      <c r="C1231" s="61" t="s">
        <v>159</v>
      </c>
      <c r="D1231" s="71">
        <v>2</v>
      </c>
      <c r="E1231" s="70">
        <v>0</v>
      </c>
    </row>
    <row r="1232" spans="2:5" ht="15" customHeight="1">
      <c r="B1232" s="112"/>
      <c r="C1232" s="61" t="s">
        <v>160</v>
      </c>
      <c r="D1232" s="71">
        <v>5</v>
      </c>
      <c r="E1232" s="70">
        <v>0</v>
      </c>
    </row>
    <row r="1233" spans="2:5" ht="15" customHeight="1">
      <c r="B1233" s="112"/>
      <c r="C1233" s="74" t="s">
        <v>309</v>
      </c>
      <c r="D1233" s="77">
        <v>78</v>
      </c>
      <c r="E1233" s="75">
        <v>3.0000000000000001E-3</v>
      </c>
    </row>
    <row r="1234" spans="2:5" ht="15" customHeight="1">
      <c r="B1234" s="112" t="s">
        <v>83</v>
      </c>
      <c r="C1234" s="61" t="s">
        <v>167</v>
      </c>
      <c r="D1234" s="71">
        <v>4</v>
      </c>
      <c r="E1234" s="70">
        <v>0</v>
      </c>
    </row>
    <row r="1235" spans="2:5" ht="15" customHeight="1">
      <c r="B1235" s="112"/>
      <c r="C1235" s="61" t="s">
        <v>146</v>
      </c>
      <c r="D1235" s="71">
        <v>13</v>
      </c>
      <c r="E1235" s="70">
        <v>0</v>
      </c>
    </row>
    <row r="1236" spans="2:5" ht="15" customHeight="1">
      <c r="B1236" s="112"/>
      <c r="C1236" s="61" t="s">
        <v>147</v>
      </c>
      <c r="D1236" s="71">
        <v>5</v>
      </c>
      <c r="E1236" s="70">
        <v>0</v>
      </c>
    </row>
    <row r="1237" spans="2:5" ht="15" customHeight="1">
      <c r="B1237" s="112"/>
      <c r="C1237" s="61" t="s">
        <v>173</v>
      </c>
      <c r="D1237" s="71">
        <v>2</v>
      </c>
      <c r="E1237" s="70">
        <v>0</v>
      </c>
    </row>
    <row r="1238" spans="2:5" ht="15" customHeight="1">
      <c r="B1238" s="112"/>
      <c r="C1238" s="61" t="s">
        <v>148</v>
      </c>
      <c r="D1238" s="71">
        <v>4</v>
      </c>
      <c r="E1238" s="70">
        <v>0</v>
      </c>
    </row>
    <row r="1239" spans="2:5" ht="15" customHeight="1">
      <c r="B1239" s="112"/>
      <c r="C1239" s="61" t="s">
        <v>174</v>
      </c>
      <c r="D1239" s="71">
        <v>1</v>
      </c>
      <c r="E1239" s="70">
        <v>0</v>
      </c>
    </row>
    <row r="1240" spans="2:5" ht="15" customHeight="1">
      <c r="B1240" s="112"/>
      <c r="C1240" s="61" t="s">
        <v>175</v>
      </c>
      <c r="D1240" s="71">
        <v>2</v>
      </c>
      <c r="E1240" s="70">
        <v>0</v>
      </c>
    </row>
    <row r="1241" spans="2:5" ht="15" customHeight="1">
      <c r="B1241" s="112"/>
      <c r="C1241" s="61" t="s">
        <v>177</v>
      </c>
      <c r="D1241" s="71">
        <v>4</v>
      </c>
      <c r="E1241" s="70">
        <v>0</v>
      </c>
    </row>
    <row r="1242" spans="2:5" ht="15" customHeight="1">
      <c r="B1242" s="112"/>
      <c r="C1242" s="61" t="s">
        <v>150</v>
      </c>
      <c r="D1242" s="71">
        <v>1</v>
      </c>
      <c r="E1242" s="70">
        <v>0</v>
      </c>
    </row>
    <row r="1243" spans="2:5" ht="15" customHeight="1">
      <c r="B1243" s="112"/>
      <c r="C1243" s="61" t="s">
        <v>151</v>
      </c>
      <c r="D1243" s="71">
        <v>7</v>
      </c>
      <c r="E1243" s="70">
        <v>0</v>
      </c>
    </row>
    <row r="1244" spans="2:5" ht="15" customHeight="1">
      <c r="B1244" s="112"/>
      <c r="C1244" s="61" t="s">
        <v>202</v>
      </c>
      <c r="D1244" s="71">
        <v>1</v>
      </c>
      <c r="E1244" s="70">
        <v>0</v>
      </c>
    </row>
    <row r="1245" spans="2:5" ht="15" customHeight="1">
      <c r="B1245" s="112"/>
      <c r="C1245" s="61" t="s">
        <v>152</v>
      </c>
      <c r="D1245" s="71">
        <v>1</v>
      </c>
      <c r="E1245" s="70">
        <v>0</v>
      </c>
    </row>
    <row r="1246" spans="2:5" ht="15" customHeight="1">
      <c r="B1246" s="112"/>
      <c r="C1246" s="61" t="s">
        <v>203</v>
      </c>
      <c r="D1246" s="71">
        <v>1</v>
      </c>
      <c r="E1246" s="70">
        <v>0</v>
      </c>
    </row>
    <row r="1247" spans="2:5" ht="15" customHeight="1">
      <c r="B1247" s="112"/>
      <c r="C1247" s="61" t="s">
        <v>162</v>
      </c>
      <c r="D1247" s="71">
        <v>5</v>
      </c>
      <c r="E1247" s="70">
        <v>0</v>
      </c>
    </row>
    <row r="1248" spans="2:5" ht="15" customHeight="1">
      <c r="B1248" s="112"/>
      <c r="C1248" s="61" t="s">
        <v>153</v>
      </c>
      <c r="D1248" s="71">
        <v>3</v>
      </c>
      <c r="E1248" s="70">
        <v>0</v>
      </c>
    </row>
    <row r="1249" spans="2:5" ht="15" customHeight="1">
      <c r="B1249" s="112"/>
      <c r="C1249" s="61" t="s">
        <v>154</v>
      </c>
      <c r="D1249" s="71">
        <v>1</v>
      </c>
      <c r="E1249" s="70">
        <v>0</v>
      </c>
    </row>
    <row r="1250" spans="2:5" ht="15" customHeight="1">
      <c r="B1250" s="112"/>
      <c r="C1250" s="61" t="s">
        <v>183</v>
      </c>
      <c r="D1250" s="71">
        <v>5</v>
      </c>
      <c r="E1250" s="70">
        <v>0</v>
      </c>
    </row>
    <row r="1251" spans="2:5" ht="15" customHeight="1">
      <c r="B1251" s="112"/>
      <c r="C1251" s="61" t="s">
        <v>155</v>
      </c>
      <c r="D1251" s="71">
        <v>3</v>
      </c>
      <c r="E1251" s="70">
        <v>0</v>
      </c>
    </row>
    <row r="1252" spans="2:5" ht="15" customHeight="1">
      <c r="B1252" s="112"/>
      <c r="C1252" s="61" t="s">
        <v>189</v>
      </c>
      <c r="D1252" s="71">
        <v>2</v>
      </c>
      <c r="E1252" s="70">
        <v>0</v>
      </c>
    </row>
    <row r="1253" spans="2:5" ht="15" customHeight="1">
      <c r="B1253" s="112"/>
      <c r="C1253" s="61" t="s">
        <v>191</v>
      </c>
      <c r="D1253" s="71">
        <v>1</v>
      </c>
      <c r="E1253" s="70">
        <v>0</v>
      </c>
    </row>
    <row r="1254" spans="2:5" ht="15" customHeight="1">
      <c r="B1254" s="112"/>
      <c r="C1254" s="61" t="s">
        <v>192</v>
      </c>
      <c r="D1254" s="71">
        <v>1</v>
      </c>
      <c r="E1254" s="70">
        <v>0</v>
      </c>
    </row>
    <row r="1255" spans="2:5" ht="15" customHeight="1">
      <c r="B1255" s="112"/>
      <c r="C1255" s="61" t="s">
        <v>159</v>
      </c>
      <c r="D1255" s="71">
        <v>1</v>
      </c>
      <c r="E1255" s="70">
        <v>0</v>
      </c>
    </row>
    <row r="1256" spans="2:5" ht="15" customHeight="1">
      <c r="B1256" s="112"/>
      <c r="C1256" s="61" t="s">
        <v>160</v>
      </c>
      <c r="D1256" s="71">
        <v>3</v>
      </c>
      <c r="E1256" s="70">
        <v>0</v>
      </c>
    </row>
    <row r="1257" spans="2:5" ht="15" customHeight="1">
      <c r="B1257" s="112"/>
      <c r="C1257" s="74" t="s">
        <v>309</v>
      </c>
      <c r="D1257" s="77">
        <v>71</v>
      </c>
      <c r="E1257" s="75">
        <v>3.0000000000000001E-3</v>
      </c>
    </row>
    <row r="1258" spans="2:5" ht="15" customHeight="1">
      <c r="B1258" s="112" t="s">
        <v>57</v>
      </c>
      <c r="C1258" s="61" t="s">
        <v>165</v>
      </c>
      <c r="D1258" s="71">
        <v>9</v>
      </c>
      <c r="E1258" s="70">
        <v>0</v>
      </c>
    </row>
    <row r="1259" spans="2:5" ht="15" customHeight="1">
      <c r="B1259" s="112"/>
      <c r="C1259" s="61" t="s">
        <v>166</v>
      </c>
      <c r="D1259" s="71">
        <v>2</v>
      </c>
      <c r="E1259" s="70">
        <v>0</v>
      </c>
    </row>
    <row r="1260" spans="2:5" ht="15" customHeight="1">
      <c r="B1260" s="112"/>
      <c r="C1260" s="61" t="s">
        <v>167</v>
      </c>
      <c r="D1260" s="71">
        <v>4</v>
      </c>
      <c r="E1260" s="70">
        <v>0</v>
      </c>
    </row>
    <row r="1261" spans="2:5" ht="15" customHeight="1">
      <c r="B1261" s="112"/>
      <c r="C1261" s="61" t="s">
        <v>168</v>
      </c>
      <c r="D1261" s="71">
        <v>5</v>
      </c>
      <c r="E1261" s="70">
        <v>0</v>
      </c>
    </row>
    <row r="1262" spans="2:5" ht="15" customHeight="1">
      <c r="B1262" s="112"/>
      <c r="C1262" s="61" t="s">
        <v>169</v>
      </c>
      <c r="D1262" s="71">
        <v>13</v>
      </c>
      <c r="E1262" s="70">
        <v>0</v>
      </c>
    </row>
    <row r="1263" spans="2:5" ht="15" customHeight="1">
      <c r="B1263" s="112"/>
      <c r="C1263" s="61" t="s">
        <v>161</v>
      </c>
      <c r="D1263" s="71">
        <v>1</v>
      </c>
      <c r="E1263" s="70">
        <v>0</v>
      </c>
    </row>
    <row r="1264" spans="2:5" ht="15" customHeight="1">
      <c r="B1264" s="112"/>
      <c r="C1264" s="61" t="s">
        <v>170</v>
      </c>
      <c r="D1264" s="71">
        <v>1</v>
      </c>
      <c r="E1264" s="70">
        <v>0</v>
      </c>
    </row>
    <row r="1265" spans="2:5" ht="15" customHeight="1">
      <c r="B1265" s="112"/>
      <c r="C1265" s="61" t="s">
        <v>146</v>
      </c>
      <c r="D1265" s="71">
        <v>51</v>
      </c>
      <c r="E1265" s="70">
        <v>2E-3</v>
      </c>
    </row>
    <row r="1266" spans="2:5" ht="15" customHeight="1">
      <c r="B1266" s="112"/>
      <c r="C1266" s="61" t="s">
        <v>171</v>
      </c>
      <c r="D1266" s="71">
        <v>12</v>
      </c>
      <c r="E1266" s="70">
        <v>0</v>
      </c>
    </row>
    <row r="1267" spans="2:5" ht="15" customHeight="1">
      <c r="B1267" s="112"/>
      <c r="C1267" s="61" t="s">
        <v>147</v>
      </c>
      <c r="D1267" s="71">
        <v>23</v>
      </c>
      <c r="E1267" s="70">
        <v>1E-3</v>
      </c>
    </row>
    <row r="1268" spans="2:5" ht="15" customHeight="1">
      <c r="B1268" s="112"/>
      <c r="C1268" s="61" t="s">
        <v>173</v>
      </c>
      <c r="D1268" s="71">
        <v>39</v>
      </c>
      <c r="E1268" s="70">
        <v>1E-3</v>
      </c>
    </row>
    <row r="1269" spans="2:5" ht="15" customHeight="1">
      <c r="B1269" s="112"/>
      <c r="C1269" s="61" t="s">
        <v>148</v>
      </c>
      <c r="D1269" s="71">
        <v>28</v>
      </c>
      <c r="E1269" s="70">
        <v>1E-3</v>
      </c>
    </row>
    <row r="1270" spans="2:5" ht="15" customHeight="1">
      <c r="B1270" s="112"/>
      <c r="C1270" s="61" t="s">
        <v>199</v>
      </c>
      <c r="D1270" s="71">
        <v>1</v>
      </c>
      <c r="E1270" s="70">
        <v>0</v>
      </c>
    </row>
    <row r="1271" spans="2:5" ht="15" customHeight="1">
      <c r="B1271" s="112"/>
      <c r="C1271" s="61" t="s">
        <v>174</v>
      </c>
      <c r="D1271" s="71">
        <v>7</v>
      </c>
      <c r="E1271" s="70">
        <v>0</v>
      </c>
    </row>
    <row r="1272" spans="2:5" ht="15" customHeight="1">
      <c r="B1272" s="112"/>
      <c r="C1272" s="61" t="s">
        <v>175</v>
      </c>
      <c r="D1272" s="71">
        <v>4</v>
      </c>
      <c r="E1272" s="70">
        <v>0</v>
      </c>
    </row>
    <row r="1273" spans="2:5" ht="15" customHeight="1">
      <c r="B1273" s="112"/>
      <c r="C1273" s="61" t="s">
        <v>176</v>
      </c>
      <c r="D1273" s="71">
        <v>3</v>
      </c>
      <c r="E1273" s="70">
        <v>0</v>
      </c>
    </row>
    <row r="1274" spans="2:5" ht="15" customHeight="1">
      <c r="B1274" s="112"/>
      <c r="C1274" s="61" t="s">
        <v>177</v>
      </c>
      <c r="D1274" s="71">
        <v>6</v>
      </c>
      <c r="E1274" s="70">
        <v>0</v>
      </c>
    </row>
    <row r="1275" spans="2:5" ht="15" customHeight="1">
      <c r="B1275" s="112"/>
      <c r="C1275" s="61" t="s">
        <v>149</v>
      </c>
      <c r="D1275" s="71">
        <v>2</v>
      </c>
      <c r="E1275" s="70">
        <v>0</v>
      </c>
    </row>
    <row r="1276" spans="2:5" ht="15" customHeight="1">
      <c r="B1276" s="112"/>
      <c r="C1276" s="61" t="s">
        <v>150</v>
      </c>
      <c r="D1276" s="71">
        <v>20</v>
      </c>
      <c r="E1276" s="70">
        <v>1E-3</v>
      </c>
    </row>
    <row r="1277" spans="2:5" ht="15" customHeight="1">
      <c r="B1277" s="112"/>
      <c r="C1277" s="61" t="s">
        <v>193</v>
      </c>
      <c r="D1277" s="71">
        <v>1</v>
      </c>
      <c r="E1277" s="70">
        <v>0</v>
      </c>
    </row>
    <row r="1278" spans="2:5" ht="15" customHeight="1">
      <c r="B1278" s="112"/>
      <c r="C1278" s="61" t="s">
        <v>178</v>
      </c>
      <c r="D1278" s="71">
        <v>4</v>
      </c>
      <c r="E1278" s="70">
        <v>0</v>
      </c>
    </row>
    <row r="1279" spans="2:5" ht="15" customHeight="1">
      <c r="B1279" s="112"/>
      <c r="C1279" s="61" t="s">
        <v>180</v>
      </c>
      <c r="D1279" s="71">
        <v>1</v>
      </c>
      <c r="E1279" s="70">
        <v>0</v>
      </c>
    </row>
    <row r="1280" spans="2:5" ht="15" customHeight="1">
      <c r="B1280" s="112"/>
      <c r="C1280" s="61" t="s">
        <v>202</v>
      </c>
      <c r="D1280" s="71">
        <v>1</v>
      </c>
      <c r="E1280" s="70">
        <v>0</v>
      </c>
    </row>
    <row r="1281" spans="2:5" ht="15" customHeight="1">
      <c r="B1281" s="112"/>
      <c r="C1281" s="61" t="s">
        <v>181</v>
      </c>
      <c r="D1281" s="71">
        <v>3</v>
      </c>
      <c r="E1281" s="70">
        <v>0</v>
      </c>
    </row>
    <row r="1282" spans="2:5" ht="15" customHeight="1">
      <c r="B1282" s="112"/>
      <c r="C1282" s="61" t="s">
        <v>152</v>
      </c>
      <c r="D1282" s="71">
        <v>2</v>
      </c>
      <c r="E1282" s="70">
        <v>0</v>
      </c>
    </row>
    <row r="1283" spans="2:5" ht="15" customHeight="1">
      <c r="B1283" s="112"/>
      <c r="C1283" s="61" t="s">
        <v>203</v>
      </c>
      <c r="D1283" s="71">
        <v>5</v>
      </c>
      <c r="E1283" s="70">
        <v>0</v>
      </c>
    </row>
    <row r="1284" spans="2:5" ht="15" customHeight="1">
      <c r="B1284" s="112"/>
      <c r="C1284" s="61" t="s">
        <v>162</v>
      </c>
      <c r="D1284" s="71">
        <v>28</v>
      </c>
      <c r="E1284" s="70">
        <v>1E-3</v>
      </c>
    </row>
    <row r="1285" spans="2:5" ht="15" customHeight="1">
      <c r="B1285" s="112"/>
      <c r="C1285" s="61" t="s">
        <v>153</v>
      </c>
      <c r="D1285" s="71">
        <v>77</v>
      </c>
      <c r="E1285" s="70">
        <v>3.0000000000000001E-3</v>
      </c>
    </row>
    <row r="1286" spans="2:5" ht="15" customHeight="1">
      <c r="B1286" s="112"/>
      <c r="C1286" s="61" t="s">
        <v>182</v>
      </c>
      <c r="D1286" s="71">
        <v>5</v>
      </c>
      <c r="E1286" s="70">
        <v>0</v>
      </c>
    </row>
    <row r="1287" spans="2:5" ht="15" customHeight="1">
      <c r="B1287" s="112"/>
      <c r="C1287" s="61" t="s">
        <v>154</v>
      </c>
      <c r="D1287" s="71">
        <v>27</v>
      </c>
      <c r="E1287" s="70">
        <v>1E-3</v>
      </c>
    </row>
    <row r="1288" spans="2:5" ht="15" customHeight="1">
      <c r="B1288" s="112"/>
      <c r="C1288" s="61" t="s">
        <v>183</v>
      </c>
      <c r="D1288" s="71">
        <v>9</v>
      </c>
      <c r="E1288" s="70">
        <v>0</v>
      </c>
    </row>
    <row r="1289" spans="2:5" ht="15" customHeight="1">
      <c r="B1289" s="112"/>
      <c r="C1289" s="61" t="s">
        <v>155</v>
      </c>
      <c r="D1289" s="71">
        <v>35</v>
      </c>
      <c r="E1289" s="70">
        <v>1E-3</v>
      </c>
    </row>
    <row r="1290" spans="2:5" ht="15" customHeight="1">
      <c r="B1290" s="112"/>
      <c r="C1290" s="61" t="s">
        <v>194</v>
      </c>
      <c r="D1290" s="71">
        <v>1</v>
      </c>
      <c r="E1290" s="70">
        <v>0</v>
      </c>
    </row>
    <row r="1291" spans="2:5" ht="15" customHeight="1">
      <c r="B1291" s="112"/>
      <c r="C1291" s="61" t="s">
        <v>185</v>
      </c>
      <c r="D1291" s="71">
        <v>1</v>
      </c>
      <c r="E1291" s="70">
        <v>0</v>
      </c>
    </row>
    <row r="1292" spans="2:5" ht="15" customHeight="1">
      <c r="B1292" s="112"/>
      <c r="C1292" s="61" t="s">
        <v>186</v>
      </c>
      <c r="D1292" s="71">
        <v>2</v>
      </c>
      <c r="E1292" s="70">
        <v>0</v>
      </c>
    </row>
    <row r="1293" spans="2:5" ht="15" customHeight="1">
      <c r="B1293" s="112"/>
      <c r="C1293" s="61" t="s">
        <v>187</v>
      </c>
      <c r="D1293" s="71">
        <v>1</v>
      </c>
      <c r="E1293" s="70">
        <v>0</v>
      </c>
    </row>
    <row r="1294" spans="2:5" ht="15" customHeight="1">
      <c r="B1294" s="112"/>
      <c r="C1294" s="61" t="s">
        <v>188</v>
      </c>
      <c r="D1294" s="71">
        <v>1</v>
      </c>
      <c r="E1294" s="70">
        <v>0</v>
      </c>
    </row>
    <row r="1295" spans="2:5" ht="15" customHeight="1">
      <c r="B1295" s="112"/>
      <c r="C1295" s="61" t="s">
        <v>189</v>
      </c>
      <c r="D1295" s="71">
        <v>4</v>
      </c>
      <c r="E1295" s="70">
        <v>0</v>
      </c>
    </row>
    <row r="1296" spans="2:5" ht="15" customHeight="1">
      <c r="B1296" s="112"/>
      <c r="C1296" s="61" t="s">
        <v>195</v>
      </c>
      <c r="D1296" s="71">
        <v>2</v>
      </c>
      <c r="E1296" s="70">
        <v>0</v>
      </c>
    </row>
    <row r="1297" spans="2:5" ht="15" customHeight="1">
      <c r="B1297" s="112"/>
      <c r="C1297" s="61" t="s">
        <v>190</v>
      </c>
      <c r="D1297" s="71">
        <v>1</v>
      </c>
      <c r="E1297" s="70">
        <v>0</v>
      </c>
    </row>
    <row r="1298" spans="2:5" ht="15" customHeight="1">
      <c r="B1298" s="112"/>
      <c r="C1298" s="61" t="s">
        <v>191</v>
      </c>
      <c r="D1298" s="71">
        <v>25</v>
      </c>
      <c r="E1298" s="70">
        <v>1E-3</v>
      </c>
    </row>
    <row r="1299" spans="2:5" ht="15" customHeight="1">
      <c r="B1299" s="112"/>
      <c r="C1299" s="61" t="s">
        <v>156</v>
      </c>
      <c r="D1299" s="71">
        <v>3</v>
      </c>
      <c r="E1299" s="70">
        <v>0</v>
      </c>
    </row>
    <row r="1300" spans="2:5" ht="15" customHeight="1">
      <c r="B1300" s="112"/>
      <c r="C1300" s="61" t="s">
        <v>196</v>
      </c>
      <c r="D1300" s="71">
        <v>17</v>
      </c>
      <c r="E1300" s="70">
        <v>1E-3</v>
      </c>
    </row>
    <row r="1301" spans="2:5" ht="15" customHeight="1">
      <c r="B1301" s="112"/>
      <c r="C1301" s="61" t="s">
        <v>157</v>
      </c>
      <c r="D1301" s="71">
        <v>12</v>
      </c>
      <c r="E1301" s="70">
        <v>0</v>
      </c>
    </row>
    <row r="1302" spans="2:5" ht="15" customHeight="1">
      <c r="B1302" s="112"/>
      <c r="C1302" s="61" t="s">
        <v>158</v>
      </c>
      <c r="D1302" s="71">
        <v>4</v>
      </c>
      <c r="E1302" s="70">
        <v>0</v>
      </c>
    </row>
    <row r="1303" spans="2:5" ht="15" customHeight="1">
      <c r="B1303" s="112"/>
      <c r="C1303" s="61" t="s">
        <v>192</v>
      </c>
      <c r="D1303" s="71">
        <v>11</v>
      </c>
      <c r="E1303" s="70">
        <v>0</v>
      </c>
    </row>
    <row r="1304" spans="2:5" ht="15" customHeight="1">
      <c r="B1304" s="112"/>
      <c r="C1304" s="61" t="s">
        <v>159</v>
      </c>
      <c r="D1304" s="71">
        <v>6</v>
      </c>
      <c r="E1304" s="70">
        <v>0</v>
      </c>
    </row>
    <row r="1305" spans="2:5" ht="15" customHeight="1">
      <c r="B1305" s="112"/>
      <c r="C1305" s="61" t="s">
        <v>160</v>
      </c>
      <c r="D1305" s="71">
        <v>25</v>
      </c>
      <c r="E1305" s="70">
        <v>1E-3</v>
      </c>
    </row>
    <row r="1306" spans="2:5" ht="15" customHeight="1">
      <c r="B1306" s="112"/>
      <c r="C1306" s="74" t="s">
        <v>309</v>
      </c>
      <c r="D1306" s="77">
        <v>545</v>
      </c>
      <c r="E1306" s="75">
        <v>0.02</v>
      </c>
    </row>
    <row r="1307" spans="2:5" ht="15" customHeight="1">
      <c r="B1307" s="112" t="s">
        <v>61</v>
      </c>
      <c r="C1307" s="61" t="s">
        <v>163</v>
      </c>
      <c r="D1307" s="71">
        <v>8</v>
      </c>
      <c r="E1307" s="70">
        <v>0</v>
      </c>
    </row>
    <row r="1308" spans="2:5" ht="15" customHeight="1">
      <c r="B1308" s="112"/>
      <c r="C1308" s="61" t="s">
        <v>197</v>
      </c>
      <c r="D1308" s="71">
        <v>2</v>
      </c>
      <c r="E1308" s="70">
        <v>0</v>
      </c>
    </row>
    <row r="1309" spans="2:5" ht="15" customHeight="1">
      <c r="B1309" s="112"/>
      <c r="C1309" s="61" t="s">
        <v>164</v>
      </c>
      <c r="D1309" s="71">
        <v>1</v>
      </c>
      <c r="E1309" s="70">
        <v>0</v>
      </c>
    </row>
    <row r="1310" spans="2:5" ht="15" customHeight="1">
      <c r="B1310" s="112"/>
      <c r="C1310" s="61" t="s">
        <v>165</v>
      </c>
      <c r="D1310" s="71">
        <v>1</v>
      </c>
      <c r="E1310" s="70">
        <v>0</v>
      </c>
    </row>
    <row r="1311" spans="2:5" ht="15" customHeight="1">
      <c r="B1311" s="112"/>
      <c r="C1311" s="61" t="s">
        <v>166</v>
      </c>
      <c r="D1311" s="71">
        <v>14</v>
      </c>
      <c r="E1311" s="70">
        <v>1E-3</v>
      </c>
    </row>
    <row r="1312" spans="2:5" ht="15" customHeight="1">
      <c r="B1312" s="112"/>
      <c r="C1312" s="61" t="s">
        <v>167</v>
      </c>
      <c r="D1312" s="71">
        <v>1</v>
      </c>
      <c r="E1312" s="70">
        <v>0</v>
      </c>
    </row>
    <row r="1313" spans="2:5" ht="15" customHeight="1">
      <c r="B1313" s="112"/>
      <c r="C1313" s="61" t="s">
        <v>168</v>
      </c>
      <c r="D1313" s="71">
        <v>1</v>
      </c>
      <c r="E1313" s="70">
        <v>0</v>
      </c>
    </row>
    <row r="1314" spans="2:5" ht="15" customHeight="1">
      <c r="B1314" s="112"/>
      <c r="C1314" s="61" t="s">
        <v>169</v>
      </c>
      <c r="D1314" s="71">
        <v>1</v>
      </c>
      <c r="E1314" s="70">
        <v>0</v>
      </c>
    </row>
    <row r="1315" spans="2:5" ht="15" customHeight="1">
      <c r="B1315" s="112"/>
      <c r="C1315" s="61" t="s">
        <v>161</v>
      </c>
      <c r="D1315" s="71">
        <v>18</v>
      </c>
      <c r="E1315" s="70">
        <v>1E-3</v>
      </c>
    </row>
    <row r="1316" spans="2:5" ht="15" customHeight="1">
      <c r="B1316" s="112"/>
      <c r="C1316" s="61" t="s">
        <v>146</v>
      </c>
      <c r="D1316" s="71">
        <v>41</v>
      </c>
      <c r="E1316" s="70">
        <v>2E-3</v>
      </c>
    </row>
    <row r="1317" spans="2:5" ht="15" customHeight="1">
      <c r="B1317" s="112"/>
      <c r="C1317" s="61" t="s">
        <v>171</v>
      </c>
      <c r="D1317" s="71">
        <v>2</v>
      </c>
      <c r="E1317" s="70">
        <v>0</v>
      </c>
    </row>
    <row r="1318" spans="2:5" ht="15" customHeight="1">
      <c r="B1318" s="112"/>
      <c r="C1318" s="61" t="s">
        <v>172</v>
      </c>
      <c r="D1318" s="71">
        <v>8</v>
      </c>
      <c r="E1318" s="70">
        <v>0</v>
      </c>
    </row>
    <row r="1319" spans="2:5" ht="15" customHeight="1">
      <c r="B1319" s="112"/>
      <c r="C1319" s="61" t="s">
        <v>147</v>
      </c>
      <c r="D1319" s="71">
        <v>1</v>
      </c>
      <c r="E1319" s="70">
        <v>0</v>
      </c>
    </row>
    <row r="1320" spans="2:5" ht="15" customHeight="1">
      <c r="B1320" s="112"/>
      <c r="C1320" s="61" t="s">
        <v>173</v>
      </c>
      <c r="D1320" s="71">
        <v>9</v>
      </c>
      <c r="E1320" s="70">
        <v>0</v>
      </c>
    </row>
    <row r="1321" spans="2:5" ht="15" customHeight="1">
      <c r="B1321" s="112"/>
      <c r="C1321" s="61" t="s">
        <v>148</v>
      </c>
      <c r="D1321" s="71">
        <v>21</v>
      </c>
      <c r="E1321" s="70">
        <v>1E-3</v>
      </c>
    </row>
    <row r="1322" spans="2:5" ht="15" customHeight="1">
      <c r="B1322" s="112"/>
      <c r="C1322" s="61" t="s">
        <v>199</v>
      </c>
      <c r="D1322" s="71">
        <v>1</v>
      </c>
      <c r="E1322" s="70">
        <v>0</v>
      </c>
    </row>
    <row r="1323" spans="2:5" ht="15" customHeight="1">
      <c r="B1323" s="112"/>
      <c r="C1323" s="61" t="s">
        <v>174</v>
      </c>
      <c r="D1323" s="71">
        <v>7</v>
      </c>
      <c r="E1323" s="70">
        <v>0</v>
      </c>
    </row>
    <row r="1324" spans="2:5" ht="15" customHeight="1">
      <c r="B1324" s="112"/>
      <c r="C1324" s="61" t="s">
        <v>175</v>
      </c>
      <c r="D1324" s="71">
        <v>14</v>
      </c>
      <c r="E1324" s="70">
        <v>1E-3</v>
      </c>
    </row>
    <row r="1325" spans="2:5" ht="15" customHeight="1">
      <c r="B1325" s="112"/>
      <c r="C1325" s="61" t="s">
        <v>176</v>
      </c>
      <c r="D1325" s="71">
        <v>1</v>
      </c>
      <c r="E1325" s="70">
        <v>0</v>
      </c>
    </row>
    <row r="1326" spans="2:5" ht="15" customHeight="1">
      <c r="B1326" s="112"/>
      <c r="C1326" s="61" t="s">
        <v>149</v>
      </c>
      <c r="D1326" s="71">
        <v>13</v>
      </c>
      <c r="E1326" s="70">
        <v>0</v>
      </c>
    </row>
    <row r="1327" spans="2:5" ht="15" customHeight="1">
      <c r="B1327" s="112"/>
      <c r="C1327" s="61" t="s">
        <v>150</v>
      </c>
      <c r="D1327" s="71">
        <v>1</v>
      </c>
      <c r="E1327" s="70">
        <v>0</v>
      </c>
    </row>
    <row r="1328" spans="2:5" ht="15" customHeight="1">
      <c r="B1328" s="112"/>
      <c r="C1328" s="61" t="s">
        <v>193</v>
      </c>
      <c r="D1328" s="71">
        <v>10</v>
      </c>
      <c r="E1328" s="70">
        <v>0</v>
      </c>
    </row>
    <row r="1329" spans="2:5" ht="15" customHeight="1">
      <c r="B1329" s="112"/>
      <c r="C1329" s="61" t="s">
        <v>178</v>
      </c>
      <c r="D1329" s="71">
        <v>1</v>
      </c>
      <c r="E1329" s="70">
        <v>0</v>
      </c>
    </row>
    <row r="1330" spans="2:5" ht="15" customHeight="1">
      <c r="B1330" s="112"/>
      <c r="C1330" s="61" t="s">
        <v>179</v>
      </c>
      <c r="D1330" s="71">
        <v>10</v>
      </c>
      <c r="E1330" s="70">
        <v>0</v>
      </c>
    </row>
    <row r="1331" spans="2:5" ht="15" customHeight="1">
      <c r="B1331" s="112"/>
      <c r="C1331" s="61" t="s">
        <v>151</v>
      </c>
      <c r="D1331" s="71">
        <v>1</v>
      </c>
      <c r="E1331" s="70">
        <v>0</v>
      </c>
    </row>
    <row r="1332" spans="2:5" ht="15" customHeight="1">
      <c r="B1332" s="112"/>
      <c r="C1332" s="61" t="s">
        <v>180</v>
      </c>
      <c r="D1332" s="71">
        <v>4</v>
      </c>
      <c r="E1332" s="70">
        <v>0</v>
      </c>
    </row>
    <row r="1333" spans="2:5" ht="15" customHeight="1">
      <c r="B1333" s="112"/>
      <c r="C1333" s="61" t="s">
        <v>181</v>
      </c>
      <c r="D1333" s="71">
        <v>15</v>
      </c>
      <c r="E1333" s="70">
        <v>1E-3</v>
      </c>
    </row>
    <row r="1334" spans="2:5" ht="15" customHeight="1">
      <c r="B1334" s="112"/>
      <c r="C1334" s="61" t="s">
        <v>152</v>
      </c>
      <c r="D1334" s="71">
        <v>15</v>
      </c>
      <c r="E1334" s="70">
        <v>1E-3</v>
      </c>
    </row>
    <row r="1335" spans="2:5" ht="15" customHeight="1">
      <c r="B1335" s="112"/>
      <c r="C1335" s="61" t="s">
        <v>162</v>
      </c>
      <c r="D1335" s="71">
        <v>11</v>
      </c>
      <c r="E1335" s="70">
        <v>0</v>
      </c>
    </row>
    <row r="1336" spans="2:5" ht="15" customHeight="1">
      <c r="B1336" s="112"/>
      <c r="C1336" s="61" t="s">
        <v>153</v>
      </c>
      <c r="D1336" s="71">
        <v>7</v>
      </c>
      <c r="E1336" s="70">
        <v>0</v>
      </c>
    </row>
    <row r="1337" spans="2:5" ht="15" customHeight="1">
      <c r="B1337" s="112"/>
      <c r="C1337" s="61" t="s">
        <v>154</v>
      </c>
      <c r="D1337" s="71">
        <v>5</v>
      </c>
      <c r="E1337" s="70">
        <v>0</v>
      </c>
    </row>
    <row r="1338" spans="2:5" ht="15" customHeight="1">
      <c r="B1338" s="112"/>
      <c r="C1338" s="61" t="s">
        <v>183</v>
      </c>
      <c r="D1338" s="71">
        <v>4</v>
      </c>
      <c r="E1338" s="70">
        <v>0</v>
      </c>
    </row>
    <row r="1339" spans="2:5" ht="15" customHeight="1">
      <c r="B1339" s="112"/>
      <c r="C1339" s="61" t="s">
        <v>155</v>
      </c>
      <c r="D1339" s="71">
        <v>20</v>
      </c>
      <c r="E1339" s="70">
        <v>1E-3</v>
      </c>
    </row>
    <row r="1340" spans="2:5" ht="15" customHeight="1">
      <c r="B1340" s="112"/>
      <c r="C1340" s="61" t="s">
        <v>185</v>
      </c>
      <c r="D1340" s="71">
        <v>12</v>
      </c>
      <c r="E1340" s="70">
        <v>0</v>
      </c>
    </row>
    <row r="1341" spans="2:5" ht="15" customHeight="1">
      <c r="B1341" s="112"/>
      <c r="C1341" s="61" t="s">
        <v>186</v>
      </c>
      <c r="D1341" s="71">
        <v>9</v>
      </c>
      <c r="E1341" s="70">
        <v>0</v>
      </c>
    </row>
    <row r="1342" spans="2:5" ht="15" customHeight="1">
      <c r="B1342" s="112"/>
      <c r="C1342" s="61" t="s">
        <v>187</v>
      </c>
      <c r="D1342" s="71">
        <v>3</v>
      </c>
      <c r="E1342" s="70">
        <v>0</v>
      </c>
    </row>
    <row r="1343" spans="2:5" ht="15" customHeight="1">
      <c r="B1343" s="112"/>
      <c r="C1343" s="61" t="s">
        <v>188</v>
      </c>
      <c r="D1343" s="71">
        <v>3</v>
      </c>
      <c r="E1343" s="70">
        <v>0</v>
      </c>
    </row>
    <row r="1344" spans="2:5" ht="15" customHeight="1">
      <c r="B1344" s="112"/>
      <c r="C1344" s="61" t="s">
        <v>189</v>
      </c>
      <c r="D1344" s="71">
        <v>10</v>
      </c>
      <c r="E1344" s="70">
        <v>0</v>
      </c>
    </row>
    <row r="1345" spans="2:5" ht="15" customHeight="1">
      <c r="B1345" s="112"/>
      <c r="C1345" s="61" t="s">
        <v>190</v>
      </c>
      <c r="D1345" s="71">
        <v>2</v>
      </c>
      <c r="E1345" s="70">
        <v>0</v>
      </c>
    </row>
    <row r="1346" spans="2:5" ht="15" customHeight="1">
      <c r="B1346" s="112"/>
      <c r="C1346" s="61" t="s">
        <v>191</v>
      </c>
      <c r="D1346" s="71">
        <v>28</v>
      </c>
      <c r="E1346" s="70">
        <v>1E-3</v>
      </c>
    </row>
    <row r="1347" spans="2:5" ht="15" customHeight="1">
      <c r="B1347" s="112"/>
      <c r="C1347" s="61" t="s">
        <v>192</v>
      </c>
      <c r="D1347" s="71">
        <v>18</v>
      </c>
      <c r="E1347" s="70">
        <v>1E-3</v>
      </c>
    </row>
    <row r="1348" spans="2:5" ht="15" customHeight="1">
      <c r="B1348" s="112"/>
      <c r="C1348" s="61" t="s">
        <v>159</v>
      </c>
      <c r="D1348" s="71">
        <v>13</v>
      </c>
      <c r="E1348" s="70">
        <v>0</v>
      </c>
    </row>
    <row r="1349" spans="2:5" ht="15" customHeight="1">
      <c r="B1349" s="112"/>
      <c r="C1349" s="61" t="s">
        <v>160</v>
      </c>
      <c r="D1349" s="71">
        <v>17</v>
      </c>
      <c r="E1349" s="70">
        <v>1E-3</v>
      </c>
    </row>
    <row r="1350" spans="2:5" ht="15" customHeight="1">
      <c r="B1350" s="112"/>
      <c r="C1350" s="74" t="s">
        <v>309</v>
      </c>
      <c r="D1350" s="77">
        <v>384</v>
      </c>
      <c r="E1350" s="75">
        <v>1.4E-2</v>
      </c>
    </row>
    <row r="1351" spans="2:5" ht="15" customHeight="1">
      <c r="B1351" s="112" t="s">
        <v>76</v>
      </c>
      <c r="C1351" s="61" t="s">
        <v>163</v>
      </c>
      <c r="D1351" s="71">
        <v>4</v>
      </c>
      <c r="E1351" s="70">
        <v>0</v>
      </c>
    </row>
    <row r="1352" spans="2:5" ht="15" customHeight="1">
      <c r="B1352" s="112"/>
      <c r="C1352" s="61" t="s">
        <v>166</v>
      </c>
      <c r="D1352" s="71">
        <v>1</v>
      </c>
      <c r="E1352" s="70">
        <v>0</v>
      </c>
    </row>
    <row r="1353" spans="2:5" ht="15" customHeight="1">
      <c r="B1353" s="112"/>
      <c r="C1353" s="61" t="s">
        <v>167</v>
      </c>
      <c r="D1353" s="71">
        <v>1</v>
      </c>
      <c r="E1353" s="70">
        <v>0</v>
      </c>
    </row>
    <row r="1354" spans="2:5" ht="15" customHeight="1">
      <c r="B1354" s="112"/>
      <c r="C1354" s="61" t="s">
        <v>168</v>
      </c>
      <c r="D1354" s="71">
        <v>3</v>
      </c>
      <c r="E1354" s="70">
        <v>0</v>
      </c>
    </row>
    <row r="1355" spans="2:5" ht="15" customHeight="1">
      <c r="B1355" s="112"/>
      <c r="C1355" s="61" t="s">
        <v>169</v>
      </c>
      <c r="D1355" s="71">
        <v>1</v>
      </c>
      <c r="E1355" s="70">
        <v>0</v>
      </c>
    </row>
    <row r="1356" spans="2:5" ht="15" customHeight="1">
      <c r="B1356" s="112"/>
      <c r="C1356" s="61" t="s">
        <v>161</v>
      </c>
      <c r="D1356" s="71">
        <v>1</v>
      </c>
      <c r="E1356" s="70">
        <v>0</v>
      </c>
    </row>
    <row r="1357" spans="2:5" ht="15" customHeight="1">
      <c r="B1357" s="112"/>
      <c r="C1357" s="61" t="s">
        <v>170</v>
      </c>
      <c r="D1357" s="71">
        <v>1</v>
      </c>
      <c r="E1357" s="70">
        <v>0</v>
      </c>
    </row>
    <row r="1358" spans="2:5" ht="15" customHeight="1">
      <c r="B1358" s="112"/>
      <c r="C1358" s="61" t="s">
        <v>146</v>
      </c>
      <c r="D1358" s="71">
        <v>35</v>
      </c>
      <c r="E1358" s="70">
        <v>1E-3</v>
      </c>
    </row>
    <row r="1359" spans="2:5" ht="15" customHeight="1">
      <c r="B1359" s="112"/>
      <c r="C1359" s="61" t="s">
        <v>171</v>
      </c>
      <c r="D1359" s="71">
        <v>1</v>
      </c>
      <c r="E1359" s="70">
        <v>0</v>
      </c>
    </row>
    <row r="1360" spans="2:5" ht="15" customHeight="1">
      <c r="B1360" s="112"/>
      <c r="C1360" s="61" t="s">
        <v>147</v>
      </c>
      <c r="D1360" s="71">
        <v>43</v>
      </c>
      <c r="E1360" s="70">
        <v>2E-3</v>
      </c>
    </row>
    <row r="1361" spans="2:5" ht="15" customHeight="1">
      <c r="B1361" s="112"/>
      <c r="C1361" s="61" t="s">
        <v>173</v>
      </c>
      <c r="D1361" s="71">
        <v>1</v>
      </c>
      <c r="E1361" s="70">
        <v>0</v>
      </c>
    </row>
    <row r="1362" spans="2:5" ht="15" customHeight="1">
      <c r="B1362" s="112"/>
      <c r="C1362" s="61" t="s">
        <v>148</v>
      </c>
      <c r="D1362" s="71">
        <v>16</v>
      </c>
      <c r="E1362" s="70">
        <v>1E-3</v>
      </c>
    </row>
    <row r="1363" spans="2:5" ht="15" customHeight="1">
      <c r="B1363" s="112"/>
      <c r="C1363" s="61" t="s">
        <v>175</v>
      </c>
      <c r="D1363" s="71">
        <v>1</v>
      </c>
      <c r="E1363" s="70">
        <v>0</v>
      </c>
    </row>
    <row r="1364" spans="2:5" ht="15" customHeight="1">
      <c r="B1364" s="112"/>
      <c r="C1364" s="61" t="s">
        <v>177</v>
      </c>
      <c r="D1364" s="71">
        <v>1</v>
      </c>
      <c r="E1364" s="70">
        <v>0</v>
      </c>
    </row>
    <row r="1365" spans="2:5" ht="15" customHeight="1">
      <c r="B1365" s="112"/>
      <c r="C1365" s="61" t="s">
        <v>149</v>
      </c>
      <c r="D1365" s="71">
        <v>1</v>
      </c>
      <c r="E1365" s="70">
        <v>0</v>
      </c>
    </row>
    <row r="1366" spans="2:5" ht="15" customHeight="1">
      <c r="B1366" s="112"/>
      <c r="C1366" s="61" t="s">
        <v>150</v>
      </c>
      <c r="D1366" s="71">
        <v>2</v>
      </c>
      <c r="E1366" s="70">
        <v>0</v>
      </c>
    </row>
    <row r="1367" spans="2:5" ht="15" customHeight="1">
      <c r="B1367" s="112"/>
      <c r="C1367" s="61" t="s">
        <v>178</v>
      </c>
      <c r="D1367" s="71">
        <v>5</v>
      </c>
      <c r="E1367" s="70">
        <v>0</v>
      </c>
    </row>
    <row r="1368" spans="2:5" ht="15" customHeight="1">
      <c r="B1368" s="112"/>
      <c r="C1368" s="61" t="s">
        <v>179</v>
      </c>
      <c r="D1368" s="71">
        <v>1</v>
      </c>
      <c r="E1368" s="70">
        <v>0</v>
      </c>
    </row>
    <row r="1369" spans="2:5" ht="15" customHeight="1">
      <c r="B1369" s="112"/>
      <c r="C1369" s="61" t="s">
        <v>151</v>
      </c>
      <c r="D1369" s="71">
        <v>1</v>
      </c>
      <c r="E1369" s="70">
        <v>0</v>
      </c>
    </row>
    <row r="1370" spans="2:5" ht="15" customHeight="1">
      <c r="B1370" s="112"/>
      <c r="C1370" s="61" t="s">
        <v>181</v>
      </c>
      <c r="D1370" s="71">
        <v>1</v>
      </c>
      <c r="E1370" s="70">
        <v>0</v>
      </c>
    </row>
    <row r="1371" spans="2:5" ht="15" customHeight="1">
      <c r="B1371" s="112"/>
      <c r="C1371" s="61" t="s">
        <v>152</v>
      </c>
      <c r="D1371" s="71">
        <v>1</v>
      </c>
      <c r="E1371" s="70">
        <v>0</v>
      </c>
    </row>
    <row r="1372" spans="2:5" ht="15" customHeight="1">
      <c r="B1372" s="112"/>
      <c r="C1372" s="61" t="s">
        <v>203</v>
      </c>
      <c r="D1372" s="71">
        <v>3</v>
      </c>
      <c r="E1372" s="70">
        <v>0</v>
      </c>
    </row>
    <row r="1373" spans="2:5" ht="15" customHeight="1">
      <c r="B1373" s="112"/>
      <c r="C1373" s="61" t="s">
        <v>162</v>
      </c>
      <c r="D1373" s="71">
        <v>1</v>
      </c>
      <c r="E1373" s="70">
        <v>0</v>
      </c>
    </row>
    <row r="1374" spans="2:5" ht="15" customHeight="1">
      <c r="B1374" s="112"/>
      <c r="C1374" s="61" t="s">
        <v>153</v>
      </c>
      <c r="D1374" s="71">
        <v>17</v>
      </c>
      <c r="E1374" s="70">
        <v>1E-3</v>
      </c>
    </row>
    <row r="1375" spans="2:5" ht="15" customHeight="1">
      <c r="B1375" s="112"/>
      <c r="C1375" s="61" t="s">
        <v>154</v>
      </c>
      <c r="D1375" s="71">
        <v>13</v>
      </c>
      <c r="E1375" s="70">
        <v>0</v>
      </c>
    </row>
    <row r="1376" spans="2:5" ht="15" customHeight="1">
      <c r="B1376" s="112"/>
      <c r="C1376" s="61" t="s">
        <v>183</v>
      </c>
      <c r="D1376" s="71">
        <v>3</v>
      </c>
      <c r="E1376" s="70">
        <v>0</v>
      </c>
    </row>
    <row r="1377" spans="2:5" ht="15" customHeight="1">
      <c r="B1377" s="112"/>
      <c r="C1377" s="61" t="s">
        <v>155</v>
      </c>
      <c r="D1377" s="71">
        <v>11</v>
      </c>
      <c r="E1377" s="70">
        <v>0</v>
      </c>
    </row>
    <row r="1378" spans="2:5" ht="15" customHeight="1">
      <c r="B1378" s="112"/>
      <c r="C1378" s="61" t="s">
        <v>185</v>
      </c>
      <c r="D1378" s="71">
        <v>2</v>
      </c>
      <c r="E1378" s="70">
        <v>0</v>
      </c>
    </row>
    <row r="1379" spans="2:5" ht="15" customHeight="1">
      <c r="B1379" s="112"/>
      <c r="C1379" s="61" t="s">
        <v>186</v>
      </c>
      <c r="D1379" s="71">
        <v>1</v>
      </c>
      <c r="E1379" s="70">
        <v>0</v>
      </c>
    </row>
    <row r="1380" spans="2:5" ht="15" customHeight="1">
      <c r="B1380" s="112"/>
      <c r="C1380" s="61" t="s">
        <v>187</v>
      </c>
      <c r="D1380" s="71">
        <v>1</v>
      </c>
      <c r="E1380" s="70">
        <v>0</v>
      </c>
    </row>
    <row r="1381" spans="2:5" ht="15" customHeight="1">
      <c r="B1381" s="112"/>
      <c r="C1381" s="61" t="s">
        <v>189</v>
      </c>
      <c r="D1381" s="71">
        <v>2</v>
      </c>
      <c r="E1381" s="70">
        <v>0</v>
      </c>
    </row>
    <row r="1382" spans="2:5" ht="15" customHeight="1">
      <c r="B1382" s="112"/>
      <c r="C1382" s="61" t="s">
        <v>195</v>
      </c>
      <c r="D1382" s="71">
        <v>1</v>
      </c>
      <c r="E1382" s="70">
        <v>0</v>
      </c>
    </row>
    <row r="1383" spans="2:5" ht="15" customHeight="1">
      <c r="B1383" s="112"/>
      <c r="C1383" s="61" t="s">
        <v>190</v>
      </c>
      <c r="D1383" s="71">
        <v>2</v>
      </c>
      <c r="E1383" s="70">
        <v>0</v>
      </c>
    </row>
    <row r="1384" spans="2:5" ht="15" customHeight="1">
      <c r="B1384" s="112"/>
      <c r="C1384" s="61" t="s">
        <v>191</v>
      </c>
      <c r="D1384" s="71">
        <v>7</v>
      </c>
      <c r="E1384" s="70">
        <v>0</v>
      </c>
    </row>
    <row r="1385" spans="2:5" ht="15" customHeight="1">
      <c r="B1385" s="112"/>
      <c r="C1385" s="61" t="s">
        <v>157</v>
      </c>
      <c r="D1385" s="71">
        <v>1</v>
      </c>
      <c r="E1385" s="70">
        <v>0</v>
      </c>
    </row>
    <row r="1386" spans="2:5" ht="15" customHeight="1">
      <c r="B1386" s="112"/>
      <c r="C1386" s="61" t="s">
        <v>158</v>
      </c>
      <c r="D1386" s="71">
        <v>6</v>
      </c>
      <c r="E1386" s="70">
        <v>0</v>
      </c>
    </row>
    <row r="1387" spans="2:5" ht="15" customHeight="1">
      <c r="B1387" s="112"/>
      <c r="C1387" s="61" t="s">
        <v>192</v>
      </c>
      <c r="D1387" s="71">
        <v>2</v>
      </c>
      <c r="E1387" s="70">
        <v>0</v>
      </c>
    </row>
    <row r="1388" spans="2:5" ht="15" customHeight="1">
      <c r="B1388" s="112"/>
      <c r="C1388" s="61" t="s">
        <v>159</v>
      </c>
      <c r="D1388" s="71">
        <v>5</v>
      </c>
      <c r="E1388" s="70">
        <v>0</v>
      </c>
    </row>
    <row r="1389" spans="2:5" ht="15" customHeight="1">
      <c r="B1389" s="112"/>
      <c r="C1389" s="61" t="s">
        <v>160</v>
      </c>
      <c r="D1389" s="71">
        <v>13</v>
      </c>
      <c r="E1389" s="70">
        <v>0</v>
      </c>
    </row>
    <row r="1390" spans="2:5" ht="15" customHeight="1">
      <c r="B1390" s="112"/>
      <c r="C1390" s="74" t="s">
        <v>309</v>
      </c>
      <c r="D1390" s="77">
        <v>213</v>
      </c>
      <c r="E1390" s="75">
        <v>8.0000000000000002E-3</v>
      </c>
    </row>
    <row r="1391" spans="2:5" ht="15" customHeight="1">
      <c r="B1391" s="112" t="s">
        <v>77</v>
      </c>
      <c r="C1391" s="61" t="s">
        <v>197</v>
      </c>
      <c r="D1391" s="71">
        <v>1</v>
      </c>
      <c r="E1391" s="70">
        <v>0</v>
      </c>
    </row>
    <row r="1392" spans="2:5" ht="15" customHeight="1">
      <c r="B1392" s="112"/>
      <c r="C1392" s="61" t="s">
        <v>164</v>
      </c>
      <c r="D1392" s="71">
        <v>1</v>
      </c>
      <c r="E1392" s="70">
        <v>0</v>
      </c>
    </row>
    <row r="1393" spans="2:5" ht="15" customHeight="1">
      <c r="B1393" s="112"/>
      <c r="C1393" s="61" t="s">
        <v>166</v>
      </c>
      <c r="D1393" s="71">
        <v>16</v>
      </c>
      <c r="E1393" s="70">
        <v>1E-3</v>
      </c>
    </row>
    <row r="1394" spans="2:5" ht="15" customHeight="1">
      <c r="B1394" s="112"/>
      <c r="C1394" s="61" t="s">
        <v>169</v>
      </c>
      <c r="D1394" s="71">
        <v>2</v>
      </c>
      <c r="E1394" s="70">
        <v>0</v>
      </c>
    </row>
    <row r="1395" spans="2:5" ht="15" customHeight="1">
      <c r="B1395" s="112"/>
      <c r="C1395" s="61" t="s">
        <v>161</v>
      </c>
      <c r="D1395" s="71">
        <v>3</v>
      </c>
      <c r="E1395" s="70">
        <v>0</v>
      </c>
    </row>
    <row r="1396" spans="2:5" ht="15" customHeight="1">
      <c r="B1396" s="112"/>
      <c r="C1396" s="61" t="s">
        <v>285</v>
      </c>
      <c r="D1396" s="71">
        <v>1</v>
      </c>
      <c r="E1396" s="70">
        <v>0</v>
      </c>
    </row>
    <row r="1397" spans="2:5" ht="15" customHeight="1">
      <c r="B1397" s="112"/>
      <c r="C1397" s="61" t="s">
        <v>146</v>
      </c>
      <c r="D1397" s="71">
        <v>54</v>
      </c>
      <c r="E1397" s="70">
        <v>2E-3</v>
      </c>
    </row>
    <row r="1398" spans="2:5" ht="15" customHeight="1">
      <c r="B1398" s="112"/>
      <c r="C1398" s="61" t="s">
        <v>171</v>
      </c>
      <c r="D1398" s="71">
        <v>7</v>
      </c>
      <c r="E1398" s="70">
        <v>0</v>
      </c>
    </row>
    <row r="1399" spans="2:5" ht="15" customHeight="1">
      <c r="B1399" s="112"/>
      <c r="C1399" s="61" t="s">
        <v>148</v>
      </c>
      <c r="D1399" s="71">
        <v>12</v>
      </c>
      <c r="E1399" s="70">
        <v>0</v>
      </c>
    </row>
    <row r="1400" spans="2:5" ht="15" customHeight="1">
      <c r="B1400" s="112"/>
      <c r="C1400" s="61" t="s">
        <v>175</v>
      </c>
      <c r="D1400" s="71">
        <v>11</v>
      </c>
      <c r="E1400" s="70">
        <v>0</v>
      </c>
    </row>
    <row r="1401" spans="2:5" ht="15" customHeight="1">
      <c r="B1401" s="112"/>
      <c r="C1401" s="61" t="s">
        <v>149</v>
      </c>
      <c r="D1401" s="71">
        <v>4</v>
      </c>
      <c r="E1401" s="70">
        <v>0</v>
      </c>
    </row>
    <row r="1402" spans="2:5" ht="15" customHeight="1">
      <c r="B1402" s="112"/>
      <c r="C1402" s="61" t="s">
        <v>150</v>
      </c>
      <c r="D1402" s="71">
        <v>5</v>
      </c>
      <c r="E1402" s="70">
        <v>0</v>
      </c>
    </row>
    <row r="1403" spans="2:5" ht="15" customHeight="1">
      <c r="B1403" s="112"/>
      <c r="C1403" s="61" t="s">
        <v>193</v>
      </c>
      <c r="D1403" s="71">
        <v>2</v>
      </c>
      <c r="E1403" s="70">
        <v>0</v>
      </c>
    </row>
    <row r="1404" spans="2:5" ht="15" customHeight="1">
      <c r="B1404" s="112"/>
      <c r="C1404" s="61" t="s">
        <v>151</v>
      </c>
      <c r="D1404" s="71">
        <v>2</v>
      </c>
      <c r="E1404" s="70">
        <v>0</v>
      </c>
    </row>
    <row r="1405" spans="2:5" ht="15" customHeight="1">
      <c r="B1405" s="112"/>
      <c r="C1405" s="61" t="s">
        <v>203</v>
      </c>
      <c r="D1405" s="71">
        <v>2</v>
      </c>
      <c r="E1405" s="70">
        <v>0</v>
      </c>
    </row>
    <row r="1406" spans="2:5" ht="15" customHeight="1">
      <c r="B1406" s="112"/>
      <c r="C1406" s="61" t="s">
        <v>162</v>
      </c>
      <c r="D1406" s="71">
        <v>2</v>
      </c>
      <c r="E1406" s="70">
        <v>0</v>
      </c>
    </row>
    <row r="1407" spans="2:5" ht="15" customHeight="1">
      <c r="B1407" s="112"/>
      <c r="C1407" s="61" t="s">
        <v>153</v>
      </c>
      <c r="D1407" s="71">
        <v>4</v>
      </c>
      <c r="E1407" s="70">
        <v>0</v>
      </c>
    </row>
    <row r="1408" spans="2:5" ht="15" customHeight="1">
      <c r="B1408" s="112"/>
      <c r="C1408" s="61" t="s">
        <v>154</v>
      </c>
      <c r="D1408" s="71">
        <v>3</v>
      </c>
      <c r="E1408" s="70">
        <v>0</v>
      </c>
    </row>
    <row r="1409" spans="2:5" ht="15" customHeight="1">
      <c r="B1409" s="112"/>
      <c r="C1409" s="61" t="s">
        <v>183</v>
      </c>
      <c r="D1409" s="71">
        <v>11</v>
      </c>
      <c r="E1409" s="70">
        <v>0</v>
      </c>
    </row>
    <row r="1410" spans="2:5" ht="15" customHeight="1">
      <c r="B1410" s="112"/>
      <c r="C1410" s="61" t="s">
        <v>155</v>
      </c>
      <c r="D1410" s="71">
        <v>5</v>
      </c>
      <c r="E1410" s="70">
        <v>0</v>
      </c>
    </row>
    <row r="1411" spans="2:5" ht="15" customHeight="1">
      <c r="B1411" s="112"/>
      <c r="C1411" s="61" t="s">
        <v>194</v>
      </c>
      <c r="D1411" s="71">
        <v>5</v>
      </c>
      <c r="E1411" s="70">
        <v>0</v>
      </c>
    </row>
    <row r="1412" spans="2:5" ht="15" customHeight="1">
      <c r="B1412" s="112"/>
      <c r="C1412" s="61" t="s">
        <v>186</v>
      </c>
      <c r="D1412" s="71">
        <v>3</v>
      </c>
      <c r="E1412" s="70">
        <v>0</v>
      </c>
    </row>
    <row r="1413" spans="2:5" ht="15" customHeight="1">
      <c r="B1413" s="112"/>
      <c r="C1413" s="61" t="s">
        <v>187</v>
      </c>
      <c r="D1413" s="71">
        <v>2</v>
      </c>
      <c r="E1413" s="70">
        <v>0</v>
      </c>
    </row>
    <row r="1414" spans="2:5" ht="15" customHeight="1">
      <c r="B1414" s="112"/>
      <c r="C1414" s="61" t="s">
        <v>188</v>
      </c>
      <c r="D1414" s="71">
        <v>7</v>
      </c>
      <c r="E1414" s="70">
        <v>0</v>
      </c>
    </row>
    <row r="1415" spans="2:5" ht="15" customHeight="1">
      <c r="B1415" s="112"/>
      <c r="C1415" s="61" t="s">
        <v>189</v>
      </c>
      <c r="D1415" s="71">
        <v>6</v>
      </c>
      <c r="E1415" s="70">
        <v>0</v>
      </c>
    </row>
    <row r="1416" spans="2:5" ht="15" customHeight="1">
      <c r="B1416" s="112"/>
      <c r="C1416" s="61" t="s">
        <v>191</v>
      </c>
      <c r="D1416" s="71">
        <v>18</v>
      </c>
      <c r="E1416" s="70">
        <v>1E-3</v>
      </c>
    </row>
    <row r="1417" spans="2:5" ht="15" customHeight="1">
      <c r="B1417" s="112"/>
      <c r="C1417" s="61" t="s">
        <v>196</v>
      </c>
      <c r="D1417" s="71">
        <v>3</v>
      </c>
      <c r="E1417" s="70">
        <v>0</v>
      </c>
    </row>
    <row r="1418" spans="2:5" ht="15" customHeight="1">
      <c r="B1418" s="112"/>
      <c r="C1418" s="61" t="s">
        <v>192</v>
      </c>
      <c r="D1418" s="71">
        <v>16</v>
      </c>
      <c r="E1418" s="70">
        <v>1E-3</v>
      </c>
    </row>
    <row r="1419" spans="2:5" ht="15" customHeight="1">
      <c r="B1419" s="112"/>
      <c r="C1419" s="61" t="s">
        <v>159</v>
      </c>
      <c r="D1419" s="71">
        <v>15</v>
      </c>
      <c r="E1419" s="70">
        <v>1E-3</v>
      </c>
    </row>
    <row r="1420" spans="2:5" ht="15" customHeight="1">
      <c r="B1420" s="112"/>
      <c r="C1420" s="61" t="s">
        <v>160</v>
      </c>
      <c r="D1420" s="71">
        <v>16</v>
      </c>
      <c r="E1420" s="70">
        <v>1E-3</v>
      </c>
    </row>
    <row r="1421" spans="2:5" ht="15" customHeight="1">
      <c r="B1421" s="112"/>
      <c r="C1421" s="74" t="s">
        <v>309</v>
      </c>
      <c r="D1421" s="77">
        <v>239</v>
      </c>
      <c r="E1421" s="75">
        <v>8.9999999999999993E-3</v>
      </c>
    </row>
    <row r="1422" spans="2:5" ht="15" customHeight="1">
      <c r="B1422" s="112" t="s">
        <v>63</v>
      </c>
      <c r="C1422" s="61" t="s">
        <v>163</v>
      </c>
      <c r="D1422" s="71">
        <v>3</v>
      </c>
      <c r="E1422" s="70">
        <v>0</v>
      </c>
    </row>
    <row r="1423" spans="2:5" ht="15" customHeight="1">
      <c r="B1423" s="112"/>
      <c r="C1423" s="61" t="s">
        <v>164</v>
      </c>
      <c r="D1423" s="71">
        <v>8</v>
      </c>
      <c r="E1423" s="70">
        <v>0</v>
      </c>
    </row>
    <row r="1424" spans="2:5" ht="15" customHeight="1">
      <c r="B1424" s="112"/>
      <c r="C1424" s="61" t="s">
        <v>166</v>
      </c>
      <c r="D1424" s="71">
        <v>2</v>
      </c>
      <c r="E1424" s="70">
        <v>0</v>
      </c>
    </row>
    <row r="1425" spans="2:5" ht="15" customHeight="1">
      <c r="B1425" s="112"/>
      <c r="C1425" s="61" t="s">
        <v>167</v>
      </c>
      <c r="D1425" s="71">
        <v>2</v>
      </c>
      <c r="E1425" s="70">
        <v>0</v>
      </c>
    </row>
    <row r="1426" spans="2:5" ht="15" customHeight="1">
      <c r="B1426" s="112"/>
      <c r="C1426" s="61" t="s">
        <v>168</v>
      </c>
      <c r="D1426" s="71">
        <v>4</v>
      </c>
      <c r="E1426" s="70">
        <v>0</v>
      </c>
    </row>
    <row r="1427" spans="2:5" ht="15" customHeight="1">
      <c r="B1427" s="112"/>
      <c r="C1427" s="61" t="s">
        <v>169</v>
      </c>
      <c r="D1427" s="71">
        <v>2</v>
      </c>
      <c r="E1427" s="70">
        <v>0</v>
      </c>
    </row>
    <row r="1428" spans="2:5" ht="15" customHeight="1">
      <c r="B1428" s="112"/>
      <c r="C1428" s="61" t="s">
        <v>198</v>
      </c>
      <c r="D1428" s="71">
        <v>2</v>
      </c>
      <c r="E1428" s="70">
        <v>0</v>
      </c>
    </row>
    <row r="1429" spans="2:5" ht="15" customHeight="1">
      <c r="B1429" s="112"/>
      <c r="C1429" s="61" t="s">
        <v>146</v>
      </c>
      <c r="D1429" s="71">
        <v>32</v>
      </c>
      <c r="E1429" s="70">
        <v>1E-3</v>
      </c>
    </row>
    <row r="1430" spans="2:5" ht="15" customHeight="1">
      <c r="B1430" s="112"/>
      <c r="C1430" s="61" t="s">
        <v>171</v>
      </c>
      <c r="D1430" s="71">
        <v>3</v>
      </c>
      <c r="E1430" s="70">
        <v>0</v>
      </c>
    </row>
    <row r="1431" spans="2:5" ht="15" customHeight="1">
      <c r="B1431" s="112"/>
      <c r="C1431" s="61" t="s">
        <v>147</v>
      </c>
      <c r="D1431" s="71">
        <v>33</v>
      </c>
      <c r="E1431" s="70">
        <v>1E-3</v>
      </c>
    </row>
    <row r="1432" spans="2:5" ht="15" customHeight="1">
      <c r="B1432" s="112"/>
      <c r="C1432" s="61" t="s">
        <v>173</v>
      </c>
      <c r="D1432" s="71">
        <v>51</v>
      </c>
      <c r="E1432" s="70">
        <v>2E-3</v>
      </c>
    </row>
    <row r="1433" spans="2:5" ht="15" customHeight="1">
      <c r="B1433" s="112"/>
      <c r="C1433" s="61" t="s">
        <v>148</v>
      </c>
      <c r="D1433" s="71">
        <v>14</v>
      </c>
      <c r="E1433" s="70">
        <v>1E-3</v>
      </c>
    </row>
    <row r="1434" spans="2:5" ht="15" customHeight="1">
      <c r="B1434" s="112"/>
      <c r="C1434" s="61" t="s">
        <v>199</v>
      </c>
      <c r="D1434" s="71">
        <v>3</v>
      </c>
      <c r="E1434" s="70">
        <v>0</v>
      </c>
    </row>
    <row r="1435" spans="2:5" ht="15" customHeight="1">
      <c r="B1435" s="112"/>
      <c r="C1435" s="61" t="s">
        <v>174</v>
      </c>
      <c r="D1435" s="71">
        <v>40</v>
      </c>
      <c r="E1435" s="70">
        <v>1E-3</v>
      </c>
    </row>
    <row r="1436" spans="2:5" ht="15" customHeight="1">
      <c r="B1436" s="112"/>
      <c r="C1436" s="61" t="s">
        <v>175</v>
      </c>
      <c r="D1436" s="71">
        <v>8</v>
      </c>
      <c r="E1436" s="70">
        <v>0</v>
      </c>
    </row>
    <row r="1437" spans="2:5" ht="15" customHeight="1">
      <c r="B1437" s="112"/>
      <c r="C1437" s="61" t="s">
        <v>177</v>
      </c>
      <c r="D1437" s="71">
        <v>6</v>
      </c>
      <c r="E1437" s="70">
        <v>0</v>
      </c>
    </row>
    <row r="1438" spans="2:5" ht="15" customHeight="1">
      <c r="B1438" s="112"/>
      <c r="C1438" s="61" t="s">
        <v>150</v>
      </c>
      <c r="D1438" s="71">
        <v>5</v>
      </c>
      <c r="E1438" s="70">
        <v>0</v>
      </c>
    </row>
    <row r="1439" spans="2:5" ht="15" customHeight="1">
      <c r="B1439" s="112"/>
      <c r="C1439" s="61" t="s">
        <v>178</v>
      </c>
      <c r="D1439" s="71">
        <v>2</v>
      </c>
      <c r="E1439" s="70">
        <v>0</v>
      </c>
    </row>
    <row r="1440" spans="2:5" ht="15" customHeight="1">
      <c r="B1440" s="112"/>
      <c r="C1440" s="61" t="s">
        <v>200</v>
      </c>
      <c r="D1440" s="71">
        <v>1</v>
      </c>
      <c r="E1440" s="70">
        <v>0</v>
      </c>
    </row>
    <row r="1441" spans="2:5" ht="15" customHeight="1">
      <c r="B1441" s="112"/>
      <c r="C1441" s="61" t="s">
        <v>151</v>
      </c>
      <c r="D1441" s="71">
        <v>4</v>
      </c>
      <c r="E1441" s="70">
        <v>0</v>
      </c>
    </row>
    <row r="1442" spans="2:5" ht="15" customHeight="1">
      <c r="B1442" s="112"/>
      <c r="C1442" s="61" t="s">
        <v>180</v>
      </c>
      <c r="D1442" s="71">
        <v>1</v>
      </c>
      <c r="E1442" s="70">
        <v>0</v>
      </c>
    </row>
    <row r="1443" spans="2:5" ht="15" customHeight="1">
      <c r="B1443" s="112"/>
      <c r="C1443" s="61" t="s">
        <v>202</v>
      </c>
      <c r="D1443" s="71">
        <v>1</v>
      </c>
      <c r="E1443" s="70">
        <v>0</v>
      </c>
    </row>
    <row r="1444" spans="2:5" ht="15" customHeight="1">
      <c r="B1444" s="112"/>
      <c r="C1444" s="61" t="s">
        <v>181</v>
      </c>
      <c r="D1444" s="71">
        <v>1</v>
      </c>
      <c r="E1444" s="70">
        <v>0</v>
      </c>
    </row>
    <row r="1445" spans="2:5" ht="15" customHeight="1">
      <c r="B1445" s="112"/>
      <c r="C1445" s="61" t="s">
        <v>152</v>
      </c>
      <c r="D1445" s="71">
        <v>3</v>
      </c>
      <c r="E1445" s="70">
        <v>0</v>
      </c>
    </row>
    <row r="1446" spans="2:5" ht="15" customHeight="1">
      <c r="B1446" s="112"/>
      <c r="C1446" s="61" t="s">
        <v>203</v>
      </c>
      <c r="D1446" s="71">
        <v>3</v>
      </c>
      <c r="E1446" s="70">
        <v>0</v>
      </c>
    </row>
    <row r="1447" spans="2:5" ht="15" customHeight="1">
      <c r="B1447" s="112"/>
      <c r="C1447" s="61" t="s">
        <v>162</v>
      </c>
      <c r="D1447" s="71">
        <v>14</v>
      </c>
      <c r="E1447" s="70">
        <v>1E-3</v>
      </c>
    </row>
    <row r="1448" spans="2:5" ht="15" customHeight="1">
      <c r="B1448" s="112"/>
      <c r="C1448" s="61" t="s">
        <v>153</v>
      </c>
      <c r="D1448" s="71">
        <v>14</v>
      </c>
      <c r="E1448" s="70">
        <v>1E-3</v>
      </c>
    </row>
    <row r="1449" spans="2:5" ht="15" customHeight="1">
      <c r="B1449" s="112"/>
      <c r="C1449" s="61" t="s">
        <v>182</v>
      </c>
      <c r="D1449" s="71">
        <v>1</v>
      </c>
      <c r="E1449" s="70">
        <v>0</v>
      </c>
    </row>
    <row r="1450" spans="2:5" ht="15" customHeight="1">
      <c r="B1450" s="112"/>
      <c r="C1450" s="61" t="s">
        <v>154</v>
      </c>
      <c r="D1450" s="71">
        <v>34</v>
      </c>
      <c r="E1450" s="70">
        <v>1E-3</v>
      </c>
    </row>
    <row r="1451" spans="2:5" ht="15" customHeight="1">
      <c r="B1451" s="112"/>
      <c r="C1451" s="61" t="s">
        <v>183</v>
      </c>
      <c r="D1451" s="71">
        <v>7</v>
      </c>
      <c r="E1451" s="70">
        <v>0</v>
      </c>
    </row>
    <row r="1452" spans="2:5" ht="15" customHeight="1">
      <c r="B1452" s="112"/>
      <c r="C1452" s="61" t="s">
        <v>155</v>
      </c>
      <c r="D1452" s="71">
        <v>5</v>
      </c>
      <c r="E1452" s="70">
        <v>0</v>
      </c>
    </row>
    <row r="1453" spans="2:5" ht="15" customHeight="1">
      <c r="B1453" s="112"/>
      <c r="C1453" s="61" t="s">
        <v>185</v>
      </c>
      <c r="D1453" s="71">
        <v>7</v>
      </c>
      <c r="E1453" s="70">
        <v>0</v>
      </c>
    </row>
    <row r="1454" spans="2:5" ht="15" customHeight="1">
      <c r="B1454" s="112"/>
      <c r="C1454" s="61" t="s">
        <v>186</v>
      </c>
      <c r="D1454" s="71">
        <v>3</v>
      </c>
      <c r="E1454" s="70">
        <v>0</v>
      </c>
    </row>
    <row r="1455" spans="2:5" ht="15" customHeight="1">
      <c r="B1455" s="112"/>
      <c r="C1455" s="61" t="s">
        <v>188</v>
      </c>
      <c r="D1455" s="71">
        <v>2</v>
      </c>
      <c r="E1455" s="70">
        <v>0</v>
      </c>
    </row>
    <row r="1456" spans="2:5" ht="15" customHeight="1">
      <c r="B1456" s="112"/>
      <c r="C1456" s="61" t="s">
        <v>189</v>
      </c>
      <c r="D1456" s="71">
        <v>12</v>
      </c>
      <c r="E1456" s="70">
        <v>0</v>
      </c>
    </row>
    <row r="1457" spans="2:5" ht="15" customHeight="1">
      <c r="B1457" s="112"/>
      <c r="C1457" s="61" t="s">
        <v>191</v>
      </c>
      <c r="D1457" s="71">
        <v>23</v>
      </c>
      <c r="E1457" s="70">
        <v>1E-3</v>
      </c>
    </row>
    <row r="1458" spans="2:5" ht="15" customHeight="1">
      <c r="B1458" s="112"/>
      <c r="C1458" s="61" t="s">
        <v>156</v>
      </c>
      <c r="D1458" s="71">
        <v>1</v>
      </c>
      <c r="E1458" s="70">
        <v>0</v>
      </c>
    </row>
    <row r="1459" spans="2:5" ht="15" customHeight="1">
      <c r="B1459" s="112"/>
      <c r="C1459" s="61" t="s">
        <v>196</v>
      </c>
      <c r="D1459" s="71">
        <v>1</v>
      </c>
      <c r="E1459" s="70">
        <v>0</v>
      </c>
    </row>
    <row r="1460" spans="2:5" ht="15" customHeight="1">
      <c r="B1460" s="112"/>
      <c r="C1460" s="61" t="s">
        <v>157</v>
      </c>
      <c r="D1460" s="71">
        <v>6</v>
      </c>
      <c r="E1460" s="70">
        <v>0</v>
      </c>
    </row>
    <row r="1461" spans="2:5" ht="15" customHeight="1">
      <c r="B1461" s="112"/>
      <c r="C1461" s="61" t="s">
        <v>158</v>
      </c>
      <c r="D1461" s="71">
        <v>5</v>
      </c>
      <c r="E1461" s="70">
        <v>0</v>
      </c>
    </row>
    <row r="1462" spans="2:5" ht="15" customHeight="1">
      <c r="B1462" s="112"/>
      <c r="C1462" s="61" t="s">
        <v>192</v>
      </c>
      <c r="D1462" s="71">
        <v>7</v>
      </c>
      <c r="E1462" s="70">
        <v>0</v>
      </c>
    </row>
    <row r="1463" spans="2:5" ht="15" customHeight="1">
      <c r="B1463" s="112"/>
      <c r="C1463" s="61" t="s">
        <v>159</v>
      </c>
      <c r="D1463" s="71">
        <v>6</v>
      </c>
      <c r="E1463" s="70">
        <v>0</v>
      </c>
    </row>
    <row r="1464" spans="2:5" ht="15" customHeight="1">
      <c r="B1464" s="112"/>
      <c r="C1464" s="61" t="s">
        <v>160</v>
      </c>
      <c r="D1464" s="71">
        <v>18</v>
      </c>
      <c r="E1464" s="70">
        <v>1E-3</v>
      </c>
    </row>
    <row r="1465" spans="2:5" ht="15" customHeight="1">
      <c r="B1465" s="112"/>
      <c r="C1465" s="74" t="s">
        <v>309</v>
      </c>
      <c r="D1465" s="77">
        <v>400</v>
      </c>
      <c r="E1465" s="75">
        <v>1.4999999999999999E-2</v>
      </c>
    </row>
    <row r="1466" spans="2:5" ht="15" customHeight="1">
      <c r="B1466" s="112" t="s">
        <v>53</v>
      </c>
      <c r="C1466" s="61" t="s">
        <v>163</v>
      </c>
      <c r="D1466" s="71">
        <v>8</v>
      </c>
      <c r="E1466" s="70">
        <v>0</v>
      </c>
    </row>
    <row r="1467" spans="2:5" ht="15" customHeight="1">
      <c r="B1467" s="112"/>
      <c r="C1467" s="61" t="s">
        <v>197</v>
      </c>
      <c r="D1467" s="71">
        <v>3</v>
      </c>
      <c r="E1467" s="70">
        <v>0</v>
      </c>
    </row>
    <row r="1468" spans="2:5" ht="15" customHeight="1">
      <c r="B1468" s="112"/>
      <c r="C1468" s="61" t="s">
        <v>164</v>
      </c>
      <c r="D1468" s="71">
        <v>4</v>
      </c>
      <c r="E1468" s="70">
        <v>0</v>
      </c>
    </row>
    <row r="1469" spans="2:5" ht="15" customHeight="1">
      <c r="B1469" s="112"/>
      <c r="C1469" s="61" t="s">
        <v>165</v>
      </c>
      <c r="D1469" s="71">
        <v>4</v>
      </c>
      <c r="E1469" s="70">
        <v>0</v>
      </c>
    </row>
    <row r="1470" spans="2:5" ht="15" customHeight="1">
      <c r="B1470" s="112"/>
      <c r="C1470" s="61" t="s">
        <v>166</v>
      </c>
      <c r="D1470" s="71">
        <v>22</v>
      </c>
      <c r="E1470" s="70">
        <v>1E-3</v>
      </c>
    </row>
    <row r="1471" spans="2:5" ht="15" customHeight="1">
      <c r="B1471" s="112"/>
      <c r="C1471" s="61" t="s">
        <v>167</v>
      </c>
      <c r="D1471" s="71">
        <v>1</v>
      </c>
      <c r="E1471" s="70">
        <v>0</v>
      </c>
    </row>
    <row r="1472" spans="2:5" ht="15" customHeight="1">
      <c r="B1472" s="112"/>
      <c r="C1472" s="61" t="s">
        <v>168</v>
      </c>
      <c r="D1472" s="71">
        <v>21</v>
      </c>
      <c r="E1472" s="70">
        <v>1E-3</v>
      </c>
    </row>
    <row r="1473" spans="2:5" ht="15" customHeight="1">
      <c r="B1473" s="112"/>
      <c r="C1473" s="61" t="s">
        <v>161</v>
      </c>
      <c r="D1473" s="71">
        <v>3</v>
      </c>
      <c r="E1473" s="70">
        <v>0</v>
      </c>
    </row>
    <row r="1474" spans="2:5" ht="15" customHeight="1">
      <c r="B1474" s="112"/>
      <c r="C1474" s="61" t="s">
        <v>285</v>
      </c>
      <c r="D1474" s="71">
        <v>2</v>
      </c>
      <c r="E1474" s="70">
        <v>0</v>
      </c>
    </row>
    <row r="1475" spans="2:5" ht="15" customHeight="1">
      <c r="B1475" s="112"/>
      <c r="C1475" s="61" t="s">
        <v>170</v>
      </c>
      <c r="D1475" s="71">
        <v>1</v>
      </c>
      <c r="E1475" s="70">
        <v>0</v>
      </c>
    </row>
    <row r="1476" spans="2:5" ht="15" customHeight="1">
      <c r="B1476" s="112"/>
      <c r="C1476" s="61" t="s">
        <v>146</v>
      </c>
      <c r="D1476" s="71">
        <v>103</v>
      </c>
      <c r="E1476" s="70">
        <v>4.0000000000000001E-3</v>
      </c>
    </row>
    <row r="1477" spans="2:5" ht="15" customHeight="1">
      <c r="B1477" s="112"/>
      <c r="C1477" s="61" t="s">
        <v>171</v>
      </c>
      <c r="D1477" s="71">
        <v>4</v>
      </c>
      <c r="E1477" s="70">
        <v>0</v>
      </c>
    </row>
    <row r="1478" spans="2:5" ht="15" customHeight="1">
      <c r="B1478" s="112"/>
      <c r="C1478" s="61" t="s">
        <v>172</v>
      </c>
      <c r="D1478" s="71">
        <v>5</v>
      </c>
      <c r="E1478" s="70">
        <v>0</v>
      </c>
    </row>
    <row r="1479" spans="2:5" ht="15" customHeight="1">
      <c r="B1479" s="112"/>
      <c r="C1479" s="61" t="s">
        <v>147</v>
      </c>
      <c r="D1479" s="71">
        <v>2</v>
      </c>
      <c r="E1479" s="70">
        <v>0</v>
      </c>
    </row>
    <row r="1480" spans="2:5" ht="15" customHeight="1">
      <c r="B1480" s="112"/>
      <c r="C1480" s="61" t="s">
        <v>173</v>
      </c>
      <c r="D1480" s="71">
        <v>10</v>
      </c>
      <c r="E1480" s="70">
        <v>0</v>
      </c>
    </row>
    <row r="1481" spans="2:5" ht="15" customHeight="1">
      <c r="B1481" s="112"/>
      <c r="C1481" s="61" t="s">
        <v>148</v>
      </c>
      <c r="D1481" s="71">
        <v>21</v>
      </c>
      <c r="E1481" s="70">
        <v>1E-3</v>
      </c>
    </row>
    <row r="1482" spans="2:5" ht="15" customHeight="1">
      <c r="B1482" s="112"/>
      <c r="C1482" s="61" t="s">
        <v>199</v>
      </c>
      <c r="D1482" s="71">
        <v>16</v>
      </c>
      <c r="E1482" s="70">
        <v>1E-3</v>
      </c>
    </row>
    <row r="1483" spans="2:5" ht="15" customHeight="1">
      <c r="B1483" s="112"/>
      <c r="C1483" s="61" t="s">
        <v>174</v>
      </c>
      <c r="D1483" s="71">
        <v>34</v>
      </c>
      <c r="E1483" s="70">
        <v>1E-3</v>
      </c>
    </row>
    <row r="1484" spans="2:5" ht="15" customHeight="1">
      <c r="B1484" s="112"/>
      <c r="C1484" s="61" t="s">
        <v>175</v>
      </c>
      <c r="D1484" s="71">
        <v>72</v>
      </c>
      <c r="E1484" s="70">
        <v>3.0000000000000001E-3</v>
      </c>
    </row>
    <row r="1485" spans="2:5" ht="15" customHeight="1">
      <c r="B1485" s="112"/>
      <c r="C1485" s="61" t="s">
        <v>176</v>
      </c>
      <c r="D1485" s="71">
        <v>2</v>
      </c>
      <c r="E1485" s="70">
        <v>0</v>
      </c>
    </row>
    <row r="1486" spans="2:5" ht="15" customHeight="1">
      <c r="B1486" s="112"/>
      <c r="C1486" s="61" t="s">
        <v>177</v>
      </c>
      <c r="D1486" s="71">
        <v>1</v>
      </c>
      <c r="E1486" s="70">
        <v>0</v>
      </c>
    </row>
    <row r="1487" spans="2:5" ht="15" customHeight="1">
      <c r="B1487" s="112"/>
      <c r="C1487" s="61" t="s">
        <v>149</v>
      </c>
      <c r="D1487" s="71">
        <v>10</v>
      </c>
      <c r="E1487" s="70">
        <v>0</v>
      </c>
    </row>
    <row r="1488" spans="2:5" ht="15" customHeight="1">
      <c r="B1488" s="112"/>
      <c r="C1488" s="61" t="s">
        <v>150</v>
      </c>
      <c r="D1488" s="71">
        <v>10</v>
      </c>
      <c r="E1488" s="70">
        <v>0</v>
      </c>
    </row>
    <row r="1489" spans="2:5" ht="15" customHeight="1">
      <c r="B1489" s="112"/>
      <c r="C1489" s="61" t="s">
        <v>193</v>
      </c>
      <c r="D1489" s="71">
        <v>3</v>
      </c>
      <c r="E1489" s="70">
        <v>0</v>
      </c>
    </row>
    <row r="1490" spans="2:5" ht="15" customHeight="1">
      <c r="B1490" s="112"/>
      <c r="C1490" s="61" t="s">
        <v>179</v>
      </c>
      <c r="D1490" s="71">
        <v>6</v>
      </c>
      <c r="E1490" s="70">
        <v>0</v>
      </c>
    </row>
    <row r="1491" spans="2:5" ht="15" customHeight="1">
      <c r="B1491" s="112"/>
      <c r="C1491" s="61" t="s">
        <v>151</v>
      </c>
      <c r="D1491" s="71">
        <v>3</v>
      </c>
      <c r="E1491" s="70">
        <v>0</v>
      </c>
    </row>
    <row r="1492" spans="2:5" ht="15" customHeight="1">
      <c r="B1492" s="112"/>
      <c r="C1492" s="61" t="s">
        <v>201</v>
      </c>
      <c r="D1492" s="71">
        <v>3</v>
      </c>
      <c r="E1492" s="70">
        <v>0</v>
      </c>
    </row>
    <row r="1493" spans="2:5" ht="15" customHeight="1">
      <c r="B1493" s="112"/>
      <c r="C1493" s="61" t="s">
        <v>180</v>
      </c>
      <c r="D1493" s="71">
        <v>29</v>
      </c>
      <c r="E1493" s="70">
        <v>1E-3</v>
      </c>
    </row>
    <row r="1494" spans="2:5" ht="15" customHeight="1">
      <c r="B1494" s="112"/>
      <c r="C1494" s="61" t="s">
        <v>202</v>
      </c>
      <c r="D1494" s="71">
        <v>7</v>
      </c>
      <c r="E1494" s="70">
        <v>0</v>
      </c>
    </row>
    <row r="1495" spans="2:5" ht="15" customHeight="1">
      <c r="B1495" s="112"/>
      <c r="C1495" s="61" t="s">
        <v>181</v>
      </c>
      <c r="D1495" s="71">
        <v>2</v>
      </c>
      <c r="E1495" s="70">
        <v>0</v>
      </c>
    </row>
    <row r="1496" spans="2:5" ht="15" customHeight="1">
      <c r="B1496" s="112"/>
      <c r="C1496" s="61" t="s">
        <v>152</v>
      </c>
      <c r="D1496" s="71">
        <v>40</v>
      </c>
      <c r="E1496" s="70">
        <v>1E-3</v>
      </c>
    </row>
    <row r="1497" spans="2:5" ht="15" customHeight="1">
      <c r="B1497" s="112"/>
      <c r="C1497" s="61" t="s">
        <v>203</v>
      </c>
      <c r="D1497" s="71">
        <v>4</v>
      </c>
      <c r="E1497" s="70">
        <v>0</v>
      </c>
    </row>
    <row r="1498" spans="2:5" ht="15" customHeight="1">
      <c r="B1498" s="112"/>
      <c r="C1498" s="61" t="s">
        <v>162</v>
      </c>
      <c r="D1498" s="71">
        <v>8</v>
      </c>
      <c r="E1498" s="70">
        <v>0</v>
      </c>
    </row>
    <row r="1499" spans="2:5" ht="15" customHeight="1">
      <c r="B1499" s="112"/>
      <c r="C1499" s="61" t="s">
        <v>153</v>
      </c>
      <c r="D1499" s="71">
        <v>26</v>
      </c>
      <c r="E1499" s="70">
        <v>1E-3</v>
      </c>
    </row>
    <row r="1500" spans="2:5" ht="15" customHeight="1">
      <c r="B1500" s="112"/>
      <c r="C1500" s="61" t="s">
        <v>182</v>
      </c>
      <c r="D1500" s="71">
        <v>8</v>
      </c>
      <c r="E1500" s="70">
        <v>0</v>
      </c>
    </row>
    <row r="1501" spans="2:5" ht="15" customHeight="1">
      <c r="B1501" s="112"/>
      <c r="C1501" s="61" t="s">
        <v>154</v>
      </c>
      <c r="D1501" s="71">
        <v>6</v>
      </c>
      <c r="E1501" s="70">
        <v>0</v>
      </c>
    </row>
    <row r="1502" spans="2:5" ht="15" customHeight="1">
      <c r="B1502" s="112"/>
      <c r="C1502" s="61" t="s">
        <v>183</v>
      </c>
      <c r="D1502" s="71">
        <v>10</v>
      </c>
      <c r="E1502" s="70">
        <v>0</v>
      </c>
    </row>
    <row r="1503" spans="2:5" ht="15" customHeight="1">
      <c r="B1503" s="112"/>
      <c r="C1503" s="61" t="s">
        <v>184</v>
      </c>
      <c r="D1503" s="71">
        <v>1</v>
      </c>
      <c r="E1503" s="70">
        <v>0</v>
      </c>
    </row>
    <row r="1504" spans="2:5" ht="15" customHeight="1">
      <c r="B1504" s="112"/>
      <c r="C1504" s="61" t="s">
        <v>155</v>
      </c>
      <c r="D1504" s="71">
        <v>13</v>
      </c>
      <c r="E1504" s="70">
        <v>0</v>
      </c>
    </row>
    <row r="1505" spans="2:5" ht="15" customHeight="1">
      <c r="B1505" s="112"/>
      <c r="C1505" s="61" t="s">
        <v>194</v>
      </c>
      <c r="D1505" s="71">
        <v>3</v>
      </c>
      <c r="E1505" s="70">
        <v>0</v>
      </c>
    </row>
    <row r="1506" spans="2:5" ht="15" customHeight="1">
      <c r="B1506" s="112"/>
      <c r="C1506" s="61" t="s">
        <v>185</v>
      </c>
      <c r="D1506" s="71">
        <v>21</v>
      </c>
      <c r="E1506" s="70">
        <v>1E-3</v>
      </c>
    </row>
    <row r="1507" spans="2:5" ht="15" customHeight="1">
      <c r="B1507" s="112"/>
      <c r="C1507" s="61" t="s">
        <v>186</v>
      </c>
      <c r="D1507" s="71">
        <v>13</v>
      </c>
      <c r="E1507" s="70">
        <v>0</v>
      </c>
    </row>
    <row r="1508" spans="2:5" ht="15" customHeight="1">
      <c r="B1508" s="112"/>
      <c r="C1508" s="61" t="s">
        <v>187</v>
      </c>
      <c r="D1508" s="71">
        <v>19</v>
      </c>
      <c r="E1508" s="70">
        <v>1E-3</v>
      </c>
    </row>
    <row r="1509" spans="2:5" ht="15" customHeight="1">
      <c r="B1509" s="112"/>
      <c r="C1509" s="61" t="s">
        <v>188</v>
      </c>
      <c r="D1509" s="71">
        <v>8</v>
      </c>
      <c r="E1509" s="70">
        <v>0</v>
      </c>
    </row>
    <row r="1510" spans="2:5" ht="15" customHeight="1">
      <c r="B1510" s="112"/>
      <c r="C1510" s="61" t="s">
        <v>189</v>
      </c>
      <c r="D1510" s="71">
        <v>29</v>
      </c>
      <c r="E1510" s="70">
        <v>1E-3</v>
      </c>
    </row>
    <row r="1511" spans="2:5" ht="15" customHeight="1">
      <c r="B1511" s="112"/>
      <c r="C1511" s="61" t="s">
        <v>195</v>
      </c>
      <c r="D1511" s="71">
        <v>1</v>
      </c>
      <c r="E1511" s="70">
        <v>0</v>
      </c>
    </row>
    <row r="1512" spans="2:5" ht="15" customHeight="1">
      <c r="B1512" s="112"/>
      <c r="C1512" s="61" t="s">
        <v>190</v>
      </c>
      <c r="D1512" s="71">
        <v>2</v>
      </c>
      <c r="E1512" s="70">
        <v>0</v>
      </c>
    </row>
    <row r="1513" spans="2:5" ht="15" customHeight="1">
      <c r="B1513" s="112"/>
      <c r="C1513" s="61" t="s">
        <v>191</v>
      </c>
      <c r="D1513" s="71">
        <v>51</v>
      </c>
      <c r="E1513" s="70">
        <v>2E-3</v>
      </c>
    </row>
    <row r="1514" spans="2:5" ht="15" customHeight="1">
      <c r="B1514" s="112"/>
      <c r="C1514" s="61" t="s">
        <v>156</v>
      </c>
      <c r="D1514" s="71">
        <v>1</v>
      </c>
      <c r="E1514" s="70">
        <v>0</v>
      </c>
    </row>
    <row r="1515" spans="2:5" ht="15" customHeight="1">
      <c r="B1515" s="112"/>
      <c r="C1515" s="61" t="s">
        <v>196</v>
      </c>
      <c r="D1515" s="71">
        <v>11</v>
      </c>
      <c r="E1515" s="70">
        <v>0</v>
      </c>
    </row>
    <row r="1516" spans="2:5" ht="15" customHeight="1">
      <c r="B1516" s="112"/>
      <c r="C1516" s="61" t="s">
        <v>157</v>
      </c>
      <c r="D1516" s="71">
        <v>1</v>
      </c>
      <c r="E1516" s="70">
        <v>0</v>
      </c>
    </row>
    <row r="1517" spans="2:5" ht="15" customHeight="1">
      <c r="B1517" s="112"/>
      <c r="C1517" s="61" t="s">
        <v>158</v>
      </c>
      <c r="D1517" s="71">
        <v>1</v>
      </c>
      <c r="E1517" s="70">
        <v>0</v>
      </c>
    </row>
    <row r="1518" spans="2:5" ht="15" customHeight="1">
      <c r="B1518" s="112"/>
      <c r="C1518" s="61" t="s">
        <v>192</v>
      </c>
      <c r="D1518" s="71">
        <v>10</v>
      </c>
      <c r="E1518" s="70">
        <v>0</v>
      </c>
    </row>
    <row r="1519" spans="2:5" ht="15" customHeight="1">
      <c r="B1519" s="112"/>
      <c r="C1519" s="61" t="s">
        <v>159</v>
      </c>
      <c r="D1519" s="71">
        <v>36</v>
      </c>
      <c r="E1519" s="70">
        <v>1E-3</v>
      </c>
    </row>
    <row r="1520" spans="2:5" ht="15" customHeight="1">
      <c r="B1520" s="112"/>
      <c r="C1520" s="61" t="s">
        <v>160</v>
      </c>
      <c r="D1520" s="71">
        <v>50</v>
      </c>
      <c r="E1520" s="70">
        <v>2E-3</v>
      </c>
    </row>
    <row r="1521" spans="2:5" ht="15" customHeight="1">
      <c r="B1521" s="112"/>
      <c r="C1521" s="74" t="s">
        <v>309</v>
      </c>
      <c r="D1521" s="77">
        <v>785</v>
      </c>
      <c r="E1521" s="75">
        <v>2.9000000000000001E-2</v>
      </c>
    </row>
    <row r="1522" spans="2:5" ht="15" customHeight="1">
      <c r="B1522" s="112" t="s">
        <v>79</v>
      </c>
      <c r="C1522" s="61" t="s">
        <v>163</v>
      </c>
      <c r="D1522" s="71">
        <v>2</v>
      </c>
      <c r="E1522" s="70">
        <v>0</v>
      </c>
    </row>
    <row r="1523" spans="2:5" ht="15" customHeight="1">
      <c r="B1523" s="112"/>
      <c r="C1523" s="61" t="s">
        <v>165</v>
      </c>
      <c r="D1523" s="71">
        <v>1</v>
      </c>
      <c r="E1523" s="70">
        <v>0</v>
      </c>
    </row>
    <row r="1524" spans="2:5" ht="15" customHeight="1">
      <c r="B1524" s="112"/>
      <c r="C1524" s="61" t="s">
        <v>166</v>
      </c>
      <c r="D1524" s="71">
        <v>4</v>
      </c>
      <c r="E1524" s="70">
        <v>0</v>
      </c>
    </row>
    <row r="1525" spans="2:5" ht="15" customHeight="1">
      <c r="B1525" s="112"/>
      <c r="C1525" s="61" t="s">
        <v>168</v>
      </c>
      <c r="D1525" s="71">
        <v>2</v>
      </c>
      <c r="E1525" s="70">
        <v>0</v>
      </c>
    </row>
    <row r="1526" spans="2:5" ht="15" customHeight="1">
      <c r="B1526" s="112"/>
      <c r="C1526" s="61" t="s">
        <v>169</v>
      </c>
      <c r="D1526" s="71">
        <v>3</v>
      </c>
      <c r="E1526" s="70">
        <v>0</v>
      </c>
    </row>
    <row r="1527" spans="2:5" ht="15" customHeight="1">
      <c r="B1527" s="112"/>
      <c r="C1527" s="61" t="s">
        <v>161</v>
      </c>
      <c r="D1527" s="71">
        <v>1</v>
      </c>
      <c r="E1527" s="70">
        <v>0</v>
      </c>
    </row>
    <row r="1528" spans="2:5" ht="15" customHeight="1">
      <c r="B1528" s="112"/>
      <c r="C1528" s="61" t="s">
        <v>146</v>
      </c>
      <c r="D1528" s="71">
        <v>34</v>
      </c>
      <c r="E1528" s="70">
        <v>1E-3</v>
      </c>
    </row>
    <row r="1529" spans="2:5" ht="15" customHeight="1">
      <c r="B1529" s="112"/>
      <c r="C1529" s="61" t="s">
        <v>171</v>
      </c>
      <c r="D1529" s="71">
        <v>1</v>
      </c>
      <c r="E1529" s="70">
        <v>0</v>
      </c>
    </row>
    <row r="1530" spans="2:5" ht="15" customHeight="1">
      <c r="B1530" s="112"/>
      <c r="C1530" s="61" t="s">
        <v>173</v>
      </c>
      <c r="D1530" s="71">
        <v>1</v>
      </c>
      <c r="E1530" s="70">
        <v>0</v>
      </c>
    </row>
    <row r="1531" spans="2:5" ht="15" customHeight="1">
      <c r="B1531" s="112"/>
      <c r="C1531" s="61" t="s">
        <v>148</v>
      </c>
      <c r="D1531" s="71">
        <v>6</v>
      </c>
      <c r="E1531" s="70">
        <v>0</v>
      </c>
    </row>
    <row r="1532" spans="2:5" ht="15" customHeight="1">
      <c r="B1532" s="112"/>
      <c r="C1532" s="61" t="s">
        <v>175</v>
      </c>
      <c r="D1532" s="71">
        <v>13</v>
      </c>
      <c r="E1532" s="70">
        <v>0</v>
      </c>
    </row>
    <row r="1533" spans="2:5" ht="15" customHeight="1">
      <c r="B1533" s="112"/>
      <c r="C1533" s="61" t="s">
        <v>149</v>
      </c>
      <c r="D1533" s="71">
        <v>4</v>
      </c>
      <c r="E1533" s="70">
        <v>0</v>
      </c>
    </row>
    <row r="1534" spans="2:5" ht="15" customHeight="1">
      <c r="B1534" s="112"/>
      <c r="C1534" s="61" t="s">
        <v>150</v>
      </c>
      <c r="D1534" s="71">
        <v>2</v>
      </c>
      <c r="E1534" s="70">
        <v>0</v>
      </c>
    </row>
    <row r="1535" spans="2:5" ht="15" customHeight="1">
      <c r="B1535" s="112"/>
      <c r="C1535" s="61" t="s">
        <v>193</v>
      </c>
      <c r="D1535" s="71">
        <v>8</v>
      </c>
      <c r="E1535" s="70">
        <v>0</v>
      </c>
    </row>
    <row r="1536" spans="2:5" ht="15" customHeight="1">
      <c r="B1536" s="112"/>
      <c r="C1536" s="61" t="s">
        <v>178</v>
      </c>
      <c r="D1536" s="71">
        <v>1</v>
      </c>
      <c r="E1536" s="70">
        <v>0</v>
      </c>
    </row>
    <row r="1537" spans="2:5" ht="15" customHeight="1">
      <c r="B1537" s="112"/>
      <c r="C1537" s="61" t="s">
        <v>179</v>
      </c>
      <c r="D1537" s="71">
        <v>1</v>
      </c>
      <c r="E1537" s="70">
        <v>0</v>
      </c>
    </row>
    <row r="1538" spans="2:5" ht="15" customHeight="1">
      <c r="B1538" s="112"/>
      <c r="C1538" s="61" t="s">
        <v>202</v>
      </c>
      <c r="D1538" s="71">
        <v>2</v>
      </c>
      <c r="E1538" s="70">
        <v>0</v>
      </c>
    </row>
    <row r="1539" spans="2:5" ht="15" customHeight="1">
      <c r="B1539" s="112"/>
      <c r="C1539" s="61" t="s">
        <v>181</v>
      </c>
      <c r="D1539" s="71">
        <v>1</v>
      </c>
      <c r="E1539" s="70">
        <v>0</v>
      </c>
    </row>
    <row r="1540" spans="2:5" ht="15" customHeight="1">
      <c r="B1540" s="112"/>
      <c r="C1540" s="61" t="s">
        <v>152</v>
      </c>
      <c r="D1540" s="71">
        <v>9</v>
      </c>
      <c r="E1540" s="70">
        <v>0</v>
      </c>
    </row>
    <row r="1541" spans="2:5" ht="15" customHeight="1">
      <c r="B1541" s="112"/>
      <c r="C1541" s="61" t="s">
        <v>203</v>
      </c>
      <c r="D1541" s="71">
        <v>3</v>
      </c>
      <c r="E1541" s="70">
        <v>0</v>
      </c>
    </row>
    <row r="1542" spans="2:5" ht="15" customHeight="1">
      <c r="B1542" s="112"/>
      <c r="C1542" s="61" t="s">
        <v>162</v>
      </c>
      <c r="D1542" s="71">
        <v>2</v>
      </c>
      <c r="E1542" s="70">
        <v>0</v>
      </c>
    </row>
    <row r="1543" spans="2:5" ht="15" customHeight="1">
      <c r="B1543" s="112"/>
      <c r="C1543" s="61" t="s">
        <v>153</v>
      </c>
      <c r="D1543" s="71">
        <v>1</v>
      </c>
      <c r="E1543" s="70">
        <v>0</v>
      </c>
    </row>
    <row r="1544" spans="2:5" ht="15" customHeight="1">
      <c r="B1544" s="112"/>
      <c r="C1544" s="61" t="s">
        <v>182</v>
      </c>
      <c r="D1544" s="71">
        <v>1</v>
      </c>
      <c r="E1544" s="70">
        <v>0</v>
      </c>
    </row>
    <row r="1545" spans="2:5" ht="15" customHeight="1">
      <c r="B1545" s="112"/>
      <c r="C1545" s="61" t="s">
        <v>154</v>
      </c>
      <c r="D1545" s="71">
        <v>4</v>
      </c>
      <c r="E1545" s="70">
        <v>0</v>
      </c>
    </row>
    <row r="1546" spans="2:5" ht="15" customHeight="1">
      <c r="B1546" s="112"/>
      <c r="C1546" s="61" t="s">
        <v>183</v>
      </c>
      <c r="D1546" s="71">
        <v>4</v>
      </c>
      <c r="E1546" s="70">
        <v>0</v>
      </c>
    </row>
    <row r="1547" spans="2:5" ht="15" customHeight="1">
      <c r="B1547" s="112"/>
      <c r="C1547" s="61" t="s">
        <v>155</v>
      </c>
      <c r="D1547" s="71">
        <v>10</v>
      </c>
      <c r="E1547" s="70">
        <v>0</v>
      </c>
    </row>
    <row r="1548" spans="2:5" ht="15" customHeight="1">
      <c r="B1548" s="112"/>
      <c r="C1548" s="61" t="s">
        <v>185</v>
      </c>
      <c r="D1548" s="71">
        <v>4</v>
      </c>
      <c r="E1548" s="70">
        <v>0</v>
      </c>
    </row>
    <row r="1549" spans="2:5" ht="15" customHeight="1">
      <c r="B1549" s="112"/>
      <c r="C1549" s="61" t="s">
        <v>186</v>
      </c>
      <c r="D1549" s="71">
        <v>1</v>
      </c>
      <c r="E1549" s="70">
        <v>0</v>
      </c>
    </row>
    <row r="1550" spans="2:5" ht="15" customHeight="1">
      <c r="B1550" s="112"/>
      <c r="C1550" s="61" t="s">
        <v>187</v>
      </c>
      <c r="D1550" s="71">
        <v>4</v>
      </c>
      <c r="E1550" s="70">
        <v>0</v>
      </c>
    </row>
    <row r="1551" spans="2:5" ht="15" customHeight="1">
      <c r="B1551" s="112"/>
      <c r="C1551" s="61" t="s">
        <v>188</v>
      </c>
      <c r="D1551" s="71">
        <v>2</v>
      </c>
      <c r="E1551" s="70">
        <v>0</v>
      </c>
    </row>
    <row r="1552" spans="2:5" ht="15" customHeight="1">
      <c r="B1552" s="112"/>
      <c r="C1552" s="61" t="s">
        <v>189</v>
      </c>
      <c r="D1552" s="71">
        <v>4</v>
      </c>
      <c r="E1552" s="70">
        <v>0</v>
      </c>
    </row>
    <row r="1553" spans="2:5" ht="15" customHeight="1">
      <c r="B1553" s="112"/>
      <c r="C1553" s="61" t="s">
        <v>190</v>
      </c>
      <c r="D1553" s="71">
        <v>1</v>
      </c>
      <c r="E1553" s="70">
        <v>0</v>
      </c>
    </row>
    <row r="1554" spans="2:5" ht="15" customHeight="1">
      <c r="B1554" s="112"/>
      <c r="C1554" s="61" t="s">
        <v>191</v>
      </c>
      <c r="D1554" s="71">
        <v>7</v>
      </c>
      <c r="E1554" s="70">
        <v>0</v>
      </c>
    </row>
    <row r="1555" spans="2:5" ht="15" customHeight="1">
      <c r="B1555" s="112"/>
      <c r="C1555" s="61" t="s">
        <v>158</v>
      </c>
      <c r="D1555" s="71">
        <v>9</v>
      </c>
      <c r="E1555" s="70">
        <v>0</v>
      </c>
    </row>
    <row r="1556" spans="2:5" ht="15" customHeight="1">
      <c r="B1556" s="112"/>
      <c r="C1556" s="61" t="s">
        <v>192</v>
      </c>
      <c r="D1556" s="71">
        <v>15</v>
      </c>
      <c r="E1556" s="70">
        <v>1E-3</v>
      </c>
    </row>
    <row r="1557" spans="2:5" ht="15" customHeight="1">
      <c r="B1557" s="112"/>
      <c r="C1557" s="61" t="s">
        <v>159</v>
      </c>
      <c r="D1557" s="71">
        <v>1</v>
      </c>
      <c r="E1557" s="70">
        <v>0</v>
      </c>
    </row>
    <row r="1558" spans="2:5" ht="15" customHeight="1">
      <c r="B1558" s="112"/>
      <c r="C1558" s="61" t="s">
        <v>160</v>
      </c>
      <c r="D1558" s="71">
        <v>6</v>
      </c>
      <c r="E1558" s="70">
        <v>0</v>
      </c>
    </row>
    <row r="1559" spans="2:5" ht="15" customHeight="1">
      <c r="B1559" s="112"/>
      <c r="C1559" s="74" t="s">
        <v>309</v>
      </c>
      <c r="D1559" s="77">
        <v>175</v>
      </c>
      <c r="E1559" s="75">
        <v>6.0000000000000001E-3</v>
      </c>
    </row>
    <row r="1560" spans="2:5" ht="15" customHeight="1">
      <c r="B1560" s="112" t="s">
        <v>69</v>
      </c>
      <c r="C1560" s="61" t="s">
        <v>163</v>
      </c>
      <c r="D1560" s="71">
        <v>2</v>
      </c>
      <c r="E1560" s="70">
        <v>0</v>
      </c>
    </row>
    <row r="1561" spans="2:5" ht="15" customHeight="1">
      <c r="B1561" s="112"/>
      <c r="C1561" s="61" t="s">
        <v>164</v>
      </c>
      <c r="D1561" s="71">
        <v>3</v>
      </c>
      <c r="E1561" s="70">
        <v>0</v>
      </c>
    </row>
    <row r="1562" spans="2:5" ht="15" customHeight="1">
      <c r="B1562" s="112"/>
      <c r="C1562" s="61" t="s">
        <v>165</v>
      </c>
      <c r="D1562" s="71">
        <v>1</v>
      </c>
      <c r="E1562" s="70">
        <v>0</v>
      </c>
    </row>
    <row r="1563" spans="2:5" ht="15" customHeight="1">
      <c r="B1563" s="112"/>
      <c r="C1563" s="61" t="s">
        <v>166</v>
      </c>
      <c r="D1563" s="71">
        <v>1</v>
      </c>
      <c r="E1563" s="70">
        <v>0</v>
      </c>
    </row>
    <row r="1564" spans="2:5" ht="15" customHeight="1">
      <c r="B1564" s="112"/>
      <c r="C1564" s="61" t="s">
        <v>167</v>
      </c>
      <c r="D1564" s="71">
        <v>1</v>
      </c>
      <c r="E1564" s="70">
        <v>0</v>
      </c>
    </row>
    <row r="1565" spans="2:5" ht="15" customHeight="1">
      <c r="B1565" s="112"/>
      <c r="C1565" s="61" t="s">
        <v>168</v>
      </c>
      <c r="D1565" s="71">
        <v>1</v>
      </c>
      <c r="E1565" s="70">
        <v>0</v>
      </c>
    </row>
    <row r="1566" spans="2:5" ht="15" customHeight="1">
      <c r="B1566" s="112"/>
      <c r="C1566" s="61" t="s">
        <v>169</v>
      </c>
      <c r="D1566" s="71">
        <v>1</v>
      </c>
      <c r="E1566" s="70">
        <v>0</v>
      </c>
    </row>
    <row r="1567" spans="2:5" ht="15" customHeight="1">
      <c r="B1567" s="112"/>
      <c r="C1567" s="61" t="s">
        <v>285</v>
      </c>
      <c r="D1567" s="71">
        <v>6</v>
      </c>
      <c r="E1567" s="70">
        <v>0</v>
      </c>
    </row>
    <row r="1568" spans="2:5" ht="15" customHeight="1">
      <c r="B1568" s="112"/>
      <c r="C1568" s="61" t="s">
        <v>146</v>
      </c>
      <c r="D1568" s="71">
        <v>38</v>
      </c>
      <c r="E1568" s="70">
        <v>1E-3</v>
      </c>
    </row>
    <row r="1569" spans="2:5" ht="15" customHeight="1">
      <c r="B1569" s="112"/>
      <c r="C1569" s="61" t="s">
        <v>171</v>
      </c>
      <c r="D1569" s="71">
        <v>1</v>
      </c>
      <c r="E1569" s="70">
        <v>0</v>
      </c>
    </row>
    <row r="1570" spans="2:5" ht="15" customHeight="1">
      <c r="B1570" s="112"/>
      <c r="C1570" s="61" t="s">
        <v>147</v>
      </c>
      <c r="D1570" s="71">
        <v>2</v>
      </c>
      <c r="E1570" s="70">
        <v>0</v>
      </c>
    </row>
    <row r="1571" spans="2:5" ht="15" customHeight="1">
      <c r="B1571" s="112"/>
      <c r="C1571" s="61" t="s">
        <v>173</v>
      </c>
      <c r="D1571" s="71">
        <v>3</v>
      </c>
      <c r="E1571" s="70">
        <v>0</v>
      </c>
    </row>
    <row r="1572" spans="2:5" ht="15" customHeight="1">
      <c r="B1572" s="112"/>
      <c r="C1572" s="61" t="s">
        <v>148</v>
      </c>
      <c r="D1572" s="71">
        <v>9</v>
      </c>
      <c r="E1572" s="70">
        <v>0</v>
      </c>
    </row>
    <row r="1573" spans="2:5" ht="15" customHeight="1">
      <c r="B1573" s="112"/>
      <c r="C1573" s="61" t="s">
        <v>199</v>
      </c>
      <c r="D1573" s="71">
        <v>1</v>
      </c>
      <c r="E1573" s="70">
        <v>0</v>
      </c>
    </row>
    <row r="1574" spans="2:5" ht="15" customHeight="1">
      <c r="B1574" s="112"/>
      <c r="C1574" s="61" t="s">
        <v>174</v>
      </c>
      <c r="D1574" s="71">
        <v>2</v>
      </c>
      <c r="E1574" s="70">
        <v>0</v>
      </c>
    </row>
    <row r="1575" spans="2:5" ht="15" customHeight="1">
      <c r="B1575" s="112"/>
      <c r="C1575" s="61" t="s">
        <v>175</v>
      </c>
      <c r="D1575" s="71">
        <v>21</v>
      </c>
      <c r="E1575" s="70">
        <v>1E-3</v>
      </c>
    </row>
    <row r="1576" spans="2:5" ht="15" customHeight="1">
      <c r="B1576" s="112"/>
      <c r="C1576" s="61" t="s">
        <v>176</v>
      </c>
      <c r="D1576" s="71">
        <v>4</v>
      </c>
      <c r="E1576" s="70">
        <v>0</v>
      </c>
    </row>
    <row r="1577" spans="2:5" ht="15" customHeight="1">
      <c r="B1577" s="112"/>
      <c r="C1577" s="61" t="s">
        <v>149</v>
      </c>
      <c r="D1577" s="71">
        <v>3</v>
      </c>
      <c r="E1577" s="70">
        <v>0</v>
      </c>
    </row>
    <row r="1578" spans="2:5" ht="15" customHeight="1">
      <c r="B1578" s="112"/>
      <c r="C1578" s="61" t="s">
        <v>150</v>
      </c>
      <c r="D1578" s="71">
        <v>3</v>
      </c>
      <c r="E1578" s="70">
        <v>0</v>
      </c>
    </row>
    <row r="1579" spans="2:5" ht="15" customHeight="1">
      <c r="B1579" s="112"/>
      <c r="C1579" s="61" t="s">
        <v>193</v>
      </c>
      <c r="D1579" s="71">
        <v>3</v>
      </c>
      <c r="E1579" s="70">
        <v>0</v>
      </c>
    </row>
    <row r="1580" spans="2:5" ht="15" customHeight="1">
      <c r="B1580" s="112"/>
      <c r="C1580" s="61" t="s">
        <v>179</v>
      </c>
      <c r="D1580" s="71">
        <v>6</v>
      </c>
      <c r="E1580" s="70">
        <v>0</v>
      </c>
    </row>
    <row r="1581" spans="2:5" ht="15" customHeight="1">
      <c r="B1581" s="112"/>
      <c r="C1581" s="61" t="s">
        <v>202</v>
      </c>
      <c r="D1581" s="71">
        <v>1</v>
      </c>
      <c r="E1581" s="70">
        <v>0</v>
      </c>
    </row>
    <row r="1582" spans="2:5" ht="15" customHeight="1">
      <c r="B1582" s="112"/>
      <c r="C1582" s="61" t="s">
        <v>181</v>
      </c>
      <c r="D1582" s="71">
        <v>3</v>
      </c>
      <c r="E1582" s="70">
        <v>0</v>
      </c>
    </row>
    <row r="1583" spans="2:5" ht="15" customHeight="1">
      <c r="B1583" s="112"/>
      <c r="C1583" s="61" t="s">
        <v>152</v>
      </c>
      <c r="D1583" s="71">
        <v>15</v>
      </c>
      <c r="E1583" s="70">
        <v>1E-3</v>
      </c>
    </row>
    <row r="1584" spans="2:5" ht="15" customHeight="1">
      <c r="B1584" s="112"/>
      <c r="C1584" s="61" t="s">
        <v>203</v>
      </c>
      <c r="D1584" s="71">
        <v>1</v>
      </c>
      <c r="E1584" s="70">
        <v>0</v>
      </c>
    </row>
    <row r="1585" spans="2:5" ht="15" customHeight="1">
      <c r="B1585" s="112"/>
      <c r="C1585" s="61" t="s">
        <v>162</v>
      </c>
      <c r="D1585" s="71">
        <v>4</v>
      </c>
      <c r="E1585" s="70">
        <v>0</v>
      </c>
    </row>
    <row r="1586" spans="2:5" ht="15" customHeight="1">
      <c r="B1586" s="112"/>
      <c r="C1586" s="61" t="s">
        <v>153</v>
      </c>
      <c r="D1586" s="71">
        <v>5</v>
      </c>
      <c r="E1586" s="70">
        <v>0</v>
      </c>
    </row>
    <row r="1587" spans="2:5" ht="15" customHeight="1">
      <c r="B1587" s="112"/>
      <c r="C1587" s="61" t="s">
        <v>154</v>
      </c>
      <c r="D1587" s="71">
        <v>23</v>
      </c>
      <c r="E1587" s="70">
        <v>1E-3</v>
      </c>
    </row>
    <row r="1588" spans="2:5" ht="15" customHeight="1">
      <c r="B1588" s="112"/>
      <c r="C1588" s="61" t="s">
        <v>183</v>
      </c>
      <c r="D1588" s="71">
        <v>19</v>
      </c>
      <c r="E1588" s="70">
        <v>1E-3</v>
      </c>
    </row>
    <row r="1589" spans="2:5" ht="15" customHeight="1">
      <c r="B1589" s="112"/>
      <c r="C1589" s="61" t="s">
        <v>155</v>
      </c>
      <c r="D1589" s="71">
        <v>28</v>
      </c>
      <c r="E1589" s="70">
        <v>1E-3</v>
      </c>
    </row>
    <row r="1590" spans="2:5" ht="15" customHeight="1">
      <c r="B1590" s="112"/>
      <c r="C1590" s="61" t="s">
        <v>185</v>
      </c>
      <c r="D1590" s="71">
        <v>5</v>
      </c>
      <c r="E1590" s="70">
        <v>0</v>
      </c>
    </row>
    <row r="1591" spans="2:5" ht="15" customHeight="1">
      <c r="B1591" s="112"/>
      <c r="C1591" s="61" t="s">
        <v>186</v>
      </c>
      <c r="D1591" s="71">
        <v>4</v>
      </c>
      <c r="E1591" s="70">
        <v>0</v>
      </c>
    </row>
    <row r="1592" spans="2:5" ht="15" customHeight="1">
      <c r="B1592" s="112"/>
      <c r="C1592" s="61" t="s">
        <v>187</v>
      </c>
      <c r="D1592" s="71">
        <v>5</v>
      </c>
      <c r="E1592" s="70">
        <v>0</v>
      </c>
    </row>
    <row r="1593" spans="2:5" ht="15" customHeight="1">
      <c r="B1593" s="112"/>
      <c r="C1593" s="61" t="s">
        <v>188</v>
      </c>
      <c r="D1593" s="71">
        <v>2</v>
      </c>
      <c r="E1593" s="70">
        <v>0</v>
      </c>
    </row>
    <row r="1594" spans="2:5" ht="15" customHeight="1">
      <c r="B1594" s="112"/>
      <c r="C1594" s="61" t="s">
        <v>189</v>
      </c>
      <c r="D1594" s="71">
        <v>11</v>
      </c>
      <c r="E1594" s="70">
        <v>0</v>
      </c>
    </row>
    <row r="1595" spans="2:5" ht="15" customHeight="1">
      <c r="B1595" s="112"/>
      <c r="C1595" s="61" t="s">
        <v>190</v>
      </c>
      <c r="D1595" s="71">
        <v>1</v>
      </c>
      <c r="E1595" s="70">
        <v>0</v>
      </c>
    </row>
    <row r="1596" spans="2:5" ht="15" customHeight="1">
      <c r="B1596" s="112"/>
      <c r="C1596" s="61" t="s">
        <v>191</v>
      </c>
      <c r="D1596" s="71">
        <v>5</v>
      </c>
      <c r="E1596" s="70">
        <v>0</v>
      </c>
    </row>
    <row r="1597" spans="2:5" ht="15" customHeight="1">
      <c r="B1597" s="112"/>
      <c r="C1597" s="61" t="s">
        <v>196</v>
      </c>
      <c r="D1597" s="71">
        <v>1</v>
      </c>
      <c r="E1597" s="70">
        <v>0</v>
      </c>
    </row>
    <row r="1598" spans="2:5" ht="15" customHeight="1">
      <c r="B1598" s="112"/>
      <c r="C1598" s="61" t="s">
        <v>157</v>
      </c>
      <c r="D1598" s="71">
        <v>1</v>
      </c>
      <c r="E1598" s="70">
        <v>0</v>
      </c>
    </row>
    <row r="1599" spans="2:5" ht="15" customHeight="1">
      <c r="B1599" s="112"/>
      <c r="C1599" s="61" t="s">
        <v>158</v>
      </c>
      <c r="D1599" s="71">
        <v>1</v>
      </c>
      <c r="E1599" s="70">
        <v>0</v>
      </c>
    </row>
    <row r="1600" spans="2:5" ht="15" customHeight="1">
      <c r="B1600" s="112"/>
      <c r="C1600" s="61" t="s">
        <v>192</v>
      </c>
      <c r="D1600" s="71">
        <v>1</v>
      </c>
      <c r="E1600" s="70">
        <v>0</v>
      </c>
    </row>
    <row r="1601" spans="2:5" ht="15" customHeight="1">
      <c r="B1601" s="112"/>
      <c r="C1601" s="61" t="s">
        <v>159</v>
      </c>
      <c r="D1601" s="71">
        <v>7</v>
      </c>
      <c r="E1601" s="70">
        <v>0</v>
      </c>
    </row>
    <row r="1602" spans="2:5" ht="15" customHeight="1">
      <c r="B1602" s="112"/>
      <c r="C1602" s="61" t="s">
        <v>160</v>
      </c>
      <c r="D1602" s="71">
        <v>11</v>
      </c>
      <c r="E1602" s="70">
        <v>0</v>
      </c>
    </row>
    <row r="1603" spans="2:5" ht="15" customHeight="1">
      <c r="B1603" s="112"/>
      <c r="C1603" s="74" t="s">
        <v>309</v>
      </c>
      <c r="D1603" s="77">
        <v>266</v>
      </c>
      <c r="E1603" s="75">
        <v>0.01</v>
      </c>
    </row>
    <row r="1604" spans="2:5" ht="15" customHeight="1">
      <c r="B1604" s="112" t="s">
        <v>65</v>
      </c>
      <c r="C1604" s="61" t="s">
        <v>163</v>
      </c>
      <c r="D1604" s="71">
        <v>1</v>
      </c>
      <c r="E1604" s="70">
        <v>0</v>
      </c>
    </row>
    <row r="1605" spans="2:5" ht="15" customHeight="1">
      <c r="B1605" s="112"/>
      <c r="C1605" s="61" t="s">
        <v>197</v>
      </c>
      <c r="D1605" s="71">
        <v>1</v>
      </c>
      <c r="E1605" s="70">
        <v>0</v>
      </c>
    </row>
    <row r="1606" spans="2:5" ht="15" customHeight="1">
      <c r="B1606" s="112"/>
      <c r="C1606" s="61" t="s">
        <v>164</v>
      </c>
      <c r="D1606" s="71">
        <v>1</v>
      </c>
      <c r="E1606" s="70">
        <v>0</v>
      </c>
    </row>
    <row r="1607" spans="2:5" ht="15" customHeight="1">
      <c r="B1607" s="112"/>
      <c r="C1607" s="61" t="s">
        <v>166</v>
      </c>
      <c r="D1607" s="71">
        <v>11</v>
      </c>
      <c r="E1607" s="70">
        <v>0</v>
      </c>
    </row>
    <row r="1608" spans="2:5" ht="15" customHeight="1">
      <c r="B1608" s="112"/>
      <c r="C1608" s="61" t="s">
        <v>167</v>
      </c>
      <c r="D1608" s="71">
        <v>2</v>
      </c>
      <c r="E1608" s="70">
        <v>0</v>
      </c>
    </row>
    <row r="1609" spans="2:5" ht="15" customHeight="1">
      <c r="B1609" s="112"/>
      <c r="C1609" s="61" t="s">
        <v>168</v>
      </c>
      <c r="D1609" s="71">
        <v>5</v>
      </c>
      <c r="E1609" s="70">
        <v>0</v>
      </c>
    </row>
    <row r="1610" spans="2:5" ht="15" customHeight="1">
      <c r="B1610" s="112"/>
      <c r="C1610" s="61" t="s">
        <v>169</v>
      </c>
      <c r="D1610" s="71">
        <v>3</v>
      </c>
      <c r="E1610" s="70">
        <v>0</v>
      </c>
    </row>
    <row r="1611" spans="2:5" ht="15" customHeight="1">
      <c r="B1611" s="112"/>
      <c r="C1611" s="61" t="s">
        <v>161</v>
      </c>
      <c r="D1611" s="71">
        <v>6</v>
      </c>
      <c r="E1611" s="70">
        <v>0</v>
      </c>
    </row>
    <row r="1612" spans="2:5" ht="15" customHeight="1">
      <c r="B1612" s="112"/>
      <c r="C1612" s="61" t="s">
        <v>285</v>
      </c>
      <c r="D1612" s="71">
        <v>1</v>
      </c>
      <c r="E1612" s="70">
        <v>0</v>
      </c>
    </row>
    <row r="1613" spans="2:5" ht="15" customHeight="1">
      <c r="B1613" s="112"/>
      <c r="C1613" s="61" t="s">
        <v>146</v>
      </c>
      <c r="D1613" s="71">
        <v>54</v>
      </c>
      <c r="E1613" s="70">
        <v>2E-3</v>
      </c>
    </row>
    <row r="1614" spans="2:5" ht="15" customHeight="1">
      <c r="B1614" s="112"/>
      <c r="C1614" s="61" t="s">
        <v>171</v>
      </c>
      <c r="D1614" s="71">
        <v>2</v>
      </c>
      <c r="E1614" s="70">
        <v>0</v>
      </c>
    </row>
    <row r="1615" spans="2:5" ht="15" customHeight="1">
      <c r="B1615" s="112"/>
      <c r="C1615" s="61" t="s">
        <v>172</v>
      </c>
      <c r="D1615" s="71">
        <v>1</v>
      </c>
      <c r="E1615" s="70">
        <v>0</v>
      </c>
    </row>
    <row r="1616" spans="2:5" ht="15" customHeight="1">
      <c r="B1616" s="112"/>
      <c r="C1616" s="61" t="s">
        <v>147</v>
      </c>
      <c r="D1616" s="71">
        <v>4</v>
      </c>
      <c r="E1616" s="70">
        <v>0</v>
      </c>
    </row>
    <row r="1617" spans="2:5" ht="15" customHeight="1">
      <c r="B1617" s="112"/>
      <c r="C1617" s="61" t="s">
        <v>173</v>
      </c>
      <c r="D1617" s="71">
        <v>10</v>
      </c>
      <c r="E1617" s="70">
        <v>0</v>
      </c>
    </row>
    <row r="1618" spans="2:5" ht="15" customHeight="1">
      <c r="B1618" s="112"/>
      <c r="C1618" s="61" t="s">
        <v>148</v>
      </c>
      <c r="D1618" s="71">
        <v>8</v>
      </c>
      <c r="E1618" s="70">
        <v>0</v>
      </c>
    </row>
    <row r="1619" spans="2:5" ht="15" customHeight="1">
      <c r="B1619" s="112"/>
      <c r="C1619" s="61" t="s">
        <v>199</v>
      </c>
      <c r="D1619" s="71">
        <v>1</v>
      </c>
      <c r="E1619" s="70">
        <v>0</v>
      </c>
    </row>
    <row r="1620" spans="2:5" ht="15" customHeight="1">
      <c r="B1620" s="112"/>
      <c r="C1620" s="61" t="s">
        <v>174</v>
      </c>
      <c r="D1620" s="71">
        <v>3</v>
      </c>
      <c r="E1620" s="70">
        <v>0</v>
      </c>
    </row>
    <row r="1621" spans="2:5" ht="15" customHeight="1">
      <c r="B1621" s="112"/>
      <c r="C1621" s="61" t="s">
        <v>175</v>
      </c>
      <c r="D1621" s="71">
        <v>20</v>
      </c>
      <c r="E1621" s="70">
        <v>1E-3</v>
      </c>
    </row>
    <row r="1622" spans="2:5" ht="15" customHeight="1">
      <c r="B1622" s="112"/>
      <c r="C1622" s="61" t="s">
        <v>176</v>
      </c>
      <c r="D1622" s="71">
        <v>4</v>
      </c>
      <c r="E1622" s="70">
        <v>0</v>
      </c>
    </row>
    <row r="1623" spans="2:5" ht="15" customHeight="1">
      <c r="B1623" s="112"/>
      <c r="C1623" s="61" t="s">
        <v>149</v>
      </c>
      <c r="D1623" s="71">
        <v>3</v>
      </c>
      <c r="E1623" s="70">
        <v>0</v>
      </c>
    </row>
    <row r="1624" spans="2:5" ht="15" customHeight="1">
      <c r="B1624" s="112"/>
      <c r="C1624" s="61" t="s">
        <v>150</v>
      </c>
      <c r="D1624" s="71">
        <v>3</v>
      </c>
      <c r="E1624" s="70">
        <v>0</v>
      </c>
    </row>
    <row r="1625" spans="2:5" ht="15" customHeight="1">
      <c r="B1625" s="112"/>
      <c r="C1625" s="61" t="s">
        <v>193</v>
      </c>
      <c r="D1625" s="71">
        <v>7</v>
      </c>
      <c r="E1625" s="70">
        <v>0</v>
      </c>
    </row>
    <row r="1626" spans="2:5" ht="15" customHeight="1">
      <c r="B1626" s="112"/>
      <c r="C1626" s="61" t="s">
        <v>178</v>
      </c>
      <c r="D1626" s="71">
        <v>2</v>
      </c>
      <c r="E1626" s="70">
        <v>0</v>
      </c>
    </row>
    <row r="1627" spans="2:5" ht="15" customHeight="1">
      <c r="B1627" s="112"/>
      <c r="C1627" s="61" t="s">
        <v>151</v>
      </c>
      <c r="D1627" s="71">
        <v>2</v>
      </c>
      <c r="E1627" s="70">
        <v>0</v>
      </c>
    </row>
    <row r="1628" spans="2:5" ht="15" customHeight="1">
      <c r="B1628" s="112"/>
      <c r="C1628" s="61" t="s">
        <v>201</v>
      </c>
      <c r="D1628" s="71">
        <v>1</v>
      </c>
      <c r="E1628" s="70">
        <v>0</v>
      </c>
    </row>
    <row r="1629" spans="2:5" ht="15" customHeight="1">
      <c r="B1629" s="112"/>
      <c r="C1629" s="61" t="s">
        <v>180</v>
      </c>
      <c r="D1629" s="71">
        <v>4</v>
      </c>
      <c r="E1629" s="70">
        <v>0</v>
      </c>
    </row>
    <row r="1630" spans="2:5" ht="15" customHeight="1">
      <c r="B1630" s="112"/>
      <c r="C1630" s="61" t="s">
        <v>202</v>
      </c>
      <c r="D1630" s="71">
        <v>2</v>
      </c>
      <c r="E1630" s="70">
        <v>0</v>
      </c>
    </row>
    <row r="1631" spans="2:5" ht="15" customHeight="1">
      <c r="B1631" s="112"/>
      <c r="C1631" s="61" t="s">
        <v>181</v>
      </c>
      <c r="D1631" s="71">
        <v>10</v>
      </c>
      <c r="E1631" s="70">
        <v>0</v>
      </c>
    </row>
    <row r="1632" spans="2:5" ht="15" customHeight="1">
      <c r="B1632" s="112"/>
      <c r="C1632" s="61" t="s">
        <v>152</v>
      </c>
      <c r="D1632" s="71">
        <v>29</v>
      </c>
      <c r="E1632" s="70">
        <v>1E-3</v>
      </c>
    </row>
    <row r="1633" spans="2:5" ht="15" customHeight="1">
      <c r="B1633" s="112"/>
      <c r="C1633" s="61" t="s">
        <v>203</v>
      </c>
      <c r="D1633" s="71">
        <v>1</v>
      </c>
      <c r="E1633" s="70">
        <v>0</v>
      </c>
    </row>
    <row r="1634" spans="2:5" ht="15" customHeight="1">
      <c r="B1634" s="112"/>
      <c r="C1634" s="61" t="s">
        <v>162</v>
      </c>
      <c r="D1634" s="71">
        <v>6</v>
      </c>
      <c r="E1634" s="70">
        <v>0</v>
      </c>
    </row>
    <row r="1635" spans="2:5" ht="15" customHeight="1">
      <c r="B1635" s="112"/>
      <c r="C1635" s="61" t="s">
        <v>153</v>
      </c>
      <c r="D1635" s="71">
        <v>8</v>
      </c>
      <c r="E1635" s="70">
        <v>0</v>
      </c>
    </row>
    <row r="1636" spans="2:5" ht="15" customHeight="1">
      <c r="B1636" s="112"/>
      <c r="C1636" s="61" t="s">
        <v>182</v>
      </c>
      <c r="D1636" s="71">
        <v>3</v>
      </c>
      <c r="E1636" s="70">
        <v>0</v>
      </c>
    </row>
    <row r="1637" spans="2:5" ht="15" customHeight="1">
      <c r="B1637" s="112"/>
      <c r="C1637" s="61" t="s">
        <v>154</v>
      </c>
      <c r="D1637" s="71">
        <v>8</v>
      </c>
      <c r="E1637" s="70">
        <v>0</v>
      </c>
    </row>
    <row r="1638" spans="2:5" ht="15" customHeight="1">
      <c r="B1638" s="112"/>
      <c r="C1638" s="61" t="s">
        <v>183</v>
      </c>
      <c r="D1638" s="71">
        <v>3</v>
      </c>
      <c r="E1638" s="70">
        <v>0</v>
      </c>
    </row>
    <row r="1639" spans="2:5" ht="15" customHeight="1">
      <c r="B1639" s="112"/>
      <c r="C1639" s="61" t="s">
        <v>155</v>
      </c>
      <c r="D1639" s="71">
        <v>20</v>
      </c>
      <c r="E1639" s="70">
        <v>1E-3</v>
      </c>
    </row>
    <row r="1640" spans="2:5" ht="15" customHeight="1">
      <c r="B1640" s="112"/>
      <c r="C1640" s="61" t="s">
        <v>194</v>
      </c>
      <c r="D1640" s="71">
        <v>1</v>
      </c>
      <c r="E1640" s="70">
        <v>0</v>
      </c>
    </row>
    <row r="1641" spans="2:5" ht="15" customHeight="1">
      <c r="B1641" s="112"/>
      <c r="C1641" s="61" t="s">
        <v>185</v>
      </c>
      <c r="D1641" s="71">
        <v>4</v>
      </c>
      <c r="E1641" s="70">
        <v>0</v>
      </c>
    </row>
    <row r="1642" spans="2:5" ht="15" customHeight="1">
      <c r="B1642" s="112"/>
      <c r="C1642" s="61" t="s">
        <v>186</v>
      </c>
      <c r="D1642" s="71">
        <v>4</v>
      </c>
      <c r="E1642" s="70">
        <v>0</v>
      </c>
    </row>
    <row r="1643" spans="2:5" ht="15" customHeight="1">
      <c r="B1643" s="112"/>
      <c r="C1643" s="61" t="s">
        <v>187</v>
      </c>
      <c r="D1643" s="71">
        <v>4</v>
      </c>
      <c r="E1643" s="70">
        <v>0</v>
      </c>
    </row>
    <row r="1644" spans="2:5" ht="15" customHeight="1">
      <c r="B1644" s="112"/>
      <c r="C1644" s="61" t="s">
        <v>188</v>
      </c>
      <c r="D1644" s="71">
        <v>2</v>
      </c>
      <c r="E1644" s="70">
        <v>0</v>
      </c>
    </row>
    <row r="1645" spans="2:5" ht="15" customHeight="1">
      <c r="B1645" s="112"/>
      <c r="C1645" s="61" t="s">
        <v>189</v>
      </c>
      <c r="D1645" s="71">
        <v>9</v>
      </c>
      <c r="E1645" s="70">
        <v>0</v>
      </c>
    </row>
    <row r="1646" spans="2:5" ht="15" customHeight="1">
      <c r="B1646" s="112"/>
      <c r="C1646" s="61" t="s">
        <v>190</v>
      </c>
      <c r="D1646" s="71">
        <v>2</v>
      </c>
      <c r="E1646" s="70">
        <v>0</v>
      </c>
    </row>
    <row r="1647" spans="2:5" ht="15" customHeight="1">
      <c r="B1647" s="112"/>
      <c r="C1647" s="61" t="s">
        <v>191</v>
      </c>
      <c r="D1647" s="71">
        <v>15</v>
      </c>
      <c r="E1647" s="70">
        <v>1E-3</v>
      </c>
    </row>
    <row r="1648" spans="2:5" ht="15" customHeight="1">
      <c r="B1648" s="112"/>
      <c r="C1648" s="61" t="s">
        <v>156</v>
      </c>
      <c r="D1648" s="71">
        <v>1</v>
      </c>
      <c r="E1648" s="70">
        <v>0</v>
      </c>
    </row>
    <row r="1649" spans="2:5" ht="15" customHeight="1">
      <c r="B1649" s="112"/>
      <c r="C1649" s="61" t="s">
        <v>196</v>
      </c>
      <c r="D1649" s="71">
        <v>1</v>
      </c>
      <c r="E1649" s="70">
        <v>0</v>
      </c>
    </row>
    <row r="1650" spans="2:5" ht="15" customHeight="1">
      <c r="B1650" s="112"/>
      <c r="C1650" s="61" t="s">
        <v>192</v>
      </c>
      <c r="D1650" s="71">
        <v>34</v>
      </c>
      <c r="E1650" s="70">
        <v>1E-3</v>
      </c>
    </row>
    <row r="1651" spans="2:5" ht="15" customHeight="1">
      <c r="B1651" s="112"/>
      <c r="C1651" s="61" t="s">
        <v>159</v>
      </c>
      <c r="D1651" s="71">
        <v>6</v>
      </c>
      <c r="E1651" s="70">
        <v>0</v>
      </c>
    </row>
    <row r="1652" spans="2:5" ht="15" customHeight="1">
      <c r="B1652" s="112"/>
      <c r="C1652" s="61" t="s">
        <v>160</v>
      </c>
      <c r="D1652" s="71">
        <v>22</v>
      </c>
      <c r="E1652" s="70">
        <v>1E-3</v>
      </c>
    </row>
    <row r="1653" spans="2:5" ht="15" customHeight="1">
      <c r="B1653" s="112"/>
      <c r="C1653" s="74" t="s">
        <v>309</v>
      </c>
      <c r="D1653" s="77">
        <v>355</v>
      </c>
      <c r="E1653" s="75">
        <v>1.2999999999999999E-2</v>
      </c>
    </row>
    <row r="1654" spans="2:5" ht="15" customHeight="1">
      <c r="B1654" s="112" t="s">
        <v>59</v>
      </c>
      <c r="C1654" s="61" t="s">
        <v>163</v>
      </c>
      <c r="D1654" s="71">
        <v>3</v>
      </c>
      <c r="E1654" s="70">
        <v>0</v>
      </c>
    </row>
    <row r="1655" spans="2:5" ht="15" customHeight="1">
      <c r="B1655" s="112"/>
      <c r="C1655" s="61" t="s">
        <v>197</v>
      </c>
      <c r="D1655" s="71">
        <v>1</v>
      </c>
      <c r="E1655" s="70">
        <v>0</v>
      </c>
    </row>
    <row r="1656" spans="2:5" ht="15" customHeight="1">
      <c r="B1656" s="112"/>
      <c r="C1656" s="61" t="s">
        <v>164</v>
      </c>
      <c r="D1656" s="71">
        <v>1</v>
      </c>
      <c r="E1656" s="70">
        <v>0</v>
      </c>
    </row>
    <row r="1657" spans="2:5" ht="15" customHeight="1">
      <c r="B1657" s="112"/>
      <c r="C1657" s="61" t="s">
        <v>166</v>
      </c>
      <c r="D1657" s="71">
        <v>6</v>
      </c>
      <c r="E1657" s="70">
        <v>0</v>
      </c>
    </row>
    <row r="1658" spans="2:5" ht="15" customHeight="1">
      <c r="B1658" s="112"/>
      <c r="C1658" s="61" t="s">
        <v>168</v>
      </c>
      <c r="D1658" s="71">
        <v>2</v>
      </c>
      <c r="E1658" s="70">
        <v>0</v>
      </c>
    </row>
    <row r="1659" spans="2:5" ht="15" customHeight="1">
      <c r="B1659" s="112"/>
      <c r="C1659" s="61" t="s">
        <v>161</v>
      </c>
      <c r="D1659" s="71">
        <v>5</v>
      </c>
      <c r="E1659" s="70">
        <v>0</v>
      </c>
    </row>
    <row r="1660" spans="2:5" ht="15" customHeight="1">
      <c r="B1660" s="112"/>
      <c r="C1660" s="61" t="s">
        <v>285</v>
      </c>
      <c r="D1660" s="71">
        <v>2</v>
      </c>
      <c r="E1660" s="70">
        <v>0</v>
      </c>
    </row>
    <row r="1661" spans="2:5" ht="15" customHeight="1">
      <c r="B1661" s="112"/>
      <c r="C1661" s="61" t="s">
        <v>170</v>
      </c>
      <c r="D1661" s="71">
        <v>2</v>
      </c>
      <c r="E1661" s="70">
        <v>0</v>
      </c>
    </row>
    <row r="1662" spans="2:5" ht="15" customHeight="1">
      <c r="B1662" s="112"/>
      <c r="C1662" s="61" t="s">
        <v>146</v>
      </c>
      <c r="D1662" s="71">
        <v>62</v>
      </c>
      <c r="E1662" s="70">
        <v>2E-3</v>
      </c>
    </row>
    <row r="1663" spans="2:5" ht="15" customHeight="1">
      <c r="B1663" s="112"/>
      <c r="C1663" s="61" t="s">
        <v>171</v>
      </c>
      <c r="D1663" s="71">
        <v>3</v>
      </c>
      <c r="E1663" s="70">
        <v>0</v>
      </c>
    </row>
    <row r="1664" spans="2:5" ht="15" customHeight="1">
      <c r="B1664" s="112"/>
      <c r="C1664" s="61" t="s">
        <v>172</v>
      </c>
      <c r="D1664" s="71">
        <v>4</v>
      </c>
      <c r="E1664" s="70">
        <v>0</v>
      </c>
    </row>
    <row r="1665" spans="2:5" ht="15" customHeight="1">
      <c r="B1665" s="112"/>
      <c r="C1665" s="61" t="s">
        <v>147</v>
      </c>
      <c r="D1665" s="71">
        <v>1</v>
      </c>
      <c r="E1665" s="70">
        <v>0</v>
      </c>
    </row>
    <row r="1666" spans="2:5" ht="15" customHeight="1">
      <c r="B1666" s="112"/>
      <c r="C1666" s="61" t="s">
        <v>173</v>
      </c>
      <c r="D1666" s="71">
        <v>10</v>
      </c>
      <c r="E1666" s="70">
        <v>0</v>
      </c>
    </row>
    <row r="1667" spans="2:5" ht="15" customHeight="1">
      <c r="B1667" s="112"/>
      <c r="C1667" s="61" t="s">
        <v>148</v>
      </c>
      <c r="D1667" s="71">
        <v>13</v>
      </c>
      <c r="E1667" s="70">
        <v>0</v>
      </c>
    </row>
    <row r="1668" spans="2:5" ht="15" customHeight="1">
      <c r="B1668" s="112"/>
      <c r="C1668" s="61" t="s">
        <v>199</v>
      </c>
      <c r="D1668" s="71">
        <v>12</v>
      </c>
      <c r="E1668" s="70">
        <v>0</v>
      </c>
    </row>
    <row r="1669" spans="2:5" ht="15" customHeight="1">
      <c r="B1669" s="112"/>
      <c r="C1669" s="61" t="s">
        <v>174</v>
      </c>
      <c r="D1669" s="71">
        <v>16</v>
      </c>
      <c r="E1669" s="70">
        <v>1E-3</v>
      </c>
    </row>
    <row r="1670" spans="2:5" ht="15" customHeight="1">
      <c r="B1670" s="112"/>
      <c r="C1670" s="61" t="s">
        <v>175</v>
      </c>
      <c r="D1670" s="71">
        <v>50</v>
      </c>
      <c r="E1670" s="70">
        <v>2E-3</v>
      </c>
    </row>
    <row r="1671" spans="2:5" ht="15" customHeight="1">
      <c r="B1671" s="112"/>
      <c r="C1671" s="61" t="s">
        <v>176</v>
      </c>
      <c r="D1671" s="71">
        <v>1</v>
      </c>
      <c r="E1671" s="70">
        <v>0</v>
      </c>
    </row>
    <row r="1672" spans="2:5" ht="15" customHeight="1">
      <c r="B1672" s="112"/>
      <c r="C1672" s="61" t="s">
        <v>177</v>
      </c>
      <c r="D1672" s="71">
        <v>1</v>
      </c>
      <c r="E1672" s="70">
        <v>0</v>
      </c>
    </row>
    <row r="1673" spans="2:5" ht="15" customHeight="1">
      <c r="B1673" s="112"/>
      <c r="C1673" s="61" t="s">
        <v>149</v>
      </c>
      <c r="D1673" s="71">
        <v>9</v>
      </c>
      <c r="E1673" s="70">
        <v>0</v>
      </c>
    </row>
    <row r="1674" spans="2:5" ht="15" customHeight="1">
      <c r="B1674" s="112"/>
      <c r="C1674" s="61" t="s">
        <v>150</v>
      </c>
      <c r="D1674" s="71">
        <v>4</v>
      </c>
      <c r="E1674" s="70">
        <v>0</v>
      </c>
    </row>
    <row r="1675" spans="2:5" ht="15" customHeight="1">
      <c r="B1675" s="112"/>
      <c r="C1675" s="61" t="s">
        <v>193</v>
      </c>
      <c r="D1675" s="71">
        <v>35</v>
      </c>
      <c r="E1675" s="70">
        <v>1E-3</v>
      </c>
    </row>
    <row r="1676" spans="2:5" ht="15" customHeight="1">
      <c r="B1676" s="112"/>
      <c r="C1676" s="61" t="s">
        <v>178</v>
      </c>
      <c r="D1676" s="71">
        <v>2</v>
      </c>
      <c r="E1676" s="70">
        <v>0</v>
      </c>
    </row>
    <row r="1677" spans="2:5" ht="15" customHeight="1">
      <c r="B1677" s="112"/>
      <c r="C1677" s="61" t="s">
        <v>179</v>
      </c>
      <c r="D1677" s="71">
        <v>1</v>
      </c>
      <c r="E1677" s="70">
        <v>0</v>
      </c>
    </row>
    <row r="1678" spans="2:5" ht="15" customHeight="1">
      <c r="B1678" s="112"/>
      <c r="C1678" s="61" t="s">
        <v>151</v>
      </c>
      <c r="D1678" s="71">
        <v>2</v>
      </c>
      <c r="E1678" s="70">
        <v>0</v>
      </c>
    </row>
    <row r="1679" spans="2:5" ht="15" customHeight="1">
      <c r="B1679" s="112"/>
      <c r="C1679" s="61" t="s">
        <v>180</v>
      </c>
      <c r="D1679" s="71">
        <v>9</v>
      </c>
      <c r="E1679" s="70">
        <v>0</v>
      </c>
    </row>
    <row r="1680" spans="2:5" ht="15" customHeight="1">
      <c r="B1680" s="112"/>
      <c r="C1680" s="61" t="s">
        <v>202</v>
      </c>
      <c r="D1680" s="71">
        <v>2</v>
      </c>
      <c r="E1680" s="70">
        <v>0</v>
      </c>
    </row>
    <row r="1681" spans="2:5" ht="15" customHeight="1">
      <c r="B1681" s="112"/>
      <c r="C1681" s="61" t="s">
        <v>181</v>
      </c>
      <c r="D1681" s="71">
        <v>1</v>
      </c>
      <c r="E1681" s="70">
        <v>0</v>
      </c>
    </row>
    <row r="1682" spans="2:5" ht="15" customHeight="1">
      <c r="B1682" s="112"/>
      <c r="C1682" s="61" t="s">
        <v>152</v>
      </c>
      <c r="D1682" s="71">
        <v>21</v>
      </c>
      <c r="E1682" s="70">
        <v>1E-3</v>
      </c>
    </row>
    <row r="1683" spans="2:5" ht="15" customHeight="1">
      <c r="B1683" s="112"/>
      <c r="C1683" s="61" t="s">
        <v>203</v>
      </c>
      <c r="D1683" s="71">
        <v>1</v>
      </c>
      <c r="E1683" s="70">
        <v>0</v>
      </c>
    </row>
    <row r="1684" spans="2:5" ht="15" customHeight="1">
      <c r="B1684" s="112"/>
      <c r="C1684" s="61" t="s">
        <v>162</v>
      </c>
      <c r="D1684" s="71">
        <v>15</v>
      </c>
      <c r="E1684" s="70">
        <v>1E-3</v>
      </c>
    </row>
    <row r="1685" spans="2:5" ht="15" customHeight="1">
      <c r="B1685" s="112"/>
      <c r="C1685" s="61" t="s">
        <v>153</v>
      </c>
      <c r="D1685" s="71">
        <v>6</v>
      </c>
      <c r="E1685" s="70">
        <v>0</v>
      </c>
    </row>
    <row r="1686" spans="2:5" ht="15" customHeight="1">
      <c r="B1686" s="112"/>
      <c r="C1686" s="61" t="s">
        <v>154</v>
      </c>
      <c r="D1686" s="71">
        <v>4</v>
      </c>
      <c r="E1686" s="70">
        <v>0</v>
      </c>
    </row>
    <row r="1687" spans="2:5" ht="15" customHeight="1">
      <c r="B1687" s="112"/>
      <c r="C1687" s="61" t="s">
        <v>183</v>
      </c>
      <c r="D1687" s="71">
        <v>2</v>
      </c>
      <c r="E1687" s="70">
        <v>0</v>
      </c>
    </row>
    <row r="1688" spans="2:5" ht="15" customHeight="1">
      <c r="B1688" s="112"/>
      <c r="C1688" s="61" t="s">
        <v>155</v>
      </c>
      <c r="D1688" s="71">
        <v>8</v>
      </c>
      <c r="E1688" s="70">
        <v>0</v>
      </c>
    </row>
    <row r="1689" spans="2:5" ht="15" customHeight="1">
      <c r="B1689" s="112"/>
      <c r="C1689" s="61" t="s">
        <v>194</v>
      </c>
      <c r="D1689" s="71">
        <v>2</v>
      </c>
      <c r="E1689" s="70">
        <v>0</v>
      </c>
    </row>
    <row r="1690" spans="2:5" ht="15" customHeight="1">
      <c r="B1690" s="112"/>
      <c r="C1690" s="61" t="s">
        <v>185</v>
      </c>
      <c r="D1690" s="71">
        <v>3</v>
      </c>
      <c r="E1690" s="70">
        <v>0</v>
      </c>
    </row>
    <row r="1691" spans="2:5" ht="15" customHeight="1">
      <c r="B1691" s="112"/>
      <c r="C1691" s="61" t="s">
        <v>186</v>
      </c>
      <c r="D1691" s="71">
        <v>6</v>
      </c>
      <c r="E1691" s="70">
        <v>0</v>
      </c>
    </row>
    <row r="1692" spans="2:5" ht="15" customHeight="1">
      <c r="B1692" s="112"/>
      <c r="C1692" s="61" t="s">
        <v>187</v>
      </c>
      <c r="D1692" s="71">
        <v>5</v>
      </c>
      <c r="E1692" s="70">
        <v>0</v>
      </c>
    </row>
    <row r="1693" spans="2:5" ht="15" customHeight="1">
      <c r="B1693" s="112"/>
      <c r="C1693" s="61" t="s">
        <v>188</v>
      </c>
      <c r="D1693" s="71">
        <v>6</v>
      </c>
      <c r="E1693" s="70">
        <v>0</v>
      </c>
    </row>
    <row r="1694" spans="2:5" ht="15" customHeight="1">
      <c r="B1694" s="112"/>
      <c r="C1694" s="61" t="s">
        <v>189</v>
      </c>
      <c r="D1694" s="71">
        <v>15</v>
      </c>
      <c r="E1694" s="70">
        <v>1E-3</v>
      </c>
    </row>
    <row r="1695" spans="2:5" ht="15" customHeight="1">
      <c r="B1695" s="112"/>
      <c r="C1695" s="61" t="s">
        <v>191</v>
      </c>
      <c r="D1695" s="71">
        <v>20</v>
      </c>
      <c r="E1695" s="70">
        <v>1E-3</v>
      </c>
    </row>
    <row r="1696" spans="2:5" ht="15" customHeight="1">
      <c r="B1696" s="112"/>
      <c r="C1696" s="61" t="s">
        <v>156</v>
      </c>
      <c r="D1696" s="71">
        <v>8</v>
      </c>
      <c r="E1696" s="70">
        <v>0</v>
      </c>
    </row>
    <row r="1697" spans="2:5" ht="15" customHeight="1">
      <c r="B1697" s="112"/>
      <c r="C1697" s="61" t="s">
        <v>196</v>
      </c>
      <c r="D1697" s="71">
        <v>2</v>
      </c>
      <c r="E1697" s="70">
        <v>0</v>
      </c>
    </row>
    <row r="1698" spans="2:5" ht="15" customHeight="1">
      <c r="B1698" s="112"/>
      <c r="C1698" s="61" t="s">
        <v>157</v>
      </c>
      <c r="D1698" s="71">
        <v>4</v>
      </c>
      <c r="E1698" s="70">
        <v>0</v>
      </c>
    </row>
    <row r="1699" spans="2:5" ht="15" customHeight="1">
      <c r="B1699" s="112"/>
      <c r="C1699" s="61" t="s">
        <v>158</v>
      </c>
      <c r="D1699" s="71">
        <v>2</v>
      </c>
      <c r="E1699" s="70">
        <v>0</v>
      </c>
    </row>
    <row r="1700" spans="2:5" ht="15" customHeight="1">
      <c r="B1700" s="112"/>
      <c r="C1700" s="61" t="s">
        <v>192</v>
      </c>
      <c r="D1700" s="71">
        <v>1</v>
      </c>
      <c r="E1700" s="70">
        <v>0</v>
      </c>
    </row>
    <row r="1701" spans="2:5" ht="15" customHeight="1">
      <c r="B1701" s="112"/>
      <c r="C1701" s="61" t="s">
        <v>159</v>
      </c>
      <c r="D1701" s="71">
        <v>36</v>
      </c>
      <c r="E1701" s="70">
        <v>1E-3</v>
      </c>
    </row>
    <row r="1702" spans="2:5" ht="15" customHeight="1">
      <c r="B1702" s="112"/>
      <c r="C1702" s="61" t="s">
        <v>160</v>
      </c>
      <c r="D1702" s="71">
        <v>24</v>
      </c>
      <c r="E1702" s="70">
        <v>1E-3</v>
      </c>
    </row>
    <row r="1703" spans="2:5" ht="15" customHeight="1">
      <c r="B1703" s="112"/>
      <c r="C1703" s="74" t="s">
        <v>309</v>
      </c>
      <c r="D1703" s="77">
        <v>451</v>
      </c>
      <c r="E1703" s="75">
        <v>1.7000000000000001E-2</v>
      </c>
    </row>
    <row r="1704" spans="2:5" ht="15" customHeight="1">
      <c r="B1704" s="112" t="s">
        <v>84</v>
      </c>
      <c r="C1704" s="61" t="s">
        <v>163</v>
      </c>
      <c r="D1704" s="71">
        <v>1</v>
      </c>
      <c r="E1704" s="70">
        <v>0</v>
      </c>
    </row>
    <row r="1705" spans="2:5" ht="15" customHeight="1">
      <c r="B1705" s="112"/>
      <c r="C1705" s="61" t="s">
        <v>164</v>
      </c>
      <c r="D1705" s="71">
        <v>1</v>
      </c>
      <c r="E1705" s="70">
        <v>0</v>
      </c>
    </row>
    <row r="1706" spans="2:5" ht="15" customHeight="1">
      <c r="B1706" s="112"/>
      <c r="C1706" s="61" t="s">
        <v>168</v>
      </c>
      <c r="D1706" s="71">
        <v>1</v>
      </c>
      <c r="E1706" s="70">
        <v>0</v>
      </c>
    </row>
    <row r="1707" spans="2:5" ht="15" customHeight="1">
      <c r="B1707" s="112"/>
      <c r="C1707" s="61" t="s">
        <v>169</v>
      </c>
      <c r="D1707" s="71">
        <v>1</v>
      </c>
      <c r="E1707" s="70">
        <v>0</v>
      </c>
    </row>
    <row r="1708" spans="2:5" ht="15" customHeight="1">
      <c r="B1708" s="112"/>
      <c r="C1708" s="61" t="s">
        <v>161</v>
      </c>
      <c r="D1708" s="71">
        <v>3</v>
      </c>
      <c r="E1708" s="70">
        <v>0</v>
      </c>
    </row>
    <row r="1709" spans="2:5" ht="15" customHeight="1">
      <c r="B1709" s="112"/>
      <c r="C1709" s="61" t="s">
        <v>285</v>
      </c>
      <c r="D1709" s="71">
        <v>1</v>
      </c>
      <c r="E1709" s="70">
        <v>0</v>
      </c>
    </row>
    <row r="1710" spans="2:5" ht="15" customHeight="1">
      <c r="B1710" s="112"/>
      <c r="C1710" s="61" t="s">
        <v>146</v>
      </c>
      <c r="D1710" s="71">
        <v>4</v>
      </c>
      <c r="E1710" s="70">
        <v>0</v>
      </c>
    </row>
    <row r="1711" spans="2:5" ht="15" customHeight="1">
      <c r="B1711" s="112"/>
      <c r="C1711" s="61" t="s">
        <v>171</v>
      </c>
      <c r="D1711" s="71">
        <v>1</v>
      </c>
      <c r="E1711" s="70">
        <v>0</v>
      </c>
    </row>
    <row r="1712" spans="2:5" ht="15" customHeight="1">
      <c r="B1712" s="112"/>
      <c r="C1712" s="61" t="s">
        <v>148</v>
      </c>
      <c r="D1712" s="71">
        <v>1</v>
      </c>
      <c r="E1712" s="70">
        <v>0</v>
      </c>
    </row>
    <row r="1713" spans="2:5" ht="15" customHeight="1">
      <c r="B1713" s="112"/>
      <c r="C1713" s="61" t="s">
        <v>174</v>
      </c>
      <c r="D1713" s="71">
        <v>1</v>
      </c>
      <c r="E1713" s="70">
        <v>0</v>
      </c>
    </row>
    <row r="1714" spans="2:5" ht="15" customHeight="1">
      <c r="B1714" s="112"/>
      <c r="C1714" s="61" t="s">
        <v>175</v>
      </c>
      <c r="D1714" s="71">
        <v>1</v>
      </c>
      <c r="E1714" s="70">
        <v>0</v>
      </c>
    </row>
    <row r="1715" spans="2:5" ht="15" customHeight="1">
      <c r="B1715" s="112"/>
      <c r="C1715" s="61" t="s">
        <v>177</v>
      </c>
      <c r="D1715" s="71">
        <v>1</v>
      </c>
      <c r="E1715" s="70">
        <v>0</v>
      </c>
    </row>
    <row r="1716" spans="2:5" ht="15" customHeight="1">
      <c r="B1716" s="112"/>
      <c r="C1716" s="61" t="s">
        <v>150</v>
      </c>
      <c r="D1716" s="71">
        <v>1</v>
      </c>
      <c r="E1716" s="70">
        <v>0</v>
      </c>
    </row>
    <row r="1717" spans="2:5" ht="15" customHeight="1">
      <c r="B1717" s="112"/>
      <c r="C1717" s="61" t="s">
        <v>152</v>
      </c>
      <c r="D1717" s="71">
        <v>5</v>
      </c>
      <c r="E1717" s="70">
        <v>0</v>
      </c>
    </row>
    <row r="1718" spans="2:5" ht="15" customHeight="1">
      <c r="B1718" s="112"/>
      <c r="C1718" s="61" t="s">
        <v>162</v>
      </c>
      <c r="D1718" s="71">
        <v>1</v>
      </c>
      <c r="E1718" s="70">
        <v>0</v>
      </c>
    </row>
    <row r="1719" spans="2:5" ht="15" customHeight="1">
      <c r="B1719" s="112"/>
      <c r="C1719" s="61" t="s">
        <v>153</v>
      </c>
      <c r="D1719" s="71">
        <v>3</v>
      </c>
      <c r="E1719" s="70">
        <v>0</v>
      </c>
    </row>
    <row r="1720" spans="2:5" ht="15" customHeight="1">
      <c r="B1720" s="112"/>
      <c r="C1720" s="61" t="s">
        <v>185</v>
      </c>
      <c r="D1720" s="71">
        <v>1</v>
      </c>
      <c r="E1720" s="70">
        <v>0</v>
      </c>
    </row>
    <row r="1721" spans="2:5" ht="15" customHeight="1">
      <c r="B1721" s="112"/>
      <c r="C1721" s="61" t="s">
        <v>186</v>
      </c>
      <c r="D1721" s="71">
        <v>1</v>
      </c>
      <c r="E1721" s="70">
        <v>0</v>
      </c>
    </row>
    <row r="1722" spans="2:5" ht="15" customHeight="1">
      <c r="B1722" s="112"/>
      <c r="C1722" s="61" t="s">
        <v>189</v>
      </c>
      <c r="D1722" s="71">
        <v>1</v>
      </c>
      <c r="E1722" s="70">
        <v>0</v>
      </c>
    </row>
    <row r="1723" spans="2:5" ht="15" customHeight="1">
      <c r="B1723" s="112"/>
      <c r="C1723" s="61" t="s">
        <v>191</v>
      </c>
      <c r="D1723" s="71">
        <v>1</v>
      </c>
      <c r="E1723" s="70">
        <v>0</v>
      </c>
    </row>
    <row r="1724" spans="2:5" ht="15" customHeight="1">
      <c r="B1724" s="112"/>
      <c r="C1724" s="61" t="s">
        <v>196</v>
      </c>
      <c r="D1724" s="71">
        <v>4</v>
      </c>
      <c r="E1724" s="70">
        <v>0</v>
      </c>
    </row>
    <row r="1725" spans="2:5" ht="15" customHeight="1">
      <c r="B1725" s="112"/>
      <c r="C1725" s="61" t="s">
        <v>159</v>
      </c>
      <c r="D1725" s="71">
        <v>1</v>
      </c>
      <c r="E1725" s="70">
        <v>0</v>
      </c>
    </row>
    <row r="1726" spans="2:5" ht="15" customHeight="1">
      <c r="B1726" s="112"/>
      <c r="C1726" s="61" t="s">
        <v>160</v>
      </c>
      <c r="D1726" s="71">
        <v>1</v>
      </c>
      <c r="E1726" s="70">
        <v>0</v>
      </c>
    </row>
    <row r="1727" spans="2:5" ht="15" customHeight="1">
      <c r="B1727" s="112"/>
      <c r="C1727" s="74" t="s">
        <v>309</v>
      </c>
      <c r="D1727" s="77">
        <v>37</v>
      </c>
      <c r="E1727" s="75">
        <v>1E-3</v>
      </c>
    </row>
    <row r="1728" spans="2:5" ht="15" customHeight="1">
      <c r="B1728" s="112" t="s">
        <v>90</v>
      </c>
      <c r="C1728" s="61" t="s">
        <v>166</v>
      </c>
      <c r="D1728" s="71">
        <v>2</v>
      </c>
      <c r="E1728" s="70">
        <v>0</v>
      </c>
    </row>
    <row r="1729" spans="2:5" ht="15" customHeight="1">
      <c r="B1729" s="112"/>
      <c r="C1729" s="61" t="s">
        <v>170</v>
      </c>
      <c r="D1729" s="71">
        <v>1</v>
      </c>
      <c r="E1729" s="70">
        <v>0</v>
      </c>
    </row>
    <row r="1730" spans="2:5" ht="15" customHeight="1">
      <c r="B1730" s="112"/>
      <c r="C1730" s="61" t="s">
        <v>146</v>
      </c>
      <c r="D1730" s="71">
        <v>3</v>
      </c>
      <c r="E1730" s="70">
        <v>0</v>
      </c>
    </row>
    <row r="1731" spans="2:5" ht="15" customHeight="1">
      <c r="B1731" s="112"/>
      <c r="C1731" s="61" t="s">
        <v>173</v>
      </c>
      <c r="D1731" s="71">
        <v>2</v>
      </c>
      <c r="E1731" s="70">
        <v>0</v>
      </c>
    </row>
    <row r="1732" spans="2:5" ht="15" customHeight="1">
      <c r="B1732" s="112"/>
      <c r="C1732" s="61" t="s">
        <v>148</v>
      </c>
      <c r="D1732" s="71">
        <v>2</v>
      </c>
      <c r="E1732" s="70">
        <v>0</v>
      </c>
    </row>
    <row r="1733" spans="2:5" ht="15" customHeight="1">
      <c r="B1733" s="112"/>
      <c r="C1733" s="61" t="s">
        <v>174</v>
      </c>
      <c r="D1733" s="71">
        <v>2</v>
      </c>
      <c r="E1733" s="70">
        <v>0</v>
      </c>
    </row>
    <row r="1734" spans="2:5" ht="15" customHeight="1">
      <c r="B1734" s="112"/>
      <c r="C1734" s="61" t="s">
        <v>162</v>
      </c>
      <c r="D1734" s="71">
        <v>1</v>
      </c>
      <c r="E1734" s="70">
        <v>0</v>
      </c>
    </row>
    <row r="1735" spans="2:5" ht="15" customHeight="1">
      <c r="B1735" s="112"/>
      <c r="C1735" s="61" t="s">
        <v>182</v>
      </c>
      <c r="D1735" s="71">
        <v>1</v>
      </c>
      <c r="E1735" s="70">
        <v>0</v>
      </c>
    </row>
    <row r="1736" spans="2:5" ht="15" customHeight="1">
      <c r="B1736" s="112"/>
      <c r="C1736" s="61" t="s">
        <v>183</v>
      </c>
      <c r="D1736" s="71">
        <v>2</v>
      </c>
      <c r="E1736" s="70">
        <v>0</v>
      </c>
    </row>
    <row r="1737" spans="2:5" ht="15" customHeight="1">
      <c r="B1737" s="112"/>
      <c r="C1737" s="61" t="s">
        <v>185</v>
      </c>
      <c r="D1737" s="71">
        <v>2</v>
      </c>
      <c r="E1737" s="70">
        <v>0</v>
      </c>
    </row>
    <row r="1738" spans="2:5" ht="15" customHeight="1">
      <c r="B1738" s="112"/>
      <c r="C1738" s="61" t="s">
        <v>191</v>
      </c>
      <c r="D1738" s="71">
        <v>2</v>
      </c>
      <c r="E1738" s="70">
        <v>0</v>
      </c>
    </row>
    <row r="1739" spans="2:5" ht="15" customHeight="1">
      <c r="B1739" s="112"/>
      <c r="C1739" s="61" t="s">
        <v>192</v>
      </c>
      <c r="D1739" s="71">
        <v>1</v>
      </c>
      <c r="E1739" s="70">
        <v>0</v>
      </c>
    </row>
    <row r="1740" spans="2:5" ht="15" customHeight="1">
      <c r="B1740" s="112"/>
      <c r="C1740" s="61" t="s">
        <v>159</v>
      </c>
      <c r="D1740" s="71">
        <v>1</v>
      </c>
      <c r="E1740" s="70">
        <v>0</v>
      </c>
    </row>
    <row r="1741" spans="2:5" ht="15" customHeight="1">
      <c r="B1741" s="112"/>
      <c r="C1741" s="74" t="s">
        <v>309</v>
      </c>
      <c r="D1741" s="77">
        <v>22</v>
      </c>
      <c r="E1741" s="75">
        <v>1E-3</v>
      </c>
    </row>
    <row r="1742" spans="2:5" ht="15" customHeight="1">
      <c r="B1742" s="112" t="s">
        <v>80</v>
      </c>
      <c r="C1742" s="61" t="s">
        <v>163</v>
      </c>
      <c r="D1742" s="71">
        <v>1</v>
      </c>
      <c r="E1742" s="70">
        <v>0</v>
      </c>
    </row>
    <row r="1743" spans="2:5" ht="15" customHeight="1">
      <c r="B1743" s="112"/>
      <c r="C1743" s="61" t="s">
        <v>165</v>
      </c>
      <c r="D1743" s="71">
        <v>6</v>
      </c>
      <c r="E1743" s="70">
        <v>0</v>
      </c>
    </row>
    <row r="1744" spans="2:5" ht="15" customHeight="1">
      <c r="B1744" s="112"/>
      <c r="C1744" s="61" t="s">
        <v>169</v>
      </c>
      <c r="D1744" s="71">
        <v>3</v>
      </c>
      <c r="E1744" s="70">
        <v>0</v>
      </c>
    </row>
    <row r="1745" spans="2:5" ht="15" customHeight="1">
      <c r="B1745" s="112"/>
      <c r="C1745" s="61" t="s">
        <v>285</v>
      </c>
      <c r="D1745" s="71">
        <v>1</v>
      </c>
      <c r="E1745" s="70">
        <v>0</v>
      </c>
    </row>
    <row r="1746" spans="2:5" ht="15" customHeight="1">
      <c r="B1746" s="112"/>
      <c r="C1746" s="61" t="s">
        <v>146</v>
      </c>
      <c r="D1746" s="71">
        <v>10</v>
      </c>
      <c r="E1746" s="70">
        <v>0</v>
      </c>
    </row>
    <row r="1747" spans="2:5" ht="15" customHeight="1">
      <c r="B1747" s="112"/>
      <c r="C1747" s="61" t="s">
        <v>147</v>
      </c>
      <c r="D1747" s="71">
        <v>7</v>
      </c>
      <c r="E1747" s="70">
        <v>0</v>
      </c>
    </row>
    <row r="1748" spans="2:5" ht="15" customHeight="1">
      <c r="B1748" s="112"/>
      <c r="C1748" s="61" t="s">
        <v>173</v>
      </c>
      <c r="D1748" s="71">
        <v>1</v>
      </c>
      <c r="E1748" s="70">
        <v>0</v>
      </c>
    </row>
    <row r="1749" spans="2:5" ht="15" customHeight="1">
      <c r="B1749" s="112"/>
      <c r="C1749" s="61" t="s">
        <v>148</v>
      </c>
      <c r="D1749" s="71">
        <v>3</v>
      </c>
      <c r="E1749" s="70">
        <v>0</v>
      </c>
    </row>
    <row r="1750" spans="2:5" ht="15" customHeight="1">
      <c r="B1750" s="112"/>
      <c r="C1750" s="61" t="s">
        <v>174</v>
      </c>
      <c r="D1750" s="71">
        <v>1</v>
      </c>
      <c r="E1750" s="70">
        <v>0</v>
      </c>
    </row>
    <row r="1751" spans="2:5" ht="15" customHeight="1">
      <c r="B1751" s="112"/>
      <c r="C1751" s="61" t="s">
        <v>175</v>
      </c>
      <c r="D1751" s="71">
        <v>1</v>
      </c>
      <c r="E1751" s="70">
        <v>0</v>
      </c>
    </row>
    <row r="1752" spans="2:5" ht="15" customHeight="1">
      <c r="B1752" s="112"/>
      <c r="C1752" s="61" t="s">
        <v>179</v>
      </c>
      <c r="D1752" s="71">
        <v>3</v>
      </c>
      <c r="E1752" s="70">
        <v>0</v>
      </c>
    </row>
    <row r="1753" spans="2:5" ht="15" customHeight="1">
      <c r="B1753" s="112"/>
      <c r="C1753" s="61" t="s">
        <v>152</v>
      </c>
      <c r="D1753" s="71">
        <v>2</v>
      </c>
      <c r="E1753" s="70">
        <v>0</v>
      </c>
    </row>
    <row r="1754" spans="2:5" ht="15" customHeight="1">
      <c r="B1754" s="112"/>
      <c r="C1754" s="61" t="s">
        <v>203</v>
      </c>
      <c r="D1754" s="71">
        <v>3</v>
      </c>
      <c r="E1754" s="70">
        <v>0</v>
      </c>
    </row>
    <row r="1755" spans="2:5" ht="15" customHeight="1">
      <c r="B1755" s="112"/>
      <c r="C1755" s="61" t="s">
        <v>162</v>
      </c>
      <c r="D1755" s="71">
        <v>7</v>
      </c>
      <c r="E1755" s="70">
        <v>0</v>
      </c>
    </row>
    <row r="1756" spans="2:5" ht="15" customHeight="1">
      <c r="B1756" s="112"/>
      <c r="C1756" s="61" t="s">
        <v>153</v>
      </c>
      <c r="D1756" s="71">
        <v>2</v>
      </c>
      <c r="E1756" s="70">
        <v>0</v>
      </c>
    </row>
    <row r="1757" spans="2:5" ht="15" customHeight="1">
      <c r="B1757" s="112"/>
      <c r="C1757" s="61" t="s">
        <v>154</v>
      </c>
      <c r="D1757" s="71">
        <v>2</v>
      </c>
      <c r="E1757" s="70">
        <v>0</v>
      </c>
    </row>
    <row r="1758" spans="2:5" ht="15" customHeight="1">
      <c r="B1758" s="112"/>
      <c r="C1758" s="61" t="s">
        <v>155</v>
      </c>
      <c r="D1758" s="71">
        <v>5</v>
      </c>
      <c r="E1758" s="70">
        <v>0</v>
      </c>
    </row>
    <row r="1759" spans="2:5" ht="15" customHeight="1">
      <c r="B1759" s="112"/>
      <c r="C1759" s="61" t="s">
        <v>188</v>
      </c>
      <c r="D1759" s="71">
        <v>3</v>
      </c>
      <c r="E1759" s="70">
        <v>0</v>
      </c>
    </row>
    <row r="1760" spans="2:5" ht="15" customHeight="1">
      <c r="B1760" s="112"/>
      <c r="C1760" s="61" t="s">
        <v>189</v>
      </c>
      <c r="D1760" s="71">
        <v>3</v>
      </c>
      <c r="E1760" s="70">
        <v>0</v>
      </c>
    </row>
    <row r="1761" spans="2:5" ht="15" customHeight="1">
      <c r="B1761" s="112"/>
      <c r="C1761" s="61" t="s">
        <v>196</v>
      </c>
      <c r="D1761" s="71">
        <v>1</v>
      </c>
      <c r="E1761" s="70">
        <v>0</v>
      </c>
    </row>
    <row r="1762" spans="2:5" ht="15" customHeight="1">
      <c r="B1762" s="112"/>
      <c r="C1762" s="61" t="s">
        <v>157</v>
      </c>
      <c r="D1762" s="71">
        <v>3</v>
      </c>
      <c r="E1762" s="70">
        <v>0</v>
      </c>
    </row>
    <row r="1763" spans="2:5" ht="15" customHeight="1">
      <c r="B1763" s="112"/>
      <c r="C1763" s="61" t="s">
        <v>192</v>
      </c>
      <c r="D1763" s="71">
        <v>19</v>
      </c>
      <c r="E1763" s="70">
        <v>1E-3</v>
      </c>
    </row>
    <row r="1764" spans="2:5" ht="15" customHeight="1">
      <c r="B1764" s="112"/>
      <c r="C1764" s="61" t="s">
        <v>160</v>
      </c>
      <c r="D1764" s="71">
        <v>9</v>
      </c>
      <c r="E1764" s="70">
        <v>0</v>
      </c>
    </row>
    <row r="1765" spans="2:5" ht="15" customHeight="1">
      <c r="B1765" s="112"/>
      <c r="C1765" s="74" t="s">
        <v>309</v>
      </c>
      <c r="D1765" s="77">
        <v>96</v>
      </c>
      <c r="E1765" s="75">
        <v>4.0000000000000001E-3</v>
      </c>
    </row>
    <row r="1766" spans="2:5" ht="15" customHeight="1">
      <c r="B1766" s="112" t="s">
        <v>91</v>
      </c>
      <c r="C1766" s="61" t="s">
        <v>163</v>
      </c>
      <c r="D1766" s="71">
        <v>1</v>
      </c>
      <c r="E1766" s="70">
        <v>0</v>
      </c>
    </row>
    <row r="1767" spans="2:5" ht="15" customHeight="1">
      <c r="B1767" s="112"/>
      <c r="C1767" s="61" t="s">
        <v>149</v>
      </c>
      <c r="D1767" s="71">
        <v>1</v>
      </c>
      <c r="E1767" s="70">
        <v>0</v>
      </c>
    </row>
    <row r="1768" spans="2:5" ht="15" customHeight="1">
      <c r="B1768" s="112"/>
      <c r="C1768" s="61" t="s">
        <v>154</v>
      </c>
      <c r="D1768" s="71">
        <v>1</v>
      </c>
      <c r="E1768" s="70">
        <v>0</v>
      </c>
    </row>
    <row r="1769" spans="2:5" ht="15" customHeight="1">
      <c r="B1769" s="112"/>
      <c r="C1769" s="74" t="s">
        <v>309</v>
      </c>
      <c r="D1769" s="77">
        <v>3</v>
      </c>
      <c r="E1769" s="75">
        <v>0</v>
      </c>
    </row>
    <row r="1770" spans="2:5" ht="15" customHeight="1">
      <c r="B1770" s="113" t="s">
        <v>307</v>
      </c>
      <c r="C1770" s="113"/>
      <c r="D1770" s="41">
        <v>27182</v>
      </c>
      <c r="E1770" s="73">
        <v>1</v>
      </c>
    </row>
    <row r="1771" spans="2:5" ht="15" customHeight="1">
      <c r="B1771" s="35"/>
      <c r="C1771" s="35"/>
      <c r="D1771" s="35"/>
      <c r="E1771" s="35"/>
    </row>
    <row r="1772" spans="2:5" ht="15" customHeight="1">
      <c r="B1772" s="37" t="s">
        <v>284</v>
      </c>
      <c r="C1772" s="35"/>
      <c r="D1772" s="35"/>
      <c r="E1772" s="35"/>
    </row>
    <row r="1773" spans="2:5" ht="15" customHeight="1">
      <c r="B1773" s="38" t="s">
        <v>18</v>
      </c>
      <c r="C1773" s="35"/>
      <c r="D1773" s="35"/>
      <c r="E1773" s="35"/>
    </row>
    <row r="1774" spans="2:5" ht="15" customHeight="1">
      <c r="B1774" s="39" t="s">
        <v>143</v>
      </c>
      <c r="C1774" s="35"/>
      <c r="D1774" s="35"/>
      <c r="E1774" s="35"/>
    </row>
    <row r="1775" spans="2:5" ht="15" customHeight="1">
      <c r="B1775" s="37" t="s">
        <v>17</v>
      </c>
      <c r="C1775" s="35"/>
      <c r="D1775" s="35"/>
      <c r="E1775" s="35"/>
    </row>
    <row r="1776" spans="2:5" ht="15" customHeight="1">
      <c r="B1776" s="37" t="s">
        <v>311</v>
      </c>
      <c r="C1776" s="35"/>
      <c r="D1776" s="35"/>
      <c r="E1776" s="35"/>
    </row>
  </sheetData>
  <mergeCells count="53">
    <mergeCell ref="B864:B893"/>
    <mergeCell ref="B830:B863"/>
    <mergeCell ref="B772:B829"/>
    <mergeCell ref="B727:B771"/>
    <mergeCell ref="B679:B726"/>
    <mergeCell ref="B665:B678"/>
    <mergeCell ref="B618:B664"/>
    <mergeCell ref="B584:B617"/>
    <mergeCell ref="B531:B583"/>
    <mergeCell ref="B1351:B1390"/>
    <mergeCell ref="B1307:B1350"/>
    <mergeCell ref="B1258:B1306"/>
    <mergeCell ref="B1234:B1257"/>
    <mergeCell ref="B1209:B1233"/>
    <mergeCell ref="B1159:B1208"/>
    <mergeCell ref="B1123:B1158"/>
    <mergeCell ref="B1092:B1122"/>
    <mergeCell ref="B1046:B1091"/>
    <mergeCell ref="B975:B992"/>
    <mergeCell ref="B940:B974"/>
    <mergeCell ref="B938:B939"/>
    <mergeCell ref="B1770:C1770"/>
    <mergeCell ref="B1742:B1765"/>
    <mergeCell ref="B1766:B1769"/>
    <mergeCell ref="B1728:B1741"/>
    <mergeCell ref="B1704:B1727"/>
    <mergeCell ref="B1654:B1703"/>
    <mergeCell ref="B1604:B1653"/>
    <mergeCell ref="B1560:B1603"/>
    <mergeCell ref="B1522:B1559"/>
    <mergeCell ref="B993:B1045"/>
    <mergeCell ref="B930:B937"/>
    <mergeCell ref="B894:B929"/>
    <mergeCell ref="B1466:B1521"/>
    <mergeCell ref="B1422:B1465"/>
    <mergeCell ref="B1391:B1421"/>
    <mergeCell ref="B483:B530"/>
    <mergeCell ref="B468:B482"/>
    <mergeCell ref="B439:B467"/>
    <mergeCell ref="B431:B438"/>
    <mergeCell ref="B391:B430"/>
    <mergeCell ref="B187:B208"/>
    <mergeCell ref="B7:E8"/>
    <mergeCell ref="B341:B390"/>
    <mergeCell ref="B333:B340"/>
    <mergeCell ref="B276:B332"/>
    <mergeCell ref="B218:B275"/>
    <mergeCell ref="B209:B217"/>
    <mergeCell ref="B177:B186"/>
    <mergeCell ref="B137:B176"/>
    <mergeCell ref="B91:B136"/>
    <mergeCell ref="B47:B90"/>
    <mergeCell ref="B10:B4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9" orientation="portrait" r:id="rId1"/>
  <rowBreaks count="1" manualBreakCount="1">
    <brk id="1725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43"/>
  <sheetViews>
    <sheetView showGridLines="0" view="pageBreakPreview" zoomScale="110" zoomScaleNormal="100" zoomScaleSheetLayoutView="110" workbookViewId="0">
      <selection activeCell="G9" sqref="G9"/>
    </sheetView>
  </sheetViews>
  <sheetFormatPr baseColWidth="10" defaultColWidth="11.42578125" defaultRowHeight="15"/>
  <cols>
    <col min="1" max="1" width="9.28515625" style="13" customWidth="1"/>
    <col min="2" max="2" width="30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8554687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0" t="s">
        <v>37</v>
      </c>
      <c r="C7" s="110"/>
      <c r="D7" s="110"/>
      <c r="E7" s="30"/>
      <c r="F7" s="30"/>
    </row>
    <row r="8" spans="1:6" s="15" customFormat="1" ht="15" customHeight="1">
      <c r="A8" s="30"/>
      <c r="B8" s="110"/>
      <c r="C8" s="110"/>
      <c r="D8" s="110"/>
      <c r="E8" s="30"/>
      <c r="F8" s="30"/>
    </row>
    <row r="9" spans="1:6" s="15" customFormat="1" ht="33" customHeight="1">
      <c r="A9" s="30"/>
      <c r="B9" s="110"/>
      <c r="C9" s="110"/>
      <c r="D9" s="110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42" t="s">
        <v>27</v>
      </c>
      <c r="C11" s="43" t="s">
        <v>26</v>
      </c>
      <c r="D11" s="44" t="s">
        <v>19</v>
      </c>
      <c r="E11" s="30"/>
      <c r="F11" s="30"/>
    </row>
    <row r="12" spans="1:6" ht="16.5">
      <c r="A12" s="45"/>
      <c r="B12" s="67" t="s">
        <v>204</v>
      </c>
      <c r="C12" s="62">
        <v>288</v>
      </c>
      <c r="D12" s="63">
        <v>1.0595246854536E-2</v>
      </c>
      <c r="E12" s="34"/>
      <c r="F12" s="34"/>
    </row>
    <row r="13" spans="1:6" ht="14.45" customHeight="1">
      <c r="A13" s="34"/>
      <c r="B13" s="67" t="s">
        <v>286</v>
      </c>
      <c r="C13" s="62">
        <v>2</v>
      </c>
      <c r="D13" s="63">
        <v>7.3578103156999997E-5</v>
      </c>
      <c r="E13" s="34"/>
      <c r="F13" s="34"/>
    </row>
    <row r="14" spans="1:6" ht="14.45" customHeight="1">
      <c r="A14" s="34"/>
      <c r="B14" s="67" t="s">
        <v>205</v>
      </c>
      <c r="C14" s="62">
        <v>134</v>
      </c>
      <c r="D14" s="63">
        <v>4.9297329114860004E-3</v>
      </c>
      <c r="E14" s="34"/>
      <c r="F14" s="34"/>
    </row>
    <row r="15" spans="1:6" ht="14.45" customHeight="1">
      <c r="A15" s="34"/>
      <c r="B15" s="67" t="s">
        <v>206</v>
      </c>
      <c r="C15" s="62">
        <v>230</v>
      </c>
      <c r="D15" s="63">
        <v>8.4614818629979993E-3</v>
      </c>
      <c r="E15" s="34"/>
      <c r="F15" s="34"/>
    </row>
    <row r="16" spans="1:6" ht="14.45" customHeight="1">
      <c r="A16" s="34"/>
      <c r="B16" s="67" t="s">
        <v>207</v>
      </c>
      <c r="C16" s="62">
        <v>576</v>
      </c>
      <c r="D16" s="63">
        <v>2.1190493709072E-2</v>
      </c>
      <c r="E16" s="34"/>
      <c r="F16" s="34"/>
    </row>
    <row r="17" spans="1:6" ht="14.45" customHeight="1">
      <c r="A17" s="34"/>
      <c r="B17" s="67" t="s">
        <v>208</v>
      </c>
      <c r="C17" s="62">
        <v>435</v>
      </c>
      <c r="D17" s="63">
        <v>1.6003237436538999E-2</v>
      </c>
      <c r="E17" s="34"/>
      <c r="F17" s="34"/>
    </row>
    <row r="18" spans="1:6" ht="14.45" customHeight="1">
      <c r="A18" s="34"/>
      <c r="B18" s="67" t="s">
        <v>209</v>
      </c>
      <c r="C18" s="62">
        <v>576</v>
      </c>
      <c r="D18" s="63">
        <v>2.1190493709072E-2</v>
      </c>
      <c r="E18" s="34"/>
      <c r="F18" s="34"/>
    </row>
    <row r="19" spans="1:6" ht="14.45" customHeight="1">
      <c r="A19" s="34"/>
      <c r="B19" s="67" t="s">
        <v>210</v>
      </c>
      <c r="C19" s="62">
        <v>2521</v>
      </c>
      <c r="D19" s="63">
        <v>9.2745199028769001E-2</v>
      </c>
      <c r="E19" s="34"/>
      <c r="F19" s="34"/>
    </row>
    <row r="20" spans="1:6" ht="14.45" customHeight="1">
      <c r="A20" s="34"/>
      <c r="B20" s="67" t="s">
        <v>211</v>
      </c>
      <c r="C20" s="62">
        <v>4462</v>
      </c>
      <c r="D20" s="63">
        <v>0.164152748142153</v>
      </c>
      <c r="E20" s="34"/>
      <c r="F20" s="34"/>
    </row>
    <row r="21" spans="1:6" ht="14.45" customHeight="1">
      <c r="A21" s="34"/>
      <c r="B21" s="67" t="s">
        <v>212</v>
      </c>
      <c r="C21" s="62">
        <v>316</v>
      </c>
      <c r="D21" s="63">
        <v>1.1625340298726999E-2</v>
      </c>
      <c r="E21" s="34"/>
      <c r="F21" s="34"/>
    </row>
    <row r="22" spans="1:6" ht="14.45" customHeight="1">
      <c r="A22" s="34"/>
      <c r="B22" s="67" t="s">
        <v>213</v>
      </c>
      <c r="C22" s="62">
        <v>666</v>
      </c>
      <c r="D22" s="63">
        <v>2.4501508351115E-2</v>
      </c>
      <c r="E22" s="34"/>
      <c r="F22" s="34"/>
    </row>
    <row r="23" spans="1:6" ht="14.45" customHeight="1">
      <c r="A23" s="34"/>
      <c r="B23" s="67" t="s">
        <v>214</v>
      </c>
      <c r="C23" s="62">
        <v>1213</v>
      </c>
      <c r="D23" s="63">
        <v>4.4625119564418003E-2</v>
      </c>
      <c r="E23" s="34"/>
      <c r="F23" s="34"/>
    </row>
    <row r="24" spans="1:6" ht="14.45" customHeight="1">
      <c r="A24" s="34"/>
      <c r="B24" s="67" t="s">
        <v>215</v>
      </c>
      <c r="C24" s="62">
        <v>8704</v>
      </c>
      <c r="D24" s="63">
        <v>0.32021190493709101</v>
      </c>
      <c r="E24" s="34"/>
      <c r="F24" s="34"/>
    </row>
    <row r="25" spans="1:6" ht="14.45" customHeight="1">
      <c r="A25" s="34"/>
      <c r="B25" s="67" t="s">
        <v>216</v>
      </c>
      <c r="C25" s="62">
        <v>273</v>
      </c>
      <c r="D25" s="63">
        <v>1.0043411080862E-2</v>
      </c>
      <c r="E25" s="34"/>
      <c r="F25" s="34"/>
    </row>
    <row r="26" spans="1:6" ht="14.45" customHeight="1">
      <c r="A26" s="34"/>
      <c r="B26" s="67" t="s">
        <v>217</v>
      </c>
      <c r="C26" s="62">
        <v>1225</v>
      </c>
      <c r="D26" s="63">
        <v>4.5066588183357001E-2</v>
      </c>
      <c r="E26" s="34"/>
      <c r="F26" s="34"/>
    </row>
    <row r="27" spans="1:6" ht="14.45" customHeight="1">
      <c r="A27" s="34"/>
      <c r="B27" s="67" t="s">
        <v>218</v>
      </c>
      <c r="C27" s="62">
        <v>4496</v>
      </c>
      <c r="D27" s="63">
        <v>0.165403575895813</v>
      </c>
      <c r="E27" s="34"/>
      <c r="F27" s="34"/>
    </row>
    <row r="28" spans="1:6" ht="14.45" customHeight="1">
      <c r="A28" s="34"/>
      <c r="B28" s="67" t="s">
        <v>219</v>
      </c>
      <c r="C28" s="62">
        <v>56</v>
      </c>
      <c r="D28" s="63">
        <v>2.0601868883819998E-3</v>
      </c>
      <c r="E28" s="34"/>
      <c r="F28" s="34"/>
    </row>
    <row r="29" spans="1:6" ht="14.45" customHeight="1">
      <c r="A29" s="34"/>
      <c r="B29" s="67" t="s">
        <v>220</v>
      </c>
      <c r="C29" s="62">
        <v>72</v>
      </c>
      <c r="D29" s="63">
        <v>2.648811713634E-3</v>
      </c>
      <c r="E29" s="34"/>
      <c r="F29" s="34"/>
    </row>
    <row r="30" spans="1:6" ht="14.45" customHeight="1">
      <c r="A30" s="34"/>
      <c r="B30" s="67" t="s">
        <v>221</v>
      </c>
      <c r="C30" s="62">
        <v>36</v>
      </c>
      <c r="D30" s="63">
        <v>1.324405856817E-3</v>
      </c>
      <c r="E30" s="34"/>
      <c r="F30" s="34"/>
    </row>
    <row r="31" spans="1:6" ht="14.45" customHeight="1">
      <c r="A31" s="34"/>
      <c r="B31" s="67" t="s">
        <v>222</v>
      </c>
      <c r="C31" s="62">
        <v>26</v>
      </c>
      <c r="D31" s="63">
        <v>9.5651534103499995E-4</v>
      </c>
      <c r="E31" s="34"/>
      <c r="F31" s="34"/>
    </row>
    <row r="32" spans="1:6" ht="14.45" customHeight="1">
      <c r="A32" s="34"/>
      <c r="B32" s="67" t="s">
        <v>223</v>
      </c>
      <c r="C32" s="62">
        <v>227</v>
      </c>
      <c r="D32" s="63">
        <v>8.3511147082630001E-3</v>
      </c>
      <c r="E32" s="34"/>
      <c r="F32" s="34"/>
    </row>
    <row r="33" spans="1:6" ht="14.45" customHeight="1">
      <c r="A33" s="34"/>
      <c r="B33" s="67" t="s">
        <v>224</v>
      </c>
      <c r="C33" s="62">
        <v>580</v>
      </c>
      <c r="D33" s="63">
        <v>2.1337649915385001E-2</v>
      </c>
      <c r="E33" s="34"/>
      <c r="F33" s="34"/>
    </row>
    <row r="34" spans="1:6" ht="14.45" customHeight="1">
      <c r="A34" s="34"/>
      <c r="B34" s="67" t="s">
        <v>225</v>
      </c>
      <c r="C34" s="62">
        <v>35</v>
      </c>
      <c r="D34" s="63">
        <v>1.2876168052389999E-3</v>
      </c>
      <c r="E34" s="34"/>
      <c r="F34" s="34"/>
    </row>
    <row r="35" spans="1:6" ht="14.45" customHeight="1">
      <c r="A35" s="34"/>
      <c r="B35" s="67" t="s">
        <v>226</v>
      </c>
      <c r="C35" s="62">
        <v>26</v>
      </c>
      <c r="D35" s="63">
        <v>9.5651534103499995E-4</v>
      </c>
      <c r="E35" s="34"/>
      <c r="F35" s="34"/>
    </row>
    <row r="36" spans="1:6" ht="14.45" customHeight="1">
      <c r="A36" s="34"/>
      <c r="B36" s="67" t="s">
        <v>227</v>
      </c>
      <c r="C36" s="62">
        <v>7</v>
      </c>
      <c r="D36" s="63">
        <v>2.5752336104799999E-4</v>
      </c>
      <c r="E36" s="34"/>
      <c r="F36" s="34"/>
    </row>
    <row r="37" spans="1:6" ht="14.45" customHeight="1">
      <c r="A37" s="34"/>
      <c r="B37" s="80" t="s">
        <v>310</v>
      </c>
      <c r="C37" s="65">
        <v>27182</v>
      </c>
      <c r="D37" s="66">
        <v>1</v>
      </c>
      <c r="E37" s="34"/>
      <c r="F37" s="34"/>
    </row>
    <row r="38" spans="1:6" ht="14.45" customHeight="1">
      <c r="A38" s="34"/>
      <c r="B38" s="35"/>
      <c r="C38" s="34"/>
      <c r="D38" s="34"/>
      <c r="E38" s="34"/>
      <c r="F38" s="34"/>
    </row>
    <row r="39" spans="1:6" ht="14.45" customHeight="1">
      <c r="A39" s="34"/>
      <c r="B39" s="37" t="s">
        <v>284</v>
      </c>
      <c r="C39" s="34"/>
      <c r="D39" s="34"/>
      <c r="E39" s="34"/>
      <c r="F39" s="34"/>
    </row>
    <row r="40" spans="1:6" ht="14.45" customHeight="1">
      <c r="A40" s="34"/>
      <c r="B40" s="38" t="s">
        <v>18</v>
      </c>
      <c r="C40" s="34"/>
      <c r="D40" s="34"/>
      <c r="E40" s="34"/>
      <c r="F40" s="34"/>
    </row>
    <row r="41" spans="1:6" ht="14.45" customHeight="1">
      <c r="A41" s="34"/>
      <c r="B41" s="39" t="s">
        <v>143</v>
      </c>
      <c r="C41" s="34"/>
      <c r="D41" s="34"/>
      <c r="E41" s="34"/>
      <c r="F41" s="34"/>
    </row>
    <row r="42" spans="1:6" ht="14.45" customHeight="1">
      <c r="A42" s="34"/>
      <c r="B42" s="37" t="s">
        <v>17</v>
      </c>
      <c r="C42" s="34"/>
      <c r="D42" s="34"/>
      <c r="E42" s="34"/>
      <c r="F42" s="34"/>
    </row>
    <row r="43" spans="1:6" ht="14.45" customHeight="1">
      <c r="A43" s="34"/>
      <c r="B43" s="37" t="s">
        <v>311</v>
      </c>
      <c r="C43" s="36"/>
      <c r="D43" s="34"/>
      <c r="E43" s="34"/>
      <c r="F43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705"/>
  <sheetViews>
    <sheetView showGridLines="0" view="pageBreakPreview" topLeftCell="A3" zoomScaleNormal="100" zoomScaleSheetLayoutView="100" workbookViewId="0">
      <selection activeCell="F19" sqref="F18:F1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7.42578125" style="19" customWidth="1"/>
    <col min="6" max="16384" width="35" style="18"/>
  </cols>
  <sheetData>
    <row r="1" spans="1:5" s="20" customFormat="1" ht="12" customHeight="1">
      <c r="B1" s="23"/>
      <c r="C1" s="22"/>
      <c r="D1" s="22"/>
      <c r="E1" s="22"/>
    </row>
    <row r="2" spans="1:5" s="20" customFormat="1" ht="15" customHeight="1">
      <c r="C2" s="25"/>
    </row>
    <row r="3" spans="1:5" s="20" customFormat="1" ht="15" customHeight="1">
      <c r="C3" s="25"/>
    </row>
    <row r="4" spans="1:5" s="20" customFormat="1" ht="30" customHeight="1">
      <c r="C4" s="25"/>
      <c r="D4" s="24"/>
    </row>
    <row r="5" spans="1:5" s="20" customFormat="1" ht="15" customHeight="1">
      <c r="C5" s="25"/>
      <c r="D5" s="24"/>
    </row>
    <row r="6" spans="1:5" s="20" customFormat="1" ht="24" customHeight="1">
      <c r="B6" s="46"/>
      <c r="C6" s="45"/>
      <c r="D6" s="45"/>
      <c r="E6" s="45"/>
    </row>
    <row r="7" spans="1:5" s="20" customFormat="1" ht="26.25" customHeight="1">
      <c r="A7" s="21"/>
      <c r="B7" s="111"/>
      <c r="C7" s="111"/>
      <c r="D7" s="111"/>
      <c r="E7" s="111"/>
    </row>
    <row r="8" spans="1:5" s="20" customFormat="1" ht="33" customHeight="1">
      <c r="A8" s="21"/>
      <c r="B8" s="111"/>
      <c r="C8" s="111"/>
      <c r="D8" s="111"/>
      <c r="E8" s="111"/>
    </row>
    <row r="9" spans="1:5" s="15" customFormat="1" ht="40.5" customHeight="1">
      <c r="B9" s="48" t="s">
        <v>28</v>
      </c>
      <c r="C9" s="49" t="s">
        <v>25</v>
      </c>
      <c r="D9" s="50" t="s">
        <v>20</v>
      </c>
      <c r="E9" s="48" t="s">
        <v>19</v>
      </c>
    </row>
    <row r="10" spans="1:5" ht="15" customHeight="1">
      <c r="B10" s="114" t="s">
        <v>204</v>
      </c>
      <c r="C10" s="61" t="s">
        <v>98</v>
      </c>
      <c r="D10" s="62">
        <v>10</v>
      </c>
      <c r="E10" s="63">
        <v>3.6789051578300003E-4</v>
      </c>
    </row>
    <row r="11" spans="1:5" ht="15" customHeight="1">
      <c r="B11" s="115"/>
      <c r="C11" s="61" t="s">
        <v>99</v>
      </c>
      <c r="D11" s="62">
        <v>5</v>
      </c>
      <c r="E11" s="63">
        <v>1.8394525789100001E-4</v>
      </c>
    </row>
    <row r="12" spans="1:5" ht="15" customHeight="1">
      <c r="B12" s="115"/>
      <c r="C12" s="61" t="s">
        <v>100</v>
      </c>
      <c r="D12" s="62">
        <v>117</v>
      </c>
      <c r="E12" s="63">
        <v>4.3043190346550003E-3</v>
      </c>
    </row>
    <row r="13" spans="1:5" ht="15" customHeight="1">
      <c r="B13" s="115"/>
      <c r="C13" s="61" t="s">
        <v>101</v>
      </c>
      <c r="D13" s="62">
        <v>13</v>
      </c>
      <c r="E13" s="63">
        <v>4.7825767051699999E-4</v>
      </c>
    </row>
    <row r="14" spans="1:5" ht="15" customHeight="1">
      <c r="B14" s="115"/>
      <c r="C14" s="61" t="s">
        <v>104</v>
      </c>
      <c r="D14" s="62">
        <v>3</v>
      </c>
      <c r="E14" s="63">
        <v>1.10367154735E-4</v>
      </c>
    </row>
    <row r="15" spans="1:5" ht="15" customHeight="1">
      <c r="B15" s="115"/>
      <c r="C15" s="61" t="s">
        <v>105</v>
      </c>
      <c r="D15" s="62">
        <v>2</v>
      </c>
      <c r="E15" s="63">
        <v>7.3578103156999997E-5</v>
      </c>
    </row>
    <row r="16" spans="1:5" ht="15" customHeight="1">
      <c r="B16" s="115"/>
      <c r="C16" s="61" t="s">
        <v>107</v>
      </c>
      <c r="D16" s="62">
        <v>2</v>
      </c>
      <c r="E16" s="63">
        <v>7.3578103156999997E-5</v>
      </c>
    </row>
    <row r="17" spans="2:5" ht="15" customHeight="1">
      <c r="B17" s="115"/>
      <c r="C17" s="61" t="s">
        <v>108</v>
      </c>
      <c r="D17" s="62">
        <v>18</v>
      </c>
      <c r="E17" s="63">
        <v>6.6220292840900004E-4</v>
      </c>
    </row>
    <row r="18" spans="2:5" ht="15" customHeight="1">
      <c r="B18" s="115"/>
      <c r="C18" s="61" t="s">
        <v>109</v>
      </c>
      <c r="D18" s="62">
        <v>1</v>
      </c>
      <c r="E18" s="63">
        <v>3.6789051577999998E-5</v>
      </c>
    </row>
    <row r="19" spans="2:5" ht="15" customHeight="1">
      <c r="B19" s="115"/>
      <c r="C19" s="61" t="s">
        <v>111</v>
      </c>
      <c r="D19" s="62">
        <v>6</v>
      </c>
      <c r="E19" s="63">
        <v>2.2073430946999999E-4</v>
      </c>
    </row>
    <row r="20" spans="2:5" ht="15" customHeight="1">
      <c r="B20" s="115"/>
      <c r="C20" s="61" t="s">
        <v>112</v>
      </c>
      <c r="D20" s="62">
        <v>2</v>
      </c>
      <c r="E20" s="63">
        <v>7.3578103156999997E-5</v>
      </c>
    </row>
    <row r="21" spans="2:5" ht="15" customHeight="1">
      <c r="B21" s="115"/>
      <c r="C21" s="61" t="s">
        <v>113</v>
      </c>
      <c r="D21" s="62">
        <v>1</v>
      </c>
      <c r="E21" s="63">
        <v>3.6789051577999998E-5</v>
      </c>
    </row>
    <row r="22" spans="2:5" ht="15" customHeight="1">
      <c r="B22" s="115"/>
      <c r="C22" s="61" t="s">
        <v>116</v>
      </c>
      <c r="D22" s="62">
        <v>6</v>
      </c>
      <c r="E22" s="63">
        <v>2.2073430946999999E-4</v>
      </c>
    </row>
    <row r="23" spans="2:5" ht="15" customHeight="1">
      <c r="B23" s="115"/>
      <c r="C23" s="61" t="s">
        <v>117</v>
      </c>
      <c r="D23" s="62">
        <v>1</v>
      </c>
      <c r="E23" s="63">
        <v>3.6789051577999998E-5</v>
      </c>
    </row>
    <row r="24" spans="2:5" ht="15" customHeight="1">
      <c r="B24" s="115"/>
      <c r="C24" s="61" t="s">
        <v>119</v>
      </c>
      <c r="D24" s="62">
        <v>1</v>
      </c>
      <c r="E24" s="63">
        <v>3.6789051577999998E-5</v>
      </c>
    </row>
    <row r="25" spans="2:5" ht="15" customHeight="1">
      <c r="B25" s="115"/>
      <c r="C25" s="61" t="s">
        <v>122</v>
      </c>
      <c r="D25" s="62">
        <v>5</v>
      </c>
      <c r="E25" s="63">
        <v>1.8394525789100001E-4</v>
      </c>
    </row>
    <row r="26" spans="2:5" ht="15" customHeight="1">
      <c r="B26" s="115"/>
      <c r="C26" s="61" t="s">
        <v>125</v>
      </c>
      <c r="D26" s="62">
        <v>1</v>
      </c>
      <c r="E26" s="63">
        <v>3.6789051577999998E-5</v>
      </c>
    </row>
    <row r="27" spans="2:5" ht="15" customHeight="1">
      <c r="B27" s="115"/>
      <c r="C27" s="61" t="s">
        <v>127</v>
      </c>
      <c r="D27" s="62">
        <v>4</v>
      </c>
      <c r="E27" s="63">
        <v>1.4715620631300001E-4</v>
      </c>
    </row>
    <row r="28" spans="2:5" ht="15" customHeight="1">
      <c r="B28" s="115"/>
      <c r="C28" s="61" t="s">
        <v>129</v>
      </c>
      <c r="D28" s="62">
        <v>2</v>
      </c>
      <c r="E28" s="63">
        <v>7.3578103156999997E-5</v>
      </c>
    </row>
    <row r="29" spans="2:5" ht="15" customHeight="1">
      <c r="B29" s="115"/>
      <c r="C29" s="61" t="s">
        <v>130</v>
      </c>
      <c r="D29" s="62">
        <v>11</v>
      </c>
      <c r="E29" s="63">
        <v>4.04679567361E-4</v>
      </c>
    </row>
    <row r="30" spans="2:5" ht="15" customHeight="1">
      <c r="B30" s="115"/>
      <c r="C30" s="61" t="s">
        <v>131</v>
      </c>
      <c r="D30" s="62">
        <v>2</v>
      </c>
      <c r="E30" s="63">
        <v>7.3578103156999997E-5</v>
      </c>
    </row>
    <row r="31" spans="2:5" ht="15" customHeight="1">
      <c r="B31" s="115"/>
      <c r="C31" s="61" t="s">
        <v>136</v>
      </c>
      <c r="D31" s="62">
        <v>3</v>
      </c>
      <c r="E31" s="63">
        <v>1.10367154735E-4</v>
      </c>
    </row>
    <row r="32" spans="2:5" ht="15" customHeight="1">
      <c r="B32" s="115"/>
      <c r="C32" s="61" t="s">
        <v>137</v>
      </c>
      <c r="D32" s="62">
        <v>68</v>
      </c>
      <c r="E32" s="63">
        <v>2.5016555073210001E-3</v>
      </c>
    </row>
    <row r="33" spans="2:5" ht="15" customHeight="1">
      <c r="B33" s="115"/>
      <c r="C33" s="61" t="s">
        <v>138</v>
      </c>
      <c r="D33" s="62">
        <v>1</v>
      </c>
      <c r="E33" s="63">
        <v>3.6789051577999998E-5</v>
      </c>
    </row>
    <row r="34" spans="2:5" ht="15" customHeight="1">
      <c r="B34" s="115"/>
      <c r="C34" s="61" t="s">
        <v>141</v>
      </c>
      <c r="D34" s="62">
        <v>2</v>
      </c>
      <c r="E34" s="63">
        <v>7.3578103156999997E-5</v>
      </c>
    </row>
    <row r="35" spans="2:5" ht="15" customHeight="1">
      <c r="B35" s="115"/>
      <c r="C35" s="61" t="s">
        <v>142</v>
      </c>
      <c r="D35" s="62">
        <v>1</v>
      </c>
      <c r="E35" s="63">
        <v>3.6789051577999998E-5</v>
      </c>
    </row>
    <row r="36" spans="2:5" ht="15" customHeight="1">
      <c r="B36" s="116"/>
      <c r="C36" s="83" t="s">
        <v>309</v>
      </c>
      <c r="D36" s="84">
        <v>288</v>
      </c>
      <c r="E36" s="85">
        <v>1.0595246854536E-2</v>
      </c>
    </row>
    <row r="37" spans="2:5" ht="15" customHeight="1">
      <c r="B37" s="114" t="s">
        <v>286</v>
      </c>
      <c r="C37" s="61" t="s">
        <v>128</v>
      </c>
      <c r="D37" s="62">
        <v>1</v>
      </c>
      <c r="E37" s="63">
        <v>3.6789051577999998E-5</v>
      </c>
    </row>
    <row r="38" spans="2:5" ht="15" customHeight="1">
      <c r="B38" s="115"/>
      <c r="C38" s="61" t="s">
        <v>136</v>
      </c>
      <c r="D38" s="62">
        <v>1</v>
      </c>
      <c r="E38" s="63">
        <v>3.6789051577999998E-5</v>
      </c>
    </row>
    <row r="39" spans="2:5" ht="15" customHeight="1">
      <c r="B39" s="116"/>
      <c r="C39" s="83" t="s">
        <v>309</v>
      </c>
      <c r="D39" s="84">
        <v>2</v>
      </c>
      <c r="E39" s="85">
        <v>7.3578103156999997E-5</v>
      </c>
    </row>
    <row r="40" spans="2:5" ht="15" customHeight="1">
      <c r="B40" s="114" t="s">
        <v>287</v>
      </c>
      <c r="C40" s="61" t="s">
        <v>98</v>
      </c>
      <c r="D40" s="62">
        <v>4</v>
      </c>
      <c r="E40" s="63">
        <v>1.4715620631300001E-4</v>
      </c>
    </row>
    <row r="41" spans="2:5" ht="15" customHeight="1">
      <c r="B41" s="115"/>
      <c r="C41" s="61" t="s">
        <v>99</v>
      </c>
      <c r="D41" s="62">
        <v>3</v>
      </c>
      <c r="E41" s="63">
        <v>1.10367154735E-4</v>
      </c>
    </row>
    <row r="42" spans="2:5" ht="15" customHeight="1">
      <c r="B42" s="115"/>
      <c r="C42" s="61" t="s">
        <v>100</v>
      </c>
      <c r="D42" s="62">
        <v>42</v>
      </c>
      <c r="E42" s="63">
        <v>1.545140166287E-3</v>
      </c>
    </row>
    <row r="43" spans="2:5" ht="15" customHeight="1">
      <c r="B43" s="115"/>
      <c r="C43" s="61" t="s">
        <v>101</v>
      </c>
      <c r="D43" s="62">
        <v>12</v>
      </c>
      <c r="E43" s="63">
        <v>4.4146861893900002E-4</v>
      </c>
    </row>
    <row r="44" spans="2:5" ht="15" customHeight="1">
      <c r="B44" s="115"/>
      <c r="C44" s="61" t="s">
        <v>103</v>
      </c>
      <c r="D44" s="62">
        <v>1</v>
      </c>
      <c r="E44" s="63">
        <v>3.6789051577999998E-5</v>
      </c>
    </row>
    <row r="45" spans="2:5" ht="15" customHeight="1">
      <c r="B45" s="115"/>
      <c r="C45" s="61" t="s">
        <v>107</v>
      </c>
      <c r="D45" s="62">
        <v>2</v>
      </c>
      <c r="E45" s="63">
        <v>7.3578103156999997E-5</v>
      </c>
    </row>
    <row r="46" spans="2:5" ht="15" customHeight="1">
      <c r="B46" s="115"/>
      <c r="C46" s="61" t="s">
        <v>108</v>
      </c>
      <c r="D46" s="62">
        <v>6</v>
      </c>
      <c r="E46" s="63">
        <v>2.2073430946999999E-4</v>
      </c>
    </row>
    <row r="47" spans="2:5" ht="15" customHeight="1">
      <c r="B47" s="115"/>
      <c r="C47" s="61" t="s">
        <v>111</v>
      </c>
      <c r="D47" s="62">
        <v>1</v>
      </c>
      <c r="E47" s="63">
        <v>3.6789051577999998E-5</v>
      </c>
    </row>
    <row r="48" spans="2:5" ht="15" customHeight="1">
      <c r="B48" s="115"/>
      <c r="C48" s="61" t="s">
        <v>112</v>
      </c>
      <c r="D48" s="62">
        <v>1</v>
      </c>
      <c r="E48" s="63">
        <v>3.6789051577999998E-5</v>
      </c>
    </row>
    <row r="49" spans="2:5" ht="15" customHeight="1">
      <c r="B49" s="115"/>
      <c r="C49" s="61" t="s">
        <v>116</v>
      </c>
      <c r="D49" s="62">
        <v>1</v>
      </c>
      <c r="E49" s="63">
        <v>3.6789051577999998E-5</v>
      </c>
    </row>
    <row r="50" spans="2:5" ht="15" customHeight="1">
      <c r="B50" s="115"/>
      <c r="C50" s="61" t="s">
        <v>117</v>
      </c>
      <c r="D50" s="62">
        <v>1</v>
      </c>
      <c r="E50" s="63">
        <v>3.6789051577999998E-5</v>
      </c>
    </row>
    <row r="51" spans="2:5" ht="15" customHeight="1">
      <c r="B51" s="115"/>
      <c r="C51" s="61" t="s">
        <v>121</v>
      </c>
      <c r="D51" s="62">
        <v>1</v>
      </c>
      <c r="E51" s="63">
        <v>3.6789051577999998E-5</v>
      </c>
    </row>
    <row r="52" spans="2:5" ht="15" customHeight="1">
      <c r="B52" s="115"/>
      <c r="C52" s="61" t="s">
        <v>122</v>
      </c>
      <c r="D52" s="62">
        <v>2</v>
      </c>
      <c r="E52" s="63">
        <v>7.3578103156999997E-5</v>
      </c>
    </row>
    <row r="53" spans="2:5" ht="15" customHeight="1">
      <c r="B53" s="115"/>
      <c r="C53" s="61" t="s">
        <v>127</v>
      </c>
      <c r="D53" s="62">
        <v>2</v>
      </c>
      <c r="E53" s="63">
        <v>7.3578103156999997E-5</v>
      </c>
    </row>
    <row r="54" spans="2:5" ht="15" customHeight="1">
      <c r="B54" s="115"/>
      <c r="C54" s="61" t="s">
        <v>129</v>
      </c>
      <c r="D54" s="62">
        <v>1</v>
      </c>
      <c r="E54" s="63">
        <v>3.6789051577999998E-5</v>
      </c>
    </row>
    <row r="55" spans="2:5" ht="15" customHeight="1">
      <c r="B55" s="115"/>
      <c r="C55" s="61" t="s">
        <v>130</v>
      </c>
      <c r="D55" s="62">
        <v>8</v>
      </c>
      <c r="E55" s="63">
        <v>2.9431241262600002E-4</v>
      </c>
    </row>
    <row r="56" spans="2:5" ht="15" customHeight="1">
      <c r="B56" s="115"/>
      <c r="C56" s="61" t="s">
        <v>136</v>
      </c>
      <c r="D56" s="62">
        <v>3</v>
      </c>
      <c r="E56" s="63">
        <v>1.10367154735E-4</v>
      </c>
    </row>
    <row r="57" spans="2:5" ht="15" customHeight="1">
      <c r="B57" s="115"/>
      <c r="C57" s="61" t="s">
        <v>137</v>
      </c>
      <c r="D57" s="62">
        <v>38</v>
      </c>
      <c r="E57" s="63">
        <v>1.397983959974E-3</v>
      </c>
    </row>
    <row r="58" spans="2:5" ht="15" customHeight="1">
      <c r="B58" s="115"/>
      <c r="C58" s="61" t="s">
        <v>138</v>
      </c>
      <c r="D58" s="62">
        <v>1</v>
      </c>
      <c r="E58" s="63">
        <v>3.6789051577999998E-5</v>
      </c>
    </row>
    <row r="59" spans="2:5" ht="15" customHeight="1">
      <c r="B59" s="115"/>
      <c r="C59" s="61" t="s">
        <v>141</v>
      </c>
      <c r="D59" s="62">
        <v>3</v>
      </c>
      <c r="E59" s="63">
        <v>1.10367154735E-4</v>
      </c>
    </row>
    <row r="60" spans="2:5" ht="15" customHeight="1">
      <c r="B60" s="115"/>
      <c r="C60" s="61" t="s">
        <v>142</v>
      </c>
      <c r="D60" s="62">
        <v>1</v>
      </c>
      <c r="E60" s="63">
        <v>3.6789051577999998E-5</v>
      </c>
    </row>
    <row r="61" spans="2:5" ht="15" customHeight="1">
      <c r="B61" s="116"/>
      <c r="C61" s="83" t="s">
        <v>309</v>
      </c>
      <c r="D61" s="84">
        <v>134</v>
      </c>
      <c r="E61" s="85">
        <v>4.9297329114860004E-3</v>
      </c>
    </row>
    <row r="62" spans="2:5" ht="15" customHeight="1">
      <c r="B62" s="114" t="s">
        <v>288</v>
      </c>
      <c r="C62" s="61" t="s">
        <v>98</v>
      </c>
      <c r="D62" s="62">
        <v>1</v>
      </c>
      <c r="E62" s="63">
        <v>3.6789051577999998E-5</v>
      </c>
    </row>
    <row r="63" spans="2:5" ht="15" customHeight="1">
      <c r="B63" s="115"/>
      <c r="C63" s="61" t="s">
        <v>99</v>
      </c>
      <c r="D63" s="62">
        <v>5</v>
      </c>
      <c r="E63" s="63">
        <v>1.8394525789100001E-4</v>
      </c>
    </row>
    <row r="64" spans="2:5" ht="15" customHeight="1">
      <c r="B64" s="115"/>
      <c r="C64" s="61" t="s">
        <v>100</v>
      </c>
      <c r="D64" s="62">
        <v>61</v>
      </c>
      <c r="E64" s="63">
        <v>2.244132146273E-3</v>
      </c>
    </row>
    <row r="65" spans="2:5" ht="15" customHeight="1">
      <c r="B65" s="115"/>
      <c r="C65" s="61" t="s">
        <v>101</v>
      </c>
      <c r="D65" s="62">
        <v>5</v>
      </c>
      <c r="E65" s="63">
        <v>1.8394525789100001E-4</v>
      </c>
    </row>
    <row r="66" spans="2:5" ht="15" customHeight="1">
      <c r="B66" s="115"/>
      <c r="C66" s="61" t="s">
        <v>104</v>
      </c>
      <c r="D66" s="62">
        <v>3</v>
      </c>
      <c r="E66" s="63">
        <v>1.10367154735E-4</v>
      </c>
    </row>
    <row r="67" spans="2:5" ht="15" customHeight="1">
      <c r="B67" s="115"/>
      <c r="C67" s="61" t="s">
        <v>105</v>
      </c>
      <c r="D67" s="62">
        <v>2</v>
      </c>
      <c r="E67" s="63">
        <v>7.3578103156999997E-5</v>
      </c>
    </row>
    <row r="68" spans="2:5" ht="15" customHeight="1">
      <c r="B68" s="115"/>
      <c r="C68" s="61" t="s">
        <v>107</v>
      </c>
      <c r="D68" s="62">
        <v>1</v>
      </c>
      <c r="E68" s="63">
        <v>3.6789051577999998E-5</v>
      </c>
    </row>
    <row r="69" spans="2:5" ht="15" customHeight="1">
      <c r="B69" s="115"/>
      <c r="C69" s="61" t="s">
        <v>108</v>
      </c>
      <c r="D69" s="62">
        <v>8</v>
      </c>
      <c r="E69" s="63">
        <v>2.9431241262600002E-4</v>
      </c>
    </row>
    <row r="70" spans="2:5" ht="15" customHeight="1">
      <c r="B70" s="115"/>
      <c r="C70" s="61" t="s">
        <v>109</v>
      </c>
      <c r="D70" s="62">
        <v>2</v>
      </c>
      <c r="E70" s="63">
        <v>7.3578103156999997E-5</v>
      </c>
    </row>
    <row r="71" spans="2:5" ht="15" customHeight="1">
      <c r="B71" s="115"/>
      <c r="C71" s="61" t="s">
        <v>111</v>
      </c>
      <c r="D71" s="62">
        <v>9</v>
      </c>
      <c r="E71" s="63">
        <v>3.3110146420399999E-4</v>
      </c>
    </row>
    <row r="72" spans="2:5" ht="15" customHeight="1">
      <c r="B72" s="115"/>
      <c r="C72" s="61" t="s">
        <v>112</v>
      </c>
      <c r="D72" s="62">
        <v>1</v>
      </c>
      <c r="E72" s="63">
        <v>3.6789051577999998E-5</v>
      </c>
    </row>
    <row r="73" spans="2:5" ht="15" customHeight="1">
      <c r="B73" s="115"/>
      <c r="C73" s="61" t="s">
        <v>113</v>
      </c>
      <c r="D73" s="62">
        <v>1</v>
      </c>
      <c r="E73" s="63">
        <v>3.6789051577999998E-5</v>
      </c>
    </row>
    <row r="74" spans="2:5" ht="15" customHeight="1">
      <c r="B74" s="115"/>
      <c r="C74" s="61" t="s">
        <v>116</v>
      </c>
      <c r="D74" s="62">
        <v>4</v>
      </c>
      <c r="E74" s="63">
        <v>1.4715620631300001E-4</v>
      </c>
    </row>
    <row r="75" spans="2:5" ht="15" customHeight="1">
      <c r="B75" s="115"/>
      <c r="C75" s="61" t="s">
        <v>119</v>
      </c>
      <c r="D75" s="62">
        <v>2</v>
      </c>
      <c r="E75" s="63">
        <v>7.3578103156999997E-5</v>
      </c>
    </row>
    <row r="76" spans="2:5" ht="15" customHeight="1">
      <c r="B76" s="115"/>
      <c r="C76" s="61" t="s">
        <v>121</v>
      </c>
      <c r="D76" s="62">
        <v>3</v>
      </c>
      <c r="E76" s="63">
        <v>1.10367154735E-4</v>
      </c>
    </row>
    <row r="77" spans="2:5" ht="15" customHeight="1">
      <c r="B77" s="115"/>
      <c r="C77" s="61" t="s">
        <v>122</v>
      </c>
      <c r="D77" s="62">
        <v>8</v>
      </c>
      <c r="E77" s="63">
        <v>2.9431241262600002E-4</v>
      </c>
    </row>
    <row r="78" spans="2:5" ht="15" customHeight="1">
      <c r="B78" s="115"/>
      <c r="C78" s="61" t="s">
        <v>125</v>
      </c>
      <c r="D78" s="62">
        <v>2</v>
      </c>
      <c r="E78" s="63">
        <v>7.3578103156999997E-5</v>
      </c>
    </row>
    <row r="79" spans="2:5" ht="15" customHeight="1">
      <c r="B79" s="115"/>
      <c r="C79" s="61" t="s">
        <v>126</v>
      </c>
      <c r="D79" s="62">
        <v>1</v>
      </c>
      <c r="E79" s="63">
        <v>3.6789051577999998E-5</v>
      </c>
    </row>
    <row r="80" spans="2:5" ht="15" customHeight="1">
      <c r="B80" s="115"/>
      <c r="C80" s="61" t="s">
        <v>127</v>
      </c>
      <c r="D80" s="62">
        <v>3</v>
      </c>
      <c r="E80" s="63">
        <v>1.10367154735E-4</v>
      </c>
    </row>
    <row r="81" spans="2:5" ht="15" customHeight="1">
      <c r="B81" s="115"/>
      <c r="C81" s="61" t="s">
        <v>129</v>
      </c>
      <c r="D81" s="62">
        <v>2</v>
      </c>
      <c r="E81" s="63">
        <v>7.3578103156999997E-5</v>
      </c>
    </row>
    <row r="82" spans="2:5" ht="15" customHeight="1">
      <c r="B82" s="115"/>
      <c r="C82" s="61" t="s">
        <v>130</v>
      </c>
      <c r="D82" s="62">
        <v>18</v>
      </c>
      <c r="E82" s="63">
        <v>6.6220292840900004E-4</v>
      </c>
    </row>
    <row r="83" spans="2:5" ht="15" customHeight="1">
      <c r="B83" s="115"/>
      <c r="C83" s="61" t="s">
        <v>131</v>
      </c>
      <c r="D83" s="62">
        <v>1</v>
      </c>
      <c r="E83" s="63">
        <v>3.6789051577999998E-5</v>
      </c>
    </row>
    <row r="84" spans="2:5" ht="15" customHeight="1">
      <c r="B84" s="115"/>
      <c r="C84" s="61" t="s">
        <v>132</v>
      </c>
      <c r="D84" s="62">
        <v>1</v>
      </c>
      <c r="E84" s="63">
        <v>3.6789051577999998E-5</v>
      </c>
    </row>
    <row r="85" spans="2:5" ht="15" customHeight="1">
      <c r="B85" s="115"/>
      <c r="C85" s="61" t="s">
        <v>136</v>
      </c>
      <c r="D85" s="62">
        <v>3</v>
      </c>
      <c r="E85" s="63">
        <v>1.10367154735E-4</v>
      </c>
    </row>
    <row r="86" spans="2:5" ht="15" customHeight="1">
      <c r="B86" s="115"/>
      <c r="C86" s="61" t="s">
        <v>137</v>
      </c>
      <c r="D86" s="62">
        <v>77</v>
      </c>
      <c r="E86" s="63">
        <v>2.8327569715249998E-3</v>
      </c>
    </row>
    <row r="87" spans="2:5" ht="15" customHeight="1">
      <c r="B87" s="115"/>
      <c r="C87" s="61" t="s">
        <v>138</v>
      </c>
      <c r="D87" s="62">
        <v>2</v>
      </c>
      <c r="E87" s="63">
        <v>7.3578103156999997E-5</v>
      </c>
    </row>
    <row r="88" spans="2:5" ht="15" customHeight="1">
      <c r="B88" s="115"/>
      <c r="C88" s="61" t="s">
        <v>80</v>
      </c>
      <c r="D88" s="62">
        <v>1</v>
      </c>
      <c r="E88" s="63">
        <v>3.6789051577999998E-5</v>
      </c>
    </row>
    <row r="89" spans="2:5" ht="15" customHeight="1">
      <c r="B89" s="115"/>
      <c r="C89" s="61" t="s">
        <v>141</v>
      </c>
      <c r="D89" s="62">
        <v>3</v>
      </c>
      <c r="E89" s="63">
        <v>1.10367154735E-4</v>
      </c>
    </row>
    <row r="90" spans="2:5" ht="15" customHeight="1">
      <c r="B90" s="116"/>
      <c r="C90" s="83" t="s">
        <v>309</v>
      </c>
      <c r="D90" s="84">
        <v>230</v>
      </c>
      <c r="E90" s="85">
        <v>8.4614818629979993E-3</v>
      </c>
    </row>
    <row r="91" spans="2:5" ht="15" customHeight="1">
      <c r="B91" s="114" t="s">
        <v>289</v>
      </c>
      <c r="C91" s="61" t="s">
        <v>96</v>
      </c>
      <c r="D91" s="62">
        <v>1</v>
      </c>
      <c r="E91" s="63">
        <v>3.6789051577999998E-5</v>
      </c>
    </row>
    <row r="92" spans="2:5" ht="15" customHeight="1">
      <c r="B92" s="115"/>
      <c r="C92" s="61" t="s">
        <v>97</v>
      </c>
      <c r="D92" s="62">
        <v>1</v>
      </c>
      <c r="E92" s="63">
        <v>3.6789051577999998E-5</v>
      </c>
    </row>
    <row r="93" spans="2:5" ht="15" customHeight="1">
      <c r="B93" s="115"/>
      <c r="C93" s="61" t="s">
        <v>98</v>
      </c>
      <c r="D93" s="62">
        <v>9</v>
      </c>
      <c r="E93" s="63">
        <v>3.3110146420399999E-4</v>
      </c>
    </row>
    <row r="94" spans="2:5" ht="15" customHeight="1">
      <c r="B94" s="115"/>
      <c r="C94" s="61" t="s">
        <v>99</v>
      </c>
      <c r="D94" s="62">
        <v>7</v>
      </c>
      <c r="E94" s="63">
        <v>2.5752336104799999E-4</v>
      </c>
    </row>
    <row r="95" spans="2:5" ht="15" customHeight="1">
      <c r="B95" s="115"/>
      <c r="C95" s="61" t="s">
        <v>100</v>
      </c>
      <c r="D95" s="62">
        <v>182</v>
      </c>
      <c r="E95" s="63">
        <v>6.6956073872419999E-3</v>
      </c>
    </row>
    <row r="96" spans="2:5" ht="15" customHeight="1">
      <c r="B96" s="115"/>
      <c r="C96" s="61" t="s">
        <v>101</v>
      </c>
      <c r="D96" s="62">
        <v>26</v>
      </c>
      <c r="E96" s="63">
        <v>9.5651534103499995E-4</v>
      </c>
    </row>
    <row r="97" spans="2:5" ht="15" customHeight="1">
      <c r="B97" s="115"/>
      <c r="C97" s="61" t="s">
        <v>103</v>
      </c>
      <c r="D97" s="62">
        <v>1</v>
      </c>
      <c r="E97" s="63">
        <v>3.6789051577999998E-5</v>
      </c>
    </row>
    <row r="98" spans="2:5" ht="15" customHeight="1">
      <c r="B98" s="115"/>
      <c r="C98" s="61" t="s">
        <v>104</v>
      </c>
      <c r="D98" s="62">
        <v>12</v>
      </c>
      <c r="E98" s="63">
        <v>4.4146861893900002E-4</v>
      </c>
    </row>
    <row r="99" spans="2:5" ht="15" customHeight="1">
      <c r="B99" s="115"/>
      <c r="C99" s="61" t="s">
        <v>105</v>
      </c>
      <c r="D99" s="62">
        <v>8</v>
      </c>
      <c r="E99" s="63">
        <v>2.9431241262600002E-4</v>
      </c>
    </row>
    <row r="100" spans="2:5" ht="15" customHeight="1">
      <c r="B100" s="115"/>
      <c r="C100" s="61" t="s">
        <v>107</v>
      </c>
      <c r="D100" s="62">
        <v>2</v>
      </c>
      <c r="E100" s="63">
        <v>7.3578103156999997E-5</v>
      </c>
    </row>
    <row r="101" spans="2:5" ht="15" customHeight="1">
      <c r="B101" s="115"/>
      <c r="C101" s="61" t="s">
        <v>108</v>
      </c>
      <c r="D101" s="62">
        <v>29</v>
      </c>
      <c r="E101" s="63">
        <v>1.066882495769E-3</v>
      </c>
    </row>
    <row r="102" spans="2:5" ht="15" customHeight="1">
      <c r="B102" s="115"/>
      <c r="C102" s="61" t="s">
        <v>109</v>
      </c>
      <c r="D102" s="62">
        <v>5</v>
      </c>
      <c r="E102" s="63">
        <v>1.8394525789100001E-4</v>
      </c>
    </row>
    <row r="103" spans="2:5" ht="15" customHeight="1">
      <c r="B103" s="115"/>
      <c r="C103" s="61" t="s">
        <v>110</v>
      </c>
      <c r="D103" s="62">
        <v>5</v>
      </c>
      <c r="E103" s="63">
        <v>1.8394525789100001E-4</v>
      </c>
    </row>
    <row r="104" spans="2:5" ht="15" customHeight="1">
      <c r="B104" s="115"/>
      <c r="C104" s="61" t="s">
        <v>111</v>
      </c>
      <c r="D104" s="62">
        <v>17</v>
      </c>
      <c r="E104" s="63">
        <v>6.2541387683E-4</v>
      </c>
    </row>
    <row r="105" spans="2:5" ht="15" customHeight="1">
      <c r="B105" s="115"/>
      <c r="C105" s="61" t="s">
        <v>112</v>
      </c>
      <c r="D105" s="62">
        <v>3</v>
      </c>
      <c r="E105" s="63">
        <v>1.10367154735E-4</v>
      </c>
    </row>
    <row r="106" spans="2:5" ht="15" customHeight="1">
      <c r="B106" s="115"/>
      <c r="C106" s="61" t="s">
        <v>113</v>
      </c>
      <c r="D106" s="62">
        <v>1</v>
      </c>
      <c r="E106" s="63">
        <v>3.6789051577999998E-5</v>
      </c>
    </row>
    <row r="107" spans="2:5" ht="15" customHeight="1">
      <c r="B107" s="115"/>
      <c r="C107" s="61" t="s">
        <v>116</v>
      </c>
      <c r="D107" s="62">
        <v>6</v>
      </c>
      <c r="E107" s="63">
        <v>2.2073430946999999E-4</v>
      </c>
    </row>
    <row r="108" spans="2:5" ht="15" customHeight="1">
      <c r="B108" s="115"/>
      <c r="C108" s="61" t="s">
        <v>117</v>
      </c>
      <c r="D108" s="62">
        <v>4</v>
      </c>
      <c r="E108" s="63">
        <v>1.4715620631300001E-4</v>
      </c>
    </row>
    <row r="109" spans="2:5" ht="15" customHeight="1">
      <c r="B109" s="115"/>
      <c r="C109" s="61" t="s">
        <v>119</v>
      </c>
      <c r="D109" s="62">
        <v>5</v>
      </c>
      <c r="E109" s="63">
        <v>1.8394525789100001E-4</v>
      </c>
    </row>
    <row r="110" spans="2:5" ht="15" customHeight="1">
      <c r="B110" s="115"/>
      <c r="C110" s="61" t="s">
        <v>122</v>
      </c>
      <c r="D110" s="62">
        <v>15</v>
      </c>
      <c r="E110" s="63">
        <v>5.5183577367399995E-4</v>
      </c>
    </row>
    <row r="111" spans="2:5" ht="15" customHeight="1">
      <c r="B111" s="115"/>
      <c r="C111" s="61" t="s">
        <v>124</v>
      </c>
      <c r="D111" s="62">
        <v>1</v>
      </c>
      <c r="E111" s="63">
        <v>3.6789051577999998E-5</v>
      </c>
    </row>
    <row r="112" spans="2:5" ht="15" customHeight="1">
      <c r="B112" s="115"/>
      <c r="C112" s="61" t="s">
        <v>125</v>
      </c>
      <c r="D112" s="62">
        <v>5</v>
      </c>
      <c r="E112" s="63">
        <v>1.8394525789100001E-4</v>
      </c>
    </row>
    <row r="113" spans="2:5" ht="15" customHeight="1">
      <c r="B113" s="115"/>
      <c r="C113" s="61" t="s">
        <v>127</v>
      </c>
      <c r="D113" s="62">
        <v>11</v>
      </c>
      <c r="E113" s="63">
        <v>4.04679567361E-4</v>
      </c>
    </row>
    <row r="114" spans="2:5" ht="15" customHeight="1">
      <c r="B114" s="115"/>
      <c r="C114" s="61" t="s">
        <v>129</v>
      </c>
      <c r="D114" s="62">
        <v>3</v>
      </c>
      <c r="E114" s="63">
        <v>1.10367154735E-4</v>
      </c>
    </row>
    <row r="115" spans="2:5" ht="15" customHeight="1">
      <c r="B115" s="115"/>
      <c r="C115" s="61" t="s">
        <v>130</v>
      </c>
      <c r="D115" s="62">
        <v>30</v>
      </c>
      <c r="E115" s="63">
        <v>1.1036715473479999E-3</v>
      </c>
    </row>
    <row r="116" spans="2:5" ht="15" customHeight="1">
      <c r="B116" s="115"/>
      <c r="C116" s="61" t="s">
        <v>131</v>
      </c>
      <c r="D116" s="62">
        <v>1</v>
      </c>
      <c r="E116" s="63">
        <v>3.6789051577999998E-5</v>
      </c>
    </row>
    <row r="117" spans="2:5" ht="15" customHeight="1">
      <c r="B117" s="115"/>
      <c r="C117" s="61" t="s">
        <v>136</v>
      </c>
      <c r="D117" s="62">
        <v>12</v>
      </c>
      <c r="E117" s="63">
        <v>4.4146861893900002E-4</v>
      </c>
    </row>
    <row r="118" spans="2:5" ht="15" customHeight="1">
      <c r="B118" s="115"/>
      <c r="C118" s="61" t="s">
        <v>137</v>
      </c>
      <c r="D118" s="62">
        <v>155</v>
      </c>
      <c r="E118" s="63">
        <v>5.7023029946290001E-3</v>
      </c>
    </row>
    <row r="119" spans="2:5" ht="15" customHeight="1">
      <c r="B119" s="115"/>
      <c r="C119" s="61" t="s">
        <v>138</v>
      </c>
      <c r="D119" s="62">
        <v>8</v>
      </c>
      <c r="E119" s="63">
        <v>2.9431241262600002E-4</v>
      </c>
    </row>
    <row r="120" spans="2:5" ht="15" customHeight="1">
      <c r="B120" s="115"/>
      <c r="C120" s="61" t="s">
        <v>80</v>
      </c>
      <c r="D120" s="62">
        <v>2</v>
      </c>
      <c r="E120" s="63">
        <v>7.3578103156999997E-5</v>
      </c>
    </row>
    <row r="121" spans="2:5" ht="15" customHeight="1">
      <c r="B121" s="115"/>
      <c r="C121" s="61" t="s">
        <v>140</v>
      </c>
      <c r="D121" s="62">
        <v>1</v>
      </c>
      <c r="E121" s="63">
        <v>3.6789051577999998E-5</v>
      </c>
    </row>
    <row r="122" spans="2:5" ht="15" customHeight="1">
      <c r="B122" s="115"/>
      <c r="C122" s="61" t="s">
        <v>141</v>
      </c>
      <c r="D122" s="62">
        <v>8</v>
      </c>
      <c r="E122" s="63">
        <v>2.9431241262600002E-4</v>
      </c>
    </row>
    <row r="123" spans="2:5" ht="15" customHeight="1">
      <c r="B123" s="116"/>
      <c r="C123" s="83" t="s">
        <v>309</v>
      </c>
      <c r="D123" s="84">
        <v>576</v>
      </c>
      <c r="E123" s="85">
        <v>2.1190493709072E-2</v>
      </c>
    </row>
    <row r="124" spans="2:5" ht="15" customHeight="1">
      <c r="B124" s="114" t="s">
        <v>290</v>
      </c>
      <c r="C124" s="61" t="s">
        <v>96</v>
      </c>
      <c r="D124" s="62">
        <v>1</v>
      </c>
      <c r="E124" s="63">
        <v>3.6789051577999998E-5</v>
      </c>
    </row>
    <row r="125" spans="2:5" ht="15" customHeight="1">
      <c r="B125" s="115"/>
      <c r="C125" s="61" t="s">
        <v>97</v>
      </c>
      <c r="D125" s="62">
        <v>1</v>
      </c>
      <c r="E125" s="63">
        <v>3.6789051577999998E-5</v>
      </c>
    </row>
    <row r="126" spans="2:5" ht="15" customHeight="1">
      <c r="B126" s="115"/>
      <c r="C126" s="61" t="s">
        <v>98</v>
      </c>
      <c r="D126" s="62">
        <v>5</v>
      </c>
      <c r="E126" s="63">
        <v>1.8394525789100001E-4</v>
      </c>
    </row>
    <row r="127" spans="2:5" ht="15" customHeight="1">
      <c r="B127" s="115"/>
      <c r="C127" s="61" t="s">
        <v>99</v>
      </c>
      <c r="D127" s="62">
        <v>8</v>
      </c>
      <c r="E127" s="63">
        <v>2.9431241262600002E-4</v>
      </c>
    </row>
    <row r="128" spans="2:5" ht="15" customHeight="1">
      <c r="B128" s="115"/>
      <c r="C128" s="61" t="s">
        <v>100</v>
      </c>
      <c r="D128" s="62">
        <v>118</v>
      </c>
      <c r="E128" s="63">
        <v>4.3411080862339997E-3</v>
      </c>
    </row>
    <row r="129" spans="2:5" ht="15" customHeight="1">
      <c r="B129" s="115"/>
      <c r="C129" s="61" t="s">
        <v>101</v>
      </c>
      <c r="D129" s="62">
        <v>26</v>
      </c>
      <c r="E129" s="63">
        <v>9.5651534103499995E-4</v>
      </c>
    </row>
    <row r="130" spans="2:5" ht="15" customHeight="1">
      <c r="B130" s="115"/>
      <c r="C130" s="61" t="s">
        <v>104</v>
      </c>
      <c r="D130" s="62">
        <v>8</v>
      </c>
      <c r="E130" s="63">
        <v>2.9431241262600002E-4</v>
      </c>
    </row>
    <row r="131" spans="2:5" ht="15" customHeight="1">
      <c r="B131" s="115"/>
      <c r="C131" s="61" t="s">
        <v>105</v>
      </c>
      <c r="D131" s="62">
        <v>12</v>
      </c>
      <c r="E131" s="63">
        <v>4.4146861893900002E-4</v>
      </c>
    </row>
    <row r="132" spans="2:5" ht="15" customHeight="1">
      <c r="B132" s="115"/>
      <c r="C132" s="61" t="s">
        <v>107</v>
      </c>
      <c r="D132" s="62">
        <v>1</v>
      </c>
      <c r="E132" s="63">
        <v>3.6789051577999998E-5</v>
      </c>
    </row>
    <row r="133" spans="2:5" ht="15" customHeight="1">
      <c r="B133" s="115"/>
      <c r="C133" s="61" t="s">
        <v>108</v>
      </c>
      <c r="D133" s="62">
        <v>16</v>
      </c>
      <c r="E133" s="63">
        <v>5.8862482525200003E-4</v>
      </c>
    </row>
    <row r="134" spans="2:5" ht="15" customHeight="1">
      <c r="B134" s="115"/>
      <c r="C134" s="61" t="s">
        <v>109</v>
      </c>
      <c r="D134" s="62">
        <v>3</v>
      </c>
      <c r="E134" s="63">
        <v>1.10367154735E-4</v>
      </c>
    </row>
    <row r="135" spans="2:5" ht="15" customHeight="1">
      <c r="B135" s="115"/>
      <c r="C135" s="61" t="s">
        <v>110</v>
      </c>
      <c r="D135" s="62">
        <v>5</v>
      </c>
      <c r="E135" s="63">
        <v>1.8394525789100001E-4</v>
      </c>
    </row>
    <row r="136" spans="2:5" ht="15" customHeight="1">
      <c r="B136" s="115"/>
      <c r="C136" s="61" t="s">
        <v>111</v>
      </c>
      <c r="D136" s="62">
        <v>15</v>
      </c>
      <c r="E136" s="63">
        <v>5.5183577367399995E-4</v>
      </c>
    </row>
    <row r="137" spans="2:5" ht="15" customHeight="1">
      <c r="B137" s="115"/>
      <c r="C137" s="61" t="s">
        <v>113</v>
      </c>
      <c r="D137" s="62">
        <v>2</v>
      </c>
      <c r="E137" s="63">
        <v>7.3578103156999997E-5</v>
      </c>
    </row>
    <row r="138" spans="2:5" ht="15" customHeight="1">
      <c r="B138" s="115"/>
      <c r="C138" s="61" t="s">
        <v>116</v>
      </c>
      <c r="D138" s="62">
        <v>6</v>
      </c>
      <c r="E138" s="63">
        <v>2.2073430946999999E-4</v>
      </c>
    </row>
    <row r="139" spans="2:5" ht="15" customHeight="1">
      <c r="B139" s="115"/>
      <c r="C139" s="61" t="s">
        <v>117</v>
      </c>
      <c r="D139" s="62">
        <v>3</v>
      </c>
      <c r="E139" s="63">
        <v>1.10367154735E-4</v>
      </c>
    </row>
    <row r="140" spans="2:5" ht="15" customHeight="1">
      <c r="B140" s="115"/>
      <c r="C140" s="61" t="s">
        <v>118</v>
      </c>
      <c r="D140" s="62">
        <v>1</v>
      </c>
      <c r="E140" s="63">
        <v>3.6789051577999998E-5</v>
      </c>
    </row>
    <row r="141" spans="2:5" ht="15" customHeight="1">
      <c r="B141" s="115"/>
      <c r="C141" s="61" t="s">
        <v>119</v>
      </c>
      <c r="D141" s="62">
        <v>3</v>
      </c>
      <c r="E141" s="63">
        <v>1.10367154735E-4</v>
      </c>
    </row>
    <row r="142" spans="2:5" ht="15" customHeight="1">
      <c r="B142" s="115"/>
      <c r="C142" s="61" t="s">
        <v>121</v>
      </c>
      <c r="D142" s="62">
        <v>2</v>
      </c>
      <c r="E142" s="63">
        <v>7.3578103156999997E-5</v>
      </c>
    </row>
    <row r="143" spans="2:5" ht="15" customHeight="1">
      <c r="B143" s="115"/>
      <c r="C143" s="61" t="s">
        <v>122</v>
      </c>
      <c r="D143" s="62">
        <v>12</v>
      </c>
      <c r="E143" s="63">
        <v>4.4146861893900002E-4</v>
      </c>
    </row>
    <row r="144" spans="2:5" ht="15" customHeight="1">
      <c r="B144" s="115"/>
      <c r="C144" s="61" t="s">
        <v>125</v>
      </c>
      <c r="D144" s="62">
        <v>6</v>
      </c>
      <c r="E144" s="63">
        <v>2.2073430946999999E-4</v>
      </c>
    </row>
    <row r="145" spans="2:5" ht="15" customHeight="1">
      <c r="B145" s="115"/>
      <c r="C145" s="61" t="s">
        <v>127</v>
      </c>
      <c r="D145" s="62">
        <v>6</v>
      </c>
      <c r="E145" s="63">
        <v>2.2073430946999999E-4</v>
      </c>
    </row>
    <row r="146" spans="2:5" ht="15" customHeight="1">
      <c r="B146" s="115"/>
      <c r="C146" s="61" t="s">
        <v>129</v>
      </c>
      <c r="D146" s="62">
        <v>1</v>
      </c>
      <c r="E146" s="63">
        <v>3.6789051577999998E-5</v>
      </c>
    </row>
    <row r="147" spans="2:5" ht="15" customHeight="1">
      <c r="B147" s="115"/>
      <c r="C147" s="61" t="s">
        <v>130</v>
      </c>
      <c r="D147" s="62">
        <v>27</v>
      </c>
      <c r="E147" s="63">
        <v>9.9330439261300003E-4</v>
      </c>
    </row>
    <row r="148" spans="2:5" ht="15" customHeight="1">
      <c r="B148" s="115"/>
      <c r="C148" s="61" t="s">
        <v>131</v>
      </c>
      <c r="D148" s="62">
        <v>3</v>
      </c>
      <c r="E148" s="63">
        <v>1.10367154735E-4</v>
      </c>
    </row>
    <row r="149" spans="2:5" ht="15" customHeight="1">
      <c r="B149" s="115"/>
      <c r="C149" s="61" t="s">
        <v>132</v>
      </c>
      <c r="D149" s="62">
        <v>1</v>
      </c>
      <c r="E149" s="63">
        <v>3.6789051577999998E-5</v>
      </c>
    </row>
    <row r="150" spans="2:5" ht="15" customHeight="1">
      <c r="B150" s="115"/>
      <c r="C150" s="61" t="s">
        <v>134</v>
      </c>
      <c r="D150" s="62">
        <v>1</v>
      </c>
      <c r="E150" s="63">
        <v>3.6789051577999998E-5</v>
      </c>
    </row>
    <row r="151" spans="2:5" ht="15" customHeight="1">
      <c r="B151" s="115"/>
      <c r="C151" s="61" t="s">
        <v>136</v>
      </c>
      <c r="D151" s="62">
        <v>3</v>
      </c>
      <c r="E151" s="63">
        <v>1.10367154735E-4</v>
      </c>
    </row>
    <row r="152" spans="2:5" ht="15" customHeight="1">
      <c r="B152" s="115"/>
      <c r="C152" s="61" t="s">
        <v>137</v>
      </c>
      <c r="D152" s="62">
        <v>120</v>
      </c>
      <c r="E152" s="63">
        <v>4.4146861893900003E-3</v>
      </c>
    </row>
    <row r="153" spans="2:5" ht="15" customHeight="1">
      <c r="B153" s="115"/>
      <c r="C153" s="61" t="s">
        <v>138</v>
      </c>
      <c r="D153" s="62">
        <v>4</v>
      </c>
      <c r="E153" s="63">
        <v>1.4715620631300001E-4</v>
      </c>
    </row>
    <row r="154" spans="2:5" ht="15" customHeight="1">
      <c r="B154" s="115"/>
      <c r="C154" s="61" t="s">
        <v>139</v>
      </c>
      <c r="D154" s="62">
        <v>2</v>
      </c>
      <c r="E154" s="63">
        <v>7.3578103156999997E-5</v>
      </c>
    </row>
    <row r="155" spans="2:5" ht="15" customHeight="1">
      <c r="B155" s="115"/>
      <c r="C155" s="61" t="s">
        <v>80</v>
      </c>
      <c r="D155" s="62">
        <v>2</v>
      </c>
      <c r="E155" s="63">
        <v>7.3578103156999997E-5</v>
      </c>
    </row>
    <row r="156" spans="2:5" ht="15" customHeight="1">
      <c r="B156" s="115"/>
      <c r="C156" s="61" t="s">
        <v>141</v>
      </c>
      <c r="D156" s="62">
        <v>10</v>
      </c>
      <c r="E156" s="63">
        <v>3.6789051578300003E-4</v>
      </c>
    </row>
    <row r="157" spans="2:5" ht="15" customHeight="1">
      <c r="B157" s="115"/>
      <c r="C157" s="61" t="s">
        <v>142</v>
      </c>
      <c r="D157" s="62">
        <v>1</v>
      </c>
      <c r="E157" s="63">
        <v>3.6789051577999998E-5</v>
      </c>
    </row>
    <row r="158" spans="2:5" ht="15" customHeight="1">
      <c r="B158" s="116"/>
      <c r="C158" s="83" t="s">
        <v>309</v>
      </c>
      <c r="D158" s="84">
        <v>435</v>
      </c>
      <c r="E158" s="85">
        <v>1.6003237436538999E-2</v>
      </c>
    </row>
    <row r="159" spans="2:5" ht="15" customHeight="1">
      <c r="B159" s="114" t="s">
        <v>291</v>
      </c>
      <c r="C159" s="61" t="s">
        <v>96</v>
      </c>
      <c r="D159" s="62">
        <v>1</v>
      </c>
      <c r="E159" s="63">
        <v>3.6789051577999998E-5</v>
      </c>
    </row>
    <row r="160" spans="2:5" ht="15" customHeight="1">
      <c r="B160" s="115"/>
      <c r="C160" s="61" t="s">
        <v>98</v>
      </c>
      <c r="D160" s="62">
        <v>12</v>
      </c>
      <c r="E160" s="63">
        <v>4.4146861893900002E-4</v>
      </c>
    </row>
    <row r="161" spans="2:5" ht="15" customHeight="1">
      <c r="B161" s="115"/>
      <c r="C161" s="61" t="s">
        <v>99</v>
      </c>
      <c r="D161" s="62">
        <v>11</v>
      </c>
      <c r="E161" s="63">
        <v>4.04679567361E-4</v>
      </c>
    </row>
    <row r="162" spans="2:5" ht="15" customHeight="1">
      <c r="B162" s="115"/>
      <c r="C162" s="61" t="s">
        <v>100</v>
      </c>
      <c r="D162" s="62">
        <v>162</v>
      </c>
      <c r="E162" s="63">
        <v>5.9598263556769997E-3</v>
      </c>
    </row>
    <row r="163" spans="2:5" ht="15" customHeight="1">
      <c r="B163" s="115"/>
      <c r="C163" s="61" t="s">
        <v>101</v>
      </c>
      <c r="D163" s="62">
        <v>45</v>
      </c>
      <c r="E163" s="63">
        <v>1.655507321021E-3</v>
      </c>
    </row>
    <row r="164" spans="2:5" ht="15" customHeight="1">
      <c r="B164" s="115"/>
      <c r="C164" s="61" t="s">
        <v>103</v>
      </c>
      <c r="D164" s="62">
        <v>1</v>
      </c>
      <c r="E164" s="63">
        <v>3.6789051577999998E-5</v>
      </c>
    </row>
    <row r="165" spans="2:5" ht="15" customHeight="1">
      <c r="B165" s="115"/>
      <c r="C165" s="61" t="s">
        <v>104</v>
      </c>
      <c r="D165" s="62">
        <v>3</v>
      </c>
      <c r="E165" s="63">
        <v>1.10367154735E-4</v>
      </c>
    </row>
    <row r="166" spans="2:5" ht="15" customHeight="1">
      <c r="B166" s="115"/>
      <c r="C166" s="61" t="s">
        <v>105</v>
      </c>
      <c r="D166" s="62">
        <v>18</v>
      </c>
      <c r="E166" s="63">
        <v>6.6220292840900004E-4</v>
      </c>
    </row>
    <row r="167" spans="2:5" ht="15" customHeight="1">
      <c r="B167" s="115"/>
      <c r="C167" s="61" t="s">
        <v>107</v>
      </c>
      <c r="D167" s="62">
        <v>9</v>
      </c>
      <c r="E167" s="63">
        <v>3.3110146420399999E-4</v>
      </c>
    </row>
    <row r="168" spans="2:5" ht="15" customHeight="1">
      <c r="B168" s="115"/>
      <c r="C168" s="61" t="s">
        <v>108</v>
      </c>
      <c r="D168" s="62">
        <v>30</v>
      </c>
      <c r="E168" s="63">
        <v>1.1036715473479999E-3</v>
      </c>
    </row>
    <row r="169" spans="2:5" ht="15" customHeight="1">
      <c r="B169" s="115"/>
      <c r="C169" s="61" t="s">
        <v>109</v>
      </c>
      <c r="D169" s="62">
        <v>7</v>
      </c>
      <c r="E169" s="63">
        <v>2.5752336104799999E-4</v>
      </c>
    </row>
    <row r="170" spans="2:5" ht="15" customHeight="1">
      <c r="B170" s="115"/>
      <c r="C170" s="61" t="s">
        <v>110</v>
      </c>
      <c r="D170" s="62">
        <v>6</v>
      </c>
      <c r="E170" s="63">
        <v>2.2073430946999999E-4</v>
      </c>
    </row>
    <row r="171" spans="2:5" ht="15" customHeight="1">
      <c r="B171" s="115"/>
      <c r="C171" s="61" t="s">
        <v>111</v>
      </c>
      <c r="D171" s="62">
        <v>18</v>
      </c>
      <c r="E171" s="63">
        <v>6.6220292840900004E-4</v>
      </c>
    </row>
    <row r="172" spans="2:5" ht="15" customHeight="1">
      <c r="B172" s="115"/>
      <c r="C172" s="61" t="s">
        <v>112</v>
      </c>
      <c r="D172" s="62">
        <v>3</v>
      </c>
      <c r="E172" s="63">
        <v>1.10367154735E-4</v>
      </c>
    </row>
    <row r="173" spans="2:5" ht="15" customHeight="1">
      <c r="B173" s="115"/>
      <c r="C173" s="61" t="s">
        <v>116</v>
      </c>
      <c r="D173" s="62">
        <v>10</v>
      </c>
      <c r="E173" s="63">
        <v>3.6789051578300003E-4</v>
      </c>
    </row>
    <row r="174" spans="2:5" ht="15" customHeight="1">
      <c r="B174" s="115"/>
      <c r="C174" s="61" t="s">
        <v>117</v>
      </c>
      <c r="D174" s="62">
        <v>2</v>
      </c>
      <c r="E174" s="63">
        <v>7.3578103156999997E-5</v>
      </c>
    </row>
    <row r="175" spans="2:5" ht="15" customHeight="1">
      <c r="B175" s="115"/>
      <c r="C175" s="61" t="s">
        <v>119</v>
      </c>
      <c r="D175" s="62">
        <v>7</v>
      </c>
      <c r="E175" s="63">
        <v>2.5752336104799999E-4</v>
      </c>
    </row>
    <row r="176" spans="2:5" ht="15" customHeight="1">
      <c r="B176" s="115"/>
      <c r="C176" s="61" t="s">
        <v>122</v>
      </c>
      <c r="D176" s="62">
        <v>19</v>
      </c>
      <c r="E176" s="63">
        <v>6.9899197998700001E-4</v>
      </c>
    </row>
    <row r="177" spans="2:5" ht="15" customHeight="1">
      <c r="B177" s="115"/>
      <c r="C177" s="61" t="s">
        <v>123</v>
      </c>
      <c r="D177" s="62">
        <v>1</v>
      </c>
      <c r="E177" s="63">
        <v>3.6789051577999998E-5</v>
      </c>
    </row>
    <row r="178" spans="2:5" ht="15" customHeight="1">
      <c r="B178" s="115"/>
      <c r="C178" s="61" t="s">
        <v>124</v>
      </c>
      <c r="D178" s="62">
        <v>1</v>
      </c>
      <c r="E178" s="63">
        <v>3.6789051577999998E-5</v>
      </c>
    </row>
    <row r="179" spans="2:5" ht="15" customHeight="1">
      <c r="B179" s="115"/>
      <c r="C179" s="61" t="s">
        <v>125</v>
      </c>
      <c r="D179" s="62">
        <v>5</v>
      </c>
      <c r="E179" s="63">
        <v>1.8394525789100001E-4</v>
      </c>
    </row>
    <row r="180" spans="2:5" ht="15" customHeight="1">
      <c r="B180" s="115"/>
      <c r="C180" s="61" t="s">
        <v>126</v>
      </c>
      <c r="D180" s="62">
        <v>1</v>
      </c>
      <c r="E180" s="63">
        <v>3.6789051577999998E-5</v>
      </c>
    </row>
    <row r="181" spans="2:5" ht="15" customHeight="1">
      <c r="B181" s="115"/>
      <c r="C181" s="61" t="s">
        <v>127</v>
      </c>
      <c r="D181" s="62">
        <v>7</v>
      </c>
      <c r="E181" s="63">
        <v>2.5752336104799999E-4</v>
      </c>
    </row>
    <row r="182" spans="2:5" ht="15" customHeight="1">
      <c r="B182" s="115"/>
      <c r="C182" s="61" t="s">
        <v>129</v>
      </c>
      <c r="D182" s="62">
        <v>2</v>
      </c>
      <c r="E182" s="63">
        <v>7.3578103156999997E-5</v>
      </c>
    </row>
    <row r="183" spans="2:5" ht="15" customHeight="1">
      <c r="B183" s="115"/>
      <c r="C183" s="61" t="s">
        <v>130</v>
      </c>
      <c r="D183" s="62">
        <v>41</v>
      </c>
      <c r="E183" s="63">
        <v>1.508351114708E-3</v>
      </c>
    </row>
    <row r="184" spans="2:5" ht="15" customHeight="1">
      <c r="B184" s="115"/>
      <c r="C184" s="61" t="s">
        <v>131</v>
      </c>
      <c r="D184" s="62">
        <v>1</v>
      </c>
      <c r="E184" s="63">
        <v>3.6789051577999998E-5</v>
      </c>
    </row>
    <row r="185" spans="2:5" ht="15" customHeight="1">
      <c r="B185" s="115"/>
      <c r="C185" s="61" t="s">
        <v>132</v>
      </c>
      <c r="D185" s="62">
        <v>1</v>
      </c>
      <c r="E185" s="63">
        <v>3.6789051577999998E-5</v>
      </c>
    </row>
    <row r="186" spans="2:5" ht="15" customHeight="1">
      <c r="B186" s="115"/>
      <c r="C186" s="61" t="s">
        <v>134</v>
      </c>
      <c r="D186" s="62">
        <v>1</v>
      </c>
      <c r="E186" s="63">
        <v>3.6789051577999998E-5</v>
      </c>
    </row>
    <row r="187" spans="2:5" ht="15" customHeight="1">
      <c r="B187" s="115"/>
      <c r="C187" s="61" t="s">
        <v>136</v>
      </c>
      <c r="D187" s="62">
        <v>5</v>
      </c>
      <c r="E187" s="63">
        <v>1.8394525789100001E-4</v>
      </c>
    </row>
    <row r="188" spans="2:5" ht="15" customHeight="1">
      <c r="B188" s="115"/>
      <c r="C188" s="61" t="s">
        <v>137</v>
      </c>
      <c r="D188" s="62">
        <v>134</v>
      </c>
      <c r="E188" s="63">
        <v>4.9297329114860004E-3</v>
      </c>
    </row>
    <row r="189" spans="2:5" ht="15" customHeight="1">
      <c r="B189" s="115"/>
      <c r="C189" s="61" t="s">
        <v>138</v>
      </c>
      <c r="D189" s="62">
        <v>3</v>
      </c>
      <c r="E189" s="63">
        <v>1.10367154735E-4</v>
      </c>
    </row>
    <row r="190" spans="2:5" ht="15" customHeight="1">
      <c r="B190" s="115"/>
      <c r="C190" s="61" t="s">
        <v>139</v>
      </c>
      <c r="D190" s="62">
        <v>2</v>
      </c>
      <c r="E190" s="63">
        <v>7.3578103156999997E-5</v>
      </c>
    </row>
    <row r="191" spans="2:5" ht="15" customHeight="1">
      <c r="B191" s="115"/>
      <c r="C191" s="61" t="s">
        <v>80</v>
      </c>
      <c r="D191" s="62">
        <v>2</v>
      </c>
      <c r="E191" s="63">
        <v>7.3578103156999997E-5</v>
      </c>
    </row>
    <row r="192" spans="2:5" ht="15" customHeight="1">
      <c r="B192" s="115"/>
      <c r="C192" s="61" t="s">
        <v>141</v>
      </c>
      <c r="D192" s="62">
        <v>4</v>
      </c>
      <c r="E192" s="63">
        <v>1.4715620631300001E-4</v>
      </c>
    </row>
    <row r="193" spans="2:5" ht="15" customHeight="1">
      <c r="B193" s="115"/>
      <c r="C193" s="61" t="s">
        <v>142</v>
      </c>
      <c r="D193" s="62">
        <v>1</v>
      </c>
      <c r="E193" s="63">
        <v>3.6789051577999998E-5</v>
      </c>
    </row>
    <row r="194" spans="2:5" ht="15" customHeight="1">
      <c r="B194" s="116"/>
      <c r="C194" s="83" t="s">
        <v>309</v>
      </c>
      <c r="D194" s="84">
        <v>576</v>
      </c>
      <c r="E194" s="85">
        <v>2.1190493709072E-2</v>
      </c>
    </row>
    <row r="195" spans="2:5" ht="15" customHeight="1">
      <c r="B195" s="114" t="s">
        <v>292</v>
      </c>
      <c r="C195" s="61" t="s">
        <v>96</v>
      </c>
      <c r="D195" s="62">
        <v>5</v>
      </c>
      <c r="E195" s="63">
        <v>1.8394525789100001E-4</v>
      </c>
    </row>
    <row r="196" spans="2:5" ht="15" customHeight="1">
      <c r="B196" s="115"/>
      <c r="C196" s="61" t="s">
        <v>97</v>
      </c>
      <c r="D196" s="62">
        <v>1</v>
      </c>
      <c r="E196" s="63">
        <v>3.6789051577999998E-5</v>
      </c>
    </row>
    <row r="197" spans="2:5" ht="15" customHeight="1">
      <c r="B197" s="115"/>
      <c r="C197" s="61" t="s">
        <v>98</v>
      </c>
      <c r="D197" s="62">
        <v>53</v>
      </c>
      <c r="E197" s="63">
        <v>1.9498197336469999E-3</v>
      </c>
    </row>
    <row r="198" spans="2:5" ht="15" customHeight="1">
      <c r="B198" s="115"/>
      <c r="C198" s="61" t="s">
        <v>99</v>
      </c>
      <c r="D198" s="62">
        <v>26</v>
      </c>
      <c r="E198" s="63">
        <v>9.5651534103499995E-4</v>
      </c>
    </row>
    <row r="199" spans="2:5" ht="15" customHeight="1">
      <c r="B199" s="115"/>
      <c r="C199" s="61" t="s">
        <v>100</v>
      </c>
      <c r="D199" s="62">
        <v>702</v>
      </c>
      <c r="E199" s="63">
        <v>2.5825914207932E-2</v>
      </c>
    </row>
    <row r="200" spans="2:5" ht="15" customHeight="1">
      <c r="B200" s="115"/>
      <c r="C200" s="61" t="s">
        <v>101</v>
      </c>
      <c r="D200" s="62">
        <v>166</v>
      </c>
      <c r="E200" s="63">
        <v>6.1069825619900001E-3</v>
      </c>
    </row>
    <row r="201" spans="2:5" ht="15" customHeight="1">
      <c r="B201" s="115"/>
      <c r="C201" s="61" t="s">
        <v>103</v>
      </c>
      <c r="D201" s="62">
        <v>1</v>
      </c>
      <c r="E201" s="63">
        <v>3.6789051577999998E-5</v>
      </c>
    </row>
    <row r="202" spans="2:5" ht="15" customHeight="1">
      <c r="B202" s="115"/>
      <c r="C202" s="61" t="s">
        <v>104</v>
      </c>
      <c r="D202" s="62">
        <v>16</v>
      </c>
      <c r="E202" s="63">
        <v>5.8862482525200003E-4</v>
      </c>
    </row>
    <row r="203" spans="2:5" ht="15" customHeight="1">
      <c r="B203" s="115"/>
      <c r="C203" s="61" t="s">
        <v>105</v>
      </c>
      <c r="D203" s="62">
        <v>44</v>
      </c>
      <c r="E203" s="63">
        <v>1.6187182694429999E-3</v>
      </c>
    </row>
    <row r="204" spans="2:5" ht="15" customHeight="1">
      <c r="B204" s="115"/>
      <c r="C204" s="61" t="s">
        <v>107</v>
      </c>
      <c r="D204" s="62">
        <v>18</v>
      </c>
      <c r="E204" s="63">
        <v>6.6220292840900004E-4</v>
      </c>
    </row>
    <row r="205" spans="2:5" ht="15" customHeight="1">
      <c r="B205" s="115"/>
      <c r="C205" s="61" t="s">
        <v>108</v>
      </c>
      <c r="D205" s="62">
        <v>150</v>
      </c>
      <c r="E205" s="63">
        <v>5.5183577367380002E-3</v>
      </c>
    </row>
    <row r="206" spans="2:5" ht="15" customHeight="1">
      <c r="B206" s="115"/>
      <c r="C206" s="61" t="s">
        <v>109</v>
      </c>
      <c r="D206" s="62">
        <v>22</v>
      </c>
      <c r="E206" s="63">
        <v>8.09359134722E-4</v>
      </c>
    </row>
    <row r="207" spans="2:5" ht="15" customHeight="1">
      <c r="B207" s="115"/>
      <c r="C207" s="61" t="s">
        <v>110</v>
      </c>
      <c r="D207" s="62">
        <v>20</v>
      </c>
      <c r="E207" s="63">
        <v>7.3578103156499998E-4</v>
      </c>
    </row>
    <row r="208" spans="2:5" ht="15" customHeight="1">
      <c r="B208" s="115"/>
      <c r="C208" s="61" t="s">
        <v>111</v>
      </c>
      <c r="D208" s="62">
        <v>44</v>
      </c>
      <c r="E208" s="63">
        <v>1.6187182694429999E-3</v>
      </c>
    </row>
    <row r="209" spans="2:5" ht="15" customHeight="1">
      <c r="B209" s="115"/>
      <c r="C209" s="61" t="s">
        <v>112</v>
      </c>
      <c r="D209" s="62">
        <v>8</v>
      </c>
      <c r="E209" s="63">
        <v>2.9431241262600002E-4</v>
      </c>
    </row>
    <row r="210" spans="2:5" ht="15" customHeight="1">
      <c r="B210" s="115"/>
      <c r="C210" s="61" t="s">
        <v>113</v>
      </c>
      <c r="D210" s="62">
        <v>13</v>
      </c>
      <c r="E210" s="63">
        <v>4.7825767051699999E-4</v>
      </c>
    </row>
    <row r="211" spans="2:5" ht="15" customHeight="1">
      <c r="B211" s="115"/>
      <c r="C211" s="61" t="s">
        <v>114</v>
      </c>
      <c r="D211" s="62">
        <v>1</v>
      </c>
      <c r="E211" s="63">
        <v>3.6789051577999998E-5</v>
      </c>
    </row>
    <row r="212" spans="2:5" ht="15" customHeight="1">
      <c r="B212" s="115"/>
      <c r="C212" s="61" t="s">
        <v>116</v>
      </c>
      <c r="D212" s="62">
        <v>53</v>
      </c>
      <c r="E212" s="63">
        <v>1.9498197336469999E-3</v>
      </c>
    </row>
    <row r="213" spans="2:5" ht="15" customHeight="1">
      <c r="B213" s="115"/>
      <c r="C213" s="61" t="s">
        <v>117</v>
      </c>
      <c r="D213" s="62">
        <v>10</v>
      </c>
      <c r="E213" s="63">
        <v>3.6789051578300003E-4</v>
      </c>
    </row>
    <row r="214" spans="2:5" ht="15" customHeight="1">
      <c r="B214" s="115"/>
      <c r="C214" s="61" t="s">
        <v>118</v>
      </c>
      <c r="D214" s="62">
        <v>8</v>
      </c>
      <c r="E214" s="63">
        <v>2.9431241262600002E-4</v>
      </c>
    </row>
    <row r="215" spans="2:5" ht="15" customHeight="1">
      <c r="B215" s="115"/>
      <c r="C215" s="61" t="s">
        <v>119</v>
      </c>
      <c r="D215" s="62">
        <v>17</v>
      </c>
      <c r="E215" s="63">
        <v>6.2541387683E-4</v>
      </c>
    </row>
    <row r="216" spans="2:5" ht="15" customHeight="1">
      <c r="B216" s="115"/>
      <c r="C216" s="61" t="s">
        <v>120</v>
      </c>
      <c r="D216" s="62">
        <v>1</v>
      </c>
      <c r="E216" s="63">
        <v>3.6789051577999998E-5</v>
      </c>
    </row>
    <row r="217" spans="2:5" ht="15" customHeight="1">
      <c r="B217" s="115"/>
      <c r="C217" s="61" t="s">
        <v>121</v>
      </c>
      <c r="D217" s="62">
        <v>8</v>
      </c>
      <c r="E217" s="63">
        <v>2.9431241262600002E-4</v>
      </c>
    </row>
    <row r="218" spans="2:5" ht="15" customHeight="1">
      <c r="B218" s="115"/>
      <c r="C218" s="61" t="s">
        <v>122</v>
      </c>
      <c r="D218" s="62">
        <v>67</v>
      </c>
      <c r="E218" s="63">
        <v>2.4648664557430002E-3</v>
      </c>
    </row>
    <row r="219" spans="2:5" ht="15" customHeight="1">
      <c r="B219" s="115"/>
      <c r="C219" s="61" t="s">
        <v>124</v>
      </c>
      <c r="D219" s="62">
        <v>2</v>
      </c>
      <c r="E219" s="63">
        <v>7.3578103156999997E-5</v>
      </c>
    </row>
    <row r="220" spans="2:5" ht="15" customHeight="1">
      <c r="B220" s="115"/>
      <c r="C220" s="61" t="s">
        <v>125</v>
      </c>
      <c r="D220" s="62">
        <v>36</v>
      </c>
      <c r="E220" s="63">
        <v>1.324405856817E-3</v>
      </c>
    </row>
    <row r="221" spans="2:5" ht="15" customHeight="1">
      <c r="B221" s="115"/>
      <c r="C221" s="61" t="s">
        <v>126</v>
      </c>
      <c r="D221" s="62">
        <v>1</v>
      </c>
      <c r="E221" s="63">
        <v>3.6789051577999998E-5</v>
      </c>
    </row>
    <row r="222" spans="2:5" ht="15" customHeight="1">
      <c r="B222" s="115"/>
      <c r="C222" s="61" t="s">
        <v>127</v>
      </c>
      <c r="D222" s="62">
        <v>28</v>
      </c>
      <c r="E222" s="63">
        <v>1.0300934441909999E-3</v>
      </c>
    </row>
    <row r="223" spans="2:5" ht="15" customHeight="1">
      <c r="B223" s="115"/>
      <c r="C223" s="61" t="s">
        <v>129</v>
      </c>
      <c r="D223" s="62">
        <v>4</v>
      </c>
      <c r="E223" s="63">
        <v>1.4715620631300001E-4</v>
      </c>
    </row>
    <row r="224" spans="2:5" ht="15" customHeight="1">
      <c r="B224" s="115"/>
      <c r="C224" s="61" t="s">
        <v>130</v>
      </c>
      <c r="D224" s="62">
        <v>104</v>
      </c>
      <c r="E224" s="63">
        <v>3.8260613641380001E-3</v>
      </c>
    </row>
    <row r="225" spans="2:5" ht="15" customHeight="1">
      <c r="B225" s="115"/>
      <c r="C225" s="61" t="s">
        <v>131</v>
      </c>
      <c r="D225" s="62">
        <v>9</v>
      </c>
      <c r="E225" s="63">
        <v>3.3110146420399999E-4</v>
      </c>
    </row>
    <row r="226" spans="2:5" ht="15" customHeight="1">
      <c r="B226" s="115"/>
      <c r="C226" s="61" t="s">
        <v>132</v>
      </c>
      <c r="D226" s="62">
        <v>5</v>
      </c>
      <c r="E226" s="63">
        <v>1.8394525789100001E-4</v>
      </c>
    </row>
    <row r="227" spans="2:5" ht="15" customHeight="1">
      <c r="B227" s="115"/>
      <c r="C227" s="61" t="s">
        <v>134</v>
      </c>
      <c r="D227" s="62">
        <v>2</v>
      </c>
      <c r="E227" s="63">
        <v>7.3578103156999997E-5</v>
      </c>
    </row>
    <row r="228" spans="2:5" ht="15" customHeight="1">
      <c r="B228" s="115"/>
      <c r="C228" s="61" t="s">
        <v>136</v>
      </c>
      <c r="D228" s="62">
        <v>38</v>
      </c>
      <c r="E228" s="63">
        <v>1.397983959974E-3</v>
      </c>
    </row>
    <row r="229" spans="2:5" ht="15" customHeight="1">
      <c r="B229" s="115"/>
      <c r="C229" s="61" t="s">
        <v>137</v>
      </c>
      <c r="D229" s="62">
        <v>776</v>
      </c>
      <c r="E229" s="63">
        <v>2.8548304024721999E-2</v>
      </c>
    </row>
    <row r="230" spans="2:5" ht="15" customHeight="1">
      <c r="B230" s="115"/>
      <c r="C230" s="61" t="s">
        <v>138</v>
      </c>
      <c r="D230" s="62">
        <v>22</v>
      </c>
      <c r="E230" s="63">
        <v>8.09359134722E-4</v>
      </c>
    </row>
    <row r="231" spans="2:5" ht="15" customHeight="1">
      <c r="B231" s="115"/>
      <c r="C231" s="61" t="s">
        <v>139</v>
      </c>
      <c r="D231" s="62">
        <v>12</v>
      </c>
      <c r="E231" s="63">
        <v>4.4146861893900002E-4</v>
      </c>
    </row>
    <row r="232" spans="2:5" ht="15" customHeight="1">
      <c r="B232" s="115"/>
      <c r="C232" s="61" t="s">
        <v>80</v>
      </c>
      <c r="D232" s="62">
        <v>7</v>
      </c>
      <c r="E232" s="63">
        <v>2.5752336104799999E-4</v>
      </c>
    </row>
    <row r="233" spans="2:5" ht="15" customHeight="1">
      <c r="B233" s="115"/>
      <c r="C233" s="61" t="s">
        <v>141</v>
      </c>
      <c r="D233" s="62">
        <v>19</v>
      </c>
      <c r="E233" s="63">
        <v>6.9899197998700001E-4</v>
      </c>
    </row>
    <row r="234" spans="2:5" ht="15" customHeight="1">
      <c r="B234" s="115"/>
      <c r="C234" s="61" t="s">
        <v>142</v>
      </c>
      <c r="D234" s="62">
        <v>2</v>
      </c>
      <c r="E234" s="63">
        <v>7.3578103156999997E-5</v>
      </c>
    </row>
    <row r="235" spans="2:5" ht="15" customHeight="1">
      <c r="B235" s="116"/>
      <c r="C235" s="83" t="s">
        <v>309</v>
      </c>
      <c r="D235" s="84">
        <v>2521</v>
      </c>
      <c r="E235" s="85">
        <v>9.2745199028769001E-2</v>
      </c>
    </row>
    <row r="236" spans="2:5" ht="15" customHeight="1">
      <c r="B236" s="114" t="s">
        <v>211</v>
      </c>
      <c r="C236" s="61" t="s">
        <v>96</v>
      </c>
      <c r="D236" s="62">
        <v>6</v>
      </c>
      <c r="E236" s="63">
        <v>2.2073430946999999E-4</v>
      </c>
    </row>
    <row r="237" spans="2:5" ht="15" customHeight="1">
      <c r="B237" s="115"/>
      <c r="C237" s="61" t="s">
        <v>98</v>
      </c>
      <c r="D237" s="62">
        <v>69</v>
      </c>
      <c r="E237" s="63">
        <v>2.5384445588989999E-3</v>
      </c>
    </row>
    <row r="238" spans="2:5" ht="15" customHeight="1">
      <c r="B238" s="115"/>
      <c r="C238" s="61" t="s">
        <v>99</v>
      </c>
      <c r="D238" s="62">
        <v>59</v>
      </c>
      <c r="E238" s="63">
        <v>2.1705540431169999E-3</v>
      </c>
    </row>
    <row r="239" spans="2:5" ht="15" customHeight="1">
      <c r="B239" s="115"/>
      <c r="C239" s="61" t="s">
        <v>100</v>
      </c>
      <c r="D239" s="62">
        <v>1070</v>
      </c>
      <c r="E239" s="63">
        <v>3.9364285188727997E-2</v>
      </c>
    </row>
    <row r="240" spans="2:5" ht="15" customHeight="1">
      <c r="B240" s="115"/>
      <c r="C240" s="61" t="s">
        <v>101</v>
      </c>
      <c r="D240" s="62">
        <v>245</v>
      </c>
      <c r="E240" s="63">
        <v>9.0133176366710005E-3</v>
      </c>
    </row>
    <row r="241" spans="2:5" ht="15" customHeight="1">
      <c r="B241" s="115"/>
      <c r="C241" s="61" t="s">
        <v>103</v>
      </c>
      <c r="D241" s="62">
        <v>4</v>
      </c>
      <c r="E241" s="63">
        <v>1.4715620631300001E-4</v>
      </c>
    </row>
    <row r="242" spans="2:5" ht="15" customHeight="1">
      <c r="B242" s="115"/>
      <c r="C242" s="61" t="s">
        <v>104</v>
      </c>
      <c r="D242" s="62">
        <v>53</v>
      </c>
      <c r="E242" s="63">
        <v>1.9498197336469999E-3</v>
      </c>
    </row>
    <row r="243" spans="2:5" ht="15" customHeight="1">
      <c r="B243" s="115"/>
      <c r="C243" s="61" t="s">
        <v>105</v>
      </c>
      <c r="D243" s="62">
        <v>105</v>
      </c>
      <c r="E243" s="63">
        <v>3.862850415716E-3</v>
      </c>
    </row>
    <row r="244" spans="2:5" ht="15" customHeight="1">
      <c r="B244" s="115"/>
      <c r="C244" s="61" t="s">
        <v>106</v>
      </c>
      <c r="D244" s="62">
        <v>1</v>
      </c>
      <c r="E244" s="63">
        <v>3.6789051577999998E-5</v>
      </c>
    </row>
    <row r="245" spans="2:5" ht="15" customHeight="1">
      <c r="B245" s="115"/>
      <c r="C245" s="61" t="s">
        <v>107</v>
      </c>
      <c r="D245" s="62">
        <v>40</v>
      </c>
      <c r="E245" s="63">
        <v>1.47156206313E-3</v>
      </c>
    </row>
    <row r="246" spans="2:5" ht="15" customHeight="1">
      <c r="B246" s="115"/>
      <c r="C246" s="61" t="s">
        <v>108</v>
      </c>
      <c r="D246" s="62">
        <v>597</v>
      </c>
      <c r="E246" s="63">
        <v>2.1963063792215E-2</v>
      </c>
    </row>
    <row r="247" spans="2:5" ht="15" customHeight="1">
      <c r="B247" s="115"/>
      <c r="C247" s="61" t="s">
        <v>109</v>
      </c>
      <c r="D247" s="62">
        <v>47</v>
      </c>
      <c r="E247" s="63">
        <v>1.729085424178E-3</v>
      </c>
    </row>
    <row r="248" spans="2:5" ht="15" customHeight="1">
      <c r="B248" s="115"/>
      <c r="C248" s="61" t="s">
        <v>110</v>
      </c>
      <c r="D248" s="62">
        <v>36</v>
      </c>
      <c r="E248" s="63">
        <v>1.324405856817E-3</v>
      </c>
    </row>
    <row r="249" spans="2:5" ht="15" customHeight="1">
      <c r="B249" s="115"/>
      <c r="C249" s="61" t="s">
        <v>111</v>
      </c>
      <c r="D249" s="62">
        <v>95</v>
      </c>
      <c r="E249" s="63">
        <v>3.4949598999339999E-3</v>
      </c>
    </row>
    <row r="250" spans="2:5" ht="15" customHeight="1">
      <c r="B250" s="115"/>
      <c r="C250" s="61" t="s">
        <v>112</v>
      </c>
      <c r="D250" s="62">
        <v>13</v>
      </c>
      <c r="E250" s="63">
        <v>4.7825767051699999E-4</v>
      </c>
    </row>
    <row r="251" spans="2:5" ht="15" customHeight="1">
      <c r="B251" s="115"/>
      <c r="C251" s="61" t="s">
        <v>113</v>
      </c>
      <c r="D251" s="62">
        <v>19</v>
      </c>
      <c r="E251" s="63">
        <v>6.9899197998700001E-4</v>
      </c>
    </row>
    <row r="252" spans="2:5" ht="15" customHeight="1">
      <c r="B252" s="115"/>
      <c r="C252" s="61" t="s">
        <v>114</v>
      </c>
      <c r="D252" s="62">
        <v>2</v>
      </c>
      <c r="E252" s="63">
        <v>7.3578103156999997E-5</v>
      </c>
    </row>
    <row r="253" spans="2:5" ht="15" customHeight="1">
      <c r="B253" s="115"/>
      <c r="C253" s="61" t="s">
        <v>116</v>
      </c>
      <c r="D253" s="62">
        <v>74</v>
      </c>
      <c r="E253" s="63">
        <v>2.7223898167909998E-3</v>
      </c>
    </row>
    <row r="254" spans="2:5" ht="15" customHeight="1">
      <c r="B254" s="115"/>
      <c r="C254" s="61" t="s">
        <v>117</v>
      </c>
      <c r="D254" s="62">
        <v>35</v>
      </c>
      <c r="E254" s="63">
        <v>1.2876168052389999E-3</v>
      </c>
    </row>
    <row r="255" spans="2:5" ht="15" customHeight="1">
      <c r="B255" s="115"/>
      <c r="C255" s="61" t="s">
        <v>118</v>
      </c>
      <c r="D255" s="62">
        <v>17</v>
      </c>
      <c r="E255" s="63">
        <v>6.2541387683E-4</v>
      </c>
    </row>
    <row r="256" spans="2:5" ht="15" customHeight="1">
      <c r="B256" s="115"/>
      <c r="C256" s="61" t="s">
        <v>119</v>
      </c>
      <c r="D256" s="62">
        <v>23</v>
      </c>
      <c r="E256" s="63">
        <v>8.4614818629999997E-4</v>
      </c>
    </row>
    <row r="257" spans="2:5" ht="15" customHeight="1">
      <c r="B257" s="115"/>
      <c r="C257" s="61" t="s">
        <v>120</v>
      </c>
      <c r="D257" s="62">
        <v>1</v>
      </c>
      <c r="E257" s="63">
        <v>3.6789051577999998E-5</v>
      </c>
    </row>
    <row r="258" spans="2:5" ht="15" customHeight="1">
      <c r="B258" s="115"/>
      <c r="C258" s="61" t="s">
        <v>121</v>
      </c>
      <c r="D258" s="62">
        <v>11</v>
      </c>
      <c r="E258" s="63">
        <v>4.04679567361E-4</v>
      </c>
    </row>
    <row r="259" spans="2:5" ht="15" customHeight="1">
      <c r="B259" s="115"/>
      <c r="C259" s="61" t="s">
        <v>122</v>
      </c>
      <c r="D259" s="62">
        <v>86</v>
      </c>
      <c r="E259" s="63">
        <v>3.1638584357300001E-3</v>
      </c>
    </row>
    <row r="260" spans="2:5" ht="15" customHeight="1">
      <c r="B260" s="115"/>
      <c r="C260" s="61" t="s">
        <v>123</v>
      </c>
      <c r="D260" s="62">
        <v>3</v>
      </c>
      <c r="E260" s="63">
        <v>1.10367154735E-4</v>
      </c>
    </row>
    <row r="261" spans="2:5" ht="15" customHeight="1">
      <c r="B261" s="115"/>
      <c r="C261" s="61" t="s">
        <v>124</v>
      </c>
      <c r="D261" s="62">
        <v>4</v>
      </c>
      <c r="E261" s="63">
        <v>1.4715620631300001E-4</v>
      </c>
    </row>
    <row r="262" spans="2:5" ht="15" customHeight="1">
      <c r="B262" s="115"/>
      <c r="C262" s="61" t="s">
        <v>125</v>
      </c>
      <c r="D262" s="62">
        <v>39</v>
      </c>
      <c r="E262" s="63">
        <v>1.4347730115520001E-3</v>
      </c>
    </row>
    <row r="263" spans="2:5" ht="15" customHeight="1">
      <c r="B263" s="115"/>
      <c r="C263" s="61" t="s">
        <v>126</v>
      </c>
      <c r="D263" s="62">
        <v>2</v>
      </c>
      <c r="E263" s="63">
        <v>7.3578103156999997E-5</v>
      </c>
    </row>
    <row r="264" spans="2:5" ht="15" customHeight="1">
      <c r="B264" s="115"/>
      <c r="C264" s="61" t="s">
        <v>127</v>
      </c>
      <c r="D264" s="62">
        <v>91</v>
      </c>
      <c r="E264" s="63">
        <v>3.3478036936209999E-3</v>
      </c>
    </row>
    <row r="265" spans="2:5" ht="15" customHeight="1">
      <c r="B265" s="115"/>
      <c r="C265" s="61" t="s">
        <v>129</v>
      </c>
      <c r="D265" s="62">
        <v>8</v>
      </c>
      <c r="E265" s="63">
        <v>2.9431241262600002E-4</v>
      </c>
    </row>
    <row r="266" spans="2:5" ht="15" customHeight="1">
      <c r="B266" s="115"/>
      <c r="C266" s="61" t="s">
        <v>130</v>
      </c>
      <c r="D266" s="62">
        <v>283</v>
      </c>
      <c r="E266" s="63">
        <v>1.0411301596645E-2</v>
      </c>
    </row>
    <row r="267" spans="2:5" ht="15" customHeight="1">
      <c r="B267" s="115"/>
      <c r="C267" s="61" t="s">
        <v>131</v>
      </c>
      <c r="D267" s="62">
        <v>9</v>
      </c>
      <c r="E267" s="63">
        <v>3.3110146420399999E-4</v>
      </c>
    </row>
    <row r="268" spans="2:5" ht="15" customHeight="1">
      <c r="B268" s="115"/>
      <c r="C268" s="61" t="s">
        <v>132</v>
      </c>
      <c r="D268" s="62">
        <v>8</v>
      </c>
      <c r="E268" s="63">
        <v>2.9431241262600002E-4</v>
      </c>
    </row>
    <row r="269" spans="2:5" ht="15" customHeight="1">
      <c r="B269" s="115"/>
      <c r="C269" s="61" t="s">
        <v>134</v>
      </c>
      <c r="D269" s="62">
        <v>20</v>
      </c>
      <c r="E269" s="63">
        <v>7.3578103156499998E-4</v>
      </c>
    </row>
    <row r="270" spans="2:5" ht="15" customHeight="1">
      <c r="B270" s="115"/>
      <c r="C270" s="61" t="s">
        <v>135</v>
      </c>
      <c r="D270" s="62">
        <v>2</v>
      </c>
      <c r="E270" s="63">
        <v>7.3578103156999997E-5</v>
      </c>
    </row>
    <row r="271" spans="2:5" ht="15" customHeight="1">
      <c r="B271" s="115"/>
      <c r="C271" s="61" t="s">
        <v>136</v>
      </c>
      <c r="D271" s="62">
        <v>79</v>
      </c>
      <c r="E271" s="63">
        <v>2.9063350746820001E-3</v>
      </c>
    </row>
    <row r="272" spans="2:5" ht="15" customHeight="1">
      <c r="B272" s="115"/>
      <c r="C272" s="61" t="s">
        <v>137</v>
      </c>
      <c r="D272" s="62">
        <v>1079</v>
      </c>
      <c r="E272" s="63">
        <v>3.9695386652931999E-2</v>
      </c>
    </row>
    <row r="273" spans="2:5" ht="15" customHeight="1">
      <c r="B273" s="115"/>
      <c r="C273" s="61" t="s">
        <v>138</v>
      </c>
      <c r="D273" s="62">
        <v>30</v>
      </c>
      <c r="E273" s="63">
        <v>1.1036715473479999E-3</v>
      </c>
    </row>
    <row r="274" spans="2:5" ht="15" customHeight="1">
      <c r="B274" s="115"/>
      <c r="C274" s="61" t="s">
        <v>139</v>
      </c>
      <c r="D274" s="62">
        <v>23</v>
      </c>
      <c r="E274" s="63">
        <v>8.4614818629999997E-4</v>
      </c>
    </row>
    <row r="275" spans="2:5" ht="15" customHeight="1">
      <c r="B275" s="115"/>
      <c r="C275" s="61" t="s">
        <v>80</v>
      </c>
      <c r="D275" s="62">
        <v>7</v>
      </c>
      <c r="E275" s="63">
        <v>2.5752336104799999E-4</v>
      </c>
    </row>
    <row r="276" spans="2:5" ht="15" customHeight="1">
      <c r="B276" s="115"/>
      <c r="C276" s="61" t="s">
        <v>141</v>
      </c>
      <c r="D276" s="62">
        <v>64</v>
      </c>
      <c r="E276" s="63">
        <v>2.3544993010080001E-3</v>
      </c>
    </row>
    <row r="277" spans="2:5" ht="15" customHeight="1">
      <c r="B277" s="115"/>
      <c r="C277" s="61" t="s">
        <v>142</v>
      </c>
      <c r="D277" s="62">
        <v>3</v>
      </c>
      <c r="E277" s="63">
        <v>1.10367154735E-4</v>
      </c>
    </row>
    <row r="278" spans="2:5" ht="15" customHeight="1">
      <c r="B278" s="116"/>
      <c r="C278" s="83" t="s">
        <v>309</v>
      </c>
      <c r="D278" s="84">
        <v>4462</v>
      </c>
      <c r="E278" s="85">
        <v>0.164152748142153</v>
      </c>
    </row>
    <row r="279" spans="2:5" ht="15" customHeight="1">
      <c r="B279" s="114" t="s">
        <v>293</v>
      </c>
      <c r="C279" s="61" t="s">
        <v>96</v>
      </c>
      <c r="D279" s="62">
        <v>1</v>
      </c>
      <c r="E279" s="63">
        <v>3.6789051577999998E-5</v>
      </c>
    </row>
    <row r="280" spans="2:5" ht="15" customHeight="1">
      <c r="B280" s="115"/>
      <c r="C280" s="61" t="s">
        <v>98</v>
      </c>
      <c r="D280" s="62">
        <v>1</v>
      </c>
      <c r="E280" s="63">
        <v>3.6789051577999998E-5</v>
      </c>
    </row>
    <row r="281" spans="2:5" ht="15" customHeight="1">
      <c r="B281" s="115"/>
      <c r="C281" s="61" t="s">
        <v>99</v>
      </c>
      <c r="D281" s="62">
        <v>2</v>
      </c>
      <c r="E281" s="63">
        <v>7.3578103156999997E-5</v>
      </c>
    </row>
    <row r="282" spans="2:5" ht="15" customHeight="1">
      <c r="B282" s="115"/>
      <c r="C282" s="61" t="s">
        <v>100</v>
      </c>
      <c r="D282" s="62">
        <v>77</v>
      </c>
      <c r="E282" s="63">
        <v>2.8327569715249998E-3</v>
      </c>
    </row>
    <row r="283" spans="2:5" ht="15" customHeight="1">
      <c r="B283" s="115"/>
      <c r="C283" s="61" t="s">
        <v>101</v>
      </c>
      <c r="D283" s="62">
        <v>18</v>
      </c>
      <c r="E283" s="63">
        <v>6.6220292840900004E-4</v>
      </c>
    </row>
    <row r="284" spans="2:5" ht="15" customHeight="1">
      <c r="B284" s="115"/>
      <c r="C284" s="61" t="s">
        <v>104</v>
      </c>
      <c r="D284" s="62">
        <v>3</v>
      </c>
      <c r="E284" s="63">
        <v>1.10367154735E-4</v>
      </c>
    </row>
    <row r="285" spans="2:5" ht="15" customHeight="1">
      <c r="B285" s="115"/>
      <c r="C285" s="61" t="s">
        <v>105</v>
      </c>
      <c r="D285" s="62">
        <v>10</v>
      </c>
      <c r="E285" s="63">
        <v>3.6789051578300003E-4</v>
      </c>
    </row>
    <row r="286" spans="2:5" ht="15" customHeight="1">
      <c r="B286" s="115"/>
      <c r="C286" s="61" t="s">
        <v>107</v>
      </c>
      <c r="D286" s="62">
        <v>2</v>
      </c>
      <c r="E286" s="63">
        <v>7.3578103156999997E-5</v>
      </c>
    </row>
    <row r="287" spans="2:5" ht="15" customHeight="1">
      <c r="B287" s="115"/>
      <c r="C287" s="61" t="s">
        <v>108</v>
      </c>
      <c r="D287" s="62">
        <v>12</v>
      </c>
      <c r="E287" s="63">
        <v>4.4146861893900002E-4</v>
      </c>
    </row>
    <row r="288" spans="2:5" ht="15" customHeight="1">
      <c r="B288" s="115"/>
      <c r="C288" s="61" t="s">
        <v>109</v>
      </c>
      <c r="D288" s="62">
        <v>5</v>
      </c>
      <c r="E288" s="63">
        <v>1.8394525789100001E-4</v>
      </c>
    </row>
    <row r="289" spans="2:5" ht="15" customHeight="1">
      <c r="B289" s="115"/>
      <c r="C289" s="61" t="s">
        <v>110</v>
      </c>
      <c r="D289" s="62">
        <v>3</v>
      </c>
      <c r="E289" s="63">
        <v>1.10367154735E-4</v>
      </c>
    </row>
    <row r="290" spans="2:5" ht="15" customHeight="1">
      <c r="B290" s="115"/>
      <c r="C290" s="61" t="s">
        <v>111</v>
      </c>
      <c r="D290" s="62">
        <v>9</v>
      </c>
      <c r="E290" s="63">
        <v>3.3110146420399999E-4</v>
      </c>
    </row>
    <row r="291" spans="2:5" ht="15" customHeight="1">
      <c r="B291" s="115"/>
      <c r="C291" s="61" t="s">
        <v>112</v>
      </c>
      <c r="D291" s="62">
        <v>1</v>
      </c>
      <c r="E291" s="63">
        <v>3.6789051577999998E-5</v>
      </c>
    </row>
    <row r="292" spans="2:5" ht="15" customHeight="1">
      <c r="B292" s="115"/>
      <c r="C292" s="61" t="s">
        <v>113</v>
      </c>
      <c r="D292" s="62">
        <v>2</v>
      </c>
      <c r="E292" s="63">
        <v>7.3578103156999997E-5</v>
      </c>
    </row>
    <row r="293" spans="2:5" ht="15" customHeight="1">
      <c r="B293" s="115"/>
      <c r="C293" s="61" t="s">
        <v>114</v>
      </c>
      <c r="D293" s="62">
        <v>1</v>
      </c>
      <c r="E293" s="63">
        <v>3.6789051577999998E-5</v>
      </c>
    </row>
    <row r="294" spans="2:5" ht="15" customHeight="1">
      <c r="B294" s="115"/>
      <c r="C294" s="61" t="s">
        <v>116</v>
      </c>
      <c r="D294" s="62">
        <v>5</v>
      </c>
      <c r="E294" s="63">
        <v>1.8394525789100001E-4</v>
      </c>
    </row>
    <row r="295" spans="2:5" ht="15" customHeight="1">
      <c r="B295" s="115"/>
      <c r="C295" s="61" t="s">
        <v>117</v>
      </c>
      <c r="D295" s="62">
        <v>1</v>
      </c>
      <c r="E295" s="63">
        <v>3.6789051577999998E-5</v>
      </c>
    </row>
    <row r="296" spans="2:5" ht="15" customHeight="1">
      <c r="B296" s="115"/>
      <c r="C296" s="61" t="s">
        <v>118</v>
      </c>
      <c r="D296" s="62">
        <v>3</v>
      </c>
      <c r="E296" s="63">
        <v>1.10367154735E-4</v>
      </c>
    </row>
    <row r="297" spans="2:5" ht="15" customHeight="1">
      <c r="B297" s="115"/>
      <c r="C297" s="61" t="s">
        <v>119</v>
      </c>
      <c r="D297" s="62">
        <v>3</v>
      </c>
      <c r="E297" s="63">
        <v>1.10367154735E-4</v>
      </c>
    </row>
    <row r="298" spans="2:5" ht="15" customHeight="1">
      <c r="B298" s="115"/>
      <c r="C298" s="61" t="s">
        <v>120</v>
      </c>
      <c r="D298" s="62">
        <v>1</v>
      </c>
      <c r="E298" s="63">
        <v>3.6789051577999998E-5</v>
      </c>
    </row>
    <row r="299" spans="2:5" ht="15" customHeight="1">
      <c r="B299" s="115"/>
      <c r="C299" s="61" t="s">
        <v>121</v>
      </c>
      <c r="D299" s="62">
        <v>2</v>
      </c>
      <c r="E299" s="63">
        <v>7.3578103156999997E-5</v>
      </c>
    </row>
    <row r="300" spans="2:5" ht="15" customHeight="1">
      <c r="B300" s="115"/>
      <c r="C300" s="61" t="s">
        <v>122</v>
      </c>
      <c r="D300" s="62">
        <v>6</v>
      </c>
      <c r="E300" s="63">
        <v>2.2073430946999999E-4</v>
      </c>
    </row>
    <row r="301" spans="2:5" ht="15" customHeight="1">
      <c r="B301" s="115"/>
      <c r="C301" s="61" t="s">
        <v>124</v>
      </c>
      <c r="D301" s="62">
        <v>1</v>
      </c>
      <c r="E301" s="63">
        <v>3.6789051577999998E-5</v>
      </c>
    </row>
    <row r="302" spans="2:5" ht="15" customHeight="1">
      <c r="B302" s="115"/>
      <c r="C302" s="61" t="s">
        <v>125</v>
      </c>
      <c r="D302" s="62">
        <v>1</v>
      </c>
      <c r="E302" s="63">
        <v>3.6789051577999998E-5</v>
      </c>
    </row>
    <row r="303" spans="2:5" ht="15" customHeight="1">
      <c r="B303" s="115"/>
      <c r="C303" s="61" t="s">
        <v>126</v>
      </c>
      <c r="D303" s="62">
        <v>1</v>
      </c>
      <c r="E303" s="63">
        <v>3.6789051577999998E-5</v>
      </c>
    </row>
    <row r="304" spans="2:5" ht="15" customHeight="1">
      <c r="B304" s="115"/>
      <c r="C304" s="61" t="s">
        <v>127</v>
      </c>
      <c r="D304" s="62">
        <v>5</v>
      </c>
      <c r="E304" s="63">
        <v>1.8394525789100001E-4</v>
      </c>
    </row>
    <row r="305" spans="2:5" ht="15" customHeight="1">
      <c r="B305" s="115"/>
      <c r="C305" s="61" t="s">
        <v>129</v>
      </c>
      <c r="D305" s="62">
        <v>1</v>
      </c>
      <c r="E305" s="63">
        <v>3.6789051577999998E-5</v>
      </c>
    </row>
    <row r="306" spans="2:5" ht="15" customHeight="1">
      <c r="B306" s="115"/>
      <c r="C306" s="61" t="s">
        <v>130</v>
      </c>
      <c r="D306" s="62">
        <v>34</v>
      </c>
      <c r="E306" s="63">
        <v>1.2508277536610001E-3</v>
      </c>
    </row>
    <row r="307" spans="2:5" ht="15" customHeight="1">
      <c r="B307" s="115"/>
      <c r="C307" s="61" t="s">
        <v>131</v>
      </c>
      <c r="D307" s="62">
        <v>1</v>
      </c>
      <c r="E307" s="63">
        <v>3.6789051577999998E-5</v>
      </c>
    </row>
    <row r="308" spans="2:5" ht="15" customHeight="1">
      <c r="B308" s="115"/>
      <c r="C308" s="61" t="s">
        <v>132</v>
      </c>
      <c r="D308" s="62">
        <v>1</v>
      </c>
      <c r="E308" s="63">
        <v>3.6789051577999998E-5</v>
      </c>
    </row>
    <row r="309" spans="2:5" ht="15" customHeight="1">
      <c r="B309" s="115"/>
      <c r="C309" s="61" t="s">
        <v>136</v>
      </c>
      <c r="D309" s="62">
        <v>8</v>
      </c>
      <c r="E309" s="63">
        <v>2.9431241262600002E-4</v>
      </c>
    </row>
    <row r="310" spans="2:5" ht="15" customHeight="1">
      <c r="B310" s="115"/>
      <c r="C310" s="61" t="s">
        <v>137</v>
      </c>
      <c r="D310" s="62">
        <v>84</v>
      </c>
      <c r="E310" s="63">
        <v>3.0902803325729999E-3</v>
      </c>
    </row>
    <row r="311" spans="2:5" ht="15" customHeight="1">
      <c r="B311" s="115"/>
      <c r="C311" s="61" t="s">
        <v>138</v>
      </c>
      <c r="D311" s="62">
        <v>2</v>
      </c>
      <c r="E311" s="63">
        <v>7.3578103156999997E-5</v>
      </c>
    </row>
    <row r="312" spans="2:5" ht="15" customHeight="1">
      <c r="B312" s="115"/>
      <c r="C312" s="61" t="s">
        <v>139</v>
      </c>
      <c r="D312" s="62">
        <v>2</v>
      </c>
      <c r="E312" s="63">
        <v>7.3578103156999997E-5</v>
      </c>
    </row>
    <row r="313" spans="2:5" ht="15" customHeight="1">
      <c r="B313" s="115"/>
      <c r="C313" s="61" t="s">
        <v>80</v>
      </c>
      <c r="D313" s="62">
        <v>3</v>
      </c>
      <c r="E313" s="63">
        <v>1.10367154735E-4</v>
      </c>
    </row>
    <row r="314" spans="2:5" ht="15" customHeight="1">
      <c r="B314" s="115"/>
      <c r="C314" s="61" t="s">
        <v>141</v>
      </c>
      <c r="D314" s="62">
        <v>4</v>
      </c>
      <c r="E314" s="63">
        <v>1.4715620631300001E-4</v>
      </c>
    </row>
    <row r="315" spans="2:5" ht="15" customHeight="1">
      <c r="B315" s="116"/>
      <c r="C315" s="83" t="s">
        <v>309</v>
      </c>
      <c r="D315" s="84">
        <v>316</v>
      </c>
      <c r="E315" s="85">
        <v>1.1625340298726999E-2</v>
      </c>
    </row>
    <row r="316" spans="2:5" ht="15" customHeight="1">
      <c r="B316" s="114" t="s">
        <v>294</v>
      </c>
      <c r="C316" s="61" t="s">
        <v>96</v>
      </c>
      <c r="D316" s="62">
        <v>1</v>
      </c>
      <c r="E316" s="63">
        <v>3.6789051577999998E-5</v>
      </c>
    </row>
    <row r="317" spans="2:5" ht="15" customHeight="1">
      <c r="B317" s="115"/>
      <c r="C317" s="61" t="s">
        <v>98</v>
      </c>
      <c r="D317" s="62">
        <v>9</v>
      </c>
      <c r="E317" s="63">
        <v>3.3110146420399999E-4</v>
      </c>
    </row>
    <row r="318" spans="2:5" ht="15" customHeight="1">
      <c r="B318" s="115"/>
      <c r="C318" s="61" t="s">
        <v>99</v>
      </c>
      <c r="D318" s="62">
        <v>8</v>
      </c>
      <c r="E318" s="63">
        <v>2.9431241262600002E-4</v>
      </c>
    </row>
    <row r="319" spans="2:5" ht="15" customHeight="1">
      <c r="B319" s="115"/>
      <c r="C319" s="61" t="s">
        <v>100</v>
      </c>
      <c r="D319" s="62">
        <v>132</v>
      </c>
      <c r="E319" s="63">
        <v>4.8561548083289998E-3</v>
      </c>
    </row>
    <row r="320" spans="2:5" ht="15" customHeight="1">
      <c r="B320" s="115"/>
      <c r="C320" s="61" t="s">
        <v>101</v>
      </c>
      <c r="D320" s="62">
        <v>47</v>
      </c>
      <c r="E320" s="63">
        <v>1.729085424178E-3</v>
      </c>
    </row>
    <row r="321" spans="2:5" ht="15" customHeight="1">
      <c r="B321" s="115"/>
      <c r="C321" s="61" t="s">
        <v>104</v>
      </c>
      <c r="D321" s="62">
        <v>15</v>
      </c>
      <c r="E321" s="63">
        <v>5.5183577367399995E-4</v>
      </c>
    </row>
    <row r="322" spans="2:5" ht="15" customHeight="1">
      <c r="B322" s="115"/>
      <c r="C322" s="61" t="s">
        <v>105</v>
      </c>
      <c r="D322" s="62">
        <v>16</v>
      </c>
      <c r="E322" s="63">
        <v>5.8862482525200003E-4</v>
      </c>
    </row>
    <row r="323" spans="2:5" ht="15" customHeight="1">
      <c r="B323" s="115"/>
      <c r="C323" s="61" t="s">
        <v>107</v>
      </c>
      <c r="D323" s="62">
        <v>3</v>
      </c>
      <c r="E323" s="63">
        <v>1.10367154735E-4</v>
      </c>
    </row>
    <row r="324" spans="2:5" ht="15" customHeight="1">
      <c r="B324" s="115"/>
      <c r="C324" s="61" t="s">
        <v>108</v>
      </c>
      <c r="D324" s="62">
        <v>33</v>
      </c>
      <c r="E324" s="63">
        <v>1.2140387020819999E-3</v>
      </c>
    </row>
    <row r="325" spans="2:5" ht="15" customHeight="1">
      <c r="B325" s="115"/>
      <c r="C325" s="61" t="s">
        <v>109</v>
      </c>
      <c r="D325" s="62">
        <v>10</v>
      </c>
      <c r="E325" s="63">
        <v>3.6789051578300003E-4</v>
      </c>
    </row>
    <row r="326" spans="2:5" ht="15" customHeight="1">
      <c r="B326" s="115"/>
      <c r="C326" s="61" t="s">
        <v>110</v>
      </c>
      <c r="D326" s="62">
        <v>8</v>
      </c>
      <c r="E326" s="63">
        <v>2.9431241262600002E-4</v>
      </c>
    </row>
    <row r="327" spans="2:5" ht="15" customHeight="1">
      <c r="B327" s="115"/>
      <c r="C327" s="61" t="s">
        <v>111</v>
      </c>
      <c r="D327" s="62">
        <v>25</v>
      </c>
      <c r="E327" s="63">
        <v>9.1972628945600002E-4</v>
      </c>
    </row>
    <row r="328" spans="2:5" ht="15" customHeight="1">
      <c r="B328" s="115"/>
      <c r="C328" s="61" t="s">
        <v>112</v>
      </c>
      <c r="D328" s="62">
        <v>1</v>
      </c>
      <c r="E328" s="63">
        <v>3.6789051577999998E-5</v>
      </c>
    </row>
    <row r="329" spans="2:5" ht="15" customHeight="1">
      <c r="B329" s="115"/>
      <c r="C329" s="61" t="s">
        <v>113</v>
      </c>
      <c r="D329" s="62">
        <v>6</v>
      </c>
      <c r="E329" s="63">
        <v>2.2073430946999999E-4</v>
      </c>
    </row>
    <row r="330" spans="2:5" ht="15" customHeight="1">
      <c r="B330" s="115"/>
      <c r="C330" s="61" t="s">
        <v>116</v>
      </c>
      <c r="D330" s="62">
        <v>22</v>
      </c>
      <c r="E330" s="63">
        <v>8.09359134722E-4</v>
      </c>
    </row>
    <row r="331" spans="2:5" ht="15" customHeight="1">
      <c r="B331" s="115"/>
      <c r="C331" s="61" t="s">
        <v>117</v>
      </c>
      <c r="D331" s="62">
        <v>5</v>
      </c>
      <c r="E331" s="63">
        <v>1.8394525789100001E-4</v>
      </c>
    </row>
    <row r="332" spans="2:5" ht="15" customHeight="1">
      <c r="B332" s="115"/>
      <c r="C332" s="61" t="s">
        <v>118</v>
      </c>
      <c r="D332" s="62">
        <v>8</v>
      </c>
      <c r="E332" s="63">
        <v>2.9431241262600002E-4</v>
      </c>
    </row>
    <row r="333" spans="2:5" ht="15" customHeight="1">
      <c r="B333" s="115"/>
      <c r="C333" s="61" t="s">
        <v>119</v>
      </c>
      <c r="D333" s="62">
        <v>9</v>
      </c>
      <c r="E333" s="63">
        <v>3.3110146420399999E-4</v>
      </c>
    </row>
    <row r="334" spans="2:5" ht="15" customHeight="1">
      <c r="B334" s="115"/>
      <c r="C334" s="61" t="s">
        <v>121</v>
      </c>
      <c r="D334" s="62">
        <v>3</v>
      </c>
      <c r="E334" s="63">
        <v>1.10367154735E-4</v>
      </c>
    </row>
    <row r="335" spans="2:5" ht="15" customHeight="1">
      <c r="B335" s="115"/>
      <c r="C335" s="61" t="s">
        <v>122</v>
      </c>
      <c r="D335" s="62">
        <v>15</v>
      </c>
      <c r="E335" s="63">
        <v>5.5183577367399995E-4</v>
      </c>
    </row>
    <row r="336" spans="2:5" ht="15" customHeight="1">
      <c r="B336" s="115"/>
      <c r="C336" s="61" t="s">
        <v>125</v>
      </c>
      <c r="D336" s="62">
        <v>7</v>
      </c>
      <c r="E336" s="63">
        <v>2.5752336104799999E-4</v>
      </c>
    </row>
    <row r="337" spans="2:5" ht="15" customHeight="1">
      <c r="B337" s="115"/>
      <c r="C337" s="61" t="s">
        <v>126</v>
      </c>
      <c r="D337" s="62">
        <v>2</v>
      </c>
      <c r="E337" s="63">
        <v>7.3578103156999997E-5</v>
      </c>
    </row>
    <row r="338" spans="2:5" ht="15" customHeight="1">
      <c r="B338" s="115"/>
      <c r="C338" s="61" t="s">
        <v>127</v>
      </c>
      <c r="D338" s="62">
        <v>8</v>
      </c>
      <c r="E338" s="63">
        <v>2.9431241262600002E-4</v>
      </c>
    </row>
    <row r="339" spans="2:5" ht="15" customHeight="1">
      <c r="B339" s="115"/>
      <c r="C339" s="61" t="s">
        <v>129</v>
      </c>
      <c r="D339" s="62">
        <v>5</v>
      </c>
      <c r="E339" s="63">
        <v>1.8394525789100001E-4</v>
      </c>
    </row>
    <row r="340" spans="2:5" ht="15" customHeight="1">
      <c r="B340" s="115"/>
      <c r="C340" s="61" t="s">
        <v>130</v>
      </c>
      <c r="D340" s="62">
        <v>56</v>
      </c>
      <c r="E340" s="63">
        <v>2.0601868883819998E-3</v>
      </c>
    </row>
    <row r="341" spans="2:5" ht="15" customHeight="1">
      <c r="B341" s="115"/>
      <c r="C341" s="61" t="s">
        <v>134</v>
      </c>
      <c r="D341" s="62">
        <v>2</v>
      </c>
      <c r="E341" s="63">
        <v>7.3578103156999997E-5</v>
      </c>
    </row>
    <row r="342" spans="2:5" ht="15" customHeight="1">
      <c r="B342" s="115"/>
      <c r="C342" s="61" t="s">
        <v>136</v>
      </c>
      <c r="D342" s="62">
        <v>15</v>
      </c>
      <c r="E342" s="63">
        <v>5.5183577367399995E-4</v>
      </c>
    </row>
    <row r="343" spans="2:5" ht="15" customHeight="1">
      <c r="B343" s="115"/>
      <c r="C343" s="61" t="s">
        <v>137</v>
      </c>
      <c r="D343" s="62">
        <v>176</v>
      </c>
      <c r="E343" s="63">
        <v>6.4748730777719997E-3</v>
      </c>
    </row>
    <row r="344" spans="2:5" ht="15" customHeight="1">
      <c r="B344" s="115"/>
      <c r="C344" s="61" t="s">
        <v>138</v>
      </c>
      <c r="D344" s="62">
        <v>6</v>
      </c>
      <c r="E344" s="63">
        <v>2.2073430946999999E-4</v>
      </c>
    </row>
    <row r="345" spans="2:5" ht="15" customHeight="1">
      <c r="B345" s="115"/>
      <c r="C345" s="61" t="s">
        <v>139</v>
      </c>
      <c r="D345" s="62">
        <v>4</v>
      </c>
      <c r="E345" s="63">
        <v>1.4715620631300001E-4</v>
      </c>
    </row>
    <row r="346" spans="2:5" ht="15" customHeight="1">
      <c r="B346" s="115"/>
      <c r="C346" s="61" t="s">
        <v>80</v>
      </c>
      <c r="D346" s="62">
        <v>1</v>
      </c>
      <c r="E346" s="63">
        <v>3.6789051577999998E-5</v>
      </c>
    </row>
    <row r="347" spans="2:5" ht="15" customHeight="1">
      <c r="B347" s="115"/>
      <c r="C347" s="61" t="s">
        <v>141</v>
      </c>
      <c r="D347" s="62">
        <v>6</v>
      </c>
      <c r="E347" s="63">
        <v>2.2073430946999999E-4</v>
      </c>
    </row>
    <row r="348" spans="2:5" ht="15" customHeight="1">
      <c r="B348" s="115"/>
      <c r="C348" s="61" t="s">
        <v>142</v>
      </c>
      <c r="D348" s="62">
        <v>2</v>
      </c>
      <c r="E348" s="63">
        <v>7.3578103156999997E-5</v>
      </c>
    </row>
    <row r="349" spans="2:5" ht="15" customHeight="1">
      <c r="B349" s="116"/>
      <c r="C349" s="83" t="s">
        <v>309</v>
      </c>
      <c r="D349" s="84">
        <v>666</v>
      </c>
      <c r="E349" s="85">
        <v>2.4501508351115E-2</v>
      </c>
    </row>
    <row r="350" spans="2:5" ht="15" customHeight="1">
      <c r="B350" s="114" t="s">
        <v>295</v>
      </c>
      <c r="C350" s="61" t="s">
        <v>96</v>
      </c>
      <c r="D350" s="62">
        <v>1</v>
      </c>
      <c r="E350" s="63">
        <v>3.6789051577999998E-5</v>
      </c>
    </row>
    <row r="351" spans="2:5" ht="15" customHeight="1">
      <c r="B351" s="115"/>
      <c r="C351" s="61" t="s">
        <v>97</v>
      </c>
      <c r="D351" s="62">
        <v>1</v>
      </c>
      <c r="E351" s="63">
        <v>3.6789051577999998E-5</v>
      </c>
    </row>
    <row r="352" spans="2:5" ht="15" customHeight="1">
      <c r="B352" s="115"/>
      <c r="C352" s="61" t="s">
        <v>98</v>
      </c>
      <c r="D352" s="62">
        <v>14</v>
      </c>
      <c r="E352" s="63">
        <v>5.1504672209599998E-4</v>
      </c>
    </row>
    <row r="353" spans="2:5" ht="15" customHeight="1">
      <c r="B353" s="115"/>
      <c r="C353" s="61" t="s">
        <v>99</v>
      </c>
      <c r="D353" s="62">
        <v>24</v>
      </c>
      <c r="E353" s="63">
        <v>8.8293723787800005E-4</v>
      </c>
    </row>
    <row r="354" spans="2:5" ht="15" customHeight="1">
      <c r="B354" s="115"/>
      <c r="C354" s="61" t="s">
        <v>100</v>
      </c>
      <c r="D354" s="62">
        <v>241</v>
      </c>
      <c r="E354" s="63">
        <v>8.8661614303580001E-3</v>
      </c>
    </row>
    <row r="355" spans="2:5" ht="15" customHeight="1">
      <c r="B355" s="115"/>
      <c r="C355" s="61" t="s">
        <v>101</v>
      </c>
      <c r="D355" s="62">
        <v>84</v>
      </c>
      <c r="E355" s="63">
        <v>3.0902803325729999E-3</v>
      </c>
    </row>
    <row r="356" spans="2:5" ht="15" customHeight="1">
      <c r="B356" s="115"/>
      <c r="C356" s="61" t="s">
        <v>104</v>
      </c>
      <c r="D356" s="62">
        <v>10</v>
      </c>
      <c r="E356" s="63">
        <v>3.6789051578300003E-4</v>
      </c>
    </row>
    <row r="357" spans="2:5" ht="15" customHeight="1">
      <c r="B357" s="115"/>
      <c r="C357" s="61" t="s">
        <v>105</v>
      </c>
      <c r="D357" s="62">
        <v>24</v>
      </c>
      <c r="E357" s="63">
        <v>8.8293723787800005E-4</v>
      </c>
    </row>
    <row r="358" spans="2:5" ht="15" customHeight="1">
      <c r="B358" s="115"/>
      <c r="C358" s="61" t="s">
        <v>107</v>
      </c>
      <c r="D358" s="62">
        <v>10</v>
      </c>
      <c r="E358" s="63">
        <v>3.6789051578300003E-4</v>
      </c>
    </row>
    <row r="359" spans="2:5" ht="15" customHeight="1">
      <c r="B359" s="115"/>
      <c r="C359" s="61" t="s">
        <v>108</v>
      </c>
      <c r="D359" s="62">
        <v>65</v>
      </c>
      <c r="E359" s="63">
        <v>2.391288352586E-3</v>
      </c>
    </row>
    <row r="360" spans="2:5" ht="15" customHeight="1">
      <c r="B360" s="115"/>
      <c r="C360" s="61" t="s">
        <v>109</v>
      </c>
      <c r="D360" s="62">
        <v>10</v>
      </c>
      <c r="E360" s="63">
        <v>3.6789051578300003E-4</v>
      </c>
    </row>
    <row r="361" spans="2:5" ht="15" customHeight="1">
      <c r="B361" s="115"/>
      <c r="C361" s="61" t="s">
        <v>110</v>
      </c>
      <c r="D361" s="62">
        <v>11</v>
      </c>
      <c r="E361" s="63">
        <v>4.04679567361E-4</v>
      </c>
    </row>
    <row r="362" spans="2:5" ht="15" customHeight="1">
      <c r="B362" s="115"/>
      <c r="C362" s="61" t="s">
        <v>111</v>
      </c>
      <c r="D362" s="62">
        <v>28</v>
      </c>
      <c r="E362" s="63">
        <v>1.0300934441909999E-3</v>
      </c>
    </row>
    <row r="363" spans="2:5" ht="15" customHeight="1">
      <c r="B363" s="115"/>
      <c r="C363" s="61" t="s">
        <v>112</v>
      </c>
      <c r="D363" s="62">
        <v>4</v>
      </c>
      <c r="E363" s="63">
        <v>1.4715620631300001E-4</v>
      </c>
    </row>
    <row r="364" spans="2:5" ht="15" customHeight="1">
      <c r="B364" s="115"/>
      <c r="C364" s="61" t="s">
        <v>113</v>
      </c>
      <c r="D364" s="62">
        <v>6</v>
      </c>
      <c r="E364" s="63">
        <v>2.2073430946999999E-4</v>
      </c>
    </row>
    <row r="365" spans="2:5" ht="15" customHeight="1">
      <c r="B365" s="115"/>
      <c r="C365" s="61" t="s">
        <v>116</v>
      </c>
      <c r="D365" s="62">
        <v>27</v>
      </c>
      <c r="E365" s="63">
        <v>9.9330439261300003E-4</v>
      </c>
    </row>
    <row r="366" spans="2:5" ht="15" customHeight="1">
      <c r="B366" s="115"/>
      <c r="C366" s="61" t="s">
        <v>117</v>
      </c>
      <c r="D366" s="62">
        <v>10</v>
      </c>
      <c r="E366" s="63">
        <v>3.6789051578300003E-4</v>
      </c>
    </row>
    <row r="367" spans="2:5" ht="15" customHeight="1">
      <c r="B367" s="115"/>
      <c r="C367" s="61" t="s">
        <v>118</v>
      </c>
      <c r="D367" s="62">
        <v>8</v>
      </c>
      <c r="E367" s="63">
        <v>2.9431241262600002E-4</v>
      </c>
    </row>
    <row r="368" spans="2:5" ht="15" customHeight="1">
      <c r="B368" s="115"/>
      <c r="C368" s="61" t="s">
        <v>119</v>
      </c>
      <c r="D368" s="62">
        <v>4</v>
      </c>
      <c r="E368" s="63">
        <v>1.4715620631300001E-4</v>
      </c>
    </row>
    <row r="369" spans="2:5" ht="15" customHeight="1">
      <c r="B369" s="115"/>
      <c r="C369" s="61" t="s">
        <v>121</v>
      </c>
      <c r="D369" s="62">
        <v>5</v>
      </c>
      <c r="E369" s="63">
        <v>1.8394525789100001E-4</v>
      </c>
    </row>
    <row r="370" spans="2:5" ht="15" customHeight="1">
      <c r="B370" s="115"/>
      <c r="C370" s="61" t="s">
        <v>122</v>
      </c>
      <c r="D370" s="62">
        <v>36</v>
      </c>
      <c r="E370" s="63">
        <v>1.324405856817E-3</v>
      </c>
    </row>
    <row r="371" spans="2:5" ht="15" customHeight="1">
      <c r="B371" s="115"/>
      <c r="C371" s="61" t="s">
        <v>124</v>
      </c>
      <c r="D371" s="62">
        <v>3</v>
      </c>
      <c r="E371" s="63">
        <v>1.10367154735E-4</v>
      </c>
    </row>
    <row r="372" spans="2:5" ht="15" customHeight="1">
      <c r="B372" s="115"/>
      <c r="C372" s="61" t="s">
        <v>125</v>
      </c>
      <c r="D372" s="62">
        <v>9</v>
      </c>
      <c r="E372" s="63">
        <v>3.3110146420399999E-4</v>
      </c>
    </row>
    <row r="373" spans="2:5" ht="15" customHeight="1">
      <c r="B373" s="115"/>
      <c r="C373" s="61" t="s">
        <v>126</v>
      </c>
      <c r="D373" s="62">
        <v>1</v>
      </c>
      <c r="E373" s="63">
        <v>3.6789051577999998E-5</v>
      </c>
    </row>
    <row r="374" spans="2:5" ht="15" customHeight="1">
      <c r="B374" s="115"/>
      <c r="C374" s="61" t="s">
        <v>127</v>
      </c>
      <c r="D374" s="62">
        <v>15</v>
      </c>
      <c r="E374" s="63">
        <v>5.5183577367399995E-4</v>
      </c>
    </row>
    <row r="375" spans="2:5" ht="15" customHeight="1">
      <c r="B375" s="115"/>
      <c r="C375" s="61" t="s">
        <v>128</v>
      </c>
      <c r="D375" s="62">
        <v>1</v>
      </c>
      <c r="E375" s="63">
        <v>3.6789051577999998E-5</v>
      </c>
    </row>
    <row r="376" spans="2:5" ht="15" customHeight="1">
      <c r="B376" s="115"/>
      <c r="C376" s="61" t="s">
        <v>129</v>
      </c>
      <c r="D376" s="62">
        <v>8</v>
      </c>
      <c r="E376" s="63">
        <v>2.9431241262600002E-4</v>
      </c>
    </row>
    <row r="377" spans="2:5" ht="15" customHeight="1">
      <c r="B377" s="115"/>
      <c r="C377" s="61" t="s">
        <v>130</v>
      </c>
      <c r="D377" s="62">
        <v>57</v>
      </c>
      <c r="E377" s="63">
        <v>2.0969759399600001E-3</v>
      </c>
    </row>
    <row r="378" spans="2:5" ht="15" customHeight="1">
      <c r="B378" s="115"/>
      <c r="C378" s="61" t="s">
        <v>131</v>
      </c>
      <c r="D378" s="62">
        <v>2</v>
      </c>
      <c r="E378" s="63">
        <v>7.3578103156999997E-5</v>
      </c>
    </row>
    <row r="379" spans="2:5" ht="15" customHeight="1">
      <c r="B379" s="115"/>
      <c r="C379" s="61" t="s">
        <v>132</v>
      </c>
      <c r="D379" s="62">
        <v>1</v>
      </c>
      <c r="E379" s="63">
        <v>3.6789051577999998E-5</v>
      </c>
    </row>
    <row r="380" spans="2:5" ht="15" customHeight="1">
      <c r="B380" s="115"/>
      <c r="C380" s="61" t="s">
        <v>134</v>
      </c>
      <c r="D380" s="62">
        <v>5</v>
      </c>
      <c r="E380" s="63">
        <v>1.8394525789100001E-4</v>
      </c>
    </row>
    <row r="381" spans="2:5" ht="15" customHeight="1">
      <c r="B381" s="115"/>
      <c r="C381" s="61" t="s">
        <v>135</v>
      </c>
      <c r="D381" s="62">
        <v>2</v>
      </c>
      <c r="E381" s="63">
        <v>7.3578103156999997E-5</v>
      </c>
    </row>
    <row r="382" spans="2:5" ht="15" customHeight="1">
      <c r="B382" s="115"/>
      <c r="C382" s="61" t="s">
        <v>136</v>
      </c>
      <c r="D382" s="62">
        <v>20</v>
      </c>
      <c r="E382" s="63">
        <v>7.3578103156499998E-4</v>
      </c>
    </row>
    <row r="383" spans="2:5" ht="15" customHeight="1">
      <c r="B383" s="115"/>
      <c r="C383" s="61" t="s">
        <v>137</v>
      </c>
      <c r="D383" s="62">
        <v>416</v>
      </c>
      <c r="E383" s="63">
        <v>1.5304245456552E-2</v>
      </c>
    </row>
    <row r="384" spans="2:5" ht="15" customHeight="1">
      <c r="B384" s="115"/>
      <c r="C384" s="61" t="s">
        <v>138</v>
      </c>
      <c r="D384" s="62">
        <v>12</v>
      </c>
      <c r="E384" s="63">
        <v>4.4146861893900002E-4</v>
      </c>
    </row>
    <row r="385" spans="2:5" ht="15" customHeight="1">
      <c r="B385" s="115"/>
      <c r="C385" s="61" t="s">
        <v>139</v>
      </c>
      <c r="D385" s="62">
        <v>8</v>
      </c>
      <c r="E385" s="63">
        <v>2.9431241262600002E-4</v>
      </c>
    </row>
    <row r="386" spans="2:5" ht="15" customHeight="1">
      <c r="B386" s="115"/>
      <c r="C386" s="61" t="s">
        <v>80</v>
      </c>
      <c r="D386" s="62">
        <v>5</v>
      </c>
      <c r="E386" s="63">
        <v>1.8394525789100001E-4</v>
      </c>
    </row>
    <row r="387" spans="2:5" ht="15" customHeight="1">
      <c r="B387" s="115"/>
      <c r="C387" s="61" t="s">
        <v>141</v>
      </c>
      <c r="D387" s="62">
        <v>22</v>
      </c>
      <c r="E387" s="63">
        <v>8.09359134722E-4</v>
      </c>
    </row>
    <row r="388" spans="2:5" ht="15" customHeight="1">
      <c r="B388" s="115"/>
      <c r="C388" s="61" t="s">
        <v>142</v>
      </c>
      <c r="D388" s="62">
        <v>3</v>
      </c>
      <c r="E388" s="63">
        <v>1.10367154735E-4</v>
      </c>
    </row>
    <row r="389" spans="2:5" ht="15" customHeight="1">
      <c r="B389" s="116"/>
      <c r="C389" s="83" t="s">
        <v>309</v>
      </c>
      <c r="D389" s="84">
        <v>1213</v>
      </c>
      <c r="E389" s="85">
        <v>4.4625119564418003E-2</v>
      </c>
    </row>
    <row r="390" spans="2:5" ht="15" customHeight="1">
      <c r="B390" s="114" t="s">
        <v>215</v>
      </c>
      <c r="C390" s="61" t="s">
        <v>96</v>
      </c>
      <c r="D390" s="62">
        <v>30</v>
      </c>
      <c r="E390" s="63">
        <v>1.1036715473479999E-3</v>
      </c>
    </row>
    <row r="391" spans="2:5" ht="15" customHeight="1">
      <c r="B391" s="115"/>
      <c r="C391" s="61" t="s">
        <v>97</v>
      </c>
      <c r="D391" s="62">
        <v>2</v>
      </c>
      <c r="E391" s="63">
        <v>7.3578103156999997E-5</v>
      </c>
    </row>
    <row r="392" spans="2:5" ht="15" customHeight="1">
      <c r="B392" s="115"/>
      <c r="C392" s="61" t="s">
        <v>98</v>
      </c>
      <c r="D392" s="62">
        <v>111</v>
      </c>
      <c r="E392" s="63">
        <v>4.0835847251860001E-3</v>
      </c>
    </row>
    <row r="393" spans="2:5" ht="15" customHeight="1">
      <c r="B393" s="115"/>
      <c r="C393" s="61" t="s">
        <v>99</v>
      </c>
      <c r="D393" s="62">
        <v>97</v>
      </c>
      <c r="E393" s="63">
        <v>3.56853800309E-3</v>
      </c>
    </row>
    <row r="394" spans="2:5" ht="15" customHeight="1">
      <c r="B394" s="115"/>
      <c r="C394" s="61" t="s">
        <v>100</v>
      </c>
      <c r="D394" s="62">
        <v>1440</v>
      </c>
      <c r="E394" s="63">
        <v>5.2976234272680001E-2</v>
      </c>
    </row>
    <row r="395" spans="2:5" ht="15" customHeight="1">
      <c r="B395" s="115"/>
      <c r="C395" s="61" t="s">
        <v>101</v>
      </c>
      <c r="D395" s="62">
        <v>449</v>
      </c>
      <c r="E395" s="63">
        <v>1.6518284158633999E-2</v>
      </c>
    </row>
    <row r="396" spans="2:5" ht="15" customHeight="1">
      <c r="B396" s="115"/>
      <c r="C396" s="61" t="s">
        <v>102</v>
      </c>
      <c r="D396" s="62">
        <v>2</v>
      </c>
      <c r="E396" s="63">
        <v>7.3578103156999997E-5</v>
      </c>
    </row>
    <row r="397" spans="2:5" ht="15" customHeight="1">
      <c r="B397" s="115"/>
      <c r="C397" s="61" t="s">
        <v>103</v>
      </c>
      <c r="D397" s="62">
        <v>5</v>
      </c>
      <c r="E397" s="63">
        <v>1.8394525789100001E-4</v>
      </c>
    </row>
    <row r="398" spans="2:5" ht="15" customHeight="1">
      <c r="B398" s="115"/>
      <c r="C398" s="61" t="s">
        <v>104</v>
      </c>
      <c r="D398" s="62">
        <v>81</v>
      </c>
      <c r="E398" s="63">
        <v>2.9799131778379998E-3</v>
      </c>
    </row>
    <row r="399" spans="2:5" ht="15" customHeight="1">
      <c r="B399" s="115"/>
      <c r="C399" s="61" t="s">
        <v>105</v>
      </c>
      <c r="D399" s="62">
        <v>214</v>
      </c>
      <c r="E399" s="63">
        <v>7.8728570377459995E-3</v>
      </c>
    </row>
    <row r="400" spans="2:5" ht="15" customHeight="1">
      <c r="B400" s="115"/>
      <c r="C400" s="61" t="s">
        <v>107</v>
      </c>
      <c r="D400" s="62">
        <v>65</v>
      </c>
      <c r="E400" s="63">
        <v>2.391288352586E-3</v>
      </c>
    </row>
    <row r="401" spans="2:5" ht="15" customHeight="1">
      <c r="B401" s="115"/>
      <c r="C401" s="61" t="s">
        <v>108</v>
      </c>
      <c r="D401" s="62">
        <v>890</v>
      </c>
      <c r="E401" s="63">
        <v>3.2742255904642997E-2</v>
      </c>
    </row>
    <row r="402" spans="2:5" ht="15" customHeight="1">
      <c r="B402" s="115"/>
      <c r="C402" s="61" t="s">
        <v>109</v>
      </c>
      <c r="D402" s="62">
        <v>119</v>
      </c>
      <c r="E402" s="63">
        <v>4.377897137812E-3</v>
      </c>
    </row>
    <row r="403" spans="2:5" ht="15" customHeight="1">
      <c r="B403" s="115"/>
      <c r="C403" s="61" t="s">
        <v>110</v>
      </c>
      <c r="D403" s="62">
        <v>69</v>
      </c>
      <c r="E403" s="63">
        <v>2.5384445588989999E-3</v>
      </c>
    </row>
    <row r="404" spans="2:5" ht="15" customHeight="1">
      <c r="B404" s="115"/>
      <c r="C404" s="61" t="s">
        <v>111</v>
      </c>
      <c r="D404" s="62">
        <v>156</v>
      </c>
      <c r="E404" s="63">
        <v>5.7390920462070004E-3</v>
      </c>
    </row>
    <row r="405" spans="2:5" ht="15" customHeight="1">
      <c r="B405" s="115"/>
      <c r="C405" s="61" t="s">
        <v>112</v>
      </c>
      <c r="D405" s="62">
        <v>40</v>
      </c>
      <c r="E405" s="63">
        <v>1.47156206313E-3</v>
      </c>
    </row>
    <row r="406" spans="2:5" ht="15" customHeight="1">
      <c r="B406" s="115"/>
      <c r="C406" s="61" t="s">
        <v>113</v>
      </c>
      <c r="D406" s="62">
        <v>53</v>
      </c>
      <c r="E406" s="63">
        <v>1.9498197336469999E-3</v>
      </c>
    </row>
    <row r="407" spans="2:5" ht="15" customHeight="1">
      <c r="B407" s="115"/>
      <c r="C407" s="61" t="s">
        <v>114</v>
      </c>
      <c r="D407" s="62">
        <v>3</v>
      </c>
      <c r="E407" s="63">
        <v>1.10367154735E-4</v>
      </c>
    </row>
    <row r="408" spans="2:5" ht="15" customHeight="1">
      <c r="B408" s="115"/>
      <c r="C408" s="61" t="s">
        <v>115</v>
      </c>
      <c r="D408" s="62">
        <v>2</v>
      </c>
      <c r="E408" s="63">
        <v>7.3578103156999997E-5</v>
      </c>
    </row>
    <row r="409" spans="2:5" ht="15" customHeight="1">
      <c r="B409" s="115"/>
      <c r="C409" s="61" t="s">
        <v>116</v>
      </c>
      <c r="D409" s="62">
        <v>170</v>
      </c>
      <c r="E409" s="63">
        <v>6.2541387683029996E-3</v>
      </c>
    </row>
    <row r="410" spans="2:5" ht="15" customHeight="1">
      <c r="B410" s="115"/>
      <c r="C410" s="61" t="s">
        <v>117</v>
      </c>
      <c r="D410" s="62">
        <v>82</v>
      </c>
      <c r="E410" s="63">
        <v>3.0167022294170002E-3</v>
      </c>
    </row>
    <row r="411" spans="2:5" ht="15" customHeight="1">
      <c r="B411" s="115"/>
      <c r="C411" s="61" t="s">
        <v>118</v>
      </c>
      <c r="D411" s="62">
        <v>46</v>
      </c>
      <c r="E411" s="63">
        <v>1.6922963725999999E-3</v>
      </c>
    </row>
    <row r="412" spans="2:5" ht="15" customHeight="1">
      <c r="B412" s="115"/>
      <c r="C412" s="61" t="s">
        <v>119</v>
      </c>
      <c r="D412" s="62">
        <v>46</v>
      </c>
      <c r="E412" s="63">
        <v>1.6922963725999999E-3</v>
      </c>
    </row>
    <row r="413" spans="2:5" ht="15" customHeight="1">
      <c r="B413" s="115"/>
      <c r="C413" s="61" t="s">
        <v>120</v>
      </c>
      <c r="D413" s="62">
        <v>1</v>
      </c>
      <c r="E413" s="63">
        <v>3.6789051577999998E-5</v>
      </c>
    </row>
    <row r="414" spans="2:5" ht="15" customHeight="1">
      <c r="B414" s="115"/>
      <c r="C414" s="61" t="s">
        <v>121</v>
      </c>
      <c r="D414" s="62">
        <v>47</v>
      </c>
      <c r="E414" s="63">
        <v>1.729085424178E-3</v>
      </c>
    </row>
    <row r="415" spans="2:5" ht="15" customHeight="1">
      <c r="B415" s="115"/>
      <c r="C415" s="61" t="s">
        <v>122</v>
      </c>
      <c r="D415" s="62">
        <v>170</v>
      </c>
      <c r="E415" s="63">
        <v>6.2541387683029996E-3</v>
      </c>
    </row>
    <row r="416" spans="2:5" ht="15" customHeight="1">
      <c r="B416" s="115"/>
      <c r="C416" s="61" t="s">
        <v>123</v>
      </c>
      <c r="D416" s="62">
        <v>1</v>
      </c>
      <c r="E416" s="63">
        <v>3.6789051577999998E-5</v>
      </c>
    </row>
    <row r="417" spans="2:5" ht="15" customHeight="1">
      <c r="B417" s="115"/>
      <c r="C417" s="61" t="s">
        <v>124</v>
      </c>
      <c r="D417" s="62">
        <v>4</v>
      </c>
      <c r="E417" s="63">
        <v>1.4715620631300001E-4</v>
      </c>
    </row>
    <row r="418" spans="2:5" ht="15" customHeight="1">
      <c r="B418" s="115"/>
      <c r="C418" s="61" t="s">
        <v>125</v>
      </c>
      <c r="D418" s="62">
        <v>64</v>
      </c>
      <c r="E418" s="63">
        <v>2.3544993010080001E-3</v>
      </c>
    </row>
    <row r="419" spans="2:5" ht="15" customHeight="1">
      <c r="B419" s="115"/>
      <c r="C419" s="61" t="s">
        <v>126</v>
      </c>
      <c r="D419" s="62">
        <v>12</v>
      </c>
      <c r="E419" s="63">
        <v>4.4146861893900002E-4</v>
      </c>
    </row>
    <row r="420" spans="2:5" ht="15" customHeight="1">
      <c r="B420" s="115"/>
      <c r="C420" s="61" t="s">
        <v>127</v>
      </c>
      <c r="D420" s="62">
        <v>138</v>
      </c>
      <c r="E420" s="63">
        <v>5.0768891177989999E-3</v>
      </c>
    </row>
    <row r="421" spans="2:5" ht="15" customHeight="1">
      <c r="B421" s="115"/>
      <c r="C421" s="61" t="s">
        <v>128</v>
      </c>
      <c r="D421" s="62">
        <v>1</v>
      </c>
      <c r="E421" s="63">
        <v>3.6789051577999998E-5</v>
      </c>
    </row>
    <row r="422" spans="2:5" ht="15" customHeight="1">
      <c r="B422" s="115"/>
      <c r="C422" s="61" t="s">
        <v>129</v>
      </c>
      <c r="D422" s="62">
        <v>53</v>
      </c>
      <c r="E422" s="63">
        <v>1.9498197336469999E-3</v>
      </c>
    </row>
    <row r="423" spans="2:5" ht="15" customHeight="1">
      <c r="B423" s="115"/>
      <c r="C423" s="61" t="s">
        <v>130</v>
      </c>
      <c r="D423" s="62">
        <v>634</v>
      </c>
      <c r="E423" s="63">
        <v>2.3324258700611E-2</v>
      </c>
    </row>
    <row r="424" spans="2:5" ht="15" customHeight="1">
      <c r="B424" s="115"/>
      <c r="C424" s="61" t="s">
        <v>131</v>
      </c>
      <c r="D424" s="62">
        <v>12</v>
      </c>
      <c r="E424" s="63">
        <v>4.4146861893900002E-4</v>
      </c>
    </row>
    <row r="425" spans="2:5" ht="15" customHeight="1">
      <c r="B425" s="115"/>
      <c r="C425" s="61" t="s">
        <v>132</v>
      </c>
      <c r="D425" s="62">
        <v>16</v>
      </c>
      <c r="E425" s="63">
        <v>5.8862482525200003E-4</v>
      </c>
    </row>
    <row r="426" spans="2:5" ht="15" customHeight="1">
      <c r="B426" s="115"/>
      <c r="C426" s="61" t="s">
        <v>134</v>
      </c>
      <c r="D426" s="62">
        <v>40</v>
      </c>
      <c r="E426" s="63">
        <v>1.47156206313E-3</v>
      </c>
    </row>
    <row r="427" spans="2:5" ht="15" customHeight="1">
      <c r="B427" s="115"/>
      <c r="C427" s="61" t="s">
        <v>135</v>
      </c>
      <c r="D427" s="62">
        <v>5</v>
      </c>
      <c r="E427" s="63">
        <v>1.8394525789100001E-4</v>
      </c>
    </row>
    <row r="428" spans="2:5" ht="15" customHeight="1">
      <c r="B428" s="115"/>
      <c r="C428" s="61" t="s">
        <v>136</v>
      </c>
      <c r="D428" s="62">
        <v>215</v>
      </c>
      <c r="E428" s="63">
        <v>7.9096460893240007E-3</v>
      </c>
    </row>
    <row r="429" spans="2:5" ht="15" customHeight="1">
      <c r="B429" s="115"/>
      <c r="C429" s="61" t="s">
        <v>137</v>
      </c>
      <c r="D429" s="62">
        <v>2848</v>
      </c>
      <c r="E429" s="63">
        <v>0.104775218894857</v>
      </c>
    </row>
    <row r="430" spans="2:5" ht="15" customHeight="1">
      <c r="B430" s="115"/>
      <c r="C430" s="61" t="s">
        <v>138</v>
      </c>
      <c r="D430" s="62">
        <v>78</v>
      </c>
      <c r="E430" s="63">
        <v>2.8695460231040002E-3</v>
      </c>
    </row>
    <row r="431" spans="2:5" ht="15" customHeight="1">
      <c r="B431" s="115"/>
      <c r="C431" s="61" t="s">
        <v>139</v>
      </c>
      <c r="D431" s="62">
        <v>40</v>
      </c>
      <c r="E431" s="63">
        <v>1.47156206313E-3</v>
      </c>
    </row>
    <row r="432" spans="2:5" ht="15" customHeight="1">
      <c r="B432" s="115"/>
      <c r="C432" s="61" t="s">
        <v>80</v>
      </c>
      <c r="D432" s="62">
        <v>20</v>
      </c>
      <c r="E432" s="63">
        <v>7.3578103156499998E-4</v>
      </c>
    </row>
    <row r="433" spans="2:5" ht="15" customHeight="1">
      <c r="B433" s="115"/>
      <c r="C433" s="61" t="s">
        <v>140</v>
      </c>
      <c r="D433" s="62">
        <v>2</v>
      </c>
      <c r="E433" s="63">
        <v>7.3578103156999997E-5</v>
      </c>
    </row>
    <row r="434" spans="2:5" ht="15" customHeight="1">
      <c r="B434" s="115"/>
      <c r="C434" s="61" t="s">
        <v>141</v>
      </c>
      <c r="D434" s="62">
        <v>121</v>
      </c>
      <c r="E434" s="63">
        <v>4.4514752409679998E-3</v>
      </c>
    </row>
    <row r="435" spans="2:5" ht="15" customHeight="1">
      <c r="B435" s="115"/>
      <c r="C435" s="61" t="s">
        <v>142</v>
      </c>
      <c r="D435" s="62">
        <v>10</v>
      </c>
      <c r="E435" s="63">
        <v>3.6789051578300003E-4</v>
      </c>
    </row>
    <row r="436" spans="2:5" ht="15" customHeight="1">
      <c r="B436" s="116"/>
      <c r="C436" s="83" t="s">
        <v>309</v>
      </c>
      <c r="D436" s="84">
        <v>8704</v>
      </c>
      <c r="E436" s="85">
        <v>0.32021190493709101</v>
      </c>
    </row>
    <row r="437" spans="2:5" ht="15" customHeight="1">
      <c r="B437" s="114" t="s">
        <v>216</v>
      </c>
      <c r="C437" s="61" t="s">
        <v>96</v>
      </c>
      <c r="D437" s="62">
        <v>1</v>
      </c>
      <c r="E437" s="63">
        <v>3.6789051577999998E-5</v>
      </c>
    </row>
    <row r="438" spans="2:5" ht="15" customHeight="1">
      <c r="B438" s="115"/>
      <c r="C438" s="61" t="s">
        <v>98</v>
      </c>
      <c r="D438" s="62">
        <v>2</v>
      </c>
      <c r="E438" s="63">
        <v>7.3578103156999997E-5</v>
      </c>
    </row>
    <row r="439" spans="2:5" ht="15" customHeight="1">
      <c r="B439" s="115"/>
      <c r="C439" s="61" t="s">
        <v>99</v>
      </c>
      <c r="D439" s="62">
        <v>1</v>
      </c>
      <c r="E439" s="63">
        <v>3.6789051577999998E-5</v>
      </c>
    </row>
    <row r="440" spans="2:5" ht="15" customHeight="1">
      <c r="B440" s="115"/>
      <c r="C440" s="61" t="s">
        <v>100</v>
      </c>
      <c r="D440" s="62">
        <v>67</v>
      </c>
      <c r="E440" s="63">
        <v>2.4648664557430002E-3</v>
      </c>
    </row>
    <row r="441" spans="2:5" ht="15" customHeight="1">
      <c r="B441" s="115"/>
      <c r="C441" s="61" t="s">
        <v>101</v>
      </c>
      <c r="D441" s="62">
        <v>9</v>
      </c>
      <c r="E441" s="63">
        <v>3.3110146420399999E-4</v>
      </c>
    </row>
    <row r="442" spans="2:5" ht="15" customHeight="1">
      <c r="B442" s="115"/>
      <c r="C442" s="61" t="s">
        <v>104</v>
      </c>
      <c r="D442" s="62">
        <v>2</v>
      </c>
      <c r="E442" s="63">
        <v>7.3578103156999997E-5</v>
      </c>
    </row>
    <row r="443" spans="2:5" ht="15" customHeight="1">
      <c r="B443" s="115"/>
      <c r="C443" s="61" t="s">
        <v>105</v>
      </c>
      <c r="D443" s="62">
        <v>7</v>
      </c>
      <c r="E443" s="63">
        <v>2.5752336104799999E-4</v>
      </c>
    </row>
    <row r="444" spans="2:5" ht="15" customHeight="1">
      <c r="B444" s="115"/>
      <c r="C444" s="61" t="s">
        <v>106</v>
      </c>
      <c r="D444" s="62">
        <v>1</v>
      </c>
      <c r="E444" s="63">
        <v>3.6789051577999998E-5</v>
      </c>
    </row>
    <row r="445" spans="2:5" ht="15" customHeight="1">
      <c r="B445" s="115"/>
      <c r="C445" s="61" t="s">
        <v>107</v>
      </c>
      <c r="D445" s="62">
        <v>1</v>
      </c>
      <c r="E445" s="63">
        <v>3.6789051577999998E-5</v>
      </c>
    </row>
    <row r="446" spans="2:5" ht="15" customHeight="1">
      <c r="B446" s="115"/>
      <c r="C446" s="61" t="s">
        <v>108</v>
      </c>
      <c r="D446" s="62">
        <v>21</v>
      </c>
      <c r="E446" s="63">
        <v>7.7257008314299996E-4</v>
      </c>
    </row>
    <row r="447" spans="2:5" ht="15" customHeight="1">
      <c r="B447" s="115"/>
      <c r="C447" s="61" t="s">
        <v>109</v>
      </c>
      <c r="D447" s="62">
        <v>3</v>
      </c>
      <c r="E447" s="63">
        <v>1.10367154735E-4</v>
      </c>
    </row>
    <row r="448" spans="2:5" ht="15" customHeight="1">
      <c r="B448" s="115"/>
      <c r="C448" s="61" t="s">
        <v>110</v>
      </c>
      <c r="D448" s="62">
        <v>1</v>
      </c>
      <c r="E448" s="63">
        <v>3.6789051577999998E-5</v>
      </c>
    </row>
    <row r="449" spans="2:5" ht="15" customHeight="1">
      <c r="B449" s="115"/>
      <c r="C449" s="61" t="s">
        <v>111</v>
      </c>
      <c r="D449" s="62">
        <v>11</v>
      </c>
      <c r="E449" s="63">
        <v>4.04679567361E-4</v>
      </c>
    </row>
    <row r="450" spans="2:5" ht="15" customHeight="1">
      <c r="B450" s="115"/>
      <c r="C450" s="61" t="s">
        <v>112</v>
      </c>
      <c r="D450" s="62">
        <v>2</v>
      </c>
      <c r="E450" s="63">
        <v>7.3578103156999997E-5</v>
      </c>
    </row>
    <row r="451" spans="2:5" ht="15" customHeight="1">
      <c r="B451" s="115"/>
      <c r="C451" s="61" t="s">
        <v>116</v>
      </c>
      <c r="D451" s="62">
        <v>4</v>
      </c>
      <c r="E451" s="63">
        <v>1.4715620631300001E-4</v>
      </c>
    </row>
    <row r="452" spans="2:5" ht="15" customHeight="1">
      <c r="B452" s="115"/>
      <c r="C452" s="61" t="s">
        <v>117</v>
      </c>
      <c r="D452" s="62">
        <v>1</v>
      </c>
      <c r="E452" s="63">
        <v>3.6789051577999998E-5</v>
      </c>
    </row>
    <row r="453" spans="2:5" ht="15" customHeight="1">
      <c r="B453" s="115"/>
      <c r="C453" s="61" t="s">
        <v>118</v>
      </c>
      <c r="D453" s="62">
        <v>1</v>
      </c>
      <c r="E453" s="63">
        <v>3.6789051577999998E-5</v>
      </c>
    </row>
    <row r="454" spans="2:5" ht="15" customHeight="1">
      <c r="B454" s="115"/>
      <c r="C454" s="61" t="s">
        <v>119</v>
      </c>
      <c r="D454" s="62">
        <v>2</v>
      </c>
      <c r="E454" s="63">
        <v>7.3578103156999997E-5</v>
      </c>
    </row>
    <row r="455" spans="2:5" ht="15" customHeight="1">
      <c r="B455" s="115"/>
      <c r="C455" s="61" t="s">
        <v>121</v>
      </c>
      <c r="D455" s="62">
        <v>1</v>
      </c>
      <c r="E455" s="63">
        <v>3.6789051577999998E-5</v>
      </c>
    </row>
    <row r="456" spans="2:5" ht="15" customHeight="1">
      <c r="B456" s="115"/>
      <c r="C456" s="61" t="s">
        <v>122</v>
      </c>
      <c r="D456" s="62">
        <v>9</v>
      </c>
      <c r="E456" s="63">
        <v>3.3110146420399999E-4</v>
      </c>
    </row>
    <row r="457" spans="2:5" ht="15" customHeight="1">
      <c r="B457" s="115"/>
      <c r="C457" s="61" t="s">
        <v>125</v>
      </c>
      <c r="D457" s="62">
        <v>11</v>
      </c>
      <c r="E457" s="63">
        <v>4.04679567361E-4</v>
      </c>
    </row>
    <row r="458" spans="2:5" ht="15" customHeight="1">
      <c r="B458" s="115"/>
      <c r="C458" s="61" t="s">
        <v>126</v>
      </c>
      <c r="D458" s="62">
        <v>1</v>
      </c>
      <c r="E458" s="63">
        <v>3.6789051577999998E-5</v>
      </c>
    </row>
    <row r="459" spans="2:5" ht="15" customHeight="1">
      <c r="B459" s="115"/>
      <c r="C459" s="61" t="s">
        <v>130</v>
      </c>
      <c r="D459" s="62">
        <v>9</v>
      </c>
      <c r="E459" s="63">
        <v>3.3110146420399999E-4</v>
      </c>
    </row>
    <row r="460" spans="2:5" ht="15" customHeight="1">
      <c r="B460" s="115"/>
      <c r="C460" s="61" t="s">
        <v>131</v>
      </c>
      <c r="D460" s="62">
        <v>1</v>
      </c>
      <c r="E460" s="63">
        <v>3.6789051577999998E-5</v>
      </c>
    </row>
    <row r="461" spans="2:5" ht="15" customHeight="1">
      <c r="B461" s="115"/>
      <c r="C461" s="61" t="s">
        <v>136</v>
      </c>
      <c r="D461" s="62">
        <v>1</v>
      </c>
      <c r="E461" s="63">
        <v>3.6789051577999998E-5</v>
      </c>
    </row>
    <row r="462" spans="2:5" ht="15" customHeight="1">
      <c r="B462" s="115"/>
      <c r="C462" s="61" t="s">
        <v>137</v>
      </c>
      <c r="D462" s="62">
        <v>94</v>
      </c>
      <c r="E462" s="63">
        <v>3.458170848356E-3</v>
      </c>
    </row>
    <row r="463" spans="2:5" ht="15" customHeight="1">
      <c r="B463" s="115"/>
      <c r="C463" s="61" t="s">
        <v>138</v>
      </c>
      <c r="D463" s="62">
        <v>2</v>
      </c>
      <c r="E463" s="63">
        <v>7.3578103156999997E-5</v>
      </c>
    </row>
    <row r="464" spans="2:5" ht="15" customHeight="1">
      <c r="B464" s="115"/>
      <c r="C464" s="61" t="s">
        <v>139</v>
      </c>
      <c r="D464" s="62">
        <v>1</v>
      </c>
      <c r="E464" s="63">
        <v>3.6789051577999998E-5</v>
      </c>
    </row>
    <row r="465" spans="2:5" ht="15" customHeight="1">
      <c r="B465" s="115"/>
      <c r="C465" s="61" t="s">
        <v>141</v>
      </c>
      <c r="D465" s="62">
        <v>5</v>
      </c>
      <c r="E465" s="63">
        <v>1.8394525789100001E-4</v>
      </c>
    </row>
    <row r="466" spans="2:5" ht="15" customHeight="1">
      <c r="B466" s="115"/>
      <c r="C466" s="61" t="s">
        <v>142</v>
      </c>
      <c r="D466" s="62">
        <v>1</v>
      </c>
      <c r="E466" s="63">
        <v>3.6789051577999998E-5</v>
      </c>
    </row>
    <row r="467" spans="2:5" ht="15" customHeight="1">
      <c r="B467" s="116"/>
      <c r="C467" s="83" t="s">
        <v>309</v>
      </c>
      <c r="D467" s="84">
        <v>273</v>
      </c>
      <c r="E467" s="85">
        <v>1.0043411080862E-2</v>
      </c>
    </row>
    <row r="468" spans="2:5" ht="15" customHeight="1">
      <c r="B468" s="114" t="s">
        <v>217</v>
      </c>
      <c r="C468" s="61" t="s">
        <v>96</v>
      </c>
      <c r="D468" s="62">
        <v>5</v>
      </c>
      <c r="E468" s="63">
        <v>1.8394525789100001E-4</v>
      </c>
    </row>
    <row r="469" spans="2:5" ht="15" customHeight="1">
      <c r="B469" s="115"/>
      <c r="C469" s="61" t="s">
        <v>98</v>
      </c>
      <c r="D469" s="62">
        <v>21</v>
      </c>
      <c r="E469" s="63">
        <v>7.7257008314299996E-4</v>
      </c>
    </row>
    <row r="470" spans="2:5" ht="15" customHeight="1">
      <c r="B470" s="115"/>
      <c r="C470" s="61" t="s">
        <v>99</v>
      </c>
      <c r="D470" s="62">
        <v>17</v>
      </c>
      <c r="E470" s="63">
        <v>6.2541387683E-4</v>
      </c>
    </row>
    <row r="471" spans="2:5" ht="15" customHeight="1">
      <c r="B471" s="115"/>
      <c r="C471" s="61" t="s">
        <v>100</v>
      </c>
      <c r="D471" s="62">
        <v>234</v>
      </c>
      <c r="E471" s="63">
        <v>8.6086380693109997E-3</v>
      </c>
    </row>
    <row r="472" spans="2:5" ht="15" customHeight="1">
      <c r="B472" s="115"/>
      <c r="C472" s="61" t="s">
        <v>101</v>
      </c>
      <c r="D472" s="62">
        <v>64</v>
      </c>
      <c r="E472" s="63">
        <v>2.3544993010080001E-3</v>
      </c>
    </row>
    <row r="473" spans="2:5" ht="15" customHeight="1">
      <c r="B473" s="115"/>
      <c r="C473" s="61" t="s">
        <v>104</v>
      </c>
      <c r="D473" s="62">
        <v>20</v>
      </c>
      <c r="E473" s="63">
        <v>7.3578103156499998E-4</v>
      </c>
    </row>
    <row r="474" spans="2:5" ht="15" customHeight="1">
      <c r="B474" s="115"/>
      <c r="C474" s="61" t="s">
        <v>105</v>
      </c>
      <c r="D474" s="62">
        <v>25</v>
      </c>
      <c r="E474" s="63">
        <v>9.1972628945600002E-4</v>
      </c>
    </row>
    <row r="475" spans="2:5" ht="15" customHeight="1">
      <c r="B475" s="115"/>
      <c r="C475" s="61" t="s">
        <v>107</v>
      </c>
      <c r="D475" s="62">
        <v>14</v>
      </c>
      <c r="E475" s="63">
        <v>5.1504672209599998E-4</v>
      </c>
    </row>
    <row r="476" spans="2:5" ht="15" customHeight="1">
      <c r="B476" s="115"/>
      <c r="C476" s="61" t="s">
        <v>108</v>
      </c>
      <c r="D476" s="62">
        <v>98</v>
      </c>
      <c r="E476" s="63">
        <v>3.605327054669E-3</v>
      </c>
    </row>
    <row r="477" spans="2:5" ht="15" customHeight="1">
      <c r="B477" s="115"/>
      <c r="C477" s="61" t="s">
        <v>109</v>
      </c>
      <c r="D477" s="62">
        <v>14</v>
      </c>
      <c r="E477" s="63">
        <v>5.1504672209599998E-4</v>
      </c>
    </row>
    <row r="478" spans="2:5" ht="15" customHeight="1">
      <c r="B478" s="115"/>
      <c r="C478" s="61" t="s">
        <v>110</v>
      </c>
      <c r="D478" s="62">
        <v>11</v>
      </c>
      <c r="E478" s="63">
        <v>4.04679567361E-4</v>
      </c>
    </row>
    <row r="479" spans="2:5" ht="15" customHeight="1">
      <c r="B479" s="115"/>
      <c r="C479" s="61" t="s">
        <v>111</v>
      </c>
      <c r="D479" s="62">
        <v>42</v>
      </c>
      <c r="E479" s="63">
        <v>1.545140166287E-3</v>
      </c>
    </row>
    <row r="480" spans="2:5" ht="15" customHeight="1">
      <c r="B480" s="115"/>
      <c r="C480" s="61" t="s">
        <v>112</v>
      </c>
      <c r="D480" s="62">
        <v>7</v>
      </c>
      <c r="E480" s="63">
        <v>2.5752336104799999E-4</v>
      </c>
    </row>
    <row r="481" spans="2:5" ht="15" customHeight="1">
      <c r="B481" s="115"/>
      <c r="C481" s="61" t="s">
        <v>113</v>
      </c>
      <c r="D481" s="62">
        <v>7</v>
      </c>
      <c r="E481" s="63">
        <v>2.5752336104799999E-4</v>
      </c>
    </row>
    <row r="482" spans="2:5" ht="15" customHeight="1">
      <c r="B482" s="115"/>
      <c r="C482" s="61" t="s">
        <v>116</v>
      </c>
      <c r="D482" s="62">
        <v>24</v>
      </c>
      <c r="E482" s="63">
        <v>8.8293723787800005E-4</v>
      </c>
    </row>
    <row r="483" spans="2:5" ht="15" customHeight="1">
      <c r="B483" s="115"/>
      <c r="C483" s="61" t="s">
        <v>117</v>
      </c>
      <c r="D483" s="62">
        <v>8</v>
      </c>
      <c r="E483" s="63">
        <v>2.9431241262600002E-4</v>
      </c>
    </row>
    <row r="484" spans="2:5" ht="15" customHeight="1">
      <c r="B484" s="115"/>
      <c r="C484" s="61" t="s">
        <v>118</v>
      </c>
      <c r="D484" s="62">
        <v>7</v>
      </c>
      <c r="E484" s="63">
        <v>2.5752336104799999E-4</v>
      </c>
    </row>
    <row r="485" spans="2:5" ht="15" customHeight="1">
      <c r="B485" s="115"/>
      <c r="C485" s="61" t="s">
        <v>119</v>
      </c>
      <c r="D485" s="62">
        <v>6</v>
      </c>
      <c r="E485" s="63">
        <v>2.2073430946999999E-4</v>
      </c>
    </row>
    <row r="486" spans="2:5" ht="15" customHeight="1">
      <c r="B486" s="115"/>
      <c r="C486" s="61" t="s">
        <v>120</v>
      </c>
      <c r="D486" s="62">
        <v>1</v>
      </c>
      <c r="E486" s="63">
        <v>3.6789051577999998E-5</v>
      </c>
    </row>
    <row r="487" spans="2:5" ht="15" customHeight="1">
      <c r="B487" s="115"/>
      <c r="C487" s="61" t="s">
        <v>121</v>
      </c>
      <c r="D487" s="62">
        <v>7</v>
      </c>
      <c r="E487" s="63">
        <v>2.5752336104799999E-4</v>
      </c>
    </row>
    <row r="488" spans="2:5" ht="15" customHeight="1">
      <c r="B488" s="115"/>
      <c r="C488" s="61" t="s">
        <v>122</v>
      </c>
      <c r="D488" s="62">
        <v>33</v>
      </c>
      <c r="E488" s="63">
        <v>1.2140387020819999E-3</v>
      </c>
    </row>
    <row r="489" spans="2:5" ht="15" customHeight="1">
      <c r="B489" s="115"/>
      <c r="C489" s="61" t="s">
        <v>123</v>
      </c>
      <c r="D489" s="62">
        <v>1</v>
      </c>
      <c r="E489" s="63">
        <v>3.6789051577999998E-5</v>
      </c>
    </row>
    <row r="490" spans="2:5" ht="15" customHeight="1">
      <c r="B490" s="115"/>
      <c r="C490" s="61" t="s">
        <v>124</v>
      </c>
      <c r="D490" s="62">
        <v>1</v>
      </c>
      <c r="E490" s="63">
        <v>3.6789051577999998E-5</v>
      </c>
    </row>
    <row r="491" spans="2:5" ht="15" customHeight="1">
      <c r="B491" s="115"/>
      <c r="C491" s="61" t="s">
        <v>125</v>
      </c>
      <c r="D491" s="62">
        <v>10</v>
      </c>
      <c r="E491" s="63">
        <v>3.6789051578300003E-4</v>
      </c>
    </row>
    <row r="492" spans="2:5" ht="15" customHeight="1">
      <c r="B492" s="115"/>
      <c r="C492" s="61" t="s">
        <v>126</v>
      </c>
      <c r="D492" s="62">
        <v>1</v>
      </c>
      <c r="E492" s="63">
        <v>3.6789051577999998E-5</v>
      </c>
    </row>
    <row r="493" spans="2:5" ht="15" customHeight="1">
      <c r="B493" s="115"/>
      <c r="C493" s="61" t="s">
        <v>127</v>
      </c>
      <c r="D493" s="62">
        <v>14</v>
      </c>
      <c r="E493" s="63">
        <v>5.1504672209599998E-4</v>
      </c>
    </row>
    <row r="494" spans="2:5" ht="15" customHeight="1">
      <c r="B494" s="115"/>
      <c r="C494" s="61" t="s">
        <v>129</v>
      </c>
      <c r="D494" s="62">
        <v>10</v>
      </c>
      <c r="E494" s="63">
        <v>3.6789051578300003E-4</v>
      </c>
    </row>
    <row r="495" spans="2:5" ht="15" customHeight="1">
      <c r="B495" s="115"/>
      <c r="C495" s="61" t="s">
        <v>130</v>
      </c>
      <c r="D495" s="62">
        <v>119</v>
      </c>
      <c r="E495" s="63">
        <v>4.377897137812E-3</v>
      </c>
    </row>
    <row r="496" spans="2:5" ht="15" customHeight="1">
      <c r="B496" s="115"/>
      <c r="C496" s="61" t="s">
        <v>131</v>
      </c>
      <c r="D496" s="62">
        <v>3</v>
      </c>
      <c r="E496" s="63">
        <v>1.10367154735E-4</v>
      </c>
    </row>
    <row r="497" spans="2:5" ht="15" customHeight="1">
      <c r="B497" s="115"/>
      <c r="C497" s="61" t="s">
        <v>132</v>
      </c>
      <c r="D497" s="62">
        <v>1</v>
      </c>
      <c r="E497" s="63">
        <v>3.6789051577999998E-5</v>
      </c>
    </row>
    <row r="498" spans="2:5" ht="15" customHeight="1">
      <c r="B498" s="115"/>
      <c r="C498" s="61" t="s">
        <v>134</v>
      </c>
      <c r="D498" s="62">
        <v>3</v>
      </c>
      <c r="E498" s="63">
        <v>1.10367154735E-4</v>
      </c>
    </row>
    <row r="499" spans="2:5" ht="15" customHeight="1">
      <c r="B499" s="115"/>
      <c r="C499" s="61" t="s">
        <v>135</v>
      </c>
      <c r="D499" s="62">
        <v>1</v>
      </c>
      <c r="E499" s="63">
        <v>3.6789051577999998E-5</v>
      </c>
    </row>
    <row r="500" spans="2:5" ht="15" customHeight="1">
      <c r="B500" s="115"/>
      <c r="C500" s="61" t="s">
        <v>136</v>
      </c>
      <c r="D500" s="62">
        <v>26</v>
      </c>
      <c r="E500" s="63">
        <v>9.5651534103499995E-4</v>
      </c>
    </row>
    <row r="501" spans="2:5" ht="15" customHeight="1">
      <c r="B501" s="115"/>
      <c r="C501" s="61" t="s">
        <v>137</v>
      </c>
      <c r="D501" s="62">
        <v>344</v>
      </c>
      <c r="E501" s="63">
        <v>1.2655433742918E-2</v>
      </c>
    </row>
    <row r="502" spans="2:5" ht="15" customHeight="1">
      <c r="B502" s="115"/>
      <c r="C502" s="61" t="s">
        <v>138</v>
      </c>
      <c r="D502" s="62">
        <v>8</v>
      </c>
      <c r="E502" s="63">
        <v>2.9431241262600002E-4</v>
      </c>
    </row>
    <row r="503" spans="2:5" ht="15" customHeight="1">
      <c r="B503" s="115"/>
      <c r="C503" s="61" t="s">
        <v>139</v>
      </c>
      <c r="D503" s="62">
        <v>2</v>
      </c>
      <c r="E503" s="63">
        <v>7.3578103156999997E-5</v>
      </c>
    </row>
    <row r="504" spans="2:5" ht="15" customHeight="1">
      <c r="B504" s="115"/>
      <c r="C504" s="61" t="s">
        <v>80</v>
      </c>
      <c r="D504" s="62">
        <v>5</v>
      </c>
      <c r="E504" s="63">
        <v>1.8394525789100001E-4</v>
      </c>
    </row>
    <row r="505" spans="2:5" ht="15" customHeight="1">
      <c r="B505" s="115"/>
      <c r="C505" s="61" t="s">
        <v>141</v>
      </c>
      <c r="D505" s="62">
        <v>11</v>
      </c>
      <c r="E505" s="63">
        <v>4.04679567361E-4</v>
      </c>
    </row>
    <row r="506" spans="2:5" ht="15" customHeight="1">
      <c r="B506" s="116"/>
      <c r="C506" s="83" t="s">
        <v>309</v>
      </c>
      <c r="D506" s="84">
        <v>1225</v>
      </c>
      <c r="E506" s="85">
        <v>4.5066588183357001E-2</v>
      </c>
    </row>
    <row r="507" spans="2:5" ht="15" customHeight="1">
      <c r="B507" s="114" t="s">
        <v>218</v>
      </c>
      <c r="C507" s="61" t="s">
        <v>96</v>
      </c>
      <c r="D507" s="62">
        <v>10</v>
      </c>
      <c r="E507" s="63">
        <v>3.6789051578300003E-4</v>
      </c>
    </row>
    <row r="508" spans="2:5" ht="15" customHeight="1">
      <c r="B508" s="115"/>
      <c r="C508" s="61" t="s">
        <v>98</v>
      </c>
      <c r="D508" s="62">
        <v>55</v>
      </c>
      <c r="E508" s="63">
        <v>2.0233978368039999E-3</v>
      </c>
    </row>
    <row r="509" spans="2:5" ht="15" customHeight="1">
      <c r="B509" s="115"/>
      <c r="C509" s="61" t="s">
        <v>99</v>
      </c>
      <c r="D509" s="62">
        <v>70</v>
      </c>
      <c r="E509" s="63">
        <v>2.5752336104779999E-3</v>
      </c>
    </row>
    <row r="510" spans="2:5" ht="15" customHeight="1">
      <c r="B510" s="115"/>
      <c r="C510" s="61" t="s">
        <v>100</v>
      </c>
      <c r="D510" s="62">
        <v>901</v>
      </c>
      <c r="E510" s="63">
        <v>3.3146935472004001E-2</v>
      </c>
    </row>
    <row r="511" spans="2:5" ht="15" customHeight="1">
      <c r="B511" s="115"/>
      <c r="C511" s="61" t="s">
        <v>101</v>
      </c>
      <c r="D511" s="62">
        <v>237</v>
      </c>
      <c r="E511" s="63">
        <v>8.7190052240449997E-3</v>
      </c>
    </row>
    <row r="512" spans="2:5" ht="15" customHeight="1">
      <c r="B512" s="115"/>
      <c r="C512" s="61" t="s">
        <v>103</v>
      </c>
      <c r="D512" s="62">
        <v>3</v>
      </c>
      <c r="E512" s="63">
        <v>1.10367154735E-4</v>
      </c>
    </row>
    <row r="513" spans="2:5" ht="15" customHeight="1">
      <c r="B513" s="115"/>
      <c r="C513" s="61" t="s">
        <v>104</v>
      </c>
      <c r="D513" s="62">
        <v>36</v>
      </c>
      <c r="E513" s="63">
        <v>1.324405856817E-3</v>
      </c>
    </row>
    <row r="514" spans="2:5" ht="15" customHeight="1">
      <c r="B514" s="115"/>
      <c r="C514" s="61" t="s">
        <v>105</v>
      </c>
      <c r="D514" s="62">
        <v>70</v>
      </c>
      <c r="E514" s="63">
        <v>2.5752336104779999E-3</v>
      </c>
    </row>
    <row r="515" spans="2:5" ht="15" customHeight="1">
      <c r="B515" s="115"/>
      <c r="C515" s="61" t="s">
        <v>107</v>
      </c>
      <c r="D515" s="62">
        <v>51</v>
      </c>
      <c r="E515" s="63">
        <v>1.876241630491E-3</v>
      </c>
    </row>
    <row r="516" spans="2:5" ht="15" customHeight="1">
      <c r="B516" s="115"/>
      <c r="C516" s="61" t="s">
        <v>108</v>
      </c>
      <c r="D516" s="62">
        <v>372</v>
      </c>
      <c r="E516" s="63">
        <v>1.3685527187109E-2</v>
      </c>
    </row>
    <row r="517" spans="2:5" ht="15" customHeight="1">
      <c r="B517" s="115"/>
      <c r="C517" s="61" t="s">
        <v>109</v>
      </c>
      <c r="D517" s="62">
        <v>45</v>
      </c>
      <c r="E517" s="63">
        <v>1.655507321021E-3</v>
      </c>
    </row>
    <row r="518" spans="2:5" ht="15" customHeight="1">
      <c r="B518" s="115"/>
      <c r="C518" s="61" t="s">
        <v>110</v>
      </c>
      <c r="D518" s="62">
        <v>39</v>
      </c>
      <c r="E518" s="63">
        <v>1.4347730115520001E-3</v>
      </c>
    </row>
    <row r="519" spans="2:5" ht="15" customHeight="1">
      <c r="B519" s="115"/>
      <c r="C519" s="61" t="s">
        <v>111</v>
      </c>
      <c r="D519" s="62">
        <v>86</v>
      </c>
      <c r="E519" s="63">
        <v>3.1638584357300001E-3</v>
      </c>
    </row>
    <row r="520" spans="2:5" ht="15" customHeight="1">
      <c r="B520" s="115"/>
      <c r="C520" s="61" t="s">
        <v>112</v>
      </c>
      <c r="D520" s="62">
        <v>25</v>
      </c>
      <c r="E520" s="63">
        <v>9.1972628945600002E-4</v>
      </c>
    </row>
    <row r="521" spans="2:5" ht="15" customHeight="1">
      <c r="B521" s="115"/>
      <c r="C521" s="61" t="s">
        <v>113</v>
      </c>
      <c r="D521" s="62">
        <v>27</v>
      </c>
      <c r="E521" s="63">
        <v>9.9330439261300003E-4</v>
      </c>
    </row>
    <row r="522" spans="2:5" ht="15" customHeight="1">
      <c r="B522" s="115"/>
      <c r="C522" s="61" t="s">
        <v>116</v>
      </c>
      <c r="D522" s="62">
        <v>80</v>
      </c>
      <c r="E522" s="63">
        <v>2.9431241262599999E-3</v>
      </c>
    </row>
    <row r="523" spans="2:5" ht="15" customHeight="1">
      <c r="B523" s="115"/>
      <c r="C523" s="61" t="s">
        <v>117</v>
      </c>
      <c r="D523" s="62">
        <v>19</v>
      </c>
      <c r="E523" s="63">
        <v>6.9899197998700001E-4</v>
      </c>
    </row>
    <row r="524" spans="2:5" ht="15" customHeight="1">
      <c r="B524" s="115"/>
      <c r="C524" s="61" t="s">
        <v>118</v>
      </c>
      <c r="D524" s="62">
        <v>17</v>
      </c>
      <c r="E524" s="63">
        <v>6.2541387683E-4</v>
      </c>
    </row>
    <row r="525" spans="2:5" ht="15" customHeight="1">
      <c r="B525" s="115"/>
      <c r="C525" s="61" t="s">
        <v>119</v>
      </c>
      <c r="D525" s="62">
        <v>30</v>
      </c>
      <c r="E525" s="63">
        <v>1.1036715473479999E-3</v>
      </c>
    </row>
    <row r="526" spans="2:5" ht="15" customHeight="1">
      <c r="B526" s="115"/>
      <c r="C526" s="61" t="s">
        <v>121</v>
      </c>
      <c r="D526" s="62">
        <v>33</v>
      </c>
      <c r="E526" s="63">
        <v>1.2140387020819999E-3</v>
      </c>
    </row>
    <row r="527" spans="2:5" ht="15" customHeight="1">
      <c r="B527" s="115"/>
      <c r="C527" s="61" t="s">
        <v>122</v>
      </c>
      <c r="D527" s="62">
        <v>111</v>
      </c>
      <c r="E527" s="63">
        <v>4.0835847251860001E-3</v>
      </c>
    </row>
    <row r="528" spans="2:5" ht="15" customHeight="1">
      <c r="B528" s="115"/>
      <c r="C528" s="61" t="s">
        <v>123</v>
      </c>
      <c r="D528" s="62">
        <v>5</v>
      </c>
      <c r="E528" s="63">
        <v>1.8394525789100001E-4</v>
      </c>
    </row>
    <row r="529" spans="2:5" ht="15" customHeight="1">
      <c r="B529" s="115"/>
      <c r="C529" s="61" t="s">
        <v>124</v>
      </c>
      <c r="D529" s="62">
        <v>4</v>
      </c>
      <c r="E529" s="63">
        <v>1.4715620631300001E-4</v>
      </c>
    </row>
    <row r="530" spans="2:5" ht="15" customHeight="1">
      <c r="B530" s="115"/>
      <c r="C530" s="61" t="s">
        <v>125</v>
      </c>
      <c r="D530" s="62">
        <v>46</v>
      </c>
      <c r="E530" s="63">
        <v>1.6922963725999999E-3</v>
      </c>
    </row>
    <row r="531" spans="2:5" ht="15" customHeight="1">
      <c r="B531" s="115"/>
      <c r="C531" s="61" t="s">
        <v>127</v>
      </c>
      <c r="D531" s="62">
        <v>42</v>
      </c>
      <c r="E531" s="63">
        <v>1.545140166287E-3</v>
      </c>
    </row>
    <row r="532" spans="2:5" ht="15" customHeight="1">
      <c r="B532" s="115"/>
      <c r="C532" s="61" t="s">
        <v>129</v>
      </c>
      <c r="D532" s="62">
        <v>27</v>
      </c>
      <c r="E532" s="63">
        <v>9.9330439261300003E-4</v>
      </c>
    </row>
    <row r="533" spans="2:5" ht="15" customHeight="1">
      <c r="B533" s="115"/>
      <c r="C533" s="61" t="s">
        <v>130</v>
      </c>
      <c r="D533" s="62">
        <v>333</v>
      </c>
      <c r="E533" s="63">
        <v>1.2250754175557E-2</v>
      </c>
    </row>
    <row r="534" spans="2:5" ht="15" customHeight="1">
      <c r="B534" s="115"/>
      <c r="C534" s="61" t="s">
        <v>131</v>
      </c>
      <c r="D534" s="62">
        <v>12</v>
      </c>
      <c r="E534" s="63">
        <v>4.4146861893900002E-4</v>
      </c>
    </row>
    <row r="535" spans="2:5" ht="15" customHeight="1">
      <c r="B535" s="115"/>
      <c r="C535" s="61" t="s">
        <v>132</v>
      </c>
      <c r="D535" s="62">
        <v>6</v>
      </c>
      <c r="E535" s="63">
        <v>2.2073430946999999E-4</v>
      </c>
    </row>
    <row r="536" spans="2:5" ht="15" customHeight="1">
      <c r="B536" s="115"/>
      <c r="C536" s="61" t="s">
        <v>134</v>
      </c>
      <c r="D536" s="62">
        <v>14</v>
      </c>
      <c r="E536" s="63">
        <v>5.1504672209599998E-4</v>
      </c>
    </row>
    <row r="537" spans="2:5" ht="15" customHeight="1">
      <c r="B537" s="115"/>
      <c r="C537" s="61" t="s">
        <v>135</v>
      </c>
      <c r="D537" s="62">
        <v>4</v>
      </c>
      <c r="E537" s="63">
        <v>1.4715620631300001E-4</v>
      </c>
    </row>
    <row r="538" spans="2:5" ht="15" customHeight="1">
      <c r="B538" s="115"/>
      <c r="C538" s="61" t="s">
        <v>136</v>
      </c>
      <c r="D538" s="62">
        <v>91</v>
      </c>
      <c r="E538" s="63">
        <v>3.3478036936209999E-3</v>
      </c>
    </row>
    <row r="539" spans="2:5" ht="15" customHeight="1">
      <c r="B539" s="115"/>
      <c r="C539" s="61" t="s">
        <v>137</v>
      </c>
      <c r="D539" s="62">
        <v>1483</v>
      </c>
      <c r="E539" s="63">
        <v>5.4558163490545E-2</v>
      </c>
    </row>
    <row r="540" spans="2:5" ht="15" customHeight="1">
      <c r="B540" s="115"/>
      <c r="C540" s="61" t="s">
        <v>138</v>
      </c>
      <c r="D540" s="62">
        <v>30</v>
      </c>
      <c r="E540" s="63">
        <v>1.1036715473479999E-3</v>
      </c>
    </row>
    <row r="541" spans="2:5" ht="15" customHeight="1">
      <c r="B541" s="115"/>
      <c r="C541" s="61" t="s">
        <v>139</v>
      </c>
      <c r="D541" s="62">
        <v>12</v>
      </c>
      <c r="E541" s="63">
        <v>4.4146861893900002E-4</v>
      </c>
    </row>
    <row r="542" spans="2:5" ht="15" customHeight="1">
      <c r="B542" s="115"/>
      <c r="C542" s="61" t="s">
        <v>80</v>
      </c>
      <c r="D542" s="62">
        <v>7</v>
      </c>
      <c r="E542" s="63">
        <v>2.5752336104799999E-4</v>
      </c>
    </row>
    <row r="543" spans="2:5" ht="15" customHeight="1">
      <c r="B543" s="115"/>
      <c r="C543" s="61" t="s">
        <v>141</v>
      </c>
      <c r="D543" s="62">
        <v>62</v>
      </c>
      <c r="E543" s="63">
        <v>2.280921197852E-3</v>
      </c>
    </row>
    <row r="544" spans="2:5" ht="15" customHeight="1">
      <c r="B544" s="115"/>
      <c r="C544" s="61" t="s">
        <v>142</v>
      </c>
      <c r="D544" s="62">
        <v>1</v>
      </c>
      <c r="E544" s="63">
        <v>3.6789051577999998E-5</v>
      </c>
    </row>
    <row r="545" spans="2:5" ht="15" customHeight="1">
      <c r="B545" s="116"/>
      <c r="C545" s="83" t="s">
        <v>309</v>
      </c>
      <c r="D545" s="84">
        <v>4496</v>
      </c>
      <c r="E545" s="85">
        <v>0.165403575895813</v>
      </c>
    </row>
    <row r="546" spans="2:5" ht="15" customHeight="1">
      <c r="B546" s="114" t="s">
        <v>296</v>
      </c>
      <c r="C546" s="61" t="s">
        <v>98</v>
      </c>
      <c r="D546" s="62">
        <v>2</v>
      </c>
      <c r="E546" s="63">
        <v>7.3578103156999997E-5</v>
      </c>
    </row>
    <row r="547" spans="2:5" ht="15" customHeight="1">
      <c r="B547" s="115"/>
      <c r="C547" s="61" t="s">
        <v>100</v>
      </c>
      <c r="D547" s="62">
        <v>12</v>
      </c>
      <c r="E547" s="63">
        <v>4.4146861893900002E-4</v>
      </c>
    </row>
    <row r="548" spans="2:5" ht="15" customHeight="1">
      <c r="B548" s="115"/>
      <c r="C548" s="61" t="s">
        <v>105</v>
      </c>
      <c r="D548" s="62">
        <v>3</v>
      </c>
      <c r="E548" s="63">
        <v>1.10367154735E-4</v>
      </c>
    </row>
    <row r="549" spans="2:5" ht="15" customHeight="1">
      <c r="B549" s="115"/>
      <c r="C549" s="61" t="s">
        <v>108</v>
      </c>
      <c r="D549" s="62">
        <v>4</v>
      </c>
      <c r="E549" s="63">
        <v>1.4715620631300001E-4</v>
      </c>
    </row>
    <row r="550" spans="2:5" ht="15" customHeight="1">
      <c r="B550" s="115"/>
      <c r="C550" s="61" t="s">
        <v>110</v>
      </c>
      <c r="D550" s="62">
        <v>2</v>
      </c>
      <c r="E550" s="63">
        <v>7.3578103156999997E-5</v>
      </c>
    </row>
    <row r="551" spans="2:5" ht="15" customHeight="1">
      <c r="B551" s="115"/>
      <c r="C551" s="61" t="s">
        <v>111</v>
      </c>
      <c r="D551" s="62">
        <v>2</v>
      </c>
      <c r="E551" s="63">
        <v>7.3578103156999997E-5</v>
      </c>
    </row>
    <row r="552" spans="2:5" ht="15" customHeight="1">
      <c r="B552" s="115"/>
      <c r="C552" s="61" t="s">
        <v>113</v>
      </c>
      <c r="D552" s="62">
        <v>2</v>
      </c>
      <c r="E552" s="63">
        <v>7.3578103156999997E-5</v>
      </c>
    </row>
    <row r="553" spans="2:5" ht="15" customHeight="1">
      <c r="B553" s="115"/>
      <c r="C553" s="61" t="s">
        <v>116</v>
      </c>
      <c r="D553" s="62">
        <v>2</v>
      </c>
      <c r="E553" s="63">
        <v>7.3578103156999997E-5</v>
      </c>
    </row>
    <row r="554" spans="2:5" ht="15" customHeight="1">
      <c r="B554" s="115"/>
      <c r="C554" s="61" t="s">
        <v>119</v>
      </c>
      <c r="D554" s="62">
        <v>1</v>
      </c>
      <c r="E554" s="63">
        <v>3.6789051577999998E-5</v>
      </c>
    </row>
    <row r="555" spans="2:5" ht="15" customHeight="1">
      <c r="B555" s="115"/>
      <c r="C555" s="61" t="s">
        <v>121</v>
      </c>
      <c r="D555" s="62">
        <v>1</v>
      </c>
      <c r="E555" s="63">
        <v>3.6789051577999998E-5</v>
      </c>
    </row>
    <row r="556" spans="2:5" ht="15" customHeight="1">
      <c r="B556" s="115"/>
      <c r="C556" s="61" t="s">
        <v>127</v>
      </c>
      <c r="D556" s="62">
        <v>1</v>
      </c>
      <c r="E556" s="63">
        <v>3.6789051577999998E-5</v>
      </c>
    </row>
    <row r="557" spans="2:5" ht="15" customHeight="1">
      <c r="B557" s="115"/>
      <c r="C557" s="61" t="s">
        <v>130</v>
      </c>
      <c r="D557" s="62">
        <v>4</v>
      </c>
      <c r="E557" s="63">
        <v>1.4715620631300001E-4</v>
      </c>
    </row>
    <row r="558" spans="2:5" ht="15" customHeight="1">
      <c r="B558" s="115"/>
      <c r="C558" s="61" t="s">
        <v>131</v>
      </c>
      <c r="D558" s="62">
        <v>1</v>
      </c>
      <c r="E558" s="63">
        <v>3.6789051577999998E-5</v>
      </c>
    </row>
    <row r="559" spans="2:5" ht="15" customHeight="1">
      <c r="B559" s="115"/>
      <c r="C559" s="61" t="s">
        <v>132</v>
      </c>
      <c r="D559" s="62">
        <v>1</v>
      </c>
      <c r="E559" s="63">
        <v>3.6789051577999998E-5</v>
      </c>
    </row>
    <row r="560" spans="2:5" ht="15" customHeight="1">
      <c r="B560" s="115"/>
      <c r="C560" s="61" t="s">
        <v>136</v>
      </c>
      <c r="D560" s="62">
        <v>1</v>
      </c>
      <c r="E560" s="63">
        <v>3.6789051577999998E-5</v>
      </c>
    </row>
    <row r="561" spans="2:5" ht="15" customHeight="1">
      <c r="B561" s="115"/>
      <c r="C561" s="61" t="s">
        <v>137</v>
      </c>
      <c r="D561" s="62">
        <v>16</v>
      </c>
      <c r="E561" s="63">
        <v>5.8862482525200003E-4</v>
      </c>
    </row>
    <row r="562" spans="2:5" ht="15" customHeight="1">
      <c r="B562" s="115"/>
      <c r="C562" s="61" t="s">
        <v>139</v>
      </c>
      <c r="D562" s="62">
        <v>1</v>
      </c>
      <c r="E562" s="63">
        <v>3.6789051577999998E-5</v>
      </c>
    </row>
    <row r="563" spans="2:5" ht="15" customHeight="1">
      <c r="B563" s="116"/>
      <c r="C563" s="83" t="s">
        <v>309</v>
      </c>
      <c r="D563" s="84">
        <v>56</v>
      </c>
      <c r="E563" s="85">
        <v>2.0601868883819998E-3</v>
      </c>
    </row>
    <row r="564" spans="2:5" ht="15" customHeight="1">
      <c r="B564" s="114" t="s">
        <v>297</v>
      </c>
      <c r="C564" s="61" t="s">
        <v>98</v>
      </c>
      <c r="D564" s="62">
        <v>1</v>
      </c>
      <c r="E564" s="63">
        <v>3.6789051577999998E-5</v>
      </c>
    </row>
    <row r="565" spans="2:5" ht="15" customHeight="1">
      <c r="B565" s="115"/>
      <c r="C565" s="61" t="s">
        <v>99</v>
      </c>
      <c r="D565" s="62">
        <v>1</v>
      </c>
      <c r="E565" s="63">
        <v>3.6789051577999998E-5</v>
      </c>
    </row>
    <row r="566" spans="2:5" ht="15" customHeight="1">
      <c r="B566" s="115"/>
      <c r="C566" s="61" t="s">
        <v>100</v>
      </c>
      <c r="D566" s="62">
        <v>21</v>
      </c>
      <c r="E566" s="63">
        <v>7.7257008314299996E-4</v>
      </c>
    </row>
    <row r="567" spans="2:5" ht="15" customHeight="1">
      <c r="B567" s="115"/>
      <c r="C567" s="61" t="s">
        <v>101</v>
      </c>
      <c r="D567" s="62">
        <v>4</v>
      </c>
      <c r="E567" s="63">
        <v>1.4715620631300001E-4</v>
      </c>
    </row>
    <row r="568" spans="2:5" ht="15" customHeight="1">
      <c r="B568" s="115"/>
      <c r="C568" s="61" t="s">
        <v>105</v>
      </c>
      <c r="D568" s="62">
        <v>2</v>
      </c>
      <c r="E568" s="63">
        <v>7.3578103156999997E-5</v>
      </c>
    </row>
    <row r="569" spans="2:5" ht="15" customHeight="1">
      <c r="B569" s="115"/>
      <c r="C569" s="61" t="s">
        <v>108</v>
      </c>
      <c r="D569" s="62">
        <v>3</v>
      </c>
      <c r="E569" s="63">
        <v>1.10367154735E-4</v>
      </c>
    </row>
    <row r="570" spans="2:5" ht="15" customHeight="1">
      <c r="B570" s="115"/>
      <c r="C570" s="61" t="s">
        <v>110</v>
      </c>
      <c r="D570" s="62">
        <v>1</v>
      </c>
      <c r="E570" s="63">
        <v>3.6789051577999998E-5</v>
      </c>
    </row>
    <row r="571" spans="2:5" ht="15" customHeight="1">
      <c r="B571" s="115"/>
      <c r="C571" s="61" t="s">
        <v>111</v>
      </c>
      <c r="D571" s="62">
        <v>5</v>
      </c>
      <c r="E571" s="63">
        <v>1.8394525789100001E-4</v>
      </c>
    </row>
    <row r="572" spans="2:5" ht="15" customHeight="1">
      <c r="B572" s="115"/>
      <c r="C572" s="61" t="s">
        <v>116</v>
      </c>
      <c r="D572" s="62">
        <v>1</v>
      </c>
      <c r="E572" s="63">
        <v>3.6789051577999998E-5</v>
      </c>
    </row>
    <row r="573" spans="2:5" ht="15" customHeight="1">
      <c r="B573" s="115"/>
      <c r="C573" s="61" t="s">
        <v>117</v>
      </c>
      <c r="D573" s="62">
        <v>1</v>
      </c>
      <c r="E573" s="63">
        <v>3.6789051577999998E-5</v>
      </c>
    </row>
    <row r="574" spans="2:5" ht="15" customHeight="1">
      <c r="B574" s="115"/>
      <c r="C574" s="61" t="s">
        <v>121</v>
      </c>
      <c r="D574" s="62">
        <v>1</v>
      </c>
      <c r="E574" s="63">
        <v>3.6789051577999998E-5</v>
      </c>
    </row>
    <row r="575" spans="2:5" ht="15" customHeight="1">
      <c r="B575" s="115"/>
      <c r="C575" s="61" t="s">
        <v>122</v>
      </c>
      <c r="D575" s="62">
        <v>3</v>
      </c>
      <c r="E575" s="63">
        <v>1.10367154735E-4</v>
      </c>
    </row>
    <row r="576" spans="2:5" ht="15" customHeight="1">
      <c r="B576" s="115"/>
      <c r="C576" s="61" t="s">
        <v>130</v>
      </c>
      <c r="D576" s="62">
        <v>6</v>
      </c>
      <c r="E576" s="63">
        <v>2.2073430946999999E-4</v>
      </c>
    </row>
    <row r="577" spans="2:5" ht="15" customHeight="1">
      <c r="B577" s="115"/>
      <c r="C577" s="61" t="s">
        <v>137</v>
      </c>
      <c r="D577" s="62">
        <v>20</v>
      </c>
      <c r="E577" s="63">
        <v>7.3578103156499998E-4</v>
      </c>
    </row>
    <row r="578" spans="2:5" ht="15" customHeight="1">
      <c r="B578" s="115"/>
      <c r="C578" s="61" t="s">
        <v>80</v>
      </c>
      <c r="D578" s="62">
        <v>1</v>
      </c>
      <c r="E578" s="63">
        <v>3.6789051577999998E-5</v>
      </c>
    </row>
    <row r="579" spans="2:5" ht="15" customHeight="1">
      <c r="B579" s="115"/>
      <c r="C579" s="61" t="s">
        <v>142</v>
      </c>
      <c r="D579" s="62">
        <v>1</v>
      </c>
      <c r="E579" s="63">
        <v>3.6789051577999998E-5</v>
      </c>
    </row>
    <row r="580" spans="2:5" ht="15" customHeight="1">
      <c r="B580" s="116"/>
      <c r="C580" s="83" t="s">
        <v>309</v>
      </c>
      <c r="D580" s="84">
        <v>72</v>
      </c>
      <c r="E580" s="85">
        <v>2.648811713634E-3</v>
      </c>
    </row>
    <row r="581" spans="2:5" ht="15" customHeight="1">
      <c r="B581" s="114" t="s">
        <v>298</v>
      </c>
      <c r="C581" s="61" t="s">
        <v>98</v>
      </c>
      <c r="D581" s="62">
        <v>1</v>
      </c>
      <c r="E581" s="63">
        <v>3.6789051577999998E-5</v>
      </c>
    </row>
    <row r="582" spans="2:5" ht="15" customHeight="1">
      <c r="B582" s="115"/>
      <c r="C582" s="61" t="s">
        <v>100</v>
      </c>
      <c r="D582" s="62">
        <v>9</v>
      </c>
      <c r="E582" s="63">
        <v>3.3110146420399999E-4</v>
      </c>
    </row>
    <row r="583" spans="2:5" ht="15" customHeight="1">
      <c r="B583" s="115"/>
      <c r="C583" s="61" t="s">
        <v>101</v>
      </c>
      <c r="D583" s="62">
        <v>1</v>
      </c>
      <c r="E583" s="63">
        <v>3.6789051577999998E-5</v>
      </c>
    </row>
    <row r="584" spans="2:5" ht="15" customHeight="1">
      <c r="B584" s="115"/>
      <c r="C584" s="61" t="s">
        <v>108</v>
      </c>
      <c r="D584" s="62">
        <v>2</v>
      </c>
      <c r="E584" s="63">
        <v>7.3578103156999997E-5</v>
      </c>
    </row>
    <row r="585" spans="2:5" ht="15" customHeight="1">
      <c r="B585" s="115"/>
      <c r="C585" s="61" t="s">
        <v>110</v>
      </c>
      <c r="D585" s="62">
        <v>1</v>
      </c>
      <c r="E585" s="63">
        <v>3.6789051577999998E-5</v>
      </c>
    </row>
    <row r="586" spans="2:5" ht="15" customHeight="1">
      <c r="B586" s="115"/>
      <c r="C586" s="61" t="s">
        <v>111</v>
      </c>
      <c r="D586" s="62">
        <v>1</v>
      </c>
      <c r="E586" s="63">
        <v>3.6789051577999998E-5</v>
      </c>
    </row>
    <row r="587" spans="2:5" ht="15" customHeight="1">
      <c r="B587" s="115"/>
      <c r="C587" s="61" t="s">
        <v>116</v>
      </c>
      <c r="D587" s="62">
        <v>1</v>
      </c>
      <c r="E587" s="63">
        <v>3.6789051577999998E-5</v>
      </c>
    </row>
    <row r="588" spans="2:5" ht="15" customHeight="1">
      <c r="B588" s="115"/>
      <c r="C588" s="61" t="s">
        <v>117</v>
      </c>
      <c r="D588" s="62">
        <v>1</v>
      </c>
      <c r="E588" s="63">
        <v>3.6789051577999998E-5</v>
      </c>
    </row>
    <row r="589" spans="2:5" ht="15" customHeight="1">
      <c r="B589" s="115"/>
      <c r="C589" s="61" t="s">
        <v>122</v>
      </c>
      <c r="D589" s="62">
        <v>1</v>
      </c>
      <c r="E589" s="63">
        <v>3.6789051577999998E-5</v>
      </c>
    </row>
    <row r="590" spans="2:5" ht="15" customHeight="1">
      <c r="B590" s="115"/>
      <c r="C590" s="61" t="s">
        <v>126</v>
      </c>
      <c r="D590" s="62">
        <v>1</v>
      </c>
      <c r="E590" s="63">
        <v>3.6789051577999998E-5</v>
      </c>
    </row>
    <row r="591" spans="2:5" ht="15" customHeight="1">
      <c r="B591" s="115"/>
      <c r="C591" s="61" t="s">
        <v>130</v>
      </c>
      <c r="D591" s="62">
        <v>2</v>
      </c>
      <c r="E591" s="63">
        <v>7.3578103156999997E-5</v>
      </c>
    </row>
    <row r="592" spans="2:5" ht="15" customHeight="1">
      <c r="B592" s="115"/>
      <c r="C592" s="61" t="s">
        <v>136</v>
      </c>
      <c r="D592" s="62">
        <v>1</v>
      </c>
      <c r="E592" s="63">
        <v>3.6789051577999998E-5</v>
      </c>
    </row>
    <row r="593" spans="2:5" ht="15" customHeight="1">
      <c r="B593" s="115"/>
      <c r="C593" s="61" t="s">
        <v>137</v>
      </c>
      <c r="D593" s="62">
        <v>13</v>
      </c>
      <c r="E593" s="63">
        <v>4.7825767051699999E-4</v>
      </c>
    </row>
    <row r="594" spans="2:5" ht="15" customHeight="1">
      <c r="B594" s="115"/>
      <c r="C594" s="61" t="s">
        <v>141</v>
      </c>
      <c r="D594" s="62">
        <v>1</v>
      </c>
      <c r="E594" s="63">
        <v>3.6789051577999998E-5</v>
      </c>
    </row>
    <row r="595" spans="2:5" ht="15" customHeight="1">
      <c r="B595" s="116"/>
      <c r="C595" s="83" t="s">
        <v>309</v>
      </c>
      <c r="D595" s="84">
        <v>36</v>
      </c>
      <c r="E595" s="85">
        <v>1.324405856817E-3</v>
      </c>
    </row>
    <row r="596" spans="2:5" ht="15" customHeight="1">
      <c r="B596" s="114" t="s">
        <v>299</v>
      </c>
      <c r="C596" s="61" t="s">
        <v>98</v>
      </c>
      <c r="D596" s="62">
        <v>1</v>
      </c>
      <c r="E596" s="63">
        <v>3.6789051577999998E-5</v>
      </c>
    </row>
    <row r="597" spans="2:5" ht="15" customHeight="1">
      <c r="B597" s="115"/>
      <c r="C597" s="61" t="s">
        <v>100</v>
      </c>
      <c r="D597" s="62">
        <v>9</v>
      </c>
      <c r="E597" s="63">
        <v>3.3110146420399999E-4</v>
      </c>
    </row>
    <row r="598" spans="2:5" ht="15" customHeight="1">
      <c r="B598" s="115"/>
      <c r="C598" s="61" t="s">
        <v>104</v>
      </c>
      <c r="D598" s="62">
        <v>1</v>
      </c>
      <c r="E598" s="63">
        <v>3.6789051577999998E-5</v>
      </c>
    </row>
    <row r="599" spans="2:5" ht="15" customHeight="1">
      <c r="B599" s="115"/>
      <c r="C599" s="61" t="s">
        <v>108</v>
      </c>
      <c r="D599" s="62">
        <v>1</v>
      </c>
      <c r="E599" s="63">
        <v>3.6789051577999998E-5</v>
      </c>
    </row>
    <row r="600" spans="2:5" ht="15" customHeight="1">
      <c r="B600" s="115"/>
      <c r="C600" s="61" t="s">
        <v>122</v>
      </c>
      <c r="D600" s="62">
        <v>1</v>
      </c>
      <c r="E600" s="63">
        <v>3.6789051577999998E-5</v>
      </c>
    </row>
    <row r="601" spans="2:5" ht="15" customHeight="1">
      <c r="B601" s="115"/>
      <c r="C601" s="61" t="s">
        <v>130</v>
      </c>
      <c r="D601" s="62">
        <v>2</v>
      </c>
      <c r="E601" s="63">
        <v>7.3578103156999997E-5</v>
      </c>
    </row>
    <row r="602" spans="2:5" ht="15" customHeight="1">
      <c r="B602" s="115"/>
      <c r="C602" s="61" t="s">
        <v>131</v>
      </c>
      <c r="D602" s="62">
        <v>2</v>
      </c>
      <c r="E602" s="63">
        <v>7.3578103156999997E-5</v>
      </c>
    </row>
    <row r="603" spans="2:5" ht="15" customHeight="1">
      <c r="B603" s="115"/>
      <c r="C603" s="61" t="s">
        <v>137</v>
      </c>
      <c r="D603" s="62">
        <v>8</v>
      </c>
      <c r="E603" s="63">
        <v>2.9431241262600002E-4</v>
      </c>
    </row>
    <row r="604" spans="2:5" ht="15" customHeight="1">
      <c r="B604" s="115"/>
      <c r="C604" s="61" t="s">
        <v>141</v>
      </c>
      <c r="D604" s="62">
        <v>1</v>
      </c>
      <c r="E604" s="63">
        <v>3.6789051577999998E-5</v>
      </c>
    </row>
    <row r="605" spans="2:5" ht="15" customHeight="1">
      <c r="B605" s="116"/>
      <c r="C605" s="83" t="s">
        <v>309</v>
      </c>
      <c r="D605" s="84">
        <v>26</v>
      </c>
      <c r="E605" s="85">
        <v>9.5651534103499995E-4</v>
      </c>
    </row>
    <row r="606" spans="2:5" ht="15" customHeight="1">
      <c r="B606" s="114" t="s">
        <v>223</v>
      </c>
      <c r="C606" s="61" t="s">
        <v>98</v>
      </c>
      <c r="D606" s="62">
        <v>3</v>
      </c>
      <c r="E606" s="63">
        <v>1.10367154735E-4</v>
      </c>
    </row>
    <row r="607" spans="2:5" ht="15" customHeight="1">
      <c r="B607" s="115"/>
      <c r="C607" s="61" t="s">
        <v>100</v>
      </c>
      <c r="D607" s="62">
        <v>53</v>
      </c>
      <c r="E607" s="63">
        <v>1.9498197336469999E-3</v>
      </c>
    </row>
    <row r="608" spans="2:5" ht="15" customHeight="1">
      <c r="B608" s="115"/>
      <c r="C608" s="61" t="s">
        <v>101</v>
      </c>
      <c r="D608" s="62">
        <v>13</v>
      </c>
      <c r="E608" s="63">
        <v>4.7825767051699999E-4</v>
      </c>
    </row>
    <row r="609" spans="2:5" ht="15" customHeight="1">
      <c r="B609" s="115"/>
      <c r="C609" s="61" t="s">
        <v>103</v>
      </c>
      <c r="D609" s="62">
        <v>1</v>
      </c>
      <c r="E609" s="63">
        <v>3.6789051577999998E-5</v>
      </c>
    </row>
    <row r="610" spans="2:5" ht="15" customHeight="1">
      <c r="B610" s="115"/>
      <c r="C610" s="61" t="s">
        <v>104</v>
      </c>
      <c r="D610" s="62">
        <v>1</v>
      </c>
      <c r="E610" s="63">
        <v>3.6789051577999998E-5</v>
      </c>
    </row>
    <row r="611" spans="2:5" ht="15" customHeight="1">
      <c r="B611" s="115"/>
      <c r="C611" s="61" t="s">
        <v>105</v>
      </c>
      <c r="D611" s="62">
        <v>6</v>
      </c>
      <c r="E611" s="63">
        <v>2.2073430946999999E-4</v>
      </c>
    </row>
    <row r="612" spans="2:5" ht="15" customHeight="1">
      <c r="B612" s="115"/>
      <c r="C612" s="61" t="s">
        <v>107</v>
      </c>
      <c r="D612" s="62">
        <v>3</v>
      </c>
      <c r="E612" s="63">
        <v>1.10367154735E-4</v>
      </c>
    </row>
    <row r="613" spans="2:5" ht="15" customHeight="1">
      <c r="B613" s="115"/>
      <c r="C613" s="61" t="s">
        <v>108</v>
      </c>
      <c r="D613" s="62">
        <v>20</v>
      </c>
      <c r="E613" s="63">
        <v>7.3578103156499998E-4</v>
      </c>
    </row>
    <row r="614" spans="2:5" ht="15" customHeight="1">
      <c r="B614" s="115"/>
      <c r="C614" s="61" t="s">
        <v>109</v>
      </c>
      <c r="D614" s="62">
        <v>3</v>
      </c>
      <c r="E614" s="63">
        <v>1.10367154735E-4</v>
      </c>
    </row>
    <row r="615" spans="2:5" ht="15" customHeight="1">
      <c r="B615" s="115"/>
      <c r="C615" s="61" t="s">
        <v>110</v>
      </c>
      <c r="D615" s="62">
        <v>1</v>
      </c>
      <c r="E615" s="63">
        <v>3.6789051577999998E-5</v>
      </c>
    </row>
    <row r="616" spans="2:5" ht="15" customHeight="1">
      <c r="B616" s="115"/>
      <c r="C616" s="61" t="s">
        <v>111</v>
      </c>
      <c r="D616" s="62">
        <v>7</v>
      </c>
      <c r="E616" s="63">
        <v>2.5752336104799999E-4</v>
      </c>
    </row>
    <row r="617" spans="2:5" ht="15" customHeight="1">
      <c r="B617" s="115"/>
      <c r="C617" s="61" t="s">
        <v>112</v>
      </c>
      <c r="D617" s="62">
        <v>3</v>
      </c>
      <c r="E617" s="63">
        <v>1.10367154735E-4</v>
      </c>
    </row>
    <row r="618" spans="2:5" ht="15" customHeight="1">
      <c r="B618" s="115"/>
      <c r="C618" s="61" t="s">
        <v>116</v>
      </c>
      <c r="D618" s="62">
        <v>3</v>
      </c>
      <c r="E618" s="63">
        <v>1.10367154735E-4</v>
      </c>
    </row>
    <row r="619" spans="2:5" ht="15" customHeight="1">
      <c r="B619" s="115"/>
      <c r="C619" s="61" t="s">
        <v>117</v>
      </c>
      <c r="D619" s="62">
        <v>2</v>
      </c>
      <c r="E619" s="63">
        <v>7.3578103156999997E-5</v>
      </c>
    </row>
    <row r="620" spans="2:5" ht="15" customHeight="1">
      <c r="B620" s="115"/>
      <c r="C620" s="61" t="s">
        <v>118</v>
      </c>
      <c r="D620" s="62">
        <v>2</v>
      </c>
      <c r="E620" s="63">
        <v>7.3578103156999997E-5</v>
      </c>
    </row>
    <row r="621" spans="2:5" ht="15" customHeight="1">
      <c r="B621" s="115"/>
      <c r="C621" s="61" t="s">
        <v>119</v>
      </c>
      <c r="D621" s="62">
        <v>1</v>
      </c>
      <c r="E621" s="63">
        <v>3.6789051577999998E-5</v>
      </c>
    </row>
    <row r="622" spans="2:5" ht="15" customHeight="1">
      <c r="B622" s="115"/>
      <c r="C622" s="61" t="s">
        <v>121</v>
      </c>
      <c r="D622" s="62">
        <v>2</v>
      </c>
      <c r="E622" s="63">
        <v>7.3578103156999997E-5</v>
      </c>
    </row>
    <row r="623" spans="2:5" ht="15" customHeight="1">
      <c r="B623" s="115"/>
      <c r="C623" s="61" t="s">
        <v>122</v>
      </c>
      <c r="D623" s="62">
        <v>8</v>
      </c>
      <c r="E623" s="63">
        <v>2.9431241262600002E-4</v>
      </c>
    </row>
    <row r="624" spans="2:5" ht="15" customHeight="1">
      <c r="B624" s="115"/>
      <c r="C624" s="61" t="s">
        <v>125</v>
      </c>
      <c r="D624" s="62">
        <v>1</v>
      </c>
      <c r="E624" s="63">
        <v>3.6789051577999998E-5</v>
      </c>
    </row>
    <row r="625" spans="2:5" ht="15" customHeight="1">
      <c r="B625" s="115"/>
      <c r="C625" s="61" t="s">
        <v>127</v>
      </c>
      <c r="D625" s="62">
        <v>3</v>
      </c>
      <c r="E625" s="63">
        <v>1.10367154735E-4</v>
      </c>
    </row>
    <row r="626" spans="2:5" ht="15" customHeight="1">
      <c r="B626" s="115"/>
      <c r="C626" s="61" t="s">
        <v>128</v>
      </c>
      <c r="D626" s="62">
        <v>1</v>
      </c>
      <c r="E626" s="63">
        <v>3.6789051577999998E-5</v>
      </c>
    </row>
    <row r="627" spans="2:5" ht="15" customHeight="1">
      <c r="B627" s="115"/>
      <c r="C627" s="61" t="s">
        <v>130</v>
      </c>
      <c r="D627" s="62">
        <v>16</v>
      </c>
      <c r="E627" s="63">
        <v>5.8862482525200003E-4</v>
      </c>
    </row>
    <row r="628" spans="2:5" ht="15" customHeight="1">
      <c r="B628" s="115"/>
      <c r="C628" s="61" t="s">
        <v>131</v>
      </c>
      <c r="D628" s="62">
        <v>2</v>
      </c>
      <c r="E628" s="63">
        <v>7.3578103156999997E-5</v>
      </c>
    </row>
    <row r="629" spans="2:5" ht="15" customHeight="1">
      <c r="B629" s="115"/>
      <c r="C629" s="61" t="s">
        <v>136</v>
      </c>
      <c r="D629" s="62">
        <v>2</v>
      </c>
      <c r="E629" s="63">
        <v>7.3578103156999997E-5</v>
      </c>
    </row>
    <row r="630" spans="2:5" ht="15" customHeight="1">
      <c r="B630" s="115"/>
      <c r="C630" s="61" t="s">
        <v>137</v>
      </c>
      <c r="D630" s="62">
        <v>66</v>
      </c>
      <c r="E630" s="63">
        <v>2.4280774041649999E-3</v>
      </c>
    </row>
    <row r="631" spans="2:5" ht="15" customHeight="1">
      <c r="B631" s="115"/>
      <c r="C631" s="61" t="s">
        <v>138</v>
      </c>
      <c r="D631" s="62">
        <v>1</v>
      </c>
      <c r="E631" s="63">
        <v>3.6789051577999998E-5</v>
      </c>
    </row>
    <row r="632" spans="2:5" ht="15" customHeight="1">
      <c r="B632" s="115"/>
      <c r="C632" s="61" t="s">
        <v>80</v>
      </c>
      <c r="D632" s="62">
        <v>1</v>
      </c>
      <c r="E632" s="63">
        <v>3.6789051577999998E-5</v>
      </c>
    </row>
    <row r="633" spans="2:5" ht="15" customHeight="1">
      <c r="B633" s="115"/>
      <c r="C633" s="61" t="s">
        <v>141</v>
      </c>
      <c r="D633" s="62">
        <v>1</v>
      </c>
      <c r="E633" s="63">
        <v>3.6789051577999998E-5</v>
      </c>
    </row>
    <row r="634" spans="2:5" ht="15" customHeight="1">
      <c r="B634" s="115"/>
      <c r="C634" s="61" t="s">
        <v>142</v>
      </c>
      <c r="D634" s="62">
        <v>1</v>
      </c>
      <c r="E634" s="63">
        <v>3.6789051577999998E-5</v>
      </c>
    </row>
    <row r="635" spans="2:5" ht="15" customHeight="1">
      <c r="B635" s="116"/>
      <c r="C635" s="83" t="s">
        <v>309</v>
      </c>
      <c r="D635" s="84">
        <v>227</v>
      </c>
      <c r="E635" s="85">
        <v>8.3511147082630001E-3</v>
      </c>
    </row>
    <row r="636" spans="2:5" ht="15" customHeight="1">
      <c r="B636" s="114" t="s">
        <v>224</v>
      </c>
      <c r="C636" s="61" t="s">
        <v>96</v>
      </c>
      <c r="D636" s="62">
        <v>1</v>
      </c>
      <c r="E636" s="63">
        <v>3.6789051577999998E-5</v>
      </c>
    </row>
    <row r="637" spans="2:5" ht="15" customHeight="1">
      <c r="B637" s="115"/>
      <c r="C637" s="61" t="s">
        <v>98</v>
      </c>
      <c r="D637" s="62">
        <v>12</v>
      </c>
      <c r="E637" s="63">
        <v>4.4146861893900002E-4</v>
      </c>
    </row>
    <row r="638" spans="2:5" ht="15" customHeight="1">
      <c r="B638" s="115"/>
      <c r="C638" s="61" t="s">
        <v>99</v>
      </c>
      <c r="D638" s="62">
        <v>6</v>
      </c>
      <c r="E638" s="63">
        <v>2.2073430946999999E-4</v>
      </c>
    </row>
    <row r="639" spans="2:5" ht="15" customHeight="1">
      <c r="B639" s="115"/>
      <c r="C639" s="61" t="s">
        <v>100</v>
      </c>
      <c r="D639" s="62">
        <v>122</v>
      </c>
      <c r="E639" s="63">
        <v>4.4882642925470001E-3</v>
      </c>
    </row>
    <row r="640" spans="2:5" ht="15" customHeight="1">
      <c r="B640" s="115"/>
      <c r="C640" s="61" t="s">
        <v>101</v>
      </c>
      <c r="D640" s="62">
        <v>28</v>
      </c>
      <c r="E640" s="63">
        <v>1.0300934441909999E-3</v>
      </c>
    </row>
    <row r="641" spans="2:5" ht="15" customHeight="1">
      <c r="B641" s="115"/>
      <c r="C641" s="61" t="s">
        <v>104</v>
      </c>
      <c r="D641" s="62">
        <v>4</v>
      </c>
      <c r="E641" s="63">
        <v>1.4715620631300001E-4</v>
      </c>
    </row>
    <row r="642" spans="2:5" ht="15" customHeight="1">
      <c r="B642" s="115"/>
      <c r="C642" s="61" t="s">
        <v>105</v>
      </c>
      <c r="D642" s="62">
        <v>13</v>
      </c>
      <c r="E642" s="63">
        <v>4.7825767051699999E-4</v>
      </c>
    </row>
    <row r="643" spans="2:5" ht="15" customHeight="1">
      <c r="B643" s="115"/>
      <c r="C643" s="61" t="s">
        <v>107</v>
      </c>
      <c r="D643" s="62">
        <v>4</v>
      </c>
      <c r="E643" s="63">
        <v>1.4715620631300001E-4</v>
      </c>
    </row>
    <row r="644" spans="2:5" ht="15" customHeight="1">
      <c r="B644" s="115"/>
      <c r="C644" s="61" t="s">
        <v>108</v>
      </c>
      <c r="D644" s="62">
        <v>84</v>
      </c>
      <c r="E644" s="63">
        <v>3.0902803325729999E-3</v>
      </c>
    </row>
    <row r="645" spans="2:5" ht="15" customHeight="1">
      <c r="B645" s="115"/>
      <c r="C645" s="61" t="s">
        <v>110</v>
      </c>
      <c r="D645" s="62">
        <v>6</v>
      </c>
      <c r="E645" s="63">
        <v>2.2073430946999999E-4</v>
      </c>
    </row>
    <row r="646" spans="2:5" ht="15" customHeight="1">
      <c r="B646" s="115"/>
      <c r="C646" s="61" t="s">
        <v>111</v>
      </c>
      <c r="D646" s="62">
        <v>16</v>
      </c>
      <c r="E646" s="63">
        <v>5.8862482525200003E-4</v>
      </c>
    </row>
    <row r="647" spans="2:5" ht="15" customHeight="1">
      <c r="B647" s="115"/>
      <c r="C647" s="61" t="s">
        <v>112</v>
      </c>
      <c r="D647" s="62">
        <v>2</v>
      </c>
      <c r="E647" s="63">
        <v>7.3578103156999997E-5</v>
      </c>
    </row>
    <row r="648" spans="2:5" ht="15" customHeight="1">
      <c r="B648" s="115"/>
      <c r="C648" s="61" t="s">
        <v>113</v>
      </c>
      <c r="D648" s="62">
        <v>3</v>
      </c>
      <c r="E648" s="63">
        <v>1.10367154735E-4</v>
      </c>
    </row>
    <row r="649" spans="2:5" ht="15" customHeight="1">
      <c r="B649" s="115"/>
      <c r="C649" s="61" t="s">
        <v>116</v>
      </c>
      <c r="D649" s="62">
        <v>4</v>
      </c>
      <c r="E649" s="63">
        <v>1.4715620631300001E-4</v>
      </c>
    </row>
    <row r="650" spans="2:5" ht="15" customHeight="1">
      <c r="B650" s="115"/>
      <c r="C650" s="61" t="s">
        <v>117</v>
      </c>
      <c r="D650" s="62">
        <v>7</v>
      </c>
      <c r="E650" s="63">
        <v>2.5752336104799999E-4</v>
      </c>
    </row>
    <row r="651" spans="2:5" ht="15" customHeight="1">
      <c r="B651" s="115"/>
      <c r="C651" s="61" t="s">
        <v>119</v>
      </c>
      <c r="D651" s="62">
        <v>1</v>
      </c>
      <c r="E651" s="63">
        <v>3.6789051577999998E-5</v>
      </c>
    </row>
    <row r="652" spans="2:5" ht="15" customHeight="1">
      <c r="B652" s="115"/>
      <c r="C652" s="61" t="s">
        <v>121</v>
      </c>
      <c r="D652" s="62">
        <v>3</v>
      </c>
      <c r="E652" s="63">
        <v>1.10367154735E-4</v>
      </c>
    </row>
    <row r="653" spans="2:5" ht="15" customHeight="1">
      <c r="B653" s="115"/>
      <c r="C653" s="61" t="s">
        <v>122</v>
      </c>
      <c r="D653" s="62">
        <v>11</v>
      </c>
      <c r="E653" s="63">
        <v>4.04679567361E-4</v>
      </c>
    </row>
    <row r="654" spans="2:5" ht="15" customHeight="1">
      <c r="B654" s="115"/>
      <c r="C654" s="61" t="s">
        <v>124</v>
      </c>
      <c r="D654" s="62">
        <v>1</v>
      </c>
      <c r="E654" s="63">
        <v>3.6789051577999998E-5</v>
      </c>
    </row>
    <row r="655" spans="2:5" ht="15" customHeight="1">
      <c r="B655" s="115"/>
      <c r="C655" s="61" t="s">
        <v>125</v>
      </c>
      <c r="D655" s="62">
        <v>7</v>
      </c>
      <c r="E655" s="63">
        <v>2.5752336104799999E-4</v>
      </c>
    </row>
    <row r="656" spans="2:5" ht="15" customHeight="1">
      <c r="B656" s="115"/>
      <c r="C656" s="61" t="s">
        <v>126</v>
      </c>
      <c r="D656" s="62">
        <v>2</v>
      </c>
      <c r="E656" s="63">
        <v>7.3578103156999997E-5</v>
      </c>
    </row>
    <row r="657" spans="2:5" ht="15" customHeight="1">
      <c r="B657" s="115"/>
      <c r="C657" s="61" t="s">
        <v>127</v>
      </c>
      <c r="D657" s="62">
        <v>6</v>
      </c>
      <c r="E657" s="63">
        <v>2.2073430946999999E-4</v>
      </c>
    </row>
    <row r="658" spans="2:5" ht="15" customHeight="1">
      <c r="B658" s="115"/>
      <c r="C658" s="61" t="s">
        <v>129</v>
      </c>
      <c r="D658" s="62">
        <v>4</v>
      </c>
      <c r="E658" s="63">
        <v>1.4715620631300001E-4</v>
      </c>
    </row>
    <row r="659" spans="2:5" ht="15" customHeight="1">
      <c r="B659" s="115"/>
      <c r="C659" s="61" t="s">
        <v>130</v>
      </c>
      <c r="D659" s="62">
        <v>35</v>
      </c>
      <c r="E659" s="63">
        <v>1.2876168052389999E-3</v>
      </c>
    </row>
    <row r="660" spans="2:5" ht="15" customHeight="1">
      <c r="B660" s="115"/>
      <c r="C660" s="61" t="s">
        <v>131</v>
      </c>
      <c r="D660" s="62">
        <v>3</v>
      </c>
      <c r="E660" s="63">
        <v>1.10367154735E-4</v>
      </c>
    </row>
    <row r="661" spans="2:5" ht="15" customHeight="1">
      <c r="B661" s="115"/>
      <c r="C661" s="61" t="s">
        <v>133</v>
      </c>
      <c r="D661" s="62">
        <v>2</v>
      </c>
      <c r="E661" s="63">
        <v>7.3578103156999997E-5</v>
      </c>
    </row>
    <row r="662" spans="2:5" ht="15" customHeight="1">
      <c r="B662" s="115"/>
      <c r="C662" s="61" t="s">
        <v>134</v>
      </c>
      <c r="D662" s="62">
        <v>1</v>
      </c>
      <c r="E662" s="63">
        <v>3.6789051577999998E-5</v>
      </c>
    </row>
    <row r="663" spans="2:5" ht="15" customHeight="1">
      <c r="B663" s="115"/>
      <c r="C663" s="61" t="s">
        <v>136</v>
      </c>
      <c r="D663" s="62">
        <v>5</v>
      </c>
      <c r="E663" s="63">
        <v>1.8394525789100001E-4</v>
      </c>
    </row>
    <row r="664" spans="2:5" ht="15" customHeight="1">
      <c r="B664" s="115"/>
      <c r="C664" s="61" t="s">
        <v>137</v>
      </c>
      <c r="D664" s="62">
        <v>170</v>
      </c>
      <c r="E664" s="63">
        <v>6.2541387683029996E-3</v>
      </c>
    </row>
    <row r="665" spans="2:5" ht="15" customHeight="1">
      <c r="B665" s="115"/>
      <c r="C665" s="61" t="s">
        <v>138</v>
      </c>
      <c r="D665" s="62">
        <v>5</v>
      </c>
      <c r="E665" s="63">
        <v>1.8394525789100001E-4</v>
      </c>
    </row>
    <row r="666" spans="2:5" ht="15" customHeight="1">
      <c r="B666" s="115"/>
      <c r="C666" s="61" t="s">
        <v>139</v>
      </c>
      <c r="D666" s="62">
        <v>1</v>
      </c>
      <c r="E666" s="63">
        <v>3.6789051577999998E-5</v>
      </c>
    </row>
    <row r="667" spans="2:5" ht="15" customHeight="1">
      <c r="B667" s="115"/>
      <c r="C667" s="61" t="s">
        <v>80</v>
      </c>
      <c r="D667" s="62">
        <v>2</v>
      </c>
      <c r="E667" s="63">
        <v>7.3578103156999997E-5</v>
      </c>
    </row>
    <row r="668" spans="2:5" ht="15" customHeight="1">
      <c r="B668" s="115"/>
      <c r="C668" s="61" t="s">
        <v>141</v>
      </c>
      <c r="D668" s="62">
        <v>9</v>
      </c>
      <c r="E668" s="63">
        <v>3.3110146420399999E-4</v>
      </c>
    </row>
    <row r="669" spans="2:5" ht="15" customHeight="1">
      <c r="B669" s="116"/>
      <c r="C669" s="83" t="s">
        <v>309</v>
      </c>
      <c r="D669" s="84">
        <v>580</v>
      </c>
      <c r="E669" s="85">
        <v>2.1337649915385001E-2</v>
      </c>
    </row>
    <row r="670" spans="2:5" ht="15" customHeight="1">
      <c r="B670" s="114" t="s">
        <v>225</v>
      </c>
      <c r="C670" s="61" t="s">
        <v>99</v>
      </c>
      <c r="D670" s="62">
        <v>2</v>
      </c>
      <c r="E670" s="63">
        <v>7.3578103156999997E-5</v>
      </c>
    </row>
    <row r="671" spans="2:5" ht="15" customHeight="1">
      <c r="B671" s="115"/>
      <c r="C671" s="61" t="s">
        <v>100</v>
      </c>
      <c r="D671" s="62">
        <v>1</v>
      </c>
      <c r="E671" s="63">
        <v>3.6789051577999998E-5</v>
      </c>
    </row>
    <row r="672" spans="2:5" ht="15" customHeight="1">
      <c r="B672" s="115"/>
      <c r="C672" s="61" t="s">
        <v>105</v>
      </c>
      <c r="D672" s="62">
        <v>2</v>
      </c>
      <c r="E672" s="63">
        <v>7.3578103156999997E-5</v>
      </c>
    </row>
    <row r="673" spans="2:5" ht="15" customHeight="1">
      <c r="B673" s="115"/>
      <c r="C673" s="61" t="s">
        <v>108</v>
      </c>
      <c r="D673" s="62">
        <v>6</v>
      </c>
      <c r="E673" s="63">
        <v>2.2073430946999999E-4</v>
      </c>
    </row>
    <row r="674" spans="2:5" ht="15" customHeight="1">
      <c r="B674" s="115"/>
      <c r="C674" s="61" t="s">
        <v>109</v>
      </c>
      <c r="D674" s="62">
        <v>1</v>
      </c>
      <c r="E674" s="63">
        <v>3.6789051577999998E-5</v>
      </c>
    </row>
    <row r="675" spans="2:5" ht="15" customHeight="1">
      <c r="B675" s="115"/>
      <c r="C675" s="61" t="s">
        <v>111</v>
      </c>
      <c r="D675" s="62">
        <v>1</v>
      </c>
      <c r="E675" s="63">
        <v>3.6789051577999998E-5</v>
      </c>
    </row>
    <row r="676" spans="2:5" ht="15" customHeight="1">
      <c r="B676" s="115"/>
      <c r="C676" s="61" t="s">
        <v>116</v>
      </c>
      <c r="D676" s="62">
        <v>2</v>
      </c>
      <c r="E676" s="63">
        <v>7.3578103156999997E-5</v>
      </c>
    </row>
    <row r="677" spans="2:5" ht="15" customHeight="1">
      <c r="B677" s="115"/>
      <c r="C677" s="61" t="s">
        <v>128</v>
      </c>
      <c r="D677" s="62">
        <v>1</v>
      </c>
      <c r="E677" s="63">
        <v>3.6789051577999998E-5</v>
      </c>
    </row>
    <row r="678" spans="2:5" ht="15" customHeight="1">
      <c r="B678" s="115"/>
      <c r="C678" s="61" t="s">
        <v>130</v>
      </c>
      <c r="D678" s="62">
        <v>1</v>
      </c>
      <c r="E678" s="63">
        <v>3.6789051577999998E-5</v>
      </c>
    </row>
    <row r="679" spans="2:5" ht="15" customHeight="1">
      <c r="B679" s="115"/>
      <c r="C679" s="61" t="s">
        <v>136</v>
      </c>
      <c r="D679" s="62">
        <v>7</v>
      </c>
      <c r="E679" s="63">
        <v>2.5752336104799999E-4</v>
      </c>
    </row>
    <row r="680" spans="2:5" ht="15" customHeight="1">
      <c r="B680" s="115"/>
      <c r="C680" s="61" t="s">
        <v>137</v>
      </c>
      <c r="D680" s="62">
        <v>11</v>
      </c>
      <c r="E680" s="63">
        <v>4.04679567361E-4</v>
      </c>
    </row>
    <row r="681" spans="2:5" ht="15" customHeight="1">
      <c r="B681" s="116"/>
      <c r="C681" s="83" t="s">
        <v>309</v>
      </c>
      <c r="D681" s="84">
        <v>35</v>
      </c>
      <c r="E681" s="85">
        <v>1.2876168052389999E-3</v>
      </c>
    </row>
    <row r="682" spans="2:5" ht="15" customHeight="1">
      <c r="B682" s="114" t="s">
        <v>226</v>
      </c>
      <c r="C682" s="61" t="s">
        <v>99</v>
      </c>
      <c r="D682" s="62">
        <v>1</v>
      </c>
      <c r="E682" s="63">
        <v>3.6789051577999998E-5</v>
      </c>
    </row>
    <row r="683" spans="2:5" ht="15" customHeight="1">
      <c r="B683" s="115"/>
      <c r="C683" s="61" t="s">
        <v>100</v>
      </c>
      <c r="D683" s="62">
        <v>7</v>
      </c>
      <c r="E683" s="63">
        <v>2.5752336104799999E-4</v>
      </c>
    </row>
    <row r="684" spans="2:5" ht="15" customHeight="1">
      <c r="B684" s="115"/>
      <c r="C684" s="61" t="s">
        <v>104</v>
      </c>
      <c r="D684" s="62">
        <v>1</v>
      </c>
      <c r="E684" s="63">
        <v>3.6789051577999998E-5</v>
      </c>
    </row>
    <row r="685" spans="2:5" ht="15" customHeight="1">
      <c r="B685" s="115"/>
      <c r="C685" s="61" t="s">
        <v>110</v>
      </c>
      <c r="D685" s="62">
        <v>1</v>
      </c>
      <c r="E685" s="63">
        <v>3.6789051577999998E-5</v>
      </c>
    </row>
    <row r="686" spans="2:5" ht="15" customHeight="1">
      <c r="B686" s="115"/>
      <c r="C686" s="61" t="s">
        <v>111</v>
      </c>
      <c r="D686" s="62">
        <v>1</v>
      </c>
      <c r="E686" s="63">
        <v>3.6789051577999998E-5</v>
      </c>
    </row>
    <row r="687" spans="2:5" ht="15" customHeight="1">
      <c r="B687" s="115"/>
      <c r="C687" s="61" t="s">
        <v>116</v>
      </c>
      <c r="D687" s="62">
        <v>2</v>
      </c>
      <c r="E687" s="63">
        <v>7.3578103156999997E-5</v>
      </c>
    </row>
    <row r="688" spans="2:5" ht="15" customHeight="1">
      <c r="B688" s="115"/>
      <c r="C688" s="61" t="s">
        <v>125</v>
      </c>
      <c r="D688" s="62">
        <v>1</v>
      </c>
      <c r="E688" s="63">
        <v>3.6789051577999998E-5</v>
      </c>
    </row>
    <row r="689" spans="2:5" ht="15" customHeight="1">
      <c r="B689" s="115"/>
      <c r="C689" s="61" t="s">
        <v>130</v>
      </c>
      <c r="D689" s="62">
        <v>1</v>
      </c>
      <c r="E689" s="63">
        <v>3.6789051577999998E-5</v>
      </c>
    </row>
    <row r="690" spans="2:5" ht="15" customHeight="1">
      <c r="B690" s="115"/>
      <c r="C690" s="61" t="s">
        <v>137</v>
      </c>
      <c r="D690" s="62">
        <v>9</v>
      </c>
      <c r="E690" s="63">
        <v>3.3110146420399999E-4</v>
      </c>
    </row>
    <row r="691" spans="2:5" ht="15" customHeight="1">
      <c r="B691" s="115"/>
      <c r="C691" s="61" t="s">
        <v>138</v>
      </c>
      <c r="D691" s="62">
        <v>1</v>
      </c>
      <c r="E691" s="63">
        <v>3.6789051577999998E-5</v>
      </c>
    </row>
    <row r="692" spans="2:5" ht="15" customHeight="1">
      <c r="B692" s="115"/>
      <c r="C692" s="61" t="s">
        <v>139</v>
      </c>
      <c r="D692" s="62">
        <v>1</v>
      </c>
      <c r="E692" s="63">
        <v>3.6789051577999998E-5</v>
      </c>
    </row>
    <row r="693" spans="2:5" ht="15" customHeight="1">
      <c r="B693" s="116"/>
      <c r="C693" s="83" t="s">
        <v>309</v>
      </c>
      <c r="D693" s="84">
        <v>26</v>
      </c>
      <c r="E693" s="85">
        <v>9.5651534103499995E-4</v>
      </c>
    </row>
    <row r="694" spans="2:5" ht="15" customHeight="1">
      <c r="B694" s="114" t="s">
        <v>227</v>
      </c>
      <c r="C694" s="61" t="s">
        <v>98</v>
      </c>
      <c r="D694" s="62">
        <v>1</v>
      </c>
      <c r="E694" s="63">
        <v>3.6789051577999998E-5</v>
      </c>
    </row>
    <row r="695" spans="2:5" ht="15" customHeight="1">
      <c r="B695" s="115"/>
      <c r="C695" s="61" t="s">
        <v>100</v>
      </c>
      <c r="D695" s="62">
        <v>1</v>
      </c>
      <c r="E695" s="63">
        <v>3.6789051577999998E-5</v>
      </c>
    </row>
    <row r="696" spans="2:5" ht="15" customHeight="1">
      <c r="B696" s="115"/>
      <c r="C696" s="61" t="s">
        <v>130</v>
      </c>
      <c r="D696" s="62">
        <v>2</v>
      </c>
      <c r="E696" s="63">
        <v>7.3578103156999997E-5</v>
      </c>
    </row>
    <row r="697" spans="2:5" ht="15" customHeight="1">
      <c r="B697" s="115"/>
      <c r="C697" s="61" t="s">
        <v>137</v>
      </c>
      <c r="D697" s="62">
        <v>3</v>
      </c>
      <c r="E697" s="63">
        <v>1.10367154735E-4</v>
      </c>
    </row>
    <row r="698" spans="2:5" ht="15" customHeight="1">
      <c r="B698" s="116"/>
      <c r="C698" s="83" t="s">
        <v>309</v>
      </c>
      <c r="D698" s="84">
        <v>7</v>
      </c>
      <c r="E698" s="85">
        <v>2.5752336104799999E-4</v>
      </c>
    </row>
    <row r="699" spans="2:5" ht="15" customHeight="1">
      <c r="B699" s="117" t="s">
        <v>309</v>
      </c>
      <c r="C699" s="118"/>
      <c r="D699" s="86">
        <v>27182</v>
      </c>
      <c r="E699" s="87">
        <v>1</v>
      </c>
    </row>
    <row r="700" spans="2:5" ht="15" customHeight="1">
      <c r="B700" s="35"/>
      <c r="C700" s="35"/>
      <c r="D700" s="35"/>
      <c r="E700" s="35"/>
    </row>
    <row r="701" spans="2:5" ht="15" customHeight="1">
      <c r="B701" s="37" t="s">
        <v>284</v>
      </c>
      <c r="C701" s="35"/>
      <c r="D701" s="35"/>
      <c r="E701" s="35"/>
    </row>
    <row r="702" spans="2:5" ht="15" customHeight="1">
      <c r="B702" s="38" t="s">
        <v>18</v>
      </c>
      <c r="C702" s="35"/>
      <c r="D702" s="35"/>
      <c r="E702" s="35"/>
    </row>
    <row r="703" spans="2:5" ht="15" customHeight="1">
      <c r="B703" s="39" t="s">
        <v>143</v>
      </c>
      <c r="C703" s="35"/>
      <c r="D703" s="35"/>
      <c r="E703" s="35"/>
    </row>
    <row r="704" spans="2:5" ht="15" customHeight="1">
      <c r="B704" s="37" t="s">
        <v>17</v>
      </c>
      <c r="C704" s="35"/>
      <c r="D704" s="35"/>
      <c r="E704" s="35"/>
    </row>
    <row r="705" spans="2:5" ht="15" customHeight="1">
      <c r="B705" s="37" t="s">
        <v>311</v>
      </c>
      <c r="C705" s="35"/>
      <c r="D705" s="35"/>
      <c r="E705" s="35"/>
    </row>
  </sheetData>
  <mergeCells count="27">
    <mergeCell ref="B699:C699"/>
    <mergeCell ref="B7:E8"/>
    <mergeCell ref="B10:B36"/>
    <mergeCell ref="B37:B39"/>
    <mergeCell ref="B40:B61"/>
    <mergeCell ref="B62:B90"/>
    <mergeCell ref="B91:B123"/>
    <mergeCell ref="B124:B158"/>
    <mergeCell ref="B159:B194"/>
    <mergeCell ref="B195:B235"/>
    <mergeCell ref="B236:B278"/>
    <mergeCell ref="B279:B315"/>
    <mergeCell ref="B316:B349"/>
    <mergeCell ref="B350:B389"/>
    <mergeCell ref="B390:B436"/>
    <mergeCell ref="B437:B467"/>
    <mergeCell ref="B468:B506"/>
    <mergeCell ref="B507:B545"/>
    <mergeCell ref="B546:B563"/>
    <mergeCell ref="B564:B580"/>
    <mergeCell ref="B581:B595"/>
    <mergeCell ref="B694:B698"/>
    <mergeCell ref="B596:B605"/>
    <mergeCell ref="B606:B635"/>
    <mergeCell ref="B636:B669"/>
    <mergeCell ref="B670:B681"/>
    <mergeCell ref="B682:B69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00"/>
  <sheetViews>
    <sheetView showGridLines="0" view="pageBreakPreview" topLeftCell="A876" zoomScale="90" zoomScaleNormal="100" zoomScaleSheetLayoutView="90" workbookViewId="0">
      <selection activeCell="G889" sqref="G889"/>
    </sheetView>
  </sheetViews>
  <sheetFormatPr baseColWidth="10" defaultColWidth="35" defaultRowHeight="15" customHeight="1"/>
  <cols>
    <col min="1" max="1" width="1" style="18" customWidth="1"/>
    <col min="2" max="2" width="22.85546875" style="19" customWidth="1"/>
    <col min="3" max="3" width="31.42578125" style="19" customWidth="1"/>
    <col min="4" max="4" width="14.28515625" style="19" customWidth="1"/>
    <col min="5" max="5" width="16.85546875" style="19" customWidth="1"/>
    <col min="6" max="16384" width="35" style="18"/>
  </cols>
  <sheetData>
    <row r="1" spans="1:5" s="20" customFormat="1" ht="12" customHeight="1">
      <c r="B1" s="23"/>
      <c r="C1" s="22"/>
      <c r="D1" s="22"/>
      <c r="E1" s="22"/>
    </row>
    <row r="2" spans="1:5" s="20" customFormat="1" ht="15" customHeight="1">
      <c r="C2" s="25"/>
    </row>
    <row r="3" spans="1:5" s="20" customFormat="1" ht="15" customHeight="1">
      <c r="C3" s="25"/>
    </row>
    <row r="4" spans="1:5" s="20" customFormat="1" ht="30" customHeight="1">
      <c r="C4" s="25"/>
      <c r="D4" s="24"/>
    </row>
    <row r="5" spans="1:5" s="20" customFormat="1" ht="15" customHeight="1">
      <c r="C5" s="25"/>
      <c r="D5" s="24"/>
    </row>
    <row r="6" spans="1:5" s="20" customFormat="1" ht="24" customHeight="1">
      <c r="B6" s="46"/>
      <c r="C6" s="45"/>
      <c r="D6" s="45"/>
      <c r="E6" s="45"/>
    </row>
    <row r="7" spans="1:5" s="20" customFormat="1" ht="26.25" customHeight="1">
      <c r="A7" s="21"/>
      <c r="B7" s="111"/>
      <c r="C7" s="111"/>
      <c r="D7" s="111"/>
      <c r="E7" s="111"/>
    </row>
    <row r="8" spans="1:5" s="20" customFormat="1" ht="33" customHeight="1">
      <c r="A8" s="21"/>
      <c r="B8" s="111"/>
      <c r="C8" s="111"/>
      <c r="D8" s="111"/>
      <c r="E8" s="111"/>
    </row>
    <row r="9" spans="1:5" s="15" customFormat="1" ht="40.5" customHeight="1">
      <c r="B9" s="54" t="s">
        <v>22</v>
      </c>
      <c r="C9" s="55" t="s">
        <v>27</v>
      </c>
      <c r="D9" s="56" t="s">
        <v>20</v>
      </c>
      <c r="E9" s="54" t="s">
        <v>19</v>
      </c>
    </row>
    <row r="10" spans="1:5" ht="15" customHeight="1">
      <c r="B10" s="112" t="s">
        <v>66</v>
      </c>
      <c r="C10" s="61" t="s">
        <v>204</v>
      </c>
      <c r="D10" s="71">
        <v>3</v>
      </c>
      <c r="E10" s="70">
        <v>0</v>
      </c>
    </row>
    <row r="11" spans="1:5" ht="15" customHeight="1">
      <c r="B11" s="112"/>
      <c r="C11" s="61" t="s">
        <v>287</v>
      </c>
      <c r="D11" s="71">
        <v>1</v>
      </c>
      <c r="E11" s="70">
        <v>0</v>
      </c>
    </row>
    <row r="12" spans="1:5" ht="15" customHeight="1">
      <c r="B12" s="112"/>
      <c r="C12" s="61" t="s">
        <v>288</v>
      </c>
      <c r="D12" s="71">
        <v>2</v>
      </c>
      <c r="E12" s="70">
        <v>0</v>
      </c>
    </row>
    <row r="13" spans="1:5" ht="15" customHeight="1">
      <c r="B13" s="112"/>
      <c r="C13" s="61" t="s">
        <v>289</v>
      </c>
      <c r="D13" s="71">
        <v>5</v>
      </c>
      <c r="E13" s="70">
        <v>0</v>
      </c>
    </row>
    <row r="14" spans="1:5" ht="15" customHeight="1">
      <c r="B14" s="112"/>
      <c r="C14" s="61" t="s">
        <v>290</v>
      </c>
      <c r="D14" s="71">
        <v>8</v>
      </c>
      <c r="E14" s="70">
        <v>0</v>
      </c>
    </row>
    <row r="15" spans="1:5" ht="15" customHeight="1">
      <c r="B15" s="112"/>
      <c r="C15" s="61" t="s">
        <v>291</v>
      </c>
      <c r="D15" s="71">
        <v>5</v>
      </c>
      <c r="E15" s="70">
        <v>0</v>
      </c>
    </row>
    <row r="16" spans="1:5" ht="15" customHeight="1">
      <c r="B16" s="112"/>
      <c r="C16" s="61" t="s">
        <v>292</v>
      </c>
      <c r="D16" s="71">
        <v>35</v>
      </c>
      <c r="E16" s="70">
        <v>1E-3</v>
      </c>
    </row>
    <row r="17" spans="2:5" ht="15" customHeight="1">
      <c r="B17" s="112"/>
      <c r="C17" s="61" t="s">
        <v>211</v>
      </c>
      <c r="D17" s="71">
        <v>41</v>
      </c>
      <c r="E17" s="70">
        <v>2E-3</v>
      </c>
    </row>
    <row r="18" spans="2:5" ht="15" customHeight="1">
      <c r="B18" s="112"/>
      <c r="C18" s="61" t="s">
        <v>293</v>
      </c>
      <c r="D18" s="71">
        <v>3</v>
      </c>
      <c r="E18" s="70">
        <v>0</v>
      </c>
    </row>
    <row r="19" spans="2:5" ht="15" customHeight="1">
      <c r="B19" s="112"/>
      <c r="C19" s="61" t="s">
        <v>294</v>
      </c>
      <c r="D19" s="71">
        <v>11</v>
      </c>
      <c r="E19" s="70">
        <v>0</v>
      </c>
    </row>
    <row r="20" spans="2:5" ht="15" customHeight="1">
      <c r="B20" s="112"/>
      <c r="C20" s="61" t="s">
        <v>295</v>
      </c>
      <c r="D20" s="71">
        <v>8</v>
      </c>
      <c r="E20" s="70">
        <v>0</v>
      </c>
    </row>
    <row r="21" spans="2:5" ht="15" customHeight="1">
      <c r="B21" s="112"/>
      <c r="C21" s="61" t="s">
        <v>215</v>
      </c>
      <c r="D21" s="71">
        <v>96</v>
      </c>
      <c r="E21" s="70">
        <v>4.0000000000000001E-3</v>
      </c>
    </row>
    <row r="22" spans="2:5" ht="15" customHeight="1">
      <c r="B22" s="112"/>
      <c r="C22" s="61" t="s">
        <v>216</v>
      </c>
      <c r="D22" s="71">
        <v>6</v>
      </c>
      <c r="E22" s="70">
        <v>0</v>
      </c>
    </row>
    <row r="23" spans="2:5" ht="15" customHeight="1">
      <c r="B23" s="112"/>
      <c r="C23" s="61" t="s">
        <v>217</v>
      </c>
      <c r="D23" s="71">
        <v>13</v>
      </c>
      <c r="E23" s="70">
        <v>0</v>
      </c>
    </row>
    <row r="24" spans="2:5" ht="15" customHeight="1">
      <c r="B24" s="112"/>
      <c r="C24" s="61" t="s">
        <v>218</v>
      </c>
      <c r="D24" s="71">
        <v>62</v>
      </c>
      <c r="E24" s="70">
        <v>2E-3</v>
      </c>
    </row>
    <row r="25" spans="2:5" ht="15" customHeight="1">
      <c r="B25" s="112"/>
      <c r="C25" s="61" t="s">
        <v>223</v>
      </c>
      <c r="D25" s="71">
        <v>2</v>
      </c>
      <c r="E25" s="70">
        <v>0</v>
      </c>
    </row>
    <row r="26" spans="2:5" ht="15" customHeight="1">
      <c r="B26" s="112"/>
      <c r="C26" s="61" t="s">
        <v>224</v>
      </c>
      <c r="D26" s="71">
        <v>6</v>
      </c>
      <c r="E26" s="70">
        <v>0</v>
      </c>
    </row>
    <row r="27" spans="2:5" ht="15" customHeight="1">
      <c r="B27" s="112"/>
      <c r="C27" s="61" t="s">
        <v>226</v>
      </c>
      <c r="D27" s="71">
        <v>1</v>
      </c>
      <c r="E27" s="70">
        <v>0</v>
      </c>
    </row>
    <row r="28" spans="2:5" ht="15" customHeight="1">
      <c r="B28" s="112"/>
      <c r="C28" s="61" t="s">
        <v>227</v>
      </c>
      <c r="D28" s="71">
        <v>1</v>
      </c>
      <c r="E28" s="70">
        <v>0</v>
      </c>
    </row>
    <row r="29" spans="2:5" ht="15" customHeight="1">
      <c r="B29" s="112"/>
      <c r="C29" s="74" t="s">
        <v>309</v>
      </c>
      <c r="D29" s="77">
        <v>309</v>
      </c>
      <c r="E29" s="75">
        <v>1.0999999999999999E-2</v>
      </c>
    </row>
    <row r="30" spans="2:5" ht="15" customHeight="1">
      <c r="B30" s="112" t="s">
        <v>54</v>
      </c>
      <c r="C30" s="61" t="s">
        <v>204</v>
      </c>
      <c r="D30" s="71">
        <v>4</v>
      </c>
      <c r="E30" s="70">
        <v>0</v>
      </c>
    </row>
    <row r="31" spans="2:5" ht="15" customHeight="1">
      <c r="B31" s="112"/>
      <c r="C31" s="61" t="s">
        <v>287</v>
      </c>
      <c r="D31" s="71">
        <v>1</v>
      </c>
      <c r="E31" s="70">
        <v>0</v>
      </c>
    </row>
    <row r="32" spans="2:5" ht="15" customHeight="1">
      <c r="B32" s="112"/>
      <c r="C32" s="61" t="s">
        <v>288</v>
      </c>
      <c r="D32" s="71">
        <v>3</v>
      </c>
      <c r="E32" s="70">
        <v>0</v>
      </c>
    </row>
    <row r="33" spans="2:5" ht="15" customHeight="1">
      <c r="B33" s="112"/>
      <c r="C33" s="61" t="s">
        <v>289</v>
      </c>
      <c r="D33" s="71">
        <v>11</v>
      </c>
      <c r="E33" s="70">
        <v>0</v>
      </c>
    </row>
    <row r="34" spans="2:5" ht="15" customHeight="1">
      <c r="B34" s="112"/>
      <c r="C34" s="61" t="s">
        <v>290</v>
      </c>
      <c r="D34" s="71">
        <v>13</v>
      </c>
      <c r="E34" s="70">
        <v>0</v>
      </c>
    </row>
    <row r="35" spans="2:5" ht="15" customHeight="1">
      <c r="B35" s="112"/>
      <c r="C35" s="61" t="s">
        <v>291</v>
      </c>
      <c r="D35" s="71">
        <v>17</v>
      </c>
      <c r="E35" s="70">
        <v>1E-3</v>
      </c>
    </row>
    <row r="36" spans="2:5" ht="15" customHeight="1">
      <c r="B36" s="112"/>
      <c r="C36" s="61" t="s">
        <v>292</v>
      </c>
      <c r="D36" s="71">
        <v>54</v>
      </c>
      <c r="E36" s="70">
        <v>2E-3</v>
      </c>
    </row>
    <row r="37" spans="2:5" ht="15" customHeight="1">
      <c r="B37" s="112"/>
      <c r="C37" s="61" t="s">
        <v>211</v>
      </c>
      <c r="D37" s="71">
        <v>117</v>
      </c>
      <c r="E37" s="70">
        <v>4.0000000000000001E-3</v>
      </c>
    </row>
    <row r="38" spans="2:5" ht="15" customHeight="1">
      <c r="B38" s="112"/>
      <c r="C38" s="61" t="s">
        <v>293</v>
      </c>
      <c r="D38" s="71">
        <v>14</v>
      </c>
      <c r="E38" s="70">
        <v>1E-3</v>
      </c>
    </row>
    <row r="39" spans="2:5" ht="15" customHeight="1">
      <c r="B39" s="112"/>
      <c r="C39" s="61" t="s">
        <v>294</v>
      </c>
      <c r="D39" s="71">
        <v>18</v>
      </c>
      <c r="E39" s="70">
        <v>1E-3</v>
      </c>
    </row>
    <row r="40" spans="2:5" ht="15" customHeight="1">
      <c r="B40" s="112"/>
      <c r="C40" s="61" t="s">
        <v>295</v>
      </c>
      <c r="D40" s="71">
        <v>27</v>
      </c>
      <c r="E40" s="70">
        <v>1E-3</v>
      </c>
    </row>
    <row r="41" spans="2:5" ht="15" customHeight="1">
      <c r="B41" s="112"/>
      <c r="C41" s="61" t="s">
        <v>215</v>
      </c>
      <c r="D41" s="71">
        <v>282</v>
      </c>
      <c r="E41" s="70">
        <v>0.01</v>
      </c>
    </row>
    <row r="42" spans="2:5" ht="15" customHeight="1">
      <c r="B42" s="112"/>
      <c r="C42" s="61" t="s">
        <v>216</v>
      </c>
      <c r="D42" s="71">
        <v>8</v>
      </c>
      <c r="E42" s="70">
        <v>0</v>
      </c>
    </row>
    <row r="43" spans="2:5" ht="15" customHeight="1">
      <c r="B43" s="112"/>
      <c r="C43" s="61" t="s">
        <v>217</v>
      </c>
      <c r="D43" s="71">
        <v>33</v>
      </c>
      <c r="E43" s="70">
        <v>1E-3</v>
      </c>
    </row>
    <row r="44" spans="2:5" ht="15" customHeight="1">
      <c r="B44" s="112"/>
      <c r="C44" s="61" t="s">
        <v>218</v>
      </c>
      <c r="D44" s="71">
        <v>90</v>
      </c>
      <c r="E44" s="70">
        <v>3.0000000000000001E-3</v>
      </c>
    </row>
    <row r="45" spans="2:5" ht="15" customHeight="1">
      <c r="B45" s="112"/>
      <c r="C45" s="61" t="s">
        <v>296</v>
      </c>
      <c r="D45" s="71">
        <v>3</v>
      </c>
      <c r="E45" s="70">
        <v>0</v>
      </c>
    </row>
    <row r="46" spans="2:5" ht="15" customHeight="1">
      <c r="B46" s="112"/>
      <c r="C46" s="61" t="s">
        <v>297</v>
      </c>
      <c r="D46" s="71">
        <v>1</v>
      </c>
      <c r="E46" s="70">
        <v>0</v>
      </c>
    </row>
    <row r="47" spans="2:5" ht="15" customHeight="1">
      <c r="B47" s="112"/>
      <c r="C47" s="61" t="s">
        <v>223</v>
      </c>
      <c r="D47" s="71">
        <v>4</v>
      </c>
      <c r="E47" s="70">
        <v>0</v>
      </c>
    </row>
    <row r="48" spans="2:5" ht="15" customHeight="1">
      <c r="B48" s="112"/>
      <c r="C48" s="61" t="s">
        <v>224</v>
      </c>
      <c r="D48" s="71">
        <v>14</v>
      </c>
      <c r="E48" s="70">
        <v>1E-3</v>
      </c>
    </row>
    <row r="49" spans="2:5" ht="15" customHeight="1">
      <c r="B49" s="112"/>
      <c r="C49" s="74" t="s">
        <v>309</v>
      </c>
      <c r="D49" s="77">
        <v>714</v>
      </c>
      <c r="E49" s="75">
        <v>2.5999999999999999E-2</v>
      </c>
    </row>
    <row r="50" spans="2:5" ht="15" customHeight="1">
      <c r="B50" s="112" t="s">
        <v>55</v>
      </c>
      <c r="C50" s="61" t="s">
        <v>204</v>
      </c>
      <c r="D50" s="71">
        <v>4</v>
      </c>
      <c r="E50" s="70">
        <v>0</v>
      </c>
    </row>
    <row r="51" spans="2:5" ht="15" customHeight="1">
      <c r="B51" s="112"/>
      <c r="C51" s="61" t="s">
        <v>287</v>
      </c>
      <c r="D51" s="71">
        <v>4</v>
      </c>
      <c r="E51" s="70">
        <v>0</v>
      </c>
    </row>
    <row r="52" spans="2:5" ht="15" customHeight="1">
      <c r="B52" s="112"/>
      <c r="C52" s="61" t="s">
        <v>288</v>
      </c>
      <c r="D52" s="71">
        <v>6</v>
      </c>
      <c r="E52" s="70">
        <v>0</v>
      </c>
    </row>
    <row r="53" spans="2:5" ht="15" customHeight="1">
      <c r="B53" s="112"/>
      <c r="C53" s="61" t="s">
        <v>289</v>
      </c>
      <c r="D53" s="71">
        <v>12</v>
      </c>
      <c r="E53" s="70">
        <v>0</v>
      </c>
    </row>
    <row r="54" spans="2:5" ht="15" customHeight="1">
      <c r="B54" s="112"/>
      <c r="C54" s="61" t="s">
        <v>290</v>
      </c>
      <c r="D54" s="71">
        <v>10</v>
      </c>
      <c r="E54" s="70">
        <v>0</v>
      </c>
    </row>
    <row r="55" spans="2:5" ht="15" customHeight="1">
      <c r="B55" s="112"/>
      <c r="C55" s="61" t="s">
        <v>291</v>
      </c>
      <c r="D55" s="71">
        <v>10</v>
      </c>
      <c r="E55" s="70">
        <v>0</v>
      </c>
    </row>
    <row r="56" spans="2:5" ht="15" customHeight="1">
      <c r="B56" s="112"/>
      <c r="C56" s="61" t="s">
        <v>292</v>
      </c>
      <c r="D56" s="71">
        <v>48</v>
      </c>
      <c r="E56" s="70">
        <v>2E-3</v>
      </c>
    </row>
    <row r="57" spans="2:5" ht="15" customHeight="1">
      <c r="B57" s="112"/>
      <c r="C57" s="61" t="s">
        <v>211</v>
      </c>
      <c r="D57" s="71">
        <v>82</v>
      </c>
      <c r="E57" s="70">
        <v>3.0000000000000001E-3</v>
      </c>
    </row>
    <row r="58" spans="2:5" ht="15" customHeight="1">
      <c r="B58" s="112"/>
      <c r="C58" s="61" t="s">
        <v>293</v>
      </c>
      <c r="D58" s="71">
        <v>9</v>
      </c>
      <c r="E58" s="70">
        <v>0</v>
      </c>
    </row>
    <row r="59" spans="2:5" ht="15" customHeight="1">
      <c r="B59" s="112"/>
      <c r="C59" s="61" t="s">
        <v>294</v>
      </c>
      <c r="D59" s="71">
        <v>13</v>
      </c>
      <c r="E59" s="70">
        <v>0</v>
      </c>
    </row>
    <row r="60" spans="2:5" ht="15" customHeight="1">
      <c r="B60" s="112"/>
      <c r="C60" s="61" t="s">
        <v>295</v>
      </c>
      <c r="D60" s="71">
        <v>23</v>
      </c>
      <c r="E60" s="70">
        <v>1E-3</v>
      </c>
    </row>
    <row r="61" spans="2:5" ht="15" customHeight="1">
      <c r="B61" s="112"/>
      <c r="C61" s="61" t="s">
        <v>215</v>
      </c>
      <c r="D61" s="71">
        <v>169</v>
      </c>
      <c r="E61" s="70">
        <v>6.0000000000000001E-3</v>
      </c>
    </row>
    <row r="62" spans="2:5" ht="15" customHeight="1">
      <c r="B62" s="112"/>
      <c r="C62" s="61" t="s">
        <v>216</v>
      </c>
      <c r="D62" s="71">
        <v>5</v>
      </c>
      <c r="E62" s="70">
        <v>0</v>
      </c>
    </row>
    <row r="63" spans="2:5" ht="15" customHeight="1">
      <c r="B63" s="112"/>
      <c r="C63" s="61" t="s">
        <v>217</v>
      </c>
      <c r="D63" s="71">
        <v>28</v>
      </c>
      <c r="E63" s="70">
        <v>1E-3</v>
      </c>
    </row>
    <row r="64" spans="2:5" ht="15" customHeight="1">
      <c r="B64" s="112"/>
      <c r="C64" s="61" t="s">
        <v>218</v>
      </c>
      <c r="D64" s="71">
        <v>89</v>
      </c>
      <c r="E64" s="70">
        <v>3.0000000000000001E-3</v>
      </c>
    </row>
    <row r="65" spans="2:5" ht="15" customHeight="1">
      <c r="B65" s="112"/>
      <c r="C65" s="61" t="s">
        <v>296</v>
      </c>
      <c r="D65" s="71">
        <v>2</v>
      </c>
      <c r="E65" s="70">
        <v>0</v>
      </c>
    </row>
    <row r="66" spans="2:5" ht="15" customHeight="1">
      <c r="B66" s="112"/>
      <c r="C66" s="61" t="s">
        <v>297</v>
      </c>
      <c r="D66" s="71">
        <v>4</v>
      </c>
      <c r="E66" s="70">
        <v>0</v>
      </c>
    </row>
    <row r="67" spans="2:5" ht="15" customHeight="1">
      <c r="B67" s="112"/>
      <c r="C67" s="61" t="s">
        <v>298</v>
      </c>
      <c r="D67" s="71">
        <v>3</v>
      </c>
      <c r="E67" s="70">
        <v>0</v>
      </c>
    </row>
    <row r="68" spans="2:5" ht="15" customHeight="1">
      <c r="B68" s="112"/>
      <c r="C68" s="61" t="s">
        <v>223</v>
      </c>
      <c r="D68" s="71">
        <v>8</v>
      </c>
      <c r="E68" s="70">
        <v>0</v>
      </c>
    </row>
    <row r="69" spans="2:5" ht="15" customHeight="1">
      <c r="B69" s="112"/>
      <c r="C69" s="61" t="s">
        <v>224</v>
      </c>
      <c r="D69" s="71">
        <v>12</v>
      </c>
      <c r="E69" s="70">
        <v>0</v>
      </c>
    </row>
    <row r="70" spans="2:5" ht="15" customHeight="1">
      <c r="B70" s="112"/>
      <c r="C70" s="61" t="s">
        <v>225</v>
      </c>
      <c r="D70" s="71">
        <v>3</v>
      </c>
      <c r="E70" s="70">
        <v>0</v>
      </c>
    </row>
    <row r="71" spans="2:5" ht="15" customHeight="1">
      <c r="B71" s="112"/>
      <c r="C71" s="74" t="s">
        <v>309</v>
      </c>
      <c r="D71" s="77">
        <v>544</v>
      </c>
      <c r="E71" s="75">
        <v>0.02</v>
      </c>
    </row>
    <row r="72" spans="2:5" ht="15" customHeight="1">
      <c r="B72" s="112" t="s">
        <v>67</v>
      </c>
      <c r="C72" s="61" t="s">
        <v>204</v>
      </c>
      <c r="D72" s="71">
        <v>3</v>
      </c>
      <c r="E72" s="70">
        <v>0</v>
      </c>
    </row>
    <row r="73" spans="2:5" ht="15" customHeight="1">
      <c r="B73" s="112"/>
      <c r="C73" s="61" t="s">
        <v>287</v>
      </c>
      <c r="D73" s="71">
        <v>3</v>
      </c>
      <c r="E73" s="70">
        <v>0</v>
      </c>
    </row>
    <row r="74" spans="2:5" ht="15" customHeight="1">
      <c r="B74" s="112"/>
      <c r="C74" s="61" t="s">
        <v>288</v>
      </c>
      <c r="D74" s="71">
        <v>2</v>
      </c>
      <c r="E74" s="70">
        <v>0</v>
      </c>
    </row>
    <row r="75" spans="2:5" ht="15" customHeight="1">
      <c r="B75" s="112"/>
      <c r="C75" s="61" t="s">
        <v>289</v>
      </c>
      <c r="D75" s="71">
        <v>4</v>
      </c>
      <c r="E75" s="70">
        <v>0</v>
      </c>
    </row>
    <row r="76" spans="2:5" ht="15" customHeight="1">
      <c r="B76" s="112"/>
      <c r="C76" s="61" t="s">
        <v>290</v>
      </c>
      <c r="D76" s="71">
        <v>2</v>
      </c>
      <c r="E76" s="70">
        <v>0</v>
      </c>
    </row>
    <row r="77" spans="2:5" ht="15" customHeight="1">
      <c r="B77" s="112"/>
      <c r="C77" s="61" t="s">
        <v>291</v>
      </c>
      <c r="D77" s="71">
        <v>13</v>
      </c>
      <c r="E77" s="70">
        <v>0</v>
      </c>
    </row>
    <row r="78" spans="2:5" ht="15" customHeight="1">
      <c r="B78" s="112"/>
      <c r="C78" s="61" t="s">
        <v>292</v>
      </c>
      <c r="D78" s="71">
        <v>21</v>
      </c>
      <c r="E78" s="70">
        <v>1E-3</v>
      </c>
    </row>
    <row r="79" spans="2:5" ht="15" customHeight="1">
      <c r="B79" s="112"/>
      <c r="C79" s="61" t="s">
        <v>211</v>
      </c>
      <c r="D79" s="71">
        <v>50</v>
      </c>
      <c r="E79" s="70">
        <v>2E-3</v>
      </c>
    </row>
    <row r="80" spans="2:5" ht="15" customHeight="1">
      <c r="B80" s="112"/>
      <c r="C80" s="61" t="s">
        <v>293</v>
      </c>
      <c r="D80" s="71">
        <v>5</v>
      </c>
      <c r="E80" s="70">
        <v>0</v>
      </c>
    </row>
    <row r="81" spans="2:5" ht="15" customHeight="1">
      <c r="B81" s="112"/>
      <c r="C81" s="61" t="s">
        <v>294</v>
      </c>
      <c r="D81" s="71">
        <v>6</v>
      </c>
      <c r="E81" s="70">
        <v>0</v>
      </c>
    </row>
    <row r="82" spans="2:5" ht="15" customHeight="1">
      <c r="B82" s="112"/>
      <c r="C82" s="61" t="s">
        <v>295</v>
      </c>
      <c r="D82" s="71">
        <v>11</v>
      </c>
      <c r="E82" s="70">
        <v>0</v>
      </c>
    </row>
    <row r="83" spans="2:5" ht="15" customHeight="1">
      <c r="B83" s="112"/>
      <c r="C83" s="61" t="s">
        <v>215</v>
      </c>
      <c r="D83" s="71">
        <v>77</v>
      </c>
      <c r="E83" s="70">
        <v>3.0000000000000001E-3</v>
      </c>
    </row>
    <row r="84" spans="2:5" ht="15" customHeight="1">
      <c r="B84" s="112"/>
      <c r="C84" s="61" t="s">
        <v>216</v>
      </c>
      <c r="D84" s="71">
        <v>1</v>
      </c>
      <c r="E84" s="70">
        <v>0</v>
      </c>
    </row>
    <row r="85" spans="2:5" ht="15" customHeight="1">
      <c r="B85" s="112"/>
      <c r="C85" s="61" t="s">
        <v>217</v>
      </c>
      <c r="D85" s="71">
        <v>16</v>
      </c>
      <c r="E85" s="70">
        <v>1E-3</v>
      </c>
    </row>
    <row r="86" spans="2:5" ht="15" customHeight="1">
      <c r="B86" s="112"/>
      <c r="C86" s="61" t="s">
        <v>218</v>
      </c>
      <c r="D86" s="71">
        <v>61</v>
      </c>
      <c r="E86" s="70">
        <v>2E-3</v>
      </c>
    </row>
    <row r="87" spans="2:5" ht="15" customHeight="1">
      <c r="B87" s="112"/>
      <c r="C87" s="61" t="s">
        <v>297</v>
      </c>
      <c r="D87" s="71">
        <v>1</v>
      </c>
      <c r="E87" s="70">
        <v>0</v>
      </c>
    </row>
    <row r="88" spans="2:5" ht="15" customHeight="1">
      <c r="B88" s="112"/>
      <c r="C88" s="61" t="s">
        <v>223</v>
      </c>
      <c r="D88" s="71">
        <v>3</v>
      </c>
      <c r="E88" s="70">
        <v>0</v>
      </c>
    </row>
    <row r="89" spans="2:5" ht="15" customHeight="1">
      <c r="B89" s="112"/>
      <c r="C89" s="61" t="s">
        <v>224</v>
      </c>
      <c r="D89" s="71">
        <v>6</v>
      </c>
      <c r="E89" s="70">
        <v>0</v>
      </c>
    </row>
    <row r="90" spans="2:5" ht="15" customHeight="1">
      <c r="B90" s="112"/>
      <c r="C90" s="74" t="s">
        <v>309</v>
      </c>
      <c r="D90" s="77">
        <v>285</v>
      </c>
      <c r="E90" s="75">
        <v>0.01</v>
      </c>
    </row>
    <row r="91" spans="2:5" ht="15" customHeight="1">
      <c r="B91" s="112" t="s">
        <v>86</v>
      </c>
      <c r="C91" s="61" t="s">
        <v>291</v>
      </c>
      <c r="D91" s="71">
        <v>1</v>
      </c>
      <c r="E91" s="70">
        <v>0</v>
      </c>
    </row>
    <row r="92" spans="2:5" ht="15" customHeight="1">
      <c r="B92" s="112"/>
      <c r="C92" s="61" t="s">
        <v>211</v>
      </c>
      <c r="D92" s="71">
        <v>3</v>
      </c>
      <c r="E92" s="70">
        <v>0</v>
      </c>
    </row>
    <row r="93" spans="2:5" ht="15" customHeight="1">
      <c r="B93" s="112"/>
      <c r="C93" s="61" t="s">
        <v>215</v>
      </c>
      <c r="D93" s="71">
        <v>4</v>
      </c>
      <c r="E93" s="70">
        <v>0</v>
      </c>
    </row>
    <row r="94" spans="2:5" ht="15" customHeight="1">
      <c r="B94" s="112"/>
      <c r="C94" s="61" t="s">
        <v>217</v>
      </c>
      <c r="D94" s="71">
        <v>1</v>
      </c>
      <c r="E94" s="70">
        <v>0</v>
      </c>
    </row>
    <row r="95" spans="2:5" ht="15" customHeight="1">
      <c r="B95" s="112"/>
      <c r="C95" s="61" t="s">
        <v>218</v>
      </c>
      <c r="D95" s="71">
        <v>5</v>
      </c>
      <c r="E95" s="70">
        <v>0</v>
      </c>
    </row>
    <row r="96" spans="2:5" ht="15" customHeight="1">
      <c r="B96" s="112"/>
      <c r="C96" s="61" t="s">
        <v>224</v>
      </c>
      <c r="D96" s="71">
        <v>2</v>
      </c>
      <c r="E96" s="70">
        <v>0</v>
      </c>
    </row>
    <row r="97" spans="2:5" ht="15" customHeight="1">
      <c r="B97" s="112"/>
      <c r="C97" s="74" t="s">
        <v>309</v>
      </c>
      <c r="D97" s="77">
        <v>16</v>
      </c>
      <c r="E97" s="75">
        <v>1E-3</v>
      </c>
    </row>
    <row r="98" spans="2:5" ht="15" customHeight="1">
      <c r="B98" s="112" t="s">
        <v>85</v>
      </c>
      <c r="C98" s="61" t="s">
        <v>204</v>
      </c>
      <c r="D98" s="71">
        <v>1</v>
      </c>
      <c r="E98" s="70">
        <v>0</v>
      </c>
    </row>
    <row r="99" spans="2:5" ht="15" customHeight="1">
      <c r="B99" s="112"/>
      <c r="C99" s="61" t="s">
        <v>288</v>
      </c>
      <c r="D99" s="71">
        <v>1</v>
      </c>
      <c r="E99" s="70">
        <v>0</v>
      </c>
    </row>
    <row r="100" spans="2:5" ht="15" customHeight="1">
      <c r="B100" s="112"/>
      <c r="C100" s="61" t="s">
        <v>289</v>
      </c>
      <c r="D100" s="71">
        <v>5</v>
      </c>
      <c r="E100" s="70">
        <v>0</v>
      </c>
    </row>
    <row r="101" spans="2:5" ht="15" customHeight="1">
      <c r="B101" s="112"/>
      <c r="C101" s="61" t="s">
        <v>291</v>
      </c>
      <c r="D101" s="71">
        <v>2</v>
      </c>
      <c r="E101" s="70">
        <v>0</v>
      </c>
    </row>
    <row r="102" spans="2:5" ht="15" customHeight="1">
      <c r="B102" s="112"/>
      <c r="C102" s="61" t="s">
        <v>292</v>
      </c>
      <c r="D102" s="71">
        <v>4</v>
      </c>
      <c r="E102" s="70">
        <v>0</v>
      </c>
    </row>
    <row r="103" spans="2:5" ht="15" customHeight="1">
      <c r="B103" s="112"/>
      <c r="C103" s="61" t="s">
        <v>211</v>
      </c>
      <c r="D103" s="71">
        <v>4</v>
      </c>
      <c r="E103" s="70">
        <v>0</v>
      </c>
    </row>
    <row r="104" spans="2:5" ht="15" customHeight="1">
      <c r="B104" s="112"/>
      <c r="C104" s="61" t="s">
        <v>293</v>
      </c>
      <c r="D104" s="71">
        <v>1</v>
      </c>
      <c r="E104" s="70">
        <v>0</v>
      </c>
    </row>
    <row r="105" spans="2:5" ht="15" customHeight="1">
      <c r="B105" s="112"/>
      <c r="C105" s="61" t="s">
        <v>294</v>
      </c>
      <c r="D105" s="71">
        <v>1</v>
      </c>
      <c r="E105" s="70">
        <v>0</v>
      </c>
    </row>
    <row r="106" spans="2:5" ht="15" customHeight="1">
      <c r="B106" s="112"/>
      <c r="C106" s="61" t="s">
        <v>215</v>
      </c>
      <c r="D106" s="71">
        <v>15</v>
      </c>
      <c r="E106" s="70">
        <v>1E-3</v>
      </c>
    </row>
    <row r="107" spans="2:5" ht="15" customHeight="1">
      <c r="B107" s="112"/>
      <c r="C107" s="61" t="s">
        <v>216</v>
      </c>
      <c r="D107" s="71">
        <v>2</v>
      </c>
      <c r="E107" s="70">
        <v>0</v>
      </c>
    </row>
    <row r="108" spans="2:5" ht="15" customHeight="1">
      <c r="B108" s="112"/>
      <c r="C108" s="61" t="s">
        <v>217</v>
      </c>
      <c r="D108" s="71">
        <v>2</v>
      </c>
      <c r="E108" s="70">
        <v>0</v>
      </c>
    </row>
    <row r="109" spans="2:5" ht="15" customHeight="1">
      <c r="B109" s="112"/>
      <c r="C109" s="61" t="s">
        <v>218</v>
      </c>
      <c r="D109" s="71">
        <v>4</v>
      </c>
      <c r="E109" s="70">
        <v>0</v>
      </c>
    </row>
    <row r="110" spans="2:5" ht="15" customHeight="1">
      <c r="B110" s="112"/>
      <c r="C110" s="61" t="s">
        <v>223</v>
      </c>
      <c r="D110" s="71">
        <v>1</v>
      </c>
      <c r="E110" s="70">
        <v>0</v>
      </c>
    </row>
    <row r="111" spans="2:5" ht="15" customHeight="1">
      <c r="B111" s="112"/>
      <c r="C111" s="74" t="s">
        <v>309</v>
      </c>
      <c r="D111" s="77">
        <v>43</v>
      </c>
      <c r="E111" s="75">
        <v>2E-3</v>
      </c>
    </row>
    <row r="112" spans="2:5" ht="15" customHeight="1">
      <c r="B112" s="112" t="s">
        <v>92</v>
      </c>
      <c r="C112" s="61" t="s">
        <v>289</v>
      </c>
      <c r="D112" s="71">
        <v>1</v>
      </c>
      <c r="E112" s="70">
        <v>0</v>
      </c>
    </row>
    <row r="113" spans="2:5" ht="15" customHeight="1">
      <c r="B113" s="112"/>
      <c r="C113" s="61" t="s">
        <v>292</v>
      </c>
      <c r="D113" s="71">
        <v>1</v>
      </c>
      <c r="E113" s="70">
        <v>0</v>
      </c>
    </row>
    <row r="114" spans="2:5" ht="15" customHeight="1">
      <c r="B114" s="112"/>
      <c r="C114" s="61" t="s">
        <v>215</v>
      </c>
      <c r="D114" s="71">
        <v>1</v>
      </c>
      <c r="E114" s="70">
        <v>0</v>
      </c>
    </row>
    <row r="115" spans="2:5" ht="15" customHeight="1">
      <c r="B115" s="112"/>
      <c r="C115" s="61" t="s">
        <v>216</v>
      </c>
      <c r="D115" s="71">
        <v>1</v>
      </c>
      <c r="E115" s="70">
        <v>0</v>
      </c>
    </row>
    <row r="116" spans="2:5" ht="15" customHeight="1">
      <c r="B116" s="112"/>
      <c r="C116" s="61" t="s">
        <v>218</v>
      </c>
      <c r="D116" s="71">
        <v>3</v>
      </c>
      <c r="E116" s="70">
        <v>0</v>
      </c>
    </row>
    <row r="117" spans="2:5" ht="15" customHeight="1">
      <c r="B117" s="112"/>
      <c r="C117" s="61" t="s">
        <v>224</v>
      </c>
      <c r="D117" s="71">
        <v>1</v>
      </c>
      <c r="E117" s="70">
        <v>0</v>
      </c>
    </row>
    <row r="118" spans="2:5" ht="15" customHeight="1">
      <c r="B118" s="112"/>
      <c r="C118" s="88" t="s">
        <v>309</v>
      </c>
      <c r="D118" s="89">
        <v>8</v>
      </c>
      <c r="E118" s="90">
        <v>0</v>
      </c>
    </row>
    <row r="119" spans="2:5" ht="15" customHeight="1">
      <c r="B119" s="112" t="s">
        <v>46</v>
      </c>
      <c r="C119" s="61" t="s">
        <v>204</v>
      </c>
      <c r="D119" s="71">
        <v>20</v>
      </c>
      <c r="E119" s="70">
        <v>1E-3</v>
      </c>
    </row>
    <row r="120" spans="2:5" ht="15" customHeight="1">
      <c r="B120" s="112"/>
      <c r="C120" s="61" t="s">
        <v>287</v>
      </c>
      <c r="D120" s="71">
        <v>7</v>
      </c>
      <c r="E120" s="70">
        <v>0</v>
      </c>
    </row>
    <row r="121" spans="2:5" ht="15" customHeight="1">
      <c r="B121" s="112"/>
      <c r="C121" s="61" t="s">
        <v>288</v>
      </c>
      <c r="D121" s="71">
        <v>12</v>
      </c>
      <c r="E121" s="70">
        <v>0</v>
      </c>
    </row>
    <row r="122" spans="2:5" ht="15" customHeight="1">
      <c r="B122" s="112"/>
      <c r="C122" s="61" t="s">
        <v>289</v>
      </c>
      <c r="D122" s="71">
        <v>34</v>
      </c>
      <c r="E122" s="70">
        <v>1E-3</v>
      </c>
    </row>
    <row r="123" spans="2:5" ht="15" customHeight="1">
      <c r="B123" s="112"/>
      <c r="C123" s="61" t="s">
        <v>290</v>
      </c>
      <c r="D123" s="71">
        <v>21</v>
      </c>
      <c r="E123" s="70">
        <v>1E-3</v>
      </c>
    </row>
    <row r="124" spans="2:5" ht="15" customHeight="1">
      <c r="B124" s="112"/>
      <c r="C124" s="61" t="s">
        <v>291</v>
      </c>
      <c r="D124" s="71">
        <v>36</v>
      </c>
      <c r="E124" s="70">
        <v>1E-3</v>
      </c>
    </row>
    <row r="125" spans="2:5" ht="15" customHeight="1">
      <c r="B125" s="112"/>
      <c r="C125" s="61" t="s">
        <v>292</v>
      </c>
      <c r="D125" s="71">
        <v>168</v>
      </c>
      <c r="E125" s="70">
        <v>6.0000000000000001E-3</v>
      </c>
    </row>
    <row r="126" spans="2:5" ht="15" customHeight="1">
      <c r="B126" s="112"/>
      <c r="C126" s="61" t="s">
        <v>211</v>
      </c>
      <c r="D126" s="71">
        <v>652</v>
      </c>
      <c r="E126" s="70">
        <v>2.4E-2</v>
      </c>
    </row>
    <row r="127" spans="2:5" ht="15" customHeight="1">
      <c r="B127" s="112"/>
      <c r="C127" s="61" t="s">
        <v>293</v>
      </c>
      <c r="D127" s="71">
        <v>16</v>
      </c>
      <c r="E127" s="70">
        <v>1E-3</v>
      </c>
    </row>
    <row r="128" spans="2:5" ht="15" customHeight="1">
      <c r="B128" s="112"/>
      <c r="C128" s="61" t="s">
        <v>294</v>
      </c>
      <c r="D128" s="71">
        <v>38</v>
      </c>
      <c r="E128" s="70">
        <v>1E-3</v>
      </c>
    </row>
    <row r="129" spans="2:5" ht="15" customHeight="1">
      <c r="B129" s="112"/>
      <c r="C129" s="61" t="s">
        <v>295</v>
      </c>
      <c r="D129" s="71">
        <v>75</v>
      </c>
      <c r="E129" s="70">
        <v>3.0000000000000001E-3</v>
      </c>
    </row>
    <row r="130" spans="2:5" ht="15" customHeight="1">
      <c r="B130" s="112"/>
      <c r="C130" s="61" t="s">
        <v>215</v>
      </c>
      <c r="D130" s="69">
        <v>1018</v>
      </c>
      <c r="E130" s="70">
        <v>3.6999999999999998E-2</v>
      </c>
    </row>
    <row r="131" spans="2:5" ht="15" customHeight="1">
      <c r="B131" s="112"/>
      <c r="C131" s="61" t="s">
        <v>216</v>
      </c>
      <c r="D131" s="71">
        <v>25</v>
      </c>
      <c r="E131" s="70">
        <v>1E-3</v>
      </c>
    </row>
    <row r="132" spans="2:5" ht="15" customHeight="1">
      <c r="B132" s="112"/>
      <c r="C132" s="61" t="s">
        <v>217</v>
      </c>
      <c r="D132" s="71">
        <v>115</v>
      </c>
      <c r="E132" s="70">
        <v>4.0000000000000001E-3</v>
      </c>
    </row>
    <row r="133" spans="2:5" ht="15" customHeight="1">
      <c r="B133" s="112"/>
      <c r="C133" s="61" t="s">
        <v>218</v>
      </c>
      <c r="D133" s="71">
        <v>428</v>
      </c>
      <c r="E133" s="70">
        <v>1.6E-2</v>
      </c>
    </row>
    <row r="134" spans="2:5" ht="15" customHeight="1">
      <c r="B134" s="112"/>
      <c r="C134" s="61" t="s">
        <v>296</v>
      </c>
      <c r="D134" s="71">
        <v>4</v>
      </c>
      <c r="E134" s="70">
        <v>0</v>
      </c>
    </row>
    <row r="135" spans="2:5" ht="15" customHeight="1">
      <c r="B135" s="112"/>
      <c r="C135" s="61" t="s">
        <v>297</v>
      </c>
      <c r="D135" s="71">
        <v>3</v>
      </c>
      <c r="E135" s="70">
        <v>0</v>
      </c>
    </row>
    <row r="136" spans="2:5" ht="15" customHeight="1">
      <c r="B136" s="112"/>
      <c r="C136" s="61" t="s">
        <v>298</v>
      </c>
      <c r="D136" s="71">
        <v>2</v>
      </c>
      <c r="E136" s="70">
        <v>0</v>
      </c>
    </row>
    <row r="137" spans="2:5" ht="15" customHeight="1">
      <c r="B137" s="112"/>
      <c r="C137" s="61" t="s">
        <v>299</v>
      </c>
      <c r="D137" s="71">
        <v>1</v>
      </c>
      <c r="E137" s="70">
        <v>0</v>
      </c>
    </row>
    <row r="138" spans="2:5" ht="15" customHeight="1">
      <c r="B138" s="112"/>
      <c r="C138" s="61" t="s">
        <v>223</v>
      </c>
      <c r="D138" s="71">
        <v>24</v>
      </c>
      <c r="E138" s="70">
        <v>1E-3</v>
      </c>
    </row>
    <row r="139" spans="2:5" ht="15" customHeight="1">
      <c r="B139" s="112"/>
      <c r="C139" s="61" t="s">
        <v>224</v>
      </c>
      <c r="D139" s="71">
        <v>87</v>
      </c>
      <c r="E139" s="70">
        <v>3.0000000000000001E-3</v>
      </c>
    </row>
    <row r="140" spans="2:5" ht="15" customHeight="1">
      <c r="B140" s="112"/>
      <c r="C140" s="61" t="s">
        <v>225</v>
      </c>
      <c r="D140" s="71">
        <v>6</v>
      </c>
      <c r="E140" s="70">
        <v>0</v>
      </c>
    </row>
    <row r="141" spans="2:5" ht="15" customHeight="1">
      <c r="B141" s="112"/>
      <c r="C141" s="74" t="s">
        <v>309</v>
      </c>
      <c r="D141" s="59">
        <v>2792</v>
      </c>
      <c r="E141" s="75">
        <v>0.10299999999999999</v>
      </c>
    </row>
    <row r="142" spans="2:5" ht="15" customHeight="1">
      <c r="B142" s="112" t="s">
        <v>45</v>
      </c>
      <c r="C142" s="61" t="s">
        <v>204</v>
      </c>
      <c r="D142" s="71">
        <v>39</v>
      </c>
      <c r="E142" s="70">
        <v>1E-3</v>
      </c>
    </row>
    <row r="143" spans="2:5" ht="15" customHeight="1">
      <c r="B143" s="112"/>
      <c r="C143" s="61" t="s">
        <v>287</v>
      </c>
      <c r="D143" s="71">
        <v>19</v>
      </c>
      <c r="E143" s="70">
        <v>1E-3</v>
      </c>
    </row>
    <row r="144" spans="2:5" ht="15" customHeight="1">
      <c r="B144" s="112"/>
      <c r="C144" s="61" t="s">
        <v>288</v>
      </c>
      <c r="D144" s="71">
        <v>40</v>
      </c>
      <c r="E144" s="70">
        <v>1E-3</v>
      </c>
    </row>
    <row r="145" spans="2:5" ht="15" customHeight="1">
      <c r="B145" s="112"/>
      <c r="C145" s="61" t="s">
        <v>289</v>
      </c>
      <c r="D145" s="71">
        <v>74</v>
      </c>
      <c r="E145" s="70">
        <v>3.0000000000000001E-3</v>
      </c>
    </row>
    <row r="146" spans="2:5" ht="15" customHeight="1">
      <c r="B146" s="112"/>
      <c r="C146" s="61" t="s">
        <v>290</v>
      </c>
      <c r="D146" s="71">
        <v>60</v>
      </c>
      <c r="E146" s="70">
        <v>2E-3</v>
      </c>
    </row>
    <row r="147" spans="2:5" ht="15" customHeight="1">
      <c r="B147" s="112"/>
      <c r="C147" s="61" t="s">
        <v>291</v>
      </c>
      <c r="D147" s="71">
        <v>59</v>
      </c>
      <c r="E147" s="70">
        <v>2E-3</v>
      </c>
    </row>
    <row r="148" spans="2:5" ht="15" customHeight="1">
      <c r="B148" s="112"/>
      <c r="C148" s="61" t="s">
        <v>292</v>
      </c>
      <c r="D148" s="71">
        <v>413</v>
      </c>
      <c r="E148" s="70">
        <v>1.4999999999999999E-2</v>
      </c>
    </row>
    <row r="149" spans="2:5" ht="15" customHeight="1">
      <c r="B149" s="112"/>
      <c r="C149" s="61" t="s">
        <v>211</v>
      </c>
      <c r="D149" s="71">
        <v>577</v>
      </c>
      <c r="E149" s="70">
        <v>2.1000000000000001E-2</v>
      </c>
    </row>
    <row r="150" spans="2:5" ht="15" customHeight="1">
      <c r="B150" s="112"/>
      <c r="C150" s="61" t="s">
        <v>293</v>
      </c>
      <c r="D150" s="71">
        <v>42</v>
      </c>
      <c r="E150" s="70">
        <v>2E-3</v>
      </c>
    </row>
    <row r="151" spans="2:5" ht="15" customHeight="1">
      <c r="B151" s="112"/>
      <c r="C151" s="61" t="s">
        <v>294</v>
      </c>
      <c r="D151" s="71">
        <v>96</v>
      </c>
      <c r="E151" s="70">
        <v>4.0000000000000001E-3</v>
      </c>
    </row>
    <row r="152" spans="2:5" ht="15" customHeight="1">
      <c r="B152" s="112"/>
      <c r="C152" s="61" t="s">
        <v>295</v>
      </c>
      <c r="D152" s="71">
        <v>233</v>
      </c>
      <c r="E152" s="70">
        <v>8.9999999999999993E-3</v>
      </c>
    </row>
    <row r="153" spans="2:5" ht="15" customHeight="1">
      <c r="B153" s="112"/>
      <c r="C153" s="61" t="s">
        <v>215</v>
      </c>
      <c r="D153" s="69">
        <v>1711</v>
      </c>
      <c r="E153" s="70">
        <v>6.3E-2</v>
      </c>
    </row>
    <row r="154" spans="2:5" ht="15" customHeight="1">
      <c r="B154" s="112"/>
      <c r="C154" s="61" t="s">
        <v>216</v>
      </c>
      <c r="D154" s="71">
        <v>53</v>
      </c>
      <c r="E154" s="70">
        <v>2E-3</v>
      </c>
    </row>
    <row r="155" spans="2:5" ht="15" customHeight="1">
      <c r="B155" s="112"/>
      <c r="C155" s="61" t="s">
        <v>217</v>
      </c>
      <c r="D155" s="71">
        <v>191</v>
      </c>
      <c r="E155" s="70">
        <v>7.0000000000000001E-3</v>
      </c>
    </row>
    <row r="156" spans="2:5" ht="15" customHeight="1">
      <c r="B156" s="112"/>
      <c r="C156" s="61" t="s">
        <v>218</v>
      </c>
      <c r="D156" s="71">
        <v>903</v>
      </c>
      <c r="E156" s="70">
        <v>3.3000000000000002E-2</v>
      </c>
    </row>
    <row r="157" spans="2:5" ht="15" customHeight="1">
      <c r="B157" s="112"/>
      <c r="C157" s="61" t="s">
        <v>296</v>
      </c>
      <c r="D157" s="71">
        <v>8</v>
      </c>
      <c r="E157" s="70">
        <v>0</v>
      </c>
    </row>
    <row r="158" spans="2:5" ht="15" customHeight="1">
      <c r="B158" s="112"/>
      <c r="C158" s="61" t="s">
        <v>297</v>
      </c>
      <c r="D158" s="71">
        <v>12</v>
      </c>
      <c r="E158" s="70">
        <v>0</v>
      </c>
    </row>
    <row r="159" spans="2:5" ht="15" customHeight="1">
      <c r="B159" s="112"/>
      <c r="C159" s="61" t="s">
        <v>298</v>
      </c>
      <c r="D159" s="71">
        <v>3</v>
      </c>
      <c r="E159" s="70">
        <v>0</v>
      </c>
    </row>
    <row r="160" spans="2:5" ht="15" customHeight="1">
      <c r="B160" s="112"/>
      <c r="C160" s="61" t="s">
        <v>299</v>
      </c>
      <c r="D160" s="71">
        <v>6</v>
      </c>
      <c r="E160" s="70">
        <v>0</v>
      </c>
    </row>
    <row r="161" spans="2:5" ht="15" customHeight="1">
      <c r="B161" s="112"/>
      <c r="C161" s="61" t="s">
        <v>223</v>
      </c>
      <c r="D161" s="71">
        <v>34</v>
      </c>
      <c r="E161" s="70">
        <v>1E-3</v>
      </c>
    </row>
    <row r="162" spans="2:5" ht="15" customHeight="1">
      <c r="B162" s="112"/>
      <c r="C162" s="61" t="s">
        <v>224</v>
      </c>
      <c r="D162" s="71">
        <v>95</v>
      </c>
      <c r="E162" s="70">
        <v>3.0000000000000001E-3</v>
      </c>
    </row>
    <row r="163" spans="2:5" ht="15" customHeight="1">
      <c r="B163" s="112"/>
      <c r="C163" s="61" t="s">
        <v>225</v>
      </c>
      <c r="D163" s="71">
        <v>3</v>
      </c>
      <c r="E163" s="70">
        <v>0</v>
      </c>
    </row>
    <row r="164" spans="2:5" ht="15" customHeight="1">
      <c r="B164" s="112"/>
      <c r="C164" s="61" t="s">
        <v>226</v>
      </c>
      <c r="D164" s="71">
        <v>4</v>
      </c>
      <c r="E164" s="70">
        <v>0</v>
      </c>
    </row>
    <row r="165" spans="2:5" ht="15" customHeight="1">
      <c r="B165" s="112"/>
      <c r="C165" s="61" t="s">
        <v>227</v>
      </c>
      <c r="D165" s="71">
        <v>1</v>
      </c>
      <c r="E165" s="70">
        <v>0</v>
      </c>
    </row>
    <row r="166" spans="2:5" ht="15" customHeight="1">
      <c r="B166" s="112"/>
      <c r="C166" s="74" t="s">
        <v>309</v>
      </c>
      <c r="D166" s="59">
        <v>4676</v>
      </c>
      <c r="E166" s="75">
        <v>0.17199999999999999</v>
      </c>
    </row>
    <row r="167" spans="2:5" ht="15" customHeight="1">
      <c r="B167" s="112" t="s">
        <v>89</v>
      </c>
      <c r="C167" s="61" t="s">
        <v>211</v>
      </c>
      <c r="D167" s="71">
        <v>3</v>
      </c>
      <c r="E167" s="70">
        <v>0</v>
      </c>
    </row>
    <row r="168" spans="2:5" ht="15" customHeight="1">
      <c r="B168" s="112"/>
      <c r="C168" s="61" t="s">
        <v>215</v>
      </c>
      <c r="D168" s="71">
        <v>9</v>
      </c>
      <c r="E168" s="70">
        <v>0</v>
      </c>
    </row>
    <row r="169" spans="2:5" ht="15" customHeight="1">
      <c r="B169" s="112"/>
      <c r="C169" s="61" t="s">
        <v>218</v>
      </c>
      <c r="D169" s="71">
        <v>2</v>
      </c>
      <c r="E169" s="70">
        <v>0</v>
      </c>
    </row>
    <row r="170" spans="2:5" ht="15" customHeight="1">
      <c r="B170" s="112"/>
      <c r="C170" s="61" t="s">
        <v>224</v>
      </c>
      <c r="D170" s="71">
        <v>1</v>
      </c>
      <c r="E170" s="70">
        <v>0</v>
      </c>
    </row>
    <row r="171" spans="2:5" ht="15" customHeight="1">
      <c r="B171" s="112"/>
      <c r="C171" s="81" t="s">
        <v>309</v>
      </c>
      <c r="D171" s="77">
        <v>15</v>
      </c>
      <c r="E171" s="75">
        <v>1E-3</v>
      </c>
    </row>
    <row r="172" spans="2:5" ht="15" customHeight="1">
      <c r="B172" s="112" t="s">
        <v>50</v>
      </c>
      <c r="C172" s="61" t="s">
        <v>204</v>
      </c>
      <c r="D172" s="71">
        <v>12</v>
      </c>
      <c r="E172" s="70">
        <v>0</v>
      </c>
    </row>
    <row r="173" spans="2:5" ht="15" customHeight="1">
      <c r="B173" s="112"/>
      <c r="C173" s="61" t="s">
        <v>287</v>
      </c>
      <c r="D173" s="71">
        <v>11</v>
      </c>
      <c r="E173" s="70">
        <v>0</v>
      </c>
    </row>
    <row r="174" spans="2:5" ht="15" customHeight="1">
      <c r="B174" s="112"/>
      <c r="C174" s="61" t="s">
        <v>288</v>
      </c>
      <c r="D174" s="71">
        <v>5</v>
      </c>
      <c r="E174" s="70">
        <v>0</v>
      </c>
    </row>
    <row r="175" spans="2:5" ht="15" customHeight="1">
      <c r="B175" s="112"/>
      <c r="C175" s="61" t="s">
        <v>289</v>
      </c>
      <c r="D175" s="71">
        <v>26</v>
      </c>
      <c r="E175" s="70">
        <v>1E-3</v>
      </c>
    </row>
    <row r="176" spans="2:5" ht="15" customHeight="1">
      <c r="B176" s="112"/>
      <c r="C176" s="61" t="s">
        <v>290</v>
      </c>
      <c r="D176" s="71">
        <v>28</v>
      </c>
      <c r="E176" s="70">
        <v>1E-3</v>
      </c>
    </row>
    <row r="177" spans="2:5" ht="15" customHeight="1">
      <c r="B177" s="112"/>
      <c r="C177" s="61" t="s">
        <v>291</v>
      </c>
      <c r="D177" s="71">
        <v>45</v>
      </c>
      <c r="E177" s="70">
        <v>2E-3</v>
      </c>
    </row>
    <row r="178" spans="2:5" ht="15" customHeight="1">
      <c r="B178" s="112"/>
      <c r="C178" s="61" t="s">
        <v>292</v>
      </c>
      <c r="D178" s="71">
        <v>165</v>
      </c>
      <c r="E178" s="70">
        <v>6.0000000000000001E-3</v>
      </c>
    </row>
    <row r="179" spans="2:5" ht="15" customHeight="1">
      <c r="B179" s="112"/>
      <c r="C179" s="61" t="s">
        <v>211</v>
      </c>
      <c r="D179" s="71">
        <v>248</v>
      </c>
      <c r="E179" s="70">
        <v>8.9999999999999993E-3</v>
      </c>
    </row>
    <row r="180" spans="2:5" ht="15" customHeight="1">
      <c r="B180" s="112"/>
      <c r="C180" s="61" t="s">
        <v>293</v>
      </c>
      <c r="D180" s="71">
        <v>18</v>
      </c>
      <c r="E180" s="70">
        <v>1E-3</v>
      </c>
    </row>
    <row r="181" spans="2:5" ht="15" customHeight="1">
      <c r="B181" s="112"/>
      <c r="C181" s="61" t="s">
        <v>294</v>
      </c>
      <c r="D181" s="71">
        <v>45</v>
      </c>
      <c r="E181" s="70">
        <v>2E-3</v>
      </c>
    </row>
    <row r="182" spans="2:5" ht="15" customHeight="1">
      <c r="B182" s="112"/>
      <c r="C182" s="61" t="s">
        <v>295</v>
      </c>
      <c r="D182" s="71">
        <v>86</v>
      </c>
      <c r="E182" s="70">
        <v>3.0000000000000001E-3</v>
      </c>
    </row>
    <row r="183" spans="2:5" ht="15" customHeight="1">
      <c r="B183" s="112"/>
      <c r="C183" s="61" t="s">
        <v>215</v>
      </c>
      <c r="D183" s="71">
        <v>446</v>
      </c>
      <c r="E183" s="70">
        <v>1.6E-2</v>
      </c>
    </row>
    <row r="184" spans="2:5" ht="15" customHeight="1">
      <c r="B184" s="112"/>
      <c r="C184" s="61" t="s">
        <v>216</v>
      </c>
      <c r="D184" s="71">
        <v>10</v>
      </c>
      <c r="E184" s="70">
        <v>0</v>
      </c>
    </row>
    <row r="185" spans="2:5" ht="15" customHeight="1">
      <c r="B185" s="112"/>
      <c r="C185" s="61" t="s">
        <v>217</v>
      </c>
      <c r="D185" s="71">
        <v>62</v>
      </c>
      <c r="E185" s="70">
        <v>2E-3</v>
      </c>
    </row>
    <row r="186" spans="2:5" ht="15" customHeight="1">
      <c r="B186" s="112"/>
      <c r="C186" s="61" t="s">
        <v>218</v>
      </c>
      <c r="D186" s="71">
        <v>234</v>
      </c>
      <c r="E186" s="70">
        <v>8.9999999999999993E-3</v>
      </c>
    </row>
    <row r="187" spans="2:5" ht="15" customHeight="1">
      <c r="B187" s="112"/>
      <c r="C187" s="61" t="s">
        <v>297</v>
      </c>
      <c r="D187" s="71">
        <v>4</v>
      </c>
      <c r="E187" s="70">
        <v>0</v>
      </c>
    </row>
    <row r="188" spans="2:5" ht="15" customHeight="1">
      <c r="B188" s="112"/>
      <c r="C188" s="61" t="s">
        <v>298</v>
      </c>
      <c r="D188" s="71">
        <v>1</v>
      </c>
      <c r="E188" s="70">
        <v>0</v>
      </c>
    </row>
    <row r="189" spans="2:5" ht="15" customHeight="1">
      <c r="B189" s="112"/>
      <c r="C189" s="61" t="s">
        <v>223</v>
      </c>
      <c r="D189" s="71">
        <v>13</v>
      </c>
      <c r="E189" s="70">
        <v>0</v>
      </c>
    </row>
    <row r="190" spans="2:5" ht="15" customHeight="1">
      <c r="B190" s="112"/>
      <c r="C190" s="61" t="s">
        <v>224</v>
      </c>
      <c r="D190" s="71">
        <v>28</v>
      </c>
      <c r="E190" s="70">
        <v>1E-3</v>
      </c>
    </row>
    <row r="191" spans="2:5" ht="15" customHeight="1">
      <c r="B191" s="112"/>
      <c r="C191" s="88" t="s">
        <v>309</v>
      </c>
      <c r="D191" s="91">
        <v>1487</v>
      </c>
      <c r="E191" s="90">
        <v>5.5E-2</v>
      </c>
    </row>
    <row r="192" spans="2:5" ht="15" customHeight="1">
      <c r="B192" s="112" t="s">
        <v>60</v>
      </c>
      <c r="C192" s="61" t="s">
        <v>204</v>
      </c>
      <c r="D192" s="71">
        <v>9</v>
      </c>
      <c r="E192" s="70">
        <v>0</v>
      </c>
    </row>
    <row r="193" spans="2:5" ht="15" customHeight="1">
      <c r="B193" s="112"/>
      <c r="C193" s="61" t="s">
        <v>287</v>
      </c>
      <c r="D193" s="71">
        <v>2</v>
      </c>
      <c r="E193" s="70">
        <v>0</v>
      </c>
    </row>
    <row r="194" spans="2:5" ht="15" customHeight="1">
      <c r="B194" s="112"/>
      <c r="C194" s="61" t="s">
        <v>288</v>
      </c>
      <c r="D194" s="71">
        <v>6</v>
      </c>
      <c r="E194" s="70">
        <v>0</v>
      </c>
    </row>
    <row r="195" spans="2:5" ht="15" customHeight="1">
      <c r="B195" s="112"/>
      <c r="C195" s="61" t="s">
        <v>289</v>
      </c>
      <c r="D195" s="71">
        <v>10</v>
      </c>
      <c r="E195" s="70">
        <v>0</v>
      </c>
    </row>
    <row r="196" spans="2:5" ht="15" customHeight="1">
      <c r="B196" s="112"/>
      <c r="C196" s="61" t="s">
        <v>290</v>
      </c>
      <c r="D196" s="71">
        <v>6</v>
      </c>
      <c r="E196" s="70">
        <v>0</v>
      </c>
    </row>
    <row r="197" spans="2:5" ht="15" customHeight="1">
      <c r="B197" s="112"/>
      <c r="C197" s="61" t="s">
        <v>291</v>
      </c>
      <c r="D197" s="71">
        <v>12</v>
      </c>
      <c r="E197" s="70">
        <v>0</v>
      </c>
    </row>
    <row r="198" spans="2:5" ht="15" customHeight="1">
      <c r="B198" s="112"/>
      <c r="C198" s="61" t="s">
        <v>292</v>
      </c>
      <c r="D198" s="71">
        <v>56</v>
      </c>
      <c r="E198" s="70">
        <v>2E-3</v>
      </c>
    </row>
    <row r="199" spans="2:5" ht="15" customHeight="1">
      <c r="B199" s="112"/>
      <c r="C199" s="61" t="s">
        <v>211</v>
      </c>
      <c r="D199" s="71">
        <v>83</v>
      </c>
      <c r="E199" s="70">
        <v>3.0000000000000001E-3</v>
      </c>
    </row>
    <row r="200" spans="2:5" ht="15" customHeight="1">
      <c r="B200" s="112"/>
      <c r="C200" s="61" t="s">
        <v>293</v>
      </c>
      <c r="D200" s="71">
        <v>7</v>
      </c>
      <c r="E200" s="70">
        <v>0</v>
      </c>
    </row>
    <row r="201" spans="2:5" ht="15" customHeight="1">
      <c r="B201" s="112"/>
      <c r="C201" s="61" t="s">
        <v>294</v>
      </c>
      <c r="D201" s="71">
        <v>26</v>
      </c>
      <c r="E201" s="70">
        <v>1E-3</v>
      </c>
    </row>
    <row r="202" spans="2:5" ht="15" customHeight="1">
      <c r="B202" s="112"/>
      <c r="C202" s="61" t="s">
        <v>295</v>
      </c>
      <c r="D202" s="71">
        <v>35</v>
      </c>
      <c r="E202" s="70">
        <v>1E-3</v>
      </c>
    </row>
    <row r="203" spans="2:5" ht="15" customHeight="1">
      <c r="B203" s="112"/>
      <c r="C203" s="61" t="s">
        <v>215</v>
      </c>
      <c r="D203" s="71">
        <v>218</v>
      </c>
      <c r="E203" s="70">
        <v>8.0000000000000002E-3</v>
      </c>
    </row>
    <row r="204" spans="2:5" ht="15" customHeight="1">
      <c r="B204" s="112"/>
      <c r="C204" s="61" t="s">
        <v>216</v>
      </c>
      <c r="D204" s="71">
        <v>4</v>
      </c>
      <c r="E204" s="70">
        <v>0</v>
      </c>
    </row>
    <row r="205" spans="2:5" ht="15" customHeight="1">
      <c r="B205" s="112"/>
      <c r="C205" s="61" t="s">
        <v>217</v>
      </c>
      <c r="D205" s="71">
        <v>30</v>
      </c>
      <c r="E205" s="70">
        <v>1E-3</v>
      </c>
    </row>
    <row r="206" spans="2:5" ht="15" customHeight="1">
      <c r="B206" s="112"/>
      <c r="C206" s="61" t="s">
        <v>218</v>
      </c>
      <c r="D206" s="71">
        <v>108</v>
      </c>
      <c r="E206" s="70">
        <v>4.0000000000000001E-3</v>
      </c>
    </row>
    <row r="207" spans="2:5" ht="15" customHeight="1">
      <c r="B207" s="112"/>
      <c r="C207" s="61" t="s">
        <v>296</v>
      </c>
      <c r="D207" s="71">
        <v>2</v>
      </c>
      <c r="E207" s="70">
        <v>0</v>
      </c>
    </row>
    <row r="208" spans="2:5" ht="15" customHeight="1">
      <c r="B208" s="112"/>
      <c r="C208" s="61" t="s">
        <v>297</v>
      </c>
      <c r="D208" s="71">
        <v>1</v>
      </c>
      <c r="E208" s="70">
        <v>0</v>
      </c>
    </row>
    <row r="209" spans="2:5" ht="15" customHeight="1">
      <c r="B209" s="112"/>
      <c r="C209" s="61" t="s">
        <v>298</v>
      </c>
      <c r="D209" s="71">
        <v>1</v>
      </c>
      <c r="E209" s="70">
        <v>0</v>
      </c>
    </row>
    <row r="210" spans="2:5" ht="15" customHeight="1">
      <c r="B210" s="112"/>
      <c r="C210" s="61" t="s">
        <v>223</v>
      </c>
      <c r="D210" s="71">
        <v>3</v>
      </c>
      <c r="E210" s="70">
        <v>0</v>
      </c>
    </row>
    <row r="211" spans="2:5" ht="15" customHeight="1">
      <c r="B211" s="112"/>
      <c r="C211" s="61" t="s">
        <v>224</v>
      </c>
      <c r="D211" s="71">
        <v>10</v>
      </c>
      <c r="E211" s="70">
        <v>0</v>
      </c>
    </row>
    <row r="212" spans="2:5" ht="15" customHeight="1">
      <c r="B212" s="112"/>
      <c r="C212" s="61" t="s">
        <v>225</v>
      </c>
      <c r="D212" s="71">
        <v>3</v>
      </c>
      <c r="E212" s="70">
        <v>0</v>
      </c>
    </row>
    <row r="213" spans="2:5" ht="15" customHeight="1">
      <c r="B213" s="112"/>
      <c r="C213" s="61" t="s">
        <v>226</v>
      </c>
      <c r="D213" s="71">
        <v>2</v>
      </c>
      <c r="E213" s="70">
        <v>0</v>
      </c>
    </row>
    <row r="214" spans="2:5" ht="15" customHeight="1">
      <c r="B214" s="112"/>
      <c r="C214" s="74" t="s">
        <v>309</v>
      </c>
      <c r="D214" s="77">
        <v>634</v>
      </c>
      <c r="E214" s="75">
        <v>2.3E-2</v>
      </c>
    </row>
    <row r="215" spans="2:5" ht="15" customHeight="1">
      <c r="B215" s="112" t="s">
        <v>93</v>
      </c>
      <c r="C215" s="61" t="s">
        <v>290</v>
      </c>
      <c r="D215" s="71">
        <v>1</v>
      </c>
      <c r="E215" s="70">
        <v>0</v>
      </c>
    </row>
    <row r="216" spans="2:5" ht="15" customHeight="1">
      <c r="B216" s="112"/>
      <c r="C216" s="61" t="s">
        <v>292</v>
      </c>
      <c r="D216" s="71">
        <v>2</v>
      </c>
      <c r="E216" s="70">
        <v>0</v>
      </c>
    </row>
    <row r="217" spans="2:5" ht="15" customHeight="1">
      <c r="B217" s="112"/>
      <c r="C217" s="61" t="s">
        <v>211</v>
      </c>
      <c r="D217" s="71">
        <v>2</v>
      </c>
      <c r="E217" s="70">
        <v>0</v>
      </c>
    </row>
    <row r="218" spans="2:5" ht="15" customHeight="1">
      <c r="B218" s="112"/>
      <c r="C218" s="61" t="s">
        <v>293</v>
      </c>
      <c r="D218" s="71">
        <v>1</v>
      </c>
      <c r="E218" s="70">
        <v>0</v>
      </c>
    </row>
    <row r="219" spans="2:5" ht="15" customHeight="1">
      <c r="B219" s="112"/>
      <c r="C219" s="61" t="s">
        <v>294</v>
      </c>
      <c r="D219" s="71">
        <v>1</v>
      </c>
      <c r="E219" s="70">
        <v>0</v>
      </c>
    </row>
    <row r="220" spans="2:5" ht="15" customHeight="1">
      <c r="B220" s="112"/>
      <c r="C220" s="61" t="s">
        <v>295</v>
      </c>
      <c r="D220" s="71">
        <v>2</v>
      </c>
      <c r="E220" s="70">
        <v>0</v>
      </c>
    </row>
    <row r="221" spans="2:5" ht="15" customHeight="1">
      <c r="B221" s="112"/>
      <c r="C221" s="61" t="s">
        <v>218</v>
      </c>
      <c r="D221" s="71">
        <v>3</v>
      </c>
      <c r="E221" s="70">
        <v>0</v>
      </c>
    </row>
    <row r="222" spans="2:5" ht="15" customHeight="1">
      <c r="B222" s="112"/>
      <c r="C222" s="74" t="s">
        <v>309</v>
      </c>
      <c r="D222" s="77">
        <v>12</v>
      </c>
      <c r="E222" s="75">
        <v>0</v>
      </c>
    </row>
    <row r="223" spans="2:5" ht="15" customHeight="1">
      <c r="B223" s="112" t="s">
        <v>73</v>
      </c>
      <c r="C223" s="61" t="s">
        <v>288</v>
      </c>
      <c r="D223" s="71">
        <v>1</v>
      </c>
      <c r="E223" s="70">
        <v>0</v>
      </c>
    </row>
    <row r="224" spans="2:5" ht="15" customHeight="1">
      <c r="B224" s="112"/>
      <c r="C224" s="61" t="s">
        <v>289</v>
      </c>
      <c r="D224" s="71">
        <v>5</v>
      </c>
      <c r="E224" s="70">
        <v>0</v>
      </c>
    </row>
    <row r="225" spans="2:5" ht="15" customHeight="1">
      <c r="B225" s="112"/>
      <c r="C225" s="61" t="s">
        <v>290</v>
      </c>
      <c r="D225" s="71">
        <v>2</v>
      </c>
      <c r="E225" s="70">
        <v>0</v>
      </c>
    </row>
    <row r="226" spans="2:5" ht="15" customHeight="1">
      <c r="B226" s="112"/>
      <c r="C226" s="61" t="s">
        <v>291</v>
      </c>
      <c r="D226" s="71">
        <v>2</v>
      </c>
      <c r="E226" s="70">
        <v>0</v>
      </c>
    </row>
    <row r="227" spans="2:5" ht="15" customHeight="1">
      <c r="B227" s="112"/>
      <c r="C227" s="61" t="s">
        <v>292</v>
      </c>
      <c r="D227" s="71">
        <v>19</v>
      </c>
      <c r="E227" s="70">
        <v>1E-3</v>
      </c>
    </row>
    <row r="228" spans="2:5" ht="15" customHeight="1">
      <c r="B228" s="112"/>
      <c r="C228" s="61" t="s">
        <v>211</v>
      </c>
      <c r="D228" s="71">
        <v>23</v>
      </c>
      <c r="E228" s="70">
        <v>1E-3</v>
      </c>
    </row>
    <row r="229" spans="2:5" ht="15" customHeight="1">
      <c r="B229" s="112"/>
      <c r="C229" s="61" t="s">
        <v>293</v>
      </c>
      <c r="D229" s="71">
        <v>1</v>
      </c>
      <c r="E229" s="70">
        <v>0</v>
      </c>
    </row>
    <row r="230" spans="2:5" ht="15" customHeight="1">
      <c r="B230" s="112"/>
      <c r="C230" s="61" t="s">
        <v>294</v>
      </c>
      <c r="D230" s="71">
        <v>5</v>
      </c>
      <c r="E230" s="70">
        <v>0</v>
      </c>
    </row>
    <row r="231" spans="2:5" ht="15" customHeight="1">
      <c r="B231" s="112"/>
      <c r="C231" s="61" t="s">
        <v>295</v>
      </c>
      <c r="D231" s="71">
        <v>4</v>
      </c>
      <c r="E231" s="70">
        <v>0</v>
      </c>
    </row>
    <row r="232" spans="2:5" ht="15" customHeight="1">
      <c r="B232" s="112"/>
      <c r="C232" s="61" t="s">
        <v>215</v>
      </c>
      <c r="D232" s="71">
        <v>56</v>
      </c>
      <c r="E232" s="70">
        <v>2E-3</v>
      </c>
    </row>
    <row r="233" spans="2:5" ht="15" customHeight="1">
      <c r="B233" s="112"/>
      <c r="C233" s="61" t="s">
        <v>216</v>
      </c>
      <c r="D233" s="71">
        <v>7</v>
      </c>
      <c r="E233" s="70">
        <v>0</v>
      </c>
    </row>
    <row r="234" spans="2:5" ht="15" customHeight="1">
      <c r="B234" s="112"/>
      <c r="C234" s="61" t="s">
        <v>217</v>
      </c>
      <c r="D234" s="71">
        <v>7</v>
      </c>
      <c r="E234" s="70">
        <v>0</v>
      </c>
    </row>
    <row r="235" spans="2:5" ht="15" customHeight="1">
      <c r="B235" s="112"/>
      <c r="C235" s="61" t="s">
        <v>218</v>
      </c>
      <c r="D235" s="71">
        <v>23</v>
      </c>
      <c r="E235" s="70">
        <v>1E-3</v>
      </c>
    </row>
    <row r="236" spans="2:5" ht="15" customHeight="1">
      <c r="B236" s="112"/>
      <c r="C236" s="61" t="s">
        <v>224</v>
      </c>
      <c r="D236" s="71">
        <v>6</v>
      </c>
      <c r="E236" s="70">
        <v>0</v>
      </c>
    </row>
    <row r="237" spans="2:5" ht="15" customHeight="1">
      <c r="B237" s="112"/>
      <c r="C237" s="61" t="s">
        <v>226</v>
      </c>
      <c r="D237" s="71">
        <v>1</v>
      </c>
      <c r="E237" s="70">
        <v>0</v>
      </c>
    </row>
    <row r="238" spans="2:5" ht="15" customHeight="1">
      <c r="B238" s="112"/>
      <c r="C238" s="74" t="s">
        <v>309</v>
      </c>
      <c r="D238" s="77">
        <v>162</v>
      </c>
      <c r="E238" s="75">
        <v>6.0000000000000001E-3</v>
      </c>
    </row>
    <row r="239" spans="2:5" ht="15" customHeight="1">
      <c r="B239" s="112" t="s">
        <v>81</v>
      </c>
      <c r="C239" s="61" t="s">
        <v>287</v>
      </c>
      <c r="D239" s="71">
        <v>1</v>
      </c>
      <c r="E239" s="70">
        <v>0</v>
      </c>
    </row>
    <row r="240" spans="2:5" ht="15" customHeight="1">
      <c r="B240" s="112"/>
      <c r="C240" s="61" t="s">
        <v>288</v>
      </c>
      <c r="D240" s="71">
        <v>1</v>
      </c>
      <c r="E240" s="70">
        <v>0</v>
      </c>
    </row>
    <row r="241" spans="2:5" ht="15" customHeight="1">
      <c r="B241" s="112"/>
      <c r="C241" s="61" t="s">
        <v>289</v>
      </c>
      <c r="D241" s="71">
        <v>2</v>
      </c>
      <c r="E241" s="70">
        <v>0</v>
      </c>
    </row>
    <row r="242" spans="2:5" ht="15" customHeight="1">
      <c r="B242" s="112"/>
      <c r="C242" s="61" t="s">
        <v>290</v>
      </c>
      <c r="D242" s="71">
        <v>1</v>
      </c>
      <c r="E242" s="70">
        <v>0</v>
      </c>
    </row>
    <row r="243" spans="2:5" ht="15" customHeight="1">
      <c r="B243" s="112"/>
      <c r="C243" s="61" t="s">
        <v>291</v>
      </c>
      <c r="D243" s="71">
        <v>2</v>
      </c>
      <c r="E243" s="70">
        <v>0</v>
      </c>
    </row>
    <row r="244" spans="2:5" ht="15" customHeight="1">
      <c r="B244" s="112"/>
      <c r="C244" s="61" t="s">
        <v>292</v>
      </c>
      <c r="D244" s="71">
        <v>8</v>
      </c>
      <c r="E244" s="70">
        <v>0</v>
      </c>
    </row>
    <row r="245" spans="2:5" ht="15" customHeight="1">
      <c r="B245" s="112"/>
      <c r="C245" s="61" t="s">
        <v>211</v>
      </c>
      <c r="D245" s="71">
        <v>15</v>
      </c>
      <c r="E245" s="70">
        <v>1E-3</v>
      </c>
    </row>
    <row r="246" spans="2:5" ht="15" customHeight="1">
      <c r="B246" s="112"/>
      <c r="C246" s="61" t="s">
        <v>293</v>
      </c>
      <c r="D246" s="71">
        <v>1</v>
      </c>
      <c r="E246" s="70">
        <v>0</v>
      </c>
    </row>
    <row r="247" spans="2:5" ht="15" customHeight="1">
      <c r="B247" s="112"/>
      <c r="C247" s="61" t="s">
        <v>294</v>
      </c>
      <c r="D247" s="71">
        <v>1</v>
      </c>
      <c r="E247" s="70">
        <v>0</v>
      </c>
    </row>
    <row r="248" spans="2:5" ht="15" customHeight="1">
      <c r="B248" s="112"/>
      <c r="C248" s="61" t="s">
        <v>295</v>
      </c>
      <c r="D248" s="71">
        <v>1</v>
      </c>
      <c r="E248" s="70">
        <v>0</v>
      </c>
    </row>
    <row r="249" spans="2:5" ht="15" customHeight="1">
      <c r="B249" s="112"/>
      <c r="C249" s="61" t="s">
        <v>215</v>
      </c>
      <c r="D249" s="71">
        <v>27</v>
      </c>
      <c r="E249" s="70">
        <v>1E-3</v>
      </c>
    </row>
    <row r="250" spans="2:5" ht="15" customHeight="1">
      <c r="B250" s="112"/>
      <c r="C250" s="61" t="s">
        <v>217</v>
      </c>
      <c r="D250" s="71">
        <v>3</v>
      </c>
      <c r="E250" s="70">
        <v>0</v>
      </c>
    </row>
    <row r="251" spans="2:5" ht="15" customHeight="1">
      <c r="B251" s="112"/>
      <c r="C251" s="61" t="s">
        <v>218</v>
      </c>
      <c r="D251" s="71">
        <v>12</v>
      </c>
      <c r="E251" s="70">
        <v>0</v>
      </c>
    </row>
    <row r="252" spans="2:5" ht="15" customHeight="1">
      <c r="B252" s="112"/>
      <c r="C252" s="61" t="s">
        <v>296</v>
      </c>
      <c r="D252" s="71">
        <v>1</v>
      </c>
      <c r="E252" s="70">
        <v>0</v>
      </c>
    </row>
    <row r="253" spans="2:5" ht="15" customHeight="1">
      <c r="B253" s="112"/>
      <c r="C253" s="61" t="s">
        <v>223</v>
      </c>
      <c r="D253" s="71">
        <v>1</v>
      </c>
      <c r="E253" s="70">
        <v>0</v>
      </c>
    </row>
    <row r="254" spans="2:5" ht="15" customHeight="1">
      <c r="B254" s="112"/>
      <c r="C254" s="74" t="s">
        <v>309</v>
      </c>
      <c r="D254" s="77">
        <v>77</v>
      </c>
      <c r="E254" s="75">
        <v>3.0000000000000001E-3</v>
      </c>
    </row>
    <row r="255" spans="2:5" ht="15" customHeight="1">
      <c r="B255" s="112" t="s">
        <v>58</v>
      </c>
      <c r="C255" s="61" t="s">
        <v>204</v>
      </c>
      <c r="D255" s="71">
        <v>13</v>
      </c>
      <c r="E255" s="70">
        <v>0</v>
      </c>
    </row>
    <row r="256" spans="2:5" ht="15" customHeight="1">
      <c r="B256" s="112"/>
      <c r="C256" s="61" t="s">
        <v>287</v>
      </c>
      <c r="D256" s="71">
        <v>4</v>
      </c>
      <c r="E256" s="70">
        <v>0</v>
      </c>
    </row>
    <row r="257" spans="2:5" ht="15" customHeight="1">
      <c r="B257" s="112"/>
      <c r="C257" s="61" t="s">
        <v>288</v>
      </c>
      <c r="D257" s="71">
        <v>8</v>
      </c>
      <c r="E257" s="70">
        <v>0</v>
      </c>
    </row>
    <row r="258" spans="2:5" ht="15" customHeight="1">
      <c r="B258" s="112"/>
      <c r="C258" s="61" t="s">
        <v>289</v>
      </c>
      <c r="D258" s="71">
        <v>22</v>
      </c>
      <c r="E258" s="70">
        <v>1E-3</v>
      </c>
    </row>
    <row r="259" spans="2:5" ht="15" customHeight="1">
      <c r="B259" s="112"/>
      <c r="C259" s="61" t="s">
        <v>290</v>
      </c>
      <c r="D259" s="71">
        <v>13</v>
      </c>
      <c r="E259" s="70">
        <v>0</v>
      </c>
    </row>
    <row r="260" spans="2:5" ht="15" customHeight="1">
      <c r="B260" s="112"/>
      <c r="C260" s="61" t="s">
        <v>291</v>
      </c>
      <c r="D260" s="71">
        <v>19</v>
      </c>
      <c r="E260" s="70">
        <v>1E-3</v>
      </c>
    </row>
    <row r="261" spans="2:5" ht="15" customHeight="1">
      <c r="B261" s="112"/>
      <c r="C261" s="61" t="s">
        <v>292</v>
      </c>
      <c r="D261" s="71">
        <v>81</v>
      </c>
      <c r="E261" s="70">
        <v>3.0000000000000001E-3</v>
      </c>
    </row>
    <row r="262" spans="2:5" ht="15" customHeight="1">
      <c r="B262" s="112"/>
      <c r="C262" s="61" t="s">
        <v>211</v>
      </c>
      <c r="D262" s="71">
        <v>101</v>
      </c>
      <c r="E262" s="70">
        <v>4.0000000000000001E-3</v>
      </c>
    </row>
    <row r="263" spans="2:5" ht="15" customHeight="1">
      <c r="B263" s="112"/>
      <c r="C263" s="61" t="s">
        <v>293</v>
      </c>
      <c r="D263" s="71">
        <v>11</v>
      </c>
      <c r="E263" s="70">
        <v>0</v>
      </c>
    </row>
    <row r="264" spans="2:5" ht="15" customHeight="1">
      <c r="B264" s="112"/>
      <c r="C264" s="61" t="s">
        <v>294</v>
      </c>
      <c r="D264" s="71">
        <v>12</v>
      </c>
      <c r="E264" s="70">
        <v>0</v>
      </c>
    </row>
    <row r="265" spans="2:5" ht="15" customHeight="1">
      <c r="B265" s="112"/>
      <c r="C265" s="61" t="s">
        <v>295</v>
      </c>
      <c r="D265" s="71">
        <v>24</v>
      </c>
      <c r="E265" s="70">
        <v>1E-3</v>
      </c>
    </row>
    <row r="266" spans="2:5" ht="15" customHeight="1">
      <c r="B266" s="112"/>
      <c r="C266" s="61" t="s">
        <v>215</v>
      </c>
      <c r="D266" s="71">
        <v>102</v>
      </c>
      <c r="E266" s="70">
        <v>4.0000000000000001E-3</v>
      </c>
    </row>
    <row r="267" spans="2:5" ht="15" customHeight="1">
      <c r="B267" s="112"/>
      <c r="C267" s="61" t="s">
        <v>216</v>
      </c>
      <c r="D267" s="71">
        <v>2</v>
      </c>
      <c r="E267" s="70">
        <v>0</v>
      </c>
    </row>
    <row r="268" spans="2:5" ht="15" customHeight="1">
      <c r="B268" s="112"/>
      <c r="C268" s="61" t="s">
        <v>217</v>
      </c>
      <c r="D268" s="71">
        <v>17</v>
      </c>
      <c r="E268" s="70">
        <v>1E-3</v>
      </c>
    </row>
    <row r="269" spans="2:5" ht="15" customHeight="1">
      <c r="B269" s="112"/>
      <c r="C269" s="61" t="s">
        <v>218</v>
      </c>
      <c r="D269" s="71">
        <v>73</v>
      </c>
      <c r="E269" s="70">
        <v>3.0000000000000001E-3</v>
      </c>
    </row>
    <row r="270" spans="2:5" ht="15" customHeight="1">
      <c r="B270" s="112"/>
      <c r="C270" s="61" t="s">
        <v>299</v>
      </c>
      <c r="D270" s="71">
        <v>1</v>
      </c>
      <c r="E270" s="70">
        <v>0</v>
      </c>
    </row>
    <row r="271" spans="2:5" ht="15" customHeight="1">
      <c r="B271" s="112"/>
      <c r="C271" s="61" t="s">
        <v>223</v>
      </c>
      <c r="D271" s="71">
        <v>4</v>
      </c>
      <c r="E271" s="70">
        <v>0</v>
      </c>
    </row>
    <row r="272" spans="2:5" ht="15" customHeight="1">
      <c r="B272" s="112"/>
      <c r="C272" s="61" t="s">
        <v>224</v>
      </c>
      <c r="D272" s="71">
        <v>9</v>
      </c>
      <c r="E272" s="70">
        <v>0</v>
      </c>
    </row>
    <row r="273" spans="2:5" ht="15" customHeight="1">
      <c r="B273" s="112"/>
      <c r="C273" s="74" t="s">
        <v>309</v>
      </c>
      <c r="D273" s="77">
        <v>516</v>
      </c>
      <c r="E273" s="75">
        <v>1.9E-2</v>
      </c>
    </row>
    <row r="274" spans="2:5" ht="15" customHeight="1">
      <c r="B274" s="112" t="s">
        <v>48</v>
      </c>
      <c r="C274" s="61" t="s">
        <v>204</v>
      </c>
      <c r="D274" s="71">
        <v>18</v>
      </c>
      <c r="E274" s="70">
        <v>1E-3</v>
      </c>
    </row>
    <row r="275" spans="2:5" ht="15" customHeight="1">
      <c r="B275" s="112"/>
      <c r="C275" s="61" t="s">
        <v>287</v>
      </c>
      <c r="D275" s="71">
        <v>10</v>
      </c>
      <c r="E275" s="70">
        <v>0</v>
      </c>
    </row>
    <row r="276" spans="2:5" ht="15" customHeight="1">
      <c r="B276" s="112"/>
      <c r="C276" s="61" t="s">
        <v>288</v>
      </c>
      <c r="D276" s="71">
        <v>23</v>
      </c>
      <c r="E276" s="70">
        <v>1E-3</v>
      </c>
    </row>
    <row r="277" spans="2:5" ht="15" customHeight="1">
      <c r="B277" s="112"/>
      <c r="C277" s="61" t="s">
        <v>289</v>
      </c>
      <c r="D277" s="71">
        <v>40</v>
      </c>
      <c r="E277" s="70">
        <v>1E-3</v>
      </c>
    </row>
    <row r="278" spans="2:5" ht="15" customHeight="1">
      <c r="B278" s="112"/>
      <c r="C278" s="61" t="s">
        <v>290</v>
      </c>
      <c r="D278" s="71">
        <v>33</v>
      </c>
      <c r="E278" s="70">
        <v>1E-3</v>
      </c>
    </row>
    <row r="279" spans="2:5" ht="15" customHeight="1">
      <c r="B279" s="112"/>
      <c r="C279" s="61" t="s">
        <v>291</v>
      </c>
      <c r="D279" s="71">
        <v>46</v>
      </c>
      <c r="E279" s="70">
        <v>2E-3</v>
      </c>
    </row>
    <row r="280" spans="2:5" ht="15" customHeight="1">
      <c r="B280" s="112"/>
      <c r="C280" s="61" t="s">
        <v>292</v>
      </c>
      <c r="D280" s="71">
        <v>184</v>
      </c>
      <c r="E280" s="70">
        <v>7.0000000000000001E-3</v>
      </c>
    </row>
    <row r="281" spans="2:5" ht="15" customHeight="1">
      <c r="B281" s="112"/>
      <c r="C281" s="61" t="s">
        <v>211</v>
      </c>
      <c r="D281" s="71">
        <v>306</v>
      </c>
      <c r="E281" s="70">
        <v>1.0999999999999999E-2</v>
      </c>
    </row>
    <row r="282" spans="2:5" ht="15" customHeight="1">
      <c r="B282" s="112"/>
      <c r="C282" s="61" t="s">
        <v>293</v>
      </c>
      <c r="D282" s="71">
        <v>17</v>
      </c>
      <c r="E282" s="70">
        <v>1E-3</v>
      </c>
    </row>
    <row r="283" spans="2:5" ht="15" customHeight="1">
      <c r="B283" s="112"/>
      <c r="C283" s="61" t="s">
        <v>294</v>
      </c>
      <c r="D283" s="71">
        <v>45</v>
      </c>
      <c r="E283" s="70">
        <v>2E-3</v>
      </c>
    </row>
    <row r="284" spans="2:5" ht="15" customHeight="1">
      <c r="B284" s="112"/>
      <c r="C284" s="61" t="s">
        <v>295</v>
      </c>
      <c r="D284" s="71">
        <v>106</v>
      </c>
      <c r="E284" s="70">
        <v>4.0000000000000001E-3</v>
      </c>
    </row>
    <row r="285" spans="2:5" ht="15" customHeight="1">
      <c r="B285" s="112"/>
      <c r="C285" s="61" t="s">
        <v>215</v>
      </c>
      <c r="D285" s="71">
        <v>618</v>
      </c>
      <c r="E285" s="70">
        <v>2.3E-2</v>
      </c>
    </row>
    <row r="286" spans="2:5" ht="15" customHeight="1">
      <c r="B286" s="112"/>
      <c r="C286" s="61" t="s">
        <v>216</v>
      </c>
      <c r="D286" s="71">
        <v>17</v>
      </c>
      <c r="E286" s="70">
        <v>1E-3</v>
      </c>
    </row>
    <row r="287" spans="2:5" ht="15" customHeight="1">
      <c r="B287" s="112"/>
      <c r="C287" s="61" t="s">
        <v>217</v>
      </c>
      <c r="D287" s="71">
        <v>83</v>
      </c>
      <c r="E287" s="70">
        <v>3.0000000000000001E-3</v>
      </c>
    </row>
    <row r="288" spans="2:5" ht="15" customHeight="1">
      <c r="B288" s="112"/>
      <c r="C288" s="61" t="s">
        <v>218</v>
      </c>
      <c r="D288" s="71">
        <v>314</v>
      </c>
      <c r="E288" s="70">
        <v>1.2E-2</v>
      </c>
    </row>
    <row r="289" spans="2:5" ht="15" customHeight="1">
      <c r="B289" s="112"/>
      <c r="C289" s="61" t="s">
        <v>296</v>
      </c>
      <c r="D289" s="71">
        <v>5</v>
      </c>
      <c r="E289" s="70">
        <v>0</v>
      </c>
    </row>
    <row r="290" spans="2:5" ht="15" customHeight="1">
      <c r="B290" s="112"/>
      <c r="C290" s="61" t="s">
        <v>297</v>
      </c>
      <c r="D290" s="71">
        <v>3</v>
      </c>
      <c r="E290" s="70">
        <v>0</v>
      </c>
    </row>
    <row r="291" spans="2:5" ht="15" customHeight="1">
      <c r="B291" s="112"/>
      <c r="C291" s="61" t="s">
        <v>298</v>
      </c>
      <c r="D291" s="71">
        <v>5</v>
      </c>
      <c r="E291" s="70">
        <v>0</v>
      </c>
    </row>
    <row r="292" spans="2:5" ht="15" customHeight="1">
      <c r="B292" s="112"/>
      <c r="C292" s="61" t="s">
        <v>299</v>
      </c>
      <c r="D292" s="71">
        <v>1</v>
      </c>
      <c r="E292" s="70">
        <v>0</v>
      </c>
    </row>
    <row r="293" spans="2:5" ht="15" customHeight="1">
      <c r="B293" s="112"/>
      <c r="C293" s="61" t="s">
        <v>223</v>
      </c>
      <c r="D293" s="71">
        <v>17</v>
      </c>
      <c r="E293" s="70">
        <v>1E-3</v>
      </c>
    </row>
    <row r="294" spans="2:5" ht="15" customHeight="1">
      <c r="B294" s="112"/>
      <c r="C294" s="61" t="s">
        <v>224</v>
      </c>
      <c r="D294" s="71">
        <v>33</v>
      </c>
      <c r="E294" s="70">
        <v>1E-3</v>
      </c>
    </row>
    <row r="295" spans="2:5" ht="15" customHeight="1">
      <c r="B295" s="112"/>
      <c r="C295" s="61" t="s">
        <v>225</v>
      </c>
      <c r="D295" s="71">
        <v>5</v>
      </c>
      <c r="E295" s="70">
        <v>0</v>
      </c>
    </row>
    <row r="296" spans="2:5" ht="15" customHeight="1">
      <c r="B296" s="112"/>
      <c r="C296" s="61" t="s">
        <v>226</v>
      </c>
      <c r="D296" s="71">
        <v>3</v>
      </c>
      <c r="E296" s="70">
        <v>0</v>
      </c>
    </row>
    <row r="297" spans="2:5" ht="15" customHeight="1">
      <c r="B297" s="112"/>
      <c r="C297" s="74" t="s">
        <v>309</v>
      </c>
      <c r="D297" s="59">
        <v>1932</v>
      </c>
      <c r="E297" s="75">
        <v>7.0999999999999994E-2</v>
      </c>
    </row>
    <row r="298" spans="2:5" ht="15" customHeight="1">
      <c r="B298" s="112" t="s">
        <v>71</v>
      </c>
      <c r="C298" s="61" t="s">
        <v>204</v>
      </c>
      <c r="D298" s="71">
        <v>1</v>
      </c>
      <c r="E298" s="70">
        <v>0</v>
      </c>
    </row>
    <row r="299" spans="2:5" ht="15" customHeight="1">
      <c r="B299" s="112"/>
      <c r="C299" s="61" t="s">
        <v>287</v>
      </c>
      <c r="D299" s="71">
        <v>1</v>
      </c>
      <c r="E299" s="70">
        <v>0</v>
      </c>
    </row>
    <row r="300" spans="2:5" ht="15" customHeight="1">
      <c r="B300" s="112"/>
      <c r="C300" s="61" t="s">
        <v>289</v>
      </c>
      <c r="D300" s="71">
        <v>3</v>
      </c>
      <c r="E300" s="70">
        <v>0</v>
      </c>
    </row>
    <row r="301" spans="2:5" ht="15" customHeight="1">
      <c r="B301" s="112"/>
      <c r="C301" s="61" t="s">
        <v>291</v>
      </c>
      <c r="D301" s="71">
        <v>5</v>
      </c>
      <c r="E301" s="70">
        <v>0</v>
      </c>
    </row>
    <row r="302" spans="2:5" ht="15" customHeight="1">
      <c r="B302" s="112"/>
      <c r="C302" s="61" t="s">
        <v>292</v>
      </c>
      <c r="D302" s="71">
        <v>16</v>
      </c>
      <c r="E302" s="70">
        <v>1E-3</v>
      </c>
    </row>
    <row r="303" spans="2:5" ht="15" customHeight="1">
      <c r="B303" s="112"/>
      <c r="C303" s="61" t="s">
        <v>211</v>
      </c>
      <c r="D303" s="71">
        <v>22</v>
      </c>
      <c r="E303" s="70">
        <v>1E-3</v>
      </c>
    </row>
    <row r="304" spans="2:5" ht="15" customHeight="1">
      <c r="B304" s="112"/>
      <c r="C304" s="61" t="s">
        <v>293</v>
      </c>
      <c r="D304" s="71">
        <v>3</v>
      </c>
      <c r="E304" s="70">
        <v>0</v>
      </c>
    </row>
    <row r="305" spans="2:5" ht="15" customHeight="1">
      <c r="B305" s="112"/>
      <c r="C305" s="61" t="s">
        <v>294</v>
      </c>
      <c r="D305" s="71">
        <v>7</v>
      </c>
      <c r="E305" s="70">
        <v>0</v>
      </c>
    </row>
    <row r="306" spans="2:5" ht="15" customHeight="1">
      <c r="B306" s="112"/>
      <c r="C306" s="61" t="s">
        <v>295</v>
      </c>
      <c r="D306" s="71">
        <v>7</v>
      </c>
      <c r="E306" s="70">
        <v>0</v>
      </c>
    </row>
    <row r="307" spans="2:5" ht="15" customHeight="1">
      <c r="B307" s="112"/>
      <c r="C307" s="61" t="s">
        <v>215</v>
      </c>
      <c r="D307" s="71">
        <v>61</v>
      </c>
      <c r="E307" s="70">
        <v>2E-3</v>
      </c>
    </row>
    <row r="308" spans="2:5" ht="15" customHeight="1">
      <c r="B308" s="112"/>
      <c r="C308" s="61" t="s">
        <v>216</v>
      </c>
      <c r="D308" s="71">
        <v>4</v>
      </c>
      <c r="E308" s="70">
        <v>0</v>
      </c>
    </row>
    <row r="309" spans="2:5" ht="15" customHeight="1">
      <c r="B309" s="112"/>
      <c r="C309" s="61" t="s">
        <v>217</v>
      </c>
      <c r="D309" s="71">
        <v>11</v>
      </c>
      <c r="E309" s="70">
        <v>0</v>
      </c>
    </row>
    <row r="310" spans="2:5" ht="15" customHeight="1">
      <c r="B310" s="112"/>
      <c r="C310" s="61" t="s">
        <v>218</v>
      </c>
      <c r="D310" s="71">
        <v>27</v>
      </c>
      <c r="E310" s="70">
        <v>1E-3</v>
      </c>
    </row>
    <row r="311" spans="2:5" ht="15" customHeight="1">
      <c r="B311" s="112"/>
      <c r="C311" s="61" t="s">
        <v>223</v>
      </c>
      <c r="D311" s="71">
        <v>4</v>
      </c>
      <c r="E311" s="70">
        <v>0</v>
      </c>
    </row>
    <row r="312" spans="2:5" ht="15" customHeight="1">
      <c r="B312" s="112"/>
      <c r="C312" s="74" t="s">
        <v>309</v>
      </c>
      <c r="D312" s="77">
        <v>172</v>
      </c>
      <c r="E312" s="75">
        <v>6.0000000000000001E-3</v>
      </c>
    </row>
    <row r="313" spans="2:5" ht="15" customHeight="1">
      <c r="B313" s="112" t="s">
        <v>52</v>
      </c>
      <c r="C313" s="61" t="s">
        <v>204</v>
      </c>
      <c r="D313" s="71">
        <v>7</v>
      </c>
      <c r="E313" s="70">
        <v>0</v>
      </c>
    </row>
    <row r="314" spans="2:5" ht="15" customHeight="1">
      <c r="B314" s="112"/>
      <c r="C314" s="61" t="s">
        <v>287</v>
      </c>
      <c r="D314" s="71">
        <v>2</v>
      </c>
      <c r="E314" s="70">
        <v>0</v>
      </c>
    </row>
    <row r="315" spans="2:5" ht="15" customHeight="1">
      <c r="B315" s="112"/>
      <c r="C315" s="61" t="s">
        <v>288</v>
      </c>
      <c r="D315" s="71">
        <v>5</v>
      </c>
      <c r="E315" s="70">
        <v>0</v>
      </c>
    </row>
    <row r="316" spans="2:5" ht="15" customHeight="1">
      <c r="B316" s="112"/>
      <c r="C316" s="61" t="s">
        <v>289</v>
      </c>
      <c r="D316" s="71">
        <v>20</v>
      </c>
      <c r="E316" s="70">
        <v>1E-3</v>
      </c>
    </row>
    <row r="317" spans="2:5" ht="15" customHeight="1">
      <c r="B317" s="112"/>
      <c r="C317" s="61" t="s">
        <v>290</v>
      </c>
      <c r="D317" s="71">
        <v>14</v>
      </c>
      <c r="E317" s="70">
        <v>1E-3</v>
      </c>
    </row>
    <row r="318" spans="2:5" ht="15" customHeight="1">
      <c r="B318" s="112"/>
      <c r="C318" s="61" t="s">
        <v>291</v>
      </c>
      <c r="D318" s="71">
        <v>23</v>
      </c>
      <c r="E318" s="70">
        <v>1E-3</v>
      </c>
    </row>
    <row r="319" spans="2:5" ht="15" customHeight="1">
      <c r="B319" s="112"/>
      <c r="C319" s="61" t="s">
        <v>292</v>
      </c>
      <c r="D319" s="71">
        <v>53</v>
      </c>
      <c r="E319" s="70">
        <v>2E-3</v>
      </c>
    </row>
    <row r="320" spans="2:5" ht="15" customHeight="1">
      <c r="B320" s="112"/>
      <c r="C320" s="61" t="s">
        <v>211</v>
      </c>
      <c r="D320" s="71">
        <v>106</v>
      </c>
      <c r="E320" s="70">
        <v>4.0000000000000001E-3</v>
      </c>
    </row>
    <row r="321" spans="2:5" ht="15" customHeight="1">
      <c r="B321" s="112"/>
      <c r="C321" s="61" t="s">
        <v>293</v>
      </c>
      <c r="D321" s="71">
        <v>11</v>
      </c>
      <c r="E321" s="70">
        <v>0</v>
      </c>
    </row>
    <row r="322" spans="2:5" ht="15" customHeight="1">
      <c r="B322" s="112"/>
      <c r="C322" s="61" t="s">
        <v>294</v>
      </c>
      <c r="D322" s="71">
        <v>32</v>
      </c>
      <c r="E322" s="70">
        <v>1E-3</v>
      </c>
    </row>
    <row r="323" spans="2:5" ht="15" customHeight="1">
      <c r="B323" s="112"/>
      <c r="C323" s="61" t="s">
        <v>295</v>
      </c>
      <c r="D323" s="71">
        <v>30</v>
      </c>
      <c r="E323" s="70">
        <v>1E-3</v>
      </c>
    </row>
    <row r="324" spans="2:5" ht="15" customHeight="1">
      <c r="B324" s="112"/>
      <c r="C324" s="61" t="s">
        <v>215</v>
      </c>
      <c r="D324" s="71">
        <v>187</v>
      </c>
      <c r="E324" s="70">
        <v>7.0000000000000001E-3</v>
      </c>
    </row>
    <row r="325" spans="2:5" ht="15" customHeight="1">
      <c r="B325" s="112"/>
      <c r="C325" s="61" t="s">
        <v>216</v>
      </c>
      <c r="D325" s="71">
        <v>10</v>
      </c>
      <c r="E325" s="70">
        <v>0</v>
      </c>
    </row>
    <row r="326" spans="2:5" ht="15" customHeight="1">
      <c r="B326" s="112"/>
      <c r="C326" s="61" t="s">
        <v>217</v>
      </c>
      <c r="D326" s="71">
        <v>44</v>
      </c>
      <c r="E326" s="70">
        <v>2E-3</v>
      </c>
    </row>
    <row r="327" spans="2:5" ht="15" customHeight="1">
      <c r="B327" s="112"/>
      <c r="C327" s="61" t="s">
        <v>218</v>
      </c>
      <c r="D327" s="71">
        <v>103</v>
      </c>
      <c r="E327" s="70">
        <v>4.0000000000000001E-3</v>
      </c>
    </row>
    <row r="328" spans="2:5" ht="15" customHeight="1">
      <c r="B328" s="112"/>
      <c r="C328" s="61" t="s">
        <v>296</v>
      </c>
      <c r="D328" s="71">
        <v>3</v>
      </c>
      <c r="E328" s="70">
        <v>0</v>
      </c>
    </row>
    <row r="329" spans="2:5" ht="15" customHeight="1">
      <c r="B329" s="112"/>
      <c r="C329" s="61" t="s">
        <v>297</v>
      </c>
      <c r="D329" s="71">
        <v>5</v>
      </c>
      <c r="E329" s="70">
        <v>0</v>
      </c>
    </row>
    <row r="330" spans="2:5" ht="15" customHeight="1">
      <c r="B330" s="112"/>
      <c r="C330" s="61" t="s">
        <v>223</v>
      </c>
      <c r="D330" s="71">
        <v>7</v>
      </c>
      <c r="E330" s="70">
        <v>0</v>
      </c>
    </row>
    <row r="331" spans="2:5" ht="15" customHeight="1">
      <c r="B331" s="112"/>
      <c r="C331" s="61" t="s">
        <v>224</v>
      </c>
      <c r="D331" s="71">
        <v>15</v>
      </c>
      <c r="E331" s="70">
        <v>1E-3</v>
      </c>
    </row>
    <row r="332" spans="2:5" ht="15" customHeight="1">
      <c r="B332" s="112"/>
      <c r="C332" s="61" t="s">
        <v>226</v>
      </c>
      <c r="D332" s="71">
        <v>1</v>
      </c>
      <c r="E332" s="70">
        <v>0</v>
      </c>
    </row>
    <row r="333" spans="2:5" ht="15" customHeight="1">
      <c r="B333" s="112"/>
      <c r="C333" s="74" t="s">
        <v>309</v>
      </c>
      <c r="D333" s="77">
        <v>678</v>
      </c>
      <c r="E333" s="75">
        <v>2.5000000000000001E-2</v>
      </c>
    </row>
    <row r="334" spans="2:5" ht="15" customHeight="1">
      <c r="B334" s="112" t="s">
        <v>87</v>
      </c>
      <c r="C334" s="61" t="s">
        <v>204</v>
      </c>
      <c r="D334" s="71">
        <v>1</v>
      </c>
      <c r="E334" s="70">
        <v>0</v>
      </c>
    </row>
    <row r="335" spans="2:5" ht="15" customHeight="1">
      <c r="B335" s="112"/>
      <c r="C335" s="61" t="s">
        <v>290</v>
      </c>
      <c r="D335" s="71">
        <v>1</v>
      </c>
      <c r="E335" s="70">
        <v>0</v>
      </c>
    </row>
    <row r="336" spans="2:5" ht="15" customHeight="1">
      <c r="B336" s="112"/>
      <c r="C336" s="61" t="s">
        <v>292</v>
      </c>
      <c r="D336" s="71">
        <v>5</v>
      </c>
      <c r="E336" s="70">
        <v>0</v>
      </c>
    </row>
    <row r="337" spans="2:5" ht="15" customHeight="1">
      <c r="B337" s="112"/>
      <c r="C337" s="61" t="s">
        <v>211</v>
      </c>
      <c r="D337" s="71">
        <v>2</v>
      </c>
      <c r="E337" s="70">
        <v>0</v>
      </c>
    </row>
    <row r="338" spans="2:5" ht="15" customHeight="1">
      <c r="B338" s="112"/>
      <c r="C338" s="61" t="s">
        <v>295</v>
      </c>
      <c r="D338" s="71">
        <v>2</v>
      </c>
      <c r="E338" s="70">
        <v>0</v>
      </c>
    </row>
    <row r="339" spans="2:5" ht="15" customHeight="1">
      <c r="B339" s="112"/>
      <c r="C339" s="61" t="s">
        <v>215</v>
      </c>
      <c r="D339" s="71">
        <v>11</v>
      </c>
      <c r="E339" s="70">
        <v>0</v>
      </c>
    </row>
    <row r="340" spans="2:5" ht="15" customHeight="1">
      <c r="B340" s="112"/>
      <c r="C340" s="61" t="s">
        <v>218</v>
      </c>
      <c r="D340" s="71">
        <v>4</v>
      </c>
      <c r="E340" s="70">
        <v>0</v>
      </c>
    </row>
    <row r="341" spans="2:5" ht="15" customHeight="1">
      <c r="B341" s="112"/>
      <c r="C341" s="61" t="s">
        <v>224</v>
      </c>
      <c r="D341" s="71">
        <v>3</v>
      </c>
      <c r="E341" s="70">
        <v>0</v>
      </c>
    </row>
    <row r="342" spans="2:5" ht="15" customHeight="1">
      <c r="B342" s="112"/>
      <c r="C342" s="74" t="s">
        <v>309</v>
      </c>
      <c r="D342" s="77">
        <v>29</v>
      </c>
      <c r="E342" s="75">
        <v>1E-3</v>
      </c>
    </row>
    <row r="343" spans="2:5" ht="15" customHeight="1">
      <c r="B343" s="112" t="s">
        <v>56</v>
      </c>
      <c r="C343" s="61" t="s">
        <v>204</v>
      </c>
      <c r="D343" s="71">
        <v>4</v>
      </c>
      <c r="E343" s="70">
        <v>0</v>
      </c>
    </row>
    <row r="344" spans="2:5" ht="15" customHeight="1">
      <c r="B344" s="112"/>
      <c r="C344" s="61" t="s">
        <v>287</v>
      </c>
      <c r="D344" s="71">
        <v>1</v>
      </c>
      <c r="E344" s="70">
        <v>0</v>
      </c>
    </row>
    <row r="345" spans="2:5" ht="15" customHeight="1">
      <c r="B345" s="112"/>
      <c r="C345" s="61" t="s">
        <v>288</v>
      </c>
      <c r="D345" s="71">
        <v>8</v>
      </c>
      <c r="E345" s="70">
        <v>0</v>
      </c>
    </row>
    <row r="346" spans="2:5" ht="15" customHeight="1">
      <c r="B346" s="112"/>
      <c r="C346" s="61" t="s">
        <v>289</v>
      </c>
      <c r="D346" s="71">
        <v>13</v>
      </c>
      <c r="E346" s="70">
        <v>0</v>
      </c>
    </row>
    <row r="347" spans="2:5" ht="15" customHeight="1">
      <c r="B347" s="112"/>
      <c r="C347" s="61" t="s">
        <v>290</v>
      </c>
      <c r="D347" s="71">
        <v>10</v>
      </c>
      <c r="E347" s="70">
        <v>0</v>
      </c>
    </row>
    <row r="348" spans="2:5" ht="15" customHeight="1">
      <c r="B348" s="112"/>
      <c r="C348" s="61" t="s">
        <v>291</v>
      </c>
      <c r="D348" s="71">
        <v>15</v>
      </c>
      <c r="E348" s="70">
        <v>1E-3</v>
      </c>
    </row>
    <row r="349" spans="2:5" ht="15" customHeight="1">
      <c r="B349" s="112"/>
      <c r="C349" s="61" t="s">
        <v>292</v>
      </c>
      <c r="D349" s="71">
        <v>64</v>
      </c>
      <c r="E349" s="70">
        <v>2E-3</v>
      </c>
    </row>
    <row r="350" spans="2:5" ht="15" customHeight="1">
      <c r="B350" s="112"/>
      <c r="C350" s="61" t="s">
        <v>211</v>
      </c>
      <c r="D350" s="71">
        <v>67</v>
      </c>
      <c r="E350" s="70">
        <v>2E-3</v>
      </c>
    </row>
    <row r="351" spans="2:5" ht="15" customHeight="1">
      <c r="B351" s="112"/>
      <c r="C351" s="61" t="s">
        <v>293</v>
      </c>
      <c r="D351" s="71">
        <v>5</v>
      </c>
      <c r="E351" s="70">
        <v>0</v>
      </c>
    </row>
    <row r="352" spans="2:5" ht="15" customHeight="1">
      <c r="B352" s="112"/>
      <c r="C352" s="61" t="s">
        <v>294</v>
      </c>
      <c r="D352" s="71">
        <v>15</v>
      </c>
      <c r="E352" s="70">
        <v>1E-3</v>
      </c>
    </row>
    <row r="353" spans="2:5" ht="15" customHeight="1">
      <c r="B353" s="112"/>
      <c r="C353" s="61" t="s">
        <v>295</v>
      </c>
      <c r="D353" s="71">
        <v>29</v>
      </c>
      <c r="E353" s="70">
        <v>1E-3</v>
      </c>
    </row>
    <row r="354" spans="2:5" ht="15" customHeight="1">
      <c r="B354" s="112"/>
      <c r="C354" s="61" t="s">
        <v>215</v>
      </c>
      <c r="D354" s="71">
        <v>146</v>
      </c>
      <c r="E354" s="70">
        <v>5.0000000000000001E-3</v>
      </c>
    </row>
    <row r="355" spans="2:5" ht="15" customHeight="1">
      <c r="B355" s="112"/>
      <c r="C355" s="61" t="s">
        <v>216</v>
      </c>
      <c r="D355" s="71">
        <v>7</v>
      </c>
      <c r="E355" s="70">
        <v>0</v>
      </c>
    </row>
    <row r="356" spans="2:5" ht="15" customHeight="1">
      <c r="B356" s="112"/>
      <c r="C356" s="61" t="s">
        <v>217</v>
      </c>
      <c r="D356" s="71">
        <v>29</v>
      </c>
      <c r="E356" s="70">
        <v>1E-3</v>
      </c>
    </row>
    <row r="357" spans="2:5" ht="15" customHeight="1">
      <c r="B357" s="112"/>
      <c r="C357" s="61" t="s">
        <v>218</v>
      </c>
      <c r="D357" s="71">
        <v>87</v>
      </c>
      <c r="E357" s="70">
        <v>3.0000000000000001E-3</v>
      </c>
    </row>
    <row r="358" spans="2:5" ht="15" customHeight="1">
      <c r="B358" s="112"/>
      <c r="C358" s="61" t="s">
        <v>297</v>
      </c>
      <c r="D358" s="71">
        <v>2</v>
      </c>
      <c r="E358" s="70">
        <v>0</v>
      </c>
    </row>
    <row r="359" spans="2:5" ht="15" customHeight="1">
      <c r="B359" s="112"/>
      <c r="C359" s="61" t="s">
        <v>298</v>
      </c>
      <c r="D359" s="71">
        <v>1</v>
      </c>
      <c r="E359" s="70">
        <v>0</v>
      </c>
    </row>
    <row r="360" spans="2:5" ht="15" customHeight="1">
      <c r="B360" s="112"/>
      <c r="C360" s="61" t="s">
        <v>299</v>
      </c>
      <c r="D360" s="71">
        <v>1</v>
      </c>
      <c r="E360" s="70">
        <v>0</v>
      </c>
    </row>
    <row r="361" spans="2:5" ht="15" customHeight="1">
      <c r="B361" s="112"/>
      <c r="C361" s="61" t="s">
        <v>223</v>
      </c>
      <c r="D361" s="71">
        <v>8</v>
      </c>
      <c r="E361" s="70">
        <v>0</v>
      </c>
    </row>
    <row r="362" spans="2:5" ht="15" customHeight="1">
      <c r="B362" s="112"/>
      <c r="C362" s="61" t="s">
        <v>224</v>
      </c>
      <c r="D362" s="71">
        <v>9</v>
      </c>
      <c r="E362" s="70">
        <v>0</v>
      </c>
    </row>
    <row r="363" spans="2:5" ht="15" customHeight="1">
      <c r="B363" s="112"/>
      <c r="C363" s="74" t="s">
        <v>309</v>
      </c>
      <c r="D363" s="77">
        <v>521</v>
      </c>
      <c r="E363" s="75">
        <v>1.9E-2</v>
      </c>
    </row>
    <row r="364" spans="2:5" ht="15" customHeight="1">
      <c r="B364" s="112" t="s">
        <v>51</v>
      </c>
      <c r="C364" s="61" t="s">
        <v>204</v>
      </c>
      <c r="D364" s="71">
        <v>6</v>
      </c>
      <c r="E364" s="70">
        <v>0</v>
      </c>
    </row>
    <row r="365" spans="2:5" ht="15" customHeight="1">
      <c r="B365" s="112"/>
      <c r="C365" s="61" t="s">
        <v>286</v>
      </c>
      <c r="D365" s="71">
        <v>1</v>
      </c>
      <c r="E365" s="70">
        <v>0</v>
      </c>
    </row>
    <row r="366" spans="2:5" ht="15" customHeight="1">
      <c r="B366" s="112"/>
      <c r="C366" s="61" t="s">
        <v>287</v>
      </c>
      <c r="D366" s="71">
        <v>4</v>
      </c>
      <c r="E366" s="70">
        <v>0</v>
      </c>
    </row>
    <row r="367" spans="2:5" ht="15" customHeight="1">
      <c r="B367" s="112"/>
      <c r="C367" s="61" t="s">
        <v>288</v>
      </c>
      <c r="D367" s="71">
        <v>7</v>
      </c>
      <c r="E367" s="70">
        <v>0</v>
      </c>
    </row>
    <row r="368" spans="2:5" ht="15" customHeight="1">
      <c r="B368" s="112"/>
      <c r="C368" s="61" t="s">
        <v>289</v>
      </c>
      <c r="D368" s="71">
        <v>16</v>
      </c>
      <c r="E368" s="70">
        <v>1E-3</v>
      </c>
    </row>
    <row r="369" spans="2:5" ht="15" customHeight="1">
      <c r="B369" s="112"/>
      <c r="C369" s="61" t="s">
        <v>290</v>
      </c>
      <c r="D369" s="71">
        <v>10</v>
      </c>
      <c r="E369" s="70">
        <v>0</v>
      </c>
    </row>
    <row r="370" spans="2:5" ht="15" customHeight="1">
      <c r="B370" s="112"/>
      <c r="C370" s="61" t="s">
        <v>291</v>
      </c>
      <c r="D370" s="71">
        <v>15</v>
      </c>
      <c r="E370" s="70">
        <v>1E-3</v>
      </c>
    </row>
    <row r="371" spans="2:5" ht="15" customHeight="1">
      <c r="B371" s="112"/>
      <c r="C371" s="61" t="s">
        <v>292</v>
      </c>
      <c r="D371" s="71">
        <v>56</v>
      </c>
      <c r="E371" s="70">
        <v>2E-3</v>
      </c>
    </row>
    <row r="372" spans="2:5" ht="15" customHeight="1">
      <c r="B372" s="112"/>
      <c r="C372" s="61" t="s">
        <v>211</v>
      </c>
      <c r="D372" s="71">
        <v>116</v>
      </c>
      <c r="E372" s="70">
        <v>4.0000000000000001E-3</v>
      </c>
    </row>
    <row r="373" spans="2:5" ht="15" customHeight="1">
      <c r="B373" s="112"/>
      <c r="C373" s="61" t="s">
        <v>293</v>
      </c>
      <c r="D373" s="71">
        <v>6</v>
      </c>
      <c r="E373" s="70">
        <v>0</v>
      </c>
    </row>
    <row r="374" spans="2:5" ht="15" customHeight="1">
      <c r="B374" s="112"/>
      <c r="C374" s="61" t="s">
        <v>294</v>
      </c>
      <c r="D374" s="71">
        <v>22</v>
      </c>
      <c r="E374" s="70">
        <v>1E-3</v>
      </c>
    </row>
    <row r="375" spans="2:5" ht="15" customHeight="1">
      <c r="B375" s="112"/>
      <c r="C375" s="61" t="s">
        <v>295</v>
      </c>
      <c r="D375" s="71">
        <v>35</v>
      </c>
      <c r="E375" s="70">
        <v>1E-3</v>
      </c>
    </row>
    <row r="376" spans="2:5" ht="15" customHeight="1">
      <c r="B376" s="112"/>
      <c r="C376" s="61" t="s">
        <v>215</v>
      </c>
      <c r="D376" s="71">
        <v>264</v>
      </c>
      <c r="E376" s="70">
        <v>0.01</v>
      </c>
    </row>
    <row r="377" spans="2:5" ht="15" customHeight="1">
      <c r="B377" s="112"/>
      <c r="C377" s="61" t="s">
        <v>216</v>
      </c>
      <c r="D377" s="71">
        <v>2</v>
      </c>
      <c r="E377" s="70">
        <v>0</v>
      </c>
    </row>
    <row r="378" spans="2:5" ht="15" customHeight="1">
      <c r="B378" s="112"/>
      <c r="C378" s="61" t="s">
        <v>217</v>
      </c>
      <c r="D378" s="71">
        <v>39</v>
      </c>
      <c r="E378" s="70">
        <v>1E-3</v>
      </c>
    </row>
    <row r="379" spans="2:5" ht="15" customHeight="1">
      <c r="B379" s="112"/>
      <c r="C379" s="61" t="s">
        <v>218</v>
      </c>
      <c r="D379" s="71">
        <v>151</v>
      </c>
      <c r="E379" s="70">
        <v>6.0000000000000001E-3</v>
      </c>
    </row>
    <row r="380" spans="2:5" ht="15" customHeight="1">
      <c r="B380" s="112"/>
      <c r="C380" s="61" t="s">
        <v>296</v>
      </c>
      <c r="D380" s="71">
        <v>1</v>
      </c>
      <c r="E380" s="70">
        <v>0</v>
      </c>
    </row>
    <row r="381" spans="2:5" ht="15" customHeight="1">
      <c r="B381" s="112"/>
      <c r="C381" s="61" t="s">
        <v>297</v>
      </c>
      <c r="D381" s="71">
        <v>1</v>
      </c>
      <c r="E381" s="70">
        <v>0</v>
      </c>
    </row>
    <row r="382" spans="2:5" ht="15" customHeight="1">
      <c r="B382" s="112"/>
      <c r="C382" s="61" t="s">
        <v>298</v>
      </c>
      <c r="D382" s="71">
        <v>1</v>
      </c>
      <c r="E382" s="70">
        <v>0</v>
      </c>
    </row>
    <row r="383" spans="2:5" ht="15" customHeight="1">
      <c r="B383" s="112"/>
      <c r="C383" s="61" t="s">
        <v>223</v>
      </c>
      <c r="D383" s="71">
        <v>2</v>
      </c>
      <c r="E383" s="70">
        <v>0</v>
      </c>
    </row>
    <row r="384" spans="2:5" ht="15" customHeight="1">
      <c r="B384" s="112"/>
      <c r="C384" s="61" t="s">
        <v>224</v>
      </c>
      <c r="D384" s="71">
        <v>11</v>
      </c>
      <c r="E384" s="70">
        <v>0</v>
      </c>
    </row>
    <row r="385" spans="2:5" ht="15" customHeight="1">
      <c r="B385" s="112"/>
      <c r="C385" s="61" t="s">
        <v>225</v>
      </c>
      <c r="D385" s="71">
        <v>9</v>
      </c>
      <c r="E385" s="70">
        <v>0</v>
      </c>
    </row>
    <row r="386" spans="2:5" ht="15" customHeight="1">
      <c r="B386" s="112"/>
      <c r="C386" s="61" t="s">
        <v>226</v>
      </c>
      <c r="D386" s="71">
        <v>1</v>
      </c>
      <c r="E386" s="70">
        <v>0</v>
      </c>
    </row>
    <row r="387" spans="2:5" ht="15" customHeight="1">
      <c r="B387" s="112"/>
      <c r="C387" s="74" t="s">
        <v>309</v>
      </c>
      <c r="D387" s="77">
        <v>776</v>
      </c>
      <c r="E387" s="75">
        <v>2.9000000000000001E-2</v>
      </c>
    </row>
    <row r="388" spans="2:5" ht="15" customHeight="1">
      <c r="B388" s="112" t="s">
        <v>47</v>
      </c>
      <c r="C388" s="61" t="s">
        <v>204</v>
      </c>
      <c r="D388" s="71">
        <v>67</v>
      </c>
      <c r="E388" s="70">
        <v>2E-3</v>
      </c>
    </row>
    <row r="389" spans="2:5" ht="15" customHeight="1">
      <c r="B389" s="112"/>
      <c r="C389" s="61" t="s">
        <v>287</v>
      </c>
      <c r="D389" s="71">
        <v>18</v>
      </c>
      <c r="E389" s="70">
        <v>1E-3</v>
      </c>
    </row>
    <row r="390" spans="2:5" ht="15" customHeight="1">
      <c r="B390" s="112"/>
      <c r="C390" s="61" t="s">
        <v>288</v>
      </c>
      <c r="D390" s="71">
        <v>25</v>
      </c>
      <c r="E390" s="70">
        <v>1E-3</v>
      </c>
    </row>
    <row r="391" spans="2:5" ht="15" customHeight="1">
      <c r="B391" s="112"/>
      <c r="C391" s="61" t="s">
        <v>289</v>
      </c>
      <c r="D391" s="71">
        <v>73</v>
      </c>
      <c r="E391" s="70">
        <v>3.0000000000000001E-3</v>
      </c>
    </row>
    <row r="392" spans="2:5" ht="15" customHeight="1">
      <c r="B392" s="112"/>
      <c r="C392" s="61" t="s">
        <v>290</v>
      </c>
      <c r="D392" s="71">
        <v>48</v>
      </c>
      <c r="E392" s="70">
        <v>2E-3</v>
      </c>
    </row>
    <row r="393" spans="2:5" ht="15" customHeight="1">
      <c r="B393" s="112"/>
      <c r="C393" s="61" t="s">
        <v>291</v>
      </c>
      <c r="D393" s="71">
        <v>63</v>
      </c>
      <c r="E393" s="70">
        <v>2E-3</v>
      </c>
    </row>
    <row r="394" spans="2:5" ht="15" customHeight="1">
      <c r="B394" s="112"/>
      <c r="C394" s="61" t="s">
        <v>292</v>
      </c>
      <c r="D394" s="71">
        <v>310</v>
      </c>
      <c r="E394" s="70">
        <v>1.0999999999999999E-2</v>
      </c>
    </row>
    <row r="395" spans="2:5" ht="15" customHeight="1">
      <c r="B395" s="112"/>
      <c r="C395" s="61" t="s">
        <v>211</v>
      </c>
      <c r="D395" s="71">
        <v>569</v>
      </c>
      <c r="E395" s="70">
        <v>2.1000000000000001E-2</v>
      </c>
    </row>
    <row r="396" spans="2:5" ht="15" customHeight="1">
      <c r="B396" s="112"/>
      <c r="C396" s="61" t="s">
        <v>293</v>
      </c>
      <c r="D396" s="71">
        <v>30</v>
      </c>
      <c r="E396" s="70">
        <v>1E-3</v>
      </c>
    </row>
    <row r="397" spans="2:5" ht="15" customHeight="1">
      <c r="B397" s="112"/>
      <c r="C397" s="61" t="s">
        <v>294</v>
      </c>
      <c r="D397" s="71">
        <v>46</v>
      </c>
      <c r="E397" s="70">
        <v>2E-3</v>
      </c>
    </row>
    <row r="398" spans="2:5" ht="15" customHeight="1">
      <c r="B398" s="112"/>
      <c r="C398" s="61" t="s">
        <v>295</v>
      </c>
      <c r="D398" s="71">
        <v>108</v>
      </c>
      <c r="E398" s="70">
        <v>4.0000000000000001E-3</v>
      </c>
    </row>
    <row r="399" spans="2:5" ht="15" customHeight="1">
      <c r="B399" s="112"/>
      <c r="C399" s="61" t="s">
        <v>215</v>
      </c>
      <c r="D399" s="71">
        <v>659</v>
      </c>
      <c r="E399" s="70">
        <v>2.4E-2</v>
      </c>
    </row>
    <row r="400" spans="2:5" ht="15" customHeight="1">
      <c r="B400" s="112"/>
      <c r="C400" s="61" t="s">
        <v>216</v>
      </c>
      <c r="D400" s="71">
        <v>22</v>
      </c>
      <c r="E400" s="70">
        <v>1E-3</v>
      </c>
    </row>
    <row r="401" spans="2:5" ht="15" customHeight="1">
      <c r="B401" s="112"/>
      <c r="C401" s="61" t="s">
        <v>217</v>
      </c>
      <c r="D401" s="71">
        <v>121</v>
      </c>
      <c r="E401" s="70">
        <v>4.0000000000000001E-3</v>
      </c>
    </row>
    <row r="402" spans="2:5" ht="15" customHeight="1">
      <c r="B402" s="112"/>
      <c r="C402" s="61" t="s">
        <v>218</v>
      </c>
      <c r="D402" s="71">
        <v>425</v>
      </c>
      <c r="E402" s="70">
        <v>1.6E-2</v>
      </c>
    </row>
    <row r="403" spans="2:5" ht="15" customHeight="1">
      <c r="B403" s="112"/>
      <c r="C403" s="61" t="s">
        <v>296</v>
      </c>
      <c r="D403" s="71">
        <v>4</v>
      </c>
      <c r="E403" s="70">
        <v>0</v>
      </c>
    </row>
    <row r="404" spans="2:5" ht="15" customHeight="1">
      <c r="B404" s="112"/>
      <c r="C404" s="61" t="s">
        <v>297</v>
      </c>
      <c r="D404" s="71">
        <v>9</v>
      </c>
      <c r="E404" s="70">
        <v>0</v>
      </c>
    </row>
    <row r="405" spans="2:5" ht="15" customHeight="1">
      <c r="B405" s="112"/>
      <c r="C405" s="61" t="s">
        <v>298</v>
      </c>
      <c r="D405" s="71">
        <v>2</v>
      </c>
      <c r="E405" s="70">
        <v>0</v>
      </c>
    </row>
    <row r="406" spans="2:5" ht="15" customHeight="1">
      <c r="B406" s="112"/>
      <c r="C406" s="61" t="s">
        <v>299</v>
      </c>
      <c r="D406" s="71">
        <v>3</v>
      </c>
      <c r="E406" s="70">
        <v>0</v>
      </c>
    </row>
    <row r="407" spans="2:5" ht="15" customHeight="1">
      <c r="B407" s="112"/>
      <c r="C407" s="61" t="s">
        <v>223</v>
      </c>
      <c r="D407" s="71">
        <v>31</v>
      </c>
      <c r="E407" s="70">
        <v>1E-3</v>
      </c>
    </row>
    <row r="408" spans="2:5" ht="15" customHeight="1">
      <c r="B408" s="112"/>
      <c r="C408" s="61" t="s">
        <v>224</v>
      </c>
      <c r="D408" s="71">
        <v>59</v>
      </c>
      <c r="E408" s="70">
        <v>2E-3</v>
      </c>
    </row>
    <row r="409" spans="2:5" ht="15" customHeight="1">
      <c r="B409" s="112"/>
      <c r="C409" s="61" t="s">
        <v>226</v>
      </c>
      <c r="D409" s="71">
        <v>2</v>
      </c>
      <c r="E409" s="70">
        <v>0</v>
      </c>
    </row>
    <row r="410" spans="2:5" ht="15" customHeight="1">
      <c r="B410" s="112"/>
      <c r="C410" s="74" t="s">
        <v>309</v>
      </c>
      <c r="D410" s="59">
        <v>2694</v>
      </c>
      <c r="E410" s="75">
        <v>9.9000000000000005E-2</v>
      </c>
    </row>
    <row r="411" spans="2:5" ht="15" customHeight="1">
      <c r="B411" s="112" t="s">
        <v>70</v>
      </c>
      <c r="C411" s="61" t="s">
        <v>288</v>
      </c>
      <c r="D411" s="71">
        <v>2</v>
      </c>
      <c r="E411" s="70">
        <v>0</v>
      </c>
    </row>
    <row r="412" spans="2:5" ht="15" customHeight="1">
      <c r="B412" s="112"/>
      <c r="C412" s="61" t="s">
        <v>289</v>
      </c>
      <c r="D412" s="71">
        <v>6</v>
      </c>
      <c r="E412" s="70">
        <v>0</v>
      </c>
    </row>
    <row r="413" spans="2:5" ht="15" customHeight="1">
      <c r="B413" s="112"/>
      <c r="C413" s="61" t="s">
        <v>290</v>
      </c>
      <c r="D413" s="71">
        <v>5</v>
      </c>
      <c r="E413" s="70">
        <v>0</v>
      </c>
    </row>
    <row r="414" spans="2:5" ht="15" customHeight="1">
      <c r="B414" s="112"/>
      <c r="C414" s="61" t="s">
        <v>291</v>
      </c>
      <c r="D414" s="71">
        <v>3</v>
      </c>
      <c r="E414" s="70">
        <v>0</v>
      </c>
    </row>
    <row r="415" spans="2:5" ht="15" customHeight="1">
      <c r="B415" s="112"/>
      <c r="C415" s="61" t="s">
        <v>292</v>
      </c>
      <c r="D415" s="71">
        <v>39</v>
      </c>
      <c r="E415" s="70">
        <v>1E-3</v>
      </c>
    </row>
    <row r="416" spans="2:5" ht="15" customHeight="1">
      <c r="B416" s="112"/>
      <c r="C416" s="61" t="s">
        <v>211</v>
      </c>
      <c r="D416" s="71">
        <v>24</v>
      </c>
      <c r="E416" s="70">
        <v>1E-3</v>
      </c>
    </row>
    <row r="417" spans="2:5" ht="15" customHeight="1">
      <c r="B417" s="112"/>
      <c r="C417" s="61" t="s">
        <v>293</v>
      </c>
      <c r="D417" s="71">
        <v>4</v>
      </c>
      <c r="E417" s="70">
        <v>0</v>
      </c>
    </row>
    <row r="418" spans="2:5" ht="15" customHeight="1">
      <c r="B418" s="112"/>
      <c r="C418" s="61" t="s">
        <v>294</v>
      </c>
      <c r="D418" s="71">
        <v>6</v>
      </c>
      <c r="E418" s="70">
        <v>0</v>
      </c>
    </row>
    <row r="419" spans="2:5" ht="15" customHeight="1">
      <c r="B419" s="112"/>
      <c r="C419" s="61" t="s">
        <v>295</v>
      </c>
      <c r="D419" s="71">
        <v>20</v>
      </c>
      <c r="E419" s="70">
        <v>1E-3</v>
      </c>
    </row>
    <row r="420" spans="2:5" ht="15" customHeight="1">
      <c r="B420" s="112"/>
      <c r="C420" s="61" t="s">
        <v>215</v>
      </c>
      <c r="D420" s="71">
        <v>78</v>
      </c>
      <c r="E420" s="70">
        <v>3.0000000000000001E-3</v>
      </c>
    </row>
    <row r="421" spans="2:5" ht="15" customHeight="1">
      <c r="B421" s="112"/>
      <c r="C421" s="61" t="s">
        <v>216</v>
      </c>
      <c r="D421" s="71">
        <v>4</v>
      </c>
      <c r="E421" s="70">
        <v>0</v>
      </c>
    </row>
    <row r="422" spans="2:5" ht="15" customHeight="1">
      <c r="B422" s="112"/>
      <c r="C422" s="61" t="s">
        <v>217</v>
      </c>
      <c r="D422" s="71">
        <v>7</v>
      </c>
      <c r="E422" s="70">
        <v>0</v>
      </c>
    </row>
    <row r="423" spans="2:5" ht="15" customHeight="1">
      <c r="B423" s="112"/>
      <c r="C423" s="61" t="s">
        <v>218</v>
      </c>
      <c r="D423" s="71">
        <v>33</v>
      </c>
      <c r="E423" s="70">
        <v>1E-3</v>
      </c>
    </row>
    <row r="424" spans="2:5" ht="15" customHeight="1">
      <c r="B424" s="112"/>
      <c r="C424" s="61" t="s">
        <v>298</v>
      </c>
      <c r="D424" s="71">
        <v>2</v>
      </c>
      <c r="E424" s="70">
        <v>0</v>
      </c>
    </row>
    <row r="425" spans="2:5" ht="15" customHeight="1">
      <c r="B425" s="112"/>
      <c r="C425" s="61" t="s">
        <v>299</v>
      </c>
      <c r="D425" s="71">
        <v>1</v>
      </c>
      <c r="E425" s="70">
        <v>0</v>
      </c>
    </row>
    <row r="426" spans="2:5" ht="15" customHeight="1">
      <c r="B426" s="112"/>
      <c r="C426" s="61" t="s">
        <v>223</v>
      </c>
      <c r="D426" s="71">
        <v>1</v>
      </c>
      <c r="E426" s="70">
        <v>0</v>
      </c>
    </row>
    <row r="427" spans="2:5" ht="15" customHeight="1">
      <c r="B427" s="112"/>
      <c r="C427" s="61" t="s">
        <v>224</v>
      </c>
      <c r="D427" s="71">
        <v>8</v>
      </c>
      <c r="E427" s="70">
        <v>0</v>
      </c>
    </row>
    <row r="428" spans="2:5" ht="15" customHeight="1">
      <c r="B428" s="112"/>
      <c r="C428" s="74" t="s">
        <v>309</v>
      </c>
      <c r="D428" s="77">
        <v>243</v>
      </c>
      <c r="E428" s="75">
        <v>8.9999999999999993E-3</v>
      </c>
    </row>
    <row r="429" spans="2:5" ht="15" customHeight="1">
      <c r="B429" s="112" t="s">
        <v>78</v>
      </c>
      <c r="C429" s="61" t="s">
        <v>204</v>
      </c>
      <c r="D429" s="71">
        <v>1</v>
      </c>
      <c r="E429" s="70">
        <v>0</v>
      </c>
    </row>
    <row r="430" spans="2:5" ht="15" customHeight="1">
      <c r="B430" s="112"/>
      <c r="C430" s="61" t="s">
        <v>288</v>
      </c>
      <c r="D430" s="71">
        <v>1</v>
      </c>
      <c r="E430" s="70">
        <v>0</v>
      </c>
    </row>
    <row r="431" spans="2:5" ht="15" customHeight="1">
      <c r="B431" s="112"/>
      <c r="C431" s="61" t="s">
        <v>289</v>
      </c>
      <c r="D431" s="71">
        <v>4</v>
      </c>
      <c r="E431" s="70">
        <v>0</v>
      </c>
    </row>
    <row r="432" spans="2:5" ht="15" customHeight="1">
      <c r="B432" s="112"/>
      <c r="C432" s="61" t="s">
        <v>290</v>
      </c>
      <c r="D432" s="71">
        <v>3</v>
      </c>
      <c r="E432" s="70">
        <v>0</v>
      </c>
    </row>
    <row r="433" spans="2:5" ht="15" customHeight="1">
      <c r="B433" s="112"/>
      <c r="C433" s="61" t="s">
        <v>291</v>
      </c>
      <c r="D433" s="71">
        <v>1</v>
      </c>
      <c r="E433" s="70">
        <v>0</v>
      </c>
    </row>
    <row r="434" spans="2:5" ht="15" customHeight="1">
      <c r="B434" s="112"/>
      <c r="C434" s="61" t="s">
        <v>292</v>
      </c>
      <c r="D434" s="71">
        <v>8</v>
      </c>
      <c r="E434" s="70">
        <v>0</v>
      </c>
    </row>
    <row r="435" spans="2:5" ht="15" customHeight="1">
      <c r="B435" s="112"/>
      <c r="C435" s="61" t="s">
        <v>211</v>
      </c>
      <c r="D435" s="71">
        <v>27</v>
      </c>
      <c r="E435" s="70">
        <v>1E-3</v>
      </c>
    </row>
    <row r="436" spans="2:5" ht="15" customHeight="1">
      <c r="B436" s="112"/>
      <c r="C436" s="61" t="s">
        <v>293</v>
      </c>
      <c r="D436" s="71">
        <v>2</v>
      </c>
      <c r="E436" s="70">
        <v>0</v>
      </c>
    </row>
    <row r="437" spans="2:5" ht="15" customHeight="1">
      <c r="B437" s="112"/>
      <c r="C437" s="61" t="s">
        <v>294</v>
      </c>
      <c r="D437" s="71">
        <v>11</v>
      </c>
      <c r="E437" s="70">
        <v>0</v>
      </c>
    </row>
    <row r="438" spans="2:5" ht="15" customHeight="1">
      <c r="B438" s="112"/>
      <c r="C438" s="61" t="s">
        <v>295</v>
      </c>
      <c r="D438" s="71">
        <v>7</v>
      </c>
      <c r="E438" s="70">
        <v>0</v>
      </c>
    </row>
    <row r="439" spans="2:5" ht="15" customHeight="1">
      <c r="B439" s="112"/>
      <c r="C439" s="61" t="s">
        <v>215</v>
      </c>
      <c r="D439" s="71">
        <v>45</v>
      </c>
      <c r="E439" s="70">
        <v>2E-3</v>
      </c>
    </row>
    <row r="440" spans="2:5" ht="15" customHeight="1">
      <c r="B440" s="112"/>
      <c r="C440" s="61" t="s">
        <v>217</v>
      </c>
      <c r="D440" s="71">
        <v>10</v>
      </c>
      <c r="E440" s="70">
        <v>0</v>
      </c>
    </row>
    <row r="441" spans="2:5" ht="15" customHeight="1">
      <c r="B441" s="112"/>
      <c r="C441" s="61" t="s">
        <v>218</v>
      </c>
      <c r="D441" s="71">
        <v>18</v>
      </c>
      <c r="E441" s="70">
        <v>1E-3</v>
      </c>
    </row>
    <row r="442" spans="2:5" ht="15" customHeight="1">
      <c r="B442" s="112"/>
      <c r="C442" s="61" t="s">
        <v>297</v>
      </c>
      <c r="D442" s="71">
        <v>1</v>
      </c>
      <c r="E442" s="70">
        <v>0</v>
      </c>
    </row>
    <row r="443" spans="2:5" ht="15" customHeight="1">
      <c r="B443" s="112"/>
      <c r="C443" s="61" t="s">
        <v>299</v>
      </c>
      <c r="D443" s="71">
        <v>1</v>
      </c>
      <c r="E443" s="70">
        <v>0</v>
      </c>
    </row>
    <row r="444" spans="2:5" ht="15" customHeight="1">
      <c r="B444" s="112"/>
      <c r="C444" s="61" t="s">
        <v>224</v>
      </c>
      <c r="D444" s="71">
        <v>2</v>
      </c>
      <c r="E444" s="70">
        <v>0</v>
      </c>
    </row>
    <row r="445" spans="2:5" ht="15" customHeight="1">
      <c r="B445" s="112"/>
      <c r="C445" s="74" t="s">
        <v>309</v>
      </c>
      <c r="D445" s="77">
        <v>142</v>
      </c>
      <c r="E445" s="75">
        <v>5.0000000000000001E-3</v>
      </c>
    </row>
    <row r="446" spans="2:5" ht="15" customHeight="1">
      <c r="B446" s="112" t="s">
        <v>64</v>
      </c>
      <c r="C446" s="61" t="s">
        <v>204</v>
      </c>
      <c r="D446" s="71">
        <v>1</v>
      </c>
      <c r="E446" s="70">
        <v>0</v>
      </c>
    </row>
    <row r="447" spans="2:5" ht="15" customHeight="1">
      <c r="B447" s="112"/>
      <c r="C447" s="61" t="s">
        <v>287</v>
      </c>
      <c r="D447" s="71">
        <v>2</v>
      </c>
      <c r="E447" s="70">
        <v>0</v>
      </c>
    </row>
    <row r="448" spans="2:5" ht="15" customHeight="1">
      <c r="B448" s="112"/>
      <c r="C448" s="61" t="s">
        <v>288</v>
      </c>
      <c r="D448" s="71">
        <v>2</v>
      </c>
      <c r="E448" s="70">
        <v>0</v>
      </c>
    </row>
    <row r="449" spans="2:5" ht="15" customHeight="1">
      <c r="B449" s="112"/>
      <c r="C449" s="61" t="s">
        <v>289</v>
      </c>
      <c r="D449" s="71">
        <v>7</v>
      </c>
      <c r="E449" s="70">
        <v>0</v>
      </c>
    </row>
    <row r="450" spans="2:5" ht="15" customHeight="1">
      <c r="B450" s="112"/>
      <c r="C450" s="61" t="s">
        <v>290</v>
      </c>
      <c r="D450" s="71">
        <v>8</v>
      </c>
      <c r="E450" s="70">
        <v>0</v>
      </c>
    </row>
    <row r="451" spans="2:5" ht="15" customHeight="1">
      <c r="B451" s="112"/>
      <c r="C451" s="61" t="s">
        <v>291</v>
      </c>
      <c r="D451" s="71">
        <v>3</v>
      </c>
      <c r="E451" s="70">
        <v>0</v>
      </c>
    </row>
    <row r="452" spans="2:5" ht="15" customHeight="1">
      <c r="B452" s="112"/>
      <c r="C452" s="61" t="s">
        <v>292</v>
      </c>
      <c r="D452" s="71">
        <v>14</v>
      </c>
      <c r="E452" s="70">
        <v>1E-3</v>
      </c>
    </row>
    <row r="453" spans="2:5" ht="15" customHeight="1">
      <c r="B453" s="112"/>
      <c r="C453" s="61" t="s">
        <v>211</v>
      </c>
      <c r="D453" s="71">
        <v>48</v>
      </c>
      <c r="E453" s="70">
        <v>2E-3</v>
      </c>
    </row>
    <row r="454" spans="2:5" ht="15" customHeight="1">
      <c r="B454" s="112"/>
      <c r="C454" s="61" t="s">
        <v>293</v>
      </c>
      <c r="D454" s="71">
        <v>3</v>
      </c>
      <c r="E454" s="70">
        <v>0</v>
      </c>
    </row>
    <row r="455" spans="2:5" ht="15" customHeight="1">
      <c r="B455" s="112"/>
      <c r="C455" s="61" t="s">
        <v>294</v>
      </c>
      <c r="D455" s="71">
        <v>6</v>
      </c>
      <c r="E455" s="70">
        <v>0</v>
      </c>
    </row>
    <row r="456" spans="2:5" ht="15" customHeight="1">
      <c r="B456" s="112"/>
      <c r="C456" s="61" t="s">
        <v>295</v>
      </c>
      <c r="D456" s="71">
        <v>20</v>
      </c>
      <c r="E456" s="70">
        <v>1E-3</v>
      </c>
    </row>
    <row r="457" spans="2:5" ht="15" customHeight="1">
      <c r="B457" s="112"/>
      <c r="C457" s="61" t="s">
        <v>215</v>
      </c>
      <c r="D457" s="71">
        <v>91</v>
      </c>
      <c r="E457" s="70">
        <v>3.0000000000000001E-3</v>
      </c>
    </row>
    <row r="458" spans="2:5" ht="15" customHeight="1">
      <c r="B458" s="112"/>
      <c r="C458" s="61" t="s">
        <v>216</v>
      </c>
      <c r="D458" s="71">
        <v>4</v>
      </c>
      <c r="E458" s="70">
        <v>0</v>
      </c>
    </row>
    <row r="459" spans="2:5" ht="15" customHeight="1">
      <c r="B459" s="112"/>
      <c r="C459" s="61" t="s">
        <v>217</v>
      </c>
      <c r="D459" s="71">
        <v>9</v>
      </c>
      <c r="E459" s="70">
        <v>0</v>
      </c>
    </row>
    <row r="460" spans="2:5" ht="15" customHeight="1">
      <c r="B460" s="112"/>
      <c r="C460" s="61" t="s">
        <v>218</v>
      </c>
      <c r="D460" s="71">
        <v>46</v>
      </c>
      <c r="E460" s="70">
        <v>2E-3</v>
      </c>
    </row>
    <row r="461" spans="2:5" ht="15" customHeight="1">
      <c r="B461" s="112"/>
      <c r="C461" s="61" t="s">
        <v>298</v>
      </c>
      <c r="D461" s="71">
        <v>1</v>
      </c>
      <c r="E461" s="70">
        <v>0</v>
      </c>
    </row>
    <row r="462" spans="2:5" ht="15" customHeight="1">
      <c r="B462" s="112"/>
      <c r="C462" s="61" t="s">
        <v>299</v>
      </c>
      <c r="D462" s="71">
        <v>1</v>
      </c>
      <c r="E462" s="70">
        <v>0</v>
      </c>
    </row>
    <row r="463" spans="2:5" ht="15" customHeight="1">
      <c r="B463" s="112"/>
      <c r="C463" s="61" t="s">
        <v>224</v>
      </c>
      <c r="D463" s="71">
        <v>6</v>
      </c>
      <c r="E463" s="70">
        <v>0</v>
      </c>
    </row>
    <row r="464" spans="2:5" ht="15" customHeight="1">
      <c r="B464" s="112"/>
      <c r="C464" s="74" t="s">
        <v>309</v>
      </c>
      <c r="D464" s="77">
        <v>272</v>
      </c>
      <c r="E464" s="75">
        <v>0.01</v>
      </c>
    </row>
    <row r="465" spans="2:5" ht="15" customHeight="1">
      <c r="B465" s="112" t="s">
        <v>94</v>
      </c>
      <c r="C465" s="61" t="s">
        <v>291</v>
      </c>
      <c r="D465" s="71">
        <v>1</v>
      </c>
      <c r="E465" s="70">
        <v>0</v>
      </c>
    </row>
    <row r="466" spans="2:5" ht="15" customHeight="1">
      <c r="B466" s="112"/>
      <c r="C466" s="61" t="s">
        <v>211</v>
      </c>
      <c r="D466" s="71">
        <v>2</v>
      </c>
      <c r="E466" s="70">
        <v>0</v>
      </c>
    </row>
    <row r="467" spans="2:5" ht="15" customHeight="1">
      <c r="B467" s="112"/>
      <c r="C467" s="61" t="s">
        <v>293</v>
      </c>
      <c r="D467" s="71">
        <v>1</v>
      </c>
      <c r="E467" s="70">
        <v>0</v>
      </c>
    </row>
    <row r="468" spans="2:5" ht="15" customHeight="1">
      <c r="B468" s="112"/>
      <c r="C468" s="61" t="s">
        <v>295</v>
      </c>
      <c r="D468" s="71">
        <v>2</v>
      </c>
      <c r="E468" s="70">
        <v>0</v>
      </c>
    </row>
    <row r="469" spans="2:5" ht="15" customHeight="1">
      <c r="B469" s="112"/>
      <c r="C469" s="61" t="s">
        <v>215</v>
      </c>
      <c r="D469" s="71">
        <v>2</v>
      </c>
      <c r="E469" s="70">
        <v>0</v>
      </c>
    </row>
    <row r="470" spans="2:5" ht="15" customHeight="1">
      <c r="B470" s="112"/>
      <c r="C470" s="61" t="s">
        <v>218</v>
      </c>
      <c r="D470" s="71">
        <v>1</v>
      </c>
      <c r="E470" s="70">
        <v>0</v>
      </c>
    </row>
    <row r="471" spans="2:5" ht="15" customHeight="1">
      <c r="B471" s="112"/>
      <c r="C471" s="61" t="s">
        <v>224</v>
      </c>
      <c r="D471" s="71">
        <v>1</v>
      </c>
      <c r="E471" s="70">
        <v>0</v>
      </c>
    </row>
    <row r="472" spans="2:5" ht="15" customHeight="1">
      <c r="B472" s="112"/>
      <c r="C472" s="74" t="s">
        <v>309</v>
      </c>
      <c r="D472" s="77">
        <v>10</v>
      </c>
      <c r="E472" s="75">
        <v>0</v>
      </c>
    </row>
    <row r="473" spans="2:5" ht="15" customHeight="1">
      <c r="B473" s="112" t="s">
        <v>95</v>
      </c>
      <c r="C473" s="61" t="s">
        <v>216</v>
      </c>
      <c r="D473" s="71">
        <v>1</v>
      </c>
      <c r="E473" s="70">
        <v>0</v>
      </c>
    </row>
    <row r="474" spans="2:5" ht="15" customHeight="1">
      <c r="B474" s="112"/>
      <c r="C474" s="74" t="s">
        <v>309</v>
      </c>
      <c r="D474" s="77">
        <v>1</v>
      </c>
      <c r="E474" s="75">
        <v>0</v>
      </c>
    </row>
    <row r="475" spans="2:5" ht="15" customHeight="1">
      <c r="B475" s="112" t="s">
        <v>68</v>
      </c>
      <c r="C475" s="61" t="s">
        <v>204</v>
      </c>
      <c r="D475" s="71">
        <v>1</v>
      </c>
      <c r="E475" s="70">
        <v>0</v>
      </c>
    </row>
    <row r="476" spans="2:5" ht="15" customHeight="1">
      <c r="B476" s="112"/>
      <c r="C476" s="61" t="s">
        <v>288</v>
      </c>
      <c r="D476" s="71">
        <v>1</v>
      </c>
      <c r="E476" s="70">
        <v>0</v>
      </c>
    </row>
    <row r="477" spans="2:5" ht="15" customHeight="1">
      <c r="B477" s="112"/>
      <c r="C477" s="61" t="s">
        <v>289</v>
      </c>
      <c r="D477" s="71">
        <v>1</v>
      </c>
      <c r="E477" s="70">
        <v>0</v>
      </c>
    </row>
    <row r="478" spans="2:5" ht="15" customHeight="1">
      <c r="B478" s="112"/>
      <c r="C478" s="61" t="s">
        <v>290</v>
      </c>
      <c r="D478" s="71">
        <v>4</v>
      </c>
      <c r="E478" s="70">
        <v>0</v>
      </c>
    </row>
    <row r="479" spans="2:5" ht="15" customHeight="1">
      <c r="B479" s="112"/>
      <c r="C479" s="61" t="s">
        <v>292</v>
      </c>
      <c r="D479" s="71">
        <v>21</v>
      </c>
      <c r="E479" s="70">
        <v>1E-3</v>
      </c>
    </row>
    <row r="480" spans="2:5" ht="15" customHeight="1">
      <c r="B480" s="112"/>
      <c r="C480" s="61" t="s">
        <v>211</v>
      </c>
      <c r="D480" s="71">
        <v>32</v>
      </c>
      <c r="E480" s="70">
        <v>1E-3</v>
      </c>
    </row>
    <row r="481" spans="2:5" ht="15" customHeight="1">
      <c r="B481" s="112"/>
      <c r="C481" s="61" t="s">
        <v>293</v>
      </c>
      <c r="D481" s="71">
        <v>5</v>
      </c>
      <c r="E481" s="70">
        <v>0</v>
      </c>
    </row>
    <row r="482" spans="2:5" ht="15" customHeight="1">
      <c r="B482" s="112"/>
      <c r="C482" s="61" t="s">
        <v>294</v>
      </c>
      <c r="D482" s="71">
        <v>12</v>
      </c>
      <c r="E482" s="70">
        <v>0</v>
      </c>
    </row>
    <row r="483" spans="2:5" ht="15" customHeight="1">
      <c r="B483" s="112"/>
      <c r="C483" s="61" t="s">
        <v>295</v>
      </c>
      <c r="D483" s="71">
        <v>14</v>
      </c>
      <c r="E483" s="70">
        <v>1E-3</v>
      </c>
    </row>
    <row r="484" spans="2:5" ht="15" customHeight="1">
      <c r="B484" s="112"/>
      <c r="C484" s="61" t="s">
        <v>215</v>
      </c>
      <c r="D484" s="71">
        <v>90</v>
      </c>
      <c r="E484" s="70">
        <v>3.0000000000000001E-3</v>
      </c>
    </row>
    <row r="485" spans="2:5" ht="15" customHeight="1">
      <c r="B485" s="112"/>
      <c r="C485" s="61" t="s">
        <v>216</v>
      </c>
      <c r="D485" s="71">
        <v>1</v>
      </c>
      <c r="E485" s="70">
        <v>0</v>
      </c>
    </row>
    <row r="486" spans="2:5" ht="15" customHeight="1">
      <c r="B486" s="112"/>
      <c r="C486" s="61" t="s">
        <v>217</v>
      </c>
      <c r="D486" s="71">
        <v>14</v>
      </c>
      <c r="E486" s="70">
        <v>1E-3</v>
      </c>
    </row>
    <row r="487" spans="2:5" ht="15" customHeight="1">
      <c r="B487" s="112"/>
      <c r="C487" s="61" t="s">
        <v>218</v>
      </c>
      <c r="D487" s="71">
        <v>43</v>
      </c>
      <c r="E487" s="70">
        <v>2E-3</v>
      </c>
    </row>
    <row r="488" spans="2:5" ht="15" customHeight="1">
      <c r="B488" s="112"/>
      <c r="C488" s="61" t="s">
        <v>296</v>
      </c>
      <c r="D488" s="71">
        <v>2</v>
      </c>
      <c r="E488" s="70">
        <v>0</v>
      </c>
    </row>
    <row r="489" spans="2:5" ht="15" customHeight="1">
      <c r="B489" s="112"/>
      <c r="C489" s="61" t="s">
        <v>223</v>
      </c>
      <c r="D489" s="71">
        <v>2</v>
      </c>
      <c r="E489" s="70">
        <v>0</v>
      </c>
    </row>
    <row r="490" spans="2:5" ht="15" customHeight="1">
      <c r="B490" s="112"/>
      <c r="C490" s="61" t="s">
        <v>224</v>
      </c>
      <c r="D490" s="71">
        <v>2</v>
      </c>
      <c r="E490" s="70">
        <v>0</v>
      </c>
    </row>
    <row r="491" spans="2:5" ht="15" customHeight="1">
      <c r="B491" s="112"/>
      <c r="C491" s="74" t="s">
        <v>309</v>
      </c>
      <c r="D491" s="77">
        <v>245</v>
      </c>
      <c r="E491" s="75">
        <v>8.9999999999999993E-3</v>
      </c>
    </row>
    <row r="492" spans="2:5" ht="15" customHeight="1">
      <c r="B492" s="112" t="s">
        <v>88</v>
      </c>
      <c r="C492" s="61" t="s">
        <v>288</v>
      </c>
      <c r="D492" s="71">
        <v>1</v>
      </c>
      <c r="E492" s="70">
        <v>0</v>
      </c>
    </row>
    <row r="493" spans="2:5" ht="15" customHeight="1">
      <c r="B493" s="112"/>
      <c r="C493" s="61" t="s">
        <v>291</v>
      </c>
      <c r="D493" s="71">
        <v>1</v>
      </c>
      <c r="E493" s="70">
        <v>0</v>
      </c>
    </row>
    <row r="494" spans="2:5" ht="15" customHeight="1">
      <c r="B494" s="112"/>
      <c r="C494" s="61" t="s">
        <v>292</v>
      </c>
      <c r="D494" s="71">
        <v>1</v>
      </c>
      <c r="E494" s="70">
        <v>0</v>
      </c>
    </row>
    <row r="495" spans="2:5" ht="15" customHeight="1">
      <c r="B495" s="112"/>
      <c r="C495" s="61" t="s">
        <v>211</v>
      </c>
      <c r="D495" s="71">
        <v>2</v>
      </c>
      <c r="E495" s="70">
        <v>0</v>
      </c>
    </row>
    <row r="496" spans="2:5" ht="15" customHeight="1">
      <c r="B496" s="112"/>
      <c r="C496" s="61" t="s">
        <v>293</v>
      </c>
      <c r="D496" s="71">
        <v>1</v>
      </c>
      <c r="E496" s="70">
        <v>0</v>
      </c>
    </row>
    <row r="497" spans="2:5" ht="15" customHeight="1">
      <c r="B497" s="112"/>
      <c r="C497" s="61" t="s">
        <v>294</v>
      </c>
      <c r="D497" s="71">
        <v>2</v>
      </c>
      <c r="E497" s="70">
        <v>0</v>
      </c>
    </row>
    <row r="498" spans="2:5" ht="15" customHeight="1">
      <c r="B498" s="112"/>
      <c r="C498" s="61" t="s">
        <v>295</v>
      </c>
      <c r="D498" s="71">
        <v>2</v>
      </c>
      <c r="E498" s="70">
        <v>0</v>
      </c>
    </row>
    <row r="499" spans="2:5" ht="15" customHeight="1">
      <c r="B499" s="112"/>
      <c r="C499" s="61" t="s">
        <v>215</v>
      </c>
      <c r="D499" s="71">
        <v>15</v>
      </c>
      <c r="E499" s="70">
        <v>1E-3</v>
      </c>
    </row>
    <row r="500" spans="2:5" ht="15" customHeight="1">
      <c r="B500" s="112"/>
      <c r="C500" s="61" t="s">
        <v>216</v>
      </c>
      <c r="D500" s="71">
        <v>1</v>
      </c>
      <c r="E500" s="70">
        <v>0</v>
      </c>
    </row>
    <row r="501" spans="2:5" ht="15" customHeight="1">
      <c r="B501" s="112"/>
      <c r="C501" s="61" t="s">
        <v>217</v>
      </c>
      <c r="D501" s="71">
        <v>1</v>
      </c>
      <c r="E501" s="70">
        <v>0</v>
      </c>
    </row>
    <row r="502" spans="2:5" ht="15" customHeight="1">
      <c r="B502" s="112"/>
      <c r="C502" s="61" t="s">
        <v>298</v>
      </c>
      <c r="D502" s="71">
        <v>1</v>
      </c>
      <c r="E502" s="70">
        <v>0</v>
      </c>
    </row>
    <row r="503" spans="2:5" ht="15" customHeight="1">
      <c r="B503" s="112"/>
      <c r="C503" s="61" t="s">
        <v>224</v>
      </c>
      <c r="D503" s="71">
        <v>2</v>
      </c>
      <c r="E503" s="70">
        <v>0</v>
      </c>
    </row>
    <row r="504" spans="2:5" ht="15" customHeight="1">
      <c r="B504" s="112"/>
      <c r="C504" s="74" t="s">
        <v>309</v>
      </c>
      <c r="D504" s="77">
        <v>30</v>
      </c>
      <c r="E504" s="75">
        <v>1E-3</v>
      </c>
    </row>
    <row r="505" spans="2:5" ht="15" customHeight="1">
      <c r="B505" s="112" t="s">
        <v>49</v>
      </c>
      <c r="C505" s="61" t="s">
        <v>204</v>
      </c>
      <c r="D505" s="71">
        <v>11</v>
      </c>
      <c r="E505" s="70">
        <v>0</v>
      </c>
    </row>
    <row r="506" spans="2:5" ht="15" customHeight="1">
      <c r="B506" s="112"/>
      <c r="C506" s="61" t="s">
        <v>287</v>
      </c>
      <c r="D506" s="71">
        <v>11</v>
      </c>
      <c r="E506" s="70">
        <v>0</v>
      </c>
    </row>
    <row r="507" spans="2:5" ht="15" customHeight="1">
      <c r="B507" s="112"/>
      <c r="C507" s="61" t="s">
        <v>288</v>
      </c>
      <c r="D507" s="71">
        <v>26</v>
      </c>
      <c r="E507" s="70">
        <v>1E-3</v>
      </c>
    </row>
    <row r="508" spans="2:5" ht="15" customHeight="1">
      <c r="B508" s="112"/>
      <c r="C508" s="61" t="s">
        <v>289</v>
      </c>
      <c r="D508" s="71">
        <v>35</v>
      </c>
      <c r="E508" s="70">
        <v>1E-3</v>
      </c>
    </row>
    <row r="509" spans="2:5" ht="15" customHeight="1">
      <c r="B509" s="112"/>
      <c r="C509" s="61" t="s">
        <v>290</v>
      </c>
      <c r="D509" s="71">
        <v>32</v>
      </c>
      <c r="E509" s="70">
        <v>1E-3</v>
      </c>
    </row>
    <row r="510" spans="2:5" ht="15" customHeight="1">
      <c r="B510" s="112"/>
      <c r="C510" s="61" t="s">
        <v>291</v>
      </c>
      <c r="D510" s="71">
        <v>45</v>
      </c>
      <c r="E510" s="70">
        <v>2E-3</v>
      </c>
    </row>
    <row r="511" spans="2:5" ht="15" customHeight="1">
      <c r="B511" s="112"/>
      <c r="C511" s="61" t="s">
        <v>292</v>
      </c>
      <c r="D511" s="71">
        <v>117</v>
      </c>
      <c r="E511" s="70">
        <v>4.0000000000000001E-3</v>
      </c>
    </row>
    <row r="512" spans="2:5" ht="15" customHeight="1">
      <c r="B512" s="112"/>
      <c r="C512" s="61" t="s">
        <v>211</v>
      </c>
      <c r="D512" s="71">
        <v>304</v>
      </c>
      <c r="E512" s="70">
        <v>1.0999999999999999E-2</v>
      </c>
    </row>
    <row r="513" spans="2:5" ht="15" customHeight="1">
      <c r="B513" s="112"/>
      <c r="C513" s="61" t="s">
        <v>293</v>
      </c>
      <c r="D513" s="71">
        <v>36</v>
      </c>
      <c r="E513" s="70">
        <v>1E-3</v>
      </c>
    </row>
    <row r="514" spans="2:5" ht="15" customHeight="1">
      <c r="B514" s="112"/>
      <c r="C514" s="61" t="s">
        <v>294</v>
      </c>
      <c r="D514" s="71">
        <v>60</v>
      </c>
      <c r="E514" s="70">
        <v>2E-3</v>
      </c>
    </row>
    <row r="515" spans="2:5" ht="15" customHeight="1">
      <c r="B515" s="112"/>
      <c r="C515" s="61" t="s">
        <v>295</v>
      </c>
      <c r="D515" s="71">
        <v>64</v>
      </c>
      <c r="E515" s="70">
        <v>2E-3</v>
      </c>
    </row>
    <row r="516" spans="2:5" ht="15" customHeight="1">
      <c r="B516" s="112"/>
      <c r="C516" s="61" t="s">
        <v>215</v>
      </c>
      <c r="D516" s="71">
        <v>671</v>
      </c>
      <c r="E516" s="70">
        <v>2.5000000000000001E-2</v>
      </c>
    </row>
    <row r="517" spans="2:5" ht="15" customHeight="1">
      <c r="B517" s="112"/>
      <c r="C517" s="61" t="s">
        <v>216</v>
      </c>
      <c r="D517" s="71">
        <v>11</v>
      </c>
      <c r="E517" s="70">
        <v>0</v>
      </c>
    </row>
    <row r="518" spans="2:5" ht="15" customHeight="1">
      <c r="B518" s="112"/>
      <c r="C518" s="61" t="s">
        <v>217</v>
      </c>
      <c r="D518" s="71">
        <v>123</v>
      </c>
      <c r="E518" s="70">
        <v>5.0000000000000001E-3</v>
      </c>
    </row>
    <row r="519" spans="2:5" ht="15" customHeight="1">
      <c r="B519" s="112"/>
      <c r="C519" s="61" t="s">
        <v>218</v>
      </c>
      <c r="D519" s="71">
        <v>355</v>
      </c>
      <c r="E519" s="70">
        <v>1.2999999999999999E-2</v>
      </c>
    </row>
    <row r="520" spans="2:5" ht="15" customHeight="1">
      <c r="B520" s="112"/>
      <c r="C520" s="61" t="s">
        <v>296</v>
      </c>
      <c r="D520" s="71">
        <v>4</v>
      </c>
      <c r="E520" s="70">
        <v>0</v>
      </c>
    </row>
    <row r="521" spans="2:5" ht="15" customHeight="1">
      <c r="B521" s="112"/>
      <c r="C521" s="61" t="s">
        <v>297</v>
      </c>
      <c r="D521" s="71">
        <v>8</v>
      </c>
      <c r="E521" s="70">
        <v>0</v>
      </c>
    </row>
    <row r="522" spans="2:5" ht="15" customHeight="1">
      <c r="B522" s="112"/>
      <c r="C522" s="61" t="s">
        <v>298</v>
      </c>
      <c r="D522" s="71">
        <v>3</v>
      </c>
      <c r="E522" s="70">
        <v>0</v>
      </c>
    </row>
    <row r="523" spans="2:5" ht="15" customHeight="1">
      <c r="B523" s="112"/>
      <c r="C523" s="61" t="s">
        <v>299</v>
      </c>
      <c r="D523" s="71">
        <v>2</v>
      </c>
      <c r="E523" s="70">
        <v>0</v>
      </c>
    </row>
    <row r="524" spans="2:5" ht="15" customHeight="1">
      <c r="B524" s="112"/>
      <c r="C524" s="61" t="s">
        <v>223</v>
      </c>
      <c r="D524" s="71">
        <v>18</v>
      </c>
      <c r="E524" s="70">
        <v>1E-3</v>
      </c>
    </row>
    <row r="525" spans="2:5" ht="15" customHeight="1">
      <c r="B525" s="112"/>
      <c r="C525" s="61" t="s">
        <v>224</v>
      </c>
      <c r="D525" s="71">
        <v>39</v>
      </c>
      <c r="E525" s="70">
        <v>1E-3</v>
      </c>
    </row>
    <row r="526" spans="2:5" ht="15" customHeight="1">
      <c r="B526" s="112"/>
      <c r="C526" s="61" t="s">
        <v>225</v>
      </c>
      <c r="D526" s="71">
        <v>2</v>
      </c>
      <c r="E526" s="70">
        <v>0</v>
      </c>
    </row>
    <row r="527" spans="2:5" ht="15" customHeight="1">
      <c r="B527" s="112"/>
      <c r="C527" s="61" t="s">
        <v>226</v>
      </c>
      <c r="D527" s="71">
        <v>1</v>
      </c>
      <c r="E527" s="70">
        <v>0</v>
      </c>
    </row>
    <row r="528" spans="2:5" ht="15" customHeight="1">
      <c r="B528" s="112"/>
      <c r="C528" s="61" t="s">
        <v>227</v>
      </c>
      <c r="D528" s="71">
        <v>2</v>
      </c>
      <c r="E528" s="70">
        <v>0</v>
      </c>
    </row>
    <row r="529" spans="2:5" ht="15" customHeight="1">
      <c r="B529" s="112"/>
      <c r="C529" s="74" t="s">
        <v>309</v>
      </c>
      <c r="D529" s="59">
        <v>1980</v>
      </c>
      <c r="E529" s="75">
        <v>7.2999999999999995E-2</v>
      </c>
    </row>
    <row r="530" spans="2:5" ht="15" customHeight="1">
      <c r="B530" s="112" t="s">
        <v>75</v>
      </c>
      <c r="C530" s="61" t="s">
        <v>286</v>
      </c>
      <c r="D530" s="71">
        <v>1</v>
      </c>
      <c r="E530" s="70">
        <v>0</v>
      </c>
    </row>
    <row r="531" spans="2:5" ht="15" customHeight="1">
      <c r="B531" s="112"/>
      <c r="C531" s="61" t="s">
        <v>287</v>
      </c>
      <c r="D531" s="71">
        <v>1</v>
      </c>
      <c r="E531" s="70">
        <v>0</v>
      </c>
    </row>
    <row r="532" spans="2:5" ht="15" customHeight="1">
      <c r="B532" s="112"/>
      <c r="C532" s="61" t="s">
        <v>288</v>
      </c>
      <c r="D532" s="71">
        <v>3</v>
      </c>
      <c r="E532" s="70">
        <v>0</v>
      </c>
    </row>
    <row r="533" spans="2:5" ht="15" customHeight="1">
      <c r="B533" s="112"/>
      <c r="C533" s="61" t="s">
        <v>289</v>
      </c>
      <c r="D533" s="71">
        <v>5</v>
      </c>
      <c r="E533" s="70">
        <v>0</v>
      </c>
    </row>
    <row r="534" spans="2:5" ht="15" customHeight="1">
      <c r="B534" s="112"/>
      <c r="C534" s="61" t="s">
        <v>290</v>
      </c>
      <c r="D534" s="71">
        <v>6</v>
      </c>
      <c r="E534" s="70">
        <v>0</v>
      </c>
    </row>
    <row r="535" spans="2:5" ht="15" customHeight="1">
      <c r="B535" s="112"/>
      <c r="C535" s="61" t="s">
        <v>291</v>
      </c>
      <c r="D535" s="71">
        <v>6</v>
      </c>
      <c r="E535" s="70">
        <v>0</v>
      </c>
    </row>
    <row r="536" spans="2:5" ht="15" customHeight="1">
      <c r="B536" s="112"/>
      <c r="C536" s="61" t="s">
        <v>292</v>
      </c>
      <c r="D536" s="71">
        <v>26</v>
      </c>
      <c r="E536" s="70">
        <v>1E-3</v>
      </c>
    </row>
    <row r="537" spans="2:5" ht="15" customHeight="1">
      <c r="B537" s="112"/>
      <c r="C537" s="61" t="s">
        <v>211</v>
      </c>
      <c r="D537" s="71">
        <v>41</v>
      </c>
      <c r="E537" s="70">
        <v>2E-3</v>
      </c>
    </row>
    <row r="538" spans="2:5" ht="15" customHeight="1">
      <c r="B538" s="112"/>
      <c r="C538" s="61" t="s">
        <v>293</v>
      </c>
      <c r="D538" s="71">
        <v>7</v>
      </c>
      <c r="E538" s="70">
        <v>0</v>
      </c>
    </row>
    <row r="539" spans="2:5" ht="15" customHeight="1">
      <c r="B539" s="112"/>
      <c r="C539" s="61" t="s">
        <v>294</v>
      </c>
      <c r="D539" s="71">
        <v>10</v>
      </c>
      <c r="E539" s="70">
        <v>0</v>
      </c>
    </row>
    <row r="540" spans="2:5" ht="15" customHeight="1">
      <c r="B540" s="112"/>
      <c r="C540" s="61" t="s">
        <v>295</v>
      </c>
      <c r="D540" s="71">
        <v>14</v>
      </c>
      <c r="E540" s="70">
        <v>1E-3</v>
      </c>
    </row>
    <row r="541" spans="2:5" ht="15" customHeight="1">
      <c r="B541" s="112"/>
      <c r="C541" s="61" t="s">
        <v>215</v>
      </c>
      <c r="D541" s="71">
        <v>103</v>
      </c>
      <c r="E541" s="70">
        <v>4.0000000000000001E-3</v>
      </c>
    </row>
    <row r="542" spans="2:5" ht="15" customHeight="1">
      <c r="B542" s="112"/>
      <c r="C542" s="61" t="s">
        <v>216</v>
      </c>
      <c r="D542" s="71">
        <v>1</v>
      </c>
      <c r="E542" s="70">
        <v>0</v>
      </c>
    </row>
    <row r="543" spans="2:5" ht="15" customHeight="1">
      <c r="B543" s="112"/>
      <c r="C543" s="61" t="s">
        <v>217</v>
      </c>
      <c r="D543" s="71">
        <v>16</v>
      </c>
      <c r="E543" s="70">
        <v>1E-3</v>
      </c>
    </row>
    <row r="544" spans="2:5" ht="15" customHeight="1">
      <c r="B544" s="112"/>
      <c r="C544" s="61" t="s">
        <v>218</v>
      </c>
      <c r="D544" s="71">
        <v>59</v>
      </c>
      <c r="E544" s="70">
        <v>2E-3</v>
      </c>
    </row>
    <row r="545" spans="2:5" ht="15" customHeight="1">
      <c r="B545" s="112"/>
      <c r="C545" s="61" t="s">
        <v>296</v>
      </c>
      <c r="D545" s="71">
        <v>3</v>
      </c>
      <c r="E545" s="70">
        <v>0</v>
      </c>
    </row>
    <row r="546" spans="2:5" ht="15" customHeight="1">
      <c r="B546" s="112"/>
      <c r="C546" s="61" t="s">
        <v>297</v>
      </c>
      <c r="D546" s="71">
        <v>1</v>
      </c>
      <c r="E546" s="70">
        <v>0</v>
      </c>
    </row>
    <row r="547" spans="2:5" ht="15" customHeight="1">
      <c r="B547" s="112"/>
      <c r="C547" s="61" t="s">
        <v>298</v>
      </c>
      <c r="D547" s="71">
        <v>1</v>
      </c>
      <c r="E547" s="70">
        <v>0</v>
      </c>
    </row>
    <row r="548" spans="2:5" ht="15" customHeight="1">
      <c r="B548" s="112"/>
      <c r="C548" s="61" t="s">
        <v>223</v>
      </c>
      <c r="D548" s="71">
        <v>1</v>
      </c>
      <c r="E548" s="70">
        <v>0</v>
      </c>
    </row>
    <row r="549" spans="2:5" ht="15" customHeight="1">
      <c r="B549" s="112"/>
      <c r="C549" s="61" t="s">
        <v>224</v>
      </c>
      <c r="D549" s="71">
        <v>9</v>
      </c>
      <c r="E549" s="70">
        <v>0</v>
      </c>
    </row>
    <row r="550" spans="2:5" ht="15" customHeight="1">
      <c r="B550" s="112"/>
      <c r="C550" s="61" t="s">
        <v>225</v>
      </c>
      <c r="D550" s="71">
        <v>1</v>
      </c>
      <c r="E550" s="70">
        <v>0</v>
      </c>
    </row>
    <row r="551" spans="2:5" ht="15" customHeight="1">
      <c r="B551" s="112"/>
      <c r="C551" s="74" t="s">
        <v>309</v>
      </c>
      <c r="D551" s="77">
        <v>315</v>
      </c>
      <c r="E551" s="75">
        <v>1.2E-2</v>
      </c>
    </row>
    <row r="552" spans="2:5" ht="15" customHeight="1">
      <c r="B552" s="112" t="s">
        <v>72</v>
      </c>
      <c r="C552" s="61" t="s">
        <v>204</v>
      </c>
      <c r="D552" s="71">
        <v>2</v>
      </c>
      <c r="E552" s="70">
        <v>0</v>
      </c>
    </row>
    <row r="553" spans="2:5" ht="15" customHeight="1">
      <c r="B553" s="112"/>
      <c r="C553" s="61" t="s">
        <v>288</v>
      </c>
      <c r="D553" s="71">
        <v>2</v>
      </c>
      <c r="E553" s="70">
        <v>0</v>
      </c>
    </row>
    <row r="554" spans="2:5" ht="15" customHeight="1">
      <c r="B554" s="112"/>
      <c r="C554" s="61" t="s">
        <v>289</v>
      </c>
      <c r="D554" s="71">
        <v>9</v>
      </c>
      <c r="E554" s="70">
        <v>0</v>
      </c>
    </row>
    <row r="555" spans="2:5" ht="15" customHeight="1">
      <c r="B555" s="112"/>
      <c r="C555" s="61" t="s">
        <v>290</v>
      </c>
      <c r="D555" s="71">
        <v>2</v>
      </c>
      <c r="E555" s="70">
        <v>0</v>
      </c>
    </row>
    <row r="556" spans="2:5" ht="15" customHeight="1">
      <c r="B556" s="112"/>
      <c r="C556" s="61" t="s">
        <v>291</v>
      </c>
      <c r="D556" s="71">
        <v>4</v>
      </c>
      <c r="E556" s="70">
        <v>0</v>
      </c>
    </row>
    <row r="557" spans="2:5" ht="15" customHeight="1">
      <c r="B557" s="112"/>
      <c r="C557" s="61" t="s">
        <v>292</v>
      </c>
      <c r="D557" s="71">
        <v>9</v>
      </c>
      <c r="E557" s="70">
        <v>0</v>
      </c>
    </row>
    <row r="558" spans="2:5" ht="15" customHeight="1">
      <c r="B558" s="112"/>
      <c r="C558" s="61" t="s">
        <v>211</v>
      </c>
      <c r="D558" s="71">
        <v>27</v>
      </c>
      <c r="E558" s="70">
        <v>1E-3</v>
      </c>
    </row>
    <row r="559" spans="2:5" ht="15" customHeight="1">
      <c r="B559" s="112"/>
      <c r="C559" s="61" t="s">
        <v>293</v>
      </c>
      <c r="D559" s="71">
        <v>1</v>
      </c>
      <c r="E559" s="70">
        <v>0</v>
      </c>
    </row>
    <row r="560" spans="2:5" ht="15" customHeight="1">
      <c r="B560" s="112"/>
      <c r="C560" s="61" t="s">
        <v>294</v>
      </c>
      <c r="D560" s="71">
        <v>4</v>
      </c>
      <c r="E560" s="70">
        <v>0</v>
      </c>
    </row>
    <row r="561" spans="2:5" ht="15" customHeight="1">
      <c r="B561" s="112"/>
      <c r="C561" s="61" t="s">
        <v>295</v>
      </c>
      <c r="D561" s="71">
        <v>4</v>
      </c>
      <c r="E561" s="70">
        <v>0</v>
      </c>
    </row>
    <row r="562" spans="2:5" ht="15" customHeight="1">
      <c r="B562" s="112"/>
      <c r="C562" s="61" t="s">
        <v>215</v>
      </c>
      <c r="D562" s="71">
        <v>40</v>
      </c>
      <c r="E562" s="70">
        <v>1E-3</v>
      </c>
    </row>
    <row r="563" spans="2:5" ht="15" customHeight="1">
      <c r="B563" s="112"/>
      <c r="C563" s="61" t="s">
        <v>216</v>
      </c>
      <c r="D563" s="71">
        <v>2</v>
      </c>
      <c r="E563" s="70">
        <v>0</v>
      </c>
    </row>
    <row r="564" spans="2:5" ht="15" customHeight="1">
      <c r="B564" s="112"/>
      <c r="C564" s="61" t="s">
        <v>217</v>
      </c>
      <c r="D564" s="71">
        <v>11</v>
      </c>
      <c r="E564" s="70">
        <v>0</v>
      </c>
    </row>
    <row r="565" spans="2:5" ht="15" customHeight="1">
      <c r="B565" s="112"/>
      <c r="C565" s="61" t="s">
        <v>218</v>
      </c>
      <c r="D565" s="71">
        <v>19</v>
      </c>
      <c r="E565" s="70">
        <v>1E-3</v>
      </c>
    </row>
    <row r="566" spans="2:5" ht="15" customHeight="1">
      <c r="B566" s="112"/>
      <c r="C566" s="61" t="s">
        <v>223</v>
      </c>
      <c r="D566" s="71">
        <v>1</v>
      </c>
      <c r="E566" s="70">
        <v>0</v>
      </c>
    </row>
    <row r="567" spans="2:5" ht="15" customHeight="1">
      <c r="B567" s="112"/>
      <c r="C567" s="61" t="s">
        <v>224</v>
      </c>
      <c r="D567" s="71">
        <v>2</v>
      </c>
      <c r="E567" s="70">
        <v>0</v>
      </c>
    </row>
    <row r="568" spans="2:5" ht="15" customHeight="1">
      <c r="B568" s="112"/>
      <c r="C568" s="74" t="s">
        <v>309</v>
      </c>
      <c r="D568" s="77">
        <v>139</v>
      </c>
      <c r="E568" s="75">
        <v>5.0000000000000001E-3</v>
      </c>
    </row>
    <row r="569" spans="2:5" ht="15" customHeight="1">
      <c r="B569" s="112" t="s">
        <v>74</v>
      </c>
      <c r="C569" s="61" t="s">
        <v>204</v>
      </c>
      <c r="D569" s="71">
        <v>4</v>
      </c>
      <c r="E569" s="70">
        <v>0</v>
      </c>
    </row>
    <row r="570" spans="2:5" ht="15" customHeight="1">
      <c r="B570" s="112"/>
      <c r="C570" s="61" t="s">
        <v>287</v>
      </c>
      <c r="D570" s="71">
        <v>2</v>
      </c>
      <c r="E570" s="70">
        <v>0</v>
      </c>
    </row>
    <row r="571" spans="2:5" ht="15" customHeight="1">
      <c r="B571" s="112"/>
      <c r="C571" s="61" t="s">
        <v>288</v>
      </c>
      <c r="D571" s="71">
        <v>4</v>
      </c>
      <c r="E571" s="70">
        <v>0</v>
      </c>
    </row>
    <row r="572" spans="2:5" ht="15" customHeight="1">
      <c r="B572" s="112"/>
      <c r="C572" s="61" t="s">
        <v>289</v>
      </c>
      <c r="D572" s="71">
        <v>7</v>
      </c>
      <c r="E572" s="70">
        <v>0</v>
      </c>
    </row>
    <row r="573" spans="2:5" ht="15" customHeight="1">
      <c r="B573" s="112"/>
      <c r="C573" s="61" t="s">
        <v>290</v>
      </c>
      <c r="D573" s="71">
        <v>10</v>
      </c>
      <c r="E573" s="70">
        <v>0</v>
      </c>
    </row>
    <row r="574" spans="2:5" ht="15" customHeight="1">
      <c r="B574" s="112"/>
      <c r="C574" s="61" t="s">
        <v>291</v>
      </c>
      <c r="D574" s="71">
        <v>6</v>
      </c>
      <c r="E574" s="70">
        <v>0</v>
      </c>
    </row>
    <row r="575" spans="2:5" ht="15" customHeight="1">
      <c r="B575" s="112"/>
      <c r="C575" s="61" t="s">
        <v>292</v>
      </c>
      <c r="D575" s="71">
        <v>25</v>
      </c>
      <c r="E575" s="70">
        <v>1E-3</v>
      </c>
    </row>
    <row r="576" spans="2:5" ht="15" customHeight="1">
      <c r="B576" s="112"/>
      <c r="C576" s="61" t="s">
        <v>211</v>
      </c>
      <c r="D576" s="71">
        <v>31</v>
      </c>
      <c r="E576" s="70">
        <v>1E-3</v>
      </c>
    </row>
    <row r="577" spans="2:5" ht="15" customHeight="1">
      <c r="B577" s="112"/>
      <c r="C577" s="61" t="s">
        <v>293</v>
      </c>
      <c r="D577" s="71">
        <v>2</v>
      </c>
      <c r="E577" s="70">
        <v>0</v>
      </c>
    </row>
    <row r="578" spans="2:5" ht="15" customHeight="1">
      <c r="B578" s="112"/>
      <c r="C578" s="61" t="s">
        <v>294</v>
      </c>
      <c r="D578" s="71">
        <v>7</v>
      </c>
      <c r="E578" s="70">
        <v>0</v>
      </c>
    </row>
    <row r="579" spans="2:5" ht="15" customHeight="1">
      <c r="B579" s="112"/>
      <c r="C579" s="61" t="s">
        <v>295</v>
      </c>
      <c r="D579" s="71">
        <v>3</v>
      </c>
      <c r="E579" s="70">
        <v>0</v>
      </c>
    </row>
    <row r="580" spans="2:5" ht="15" customHeight="1">
      <c r="B580" s="112"/>
      <c r="C580" s="61" t="s">
        <v>215</v>
      </c>
      <c r="D580" s="71">
        <v>59</v>
      </c>
      <c r="E580" s="70">
        <v>2E-3</v>
      </c>
    </row>
    <row r="581" spans="2:5" ht="15" customHeight="1">
      <c r="B581" s="112"/>
      <c r="C581" s="61" t="s">
        <v>216</v>
      </c>
      <c r="D581" s="71">
        <v>3</v>
      </c>
      <c r="E581" s="70">
        <v>0</v>
      </c>
    </row>
    <row r="582" spans="2:5" ht="15" customHeight="1">
      <c r="B582" s="112"/>
      <c r="C582" s="61" t="s">
        <v>217</v>
      </c>
      <c r="D582" s="71">
        <v>9</v>
      </c>
      <c r="E582" s="70">
        <v>0</v>
      </c>
    </row>
    <row r="583" spans="2:5" ht="15" customHeight="1">
      <c r="B583" s="112"/>
      <c r="C583" s="61" t="s">
        <v>218</v>
      </c>
      <c r="D583" s="71">
        <v>27</v>
      </c>
      <c r="E583" s="70">
        <v>1E-3</v>
      </c>
    </row>
    <row r="584" spans="2:5" ht="15" customHeight="1">
      <c r="B584" s="112"/>
      <c r="C584" s="61" t="s">
        <v>296</v>
      </c>
      <c r="D584" s="71">
        <v>1</v>
      </c>
      <c r="E584" s="70">
        <v>0</v>
      </c>
    </row>
    <row r="585" spans="2:5" ht="15" customHeight="1">
      <c r="B585" s="112"/>
      <c r="C585" s="61" t="s">
        <v>297</v>
      </c>
      <c r="D585" s="71">
        <v>1</v>
      </c>
      <c r="E585" s="70">
        <v>0</v>
      </c>
    </row>
    <row r="586" spans="2:5" ht="15" customHeight="1">
      <c r="B586" s="112"/>
      <c r="C586" s="61" t="s">
        <v>223</v>
      </c>
      <c r="D586" s="71">
        <v>2</v>
      </c>
      <c r="E586" s="70">
        <v>0</v>
      </c>
    </row>
    <row r="587" spans="2:5" ht="15" customHeight="1">
      <c r="B587" s="112"/>
      <c r="C587" s="61" t="s">
        <v>224</v>
      </c>
      <c r="D587" s="71">
        <v>9</v>
      </c>
      <c r="E587" s="70">
        <v>0</v>
      </c>
    </row>
    <row r="588" spans="2:5" ht="15" customHeight="1">
      <c r="B588" s="112"/>
      <c r="C588" s="61" t="s">
        <v>226</v>
      </c>
      <c r="D588" s="71">
        <v>1</v>
      </c>
      <c r="E588" s="70">
        <v>0</v>
      </c>
    </row>
    <row r="589" spans="2:5" ht="15" customHeight="1">
      <c r="B589" s="112"/>
      <c r="C589" s="74" t="s">
        <v>309</v>
      </c>
      <c r="D589" s="77">
        <v>213</v>
      </c>
      <c r="E589" s="75">
        <v>8.0000000000000002E-3</v>
      </c>
    </row>
    <row r="590" spans="2:5" ht="15" customHeight="1">
      <c r="B590" s="112" t="s">
        <v>62</v>
      </c>
      <c r="C590" s="61" t="s">
        <v>204</v>
      </c>
      <c r="D590" s="71">
        <v>9</v>
      </c>
      <c r="E590" s="70">
        <v>0</v>
      </c>
    </row>
    <row r="591" spans="2:5" ht="15" customHeight="1">
      <c r="B591" s="112"/>
      <c r="C591" s="61" t="s">
        <v>287</v>
      </c>
      <c r="D591" s="71">
        <v>3</v>
      </c>
      <c r="E591" s="70">
        <v>0</v>
      </c>
    </row>
    <row r="592" spans="2:5" ht="15" customHeight="1">
      <c r="B592" s="112"/>
      <c r="C592" s="61" t="s">
        <v>288</v>
      </c>
      <c r="D592" s="71">
        <v>1</v>
      </c>
      <c r="E592" s="70">
        <v>0</v>
      </c>
    </row>
    <row r="593" spans="2:5" ht="15" customHeight="1">
      <c r="B593" s="112"/>
      <c r="C593" s="61" t="s">
        <v>289</v>
      </c>
      <c r="D593" s="71">
        <v>8</v>
      </c>
      <c r="E593" s="70">
        <v>0</v>
      </c>
    </row>
    <row r="594" spans="2:5" ht="15" customHeight="1">
      <c r="B594" s="112"/>
      <c r="C594" s="61" t="s">
        <v>290</v>
      </c>
      <c r="D594" s="71">
        <v>6</v>
      </c>
      <c r="E594" s="70">
        <v>0</v>
      </c>
    </row>
    <row r="595" spans="2:5" ht="15" customHeight="1">
      <c r="B595" s="112"/>
      <c r="C595" s="61" t="s">
        <v>291</v>
      </c>
      <c r="D595" s="71">
        <v>11</v>
      </c>
      <c r="E595" s="70">
        <v>0</v>
      </c>
    </row>
    <row r="596" spans="2:5" ht="15" customHeight="1">
      <c r="B596" s="112"/>
      <c r="C596" s="61" t="s">
        <v>292</v>
      </c>
      <c r="D596" s="71">
        <v>48</v>
      </c>
      <c r="E596" s="70">
        <v>2E-3</v>
      </c>
    </row>
    <row r="597" spans="2:5" ht="15" customHeight="1">
      <c r="B597" s="112"/>
      <c r="C597" s="61" t="s">
        <v>211</v>
      </c>
      <c r="D597" s="71">
        <v>67</v>
      </c>
      <c r="E597" s="70">
        <v>2E-3</v>
      </c>
    </row>
    <row r="598" spans="2:5" ht="15" customHeight="1">
      <c r="B598" s="112"/>
      <c r="C598" s="61" t="s">
        <v>293</v>
      </c>
      <c r="D598" s="71">
        <v>1</v>
      </c>
      <c r="E598" s="70">
        <v>0</v>
      </c>
    </row>
    <row r="599" spans="2:5" ht="15" customHeight="1">
      <c r="B599" s="112"/>
      <c r="C599" s="61" t="s">
        <v>294</v>
      </c>
      <c r="D599" s="71">
        <v>9</v>
      </c>
      <c r="E599" s="70">
        <v>0</v>
      </c>
    </row>
    <row r="600" spans="2:5" ht="15" customHeight="1">
      <c r="B600" s="112"/>
      <c r="C600" s="61" t="s">
        <v>295</v>
      </c>
      <c r="D600" s="71">
        <v>12</v>
      </c>
      <c r="E600" s="70">
        <v>0</v>
      </c>
    </row>
    <row r="601" spans="2:5" ht="15" customHeight="1">
      <c r="B601" s="112"/>
      <c r="C601" s="61" t="s">
        <v>215</v>
      </c>
      <c r="D601" s="71">
        <v>106</v>
      </c>
      <c r="E601" s="70">
        <v>4.0000000000000001E-3</v>
      </c>
    </row>
    <row r="602" spans="2:5" ht="15" customHeight="1">
      <c r="B602" s="112"/>
      <c r="C602" s="61" t="s">
        <v>216</v>
      </c>
      <c r="D602" s="71">
        <v>3</v>
      </c>
      <c r="E602" s="70">
        <v>0</v>
      </c>
    </row>
    <row r="603" spans="2:5" ht="15" customHeight="1">
      <c r="B603" s="112"/>
      <c r="C603" s="61" t="s">
        <v>217</v>
      </c>
      <c r="D603" s="71">
        <v>22</v>
      </c>
      <c r="E603" s="70">
        <v>1E-3</v>
      </c>
    </row>
    <row r="604" spans="2:5" ht="15" customHeight="1">
      <c r="B604" s="112"/>
      <c r="C604" s="61" t="s">
        <v>218</v>
      </c>
      <c r="D604" s="71">
        <v>54</v>
      </c>
      <c r="E604" s="70">
        <v>2E-3</v>
      </c>
    </row>
    <row r="605" spans="2:5" ht="15" customHeight="1">
      <c r="B605" s="112"/>
      <c r="C605" s="61" t="s">
        <v>296</v>
      </c>
      <c r="D605" s="71">
        <v>2</v>
      </c>
      <c r="E605" s="70">
        <v>0</v>
      </c>
    </row>
    <row r="606" spans="2:5" ht="15" customHeight="1">
      <c r="B606" s="112"/>
      <c r="C606" s="61" t="s">
        <v>297</v>
      </c>
      <c r="D606" s="71">
        <v>1</v>
      </c>
      <c r="E606" s="70">
        <v>0</v>
      </c>
    </row>
    <row r="607" spans="2:5" ht="15" customHeight="1">
      <c r="B607" s="112"/>
      <c r="C607" s="61" t="s">
        <v>298</v>
      </c>
      <c r="D607" s="71">
        <v>1</v>
      </c>
      <c r="E607" s="70">
        <v>0</v>
      </c>
    </row>
    <row r="608" spans="2:5" ht="15" customHeight="1">
      <c r="B608" s="112"/>
      <c r="C608" s="61" t="s">
        <v>299</v>
      </c>
      <c r="D608" s="71">
        <v>1</v>
      </c>
      <c r="E608" s="70">
        <v>0</v>
      </c>
    </row>
    <row r="609" spans="2:5" ht="15" customHeight="1">
      <c r="B609" s="112"/>
      <c r="C609" s="61" t="s">
        <v>223</v>
      </c>
      <c r="D609" s="71">
        <v>1</v>
      </c>
      <c r="E609" s="70">
        <v>0</v>
      </c>
    </row>
    <row r="610" spans="2:5" ht="15" customHeight="1">
      <c r="B610" s="112"/>
      <c r="C610" s="61" t="s">
        <v>224</v>
      </c>
      <c r="D610" s="71">
        <v>12</v>
      </c>
      <c r="E610" s="70">
        <v>0</v>
      </c>
    </row>
    <row r="611" spans="2:5" ht="15" customHeight="1">
      <c r="B611" s="112"/>
      <c r="C611" s="61" t="s">
        <v>226</v>
      </c>
      <c r="D611" s="71">
        <v>1</v>
      </c>
      <c r="E611" s="70">
        <v>0</v>
      </c>
    </row>
    <row r="612" spans="2:5" ht="15" customHeight="1">
      <c r="B612" s="112"/>
      <c r="C612" s="61" t="s">
        <v>227</v>
      </c>
      <c r="D612" s="71">
        <v>1</v>
      </c>
      <c r="E612" s="70">
        <v>0</v>
      </c>
    </row>
    <row r="613" spans="2:5" ht="15" customHeight="1">
      <c r="B613" s="112"/>
      <c r="C613" s="74" t="s">
        <v>309</v>
      </c>
      <c r="D613" s="77">
        <v>380</v>
      </c>
      <c r="E613" s="75">
        <v>1.4E-2</v>
      </c>
    </row>
    <row r="614" spans="2:5" ht="15" customHeight="1">
      <c r="B614" s="112" t="s">
        <v>82</v>
      </c>
      <c r="C614" s="61" t="s">
        <v>204</v>
      </c>
      <c r="D614" s="71">
        <v>1</v>
      </c>
      <c r="E614" s="70">
        <v>0</v>
      </c>
    </row>
    <row r="615" spans="2:5" ht="15" customHeight="1">
      <c r="B615" s="112"/>
      <c r="C615" s="61" t="s">
        <v>289</v>
      </c>
      <c r="D615" s="71">
        <v>2</v>
      </c>
      <c r="E615" s="70">
        <v>0</v>
      </c>
    </row>
    <row r="616" spans="2:5" ht="15" customHeight="1">
      <c r="B616" s="112"/>
      <c r="C616" s="61" t="s">
        <v>290</v>
      </c>
      <c r="D616" s="71">
        <v>4</v>
      </c>
      <c r="E616" s="70">
        <v>0</v>
      </c>
    </row>
    <row r="617" spans="2:5" ht="15" customHeight="1">
      <c r="B617" s="112"/>
      <c r="C617" s="61" t="s">
        <v>291</v>
      </c>
      <c r="D617" s="71">
        <v>2</v>
      </c>
      <c r="E617" s="70">
        <v>0</v>
      </c>
    </row>
    <row r="618" spans="2:5" ht="15" customHeight="1">
      <c r="B618" s="112"/>
      <c r="C618" s="61" t="s">
        <v>292</v>
      </c>
      <c r="D618" s="71">
        <v>9</v>
      </c>
      <c r="E618" s="70">
        <v>0</v>
      </c>
    </row>
    <row r="619" spans="2:5" ht="15" customHeight="1">
      <c r="B619" s="112"/>
      <c r="C619" s="61" t="s">
        <v>211</v>
      </c>
      <c r="D619" s="71">
        <v>10</v>
      </c>
      <c r="E619" s="70">
        <v>0</v>
      </c>
    </row>
    <row r="620" spans="2:5" ht="15" customHeight="1">
      <c r="B620" s="112"/>
      <c r="C620" s="61" t="s">
        <v>293</v>
      </c>
      <c r="D620" s="71">
        <v>3</v>
      </c>
      <c r="E620" s="70">
        <v>0</v>
      </c>
    </row>
    <row r="621" spans="2:5" ht="15" customHeight="1">
      <c r="B621" s="112"/>
      <c r="C621" s="61" t="s">
        <v>295</v>
      </c>
      <c r="D621" s="71">
        <v>8</v>
      </c>
      <c r="E621" s="70">
        <v>0</v>
      </c>
    </row>
    <row r="622" spans="2:5" ht="15" customHeight="1">
      <c r="B622" s="112"/>
      <c r="C622" s="61" t="s">
        <v>215</v>
      </c>
      <c r="D622" s="71">
        <v>13</v>
      </c>
      <c r="E622" s="70">
        <v>0</v>
      </c>
    </row>
    <row r="623" spans="2:5" ht="15" customHeight="1">
      <c r="B623" s="112"/>
      <c r="C623" s="61" t="s">
        <v>216</v>
      </c>
      <c r="D623" s="71">
        <v>1</v>
      </c>
      <c r="E623" s="70">
        <v>0</v>
      </c>
    </row>
    <row r="624" spans="2:5" ht="15" customHeight="1">
      <c r="B624" s="112"/>
      <c r="C624" s="61" t="s">
        <v>217</v>
      </c>
      <c r="D624" s="71">
        <v>6</v>
      </c>
      <c r="E624" s="70">
        <v>0</v>
      </c>
    </row>
    <row r="625" spans="2:5" ht="15" customHeight="1">
      <c r="B625" s="112"/>
      <c r="C625" s="61" t="s">
        <v>218</v>
      </c>
      <c r="D625" s="71">
        <v>11</v>
      </c>
      <c r="E625" s="70">
        <v>0</v>
      </c>
    </row>
    <row r="626" spans="2:5" ht="15" customHeight="1">
      <c r="B626" s="112"/>
      <c r="C626" s="61" t="s">
        <v>296</v>
      </c>
      <c r="D626" s="71">
        <v>1</v>
      </c>
      <c r="E626" s="70">
        <v>0</v>
      </c>
    </row>
    <row r="627" spans="2:5" ht="15" customHeight="1">
      <c r="B627" s="112"/>
      <c r="C627" s="61" t="s">
        <v>299</v>
      </c>
      <c r="D627" s="71">
        <v>2</v>
      </c>
      <c r="E627" s="70">
        <v>0</v>
      </c>
    </row>
    <row r="628" spans="2:5" ht="15" customHeight="1">
      <c r="B628" s="112"/>
      <c r="C628" s="61" t="s">
        <v>223</v>
      </c>
      <c r="D628" s="71">
        <v>2</v>
      </c>
      <c r="E628" s="70">
        <v>0</v>
      </c>
    </row>
    <row r="629" spans="2:5" ht="15" customHeight="1">
      <c r="B629" s="112"/>
      <c r="C629" s="61" t="s">
        <v>224</v>
      </c>
      <c r="D629" s="71">
        <v>3</v>
      </c>
      <c r="E629" s="70">
        <v>0</v>
      </c>
    </row>
    <row r="630" spans="2:5" ht="15" customHeight="1">
      <c r="B630" s="112"/>
      <c r="C630" s="74" t="s">
        <v>309</v>
      </c>
      <c r="D630" s="77">
        <v>78</v>
      </c>
      <c r="E630" s="75">
        <v>3.0000000000000001E-3</v>
      </c>
    </row>
    <row r="631" spans="2:5" ht="15" customHeight="1">
      <c r="B631" s="112" t="s">
        <v>83</v>
      </c>
      <c r="C631" s="61" t="s">
        <v>287</v>
      </c>
      <c r="D631" s="71">
        <v>1</v>
      </c>
      <c r="E631" s="70">
        <v>0</v>
      </c>
    </row>
    <row r="632" spans="2:5" ht="15" customHeight="1">
      <c r="B632" s="112"/>
      <c r="C632" s="61" t="s">
        <v>288</v>
      </c>
      <c r="D632" s="71">
        <v>1</v>
      </c>
      <c r="E632" s="70">
        <v>0</v>
      </c>
    </row>
    <row r="633" spans="2:5" ht="15" customHeight="1">
      <c r="B633" s="112"/>
      <c r="C633" s="61" t="s">
        <v>289</v>
      </c>
      <c r="D633" s="71">
        <v>1</v>
      </c>
      <c r="E633" s="70">
        <v>0</v>
      </c>
    </row>
    <row r="634" spans="2:5" ht="15" customHeight="1">
      <c r="B634" s="112"/>
      <c r="C634" s="61" t="s">
        <v>290</v>
      </c>
      <c r="D634" s="71">
        <v>2</v>
      </c>
      <c r="E634" s="70">
        <v>0</v>
      </c>
    </row>
    <row r="635" spans="2:5" ht="15" customHeight="1">
      <c r="B635" s="112"/>
      <c r="C635" s="61" t="s">
        <v>291</v>
      </c>
      <c r="D635" s="71">
        <v>2</v>
      </c>
      <c r="E635" s="70">
        <v>0</v>
      </c>
    </row>
    <row r="636" spans="2:5" ht="15" customHeight="1">
      <c r="B636" s="112"/>
      <c r="C636" s="61" t="s">
        <v>292</v>
      </c>
      <c r="D636" s="71">
        <v>8</v>
      </c>
      <c r="E636" s="70">
        <v>0</v>
      </c>
    </row>
    <row r="637" spans="2:5" ht="15" customHeight="1">
      <c r="B637" s="112"/>
      <c r="C637" s="61" t="s">
        <v>211</v>
      </c>
      <c r="D637" s="71">
        <v>11</v>
      </c>
      <c r="E637" s="70">
        <v>0</v>
      </c>
    </row>
    <row r="638" spans="2:5" ht="15" customHeight="1">
      <c r="B638" s="112"/>
      <c r="C638" s="61" t="s">
        <v>293</v>
      </c>
      <c r="D638" s="71">
        <v>1</v>
      </c>
      <c r="E638" s="70">
        <v>0</v>
      </c>
    </row>
    <row r="639" spans="2:5" ht="15" customHeight="1">
      <c r="B639" s="112"/>
      <c r="C639" s="61" t="s">
        <v>295</v>
      </c>
      <c r="D639" s="71">
        <v>9</v>
      </c>
      <c r="E639" s="70">
        <v>0</v>
      </c>
    </row>
    <row r="640" spans="2:5" ht="15" customHeight="1">
      <c r="B640" s="112"/>
      <c r="C640" s="61" t="s">
        <v>215</v>
      </c>
      <c r="D640" s="71">
        <v>25</v>
      </c>
      <c r="E640" s="70">
        <v>1E-3</v>
      </c>
    </row>
    <row r="641" spans="2:5" ht="15" customHeight="1">
      <c r="B641" s="112"/>
      <c r="C641" s="61" t="s">
        <v>217</v>
      </c>
      <c r="D641" s="71">
        <v>3</v>
      </c>
      <c r="E641" s="70">
        <v>0</v>
      </c>
    </row>
    <row r="642" spans="2:5" ht="15" customHeight="1">
      <c r="B642" s="112"/>
      <c r="C642" s="61" t="s">
        <v>218</v>
      </c>
      <c r="D642" s="71">
        <v>5</v>
      </c>
      <c r="E642" s="70">
        <v>0</v>
      </c>
    </row>
    <row r="643" spans="2:5" ht="15" customHeight="1">
      <c r="B643" s="112"/>
      <c r="C643" s="61" t="s">
        <v>296</v>
      </c>
      <c r="D643" s="71">
        <v>1</v>
      </c>
      <c r="E643" s="70">
        <v>0</v>
      </c>
    </row>
    <row r="644" spans="2:5" ht="15" customHeight="1">
      <c r="B644" s="112"/>
      <c r="C644" s="61" t="s">
        <v>227</v>
      </c>
      <c r="D644" s="71">
        <v>1</v>
      </c>
      <c r="E644" s="70">
        <v>0</v>
      </c>
    </row>
    <row r="645" spans="2:5" ht="15" customHeight="1">
      <c r="B645" s="112"/>
      <c r="C645" s="74" t="s">
        <v>309</v>
      </c>
      <c r="D645" s="77">
        <v>71</v>
      </c>
      <c r="E645" s="75">
        <v>3.0000000000000001E-3</v>
      </c>
    </row>
    <row r="646" spans="2:5" ht="15" customHeight="1">
      <c r="B646" s="112" t="s">
        <v>57</v>
      </c>
      <c r="C646" s="61" t="s">
        <v>204</v>
      </c>
      <c r="D646" s="71">
        <v>4</v>
      </c>
      <c r="E646" s="70">
        <v>0</v>
      </c>
    </row>
    <row r="647" spans="2:5" ht="15" customHeight="1">
      <c r="B647" s="112"/>
      <c r="C647" s="61" t="s">
        <v>287</v>
      </c>
      <c r="D647" s="71">
        <v>3</v>
      </c>
      <c r="E647" s="70">
        <v>0</v>
      </c>
    </row>
    <row r="648" spans="2:5" ht="15" customHeight="1">
      <c r="B648" s="112"/>
      <c r="C648" s="61" t="s">
        <v>288</v>
      </c>
      <c r="D648" s="71">
        <v>3</v>
      </c>
      <c r="E648" s="70">
        <v>0</v>
      </c>
    </row>
    <row r="649" spans="2:5" ht="15" customHeight="1">
      <c r="B649" s="112"/>
      <c r="C649" s="61" t="s">
        <v>289</v>
      </c>
      <c r="D649" s="71">
        <v>12</v>
      </c>
      <c r="E649" s="70">
        <v>0</v>
      </c>
    </row>
    <row r="650" spans="2:5" ht="15" customHeight="1">
      <c r="B650" s="112"/>
      <c r="C650" s="61" t="s">
        <v>290</v>
      </c>
      <c r="D650" s="71">
        <v>7</v>
      </c>
      <c r="E650" s="70">
        <v>0</v>
      </c>
    </row>
    <row r="651" spans="2:5" ht="15" customHeight="1">
      <c r="B651" s="112"/>
      <c r="C651" s="61" t="s">
        <v>291</v>
      </c>
      <c r="D651" s="71">
        <v>9</v>
      </c>
      <c r="E651" s="70">
        <v>0</v>
      </c>
    </row>
    <row r="652" spans="2:5" ht="15" customHeight="1">
      <c r="B652" s="112"/>
      <c r="C652" s="61" t="s">
        <v>292</v>
      </c>
      <c r="D652" s="71">
        <v>38</v>
      </c>
      <c r="E652" s="70">
        <v>1E-3</v>
      </c>
    </row>
    <row r="653" spans="2:5" ht="15" customHeight="1">
      <c r="B653" s="112"/>
      <c r="C653" s="61" t="s">
        <v>211</v>
      </c>
      <c r="D653" s="71">
        <v>127</v>
      </c>
      <c r="E653" s="70">
        <v>5.0000000000000001E-3</v>
      </c>
    </row>
    <row r="654" spans="2:5" ht="15" customHeight="1">
      <c r="B654" s="112"/>
      <c r="C654" s="61" t="s">
        <v>293</v>
      </c>
      <c r="D654" s="71">
        <v>5</v>
      </c>
      <c r="E654" s="70">
        <v>0</v>
      </c>
    </row>
    <row r="655" spans="2:5" ht="15" customHeight="1">
      <c r="B655" s="112"/>
      <c r="C655" s="61" t="s">
        <v>294</v>
      </c>
      <c r="D655" s="71">
        <v>13</v>
      </c>
      <c r="E655" s="70">
        <v>0</v>
      </c>
    </row>
    <row r="656" spans="2:5" ht="15" customHeight="1">
      <c r="B656" s="112"/>
      <c r="C656" s="61" t="s">
        <v>295</v>
      </c>
      <c r="D656" s="71">
        <v>23</v>
      </c>
      <c r="E656" s="70">
        <v>1E-3</v>
      </c>
    </row>
    <row r="657" spans="2:5" ht="15" customHeight="1">
      <c r="B657" s="112"/>
      <c r="C657" s="61" t="s">
        <v>215</v>
      </c>
      <c r="D657" s="71">
        <v>208</v>
      </c>
      <c r="E657" s="70">
        <v>8.0000000000000002E-3</v>
      </c>
    </row>
    <row r="658" spans="2:5" ht="15" customHeight="1">
      <c r="B658" s="112"/>
      <c r="C658" s="61" t="s">
        <v>217</v>
      </c>
      <c r="D658" s="71">
        <v>17</v>
      </c>
      <c r="E658" s="70">
        <v>1E-3</v>
      </c>
    </row>
    <row r="659" spans="2:5" ht="15" customHeight="1">
      <c r="B659" s="112"/>
      <c r="C659" s="61" t="s">
        <v>218</v>
      </c>
      <c r="D659" s="71">
        <v>61</v>
      </c>
      <c r="E659" s="70">
        <v>2E-3</v>
      </c>
    </row>
    <row r="660" spans="2:5" ht="15" customHeight="1">
      <c r="B660" s="112"/>
      <c r="C660" s="61" t="s">
        <v>296</v>
      </c>
      <c r="D660" s="71">
        <v>1</v>
      </c>
      <c r="E660" s="70">
        <v>0</v>
      </c>
    </row>
    <row r="661" spans="2:5" ht="15" customHeight="1">
      <c r="B661" s="112"/>
      <c r="C661" s="61" t="s">
        <v>223</v>
      </c>
      <c r="D661" s="71">
        <v>5</v>
      </c>
      <c r="E661" s="70">
        <v>0</v>
      </c>
    </row>
    <row r="662" spans="2:5" ht="15" customHeight="1">
      <c r="B662" s="112"/>
      <c r="C662" s="61" t="s">
        <v>224</v>
      </c>
      <c r="D662" s="71">
        <v>7</v>
      </c>
      <c r="E662" s="70">
        <v>0</v>
      </c>
    </row>
    <row r="663" spans="2:5" ht="15" customHeight="1">
      <c r="B663" s="112"/>
      <c r="C663" s="61" t="s">
        <v>225</v>
      </c>
      <c r="D663" s="71">
        <v>2</v>
      </c>
      <c r="E663" s="70">
        <v>0</v>
      </c>
    </row>
    <row r="664" spans="2:5" ht="15" customHeight="1">
      <c r="B664" s="112"/>
      <c r="C664" s="74" t="s">
        <v>309</v>
      </c>
      <c r="D664" s="77">
        <v>545</v>
      </c>
      <c r="E664" s="75">
        <v>0.02</v>
      </c>
    </row>
    <row r="665" spans="2:5" ht="15" customHeight="1">
      <c r="B665" s="112" t="s">
        <v>61</v>
      </c>
      <c r="C665" s="61" t="s">
        <v>204</v>
      </c>
      <c r="D665" s="71">
        <v>6</v>
      </c>
      <c r="E665" s="70">
        <v>0</v>
      </c>
    </row>
    <row r="666" spans="2:5" ht="15" customHeight="1">
      <c r="B666" s="112"/>
      <c r="C666" s="61" t="s">
        <v>287</v>
      </c>
      <c r="D666" s="71">
        <v>3</v>
      </c>
      <c r="E666" s="70">
        <v>0</v>
      </c>
    </row>
    <row r="667" spans="2:5" ht="15" customHeight="1">
      <c r="B667" s="112"/>
      <c r="C667" s="61" t="s">
        <v>288</v>
      </c>
      <c r="D667" s="71">
        <v>2</v>
      </c>
      <c r="E667" s="70">
        <v>0</v>
      </c>
    </row>
    <row r="668" spans="2:5" ht="15" customHeight="1">
      <c r="B668" s="112"/>
      <c r="C668" s="61" t="s">
        <v>289</v>
      </c>
      <c r="D668" s="71">
        <v>5</v>
      </c>
      <c r="E668" s="70">
        <v>0</v>
      </c>
    </row>
    <row r="669" spans="2:5" ht="15" customHeight="1">
      <c r="B669" s="112"/>
      <c r="C669" s="61" t="s">
        <v>290</v>
      </c>
      <c r="D669" s="71">
        <v>4</v>
      </c>
      <c r="E669" s="70">
        <v>0</v>
      </c>
    </row>
    <row r="670" spans="2:5" ht="15" customHeight="1">
      <c r="B670" s="112"/>
      <c r="C670" s="61" t="s">
        <v>291</v>
      </c>
      <c r="D670" s="71">
        <v>12</v>
      </c>
      <c r="E670" s="70">
        <v>0</v>
      </c>
    </row>
    <row r="671" spans="2:5" ht="15" customHeight="1">
      <c r="B671" s="112"/>
      <c r="C671" s="61" t="s">
        <v>292</v>
      </c>
      <c r="D671" s="71">
        <v>42</v>
      </c>
      <c r="E671" s="70">
        <v>2E-3</v>
      </c>
    </row>
    <row r="672" spans="2:5" ht="15" customHeight="1">
      <c r="B672" s="112"/>
      <c r="C672" s="61" t="s">
        <v>211</v>
      </c>
      <c r="D672" s="71">
        <v>82</v>
      </c>
      <c r="E672" s="70">
        <v>3.0000000000000001E-3</v>
      </c>
    </row>
    <row r="673" spans="2:5" ht="15" customHeight="1">
      <c r="B673" s="112"/>
      <c r="C673" s="61" t="s">
        <v>293</v>
      </c>
      <c r="D673" s="71">
        <v>3</v>
      </c>
      <c r="E673" s="70">
        <v>0</v>
      </c>
    </row>
    <row r="674" spans="2:5" ht="15" customHeight="1">
      <c r="B674" s="112"/>
      <c r="C674" s="61" t="s">
        <v>294</v>
      </c>
      <c r="D674" s="71">
        <v>8</v>
      </c>
      <c r="E674" s="70">
        <v>0</v>
      </c>
    </row>
    <row r="675" spans="2:5" ht="15" customHeight="1">
      <c r="B675" s="112"/>
      <c r="C675" s="61" t="s">
        <v>295</v>
      </c>
      <c r="D675" s="71">
        <v>21</v>
      </c>
      <c r="E675" s="70">
        <v>1E-3</v>
      </c>
    </row>
    <row r="676" spans="2:5" ht="15" customHeight="1">
      <c r="B676" s="112"/>
      <c r="C676" s="61" t="s">
        <v>215</v>
      </c>
      <c r="D676" s="71">
        <v>100</v>
      </c>
      <c r="E676" s="70">
        <v>4.0000000000000001E-3</v>
      </c>
    </row>
    <row r="677" spans="2:5" ht="15" customHeight="1">
      <c r="B677" s="112"/>
      <c r="C677" s="61" t="s">
        <v>216</v>
      </c>
      <c r="D677" s="71">
        <v>6</v>
      </c>
      <c r="E677" s="70">
        <v>0</v>
      </c>
    </row>
    <row r="678" spans="2:5" ht="15" customHeight="1">
      <c r="B678" s="112"/>
      <c r="C678" s="61" t="s">
        <v>217</v>
      </c>
      <c r="D678" s="71">
        <v>8</v>
      </c>
      <c r="E678" s="70">
        <v>0</v>
      </c>
    </row>
    <row r="679" spans="2:5" ht="15" customHeight="1">
      <c r="B679" s="112"/>
      <c r="C679" s="61" t="s">
        <v>218</v>
      </c>
      <c r="D679" s="71">
        <v>68</v>
      </c>
      <c r="E679" s="70">
        <v>3.0000000000000001E-3</v>
      </c>
    </row>
    <row r="680" spans="2:5" ht="15" customHeight="1">
      <c r="B680" s="112"/>
      <c r="C680" s="61" t="s">
        <v>296</v>
      </c>
      <c r="D680" s="71">
        <v>1</v>
      </c>
      <c r="E680" s="70">
        <v>0</v>
      </c>
    </row>
    <row r="681" spans="2:5" ht="15" customHeight="1">
      <c r="B681" s="112"/>
      <c r="C681" s="61" t="s">
        <v>297</v>
      </c>
      <c r="D681" s="71">
        <v>2</v>
      </c>
      <c r="E681" s="70">
        <v>0</v>
      </c>
    </row>
    <row r="682" spans="2:5" ht="15" customHeight="1">
      <c r="B682" s="112"/>
      <c r="C682" s="61" t="s">
        <v>298</v>
      </c>
      <c r="D682" s="71">
        <v>1</v>
      </c>
      <c r="E682" s="70">
        <v>0</v>
      </c>
    </row>
    <row r="683" spans="2:5" ht="15" customHeight="1">
      <c r="B683" s="112"/>
      <c r="C683" s="61" t="s">
        <v>223</v>
      </c>
      <c r="D683" s="71">
        <v>4</v>
      </c>
      <c r="E683" s="70">
        <v>0</v>
      </c>
    </row>
    <row r="684" spans="2:5" ht="15" customHeight="1">
      <c r="B684" s="112"/>
      <c r="C684" s="61" t="s">
        <v>224</v>
      </c>
      <c r="D684" s="71">
        <v>6</v>
      </c>
      <c r="E684" s="70">
        <v>0</v>
      </c>
    </row>
    <row r="685" spans="2:5" ht="15" customHeight="1">
      <c r="B685" s="112"/>
      <c r="C685" s="74" t="s">
        <v>309</v>
      </c>
      <c r="D685" s="77">
        <v>384</v>
      </c>
      <c r="E685" s="75">
        <v>1.4E-2</v>
      </c>
    </row>
    <row r="686" spans="2:5" ht="15" customHeight="1">
      <c r="B686" s="112" t="s">
        <v>76</v>
      </c>
      <c r="C686" s="61" t="s">
        <v>204</v>
      </c>
      <c r="D686" s="71">
        <v>1</v>
      </c>
      <c r="E686" s="70">
        <v>0</v>
      </c>
    </row>
    <row r="687" spans="2:5" ht="15" customHeight="1">
      <c r="B687" s="112"/>
      <c r="C687" s="61" t="s">
        <v>287</v>
      </c>
      <c r="D687" s="71">
        <v>1</v>
      </c>
      <c r="E687" s="70">
        <v>0</v>
      </c>
    </row>
    <row r="688" spans="2:5" ht="15" customHeight="1">
      <c r="B688" s="112"/>
      <c r="C688" s="61" t="s">
        <v>289</v>
      </c>
      <c r="D688" s="71">
        <v>4</v>
      </c>
      <c r="E688" s="70">
        <v>0</v>
      </c>
    </row>
    <row r="689" spans="2:5" ht="15" customHeight="1">
      <c r="B689" s="112"/>
      <c r="C689" s="61" t="s">
        <v>290</v>
      </c>
      <c r="D689" s="71">
        <v>4</v>
      </c>
      <c r="E689" s="70">
        <v>0</v>
      </c>
    </row>
    <row r="690" spans="2:5" ht="15" customHeight="1">
      <c r="B690" s="112"/>
      <c r="C690" s="61" t="s">
        <v>291</v>
      </c>
      <c r="D690" s="71">
        <v>2</v>
      </c>
      <c r="E690" s="70">
        <v>0</v>
      </c>
    </row>
    <row r="691" spans="2:5" ht="15" customHeight="1">
      <c r="B691" s="112"/>
      <c r="C691" s="61" t="s">
        <v>292</v>
      </c>
      <c r="D691" s="71">
        <v>12</v>
      </c>
      <c r="E691" s="70">
        <v>0</v>
      </c>
    </row>
    <row r="692" spans="2:5" ht="15" customHeight="1">
      <c r="B692" s="112"/>
      <c r="C692" s="61" t="s">
        <v>211</v>
      </c>
      <c r="D692" s="71">
        <v>38</v>
      </c>
      <c r="E692" s="70">
        <v>1E-3</v>
      </c>
    </row>
    <row r="693" spans="2:5" ht="15" customHeight="1">
      <c r="B693" s="112"/>
      <c r="C693" s="61" t="s">
        <v>293</v>
      </c>
      <c r="D693" s="71">
        <v>1</v>
      </c>
      <c r="E693" s="70">
        <v>0</v>
      </c>
    </row>
    <row r="694" spans="2:5" ht="15" customHeight="1">
      <c r="B694" s="112"/>
      <c r="C694" s="61" t="s">
        <v>294</v>
      </c>
      <c r="D694" s="71">
        <v>5</v>
      </c>
      <c r="E694" s="70">
        <v>0</v>
      </c>
    </row>
    <row r="695" spans="2:5" ht="15" customHeight="1">
      <c r="B695" s="112"/>
      <c r="C695" s="61" t="s">
        <v>295</v>
      </c>
      <c r="D695" s="71">
        <v>11</v>
      </c>
      <c r="E695" s="70">
        <v>0</v>
      </c>
    </row>
    <row r="696" spans="2:5" ht="15" customHeight="1">
      <c r="B696" s="112"/>
      <c r="C696" s="61" t="s">
        <v>215</v>
      </c>
      <c r="D696" s="71">
        <v>88</v>
      </c>
      <c r="E696" s="70">
        <v>3.0000000000000001E-3</v>
      </c>
    </row>
    <row r="697" spans="2:5" ht="15" customHeight="1">
      <c r="B697" s="112"/>
      <c r="C697" s="61" t="s">
        <v>216</v>
      </c>
      <c r="D697" s="71">
        <v>1</v>
      </c>
      <c r="E697" s="70">
        <v>0</v>
      </c>
    </row>
    <row r="698" spans="2:5" ht="15" customHeight="1">
      <c r="B698" s="112"/>
      <c r="C698" s="61" t="s">
        <v>217</v>
      </c>
      <c r="D698" s="71">
        <v>9</v>
      </c>
      <c r="E698" s="70">
        <v>0</v>
      </c>
    </row>
    <row r="699" spans="2:5" ht="15" customHeight="1">
      <c r="B699" s="112"/>
      <c r="C699" s="61" t="s">
        <v>218</v>
      </c>
      <c r="D699" s="71">
        <v>24</v>
      </c>
      <c r="E699" s="70">
        <v>1E-3</v>
      </c>
    </row>
    <row r="700" spans="2:5" ht="15" customHeight="1">
      <c r="B700" s="112"/>
      <c r="C700" s="61" t="s">
        <v>297</v>
      </c>
      <c r="D700" s="71">
        <v>1</v>
      </c>
      <c r="E700" s="70">
        <v>0</v>
      </c>
    </row>
    <row r="701" spans="2:5" ht="15" customHeight="1">
      <c r="B701" s="112"/>
      <c r="C701" s="61" t="s">
        <v>298</v>
      </c>
      <c r="D701" s="71">
        <v>1</v>
      </c>
      <c r="E701" s="70">
        <v>0</v>
      </c>
    </row>
    <row r="702" spans="2:5" ht="15" customHeight="1">
      <c r="B702" s="112"/>
      <c r="C702" s="61" t="s">
        <v>223</v>
      </c>
      <c r="D702" s="71">
        <v>2</v>
      </c>
      <c r="E702" s="70">
        <v>0</v>
      </c>
    </row>
    <row r="703" spans="2:5" ht="15" customHeight="1">
      <c r="B703" s="112"/>
      <c r="C703" s="61" t="s">
        <v>224</v>
      </c>
      <c r="D703" s="71">
        <v>7</v>
      </c>
      <c r="E703" s="70">
        <v>0</v>
      </c>
    </row>
    <row r="704" spans="2:5" ht="15" customHeight="1">
      <c r="B704" s="112"/>
      <c r="C704" s="61" t="s">
        <v>226</v>
      </c>
      <c r="D704" s="71">
        <v>1</v>
      </c>
      <c r="E704" s="70">
        <v>0</v>
      </c>
    </row>
    <row r="705" spans="2:5" ht="15" customHeight="1">
      <c r="B705" s="112"/>
      <c r="C705" s="74" t="s">
        <v>309</v>
      </c>
      <c r="D705" s="77">
        <v>213</v>
      </c>
      <c r="E705" s="75">
        <v>8.0000000000000002E-3</v>
      </c>
    </row>
    <row r="706" spans="2:5" ht="15" customHeight="1">
      <c r="B706" s="112" t="s">
        <v>77</v>
      </c>
      <c r="C706" s="61" t="s">
        <v>204</v>
      </c>
      <c r="D706" s="71">
        <v>1</v>
      </c>
      <c r="E706" s="70">
        <v>0</v>
      </c>
    </row>
    <row r="707" spans="2:5" ht="15" customHeight="1">
      <c r="B707" s="112"/>
      <c r="C707" s="61" t="s">
        <v>287</v>
      </c>
      <c r="D707" s="71">
        <v>1</v>
      </c>
      <c r="E707" s="70">
        <v>0</v>
      </c>
    </row>
    <row r="708" spans="2:5" ht="15" customHeight="1">
      <c r="B708" s="112"/>
      <c r="C708" s="61" t="s">
        <v>288</v>
      </c>
      <c r="D708" s="71">
        <v>2</v>
      </c>
      <c r="E708" s="70">
        <v>0</v>
      </c>
    </row>
    <row r="709" spans="2:5" ht="15" customHeight="1">
      <c r="B709" s="112"/>
      <c r="C709" s="61" t="s">
        <v>289</v>
      </c>
      <c r="D709" s="71">
        <v>8</v>
      </c>
      <c r="E709" s="70">
        <v>0</v>
      </c>
    </row>
    <row r="710" spans="2:5" ht="15" customHeight="1">
      <c r="B710" s="112"/>
      <c r="C710" s="61" t="s">
        <v>290</v>
      </c>
      <c r="D710" s="71">
        <v>5</v>
      </c>
      <c r="E710" s="70">
        <v>0</v>
      </c>
    </row>
    <row r="711" spans="2:5" ht="15" customHeight="1">
      <c r="B711" s="112"/>
      <c r="C711" s="61" t="s">
        <v>291</v>
      </c>
      <c r="D711" s="71">
        <v>3</v>
      </c>
      <c r="E711" s="70">
        <v>0</v>
      </c>
    </row>
    <row r="712" spans="2:5" ht="15" customHeight="1">
      <c r="B712" s="112"/>
      <c r="C712" s="61" t="s">
        <v>292</v>
      </c>
      <c r="D712" s="71">
        <v>24</v>
      </c>
      <c r="E712" s="70">
        <v>1E-3</v>
      </c>
    </row>
    <row r="713" spans="2:5" ht="15" customHeight="1">
      <c r="B713" s="112"/>
      <c r="C713" s="61" t="s">
        <v>211</v>
      </c>
      <c r="D713" s="71">
        <v>28</v>
      </c>
      <c r="E713" s="70">
        <v>1E-3</v>
      </c>
    </row>
    <row r="714" spans="2:5" ht="15" customHeight="1">
      <c r="B714" s="112"/>
      <c r="C714" s="61" t="s">
        <v>293</v>
      </c>
      <c r="D714" s="71">
        <v>2</v>
      </c>
      <c r="E714" s="70">
        <v>0</v>
      </c>
    </row>
    <row r="715" spans="2:5" ht="15" customHeight="1">
      <c r="B715" s="112"/>
      <c r="C715" s="61" t="s">
        <v>294</v>
      </c>
      <c r="D715" s="71">
        <v>6</v>
      </c>
      <c r="E715" s="70">
        <v>0</v>
      </c>
    </row>
    <row r="716" spans="2:5" ht="15" customHeight="1">
      <c r="B716" s="112"/>
      <c r="C716" s="61" t="s">
        <v>295</v>
      </c>
      <c r="D716" s="71">
        <v>15</v>
      </c>
      <c r="E716" s="70">
        <v>1E-3</v>
      </c>
    </row>
    <row r="717" spans="2:5" ht="15" customHeight="1">
      <c r="B717" s="112"/>
      <c r="C717" s="61" t="s">
        <v>215</v>
      </c>
      <c r="D717" s="71">
        <v>88</v>
      </c>
      <c r="E717" s="70">
        <v>3.0000000000000001E-3</v>
      </c>
    </row>
    <row r="718" spans="2:5" ht="15" customHeight="1">
      <c r="B718" s="112"/>
      <c r="C718" s="61" t="s">
        <v>216</v>
      </c>
      <c r="D718" s="71">
        <v>3</v>
      </c>
      <c r="E718" s="70">
        <v>0</v>
      </c>
    </row>
    <row r="719" spans="2:5" ht="15" customHeight="1">
      <c r="B719" s="112"/>
      <c r="C719" s="61" t="s">
        <v>217</v>
      </c>
      <c r="D719" s="71">
        <v>8</v>
      </c>
      <c r="E719" s="70">
        <v>0</v>
      </c>
    </row>
    <row r="720" spans="2:5" ht="15" customHeight="1">
      <c r="B720" s="112"/>
      <c r="C720" s="61" t="s">
        <v>218</v>
      </c>
      <c r="D720" s="71">
        <v>36</v>
      </c>
      <c r="E720" s="70">
        <v>1E-3</v>
      </c>
    </row>
    <row r="721" spans="2:5" ht="15" customHeight="1">
      <c r="B721" s="112"/>
      <c r="C721" s="61" t="s">
        <v>297</v>
      </c>
      <c r="D721" s="71">
        <v>1</v>
      </c>
      <c r="E721" s="70">
        <v>0</v>
      </c>
    </row>
    <row r="722" spans="2:5" ht="15" customHeight="1">
      <c r="B722" s="112"/>
      <c r="C722" s="61" t="s">
        <v>223</v>
      </c>
      <c r="D722" s="71">
        <v>2</v>
      </c>
      <c r="E722" s="70">
        <v>0</v>
      </c>
    </row>
    <row r="723" spans="2:5" ht="15" customHeight="1">
      <c r="B723" s="112"/>
      <c r="C723" s="61" t="s">
        <v>224</v>
      </c>
      <c r="D723" s="71">
        <v>5</v>
      </c>
      <c r="E723" s="70">
        <v>0</v>
      </c>
    </row>
    <row r="724" spans="2:5" ht="15" customHeight="1">
      <c r="B724" s="112"/>
      <c r="C724" s="61" t="s">
        <v>226</v>
      </c>
      <c r="D724" s="71">
        <v>1</v>
      </c>
      <c r="E724" s="70">
        <v>0</v>
      </c>
    </row>
    <row r="725" spans="2:5" ht="15" customHeight="1">
      <c r="B725" s="112"/>
      <c r="C725" s="74" t="s">
        <v>309</v>
      </c>
      <c r="D725" s="77">
        <v>239</v>
      </c>
      <c r="E725" s="75">
        <v>8.9999999999999993E-3</v>
      </c>
    </row>
    <row r="726" spans="2:5" ht="15" customHeight="1">
      <c r="B726" s="112" t="s">
        <v>63</v>
      </c>
      <c r="C726" s="61" t="s">
        <v>204</v>
      </c>
      <c r="D726" s="71">
        <v>5</v>
      </c>
      <c r="E726" s="70">
        <v>0</v>
      </c>
    </row>
    <row r="727" spans="2:5" ht="15" customHeight="1">
      <c r="B727" s="112"/>
      <c r="C727" s="61" t="s">
        <v>287</v>
      </c>
      <c r="D727" s="71">
        <v>1</v>
      </c>
      <c r="E727" s="70">
        <v>0</v>
      </c>
    </row>
    <row r="728" spans="2:5" ht="15" customHeight="1">
      <c r="B728" s="112"/>
      <c r="C728" s="61" t="s">
        <v>288</v>
      </c>
      <c r="D728" s="71">
        <v>1</v>
      </c>
      <c r="E728" s="70">
        <v>0</v>
      </c>
    </row>
    <row r="729" spans="2:5" ht="15" customHeight="1">
      <c r="B729" s="112"/>
      <c r="C729" s="61" t="s">
        <v>289</v>
      </c>
      <c r="D729" s="71">
        <v>9</v>
      </c>
      <c r="E729" s="70">
        <v>0</v>
      </c>
    </row>
    <row r="730" spans="2:5" ht="15" customHeight="1">
      <c r="B730" s="112"/>
      <c r="C730" s="61" t="s">
        <v>290</v>
      </c>
      <c r="D730" s="71">
        <v>6</v>
      </c>
      <c r="E730" s="70">
        <v>0</v>
      </c>
    </row>
    <row r="731" spans="2:5" ht="15" customHeight="1">
      <c r="B731" s="112"/>
      <c r="C731" s="61" t="s">
        <v>291</v>
      </c>
      <c r="D731" s="71">
        <v>8</v>
      </c>
      <c r="E731" s="70">
        <v>0</v>
      </c>
    </row>
    <row r="732" spans="2:5" ht="15" customHeight="1">
      <c r="B732" s="112"/>
      <c r="C732" s="61" t="s">
        <v>292</v>
      </c>
      <c r="D732" s="71">
        <v>54</v>
      </c>
      <c r="E732" s="70">
        <v>2E-3</v>
      </c>
    </row>
    <row r="733" spans="2:5" ht="15" customHeight="1">
      <c r="B733" s="112"/>
      <c r="C733" s="61" t="s">
        <v>211</v>
      </c>
      <c r="D733" s="71">
        <v>41</v>
      </c>
      <c r="E733" s="70">
        <v>2E-3</v>
      </c>
    </row>
    <row r="734" spans="2:5" ht="15" customHeight="1">
      <c r="B734" s="112"/>
      <c r="C734" s="61" t="s">
        <v>293</v>
      </c>
      <c r="D734" s="71">
        <v>5</v>
      </c>
      <c r="E734" s="70">
        <v>0</v>
      </c>
    </row>
    <row r="735" spans="2:5" ht="15" customHeight="1">
      <c r="B735" s="112"/>
      <c r="C735" s="61" t="s">
        <v>294</v>
      </c>
      <c r="D735" s="71">
        <v>5</v>
      </c>
      <c r="E735" s="70">
        <v>0</v>
      </c>
    </row>
    <row r="736" spans="2:5" ht="15" customHeight="1">
      <c r="B736" s="112"/>
      <c r="C736" s="61" t="s">
        <v>295</v>
      </c>
      <c r="D736" s="71">
        <v>18</v>
      </c>
      <c r="E736" s="70">
        <v>1E-3</v>
      </c>
    </row>
    <row r="737" spans="2:5" ht="15" customHeight="1">
      <c r="B737" s="112"/>
      <c r="C737" s="61" t="s">
        <v>215</v>
      </c>
      <c r="D737" s="71">
        <v>109</v>
      </c>
      <c r="E737" s="70">
        <v>4.0000000000000001E-3</v>
      </c>
    </row>
    <row r="738" spans="2:5" ht="15" customHeight="1">
      <c r="B738" s="112"/>
      <c r="C738" s="61" t="s">
        <v>216</v>
      </c>
      <c r="D738" s="71">
        <v>9</v>
      </c>
      <c r="E738" s="70">
        <v>0</v>
      </c>
    </row>
    <row r="739" spans="2:5" ht="15" customHeight="1">
      <c r="B739" s="112"/>
      <c r="C739" s="61" t="s">
        <v>217</v>
      </c>
      <c r="D739" s="71">
        <v>21</v>
      </c>
      <c r="E739" s="70">
        <v>1E-3</v>
      </c>
    </row>
    <row r="740" spans="2:5" ht="15" customHeight="1">
      <c r="B740" s="112"/>
      <c r="C740" s="61" t="s">
        <v>218</v>
      </c>
      <c r="D740" s="71">
        <v>88</v>
      </c>
      <c r="E740" s="70">
        <v>3.0000000000000001E-3</v>
      </c>
    </row>
    <row r="741" spans="2:5" ht="15" customHeight="1">
      <c r="B741" s="112"/>
      <c r="C741" s="61" t="s">
        <v>223</v>
      </c>
      <c r="D741" s="71">
        <v>5</v>
      </c>
      <c r="E741" s="70">
        <v>0</v>
      </c>
    </row>
    <row r="742" spans="2:5" ht="15" customHeight="1">
      <c r="B742" s="112"/>
      <c r="C742" s="61" t="s">
        <v>224</v>
      </c>
      <c r="D742" s="71">
        <v>13</v>
      </c>
      <c r="E742" s="70">
        <v>0</v>
      </c>
    </row>
    <row r="743" spans="2:5" ht="15" customHeight="1">
      <c r="B743" s="112"/>
      <c r="C743" s="61" t="s">
        <v>226</v>
      </c>
      <c r="D743" s="71">
        <v>2</v>
      </c>
      <c r="E743" s="70">
        <v>0</v>
      </c>
    </row>
    <row r="744" spans="2:5" ht="15" customHeight="1">
      <c r="B744" s="112"/>
      <c r="C744" s="74" t="s">
        <v>309</v>
      </c>
      <c r="D744" s="77">
        <v>400</v>
      </c>
      <c r="E744" s="75">
        <v>1.4999999999999999E-2</v>
      </c>
    </row>
    <row r="745" spans="2:5" ht="15" customHeight="1">
      <c r="B745" s="112" t="s">
        <v>53</v>
      </c>
      <c r="C745" s="61" t="s">
        <v>204</v>
      </c>
      <c r="D745" s="71">
        <v>12</v>
      </c>
      <c r="E745" s="70">
        <v>0</v>
      </c>
    </row>
    <row r="746" spans="2:5" ht="15" customHeight="1">
      <c r="B746" s="112"/>
      <c r="C746" s="61" t="s">
        <v>287</v>
      </c>
      <c r="D746" s="71">
        <v>6</v>
      </c>
      <c r="E746" s="70">
        <v>0</v>
      </c>
    </row>
    <row r="747" spans="2:5" ht="15" customHeight="1">
      <c r="B747" s="112"/>
      <c r="C747" s="61" t="s">
        <v>288</v>
      </c>
      <c r="D747" s="71">
        <v>8</v>
      </c>
      <c r="E747" s="70">
        <v>0</v>
      </c>
    </row>
    <row r="748" spans="2:5" ht="15" customHeight="1">
      <c r="B748" s="112"/>
      <c r="C748" s="61" t="s">
        <v>289</v>
      </c>
      <c r="D748" s="71">
        <v>34</v>
      </c>
      <c r="E748" s="70">
        <v>1E-3</v>
      </c>
    </row>
    <row r="749" spans="2:5" ht="15" customHeight="1">
      <c r="B749" s="112"/>
      <c r="C749" s="61" t="s">
        <v>290</v>
      </c>
      <c r="D749" s="71">
        <v>16</v>
      </c>
      <c r="E749" s="70">
        <v>1E-3</v>
      </c>
    </row>
    <row r="750" spans="2:5" ht="15" customHeight="1">
      <c r="B750" s="112"/>
      <c r="C750" s="61" t="s">
        <v>291</v>
      </c>
      <c r="D750" s="71">
        <v>29</v>
      </c>
      <c r="E750" s="70">
        <v>1E-3</v>
      </c>
    </row>
    <row r="751" spans="2:5" ht="15" customHeight="1">
      <c r="B751" s="112"/>
      <c r="C751" s="61" t="s">
        <v>292</v>
      </c>
      <c r="D751" s="71">
        <v>105</v>
      </c>
      <c r="E751" s="70">
        <v>4.0000000000000001E-3</v>
      </c>
    </row>
    <row r="752" spans="2:5" ht="15" customHeight="1">
      <c r="B752" s="112"/>
      <c r="C752" s="61" t="s">
        <v>211</v>
      </c>
      <c r="D752" s="71">
        <v>101</v>
      </c>
      <c r="E752" s="70">
        <v>4.0000000000000001E-3</v>
      </c>
    </row>
    <row r="753" spans="2:5" ht="15" customHeight="1">
      <c r="B753" s="112"/>
      <c r="C753" s="61" t="s">
        <v>293</v>
      </c>
      <c r="D753" s="71">
        <v>13</v>
      </c>
      <c r="E753" s="70">
        <v>0</v>
      </c>
    </row>
    <row r="754" spans="2:5" ht="15" customHeight="1">
      <c r="B754" s="112"/>
      <c r="C754" s="61" t="s">
        <v>294</v>
      </c>
      <c r="D754" s="71">
        <v>24</v>
      </c>
      <c r="E754" s="70">
        <v>1E-3</v>
      </c>
    </row>
    <row r="755" spans="2:5" ht="15" customHeight="1">
      <c r="B755" s="112"/>
      <c r="C755" s="61" t="s">
        <v>295</v>
      </c>
      <c r="D755" s="71">
        <v>43</v>
      </c>
      <c r="E755" s="70">
        <v>2E-3</v>
      </c>
    </row>
    <row r="756" spans="2:5" ht="15" customHeight="1">
      <c r="B756" s="112"/>
      <c r="C756" s="61" t="s">
        <v>215</v>
      </c>
      <c r="D756" s="71">
        <v>168</v>
      </c>
      <c r="E756" s="70">
        <v>6.0000000000000001E-3</v>
      </c>
    </row>
    <row r="757" spans="2:5" ht="15" customHeight="1">
      <c r="B757" s="112"/>
      <c r="C757" s="61" t="s">
        <v>216</v>
      </c>
      <c r="D757" s="71">
        <v>16</v>
      </c>
      <c r="E757" s="70">
        <v>1E-3</v>
      </c>
    </row>
    <row r="758" spans="2:5" ht="15" customHeight="1">
      <c r="B758" s="112"/>
      <c r="C758" s="61" t="s">
        <v>217</v>
      </c>
      <c r="D758" s="71">
        <v>41</v>
      </c>
      <c r="E758" s="70">
        <v>2E-3</v>
      </c>
    </row>
    <row r="759" spans="2:5" ht="15" customHeight="1">
      <c r="B759" s="112"/>
      <c r="C759" s="61" t="s">
        <v>218</v>
      </c>
      <c r="D759" s="71">
        <v>152</v>
      </c>
      <c r="E759" s="70">
        <v>6.0000000000000001E-3</v>
      </c>
    </row>
    <row r="760" spans="2:5" ht="15" customHeight="1">
      <c r="B760" s="112"/>
      <c r="C760" s="61" t="s">
        <v>296</v>
      </c>
      <c r="D760" s="71">
        <v>1</v>
      </c>
      <c r="E760" s="70">
        <v>0</v>
      </c>
    </row>
    <row r="761" spans="2:5" ht="15" customHeight="1">
      <c r="B761" s="112"/>
      <c r="C761" s="61" t="s">
        <v>297</v>
      </c>
      <c r="D761" s="71">
        <v>3</v>
      </c>
      <c r="E761" s="70">
        <v>0</v>
      </c>
    </row>
    <row r="762" spans="2:5" ht="15" customHeight="1">
      <c r="B762" s="112"/>
      <c r="C762" s="61" t="s">
        <v>298</v>
      </c>
      <c r="D762" s="71">
        <v>1</v>
      </c>
      <c r="E762" s="70">
        <v>0</v>
      </c>
    </row>
    <row r="763" spans="2:5" ht="15" customHeight="1">
      <c r="B763" s="112"/>
      <c r="C763" s="61" t="s">
        <v>299</v>
      </c>
      <c r="D763" s="71">
        <v>1</v>
      </c>
      <c r="E763" s="70">
        <v>0</v>
      </c>
    </row>
    <row r="764" spans="2:5" ht="15" customHeight="1">
      <c r="B764" s="112"/>
      <c r="C764" s="61" t="s">
        <v>223</v>
      </c>
      <c r="D764" s="71">
        <v>2</v>
      </c>
      <c r="E764" s="70">
        <v>0</v>
      </c>
    </row>
    <row r="765" spans="2:5" ht="15" customHeight="1">
      <c r="B765" s="112"/>
      <c r="C765" s="61" t="s">
        <v>224</v>
      </c>
      <c r="D765" s="71">
        <v>7</v>
      </c>
      <c r="E765" s="70">
        <v>0</v>
      </c>
    </row>
    <row r="766" spans="2:5" ht="15" customHeight="1">
      <c r="B766" s="112"/>
      <c r="C766" s="61" t="s">
        <v>225</v>
      </c>
      <c r="D766" s="71">
        <v>1</v>
      </c>
      <c r="E766" s="70">
        <v>0</v>
      </c>
    </row>
    <row r="767" spans="2:5" ht="15" customHeight="1">
      <c r="B767" s="112"/>
      <c r="C767" s="61" t="s">
        <v>226</v>
      </c>
      <c r="D767" s="71">
        <v>1</v>
      </c>
      <c r="E767" s="70">
        <v>0</v>
      </c>
    </row>
    <row r="768" spans="2:5" ht="15" customHeight="1">
      <c r="B768" s="112"/>
      <c r="C768" s="74" t="s">
        <v>309</v>
      </c>
      <c r="D768" s="77">
        <v>785</v>
      </c>
      <c r="E768" s="75">
        <v>2.9000000000000001E-2</v>
      </c>
    </row>
    <row r="769" spans="2:5" ht="15" customHeight="1">
      <c r="B769" s="112" t="s">
        <v>79</v>
      </c>
      <c r="C769" s="61" t="s">
        <v>204</v>
      </c>
      <c r="D769" s="71">
        <v>1</v>
      </c>
      <c r="E769" s="70">
        <v>0</v>
      </c>
    </row>
    <row r="770" spans="2:5" ht="15" customHeight="1">
      <c r="B770" s="112"/>
      <c r="C770" s="61" t="s">
        <v>287</v>
      </c>
      <c r="D770" s="71">
        <v>1</v>
      </c>
      <c r="E770" s="70">
        <v>0</v>
      </c>
    </row>
    <row r="771" spans="2:5" ht="15" customHeight="1">
      <c r="B771" s="112"/>
      <c r="C771" s="61" t="s">
        <v>288</v>
      </c>
      <c r="D771" s="71">
        <v>2</v>
      </c>
      <c r="E771" s="70">
        <v>0</v>
      </c>
    </row>
    <row r="772" spans="2:5" ht="15" customHeight="1">
      <c r="B772" s="112"/>
      <c r="C772" s="61" t="s">
        <v>289</v>
      </c>
      <c r="D772" s="71">
        <v>5</v>
      </c>
      <c r="E772" s="70">
        <v>0</v>
      </c>
    </row>
    <row r="773" spans="2:5" ht="15" customHeight="1">
      <c r="B773" s="112"/>
      <c r="C773" s="61" t="s">
        <v>290</v>
      </c>
      <c r="D773" s="71">
        <v>4</v>
      </c>
      <c r="E773" s="70">
        <v>0</v>
      </c>
    </row>
    <row r="774" spans="2:5" ht="15" customHeight="1">
      <c r="B774" s="112"/>
      <c r="C774" s="61" t="s">
        <v>291</v>
      </c>
      <c r="D774" s="71">
        <v>6</v>
      </c>
      <c r="E774" s="70">
        <v>0</v>
      </c>
    </row>
    <row r="775" spans="2:5" ht="15" customHeight="1">
      <c r="B775" s="112"/>
      <c r="C775" s="61" t="s">
        <v>292</v>
      </c>
      <c r="D775" s="71">
        <v>13</v>
      </c>
      <c r="E775" s="70">
        <v>0</v>
      </c>
    </row>
    <row r="776" spans="2:5" ht="15" customHeight="1">
      <c r="B776" s="112"/>
      <c r="C776" s="61" t="s">
        <v>211</v>
      </c>
      <c r="D776" s="71">
        <v>34</v>
      </c>
      <c r="E776" s="70">
        <v>1E-3</v>
      </c>
    </row>
    <row r="777" spans="2:5" ht="15" customHeight="1">
      <c r="B777" s="112"/>
      <c r="C777" s="61" t="s">
        <v>293</v>
      </c>
      <c r="D777" s="71">
        <v>1</v>
      </c>
      <c r="E777" s="70">
        <v>0</v>
      </c>
    </row>
    <row r="778" spans="2:5" ht="15" customHeight="1">
      <c r="B778" s="112"/>
      <c r="C778" s="61" t="s">
        <v>294</v>
      </c>
      <c r="D778" s="71">
        <v>7</v>
      </c>
      <c r="E778" s="70">
        <v>0</v>
      </c>
    </row>
    <row r="779" spans="2:5" ht="15" customHeight="1">
      <c r="B779" s="112"/>
      <c r="C779" s="61" t="s">
        <v>295</v>
      </c>
      <c r="D779" s="71">
        <v>4</v>
      </c>
      <c r="E779" s="70">
        <v>0</v>
      </c>
    </row>
    <row r="780" spans="2:5" ht="15" customHeight="1">
      <c r="B780" s="112"/>
      <c r="C780" s="61" t="s">
        <v>215</v>
      </c>
      <c r="D780" s="71">
        <v>56</v>
      </c>
      <c r="E780" s="70">
        <v>2E-3</v>
      </c>
    </row>
    <row r="781" spans="2:5" ht="15" customHeight="1">
      <c r="B781" s="112"/>
      <c r="C781" s="61" t="s">
        <v>216</v>
      </c>
      <c r="D781" s="71">
        <v>2</v>
      </c>
      <c r="E781" s="70">
        <v>0</v>
      </c>
    </row>
    <row r="782" spans="2:5" ht="15" customHeight="1">
      <c r="B782" s="112"/>
      <c r="C782" s="61" t="s">
        <v>217</v>
      </c>
      <c r="D782" s="71">
        <v>3</v>
      </c>
      <c r="E782" s="70">
        <v>0</v>
      </c>
    </row>
    <row r="783" spans="2:5" ht="15" customHeight="1">
      <c r="B783" s="112"/>
      <c r="C783" s="61" t="s">
        <v>218</v>
      </c>
      <c r="D783" s="71">
        <v>28</v>
      </c>
      <c r="E783" s="70">
        <v>1E-3</v>
      </c>
    </row>
    <row r="784" spans="2:5" ht="15" customHeight="1">
      <c r="B784" s="112"/>
      <c r="C784" s="61" t="s">
        <v>296</v>
      </c>
      <c r="D784" s="71">
        <v>1</v>
      </c>
      <c r="E784" s="70">
        <v>0</v>
      </c>
    </row>
    <row r="785" spans="2:5" ht="15" customHeight="1">
      <c r="B785" s="112"/>
      <c r="C785" s="61" t="s">
        <v>297</v>
      </c>
      <c r="D785" s="71">
        <v>1</v>
      </c>
      <c r="E785" s="70">
        <v>0</v>
      </c>
    </row>
    <row r="786" spans="2:5" ht="15" customHeight="1">
      <c r="B786" s="112"/>
      <c r="C786" s="61" t="s">
        <v>223</v>
      </c>
      <c r="D786" s="71">
        <v>1</v>
      </c>
      <c r="E786" s="70">
        <v>0</v>
      </c>
    </row>
    <row r="787" spans="2:5" ht="15" customHeight="1">
      <c r="B787" s="112"/>
      <c r="C787" s="61" t="s">
        <v>224</v>
      </c>
      <c r="D787" s="71">
        <v>4</v>
      </c>
      <c r="E787" s="70">
        <v>0</v>
      </c>
    </row>
    <row r="788" spans="2:5" ht="15" customHeight="1">
      <c r="B788" s="112"/>
      <c r="C788" s="61" t="s">
        <v>226</v>
      </c>
      <c r="D788" s="71">
        <v>1</v>
      </c>
      <c r="E788" s="70">
        <v>0</v>
      </c>
    </row>
    <row r="789" spans="2:5" ht="15" customHeight="1">
      <c r="B789" s="112"/>
      <c r="C789" s="74" t="s">
        <v>309</v>
      </c>
      <c r="D789" s="77">
        <v>175</v>
      </c>
      <c r="E789" s="75">
        <v>6.0000000000000001E-3</v>
      </c>
    </row>
    <row r="790" spans="2:5" ht="15" customHeight="1">
      <c r="B790" s="112" t="s">
        <v>69</v>
      </c>
      <c r="C790" s="61" t="s">
        <v>204</v>
      </c>
      <c r="D790" s="71">
        <v>3</v>
      </c>
      <c r="E790" s="70">
        <v>0</v>
      </c>
    </row>
    <row r="791" spans="2:5" ht="15" customHeight="1">
      <c r="B791" s="112"/>
      <c r="C791" s="61" t="s">
        <v>287</v>
      </c>
      <c r="D791" s="71">
        <v>3</v>
      </c>
      <c r="E791" s="70">
        <v>0</v>
      </c>
    </row>
    <row r="792" spans="2:5" ht="15" customHeight="1">
      <c r="B792" s="112"/>
      <c r="C792" s="61" t="s">
        <v>289</v>
      </c>
      <c r="D792" s="71">
        <v>6</v>
      </c>
      <c r="E792" s="70">
        <v>0</v>
      </c>
    </row>
    <row r="793" spans="2:5" ht="15" customHeight="1">
      <c r="B793" s="112"/>
      <c r="C793" s="61" t="s">
        <v>290</v>
      </c>
      <c r="D793" s="71">
        <v>4</v>
      </c>
      <c r="E793" s="70">
        <v>0</v>
      </c>
    </row>
    <row r="794" spans="2:5" ht="15" customHeight="1">
      <c r="B794" s="112"/>
      <c r="C794" s="61" t="s">
        <v>291</v>
      </c>
      <c r="D794" s="71">
        <v>4</v>
      </c>
      <c r="E794" s="70">
        <v>0</v>
      </c>
    </row>
    <row r="795" spans="2:5" ht="15" customHeight="1">
      <c r="B795" s="112"/>
      <c r="C795" s="61" t="s">
        <v>292</v>
      </c>
      <c r="D795" s="71">
        <v>31</v>
      </c>
      <c r="E795" s="70">
        <v>1E-3</v>
      </c>
    </row>
    <row r="796" spans="2:5" ht="15" customHeight="1">
      <c r="B796" s="112"/>
      <c r="C796" s="61" t="s">
        <v>211</v>
      </c>
      <c r="D796" s="71">
        <v>40</v>
      </c>
      <c r="E796" s="70">
        <v>1E-3</v>
      </c>
    </row>
    <row r="797" spans="2:5" ht="15" customHeight="1">
      <c r="B797" s="112"/>
      <c r="C797" s="61" t="s">
        <v>293</v>
      </c>
      <c r="D797" s="71">
        <v>6</v>
      </c>
      <c r="E797" s="70">
        <v>0</v>
      </c>
    </row>
    <row r="798" spans="2:5" ht="15" customHeight="1">
      <c r="B798" s="112"/>
      <c r="C798" s="61" t="s">
        <v>294</v>
      </c>
      <c r="D798" s="71">
        <v>5</v>
      </c>
      <c r="E798" s="70">
        <v>0</v>
      </c>
    </row>
    <row r="799" spans="2:5" ht="15" customHeight="1">
      <c r="B799" s="112"/>
      <c r="C799" s="61" t="s">
        <v>295</v>
      </c>
      <c r="D799" s="71">
        <v>13</v>
      </c>
      <c r="E799" s="70">
        <v>0</v>
      </c>
    </row>
    <row r="800" spans="2:5" ht="15" customHeight="1">
      <c r="B800" s="112"/>
      <c r="C800" s="61" t="s">
        <v>215</v>
      </c>
      <c r="D800" s="71">
        <v>95</v>
      </c>
      <c r="E800" s="70">
        <v>3.0000000000000001E-3</v>
      </c>
    </row>
    <row r="801" spans="2:5" ht="15" customHeight="1">
      <c r="B801" s="112"/>
      <c r="C801" s="61" t="s">
        <v>216</v>
      </c>
      <c r="D801" s="71">
        <v>3</v>
      </c>
      <c r="E801" s="70">
        <v>0</v>
      </c>
    </row>
    <row r="802" spans="2:5" ht="15" customHeight="1">
      <c r="B802" s="112"/>
      <c r="C802" s="61" t="s">
        <v>217</v>
      </c>
      <c r="D802" s="71">
        <v>7</v>
      </c>
      <c r="E802" s="70">
        <v>0</v>
      </c>
    </row>
    <row r="803" spans="2:5" ht="15" customHeight="1">
      <c r="B803" s="112"/>
      <c r="C803" s="61" t="s">
        <v>218</v>
      </c>
      <c r="D803" s="71">
        <v>38</v>
      </c>
      <c r="E803" s="70">
        <v>1E-3</v>
      </c>
    </row>
    <row r="804" spans="2:5" ht="15" customHeight="1">
      <c r="B804" s="112"/>
      <c r="C804" s="61" t="s">
        <v>297</v>
      </c>
      <c r="D804" s="71">
        <v>2</v>
      </c>
      <c r="E804" s="70">
        <v>0</v>
      </c>
    </row>
    <row r="805" spans="2:5" ht="15" customHeight="1">
      <c r="B805" s="112"/>
      <c r="C805" s="61" t="s">
        <v>298</v>
      </c>
      <c r="D805" s="71">
        <v>1</v>
      </c>
      <c r="E805" s="70">
        <v>0</v>
      </c>
    </row>
    <row r="806" spans="2:5" ht="15" customHeight="1">
      <c r="B806" s="112"/>
      <c r="C806" s="61" t="s">
        <v>223</v>
      </c>
      <c r="D806" s="71">
        <v>1</v>
      </c>
      <c r="E806" s="70">
        <v>0</v>
      </c>
    </row>
    <row r="807" spans="2:5" ht="15" customHeight="1">
      <c r="B807" s="112"/>
      <c r="C807" s="61" t="s">
        <v>224</v>
      </c>
      <c r="D807" s="71">
        <v>4</v>
      </c>
      <c r="E807" s="70">
        <v>0</v>
      </c>
    </row>
    <row r="808" spans="2:5" ht="15" customHeight="1">
      <c r="B808" s="112"/>
      <c r="C808" s="74" t="s">
        <v>309</v>
      </c>
      <c r="D808" s="77">
        <v>266</v>
      </c>
      <c r="E808" s="75">
        <v>0.01</v>
      </c>
    </row>
    <row r="809" spans="2:5" ht="15" customHeight="1">
      <c r="B809" s="112" t="s">
        <v>65</v>
      </c>
      <c r="C809" s="61" t="s">
        <v>204</v>
      </c>
      <c r="D809" s="71">
        <v>4</v>
      </c>
      <c r="E809" s="70">
        <v>0</v>
      </c>
    </row>
    <row r="810" spans="2:5" ht="15" customHeight="1">
      <c r="B810" s="112"/>
      <c r="C810" s="61" t="s">
        <v>287</v>
      </c>
      <c r="D810" s="71">
        <v>4</v>
      </c>
      <c r="E810" s="70">
        <v>0</v>
      </c>
    </row>
    <row r="811" spans="2:5" ht="15" customHeight="1">
      <c r="B811" s="112"/>
      <c r="C811" s="61" t="s">
        <v>288</v>
      </c>
      <c r="D811" s="71">
        <v>4</v>
      </c>
      <c r="E811" s="70">
        <v>0</v>
      </c>
    </row>
    <row r="812" spans="2:5" ht="15" customHeight="1">
      <c r="B812" s="112"/>
      <c r="C812" s="61" t="s">
        <v>289</v>
      </c>
      <c r="D812" s="71">
        <v>10</v>
      </c>
      <c r="E812" s="70">
        <v>0</v>
      </c>
    </row>
    <row r="813" spans="2:5" ht="15" customHeight="1">
      <c r="B813" s="112"/>
      <c r="C813" s="61" t="s">
        <v>290</v>
      </c>
      <c r="D813" s="71">
        <v>8</v>
      </c>
      <c r="E813" s="70">
        <v>0</v>
      </c>
    </row>
    <row r="814" spans="2:5" ht="15" customHeight="1">
      <c r="B814" s="112"/>
      <c r="C814" s="61" t="s">
        <v>291</v>
      </c>
      <c r="D814" s="71">
        <v>11</v>
      </c>
      <c r="E814" s="70">
        <v>0</v>
      </c>
    </row>
    <row r="815" spans="2:5" ht="15" customHeight="1">
      <c r="B815" s="112"/>
      <c r="C815" s="61" t="s">
        <v>292</v>
      </c>
      <c r="D815" s="71">
        <v>39</v>
      </c>
      <c r="E815" s="70">
        <v>1E-3</v>
      </c>
    </row>
    <row r="816" spans="2:5" ht="15" customHeight="1">
      <c r="B816" s="112"/>
      <c r="C816" s="61" t="s">
        <v>211</v>
      </c>
      <c r="D816" s="71">
        <v>52</v>
      </c>
      <c r="E816" s="70">
        <v>2E-3</v>
      </c>
    </row>
    <row r="817" spans="2:5" ht="15" customHeight="1">
      <c r="B817" s="112"/>
      <c r="C817" s="61" t="s">
        <v>293</v>
      </c>
      <c r="D817" s="71">
        <v>6</v>
      </c>
      <c r="E817" s="70">
        <v>0</v>
      </c>
    </row>
    <row r="818" spans="2:5" ht="15" customHeight="1">
      <c r="B818" s="112"/>
      <c r="C818" s="61" t="s">
        <v>294</v>
      </c>
      <c r="D818" s="71">
        <v>11</v>
      </c>
      <c r="E818" s="70">
        <v>0</v>
      </c>
    </row>
    <row r="819" spans="2:5" ht="15" customHeight="1">
      <c r="B819" s="112"/>
      <c r="C819" s="61" t="s">
        <v>295</v>
      </c>
      <c r="D819" s="71">
        <v>13</v>
      </c>
      <c r="E819" s="70">
        <v>0</v>
      </c>
    </row>
    <row r="820" spans="2:5" ht="15" customHeight="1">
      <c r="B820" s="112"/>
      <c r="C820" s="61" t="s">
        <v>215</v>
      </c>
      <c r="D820" s="71">
        <v>113</v>
      </c>
      <c r="E820" s="70">
        <v>4.0000000000000001E-3</v>
      </c>
    </row>
    <row r="821" spans="2:5" ht="15" customHeight="1">
      <c r="B821" s="112"/>
      <c r="C821" s="61" t="s">
        <v>216</v>
      </c>
      <c r="D821" s="71">
        <v>6</v>
      </c>
      <c r="E821" s="70">
        <v>0</v>
      </c>
    </row>
    <row r="822" spans="2:5" ht="15" customHeight="1">
      <c r="B822" s="112"/>
      <c r="C822" s="61" t="s">
        <v>217</v>
      </c>
      <c r="D822" s="71">
        <v>12</v>
      </c>
      <c r="E822" s="70">
        <v>0</v>
      </c>
    </row>
    <row r="823" spans="2:5" ht="15" customHeight="1">
      <c r="B823" s="112"/>
      <c r="C823" s="61" t="s">
        <v>218</v>
      </c>
      <c r="D823" s="71">
        <v>44</v>
      </c>
      <c r="E823" s="70">
        <v>2E-3</v>
      </c>
    </row>
    <row r="824" spans="2:5" ht="15" customHeight="1">
      <c r="B824" s="112"/>
      <c r="C824" s="61" t="s">
        <v>297</v>
      </c>
      <c r="D824" s="71">
        <v>3</v>
      </c>
      <c r="E824" s="70">
        <v>0</v>
      </c>
    </row>
    <row r="825" spans="2:5" ht="15" customHeight="1">
      <c r="B825" s="112"/>
      <c r="C825" s="61" t="s">
        <v>298</v>
      </c>
      <c r="D825" s="71">
        <v>1</v>
      </c>
      <c r="E825" s="70">
        <v>0</v>
      </c>
    </row>
    <row r="826" spans="2:5" ht="15" customHeight="1">
      <c r="B826" s="112"/>
      <c r="C826" s="61" t="s">
        <v>299</v>
      </c>
      <c r="D826" s="71">
        <v>1</v>
      </c>
      <c r="E826" s="70">
        <v>0</v>
      </c>
    </row>
    <row r="827" spans="2:5" ht="15" customHeight="1">
      <c r="B827" s="112"/>
      <c r="C827" s="61" t="s">
        <v>223</v>
      </c>
      <c r="D827" s="71">
        <v>1</v>
      </c>
      <c r="E827" s="70">
        <v>0</v>
      </c>
    </row>
    <row r="828" spans="2:5" ht="15" customHeight="1">
      <c r="B828" s="112"/>
      <c r="C828" s="61" t="s">
        <v>224</v>
      </c>
      <c r="D828" s="71">
        <v>11</v>
      </c>
      <c r="E828" s="70">
        <v>0</v>
      </c>
    </row>
    <row r="829" spans="2:5" ht="15" customHeight="1">
      <c r="B829" s="112"/>
      <c r="C829" s="61" t="s">
        <v>227</v>
      </c>
      <c r="D829" s="71">
        <v>1</v>
      </c>
      <c r="E829" s="70">
        <v>0</v>
      </c>
    </row>
    <row r="830" spans="2:5" ht="15" customHeight="1">
      <c r="B830" s="112"/>
      <c r="C830" s="74" t="s">
        <v>309</v>
      </c>
      <c r="D830" s="77">
        <v>355</v>
      </c>
      <c r="E830" s="75">
        <v>1.2999999999999999E-2</v>
      </c>
    </row>
    <row r="831" spans="2:5" ht="15" customHeight="1">
      <c r="B831" s="112" t="s">
        <v>59</v>
      </c>
      <c r="C831" s="61" t="s">
        <v>204</v>
      </c>
      <c r="D831" s="71">
        <v>8</v>
      </c>
      <c r="E831" s="70">
        <v>0</v>
      </c>
    </row>
    <row r="832" spans="2:5" ht="15" customHeight="1">
      <c r="B832" s="112"/>
      <c r="C832" s="61" t="s">
        <v>287</v>
      </c>
      <c r="D832" s="71">
        <v>1</v>
      </c>
      <c r="E832" s="70">
        <v>0</v>
      </c>
    </row>
    <row r="833" spans="2:5" ht="15" customHeight="1">
      <c r="B833" s="112"/>
      <c r="C833" s="61" t="s">
        <v>288</v>
      </c>
      <c r="D833" s="71">
        <v>8</v>
      </c>
      <c r="E833" s="70">
        <v>0</v>
      </c>
    </row>
    <row r="834" spans="2:5" ht="15" customHeight="1">
      <c r="B834" s="112"/>
      <c r="C834" s="61" t="s">
        <v>289</v>
      </c>
      <c r="D834" s="71">
        <v>20</v>
      </c>
      <c r="E834" s="70">
        <v>1E-3</v>
      </c>
    </row>
    <row r="835" spans="2:5" ht="15" customHeight="1">
      <c r="B835" s="112"/>
      <c r="C835" s="61" t="s">
        <v>290</v>
      </c>
      <c r="D835" s="71">
        <v>10</v>
      </c>
      <c r="E835" s="70">
        <v>0</v>
      </c>
    </row>
    <row r="836" spans="2:5" ht="15" customHeight="1">
      <c r="B836" s="112"/>
      <c r="C836" s="61" t="s">
        <v>291</v>
      </c>
      <c r="D836" s="71">
        <v>13</v>
      </c>
      <c r="E836" s="70">
        <v>0</v>
      </c>
    </row>
    <row r="837" spans="2:5" ht="15" customHeight="1">
      <c r="B837" s="112"/>
      <c r="C837" s="61" t="s">
        <v>292</v>
      </c>
      <c r="D837" s="71">
        <v>58</v>
      </c>
      <c r="E837" s="70">
        <v>2E-3</v>
      </c>
    </row>
    <row r="838" spans="2:5" ht="15" customHeight="1">
      <c r="B838" s="112"/>
      <c r="C838" s="61" t="s">
        <v>211</v>
      </c>
      <c r="D838" s="71">
        <v>77</v>
      </c>
      <c r="E838" s="70">
        <v>3.0000000000000001E-3</v>
      </c>
    </row>
    <row r="839" spans="2:5" ht="15" customHeight="1">
      <c r="B839" s="112"/>
      <c r="C839" s="61" t="s">
        <v>293</v>
      </c>
      <c r="D839" s="71">
        <v>4</v>
      </c>
      <c r="E839" s="70">
        <v>0</v>
      </c>
    </row>
    <row r="840" spans="2:5" ht="15" customHeight="1">
      <c r="B840" s="112"/>
      <c r="C840" s="61" t="s">
        <v>294</v>
      </c>
      <c r="D840" s="71">
        <v>12</v>
      </c>
      <c r="E840" s="70">
        <v>0</v>
      </c>
    </row>
    <row r="841" spans="2:5" ht="15" customHeight="1">
      <c r="B841" s="112"/>
      <c r="C841" s="61" t="s">
        <v>295</v>
      </c>
      <c r="D841" s="71">
        <v>18</v>
      </c>
      <c r="E841" s="70">
        <v>1E-3</v>
      </c>
    </row>
    <row r="842" spans="2:5" ht="15" customHeight="1">
      <c r="B842" s="112"/>
      <c r="C842" s="61" t="s">
        <v>215</v>
      </c>
      <c r="D842" s="71">
        <v>103</v>
      </c>
      <c r="E842" s="70">
        <v>4.0000000000000001E-3</v>
      </c>
    </row>
    <row r="843" spans="2:5" ht="15" customHeight="1">
      <c r="B843" s="112"/>
      <c r="C843" s="61" t="s">
        <v>216</v>
      </c>
      <c r="D843" s="71">
        <v>8</v>
      </c>
      <c r="E843" s="70">
        <v>0</v>
      </c>
    </row>
    <row r="844" spans="2:5" ht="15" customHeight="1">
      <c r="B844" s="112"/>
      <c r="C844" s="61" t="s">
        <v>217</v>
      </c>
      <c r="D844" s="71">
        <v>20</v>
      </c>
      <c r="E844" s="70">
        <v>1E-3</v>
      </c>
    </row>
    <row r="845" spans="2:5" ht="15" customHeight="1">
      <c r="B845" s="112"/>
      <c r="C845" s="61" t="s">
        <v>218</v>
      </c>
      <c r="D845" s="71">
        <v>60</v>
      </c>
      <c r="E845" s="70">
        <v>2E-3</v>
      </c>
    </row>
    <row r="846" spans="2:5" ht="15" customHeight="1">
      <c r="B846" s="112"/>
      <c r="C846" s="61" t="s">
        <v>296</v>
      </c>
      <c r="D846" s="71">
        <v>4</v>
      </c>
      <c r="E846" s="70">
        <v>0</v>
      </c>
    </row>
    <row r="847" spans="2:5" ht="15" customHeight="1">
      <c r="B847" s="112"/>
      <c r="C847" s="61" t="s">
        <v>297</v>
      </c>
      <c r="D847" s="71">
        <v>1</v>
      </c>
      <c r="E847" s="70">
        <v>0</v>
      </c>
    </row>
    <row r="848" spans="2:5" ht="15" customHeight="1">
      <c r="B848" s="112"/>
      <c r="C848" s="61" t="s">
        <v>298</v>
      </c>
      <c r="D848" s="71">
        <v>3</v>
      </c>
      <c r="E848" s="70">
        <v>0</v>
      </c>
    </row>
    <row r="849" spans="2:5" ht="15" customHeight="1">
      <c r="B849" s="112"/>
      <c r="C849" s="61" t="s">
        <v>299</v>
      </c>
      <c r="D849" s="71">
        <v>3</v>
      </c>
      <c r="E849" s="70">
        <v>0</v>
      </c>
    </row>
    <row r="850" spans="2:5" ht="15" customHeight="1">
      <c r="B850" s="112"/>
      <c r="C850" s="61" t="s">
        <v>223</v>
      </c>
      <c r="D850" s="71">
        <v>7</v>
      </c>
      <c r="E850" s="70">
        <v>0</v>
      </c>
    </row>
    <row r="851" spans="2:5" ht="15" customHeight="1">
      <c r="B851" s="112"/>
      <c r="C851" s="61" t="s">
        <v>224</v>
      </c>
      <c r="D851" s="71">
        <v>12</v>
      </c>
      <c r="E851" s="70">
        <v>0</v>
      </c>
    </row>
    <row r="852" spans="2:5" ht="15" customHeight="1">
      <c r="B852" s="112"/>
      <c r="C852" s="61" t="s">
        <v>226</v>
      </c>
      <c r="D852" s="71">
        <v>1</v>
      </c>
      <c r="E852" s="70">
        <v>0</v>
      </c>
    </row>
    <row r="853" spans="2:5" ht="15" customHeight="1">
      <c r="B853" s="112"/>
      <c r="C853" s="74" t="s">
        <v>309</v>
      </c>
      <c r="D853" s="77">
        <v>451</v>
      </c>
      <c r="E853" s="75">
        <v>1.7000000000000001E-2</v>
      </c>
    </row>
    <row r="854" spans="2:5" ht="15" customHeight="1">
      <c r="B854" s="112" t="s">
        <v>84</v>
      </c>
      <c r="C854" s="61" t="s">
        <v>288</v>
      </c>
      <c r="D854" s="71">
        <v>1</v>
      </c>
      <c r="E854" s="70">
        <v>0</v>
      </c>
    </row>
    <row r="855" spans="2:5" ht="15" customHeight="1">
      <c r="B855" s="112"/>
      <c r="C855" s="61" t="s">
        <v>289</v>
      </c>
      <c r="D855" s="71">
        <v>1</v>
      </c>
      <c r="E855" s="70">
        <v>0</v>
      </c>
    </row>
    <row r="856" spans="2:5" ht="15" customHeight="1">
      <c r="B856" s="112"/>
      <c r="C856" s="61" t="s">
        <v>290</v>
      </c>
      <c r="D856" s="71">
        <v>2</v>
      </c>
      <c r="E856" s="70">
        <v>0</v>
      </c>
    </row>
    <row r="857" spans="2:5" ht="15" customHeight="1">
      <c r="B857" s="112"/>
      <c r="C857" s="61" t="s">
        <v>292</v>
      </c>
      <c r="D857" s="71">
        <v>5</v>
      </c>
      <c r="E857" s="70">
        <v>0</v>
      </c>
    </row>
    <row r="858" spans="2:5" ht="15" customHeight="1">
      <c r="B858" s="112"/>
      <c r="C858" s="61" t="s">
        <v>211</v>
      </c>
      <c r="D858" s="71">
        <v>5</v>
      </c>
      <c r="E858" s="70">
        <v>0</v>
      </c>
    </row>
    <row r="859" spans="2:5" ht="15" customHeight="1">
      <c r="B859" s="112"/>
      <c r="C859" s="61" t="s">
        <v>295</v>
      </c>
      <c r="D859" s="71">
        <v>1</v>
      </c>
      <c r="E859" s="70">
        <v>0</v>
      </c>
    </row>
    <row r="860" spans="2:5" ht="15" customHeight="1">
      <c r="B860" s="112"/>
      <c r="C860" s="61" t="s">
        <v>215</v>
      </c>
      <c r="D860" s="71">
        <v>16</v>
      </c>
      <c r="E860" s="70">
        <v>1E-3</v>
      </c>
    </row>
    <row r="861" spans="2:5" ht="15" customHeight="1">
      <c r="B861" s="112"/>
      <c r="C861" s="61" t="s">
        <v>217</v>
      </c>
      <c r="D861" s="71">
        <v>1</v>
      </c>
      <c r="E861" s="70">
        <v>0</v>
      </c>
    </row>
    <row r="862" spans="2:5" ht="15" customHeight="1">
      <c r="B862" s="112"/>
      <c r="C862" s="61" t="s">
        <v>218</v>
      </c>
      <c r="D862" s="71">
        <v>2</v>
      </c>
      <c r="E862" s="70">
        <v>0</v>
      </c>
    </row>
    <row r="863" spans="2:5" ht="15" customHeight="1">
      <c r="B863" s="112"/>
      <c r="C863" s="61" t="s">
        <v>223</v>
      </c>
      <c r="D863" s="71">
        <v>1</v>
      </c>
      <c r="E863" s="70">
        <v>0</v>
      </c>
    </row>
    <row r="864" spans="2:5" ht="15" customHeight="1">
      <c r="B864" s="112"/>
      <c r="C864" s="61" t="s">
        <v>224</v>
      </c>
      <c r="D864" s="71">
        <v>2</v>
      </c>
      <c r="E864" s="70">
        <v>0</v>
      </c>
    </row>
    <row r="865" spans="2:5" ht="15" customHeight="1">
      <c r="B865" s="112"/>
      <c r="C865" s="74" t="s">
        <v>309</v>
      </c>
      <c r="D865" s="77">
        <v>37</v>
      </c>
      <c r="E865" s="75">
        <v>1E-3</v>
      </c>
    </row>
    <row r="866" spans="2:5" ht="15" customHeight="1">
      <c r="B866" s="112" t="s">
        <v>90</v>
      </c>
      <c r="C866" s="61" t="s">
        <v>204</v>
      </c>
      <c r="D866" s="71">
        <v>1</v>
      </c>
      <c r="E866" s="70">
        <v>0</v>
      </c>
    </row>
    <row r="867" spans="2:5" ht="15" customHeight="1">
      <c r="B867" s="112"/>
      <c r="C867" s="61" t="s">
        <v>287</v>
      </c>
      <c r="D867" s="71">
        <v>1</v>
      </c>
      <c r="E867" s="70">
        <v>0</v>
      </c>
    </row>
    <row r="868" spans="2:5" ht="15" customHeight="1">
      <c r="B868" s="112"/>
      <c r="C868" s="61" t="s">
        <v>289</v>
      </c>
      <c r="D868" s="71">
        <v>1</v>
      </c>
      <c r="E868" s="70">
        <v>0</v>
      </c>
    </row>
    <row r="869" spans="2:5" ht="15" customHeight="1">
      <c r="B869" s="112"/>
      <c r="C869" s="61" t="s">
        <v>291</v>
      </c>
      <c r="D869" s="71">
        <v>1</v>
      </c>
      <c r="E869" s="70">
        <v>0</v>
      </c>
    </row>
    <row r="870" spans="2:5" ht="15" customHeight="1">
      <c r="B870" s="112"/>
      <c r="C870" s="61" t="s">
        <v>292</v>
      </c>
      <c r="D870" s="71">
        <v>2</v>
      </c>
      <c r="E870" s="70">
        <v>0</v>
      </c>
    </row>
    <row r="871" spans="2:5" ht="15" customHeight="1">
      <c r="B871" s="112"/>
      <c r="C871" s="61" t="s">
        <v>211</v>
      </c>
      <c r="D871" s="71">
        <v>3</v>
      </c>
      <c r="E871" s="70">
        <v>0</v>
      </c>
    </row>
    <row r="872" spans="2:5" ht="15" customHeight="1">
      <c r="B872" s="112"/>
      <c r="C872" s="61" t="s">
        <v>295</v>
      </c>
      <c r="D872" s="71">
        <v>2</v>
      </c>
      <c r="E872" s="70">
        <v>0</v>
      </c>
    </row>
    <row r="873" spans="2:5" ht="15" customHeight="1">
      <c r="B873" s="112"/>
      <c r="C873" s="61" t="s">
        <v>215</v>
      </c>
      <c r="D873" s="71">
        <v>6</v>
      </c>
      <c r="E873" s="70">
        <v>0</v>
      </c>
    </row>
    <row r="874" spans="2:5" ht="15" customHeight="1">
      <c r="B874" s="112"/>
      <c r="C874" s="61" t="s">
        <v>218</v>
      </c>
      <c r="D874" s="71">
        <v>3</v>
      </c>
      <c r="E874" s="70">
        <v>0</v>
      </c>
    </row>
    <row r="875" spans="2:5" ht="15" customHeight="1">
      <c r="B875" s="112"/>
      <c r="C875" s="61" t="s">
        <v>223</v>
      </c>
      <c r="D875" s="71">
        <v>2</v>
      </c>
      <c r="E875" s="70">
        <v>0</v>
      </c>
    </row>
    <row r="876" spans="2:5" ht="15" customHeight="1">
      <c r="B876" s="112"/>
      <c r="C876" s="74" t="s">
        <v>309</v>
      </c>
      <c r="D876" s="77">
        <v>22</v>
      </c>
      <c r="E876" s="75">
        <v>1E-3</v>
      </c>
    </row>
    <row r="877" spans="2:5" ht="15" customHeight="1">
      <c r="B877" s="112" t="s">
        <v>80</v>
      </c>
      <c r="C877" s="61" t="s">
        <v>290</v>
      </c>
      <c r="D877" s="71">
        <v>2</v>
      </c>
      <c r="E877" s="70">
        <v>0</v>
      </c>
    </row>
    <row r="878" spans="2:5" ht="15" customHeight="1">
      <c r="B878" s="112"/>
      <c r="C878" s="61" t="s">
        <v>291</v>
      </c>
      <c r="D878" s="71">
        <v>2</v>
      </c>
      <c r="E878" s="70">
        <v>0</v>
      </c>
    </row>
    <row r="879" spans="2:5" ht="15" customHeight="1">
      <c r="B879" s="112"/>
      <c r="C879" s="61" t="s">
        <v>292</v>
      </c>
      <c r="D879" s="71">
        <v>8</v>
      </c>
      <c r="E879" s="70">
        <v>0</v>
      </c>
    </row>
    <row r="880" spans="2:5" ht="15" customHeight="1">
      <c r="B880" s="112"/>
      <c r="C880" s="61" t="s">
        <v>211</v>
      </c>
      <c r="D880" s="71">
        <v>19</v>
      </c>
      <c r="E880" s="70">
        <v>1E-3</v>
      </c>
    </row>
    <row r="881" spans="2:5" ht="15" customHeight="1">
      <c r="B881" s="112"/>
      <c r="C881" s="61" t="s">
        <v>293</v>
      </c>
      <c r="D881" s="71">
        <v>2</v>
      </c>
      <c r="E881" s="70">
        <v>0</v>
      </c>
    </row>
    <row r="882" spans="2:5" ht="15" customHeight="1">
      <c r="B882" s="112"/>
      <c r="C882" s="61" t="s">
        <v>294</v>
      </c>
      <c r="D882" s="71">
        <v>3</v>
      </c>
      <c r="E882" s="70">
        <v>0</v>
      </c>
    </row>
    <row r="883" spans="2:5" ht="15" customHeight="1">
      <c r="B883" s="112"/>
      <c r="C883" s="61" t="s">
        <v>295</v>
      </c>
      <c r="D883" s="71">
        <v>6</v>
      </c>
      <c r="E883" s="70">
        <v>0</v>
      </c>
    </row>
    <row r="884" spans="2:5" ht="15" customHeight="1">
      <c r="B884" s="112"/>
      <c r="C884" s="61" t="s">
        <v>215</v>
      </c>
      <c r="D884" s="71">
        <v>39</v>
      </c>
      <c r="E884" s="70">
        <v>1E-3</v>
      </c>
    </row>
    <row r="885" spans="2:5" ht="15" customHeight="1">
      <c r="B885" s="112"/>
      <c r="C885" s="61" t="s">
        <v>216</v>
      </c>
      <c r="D885" s="71">
        <v>1</v>
      </c>
      <c r="E885" s="70">
        <v>0</v>
      </c>
    </row>
    <row r="886" spans="2:5" ht="15" customHeight="1">
      <c r="B886" s="112"/>
      <c r="C886" s="61" t="s">
        <v>217</v>
      </c>
      <c r="D886" s="71">
        <v>2</v>
      </c>
      <c r="E886" s="70">
        <v>0</v>
      </c>
    </row>
    <row r="887" spans="2:5" ht="15" customHeight="1">
      <c r="B887" s="112"/>
      <c r="C887" s="61" t="s">
        <v>218</v>
      </c>
      <c r="D887" s="71">
        <v>10</v>
      </c>
      <c r="E887" s="70">
        <v>0</v>
      </c>
    </row>
    <row r="888" spans="2:5" ht="15" customHeight="1">
      <c r="B888" s="112"/>
      <c r="C888" s="61" t="s">
        <v>296</v>
      </c>
      <c r="D888" s="71">
        <v>1</v>
      </c>
      <c r="E888" s="70">
        <v>0</v>
      </c>
    </row>
    <row r="889" spans="2:5" ht="15" customHeight="1">
      <c r="B889" s="112"/>
      <c r="C889" s="61" t="s">
        <v>226</v>
      </c>
      <c r="D889" s="71">
        <v>1</v>
      </c>
      <c r="E889" s="70">
        <v>0</v>
      </c>
    </row>
    <row r="890" spans="2:5" ht="15" customHeight="1">
      <c r="B890" s="112"/>
      <c r="C890" s="74" t="s">
        <v>309</v>
      </c>
      <c r="D890" s="77">
        <v>96</v>
      </c>
      <c r="E890" s="75">
        <v>4.0000000000000001E-3</v>
      </c>
    </row>
    <row r="891" spans="2:5" ht="15" customHeight="1">
      <c r="B891" s="112" t="s">
        <v>91</v>
      </c>
      <c r="C891" s="61" t="s">
        <v>291</v>
      </c>
      <c r="D891" s="71">
        <v>1</v>
      </c>
      <c r="E891" s="70">
        <v>0</v>
      </c>
    </row>
    <row r="892" spans="2:5" ht="15" customHeight="1">
      <c r="B892" s="112"/>
      <c r="C892" s="61" t="s">
        <v>292</v>
      </c>
      <c r="D892" s="71">
        <v>2</v>
      </c>
      <c r="E892" s="70">
        <v>0</v>
      </c>
    </row>
    <row r="893" spans="2:5" ht="15" customHeight="1">
      <c r="B893" s="112"/>
      <c r="C893" s="74" t="s">
        <v>309</v>
      </c>
      <c r="D893" s="77">
        <v>3</v>
      </c>
      <c r="E893" s="75">
        <v>0</v>
      </c>
    </row>
    <row r="894" spans="2:5" ht="15" customHeight="1">
      <c r="B894" s="113" t="s">
        <v>307</v>
      </c>
      <c r="C894" s="113"/>
      <c r="D894" s="41">
        <v>27182</v>
      </c>
      <c r="E894" s="73">
        <v>1</v>
      </c>
    </row>
    <row r="895" spans="2:5" ht="15" customHeight="1">
      <c r="B895" s="35"/>
      <c r="C895" s="35"/>
      <c r="D895" s="35"/>
      <c r="E895" s="35"/>
    </row>
    <row r="896" spans="2:5" ht="15" customHeight="1">
      <c r="B896" s="37" t="s">
        <v>284</v>
      </c>
      <c r="C896" s="35"/>
      <c r="D896" s="35"/>
      <c r="E896" s="35"/>
    </row>
    <row r="897" spans="2:5" ht="15" customHeight="1">
      <c r="B897" s="38" t="s">
        <v>18</v>
      </c>
      <c r="C897" s="35"/>
      <c r="D897" s="35"/>
      <c r="E897" s="35"/>
    </row>
    <row r="898" spans="2:5" ht="15" customHeight="1">
      <c r="B898" s="39" t="s">
        <v>143</v>
      </c>
      <c r="C898" s="35"/>
      <c r="D898" s="35"/>
      <c r="E898" s="35"/>
    </row>
    <row r="899" spans="2:5" ht="15" customHeight="1">
      <c r="B899" s="37" t="s">
        <v>17</v>
      </c>
      <c r="C899" s="35"/>
      <c r="D899" s="35"/>
      <c r="E899" s="35"/>
    </row>
    <row r="900" spans="2:5" ht="15" customHeight="1">
      <c r="B900" s="37" t="s">
        <v>311</v>
      </c>
      <c r="C900" s="35"/>
      <c r="D900" s="35"/>
      <c r="E900" s="35"/>
    </row>
  </sheetData>
  <mergeCells count="53">
    <mergeCell ref="B745:B768"/>
    <mergeCell ref="B769:B789"/>
    <mergeCell ref="B790:B808"/>
    <mergeCell ref="B809:B830"/>
    <mergeCell ref="B726:B744"/>
    <mergeCell ref="B894:C894"/>
    <mergeCell ref="B831:B853"/>
    <mergeCell ref="B854:B865"/>
    <mergeCell ref="B866:B876"/>
    <mergeCell ref="B877:B890"/>
    <mergeCell ref="B891:B893"/>
    <mergeCell ref="B167:B171"/>
    <mergeCell ref="B172:B191"/>
    <mergeCell ref="B192:B214"/>
    <mergeCell ref="B215:B222"/>
    <mergeCell ref="B446:B464"/>
    <mergeCell ref="B223:B238"/>
    <mergeCell ref="B239:B254"/>
    <mergeCell ref="B255:B273"/>
    <mergeCell ref="B274:B297"/>
    <mergeCell ref="B298:B312"/>
    <mergeCell ref="B313:B333"/>
    <mergeCell ref="B334:B342"/>
    <mergeCell ref="B343:B363"/>
    <mergeCell ref="B364:B387"/>
    <mergeCell ref="B388:B410"/>
    <mergeCell ref="B411:B428"/>
    <mergeCell ref="B98:B111"/>
    <mergeCell ref="B112:B118"/>
    <mergeCell ref="B119:B141"/>
    <mergeCell ref="B142:B166"/>
    <mergeCell ref="B7:E8"/>
    <mergeCell ref="B10:B29"/>
    <mergeCell ref="B30:B49"/>
    <mergeCell ref="B50:B71"/>
    <mergeCell ref="B72:B90"/>
    <mergeCell ref="B91:B97"/>
    <mergeCell ref="B429:B445"/>
    <mergeCell ref="B646:B664"/>
    <mergeCell ref="B665:B685"/>
    <mergeCell ref="B686:B705"/>
    <mergeCell ref="B706:B725"/>
    <mergeCell ref="B505:B529"/>
    <mergeCell ref="B465:B472"/>
    <mergeCell ref="B473:B474"/>
    <mergeCell ref="B475:B491"/>
    <mergeCell ref="B492:B504"/>
    <mergeCell ref="B530:B551"/>
    <mergeCell ref="B552:B568"/>
    <mergeCell ref="B569:B589"/>
    <mergeCell ref="B590:B613"/>
    <mergeCell ref="B614:B630"/>
    <mergeCell ref="B631:B64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0"/>
  <sheetViews>
    <sheetView showGridLines="0" view="pageBreakPreview" topLeftCell="A4" zoomScaleNormal="100" zoomScaleSheetLayoutView="100" workbookViewId="0">
      <selection activeCell="I8" sqref="I8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42578125" style="13" customWidth="1"/>
    <col min="7" max="16384" width="11.42578125" style="13"/>
  </cols>
  <sheetData>
    <row r="1" spans="1:6" s="15" customFormat="1" ht="15" customHeight="1">
      <c r="C1" s="17"/>
    </row>
    <row r="2" spans="1:6" s="15" customFormat="1" ht="15" customHeight="1">
      <c r="C2" s="17"/>
    </row>
    <row r="3" spans="1:6" s="15" customFormat="1" ht="15" customHeight="1">
      <c r="C3" s="17"/>
    </row>
    <row r="4" spans="1:6" s="15" customFormat="1" ht="30" customHeight="1">
      <c r="C4" s="17"/>
      <c r="D4" s="16"/>
    </row>
    <row r="5" spans="1:6" s="15" customFormat="1" ht="15" customHeight="1">
      <c r="C5" s="17"/>
      <c r="D5" s="16"/>
    </row>
    <row r="6" spans="1:6" s="15" customFormat="1" ht="15" customHeight="1">
      <c r="C6" s="17"/>
      <c r="D6" s="16"/>
    </row>
    <row r="7" spans="1:6" s="15" customFormat="1" ht="15" customHeight="1">
      <c r="A7" s="30"/>
      <c r="B7" s="110" t="s">
        <v>36</v>
      </c>
      <c r="C7" s="110"/>
      <c r="D7" s="110"/>
      <c r="E7" s="30"/>
      <c r="F7" s="30"/>
    </row>
    <row r="8" spans="1:6" s="15" customFormat="1" ht="15" customHeight="1">
      <c r="A8" s="30"/>
      <c r="B8" s="110"/>
      <c r="C8" s="110"/>
      <c r="D8" s="110"/>
      <c r="E8" s="30"/>
      <c r="F8" s="30"/>
    </row>
    <row r="9" spans="1:6" s="15" customFormat="1" ht="33" customHeight="1">
      <c r="A9" s="30"/>
      <c r="B9" s="110"/>
      <c r="C9" s="110"/>
      <c r="D9" s="110"/>
      <c r="E9" s="30"/>
      <c r="F9" s="30"/>
    </row>
    <row r="10" spans="1:6" s="15" customFormat="1" ht="4.5" customHeight="1">
      <c r="A10" s="30"/>
      <c r="B10" s="31"/>
      <c r="C10" s="31"/>
      <c r="D10" s="31"/>
      <c r="E10" s="30"/>
      <c r="F10" s="30"/>
    </row>
    <row r="11" spans="1:6" s="15" customFormat="1" ht="33" customHeight="1">
      <c r="A11" s="30"/>
      <c r="B11" s="32" t="s">
        <v>29</v>
      </c>
      <c r="C11" s="33" t="s">
        <v>20</v>
      </c>
      <c r="D11" s="32" t="s">
        <v>19</v>
      </c>
      <c r="E11" s="30"/>
      <c r="F11" s="30"/>
    </row>
    <row r="12" spans="1:6" ht="16.5">
      <c r="A12" s="34"/>
      <c r="B12" s="67" t="s">
        <v>144</v>
      </c>
      <c r="C12" s="62">
        <v>10680</v>
      </c>
      <c r="D12" s="63">
        <v>0.39290707085571303</v>
      </c>
      <c r="E12" s="34"/>
      <c r="F12" s="34"/>
    </row>
    <row r="13" spans="1:6" ht="16.5">
      <c r="A13" s="34"/>
      <c r="B13" s="67" t="s">
        <v>145</v>
      </c>
      <c r="C13" s="62">
        <v>16502</v>
      </c>
      <c r="D13" s="63">
        <v>0.60709292914428703</v>
      </c>
      <c r="E13" s="34"/>
      <c r="F13" s="34"/>
    </row>
    <row r="14" spans="1:6" ht="16.5">
      <c r="A14" s="34"/>
      <c r="B14" s="80" t="s">
        <v>308</v>
      </c>
      <c r="C14" s="65">
        <v>27182</v>
      </c>
      <c r="D14" s="66">
        <v>1</v>
      </c>
      <c r="E14" s="34"/>
      <c r="F14" s="34"/>
    </row>
    <row r="15" spans="1:6" ht="16.5">
      <c r="A15" s="34"/>
      <c r="B15" s="35"/>
      <c r="C15" s="36"/>
      <c r="D15" s="34"/>
      <c r="E15" s="34"/>
      <c r="F15" s="34"/>
    </row>
    <row r="16" spans="1:6" ht="16.5">
      <c r="A16" s="34"/>
      <c r="B16" s="37" t="s">
        <v>284</v>
      </c>
      <c r="C16" s="36"/>
      <c r="D16" s="34"/>
      <c r="E16" s="34"/>
      <c r="F16" s="34"/>
    </row>
    <row r="17" spans="1:6" ht="16.5">
      <c r="A17" s="34"/>
      <c r="B17" s="38" t="s">
        <v>18</v>
      </c>
      <c r="C17" s="36"/>
      <c r="D17" s="34"/>
      <c r="E17" s="34"/>
      <c r="F17" s="34"/>
    </row>
    <row r="18" spans="1:6" ht="16.5">
      <c r="A18" s="34"/>
      <c r="B18" s="39" t="s">
        <v>143</v>
      </c>
      <c r="C18" s="36"/>
      <c r="D18" s="34"/>
      <c r="E18" s="34"/>
      <c r="F18" s="34"/>
    </row>
    <row r="19" spans="1:6" ht="16.5">
      <c r="A19" s="34"/>
      <c r="B19" s="37" t="s">
        <v>17</v>
      </c>
      <c r="C19" s="36"/>
      <c r="D19" s="34"/>
      <c r="E19" s="34"/>
      <c r="F19" s="34"/>
    </row>
    <row r="20" spans="1:6" ht="16.5">
      <c r="A20" s="34"/>
      <c r="B20" s="37" t="s">
        <v>311</v>
      </c>
      <c r="C20" s="36"/>
      <c r="D20" s="34"/>
      <c r="E20" s="34"/>
      <c r="F20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71"/>
  <sheetViews>
    <sheetView showGridLines="0" view="pageBreakPreview" topLeftCell="A154" zoomScaleNormal="91" zoomScaleSheetLayoutView="100" workbookViewId="0">
      <selection activeCell="J7" sqref="J7"/>
    </sheetView>
  </sheetViews>
  <sheetFormatPr baseColWidth="10" defaultColWidth="11.42578125" defaultRowHeight="11.25"/>
  <cols>
    <col min="1" max="1" width="5.7109375" style="15" customWidth="1"/>
    <col min="2" max="2" width="19" style="20" customWidth="1"/>
    <col min="3" max="3" width="14.7109375" style="20" customWidth="1"/>
    <col min="4" max="4" width="22.5703125" style="24" customWidth="1"/>
    <col min="5" max="5" width="15.140625" style="20" bestFit="1" customWidth="1"/>
    <col min="6" max="6" width="3.28515625" style="15" customWidth="1"/>
    <col min="7" max="7" width="4.42578125" style="15" customWidth="1"/>
    <col min="8" max="16384" width="11.42578125" style="15"/>
  </cols>
  <sheetData>
    <row r="1" spans="1:6" s="13" customFormat="1" ht="15">
      <c r="B1" s="20"/>
      <c r="C1" s="20"/>
    </row>
    <row r="2" spans="1:6" s="20" customFormat="1">
      <c r="B2" s="26"/>
    </row>
    <row r="3" spans="1:6" ht="15" customHeight="1">
      <c r="B3" s="27"/>
      <c r="C3" s="17"/>
      <c r="D3" s="15"/>
      <c r="F3" s="20"/>
    </row>
    <row r="4" spans="1:6" ht="30" customHeight="1">
      <c r="B4" s="27"/>
      <c r="C4" s="17"/>
      <c r="D4" s="15"/>
      <c r="F4" s="20"/>
    </row>
    <row r="5" spans="1:6" ht="15" customHeight="1">
      <c r="B5" s="27"/>
      <c r="C5" s="17"/>
      <c r="D5" s="15"/>
      <c r="F5" s="20"/>
    </row>
    <row r="6" spans="1:6" s="20" customFormat="1">
      <c r="B6" s="23"/>
      <c r="C6" s="22"/>
    </row>
    <row r="7" spans="1:6" s="20" customFormat="1">
      <c r="B7" s="26"/>
    </row>
    <row r="8" spans="1:6" s="13" customFormat="1" ht="15" customHeight="1">
      <c r="A8" s="34"/>
      <c r="B8" s="110" t="s">
        <v>38</v>
      </c>
      <c r="C8" s="110"/>
      <c r="D8" s="110"/>
      <c r="E8" s="110"/>
      <c r="F8" s="34"/>
    </row>
    <row r="9" spans="1:6" s="13" customFormat="1" ht="15" customHeight="1">
      <c r="A9" s="34"/>
      <c r="B9" s="110"/>
      <c r="C9" s="110"/>
      <c r="D9" s="110"/>
      <c r="E9" s="110"/>
      <c r="F9" s="51"/>
    </row>
    <row r="10" spans="1:6" s="13" customFormat="1" ht="15" customHeight="1">
      <c r="A10" s="34"/>
      <c r="B10" s="110"/>
      <c r="C10" s="110"/>
      <c r="D10" s="110"/>
      <c r="E10" s="110"/>
      <c r="F10" s="34"/>
    </row>
    <row r="11" spans="1:6" s="13" customFormat="1" ht="17.45" customHeight="1">
      <c r="A11" s="34"/>
      <c r="B11" s="52"/>
      <c r="C11" s="52"/>
      <c r="D11" s="52"/>
      <c r="E11" s="52"/>
      <c r="F11" s="34"/>
    </row>
    <row r="12" spans="1:6" s="13" customFormat="1" ht="36.950000000000003" customHeight="1">
      <c r="A12" s="34"/>
      <c r="B12" s="57" t="s">
        <v>22</v>
      </c>
      <c r="C12" s="57" t="s">
        <v>29</v>
      </c>
      <c r="D12" s="57" t="s">
        <v>20</v>
      </c>
      <c r="E12" s="57" t="s">
        <v>19</v>
      </c>
      <c r="F12" s="34"/>
    </row>
    <row r="13" spans="1:6" ht="14.25">
      <c r="A13" s="30"/>
      <c r="B13" s="112" t="s">
        <v>66</v>
      </c>
      <c r="C13" s="61" t="s">
        <v>144</v>
      </c>
      <c r="D13" s="71">
        <v>120</v>
      </c>
      <c r="E13" s="70">
        <v>4.0000000000000001E-3</v>
      </c>
      <c r="F13" s="30"/>
    </row>
    <row r="14" spans="1:6" ht="15.75" customHeight="1">
      <c r="A14" s="30"/>
      <c r="B14" s="112"/>
      <c r="C14" s="61" t="s">
        <v>145</v>
      </c>
      <c r="D14" s="71">
        <v>189</v>
      </c>
      <c r="E14" s="70">
        <v>7.0000000000000001E-3</v>
      </c>
      <c r="F14" s="30"/>
    </row>
    <row r="15" spans="1:6" ht="15.75" customHeight="1">
      <c r="A15" s="30"/>
      <c r="B15" s="112"/>
      <c r="C15" s="74" t="s">
        <v>309</v>
      </c>
      <c r="D15" s="77">
        <v>309</v>
      </c>
      <c r="E15" s="75">
        <v>1.0999999999999999E-2</v>
      </c>
      <c r="F15" s="30"/>
    </row>
    <row r="16" spans="1:6" ht="14.25">
      <c r="A16" s="30"/>
      <c r="B16" s="112" t="s">
        <v>54</v>
      </c>
      <c r="C16" s="61" t="s">
        <v>144</v>
      </c>
      <c r="D16" s="71">
        <v>212</v>
      </c>
      <c r="E16" s="70">
        <v>8.0000000000000002E-3</v>
      </c>
      <c r="F16" s="30"/>
    </row>
    <row r="17" spans="1:6" ht="15.75" customHeight="1">
      <c r="A17" s="30"/>
      <c r="B17" s="112"/>
      <c r="C17" s="61" t="s">
        <v>145</v>
      </c>
      <c r="D17" s="71">
        <v>502</v>
      </c>
      <c r="E17" s="70">
        <v>1.7999999999999999E-2</v>
      </c>
      <c r="F17" s="30"/>
    </row>
    <row r="18" spans="1:6" ht="15.75" customHeight="1">
      <c r="A18" s="30"/>
      <c r="B18" s="112"/>
      <c r="C18" s="74" t="s">
        <v>309</v>
      </c>
      <c r="D18" s="77">
        <v>714</v>
      </c>
      <c r="E18" s="75">
        <v>2.5999999999999999E-2</v>
      </c>
      <c r="F18" s="30"/>
    </row>
    <row r="19" spans="1:6" ht="14.25">
      <c r="A19" s="30"/>
      <c r="B19" s="112" t="s">
        <v>55</v>
      </c>
      <c r="C19" s="61" t="s">
        <v>144</v>
      </c>
      <c r="D19" s="71">
        <v>198</v>
      </c>
      <c r="E19" s="70">
        <v>7.0000000000000001E-3</v>
      </c>
      <c r="F19" s="30"/>
    </row>
    <row r="20" spans="1:6" ht="15.75" customHeight="1">
      <c r="A20" s="30"/>
      <c r="B20" s="112"/>
      <c r="C20" s="61" t="s">
        <v>145</v>
      </c>
      <c r="D20" s="71">
        <v>346</v>
      </c>
      <c r="E20" s="70">
        <v>1.2999999999999999E-2</v>
      </c>
      <c r="F20" s="30"/>
    </row>
    <row r="21" spans="1:6" ht="15.75" customHeight="1">
      <c r="A21" s="30"/>
      <c r="B21" s="112"/>
      <c r="C21" s="74" t="s">
        <v>309</v>
      </c>
      <c r="D21" s="77">
        <v>544</v>
      </c>
      <c r="E21" s="75">
        <v>0.02</v>
      </c>
      <c r="F21" s="30"/>
    </row>
    <row r="22" spans="1:6" ht="14.25">
      <c r="A22" s="30"/>
      <c r="B22" s="112" t="s">
        <v>67</v>
      </c>
      <c r="C22" s="61" t="s">
        <v>144</v>
      </c>
      <c r="D22" s="71">
        <v>90</v>
      </c>
      <c r="E22" s="70">
        <v>3.0000000000000001E-3</v>
      </c>
      <c r="F22" s="30"/>
    </row>
    <row r="23" spans="1:6" ht="15.75" customHeight="1">
      <c r="A23" s="30"/>
      <c r="B23" s="112"/>
      <c r="C23" s="61" t="s">
        <v>145</v>
      </c>
      <c r="D23" s="71">
        <v>195</v>
      </c>
      <c r="E23" s="70">
        <v>7.0000000000000001E-3</v>
      </c>
      <c r="F23" s="30"/>
    </row>
    <row r="24" spans="1:6" ht="15.75" customHeight="1">
      <c r="A24" s="30"/>
      <c r="B24" s="112"/>
      <c r="C24" s="74" t="s">
        <v>309</v>
      </c>
      <c r="D24" s="77">
        <v>285</v>
      </c>
      <c r="E24" s="75">
        <v>0.01</v>
      </c>
      <c r="F24" s="30"/>
    </row>
    <row r="25" spans="1:6" ht="14.25">
      <c r="A25" s="30"/>
      <c r="B25" s="112" t="s">
        <v>86</v>
      </c>
      <c r="C25" s="61" t="s">
        <v>144</v>
      </c>
      <c r="D25" s="71">
        <v>9</v>
      </c>
      <c r="E25" s="70">
        <v>0</v>
      </c>
      <c r="F25" s="30"/>
    </row>
    <row r="26" spans="1:6" ht="15.75" customHeight="1">
      <c r="A26" s="30"/>
      <c r="B26" s="112"/>
      <c r="C26" s="61" t="s">
        <v>145</v>
      </c>
      <c r="D26" s="71">
        <v>7</v>
      </c>
      <c r="E26" s="70">
        <v>0</v>
      </c>
      <c r="F26" s="30"/>
    </row>
    <row r="27" spans="1:6" ht="15.75" customHeight="1">
      <c r="A27" s="30"/>
      <c r="B27" s="112"/>
      <c r="C27" s="74" t="s">
        <v>309</v>
      </c>
      <c r="D27" s="77">
        <v>16</v>
      </c>
      <c r="E27" s="75">
        <v>1E-3</v>
      </c>
      <c r="F27" s="30"/>
    </row>
    <row r="28" spans="1:6" ht="14.25">
      <c r="A28" s="30"/>
      <c r="B28" s="112" t="s">
        <v>85</v>
      </c>
      <c r="C28" s="61" t="s">
        <v>144</v>
      </c>
      <c r="D28" s="71">
        <v>22</v>
      </c>
      <c r="E28" s="70">
        <v>1E-3</v>
      </c>
      <c r="F28" s="30"/>
    </row>
    <row r="29" spans="1:6" ht="15.75" customHeight="1">
      <c r="A29" s="30"/>
      <c r="B29" s="112"/>
      <c r="C29" s="61" t="s">
        <v>145</v>
      </c>
      <c r="D29" s="71">
        <v>21</v>
      </c>
      <c r="E29" s="70">
        <v>1E-3</v>
      </c>
      <c r="F29" s="30"/>
    </row>
    <row r="30" spans="1:6" ht="15.75" customHeight="1">
      <c r="A30" s="30"/>
      <c r="B30" s="112"/>
      <c r="C30" s="74" t="s">
        <v>309</v>
      </c>
      <c r="D30" s="77">
        <v>43</v>
      </c>
      <c r="E30" s="75">
        <v>2E-3</v>
      </c>
      <c r="F30" s="30"/>
    </row>
    <row r="31" spans="1:6" ht="14.25">
      <c r="A31" s="30"/>
      <c r="B31" s="112" t="s">
        <v>92</v>
      </c>
      <c r="C31" s="61" t="s">
        <v>144</v>
      </c>
      <c r="D31" s="71">
        <v>2</v>
      </c>
      <c r="E31" s="70">
        <v>0</v>
      </c>
      <c r="F31" s="30"/>
    </row>
    <row r="32" spans="1:6" ht="15.75" customHeight="1">
      <c r="A32" s="30"/>
      <c r="B32" s="112"/>
      <c r="C32" s="61" t="s">
        <v>145</v>
      </c>
      <c r="D32" s="71">
        <v>6</v>
      </c>
      <c r="E32" s="70">
        <v>0</v>
      </c>
      <c r="F32" s="30"/>
    </row>
    <row r="33" spans="1:6" ht="15.75" customHeight="1">
      <c r="A33" s="30"/>
      <c r="B33" s="112"/>
      <c r="C33" s="74" t="s">
        <v>309</v>
      </c>
      <c r="D33" s="77">
        <v>8</v>
      </c>
      <c r="E33" s="75">
        <v>0</v>
      </c>
      <c r="F33" s="30"/>
    </row>
    <row r="34" spans="1:6" ht="14.25">
      <c r="A34" s="30"/>
      <c r="B34" s="112" t="s">
        <v>46</v>
      </c>
      <c r="C34" s="61" t="s">
        <v>144</v>
      </c>
      <c r="D34" s="69">
        <v>1160</v>
      </c>
      <c r="E34" s="70">
        <v>4.2999999999999997E-2</v>
      </c>
      <c r="F34" s="30"/>
    </row>
    <row r="35" spans="1:6" ht="15.75" customHeight="1">
      <c r="A35" s="30"/>
      <c r="B35" s="112"/>
      <c r="C35" s="61" t="s">
        <v>145</v>
      </c>
      <c r="D35" s="69">
        <v>1632</v>
      </c>
      <c r="E35" s="70">
        <v>0.06</v>
      </c>
      <c r="F35" s="30"/>
    </row>
    <row r="36" spans="1:6" ht="15.75" customHeight="1">
      <c r="A36" s="30"/>
      <c r="B36" s="112"/>
      <c r="C36" s="74" t="s">
        <v>309</v>
      </c>
      <c r="D36" s="59">
        <v>2792</v>
      </c>
      <c r="E36" s="79">
        <v>0.10299999999999999</v>
      </c>
      <c r="F36" s="30"/>
    </row>
    <row r="37" spans="1:6" ht="14.25">
      <c r="A37" s="30"/>
      <c r="B37" s="112" t="s">
        <v>45</v>
      </c>
      <c r="C37" s="61" t="s">
        <v>144</v>
      </c>
      <c r="D37" s="69">
        <v>1708</v>
      </c>
      <c r="E37" s="70">
        <v>6.3E-2</v>
      </c>
      <c r="F37" s="30"/>
    </row>
    <row r="38" spans="1:6" ht="15.75" customHeight="1">
      <c r="A38" s="30"/>
      <c r="B38" s="112"/>
      <c r="C38" s="61" t="s">
        <v>145</v>
      </c>
      <c r="D38" s="69">
        <v>2968</v>
      </c>
      <c r="E38" s="70">
        <v>0.109</v>
      </c>
      <c r="F38" s="30"/>
    </row>
    <row r="39" spans="1:6" ht="15.75" customHeight="1">
      <c r="A39" s="30"/>
      <c r="B39" s="112"/>
      <c r="C39" s="74" t="s">
        <v>309</v>
      </c>
      <c r="D39" s="59">
        <v>4676</v>
      </c>
      <c r="E39" s="75">
        <v>0.17199999999999999</v>
      </c>
      <c r="F39" s="30"/>
    </row>
    <row r="40" spans="1:6" ht="14.25">
      <c r="A40" s="30"/>
      <c r="B40" s="112" t="s">
        <v>89</v>
      </c>
      <c r="C40" s="61" t="s">
        <v>144</v>
      </c>
      <c r="D40" s="71">
        <v>1</v>
      </c>
      <c r="E40" s="70">
        <v>0</v>
      </c>
      <c r="F40" s="30"/>
    </row>
    <row r="41" spans="1:6" ht="15.75" customHeight="1">
      <c r="A41" s="30"/>
      <c r="B41" s="112"/>
      <c r="C41" s="61" t="s">
        <v>145</v>
      </c>
      <c r="D41" s="71">
        <v>14</v>
      </c>
      <c r="E41" s="70">
        <v>1E-3</v>
      </c>
      <c r="F41" s="30"/>
    </row>
    <row r="42" spans="1:6" ht="15.75" customHeight="1">
      <c r="A42" s="30"/>
      <c r="B42" s="112"/>
      <c r="C42" s="92" t="s">
        <v>309</v>
      </c>
      <c r="D42" s="77">
        <v>15</v>
      </c>
      <c r="E42" s="75">
        <v>1E-3</v>
      </c>
      <c r="F42" s="30"/>
    </row>
    <row r="43" spans="1:6" ht="14.25">
      <c r="A43" s="30"/>
      <c r="B43" s="112" t="s">
        <v>50</v>
      </c>
      <c r="C43" s="61" t="s">
        <v>144</v>
      </c>
      <c r="D43" s="71">
        <v>601</v>
      </c>
      <c r="E43" s="70">
        <v>2.1999999999999999E-2</v>
      </c>
      <c r="F43" s="30"/>
    </row>
    <row r="44" spans="1:6" ht="15.75" customHeight="1">
      <c r="A44" s="30"/>
      <c r="B44" s="112"/>
      <c r="C44" s="61" t="s">
        <v>145</v>
      </c>
      <c r="D44" s="71">
        <v>886</v>
      </c>
      <c r="E44" s="70">
        <v>3.3000000000000002E-2</v>
      </c>
      <c r="F44" s="30"/>
    </row>
    <row r="45" spans="1:6" ht="15.75" customHeight="1">
      <c r="A45" s="30"/>
      <c r="B45" s="112"/>
      <c r="C45" s="74" t="s">
        <v>309</v>
      </c>
      <c r="D45" s="59">
        <v>1487</v>
      </c>
      <c r="E45" s="75">
        <v>5.5E-2</v>
      </c>
      <c r="F45" s="30"/>
    </row>
    <row r="46" spans="1:6" ht="14.25">
      <c r="A46" s="30"/>
      <c r="B46" s="112" t="s">
        <v>60</v>
      </c>
      <c r="C46" s="61" t="s">
        <v>144</v>
      </c>
      <c r="D46" s="71">
        <v>203</v>
      </c>
      <c r="E46" s="70">
        <v>7.0000000000000001E-3</v>
      </c>
      <c r="F46" s="30"/>
    </row>
    <row r="47" spans="1:6" ht="15.75" customHeight="1">
      <c r="A47" s="30"/>
      <c r="B47" s="112"/>
      <c r="C47" s="61" t="s">
        <v>145</v>
      </c>
      <c r="D47" s="71">
        <v>431</v>
      </c>
      <c r="E47" s="70">
        <v>1.6E-2</v>
      </c>
      <c r="F47" s="30"/>
    </row>
    <row r="48" spans="1:6" ht="15.75" customHeight="1">
      <c r="A48" s="30"/>
      <c r="B48" s="112"/>
      <c r="C48" s="74" t="s">
        <v>309</v>
      </c>
      <c r="D48" s="77">
        <v>634</v>
      </c>
      <c r="E48" s="75">
        <v>2.3E-2</v>
      </c>
      <c r="F48" s="30"/>
    </row>
    <row r="49" spans="1:6" ht="14.25">
      <c r="A49" s="30"/>
      <c r="B49" s="112" t="s">
        <v>93</v>
      </c>
      <c r="C49" s="61" t="s">
        <v>144</v>
      </c>
      <c r="D49" s="71">
        <v>5</v>
      </c>
      <c r="E49" s="70">
        <v>0</v>
      </c>
      <c r="F49" s="30"/>
    </row>
    <row r="50" spans="1:6" ht="15.75" customHeight="1">
      <c r="A50" s="30"/>
      <c r="B50" s="112"/>
      <c r="C50" s="61" t="s">
        <v>145</v>
      </c>
      <c r="D50" s="71">
        <v>7</v>
      </c>
      <c r="E50" s="70">
        <v>0</v>
      </c>
      <c r="F50" s="30"/>
    </row>
    <row r="51" spans="1:6" ht="15.75" customHeight="1">
      <c r="A51" s="30"/>
      <c r="B51" s="112"/>
      <c r="C51" s="74" t="s">
        <v>309</v>
      </c>
      <c r="D51" s="77">
        <v>12</v>
      </c>
      <c r="E51" s="75">
        <v>0</v>
      </c>
      <c r="F51" s="30"/>
    </row>
    <row r="52" spans="1:6" ht="14.25">
      <c r="A52" s="30"/>
      <c r="B52" s="112" t="s">
        <v>73</v>
      </c>
      <c r="C52" s="61" t="s">
        <v>144</v>
      </c>
      <c r="D52" s="71">
        <v>76</v>
      </c>
      <c r="E52" s="70">
        <v>3.0000000000000001E-3</v>
      </c>
      <c r="F52" s="30"/>
    </row>
    <row r="53" spans="1:6" ht="15.75" customHeight="1">
      <c r="A53" s="30"/>
      <c r="B53" s="112"/>
      <c r="C53" s="61" t="s">
        <v>145</v>
      </c>
      <c r="D53" s="71">
        <v>86</v>
      </c>
      <c r="E53" s="70">
        <v>3.0000000000000001E-3</v>
      </c>
      <c r="F53" s="30"/>
    </row>
    <row r="54" spans="1:6" ht="15.75" customHeight="1">
      <c r="A54" s="30"/>
      <c r="B54" s="112"/>
      <c r="C54" s="74" t="s">
        <v>309</v>
      </c>
      <c r="D54" s="77">
        <v>162</v>
      </c>
      <c r="E54" s="75">
        <v>6.0000000000000001E-3</v>
      </c>
      <c r="F54" s="30"/>
    </row>
    <row r="55" spans="1:6" ht="14.25">
      <c r="A55" s="30"/>
      <c r="B55" s="112" t="s">
        <v>81</v>
      </c>
      <c r="C55" s="61" t="s">
        <v>144</v>
      </c>
      <c r="D55" s="71">
        <v>24</v>
      </c>
      <c r="E55" s="70">
        <v>1E-3</v>
      </c>
      <c r="F55" s="30"/>
    </row>
    <row r="56" spans="1:6" ht="15.75" customHeight="1">
      <c r="A56" s="30"/>
      <c r="B56" s="112"/>
      <c r="C56" s="61" t="s">
        <v>145</v>
      </c>
      <c r="D56" s="71">
        <v>53</v>
      </c>
      <c r="E56" s="70">
        <v>2E-3</v>
      </c>
      <c r="F56" s="30"/>
    </row>
    <row r="57" spans="1:6" ht="15.75" customHeight="1">
      <c r="A57" s="30"/>
      <c r="B57" s="112"/>
      <c r="C57" s="81" t="s">
        <v>309</v>
      </c>
      <c r="D57" s="77">
        <v>77</v>
      </c>
      <c r="E57" s="79">
        <v>3.0000000000000001E-3</v>
      </c>
      <c r="F57" s="30"/>
    </row>
    <row r="58" spans="1:6" ht="14.25">
      <c r="A58" s="30"/>
      <c r="B58" s="112" t="s">
        <v>58</v>
      </c>
      <c r="C58" s="61" t="s">
        <v>144</v>
      </c>
      <c r="D58" s="71">
        <v>232</v>
      </c>
      <c r="E58" s="70">
        <v>8.9999999999999993E-3</v>
      </c>
      <c r="F58" s="30"/>
    </row>
    <row r="59" spans="1:6" ht="15.75" customHeight="1">
      <c r="A59" s="30"/>
      <c r="B59" s="112"/>
      <c r="C59" s="61" t="s">
        <v>145</v>
      </c>
      <c r="D59" s="71">
        <v>284</v>
      </c>
      <c r="E59" s="70">
        <v>0.01</v>
      </c>
      <c r="F59" s="30"/>
    </row>
    <row r="60" spans="1:6" ht="15.75" customHeight="1">
      <c r="A60" s="30"/>
      <c r="B60" s="112"/>
      <c r="C60" s="74" t="s">
        <v>309</v>
      </c>
      <c r="D60" s="77">
        <v>516</v>
      </c>
      <c r="E60" s="75">
        <v>1.9E-2</v>
      </c>
      <c r="F60" s="30"/>
    </row>
    <row r="61" spans="1:6" ht="14.25">
      <c r="A61" s="30"/>
      <c r="B61" s="112" t="s">
        <v>48</v>
      </c>
      <c r="C61" s="61" t="s">
        <v>144</v>
      </c>
      <c r="D61" s="71">
        <v>727</v>
      </c>
      <c r="E61" s="70">
        <v>2.7E-2</v>
      </c>
      <c r="F61" s="30"/>
    </row>
    <row r="62" spans="1:6" ht="15.75" customHeight="1">
      <c r="A62" s="30"/>
      <c r="B62" s="112"/>
      <c r="C62" s="61" t="s">
        <v>145</v>
      </c>
      <c r="D62" s="69">
        <v>1205</v>
      </c>
      <c r="E62" s="70">
        <v>4.3999999999999997E-2</v>
      </c>
      <c r="F62" s="30"/>
    </row>
    <row r="63" spans="1:6" ht="15.75" customHeight="1">
      <c r="A63" s="30"/>
      <c r="B63" s="112"/>
      <c r="C63" s="74" t="s">
        <v>309</v>
      </c>
      <c r="D63" s="59">
        <v>1932</v>
      </c>
      <c r="E63" s="75">
        <v>7.0999999999999994E-2</v>
      </c>
      <c r="F63" s="30"/>
    </row>
    <row r="64" spans="1:6" ht="14.25">
      <c r="A64" s="30"/>
      <c r="B64" s="112" t="s">
        <v>71</v>
      </c>
      <c r="C64" s="61" t="s">
        <v>144</v>
      </c>
      <c r="D64" s="71">
        <v>65</v>
      </c>
      <c r="E64" s="70">
        <v>2E-3</v>
      </c>
      <c r="F64" s="30"/>
    </row>
    <row r="65" spans="1:6" ht="15.75" customHeight="1">
      <c r="A65" s="30"/>
      <c r="B65" s="112"/>
      <c r="C65" s="61" t="s">
        <v>145</v>
      </c>
      <c r="D65" s="71">
        <v>107</v>
      </c>
      <c r="E65" s="70">
        <v>4.0000000000000001E-3</v>
      </c>
      <c r="F65" s="30"/>
    </row>
    <row r="66" spans="1:6" ht="15.75" customHeight="1">
      <c r="A66" s="30"/>
      <c r="B66" s="112"/>
      <c r="C66" s="74" t="s">
        <v>309</v>
      </c>
      <c r="D66" s="77">
        <v>172</v>
      </c>
      <c r="E66" s="75">
        <v>6.0000000000000001E-3</v>
      </c>
      <c r="F66" s="30"/>
    </row>
    <row r="67" spans="1:6" ht="14.25">
      <c r="A67" s="30"/>
      <c r="B67" s="112" t="s">
        <v>52</v>
      </c>
      <c r="C67" s="61" t="s">
        <v>144</v>
      </c>
      <c r="D67" s="71">
        <v>260</v>
      </c>
      <c r="E67" s="70">
        <v>0.01</v>
      </c>
      <c r="F67" s="30"/>
    </row>
    <row r="68" spans="1:6" ht="15.75" customHeight="1">
      <c r="A68" s="30"/>
      <c r="B68" s="112"/>
      <c r="C68" s="61" t="s">
        <v>145</v>
      </c>
      <c r="D68" s="71">
        <v>418</v>
      </c>
      <c r="E68" s="70">
        <v>1.4999999999999999E-2</v>
      </c>
      <c r="F68" s="30"/>
    </row>
    <row r="69" spans="1:6" ht="15.75" customHeight="1">
      <c r="A69" s="30"/>
      <c r="B69" s="112"/>
      <c r="C69" s="74" t="s">
        <v>309</v>
      </c>
      <c r="D69" s="77">
        <v>678</v>
      </c>
      <c r="E69" s="75">
        <v>2.5000000000000001E-2</v>
      </c>
      <c r="F69" s="30"/>
    </row>
    <row r="70" spans="1:6" ht="14.25">
      <c r="A70" s="30"/>
      <c r="B70" s="112" t="s">
        <v>87</v>
      </c>
      <c r="C70" s="61" t="s">
        <v>144</v>
      </c>
      <c r="D70" s="71">
        <v>12</v>
      </c>
      <c r="E70" s="70">
        <v>0</v>
      </c>
      <c r="F70" s="30"/>
    </row>
    <row r="71" spans="1:6" ht="15.75" customHeight="1">
      <c r="A71" s="30"/>
      <c r="B71" s="112"/>
      <c r="C71" s="61" t="s">
        <v>145</v>
      </c>
      <c r="D71" s="71">
        <v>17</v>
      </c>
      <c r="E71" s="70">
        <v>1E-3</v>
      </c>
      <c r="F71" s="30"/>
    </row>
    <row r="72" spans="1:6" ht="15.75" customHeight="1">
      <c r="A72" s="30"/>
      <c r="B72" s="112"/>
      <c r="C72" s="74" t="s">
        <v>309</v>
      </c>
      <c r="D72" s="77">
        <v>29</v>
      </c>
      <c r="E72" s="75">
        <v>1E-3</v>
      </c>
      <c r="F72" s="30"/>
    </row>
    <row r="73" spans="1:6" ht="14.25">
      <c r="A73" s="30"/>
      <c r="B73" s="112" t="s">
        <v>56</v>
      </c>
      <c r="C73" s="61" t="s">
        <v>144</v>
      </c>
      <c r="D73" s="71">
        <v>214</v>
      </c>
      <c r="E73" s="70">
        <v>8.0000000000000002E-3</v>
      </c>
      <c r="F73" s="30"/>
    </row>
    <row r="74" spans="1:6" ht="15.75" customHeight="1">
      <c r="A74" s="30"/>
      <c r="B74" s="112"/>
      <c r="C74" s="61" t="s">
        <v>145</v>
      </c>
      <c r="D74" s="71">
        <v>307</v>
      </c>
      <c r="E74" s="70">
        <v>1.0999999999999999E-2</v>
      </c>
      <c r="F74" s="30"/>
    </row>
    <row r="75" spans="1:6" ht="15.75" customHeight="1">
      <c r="A75" s="30"/>
      <c r="B75" s="112"/>
      <c r="C75" s="74" t="s">
        <v>309</v>
      </c>
      <c r="D75" s="77">
        <v>521</v>
      </c>
      <c r="E75" s="75">
        <v>1.9E-2</v>
      </c>
      <c r="F75" s="30"/>
    </row>
    <row r="76" spans="1:6" ht="14.25">
      <c r="A76" s="30"/>
      <c r="B76" s="112" t="s">
        <v>51</v>
      </c>
      <c r="C76" s="61" t="s">
        <v>144</v>
      </c>
      <c r="D76" s="71">
        <v>292</v>
      </c>
      <c r="E76" s="70">
        <v>1.0999999999999999E-2</v>
      </c>
      <c r="F76" s="30"/>
    </row>
    <row r="77" spans="1:6" ht="15.75" customHeight="1">
      <c r="A77" s="30"/>
      <c r="B77" s="112"/>
      <c r="C77" s="61" t="s">
        <v>145</v>
      </c>
      <c r="D77" s="71">
        <v>484</v>
      </c>
      <c r="E77" s="70">
        <v>1.7999999999999999E-2</v>
      </c>
      <c r="F77" s="30"/>
    </row>
    <row r="78" spans="1:6" ht="15.75" customHeight="1">
      <c r="A78" s="30"/>
      <c r="B78" s="112"/>
      <c r="C78" s="74" t="s">
        <v>309</v>
      </c>
      <c r="D78" s="77">
        <v>776</v>
      </c>
      <c r="E78" s="75">
        <v>2.9000000000000001E-2</v>
      </c>
      <c r="F78" s="30"/>
    </row>
    <row r="79" spans="1:6" ht="14.25">
      <c r="A79" s="30"/>
      <c r="B79" s="112" t="s">
        <v>47</v>
      </c>
      <c r="C79" s="61" t="s">
        <v>144</v>
      </c>
      <c r="D79" s="69">
        <v>1272</v>
      </c>
      <c r="E79" s="70">
        <v>4.7E-2</v>
      </c>
      <c r="F79" s="30"/>
    </row>
    <row r="80" spans="1:6" ht="15.75" customHeight="1">
      <c r="A80" s="30"/>
      <c r="B80" s="112"/>
      <c r="C80" s="61" t="s">
        <v>145</v>
      </c>
      <c r="D80" s="69">
        <v>1422</v>
      </c>
      <c r="E80" s="70">
        <v>5.1999999999999998E-2</v>
      </c>
      <c r="F80" s="30"/>
    </row>
    <row r="81" spans="1:6" ht="15.75" customHeight="1">
      <c r="A81" s="30"/>
      <c r="B81" s="112"/>
      <c r="C81" s="74" t="s">
        <v>309</v>
      </c>
      <c r="D81" s="59">
        <v>2694</v>
      </c>
      <c r="E81" s="75">
        <v>9.9000000000000005E-2</v>
      </c>
      <c r="F81" s="30"/>
    </row>
    <row r="82" spans="1:6" ht="14.25">
      <c r="A82" s="30"/>
      <c r="B82" s="112" t="s">
        <v>70</v>
      </c>
      <c r="C82" s="61" t="s">
        <v>144</v>
      </c>
      <c r="D82" s="71">
        <v>130</v>
      </c>
      <c r="E82" s="70">
        <v>5.0000000000000001E-3</v>
      </c>
      <c r="F82" s="30"/>
    </row>
    <row r="83" spans="1:6" ht="15.75" customHeight="1">
      <c r="A83" s="30"/>
      <c r="B83" s="112"/>
      <c r="C83" s="61" t="s">
        <v>145</v>
      </c>
      <c r="D83" s="71">
        <v>113</v>
      </c>
      <c r="E83" s="70">
        <v>4.0000000000000001E-3</v>
      </c>
      <c r="F83" s="30"/>
    </row>
    <row r="84" spans="1:6" ht="15.75" customHeight="1">
      <c r="A84" s="30"/>
      <c r="B84" s="112"/>
      <c r="C84" s="74" t="s">
        <v>309</v>
      </c>
      <c r="D84" s="77">
        <v>243</v>
      </c>
      <c r="E84" s="75">
        <v>8.9999999999999993E-3</v>
      </c>
      <c r="F84" s="30"/>
    </row>
    <row r="85" spans="1:6" ht="14.25">
      <c r="A85" s="30"/>
      <c r="B85" s="112" t="s">
        <v>78</v>
      </c>
      <c r="C85" s="61" t="s">
        <v>144</v>
      </c>
      <c r="D85" s="71">
        <v>46</v>
      </c>
      <c r="E85" s="70">
        <v>2E-3</v>
      </c>
      <c r="F85" s="30"/>
    </row>
    <row r="86" spans="1:6" ht="15.75" customHeight="1">
      <c r="A86" s="30"/>
      <c r="B86" s="112"/>
      <c r="C86" s="61" t="s">
        <v>145</v>
      </c>
      <c r="D86" s="71">
        <v>96</v>
      </c>
      <c r="E86" s="70">
        <v>4.0000000000000001E-3</v>
      </c>
      <c r="F86" s="30"/>
    </row>
    <row r="87" spans="1:6" ht="15.75" customHeight="1">
      <c r="A87" s="30"/>
      <c r="B87" s="112"/>
      <c r="C87" s="74" t="s">
        <v>309</v>
      </c>
      <c r="D87" s="77">
        <v>142</v>
      </c>
      <c r="E87" s="75">
        <v>5.0000000000000001E-3</v>
      </c>
      <c r="F87" s="30"/>
    </row>
    <row r="88" spans="1:6" ht="14.25">
      <c r="A88" s="30"/>
      <c r="B88" s="112" t="s">
        <v>64</v>
      </c>
      <c r="C88" s="61" t="s">
        <v>144</v>
      </c>
      <c r="D88" s="71">
        <v>96</v>
      </c>
      <c r="E88" s="70">
        <v>4.0000000000000001E-3</v>
      </c>
      <c r="F88" s="30"/>
    </row>
    <row r="89" spans="1:6" ht="15.75" customHeight="1">
      <c r="A89" s="30"/>
      <c r="B89" s="112"/>
      <c r="C89" s="61" t="s">
        <v>145</v>
      </c>
      <c r="D89" s="71">
        <v>176</v>
      </c>
      <c r="E89" s="70">
        <v>6.0000000000000001E-3</v>
      </c>
      <c r="F89" s="30"/>
    </row>
    <row r="90" spans="1:6" ht="15.75" customHeight="1">
      <c r="A90" s="30"/>
      <c r="B90" s="112"/>
      <c r="C90" s="74" t="s">
        <v>309</v>
      </c>
      <c r="D90" s="77">
        <v>272</v>
      </c>
      <c r="E90" s="75">
        <v>0.01</v>
      </c>
      <c r="F90" s="30"/>
    </row>
    <row r="91" spans="1:6" ht="14.25">
      <c r="A91" s="30"/>
      <c r="B91" s="112" t="s">
        <v>94</v>
      </c>
      <c r="C91" s="61" t="s">
        <v>144</v>
      </c>
      <c r="D91" s="71">
        <v>1</v>
      </c>
      <c r="E91" s="70">
        <v>0</v>
      </c>
      <c r="F91" s="30"/>
    </row>
    <row r="92" spans="1:6" ht="15.75" customHeight="1">
      <c r="A92" s="30"/>
      <c r="B92" s="112"/>
      <c r="C92" s="61" t="s">
        <v>145</v>
      </c>
      <c r="D92" s="71">
        <v>9</v>
      </c>
      <c r="E92" s="70">
        <v>0</v>
      </c>
      <c r="F92" s="30"/>
    </row>
    <row r="93" spans="1:6" ht="13.5" customHeight="1">
      <c r="A93" s="30"/>
      <c r="B93" s="112"/>
      <c r="C93" s="74" t="s">
        <v>309</v>
      </c>
      <c r="D93" s="77">
        <v>10</v>
      </c>
      <c r="E93" s="75">
        <v>0</v>
      </c>
      <c r="F93" s="30"/>
    </row>
    <row r="94" spans="1:6" ht="14.25">
      <c r="A94" s="30"/>
      <c r="B94" s="112" t="s">
        <v>95</v>
      </c>
      <c r="C94" s="61" t="s">
        <v>144</v>
      </c>
      <c r="D94" s="71">
        <v>1</v>
      </c>
      <c r="E94" s="70">
        <v>0</v>
      </c>
      <c r="F94" s="30"/>
    </row>
    <row r="95" spans="1:6" ht="15.75" customHeight="1">
      <c r="A95" s="30"/>
      <c r="B95" s="112"/>
      <c r="C95" s="74" t="s">
        <v>309</v>
      </c>
      <c r="D95" s="77">
        <v>1</v>
      </c>
      <c r="E95" s="75">
        <v>0</v>
      </c>
      <c r="F95" s="30"/>
    </row>
    <row r="96" spans="1:6" ht="14.25">
      <c r="A96" s="30"/>
      <c r="B96" s="112" t="s">
        <v>68</v>
      </c>
      <c r="C96" s="61" t="s">
        <v>144</v>
      </c>
      <c r="D96" s="71">
        <v>69</v>
      </c>
      <c r="E96" s="70">
        <v>3.0000000000000001E-3</v>
      </c>
      <c r="F96" s="30"/>
    </row>
    <row r="97" spans="1:6" ht="15.75" customHeight="1">
      <c r="A97" s="30"/>
      <c r="B97" s="112"/>
      <c r="C97" s="61" t="s">
        <v>145</v>
      </c>
      <c r="D97" s="71">
        <v>176</v>
      </c>
      <c r="E97" s="70">
        <v>6.0000000000000001E-3</v>
      </c>
      <c r="F97" s="30"/>
    </row>
    <row r="98" spans="1:6" ht="13.5" customHeight="1">
      <c r="A98" s="30"/>
      <c r="B98" s="112"/>
      <c r="C98" s="74" t="s">
        <v>309</v>
      </c>
      <c r="D98" s="77">
        <v>245</v>
      </c>
      <c r="E98" s="75">
        <v>8.9999999999999993E-3</v>
      </c>
      <c r="F98" s="30"/>
    </row>
    <row r="99" spans="1:6" ht="14.25">
      <c r="A99" s="30"/>
      <c r="B99" s="112" t="s">
        <v>88</v>
      </c>
      <c r="C99" s="61" t="s">
        <v>144</v>
      </c>
      <c r="D99" s="71">
        <v>17</v>
      </c>
      <c r="E99" s="70">
        <v>1E-3</v>
      </c>
      <c r="F99" s="30"/>
    </row>
    <row r="100" spans="1:6" ht="15.75" customHeight="1">
      <c r="A100" s="30"/>
      <c r="B100" s="112"/>
      <c r="C100" s="61" t="s">
        <v>145</v>
      </c>
      <c r="D100" s="71">
        <v>13</v>
      </c>
      <c r="E100" s="70">
        <v>0</v>
      </c>
      <c r="F100" s="30"/>
    </row>
    <row r="101" spans="1:6" ht="15.75" customHeight="1">
      <c r="A101" s="30"/>
      <c r="B101" s="112"/>
      <c r="C101" s="74" t="s">
        <v>309</v>
      </c>
      <c r="D101" s="77">
        <v>30</v>
      </c>
      <c r="E101" s="75">
        <v>1E-3</v>
      </c>
      <c r="F101" s="30"/>
    </row>
    <row r="102" spans="1:6" ht="14.25">
      <c r="A102" s="30"/>
      <c r="B102" s="112" t="s">
        <v>49</v>
      </c>
      <c r="C102" s="61" t="s">
        <v>144</v>
      </c>
      <c r="D102" s="71">
        <v>794</v>
      </c>
      <c r="E102" s="70">
        <v>2.9000000000000001E-2</v>
      </c>
      <c r="F102" s="30"/>
    </row>
    <row r="103" spans="1:6" ht="15.75" customHeight="1">
      <c r="A103" s="30"/>
      <c r="B103" s="112"/>
      <c r="C103" s="61" t="s">
        <v>145</v>
      </c>
      <c r="D103" s="69">
        <v>1186</v>
      </c>
      <c r="E103" s="70">
        <v>4.3999999999999997E-2</v>
      </c>
      <c r="F103" s="30"/>
    </row>
    <row r="104" spans="1:6" ht="13.5" customHeight="1">
      <c r="A104" s="30"/>
      <c r="B104" s="112"/>
      <c r="C104" s="74" t="s">
        <v>309</v>
      </c>
      <c r="D104" s="59">
        <v>1980</v>
      </c>
      <c r="E104" s="75">
        <v>7.2999999999999995E-2</v>
      </c>
      <c r="F104" s="30"/>
    </row>
    <row r="105" spans="1:6" ht="14.25">
      <c r="A105" s="30"/>
      <c r="B105" s="112" t="s">
        <v>75</v>
      </c>
      <c r="C105" s="61" t="s">
        <v>144</v>
      </c>
      <c r="D105" s="71">
        <v>119</v>
      </c>
      <c r="E105" s="70">
        <v>4.0000000000000001E-3</v>
      </c>
      <c r="F105" s="30"/>
    </row>
    <row r="106" spans="1:6" ht="15.75" customHeight="1">
      <c r="A106" s="30"/>
      <c r="B106" s="112"/>
      <c r="C106" s="61" t="s">
        <v>145</v>
      </c>
      <c r="D106" s="71">
        <v>196</v>
      </c>
      <c r="E106" s="70">
        <v>7.0000000000000001E-3</v>
      </c>
      <c r="F106" s="30"/>
    </row>
    <row r="107" spans="1:6" ht="15.75" customHeight="1">
      <c r="A107" s="30"/>
      <c r="B107" s="112"/>
      <c r="C107" s="74" t="s">
        <v>309</v>
      </c>
      <c r="D107" s="77">
        <v>315</v>
      </c>
      <c r="E107" s="75">
        <v>1.2E-2</v>
      </c>
      <c r="F107" s="30"/>
    </row>
    <row r="108" spans="1:6" ht="14.25">
      <c r="A108" s="30"/>
      <c r="B108" s="112" t="s">
        <v>72</v>
      </c>
      <c r="C108" s="61" t="s">
        <v>144</v>
      </c>
      <c r="D108" s="71">
        <v>44</v>
      </c>
      <c r="E108" s="70">
        <v>2E-3</v>
      </c>
      <c r="F108" s="30"/>
    </row>
    <row r="109" spans="1:6" ht="15.75" customHeight="1">
      <c r="A109" s="30"/>
      <c r="B109" s="112"/>
      <c r="C109" s="61" t="s">
        <v>145</v>
      </c>
      <c r="D109" s="71">
        <v>95</v>
      </c>
      <c r="E109" s="70">
        <v>3.0000000000000001E-3</v>
      </c>
      <c r="F109" s="30"/>
    </row>
    <row r="110" spans="1:6" ht="15.75" customHeight="1">
      <c r="A110" s="30"/>
      <c r="B110" s="112"/>
      <c r="C110" s="74" t="s">
        <v>309</v>
      </c>
      <c r="D110" s="77">
        <v>139</v>
      </c>
      <c r="E110" s="75">
        <v>5.0000000000000001E-3</v>
      </c>
      <c r="F110" s="30"/>
    </row>
    <row r="111" spans="1:6" ht="14.25">
      <c r="A111" s="30"/>
      <c r="B111" s="112" t="s">
        <v>74</v>
      </c>
      <c r="C111" s="61" t="s">
        <v>144</v>
      </c>
      <c r="D111" s="71">
        <v>89</v>
      </c>
      <c r="E111" s="70">
        <v>3.0000000000000001E-3</v>
      </c>
      <c r="F111" s="30"/>
    </row>
    <row r="112" spans="1:6" ht="15.75" customHeight="1">
      <c r="A112" s="30"/>
      <c r="B112" s="112"/>
      <c r="C112" s="61" t="s">
        <v>145</v>
      </c>
      <c r="D112" s="71">
        <v>124</v>
      </c>
      <c r="E112" s="70">
        <v>5.0000000000000001E-3</v>
      </c>
      <c r="F112" s="30"/>
    </row>
    <row r="113" spans="1:6" ht="15.75" customHeight="1">
      <c r="A113" s="30"/>
      <c r="B113" s="112"/>
      <c r="C113" s="74" t="s">
        <v>309</v>
      </c>
      <c r="D113" s="77">
        <v>213</v>
      </c>
      <c r="E113" s="75">
        <v>8.0000000000000002E-3</v>
      </c>
      <c r="F113" s="30"/>
    </row>
    <row r="114" spans="1:6" ht="14.25">
      <c r="A114" s="30"/>
      <c r="B114" s="112" t="s">
        <v>62</v>
      </c>
      <c r="C114" s="61" t="s">
        <v>144</v>
      </c>
      <c r="D114" s="71">
        <v>135</v>
      </c>
      <c r="E114" s="70">
        <v>5.0000000000000001E-3</v>
      </c>
      <c r="F114" s="30"/>
    </row>
    <row r="115" spans="1:6" ht="15.75" customHeight="1">
      <c r="A115" s="30"/>
      <c r="B115" s="112"/>
      <c r="C115" s="61" t="s">
        <v>145</v>
      </c>
      <c r="D115" s="71">
        <v>245</v>
      </c>
      <c r="E115" s="70">
        <v>8.9999999999999993E-3</v>
      </c>
      <c r="F115" s="30"/>
    </row>
    <row r="116" spans="1:6" ht="15.75" customHeight="1">
      <c r="A116" s="30"/>
      <c r="B116" s="112"/>
      <c r="C116" s="74" t="s">
        <v>309</v>
      </c>
      <c r="D116" s="77">
        <v>380</v>
      </c>
      <c r="E116" s="75">
        <v>1.4E-2</v>
      </c>
      <c r="F116" s="30"/>
    </row>
    <row r="117" spans="1:6" ht="14.25">
      <c r="A117" s="30"/>
      <c r="B117" s="112" t="s">
        <v>82</v>
      </c>
      <c r="C117" s="61" t="s">
        <v>144</v>
      </c>
      <c r="D117" s="71">
        <v>34</v>
      </c>
      <c r="E117" s="70">
        <v>1E-3</v>
      </c>
      <c r="F117" s="30"/>
    </row>
    <row r="118" spans="1:6" ht="15.75" customHeight="1">
      <c r="A118" s="30"/>
      <c r="B118" s="112"/>
      <c r="C118" s="61" t="s">
        <v>145</v>
      </c>
      <c r="D118" s="71">
        <v>44</v>
      </c>
      <c r="E118" s="70">
        <v>2E-3</v>
      </c>
      <c r="F118" s="30"/>
    </row>
    <row r="119" spans="1:6" ht="15.75" customHeight="1">
      <c r="A119" s="30"/>
      <c r="B119" s="112"/>
      <c r="C119" s="88" t="s">
        <v>309</v>
      </c>
      <c r="D119" s="89">
        <v>78</v>
      </c>
      <c r="E119" s="90">
        <v>3.0000000000000001E-3</v>
      </c>
      <c r="F119" s="30"/>
    </row>
    <row r="120" spans="1:6" ht="14.25">
      <c r="A120" s="30"/>
      <c r="B120" s="112" t="s">
        <v>83</v>
      </c>
      <c r="C120" s="61" t="s">
        <v>144</v>
      </c>
      <c r="D120" s="71">
        <v>17</v>
      </c>
      <c r="E120" s="70">
        <v>1E-3</v>
      </c>
      <c r="F120" s="30"/>
    </row>
    <row r="121" spans="1:6" ht="15.75" customHeight="1">
      <c r="A121" s="30"/>
      <c r="B121" s="112"/>
      <c r="C121" s="61" t="s">
        <v>145</v>
      </c>
      <c r="D121" s="71">
        <v>54</v>
      </c>
      <c r="E121" s="70">
        <v>2E-3</v>
      </c>
      <c r="F121" s="30"/>
    </row>
    <row r="122" spans="1:6" ht="15.75" customHeight="1">
      <c r="A122" s="30"/>
      <c r="B122" s="112"/>
      <c r="C122" s="88" t="s">
        <v>309</v>
      </c>
      <c r="D122" s="89">
        <v>71</v>
      </c>
      <c r="E122" s="90">
        <v>3.0000000000000001E-3</v>
      </c>
      <c r="F122" s="30"/>
    </row>
    <row r="123" spans="1:6" ht="14.25">
      <c r="A123" s="30"/>
      <c r="B123" s="112" t="s">
        <v>57</v>
      </c>
      <c r="C123" s="61" t="s">
        <v>144</v>
      </c>
      <c r="D123" s="71">
        <v>163</v>
      </c>
      <c r="E123" s="70">
        <v>6.0000000000000001E-3</v>
      </c>
      <c r="F123" s="30"/>
    </row>
    <row r="124" spans="1:6" ht="15.75" customHeight="1">
      <c r="A124" s="30"/>
      <c r="B124" s="112"/>
      <c r="C124" s="61" t="s">
        <v>145</v>
      </c>
      <c r="D124" s="71">
        <v>382</v>
      </c>
      <c r="E124" s="70">
        <v>1.4E-2</v>
      </c>
      <c r="F124" s="30"/>
    </row>
    <row r="125" spans="1:6" ht="15.75" customHeight="1">
      <c r="A125" s="30"/>
      <c r="B125" s="112"/>
      <c r="C125" s="74" t="s">
        <v>309</v>
      </c>
      <c r="D125" s="77">
        <v>545</v>
      </c>
      <c r="E125" s="75">
        <v>0.02</v>
      </c>
      <c r="F125" s="30"/>
    </row>
    <row r="126" spans="1:6" ht="14.25">
      <c r="A126" s="30"/>
      <c r="B126" s="112" t="s">
        <v>61</v>
      </c>
      <c r="C126" s="61" t="s">
        <v>144</v>
      </c>
      <c r="D126" s="71">
        <v>149</v>
      </c>
      <c r="E126" s="70">
        <v>5.0000000000000001E-3</v>
      </c>
      <c r="F126" s="30"/>
    </row>
    <row r="127" spans="1:6" ht="15.75" customHeight="1">
      <c r="A127" s="30"/>
      <c r="B127" s="112"/>
      <c r="C127" s="61" t="s">
        <v>145</v>
      </c>
      <c r="D127" s="71">
        <v>235</v>
      </c>
      <c r="E127" s="70">
        <v>8.9999999999999993E-3</v>
      </c>
      <c r="F127" s="30"/>
    </row>
    <row r="128" spans="1:6" ht="15.75" customHeight="1">
      <c r="A128" s="30"/>
      <c r="B128" s="112"/>
      <c r="C128" s="74" t="s">
        <v>309</v>
      </c>
      <c r="D128" s="77">
        <v>384</v>
      </c>
      <c r="E128" s="75">
        <v>1.4E-2</v>
      </c>
      <c r="F128" s="30"/>
    </row>
    <row r="129" spans="1:6" ht="14.25">
      <c r="A129" s="30"/>
      <c r="B129" s="112" t="s">
        <v>76</v>
      </c>
      <c r="C129" s="61" t="s">
        <v>144</v>
      </c>
      <c r="D129" s="71">
        <v>63</v>
      </c>
      <c r="E129" s="70">
        <v>2E-3</v>
      </c>
      <c r="F129" s="30"/>
    </row>
    <row r="130" spans="1:6" ht="15.75" customHeight="1">
      <c r="A130" s="30"/>
      <c r="B130" s="112"/>
      <c r="C130" s="61" t="s">
        <v>145</v>
      </c>
      <c r="D130" s="71">
        <v>150</v>
      </c>
      <c r="E130" s="70">
        <v>6.0000000000000001E-3</v>
      </c>
      <c r="F130" s="30"/>
    </row>
    <row r="131" spans="1:6" ht="15.75" customHeight="1">
      <c r="A131" s="30"/>
      <c r="B131" s="112"/>
      <c r="C131" s="74" t="s">
        <v>309</v>
      </c>
      <c r="D131" s="77">
        <v>213</v>
      </c>
      <c r="E131" s="75">
        <v>8.0000000000000002E-3</v>
      </c>
      <c r="F131" s="30"/>
    </row>
    <row r="132" spans="1:6" ht="14.25">
      <c r="A132" s="30"/>
      <c r="B132" s="112" t="s">
        <v>77</v>
      </c>
      <c r="C132" s="61" t="s">
        <v>144</v>
      </c>
      <c r="D132" s="71">
        <v>95</v>
      </c>
      <c r="E132" s="70">
        <v>3.0000000000000001E-3</v>
      </c>
      <c r="F132" s="30"/>
    </row>
    <row r="133" spans="1:6" ht="15.75" customHeight="1">
      <c r="A133" s="30"/>
      <c r="B133" s="112"/>
      <c r="C133" s="61" t="s">
        <v>145</v>
      </c>
      <c r="D133" s="71">
        <v>144</v>
      </c>
      <c r="E133" s="70">
        <v>5.0000000000000001E-3</v>
      </c>
      <c r="F133" s="30"/>
    </row>
    <row r="134" spans="1:6" ht="15.75" customHeight="1">
      <c r="A134" s="30"/>
      <c r="B134" s="112"/>
      <c r="C134" s="74" t="s">
        <v>309</v>
      </c>
      <c r="D134" s="77">
        <v>239</v>
      </c>
      <c r="E134" s="75">
        <v>8.9999999999999993E-3</v>
      </c>
      <c r="F134" s="30"/>
    </row>
    <row r="135" spans="1:6" ht="14.25">
      <c r="A135" s="30"/>
      <c r="B135" s="112" t="s">
        <v>63</v>
      </c>
      <c r="C135" s="61" t="s">
        <v>144</v>
      </c>
      <c r="D135" s="71">
        <v>179</v>
      </c>
      <c r="E135" s="70">
        <v>7.0000000000000001E-3</v>
      </c>
      <c r="F135" s="30"/>
    </row>
    <row r="136" spans="1:6" ht="15.75" customHeight="1">
      <c r="A136" s="30"/>
      <c r="B136" s="112"/>
      <c r="C136" s="61" t="s">
        <v>145</v>
      </c>
      <c r="D136" s="71">
        <v>221</v>
      </c>
      <c r="E136" s="70">
        <v>8.0000000000000002E-3</v>
      </c>
      <c r="F136" s="30"/>
    </row>
    <row r="137" spans="1:6" ht="15.75" customHeight="1">
      <c r="A137" s="30"/>
      <c r="B137" s="112"/>
      <c r="C137" s="74" t="s">
        <v>309</v>
      </c>
      <c r="D137" s="77">
        <v>400</v>
      </c>
      <c r="E137" s="75">
        <v>1.4999999999999999E-2</v>
      </c>
      <c r="F137" s="30"/>
    </row>
    <row r="138" spans="1:6" ht="14.25">
      <c r="A138" s="30"/>
      <c r="B138" s="112" t="s">
        <v>53</v>
      </c>
      <c r="C138" s="61" t="s">
        <v>144</v>
      </c>
      <c r="D138" s="71">
        <v>352</v>
      </c>
      <c r="E138" s="70">
        <v>1.2999999999999999E-2</v>
      </c>
      <c r="F138" s="30"/>
    </row>
    <row r="139" spans="1:6" ht="15.75" customHeight="1">
      <c r="A139" s="30"/>
      <c r="B139" s="112"/>
      <c r="C139" s="61" t="s">
        <v>145</v>
      </c>
      <c r="D139" s="71">
        <v>433</v>
      </c>
      <c r="E139" s="70">
        <v>1.6E-2</v>
      </c>
      <c r="F139" s="30"/>
    </row>
    <row r="140" spans="1:6" ht="13.5" customHeight="1">
      <c r="A140" s="30"/>
      <c r="B140" s="112"/>
      <c r="C140" s="74" t="s">
        <v>309</v>
      </c>
      <c r="D140" s="77">
        <v>785</v>
      </c>
      <c r="E140" s="75">
        <v>2.9000000000000001E-2</v>
      </c>
      <c r="F140" s="30"/>
    </row>
    <row r="141" spans="1:6" ht="14.25">
      <c r="A141" s="30"/>
      <c r="B141" s="112" t="s">
        <v>79</v>
      </c>
      <c r="C141" s="61" t="s">
        <v>144</v>
      </c>
      <c r="D141" s="71">
        <v>72</v>
      </c>
      <c r="E141" s="70">
        <v>3.0000000000000001E-3</v>
      </c>
      <c r="F141" s="30"/>
    </row>
    <row r="142" spans="1:6" ht="15.75" customHeight="1">
      <c r="A142" s="30"/>
      <c r="B142" s="112"/>
      <c r="C142" s="61" t="s">
        <v>145</v>
      </c>
      <c r="D142" s="71">
        <v>103</v>
      </c>
      <c r="E142" s="70">
        <v>4.0000000000000001E-3</v>
      </c>
      <c r="F142" s="30"/>
    </row>
    <row r="143" spans="1:6" ht="15.75" customHeight="1">
      <c r="A143" s="30"/>
      <c r="B143" s="112"/>
      <c r="C143" s="74" t="s">
        <v>309</v>
      </c>
      <c r="D143" s="77">
        <v>175</v>
      </c>
      <c r="E143" s="75">
        <v>6.0000000000000001E-3</v>
      </c>
      <c r="F143" s="30"/>
    </row>
    <row r="144" spans="1:6" ht="14.25">
      <c r="A144" s="30"/>
      <c r="B144" s="112" t="s">
        <v>69</v>
      </c>
      <c r="C144" s="61" t="s">
        <v>144</v>
      </c>
      <c r="D144" s="71">
        <v>108</v>
      </c>
      <c r="E144" s="70">
        <v>4.0000000000000001E-3</v>
      </c>
      <c r="F144" s="30"/>
    </row>
    <row r="145" spans="1:6" ht="15.75" customHeight="1">
      <c r="A145" s="30"/>
      <c r="B145" s="112"/>
      <c r="C145" s="61" t="s">
        <v>145</v>
      </c>
      <c r="D145" s="71">
        <v>158</v>
      </c>
      <c r="E145" s="70">
        <v>6.0000000000000001E-3</v>
      </c>
      <c r="F145" s="30"/>
    </row>
    <row r="146" spans="1:6" ht="13.5" customHeight="1">
      <c r="A146" s="30"/>
      <c r="B146" s="112"/>
      <c r="C146" s="74" t="s">
        <v>309</v>
      </c>
      <c r="D146" s="77">
        <v>266</v>
      </c>
      <c r="E146" s="75">
        <v>0.01</v>
      </c>
      <c r="F146" s="30"/>
    </row>
    <row r="147" spans="1:6" ht="14.25">
      <c r="A147" s="30"/>
      <c r="B147" s="112" t="s">
        <v>65</v>
      </c>
      <c r="C147" s="61" t="s">
        <v>144</v>
      </c>
      <c r="D147" s="71">
        <v>153</v>
      </c>
      <c r="E147" s="70">
        <v>6.0000000000000001E-3</v>
      </c>
      <c r="F147" s="30"/>
    </row>
    <row r="148" spans="1:6" ht="15.75" customHeight="1">
      <c r="A148" s="30"/>
      <c r="B148" s="112"/>
      <c r="C148" s="61" t="s">
        <v>145</v>
      </c>
      <c r="D148" s="71">
        <v>202</v>
      </c>
      <c r="E148" s="70">
        <v>7.0000000000000001E-3</v>
      </c>
      <c r="F148" s="30"/>
    </row>
    <row r="149" spans="1:6" ht="15.75" customHeight="1">
      <c r="A149" s="30"/>
      <c r="B149" s="112"/>
      <c r="C149" s="74" t="s">
        <v>309</v>
      </c>
      <c r="D149" s="77">
        <v>355</v>
      </c>
      <c r="E149" s="75">
        <v>1.2999999999999999E-2</v>
      </c>
      <c r="F149" s="30"/>
    </row>
    <row r="150" spans="1:6" ht="14.25">
      <c r="A150" s="30"/>
      <c r="B150" s="112" t="s">
        <v>59</v>
      </c>
      <c r="C150" s="61" t="s">
        <v>144</v>
      </c>
      <c r="D150" s="71">
        <v>197</v>
      </c>
      <c r="E150" s="70">
        <v>7.0000000000000001E-3</v>
      </c>
      <c r="F150" s="30"/>
    </row>
    <row r="151" spans="1:6" ht="15.75" customHeight="1">
      <c r="A151" s="30"/>
      <c r="B151" s="112"/>
      <c r="C151" s="61" t="s">
        <v>145</v>
      </c>
      <c r="D151" s="71">
        <v>254</v>
      </c>
      <c r="E151" s="70">
        <v>8.9999999999999993E-3</v>
      </c>
      <c r="F151" s="30"/>
    </row>
    <row r="152" spans="1:6" ht="15.75" customHeight="1">
      <c r="A152" s="30"/>
      <c r="B152" s="112"/>
      <c r="C152" s="74" t="s">
        <v>309</v>
      </c>
      <c r="D152" s="77">
        <v>451</v>
      </c>
      <c r="E152" s="75">
        <v>1.7000000000000001E-2</v>
      </c>
      <c r="F152" s="30"/>
    </row>
    <row r="153" spans="1:6" ht="14.25">
      <c r="A153" s="30"/>
      <c r="B153" s="112" t="s">
        <v>84</v>
      </c>
      <c r="C153" s="61" t="s">
        <v>144</v>
      </c>
      <c r="D153" s="71">
        <v>13</v>
      </c>
      <c r="E153" s="70">
        <v>0</v>
      </c>
      <c r="F153" s="30"/>
    </row>
    <row r="154" spans="1:6" ht="15.75" customHeight="1">
      <c r="A154" s="30"/>
      <c r="B154" s="112"/>
      <c r="C154" s="61" t="s">
        <v>145</v>
      </c>
      <c r="D154" s="71">
        <v>24</v>
      </c>
      <c r="E154" s="70">
        <v>1E-3</v>
      </c>
      <c r="F154" s="30"/>
    </row>
    <row r="155" spans="1:6" ht="15.75" customHeight="1">
      <c r="A155" s="30"/>
      <c r="B155" s="112"/>
      <c r="C155" s="74" t="s">
        <v>309</v>
      </c>
      <c r="D155" s="77">
        <v>37</v>
      </c>
      <c r="E155" s="75">
        <v>1E-3</v>
      </c>
      <c r="F155" s="30"/>
    </row>
    <row r="156" spans="1:6" ht="14.25">
      <c r="A156" s="30"/>
      <c r="B156" s="112" t="s">
        <v>90</v>
      </c>
      <c r="C156" s="61" t="s">
        <v>144</v>
      </c>
      <c r="D156" s="71">
        <v>6</v>
      </c>
      <c r="E156" s="70">
        <v>0</v>
      </c>
      <c r="F156" s="30"/>
    </row>
    <row r="157" spans="1:6" ht="15.75" customHeight="1">
      <c r="A157" s="30"/>
      <c r="B157" s="112"/>
      <c r="C157" s="61" t="s">
        <v>145</v>
      </c>
      <c r="D157" s="71">
        <v>16</v>
      </c>
      <c r="E157" s="70">
        <v>1E-3</v>
      </c>
      <c r="F157" s="30"/>
    </row>
    <row r="158" spans="1:6" ht="15.75" customHeight="1">
      <c r="A158" s="30"/>
      <c r="B158" s="112"/>
      <c r="C158" s="74" t="s">
        <v>309</v>
      </c>
      <c r="D158" s="77">
        <v>22</v>
      </c>
      <c r="E158" s="75">
        <v>1E-3</v>
      </c>
      <c r="F158" s="30"/>
    </row>
    <row r="159" spans="1:6" ht="14.25">
      <c r="A159" s="30"/>
      <c r="B159" s="112" t="s">
        <v>80</v>
      </c>
      <c r="C159" s="61" t="s">
        <v>144</v>
      </c>
      <c r="D159" s="71">
        <v>31</v>
      </c>
      <c r="E159" s="70">
        <v>1E-3</v>
      </c>
      <c r="F159" s="30"/>
    </row>
    <row r="160" spans="1:6" ht="15.75" customHeight="1">
      <c r="A160" s="30"/>
      <c r="B160" s="112"/>
      <c r="C160" s="61" t="s">
        <v>145</v>
      </c>
      <c r="D160" s="71">
        <v>65</v>
      </c>
      <c r="E160" s="70">
        <v>2E-3</v>
      </c>
      <c r="F160" s="30"/>
    </row>
    <row r="161" spans="1:6" ht="15.75" customHeight="1">
      <c r="A161" s="30"/>
      <c r="B161" s="112"/>
      <c r="C161" s="74" t="s">
        <v>309</v>
      </c>
      <c r="D161" s="77">
        <v>96</v>
      </c>
      <c r="E161" s="75">
        <v>4.0000000000000001E-3</v>
      </c>
      <c r="F161" s="30"/>
    </row>
    <row r="162" spans="1:6" ht="14.25">
      <c r="A162" s="30"/>
      <c r="B162" s="112" t="s">
        <v>91</v>
      </c>
      <c r="C162" s="61" t="s">
        <v>144</v>
      </c>
      <c r="D162" s="71">
        <v>2</v>
      </c>
      <c r="E162" s="70">
        <v>0</v>
      </c>
      <c r="F162" s="30"/>
    </row>
    <row r="163" spans="1:6" ht="14.25">
      <c r="A163" s="30"/>
      <c r="B163" s="112"/>
      <c r="C163" s="61" t="s">
        <v>145</v>
      </c>
      <c r="D163" s="71">
        <v>1</v>
      </c>
      <c r="E163" s="70">
        <v>0</v>
      </c>
      <c r="F163" s="30"/>
    </row>
    <row r="164" spans="1:6" ht="11.25" customHeight="1">
      <c r="A164" s="30"/>
      <c r="B164" s="112"/>
      <c r="C164" s="74" t="s">
        <v>309</v>
      </c>
      <c r="D164" s="77">
        <v>3</v>
      </c>
      <c r="E164" s="75">
        <v>0</v>
      </c>
      <c r="F164" s="30"/>
    </row>
    <row r="165" spans="1:6" ht="11.25" customHeight="1">
      <c r="A165" s="30"/>
      <c r="B165" s="113" t="s">
        <v>309</v>
      </c>
      <c r="C165" s="113"/>
      <c r="D165" s="41">
        <v>27182</v>
      </c>
      <c r="E165" s="73">
        <v>1</v>
      </c>
      <c r="F165" s="30"/>
    </row>
    <row r="166" spans="1:6" ht="14.45" customHeight="1">
      <c r="A166" s="30"/>
      <c r="B166" s="35"/>
      <c r="C166" s="45"/>
      <c r="D166" s="53"/>
      <c r="E166" s="45"/>
      <c r="F166" s="30"/>
    </row>
    <row r="167" spans="1:6" ht="14.45" customHeight="1">
      <c r="A167" s="30"/>
      <c r="B167" s="37" t="s">
        <v>284</v>
      </c>
      <c r="C167" s="45"/>
      <c r="D167" s="53"/>
      <c r="E167" s="45"/>
      <c r="F167" s="30"/>
    </row>
    <row r="168" spans="1:6" ht="14.45" customHeight="1">
      <c r="A168" s="30"/>
      <c r="B168" s="38" t="s">
        <v>18</v>
      </c>
      <c r="C168" s="45"/>
      <c r="D168" s="53"/>
      <c r="E168" s="45"/>
      <c r="F168" s="30"/>
    </row>
    <row r="169" spans="1:6" ht="14.45" customHeight="1">
      <c r="A169" s="30"/>
      <c r="B169" s="39" t="s">
        <v>143</v>
      </c>
      <c r="C169" s="45"/>
      <c r="D169" s="53"/>
      <c r="E169" s="45"/>
      <c r="F169" s="30"/>
    </row>
    <row r="170" spans="1:6" ht="14.45" customHeight="1">
      <c r="A170" s="30"/>
      <c r="B170" s="37" t="s">
        <v>17</v>
      </c>
      <c r="C170" s="45"/>
      <c r="D170" s="53"/>
      <c r="E170" s="45"/>
      <c r="F170" s="30"/>
    </row>
    <row r="171" spans="1:6" ht="14.45" customHeight="1">
      <c r="A171" s="30"/>
      <c r="B171" s="37" t="s">
        <v>311</v>
      </c>
      <c r="C171" s="45"/>
      <c r="D171" s="53"/>
      <c r="E171" s="45"/>
      <c r="F171" s="30"/>
    </row>
  </sheetData>
  <mergeCells count="53">
    <mergeCell ref="B159:B161"/>
    <mergeCell ref="B162:B164"/>
    <mergeCell ref="B117:B119"/>
    <mergeCell ref="B120:B122"/>
    <mergeCell ref="B123:B125"/>
    <mergeCell ref="B126:B128"/>
    <mergeCell ref="B129:B131"/>
    <mergeCell ref="B132:B134"/>
    <mergeCell ref="B135:B137"/>
    <mergeCell ref="B138:B140"/>
    <mergeCell ref="B141:B143"/>
    <mergeCell ref="B144:B146"/>
    <mergeCell ref="B147:B149"/>
    <mergeCell ref="B150:B152"/>
    <mergeCell ref="B153:B155"/>
    <mergeCell ref="B156:B158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165:C165"/>
    <mergeCell ref="B102:B104"/>
    <mergeCell ref="B105:B107"/>
    <mergeCell ref="B108:B110"/>
    <mergeCell ref="B111:B113"/>
    <mergeCell ref="B114:B116"/>
    <mergeCell ref="B85:B87"/>
    <mergeCell ref="B88:B90"/>
    <mergeCell ref="B91:B93"/>
    <mergeCell ref="B94:B95"/>
    <mergeCell ref="B96:B98"/>
    <mergeCell ref="B99:B101"/>
    <mergeCell ref="B8:E10"/>
    <mergeCell ref="B73:B75"/>
    <mergeCell ref="B76:B78"/>
    <mergeCell ref="B79:B81"/>
    <mergeCell ref="B82:B84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61"/>
  <sheetViews>
    <sheetView showGridLines="0" view="pageBreakPreview" zoomScale="90" zoomScaleNormal="100" zoomScaleSheetLayoutView="90" workbookViewId="0">
      <selection activeCell="L11" sqref="L11"/>
    </sheetView>
  </sheetViews>
  <sheetFormatPr baseColWidth="10" defaultColWidth="11.42578125" defaultRowHeight="11.25"/>
  <cols>
    <col min="1" max="1" width="5.7109375" style="15" customWidth="1"/>
    <col min="2" max="2" width="19" style="20" customWidth="1"/>
    <col min="3" max="3" width="14.7109375" style="20" customWidth="1"/>
    <col min="4" max="4" width="23.5703125" style="24" customWidth="1"/>
    <col min="5" max="5" width="15.140625" style="20" bestFit="1" customWidth="1"/>
    <col min="6" max="6" width="2.7109375" style="15" customWidth="1"/>
    <col min="7" max="7" width="4.7109375" style="15" customWidth="1"/>
    <col min="8" max="16384" width="11.42578125" style="15"/>
  </cols>
  <sheetData>
    <row r="1" spans="1:6" s="13" customFormat="1" ht="15">
      <c r="B1" s="20"/>
      <c r="C1" s="20"/>
    </row>
    <row r="2" spans="1:6" s="20" customFormat="1">
      <c r="B2" s="26"/>
    </row>
    <row r="3" spans="1:6" ht="15" customHeight="1">
      <c r="B3" s="27"/>
      <c r="C3" s="17"/>
      <c r="D3" s="15"/>
      <c r="F3" s="20"/>
    </row>
    <row r="4" spans="1:6" ht="30" customHeight="1">
      <c r="B4" s="27"/>
      <c r="C4" s="17"/>
      <c r="D4" s="15"/>
      <c r="F4" s="20"/>
    </row>
    <row r="5" spans="1:6" ht="15" customHeight="1">
      <c r="B5" s="27"/>
      <c r="C5" s="17"/>
      <c r="D5" s="15"/>
      <c r="F5" s="20"/>
    </row>
    <row r="6" spans="1:6" s="20" customFormat="1">
      <c r="B6" s="23"/>
      <c r="C6" s="22"/>
    </row>
    <row r="7" spans="1:6" s="20" customFormat="1">
      <c r="B7" s="26"/>
    </row>
    <row r="8" spans="1:6" s="13" customFormat="1" ht="15" customHeight="1">
      <c r="A8" s="34"/>
      <c r="B8" s="110" t="s">
        <v>39</v>
      </c>
      <c r="C8" s="110"/>
      <c r="D8" s="110"/>
      <c r="E8" s="110"/>
      <c r="F8" s="34"/>
    </row>
    <row r="9" spans="1:6" s="13" customFormat="1" ht="15" customHeight="1">
      <c r="A9" s="34"/>
      <c r="B9" s="110"/>
      <c r="C9" s="110"/>
      <c r="D9" s="110"/>
      <c r="E9" s="110"/>
      <c r="F9" s="51"/>
    </row>
    <row r="10" spans="1:6" s="13" customFormat="1" ht="15" customHeight="1">
      <c r="A10" s="34"/>
      <c r="B10" s="110"/>
      <c r="C10" s="110"/>
      <c r="D10" s="110"/>
      <c r="E10" s="110"/>
      <c r="F10" s="34"/>
    </row>
    <row r="11" spans="1:6" s="13" customFormat="1" ht="21.6" customHeight="1">
      <c r="A11" s="34"/>
      <c r="B11" s="52"/>
      <c r="C11" s="52"/>
      <c r="D11" s="52"/>
      <c r="E11" s="52"/>
      <c r="F11" s="34"/>
    </row>
    <row r="12" spans="1:6" s="13" customFormat="1" ht="36.950000000000003" customHeight="1">
      <c r="A12" s="34"/>
      <c r="B12" s="57" t="s">
        <v>25</v>
      </c>
      <c r="C12" s="57" t="s">
        <v>29</v>
      </c>
      <c r="D12" s="57" t="s">
        <v>20</v>
      </c>
      <c r="E12" s="57" t="s">
        <v>19</v>
      </c>
      <c r="F12" s="34"/>
    </row>
    <row r="13" spans="1:6" ht="14.25">
      <c r="A13" s="30"/>
      <c r="B13" s="112" t="s">
        <v>96</v>
      </c>
      <c r="C13" s="61" t="s">
        <v>144</v>
      </c>
      <c r="D13" s="71">
        <v>21</v>
      </c>
      <c r="E13" s="70">
        <v>1E-3</v>
      </c>
      <c r="F13" s="30"/>
    </row>
    <row r="14" spans="1:6" ht="15.75" customHeight="1">
      <c r="A14" s="30"/>
      <c r="B14" s="112"/>
      <c r="C14" s="61" t="s">
        <v>145</v>
      </c>
      <c r="D14" s="71">
        <v>43</v>
      </c>
      <c r="E14" s="70">
        <v>2E-3</v>
      </c>
      <c r="F14" s="30"/>
    </row>
    <row r="15" spans="1:6" ht="15.75" customHeight="1">
      <c r="A15" s="30"/>
      <c r="B15" s="112"/>
      <c r="C15" s="74" t="s">
        <v>309</v>
      </c>
      <c r="D15" s="77">
        <v>64</v>
      </c>
      <c r="E15" s="75">
        <v>2E-3</v>
      </c>
      <c r="F15" s="30"/>
    </row>
    <row r="16" spans="1:6" ht="14.25">
      <c r="A16" s="30"/>
      <c r="B16" s="112" t="s">
        <v>97</v>
      </c>
      <c r="C16" s="61" t="s">
        <v>144</v>
      </c>
      <c r="D16" s="71">
        <v>1</v>
      </c>
      <c r="E16" s="70">
        <v>0</v>
      </c>
      <c r="F16" s="30"/>
    </row>
    <row r="17" spans="1:6" ht="15.75" customHeight="1">
      <c r="A17" s="30"/>
      <c r="B17" s="112"/>
      <c r="C17" s="61" t="s">
        <v>145</v>
      </c>
      <c r="D17" s="71">
        <v>5</v>
      </c>
      <c r="E17" s="70">
        <v>0</v>
      </c>
      <c r="F17" s="30"/>
    </row>
    <row r="18" spans="1:6" ht="15.75" customHeight="1">
      <c r="A18" s="30"/>
      <c r="B18" s="112"/>
      <c r="C18" s="74" t="s">
        <v>309</v>
      </c>
      <c r="D18" s="77">
        <v>6</v>
      </c>
      <c r="E18" s="75">
        <v>0</v>
      </c>
      <c r="F18" s="30"/>
    </row>
    <row r="19" spans="1:6" ht="14.25">
      <c r="A19" s="30"/>
      <c r="B19" s="112" t="s">
        <v>98</v>
      </c>
      <c r="C19" s="61" t="s">
        <v>144</v>
      </c>
      <c r="D19" s="71">
        <v>142</v>
      </c>
      <c r="E19" s="70">
        <v>5.0000000000000001E-3</v>
      </c>
      <c r="F19" s="30"/>
    </row>
    <row r="20" spans="1:6" ht="15.75" customHeight="1">
      <c r="A20" s="30"/>
      <c r="B20" s="112"/>
      <c r="C20" s="61" t="s">
        <v>145</v>
      </c>
      <c r="D20" s="71">
        <v>255</v>
      </c>
      <c r="E20" s="70">
        <v>8.9999999999999993E-3</v>
      </c>
      <c r="F20" s="30"/>
    </row>
    <row r="21" spans="1:6" ht="15.75" customHeight="1">
      <c r="A21" s="30"/>
      <c r="B21" s="112"/>
      <c r="C21" s="74" t="s">
        <v>309</v>
      </c>
      <c r="D21" s="77">
        <v>397</v>
      </c>
      <c r="E21" s="75">
        <v>1.4999999999999999E-2</v>
      </c>
      <c r="F21" s="30"/>
    </row>
    <row r="22" spans="1:6" ht="14.25">
      <c r="A22" s="30"/>
      <c r="B22" s="112" t="s">
        <v>99</v>
      </c>
      <c r="C22" s="61" t="s">
        <v>144</v>
      </c>
      <c r="D22" s="71">
        <v>146</v>
      </c>
      <c r="E22" s="70">
        <v>5.0000000000000001E-3</v>
      </c>
      <c r="F22" s="30"/>
    </row>
    <row r="23" spans="1:6" ht="15.75" customHeight="1">
      <c r="A23" s="30"/>
      <c r="B23" s="112"/>
      <c r="C23" s="61" t="s">
        <v>145</v>
      </c>
      <c r="D23" s="71">
        <v>207</v>
      </c>
      <c r="E23" s="70">
        <v>8.0000000000000002E-3</v>
      </c>
      <c r="F23" s="30"/>
    </row>
    <row r="24" spans="1:6" ht="15.75" customHeight="1">
      <c r="A24" s="30"/>
      <c r="B24" s="112"/>
      <c r="C24" s="74" t="s">
        <v>309</v>
      </c>
      <c r="D24" s="77">
        <v>353</v>
      </c>
      <c r="E24" s="75">
        <v>1.2999999999999999E-2</v>
      </c>
      <c r="F24" s="30"/>
    </row>
    <row r="25" spans="1:6" ht="14.25">
      <c r="A25" s="30"/>
      <c r="B25" s="112" t="s">
        <v>100</v>
      </c>
      <c r="C25" s="61" t="s">
        <v>144</v>
      </c>
      <c r="D25" s="69">
        <v>2599</v>
      </c>
      <c r="E25" s="70">
        <v>9.6000000000000002E-2</v>
      </c>
      <c r="F25" s="30"/>
    </row>
    <row r="26" spans="1:6" ht="15.75" customHeight="1">
      <c r="A26" s="30"/>
      <c r="B26" s="112"/>
      <c r="C26" s="61" t="s">
        <v>145</v>
      </c>
      <c r="D26" s="69">
        <v>3182</v>
      </c>
      <c r="E26" s="70">
        <v>0.11700000000000001</v>
      </c>
      <c r="F26" s="30"/>
    </row>
    <row r="27" spans="1:6" ht="15.75" customHeight="1">
      <c r="A27" s="30"/>
      <c r="B27" s="112"/>
      <c r="C27" s="74" t="s">
        <v>309</v>
      </c>
      <c r="D27" s="59">
        <v>5781</v>
      </c>
      <c r="E27" s="75">
        <v>0.21299999999999999</v>
      </c>
      <c r="F27" s="30"/>
    </row>
    <row r="28" spans="1:6" ht="14.25">
      <c r="A28" s="30"/>
      <c r="B28" s="112" t="s">
        <v>101</v>
      </c>
      <c r="C28" s="61" t="s">
        <v>144</v>
      </c>
      <c r="D28" s="71">
        <v>604</v>
      </c>
      <c r="E28" s="70">
        <v>2.1999999999999999E-2</v>
      </c>
      <c r="F28" s="30"/>
    </row>
    <row r="29" spans="1:6" ht="15.75" customHeight="1">
      <c r="A29" s="30"/>
      <c r="B29" s="112"/>
      <c r="C29" s="61" t="s">
        <v>145</v>
      </c>
      <c r="D29" s="71">
        <v>888</v>
      </c>
      <c r="E29" s="70">
        <v>3.3000000000000002E-2</v>
      </c>
      <c r="F29" s="30"/>
    </row>
    <row r="30" spans="1:6" ht="15.75" customHeight="1">
      <c r="A30" s="30"/>
      <c r="B30" s="112"/>
      <c r="C30" s="74" t="s">
        <v>309</v>
      </c>
      <c r="D30" s="59">
        <v>1492</v>
      </c>
      <c r="E30" s="75">
        <v>5.5E-2</v>
      </c>
      <c r="F30" s="30"/>
    </row>
    <row r="31" spans="1:6" ht="14.25">
      <c r="A31" s="30"/>
      <c r="B31" s="112" t="s">
        <v>102</v>
      </c>
      <c r="C31" s="61" t="s">
        <v>144</v>
      </c>
      <c r="D31" s="71">
        <v>1</v>
      </c>
      <c r="E31" s="70">
        <v>0</v>
      </c>
      <c r="F31" s="30"/>
    </row>
    <row r="32" spans="1:6" ht="15.75" customHeight="1">
      <c r="A32" s="30"/>
      <c r="B32" s="112"/>
      <c r="C32" s="61" t="s">
        <v>145</v>
      </c>
      <c r="D32" s="71">
        <v>1</v>
      </c>
      <c r="E32" s="70">
        <v>0</v>
      </c>
      <c r="F32" s="30"/>
    </row>
    <row r="33" spans="1:6" ht="15.75" customHeight="1">
      <c r="A33" s="30"/>
      <c r="B33" s="112"/>
      <c r="C33" s="92" t="s">
        <v>309</v>
      </c>
      <c r="D33" s="77">
        <v>2</v>
      </c>
      <c r="E33" s="75">
        <v>0</v>
      </c>
      <c r="F33" s="30"/>
    </row>
    <row r="34" spans="1:6" ht="14.25">
      <c r="A34" s="30"/>
      <c r="B34" s="112" t="s">
        <v>103</v>
      </c>
      <c r="C34" s="61" t="s">
        <v>144</v>
      </c>
      <c r="D34" s="71">
        <v>9</v>
      </c>
      <c r="E34" s="70">
        <v>0</v>
      </c>
      <c r="F34" s="30"/>
    </row>
    <row r="35" spans="1:6" ht="15.75" customHeight="1">
      <c r="A35" s="30"/>
      <c r="B35" s="112"/>
      <c r="C35" s="61" t="s">
        <v>145</v>
      </c>
      <c r="D35" s="71">
        <v>8</v>
      </c>
      <c r="E35" s="70">
        <v>0</v>
      </c>
      <c r="F35" s="30"/>
    </row>
    <row r="36" spans="1:6" ht="15.75" customHeight="1">
      <c r="A36" s="30"/>
      <c r="B36" s="112"/>
      <c r="C36" s="74" t="s">
        <v>309</v>
      </c>
      <c r="D36" s="77">
        <v>17</v>
      </c>
      <c r="E36" s="75">
        <v>1E-3</v>
      </c>
      <c r="F36" s="30"/>
    </row>
    <row r="37" spans="1:6" ht="14.25">
      <c r="A37" s="30"/>
      <c r="B37" s="112" t="s">
        <v>104</v>
      </c>
      <c r="C37" s="61" t="s">
        <v>144</v>
      </c>
      <c r="D37" s="71">
        <v>85</v>
      </c>
      <c r="E37" s="70">
        <v>3.0000000000000001E-3</v>
      </c>
      <c r="F37" s="30"/>
    </row>
    <row r="38" spans="1:6" ht="15.75" customHeight="1">
      <c r="A38" s="30"/>
      <c r="B38" s="112"/>
      <c r="C38" s="61" t="s">
        <v>145</v>
      </c>
      <c r="D38" s="71">
        <v>187</v>
      </c>
      <c r="E38" s="70">
        <v>7.0000000000000001E-3</v>
      </c>
      <c r="F38" s="30"/>
    </row>
    <row r="39" spans="1:6" ht="15.75" customHeight="1">
      <c r="A39" s="30"/>
      <c r="B39" s="112"/>
      <c r="C39" s="74" t="s">
        <v>309</v>
      </c>
      <c r="D39" s="77">
        <v>272</v>
      </c>
      <c r="E39" s="75">
        <v>0.01</v>
      </c>
      <c r="F39" s="30"/>
    </row>
    <row r="40" spans="1:6" ht="14.25">
      <c r="A40" s="30"/>
      <c r="B40" s="112" t="s">
        <v>105</v>
      </c>
      <c r="C40" s="61" t="s">
        <v>144</v>
      </c>
      <c r="D40" s="71">
        <v>184</v>
      </c>
      <c r="E40" s="70">
        <v>7.0000000000000001E-3</v>
      </c>
      <c r="F40" s="30"/>
    </row>
    <row r="41" spans="1:6" ht="15.75" customHeight="1">
      <c r="A41" s="30"/>
      <c r="B41" s="112"/>
      <c r="C41" s="61" t="s">
        <v>145</v>
      </c>
      <c r="D41" s="71">
        <v>399</v>
      </c>
      <c r="E41" s="70">
        <v>1.4999999999999999E-2</v>
      </c>
      <c r="F41" s="30"/>
    </row>
    <row r="42" spans="1:6" ht="15.75" customHeight="1">
      <c r="A42" s="30"/>
      <c r="B42" s="112"/>
      <c r="C42" s="74" t="s">
        <v>309</v>
      </c>
      <c r="D42" s="77">
        <v>583</v>
      </c>
      <c r="E42" s="75">
        <v>2.1000000000000001E-2</v>
      </c>
      <c r="F42" s="30"/>
    </row>
    <row r="43" spans="1:6" ht="14.25">
      <c r="A43" s="30"/>
      <c r="B43" s="112" t="s">
        <v>106</v>
      </c>
      <c r="C43" s="61" t="s">
        <v>144</v>
      </c>
      <c r="D43" s="71">
        <v>1</v>
      </c>
      <c r="E43" s="70">
        <v>0</v>
      </c>
      <c r="F43" s="30"/>
    </row>
    <row r="44" spans="1:6" ht="15.75" customHeight="1">
      <c r="A44" s="30"/>
      <c r="B44" s="112"/>
      <c r="C44" s="61" t="s">
        <v>145</v>
      </c>
      <c r="D44" s="71">
        <v>1</v>
      </c>
      <c r="E44" s="70">
        <v>0</v>
      </c>
      <c r="F44" s="30"/>
    </row>
    <row r="45" spans="1:6" ht="15.75" customHeight="1">
      <c r="A45" s="30"/>
      <c r="B45" s="112"/>
      <c r="C45" s="74" t="s">
        <v>309</v>
      </c>
      <c r="D45" s="77">
        <v>2</v>
      </c>
      <c r="E45" s="75">
        <v>0</v>
      </c>
      <c r="F45" s="30"/>
    </row>
    <row r="46" spans="1:6" ht="14.25">
      <c r="A46" s="30"/>
      <c r="B46" s="112" t="s">
        <v>107</v>
      </c>
      <c r="C46" s="61" t="s">
        <v>144</v>
      </c>
      <c r="D46" s="71">
        <v>72</v>
      </c>
      <c r="E46" s="70">
        <v>3.0000000000000001E-3</v>
      </c>
      <c r="F46" s="30"/>
    </row>
    <row r="47" spans="1:6" ht="15.75" customHeight="1">
      <c r="A47" s="30"/>
      <c r="B47" s="112"/>
      <c r="C47" s="61" t="s">
        <v>145</v>
      </c>
      <c r="D47" s="71">
        <v>156</v>
      </c>
      <c r="E47" s="70">
        <v>6.0000000000000001E-3</v>
      </c>
      <c r="F47" s="30"/>
    </row>
    <row r="48" spans="1:6" ht="15.75" customHeight="1">
      <c r="A48" s="30"/>
      <c r="B48" s="112"/>
      <c r="C48" s="74" t="s">
        <v>309</v>
      </c>
      <c r="D48" s="77">
        <v>228</v>
      </c>
      <c r="E48" s="75">
        <v>8.0000000000000002E-3</v>
      </c>
      <c r="F48" s="30"/>
    </row>
    <row r="49" spans="1:6" ht="14.25">
      <c r="A49" s="30"/>
      <c r="B49" s="112" t="s">
        <v>108</v>
      </c>
      <c r="C49" s="61" t="s">
        <v>144</v>
      </c>
      <c r="D49" s="69">
        <v>1033</v>
      </c>
      <c r="E49" s="70">
        <v>3.7999999999999999E-2</v>
      </c>
      <c r="F49" s="30"/>
    </row>
    <row r="50" spans="1:6" ht="15.75" customHeight="1">
      <c r="A50" s="30"/>
      <c r="B50" s="112"/>
      <c r="C50" s="61" t="s">
        <v>145</v>
      </c>
      <c r="D50" s="69">
        <v>1432</v>
      </c>
      <c r="E50" s="70">
        <v>5.2999999999999999E-2</v>
      </c>
      <c r="F50" s="30"/>
    </row>
    <row r="51" spans="1:6" ht="15.75" customHeight="1">
      <c r="A51" s="30"/>
      <c r="B51" s="112"/>
      <c r="C51" s="74" t="s">
        <v>309</v>
      </c>
      <c r="D51" s="59">
        <v>2465</v>
      </c>
      <c r="E51" s="75">
        <v>9.0999999999999998E-2</v>
      </c>
      <c r="F51" s="30"/>
    </row>
    <row r="52" spans="1:6" ht="14.25">
      <c r="A52" s="30"/>
      <c r="B52" s="112" t="s">
        <v>109</v>
      </c>
      <c r="C52" s="61" t="s">
        <v>144</v>
      </c>
      <c r="D52" s="71">
        <v>109</v>
      </c>
      <c r="E52" s="70">
        <v>4.0000000000000001E-3</v>
      </c>
      <c r="F52" s="30"/>
    </row>
    <row r="53" spans="1:6" ht="15.75" customHeight="1">
      <c r="A53" s="30"/>
      <c r="B53" s="112"/>
      <c r="C53" s="61" t="s">
        <v>145</v>
      </c>
      <c r="D53" s="71">
        <v>188</v>
      </c>
      <c r="E53" s="70">
        <v>7.0000000000000001E-3</v>
      </c>
      <c r="F53" s="30"/>
    </row>
    <row r="54" spans="1:6" ht="15.75" customHeight="1">
      <c r="A54" s="30"/>
      <c r="B54" s="112"/>
      <c r="C54" s="74" t="s">
        <v>309</v>
      </c>
      <c r="D54" s="77">
        <v>297</v>
      </c>
      <c r="E54" s="75">
        <v>1.0999999999999999E-2</v>
      </c>
      <c r="F54" s="30"/>
    </row>
    <row r="55" spans="1:6" ht="14.25">
      <c r="A55" s="30"/>
      <c r="B55" s="112" t="s">
        <v>110</v>
      </c>
      <c r="C55" s="61" t="s">
        <v>144</v>
      </c>
      <c r="D55" s="71">
        <v>85</v>
      </c>
      <c r="E55" s="70">
        <v>3.0000000000000001E-3</v>
      </c>
      <c r="F55" s="30"/>
    </row>
    <row r="56" spans="1:6" ht="15.75" customHeight="1">
      <c r="A56" s="30"/>
      <c r="B56" s="112"/>
      <c r="C56" s="61" t="s">
        <v>145</v>
      </c>
      <c r="D56" s="71">
        <v>141</v>
      </c>
      <c r="E56" s="70">
        <v>5.0000000000000001E-3</v>
      </c>
      <c r="F56" s="30"/>
    </row>
    <row r="57" spans="1:6" ht="15.75" customHeight="1">
      <c r="A57" s="30"/>
      <c r="B57" s="112"/>
      <c r="C57" s="74" t="s">
        <v>309</v>
      </c>
      <c r="D57" s="77">
        <v>226</v>
      </c>
      <c r="E57" s="75">
        <v>8.0000000000000002E-3</v>
      </c>
      <c r="F57" s="30"/>
    </row>
    <row r="58" spans="1:6" ht="14.25">
      <c r="A58" s="30"/>
      <c r="B58" s="112" t="s">
        <v>111</v>
      </c>
      <c r="C58" s="61" t="s">
        <v>144</v>
      </c>
      <c r="D58" s="71">
        <v>235</v>
      </c>
      <c r="E58" s="70">
        <v>8.9999999999999993E-3</v>
      </c>
      <c r="F58" s="30"/>
    </row>
    <row r="59" spans="1:6" ht="15.75" customHeight="1">
      <c r="A59" s="30"/>
      <c r="B59" s="112"/>
      <c r="C59" s="61" t="s">
        <v>145</v>
      </c>
      <c r="D59" s="71">
        <v>360</v>
      </c>
      <c r="E59" s="70">
        <v>1.2999999999999999E-2</v>
      </c>
      <c r="F59" s="30"/>
    </row>
    <row r="60" spans="1:6" ht="15.75" customHeight="1">
      <c r="A60" s="30"/>
      <c r="B60" s="112"/>
      <c r="C60" s="74" t="s">
        <v>309</v>
      </c>
      <c r="D60" s="77">
        <v>595</v>
      </c>
      <c r="E60" s="75">
        <v>2.1999999999999999E-2</v>
      </c>
      <c r="F60" s="30"/>
    </row>
    <row r="61" spans="1:6" ht="14.25">
      <c r="A61" s="30"/>
      <c r="B61" s="112" t="s">
        <v>112</v>
      </c>
      <c r="C61" s="61" t="s">
        <v>144</v>
      </c>
      <c r="D61" s="71">
        <v>46</v>
      </c>
      <c r="E61" s="70">
        <v>2E-3</v>
      </c>
      <c r="F61" s="30"/>
    </row>
    <row r="62" spans="1:6" ht="15.75" customHeight="1">
      <c r="A62" s="30"/>
      <c r="B62" s="112"/>
      <c r="C62" s="61" t="s">
        <v>145</v>
      </c>
      <c r="D62" s="71">
        <v>70</v>
      </c>
      <c r="E62" s="70">
        <v>3.0000000000000001E-3</v>
      </c>
      <c r="F62" s="30"/>
    </row>
    <row r="63" spans="1:6" ht="15.75" customHeight="1">
      <c r="A63" s="30"/>
      <c r="B63" s="112"/>
      <c r="C63" s="74" t="s">
        <v>309</v>
      </c>
      <c r="D63" s="77">
        <v>116</v>
      </c>
      <c r="E63" s="75">
        <v>4.0000000000000001E-3</v>
      </c>
      <c r="F63" s="30"/>
    </row>
    <row r="64" spans="1:6" ht="14.25">
      <c r="A64" s="30"/>
      <c r="B64" s="112" t="s">
        <v>113</v>
      </c>
      <c r="C64" s="61" t="s">
        <v>144</v>
      </c>
      <c r="D64" s="71">
        <v>39</v>
      </c>
      <c r="E64" s="70">
        <v>1E-3</v>
      </c>
      <c r="F64" s="30"/>
    </row>
    <row r="65" spans="1:6" ht="15.75" customHeight="1">
      <c r="A65" s="30"/>
      <c r="B65" s="112"/>
      <c r="C65" s="61" t="s">
        <v>145</v>
      </c>
      <c r="D65" s="71">
        <v>104</v>
      </c>
      <c r="E65" s="70">
        <v>4.0000000000000001E-3</v>
      </c>
      <c r="F65" s="30"/>
    </row>
    <row r="66" spans="1:6" ht="15.75" customHeight="1">
      <c r="A66" s="30"/>
      <c r="B66" s="112"/>
      <c r="C66" s="74" t="s">
        <v>309</v>
      </c>
      <c r="D66" s="77">
        <v>143</v>
      </c>
      <c r="E66" s="75">
        <v>5.0000000000000001E-3</v>
      </c>
      <c r="F66" s="30"/>
    </row>
    <row r="67" spans="1:6" ht="14.25">
      <c r="A67" s="30"/>
      <c r="B67" s="112" t="s">
        <v>114</v>
      </c>
      <c r="C67" s="61" t="s">
        <v>144</v>
      </c>
      <c r="D67" s="71">
        <v>1</v>
      </c>
      <c r="E67" s="70">
        <v>0</v>
      </c>
      <c r="F67" s="30"/>
    </row>
    <row r="68" spans="1:6" ht="15.75" customHeight="1">
      <c r="A68" s="30"/>
      <c r="B68" s="112"/>
      <c r="C68" s="61" t="s">
        <v>145</v>
      </c>
      <c r="D68" s="71">
        <v>6</v>
      </c>
      <c r="E68" s="70">
        <v>0</v>
      </c>
      <c r="F68" s="30"/>
    </row>
    <row r="69" spans="1:6" ht="15.75" customHeight="1">
      <c r="A69" s="30"/>
      <c r="B69" s="112"/>
      <c r="C69" s="74" t="s">
        <v>309</v>
      </c>
      <c r="D69" s="77">
        <v>7</v>
      </c>
      <c r="E69" s="75">
        <v>0</v>
      </c>
      <c r="F69" s="30"/>
    </row>
    <row r="70" spans="1:6" ht="14.25">
      <c r="A70" s="30"/>
      <c r="B70" s="112" t="s">
        <v>115</v>
      </c>
      <c r="C70" s="61" t="s">
        <v>144</v>
      </c>
      <c r="D70" s="71">
        <v>1</v>
      </c>
      <c r="E70" s="70">
        <v>0</v>
      </c>
      <c r="F70" s="30"/>
    </row>
    <row r="71" spans="1:6" ht="15.75" customHeight="1">
      <c r="A71" s="30"/>
      <c r="B71" s="112"/>
      <c r="C71" s="61" t="s">
        <v>145</v>
      </c>
      <c r="D71" s="71">
        <v>1</v>
      </c>
      <c r="E71" s="70">
        <v>0</v>
      </c>
      <c r="F71" s="30"/>
    </row>
    <row r="72" spans="1:6" ht="13.5" customHeight="1">
      <c r="A72" s="30"/>
      <c r="B72" s="112"/>
      <c r="C72" s="74" t="s">
        <v>309</v>
      </c>
      <c r="D72" s="77">
        <v>2</v>
      </c>
      <c r="E72" s="75">
        <v>0</v>
      </c>
      <c r="F72" s="30"/>
    </row>
    <row r="73" spans="1:6" ht="14.25">
      <c r="A73" s="30"/>
      <c r="B73" s="112" t="s">
        <v>116</v>
      </c>
      <c r="C73" s="61" t="s">
        <v>144</v>
      </c>
      <c r="D73" s="71">
        <v>165</v>
      </c>
      <c r="E73" s="70">
        <v>6.0000000000000001E-3</v>
      </c>
      <c r="F73" s="30"/>
    </row>
    <row r="74" spans="1:6" ht="15.75" customHeight="1">
      <c r="A74" s="30"/>
      <c r="B74" s="112"/>
      <c r="C74" s="61" t="s">
        <v>145</v>
      </c>
      <c r="D74" s="71">
        <v>342</v>
      </c>
      <c r="E74" s="70">
        <v>1.2999999999999999E-2</v>
      </c>
      <c r="F74" s="30"/>
    </row>
    <row r="75" spans="1:6" ht="15.75" customHeight="1">
      <c r="A75" s="30"/>
      <c r="B75" s="112"/>
      <c r="C75" s="74" t="s">
        <v>309</v>
      </c>
      <c r="D75" s="77">
        <v>507</v>
      </c>
      <c r="E75" s="75">
        <v>1.9E-2</v>
      </c>
      <c r="F75" s="30"/>
    </row>
    <row r="76" spans="1:6" ht="14.25">
      <c r="A76" s="30"/>
      <c r="B76" s="112" t="s">
        <v>117</v>
      </c>
      <c r="C76" s="61" t="s">
        <v>144</v>
      </c>
      <c r="D76" s="71">
        <v>55</v>
      </c>
      <c r="E76" s="70">
        <v>2E-3</v>
      </c>
      <c r="F76" s="30"/>
    </row>
    <row r="77" spans="1:6" ht="15.75" customHeight="1">
      <c r="A77" s="30"/>
      <c r="B77" s="112"/>
      <c r="C77" s="61" t="s">
        <v>145</v>
      </c>
      <c r="D77" s="71">
        <v>138</v>
      </c>
      <c r="E77" s="70">
        <v>5.0000000000000001E-3</v>
      </c>
      <c r="F77" s="30"/>
    </row>
    <row r="78" spans="1:6" ht="15.75" customHeight="1">
      <c r="A78" s="30"/>
      <c r="B78" s="112"/>
      <c r="C78" s="74" t="s">
        <v>309</v>
      </c>
      <c r="D78" s="77">
        <v>193</v>
      </c>
      <c r="E78" s="75">
        <v>7.0000000000000001E-3</v>
      </c>
      <c r="F78" s="30"/>
    </row>
    <row r="79" spans="1:6" ht="14.25">
      <c r="A79" s="30"/>
      <c r="B79" s="112" t="s">
        <v>118</v>
      </c>
      <c r="C79" s="61" t="s">
        <v>144</v>
      </c>
      <c r="D79" s="71">
        <v>36</v>
      </c>
      <c r="E79" s="70">
        <v>1E-3</v>
      </c>
      <c r="F79" s="30"/>
    </row>
    <row r="80" spans="1:6" ht="15.75" customHeight="1">
      <c r="A80" s="30"/>
      <c r="B80" s="112"/>
      <c r="C80" s="61" t="s">
        <v>145</v>
      </c>
      <c r="D80" s="71">
        <v>82</v>
      </c>
      <c r="E80" s="70">
        <v>3.0000000000000001E-3</v>
      </c>
      <c r="F80" s="30"/>
    </row>
    <row r="81" spans="1:6" ht="15.75" customHeight="1">
      <c r="A81" s="30"/>
      <c r="B81" s="112"/>
      <c r="C81" s="74" t="s">
        <v>309</v>
      </c>
      <c r="D81" s="77">
        <v>118</v>
      </c>
      <c r="E81" s="75">
        <v>4.0000000000000001E-3</v>
      </c>
      <c r="F81" s="30"/>
    </row>
    <row r="82" spans="1:6" ht="14.25">
      <c r="A82" s="30"/>
      <c r="B82" s="112" t="s">
        <v>119</v>
      </c>
      <c r="C82" s="61" t="s">
        <v>144</v>
      </c>
      <c r="D82" s="71">
        <v>60</v>
      </c>
      <c r="E82" s="70">
        <v>2E-3</v>
      </c>
      <c r="F82" s="30"/>
    </row>
    <row r="83" spans="1:6" ht="15.75" customHeight="1">
      <c r="A83" s="30"/>
      <c r="B83" s="112"/>
      <c r="C83" s="61" t="s">
        <v>145</v>
      </c>
      <c r="D83" s="71">
        <v>101</v>
      </c>
      <c r="E83" s="70">
        <v>4.0000000000000001E-3</v>
      </c>
      <c r="F83" s="30"/>
    </row>
    <row r="84" spans="1:6" ht="15.75" customHeight="1">
      <c r="A84" s="30"/>
      <c r="B84" s="112"/>
      <c r="C84" s="74" t="s">
        <v>309</v>
      </c>
      <c r="D84" s="77">
        <v>161</v>
      </c>
      <c r="E84" s="75">
        <v>6.0000000000000001E-3</v>
      </c>
      <c r="F84" s="30"/>
    </row>
    <row r="85" spans="1:6" ht="14.25">
      <c r="A85" s="30"/>
      <c r="B85" s="112" t="s">
        <v>120</v>
      </c>
      <c r="C85" s="61" t="s">
        <v>145</v>
      </c>
      <c r="D85" s="71">
        <v>5</v>
      </c>
      <c r="E85" s="70">
        <v>0</v>
      </c>
      <c r="F85" s="30"/>
    </row>
    <row r="86" spans="1:6" ht="15.75" customHeight="1">
      <c r="A86" s="30"/>
      <c r="B86" s="112"/>
      <c r="C86" s="92" t="s">
        <v>309</v>
      </c>
      <c r="D86" s="77">
        <v>5</v>
      </c>
      <c r="E86" s="75">
        <v>0</v>
      </c>
      <c r="F86" s="30"/>
    </row>
    <row r="87" spans="1:6" ht="14.25">
      <c r="A87" s="30"/>
      <c r="B87" s="112" t="s">
        <v>121</v>
      </c>
      <c r="C87" s="61" t="s">
        <v>144</v>
      </c>
      <c r="D87" s="71">
        <v>49</v>
      </c>
      <c r="E87" s="70">
        <v>2E-3</v>
      </c>
      <c r="F87" s="30"/>
    </row>
    <row r="88" spans="1:6" ht="15.75" customHeight="1">
      <c r="A88" s="30"/>
      <c r="B88" s="112"/>
      <c r="C88" s="61" t="s">
        <v>145</v>
      </c>
      <c r="D88" s="71">
        <v>81</v>
      </c>
      <c r="E88" s="70">
        <v>3.0000000000000001E-3</v>
      </c>
      <c r="F88" s="30"/>
    </row>
    <row r="89" spans="1:6" ht="15.75" customHeight="1">
      <c r="A89" s="30"/>
      <c r="B89" s="112"/>
      <c r="C89" s="74" t="s">
        <v>309</v>
      </c>
      <c r="D89" s="77">
        <v>130</v>
      </c>
      <c r="E89" s="75">
        <v>5.0000000000000001E-3</v>
      </c>
      <c r="F89" s="30"/>
    </row>
    <row r="90" spans="1:6" ht="14.25">
      <c r="A90" s="30"/>
      <c r="B90" s="112" t="s">
        <v>122</v>
      </c>
      <c r="C90" s="61" t="s">
        <v>144</v>
      </c>
      <c r="D90" s="71">
        <v>247</v>
      </c>
      <c r="E90" s="70">
        <v>8.9999999999999993E-3</v>
      </c>
      <c r="F90" s="30"/>
    </row>
    <row r="91" spans="1:6" ht="15.75" customHeight="1">
      <c r="A91" s="30"/>
      <c r="B91" s="112"/>
      <c r="C91" s="61" t="s">
        <v>145</v>
      </c>
      <c r="D91" s="71">
        <v>371</v>
      </c>
      <c r="E91" s="70">
        <v>1.4E-2</v>
      </c>
      <c r="F91" s="30"/>
    </row>
    <row r="92" spans="1:6" ht="15.75" customHeight="1">
      <c r="A92" s="30"/>
      <c r="B92" s="112"/>
      <c r="C92" s="74" t="s">
        <v>309</v>
      </c>
      <c r="D92" s="77">
        <v>618</v>
      </c>
      <c r="E92" s="75">
        <v>2.3E-2</v>
      </c>
      <c r="F92" s="30"/>
    </row>
    <row r="93" spans="1:6" ht="14.25">
      <c r="A93" s="30"/>
      <c r="B93" s="112" t="s">
        <v>123</v>
      </c>
      <c r="C93" s="61" t="s">
        <v>144</v>
      </c>
      <c r="D93" s="71">
        <v>6</v>
      </c>
      <c r="E93" s="70">
        <v>0</v>
      </c>
      <c r="F93" s="30"/>
    </row>
    <row r="94" spans="1:6" ht="15.75" customHeight="1">
      <c r="A94" s="30"/>
      <c r="B94" s="112"/>
      <c r="C94" s="61" t="s">
        <v>145</v>
      </c>
      <c r="D94" s="71">
        <v>5</v>
      </c>
      <c r="E94" s="70">
        <v>0</v>
      </c>
      <c r="F94" s="30"/>
    </row>
    <row r="95" spans="1:6" ht="13.5" customHeight="1">
      <c r="A95" s="30"/>
      <c r="B95" s="112"/>
      <c r="C95" s="74" t="s">
        <v>309</v>
      </c>
      <c r="D95" s="77">
        <v>11</v>
      </c>
      <c r="E95" s="75">
        <v>0</v>
      </c>
      <c r="F95" s="30"/>
    </row>
    <row r="96" spans="1:6" ht="14.25">
      <c r="A96" s="30"/>
      <c r="B96" s="112" t="s">
        <v>124</v>
      </c>
      <c r="C96" s="61" t="s">
        <v>144</v>
      </c>
      <c r="D96" s="71">
        <v>6</v>
      </c>
      <c r="E96" s="70">
        <v>0</v>
      </c>
      <c r="F96" s="30"/>
    </row>
    <row r="97" spans="1:6" ht="15.75" customHeight="1">
      <c r="A97" s="30"/>
      <c r="B97" s="112"/>
      <c r="C97" s="61" t="s">
        <v>145</v>
      </c>
      <c r="D97" s="71">
        <v>16</v>
      </c>
      <c r="E97" s="70">
        <v>1E-3</v>
      </c>
      <c r="F97" s="30"/>
    </row>
    <row r="98" spans="1:6" ht="15.75" customHeight="1">
      <c r="A98" s="30"/>
      <c r="B98" s="112"/>
      <c r="C98" s="74" t="s">
        <v>309</v>
      </c>
      <c r="D98" s="77">
        <v>22</v>
      </c>
      <c r="E98" s="75">
        <v>1E-3</v>
      </c>
      <c r="F98" s="30"/>
    </row>
    <row r="99" spans="1:6" ht="14.25">
      <c r="A99" s="30"/>
      <c r="B99" s="112" t="s">
        <v>125</v>
      </c>
      <c r="C99" s="61" t="s">
        <v>144</v>
      </c>
      <c r="D99" s="71">
        <v>97</v>
      </c>
      <c r="E99" s="70">
        <v>4.0000000000000001E-3</v>
      </c>
      <c r="F99" s="30"/>
    </row>
    <row r="100" spans="1:6" ht="15.75" customHeight="1">
      <c r="A100" s="30"/>
      <c r="B100" s="112"/>
      <c r="C100" s="61" t="s">
        <v>145</v>
      </c>
      <c r="D100" s="71">
        <v>154</v>
      </c>
      <c r="E100" s="70">
        <v>6.0000000000000001E-3</v>
      </c>
      <c r="F100" s="30"/>
    </row>
    <row r="101" spans="1:6" ht="15.75" customHeight="1">
      <c r="A101" s="30"/>
      <c r="B101" s="112"/>
      <c r="C101" s="74" t="s">
        <v>309</v>
      </c>
      <c r="D101" s="77">
        <v>251</v>
      </c>
      <c r="E101" s="75">
        <v>8.9999999999999993E-3</v>
      </c>
      <c r="F101" s="30"/>
    </row>
    <row r="102" spans="1:6" ht="14.25">
      <c r="A102" s="30"/>
      <c r="B102" s="112" t="s">
        <v>126</v>
      </c>
      <c r="C102" s="61" t="s">
        <v>144</v>
      </c>
      <c r="D102" s="71">
        <v>15</v>
      </c>
      <c r="E102" s="70">
        <v>1E-3</v>
      </c>
      <c r="F102" s="30"/>
    </row>
    <row r="103" spans="1:6" ht="15.75" customHeight="1">
      <c r="A103" s="30"/>
      <c r="B103" s="112"/>
      <c r="C103" s="61" t="s">
        <v>145</v>
      </c>
      <c r="D103" s="71">
        <v>11</v>
      </c>
      <c r="E103" s="70">
        <v>0</v>
      </c>
      <c r="F103" s="30"/>
    </row>
    <row r="104" spans="1:6" ht="15.75" customHeight="1">
      <c r="A104" s="30"/>
      <c r="B104" s="112"/>
      <c r="C104" s="74" t="s">
        <v>309</v>
      </c>
      <c r="D104" s="77">
        <v>26</v>
      </c>
      <c r="E104" s="75">
        <v>1E-3</v>
      </c>
      <c r="F104" s="30"/>
    </row>
    <row r="105" spans="1:6" ht="14.25">
      <c r="A105" s="30"/>
      <c r="B105" s="112" t="s">
        <v>127</v>
      </c>
      <c r="C105" s="61" t="s">
        <v>144</v>
      </c>
      <c r="D105" s="71">
        <v>120</v>
      </c>
      <c r="E105" s="70">
        <v>4.0000000000000001E-3</v>
      </c>
      <c r="F105" s="30"/>
    </row>
    <row r="106" spans="1:6" ht="15.75" customHeight="1">
      <c r="A106" s="30"/>
      <c r="B106" s="112"/>
      <c r="C106" s="61" t="s">
        <v>145</v>
      </c>
      <c r="D106" s="71">
        <v>264</v>
      </c>
      <c r="E106" s="70">
        <v>0.01</v>
      </c>
      <c r="F106" s="30"/>
    </row>
    <row r="107" spans="1:6" ht="13.5" customHeight="1">
      <c r="A107" s="30"/>
      <c r="B107" s="112"/>
      <c r="C107" s="74" t="s">
        <v>309</v>
      </c>
      <c r="D107" s="77">
        <v>384</v>
      </c>
      <c r="E107" s="75">
        <v>1.4E-2</v>
      </c>
      <c r="F107" s="30"/>
    </row>
    <row r="108" spans="1:6" ht="14.25">
      <c r="A108" s="30"/>
      <c r="B108" s="112" t="s">
        <v>128</v>
      </c>
      <c r="C108" s="61" t="s">
        <v>144</v>
      </c>
      <c r="D108" s="71">
        <v>1</v>
      </c>
      <c r="E108" s="70">
        <v>0</v>
      </c>
      <c r="F108" s="30"/>
    </row>
    <row r="109" spans="1:6" ht="15.75" customHeight="1">
      <c r="A109" s="30"/>
      <c r="B109" s="112"/>
      <c r="C109" s="61" t="s">
        <v>145</v>
      </c>
      <c r="D109" s="71">
        <v>4</v>
      </c>
      <c r="E109" s="70">
        <v>0</v>
      </c>
      <c r="F109" s="30"/>
    </row>
    <row r="110" spans="1:6" ht="15.75" customHeight="1">
      <c r="A110" s="30"/>
      <c r="B110" s="112"/>
      <c r="C110" s="74" t="s">
        <v>309</v>
      </c>
      <c r="D110" s="77">
        <v>5</v>
      </c>
      <c r="E110" s="75">
        <v>0</v>
      </c>
      <c r="F110" s="30"/>
    </row>
    <row r="111" spans="1:6" ht="14.25">
      <c r="A111" s="30"/>
      <c r="B111" s="112" t="s">
        <v>129</v>
      </c>
      <c r="C111" s="61" t="s">
        <v>144</v>
      </c>
      <c r="D111" s="71">
        <v>40</v>
      </c>
      <c r="E111" s="70">
        <v>1E-3</v>
      </c>
      <c r="F111" s="30"/>
    </row>
    <row r="112" spans="1:6" ht="15.75" customHeight="1">
      <c r="A112" s="30"/>
      <c r="B112" s="112"/>
      <c r="C112" s="61" t="s">
        <v>145</v>
      </c>
      <c r="D112" s="71">
        <v>91</v>
      </c>
      <c r="E112" s="70">
        <v>3.0000000000000001E-3</v>
      </c>
      <c r="F112" s="30"/>
    </row>
    <row r="113" spans="1:6" ht="15.75" customHeight="1">
      <c r="A113" s="30"/>
      <c r="B113" s="112"/>
      <c r="C113" s="74" t="s">
        <v>309</v>
      </c>
      <c r="D113" s="77">
        <v>131</v>
      </c>
      <c r="E113" s="75">
        <v>5.0000000000000001E-3</v>
      </c>
      <c r="F113" s="30"/>
    </row>
    <row r="114" spans="1:6" ht="14.25">
      <c r="A114" s="30"/>
      <c r="B114" s="112" t="s">
        <v>130</v>
      </c>
      <c r="C114" s="61" t="s">
        <v>144</v>
      </c>
      <c r="D114" s="71">
        <v>735</v>
      </c>
      <c r="E114" s="70">
        <v>2.7E-2</v>
      </c>
      <c r="F114" s="30"/>
    </row>
    <row r="115" spans="1:6" ht="15.75" customHeight="1">
      <c r="A115" s="30"/>
      <c r="B115" s="112"/>
      <c r="C115" s="61" t="s">
        <v>145</v>
      </c>
      <c r="D115" s="69">
        <v>1098</v>
      </c>
      <c r="E115" s="70">
        <v>0.04</v>
      </c>
      <c r="F115" s="30"/>
    </row>
    <row r="116" spans="1:6" ht="15.75" customHeight="1">
      <c r="A116" s="30"/>
      <c r="B116" s="112"/>
      <c r="C116" s="74" t="s">
        <v>309</v>
      </c>
      <c r="D116" s="59">
        <v>1833</v>
      </c>
      <c r="E116" s="75">
        <v>6.7000000000000004E-2</v>
      </c>
      <c r="F116" s="30"/>
    </row>
    <row r="117" spans="1:6" ht="14.25">
      <c r="A117" s="30"/>
      <c r="B117" s="112" t="s">
        <v>131</v>
      </c>
      <c r="C117" s="61" t="s">
        <v>144</v>
      </c>
      <c r="D117" s="71">
        <v>30</v>
      </c>
      <c r="E117" s="70">
        <v>1E-3</v>
      </c>
      <c r="F117" s="30"/>
    </row>
    <row r="118" spans="1:6" ht="15.75" customHeight="1">
      <c r="A118" s="30"/>
      <c r="B118" s="112"/>
      <c r="C118" s="61" t="s">
        <v>145</v>
      </c>
      <c r="D118" s="71">
        <v>35</v>
      </c>
      <c r="E118" s="70">
        <v>1E-3</v>
      </c>
      <c r="F118" s="30"/>
    </row>
    <row r="119" spans="1:6" ht="15.75" customHeight="1">
      <c r="A119" s="30"/>
      <c r="B119" s="112"/>
      <c r="C119" s="74"/>
      <c r="D119" s="77">
        <v>65</v>
      </c>
      <c r="E119" s="75">
        <v>2E-3</v>
      </c>
      <c r="F119" s="30"/>
    </row>
    <row r="120" spans="1:6" ht="14.25">
      <c r="A120" s="30"/>
      <c r="B120" s="112" t="s">
        <v>132</v>
      </c>
      <c r="C120" s="61" t="s">
        <v>144</v>
      </c>
      <c r="D120" s="71">
        <v>10</v>
      </c>
      <c r="E120" s="70">
        <v>0</v>
      </c>
      <c r="F120" s="30"/>
    </row>
    <row r="121" spans="1:6" ht="15.75" customHeight="1">
      <c r="A121" s="30"/>
      <c r="B121" s="112"/>
      <c r="C121" s="61" t="s">
        <v>145</v>
      </c>
      <c r="D121" s="71">
        <v>32</v>
      </c>
      <c r="E121" s="70">
        <v>1E-3</v>
      </c>
      <c r="F121" s="30"/>
    </row>
    <row r="122" spans="1:6" ht="15.75" customHeight="1">
      <c r="A122" s="30"/>
      <c r="B122" s="112"/>
      <c r="C122" s="74" t="s">
        <v>309</v>
      </c>
      <c r="D122" s="77">
        <v>42</v>
      </c>
      <c r="E122" s="75">
        <v>2E-3</v>
      </c>
      <c r="F122" s="30"/>
    </row>
    <row r="123" spans="1:6" ht="14.25">
      <c r="A123" s="30"/>
      <c r="B123" s="112" t="s">
        <v>133</v>
      </c>
      <c r="C123" s="61" t="s">
        <v>144</v>
      </c>
      <c r="D123" s="71">
        <v>1</v>
      </c>
      <c r="E123" s="70">
        <v>0</v>
      </c>
      <c r="F123" s="30"/>
    </row>
    <row r="124" spans="1:6" ht="15.75" customHeight="1">
      <c r="A124" s="30"/>
      <c r="B124" s="112"/>
      <c r="C124" s="61" t="s">
        <v>145</v>
      </c>
      <c r="D124" s="71">
        <v>1</v>
      </c>
      <c r="E124" s="70">
        <v>0</v>
      </c>
      <c r="F124" s="30"/>
    </row>
    <row r="125" spans="1:6" ht="15.75" customHeight="1">
      <c r="A125" s="30"/>
      <c r="B125" s="112"/>
      <c r="C125" s="74" t="s">
        <v>309</v>
      </c>
      <c r="D125" s="77">
        <v>2</v>
      </c>
      <c r="E125" s="75">
        <v>0</v>
      </c>
      <c r="F125" s="30"/>
    </row>
    <row r="126" spans="1:6" ht="14.25">
      <c r="A126" s="30"/>
      <c r="B126" s="112" t="s">
        <v>134</v>
      </c>
      <c r="C126" s="61" t="s">
        <v>144</v>
      </c>
      <c r="D126" s="71">
        <v>22</v>
      </c>
      <c r="E126" s="70">
        <v>1E-3</v>
      </c>
      <c r="F126" s="30"/>
    </row>
    <row r="127" spans="1:6" ht="15.75" customHeight="1">
      <c r="A127" s="30"/>
      <c r="B127" s="112"/>
      <c r="C127" s="61" t="s">
        <v>145</v>
      </c>
      <c r="D127" s="71">
        <v>67</v>
      </c>
      <c r="E127" s="70">
        <v>2E-3</v>
      </c>
      <c r="F127" s="30"/>
    </row>
    <row r="128" spans="1:6" ht="13.5" customHeight="1">
      <c r="A128" s="30"/>
      <c r="B128" s="112"/>
      <c r="C128" s="74" t="s">
        <v>309</v>
      </c>
      <c r="D128" s="77">
        <v>89</v>
      </c>
      <c r="E128" s="75">
        <v>3.0000000000000001E-3</v>
      </c>
      <c r="F128" s="30"/>
    </row>
    <row r="129" spans="1:6" ht="14.25">
      <c r="A129" s="30"/>
      <c r="B129" s="112" t="s">
        <v>135</v>
      </c>
      <c r="C129" s="61" t="s">
        <v>144</v>
      </c>
      <c r="D129" s="71">
        <v>6</v>
      </c>
      <c r="E129" s="70">
        <v>0</v>
      </c>
      <c r="F129" s="30"/>
    </row>
    <row r="130" spans="1:6" ht="15.75" customHeight="1">
      <c r="A130" s="30"/>
      <c r="B130" s="112"/>
      <c r="C130" s="61" t="s">
        <v>145</v>
      </c>
      <c r="D130" s="71">
        <v>8</v>
      </c>
      <c r="E130" s="70">
        <v>0</v>
      </c>
      <c r="F130" s="30"/>
    </row>
    <row r="131" spans="1:6" ht="15.75" customHeight="1">
      <c r="A131" s="30"/>
      <c r="B131" s="112"/>
      <c r="C131" s="74" t="s">
        <v>309</v>
      </c>
      <c r="D131" s="77">
        <v>14</v>
      </c>
      <c r="E131" s="75">
        <v>1E-3</v>
      </c>
      <c r="F131" s="30"/>
    </row>
    <row r="132" spans="1:6" ht="14.25">
      <c r="A132" s="30"/>
      <c r="B132" s="112" t="s">
        <v>136</v>
      </c>
      <c r="C132" s="61" t="s">
        <v>144</v>
      </c>
      <c r="D132" s="71">
        <v>168</v>
      </c>
      <c r="E132" s="70">
        <v>6.0000000000000001E-3</v>
      </c>
      <c r="F132" s="30"/>
    </row>
    <row r="133" spans="1:6" ht="15.75" customHeight="1">
      <c r="A133" s="30"/>
      <c r="B133" s="112"/>
      <c r="C133" s="61" t="s">
        <v>145</v>
      </c>
      <c r="D133" s="71">
        <v>371</v>
      </c>
      <c r="E133" s="70">
        <v>1.4E-2</v>
      </c>
      <c r="F133" s="30"/>
    </row>
    <row r="134" spans="1:6" ht="15.75" customHeight="1">
      <c r="A134" s="30"/>
      <c r="B134" s="112"/>
      <c r="C134" s="74" t="s">
        <v>309</v>
      </c>
      <c r="D134" s="77">
        <v>539</v>
      </c>
      <c r="E134" s="75">
        <v>0.02</v>
      </c>
      <c r="F134" s="30"/>
    </row>
    <row r="135" spans="1:6" ht="14.25">
      <c r="A135" s="30"/>
      <c r="B135" s="112" t="s">
        <v>137</v>
      </c>
      <c r="C135" s="61" t="s">
        <v>144</v>
      </c>
      <c r="D135" s="69">
        <v>3109</v>
      </c>
      <c r="E135" s="70">
        <v>0.114</v>
      </c>
      <c r="F135" s="30"/>
    </row>
    <row r="136" spans="1:6" ht="15.75" customHeight="1">
      <c r="A136" s="30"/>
      <c r="B136" s="112"/>
      <c r="C136" s="61" t="s">
        <v>145</v>
      </c>
      <c r="D136" s="69">
        <v>5099</v>
      </c>
      <c r="E136" s="70">
        <v>0.188</v>
      </c>
      <c r="F136" s="30"/>
    </row>
    <row r="137" spans="1:6" ht="15.75" customHeight="1">
      <c r="A137" s="30"/>
      <c r="B137" s="112"/>
      <c r="C137" s="74" t="s">
        <v>309</v>
      </c>
      <c r="D137" s="59">
        <v>8208</v>
      </c>
      <c r="E137" s="75">
        <v>0.30199999999999999</v>
      </c>
      <c r="F137" s="30"/>
    </row>
    <row r="138" spans="1:6" ht="14.25">
      <c r="A138" s="30"/>
      <c r="B138" s="112" t="s">
        <v>138</v>
      </c>
      <c r="C138" s="61" t="s">
        <v>144</v>
      </c>
      <c r="D138" s="71">
        <v>86</v>
      </c>
      <c r="E138" s="70">
        <v>3.0000000000000001E-3</v>
      </c>
      <c r="F138" s="30"/>
    </row>
    <row r="139" spans="1:6" ht="15.75" customHeight="1">
      <c r="A139" s="30"/>
      <c r="B139" s="112"/>
      <c r="C139" s="61" t="s">
        <v>145</v>
      </c>
      <c r="D139" s="71">
        <v>130</v>
      </c>
      <c r="E139" s="70">
        <v>5.0000000000000001E-3</v>
      </c>
      <c r="F139" s="30"/>
    </row>
    <row r="140" spans="1:6" ht="15.75" customHeight="1">
      <c r="A140" s="30"/>
      <c r="B140" s="112"/>
      <c r="C140" s="74" t="s">
        <v>309</v>
      </c>
      <c r="D140" s="77">
        <v>216</v>
      </c>
      <c r="E140" s="75">
        <v>8.0000000000000002E-3</v>
      </c>
      <c r="F140" s="30"/>
    </row>
    <row r="141" spans="1:6" ht="14.25">
      <c r="A141" s="30"/>
      <c r="B141" s="112" t="s">
        <v>139</v>
      </c>
      <c r="C141" s="61" t="s">
        <v>144</v>
      </c>
      <c r="D141" s="71">
        <v>36</v>
      </c>
      <c r="E141" s="70">
        <v>1E-3</v>
      </c>
      <c r="F141" s="30"/>
    </row>
    <row r="142" spans="1:6" ht="15.75" customHeight="1">
      <c r="A142" s="30"/>
      <c r="B142" s="112"/>
      <c r="C142" s="61" t="s">
        <v>145</v>
      </c>
      <c r="D142" s="71">
        <v>75</v>
      </c>
      <c r="E142" s="70">
        <v>3.0000000000000001E-3</v>
      </c>
      <c r="F142" s="30"/>
    </row>
    <row r="143" spans="1:6" ht="15.75" customHeight="1">
      <c r="A143" s="30"/>
      <c r="B143" s="112"/>
      <c r="C143" s="74" t="s">
        <v>309</v>
      </c>
      <c r="D143" s="77">
        <v>111</v>
      </c>
      <c r="E143" s="75">
        <v>4.0000000000000001E-3</v>
      </c>
      <c r="F143" s="30"/>
    </row>
    <row r="144" spans="1:6" ht="14.25">
      <c r="A144" s="30"/>
      <c r="B144" s="112" t="s">
        <v>80</v>
      </c>
      <c r="C144" s="61" t="s">
        <v>144</v>
      </c>
      <c r="D144" s="71">
        <v>28</v>
      </c>
      <c r="E144" s="70">
        <v>1E-3</v>
      </c>
      <c r="F144" s="30"/>
    </row>
    <row r="145" spans="1:6" ht="15.75" customHeight="1">
      <c r="A145" s="30"/>
      <c r="B145" s="112"/>
      <c r="C145" s="61" t="s">
        <v>145</v>
      </c>
      <c r="D145" s="71">
        <v>38</v>
      </c>
      <c r="E145" s="70">
        <v>1E-3</v>
      </c>
      <c r="F145" s="30"/>
    </row>
    <row r="146" spans="1:6" ht="15.75" customHeight="1">
      <c r="A146" s="30"/>
      <c r="B146" s="112"/>
      <c r="C146" s="74" t="s">
        <v>309</v>
      </c>
      <c r="D146" s="77">
        <v>66</v>
      </c>
      <c r="E146" s="75">
        <v>2E-3</v>
      </c>
      <c r="F146" s="30"/>
    </row>
    <row r="147" spans="1:6" ht="14.25">
      <c r="A147" s="30"/>
      <c r="B147" s="112" t="s">
        <v>140</v>
      </c>
      <c r="C147" s="61" t="s">
        <v>145</v>
      </c>
      <c r="D147" s="71">
        <v>3</v>
      </c>
      <c r="E147" s="70">
        <v>0</v>
      </c>
      <c r="F147" s="30"/>
    </row>
    <row r="148" spans="1:6" ht="15.75" customHeight="1">
      <c r="A148" s="30"/>
      <c r="B148" s="112"/>
      <c r="C148" s="74" t="s">
        <v>309</v>
      </c>
      <c r="D148" s="77">
        <v>3</v>
      </c>
      <c r="E148" s="75">
        <v>0</v>
      </c>
      <c r="F148" s="30"/>
    </row>
    <row r="149" spans="1:6" ht="14.25">
      <c r="A149" s="30"/>
      <c r="B149" s="112" t="s">
        <v>141</v>
      </c>
      <c r="C149" s="61" t="s">
        <v>144</v>
      </c>
      <c r="D149" s="71">
        <v>131</v>
      </c>
      <c r="E149" s="70">
        <v>5.0000000000000001E-3</v>
      </c>
      <c r="F149" s="30"/>
    </row>
    <row r="150" spans="1:6" ht="15.75" customHeight="1">
      <c r="A150" s="30"/>
      <c r="B150" s="112"/>
      <c r="C150" s="61" t="s">
        <v>145</v>
      </c>
      <c r="D150" s="71">
        <v>225</v>
      </c>
      <c r="E150" s="70">
        <v>8.0000000000000002E-3</v>
      </c>
      <c r="F150" s="30"/>
    </row>
    <row r="151" spans="1:6" ht="15.75" customHeight="1">
      <c r="A151" s="30"/>
      <c r="B151" s="112"/>
      <c r="C151" s="74" t="s">
        <v>309</v>
      </c>
      <c r="D151" s="77">
        <v>356</v>
      </c>
      <c r="E151" s="75">
        <v>1.2999999999999999E-2</v>
      </c>
      <c r="F151" s="30"/>
    </row>
    <row r="152" spans="1:6" ht="14.25">
      <c r="A152" s="30"/>
      <c r="B152" s="112" t="s">
        <v>142</v>
      </c>
      <c r="C152" s="61" t="s">
        <v>144</v>
      </c>
      <c r="D152" s="71">
        <v>7</v>
      </c>
      <c r="E152" s="70">
        <v>0</v>
      </c>
      <c r="F152" s="30"/>
    </row>
    <row r="153" spans="1:6" ht="14.25">
      <c r="A153" s="30"/>
      <c r="B153" s="112"/>
      <c r="C153" s="61" t="s">
        <v>145</v>
      </c>
      <c r="D153" s="71">
        <v>21</v>
      </c>
      <c r="E153" s="70">
        <v>1E-3</v>
      </c>
      <c r="F153" s="30"/>
    </row>
    <row r="154" spans="1:6" ht="11.25" customHeight="1">
      <c r="A154" s="30"/>
      <c r="B154" s="112"/>
      <c r="C154" s="74" t="s">
        <v>309</v>
      </c>
      <c r="D154" s="77">
        <v>28</v>
      </c>
      <c r="E154" s="75">
        <v>1E-3</v>
      </c>
      <c r="F154" s="30"/>
    </row>
    <row r="155" spans="1:6" ht="11.25" customHeight="1">
      <c r="A155" s="30"/>
      <c r="B155" s="113" t="s">
        <v>307</v>
      </c>
      <c r="C155" s="113"/>
      <c r="D155" s="41">
        <v>27182</v>
      </c>
      <c r="E155" s="73">
        <v>1</v>
      </c>
      <c r="F155" s="30"/>
    </row>
    <row r="156" spans="1:6" ht="14.45" customHeight="1">
      <c r="A156" s="30"/>
      <c r="B156" s="35"/>
      <c r="C156" s="45"/>
      <c r="D156" s="53"/>
      <c r="E156" s="45"/>
      <c r="F156" s="30"/>
    </row>
    <row r="157" spans="1:6" ht="14.45" customHeight="1">
      <c r="A157" s="30"/>
      <c r="B157" s="37" t="s">
        <v>284</v>
      </c>
      <c r="C157" s="45"/>
      <c r="D157" s="53"/>
      <c r="E157" s="45"/>
      <c r="F157" s="30"/>
    </row>
    <row r="158" spans="1:6" ht="14.45" customHeight="1">
      <c r="A158" s="30"/>
      <c r="B158" s="38" t="s">
        <v>18</v>
      </c>
      <c r="C158" s="45"/>
      <c r="D158" s="53"/>
      <c r="E158" s="45"/>
      <c r="F158" s="30"/>
    </row>
    <row r="159" spans="1:6" ht="14.45" customHeight="1">
      <c r="A159" s="30"/>
      <c r="B159" s="39" t="s">
        <v>143</v>
      </c>
      <c r="C159" s="45"/>
      <c r="D159" s="53"/>
      <c r="E159" s="45"/>
      <c r="F159" s="30"/>
    </row>
    <row r="160" spans="1:6" ht="14.45" customHeight="1">
      <c r="A160" s="30"/>
      <c r="B160" s="37" t="s">
        <v>17</v>
      </c>
      <c r="C160" s="45"/>
      <c r="D160" s="53"/>
      <c r="E160" s="45"/>
      <c r="F160" s="30"/>
    </row>
    <row r="161" spans="1:6" ht="14.45" customHeight="1">
      <c r="A161" s="30"/>
      <c r="B161" s="37" t="s">
        <v>311</v>
      </c>
      <c r="C161" s="45"/>
      <c r="D161" s="53"/>
      <c r="E161" s="45"/>
      <c r="F161" s="30"/>
    </row>
  </sheetData>
  <mergeCells count="50">
    <mergeCell ref="B111:B113"/>
    <mergeCell ref="B105:B107"/>
    <mergeCell ref="B108:B110"/>
    <mergeCell ref="B114:B116"/>
    <mergeCell ref="B117:B119"/>
    <mergeCell ref="B135:B137"/>
    <mergeCell ref="B138:B140"/>
    <mergeCell ref="B141:B143"/>
    <mergeCell ref="B155:C155"/>
    <mergeCell ref="B144:B146"/>
    <mergeCell ref="B147:B148"/>
    <mergeCell ref="B149:B151"/>
    <mergeCell ref="B152:B154"/>
    <mergeCell ref="B102:B104"/>
    <mergeCell ref="B90:B92"/>
    <mergeCell ref="B93:B95"/>
    <mergeCell ref="B49:B51"/>
    <mergeCell ref="B52:B54"/>
    <mergeCell ref="B55:B57"/>
    <mergeCell ref="B73:B75"/>
    <mergeCell ref="B76:B78"/>
    <mergeCell ref="B79:B81"/>
    <mergeCell ref="B96:B98"/>
    <mergeCell ref="B99:B101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126:B128"/>
    <mergeCell ref="B129:B131"/>
    <mergeCell ref="B132:B134"/>
    <mergeCell ref="B40:B42"/>
    <mergeCell ref="B43:B45"/>
    <mergeCell ref="B46:B48"/>
    <mergeCell ref="B120:B122"/>
    <mergeCell ref="B123:B125"/>
    <mergeCell ref="B67:B69"/>
    <mergeCell ref="B70:B72"/>
    <mergeCell ref="B58:B60"/>
    <mergeCell ref="B61:B63"/>
    <mergeCell ref="B64:B66"/>
    <mergeCell ref="B82:B84"/>
    <mergeCell ref="B85:B86"/>
    <mergeCell ref="B87:B89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G37"/>
  <sheetViews>
    <sheetView showGridLines="0" view="pageBreakPreview" topLeftCell="A12" zoomScaleNormal="100" zoomScaleSheetLayoutView="100" workbookViewId="0">
      <selection activeCell="F31" sqref="F31"/>
    </sheetView>
  </sheetViews>
  <sheetFormatPr baseColWidth="10" defaultColWidth="11.42578125" defaultRowHeight="11.25"/>
  <cols>
    <col min="1" max="1" width="5.7109375" style="15" customWidth="1"/>
    <col min="2" max="2" width="19" style="20" customWidth="1"/>
    <col min="3" max="3" width="18.7109375" style="20" customWidth="1"/>
    <col min="4" max="4" width="17.140625" style="24" customWidth="1"/>
    <col min="5" max="5" width="16.5703125" style="24" customWidth="1"/>
    <col min="6" max="6" width="16.5703125" style="20" customWidth="1"/>
    <col min="7" max="7" width="3.28515625" style="15" customWidth="1"/>
    <col min="8" max="16384" width="11.42578125" style="15"/>
  </cols>
  <sheetData>
    <row r="1" spans="1:7" s="13" customFormat="1" ht="15">
      <c r="B1" s="20"/>
      <c r="C1" s="20"/>
    </row>
    <row r="2" spans="1:7" s="20" customFormat="1">
      <c r="B2" s="26"/>
    </row>
    <row r="3" spans="1:7" ht="15" customHeight="1">
      <c r="B3" s="27"/>
      <c r="C3" s="17"/>
      <c r="D3" s="15"/>
      <c r="E3" s="15"/>
      <c r="G3" s="20"/>
    </row>
    <row r="4" spans="1:7" ht="30" customHeight="1">
      <c r="B4" s="27"/>
      <c r="C4" s="17"/>
      <c r="D4" s="15"/>
      <c r="E4" s="15"/>
      <c r="G4" s="20"/>
    </row>
    <row r="5" spans="1:7" ht="15" customHeight="1">
      <c r="B5" s="27"/>
      <c r="C5" s="17"/>
      <c r="D5" s="15"/>
      <c r="E5" s="15"/>
      <c r="G5" s="20"/>
    </row>
    <row r="6" spans="1:7" s="20" customFormat="1">
      <c r="B6" s="23"/>
      <c r="C6" s="22"/>
    </row>
    <row r="7" spans="1:7" s="20" customFormat="1">
      <c r="B7" s="26"/>
    </row>
    <row r="8" spans="1:7" s="13" customFormat="1" ht="15" customHeight="1">
      <c r="A8" s="34"/>
      <c r="B8" s="110" t="s">
        <v>282</v>
      </c>
      <c r="C8" s="110"/>
      <c r="D8" s="110"/>
      <c r="E8" s="110"/>
      <c r="F8" s="110"/>
      <c r="G8" s="34"/>
    </row>
    <row r="9" spans="1:7" s="13" customFormat="1" ht="15" customHeight="1">
      <c r="A9" s="34"/>
      <c r="B9" s="110"/>
      <c r="C9" s="110"/>
      <c r="D9" s="110"/>
      <c r="E9" s="110"/>
      <c r="F9" s="110"/>
      <c r="G9" s="51"/>
    </row>
    <row r="10" spans="1:7" s="13" customFormat="1" ht="15" customHeight="1">
      <c r="A10" s="34"/>
      <c r="B10" s="110"/>
      <c r="C10" s="110"/>
      <c r="D10" s="110"/>
      <c r="E10" s="110"/>
      <c r="F10" s="110"/>
      <c r="G10" s="34"/>
    </row>
    <row r="11" spans="1:7" s="13" customFormat="1" ht="15" customHeight="1">
      <c r="A11" s="34"/>
      <c r="B11" s="52"/>
      <c r="C11" s="52"/>
      <c r="D11" s="52"/>
      <c r="E11" s="52"/>
      <c r="F11" s="52"/>
      <c r="G11" s="34"/>
    </row>
    <row r="12" spans="1:7" s="13" customFormat="1" ht="36.950000000000003" customHeight="1">
      <c r="A12" s="34"/>
      <c r="B12" s="57" t="s">
        <v>29</v>
      </c>
      <c r="C12" s="57" t="s">
        <v>32</v>
      </c>
      <c r="D12" s="57" t="s">
        <v>20</v>
      </c>
      <c r="E12" s="57" t="s">
        <v>31</v>
      </c>
      <c r="F12" s="57" t="s">
        <v>30</v>
      </c>
      <c r="G12" s="34"/>
    </row>
    <row r="13" spans="1:7" ht="14.45" customHeight="1">
      <c r="A13" s="30"/>
      <c r="B13" s="119" t="s">
        <v>301</v>
      </c>
      <c r="C13" s="67" t="s">
        <v>300</v>
      </c>
      <c r="D13" s="62">
        <v>18</v>
      </c>
      <c r="E13" s="63">
        <f>D13/$D$21</f>
        <v>1.6853932584269663E-3</v>
      </c>
      <c r="F13" s="95">
        <f>D13/$D$31</f>
        <v>6.6220292840850565E-4</v>
      </c>
      <c r="G13" s="30"/>
    </row>
    <row r="14" spans="1:7" ht="14.45" customHeight="1">
      <c r="A14" s="30"/>
      <c r="B14" s="120"/>
      <c r="C14" s="67" t="s">
        <v>228</v>
      </c>
      <c r="D14" s="62">
        <v>52</v>
      </c>
      <c r="E14" s="63">
        <f t="shared" ref="E14:E20" si="0">D14/$D$21</f>
        <v>4.8689138576779025E-3</v>
      </c>
      <c r="F14" s="95">
        <f t="shared" ref="F14:F20" si="1">D14/$D$31</f>
        <v>1.9130306820690163E-3</v>
      </c>
      <c r="G14" s="30"/>
    </row>
    <row r="15" spans="1:7" ht="14.45" customHeight="1">
      <c r="A15" s="30"/>
      <c r="B15" s="120"/>
      <c r="C15" s="67" t="s">
        <v>229</v>
      </c>
      <c r="D15" s="62">
        <v>1252</v>
      </c>
      <c r="E15" s="63">
        <f t="shared" si="0"/>
        <v>0.11722846441947565</v>
      </c>
      <c r="F15" s="95">
        <f t="shared" si="1"/>
        <v>4.6059892575969388E-2</v>
      </c>
      <c r="G15" s="30"/>
    </row>
    <row r="16" spans="1:7" ht="14.45" customHeight="1">
      <c r="A16" s="30"/>
      <c r="B16" s="120"/>
      <c r="C16" s="67" t="s">
        <v>230</v>
      </c>
      <c r="D16" s="62">
        <v>2314</v>
      </c>
      <c r="E16" s="63">
        <f t="shared" si="0"/>
        <v>0.21666666666666667</v>
      </c>
      <c r="F16" s="95">
        <f t="shared" si="1"/>
        <v>8.5129865352071218E-2</v>
      </c>
      <c r="G16" s="30"/>
    </row>
    <row r="17" spans="1:7" ht="14.45" customHeight="1">
      <c r="A17" s="30"/>
      <c r="B17" s="120"/>
      <c r="C17" s="67" t="s">
        <v>231</v>
      </c>
      <c r="D17" s="62">
        <v>3580</v>
      </c>
      <c r="E17" s="63">
        <f t="shared" si="0"/>
        <v>0.33520599250936328</v>
      </c>
      <c r="F17" s="95">
        <f t="shared" si="1"/>
        <v>0.13170480465013612</v>
      </c>
      <c r="G17" s="30"/>
    </row>
    <row r="18" spans="1:7" ht="14.45" customHeight="1">
      <c r="A18" s="30"/>
      <c r="B18" s="120"/>
      <c r="C18" s="67" t="s">
        <v>232</v>
      </c>
      <c r="D18" s="62">
        <v>2920</v>
      </c>
      <c r="E18" s="63">
        <f t="shared" si="0"/>
        <v>0.27340823970037453</v>
      </c>
      <c r="F18" s="95">
        <f t="shared" si="1"/>
        <v>0.10742403060849091</v>
      </c>
      <c r="G18" s="30"/>
    </row>
    <row r="19" spans="1:7" ht="14.45" customHeight="1">
      <c r="A19" s="30"/>
      <c r="B19" s="120"/>
      <c r="C19" s="67" t="s">
        <v>233</v>
      </c>
      <c r="D19" s="62">
        <v>411</v>
      </c>
      <c r="E19" s="63">
        <f t="shared" si="0"/>
        <v>3.8483146067415729E-2</v>
      </c>
      <c r="F19" s="95">
        <f t="shared" si="1"/>
        <v>1.5120300198660879E-2</v>
      </c>
      <c r="G19" s="30"/>
    </row>
    <row r="20" spans="1:7" ht="14.45" customHeight="1">
      <c r="A20" s="30"/>
      <c r="B20" s="120"/>
      <c r="C20" s="67" t="s">
        <v>234</v>
      </c>
      <c r="D20" s="62">
        <v>133</v>
      </c>
      <c r="E20" s="63">
        <f t="shared" si="0"/>
        <v>1.2453183520599251E-2</v>
      </c>
      <c r="F20" s="95">
        <f t="shared" si="1"/>
        <v>4.8929438599072915E-3</v>
      </c>
      <c r="G20" s="30"/>
    </row>
    <row r="21" spans="1:7" ht="14.45" customHeight="1">
      <c r="A21" s="30"/>
      <c r="B21" s="121"/>
      <c r="C21" s="93" t="s">
        <v>309</v>
      </c>
      <c r="D21" s="82">
        <v>10680</v>
      </c>
      <c r="E21" s="94"/>
      <c r="F21" s="96">
        <f>D21/D31</f>
        <v>0.39290707085571336</v>
      </c>
      <c r="G21" s="30"/>
    </row>
    <row r="22" spans="1:7" ht="14.45" customHeight="1">
      <c r="A22" s="30"/>
      <c r="B22" s="119" t="s">
        <v>302</v>
      </c>
      <c r="C22" s="67" t="s">
        <v>300</v>
      </c>
      <c r="D22" s="62">
        <v>18</v>
      </c>
      <c r="E22" s="63">
        <f>D22/$D$30</f>
        <v>1.0907768755302387E-3</v>
      </c>
      <c r="F22" s="95">
        <f>D22/$D$31</f>
        <v>6.6220292840850565E-4</v>
      </c>
      <c r="G22" s="30"/>
    </row>
    <row r="23" spans="1:7" ht="14.45" customHeight="1">
      <c r="A23" s="30"/>
      <c r="B23" s="120"/>
      <c r="C23" s="67" t="s">
        <v>228</v>
      </c>
      <c r="D23" s="62">
        <v>79</v>
      </c>
      <c r="E23" s="63">
        <f t="shared" ref="E23:E29" si="2">D23/$D$30</f>
        <v>4.7872985092716038E-3</v>
      </c>
      <c r="F23" s="95">
        <f t="shared" ref="F23:F29" si="3">D23/$D$31</f>
        <v>2.9063350746817746E-3</v>
      </c>
      <c r="G23" s="30"/>
    </row>
    <row r="24" spans="1:7" ht="14.45" customHeight="1">
      <c r="A24" s="30"/>
      <c r="B24" s="120"/>
      <c r="C24" s="67" t="s">
        <v>229</v>
      </c>
      <c r="D24" s="62">
        <v>2997</v>
      </c>
      <c r="E24" s="63">
        <f t="shared" si="2"/>
        <v>0.18161434977578475</v>
      </c>
      <c r="F24" s="95">
        <f t="shared" si="3"/>
        <v>0.11025678758001618</v>
      </c>
      <c r="G24" s="30"/>
    </row>
    <row r="25" spans="1:7" ht="14.45" customHeight="1">
      <c r="A25" s="30"/>
      <c r="B25" s="120"/>
      <c r="C25" s="67" t="s">
        <v>230</v>
      </c>
      <c r="D25" s="62">
        <v>4188</v>
      </c>
      <c r="E25" s="63">
        <f t="shared" si="2"/>
        <v>0.25378741970670221</v>
      </c>
      <c r="F25" s="95">
        <f t="shared" si="3"/>
        <v>0.15407254800971232</v>
      </c>
      <c r="G25" s="30"/>
    </row>
    <row r="26" spans="1:7" ht="14.45" customHeight="1">
      <c r="A26" s="30"/>
      <c r="B26" s="120"/>
      <c r="C26" s="67" t="s">
        <v>231</v>
      </c>
      <c r="D26" s="62">
        <v>4847</v>
      </c>
      <c r="E26" s="63">
        <f t="shared" si="2"/>
        <v>0.29372197309417042</v>
      </c>
      <c r="F26" s="95">
        <f t="shared" si="3"/>
        <v>0.17831653299977926</v>
      </c>
      <c r="G26" s="30"/>
    </row>
    <row r="27" spans="1:7" ht="14.45" customHeight="1">
      <c r="A27" s="30"/>
      <c r="B27" s="120"/>
      <c r="C27" s="67" t="s">
        <v>232</v>
      </c>
      <c r="D27" s="62">
        <v>3670</v>
      </c>
      <c r="E27" s="63">
        <f t="shared" si="2"/>
        <v>0.22239728517755425</v>
      </c>
      <c r="F27" s="95">
        <f t="shared" si="3"/>
        <v>0.13501581929217865</v>
      </c>
      <c r="G27" s="30"/>
    </row>
    <row r="28" spans="1:7" ht="14.45" customHeight="1">
      <c r="A28" s="30"/>
      <c r="B28" s="120"/>
      <c r="C28" s="67" t="s">
        <v>233</v>
      </c>
      <c r="D28" s="62">
        <v>556</v>
      </c>
      <c r="E28" s="63">
        <f t="shared" si="2"/>
        <v>3.3692885710822927E-2</v>
      </c>
      <c r="F28" s="95">
        <f t="shared" si="3"/>
        <v>2.0454712677507175E-2</v>
      </c>
      <c r="G28" s="30"/>
    </row>
    <row r="29" spans="1:7" ht="14.45" customHeight="1">
      <c r="A29" s="30"/>
      <c r="B29" s="120"/>
      <c r="C29" s="67" t="s">
        <v>234</v>
      </c>
      <c r="D29" s="62">
        <v>147</v>
      </c>
      <c r="E29" s="63">
        <f t="shared" si="2"/>
        <v>8.9080111501636163E-3</v>
      </c>
      <c r="F29" s="95">
        <f t="shared" si="3"/>
        <v>5.4079905820027963E-3</v>
      </c>
      <c r="G29" s="30"/>
    </row>
    <row r="30" spans="1:7" ht="14.45" customHeight="1">
      <c r="A30" s="30"/>
      <c r="B30" s="121"/>
      <c r="C30" s="93" t="s">
        <v>309</v>
      </c>
      <c r="D30" s="82">
        <v>16502</v>
      </c>
      <c r="E30" s="94"/>
      <c r="F30" s="98">
        <f>D30/$D$31</f>
        <v>0.6070929291442867</v>
      </c>
      <c r="G30" s="30"/>
    </row>
    <row r="31" spans="1:7" ht="14.45" customHeight="1">
      <c r="A31" s="30"/>
      <c r="B31" s="122" t="s">
        <v>308</v>
      </c>
      <c r="C31" s="123"/>
      <c r="D31" s="65">
        <v>27182</v>
      </c>
      <c r="E31" s="97" t="s">
        <v>313</v>
      </c>
      <c r="F31" s="97" t="s">
        <v>313</v>
      </c>
      <c r="G31" s="30"/>
    </row>
    <row r="32" spans="1:7" ht="14.45" customHeight="1">
      <c r="A32" s="30"/>
      <c r="B32" s="35"/>
      <c r="C32" s="45"/>
      <c r="D32" s="53"/>
      <c r="E32" s="53"/>
      <c r="F32" s="45"/>
      <c r="G32" s="30"/>
    </row>
    <row r="33" spans="1:7" ht="14.45" customHeight="1">
      <c r="A33" s="30"/>
      <c r="B33" s="37" t="s">
        <v>284</v>
      </c>
      <c r="C33" s="45"/>
      <c r="D33" s="53"/>
      <c r="E33" s="53"/>
      <c r="F33" s="45"/>
      <c r="G33" s="30"/>
    </row>
    <row r="34" spans="1:7" ht="14.45" customHeight="1">
      <c r="A34" s="30"/>
      <c r="B34" s="38" t="s">
        <v>18</v>
      </c>
      <c r="C34" s="45"/>
      <c r="D34" s="53"/>
      <c r="E34" s="53"/>
      <c r="F34" s="45"/>
      <c r="G34" s="30"/>
    </row>
    <row r="35" spans="1:7" ht="14.45" customHeight="1">
      <c r="A35" s="30"/>
      <c r="B35" s="39" t="s">
        <v>143</v>
      </c>
      <c r="C35" s="45"/>
      <c r="D35" s="53"/>
      <c r="E35" s="53"/>
      <c r="F35" s="45"/>
      <c r="G35" s="30"/>
    </row>
    <row r="36" spans="1:7" ht="14.45" customHeight="1">
      <c r="A36" s="30"/>
      <c r="B36" s="37" t="s">
        <v>17</v>
      </c>
      <c r="C36" s="45"/>
      <c r="D36" s="53"/>
      <c r="E36" s="53"/>
      <c r="F36" s="45"/>
      <c r="G36" s="30"/>
    </row>
    <row r="37" spans="1:7" ht="14.45" customHeight="1">
      <c r="A37" s="30"/>
      <c r="B37" s="37" t="s">
        <v>311</v>
      </c>
      <c r="C37" s="45"/>
      <c r="D37" s="53"/>
      <c r="E37" s="53"/>
      <c r="F37" s="45"/>
      <c r="G37" s="30"/>
    </row>
  </sheetData>
  <mergeCells count="4">
    <mergeCell ref="B8:F10"/>
    <mergeCell ref="B13:B21"/>
    <mergeCell ref="B22:B30"/>
    <mergeCell ref="B31:C3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ignoredErrors>
    <ignoredError sqref="F21" formula="1"/>
    <ignoredError sqref="F31" numberStoredAsText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70"/>
  <sheetViews>
    <sheetView showGridLines="0" tabSelected="1" view="pageBreakPreview" zoomScale="90" zoomScaleNormal="100" zoomScaleSheetLayoutView="90" workbookViewId="0">
      <selection activeCell="H9" sqref="H9"/>
    </sheetView>
  </sheetViews>
  <sheetFormatPr baseColWidth="10" defaultColWidth="11.42578125" defaultRowHeight="15"/>
  <cols>
    <col min="1" max="1" width="9.28515625" style="13" customWidth="1"/>
    <col min="2" max="2" width="41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5" s="15" customFormat="1" ht="15" customHeight="1">
      <c r="C1" s="17"/>
    </row>
    <row r="2" spans="1:5" s="15" customFormat="1" ht="15" customHeight="1">
      <c r="C2" s="17"/>
    </row>
    <row r="3" spans="1:5" s="15" customFormat="1" ht="15" customHeight="1">
      <c r="C3" s="17"/>
    </row>
    <row r="4" spans="1:5" s="15" customFormat="1" ht="30" customHeight="1">
      <c r="C4" s="17"/>
      <c r="D4" s="16"/>
    </row>
    <row r="5" spans="1:5" s="15" customFormat="1" ht="15" customHeight="1">
      <c r="C5" s="17"/>
      <c r="D5" s="16"/>
    </row>
    <row r="6" spans="1:5" s="15" customFormat="1" ht="15" customHeight="1">
      <c r="C6" s="17"/>
      <c r="D6" s="16"/>
    </row>
    <row r="7" spans="1:5" s="15" customFormat="1" ht="15" customHeight="1">
      <c r="A7" s="30"/>
      <c r="B7" s="110" t="s">
        <v>283</v>
      </c>
      <c r="C7" s="110"/>
      <c r="D7" s="110"/>
      <c r="E7" s="30"/>
    </row>
    <row r="8" spans="1:5" s="15" customFormat="1" ht="15" customHeight="1">
      <c r="A8" s="30"/>
      <c r="B8" s="110"/>
      <c r="C8" s="110"/>
      <c r="D8" s="110"/>
      <c r="E8" s="30"/>
    </row>
    <row r="9" spans="1:5" s="15" customFormat="1" ht="23.45" customHeight="1">
      <c r="A9" s="30"/>
      <c r="B9" s="110"/>
      <c r="C9" s="110"/>
      <c r="D9" s="110"/>
      <c r="E9" s="30"/>
    </row>
    <row r="10" spans="1:5" s="15" customFormat="1" ht="4.5" hidden="1" customHeight="1">
      <c r="A10" s="30"/>
      <c r="B10" s="31"/>
      <c r="C10" s="31"/>
      <c r="D10" s="31"/>
      <c r="E10" s="30"/>
    </row>
    <row r="11" spans="1:5" s="15" customFormat="1" ht="33" customHeight="1">
      <c r="A11" s="30"/>
      <c r="B11" s="32" t="s">
        <v>33</v>
      </c>
      <c r="C11" s="33" t="s">
        <v>20</v>
      </c>
      <c r="D11" s="32" t="s">
        <v>19</v>
      </c>
      <c r="E11" s="30"/>
    </row>
    <row r="12" spans="1:5" ht="14.45" customHeight="1">
      <c r="A12" s="45"/>
      <c r="B12" s="61" t="s">
        <v>235</v>
      </c>
      <c r="C12" s="69">
        <v>15593</v>
      </c>
      <c r="D12" s="70">
        <v>0.57399999999999995</v>
      </c>
      <c r="E12" s="34"/>
    </row>
    <row r="13" spans="1:5" ht="14.45" customHeight="1">
      <c r="A13" s="34"/>
      <c r="B13" s="61" t="s">
        <v>236</v>
      </c>
      <c r="C13" s="69">
        <v>6350</v>
      </c>
      <c r="D13" s="70">
        <v>0.23400000000000001</v>
      </c>
      <c r="E13" s="34"/>
    </row>
    <row r="14" spans="1:5" ht="14.45" customHeight="1">
      <c r="A14" s="34"/>
      <c r="B14" s="61" t="s">
        <v>237</v>
      </c>
      <c r="C14" s="69">
        <v>1502</v>
      </c>
      <c r="D14" s="70">
        <v>5.5E-2</v>
      </c>
      <c r="E14" s="34"/>
    </row>
    <row r="15" spans="1:5" ht="14.45" customHeight="1">
      <c r="A15" s="34"/>
      <c r="B15" s="61" t="s">
        <v>238</v>
      </c>
      <c r="C15" s="71">
        <v>869</v>
      </c>
      <c r="D15" s="70">
        <v>3.2000000000000001E-2</v>
      </c>
      <c r="E15" s="34"/>
    </row>
    <row r="16" spans="1:5" ht="14.45" customHeight="1">
      <c r="A16" s="34"/>
      <c r="B16" s="61" t="s">
        <v>239</v>
      </c>
      <c r="C16" s="71">
        <v>534</v>
      </c>
      <c r="D16" s="70">
        <v>0.02</v>
      </c>
      <c r="E16" s="34"/>
    </row>
    <row r="17" spans="1:5" ht="27.95" customHeight="1">
      <c r="A17" s="34"/>
      <c r="B17" s="61" t="s">
        <v>240</v>
      </c>
      <c r="C17" s="71">
        <v>437</v>
      </c>
      <c r="D17" s="70">
        <v>1.6E-2</v>
      </c>
      <c r="E17" s="34"/>
    </row>
    <row r="18" spans="1:5" ht="14.45" customHeight="1">
      <c r="A18" s="34"/>
      <c r="B18" s="61" t="s">
        <v>241</v>
      </c>
      <c r="C18" s="71">
        <v>249</v>
      </c>
      <c r="D18" s="70">
        <v>8.9999999999999993E-3</v>
      </c>
      <c r="E18" s="34"/>
    </row>
    <row r="19" spans="1:5" ht="14.45" customHeight="1">
      <c r="A19" s="34"/>
      <c r="B19" s="61" t="s">
        <v>242</v>
      </c>
      <c r="C19" s="71">
        <v>227</v>
      </c>
      <c r="D19" s="70">
        <v>8.0000000000000002E-3</v>
      </c>
      <c r="E19" s="34"/>
    </row>
    <row r="20" spans="1:5" ht="14.45" customHeight="1">
      <c r="A20" s="34"/>
      <c r="B20" s="61" t="s">
        <v>244</v>
      </c>
      <c r="C20" s="71">
        <v>227</v>
      </c>
      <c r="D20" s="70">
        <v>8.0000000000000002E-3</v>
      </c>
      <c r="E20" s="34"/>
    </row>
    <row r="21" spans="1:5" ht="14.45" customHeight="1">
      <c r="A21" s="34"/>
      <c r="B21" s="61" t="s">
        <v>243</v>
      </c>
      <c r="C21" s="71">
        <v>194</v>
      </c>
      <c r="D21" s="70">
        <v>7.0000000000000001E-3</v>
      </c>
      <c r="E21" s="34"/>
    </row>
    <row r="22" spans="1:5" ht="14.45" customHeight="1">
      <c r="A22" s="34"/>
      <c r="B22" s="61" t="s">
        <v>246</v>
      </c>
      <c r="C22" s="71">
        <v>121</v>
      </c>
      <c r="D22" s="70">
        <v>4.0000000000000001E-3</v>
      </c>
      <c r="E22" s="34"/>
    </row>
    <row r="23" spans="1:5" ht="14.45" customHeight="1">
      <c r="A23" s="34"/>
      <c r="B23" s="61" t="s">
        <v>252</v>
      </c>
      <c r="C23" s="71">
        <v>98</v>
      </c>
      <c r="D23" s="70">
        <v>4.0000000000000001E-3</v>
      </c>
      <c r="E23" s="34"/>
    </row>
    <row r="24" spans="1:5" ht="14.45" customHeight="1">
      <c r="A24" s="34"/>
      <c r="B24" s="61" t="s">
        <v>245</v>
      </c>
      <c r="C24" s="71">
        <v>95</v>
      </c>
      <c r="D24" s="70">
        <v>3.0000000000000001E-3</v>
      </c>
      <c r="E24" s="34"/>
    </row>
    <row r="25" spans="1:5" ht="14.45" customHeight="1">
      <c r="A25" s="34"/>
      <c r="B25" s="61" t="s">
        <v>248</v>
      </c>
      <c r="C25" s="71">
        <v>79</v>
      </c>
      <c r="D25" s="70">
        <v>3.0000000000000001E-3</v>
      </c>
      <c r="E25" s="34"/>
    </row>
    <row r="26" spans="1:5" ht="14.45" customHeight="1">
      <c r="A26" s="34"/>
      <c r="B26" s="61" t="s">
        <v>250</v>
      </c>
      <c r="C26" s="71">
        <v>75</v>
      </c>
      <c r="D26" s="70">
        <v>3.0000000000000001E-3</v>
      </c>
      <c r="E26" s="34"/>
    </row>
    <row r="27" spans="1:5" ht="14.45" customHeight="1">
      <c r="A27" s="34"/>
      <c r="B27" s="61" t="s">
        <v>247</v>
      </c>
      <c r="C27" s="71">
        <v>64</v>
      </c>
      <c r="D27" s="70">
        <v>2E-3</v>
      </c>
      <c r="E27" s="34"/>
    </row>
    <row r="28" spans="1:5" ht="14.45" customHeight="1">
      <c r="A28" s="34"/>
      <c r="B28" s="61" t="s">
        <v>251</v>
      </c>
      <c r="C28" s="71">
        <v>53</v>
      </c>
      <c r="D28" s="70">
        <v>2E-3</v>
      </c>
      <c r="E28" s="34"/>
    </row>
    <row r="29" spans="1:5" ht="14.45" customHeight="1">
      <c r="A29" s="34"/>
      <c r="B29" s="61" t="s">
        <v>249</v>
      </c>
      <c r="C29" s="71">
        <v>50</v>
      </c>
      <c r="D29" s="70">
        <v>2E-3</v>
      </c>
      <c r="E29" s="34"/>
    </row>
    <row r="30" spans="1:5" ht="14.45" customHeight="1">
      <c r="A30" s="34"/>
      <c r="B30" s="61" t="s">
        <v>257</v>
      </c>
      <c r="C30" s="71">
        <v>42</v>
      </c>
      <c r="D30" s="70">
        <v>2E-3</v>
      </c>
      <c r="E30" s="34"/>
    </row>
    <row r="31" spans="1:5" ht="14.45" customHeight="1">
      <c r="A31" s="34"/>
      <c r="B31" s="61" t="s">
        <v>253</v>
      </c>
      <c r="C31" s="71">
        <v>41</v>
      </c>
      <c r="D31" s="70">
        <v>2E-3</v>
      </c>
      <c r="E31" s="34"/>
    </row>
    <row r="32" spans="1:5" ht="14.45" customHeight="1">
      <c r="A32" s="34"/>
      <c r="B32" s="61" t="s">
        <v>258</v>
      </c>
      <c r="C32" s="71">
        <v>36</v>
      </c>
      <c r="D32" s="70">
        <v>1E-3</v>
      </c>
      <c r="E32" s="34"/>
    </row>
    <row r="33" spans="1:5" ht="14.45" customHeight="1">
      <c r="A33" s="34"/>
      <c r="B33" s="61" t="s">
        <v>255</v>
      </c>
      <c r="C33" s="71">
        <v>35</v>
      </c>
      <c r="D33" s="70">
        <v>1E-3</v>
      </c>
      <c r="E33" s="34"/>
    </row>
    <row r="34" spans="1:5" ht="14.45" customHeight="1">
      <c r="A34" s="34"/>
      <c r="B34" s="61" t="s">
        <v>254</v>
      </c>
      <c r="C34" s="71">
        <v>30</v>
      </c>
      <c r="D34" s="70">
        <v>1E-3</v>
      </c>
      <c r="E34" s="34"/>
    </row>
    <row r="35" spans="1:5" ht="14.45" customHeight="1">
      <c r="A35" s="34"/>
      <c r="B35" s="61" t="s">
        <v>256</v>
      </c>
      <c r="C35" s="71">
        <v>27</v>
      </c>
      <c r="D35" s="70">
        <v>1E-3</v>
      </c>
      <c r="E35" s="34"/>
    </row>
    <row r="36" spans="1:5" ht="14.45" customHeight="1">
      <c r="A36" s="34"/>
      <c r="B36" s="61" t="s">
        <v>272</v>
      </c>
      <c r="C36" s="71">
        <v>23</v>
      </c>
      <c r="D36" s="70">
        <v>1E-3</v>
      </c>
      <c r="E36" s="34"/>
    </row>
    <row r="37" spans="1:5" ht="14.45" customHeight="1">
      <c r="A37" s="34"/>
      <c r="B37" s="61" t="s">
        <v>225</v>
      </c>
      <c r="C37" s="71">
        <v>16</v>
      </c>
      <c r="D37" s="70">
        <v>1E-3</v>
      </c>
      <c r="E37" s="34"/>
    </row>
    <row r="38" spans="1:5" ht="14.45" customHeight="1">
      <c r="A38" s="34"/>
      <c r="B38" s="61" t="s">
        <v>263</v>
      </c>
      <c r="C38" s="71">
        <v>13</v>
      </c>
      <c r="D38" s="70">
        <v>0</v>
      </c>
      <c r="E38" s="34"/>
    </row>
    <row r="39" spans="1:5" ht="14.45" customHeight="1">
      <c r="A39" s="34"/>
      <c r="B39" s="61" t="s">
        <v>260</v>
      </c>
      <c r="C39" s="71">
        <v>11</v>
      </c>
      <c r="D39" s="70">
        <v>0</v>
      </c>
      <c r="E39" s="34"/>
    </row>
    <row r="40" spans="1:5" ht="14.45" customHeight="1">
      <c r="A40" s="34"/>
      <c r="B40" s="61" t="s">
        <v>261</v>
      </c>
      <c r="C40" s="71">
        <v>11</v>
      </c>
      <c r="D40" s="70">
        <v>0</v>
      </c>
      <c r="E40" s="34"/>
    </row>
    <row r="41" spans="1:5" ht="14.45" customHeight="1">
      <c r="A41" s="34"/>
      <c r="B41" s="61" t="s">
        <v>276</v>
      </c>
      <c r="C41" s="71">
        <v>8</v>
      </c>
      <c r="D41" s="70">
        <v>0</v>
      </c>
      <c r="E41" s="34"/>
    </row>
    <row r="42" spans="1:5" ht="14.45" customHeight="1">
      <c r="A42" s="34"/>
      <c r="B42" s="61" t="s">
        <v>266</v>
      </c>
      <c r="C42" s="71">
        <v>7</v>
      </c>
      <c r="D42" s="70">
        <v>0</v>
      </c>
      <c r="E42" s="34"/>
    </row>
    <row r="43" spans="1:5" ht="14.45" customHeight="1">
      <c r="A43" s="34"/>
      <c r="B43" s="61" t="s">
        <v>259</v>
      </c>
      <c r="C43" s="71">
        <v>6</v>
      </c>
      <c r="D43" s="70">
        <v>0</v>
      </c>
      <c r="E43" s="34"/>
    </row>
    <row r="44" spans="1:5" ht="14.45" customHeight="1">
      <c r="A44" s="34"/>
      <c r="B44" s="61" t="s">
        <v>279</v>
      </c>
      <c r="C44" s="71">
        <v>6</v>
      </c>
      <c r="D44" s="70">
        <v>0</v>
      </c>
      <c r="E44" s="34"/>
    </row>
    <row r="45" spans="1:5" ht="14.45" customHeight="1">
      <c r="A45" s="34"/>
      <c r="B45" s="61" t="s">
        <v>270</v>
      </c>
      <c r="C45" s="71">
        <v>6</v>
      </c>
      <c r="D45" s="70">
        <v>0</v>
      </c>
      <c r="E45" s="34"/>
    </row>
    <row r="46" spans="1:5" ht="14.45" customHeight="1">
      <c r="A46" s="34"/>
      <c r="B46" s="61" t="s">
        <v>273</v>
      </c>
      <c r="C46" s="71">
        <v>6</v>
      </c>
      <c r="D46" s="70">
        <v>0</v>
      </c>
      <c r="E46" s="34"/>
    </row>
    <row r="47" spans="1:5" ht="14.45" customHeight="1">
      <c r="A47" s="34"/>
      <c r="B47" s="61" t="s">
        <v>262</v>
      </c>
      <c r="C47" s="71">
        <v>5</v>
      </c>
      <c r="D47" s="70">
        <v>0</v>
      </c>
      <c r="E47" s="34"/>
    </row>
    <row r="48" spans="1:5" ht="14.45" customHeight="1">
      <c r="A48" s="34"/>
      <c r="B48" s="61" t="s">
        <v>267</v>
      </c>
      <c r="C48" s="71">
        <v>5</v>
      </c>
      <c r="D48" s="70">
        <v>0</v>
      </c>
      <c r="E48" s="34"/>
    </row>
    <row r="49" spans="1:5" ht="14.45" customHeight="1">
      <c r="A49" s="34"/>
      <c r="B49" s="61" t="s">
        <v>264</v>
      </c>
      <c r="C49" s="71">
        <v>4</v>
      </c>
      <c r="D49" s="70">
        <v>0</v>
      </c>
      <c r="E49" s="34"/>
    </row>
    <row r="50" spans="1:5" ht="14.45" customHeight="1">
      <c r="A50" s="34"/>
      <c r="B50" s="61" t="s">
        <v>265</v>
      </c>
      <c r="C50" s="71">
        <v>3</v>
      </c>
      <c r="D50" s="70">
        <v>0</v>
      </c>
      <c r="E50" s="34"/>
    </row>
    <row r="51" spans="1:5" ht="14.45" customHeight="1">
      <c r="A51" s="34"/>
      <c r="B51" s="61" t="s">
        <v>303</v>
      </c>
      <c r="C51" s="71">
        <v>3</v>
      </c>
      <c r="D51" s="70">
        <v>0</v>
      </c>
      <c r="E51" s="34"/>
    </row>
    <row r="52" spans="1:5" ht="14.45" customHeight="1">
      <c r="A52" s="34"/>
      <c r="B52" s="61" t="s">
        <v>280</v>
      </c>
      <c r="C52" s="71">
        <v>3</v>
      </c>
      <c r="D52" s="70">
        <v>0</v>
      </c>
      <c r="E52" s="34"/>
    </row>
    <row r="53" spans="1:5" ht="14.45" customHeight="1">
      <c r="A53" s="34"/>
      <c r="B53" s="61" t="s">
        <v>268</v>
      </c>
      <c r="C53" s="71">
        <v>3</v>
      </c>
      <c r="D53" s="70">
        <v>0</v>
      </c>
      <c r="E53" s="34"/>
    </row>
    <row r="54" spans="1:5" ht="14.45" customHeight="1">
      <c r="A54" s="34"/>
      <c r="B54" s="61" t="s">
        <v>278</v>
      </c>
      <c r="C54" s="71">
        <v>2</v>
      </c>
      <c r="D54" s="70">
        <v>0</v>
      </c>
      <c r="E54" s="34"/>
    </row>
    <row r="55" spans="1:5" ht="14.45" customHeight="1">
      <c r="A55" s="34"/>
      <c r="B55" s="61" t="s">
        <v>274</v>
      </c>
      <c r="C55" s="71">
        <v>2</v>
      </c>
      <c r="D55" s="70">
        <v>0</v>
      </c>
      <c r="E55" s="34"/>
    </row>
    <row r="56" spans="1:5" ht="14.45" customHeight="1">
      <c r="A56" s="34"/>
      <c r="B56" s="61" t="s">
        <v>277</v>
      </c>
      <c r="C56" s="71">
        <v>2</v>
      </c>
      <c r="D56" s="70">
        <v>0</v>
      </c>
      <c r="E56" s="34"/>
    </row>
    <row r="57" spans="1:5" ht="14.45" customHeight="1">
      <c r="A57" s="34"/>
      <c r="B57" s="61" t="s">
        <v>271</v>
      </c>
      <c r="C57" s="71">
        <v>2</v>
      </c>
      <c r="D57" s="70">
        <v>0</v>
      </c>
      <c r="E57" s="34"/>
    </row>
    <row r="58" spans="1:5" ht="14.45" customHeight="1">
      <c r="A58" s="34"/>
      <c r="B58" s="61" t="s">
        <v>281</v>
      </c>
      <c r="C58" s="71">
        <v>2</v>
      </c>
      <c r="D58" s="70">
        <v>0</v>
      </c>
      <c r="E58" s="34"/>
    </row>
    <row r="59" spans="1:5" ht="14.45" customHeight="1">
      <c r="A59" s="34"/>
      <c r="B59" s="61" t="s">
        <v>304</v>
      </c>
      <c r="C59" s="71">
        <v>1</v>
      </c>
      <c r="D59" s="70">
        <v>0</v>
      </c>
      <c r="E59" s="34"/>
    </row>
    <row r="60" spans="1:5" ht="14.45" customHeight="1">
      <c r="A60" s="34"/>
      <c r="B60" s="61" t="s">
        <v>275</v>
      </c>
      <c r="C60" s="71">
        <v>1</v>
      </c>
      <c r="D60" s="70">
        <v>0</v>
      </c>
      <c r="E60" s="34"/>
    </row>
    <row r="61" spans="1:5" ht="14.45" customHeight="1">
      <c r="A61" s="34"/>
      <c r="B61" s="61" t="s">
        <v>269</v>
      </c>
      <c r="C61" s="71">
        <v>1</v>
      </c>
      <c r="D61" s="70">
        <v>0</v>
      </c>
      <c r="E61" s="34"/>
    </row>
    <row r="62" spans="1:5" ht="14.45" customHeight="1">
      <c r="A62" s="34"/>
      <c r="B62" s="61" t="s">
        <v>305</v>
      </c>
      <c r="C62" s="71">
        <v>1</v>
      </c>
      <c r="D62" s="70">
        <v>0</v>
      </c>
      <c r="E62" s="34"/>
    </row>
    <row r="63" spans="1:5" ht="14.45" customHeight="1">
      <c r="A63" s="34"/>
      <c r="B63" s="61" t="s">
        <v>306</v>
      </c>
      <c r="C63" s="71">
        <v>1</v>
      </c>
      <c r="D63" s="70">
        <v>0</v>
      </c>
      <c r="E63" s="34"/>
    </row>
    <row r="64" spans="1:5" ht="14.45" customHeight="1">
      <c r="A64" s="34"/>
      <c r="B64" s="72" t="s">
        <v>307</v>
      </c>
      <c r="C64" s="41">
        <v>27182</v>
      </c>
      <c r="D64" s="73">
        <v>1</v>
      </c>
      <c r="E64" s="34"/>
    </row>
    <row r="65" spans="1:5" ht="16.5">
      <c r="A65" s="34"/>
      <c r="B65" s="35"/>
      <c r="C65" s="36"/>
      <c r="D65" s="34"/>
      <c r="E65" s="34"/>
    </row>
    <row r="66" spans="1:5" ht="16.5">
      <c r="A66" s="34"/>
      <c r="B66" s="37" t="s">
        <v>284</v>
      </c>
      <c r="C66" s="36"/>
      <c r="D66" s="34"/>
      <c r="E66" s="34"/>
    </row>
    <row r="67" spans="1:5" ht="16.5">
      <c r="A67" s="34"/>
      <c r="B67" s="38" t="s">
        <v>18</v>
      </c>
      <c r="C67" s="36"/>
      <c r="D67" s="34"/>
      <c r="E67" s="34"/>
    </row>
    <row r="68" spans="1:5" ht="16.5">
      <c r="A68" s="34"/>
      <c r="B68" s="39" t="s">
        <v>143</v>
      </c>
      <c r="C68" s="36"/>
      <c r="D68" s="34"/>
      <c r="E68" s="34"/>
    </row>
    <row r="69" spans="1:5" ht="16.5">
      <c r="A69" s="34"/>
      <c r="B69" s="37" t="s">
        <v>17</v>
      </c>
      <c r="C69" s="36"/>
      <c r="D69" s="34"/>
      <c r="E69" s="34"/>
    </row>
    <row r="70" spans="1:5" ht="16.5">
      <c r="A70" s="34"/>
      <c r="B70" s="37" t="s">
        <v>311</v>
      </c>
      <c r="C70" s="36"/>
      <c r="D70" s="34"/>
      <c r="E70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20</vt:i4>
      </vt:variant>
    </vt:vector>
  </HeadingPairs>
  <TitlesOfParts>
    <vt:vector size="35" baseType="lpstr">
      <vt:lpstr>Índice</vt:lpstr>
      <vt:lpstr>Zacatecas_EdoUsa</vt:lpstr>
      <vt:lpstr>Zacatecas_Cons</vt:lpstr>
      <vt:lpstr>ZacatecasXCons</vt:lpstr>
      <vt:lpstr>Zacatecas_EdoMun</vt:lpstr>
      <vt:lpstr>Zacatecas_USAMuni</vt:lpstr>
      <vt:lpstr>Zacatecas_MUNICIPIO</vt:lpstr>
      <vt:lpstr>Zacatecas_educ_gral</vt:lpstr>
      <vt:lpstr>Zacatecas_NivelE_USA</vt:lpstr>
      <vt:lpstr>Zacatecas_EducCons</vt:lpstr>
      <vt:lpstr>Zacatecas_GenGral</vt:lpstr>
      <vt:lpstr>Zacatecas_GENERO</vt:lpstr>
      <vt:lpstr>Zacatecas_GENERO_EUA</vt:lpstr>
      <vt:lpstr>Zacatecas_Gen_Edad</vt:lpstr>
      <vt:lpstr>Zacatecas_ocup_gral</vt:lpstr>
      <vt:lpstr>Zacatecas_EducCons!Área_de_impresión</vt:lpstr>
      <vt:lpstr>Zacatecas_GENERO_EUA!Área_de_impresión</vt:lpstr>
      <vt:lpstr>Zacatecas_MUNICIPIO!Área_de_impresión</vt:lpstr>
      <vt:lpstr>Zacatecas_NivelE_USA!Área_de_impresión</vt:lpstr>
      <vt:lpstr>Zacatecas_ocup_gral!Área_de_impresión</vt:lpstr>
      <vt:lpstr>Zacatecas_USAMuni!Área_de_impresión</vt:lpstr>
      <vt:lpstr>Zacatecas_Cons!Títulos_a_imprimir</vt:lpstr>
      <vt:lpstr>Zacatecas_EdoMun!Títulos_a_imprimir</vt:lpstr>
      <vt:lpstr>Zacatecas_EdoUsa!Títulos_a_imprimir</vt:lpstr>
      <vt:lpstr>Zacatecas_educ_gral!Títulos_a_imprimir</vt:lpstr>
      <vt:lpstr>Zacatecas_EducCons!Títulos_a_imprimir</vt:lpstr>
      <vt:lpstr>Zacatecas_Gen_Edad!Títulos_a_imprimir</vt:lpstr>
      <vt:lpstr>Zacatecas_GENERO!Títulos_a_imprimir</vt:lpstr>
      <vt:lpstr>Zacatecas_GENERO_EUA!Títulos_a_imprimir</vt:lpstr>
      <vt:lpstr>Zacatecas_GenGral!Títulos_a_imprimir</vt:lpstr>
      <vt:lpstr>Zacatecas_MUNICIPIO!Títulos_a_imprimir</vt:lpstr>
      <vt:lpstr>Zacatecas_NivelE_USA!Títulos_a_imprimir</vt:lpstr>
      <vt:lpstr>Zacatecas_ocup_gral!Títulos_a_imprimir</vt:lpstr>
      <vt:lpstr>Zacatecas_USAMuni!Títulos_a_imprimir</vt:lpstr>
      <vt:lpstr>ZacatecasXCons!Títulos_a_imprimir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2025-02-19T17:01:13Z</cp:lastPrinted>
  <dcterms:created xsi:type="dcterms:W3CDTF">2020-06-05T01:44:56Z</dcterms:created>
  <dcterms:modified xsi:type="dcterms:W3CDTF">2025-08-23T04:15:36Z</dcterms:modified>
</cp:coreProperties>
</file>