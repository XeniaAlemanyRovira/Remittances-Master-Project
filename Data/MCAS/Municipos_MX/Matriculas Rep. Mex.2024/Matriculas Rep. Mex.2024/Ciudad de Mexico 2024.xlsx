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710F2EC8-C851-4CF3-8C2D-6FE24D6A1603}" xr6:coauthVersionLast="47" xr6:coauthVersionMax="47" xr10:uidLastSave="{00000000-0000-0000-0000-000000000000}"/>
  <bookViews>
    <workbookView xWindow="-110" yWindow="-110" windowWidth="19420" windowHeight="10420" tabRatio="750" xr2:uid="{00000000-000D-0000-FFFF-FFFF00000000}"/>
  </bookViews>
  <sheets>
    <sheet name="Índice" sheetId="1" r:id="rId1"/>
    <sheet name="Ciudad de México_EdoUsa" sheetId="2" r:id="rId2"/>
    <sheet name="Ciudad de México_Cons" sheetId="15" r:id="rId3"/>
    <sheet name="Ciudad de MéxicoXCons" sheetId="16" r:id="rId4"/>
    <sheet name="Ciudad de México_EdoMun" sheetId="5" r:id="rId5"/>
    <sheet name="Ciudad de México_USAMuni" sheetId="6" r:id="rId6"/>
    <sheet name="Ciudad de México_MUNICIPIO" sheetId="7" r:id="rId7"/>
    <sheet name="Ciudad de México_educ_gral" sheetId="8" r:id="rId8"/>
    <sheet name="Ciudad de México_NivelE_Cons" sheetId="9" r:id="rId9"/>
    <sheet name="Ciudad de México_EducCons" sheetId="10" r:id="rId10"/>
    <sheet name="Ciudad de México_GenGral" sheetId="11" r:id="rId11"/>
    <sheet name="Ciudad de México_GENERO" sheetId="12" r:id="rId12"/>
    <sheet name="Ciudad de México_GENERO_EUA" sheetId="17" r:id="rId13"/>
    <sheet name="Ciudad de México_Gen_Edad" sheetId="13" r:id="rId14"/>
    <sheet name="Ciudad de México_ocup_gral" sheetId="14" r:id="rId15"/>
  </sheets>
  <definedNames>
    <definedName name="_xlnm._FilterDatabase" localSheetId="2" hidden="1">'Ciudad de México_Cons'!$B$11:$D$11</definedName>
    <definedName name="_xlnm._FilterDatabase" localSheetId="4" hidden="1">'Ciudad de México_EdoMun'!$B$11:$D$11</definedName>
    <definedName name="_xlnm._FilterDatabase" localSheetId="1" hidden="1">'Ciudad de México_EdoUsa'!$B$11:$D$11</definedName>
    <definedName name="_xlnm._FilterDatabase" localSheetId="7" hidden="1">'Ciudad de México_educ_gral'!$B$11:$D$11</definedName>
    <definedName name="_xlnm._FilterDatabase" localSheetId="9" hidden="1">'Ciudad de México_EducCons'!$B$9:$E$984</definedName>
    <definedName name="_xlnm._FilterDatabase" localSheetId="13" hidden="1">'Ciudad de México_Gen_Edad'!$B$12:$F$34</definedName>
    <definedName name="_xlnm._FilterDatabase" localSheetId="11" hidden="1">'Ciudad de México_GENERO'!$B$12:$E$170</definedName>
    <definedName name="_xlnm._FilterDatabase" localSheetId="12" hidden="1">'Ciudad de México_GENERO_EUA'!$B$12:$E$164</definedName>
    <definedName name="_xlnm._FilterDatabase" localSheetId="10" hidden="1">'Ciudad de México_GenGral'!$B$11:$D$11</definedName>
    <definedName name="_xlnm._FilterDatabase" localSheetId="6" hidden="1">'Ciudad de México_MUNICIPIO'!$B$9:$E$833</definedName>
    <definedName name="_xlnm._FilterDatabase" localSheetId="8" hidden="1">'Ciudad de México_NivelE_Cons'!$B$9:$E$812</definedName>
    <definedName name="_xlnm._FilterDatabase" localSheetId="14" hidden="1">'Ciudad de México_ocup_gral'!$B$11:$D$11</definedName>
    <definedName name="_xlnm._FilterDatabase" localSheetId="5" hidden="1">'Ciudad de México_USAMuni'!$B$9:$E$757</definedName>
    <definedName name="_xlnm._FilterDatabase" localSheetId="3" hidden="1">'Ciudad de MéxicoXCons'!$B$11:$D$11</definedName>
    <definedName name="_xlnm.Print_Area" localSheetId="2">'Ciudad de México_Cons'!$A$1:$F$70</definedName>
    <definedName name="_xlnm.Print_Area" localSheetId="4">'Ciudad de México_EdoMun'!$A$1:$F$36</definedName>
    <definedName name="_xlnm.Print_Area" localSheetId="1">'Ciudad de México_EdoUsa'!$A$1:$G$69</definedName>
    <definedName name="_xlnm.Print_Area" localSheetId="7">'Ciudad de México_educ_gral'!$A$1:$F$42</definedName>
    <definedName name="_xlnm.Print_Area" localSheetId="9">'Ciudad de México_EducCons'!$A$1:$E$990</definedName>
    <definedName name="_xlnm.Print_Area" localSheetId="13">'Ciudad de México_Gen_Edad'!$A$1:$F$40</definedName>
    <definedName name="_xlnm.Print_Area" localSheetId="11">'Ciudad de México_GENERO'!$A$1:$F$176</definedName>
    <definedName name="_xlnm.Print_Area" localSheetId="12">'Ciudad de México_GENERO_EUA'!$A$1:$F$171</definedName>
    <definedName name="_xlnm.Print_Area" localSheetId="6">'Ciudad de México_MUNICIPIO'!$A$1:$E$840</definedName>
    <definedName name="_xlnm.Print_Area" localSheetId="8">'Ciudad de México_NivelE_Cons'!$A$1:$E$818</definedName>
    <definedName name="_xlnm.Print_Area" localSheetId="14">'Ciudad de México_ocup_gral'!$A$1:$D$82</definedName>
    <definedName name="_xlnm.Print_Area" localSheetId="5">'Ciudad de México_USAMuni'!$A$1:$E$763</definedName>
    <definedName name="_xlnm.Print_Area" localSheetId="3">'Ciudad de MéxicoXCons'!$A$1:$G$30</definedName>
    <definedName name="_xlnm.Print_Titles" localSheetId="2">'Ciudad de México_Cons'!$1:$11</definedName>
    <definedName name="_xlnm.Print_Titles" localSheetId="4">'Ciudad de México_EdoMun'!$1:$11</definedName>
    <definedName name="_xlnm.Print_Titles" localSheetId="1">'Ciudad de México_EdoUsa'!$1:$11</definedName>
    <definedName name="_xlnm.Print_Titles" localSheetId="7">'Ciudad de México_educ_gral'!$1:$11</definedName>
    <definedName name="_xlnm.Print_Titles" localSheetId="9">'Ciudad de México_EducCons'!$1:$9</definedName>
    <definedName name="_xlnm.Print_Titles" localSheetId="13">'Ciudad de México_Gen_Edad'!$1:$12</definedName>
    <definedName name="_xlnm.Print_Titles" localSheetId="11">'Ciudad de México_GENERO'!$1:$12</definedName>
    <definedName name="_xlnm.Print_Titles" localSheetId="12">'Ciudad de México_GENERO_EUA'!$1:$12</definedName>
    <definedName name="_xlnm.Print_Titles" localSheetId="10">'Ciudad de México_GenGral'!$1:$11</definedName>
    <definedName name="_xlnm.Print_Titles" localSheetId="6">'Ciudad de México_MUNICIPIO'!$1:$9</definedName>
    <definedName name="_xlnm.Print_Titles" localSheetId="8">'Ciudad de México_NivelE_Cons'!$1:$9</definedName>
    <definedName name="_xlnm.Print_Titles" localSheetId="14">'Ciudad de México_ocup_gral'!$1:$11</definedName>
    <definedName name="_xlnm.Print_Titles" localSheetId="5">'Ciudad de México_USAMuni'!$1:$9</definedName>
    <definedName name="_xlnm.Print_Titles" localSheetId="3">'Ciudad de MéxicoXCons'!$1:$11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3" l="1"/>
  <c r="E31" i="13"/>
  <c r="E29" i="13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C64" i="15"/>
  <c r="C22" i="16" l="1"/>
  <c r="D22" i="16" l="1"/>
</calcChain>
</file>

<file path=xl/sharedStrings.xml><?xml version="1.0" encoding="utf-8"?>
<sst xmlns="http://schemas.openxmlformats.org/spreadsheetml/2006/main" count="4347" uniqueCount="359">
  <si>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</si>
  <si>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</si>
  <si>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</si>
  <si>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</si>
  <si>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</si>
  <si>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</si>
  <si>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</si>
  <si>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</si>
  <si>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</si>
  <si>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</si>
  <si>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</si>
  <si>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</si>
  <si>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</si>
  <si>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</si>
  <si>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</si>
  <si>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</si>
  <si>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</si>
  <si>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</si>
  <si>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</si>
  <si>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</si>
  <si>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</si>
  <si>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</si>
  <si>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</si>
  <si>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Delegación de Origen</t>
  </si>
  <si>
    <t>Estado</t>
  </si>
  <si>
    <t>Municipio de Origen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</si>
  <si>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</si>
  <si>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</si>
  <si>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</si>
  <si>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</si>
  <si>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</si>
  <si>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</si>
  <si>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</si>
  <si>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</si>
  <si>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</si>
  <si>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MATRÍCULAS CONSULARES EXPEDIDAS A ORIGINARIOS DE LA CIUDAD DE MÉXICO POR GÉNERO Y POR ESTADO DE  LA UNIÓN AMERICANA</t>
  </si>
  <si>
    <t xml:space="preserve">MATRÍCULAS CONSULARES DE ALTA SEGURIDAD EXPEDIDAS POR MUNICIPIO A ORIGINARIOS DE LA CIUDAD DE MÉXICO EN LOS CONSULADOS DE MÉXICO EN EE.UU. </t>
  </si>
  <si>
    <t>MATRÍCULAS CONSULARES DE ALTA SEGURIDAD EXPEDIDAS A ORIGINARIOS DE LA CIUDAD DE MÉXICO EN LOS CONSULADOS DE MÉXICO EN EE.UU.</t>
  </si>
  <si>
    <t xml:space="preserve">MATRÍCULAS CONSULARES DE ALTA SEGURIDAD EXPEDIDAS A ORIGINARIOS DE LA CIUDAD DE MÉXICO POR ESTADO DE LA UNIÓN AMERICANA. </t>
  </si>
  <si>
    <t>5.3 Por Estado de la Unión Americana</t>
  </si>
  <si>
    <t>MATRÍCULAS CONSULARES EXPEDIDAS EN EE.UU. A ORIGINARIOS DE LA CIUDAD DE MÉXICO POR NIVEL DE EDUCACIÓN</t>
  </si>
  <si>
    <t>MATRÍCULAS CONSULARES EXPEDIDAS A ORIGINARIOS DE LA CIUDAD DE MÉXICO POR GÉNERO EN EE.UU</t>
  </si>
  <si>
    <t>MATRÍCULAS CONSULARES EXPEDIDAS A ORIGINARIOS DE LA CIUDAD DE MÉXICO POR GÉNERO Y EDAD EN EE.UU.</t>
  </si>
  <si>
    <t>LOS 10 CONSULADOS  DE MÉXICO EN EE.UU., CON MAYOR NÚMERO DE EXPEDICIÓN DE  MATRÍCULAS CONSULARES DE ALTA SEGURIDAD A ORIGINARIOS DE CIUDAD DE MÉXICO</t>
  </si>
  <si>
    <t>TOTAL TOP 10</t>
  </si>
  <si>
    <t>TOTAL GENERAL</t>
  </si>
  <si>
    <t>Elaborado por: Análisis de Información, Instituto de Mexicanas y Mexicanos en el Exterior</t>
  </si>
  <si>
    <t>CHICAGO</t>
  </si>
  <si>
    <t>LOS ANGELES</t>
  </si>
  <si>
    <t>HOUSTON</t>
  </si>
  <si>
    <t>DALLAS</t>
  </si>
  <si>
    <t>SANTA ANA</t>
  </si>
  <si>
    <t>RALEIGH</t>
  </si>
  <si>
    <t>ATLANTA</t>
  </si>
  <si>
    <t>NUEVA YORK</t>
  </si>
  <si>
    <t>LAS VEGAS</t>
  </si>
  <si>
    <t>SAN BERNARDINO</t>
  </si>
  <si>
    <t>LITTLE ROCK</t>
  </si>
  <si>
    <t>SAN JOSE</t>
  </si>
  <si>
    <t>INDIANAPOLIS</t>
  </si>
  <si>
    <t>PHOENIX</t>
  </si>
  <si>
    <t>KANSAS CITY</t>
  </si>
  <si>
    <t>AUSTIN</t>
  </si>
  <si>
    <t>FRESNO</t>
  </si>
  <si>
    <t>SACRAMENTO</t>
  </si>
  <si>
    <t>SAN DIEGO</t>
  </si>
  <si>
    <t>ORLANDO</t>
  </si>
  <si>
    <t>FILADELFIA</t>
  </si>
  <si>
    <t>SAINT PAUL</t>
  </si>
  <si>
    <t>DETROIT</t>
  </si>
  <si>
    <t>SAN FRANCISCO</t>
  </si>
  <si>
    <t>MIAMI</t>
  </si>
  <si>
    <t>DENVER</t>
  </si>
  <si>
    <t>OKLAHOMA CITY</t>
  </si>
  <si>
    <t>SAN ANTONIO</t>
  </si>
  <si>
    <t>SALT LAKE CITY</t>
  </si>
  <si>
    <t>OXNARD</t>
  </si>
  <si>
    <t>MILWAUKEE</t>
  </si>
  <si>
    <t>MCALLEN</t>
  </si>
  <si>
    <t>WASHINGTON</t>
  </si>
  <si>
    <t>NUEVA ORLEANS</t>
  </si>
  <si>
    <t>OMAHA</t>
  </si>
  <si>
    <t>PORTLAND</t>
  </si>
  <si>
    <t>BOSTON</t>
  </si>
  <si>
    <t>BOISE</t>
  </si>
  <si>
    <t>SEATTLE</t>
  </si>
  <si>
    <t>ALBUQUERQUE</t>
  </si>
  <si>
    <t>NEW BRUNSWICK</t>
  </si>
  <si>
    <t>BROWNSVILLE</t>
  </si>
  <si>
    <t>EL PASO</t>
  </si>
  <si>
    <t>LAREDO</t>
  </si>
  <si>
    <t>TUCSON</t>
  </si>
  <si>
    <t>PRESIDIO</t>
  </si>
  <si>
    <t>CALEXICO</t>
  </si>
  <si>
    <t>DEL RIO</t>
  </si>
  <si>
    <t>EAGLE PASS</t>
  </si>
  <si>
    <t>YUMA</t>
  </si>
  <si>
    <t>NOGALES</t>
  </si>
  <si>
    <t>DOUGLAS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</si>
  <si>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</si>
  <si>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</si>
  <si>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</si>
  <si>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</si>
  <si>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</si>
  <si>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</si>
  <si>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</si>
  <si>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</si>
  <si>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</si>
  <si>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</si>
  <si>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</si>
  <si>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</si>
  <si>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</si>
  <si>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</si>
  <si>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</si>
  <si>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</si>
  <si>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</si>
  <si>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</si>
  <si>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</si>
  <si>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</si>
  <si>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</si>
  <si>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</si>
  <si>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</si>
  <si>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</si>
  <si>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</si>
  <si>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</si>
  <si>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</si>
  <si>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</si>
  <si>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</si>
  <si>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</si>
  <si>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</si>
  <si>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A ORIGINARIOS DE LA CIUDAD DE MÉXICO  POR GÉNERO Y CONSULADO</t>
  </si>
  <si>
    <t>MATRÍCULAS CONSULARES EXPEDIDAS EN EE.UU. ORIGINARIOS DE LA CIUDAD DE MÉXICO POR PERFIL OCUPACIONAL.</t>
  </si>
  <si>
    <t>Tamaño de la muestra: 808,027</t>
  </si>
  <si>
    <t>California</t>
  </si>
  <si>
    <t>Texas</t>
  </si>
  <si>
    <t>Illinois</t>
  </si>
  <si>
    <t>New York</t>
  </si>
  <si>
    <t>Georgia</t>
  </si>
  <si>
    <t>Nevada</t>
  </si>
  <si>
    <t>North Carolina</t>
  </si>
  <si>
    <t>Florida</t>
  </si>
  <si>
    <t>Indiana</t>
  </si>
  <si>
    <t>New Jersey</t>
  </si>
  <si>
    <t>Arizona</t>
  </si>
  <si>
    <t>Wisconsin</t>
  </si>
  <si>
    <t>Tennessee</t>
  </si>
  <si>
    <t>Colorado</t>
  </si>
  <si>
    <t>Oklahoma</t>
  </si>
  <si>
    <t>Minnesota</t>
  </si>
  <si>
    <t>Utah</t>
  </si>
  <si>
    <t>South Carolina</t>
  </si>
  <si>
    <t>Michigan</t>
  </si>
  <si>
    <t>Pennsylvania</t>
  </si>
  <si>
    <t>Arkansas</t>
  </si>
  <si>
    <t>Ohio</t>
  </si>
  <si>
    <t>Kansas</t>
  </si>
  <si>
    <t>Alabama</t>
  </si>
  <si>
    <t>Missouri</t>
  </si>
  <si>
    <t>Nebraska</t>
  </si>
  <si>
    <t>Oregon</t>
  </si>
  <si>
    <t>Washington</t>
  </si>
  <si>
    <t>Kentucky</t>
  </si>
  <si>
    <t>Virginia</t>
  </si>
  <si>
    <t>Connecticut</t>
  </si>
  <si>
    <t>Idaho</t>
  </si>
  <si>
    <t>Iowa</t>
  </si>
  <si>
    <t>New Mexico</t>
  </si>
  <si>
    <t>Louisiana</t>
  </si>
  <si>
    <t>Maryland</t>
  </si>
  <si>
    <t>Mississippi</t>
  </si>
  <si>
    <t>Delaware</t>
  </si>
  <si>
    <t>Wyoming</t>
  </si>
  <si>
    <t>Massachusetts</t>
  </si>
  <si>
    <t>District of Columbia</t>
  </si>
  <si>
    <t>Hawaii</t>
  </si>
  <si>
    <t>Rhode Island</t>
  </si>
  <si>
    <t>North Dakota</t>
  </si>
  <si>
    <t>South Dakota</t>
  </si>
  <si>
    <t>Montana</t>
  </si>
  <si>
    <t>Alaska</t>
  </si>
  <si>
    <t>West Virginia</t>
  </si>
  <si>
    <t>Vermont</t>
  </si>
  <si>
    <t>Maine</t>
  </si>
  <si>
    <t>New Hampshire</t>
  </si>
  <si>
    <t>Desconocido</t>
  </si>
  <si>
    <t>Gustavo A. Madero</t>
  </si>
  <si>
    <t>Cuauhtémoc</t>
  </si>
  <si>
    <t>Iztapalapa</t>
  </si>
  <si>
    <t>Miguel Hidalgo</t>
  </si>
  <si>
    <t>Azcapotzalco</t>
  </si>
  <si>
    <t>Benito Juárez</t>
  </si>
  <si>
    <t>Álvaro Obregón</t>
  </si>
  <si>
    <t>Iztacalco</t>
  </si>
  <si>
    <t>Venustiano Carranza</t>
  </si>
  <si>
    <t>Coyoacán</t>
  </si>
  <si>
    <t>Tlalpan</t>
  </si>
  <si>
    <t>Tláhuac</t>
  </si>
  <si>
    <t>La Magdalena Contreras</t>
  </si>
  <si>
    <t>Xochimilco</t>
  </si>
  <si>
    <t>Milpa Alta</t>
  </si>
  <si>
    <t>Cuajimalpa de Morelos</t>
  </si>
  <si>
    <t>ENTRE 00 Y 10 AÑOS</t>
  </si>
  <si>
    <t>AZCAPOTZALCO</t>
  </si>
  <si>
    <t>BENITO JUÁREZ</t>
  </si>
  <si>
    <t>COYOACÁN</t>
  </si>
  <si>
    <t>CUAJIMALPA DE MORELOS</t>
  </si>
  <si>
    <t>CUAUHTÉMOC</t>
  </si>
  <si>
    <t>GUSTAVO A. MADERO</t>
  </si>
  <si>
    <t>IZTACALCO</t>
  </si>
  <si>
    <t>IZTAPALAPA</t>
  </si>
  <si>
    <t>MIGUEL HIDALGO</t>
  </si>
  <si>
    <t>MILPA ALTA</t>
  </si>
  <si>
    <t>TLALPAN</t>
  </si>
  <si>
    <t>TLÁHUAC</t>
  </si>
  <si>
    <t>VENUSTIANO CARRANZA</t>
  </si>
  <si>
    <t>XOCHIMILCO</t>
  </si>
  <si>
    <t>ÁLVARO OBREGÓN</t>
  </si>
  <si>
    <t>DESCONOCIDO</t>
  </si>
  <si>
    <t>LA MAGDALENA CONTRERAS</t>
  </si>
  <si>
    <t>ALABAMA</t>
  </si>
  <si>
    <t>ARIZONA</t>
  </si>
  <si>
    <t>ARKANSAS</t>
  </si>
  <si>
    <t>CALIFORNIA</t>
  </si>
  <si>
    <t>COLORADO</t>
  </si>
  <si>
    <t>CONNECTICUT</t>
  </si>
  <si>
    <t>FLORIDA</t>
  </si>
  <si>
    <t>GEORGIA</t>
  </si>
  <si>
    <t>ILLINOIS</t>
  </si>
  <si>
    <t>INDIANA</t>
  </si>
  <si>
    <t>MARYLAND</t>
  </si>
  <si>
    <t>MICHIGAN</t>
  </si>
  <si>
    <t>MINNESOTA</t>
  </si>
  <si>
    <t>MISSOURI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</si>
  <si>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</si>
  <si>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</si>
  <si>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</si>
  <si>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</si>
  <si>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</si>
  <si>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</si>
  <si>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</si>
  <si>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</si>
  <si>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TENNESSEE</t>
  </si>
  <si>
    <t>TEXAS</t>
  </si>
  <si>
    <t>UTAH</t>
  </si>
  <si>
    <t>VIRGINIA</t>
  </si>
  <si>
    <t>WISCONSIN</t>
  </si>
  <si>
    <t>1O. PRIMARIA</t>
  </si>
  <si>
    <t>HAWAII</t>
  </si>
  <si>
    <t>KANSAS</t>
  </si>
  <si>
    <t>LOUISIANA</t>
  </si>
  <si>
    <t>PENNSYLVANIA</t>
  </si>
  <si>
    <t>2O. PRIMARIA</t>
  </si>
  <si>
    <t>IOWA</t>
  </si>
  <si>
    <t>3O. PRIMARIA</t>
  </si>
  <si>
    <t>IDAHO</t>
  </si>
  <si>
    <t>KENTUCKY</t>
  </si>
  <si>
    <t>NEBRASKA</t>
  </si>
  <si>
    <t>SOUTH CAROLINA</t>
  </si>
  <si>
    <t>SOUTH DAKOTA</t>
  </si>
  <si>
    <t>4O. PRIMARIA</t>
  </si>
  <si>
    <t>RHODE ISLAND</t>
  </si>
  <si>
    <t>5O. PRIMARIA</t>
  </si>
  <si>
    <t>DELAWARE</t>
  </si>
  <si>
    <t>MISSISSIPPI</t>
  </si>
  <si>
    <t>6O. PRIMARIA</t>
  </si>
  <si>
    <t>DISTRICT OF COLUMBIA</t>
  </si>
  <si>
    <t>MASSACHUSETTS</t>
  </si>
  <si>
    <t>MONTANA</t>
  </si>
  <si>
    <t>WEST VIRGINIA</t>
  </si>
  <si>
    <t>WYOMING</t>
  </si>
  <si>
    <t>MAINE</t>
  </si>
  <si>
    <t>NEW HAMPSHIRE</t>
  </si>
  <si>
    <t>NORTH DAKOTA</t>
  </si>
  <si>
    <t>VERMONT</t>
  </si>
  <si>
    <t>1O. SECUNDARIA</t>
  </si>
  <si>
    <t>2O. SECUNDARIA</t>
  </si>
  <si>
    <t>3O. SECUNDARIA</t>
  </si>
  <si>
    <t>ALASKA</t>
  </si>
  <si>
    <t>1O. AÑO DE PROFESIONAL</t>
  </si>
  <si>
    <t>2O. AÑO DE PROFESIONAL</t>
  </si>
  <si>
    <t>3ER. AÑO DE PROFESIONAL</t>
  </si>
  <si>
    <t>4O. AÑO DE PROFESIONAL</t>
  </si>
  <si>
    <t>FEMENINO</t>
  </si>
  <si>
    <t>MASCULINO</t>
  </si>
  <si>
    <t>NO BINARIO</t>
  </si>
  <si>
    <t xml:space="preserve">FEMENINO  </t>
  </si>
  <si>
    <t xml:space="preserve">MASCULINO  </t>
  </si>
  <si>
    <t xml:space="preserve">NO BINARIO  </t>
  </si>
  <si>
    <t>EMPLEADO(A)</t>
  </si>
  <si>
    <t>HOGAR</t>
  </si>
  <si>
    <t>OBRERO(A)</t>
  </si>
  <si>
    <t>CONSTRUCCIÓN, TRAB. DE LA IND. DE LA</t>
  </si>
  <si>
    <t>ALIMENTOS Y BEBIDAS, ESP. EN PREPARACIÓN DE</t>
  </si>
  <si>
    <t>ESTUDIANTE</t>
  </si>
  <si>
    <t>PINTOR(A)</t>
  </si>
  <si>
    <t>JARDINERO(A)</t>
  </si>
  <si>
    <t>PROFESIONISTA</t>
  </si>
  <si>
    <t>LIMPIEZA, EMPLEADO DE</t>
  </si>
  <si>
    <t>AGROPECUARIA, TRAB. DE LA INDUSTRIA</t>
  </si>
  <si>
    <t>MESERO(A)</t>
  </si>
  <si>
    <t>DESEMPLEADO</t>
  </si>
  <si>
    <t>SIN ESPECIFICAR</t>
  </si>
  <si>
    <t>JUBILADO(A)/PENSIONADO(A)</t>
  </si>
  <si>
    <t>EMPRESARIO(A)</t>
  </si>
  <si>
    <t>VENDEDOR(A)</t>
  </si>
  <si>
    <t>MECÁNICO(A)</t>
  </si>
  <si>
    <t>CHOFER</t>
  </si>
  <si>
    <t>CARPINTERO/TAPICERO</t>
  </si>
  <si>
    <t>OPERARIO(A)</t>
  </si>
  <si>
    <t>CAJERO(A)/COBRADOR(A)</t>
  </si>
  <si>
    <t>TÉCNICO(A) EN MANTENIMIENTO</t>
  </si>
  <si>
    <t>OTRO</t>
  </si>
  <si>
    <t>COMERCIANTE</t>
  </si>
  <si>
    <t>BELLEZA, PROFESIONAL DE SERVICIOS DE</t>
  </si>
  <si>
    <t>SOLDADOR</t>
  </si>
  <si>
    <t>SUPERVISOR(A)</t>
  </si>
  <si>
    <t>GERENTE/DIRECTOR(A)</t>
  </si>
  <si>
    <t>DISCAPACITADO</t>
  </si>
  <si>
    <t>ADMINISTRADOR(A)/CONTADOR(A)</t>
  </si>
  <si>
    <t>ENFERMERO(A)/TRAB. DE APOYO EN SALUD</t>
  </si>
  <si>
    <t>INGENIERO(A)</t>
  </si>
  <si>
    <t>AUXILIARES ADMINISTRATIVOS Y DE OFICINA</t>
  </si>
  <si>
    <t>PROFESOR(A)</t>
  </si>
  <si>
    <t>CARNICERO(A)</t>
  </si>
  <si>
    <t>PROFESIONAL TÉCNICO</t>
  </si>
  <si>
    <t>ARTISTA INTERPRETATIVO(A)</t>
  </si>
  <si>
    <t>MÉDICO(A) /ESP. EN SALUD</t>
  </si>
  <si>
    <t>TRABAJADOR(A) DOMÉSTICO(A)</t>
  </si>
  <si>
    <t>CONSULTOR</t>
  </si>
  <si>
    <t>DISEÑADOR(A)</t>
  </si>
  <si>
    <t>FOTÓGRAFO(A)</t>
  </si>
  <si>
    <t>HOJALATERO</t>
  </si>
  <si>
    <t>ABOGADO(A)</t>
  </si>
  <si>
    <t>MINISTRO(A) RELIGIOSO(A)</t>
  </si>
  <si>
    <t>MODISTA/SASTRE</t>
  </si>
  <si>
    <t>AEROCOMERCIAL, TRAB. DE LA INDUSTRIA</t>
  </si>
  <si>
    <t>DIPLOMÁTICO(A)</t>
  </si>
  <si>
    <t>TURISMO, SERV. RELACIONADOS CON</t>
  </si>
  <si>
    <t>AUTOR(A)/PERIODISTA/TRADUCTOR(A)</t>
  </si>
  <si>
    <t>BANQUERO/INVERSIONISTA</t>
  </si>
  <si>
    <t>HERRERO(A)/CERRAJERO(A)/JOYERO(A)</t>
  </si>
  <si>
    <t>PLANCHADOR(A)</t>
  </si>
  <si>
    <t>POLICÍA/ SERV. SEGURIDAD Y PROTECCIÓN</t>
  </si>
  <si>
    <t>INVESTIGADOR(A)</t>
  </si>
  <si>
    <t>MARINERO</t>
  </si>
  <si>
    <t>MISIONERO(A)</t>
  </si>
  <si>
    <t>SERVIDOR(A) PÚBLICO(A)</t>
  </si>
  <si>
    <t>ODONTÓLOGO(A)</t>
  </si>
  <si>
    <t>RECICLAJE, TRAB. DE LA INDUSTRIA DEL</t>
  </si>
  <si>
    <t>TRABAJADOR(A) SOCIAL</t>
  </si>
  <si>
    <t>VETERINARIO</t>
  </si>
  <si>
    <t xml:space="preserve"> Total</t>
  </si>
  <si>
    <t>Junio de 2025</t>
  </si>
  <si>
    <t>TOTAL</t>
  </si>
  <si>
    <t xml:space="preserve"> TOTAL</t>
  </si>
  <si>
    <t xml:space="preserve"> TOTAL </t>
  </si>
  <si>
    <t>Junio  de 2025</t>
  </si>
  <si>
    <t>Texto en Montserrat</t>
  </si>
  <si>
    <t>Matrículas consulares expedidas a originarios de Ciudad de México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</si>
</sst>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1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Noto Sans"/>
      <family val="2"/>
    </font>
    <font>
      <sz val="11"/>
      <color theme="1"/>
      <name val="Noto Sans"/>
      <family val="2"/>
    </font>
    <font>
      <b/>
      <sz val="9"/>
      <color indexed="9"/>
      <name val="Noto Sans"/>
      <family val="2"/>
    </font>
    <font>
      <b/>
      <sz val="9"/>
      <color theme="0"/>
      <name val="Noto Sans"/>
      <family val="2"/>
    </font>
    <font>
      <sz val="11"/>
      <name val="Noto Sans"/>
      <family val="2"/>
    </font>
    <font>
      <sz val="7"/>
      <color indexed="8"/>
      <name val="Noto Sans"/>
      <family val="2"/>
    </font>
    <font>
      <sz val="10"/>
      <color theme="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1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4" fillId="3" borderId="0" xfId="0" applyFont="1" applyFill="1" applyAlignment="1">
      <alignment vertical="center"/>
    </xf>
    <xf numFmtId="0" fontId="5" fillId="3" borderId="0" xfId="0" applyFont="1" applyFill="1"/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8" fillId="3" borderId="0" xfId="0" applyFont="1" applyFill="1"/>
    <xf numFmtId="0" fontId="9" fillId="3" borderId="0" xfId="0" applyFont="1" applyFill="1"/>
    <xf numFmtId="0" fontId="10" fillId="3" borderId="0" xfId="0" applyFont="1" applyFill="1"/>
    <xf numFmtId="0" fontId="6" fillId="3" borderId="0" xfId="0" applyFont="1" applyFill="1"/>
    <xf numFmtId="0" fontId="12" fillId="3" borderId="0" xfId="0" applyFont="1" applyFill="1"/>
    <xf numFmtId="0" fontId="10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4" fillId="0" borderId="4" xfId="0" applyFont="1" applyBorder="1"/>
    <xf numFmtId="0" fontId="16" fillId="3" borderId="0" xfId="0" applyFont="1" applyFill="1"/>
    <xf numFmtId="0" fontId="17" fillId="3" borderId="0" xfId="0" applyFont="1" applyFill="1" applyAlignment="1">
      <alignment vertical="center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20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1" fillId="3" borderId="0" xfId="0" applyFont="1" applyFill="1"/>
    <xf numFmtId="0" fontId="22" fillId="3" borderId="0" xfId="0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0" fontId="17" fillId="0" borderId="0" xfId="0" applyFont="1"/>
    <xf numFmtId="0" fontId="18" fillId="0" borderId="0" xfId="0" applyFont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1" fontId="20" fillId="2" borderId="10" xfId="0" applyNumberFormat="1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18" fillId="3" borderId="0" xfId="0" applyFont="1" applyFill="1"/>
    <xf numFmtId="0" fontId="24" fillId="3" borderId="0" xfId="0" applyFont="1" applyFill="1"/>
    <xf numFmtId="3" fontId="17" fillId="3" borderId="0" xfId="0" applyNumberFormat="1" applyFont="1" applyFill="1"/>
    <xf numFmtId="3" fontId="18" fillId="3" borderId="0" xfId="0" applyNumberFormat="1" applyFont="1" applyFill="1"/>
    <xf numFmtId="0" fontId="25" fillId="0" borderId="0" xfId="0" applyFont="1" applyAlignment="1">
      <alignment horizontal="justify" vertical="center"/>
    </xf>
    <xf numFmtId="0" fontId="25" fillId="0" borderId="0" xfId="0" applyFont="1" applyAlignment="1">
      <alignment vertical="top"/>
    </xf>
    <xf numFmtId="0" fontId="26" fillId="3" borderId="0" xfId="0" applyFont="1" applyFill="1"/>
    <xf numFmtId="0" fontId="26" fillId="3" borderId="0" xfId="0" applyFont="1" applyFill="1" applyAlignment="1">
      <alignment vertical="distributed"/>
    </xf>
    <xf numFmtId="0" fontId="26" fillId="3" borderId="12" xfId="0" applyFont="1" applyFill="1" applyBorder="1" applyAlignment="1">
      <alignment horizontal="center" vertical="distributed"/>
    </xf>
    <xf numFmtId="49" fontId="28" fillId="0" borderId="9" xfId="0" applyNumberFormat="1" applyFont="1" applyBorder="1" applyAlignment="1">
      <alignment vertical="top" wrapText="1"/>
    </xf>
    <xf numFmtId="165" fontId="29" fillId="6" borderId="9" xfId="0" applyNumberFormat="1" applyFont="1" applyFill="1" applyBorder="1" applyAlignment="1">
      <alignment horizontal="right" vertical="top" wrapText="1"/>
    </xf>
    <xf numFmtId="164" fontId="29" fillId="6" borderId="9" xfId="0" applyNumberFormat="1" applyFont="1" applyFill="1" applyBorder="1" applyAlignment="1">
      <alignment horizontal="right" vertical="top" wrapText="1"/>
    </xf>
    <xf numFmtId="49" fontId="20" fillId="4" borderId="9" xfId="0" applyNumberFormat="1" applyFont="1" applyFill="1" applyBorder="1" applyAlignment="1">
      <alignment vertical="top" wrapText="1"/>
    </xf>
    <xf numFmtId="165" fontId="20" fillId="4" borderId="9" xfId="0" applyNumberFormat="1" applyFont="1" applyFill="1" applyBorder="1" applyAlignment="1">
      <alignment horizontal="right" vertical="top" wrapText="1"/>
    </xf>
    <xf numFmtId="164" fontId="20" fillId="4" borderId="9" xfId="0" applyNumberFormat="1" applyFont="1" applyFill="1" applyBorder="1" applyAlignment="1">
      <alignment horizontal="right" vertical="top" wrapText="1"/>
    </xf>
    <xf numFmtId="0" fontId="30" fillId="3" borderId="0" xfId="0" applyFont="1" applyFill="1"/>
    <xf numFmtId="3" fontId="30" fillId="3" borderId="0" xfId="0" applyNumberFormat="1" applyFont="1" applyFill="1"/>
    <xf numFmtId="49" fontId="20" fillId="4" borderId="9" xfId="0" applyNumberFormat="1" applyFont="1" applyFill="1" applyBorder="1" applyAlignment="1">
      <alignment vertical="center" wrapText="1"/>
    </xf>
    <xf numFmtId="3" fontId="20" fillId="4" borderId="9" xfId="0" applyNumberFormat="1" applyFont="1" applyFill="1" applyBorder="1" applyAlignment="1">
      <alignment horizontal="right" vertical="center" wrapText="1"/>
    </xf>
    <xf numFmtId="0" fontId="28" fillId="3" borderId="9" xfId="0" applyFont="1" applyFill="1" applyBorder="1"/>
    <xf numFmtId="49" fontId="20" fillId="7" borderId="9" xfId="0" applyNumberFormat="1" applyFont="1" applyFill="1" applyBorder="1" applyAlignment="1">
      <alignment vertical="center" wrapText="1"/>
    </xf>
    <xf numFmtId="3" fontId="20" fillId="7" borderId="9" xfId="0" applyNumberFormat="1" applyFont="1" applyFill="1" applyBorder="1" applyAlignment="1">
      <alignment horizontal="right" vertical="center" wrapText="1"/>
    </xf>
    <xf numFmtId="164" fontId="20" fillId="7" borderId="9" xfId="0" applyNumberFormat="1" applyFont="1" applyFill="1" applyBorder="1" applyAlignment="1">
      <alignment horizontal="right" vertical="center" wrapText="1"/>
    </xf>
    <xf numFmtId="165" fontId="20" fillId="7" borderId="9" xfId="0" applyNumberFormat="1" applyFont="1" applyFill="1" applyBorder="1" applyAlignment="1">
      <alignment horizontal="right" vertical="top" wrapText="1"/>
    </xf>
    <xf numFmtId="49" fontId="20" fillId="7" borderId="9" xfId="0" applyNumberFormat="1" applyFont="1" applyFill="1" applyBorder="1" applyAlignment="1">
      <alignment vertical="top" wrapText="1"/>
    </xf>
    <xf numFmtId="164" fontId="20" fillId="7" borderId="9" xfId="0" applyNumberFormat="1" applyFont="1" applyFill="1" applyBorder="1" applyAlignment="1">
      <alignment horizontal="right" vertical="top" wrapText="1"/>
    </xf>
    <xf numFmtId="0" fontId="29" fillId="0" borderId="9" xfId="0" applyFont="1" applyBorder="1" applyAlignment="1">
      <alignment vertical="center" wrapText="1"/>
    </xf>
    <xf numFmtId="0" fontId="20" fillId="7" borderId="9" xfId="0" applyFont="1" applyFill="1" applyBorder="1" applyAlignment="1">
      <alignment vertical="center" wrapText="1"/>
    </xf>
    <xf numFmtId="0" fontId="20" fillId="4" borderId="9" xfId="0" applyFont="1" applyFill="1" applyBorder="1" applyAlignment="1">
      <alignment vertical="center" wrapText="1"/>
    </xf>
    <xf numFmtId="0" fontId="27" fillId="5" borderId="10" xfId="3" applyFont="1" applyFill="1" applyBorder="1" applyAlignment="1">
      <alignment horizontal="center" vertical="center" wrapText="1"/>
    </xf>
    <xf numFmtId="0" fontId="15" fillId="0" borderId="4" xfId="1" applyFont="1" applyBorder="1" applyAlignment="1">
      <alignment horizontal="left"/>
    </xf>
    <xf numFmtId="0" fontId="15" fillId="0" borderId="0" xfId="1" applyFont="1" applyBorder="1" applyAlignment="1">
      <alignment horizontal="left"/>
    </xf>
    <xf numFmtId="0" fontId="13" fillId="2" borderId="1" xfId="0" applyFont="1" applyFill="1" applyBorder="1" applyAlignment="1">
      <alignment horizontal="center" wrapText="1"/>
    </xf>
    <xf numFmtId="0" fontId="13" fillId="2" borderId="2" xfId="0" applyFont="1" applyFill="1" applyBorder="1" applyAlignment="1">
      <alignment horizontal="center" wrapText="1"/>
    </xf>
    <xf numFmtId="0" fontId="13" fillId="2" borderId="3" xfId="0" applyFont="1" applyFill="1" applyBorder="1" applyAlignment="1">
      <alignment horizontal="center" wrapText="1"/>
    </xf>
    <xf numFmtId="0" fontId="14" fillId="0" borderId="4" xfId="0" applyFont="1" applyBorder="1" applyAlignment="1">
      <alignment horizontal="left" wrapText="1"/>
    </xf>
    <xf numFmtId="0" fontId="14" fillId="0" borderId="0" xfId="0" applyFont="1" applyAlignment="1">
      <alignment horizontal="left" wrapText="1"/>
    </xf>
    <xf numFmtId="0" fontId="14" fillId="0" borderId="5" xfId="0" applyFont="1" applyBorder="1" applyAlignment="1">
      <alignment horizontal="left" wrapText="1"/>
    </xf>
    <xf numFmtId="0" fontId="15" fillId="0" borderId="5" xfId="1" applyFont="1" applyBorder="1" applyAlignment="1">
      <alignment horizontal="left"/>
    </xf>
    <xf numFmtId="0" fontId="23" fillId="0" borderId="0" xfId="0" applyFont="1" applyAlignment="1">
      <alignment horizontal="center" vertical="center" wrapText="1"/>
    </xf>
    <xf numFmtId="49" fontId="20" fillId="4" borderId="15" xfId="0" applyNumberFormat="1" applyFont="1" applyFill="1" applyBorder="1" applyAlignment="1">
      <alignment horizontal="center" vertical="top" wrapText="1"/>
    </xf>
    <xf numFmtId="49" fontId="20" fillId="4" borderId="16" xfId="0" applyNumberFormat="1" applyFont="1" applyFill="1" applyBorder="1" applyAlignment="1">
      <alignment horizontal="center" vertical="top" wrapText="1"/>
    </xf>
    <xf numFmtId="49" fontId="28" fillId="0" borderId="10" xfId="0" applyNumberFormat="1" applyFont="1" applyBorder="1" applyAlignment="1">
      <alignment horizontal="center" vertical="center" wrapText="1"/>
    </xf>
    <xf numFmtId="49" fontId="28" fillId="0" borderId="14" xfId="0" applyNumberFormat="1" applyFont="1" applyBorder="1" applyAlignment="1">
      <alignment horizontal="center" vertical="center" wrapText="1"/>
    </xf>
    <xf numFmtId="49" fontId="28" fillId="0" borderId="13" xfId="0" applyNumberFormat="1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20" fillId="4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0" fontId="18" fillId="3" borderId="0" xfId="0" applyFont="1" applyFill="1" applyAlignment="1">
      <alignment horizontal="center" wrapText="1"/>
    </xf>
    <xf numFmtId="0" fontId="26" fillId="3" borderId="0" xfId="0" applyFont="1" applyFill="1" applyAlignment="1">
      <alignment horizontal="center" vertical="center" wrapText="1"/>
    </xf>
    <xf numFmtId="0" fontId="26" fillId="3" borderId="0" xfId="0" applyFont="1" applyFill="1" applyAlignment="1">
      <alignment horizontal="center" vertical="center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391241</xdr:colOff>
      <xdr:row>1</xdr:row>
      <xdr:rowOff>183842</xdr:rowOff>
    </xdr:from>
    <xdr:to>
      <xdr:col>3</xdr:col>
      <xdr:colOff>903338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7391" y="7172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136666</xdr:colOff>
      <xdr:row>1</xdr:row>
      <xdr:rowOff>108781</xdr:rowOff>
    </xdr:from>
    <xdr:to>
      <xdr:col>1</xdr:col>
      <xdr:colOff>1136791</xdr:colOff>
      <xdr:row>2</xdr:row>
      <xdr:rowOff>140158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3F0064A-4D7A-4913-86C5-F5F0B7791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666" y="299281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448366</xdr:colOff>
      <xdr:row>1</xdr:row>
      <xdr:rowOff>102428</xdr:rowOff>
    </xdr:from>
    <xdr:to>
      <xdr:col>5</xdr:col>
      <xdr:colOff>267391</xdr:colOff>
      <xdr:row>3</xdr:row>
      <xdr:rowOff>189863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4282ED8-A25F-47D3-A4F3-FBC061DB5D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1516" y="292928"/>
          <a:ext cx="46672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57151</xdr:colOff>
      <xdr:row>1</xdr:row>
      <xdr:rowOff>0</xdr:rowOff>
    </xdr:from>
    <xdr:to>
      <xdr:col>1</xdr:col>
      <xdr:colOff>1057276</xdr:colOff>
      <xdr:row>2</xdr:row>
      <xdr:rowOff>31377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257B92A-D8BA-4829-9C52-684AF340D9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1" y="1905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405021</xdr:colOff>
      <xdr:row>1</xdr:row>
      <xdr:rowOff>49696</xdr:rowOff>
    </xdr:from>
    <xdr:to>
      <xdr:col>5</xdr:col>
      <xdr:colOff>224045</xdr:colOff>
      <xdr:row>3</xdr:row>
      <xdr:rowOff>137131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AFD403D-2A6F-49D4-B285-F961F5996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9" y="2401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7</xdr:row>
      <xdr:rowOff>171450</xdr:rowOff>
    </xdr:from>
    <xdr:to>
      <xdr:col>5</xdr:col>
      <xdr:colOff>92997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201143</xdr:colOff>
      <xdr:row>1</xdr:row>
      <xdr:rowOff>136665</xdr:rowOff>
    </xdr:from>
    <xdr:to>
      <xdr:col>1</xdr:col>
      <xdr:colOff>1201268</xdr:colOff>
      <xdr:row>2</xdr:row>
      <xdr:rowOff>168042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CE0F28D-C71F-4BAD-98D1-0A14AE3C4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43" y="327165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41413</xdr:rowOff>
    </xdr:from>
    <xdr:to>
      <xdr:col>5</xdr:col>
      <xdr:colOff>149501</xdr:colOff>
      <xdr:row>3</xdr:row>
      <xdr:rowOff>128848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2C2ED70-F531-4300-BF21-3EEDD55BD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9955" y="23191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14376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7</xdr:row>
      <xdr:rowOff>152400</xdr:rowOff>
    </xdr:from>
    <xdr:to>
      <xdr:col>5</xdr:col>
      <xdr:colOff>121572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7660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165464</xdr:colOff>
      <xdr:row>2</xdr:row>
      <xdr:rowOff>3187</xdr:rowOff>
    </xdr:from>
    <xdr:to>
      <xdr:col>1</xdr:col>
      <xdr:colOff>1165589</xdr:colOff>
      <xdr:row>3</xdr:row>
      <xdr:rowOff>34564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F9FF119-0E0F-44F6-A54C-ADD964767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464" y="38418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247650</xdr:colOff>
      <xdr:row>1</xdr:row>
      <xdr:rowOff>85587</xdr:rowOff>
    </xdr:from>
    <xdr:to>
      <xdr:col>5</xdr:col>
      <xdr:colOff>66675</xdr:colOff>
      <xdr:row>3</xdr:row>
      <xdr:rowOff>173022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46848B5-D91A-4266-B0EC-B4F4D1DFB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4585" y="27608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</a:t>
          </a:r>
          <a:r>
            <a:rPr lang="es-MX" sz="1000" baseline="0">
              <a:latin typeface="Noto Sans" panose="020B0502040504020204" pitchFamily="34" charset="0"/>
              <a:ea typeface="Noto Sans" panose="020B0502040504020204" pitchFamily="34" charset="0"/>
            </a:rPr>
            <a:t> LA </a:t>
          </a:r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CIUDAD DE MÉXICO POR ESTADO EN EE.UU.</a:t>
          </a:r>
        </a:p>
      </xdr:txBody>
    </xdr:sp>
    <xdr:clientData/>
  </xdr:twoCellAnchor>
  <xdr:twoCellAnchor>
    <xdr:from>
      <xdr:col>4</xdr:col>
      <xdr:colOff>447094</xdr:colOff>
      <xdr:row>7</xdr:row>
      <xdr:rowOff>27629</xdr:rowOff>
    </xdr:from>
    <xdr:to>
      <xdr:col>4</xdr:col>
      <xdr:colOff>959040</xdr:colOff>
      <xdr:row>7</xdr:row>
      <xdr:rowOff>218129</xdr:rowOff>
    </xdr:to>
    <xdr:sp macro="" textlink="">
      <xdr:nvSpPr>
        <xdr:cNvPr id="7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/>
      </xdr:nvSpPr>
      <xdr:spPr>
        <a:xfrm>
          <a:off x="5085036" y="1778764"/>
          <a:ext cx="51194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93382</xdr:colOff>
      <xdr:row>1</xdr:row>
      <xdr:rowOff>140584</xdr:rowOff>
    </xdr:from>
    <xdr:to>
      <xdr:col>2</xdr:col>
      <xdr:colOff>190703</xdr:colOff>
      <xdr:row>2</xdr:row>
      <xdr:rowOff>171961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DB2AFA9-06FB-4F0B-AA7F-D7D9761637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32" y="292984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548714</xdr:colOff>
      <xdr:row>1</xdr:row>
      <xdr:rowOff>123401</xdr:rowOff>
    </xdr:from>
    <xdr:to>
      <xdr:col>4</xdr:col>
      <xdr:colOff>988934</xdr:colOff>
      <xdr:row>3</xdr:row>
      <xdr:rowOff>210836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D702AC-331F-4CF5-930B-148FD257A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6464" y="27580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</a:t>
          </a:r>
          <a:r>
            <a:rPr lang="es-MX" sz="1000" baseline="0">
              <a:latin typeface="Noto Sans" panose="020B0502040504020204" pitchFamily="34" charset="0"/>
              <a:ea typeface="Noto Sans" panose="020B0502040504020204" pitchFamily="34" charset="0"/>
            </a:rPr>
            <a:t> LA </a:t>
          </a:r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CIUDAD DE MÉXICO EN LOS CONSULADOS DE MÉXICO EN EE.UU.</a:t>
          </a:r>
        </a:p>
      </xdr:txBody>
    </xdr:sp>
    <xdr:clientData/>
  </xdr:twoCellAnchor>
  <xdr:twoCellAnchor>
    <xdr:from>
      <xdr:col>4</xdr:col>
      <xdr:colOff>448879</xdr:colOff>
      <xdr:row>7</xdr:row>
      <xdr:rowOff>98534</xdr:rowOff>
    </xdr:from>
    <xdr:to>
      <xdr:col>4</xdr:col>
      <xdr:colOff>960976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783379" y="1432034"/>
          <a:ext cx="512097" cy="952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69240</xdr:rowOff>
    </xdr:from>
    <xdr:to>
      <xdr:col>2</xdr:col>
      <xdr:colOff>197053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3084BBF-331C-4D88-8CFC-27DD3E182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413497</xdr:colOff>
      <xdr:row>1</xdr:row>
      <xdr:rowOff>35622</xdr:rowOff>
    </xdr:from>
    <xdr:to>
      <xdr:col>4</xdr:col>
      <xdr:colOff>853717</xdr:colOff>
      <xdr:row>3</xdr:row>
      <xdr:rowOff>123057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AEF5C9D-D7CD-42CE-8B22-E354805D7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2732" y="1925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184150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6654799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158018</xdr:colOff>
      <xdr:row>1</xdr:row>
      <xdr:rowOff>151423</xdr:rowOff>
    </xdr:from>
    <xdr:to>
      <xdr:col>1</xdr:col>
      <xdr:colOff>1160214</xdr:colOff>
      <xdr:row>2</xdr:row>
      <xdr:rowOff>182800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CE51A38-C9EB-4F0E-8CE8-D9891B68C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018" y="341923"/>
          <a:ext cx="164989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254001</xdr:colOff>
      <xdr:row>1</xdr:row>
      <xdr:rowOff>79375</xdr:rowOff>
    </xdr:from>
    <xdr:to>
      <xdr:col>5</xdr:col>
      <xdr:colOff>46521</xdr:colOff>
      <xdr:row>3</xdr:row>
      <xdr:rowOff>166810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A5A1B2A-444D-46AC-A549-2542CB18E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1" y="26987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 LA CIUDAD DE MÉXICO POR NIVEL DE EDUCACIÓN Y ESTADO EN EE.UU.</a:t>
          </a:r>
        </a:p>
      </xdr:txBody>
    </xdr:sp>
    <xdr:clientData/>
  </xdr:twoCellAnchor>
  <xdr:twoCellAnchor>
    <xdr:from>
      <xdr:col>4</xdr:col>
      <xdr:colOff>505810</xdr:colOff>
      <xdr:row>7</xdr:row>
      <xdr:rowOff>78828</xdr:rowOff>
    </xdr:from>
    <xdr:to>
      <xdr:col>4</xdr:col>
      <xdr:colOff>1017907</xdr:colOff>
      <xdr:row>7</xdr:row>
      <xdr:rowOff>269328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43500" y="181960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122420</xdr:colOff>
      <xdr:row>1</xdr:row>
      <xdr:rowOff>153609</xdr:rowOff>
    </xdr:from>
    <xdr:to>
      <xdr:col>1</xdr:col>
      <xdr:colOff>1832365</xdr:colOff>
      <xdr:row>2</xdr:row>
      <xdr:rowOff>184986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99C87CD-1BC4-424C-BA31-527C94B0F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270" y="306009"/>
          <a:ext cx="170994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491191</xdr:colOff>
      <xdr:row>1</xdr:row>
      <xdr:rowOff>85302</xdr:rowOff>
    </xdr:from>
    <xdr:to>
      <xdr:col>4</xdr:col>
      <xdr:colOff>931411</xdr:colOff>
      <xdr:row>3</xdr:row>
      <xdr:rowOff>172737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32798C9-92B6-4A2A-B390-D999CA20E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37841" y="23770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 LA CIUDAD DE MÉXICO POR CONSULADO Y NIVEL DE EDUCACIÓN EN EE.UU.</a:t>
          </a:r>
        </a:p>
      </xdr:txBody>
    </xdr:sp>
    <xdr:clientData/>
  </xdr:twoCellAnchor>
  <xdr:twoCellAnchor>
    <xdr:from>
      <xdr:col>4</xdr:col>
      <xdr:colOff>456811</xdr:colOff>
      <xdr:row>7</xdr:row>
      <xdr:rowOff>106914</xdr:rowOff>
    </xdr:from>
    <xdr:to>
      <xdr:col>4</xdr:col>
      <xdr:colOff>968908</xdr:colOff>
      <xdr:row>7</xdr:row>
      <xdr:rowOff>297414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791311" y="1440414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104774</xdr:colOff>
      <xdr:row>1</xdr:row>
      <xdr:rowOff>87729</xdr:rowOff>
    </xdr:from>
    <xdr:to>
      <xdr:col>2</xdr:col>
      <xdr:colOff>202095</xdr:colOff>
      <xdr:row>2</xdr:row>
      <xdr:rowOff>119106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8836FC0-8019-4E33-8EC8-D329C006D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49" y="2401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495299</xdr:colOff>
      <xdr:row>1</xdr:row>
      <xdr:rowOff>21054</xdr:rowOff>
    </xdr:from>
    <xdr:to>
      <xdr:col>4</xdr:col>
      <xdr:colOff>935519</xdr:colOff>
      <xdr:row>3</xdr:row>
      <xdr:rowOff>108489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9C309C8-2DC3-4DB5-A71F-050F2D33D9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7349" y="1734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7</xdr:row>
      <xdr:rowOff>171450</xdr:rowOff>
    </xdr:from>
    <xdr:to>
      <xdr:col>5</xdr:col>
      <xdr:colOff>54897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91050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111308</xdr:colOff>
      <xdr:row>1</xdr:row>
      <xdr:rowOff>113728</xdr:rowOff>
    </xdr:from>
    <xdr:to>
      <xdr:col>1</xdr:col>
      <xdr:colOff>1111433</xdr:colOff>
      <xdr:row>2</xdr:row>
      <xdr:rowOff>145105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42DDF7F-F78A-43A2-BD83-32DDB2F0E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308" y="304228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405021</xdr:colOff>
      <xdr:row>1</xdr:row>
      <xdr:rowOff>57979</xdr:rowOff>
    </xdr:from>
    <xdr:to>
      <xdr:col>5</xdr:col>
      <xdr:colOff>224045</xdr:colOff>
      <xdr:row>3</xdr:row>
      <xdr:rowOff>145414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2E2CF67-2E0F-40A6-8FA4-D87506F36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9" y="2484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501881</xdr:colOff>
      <xdr:row>9</xdr:row>
      <xdr:rowOff>23039</xdr:rowOff>
    </xdr:from>
    <xdr:to>
      <xdr:col>4</xdr:col>
      <xdr:colOff>1037089</xdr:colOff>
      <xdr:row>10</xdr:row>
      <xdr:rowOff>19151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038603" y="1737539"/>
          <a:ext cx="535208" cy="18661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133350</xdr:colOff>
      <xdr:row>1</xdr:row>
      <xdr:rowOff>12262</xdr:rowOff>
    </xdr:from>
    <xdr:to>
      <xdr:col>2</xdr:col>
      <xdr:colOff>240196</xdr:colOff>
      <xdr:row>2</xdr:row>
      <xdr:rowOff>91264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D365BF3-DE5E-41BF-A068-5E406B15F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" y="202762"/>
          <a:ext cx="1623519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530469</xdr:colOff>
      <xdr:row>1</xdr:row>
      <xdr:rowOff>2004</xdr:rowOff>
    </xdr:from>
    <xdr:to>
      <xdr:col>4</xdr:col>
      <xdr:colOff>970689</xdr:colOff>
      <xdr:row>3</xdr:row>
      <xdr:rowOff>137064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00900A9-43AF-4061-8AA8-9EA85B32A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0681" y="192504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530808</xdr:colOff>
      <xdr:row>9</xdr:row>
      <xdr:rowOff>45617</xdr:rowOff>
    </xdr:from>
    <xdr:to>
      <xdr:col>4</xdr:col>
      <xdr:colOff>1063899</xdr:colOff>
      <xdr:row>10</xdr:row>
      <xdr:rowOff>41729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064708" y="1760117"/>
          <a:ext cx="533091" cy="18661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73716</xdr:colOff>
      <xdr:row>1</xdr:row>
      <xdr:rowOff>89111</xdr:rowOff>
    </xdr:from>
    <xdr:to>
      <xdr:col>2</xdr:col>
      <xdr:colOff>180562</xdr:colOff>
      <xdr:row>2</xdr:row>
      <xdr:rowOff>168113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B33E1D0-4F80-4C36-BE47-A4FDACEE27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3766" y="273261"/>
          <a:ext cx="1694346" cy="2060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609600</xdr:colOff>
      <xdr:row>1</xdr:row>
      <xdr:rowOff>27404</xdr:rowOff>
    </xdr:from>
    <xdr:to>
      <xdr:col>4</xdr:col>
      <xdr:colOff>1049820</xdr:colOff>
      <xdr:row>3</xdr:row>
      <xdr:rowOff>162464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F7A50E0-92B0-4F97-BCD5-7F2BDB1A75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11554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225778</xdr:colOff>
      <xdr:row>0</xdr:row>
      <xdr:rowOff>167809</xdr:rowOff>
    </xdr:from>
    <xdr:to>
      <xdr:col>5</xdr:col>
      <xdr:colOff>910872</xdr:colOff>
      <xdr:row>6</xdr:row>
      <xdr:rowOff>118180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225778" y="167809"/>
          <a:ext cx="647065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460419</xdr:colOff>
      <xdr:row>9</xdr:row>
      <xdr:rowOff>33955</xdr:rowOff>
    </xdr:from>
    <xdr:to>
      <xdr:col>5</xdr:col>
      <xdr:colOff>996946</xdr:colOff>
      <xdr:row>10</xdr:row>
      <xdr:rowOff>35939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245975" y="1748455"/>
          <a:ext cx="536527" cy="19248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307269</xdr:colOff>
      <xdr:row>2</xdr:row>
      <xdr:rowOff>13294</xdr:rowOff>
    </xdr:from>
    <xdr:to>
      <xdr:col>2</xdr:col>
      <xdr:colOff>97673</xdr:colOff>
      <xdr:row>3</xdr:row>
      <xdr:rowOff>21740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D7B5E04-0358-4558-BD16-BA5B4D9EF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269" y="323738"/>
          <a:ext cx="1688348" cy="198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404283</xdr:colOff>
      <xdr:row>1</xdr:row>
      <xdr:rowOff>53509</xdr:rowOff>
    </xdr:from>
    <xdr:to>
      <xdr:col>5</xdr:col>
      <xdr:colOff>844503</xdr:colOff>
      <xdr:row>3</xdr:row>
      <xdr:rowOff>181513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1ED6652-7B92-4DFB-A768-0D2219F5C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9839" y="236953"/>
          <a:ext cx="440220" cy="445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3</xdr:col>
      <xdr:colOff>1181652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46402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CIUDAD DE MÉXICO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629478</xdr:colOff>
      <xdr:row>8</xdr:row>
      <xdr:rowOff>182217</xdr:rowOff>
    </xdr:from>
    <xdr:to>
      <xdr:col>3</xdr:col>
      <xdr:colOff>1141575</xdr:colOff>
      <xdr:row>8</xdr:row>
      <xdr:rowOff>372717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69000" y="19160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178634</xdr:colOff>
      <xdr:row>1</xdr:row>
      <xdr:rowOff>136971</xdr:rowOff>
    </xdr:from>
    <xdr:to>
      <xdr:col>1</xdr:col>
      <xdr:colOff>1178759</xdr:colOff>
      <xdr:row>2</xdr:row>
      <xdr:rowOff>168348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086DAC-1782-460C-9D62-372C3E1DF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634" y="32747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603498</xdr:colOff>
      <xdr:row>1</xdr:row>
      <xdr:rowOff>143872</xdr:rowOff>
    </xdr:from>
    <xdr:to>
      <xdr:col>3</xdr:col>
      <xdr:colOff>1043718</xdr:colOff>
      <xdr:row>3</xdr:row>
      <xdr:rowOff>231307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D8FDCB0-FE26-4EF7-A867-F3A29AFF2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1609" y="33437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80" t="s">
        <v>358</v>
      </c>
      <c r="B1" s="81"/>
      <c r="C1" s="81"/>
      <c r="D1" s="82"/>
    </row>
    <row r="2" spans="1:4">
      <c r="A2" s="2"/>
      <c r="B2" s="3"/>
      <c r="C2" s="3"/>
      <c r="D2" s="4"/>
    </row>
    <row r="3" spans="1:4">
      <c r="A3" s="83" t="s">
        <v>0</v>
      </c>
      <c r="B3" s="84"/>
      <c r="C3" s="84"/>
      <c r="D3" s="85"/>
    </row>
    <row r="4" spans="1:4">
      <c r="A4" s="83"/>
      <c r="B4" s="84"/>
      <c r="C4" s="84"/>
      <c r="D4" s="85"/>
    </row>
    <row r="5" spans="1:4">
      <c r="A5" s="5"/>
      <c r="B5" s="6"/>
      <c r="C5" s="6"/>
      <c r="D5" s="7"/>
    </row>
    <row r="6" spans="1:4" ht="18.5">
      <c r="A6" s="78" t="s">
        <v>1</v>
      </c>
      <c r="B6" s="79"/>
      <c r="C6" s="79"/>
      <c r="D6" s="86"/>
    </row>
    <row r="7" spans="1:4">
      <c r="A7" s="8"/>
      <c r="D7" s="9"/>
    </row>
    <row r="8" spans="1:4" ht="18.5">
      <c r="A8" s="78" t="s">
        <v>2</v>
      </c>
      <c r="B8" s="79"/>
      <c r="C8" s="79"/>
      <c r="D8" s="86"/>
    </row>
    <row r="9" spans="1:4" ht="18.5">
      <c r="A9" s="8"/>
      <c r="B9" s="78" t="s">
        <v>3</v>
      </c>
      <c r="C9" s="79"/>
      <c r="D9" s="79"/>
    </row>
    <row r="10" spans="1:4">
      <c r="A10" s="8"/>
      <c r="D10" s="9"/>
    </row>
    <row r="11" spans="1:4" ht="18.5">
      <c r="A11" s="32" t="s">
        <v>4</v>
      </c>
      <c r="D11" s="9"/>
    </row>
    <row r="12" spans="1:4" ht="18.5">
      <c r="A12" s="8"/>
      <c r="B12" s="78" t="s">
        <v>5</v>
      </c>
      <c r="C12" s="79"/>
      <c r="D12" s="79"/>
    </row>
    <row r="13" spans="1:4" ht="18.5">
      <c r="A13" s="8"/>
      <c r="B13" s="78" t="s">
        <v>6</v>
      </c>
      <c r="C13" s="79"/>
      <c r="D13" s="79"/>
    </row>
    <row r="14" spans="1:4" ht="18.5">
      <c r="A14" s="8"/>
      <c r="B14" s="78" t="s">
        <v>7</v>
      </c>
      <c r="C14" s="79"/>
      <c r="D14" s="79"/>
    </row>
    <row r="15" spans="1:4">
      <c r="A15" s="8"/>
      <c r="D15" s="9"/>
    </row>
    <row r="16" spans="1:4" ht="18.5">
      <c r="A16" s="32" t="s">
        <v>8</v>
      </c>
      <c r="D16" s="9"/>
    </row>
    <row r="17" spans="1:4" ht="18.5">
      <c r="A17" s="8"/>
      <c r="B17" s="78" t="s">
        <v>9</v>
      </c>
      <c r="C17" s="79"/>
      <c r="D17" s="79"/>
    </row>
    <row r="18" spans="1:4" ht="18.5">
      <c r="A18" s="8"/>
      <c r="B18" s="78" t="s">
        <v>10</v>
      </c>
      <c r="C18" s="79"/>
      <c r="D18" s="79"/>
    </row>
    <row r="19" spans="1:4" ht="18.5">
      <c r="A19" s="8"/>
      <c r="B19" s="78" t="s">
        <v>11</v>
      </c>
      <c r="C19" s="79"/>
      <c r="D19" s="79"/>
    </row>
    <row r="20" spans="1:4" ht="18.5">
      <c r="A20" s="32"/>
      <c r="D20" s="9"/>
    </row>
    <row r="21" spans="1:4" ht="18.5">
      <c r="A21" s="32" t="s">
        <v>12</v>
      </c>
      <c r="D21" s="9"/>
    </row>
    <row r="22" spans="1:4" ht="18.5">
      <c r="A22" s="8"/>
      <c r="B22" s="78" t="s">
        <v>13</v>
      </c>
      <c r="C22" s="79"/>
      <c r="D22" s="79"/>
    </row>
    <row r="23" spans="1:4" ht="18.5">
      <c r="A23" s="8"/>
      <c r="B23" s="78" t="s">
        <v>34</v>
      </c>
      <c r="C23" s="79"/>
      <c r="D23" s="79"/>
    </row>
    <row r="24" spans="1:4" ht="18.5">
      <c r="A24" s="8"/>
      <c r="B24" s="78" t="s">
        <v>39</v>
      </c>
      <c r="C24" s="79"/>
      <c r="D24" s="79"/>
    </row>
    <row r="25" spans="1:4" ht="18.5">
      <c r="A25" s="78" t="s">
        <v>14</v>
      </c>
      <c r="B25" s="79"/>
      <c r="C25" s="79"/>
      <c r="D25" s="86"/>
    </row>
    <row r="26" spans="1:4">
      <c r="A26" s="8"/>
      <c r="D26" s="9"/>
    </row>
    <row r="27" spans="1:4" ht="18.5">
      <c r="A27" s="78" t="s">
        <v>15</v>
      </c>
      <c r="B27" s="79"/>
      <c r="C27" s="79"/>
      <c r="D27" s="86"/>
    </row>
    <row r="28" spans="1:4" ht="17" thickBot="1">
      <c r="A28" s="10"/>
      <c r="B28" s="11"/>
      <c r="C28" s="11"/>
      <c r="D28" s="12"/>
    </row>
  </sheetData>
  <mergeCells count="16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5" location="Aguascalientes_Gen_Edad!A1" display="6. Por estructura de Edad" xr:uid="{00000000-0004-0000-0000-00000B000000}"/>
    <hyperlink ref="A27" location="Aguascalientes_ocup_gral!A1" display="7. Por Ocupación" xr:uid="{00000000-0004-0000-0000-00000C000000}"/>
    <hyperlink ref="B13:D13" location="'Ciudad de México_USAMuni'!A1" display="3.2 Por Estado de USA" xr:uid="{00000000-0004-0000-0000-00000D000000}"/>
    <hyperlink ref="A8:D8" location="'Ciudad de México_Cons'!A1" display="2. Por Circunscripción Consular" xr:uid="{00000000-0004-0000-0000-00000E000000}"/>
    <hyperlink ref="B9:D9" location="'Ciudad de MéxicoXCons'!A1" display="2.1 Top ten por circunscripción consular" xr:uid="{00000000-0004-0000-0000-00000F000000}"/>
    <hyperlink ref="A6:D6" location="'Ciudad de México_EdoUsa'!A1" display="1. Por Estados de USA" xr:uid="{00000000-0004-0000-0000-000010000000}"/>
    <hyperlink ref="B12:D12" location="'Ciudad de México_EdoMun'!A1" display="3.1 Municipio general" xr:uid="{00000000-0004-0000-0000-000011000000}"/>
    <hyperlink ref="B14:D14" location="'Ciudad de México_MUNICIPIO'!A1" display="3.3 Por Circunscripción Consular" xr:uid="{00000000-0004-0000-0000-000012000000}"/>
    <hyperlink ref="B17:D17" location="'Ciudad de México_educ_gral'!A1" display="4.1 Educación general" xr:uid="{00000000-0004-0000-0000-000013000000}"/>
    <hyperlink ref="B18:D18" location="'Ciudad de México_NivelE_Cons'!A1" display="4.2 Por Estado de USA" xr:uid="{00000000-0004-0000-0000-000014000000}"/>
    <hyperlink ref="B19:D19" location="'Ciudad de México_EducCons'!A1" display="4.3 Por Circunscripción Consular" xr:uid="{00000000-0004-0000-0000-000015000000}"/>
    <hyperlink ref="B22:D22" location="'Ciudad de México_GenGral'!A1" display="5.1 Género General" xr:uid="{00000000-0004-0000-0000-000016000000}"/>
    <hyperlink ref="B23:D23" location="'Ciudad de México_GENERO'!A1" display="5.2 Por Circunscripción Consular" xr:uid="{00000000-0004-0000-0000-000017000000}"/>
    <hyperlink ref="A25:D25" location="'Ciudad de México_Gen_Edad'!A1" display="6. Por estructura de Edad" xr:uid="{00000000-0004-0000-0000-000018000000}"/>
    <hyperlink ref="A27:D27" location="'Ciudad de México_ocup_gral'!A1" display="7. Por Ocupación" xr:uid="{00000000-0004-0000-0000-000019000000}"/>
    <hyperlink ref="B24" location="'Ciudad de México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H69"/>
  <sheetViews>
    <sheetView showGridLines="0" view="pageBreakPreview" topLeftCell="A50" zoomScaleNormal="100" zoomScaleSheetLayoutView="100" workbookViewId="0">
      <selection activeCell="B65" sqref="B65"/>
    </sheetView>
  </sheetViews>
  <sheetFormatPr baseColWidth="10" defaultColWidth="11.453125" defaultRowHeight="14.5"/>
  <cols>
    <col min="1" max="1" width="9.26953125" style="13" customWidth="1"/>
    <col min="2" max="2" width="25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8" s="18" customFormat="1" ht="15" customHeight="1">
      <c r="C1" s="21"/>
    </row>
    <row r="2" spans="2:8" s="18" customFormat="1" ht="15" customHeight="1">
      <c r="C2" s="21"/>
    </row>
    <row r="3" spans="2:8" s="18" customFormat="1" ht="15" customHeight="1">
      <c r="C3" s="21"/>
    </row>
    <row r="4" spans="2:8" s="18" customFormat="1" ht="30" customHeight="1">
      <c r="C4" s="21"/>
      <c r="D4" s="20"/>
    </row>
    <row r="5" spans="2:8" s="18" customFormat="1" ht="15" customHeight="1">
      <c r="C5" s="21"/>
      <c r="D5" s="20"/>
      <c r="H5" s="18" t="s">
        <v>357</v>
      </c>
    </row>
    <row r="6" spans="2:8" s="18" customFormat="1" ht="15" customHeight="1">
      <c r="C6" s="21"/>
      <c r="D6" s="20"/>
    </row>
    <row r="7" spans="2:8" s="18" customFormat="1" ht="15" customHeight="1">
      <c r="B7" s="87" t="s">
        <v>38</v>
      </c>
      <c r="C7" s="87"/>
      <c r="D7" s="87"/>
    </row>
    <row r="8" spans="2:8" s="18" customFormat="1" ht="15" customHeight="1">
      <c r="B8" s="87"/>
      <c r="C8" s="87"/>
      <c r="D8" s="87"/>
    </row>
    <row r="9" spans="2:8" s="18" customFormat="1" ht="33" customHeight="1">
      <c r="B9" s="87"/>
      <c r="C9" s="87"/>
      <c r="D9" s="87"/>
    </row>
    <row r="10" spans="2:8" s="18" customFormat="1" ht="4.5" customHeight="1">
      <c r="B10" s="19"/>
      <c r="C10" s="19"/>
      <c r="D10" s="19"/>
    </row>
    <row r="11" spans="2:8" s="18" customFormat="1" ht="33" customHeight="1">
      <c r="B11" s="45" t="s">
        <v>20</v>
      </c>
      <c r="C11" s="46" t="s">
        <v>19</v>
      </c>
      <c r="D11" s="47" t="s">
        <v>18</v>
      </c>
      <c r="H11" s="18" t="s">
        <v>357</v>
      </c>
    </row>
    <row r="12" spans="2:8">
      <c r="B12" s="57" t="s">
        <v>133</v>
      </c>
      <c r="C12" s="58">
        <v>11595</v>
      </c>
      <c r="D12" s="59">
        <v>0.31097462854690799</v>
      </c>
    </row>
    <row r="13" spans="2:8">
      <c r="B13" s="57" t="s">
        <v>134</v>
      </c>
      <c r="C13" s="58">
        <v>6506</v>
      </c>
      <c r="D13" s="59">
        <v>0.17448908437483199</v>
      </c>
    </row>
    <row r="14" spans="2:8">
      <c r="B14" s="57" t="s">
        <v>135</v>
      </c>
      <c r="C14" s="58">
        <v>4524</v>
      </c>
      <c r="D14" s="59">
        <v>0.12133240358311401</v>
      </c>
    </row>
    <row r="15" spans="2:8">
      <c r="B15" s="57" t="s">
        <v>136</v>
      </c>
      <c r="C15" s="58">
        <v>1487</v>
      </c>
      <c r="D15" s="59">
        <v>3.9880920452717003E-2</v>
      </c>
    </row>
    <row r="16" spans="2:8">
      <c r="B16" s="57" t="s">
        <v>137</v>
      </c>
      <c r="C16" s="58">
        <v>1121</v>
      </c>
      <c r="D16" s="59">
        <v>3.0064903717213001E-2</v>
      </c>
    </row>
    <row r="17" spans="2:4">
      <c r="B17" s="57" t="s">
        <v>138</v>
      </c>
      <c r="C17" s="58">
        <v>1007</v>
      </c>
      <c r="D17" s="59">
        <v>2.7007455881563999E-2</v>
      </c>
    </row>
    <row r="18" spans="2:4">
      <c r="B18" s="57" t="s">
        <v>139</v>
      </c>
      <c r="C18" s="58">
        <v>956</v>
      </c>
      <c r="D18" s="59">
        <v>2.5639650270879E-2</v>
      </c>
    </row>
    <row r="19" spans="2:4">
      <c r="B19" s="57" t="s">
        <v>140</v>
      </c>
      <c r="C19" s="58">
        <v>899</v>
      </c>
      <c r="D19" s="59">
        <v>2.4110926353055E-2</v>
      </c>
    </row>
    <row r="20" spans="2:4">
      <c r="B20" s="57" t="s">
        <v>141</v>
      </c>
      <c r="C20" s="58">
        <v>709</v>
      </c>
      <c r="D20" s="59">
        <v>1.9015179960307001E-2</v>
      </c>
    </row>
    <row r="21" spans="2:4">
      <c r="B21" s="57" t="s">
        <v>142</v>
      </c>
      <c r="C21" s="58">
        <v>689</v>
      </c>
      <c r="D21" s="59">
        <v>1.8478785603175001E-2</v>
      </c>
    </row>
    <row r="22" spans="2:4">
      <c r="B22" s="57" t="s">
        <v>143</v>
      </c>
      <c r="C22" s="58">
        <v>612</v>
      </c>
      <c r="D22" s="59">
        <v>1.641366732822E-2</v>
      </c>
    </row>
    <row r="23" spans="2:4">
      <c r="B23" s="57" t="s">
        <v>144</v>
      </c>
      <c r="C23" s="58">
        <v>543</v>
      </c>
      <c r="D23" s="59">
        <v>1.4563106796117E-2</v>
      </c>
    </row>
    <row r="24" spans="2:4">
      <c r="B24" s="57" t="s">
        <v>145</v>
      </c>
      <c r="C24" s="58">
        <v>530</v>
      </c>
      <c r="D24" s="59">
        <v>1.4214450463980999E-2</v>
      </c>
    </row>
    <row r="25" spans="2:4">
      <c r="B25" s="57" t="s">
        <v>146</v>
      </c>
      <c r="C25" s="58">
        <v>493</v>
      </c>
      <c r="D25" s="59">
        <v>1.3222120903288E-2</v>
      </c>
    </row>
    <row r="26" spans="2:4">
      <c r="B26" s="57" t="s">
        <v>147</v>
      </c>
      <c r="C26" s="58">
        <v>470</v>
      </c>
      <c r="D26" s="59">
        <v>1.2605267392586999E-2</v>
      </c>
    </row>
    <row r="27" spans="2:4">
      <c r="B27" s="57" t="s">
        <v>148</v>
      </c>
      <c r="C27" s="58">
        <v>399</v>
      </c>
      <c r="D27" s="59">
        <v>1.0701067424770999E-2</v>
      </c>
    </row>
    <row r="28" spans="2:4">
      <c r="B28" s="57" t="s">
        <v>149</v>
      </c>
      <c r="C28" s="58">
        <v>384</v>
      </c>
      <c r="D28" s="59">
        <v>1.0298771656921999E-2</v>
      </c>
    </row>
    <row r="29" spans="2:4">
      <c r="B29" s="57" t="s">
        <v>150</v>
      </c>
      <c r="C29" s="58">
        <v>345</v>
      </c>
      <c r="D29" s="59">
        <v>9.2528026605160005E-3</v>
      </c>
    </row>
    <row r="30" spans="2:4">
      <c r="B30" s="57" t="s">
        <v>151</v>
      </c>
      <c r="C30" s="58">
        <v>335</v>
      </c>
      <c r="D30" s="59">
        <v>8.9846054819500004E-3</v>
      </c>
    </row>
    <row r="31" spans="2:4">
      <c r="B31" s="57" t="s">
        <v>152</v>
      </c>
      <c r="C31" s="58">
        <v>334</v>
      </c>
      <c r="D31" s="59">
        <v>8.9577857640939992E-3</v>
      </c>
    </row>
    <row r="32" spans="2:4">
      <c r="B32" s="57" t="s">
        <v>153</v>
      </c>
      <c r="C32" s="58">
        <v>330</v>
      </c>
      <c r="D32" s="59">
        <v>8.8505068926670004E-3</v>
      </c>
    </row>
    <row r="33" spans="2:4">
      <c r="B33" s="57" t="s">
        <v>154</v>
      </c>
      <c r="C33" s="58">
        <v>325</v>
      </c>
      <c r="D33" s="59">
        <v>8.7164083033849996E-3</v>
      </c>
    </row>
    <row r="34" spans="2:4">
      <c r="B34" s="57" t="s">
        <v>155</v>
      </c>
      <c r="C34" s="58">
        <v>272</v>
      </c>
      <c r="D34" s="59">
        <v>7.2949632569870001E-3</v>
      </c>
    </row>
    <row r="35" spans="2:4">
      <c r="B35" s="57" t="s">
        <v>156</v>
      </c>
      <c r="C35" s="58">
        <v>252</v>
      </c>
      <c r="D35" s="59">
        <v>6.7585688998549999E-3</v>
      </c>
    </row>
    <row r="36" spans="2:4">
      <c r="B36" s="57" t="s">
        <v>157</v>
      </c>
      <c r="C36" s="58">
        <v>237</v>
      </c>
      <c r="D36" s="59">
        <v>6.3562731320069999E-3</v>
      </c>
    </row>
    <row r="37" spans="2:4">
      <c r="B37" s="57" t="s">
        <v>158</v>
      </c>
      <c r="C37" s="58">
        <v>211</v>
      </c>
      <c r="D37" s="59">
        <v>5.6589604677360003E-3</v>
      </c>
    </row>
    <row r="38" spans="2:4">
      <c r="B38" s="57" t="s">
        <v>159</v>
      </c>
      <c r="C38" s="58">
        <v>204</v>
      </c>
      <c r="D38" s="59">
        <v>5.4712224427399996E-3</v>
      </c>
    </row>
    <row r="39" spans="2:4">
      <c r="B39" s="57" t="s">
        <v>160</v>
      </c>
      <c r="C39" s="58">
        <v>194</v>
      </c>
      <c r="D39" s="59">
        <v>5.2030252641740004E-3</v>
      </c>
    </row>
    <row r="40" spans="2:4">
      <c r="B40" s="57" t="s">
        <v>161</v>
      </c>
      <c r="C40" s="58">
        <v>185</v>
      </c>
      <c r="D40" s="59">
        <v>4.9616478034649998E-3</v>
      </c>
    </row>
    <row r="41" spans="2:4">
      <c r="B41" s="57" t="s">
        <v>162</v>
      </c>
      <c r="C41" s="58">
        <v>168</v>
      </c>
      <c r="D41" s="59">
        <v>4.5057125999029999E-3</v>
      </c>
    </row>
    <row r="42" spans="2:4">
      <c r="B42" s="57" t="s">
        <v>163</v>
      </c>
      <c r="C42" s="58">
        <v>122</v>
      </c>
      <c r="D42" s="59">
        <v>3.2720055785009998E-3</v>
      </c>
    </row>
    <row r="43" spans="2:4">
      <c r="B43" s="57" t="s">
        <v>164</v>
      </c>
      <c r="C43" s="58">
        <v>119</v>
      </c>
      <c r="D43" s="59">
        <v>3.1915464249320001E-3</v>
      </c>
    </row>
    <row r="44" spans="2:4">
      <c r="B44" s="57" t="s">
        <v>165</v>
      </c>
      <c r="C44" s="58">
        <v>116</v>
      </c>
      <c r="D44" s="59">
        <v>3.1110872713619999E-3</v>
      </c>
    </row>
    <row r="45" spans="2:4">
      <c r="B45" s="57" t="s">
        <v>166</v>
      </c>
      <c r="C45" s="58">
        <v>90</v>
      </c>
      <c r="D45" s="59">
        <v>2.4137746070909999E-3</v>
      </c>
    </row>
    <row r="46" spans="2:4">
      <c r="B46" s="57" t="s">
        <v>167</v>
      </c>
      <c r="C46" s="58">
        <v>86</v>
      </c>
      <c r="D46" s="59">
        <v>2.3064957356649998E-3</v>
      </c>
    </row>
    <row r="47" spans="2:4">
      <c r="B47" s="57" t="s">
        <v>168</v>
      </c>
      <c r="C47" s="58">
        <v>85</v>
      </c>
      <c r="D47" s="59">
        <v>2.2796760178079999E-3</v>
      </c>
    </row>
    <row r="48" spans="2:4">
      <c r="B48" s="57" t="s">
        <v>169</v>
      </c>
      <c r="C48" s="58">
        <v>85</v>
      </c>
      <c r="D48" s="59">
        <v>2.2796760178079999E-3</v>
      </c>
    </row>
    <row r="49" spans="2:4">
      <c r="B49" s="57" t="s">
        <v>170</v>
      </c>
      <c r="C49" s="58">
        <v>83</v>
      </c>
      <c r="D49" s="59">
        <v>2.2260365820950001E-3</v>
      </c>
    </row>
    <row r="50" spans="2:4">
      <c r="B50" s="57" t="s">
        <v>171</v>
      </c>
      <c r="C50" s="58">
        <v>52</v>
      </c>
      <c r="D50" s="59">
        <v>1.3946253285420001E-3</v>
      </c>
    </row>
    <row r="51" spans="2:4">
      <c r="B51" s="57" t="s">
        <v>172</v>
      </c>
      <c r="C51" s="58">
        <v>43</v>
      </c>
      <c r="D51" s="59">
        <v>1.1532478678320001E-3</v>
      </c>
    </row>
    <row r="52" spans="2:4">
      <c r="B52" s="57" t="s">
        <v>173</v>
      </c>
      <c r="C52" s="58">
        <v>15</v>
      </c>
      <c r="D52" s="59">
        <v>4.0229576784899998E-4</v>
      </c>
    </row>
    <row r="53" spans="2:4">
      <c r="B53" s="57" t="s">
        <v>174</v>
      </c>
      <c r="C53" s="58">
        <v>15</v>
      </c>
      <c r="D53" s="59">
        <v>4.0229576784899998E-4</v>
      </c>
    </row>
    <row r="54" spans="2:4">
      <c r="B54" s="57" t="s">
        <v>175</v>
      </c>
      <c r="C54" s="58">
        <v>15</v>
      </c>
      <c r="D54" s="59">
        <v>4.0229576784899998E-4</v>
      </c>
    </row>
    <row r="55" spans="2:4">
      <c r="B55" s="57" t="s">
        <v>176</v>
      </c>
      <c r="C55" s="58">
        <v>12</v>
      </c>
      <c r="D55" s="59">
        <v>3.2183661427899999E-4</v>
      </c>
    </row>
    <row r="56" spans="2:4">
      <c r="B56" s="57" t="s">
        <v>177</v>
      </c>
      <c r="C56" s="58">
        <v>11</v>
      </c>
      <c r="D56" s="59">
        <v>2.9501689642199999E-4</v>
      </c>
    </row>
    <row r="57" spans="2:4">
      <c r="B57" s="57" t="s">
        <v>178</v>
      </c>
      <c r="C57" s="58">
        <v>8</v>
      </c>
      <c r="D57" s="59">
        <v>2.1455774285299999E-4</v>
      </c>
    </row>
    <row r="58" spans="2:4">
      <c r="B58" s="57" t="s">
        <v>179</v>
      </c>
      <c r="C58" s="58">
        <v>5</v>
      </c>
      <c r="D58" s="59">
        <v>1.34098589283E-4</v>
      </c>
    </row>
    <row r="59" spans="2:4">
      <c r="B59" s="57" t="s">
        <v>180</v>
      </c>
      <c r="C59" s="58">
        <v>4</v>
      </c>
      <c r="D59" s="59">
        <v>1.07278871426E-4</v>
      </c>
    </row>
    <row r="60" spans="2:4">
      <c r="B60" s="57" t="s">
        <v>181</v>
      </c>
      <c r="C60" s="58">
        <v>2</v>
      </c>
      <c r="D60" s="59">
        <v>5.3639435713000001E-5</v>
      </c>
    </row>
    <row r="61" spans="2:4">
      <c r="B61" s="57" t="s">
        <v>182</v>
      </c>
      <c r="C61" s="58">
        <v>1</v>
      </c>
      <c r="D61" s="59">
        <v>2.6819717857000001E-5</v>
      </c>
    </row>
    <row r="62" spans="2:4">
      <c r="B62" s="57" t="s">
        <v>183</v>
      </c>
      <c r="C62" s="58">
        <v>1</v>
      </c>
      <c r="D62" s="59">
        <v>2.6819717857000001E-5</v>
      </c>
    </row>
    <row r="63" spans="2:4">
      <c r="B63" s="60" t="s">
        <v>351</v>
      </c>
      <c r="C63" s="61">
        <v>37286</v>
      </c>
      <c r="D63" s="62">
        <v>1</v>
      </c>
    </row>
    <row r="64" spans="2:4">
      <c r="B64" s="16"/>
    </row>
    <row r="65" spans="2:5" ht="16.5">
      <c r="B65" s="40" t="s">
        <v>132</v>
      </c>
      <c r="C65" s="51"/>
      <c r="D65" s="48"/>
      <c r="E65" s="48"/>
    </row>
    <row r="66" spans="2:5" ht="16.5">
      <c r="B66" s="41" t="s">
        <v>17</v>
      </c>
      <c r="C66" s="51"/>
      <c r="D66" s="48"/>
      <c r="E66" s="48"/>
    </row>
    <row r="67" spans="2:5" ht="16.5">
      <c r="B67" s="42" t="s">
        <v>46</v>
      </c>
      <c r="C67" s="51"/>
      <c r="D67" s="48"/>
      <c r="E67" s="48"/>
    </row>
    <row r="68" spans="2:5" ht="16.5">
      <c r="B68" s="40" t="s">
        <v>16</v>
      </c>
      <c r="C68" s="51"/>
      <c r="D68" s="48"/>
      <c r="E68" s="48"/>
    </row>
    <row r="69" spans="2:5" ht="16.5">
      <c r="B69" s="40" t="s">
        <v>352</v>
      </c>
      <c r="C69" s="51"/>
      <c r="D69" s="48"/>
      <c r="E69" s="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71"/>
  <sheetViews>
    <sheetView showGridLines="0" view="pageBreakPreview" topLeftCell="A54" zoomScaleNormal="100" zoomScaleSheetLayoutView="100" workbookViewId="0">
      <selection activeCell="B66" sqref="B66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87" t="s">
        <v>37</v>
      </c>
      <c r="C7" s="87"/>
      <c r="D7" s="87"/>
    </row>
    <row r="8" spans="2:4" s="18" customFormat="1" ht="15" customHeight="1">
      <c r="B8" s="87"/>
      <c r="C8" s="87"/>
      <c r="D8" s="87"/>
    </row>
    <row r="9" spans="2:4" s="18" customFormat="1" ht="33" customHeight="1">
      <c r="B9" s="87"/>
      <c r="C9" s="87"/>
      <c r="D9" s="87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45" t="s">
        <v>21</v>
      </c>
      <c r="C11" s="46" t="s">
        <v>19</v>
      </c>
      <c r="D11" s="47" t="s">
        <v>18</v>
      </c>
    </row>
    <row r="12" spans="2:4">
      <c r="B12" s="57" t="s">
        <v>47</v>
      </c>
      <c r="C12" s="58">
        <v>5168</v>
      </c>
      <c r="D12" s="59">
        <v>0.138604301882744</v>
      </c>
    </row>
    <row r="13" spans="2:4">
      <c r="B13" s="57" t="s">
        <v>48</v>
      </c>
      <c r="C13" s="58">
        <v>4817</v>
      </c>
      <c r="D13" s="59">
        <v>0.129190580915089</v>
      </c>
    </row>
    <row r="14" spans="2:4">
      <c r="B14" s="57" t="s">
        <v>49</v>
      </c>
      <c r="C14" s="58">
        <v>2574</v>
      </c>
      <c r="D14" s="59">
        <v>6.9033953762805994E-2</v>
      </c>
    </row>
    <row r="15" spans="2:4">
      <c r="B15" s="57" t="s">
        <v>50</v>
      </c>
      <c r="C15" s="58">
        <v>2301</v>
      </c>
      <c r="D15" s="59">
        <v>6.1712170787962997E-2</v>
      </c>
    </row>
    <row r="16" spans="2:4">
      <c r="B16" s="57" t="s">
        <v>51</v>
      </c>
      <c r="C16" s="58">
        <v>1740</v>
      </c>
      <c r="D16" s="59">
        <v>4.6666309070428999E-2</v>
      </c>
    </row>
    <row r="17" spans="2:4">
      <c r="B17" s="57" t="s">
        <v>54</v>
      </c>
      <c r="C17" s="58">
        <v>1707</v>
      </c>
      <c r="D17" s="59">
        <v>4.5781258381162003E-2</v>
      </c>
    </row>
    <row r="18" spans="2:4">
      <c r="B18" s="57" t="s">
        <v>52</v>
      </c>
      <c r="C18" s="58">
        <v>1431</v>
      </c>
      <c r="D18" s="59">
        <v>3.8379016252748997E-2</v>
      </c>
    </row>
    <row r="19" spans="2:4">
      <c r="B19" s="57" t="s">
        <v>53</v>
      </c>
      <c r="C19" s="58">
        <v>1420</v>
      </c>
      <c r="D19" s="59">
        <v>3.8083999356327003E-2</v>
      </c>
    </row>
    <row r="20" spans="2:4">
      <c r="B20" s="57" t="s">
        <v>56</v>
      </c>
      <c r="C20" s="58">
        <v>1164</v>
      </c>
      <c r="D20" s="59">
        <v>3.1218151585045002E-2</v>
      </c>
    </row>
    <row r="21" spans="2:4">
      <c r="B21" s="57" t="s">
        <v>58</v>
      </c>
      <c r="C21" s="58">
        <v>915</v>
      </c>
      <c r="D21" s="59">
        <v>2.4540041838760001E-2</v>
      </c>
    </row>
    <row r="22" spans="2:4">
      <c r="B22" s="57" t="s">
        <v>55</v>
      </c>
      <c r="C22" s="58">
        <v>908</v>
      </c>
      <c r="D22" s="59">
        <v>2.4352303813763999E-2</v>
      </c>
    </row>
    <row r="23" spans="2:4">
      <c r="B23" s="57" t="s">
        <v>65</v>
      </c>
      <c r="C23" s="58">
        <v>751</v>
      </c>
      <c r="D23" s="59">
        <v>2.0141608110283E-2</v>
      </c>
    </row>
    <row r="24" spans="2:4">
      <c r="B24" s="57" t="s">
        <v>70</v>
      </c>
      <c r="C24" s="58">
        <v>684</v>
      </c>
      <c r="D24" s="59">
        <v>1.8344687013893E-2</v>
      </c>
    </row>
    <row r="25" spans="2:4">
      <c r="B25" s="57" t="s">
        <v>57</v>
      </c>
      <c r="C25" s="58">
        <v>668</v>
      </c>
      <c r="D25" s="59">
        <v>1.7915571528187998E-2</v>
      </c>
    </row>
    <row r="26" spans="2:4">
      <c r="B26" s="57" t="s">
        <v>64</v>
      </c>
      <c r="C26" s="58">
        <v>659</v>
      </c>
      <c r="D26" s="59">
        <v>1.7674194067478E-2</v>
      </c>
    </row>
    <row r="27" spans="2:4">
      <c r="B27" s="57" t="s">
        <v>67</v>
      </c>
      <c r="C27" s="58">
        <v>653</v>
      </c>
      <c r="D27" s="59">
        <v>1.7513275760338998E-2</v>
      </c>
    </row>
    <row r="28" spans="2:4">
      <c r="B28" s="57" t="s">
        <v>62</v>
      </c>
      <c r="C28" s="58">
        <v>606</v>
      </c>
      <c r="D28" s="59">
        <v>1.6252749021079999E-2</v>
      </c>
    </row>
    <row r="29" spans="2:4">
      <c r="B29" s="57" t="s">
        <v>69</v>
      </c>
      <c r="C29" s="58">
        <v>576</v>
      </c>
      <c r="D29" s="59">
        <v>1.5448157485383E-2</v>
      </c>
    </row>
    <row r="30" spans="2:4">
      <c r="B30" s="57" t="s">
        <v>60</v>
      </c>
      <c r="C30" s="58">
        <v>576</v>
      </c>
      <c r="D30" s="59">
        <v>1.5448157485383E-2</v>
      </c>
    </row>
    <row r="31" spans="2:4">
      <c r="B31" s="57" t="s">
        <v>63</v>
      </c>
      <c r="C31" s="58">
        <v>553</v>
      </c>
      <c r="D31" s="59">
        <v>1.4831303974682001E-2</v>
      </c>
    </row>
    <row r="32" spans="2:4">
      <c r="B32" s="57" t="s">
        <v>73</v>
      </c>
      <c r="C32" s="58">
        <v>520</v>
      </c>
      <c r="D32" s="59">
        <v>1.3946253285414999E-2</v>
      </c>
    </row>
    <row r="33" spans="2:4">
      <c r="B33" s="57" t="s">
        <v>72</v>
      </c>
      <c r="C33" s="58">
        <v>487</v>
      </c>
      <c r="D33" s="59">
        <v>1.3061202596148999E-2</v>
      </c>
    </row>
    <row r="34" spans="2:4">
      <c r="B34" s="57" t="s">
        <v>71</v>
      </c>
      <c r="C34" s="58">
        <v>476</v>
      </c>
      <c r="D34" s="59">
        <v>1.2766185699726E-2</v>
      </c>
    </row>
    <row r="35" spans="2:4">
      <c r="B35" s="57" t="s">
        <v>61</v>
      </c>
      <c r="C35" s="58">
        <v>467</v>
      </c>
      <c r="D35" s="59">
        <v>1.2524808239017001E-2</v>
      </c>
    </row>
    <row r="36" spans="2:4">
      <c r="B36" s="57" t="s">
        <v>59</v>
      </c>
      <c r="C36" s="58">
        <v>455</v>
      </c>
      <c r="D36" s="59">
        <v>1.2202971624739E-2</v>
      </c>
    </row>
    <row r="37" spans="2:4">
      <c r="B37" s="57" t="s">
        <v>68</v>
      </c>
      <c r="C37" s="58">
        <v>453</v>
      </c>
      <c r="D37" s="59">
        <v>1.2149332189024999E-2</v>
      </c>
    </row>
    <row r="38" spans="2:4">
      <c r="B38" s="57" t="s">
        <v>66</v>
      </c>
      <c r="C38" s="58">
        <v>440</v>
      </c>
      <c r="D38" s="59">
        <v>1.180067585689E-2</v>
      </c>
    </row>
    <row r="39" spans="2:4">
      <c r="B39" s="57" t="s">
        <v>74</v>
      </c>
      <c r="C39" s="58">
        <v>433</v>
      </c>
      <c r="D39" s="59">
        <v>1.1612937831894E-2</v>
      </c>
    </row>
    <row r="40" spans="2:4">
      <c r="B40" s="57" t="s">
        <v>77</v>
      </c>
      <c r="C40" s="58">
        <v>411</v>
      </c>
      <c r="D40" s="59">
        <v>1.1022904039049999E-2</v>
      </c>
    </row>
    <row r="41" spans="2:4">
      <c r="B41" s="57" t="s">
        <v>75</v>
      </c>
      <c r="C41" s="58">
        <v>396</v>
      </c>
      <c r="D41" s="59">
        <v>1.0620608271200999E-2</v>
      </c>
    </row>
    <row r="42" spans="2:4">
      <c r="B42" s="57" t="s">
        <v>76</v>
      </c>
      <c r="C42" s="58">
        <v>365</v>
      </c>
      <c r="D42" s="59">
        <v>9.7891970176469997E-3</v>
      </c>
    </row>
    <row r="43" spans="2:4">
      <c r="B43" s="57" t="s">
        <v>87</v>
      </c>
      <c r="C43" s="58">
        <v>318</v>
      </c>
      <c r="D43" s="59">
        <v>8.5286702783889997E-3</v>
      </c>
    </row>
    <row r="44" spans="2:4">
      <c r="B44" s="57" t="s">
        <v>81</v>
      </c>
      <c r="C44" s="58">
        <v>298</v>
      </c>
      <c r="D44" s="59">
        <v>7.9922759212569996E-3</v>
      </c>
    </row>
    <row r="45" spans="2:4">
      <c r="B45" s="57" t="s">
        <v>78</v>
      </c>
      <c r="C45" s="58">
        <v>278</v>
      </c>
      <c r="D45" s="59">
        <v>7.4558815641260004E-3</v>
      </c>
    </row>
    <row r="46" spans="2:4">
      <c r="B46" s="57" t="s">
        <v>79</v>
      </c>
      <c r="C46" s="58">
        <v>251</v>
      </c>
      <c r="D46" s="59">
        <v>6.7317491819989996E-3</v>
      </c>
    </row>
    <row r="47" spans="2:4">
      <c r="B47" s="57" t="s">
        <v>82</v>
      </c>
      <c r="C47" s="58">
        <v>236</v>
      </c>
      <c r="D47" s="59">
        <v>6.3294534141500004E-3</v>
      </c>
    </row>
    <row r="48" spans="2:4">
      <c r="B48" s="57" t="s">
        <v>80</v>
      </c>
      <c r="C48" s="58">
        <v>187</v>
      </c>
      <c r="D48" s="59">
        <v>5.0152872391779997E-3</v>
      </c>
    </row>
    <row r="49" spans="2:4">
      <c r="B49" s="57" t="s">
        <v>84</v>
      </c>
      <c r="C49" s="58">
        <v>186</v>
      </c>
      <c r="D49" s="59">
        <v>4.9884675213220002E-3</v>
      </c>
    </row>
    <row r="50" spans="2:4">
      <c r="B50" s="57" t="s">
        <v>83</v>
      </c>
      <c r="C50" s="58">
        <v>129</v>
      </c>
      <c r="D50" s="59">
        <v>3.4597436034970001E-3</v>
      </c>
    </row>
    <row r="51" spans="2:4">
      <c r="B51" s="57" t="s">
        <v>85</v>
      </c>
      <c r="C51" s="58">
        <v>128</v>
      </c>
      <c r="D51" s="59">
        <v>3.4329238856409998E-3</v>
      </c>
    </row>
    <row r="52" spans="2:4">
      <c r="B52" s="57" t="s">
        <v>88</v>
      </c>
      <c r="C52" s="58">
        <v>116</v>
      </c>
      <c r="D52" s="59">
        <v>3.1110872713619999E-3</v>
      </c>
    </row>
    <row r="53" spans="2:4">
      <c r="B53" s="57" t="s">
        <v>86</v>
      </c>
      <c r="C53" s="58">
        <v>98</v>
      </c>
      <c r="D53" s="59">
        <v>2.6283323499440001E-3</v>
      </c>
    </row>
    <row r="54" spans="2:4">
      <c r="B54" s="57" t="s">
        <v>89</v>
      </c>
      <c r="C54" s="58">
        <v>88</v>
      </c>
      <c r="D54" s="59">
        <v>2.3601351713780001E-3</v>
      </c>
    </row>
    <row r="55" spans="2:4">
      <c r="B55" s="57" t="s">
        <v>90</v>
      </c>
      <c r="C55" s="58">
        <v>87</v>
      </c>
      <c r="D55" s="59">
        <v>2.3333154535210001E-3</v>
      </c>
    </row>
    <row r="56" spans="2:4">
      <c r="B56" s="57" t="s">
        <v>91</v>
      </c>
      <c r="C56" s="58">
        <v>45</v>
      </c>
      <c r="D56" s="59">
        <v>1.206887303546E-3</v>
      </c>
    </row>
    <row r="57" spans="2:4">
      <c r="B57" s="57" t="s">
        <v>93</v>
      </c>
      <c r="C57" s="58">
        <v>29</v>
      </c>
      <c r="D57" s="59">
        <v>7.7777181783999995E-4</v>
      </c>
    </row>
    <row r="58" spans="2:4">
      <c r="B58" s="57" t="s">
        <v>94</v>
      </c>
      <c r="C58" s="58">
        <v>9</v>
      </c>
      <c r="D58" s="59">
        <v>2.4137746070900001E-4</v>
      </c>
    </row>
    <row r="59" spans="2:4">
      <c r="B59" s="57" t="s">
        <v>96</v>
      </c>
      <c r="C59" s="58">
        <v>8</v>
      </c>
      <c r="D59" s="59">
        <v>2.1455774285299999E-4</v>
      </c>
    </row>
    <row r="60" spans="2:4">
      <c r="B60" s="57" t="s">
        <v>97</v>
      </c>
      <c r="C60" s="58">
        <v>7</v>
      </c>
      <c r="D60" s="59">
        <v>1.8773802499599999E-4</v>
      </c>
    </row>
    <row r="61" spans="2:4">
      <c r="B61" s="57" t="s">
        <v>92</v>
      </c>
      <c r="C61" s="58">
        <v>7</v>
      </c>
      <c r="D61" s="59">
        <v>1.8773802499599999E-4</v>
      </c>
    </row>
    <row r="62" spans="2:4">
      <c r="B62" s="57" t="s">
        <v>95</v>
      </c>
      <c r="C62" s="58">
        <v>6</v>
      </c>
      <c r="D62" s="59">
        <v>1.6091830713899999E-4</v>
      </c>
    </row>
    <row r="63" spans="2:4">
      <c r="B63" s="57" t="s">
        <v>98</v>
      </c>
      <c r="C63" s="58">
        <v>1</v>
      </c>
      <c r="D63" s="59">
        <v>2.6819717857000001E-5</v>
      </c>
    </row>
    <row r="64" spans="2:4">
      <c r="B64" s="60" t="s">
        <v>351</v>
      </c>
      <c r="C64" s="61">
        <f>SUM(C12:C63)</f>
        <v>37286</v>
      </c>
      <c r="D64" s="62">
        <v>1</v>
      </c>
    </row>
    <row r="66" spans="1:6">
      <c r="A66" s="63"/>
      <c r="B66" s="40" t="s">
        <v>132</v>
      </c>
      <c r="C66" s="64"/>
      <c r="D66" s="63"/>
      <c r="E66" s="63"/>
      <c r="F66" s="63"/>
    </row>
    <row r="67" spans="1:6">
      <c r="A67" s="63"/>
      <c r="B67" s="41" t="s">
        <v>17</v>
      </c>
      <c r="C67" s="64"/>
      <c r="D67" s="63"/>
      <c r="E67" s="63"/>
      <c r="F67" s="63"/>
    </row>
    <row r="68" spans="1:6">
      <c r="A68" s="63"/>
      <c r="B68" s="42" t="s">
        <v>46</v>
      </c>
      <c r="C68" s="64"/>
      <c r="D68" s="63"/>
      <c r="E68" s="63"/>
      <c r="F68" s="63"/>
    </row>
    <row r="69" spans="1:6">
      <c r="A69" s="63"/>
      <c r="B69" s="40" t="s">
        <v>16</v>
      </c>
      <c r="C69" s="64"/>
      <c r="D69" s="63"/>
      <c r="E69" s="63"/>
      <c r="F69" s="63"/>
    </row>
    <row r="70" spans="1:6">
      <c r="A70" s="63"/>
      <c r="B70" s="40" t="s">
        <v>352</v>
      </c>
      <c r="C70" s="64"/>
      <c r="D70" s="63"/>
      <c r="E70" s="63"/>
      <c r="F70" s="63"/>
    </row>
    <row r="71" spans="1:6">
      <c r="C7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30"/>
  <sheetViews>
    <sheetView showGridLines="0" view="pageBreakPreview" topLeftCell="A12" zoomScaleNormal="100" zoomScaleSheetLayoutView="100" workbookViewId="0">
      <selection activeCell="B23" sqref="B2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7" width="6" style="13" customWidth="1"/>
    <col min="8" max="16384" width="11.453125" style="13"/>
  </cols>
  <sheetData>
    <row r="1" spans="1:4" s="18" customFormat="1" ht="15" customHeight="1">
      <c r="C1" s="21"/>
    </row>
    <row r="2" spans="1:4" s="18" customFormat="1" ht="15" customHeight="1">
      <c r="C2" s="21"/>
    </row>
    <row r="3" spans="1:4" s="18" customFormat="1" ht="15" customHeight="1">
      <c r="C3" s="21"/>
    </row>
    <row r="4" spans="1:4" s="18" customFormat="1" ht="30" customHeight="1">
      <c r="C4" s="21"/>
      <c r="D4" s="20"/>
    </row>
    <row r="5" spans="1:4" s="18" customFormat="1" ht="15" customHeight="1">
      <c r="C5" s="21"/>
      <c r="D5" s="20"/>
    </row>
    <row r="6" spans="1:4" s="18" customFormat="1" ht="15" customHeight="1">
      <c r="C6" s="21"/>
      <c r="D6" s="20"/>
    </row>
    <row r="7" spans="1:4" s="18" customFormat="1" ht="15" customHeight="1">
      <c r="B7" s="87" t="s">
        <v>43</v>
      </c>
      <c r="C7" s="87"/>
      <c r="D7" s="87"/>
    </row>
    <row r="8" spans="1:4" s="18" customFormat="1" ht="15" customHeight="1">
      <c r="B8" s="87"/>
      <c r="C8" s="87"/>
      <c r="D8" s="87"/>
    </row>
    <row r="9" spans="1:4" s="18" customFormat="1" ht="33" customHeight="1">
      <c r="B9" s="87"/>
      <c r="C9" s="87"/>
      <c r="D9" s="87"/>
    </row>
    <row r="10" spans="1:4" s="18" customFormat="1" ht="4.5" customHeight="1">
      <c r="B10" s="19"/>
      <c r="C10" s="19"/>
      <c r="D10" s="19"/>
    </row>
    <row r="11" spans="1:4" s="18" customFormat="1" ht="33" customHeight="1">
      <c r="B11" s="45" t="s">
        <v>21</v>
      </c>
      <c r="C11" s="46" t="s">
        <v>19</v>
      </c>
      <c r="D11" s="47" t="s">
        <v>18</v>
      </c>
    </row>
    <row r="12" spans="1:4" ht="14.5" customHeight="1">
      <c r="B12" s="57" t="s">
        <v>47</v>
      </c>
      <c r="C12" s="58">
        <v>5168</v>
      </c>
      <c r="D12" s="59">
        <f>C12/$C$22</f>
        <v>0.22240392477514309</v>
      </c>
    </row>
    <row r="13" spans="1:4" ht="14.5" customHeight="1">
      <c r="B13" s="57" t="s">
        <v>48</v>
      </c>
      <c r="C13" s="58">
        <v>4817</v>
      </c>
      <c r="D13" s="59">
        <f t="shared" ref="D13:D21" si="0">C13/$C$22</f>
        <v>0.20729870465206351</v>
      </c>
    </row>
    <row r="14" spans="1:4" s="17" customFormat="1" ht="14.5" customHeight="1">
      <c r="A14" s="13"/>
      <c r="B14" s="57" t="s">
        <v>49</v>
      </c>
      <c r="C14" s="58">
        <v>2574</v>
      </c>
      <c r="D14" s="59">
        <f t="shared" si="0"/>
        <v>0.11077161423591686</v>
      </c>
    </row>
    <row r="15" spans="1:4" s="17" customFormat="1" ht="14.5" customHeight="1">
      <c r="A15" s="13"/>
      <c r="B15" s="57" t="s">
        <v>50</v>
      </c>
      <c r="C15" s="58">
        <v>2301</v>
      </c>
      <c r="D15" s="59">
        <f t="shared" si="0"/>
        <v>9.9023109695743863E-2</v>
      </c>
    </row>
    <row r="16" spans="1:4" ht="14.5" customHeight="1">
      <c r="B16" s="57" t="s">
        <v>51</v>
      </c>
      <c r="C16" s="58">
        <v>1740</v>
      </c>
      <c r="D16" s="59">
        <f t="shared" si="0"/>
        <v>7.4880578387915828E-2</v>
      </c>
    </row>
    <row r="17" spans="2:6" ht="14.5" customHeight="1">
      <c r="B17" s="57" t="s">
        <v>54</v>
      </c>
      <c r="C17" s="58">
        <v>1707</v>
      </c>
      <c r="D17" s="59">
        <f t="shared" si="0"/>
        <v>7.3460429487455348E-2</v>
      </c>
    </row>
    <row r="18" spans="2:6" ht="14.5" customHeight="1">
      <c r="B18" s="57" t="s">
        <v>52</v>
      </c>
      <c r="C18" s="58">
        <v>1431</v>
      </c>
      <c r="D18" s="59">
        <f t="shared" si="0"/>
        <v>6.1582820501785943E-2</v>
      </c>
    </row>
    <row r="19" spans="2:6" ht="14.5" customHeight="1">
      <c r="B19" s="57" t="s">
        <v>53</v>
      </c>
      <c r="C19" s="58">
        <v>1420</v>
      </c>
      <c r="D19" s="59">
        <f t="shared" si="0"/>
        <v>6.110943753496579E-2</v>
      </c>
    </row>
    <row r="20" spans="2:6" ht="14.5" customHeight="1">
      <c r="B20" s="57" t="s">
        <v>56</v>
      </c>
      <c r="C20" s="58">
        <v>1164</v>
      </c>
      <c r="D20" s="59">
        <f t="shared" si="0"/>
        <v>5.0092524852605756E-2</v>
      </c>
    </row>
    <row r="21" spans="2:6" ht="14.5" customHeight="1">
      <c r="B21" s="57" t="s">
        <v>58</v>
      </c>
      <c r="C21" s="58">
        <v>915</v>
      </c>
      <c r="D21" s="59">
        <f t="shared" si="0"/>
        <v>3.9376855876404014E-2</v>
      </c>
    </row>
    <row r="22" spans="2:6" ht="14.5" customHeight="1">
      <c r="B22" s="68" t="s">
        <v>44</v>
      </c>
      <c r="C22" s="69">
        <f>SUM(C12:C21)</f>
        <v>23237</v>
      </c>
      <c r="D22" s="70">
        <f t="shared" ref="D22" si="1">C22/$C$22</f>
        <v>1</v>
      </c>
    </row>
    <row r="23" spans="2:6" ht="14.5" customHeight="1">
      <c r="B23" s="65" t="s">
        <v>45</v>
      </c>
      <c r="C23" s="66">
        <v>37286</v>
      </c>
      <c r="D23" s="67"/>
    </row>
    <row r="24" spans="2:6">
      <c r="B24" s="15"/>
      <c r="C24" s="13"/>
    </row>
    <row r="25" spans="2:6">
      <c r="B25" s="40" t="s">
        <v>132</v>
      </c>
      <c r="C25" s="13"/>
    </row>
    <row r="26" spans="2:6" ht="16.5">
      <c r="B26" s="41" t="s">
        <v>17</v>
      </c>
      <c r="C26" s="48"/>
      <c r="D26" s="48"/>
      <c r="E26" s="48"/>
      <c r="F26" s="48"/>
    </row>
    <row r="27" spans="2:6" ht="16.5">
      <c r="B27" s="42" t="s">
        <v>46</v>
      </c>
      <c r="C27" s="48"/>
      <c r="D27" s="48"/>
      <c r="E27" s="48"/>
      <c r="F27" s="48"/>
    </row>
    <row r="28" spans="2:6" ht="16.5">
      <c r="B28" s="40" t="s">
        <v>16</v>
      </c>
      <c r="C28" s="48"/>
      <c r="D28" s="48"/>
      <c r="E28" s="48"/>
      <c r="F28" s="48"/>
    </row>
    <row r="29" spans="2:6" ht="16.5">
      <c r="B29" s="40" t="s">
        <v>352</v>
      </c>
      <c r="C29" s="51"/>
      <c r="D29" s="48"/>
      <c r="E29" s="48"/>
      <c r="F29" s="48"/>
    </row>
    <row r="30" spans="2:6" ht="16.5">
      <c r="C30" s="51"/>
      <c r="D30" s="48"/>
      <c r="E30" s="48"/>
      <c r="F30" s="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35"/>
  <sheetViews>
    <sheetView showGridLines="0" view="pageBreakPreview" topLeftCell="A12" zoomScale="90" zoomScaleNormal="100" zoomScaleSheetLayoutView="90" workbookViewId="0">
      <selection activeCell="B29" sqref="B29"/>
    </sheetView>
  </sheetViews>
  <sheetFormatPr baseColWidth="10" defaultColWidth="11.453125" defaultRowHeight="14.5"/>
  <cols>
    <col min="1" max="1" width="9.26953125" style="13" customWidth="1"/>
    <col min="2" max="2" width="32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" style="13" customWidth="1"/>
    <col min="7" max="16384" width="11.453125" style="13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87" t="s">
        <v>36</v>
      </c>
      <c r="C7" s="87"/>
      <c r="D7" s="87"/>
    </row>
    <row r="8" spans="2:4" s="18" customFormat="1" ht="15" customHeight="1">
      <c r="B8" s="87"/>
      <c r="C8" s="87"/>
      <c r="D8" s="87"/>
    </row>
    <row r="9" spans="2:4" s="18" customFormat="1" ht="33" customHeight="1">
      <c r="B9" s="87"/>
      <c r="C9" s="87"/>
      <c r="D9" s="87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45" t="s">
        <v>22</v>
      </c>
      <c r="C11" s="46" t="s">
        <v>19</v>
      </c>
      <c r="D11" s="47" t="s">
        <v>18</v>
      </c>
    </row>
    <row r="12" spans="2:4">
      <c r="B12" s="57" t="s">
        <v>184</v>
      </c>
      <c r="C12" s="58">
        <v>8064</v>
      </c>
      <c r="D12" s="59">
        <v>0.21627420479536599</v>
      </c>
    </row>
    <row r="13" spans="2:4">
      <c r="B13" s="57" t="s">
        <v>185</v>
      </c>
      <c r="C13" s="58">
        <v>4676</v>
      </c>
      <c r="D13" s="59">
        <v>0.12540900069731301</v>
      </c>
    </row>
    <row r="14" spans="2:4">
      <c r="B14" s="57" t="s">
        <v>186</v>
      </c>
      <c r="C14" s="58">
        <v>3913</v>
      </c>
      <c r="D14" s="59">
        <v>0.104945555972751</v>
      </c>
    </row>
    <row r="15" spans="2:4">
      <c r="B15" s="57" t="s">
        <v>187</v>
      </c>
      <c r="C15" s="58">
        <v>3350</v>
      </c>
      <c r="D15" s="59">
        <v>8.9846054819503002E-2</v>
      </c>
    </row>
    <row r="16" spans="2:4">
      <c r="B16" s="57" t="s">
        <v>188</v>
      </c>
      <c r="C16" s="58">
        <v>2655</v>
      </c>
      <c r="D16" s="59">
        <v>7.1206350909188004E-2</v>
      </c>
    </row>
    <row r="17" spans="2:4">
      <c r="B17" s="57" t="s">
        <v>189</v>
      </c>
      <c r="C17" s="58">
        <v>2317</v>
      </c>
      <c r="D17" s="59">
        <v>6.2141286273668002E-2</v>
      </c>
    </row>
    <row r="18" spans="2:4">
      <c r="B18" s="57" t="s">
        <v>191</v>
      </c>
      <c r="C18" s="58">
        <v>2315</v>
      </c>
      <c r="D18" s="59">
        <v>6.2087646837955E-2</v>
      </c>
    </row>
    <row r="19" spans="2:4">
      <c r="B19" s="57" t="s">
        <v>190</v>
      </c>
      <c r="C19" s="58">
        <v>2307</v>
      </c>
      <c r="D19" s="59">
        <v>6.1873089095103001E-2</v>
      </c>
    </row>
    <row r="20" spans="2:4">
      <c r="B20" s="57" t="s">
        <v>192</v>
      </c>
      <c r="C20" s="58">
        <v>1972</v>
      </c>
      <c r="D20" s="59">
        <v>5.2888483613152001E-2</v>
      </c>
    </row>
    <row r="21" spans="2:4">
      <c r="B21" s="57" t="s">
        <v>193</v>
      </c>
      <c r="C21" s="58">
        <v>1894</v>
      </c>
      <c r="D21" s="59">
        <v>5.079654562034E-2</v>
      </c>
    </row>
    <row r="22" spans="2:4">
      <c r="B22" s="57" t="s">
        <v>194</v>
      </c>
      <c r="C22" s="58">
        <v>1173</v>
      </c>
      <c r="D22" s="59">
        <v>3.1459529045753998E-2</v>
      </c>
    </row>
    <row r="23" spans="2:4">
      <c r="B23" s="57" t="s">
        <v>195</v>
      </c>
      <c r="C23" s="58">
        <v>822</v>
      </c>
      <c r="D23" s="59">
        <v>2.2045808078099E-2</v>
      </c>
    </row>
    <row r="24" spans="2:4">
      <c r="B24" s="57" t="s">
        <v>196</v>
      </c>
      <c r="C24" s="58">
        <v>581</v>
      </c>
      <c r="D24" s="59">
        <v>1.5582256074666E-2</v>
      </c>
    </row>
    <row r="25" spans="2:4">
      <c r="B25" s="57" t="s">
        <v>197</v>
      </c>
      <c r="C25" s="58">
        <v>426</v>
      </c>
      <c r="D25" s="59">
        <v>1.1425199806898E-2</v>
      </c>
    </row>
    <row r="26" spans="2:4">
      <c r="B26" s="57" t="s">
        <v>199</v>
      </c>
      <c r="C26" s="58">
        <v>305</v>
      </c>
      <c r="D26" s="59">
        <v>8.1800139462529994E-3</v>
      </c>
    </row>
    <row r="27" spans="2:4">
      <c r="B27" s="57" t="s">
        <v>198</v>
      </c>
      <c r="C27" s="58">
        <v>286</v>
      </c>
      <c r="D27" s="59">
        <v>7.6704393069779997E-3</v>
      </c>
    </row>
    <row r="28" spans="2:4">
      <c r="B28" s="57" t="s">
        <v>200</v>
      </c>
      <c r="C28" s="58">
        <v>230</v>
      </c>
      <c r="D28" s="59">
        <v>6.1685351070110001E-3</v>
      </c>
    </row>
    <row r="29" spans="2:4">
      <c r="B29" s="60" t="s">
        <v>353</v>
      </c>
      <c r="C29" s="61">
        <v>37286</v>
      </c>
      <c r="D29" s="62">
        <v>1</v>
      </c>
    </row>
    <row r="31" spans="2:4" ht="16.5">
      <c r="B31" s="40" t="s">
        <v>132</v>
      </c>
      <c r="C31" s="51"/>
      <c r="D31" s="48"/>
    </row>
    <row r="32" spans="2:4" ht="16.5">
      <c r="B32" s="41" t="s">
        <v>17</v>
      </c>
      <c r="C32" s="51"/>
      <c r="D32" s="48"/>
    </row>
    <row r="33" spans="2:4" ht="16.5">
      <c r="B33" s="42" t="s">
        <v>46</v>
      </c>
      <c r="C33" s="51"/>
      <c r="D33" s="48"/>
    </row>
    <row r="34" spans="2:4" ht="16.5">
      <c r="B34" s="40" t="s">
        <v>16</v>
      </c>
      <c r="C34" s="51"/>
      <c r="D34" s="48"/>
    </row>
    <row r="35" spans="2:4" ht="16.5">
      <c r="B35" s="40" t="s">
        <v>352</v>
      </c>
      <c r="C35" s="51"/>
      <c r="D35" s="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G763"/>
  <sheetViews>
    <sheetView showGridLines="0" view="pageBreakPreview" topLeftCell="A743" zoomScaleNormal="100" zoomScaleSheetLayoutView="100" workbookViewId="0">
      <selection activeCell="B758" sqref="B758"/>
    </sheetView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1.453125" style="23" customWidth="1"/>
    <col min="4" max="4" width="14.26953125" style="23" customWidth="1"/>
    <col min="5" max="5" width="16.81640625" style="23" customWidth="1"/>
    <col min="6" max="6" width="33.81640625" style="22" customWidth="1"/>
    <col min="7" max="7" width="35" style="22" hidden="1" customWidth="1"/>
    <col min="8" max="8" width="4.453125" style="22" customWidth="1"/>
    <col min="9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93"/>
      <c r="C7" s="93"/>
      <c r="D7" s="93"/>
      <c r="E7" s="93"/>
    </row>
    <row r="8" spans="1:5" s="25" customFormat="1" ht="33" customHeight="1">
      <c r="A8" s="26"/>
      <c r="B8" s="93"/>
      <c r="C8" s="93"/>
      <c r="D8" s="93"/>
      <c r="E8" s="93"/>
    </row>
    <row r="9" spans="1:5" s="18" customFormat="1" ht="40.5" customHeight="1">
      <c r="B9" s="36" t="s">
        <v>24</v>
      </c>
      <c r="C9" s="37" t="s">
        <v>23</v>
      </c>
      <c r="D9" s="38" t="s">
        <v>19</v>
      </c>
      <c r="E9" s="36" t="s">
        <v>18</v>
      </c>
    </row>
    <row r="10" spans="1:5" ht="14.5" customHeight="1">
      <c r="B10" s="90" t="s">
        <v>133</v>
      </c>
      <c r="C10" s="57" t="s">
        <v>184</v>
      </c>
      <c r="D10" s="58">
        <v>2811</v>
      </c>
      <c r="E10" s="59">
        <v>7.5390226894813006E-2</v>
      </c>
    </row>
    <row r="11" spans="1:5" ht="14.5" customHeight="1">
      <c r="B11" s="92"/>
      <c r="C11" s="57" t="s">
        <v>185</v>
      </c>
      <c r="D11" s="58">
        <v>1466</v>
      </c>
      <c r="E11" s="59">
        <v>3.9317706377729002E-2</v>
      </c>
    </row>
    <row r="12" spans="1:5" ht="14.5" customHeight="1">
      <c r="B12" s="92"/>
      <c r="C12" s="57" t="s">
        <v>186</v>
      </c>
      <c r="D12" s="58">
        <v>1198</v>
      </c>
      <c r="E12" s="59">
        <v>3.2130021992169001E-2</v>
      </c>
    </row>
    <row r="13" spans="1:5" ht="14.5" customHeight="1">
      <c r="B13" s="92"/>
      <c r="C13" s="57" t="s">
        <v>187</v>
      </c>
      <c r="D13" s="58">
        <v>989</v>
      </c>
      <c r="E13" s="59">
        <v>2.6524700960145999E-2</v>
      </c>
    </row>
    <row r="14" spans="1:5" ht="14.5" customHeight="1">
      <c r="B14" s="92"/>
      <c r="C14" s="57" t="s">
        <v>188</v>
      </c>
      <c r="D14" s="58">
        <v>753</v>
      </c>
      <c r="E14" s="59">
        <v>2.0195247545996001E-2</v>
      </c>
    </row>
    <row r="15" spans="1:5" ht="14.5" customHeight="1">
      <c r="B15" s="92"/>
      <c r="C15" s="57" t="s">
        <v>189</v>
      </c>
      <c r="D15" s="58">
        <v>731</v>
      </c>
      <c r="E15" s="59">
        <v>1.9605213753151E-2</v>
      </c>
    </row>
    <row r="16" spans="1:5" ht="14.5" customHeight="1">
      <c r="B16" s="92"/>
      <c r="C16" s="57" t="s">
        <v>190</v>
      </c>
      <c r="D16" s="58">
        <v>697</v>
      </c>
      <c r="E16" s="59">
        <v>1.8693343346027999E-2</v>
      </c>
    </row>
    <row r="17" spans="2:5" ht="14.5" customHeight="1">
      <c r="B17" s="92"/>
      <c r="C17" s="57" t="s">
        <v>191</v>
      </c>
      <c r="D17" s="58">
        <v>692</v>
      </c>
      <c r="E17" s="59">
        <v>1.8559244756744999E-2</v>
      </c>
    </row>
    <row r="18" spans="2:5" ht="14.5" customHeight="1">
      <c r="B18" s="92"/>
      <c r="C18" s="57" t="s">
        <v>192</v>
      </c>
      <c r="D18" s="58">
        <v>606</v>
      </c>
      <c r="E18" s="59">
        <v>1.6252749021079999E-2</v>
      </c>
    </row>
    <row r="19" spans="2:5" ht="14.5" customHeight="1">
      <c r="B19" s="92"/>
      <c r="C19" s="57" t="s">
        <v>193</v>
      </c>
      <c r="D19" s="58">
        <v>579</v>
      </c>
      <c r="E19" s="59">
        <v>1.5528616638953E-2</v>
      </c>
    </row>
    <row r="20" spans="2:5" ht="14.5" customHeight="1">
      <c r="B20" s="92"/>
      <c r="C20" s="57" t="s">
        <v>194</v>
      </c>
      <c r="D20" s="58">
        <v>331</v>
      </c>
      <c r="E20" s="59">
        <v>8.8773266105240008E-3</v>
      </c>
    </row>
    <row r="21" spans="2:5" ht="14.5" customHeight="1">
      <c r="B21" s="92"/>
      <c r="C21" s="57" t="s">
        <v>195</v>
      </c>
      <c r="D21" s="58">
        <v>235</v>
      </c>
      <c r="E21" s="59">
        <v>6.3026336962940001E-3</v>
      </c>
    </row>
    <row r="22" spans="2:5" ht="14.5" customHeight="1">
      <c r="B22" s="92"/>
      <c r="C22" s="57" t="s">
        <v>196</v>
      </c>
      <c r="D22" s="58">
        <v>145</v>
      </c>
      <c r="E22" s="59">
        <v>3.8888590892020001E-3</v>
      </c>
    </row>
    <row r="23" spans="2:5" ht="14.5" customHeight="1">
      <c r="B23" s="92"/>
      <c r="C23" s="57" t="s">
        <v>197</v>
      </c>
      <c r="D23" s="58">
        <v>128</v>
      </c>
      <c r="E23" s="59">
        <v>3.4329238856409998E-3</v>
      </c>
    </row>
    <row r="24" spans="2:5" ht="14.5" customHeight="1">
      <c r="B24" s="92"/>
      <c r="C24" s="57" t="s">
        <v>198</v>
      </c>
      <c r="D24" s="58">
        <v>91</v>
      </c>
      <c r="E24" s="59">
        <v>2.4405943249479999E-3</v>
      </c>
    </row>
    <row r="25" spans="2:5" ht="14.5" customHeight="1">
      <c r="B25" s="92"/>
      <c r="C25" s="57" t="s">
        <v>199</v>
      </c>
      <c r="D25" s="58">
        <v>82</v>
      </c>
      <c r="E25" s="59">
        <v>2.1992168642390002E-3</v>
      </c>
    </row>
    <row r="26" spans="2:5" ht="14.5" customHeight="1">
      <c r="B26" s="92"/>
      <c r="C26" s="57" t="s">
        <v>200</v>
      </c>
      <c r="D26" s="58">
        <v>61</v>
      </c>
      <c r="E26" s="59">
        <v>1.636002789251E-3</v>
      </c>
    </row>
    <row r="27" spans="2:5" ht="14.5" customHeight="1">
      <c r="B27" s="91"/>
      <c r="C27" s="72" t="s">
        <v>353</v>
      </c>
      <c r="D27" s="71">
        <v>11595</v>
      </c>
      <c r="E27" s="73">
        <v>0.31097462854690799</v>
      </c>
    </row>
    <row r="28" spans="2:5" ht="14.5" customHeight="1">
      <c r="B28" s="90" t="s">
        <v>134</v>
      </c>
      <c r="C28" s="57" t="s">
        <v>185</v>
      </c>
      <c r="D28" s="58">
        <v>885</v>
      </c>
      <c r="E28" s="59">
        <v>2.3735450303063E-2</v>
      </c>
    </row>
    <row r="29" spans="2:5" ht="14.5" customHeight="1">
      <c r="B29" s="92"/>
      <c r="C29" s="57" t="s">
        <v>184</v>
      </c>
      <c r="D29" s="58">
        <v>785</v>
      </c>
      <c r="E29" s="59">
        <v>2.1053478517406E-2</v>
      </c>
    </row>
    <row r="30" spans="2:5" ht="14.5" customHeight="1">
      <c r="B30" s="92"/>
      <c r="C30" s="57" t="s">
        <v>186</v>
      </c>
      <c r="D30" s="58">
        <v>750</v>
      </c>
      <c r="E30" s="59">
        <v>2.0114788392425999E-2</v>
      </c>
    </row>
    <row r="31" spans="2:5" ht="14.5" customHeight="1">
      <c r="B31" s="92"/>
      <c r="C31" s="57" t="s">
        <v>187</v>
      </c>
      <c r="D31" s="58">
        <v>628</v>
      </c>
      <c r="E31" s="59">
        <v>1.6842782813925001E-2</v>
      </c>
    </row>
    <row r="32" spans="2:5" ht="14.5" customHeight="1">
      <c r="B32" s="92"/>
      <c r="C32" s="57" t="s">
        <v>188</v>
      </c>
      <c r="D32" s="58">
        <v>531</v>
      </c>
      <c r="E32" s="59">
        <v>1.4241270181838E-2</v>
      </c>
    </row>
    <row r="33" spans="2:5" ht="14.5" customHeight="1">
      <c r="B33" s="92"/>
      <c r="C33" s="57" t="s">
        <v>191</v>
      </c>
      <c r="D33" s="58">
        <v>490</v>
      </c>
      <c r="E33" s="59">
        <v>1.3141661749718E-2</v>
      </c>
    </row>
    <row r="34" spans="2:5" ht="14.5" customHeight="1">
      <c r="B34" s="92"/>
      <c r="C34" s="57" t="s">
        <v>190</v>
      </c>
      <c r="D34" s="58">
        <v>476</v>
      </c>
      <c r="E34" s="59">
        <v>1.2766185699726E-2</v>
      </c>
    </row>
    <row r="35" spans="2:5" ht="14.5" customHeight="1">
      <c r="B35" s="92"/>
      <c r="C35" s="57" t="s">
        <v>189</v>
      </c>
      <c r="D35" s="58">
        <v>467</v>
      </c>
      <c r="E35" s="59">
        <v>1.2524808239017001E-2</v>
      </c>
    </row>
    <row r="36" spans="2:5" ht="14.5" customHeight="1">
      <c r="B36" s="92"/>
      <c r="C36" s="57" t="s">
        <v>192</v>
      </c>
      <c r="D36" s="58">
        <v>398</v>
      </c>
      <c r="E36" s="59">
        <v>1.0674247706914001E-2</v>
      </c>
    </row>
    <row r="37" spans="2:5" ht="14.5" customHeight="1">
      <c r="B37" s="92"/>
      <c r="C37" s="57" t="s">
        <v>193</v>
      </c>
      <c r="D37" s="58">
        <v>361</v>
      </c>
      <c r="E37" s="59">
        <v>9.681918146221E-3</v>
      </c>
    </row>
    <row r="38" spans="2:5" ht="14.5" customHeight="1">
      <c r="B38" s="92"/>
      <c r="C38" s="57" t="s">
        <v>194</v>
      </c>
      <c r="D38" s="58">
        <v>226</v>
      </c>
      <c r="E38" s="59">
        <v>6.0612562355840003E-3</v>
      </c>
    </row>
    <row r="39" spans="2:5" ht="14.5" customHeight="1">
      <c r="B39" s="92"/>
      <c r="C39" s="57" t="s">
        <v>195</v>
      </c>
      <c r="D39" s="58">
        <v>180</v>
      </c>
      <c r="E39" s="59">
        <v>4.8275492141819998E-3</v>
      </c>
    </row>
    <row r="40" spans="2:5" ht="14.5" customHeight="1">
      <c r="B40" s="92"/>
      <c r="C40" s="57" t="s">
        <v>196</v>
      </c>
      <c r="D40" s="58">
        <v>106</v>
      </c>
      <c r="E40" s="59">
        <v>2.8428900927959999E-3</v>
      </c>
    </row>
    <row r="41" spans="2:5" ht="14.5" customHeight="1">
      <c r="B41" s="92"/>
      <c r="C41" s="57" t="s">
        <v>197</v>
      </c>
      <c r="D41" s="58">
        <v>76</v>
      </c>
      <c r="E41" s="59">
        <v>2.0382985570990002E-3</v>
      </c>
    </row>
    <row r="42" spans="2:5" ht="14.5" customHeight="1">
      <c r="B42" s="92"/>
      <c r="C42" s="57" t="s">
        <v>198</v>
      </c>
      <c r="D42" s="58">
        <v>61</v>
      </c>
      <c r="E42" s="59">
        <v>1.636002789251E-3</v>
      </c>
    </row>
    <row r="43" spans="2:5" ht="14.5" customHeight="1">
      <c r="B43" s="92"/>
      <c r="C43" s="57" t="s">
        <v>199</v>
      </c>
      <c r="D43" s="58">
        <v>45</v>
      </c>
      <c r="E43" s="59">
        <v>1.206887303546E-3</v>
      </c>
    </row>
    <row r="44" spans="2:5" ht="14.5" customHeight="1">
      <c r="B44" s="92"/>
      <c r="C44" s="57" t="s">
        <v>200</v>
      </c>
      <c r="D44" s="58">
        <v>41</v>
      </c>
      <c r="E44" s="59">
        <v>1.0996084321190001E-3</v>
      </c>
    </row>
    <row r="45" spans="2:5" ht="14.5" customHeight="1">
      <c r="B45" s="91"/>
      <c r="C45" s="72" t="s">
        <v>353</v>
      </c>
      <c r="D45" s="71">
        <v>6506</v>
      </c>
      <c r="E45" s="73">
        <v>0.17448908437483199</v>
      </c>
    </row>
    <row r="46" spans="2:5" ht="14.5" customHeight="1">
      <c r="B46" s="90" t="s">
        <v>135</v>
      </c>
      <c r="C46" s="57" t="s">
        <v>185</v>
      </c>
      <c r="D46" s="58">
        <v>693</v>
      </c>
      <c r="E46" s="59">
        <v>1.8586064474601999E-2</v>
      </c>
    </row>
    <row r="47" spans="2:5" ht="14.5" customHeight="1">
      <c r="B47" s="92"/>
      <c r="C47" s="57" t="s">
        <v>186</v>
      </c>
      <c r="D47" s="58">
        <v>566</v>
      </c>
      <c r="E47" s="59">
        <v>1.5179960306818001E-2</v>
      </c>
    </row>
    <row r="48" spans="2:5" ht="14.5" customHeight="1">
      <c r="B48" s="92"/>
      <c r="C48" s="57" t="s">
        <v>187</v>
      </c>
      <c r="D48" s="58">
        <v>482</v>
      </c>
      <c r="E48" s="59">
        <v>1.2927104006866001E-2</v>
      </c>
    </row>
    <row r="49" spans="2:5" ht="14.5" customHeight="1">
      <c r="B49" s="92"/>
      <c r="C49" s="57" t="s">
        <v>190</v>
      </c>
      <c r="D49" s="58">
        <v>418</v>
      </c>
      <c r="E49" s="59">
        <v>1.1210642064045E-2</v>
      </c>
    </row>
    <row r="50" spans="2:5" ht="14.5" customHeight="1">
      <c r="B50" s="92"/>
      <c r="C50" s="57" t="s">
        <v>188</v>
      </c>
      <c r="D50" s="58">
        <v>399</v>
      </c>
      <c r="E50" s="59">
        <v>1.0701067424770999E-2</v>
      </c>
    </row>
    <row r="51" spans="2:5" ht="14.5" customHeight="1">
      <c r="B51" s="92"/>
      <c r="C51" s="57" t="s">
        <v>189</v>
      </c>
      <c r="D51" s="58">
        <v>376</v>
      </c>
      <c r="E51" s="59">
        <v>1.008421391407E-2</v>
      </c>
    </row>
    <row r="52" spans="2:5" ht="14.5" customHeight="1">
      <c r="B52" s="92"/>
      <c r="C52" s="57" t="s">
        <v>191</v>
      </c>
      <c r="D52" s="58">
        <v>332</v>
      </c>
      <c r="E52" s="59">
        <v>8.9041463283809994E-3</v>
      </c>
    </row>
    <row r="53" spans="2:5" ht="14.5" customHeight="1">
      <c r="B53" s="92"/>
      <c r="C53" s="57" t="s">
        <v>193</v>
      </c>
      <c r="D53" s="58">
        <v>321</v>
      </c>
      <c r="E53" s="59">
        <v>8.6091294319580007E-3</v>
      </c>
    </row>
    <row r="54" spans="2:5" ht="14.5" customHeight="1">
      <c r="B54" s="92"/>
      <c r="C54" s="57" t="s">
        <v>192</v>
      </c>
      <c r="D54" s="58">
        <v>284</v>
      </c>
      <c r="E54" s="59">
        <v>7.6167998712649999E-3</v>
      </c>
    </row>
    <row r="55" spans="2:5" ht="14.5" customHeight="1">
      <c r="B55" s="92"/>
      <c r="C55" s="57" t="s">
        <v>194</v>
      </c>
      <c r="D55" s="58">
        <v>191</v>
      </c>
      <c r="E55" s="59">
        <v>5.1225661106050003E-3</v>
      </c>
    </row>
    <row r="56" spans="2:5" ht="14.5" customHeight="1">
      <c r="B56" s="92"/>
      <c r="C56" s="57" t="s">
        <v>184</v>
      </c>
      <c r="D56" s="58">
        <v>138</v>
      </c>
      <c r="E56" s="59">
        <v>3.7011210642059998E-3</v>
      </c>
    </row>
    <row r="57" spans="2:5" ht="14.5" customHeight="1">
      <c r="B57" s="92"/>
      <c r="C57" s="57" t="s">
        <v>195</v>
      </c>
      <c r="D57" s="58">
        <v>93</v>
      </c>
      <c r="E57" s="59">
        <v>2.4942337606610001E-3</v>
      </c>
    </row>
    <row r="58" spans="2:5" ht="14.5" customHeight="1">
      <c r="B58" s="92"/>
      <c r="C58" s="57" t="s">
        <v>196</v>
      </c>
      <c r="D58" s="58">
        <v>66</v>
      </c>
      <c r="E58" s="59">
        <v>1.7701013785329999E-3</v>
      </c>
    </row>
    <row r="59" spans="2:5" ht="14.5" customHeight="1">
      <c r="B59" s="92"/>
      <c r="C59" s="57" t="s">
        <v>197</v>
      </c>
      <c r="D59" s="58">
        <v>53</v>
      </c>
      <c r="E59" s="59">
        <v>1.4214450463979999E-3</v>
      </c>
    </row>
    <row r="60" spans="2:5" ht="14.5" customHeight="1">
      <c r="B60" s="92"/>
      <c r="C60" s="57" t="s">
        <v>200</v>
      </c>
      <c r="D60" s="58">
        <v>42</v>
      </c>
      <c r="E60" s="59">
        <v>1.126428149976E-3</v>
      </c>
    </row>
    <row r="61" spans="2:5" ht="14.5" customHeight="1">
      <c r="B61" s="92"/>
      <c r="C61" s="57" t="s">
        <v>199</v>
      </c>
      <c r="D61" s="58">
        <v>40</v>
      </c>
      <c r="E61" s="59">
        <v>1.072788714263E-3</v>
      </c>
    </row>
    <row r="62" spans="2:5" ht="14.5" customHeight="1">
      <c r="B62" s="92"/>
      <c r="C62" s="57" t="s">
        <v>198</v>
      </c>
      <c r="D62" s="58">
        <v>30</v>
      </c>
      <c r="E62" s="59">
        <v>8.0459153569700001E-4</v>
      </c>
    </row>
    <row r="63" spans="2:5" ht="14.5" customHeight="1">
      <c r="B63" s="91"/>
      <c r="C63" s="72" t="s">
        <v>353</v>
      </c>
      <c r="D63" s="71">
        <v>4524</v>
      </c>
      <c r="E63" s="73">
        <v>0.12133240358311401</v>
      </c>
    </row>
    <row r="64" spans="2:5" ht="14.5" customHeight="1">
      <c r="B64" s="90" t="s">
        <v>136</v>
      </c>
      <c r="C64" s="57" t="s">
        <v>184</v>
      </c>
      <c r="D64" s="58">
        <v>916</v>
      </c>
      <c r="E64" s="59">
        <v>2.4566861556615999E-2</v>
      </c>
    </row>
    <row r="65" spans="2:5" ht="14.5" customHeight="1">
      <c r="B65" s="92"/>
      <c r="C65" s="57" t="s">
        <v>187</v>
      </c>
      <c r="D65" s="58">
        <v>91</v>
      </c>
      <c r="E65" s="59">
        <v>2.4405943249479999E-3</v>
      </c>
    </row>
    <row r="66" spans="2:5" ht="14.5" customHeight="1">
      <c r="B66" s="92"/>
      <c r="C66" s="57" t="s">
        <v>186</v>
      </c>
      <c r="D66" s="58">
        <v>72</v>
      </c>
      <c r="E66" s="59">
        <v>1.9310196856729999E-3</v>
      </c>
    </row>
    <row r="67" spans="2:5" ht="14.5" customHeight="1">
      <c r="B67" s="92"/>
      <c r="C67" s="57" t="s">
        <v>185</v>
      </c>
      <c r="D67" s="58">
        <v>66</v>
      </c>
      <c r="E67" s="59">
        <v>1.7701013785329999E-3</v>
      </c>
    </row>
    <row r="68" spans="2:5" ht="14.5" customHeight="1">
      <c r="B68" s="92"/>
      <c r="C68" s="57" t="s">
        <v>192</v>
      </c>
      <c r="D68" s="58">
        <v>50</v>
      </c>
      <c r="E68" s="59">
        <v>1.340985892828E-3</v>
      </c>
    </row>
    <row r="69" spans="2:5" ht="14.5" customHeight="1">
      <c r="B69" s="92"/>
      <c r="C69" s="57" t="s">
        <v>188</v>
      </c>
      <c r="D69" s="58">
        <v>42</v>
      </c>
      <c r="E69" s="59">
        <v>1.126428149976E-3</v>
      </c>
    </row>
    <row r="70" spans="2:5" ht="14.5" customHeight="1">
      <c r="B70" s="92"/>
      <c r="C70" s="57" t="s">
        <v>191</v>
      </c>
      <c r="D70" s="58">
        <v>42</v>
      </c>
      <c r="E70" s="59">
        <v>1.126428149976E-3</v>
      </c>
    </row>
    <row r="71" spans="2:5" ht="14.5" customHeight="1">
      <c r="B71" s="92"/>
      <c r="C71" s="57" t="s">
        <v>190</v>
      </c>
      <c r="D71" s="58">
        <v>38</v>
      </c>
      <c r="E71" s="59">
        <v>1.0191492785499999E-3</v>
      </c>
    </row>
    <row r="72" spans="2:5" ht="14.5" customHeight="1">
      <c r="B72" s="92"/>
      <c r="C72" s="57" t="s">
        <v>193</v>
      </c>
      <c r="D72" s="58">
        <v>31</v>
      </c>
      <c r="E72" s="59">
        <v>8.3141125355399995E-4</v>
      </c>
    </row>
    <row r="73" spans="2:5" ht="14.5" customHeight="1">
      <c r="B73" s="92"/>
      <c r="C73" s="57" t="s">
        <v>189</v>
      </c>
      <c r="D73" s="58">
        <v>30</v>
      </c>
      <c r="E73" s="59">
        <v>8.0459153569700001E-4</v>
      </c>
    </row>
    <row r="74" spans="2:5" ht="14.5" customHeight="1">
      <c r="B74" s="92"/>
      <c r="C74" s="57" t="s">
        <v>194</v>
      </c>
      <c r="D74" s="58">
        <v>30</v>
      </c>
      <c r="E74" s="59">
        <v>8.0459153569700001E-4</v>
      </c>
    </row>
    <row r="75" spans="2:5" ht="14.5" customHeight="1">
      <c r="B75" s="92"/>
      <c r="C75" s="57" t="s">
        <v>196</v>
      </c>
      <c r="D75" s="58">
        <v>23</v>
      </c>
      <c r="E75" s="59">
        <v>6.1685351070100004E-4</v>
      </c>
    </row>
    <row r="76" spans="2:5" ht="14.5" customHeight="1">
      <c r="B76" s="92"/>
      <c r="C76" s="57" t="s">
        <v>195</v>
      </c>
      <c r="D76" s="58">
        <v>21</v>
      </c>
      <c r="E76" s="59">
        <v>5.63214074988E-4</v>
      </c>
    </row>
    <row r="77" spans="2:5" ht="14.5" customHeight="1">
      <c r="B77" s="92"/>
      <c r="C77" s="57" t="s">
        <v>199</v>
      </c>
      <c r="D77" s="58">
        <v>13</v>
      </c>
      <c r="E77" s="59">
        <v>3.4865633213499998E-4</v>
      </c>
    </row>
    <row r="78" spans="2:5" ht="14.5" customHeight="1">
      <c r="B78" s="92"/>
      <c r="C78" s="57" t="s">
        <v>197</v>
      </c>
      <c r="D78" s="58">
        <v>9</v>
      </c>
      <c r="E78" s="59">
        <v>2.4137746070900001E-4</v>
      </c>
    </row>
    <row r="79" spans="2:5" ht="14.5" customHeight="1">
      <c r="B79" s="92"/>
      <c r="C79" s="57" t="s">
        <v>198</v>
      </c>
      <c r="D79" s="58">
        <v>9</v>
      </c>
      <c r="E79" s="59">
        <v>2.4137746070900001E-4</v>
      </c>
    </row>
    <row r="80" spans="2:5" ht="14.5" customHeight="1">
      <c r="B80" s="92"/>
      <c r="C80" s="57" t="s">
        <v>200</v>
      </c>
      <c r="D80" s="58">
        <v>4</v>
      </c>
      <c r="E80" s="59">
        <v>1.07278871426E-4</v>
      </c>
    </row>
    <row r="81" spans="2:5" ht="14.5" customHeight="1">
      <c r="B81" s="91"/>
      <c r="C81" s="72" t="s">
        <v>353</v>
      </c>
      <c r="D81" s="71">
        <v>1487</v>
      </c>
      <c r="E81" s="73">
        <v>3.9880920452717003E-2</v>
      </c>
    </row>
    <row r="82" spans="2:5" ht="14.5" customHeight="1">
      <c r="B82" s="90" t="s">
        <v>137</v>
      </c>
      <c r="C82" s="57" t="s">
        <v>184</v>
      </c>
      <c r="D82" s="58">
        <v>410</v>
      </c>
      <c r="E82" s="59">
        <v>1.0996084321193001E-2</v>
      </c>
    </row>
    <row r="83" spans="2:5" ht="14.5" customHeight="1">
      <c r="B83" s="92"/>
      <c r="C83" s="57" t="s">
        <v>185</v>
      </c>
      <c r="D83" s="58">
        <v>134</v>
      </c>
      <c r="E83" s="59">
        <v>3.5938421927800002E-3</v>
      </c>
    </row>
    <row r="84" spans="2:5" ht="14.5" customHeight="1">
      <c r="B84" s="92"/>
      <c r="C84" s="57" t="s">
        <v>186</v>
      </c>
      <c r="D84" s="58">
        <v>90</v>
      </c>
      <c r="E84" s="59">
        <v>2.4137746070909999E-3</v>
      </c>
    </row>
    <row r="85" spans="2:5" ht="14.5" customHeight="1">
      <c r="B85" s="92"/>
      <c r="C85" s="57" t="s">
        <v>187</v>
      </c>
      <c r="D85" s="58">
        <v>70</v>
      </c>
      <c r="E85" s="59">
        <v>1.8773802499600001E-3</v>
      </c>
    </row>
    <row r="86" spans="2:5" ht="14.5" customHeight="1">
      <c r="B86" s="92"/>
      <c r="C86" s="57" t="s">
        <v>189</v>
      </c>
      <c r="D86" s="58">
        <v>68</v>
      </c>
      <c r="E86" s="59">
        <v>1.823740814247E-3</v>
      </c>
    </row>
    <row r="87" spans="2:5" ht="14.5" customHeight="1">
      <c r="B87" s="92"/>
      <c r="C87" s="57" t="s">
        <v>190</v>
      </c>
      <c r="D87" s="58">
        <v>58</v>
      </c>
      <c r="E87" s="59">
        <v>1.555543635681E-3</v>
      </c>
    </row>
    <row r="88" spans="2:5" ht="14.5" customHeight="1">
      <c r="B88" s="92"/>
      <c r="C88" s="57" t="s">
        <v>188</v>
      </c>
      <c r="D88" s="58">
        <v>58</v>
      </c>
      <c r="E88" s="59">
        <v>1.555543635681E-3</v>
      </c>
    </row>
    <row r="89" spans="2:5" ht="14.5" customHeight="1">
      <c r="B89" s="92"/>
      <c r="C89" s="57" t="s">
        <v>192</v>
      </c>
      <c r="D89" s="58">
        <v>54</v>
      </c>
      <c r="E89" s="59">
        <v>1.4482647642550001E-3</v>
      </c>
    </row>
    <row r="90" spans="2:5" ht="14.5" customHeight="1">
      <c r="B90" s="92"/>
      <c r="C90" s="57" t="s">
        <v>191</v>
      </c>
      <c r="D90" s="58">
        <v>54</v>
      </c>
      <c r="E90" s="59">
        <v>1.4482647642550001E-3</v>
      </c>
    </row>
    <row r="91" spans="2:5" ht="14.5" customHeight="1">
      <c r="B91" s="92"/>
      <c r="C91" s="57" t="s">
        <v>193</v>
      </c>
      <c r="D91" s="58">
        <v>32</v>
      </c>
      <c r="E91" s="59">
        <v>8.5823097141000005E-4</v>
      </c>
    </row>
    <row r="92" spans="2:5" ht="14.5" customHeight="1">
      <c r="B92" s="92"/>
      <c r="C92" s="57" t="s">
        <v>194</v>
      </c>
      <c r="D92" s="58">
        <v>23</v>
      </c>
      <c r="E92" s="59">
        <v>6.1685351070100004E-4</v>
      </c>
    </row>
    <row r="93" spans="2:5" ht="14.5" customHeight="1">
      <c r="B93" s="92"/>
      <c r="C93" s="57" t="s">
        <v>197</v>
      </c>
      <c r="D93" s="58">
        <v>16</v>
      </c>
      <c r="E93" s="59">
        <v>4.2911548570500002E-4</v>
      </c>
    </row>
    <row r="94" spans="2:5" ht="14.5" customHeight="1">
      <c r="B94" s="92"/>
      <c r="C94" s="57" t="s">
        <v>195</v>
      </c>
      <c r="D94" s="58">
        <v>15</v>
      </c>
      <c r="E94" s="59">
        <v>4.0229576784899998E-4</v>
      </c>
    </row>
    <row r="95" spans="2:5" ht="14.5" customHeight="1">
      <c r="B95" s="92"/>
      <c r="C95" s="57" t="s">
        <v>196</v>
      </c>
      <c r="D95" s="58">
        <v>15</v>
      </c>
      <c r="E95" s="59">
        <v>4.0229576784899998E-4</v>
      </c>
    </row>
    <row r="96" spans="2:5" ht="14.5" customHeight="1">
      <c r="B96" s="92"/>
      <c r="C96" s="57" t="s">
        <v>199</v>
      </c>
      <c r="D96" s="58">
        <v>10</v>
      </c>
      <c r="E96" s="59">
        <v>2.6819717856600001E-4</v>
      </c>
    </row>
    <row r="97" spans="2:5" ht="14.5" customHeight="1">
      <c r="B97" s="92"/>
      <c r="C97" s="57" t="s">
        <v>198</v>
      </c>
      <c r="D97" s="58">
        <v>8</v>
      </c>
      <c r="E97" s="59">
        <v>2.1455774285299999E-4</v>
      </c>
    </row>
    <row r="98" spans="2:5" ht="14.5" customHeight="1">
      <c r="B98" s="92"/>
      <c r="C98" s="57" t="s">
        <v>200</v>
      </c>
      <c r="D98" s="58">
        <v>6</v>
      </c>
      <c r="E98" s="59">
        <v>1.6091830713899999E-4</v>
      </c>
    </row>
    <row r="99" spans="2:5" ht="14.5" customHeight="1">
      <c r="B99" s="91"/>
      <c r="C99" s="72" t="s">
        <v>353</v>
      </c>
      <c r="D99" s="71">
        <v>1121</v>
      </c>
      <c r="E99" s="73">
        <v>3.0064903717213001E-2</v>
      </c>
    </row>
    <row r="100" spans="2:5" ht="14.5" customHeight="1">
      <c r="B100" s="90" t="s">
        <v>138</v>
      </c>
      <c r="C100" s="57" t="s">
        <v>184</v>
      </c>
      <c r="D100" s="58">
        <v>503</v>
      </c>
      <c r="E100" s="59">
        <v>1.3490318081854E-2</v>
      </c>
    </row>
    <row r="101" spans="2:5" ht="14.5" customHeight="1">
      <c r="B101" s="92"/>
      <c r="C101" s="57" t="s">
        <v>186</v>
      </c>
      <c r="D101" s="58">
        <v>74</v>
      </c>
      <c r="E101" s="59">
        <v>1.9846591213859999E-3</v>
      </c>
    </row>
    <row r="102" spans="2:5" ht="14.5" customHeight="1">
      <c r="B102" s="92"/>
      <c r="C102" s="57" t="s">
        <v>185</v>
      </c>
      <c r="D102" s="58">
        <v>69</v>
      </c>
      <c r="E102" s="59">
        <v>1.8505605321029999E-3</v>
      </c>
    </row>
    <row r="103" spans="2:5" ht="14.5" customHeight="1">
      <c r="B103" s="92"/>
      <c r="C103" s="57" t="s">
        <v>187</v>
      </c>
      <c r="D103" s="58">
        <v>66</v>
      </c>
      <c r="E103" s="59">
        <v>1.7701013785329999E-3</v>
      </c>
    </row>
    <row r="104" spans="2:5" ht="14.5" customHeight="1">
      <c r="B104" s="92"/>
      <c r="C104" s="57" t="s">
        <v>191</v>
      </c>
      <c r="D104" s="58">
        <v>49</v>
      </c>
      <c r="E104" s="59">
        <v>1.3141661749720001E-3</v>
      </c>
    </row>
    <row r="105" spans="2:5" ht="14.5" customHeight="1">
      <c r="B105" s="92"/>
      <c r="C105" s="57" t="s">
        <v>188</v>
      </c>
      <c r="D105" s="58">
        <v>48</v>
      </c>
      <c r="E105" s="59">
        <v>1.2873464571149999E-3</v>
      </c>
    </row>
    <row r="106" spans="2:5" ht="14.5" customHeight="1">
      <c r="B106" s="92"/>
      <c r="C106" s="57" t="s">
        <v>192</v>
      </c>
      <c r="D106" s="58">
        <v>35</v>
      </c>
      <c r="E106" s="59">
        <v>9.3869012498000004E-4</v>
      </c>
    </row>
    <row r="107" spans="2:5" ht="14.5" customHeight="1">
      <c r="B107" s="92"/>
      <c r="C107" s="57" t="s">
        <v>190</v>
      </c>
      <c r="D107" s="58">
        <v>34</v>
      </c>
      <c r="E107" s="59">
        <v>9.1187040712299998E-4</v>
      </c>
    </row>
    <row r="108" spans="2:5" ht="14.5" customHeight="1">
      <c r="B108" s="92"/>
      <c r="C108" s="57" t="s">
        <v>189</v>
      </c>
      <c r="D108" s="58">
        <v>33</v>
      </c>
      <c r="E108" s="59">
        <v>8.8505068926699999E-4</v>
      </c>
    </row>
    <row r="109" spans="2:5" ht="14.5" customHeight="1">
      <c r="B109" s="92"/>
      <c r="C109" s="57" t="s">
        <v>194</v>
      </c>
      <c r="D109" s="58">
        <v>30</v>
      </c>
      <c r="E109" s="59">
        <v>8.0459153569700001E-4</v>
      </c>
    </row>
    <row r="110" spans="2:5" ht="14.5" customHeight="1">
      <c r="B110" s="92"/>
      <c r="C110" s="57" t="s">
        <v>193</v>
      </c>
      <c r="D110" s="58">
        <v>21</v>
      </c>
      <c r="E110" s="59">
        <v>5.63214074988E-4</v>
      </c>
    </row>
    <row r="111" spans="2:5" ht="14.5" customHeight="1">
      <c r="B111" s="92"/>
      <c r="C111" s="57" t="s">
        <v>195</v>
      </c>
      <c r="D111" s="58">
        <v>19</v>
      </c>
      <c r="E111" s="59">
        <v>5.0957463927499996E-4</v>
      </c>
    </row>
    <row r="112" spans="2:5" ht="14.5" customHeight="1">
      <c r="B112" s="92"/>
      <c r="C112" s="57" t="s">
        <v>196</v>
      </c>
      <c r="D112" s="58">
        <v>12</v>
      </c>
      <c r="E112" s="59">
        <v>3.2183661427899999E-4</v>
      </c>
    </row>
    <row r="113" spans="2:5" ht="14.5" customHeight="1">
      <c r="B113" s="92"/>
      <c r="C113" s="57" t="s">
        <v>199</v>
      </c>
      <c r="D113" s="58">
        <v>7</v>
      </c>
      <c r="E113" s="59">
        <v>1.8773802499599999E-4</v>
      </c>
    </row>
    <row r="114" spans="2:5" ht="14.5" customHeight="1">
      <c r="B114" s="92"/>
      <c r="C114" s="57" t="s">
        <v>197</v>
      </c>
      <c r="D114" s="58">
        <v>5</v>
      </c>
      <c r="E114" s="59">
        <v>1.34098589283E-4</v>
      </c>
    </row>
    <row r="115" spans="2:5" ht="14.5" customHeight="1">
      <c r="B115" s="92"/>
      <c r="C115" s="57" t="s">
        <v>198</v>
      </c>
      <c r="D115" s="58">
        <v>2</v>
      </c>
      <c r="E115" s="59">
        <v>5.3639435713000001E-5</v>
      </c>
    </row>
    <row r="116" spans="2:5" ht="14.5" customHeight="1">
      <c r="B116" s="91"/>
      <c r="C116" s="72" t="s">
        <v>353</v>
      </c>
      <c r="D116" s="71">
        <v>1007</v>
      </c>
      <c r="E116" s="73">
        <v>2.7007455881563999E-2</v>
      </c>
    </row>
    <row r="117" spans="2:5" ht="14.5" customHeight="1">
      <c r="B117" s="90" t="s">
        <v>139</v>
      </c>
      <c r="C117" s="57" t="s">
        <v>185</v>
      </c>
      <c r="D117" s="58">
        <v>122</v>
      </c>
      <c r="E117" s="59">
        <v>3.2720055785009998E-3</v>
      </c>
    </row>
    <row r="118" spans="2:5" ht="14.5" customHeight="1">
      <c r="B118" s="92"/>
      <c r="C118" s="57" t="s">
        <v>187</v>
      </c>
      <c r="D118" s="58">
        <v>120</v>
      </c>
      <c r="E118" s="59">
        <v>3.218366142788E-3</v>
      </c>
    </row>
    <row r="119" spans="2:5" ht="14.5" customHeight="1">
      <c r="B119" s="92"/>
      <c r="C119" s="57" t="s">
        <v>184</v>
      </c>
      <c r="D119" s="58">
        <v>112</v>
      </c>
      <c r="E119" s="59">
        <v>3.0038083999359999E-3</v>
      </c>
    </row>
    <row r="120" spans="2:5" ht="14.5" customHeight="1">
      <c r="B120" s="92"/>
      <c r="C120" s="57" t="s">
        <v>186</v>
      </c>
      <c r="D120" s="58">
        <v>111</v>
      </c>
      <c r="E120" s="59">
        <v>2.9769886820789999E-3</v>
      </c>
    </row>
    <row r="121" spans="2:5" ht="14.5" customHeight="1">
      <c r="B121" s="92"/>
      <c r="C121" s="57" t="s">
        <v>188</v>
      </c>
      <c r="D121" s="58">
        <v>91</v>
      </c>
      <c r="E121" s="59">
        <v>2.4405943249479999E-3</v>
      </c>
    </row>
    <row r="122" spans="2:5" ht="14.5" customHeight="1">
      <c r="B122" s="92"/>
      <c r="C122" s="57" t="s">
        <v>193</v>
      </c>
      <c r="D122" s="58">
        <v>65</v>
      </c>
      <c r="E122" s="59">
        <v>1.743281660677E-3</v>
      </c>
    </row>
    <row r="123" spans="2:5" ht="14.5" customHeight="1">
      <c r="B123" s="92"/>
      <c r="C123" s="57" t="s">
        <v>190</v>
      </c>
      <c r="D123" s="58">
        <v>51</v>
      </c>
      <c r="E123" s="59">
        <v>1.3678056106849999E-3</v>
      </c>
    </row>
    <row r="124" spans="2:5" ht="14.5" customHeight="1">
      <c r="B124" s="92"/>
      <c r="C124" s="57" t="s">
        <v>191</v>
      </c>
      <c r="D124" s="58">
        <v>51</v>
      </c>
      <c r="E124" s="59">
        <v>1.3678056106849999E-3</v>
      </c>
    </row>
    <row r="125" spans="2:5" ht="14.5" customHeight="1">
      <c r="B125" s="92"/>
      <c r="C125" s="57" t="s">
        <v>194</v>
      </c>
      <c r="D125" s="58">
        <v>50</v>
      </c>
      <c r="E125" s="59">
        <v>1.340985892828E-3</v>
      </c>
    </row>
    <row r="126" spans="2:5" ht="14.5" customHeight="1">
      <c r="B126" s="92"/>
      <c r="C126" s="57" t="s">
        <v>192</v>
      </c>
      <c r="D126" s="58">
        <v>50</v>
      </c>
      <c r="E126" s="59">
        <v>1.340985892828E-3</v>
      </c>
    </row>
    <row r="127" spans="2:5" ht="14.5" customHeight="1">
      <c r="B127" s="92"/>
      <c r="C127" s="57" t="s">
        <v>189</v>
      </c>
      <c r="D127" s="58">
        <v>46</v>
      </c>
      <c r="E127" s="59">
        <v>1.2337070214020001E-3</v>
      </c>
    </row>
    <row r="128" spans="2:5" ht="14.5" customHeight="1">
      <c r="B128" s="92"/>
      <c r="C128" s="57" t="s">
        <v>196</v>
      </c>
      <c r="D128" s="58">
        <v>24</v>
      </c>
      <c r="E128" s="59">
        <v>6.4367322855799999E-4</v>
      </c>
    </row>
    <row r="129" spans="2:5" ht="14.5" customHeight="1">
      <c r="B129" s="92"/>
      <c r="C129" s="57" t="s">
        <v>195</v>
      </c>
      <c r="D129" s="58">
        <v>19</v>
      </c>
      <c r="E129" s="59">
        <v>5.0957463927499996E-4</v>
      </c>
    </row>
    <row r="130" spans="2:5" ht="14.5" customHeight="1">
      <c r="B130" s="92"/>
      <c r="C130" s="57" t="s">
        <v>197</v>
      </c>
      <c r="D130" s="58">
        <v>16</v>
      </c>
      <c r="E130" s="59">
        <v>4.2911548570500002E-4</v>
      </c>
    </row>
    <row r="131" spans="2:5" ht="14.5" customHeight="1">
      <c r="B131" s="92"/>
      <c r="C131" s="57" t="s">
        <v>199</v>
      </c>
      <c r="D131" s="58">
        <v>15</v>
      </c>
      <c r="E131" s="59">
        <v>4.0229576784899998E-4</v>
      </c>
    </row>
    <row r="132" spans="2:5" ht="14.5" customHeight="1">
      <c r="B132" s="92"/>
      <c r="C132" s="57" t="s">
        <v>200</v>
      </c>
      <c r="D132" s="58">
        <v>7</v>
      </c>
      <c r="E132" s="59">
        <v>1.8773802499599999E-4</v>
      </c>
    </row>
    <row r="133" spans="2:5" ht="14.5" customHeight="1">
      <c r="B133" s="92"/>
      <c r="C133" s="57" t="s">
        <v>198</v>
      </c>
      <c r="D133" s="58">
        <v>6</v>
      </c>
      <c r="E133" s="59">
        <v>1.6091830713899999E-4</v>
      </c>
    </row>
    <row r="134" spans="2:5" ht="14.5" customHeight="1">
      <c r="B134" s="91"/>
      <c r="C134" s="72" t="s">
        <v>353</v>
      </c>
      <c r="D134" s="71">
        <v>956</v>
      </c>
      <c r="E134" s="73">
        <v>2.5639650270879E-2</v>
      </c>
    </row>
    <row r="135" spans="2:5" ht="14.5" customHeight="1">
      <c r="B135" s="90" t="s">
        <v>140</v>
      </c>
      <c r="C135" s="57" t="s">
        <v>184</v>
      </c>
      <c r="D135" s="58">
        <v>185</v>
      </c>
      <c r="E135" s="59">
        <v>4.9616478034649998E-3</v>
      </c>
    </row>
    <row r="136" spans="2:5" ht="14.5" customHeight="1">
      <c r="B136" s="92"/>
      <c r="C136" s="57" t="s">
        <v>185</v>
      </c>
      <c r="D136" s="58">
        <v>129</v>
      </c>
      <c r="E136" s="59">
        <v>3.4597436034970001E-3</v>
      </c>
    </row>
    <row r="137" spans="2:5" ht="14.5" customHeight="1">
      <c r="B137" s="92"/>
      <c r="C137" s="57" t="s">
        <v>186</v>
      </c>
      <c r="D137" s="58">
        <v>96</v>
      </c>
      <c r="E137" s="59">
        <v>2.5746929142309999E-3</v>
      </c>
    </row>
    <row r="138" spans="2:5" ht="14.5" customHeight="1">
      <c r="B138" s="92"/>
      <c r="C138" s="57" t="s">
        <v>187</v>
      </c>
      <c r="D138" s="58">
        <v>84</v>
      </c>
      <c r="E138" s="59">
        <v>2.252856299952E-3</v>
      </c>
    </row>
    <row r="139" spans="2:5" ht="14.5" customHeight="1">
      <c r="B139" s="92"/>
      <c r="C139" s="57" t="s">
        <v>188</v>
      </c>
      <c r="D139" s="58">
        <v>63</v>
      </c>
      <c r="E139" s="59">
        <v>1.689642224964E-3</v>
      </c>
    </row>
    <row r="140" spans="2:5" ht="14.5" customHeight="1">
      <c r="B140" s="92"/>
      <c r="C140" s="57" t="s">
        <v>189</v>
      </c>
      <c r="D140" s="58">
        <v>60</v>
      </c>
      <c r="E140" s="59">
        <v>1.609183071394E-3</v>
      </c>
    </row>
    <row r="141" spans="2:5" ht="14.5" customHeight="1">
      <c r="B141" s="92"/>
      <c r="C141" s="57" t="s">
        <v>191</v>
      </c>
      <c r="D141" s="58">
        <v>54</v>
      </c>
      <c r="E141" s="59">
        <v>1.4482647642550001E-3</v>
      </c>
    </row>
    <row r="142" spans="2:5" ht="14.5" customHeight="1">
      <c r="B142" s="92"/>
      <c r="C142" s="57" t="s">
        <v>193</v>
      </c>
      <c r="D142" s="58">
        <v>49</v>
      </c>
      <c r="E142" s="59">
        <v>1.3141661749720001E-3</v>
      </c>
    </row>
    <row r="143" spans="2:5" ht="14.5" customHeight="1">
      <c r="B143" s="92"/>
      <c r="C143" s="57" t="s">
        <v>190</v>
      </c>
      <c r="D143" s="58">
        <v>42</v>
      </c>
      <c r="E143" s="59">
        <v>1.126428149976E-3</v>
      </c>
    </row>
    <row r="144" spans="2:5" ht="14.5" customHeight="1">
      <c r="B144" s="92"/>
      <c r="C144" s="57" t="s">
        <v>192</v>
      </c>
      <c r="D144" s="58">
        <v>34</v>
      </c>
      <c r="E144" s="59">
        <v>9.1187040712299998E-4</v>
      </c>
    </row>
    <row r="145" spans="2:5" ht="14.5" customHeight="1">
      <c r="B145" s="92"/>
      <c r="C145" s="57" t="s">
        <v>194</v>
      </c>
      <c r="D145" s="58">
        <v>30</v>
      </c>
      <c r="E145" s="59">
        <v>8.0459153569700001E-4</v>
      </c>
    </row>
    <row r="146" spans="2:5" ht="14.5" customHeight="1">
      <c r="B146" s="92"/>
      <c r="C146" s="57" t="s">
        <v>195</v>
      </c>
      <c r="D146" s="58">
        <v>22</v>
      </c>
      <c r="E146" s="59">
        <v>5.9003379284399999E-4</v>
      </c>
    </row>
    <row r="147" spans="2:5" ht="14.5" customHeight="1">
      <c r="B147" s="92"/>
      <c r="C147" s="57" t="s">
        <v>197</v>
      </c>
      <c r="D147" s="58">
        <v>15</v>
      </c>
      <c r="E147" s="59">
        <v>4.0229576784899998E-4</v>
      </c>
    </row>
    <row r="148" spans="2:5" ht="14.5" customHeight="1">
      <c r="B148" s="92"/>
      <c r="C148" s="57" t="s">
        <v>196</v>
      </c>
      <c r="D148" s="58">
        <v>12</v>
      </c>
      <c r="E148" s="59">
        <v>3.2183661427899999E-4</v>
      </c>
    </row>
    <row r="149" spans="2:5" ht="14.5" customHeight="1">
      <c r="B149" s="92"/>
      <c r="C149" s="57" t="s">
        <v>200</v>
      </c>
      <c r="D149" s="58">
        <v>11</v>
      </c>
      <c r="E149" s="59">
        <v>2.9501689642199999E-4</v>
      </c>
    </row>
    <row r="150" spans="2:5" ht="14.5" customHeight="1">
      <c r="B150" s="92"/>
      <c r="C150" s="57" t="s">
        <v>199</v>
      </c>
      <c r="D150" s="58">
        <v>7</v>
      </c>
      <c r="E150" s="59">
        <v>1.8773802499599999E-4</v>
      </c>
    </row>
    <row r="151" spans="2:5" ht="14.5" customHeight="1">
      <c r="B151" s="92"/>
      <c r="C151" s="57" t="s">
        <v>198</v>
      </c>
      <c r="D151" s="58">
        <v>6</v>
      </c>
      <c r="E151" s="59">
        <v>1.6091830713899999E-4</v>
      </c>
    </row>
    <row r="152" spans="2:5" ht="14.5" customHeight="1">
      <c r="B152" s="91"/>
      <c r="C152" s="72" t="s">
        <v>353</v>
      </c>
      <c r="D152" s="71">
        <v>899</v>
      </c>
      <c r="E152" s="73">
        <v>2.4110926353055E-2</v>
      </c>
    </row>
    <row r="153" spans="2:5" ht="14.5" customHeight="1">
      <c r="B153" s="90" t="s">
        <v>141</v>
      </c>
      <c r="C153" s="57" t="s">
        <v>184</v>
      </c>
      <c r="D153" s="58">
        <v>98</v>
      </c>
      <c r="E153" s="59">
        <v>2.6283323499440001E-3</v>
      </c>
    </row>
    <row r="154" spans="2:5" ht="14.5" customHeight="1">
      <c r="B154" s="92"/>
      <c r="C154" s="57" t="s">
        <v>186</v>
      </c>
      <c r="D154" s="58">
        <v>94</v>
      </c>
      <c r="E154" s="59">
        <v>2.521053478517E-3</v>
      </c>
    </row>
    <row r="155" spans="2:5" ht="14.5" customHeight="1">
      <c r="B155" s="92"/>
      <c r="C155" s="57" t="s">
        <v>185</v>
      </c>
      <c r="D155" s="58">
        <v>82</v>
      </c>
      <c r="E155" s="59">
        <v>2.1992168642390002E-3</v>
      </c>
    </row>
    <row r="156" spans="2:5" ht="14.5" customHeight="1">
      <c r="B156" s="92"/>
      <c r="C156" s="57" t="s">
        <v>187</v>
      </c>
      <c r="D156" s="58">
        <v>74</v>
      </c>
      <c r="E156" s="59">
        <v>1.9846591213859999E-3</v>
      </c>
    </row>
    <row r="157" spans="2:5" ht="14.5" customHeight="1">
      <c r="B157" s="92"/>
      <c r="C157" s="57" t="s">
        <v>191</v>
      </c>
      <c r="D157" s="58">
        <v>58</v>
      </c>
      <c r="E157" s="59">
        <v>1.555543635681E-3</v>
      </c>
    </row>
    <row r="158" spans="2:5" ht="14.5" customHeight="1">
      <c r="B158" s="92"/>
      <c r="C158" s="57" t="s">
        <v>192</v>
      </c>
      <c r="D158" s="58">
        <v>51</v>
      </c>
      <c r="E158" s="59">
        <v>1.3678056106849999E-3</v>
      </c>
    </row>
    <row r="159" spans="2:5" ht="14.5" customHeight="1">
      <c r="B159" s="92"/>
      <c r="C159" s="57" t="s">
        <v>188</v>
      </c>
      <c r="D159" s="58">
        <v>50</v>
      </c>
      <c r="E159" s="59">
        <v>1.340985892828E-3</v>
      </c>
    </row>
    <row r="160" spans="2:5" ht="14.5" customHeight="1">
      <c r="B160" s="92"/>
      <c r="C160" s="57" t="s">
        <v>190</v>
      </c>
      <c r="D160" s="58">
        <v>40</v>
      </c>
      <c r="E160" s="59">
        <v>1.072788714263E-3</v>
      </c>
    </row>
    <row r="161" spans="2:5" ht="14.5" customHeight="1">
      <c r="B161" s="92"/>
      <c r="C161" s="57" t="s">
        <v>189</v>
      </c>
      <c r="D161" s="58">
        <v>38</v>
      </c>
      <c r="E161" s="59">
        <v>1.0191492785499999E-3</v>
      </c>
    </row>
    <row r="162" spans="2:5" ht="14.5" customHeight="1">
      <c r="B162" s="92"/>
      <c r="C162" s="57" t="s">
        <v>193</v>
      </c>
      <c r="D162" s="58">
        <v>36</v>
      </c>
      <c r="E162" s="59">
        <v>9.6550984283600002E-4</v>
      </c>
    </row>
    <row r="163" spans="2:5" ht="14.5" customHeight="1">
      <c r="B163" s="92"/>
      <c r="C163" s="57" t="s">
        <v>194</v>
      </c>
      <c r="D163" s="58">
        <v>33</v>
      </c>
      <c r="E163" s="59">
        <v>8.8505068926699999E-4</v>
      </c>
    </row>
    <row r="164" spans="2:5" ht="14.5" customHeight="1">
      <c r="B164" s="92"/>
      <c r="C164" s="57" t="s">
        <v>195</v>
      </c>
      <c r="D164" s="58">
        <v>22</v>
      </c>
      <c r="E164" s="59">
        <v>5.9003379284399999E-4</v>
      </c>
    </row>
    <row r="165" spans="2:5" ht="14.5" customHeight="1">
      <c r="B165" s="92"/>
      <c r="C165" s="57" t="s">
        <v>196</v>
      </c>
      <c r="D165" s="58">
        <v>18</v>
      </c>
      <c r="E165" s="59">
        <v>4.8275492141800001E-4</v>
      </c>
    </row>
    <row r="166" spans="2:5" ht="14.5" customHeight="1">
      <c r="B166" s="92"/>
      <c r="C166" s="57" t="s">
        <v>197</v>
      </c>
      <c r="D166" s="58">
        <v>4</v>
      </c>
      <c r="E166" s="59">
        <v>1.07278871426E-4</v>
      </c>
    </row>
    <row r="167" spans="2:5" ht="14.5" customHeight="1">
      <c r="B167" s="92"/>
      <c r="C167" s="57" t="s">
        <v>199</v>
      </c>
      <c r="D167" s="58">
        <v>4</v>
      </c>
      <c r="E167" s="59">
        <v>1.07278871426E-4</v>
      </c>
    </row>
    <row r="168" spans="2:5" ht="14.5" customHeight="1">
      <c r="B168" s="92"/>
      <c r="C168" s="57" t="s">
        <v>198</v>
      </c>
      <c r="D168" s="58">
        <v>4</v>
      </c>
      <c r="E168" s="59">
        <v>1.07278871426E-4</v>
      </c>
    </row>
    <row r="169" spans="2:5" ht="14.5" customHeight="1">
      <c r="B169" s="92"/>
      <c r="C169" s="57" t="s">
        <v>200</v>
      </c>
      <c r="D169" s="58">
        <v>3</v>
      </c>
      <c r="E169" s="59">
        <v>8.0459153570000002E-5</v>
      </c>
    </row>
    <row r="170" spans="2:5" ht="14.5" customHeight="1">
      <c r="B170" s="91"/>
      <c r="C170" s="72" t="s">
        <v>353</v>
      </c>
      <c r="D170" s="71">
        <v>709</v>
      </c>
      <c r="E170" s="73">
        <v>1.9015179960307001E-2</v>
      </c>
    </row>
    <row r="171" spans="2:5" ht="14.5" customHeight="1">
      <c r="B171" s="90" t="s">
        <v>142</v>
      </c>
      <c r="C171" s="57" t="s">
        <v>184</v>
      </c>
      <c r="D171" s="58">
        <v>315</v>
      </c>
      <c r="E171" s="59">
        <v>8.4482111248189995E-3</v>
      </c>
    </row>
    <row r="172" spans="2:5" ht="14.5" customHeight="1">
      <c r="B172" s="92"/>
      <c r="C172" s="57" t="s">
        <v>187</v>
      </c>
      <c r="D172" s="58">
        <v>60</v>
      </c>
      <c r="E172" s="59">
        <v>1.609183071394E-3</v>
      </c>
    </row>
    <row r="173" spans="2:5" ht="14.5" customHeight="1">
      <c r="B173" s="92"/>
      <c r="C173" s="57" t="s">
        <v>186</v>
      </c>
      <c r="D173" s="58">
        <v>54</v>
      </c>
      <c r="E173" s="59">
        <v>1.4482647642550001E-3</v>
      </c>
    </row>
    <row r="174" spans="2:5" ht="14.5" customHeight="1">
      <c r="B174" s="92"/>
      <c r="C174" s="57" t="s">
        <v>188</v>
      </c>
      <c r="D174" s="58">
        <v>43</v>
      </c>
      <c r="E174" s="59">
        <v>1.1532478678320001E-3</v>
      </c>
    </row>
    <row r="175" spans="2:5" ht="14.5" customHeight="1">
      <c r="B175" s="92"/>
      <c r="C175" s="57" t="s">
        <v>185</v>
      </c>
      <c r="D175" s="58">
        <v>40</v>
      </c>
      <c r="E175" s="59">
        <v>1.072788714263E-3</v>
      </c>
    </row>
    <row r="176" spans="2:5" ht="14.5" customHeight="1">
      <c r="B176" s="92"/>
      <c r="C176" s="57" t="s">
        <v>193</v>
      </c>
      <c r="D176" s="58">
        <v>28</v>
      </c>
      <c r="E176" s="59">
        <v>7.5095209998399996E-4</v>
      </c>
    </row>
    <row r="177" spans="2:5" ht="14.5" customHeight="1">
      <c r="B177" s="92"/>
      <c r="C177" s="57" t="s">
        <v>190</v>
      </c>
      <c r="D177" s="58">
        <v>27</v>
      </c>
      <c r="E177" s="59">
        <v>7.2413238212700002E-4</v>
      </c>
    </row>
    <row r="178" spans="2:5" ht="14.5" customHeight="1">
      <c r="B178" s="92"/>
      <c r="C178" s="57" t="s">
        <v>192</v>
      </c>
      <c r="D178" s="58">
        <v>25</v>
      </c>
      <c r="E178" s="59">
        <v>6.7049294641399998E-4</v>
      </c>
    </row>
    <row r="179" spans="2:5" ht="14.5" customHeight="1">
      <c r="B179" s="92"/>
      <c r="C179" s="57" t="s">
        <v>189</v>
      </c>
      <c r="D179" s="58">
        <v>22</v>
      </c>
      <c r="E179" s="59">
        <v>5.9003379284399999E-4</v>
      </c>
    </row>
    <row r="180" spans="2:5" ht="14.5" customHeight="1">
      <c r="B180" s="92"/>
      <c r="C180" s="57" t="s">
        <v>191</v>
      </c>
      <c r="D180" s="58">
        <v>18</v>
      </c>
      <c r="E180" s="59">
        <v>4.8275492141800001E-4</v>
      </c>
    </row>
    <row r="181" spans="2:5" ht="14.5" customHeight="1">
      <c r="B181" s="92"/>
      <c r="C181" s="57" t="s">
        <v>195</v>
      </c>
      <c r="D181" s="58">
        <v>14</v>
      </c>
      <c r="E181" s="59">
        <v>3.7547604999199998E-4</v>
      </c>
    </row>
    <row r="182" spans="2:5" ht="14.5" customHeight="1">
      <c r="B182" s="92"/>
      <c r="C182" s="57" t="s">
        <v>197</v>
      </c>
      <c r="D182" s="58">
        <v>13</v>
      </c>
      <c r="E182" s="59">
        <v>3.4865633213499998E-4</v>
      </c>
    </row>
    <row r="183" spans="2:5" ht="14.5" customHeight="1">
      <c r="B183" s="92"/>
      <c r="C183" s="57" t="s">
        <v>199</v>
      </c>
      <c r="D183" s="58">
        <v>9</v>
      </c>
      <c r="E183" s="59">
        <v>2.4137746070900001E-4</v>
      </c>
    </row>
    <row r="184" spans="2:5" ht="14.5" customHeight="1">
      <c r="B184" s="92"/>
      <c r="C184" s="57" t="s">
        <v>194</v>
      </c>
      <c r="D184" s="58">
        <v>8</v>
      </c>
      <c r="E184" s="59">
        <v>2.1455774285299999E-4</v>
      </c>
    </row>
    <row r="185" spans="2:5" ht="14.5" customHeight="1">
      <c r="B185" s="92"/>
      <c r="C185" s="57" t="s">
        <v>196</v>
      </c>
      <c r="D185" s="58">
        <v>8</v>
      </c>
      <c r="E185" s="59">
        <v>2.1455774285299999E-4</v>
      </c>
    </row>
    <row r="186" spans="2:5" ht="14.5" customHeight="1">
      <c r="B186" s="92"/>
      <c r="C186" s="57" t="s">
        <v>200</v>
      </c>
      <c r="D186" s="58">
        <v>3</v>
      </c>
      <c r="E186" s="59">
        <v>8.0459153570000002E-5</v>
      </c>
    </row>
    <row r="187" spans="2:5" ht="14.5" customHeight="1">
      <c r="B187" s="92"/>
      <c r="C187" s="57" t="s">
        <v>198</v>
      </c>
      <c r="D187" s="58">
        <v>2</v>
      </c>
      <c r="E187" s="59">
        <v>5.3639435713000001E-5</v>
      </c>
    </row>
    <row r="188" spans="2:5" ht="14.5" customHeight="1">
      <c r="B188" s="91"/>
      <c r="C188" s="72" t="s">
        <v>353</v>
      </c>
      <c r="D188" s="71">
        <v>689</v>
      </c>
      <c r="E188" s="73">
        <v>1.8478785603175001E-2</v>
      </c>
    </row>
    <row r="189" spans="2:5" ht="14.5" customHeight="1">
      <c r="B189" s="90" t="s">
        <v>143</v>
      </c>
      <c r="C189" s="57" t="s">
        <v>184</v>
      </c>
      <c r="D189" s="58">
        <v>152</v>
      </c>
      <c r="E189" s="59">
        <v>4.0765971141980004E-3</v>
      </c>
    </row>
    <row r="190" spans="2:5" ht="14.5" customHeight="1">
      <c r="B190" s="92"/>
      <c r="C190" s="57" t="s">
        <v>185</v>
      </c>
      <c r="D190" s="58">
        <v>92</v>
      </c>
      <c r="E190" s="59">
        <v>2.4674140428040002E-3</v>
      </c>
    </row>
    <row r="191" spans="2:5" ht="14.5" customHeight="1">
      <c r="B191" s="92"/>
      <c r="C191" s="57" t="s">
        <v>186</v>
      </c>
      <c r="D191" s="58">
        <v>59</v>
      </c>
      <c r="E191" s="59">
        <v>1.5823633535379999E-3</v>
      </c>
    </row>
    <row r="192" spans="2:5" ht="14.5" customHeight="1">
      <c r="B192" s="92"/>
      <c r="C192" s="57" t="s">
        <v>187</v>
      </c>
      <c r="D192" s="58">
        <v>52</v>
      </c>
      <c r="E192" s="59">
        <v>1.3946253285420001E-3</v>
      </c>
    </row>
    <row r="193" spans="2:5" ht="14.5" customHeight="1">
      <c r="B193" s="92"/>
      <c r="C193" s="57" t="s">
        <v>193</v>
      </c>
      <c r="D193" s="58">
        <v>42</v>
      </c>
      <c r="E193" s="59">
        <v>1.126428149976E-3</v>
      </c>
    </row>
    <row r="194" spans="2:5" ht="14.5" customHeight="1">
      <c r="B194" s="92"/>
      <c r="C194" s="57" t="s">
        <v>190</v>
      </c>
      <c r="D194" s="58">
        <v>39</v>
      </c>
      <c r="E194" s="59">
        <v>1.045968996406E-3</v>
      </c>
    </row>
    <row r="195" spans="2:5" ht="14.5" customHeight="1">
      <c r="B195" s="92"/>
      <c r="C195" s="57" t="s">
        <v>188</v>
      </c>
      <c r="D195" s="58">
        <v>38</v>
      </c>
      <c r="E195" s="59">
        <v>1.0191492785499999E-3</v>
      </c>
    </row>
    <row r="196" spans="2:5" ht="14.5" customHeight="1">
      <c r="B196" s="92"/>
      <c r="C196" s="57" t="s">
        <v>189</v>
      </c>
      <c r="D196" s="58">
        <v>33</v>
      </c>
      <c r="E196" s="59">
        <v>8.8505068926699999E-4</v>
      </c>
    </row>
    <row r="197" spans="2:5" ht="14.5" customHeight="1">
      <c r="B197" s="92"/>
      <c r="C197" s="57" t="s">
        <v>192</v>
      </c>
      <c r="D197" s="58">
        <v>29</v>
      </c>
      <c r="E197" s="59">
        <v>7.7777181783999995E-4</v>
      </c>
    </row>
    <row r="198" spans="2:5" ht="14.5" customHeight="1">
      <c r="B198" s="92"/>
      <c r="C198" s="57" t="s">
        <v>191</v>
      </c>
      <c r="D198" s="58">
        <v>26</v>
      </c>
      <c r="E198" s="59">
        <v>6.9731266427100003E-4</v>
      </c>
    </row>
    <row r="199" spans="2:5" ht="14.5" customHeight="1">
      <c r="B199" s="92"/>
      <c r="C199" s="57" t="s">
        <v>194</v>
      </c>
      <c r="D199" s="58">
        <v>14</v>
      </c>
      <c r="E199" s="59">
        <v>3.7547604999199998E-4</v>
      </c>
    </row>
    <row r="200" spans="2:5" ht="14.5" customHeight="1">
      <c r="B200" s="92"/>
      <c r="C200" s="57" t="s">
        <v>195</v>
      </c>
      <c r="D200" s="58">
        <v>12</v>
      </c>
      <c r="E200" s="59">
        <v>3.2183661427899999E-4</v>
      </c>
    </row>
    <row r="201" spans="2:5" ht="14.5" customHeight="1">
      <c r="B201" s="92"/>
      <c r="C201" s="57" t="s">
        <v>196</v>
      </c>
      <c r="D201" s="58">
        <v>10</v>
      </c>
      <c r="E201" s="59">
        <v>2.6819717856600001E-4</v>
      </c>
    </row>
    <row r="202" spans="2:5" ht="14.5" customHeight="1">
      <c r="B202" s="92"/>
      <c r="C202" s="57" t="s">
        <v>199</v>
      </c>
      <c r="D202" s="58">
        <v>5</v>
      </c>
      <c r="E202" s="59">
        <v>1.34098589283E-4</v>
      </c>
    </row>
    <row r="203" spans="2:5" ht="14.5" customHeight="1">
      <c r="B203" s="92"/>
      <c r="C203" s="57" t="s">
        <v>198</v>
      </c>
      <c r="D203" s="58">
        <v>5</v>
      </c>
      <c r="E203" s="59">
        <v>1.34098589283E-4</v>
      </c>
    </row>
    <row r="204" spans="2:5" ht="14.5" customHeight="1">
      <c r="B204" s="92"/>
      <c r="C204" s="57" t="s">
        <v>197</v>
      </c>
      <c r="D204" s="58">
        <v>3</v>
      </c>
      <c r="E204" s="59">
        <v>8.0459153570000002E-5</v>
      </c>
    </row>
    <row r="205" spans="2:5" ht="14.5" customHeight="1">
      <c r="B205" s="92"/>
      <c r="C205" s="57" t="s">
        <v>200</v>
      </c>
      <c r="D205" s="58">
        <v>1</v>
      </c>
      <c r="E205" s="59">
        <v>2.6819717857000001E-5</v>
      </c>
    </row>
    <row r="206" spans="2:5" ht="14.5" customHeight="1">
      <c r="B206" s="91"/>
      <c r="C206" s="72" t="s">
        <v>353</v>
      </c>
      <c r="D206" s="71">
        <v>612</v>
      </c>
      <c r="E206" s="73">
        <v>1.641366732822E-2</v>
      </c>
    </row>
    <row r="207" spans="2:5" ht="14.5" customHeight="1">
      <c r="B207" s="90" t="s">
        <v>144</v>
      </c>
      <c r="C207" s="57" t="s">
        <v>184</v>
      </c>
      <c r="D207" s="58">
        <v>240</v>
      </c>
      <c r="E207" s="59">
        <v>6.436732285576E-3</v>
      </c>
    </row>
    <row r="208" spans="2:5" ht="14.5" customHeight="1">
      <c r="B208" s="92"/>
      <c r="C208" s="57" t="s">
        <v>186</v>
      </c>
      <c r="D208" s="58">
        <v>41</v>
      </c>
      <c r="E208" s="59">
        <v>1.0996084321190001E-3</v>
      </c>
    </row>
    <row r="209" spans="2:5" ht="14.5" customHeight="1">
      <c r="B209" s="92"/>
      <c r="C209" s="57" t="s">
        <v>185</v>
      </c>
      <c r="D209" s="58">
        <v>40</v>
      </c>
      <c r="E209" s="59">
        <v>1.072788714263E-3</v>
      </c>
    </row>
    <row r="210" spans="2:5" ht="14.5" customHeight="1">
      <c r="B210" s="92"/>
      <c r="C210" s="57" t="s">
        <v>192</v>
      </c>
      <c r="D210" s="58">
        <v>31</v>
      </c>
      <c r="E210" s="59">
        <v>8.3141125355399995E-4</v>
      </c>
    </row>
    <row r="211" spans="2:5" ht="14.5" customHeight="1">
      <c r="B211" s="92"/>
      <c r="C211" s="57" t="s">
        <v>188</v>
      </c>
      <c r="D211" s="58">
        <v>29</v>
      </c>
      <c r="E211" s="59">
        <v>7.7777181783999995E-4</v>
      </c>
    </row>
    <row r="212" spans="2:5" ht="14.5" customHeight="1">
      <c r="B212" s="92"/>
      <c r="C212" s="57" t="s">
        <v>187</v>
      </c>
      <c r="D212" s="58">
        <v>26</v>
      </c>
      <c r="E212" s="59">
        <v>6.9731266427100003E-4</v>
      </c>
    </row>
    <row r="213" spans="2:5" ht="14.5" customHeight="1">
      <c r="B213" s="92"/>
      <c r="C213" s="57" t="s">
        <v>191</v>
      </c>
      <c r="D213" s="58">
        <v>25</v>
      </c>
      <c r="E213" s="59">
        <v>6.7049294641399998E-4</v>
      </c>
    </row>
    <row r="214" spans="2:5" ht="14.5" customHeight="1">
      <c r="B214" s="92"/>
      <c r="C214" s="57" t="s">
        <v>189</v>
      </c>
      <c r="D214" s="58">
        <v>21</v>
      </c>
      <c r="E214" s="59">
        <v>5.63214074988E-4</v>
      </c>
    </row>
    <row r="215" spans="2:5" ht="14.5" customHeight="1">
      <c r="B215" s="92"/>
      <c r="C215" s="57" t="s">
        <v>190</v>
      </c>
      <c r="D215" s="58">
        <v>21</v>
      </c>
      <c r="E215" s="59">
        <v>5.63214074988E-4</v>
      </c>
    </row>
    <row r="216" spans="2:5" ht="14.5" customHeight="1">
      <c r="B216" s="92"/>
      <c r="C216" s="57" t="s">
        <v>193</v>
      </c>
      <c r="D216" s="58">
        <v>19</v>
      </c>
      <c r="E216" s="59">
        <v>5.0957463927499996E-4</v>
      </c>
    </row>
    <row r="217" spans="2:5" ht="14.5" customHeight="1">
      <c r="B217" s="92"/>
      <c r="C217" s="57" t="s">
        <v>195</v>
      </c>
      <c r="D217" s="58">
        <v>16</v>
      </c>
      <c r="E217" s="59">
        <v>4.2911548570500002E-4</v>
      </c>
    </row>
    <row r="218" spans="2:5" ht="14.5" customHeight="1">
      <c r="B218" s="92"/>
      <c r="C218" s="57" t="s">
        <v>194</v>
      </c>
      <c r="D218" s="58">
        <v>9</v>
      </c>
      <c r="E218" s="59">
        <v>2.4137746070900001E-4</v>
      </c>
    </row>
    <row r="219" spans="2:5" ht="14.5" customHeight="1">
      <c r="B219" s="92"/>
      <c r="C219" s="57" t="s">
        <v>196</v>
      </c>
      <c r="D219" s="58">
        <v>9</v>
      </c>
      <c r="E219" s="59">
        <v>2.4137746070900001E-4</v>
      </c>
    </row>
    <row r="220" spans="2:5" ht="14.5" customHeight="1">
      <c r="B220" s="92"/>
      <c r="C220" s="57" t="s">
        <v>198</v>
      </c>
      <c r="D220" s="58">
        <v>5</v>
      </c>
      <c r="E220" s="59">
        <v>1.34098589283E-4</v>
      </c>
    </row>
    <row r="221" spans="2:5" ht="14.5" customHeight="1">
      <c r="B221" s="92"/>
      <c r="C221" s="57" t="s">
        <v>200</v>
      </c>
      <c r="D221" s="58">
        <v>4</v>
      </c>
      <c r="E221" s="59">
        <v>1.07278871426E-4</v>
      </c>
    </row>
    <row r="222" spans="2:5" ht="14.5" customHeight="1">
      <c r="B222" s="92"/>
      <c r="C222" s="57" t="s">
        <v>197</v>
      </c>
      <c r="D222" s="58">
        <v>4</v>
      </c>
      <c r="E222" s="59">
        <v>1.07278871426E-4</v>
      </c>
    </row>
    <row r="223" spans="2:5" ht="14.5" customHeight="1">
      <c r="B223" s="92"/>
      <c r="C223" s="57" t="s">
        <v>199</v>
      </c>
      <c r="D223" s="58">
        <v>3</v>
      </c>
      <c r="E223" s="59">
        <v>8.0459153570000002E-5</v>
      </c>
    </row>
    <row r="224" spans="2:5" ht="14.5" customHeight="1">
      <c r="B224" s="91"/>
      <c r="C224" s="72" t="s">
        <v>353</v>
      </c>
      <c r="D224" s="71">
        <v>543</v>
      </c>
      <c r="E224" s="73">
        <v>1.4563106796117E-2</v>
      </c>
    </row>
    <row r="225" spans="2:5" ht="14.5" customHeight="1">
      <c r="B225" s="90" t="s">
        <v>145</v>
      </c>
      <c r="C225" s="57" t="s">
        <v>185</v>
      </c>
      <c r="D225" s="58">
        <v>76</v>
      </c>
      <c r="E225" s="59">
        <v>2.0382985570990002E-3</v>
      </c>
    </row>
    <row r="226" spans="2:5" ht="14.5" customHeight="1">
      <c r="B226" s="92"/>
      <c r="C226" s="57" t="s">
        <v>184</v>
      </c>
      <c r="D226" s="58">
        <v>61</v>
      </c>
      <c r="E226" s="59">
        <v>1.636002789251E-3</v>
      </c>
    </row>
    <row r="227" spans="2:5" ht="14.5" customHeight="1">
      <c r="B227" s="92"/>
      <c r="C227" s="57" t="s">
        <v>186</v>
      </c>
      <c r="D227" s="58">
        <v>58</v>
      </c>
      <c r="E227" s="59">
        <v>1.555543635681E-3</v>
      </c>
    </row>
    <row r="228" spans="2:5" ht="14.5" customHeight="1">
      <c r="B228" s="92"/>
      <c r="C228" s="57" t="s">
        <v>187</v>
      </c>
      <c r="D228" s="58">
        <v>48</v>
      </c>
      <c r="E228" s="59">
        <v>1.2873464571149999E-3</v>
      </c>
    </row>
    <row r="229" spans="2:5" ht="14.5" customHeight="1">
      <c r="B229" s="92"/>
      <c r="C229" s="57" t="s">
        <v>191</v>
      </c>
      <c r="D229" s="58">
        <v>45</v>
      </c>
      <c r="E229" s="59">
        <v>1.206887303546E-3</v>
      </c>
    </row>
    <row r="230" spans="2:5" ht="14.5" customHeight="1">
      <c r="B230" s="92"/>
      <c r="C230" s="57" t="s">
        <v>188</v>
      </c>
      <c r="D230" s="58">
        <v>39</v>
      </c>
      <c r="E230" s="59">
        <v>1.045968996406E-3</v>
      </c>
    </row>
    <row r="231" spans="2:5" ht="14.5" customHeight="1">
      <c r="B231" s="92"/>
      <c r="C231" s="57" t="s">
        <v>193</v>
      </c>
      <c r="D231" s="58">
        <v>34</v>
      </c>
      <c r="E231" s="59">
        <v>9.1187040712299998E-4</v>
      </c>
    </row>
    <row r="232" spans="2:5" ht="14.5" customHeight="1">
      <c r="B232" s="92"/>
      <c r="C232" s="57" t="s">
        <v>190</v>
      </c>
      <c r="D232" s="58">
        <v>30</v>
      </c>
      <c r="E232" s="59">
        <v>8.0459153569700001E-4</v>
      </c>
    </row>
    <row r="233" spans="2:5" ht="14.5" customHeight="1">
      <c r="B233" s="92"/>
      <c r="C233" s="57" t="s">
        <v>189</v>
      </c>
      <c r="D233" s="58">
        <v>29</v>
      </c>
      <c r="E233" s="59">
        <v>7.7777181783999995E-4</v>
      </c>
    </row>
    <row r="234" spans="2:5" ht="14.5" customHeight="1">
      <c r="B234" s="92"/>
      <c r="C234" s="57" t="s">
        <v>194</v>
      </c>
      <c r="D234" s="58">
        <v>28</v>
      </c>
      <c r="E234" s="59">
        <v>7.5095209998399996E-4</v>
      </c>
    </row>
    <row r="235" spans="2:5" ht="14.5" customHeight="1">
      <c r="B235" s="92"/>
      <c r="C235" s="57" t="s">
        <v>192</v>
      </c>
      <c r="D235" s="58">
        <v>21</v>
      </c>
      <c r="E235" s="59">
        <v>5.63214074988E-4</v>
      </c>
    </row>
    <row r="236" spans="2:5" ht="14.5" customHeight="1">
      <c r="B236" s="92"/>
      <c r="C236" s="57" t="s">
        <v>196</v>
      </c>
      <c r="D236" s="58">
        <v>19</v>
      </c>
      <c r="E236" s="59">
        <v>5.0957463927499996E-4</v>
      </c>
    </row>
    <row r="237" spans="2:5" ht="14.5" customHeight="1">
      <c r="B237" s="92"/>
      <c r="C237" s="57" t="s">
        <v>195</v>
      </c>
      <c r="D237" s="58">
        <v>18</v>
      </c>
      <c r="E237" s="59">
        <v>4.8275492141800001E-4</v>
      </c>
    </row>
    <row r="238" spans="2:5" ht="14.5" customHeight="1">
      <c r="B238" s="92"/>
      <c r="C238" s="57" t="s">
        <v>197</v>
      </c>
      <c r="D238" s="58">
        <v>9</v>
      </c>
      <c r="E238" s="59">
        <v>2.4137746070900001E-4</v>
      </c>
    </row>
    <row r="239" spans="2:5" ht="14.5" customHeight="1">
      <c r="B239" s="92"/>
      <c r="C239" s="57" t="s">
        <v>198</v>
      </c>
      <c r="D239" s="58">
        <v>6</v>
      </c>
      <c r="E239" s="59">
        <v>1.6091830713899999E-4</v>
      </c>
    </row>
    <row r="240" spans="2:5" ht="14.5" customHeight="1">
      <c r="B240" s="92"/>
      <c r="C240" s="57" t="s">
        <v>199</v>
      </c>
      <c r="D240" s="58">
        <v>5</v>
      </c>
      <c r="E240" s="59">
        <v>1.34098589283E-4</v>
      </c>
    </row>
    <row r="241" spans="2:5" ht="14.5" customHeight="1">
      <c r="B241" s="92"/>
      <c r="C241" s="57" t="s">
        <v>200</v>
      </c>
      <c r="D241" s="58">
        <v>4</v>
      </c>
      <c r="E241" s="59">
        <v>1.07278871426E-4</v>
      </c>
    </row>
    <row r="242" spans="2:5" ht="14.5" customHeight="1">
      <c r="B242" s="91"/>
      <c r="C242" s="72" t="s">
        <v>353</v>
      </c>
      <c r="D242" s="71">
        <v>530</v>
      </c>
      <c r="E242" s="73">
        <v>1.4214450463980999E-2</v>
      </c>
    </row>
    <row r="243" spans="2:5" ht="14.5" customHeight="1">
      <c r="B243" s="90" t="s">
        <v>146</v>
      </c>
      <c r="C243" s="57" t="s">
        <v>184</v>
      </c>
      <c r="D243" s="58">
        <v>189</v>
      </c>
      <c r="E243" s="59">
        <v>5.0689266748910004E-3</v>
      </c>
    </row>
    <row r="244" spans="2:5" ht="14.5" customHeight="1">
      <c r="B244" s="92"/>
      <c r="C244" s="57" t="s">
        <v>185</v>
      </c>
      <c r="D244" s="58">
        <v>53</v>
      </c>
      <c r="E244" s="59">
        <v>1.4214450463979999E-3</v>
      </c>
    </row>
    <row r="245" spans="2:5" ht="14.5" customHeight="1">
      <c r="B245" s="92"/>
      <c r="C245" s="57" t="s">
        <v>187</v>
      </c>
      <c r="D245" s="58">
        <v>40</v>
      </c>
      <c r="E245" s="59">
        <v>1.072788714263E-3</v>
      </c>
    </row>
    <row r="246" spans="2:5" ht="14.5" customHeight="1">
      <c r="B246" s="92"/>
      <c r="C246" s="57" t="s">
        <v>186</v>
      </c>
      <c r="D246" s="58">
        <v>39</v>
      </c>
      <c r="E246" s="59">
        <v>1.045968996406E-3</v>
      </c>
    </row>
    <row r="247" spans="2:5" ht="14.5" customHeight="1">
      <c r="B247" s="92"/>
      <c r="C247" s="57" t="s">
        <v>190</v>
      </c>
      <c r="D247" s="58">
        <v>28</v>
      </c>
      <c r="E247" s="59">
        <v>7.5095209998399996E-4</v>
      </c>
    </row>
    <row r="248" spans="2:5" ht="14.5" customHeight="1">
      <c r="B248" s="92"/>
      <c r="C248" s="57" t="s">
        <v>189</v>
      </c>
      <c r="D248" s="58">
        <v>22</v>
      </c>
      <c r="E248" s="59">
        <v>5.9003379284399999E-4</v>
      </c>
    </row>
    <row r="249" spans="2:5" ht="14.5" customHeight="1">
      <c r="B249" s="92"/>
      <c r="C249" s="57" t="s">
        <v>192</v>
      </c>
      <c r="D249" s="58">
        <v>20</v>
      </c>
      <c r="E249" s="59">
        <v>5.3639435713100005E-4</v>
      </c>
    </row>
    <row r="250" spans="2:5" ht="14.5" customHeight="1">
      <c r="B250" s="92"/>
      <c r="C250" s="57" t="s">
        <v>191</v>
      </c>
      <c r="D250" s="58">
        <v>19</v>
      </c>
      <c r="E250" s="59">
        <v>5.0957463927499996E-4</v>
      </c>
    </row>
    <row r="251" spans="2:5" ht="14.5" customHeight="1">
      <c r="B251" s="92"/>
      <c r="C251" s="57" t="s">
        <v>188</v>
      </c>
      <c r="D251" s="58">
        <v>18</v>
      </c>
      <c r="E251" s="59">
        <v>4.8275492141800001E-4</v>
      </c>
    </row>
    <row r="252" spans="2:5" ht="14.5" customHeight="1">
      <c r="B252" s="92"/>
      <c r="C252" s="57" t="s">
        <v>193</v>
      </c>
      <c r="D252" s="58">
        <v>16</v>
      </c>
      <c r="E252" s="59">
        <v>4.2911548570500002E-4</v>
      </c>
    </row>
    <row r="253" spans="2:5" ht="14.5" customHeight="1">
      <c r="B253" s="92"/>
      <c r="C253" s="57" t="s">
        <v>196</v>
      </c>
      <c r="D253" s="58">
        <v>12</v>
      </c>
      <c r="E253" s="59">
        <v>3.2183661427899999E-4</v>
      </c>
    </row>
    <row r="254" spans="2:5" ht="14.5" customHeight="1">
      <c r="B254" s="92"/>
      <c r="C254" s="57" t="s">
        <v>194</v>
      </c>
      <c r="D254" s="58">
        <v>11</v>
      </c>
      <c r="E254" s="59">
        <v>2.9501689642199999E-4</v>
      </c>
    </row>
    <row r="255" spans="2:5" ht="14.5" customHeight="1">
      <c r="B255" s="92"/>
      <c r="C255" s="57" t="s">
        <v>195</v>
      </c>
      <c r="D255" s="58">
        <v>9</v>
      </c>
      <c r="E255" s="59">
        <v>2.4137746070900001E-4</v>
      </c>
    </row>
    <row r="256" spans="2:5" ht="14.5" customHeight="1">
      <c r="B256" s="92"/>
      <c r="C256" s="57" t="s">
        <v>198</v>
      </c>
      <c r="D256" s="58">
        <v>6</v>
      </c>
      <c r="E256" s="59">
        <v>1.6091830713899999E-4</v>
      </c>
    </row>
    <row r="257" spans="2:5" ht="14.5" customHeight="1">
      <c r="B257" s="92"/>
      <c r="C257" s="57" t="s">
        <v>197</v>
      </c>
      <c r="D257" s="58">
        <v>5</v>
      </c>
      <c r="E257" s="59">
        <v>1.34098589283E-4</v>
      </c>
    </row>
    <row r="258" spans="2:5" ht="14.5" customHeight="1">
      <c r="B258" s="92"/>
      <c r="C258" s="57" t="s">
        <v>199</v>
      </c>
      <c r="D258" s="58">
        <v>4</v>
      </c>
      <c r="E258" s="59">
        <v>1.07278871426E-4</v>
      </c>
    </row>
    <row r="259" spans="2:5" ht="14.5" customHeight="1">
      <c r="B259" s="92"/>
      <c r="C259" s="57" t="s">
        <v>200</v>
      </c>
      <c r="D259" s="58">
        <v>2</v>
      </c>
      <c r="E259" s="59">
        <v>5.3639435713000001E-5</v>
      </c>
    </row>
    <row r="260" spans="2:5" ht="14.5" customHeight="1">
      <c r="B260" s="91"/>
      <c r="C260" s="72" t="s">
        <v>353</v>
      </c>
      <c r="D260" s="71">
        <v>493</v>
      </c>
      <c r="E260" s="73">
        <v>1.3222120903288E-2</v>
      </c>
    </row>
    <row r="261" spans="2:5" ht="14.5" customHeight="1">
      <c r="B261" s="90" t="s">
        <v>147</v>
      </c>
      <c r="C261" s="57" t="s">
        <v>185</v>
      </c>
      <c r="D261" s="58">
        <v>86</v>
      </c>
      <c r="E261" s="59">
        <v>2.3064957356649998E-3</v>
      </c>
    </row>
    <row r="262" spans="2:5" ht="14.5" customHeight="1">
      <c r="B262" s="92"/>
      <c r="C262" s="57" t="s">
        <v>186</v>
      </c>
      <c r="D262" s="58">
        <v>51</v>
      </c>
      <c r="E262" s="59">
        <v>1.3678056106849999E-3</v>
      </c>
    </row>
    <row r="263" spans="2:5" ht="14.5" customHeight="1">
      <c r="B263" s="92"/>
      <c r="C263" s="57" t="s">
        <v>188</v>
      </c>
      <c r="D263" s="58">
        <v>48</v>
      </c>
      <c r="E263" s="59">
        <v>1.2873464571149999E-3</v>
      </c>
    </row>
    <row r="264" spans="2:5" ht="14.5" customHeight="1">
      <c r="B264" s="92"/>
      <c r="C264" s="57" t="s">
        <v>191</v>
      </c>
      <c r="D264" s="58">
        <v>44</v>
      </c>
      <c r="E264" s="59">
        <v>1.180067585689E-3</v>
      </c>
    </row>
    <row r="265" spans="2:5" ht="14.5" customHeight="1">
      <c r="B265" s="92"/>
      <c r="C265" s="57" t="s">
        <v>187</v>
      </c>
      <c r="D265" s="58">
        <v>41</v>
      </c>
      <c r="E265" s="59">
        <v>1.0996084321190001E-3</v>
      </c>
    </row>
    <row r="266" spans="2:5" ht="14.5" customHeight="1">
      <c r="B266" s="92"/>
      <c r="C266" s="57" t="s">
        <v>189</v>
      </c>
      <c r="D266" s="58">
        <v>40</v>
      </c>
      <c r="E266" s="59">
        <v>1.072788714263E-3</v>
      </c>
    </row>
    <row r="267" spans="2:5" ht="14.5" customHeight="1">
      <c r="B267" s="92"/>
      <c r="C267" s="57" t="s">
        <v>190</v>
      </c>
      <c r="D267" s="58">
        <v>38</v>
      </c>
      <c r="E267" s="59">
        <v>1.0191492785499999E-3</v>
      </c>
    </row>
    <row r="268" spans="2:5" ht="14.5" customHeight="1">
      <c r="B268" s="92"/>
      <c r="C268" s="57" t="s">
        <v>193</v>
      </c>
      <c r="D268" s="58">
        <v>30</v>
      </c>
      <c r="E268" s="59">
        <v>8.0459153569700001E-4</v>
      </c>
    </row>
    <row r="269" spans="2:5" ht="14.5" customHeight="1">
      <c r="B269" s="92"/>
      <c r="C269" s="57" t="s">
        <v>192</v>
      </c>
      <c r="D269" s="58">
        <v>26</v>
      </c>
      <c r="E269" s="59">
        <v>6.9731266427100003E-4</v>
      </c>
    </row>
    <row r="270" spans="2:5" ht="14.5" customHeight="1">
      <c r="B270" s="92"/>
      <c r="C270" s="57" t="s">
        <v>194</v>
      </c>
      <c r="D270" s="58">
        <v>20</v>
      </c>
      <c r="E270" s="59">
        <v>5.3639435713100005E-4</v>
      </c>
    </row>
    <row r="271" spans="2:5" ht="14.5" customHeight="1">
      <c r="B271" s="92"/>
      <c r="C271" s="57" t="s">
        <v>195</v>
      </c>
      <c r="D271" s="58">
        <v>19</v>
      </c>
      <c r="E271" s="59">
        <v>5.0957463927499996E-4</v>
      </c>
    </row>
    <row r="272" spans="2:5" ht="14.5" customHeight="1">
      <c r="B272" s="92"/>
      <c r="C272" s="57" t="s">
        <v>196</v>
      </c>
      <c r="D272" s="58">
        <v>11</v>
      </c>
      <c r="E272" s="59">
        <v>2.9501689642199999E-4</v>
      </c>
    </row>
    <row r="273" spans="2:5" ht="14.5" customHeight="1">
      <c r="B273" s="92"/>
      <c r="C273" s="57" t="s">
        <v>197</v>
      </c>
      <c r="D273" s="58">
        <v>6</v>
      </c>
      <c r="E273" s="59">
        <v>1.6091830713899999E-4</v>
      </c>
    </row>
    <row r="274" spans="2:5" ht="14.5" customHeight="1">
      <c r="B274" s="92"/>
      <c r="C274" s="57" t="s">
        <v>198</v>
      </c>
      <c r="D274" s="58">
        <v>4</v>
      </c>
      <c r="E274" s="59">
        <v>1.07278871426E-4</v>
      </c>
    </row>
    <row r="275" spans="2:5" ht="14.5" customHeight="1">
      <c r="B275" s="92"/>
      <c r="C275" s="57" t="s">
        <v>200</v>
      </c>
      <c r="D275" s="58">
        <v>3</v>
      </c>
      <c r="E275" s="59">
        <v>8.0459153570000002E-5</v>
      </c>
    </row>
    <row r="276" spans="2:5" ht="14.5" customHeight="1">
      <c r="B276" s="92"/>
      <c r="C276" s="57" t="s">
        <v>199</v>
      </c>
      <c r="D276" s="58">
        <v>3</v>
      </c>
      <c r="E276" s="59">
        <v>8.0459153570000002E-5</v>
      </c>
    </row>
    <row r="277" spans="2:5" ht="14.5" customHeight="1">
      <c r="B277" s="91"/>
      <c r="C277" s="72" t="s">
        <v>353</v>
      </c>
      <c r="D277" s="71">
        <v>470</v>
      </c>
      <c r="E277" s="73">
        <v>1.2605267392586999E-2</v>
      </c>
    </row>
    <row r="278" spans="2:5" ht="14.5" customHeight="1">
      <c r="B278" s="90" t="s">
        <v>148</v>
      </c>
      <c r="C278" s="57" t="s">
        <v>186</v>
      </c>
      <c r="D278" s="58">
        <v>66</v>
      </c>
      <c r="E278" s="59">
        <v>1.7701013785329999E-3</v>
      </c>
    </row>
    <row r="279" spans="2:5" ht="14.5" customHeight="1">
      <c r="B279" s="92"/>
      <c r="C279" s="57" t="s">
        <v>185</v>
      </c>
      <c r="D279" s="58">
        <v>51</v>
      </c>
      <c r="E279" s="59">
        <v>1.3678056106849999E-3</v>
      </c>
    </row>
    <row r="280" spans="2:5" ht="14.5" customHeight="1">
      <c r="B280" s="92"/>
      <c r="C280" s="57" t="s">
        <v>187</v>
      </c>
      <c r="D280" s="58">
        <v>46</v>
      </c>
      <c r="E280" s="59">
        <v>1.2337070214020001E-3</v>
      </c>
    </row>
    <row r="281" spans="2:5" ht="14.5" customHeight="1">
      <c r="B281" s="92"/>
      <c r="C281" s="57" t="s">
        <v>188</v>
      </c>
      <c r="D281" s="58">
        <v>43</v>
      </c>
      <c r="E281" s="59">
        <v>1.1532478678320001E-3</v>
      </c>
    </row>
    <row r="282" spans="2:5" ht="14.5" customHeight="1">
      <c r="B282" s="92"/>
      <c r="C282" s="57" t="s">
        <v>191</v>
      </c>
      <c r="D282" s="58">
        <v>36</v>
      </c>
      <c r="E282" s="59">
        <v>9.6550984283600002E-4</v>
      </c>
    </row>
    <row r="283" spans="2:5" ht="14.5" customHeight="1">
      <c r="B283" s="92"/>
      <c r="C283" s="57" t="s">
        <v>190</v>
      </c>
      <c r="D283" s="58">
        <v>29</v>
      </c>
      <c r="E283" s="59">
        <v>7.7777181783999995E-4</v>
      </c>
    </row>
    <row r="284" spans="2:5" ht="14.5" customHeight="1">
      <c r="B284" s="92"/>
      <c r="C284" s="57" t="s">
        <v>189</v>
      </c>
      <c r="D284" s="58">
        <v>27</v>
      </c>
      <c r="E284" s="59">
        <v>7.2413238212700002E-4</v>
      </c>
    </row>
    <row r="285" spans="2:5" ht="14.5" customHeight="1">
      <c r="B285" s="92"/>
      <c r="C285" s="57" t="s">
        <v>192</v>
      </c>
      <c r="D285" s="58">
        <v>25</v>
      </c>
      <c r="E285" s="59">
        <v>6.7049294641399998E-4</v>
      </c>
    </row>
    <row r="286" spans="2:5" ht="14.5" customHeight="1">
      <c r="B286" s="92"/>
      <c r="C286" s="57" t="s">
        <v>193</v>
      </c>
      <c r="D286" s="58">
        <v>22</v>
      </c>
      <c r="E286" s="59">
        <v>5.9003379284399999E-4</v>
      </c>
    </row>
    <row r="287" spans="2:5" ht="14.5" customHeight="1">
      <c r="B287" s="92"/>
      <c r="C287" s="57" t="s">
        <v>194</v>
      </c>
      <c r="D287" s="58">
        <v>13</v>
      </c>
      <c r="E287" s="59">
        <v>3.4865633213499998E-4</v>
      </c>
    </row>
    <row r="288" spans="2:5" ht="14.5" customHeight="1">
      <c r="B288" s="92"/>
      <c r="C288" s="57" t="s">
        <v>197</v>
      </c>
      <c r="D288" s="58">
        <v>9</v>
      </c>
      <c r="E288" s="59">
        <v>2.4137746070900001E-4</v>
      </c>
    </row>
    <row r="289" spans="2:5" ht="14.5" customHeight="1">
      <c r="B289" s="92"/>
      <c r="C289" s="57" t="s">
        <v>195</v>
      </c>
      <c r="D289" s="58">
        <v>9</v>
      </c>
      <c r="E289" s="59">
        <v>2.4137746070900001E-4</v>
      </c>
    </row>
    <row r="290" spans="2:5" ht="14.5" customHeight="1">
      <c r="B290" s="92"/>
      <c r="C290" s="57" t="s">
        <v>196</v>
      </c>
      <c r="D290" s="58">
        <v>7</v>
      </c>
      <c r="E290" s="59">
        <v>1.8773802499599999E-4</v>
      </c>
    </row>
    <row r="291" spans="2:5" ht="14.5" customHeight="1">
      <c r="B291" s="92"/>
      <c r="C291" s="57" t="s">
        <v>184</v>
      </c>
      <c r="D291" s="58">
        <v>5</v>
      </c>
      <c r="E291" s="59">
        <v>1.34098589283E-4</v>
      </c>
    </row>
    <row r="292" spans="2:5" ht="14.5" customHeight="1">
      <c r="B292" s="92"/>
      <c r="C292" s="57" t="s">
        <v>200</v>
      </c>
      <c r="D292" s="58">
        <v>4</v>
      </c>
      <c r="E292" s="59">
        <v>1.07278871426E-4</v>
      </c>
    </row>
    <row r="293" spans="2:5" ht="14.5" customHeight="1">
      <c r="B293" s="92"/>
      <c r="C293" s="57" t="s">
        <v>199</v>
      </c>
      <c r="D293" s="58">
        <v>4</v>
      </c>
      <c r="E293" s="59">
        <v>1.07278871426E-4</v>
      </c>
    </row>
    <row r="294" spans="2:5" ht="14.5" customHeight="1">
      <c r="B294" s="92"/>
      <c r="C294" s="57" t="s">
        <v>198</v>
      </c>
      <c r="D294" s="58">
        <v>3</v>
      </c>
      <c r="E294" s="59">
        <v>8.0459153570000002E-5</v>
      </c>
    </row>
    <row r="295" spans="2:5" ht="14.5" customHeight="1">
      <c r="B295" s="91"/>
      <c r="C295" s="72" t="s">
        <v>353</v>
      </c>
      <c r="D295" s="71">
        <v>399</v>
      </c>
      <c r="E295" s="73">
        <v>1.0701067424770999E-2</v>
      </c>
    </row>
    <row r="296" spans="2:5" ht="14.5" customHeight="1">
      <c r="B296" s="90" t="s">
        <v>149</v>
      </c>
      <c r="C296" s="57" t="s">
        <v>185</v>
      </c>
      <c r="D296" s="58">
        <v>76</v>
      </c>
      <c r="E296" s="59">
        <v>2.0382985570990002E-3</v>
      </c>
    </row>
    <row r="297" spans="2:5" ht="14.5" customHeight="1">
      <c r="B297" s="92"/>
      <c r="C297" s="57" t="s">
        <v>186</v>
      </c>
      <c r="D297" s="58">
        <v>53</v>
      </c>
      <c r="E297" s="59">
        <v>1.4214450463979999E-3</v>
      </c>
    </row>
    <row r="298" spans="2:5" ht="14.5" customHeight="1">
      <c r="B298" s="92"/>
      <c r="C298" s="57" t="s">
        <v>184</v>
      </c>
      <c r="D298" s="58">
        <v>44</v>
      </c>
      <c r="E298" s="59">
        <v>1.180067585689E-3</v>
      </c>
    </row>
    <row r="299" spans="2:5" ht="14.5" customHeight="1">
      <c r="B299" s="92"/>
      <c r="C299" s="57" t="s">
        <v>188</v>
      </c>
      <c r="D299" s="58">
        <v>33</v>
      </c>
      <c r="E299" s="59">
        <v>8.8505068926699999E-4</v>
      </c>
    </row>
    <row r="300" spans="2:5" ht="14.5" customHeight="1">
      <c r="B300" s="92"/>
      <c r="C300" s="57" t="s">
        <v>187</v>
      </c>
      <c r="D300" s="58">
        <v>30</v>
      </c>
      <c r="E300" s="59">
        <v>8.0459153569700001E-4</v>
      </c>
    </row>
    <row r="301" spans="2:5" ht="14.5" customHeight="1">
      <c r="B301" s="92"/>
      <c r="C301" s="57" t="s">
        <v>192</v>
      </c>
      <c r="D301" s="58">
        <v>26</v>
      </c>
      <c r="E301" s="59">
        <v>6.9731266427100003E-4</v>
      </c>
    </row>
    <row r="302" spans="2:5" ht="14.5" customHeight="1">
      <c r="B302" s="92"/>
      <c r="C302" s="57" t="s">
        <v>189</v>
      </c>
      <c r="D302" s="58">
        <v>25</v>
      </c>
      <c r="E302" s="59">
        <v>6.7049294641399998E-4</v>
      </c>
    </row>
    <row r="303" spans="2:5" ht="14.5" customHeight="1">
      <c r="B303" s="92"/>
      <c r="C303" s="57" t="s">
        <v>193</v>
      </c>
      <c r="D303" s="58">
        <v>25</v>
      </c>
      <c r="E303" s="59">
        <v>6.7049294641399998E-4</v>
      </c>
    </row>
    <row r="304" spans="2:5" ht="14.5" customHeight="1">
      <c r="B304" s="92"/>
      <c r="C304" s="57" t="s">
        <v>190</v>
      </c>
      <c r="D304" s="58">
        <v>24</v>
      </c>
      <c r="E304" s="59">
        <v>6.4367322855799999E-4</v>
      </c>
    </row>
    <row r="305" spans="2:5" ht="14.5" customHeight="1">
      <c r="B305" s="92"/>
      <c r="C305" s="57" t="s">
        <v>191</v>
      </c>
      <c r="D305" s="58">
        <v>24</v>
      </c>
      <c r="E305" s="59">
        <v>6.4367322855799999E-4</v>
      </c>
    </row>
    <row r="306" spans="2:5" ht="14.5" customHeight="1">
      <c r="B306" s="92"/>
      <c r="C306" s="57" t="s">
        <v>194</v>
      </c>
      <c r="D306" s="58">
        <v>8</v>
      </c>
      <c r="E306" s="59">
        <v>2.1455774285299999E-4</v>
      </c>
    </row>
    <row r="307" spans="2:5" ht="14.5" customHeight="1">
      <c r="B307" s="92"/>
      <c r="C307" s="57" t="s">
        <v>196</v>
      </c>
      <c r="D307" s="58">
        <v>6</v>
      </c>
      <c r="E307" s="59">
        <v>1.6091830713899999E-4</v>
      </c>
    </row>
    <row r="308" spans="2:5" ht="14.5" customHeight="1">
      <c r="B308" s="92"/>
      <c r="C308" s="57" t="s">
        <v>195</v>
      </c>
      <c r="D308" s="58">
        <v>4</v>
      </c>
      <c r="E308" s="59">
        <v>1.07278871426E-4</v>
      </c>
    </row>
    <row r="309" spans="2:5" ht="14.5" customHeight="1">
      <c r="B309" s="92"/>
      <c r="C309" s="57" t="s">
        <v>197</v>
      </c>
      <c r="D309" s="58">
        <v>3</v>
      </c>
      <c r="E309" s="59">
        <v>8.0459153570000002E-5</v>
      </c>
    </row>
    <row r="310" spans="2:5" ht="14.5" customHeight="1">
      <c r="B310" s="92"/>
      <c r="C310" s="57" t="s">
        <v>198</v>
      </c>
      <c r="D310" s="58">
        <v>2</v>
      </c>
      <c r="E310" s="59">
        <v>5.3639435713000001E-5</v>
      </c>
    </row>
    <row r="311" spans="2:5" ht="14.5" customHeight="1">
      <c r="B311" s="92"/>
      <c r="C311" s="57" t="s">
        <v>200</v>
      </c>
      <c r="D311" s="58">
        <v>1</v>
      </c>
      <c r="E311" s="59">
        <v>2.6819717857000001E-5</v>
      </c>
    </row>
    <row r="312" spans="2:5" ht="14.5" customHeight="1">
      <c r="B312" s="91"/>
      <c r="C312" s="72" t="s">
        <v>353</v>
      </c>
      <c r="D312" s="71">
        <v>384</v>
      </c>
      <c r="E312" s="73">
        <v>1.0298771656921999E-2</v>
      </c>
    </row>
    <row r="313" spans="2:5" ht="14.5" customHeight="1">
      <c r="B313" s="90" t="s">
        <v>150</v>
      </c>
      <c r="C313" s="57" t="s">
        <v>185</v>
      </c>
      <c r="D313" s="58">
        <v>70</v>
      </c>
      <c r="E313" s="59">
        <v>1.8773802499600001E-3</v>
      </c>
    </row>
    <row r="314" spans="2:5" ht="14.5" customHeight="1">
      <c r="B314" s="92"/>
      <c r="C314" s="57" t="s">
        <v>188</v>
      </c>
      <c r="D314" s="58">
        <v>31</v>
      </c>
      <c r="E314" s="59">
        <v>8.3141125355399995E-4</v>
      </c>
    </row>
    <row r="315" spans="2:5" ht="14.5" customHeight="1">
      <c r="B315" s="92"/>
      <c r="C315" s="57" t="s">
        <v>186</v>
      </c>
      <c r="D315" s="58">
        <v>30</v>
      </c>
      <c r="E315" s="59">
        <v>8.0459153569700001E-4</v>
      </c>
    </row>
    <row r="316" spans="2:5" ht="14.5" customHeight="1">
      <c r="B316" s="92"/>
      <c r="C316" s="57" t="s">
        <v>187</v>
      </c>
      <c r="D316" s="58">
        <v>29</v>
      </c>
      <c r="E316" s="59">
        <v>7.7777181783999995E-4</v>
      </c>
    </row>
    <row r="317" spans="2:5" ht="14.5" customHeight="1">
      <c r="B317" s="92"/>
      <c r="C317" s="57" t="s">
        <v>184</v>
      </c>
      <c r="D317" s="58">
        <v>27</v>
      </c>
      <c r="E317" s="59">
        <v>7.2413238212700002E-4</v>
      </c>
    </row>
    <row r="318" spans="2:5" ht="14.5" customHeight="1">
      <c r="B318" s="92"/>
      <c r="C318" s="57" t="s">
        <v>189</v>
      </c>
      <c r="D318" s="58">
        <v>24</v>
      </c>
      <c r="E318" s="59">
        <v>6.4367322855799999E-4</v>
      </c>
    </row>
    <row r="319" spans="2:5" ht="14.5" customHeight="1">
      <c r="B319" s="92"/>
      <c r="C319" s="57" t="s">
        <v>192</v>
      </c>
      <c r="D319" s="58">
        <v>21</v>
      </c>
      <c r="E319" s="59">
        <v>5.63214074988E-4</v>
      </c>
    </row>
    <row r="320" spans="2:5" ht="14.5" customHeight="1">
      <c r="B320" s="92"/>
      <c r="C320" s="57" t="s">
        <v>191</v>
      </c>
      <c r="D320" s="58">
        <v>19</v>
      </c>
      <c r="E320" s="59">
        <v>5.0957463927499996E-4</v>
      </c>
    </row>
    <row r="321" spans="2:5" ht="14.5" customHeight="1">
      <c r="B321" s="92"/>
      <c r="C321" s="57" t="s">
        <v>194</v>
      </c>
      <c r="D321" s="58">
        <v>18</v>
      </c>
      <c r="E321" s="59">
        <v>4.8275492141800001E-4</v>
      </c>
    </row>
    <row r="322" spans="2:5" ht="14.5" customHeight="1">
      <c r="B322" s="92"/>
      <c r="C322" s="57" t="s">
        <v>193</v>
      </c>
      <c r="D322" s="58">
        <v>17</v>
      </c>
      <c r="E322" s="59">
        <v>4.5593520356200002E-4</v>
      </c>
    </row>
    <row r="323" spans="2:5" ht="14.5" customHeight="1">
      <c r="B323" s="92"/>
      <c r="C323" s="57" t="s">
        <v>196</v>
      </c>
      <c r="D323" s="58">
        <v>13</v>
      </c>
      <c r="E323" s="59">
        <v>3.4865633213499998E-4</v>
      </c>
    </row>
    <row r="324" spans="2:5" ht="14.5" customHeight="1">
      <c r="B324" s="92"/>
      <c r="C324" s="57" t="s">
        <v>190</v>
      </c>
      <c r="D324" s="58">
        <v>12</v>
      </c>
      <c r="E324" s="59">
        <v>3.2183661427899999E-4</v>
      </c>
    </row>
    <row r="325" spans="2:5" ht="14.5" customHeight="1">
      <c r="B325" s="92"/>
      <c r="C325" s="57" t="s">
        <v>195</v>
      </c>
      <c r="D325" s="58">
        <v>10</v>
      </c>
      <c r="E325" s="59">
        <v>2.6819717856600001E-4</v>
      </c>
    </row>
    <row r="326" spans="2:5" ht="14.5" customHeight="1">
      <c r="B326" s="92"/>
      <c r="C326" s="57" t="s">
        <v>199</v>
      </c>
      <c r="D326" s="58">
        <v>9</v>
      </c>
      <c r="E326" s="59">
        <v>2.4137746070900001E-4</v>
      </c>
    </row>
    <row r="327" spans="2:5" ht="14.5" customHeight="1">
      <c r="B327" s="92"/>
      <c r="C327" s="57" t="s">
        <v>198</v>
      </c>
      <c r="D327" s="58">
        <v>7</v>
      </c>
      <c r="E327" s="59">
        <v>1.8773802499599999E-4</v>
      </c>
    </row>
    <row r="328" spans="2:5" ht="14.5" customHeight="1">
      <c r="B328" s="92"/>
      <c r="C328" s="57" t="s">
        <v>200</v>
      </c>
      <c r="D328" s="58">
        <v>4</v>
      </c>
      <c r="E328" s="59">
        <v>1.07278871426E-4</v>
      </c>
    </row>
    <row r="329" spans="2:5" ht="14.5" customHeight="1">
      <c r="B329" s="92"/>
      <c r="C329" s="57" t="s">
        <v>197</v>
      </c>
      <c r="D329" s="58">
        <v>4</v>
      </c>
      <c r="E329" s="59">
        <v>1.07278871426E-4</v>
      </c>
    </row>
    <row r="330" spans="2:5" ht="14.5" customHeight="1">
      <c r="B330" s="91"/>
      <c r="C330" s="72" t="s">
        <v>353</v>
      </c>
      <c r="D330" s="71">
        <v>345</v>
      </c>
      <c r="E330" s="73">
        <v>9.2528026605160005E-3</v>
      </c>
    </row>
    <row r="331" spans="2:5" ht="14.5" customHeight="1">
      <c r="B331" s="90" t="s">
        <v>151</v>
      </c>
      <c r="C331" s="57" t="s">
        <v>184</v>
      </c>
      <c r="D331" s="58">
        <v>101</v>
      </c>
      <c r="E331" s="59">
        <v>2.7087915035129998E-3</v>
      </c>
    </row>
    <row r="332" spans="2:5" ht="14.5" customHeight="1">
      <c r="B332" s="92"/>
      <c r="C332" s="57" t="s">
        <v>185</v>
      </c>
      <c r="D332" s="58">
        <v>48</v>
      </c>
      <c r="E332" s="59">
        <v>1.2873464571149999E-3</v>
      </c>
    </row>
    <row r="333" spans="2:5" ht="14.5" customHeight="1">
      <c r="B333" s="92"/>
      <c r="C333" s="57" t="s">
        <v>187</v>
      </c>
      <c r="D333" s="58">
        <v>36</v>
      </c>
      <c r="E333" s="59">
        <v>9.6550984283600002E-4</v>
      </c>
    </row>
    <row r="334" spans="2:5" ht="14.5" customHeight="1">
      <c r="B334" s="92"/>
      <c r="C334" s="57" t="s">
        <v>186</v>
      </c>
      <c r="D334" s="58">
        <v>27</v>
      </c>
      <c r="E334" s="59">
        <v>7.2413238212700002E-4</v>
      </c>
    </row>
    <row r="335" spans="2:5" ht="14.5" customHeight="1">
      <c r="B335" s="92"/>
      <c r="C335" s="57" t="s">
        <v>190</v>
      </c>
      <c r="D335" s="58">
        <v>19</v>
      </c>
      <c r="E335" s="59">
        <v>5.0957463927499996E-4</v>
      </c>
    </row>
    <row r="336" spans="2:5" ht="14.5" customHeight="1">
      <c r="B336" s="92"/>
      <c r="C336" s="57" t="s">
        <v>191</v>
      </c>
      <c r="D336" s="58">
        <v>19</v>
      </c>
      <c r="E336" s="59">
        <v>5.0957463927499996E-4</v>
      </c>
    </row>
    <row r="337" spans="2:5" ht="14.5" customHeight="1">
      <c r="B337" s="92"/>
      <c r="C337" s="57" t="s">
        <v>188</v>
      </c>
      <c r="D337" s="58">
        <v>17</v>
      </c>
      <c r="E337" s="59">
        <v>4.5593520356200002E-4</v>
      </c>
    </row>
    <row r="338" spans="2:5" ht="14.5" customHeight="1">
      <c r="B338" s="92"/>
      <c r="C338" s="57" t="s">
        <v>189</v>
      </c>
      <c r="D338" s="58">
        <v>14</v>
      </c>
      <c r="E338" s="59">
        <v>3.7547604999199998E-4</v>
      </c>
    </row>
    <row r="339" spans="2:5" ht="14.5" customHeight="1">
      <c r="B339" s="92"/>
      <c r="C339" s="57" t="s">
        <v>192</v>
      </c>
      <c r="D339" s="58">
        <v>13</v>
      </c>
      <c r="E339" s="59">
        <v>3.4865633213499998E-4</v>
      </c>
    </row>
    <row r="340" spans="2:5" ht="14.5" customHeight="1">
      <c r="B340" s="92"/>
      <c r="C340" s="57" t="s">
        <v>193</v>
      </c>
      <c r="D340" s="58">
        <v>12</v>
      </c>
      <c r="E340" s="59">
        <v>3.2183661427899999E-4</v>
      </c>
    </row>
    <row r="341" spans="2:5" ht="14.5" customHeight="1">
      <c r="B341" s="92"/>
      <c r="C341" s="57" t="s">
        <v>194</v>
      </c>
      <c r="D341" s="58">
        <v>9</v>
      </c>
      <c r="E341" s="59">
        <v>2.4137746070900001E-4</v>
      </c>
    </row>
    <row r="342" spans="2:5" ht="14.5" customHeight="1">
      <c r="B342" s="92"/>
      <c r="C342" s="57" t="s">
        <v>196</v>
      </c>
      <c r="D342" s="58">
        <v>8</v>
      </c>
      <c r="E342" s="59">
        <v>2.1455774285299999E-4</v>
      </c>
    </row>
    <row r="343" spans="2:5" ht="14.5" customHeight="1">
      <c r="B343" s="92"/>
      <c r="C343" s="57" t="s">
        <v>195</v>
      </c>
      <c r="D343" s="58">
        <v>6</v>
      </c>
      <c r="E343" s="59">
        <v>1.6091830713899999E-4</v>
      </c>
    </row>
    <row r="344" spans="2:5" ht="14.5" customHeight="1">
      <c r="B344" s="92"/>
      <c r="C344" s="57" t="s">
        <v>199</v>
      </c>
      <c r="D344" s="58">
        <v>2</v>
      </c>
      <c r="E344" s="59">
        <v>5.3639435713000001E-5</v>
      </c>
    </row>
    <row r="345" spans="2:5" ht="14.5" customHeight="1">
      <c r="B345" s="92"/>
      <c r="C345" s="57" t="s">
        <v>198</v>
      </c>
      <c r="D345" s="58">
        <v>2</v>
      </c>
      <c r="E345" s="59">
        <v>5.3639435713000001E-5</v>
      </c>
    </row>
    <row r="346" spans="2:5" ht="14.5" customHeight="1">
      <c r="B346" s="92"/>
      <c r="C346" s="57" t="s">
        <v>200</v>
      </c>
      <c r="D346" s="58">
        <v>1</v>
      </c>
      <c r="E346" s="59">
        <v>2.6819717857000001E-5</v>
      </c>
    </row>
    <row r="347" spans="2:5" ht="14.5" customHeight="1">
      <c r="B347" s="92"/>
      <c r="C347" s="57" t="s">
        <v>197</v>
      </c>
      <c r="D347" s="58">
        <v>1</v>
      </c>
      <c r="E347" s="59">
        <v>2.6819717857000001E-5</v>
      </c>
    </row>
    <row r="348" spans="2:5" ht="14.5" customHeight="1">
      <c r="B348" s="91"/>
      <c r="C348" s="72" t="s">
        <v>353</v>
      </c>
      <c r="D348" s="71">
        <v>335</v>
      </c>
      <c r="E348" s="73">
        <v>8.9846054819500004E-3</v>
      </c>
    </row>
    <row r="349" spans="2:5" ht="14.5" customHeight="1">
      <c r="B349" s="90" t="s">
        <v>152</v>
      </c>
      <c r="C349" s="57" t="s">
        <v>184</v>
      </c>
      <c r="D349" s="58">
        <v>146</v>
      </c>
      <c r="E349" s="59">
        <v>3.9156788070590001E-3</v>
      </c>
    </row>
    <row r="350" spans="2:5" ht="14.5" customHeight="1">
      <c r="B350" s="92"/>
      <c r="C350" s="57" t="s">
        <v>186</v>
      </c>
      <c r="D350" s="58">
        <v>31</v>
      </c>
      <c r="E350" s="59">
        <v>8.3141125355399995E-4</v>
      </c>
    </row>
    <row r="351" spans="2:5" ht="14.5" customHeight="1">
      <c r="B351" s="92"/>
      <c r="C351" s="57" t="s">
        <v>185</v>
      </c>
      <c r="D351" s="58">
        <v>26</v>
      </c>
      <c r="E351" s="59">
        <v>6.9731266427100003E-4</v>
      </c>
    </row>
    <row r="352" spans="2:5" ht="14.5" customHeight="1">
      <c r="B352" s="92"/>
      <c r="C352" s="57" t="s">
        <v>187</v>
      </c>
      <c r="D352" s="58">
        <v>26</v>
      </c>
      <c r="E352" s="59">
        <v>6.9731266427100003E-4</v>
      </c>
    </row>
    <row r="353" spans="2:5" ht="14.5" customHeight="1">
      <c r="B353" s="92"/>
      <c r="C353" s="57" t="s">
        <v>188</v>
      </c>
      <c r="D353" s="58">
        <v>26</v>
      </c>
      <c r="E353" s="59">
        <v>6.9731266427100003E-4</v>
      </c>
    </row>
    <row r="354" spans="2:5" ht="14.5" customHeight="1">
      <c r="B354" s="92"/>
      <c r="C354" s="57" t="s">
        <v>193</v>
      </c>
      <c r="D354" s="58">
        <v>14</v>
      </c>
      <c r="E354" s="59">
        <v>3.7547604999199998E-4</v>
      </c>
    </row>
    <row r="355" spans="2:5" ht="14.5" customHeight="1">
      <c r="B355" s="92"/>
      <c r="C355" s="57" t="s">
        <v>189</v>
      </c>
      <c r="D355" s="58">
        <v>13</v>
      </c>
      <c r="E355" s="59">
        <v>3.4865633213499998E-4</v>
      </c>
    </row>
    <row r="356" spans="2:5" ht="14.5" customHeight="1">
      <c r="B356" s="92"/>
      <c r="C356" s="57" t="s">
        <v>192</v>
      </c>
      <c r="D356" s="58">
        <v>13</v>
      </c>
      <c r="E356" s="59">
        <v>3.4865633213499998E-4</v>
      </c>
    </row>
    <row r="357" spans="2:5" ht="14.5" customHeight="1">
      <c r="B357" s="92"/>
      <c r="C357" s="57" t="s">
        <v>190</v>
      </c>
      <c r="D357" s="58">
        <v>10</v>
      </c>
      <c r="E357" s="59">
        <v>2.6819717856600001E-4</v>
      </c>
    </row>
    <row r="358" spans="2:5" ht="14.5" customHeight="1">
      <c r="B358" s="92"/>
      <c r="C358" s="57" t="s">
        <v>191</v>
      </c>
      <c r="D358" s="58">
        <v>8</v>
      </c>
      <c r="E358" s="59">
        <v>2.1455774285299999E-4</v>
      </c>
    </row>
    <row r="359" spans="2:5" ht="14.5" customHeight="1">
      <c r="B359" s="92"/>
      <c r="C359" s="57" t="s">
        <v>194</v>
      </c>
      <c r="D359" s="58">
        <v>5</v>
      </c>
      <c r="E359" s="59">
        <v>1.34098589283E-4</v>
      </c>
    </row>
    <row r="360" spans="2:5" ht="14.5" customHeight="1">
      <c r="B360" s="92"/>
      <c r="C360" s="57" t="s">
        <v>197</v>
      </c>
      <c r="D360" s="58">
        <v>5</v>
      </c>
      <c r="E360" s="59">
        <v>1.34098589283E-4</v>
      </c>
    </row>
    <row r="361" spans="2:5" ht="14.5" customHeight="1">
      <c r="B361" s="92"/>
      <c r="C361" s="57" t="s">
        <v>195</v>
      </c>
      <c r="D361" s="58">
        <v>4</v>
      </c>
      <c r="E361" s="59">
        <v>1.07278871426E-4</v>
      </c>
    </row>
    <row r="362" spans="2:5" ht="14.5" customHeight="1">
      <c r="B362" s="92"/>
      <c r="C362" s="57" t="s">
        <v>199</v>
      </c>
      <c r="D362" s="58">
        <v>3</v>
      </c>
      <c r="E362" s="59">
        <v>8.0459153570000002E-5</v>
      </c>
    </row>
    <row r="363" spans="2:5" ht="14.5" customHeight="1">
      <c r="B363" s="92"/>
      <c r="C363" s="57" t="s">
        <v>196</v>
      </c>
      <c r="D363" s="58">
        <v>2</v>
      </c>
      <c r="E363" s="59">
        <v>5.3639435713000001E-5</v>
      </c>
    </row>
    <row r="364" spans="2:5" ht="14.5" customHeight="1">
      <c r="B364" s="92"/>
      <c r="C364" s="57" t="s">
        <v>200</v>
      </c>
      <c r="D364" s="58">
        <v>1</v>
      </c>
      <c r="E364" s="59">
        <v>2.6819717857000001E-5</v>
      </c>
    </row>
    <row r="365" spans="2:5" ht="14.5" customHeight="1">
      <c r="B365" s="92"/>
      <c r="C365" s="57" t="s">
        <v>198</v>
      </c>
      <c r="D365" s="58">
        <v>1</v>
      </c>
      <c r="E365" s="59">
        <v>2.6819717857000001E-5</v>
      </c>
    </row>
    <row r="366" spans="2:5" ht="14.5" customHeight="1">
      <c r="B366" s="91"/>
      <c r="C366" s="72" t="s">
        <v>353</v>
      </c>
      <c r="D366" s="71">
        <v>334</v>
      </c>
      <c r="E366" s="73">
        <v>8.9577857640939992E-3</v>
      </c>
    </row>
    <row r="367" spans="2:5" ht="14.5" customHeight="1">
      <c r="B367" s="90" t="s">
        <v>153</v>
      </c>
      <c r="C367" s="57" t="s">
        <v>185</v>
      </c>
      <c r="D367" s="58">
        <v>68</v>
      </c>
      <c r="E367" s="59">
        <v>1.823740814247E-3</v>
      </c>
    </row>
    <row r="368" spans="2:5" ht="14.5" customHeight="1">
      <c r="B368" s="92"/>
      <c r="C368" s="57" t="s">
        <v>186</v>
      </c>
      <c r="D368" s="58">
        <v>48</v>
      </c>
      <c r="E368" s="59">
        <v>1.2873464571149999E-3</v>
      </c>
    </row>
    <row r="369" spans="2:5" ht="14.5" customHeight="1">
      <c r="B369" s="92"/>
      <c r="C369" s="57" t="s">
        <v>187</v>
      </c>
      <c r="D369" s="58">
        <v>43</v>
      </c>
      <c r="E369" s="59">
        <v>1.1532478678320001E-3</v>
      </c>
    </row>
    <row r="370" spans="2:5" ht="14.5" customHeight="1">
      <c r="B370" s="92"/>
      <c r="C370" s="57" t="s">
        <v>188</v>
      </c>
      <c r="D370" s="58">
        <v>34</v>
      </c>
      <c r="E370" s="59">
        <v>9.1187040712299998E-4</v>
      </c>
    </row>
    <row r="371" spans="2:5" ht="14.5" customHeight="1">
      <c r="B371" s="92"/>
      <c r="C371" s="57" t="s">
        <v>191</v>
      </c>
      <c r="D371" s="58">
        <v>29</v>
      </c>
      <c r="E371" s="59">
        <v>7.7777181783999995E-4</v>
      </c>
    </row>
    <row r="372" spans="2:5" ht="14.5" customHeight="1">
      <c r="B372" s="92"/>
      <c r="C372" s="57" t="s">
        <v>189</v>
      </c>
      <c r="D372" s="58">
        <v>24</v>
      </c>
      <c r="E372" s="59">
        <v>6.4367322855799999E-4</v>
      </c>
    </row>
    <row r="373" spans="2:5" ht="14.5" customHeight="1">
      <c r="B373" s="92"/>
      <c r="C373" s="57" t="s">
        <v>190</v>
      </c>
      <c r="D373" s="58">
        <v>17</v>
      </c>
      <c r="E373" s="59">
        <v>4.5593520356200002E-4</v>
      </c>
    </row>
    <row r="374" spans="2:5" ht="14.5" customHeight="1">
      <c r="B374" s="92"/>
      <c r="C374" s="57" t="s">
        <v>192</v>
      </c>
      <c r="D374" s="58">
        <v>14</v>
      </c>
      <c r="E374" s="59">
        <v>3.7547604999199998E-4</v>
      </c>
    </row>
    <row r="375" spans="2:5" ht="14.5" customHeight="1">
      <c r="B375" s="92"/>
      <c r="C375" s="57" t="s">
        <v>194</v>
      </c>
      <c r="D375" s="58">
        <v>12</v>
      </c>
      <c r="E375" s="59">
        <v>3.2183661427899999E-4</v>
      </c>
    </row>
    <row r="376" spans="2:5" ht="14.5" customHeight="1">
      <c r="B376" s="92"/>
      <c r="C376" s="57" t="s">
        <v>193</v>
      </c>
      <c r="D376" s="58">
        <v>11</v>
      </c>
      <c r="E376" s="59">
        <v>2.9501689642199999E-4</v>
      </c>
    </row>
    <row r="377" spans="2:5" ht="14.5" customHeight="1">
      <c r="B377" s="92"/>
      <c r="C377" s="57" t="s">
        <v>195</v>
      </c>
      <c r="D377" s="58">
        <v>8</v>
      </c>
      <c r="E377" s="59">
        <v>2.1455774285299999E-4</v>
      </c>
    </row>
    <row r="378" spans="2:5" ht="14.5" customHeight="1">
      <c r="B378" s="92"/>
      <c r="C378" s="57" t="s">
        <v>200</v>
      </c>
      <c r="D378" s="58">
        <v>6</v>
      </c>
      <c r="E378" s="59">
        <v>1.6091830713899999E-4</v>
      </c>
    </row>
    <row r="379" spans="2:5" ht="14.5" customHeight="1">
      <c r="B379" s="92"/>
      <c r="C379" s="57" t="s">
        <v>196</v>
      </c>
      <c r="D379" s="58">
        <v>6</v>
      </c>
      <c r="E379" s="59">
        <v>1.6091830713899999E-4</v>
      </c>
    </row>
    <row r="380" spans="2:5" ht="14.5" customHeight="1">
      <c r="B380" s="92"/>
      <c r="C380" s="57" t="s">
        <v>198</v>
      </c>
      <c r="D380" s="58">
        <v>4</v>
      </c>
      <c r="E380" s="59">
        <v>1.07278871426E-4</v>
      </c>
    </row>
    <row r="381" spans="2:5" ht="14.5" customHeight="1">
      <c r="B381" s="92"/>
      <c r="C381" s="57" t="s">
        <v>184</v>
      </c>
      <c r="D381" s="58">
        <v>2</v>
      </c>
      <c r="E381" s="59">
        <v>5.3639435713000001E-5</v>
      </c>
    </row>
    <row r="382" spans="2:5" ht="14.5" customHeight="1">
      <c r="B382" s="92"/>
      <c r="C382" s="57" t="s">
        <v>197</v>
      </c>
      <c r="D382" s="58">
        <v>2</v>
      </c>
      <c r="E382" s="59">
        <v>5.3639435713000001E-5</v>
      </c>
    </row>
    <row r="383" spans="2:5" ht="14.5" customHeight="1">
      <c r="B383" s="92"/>
      <c r="C383" s="57" t="s">
        <v>199</v>
      </c>
      <c r="D383" s="58">
        <v>2</v>
      </c>
      <c r="E383" s="59">
        <v>5.3639435713000001E-5</v>
      </c>
    </row>
    <row r="384" spans="2:5" ht="14.5" customHeight="1">
      <c r="B384" s="91"/>
      <c r="C384" s="72" t="s">
        <v>353</v>
      </c>
      <c r="D384" s="71">
        <v>330</v>
      </c>
      <c r="E384" s="73">
        <v>8.8505068926670004E-3</v>
      </c>
    </row>
    <row r="385" spans="2:5" ht="14.5" customHeight="1">
      <c r="B385" s="90" t="s">
        <v>154</v>
      </c>
      <c r="C385" s="57" t="s">
        <v>184</v>
      </c>
      <c r="D385" s="58">
        <v>96</v>
      </c>
      <c r="E385" s="59">
        <v>2.5746929142309999E-3</v>
      </c>
    </row>
    <row r="386" spans="2:5" ht="14.5" customHeight="1">
      <c r="B386" s="92"/>
      <c r="C386" s="57" t="s">
        <v>187</v>
      </c>
      <c r="D386" s="58">
        <v>33</v>
      </c>
      <c r="E386" s="59">
        <v>8.8505068926699999E-4</v>
      </c>
    </row>
    <row r="387" spans="2:5" ht="14.5" customHeight="1">
      <c r="B387" s="92"/>
      <c r="C387" s="57" t="s">
        <v>185</v>
      </c>
      <c r="D387" s="58">
        <v>28</v>
      </c>
      <c r="E387" s="59">
        <v>7.5095209998399996E-4</v>
      </c>
    </row>
    <row r="388" spans="2:5" ht="14.5" customHeight="1">
      <c r="B388" s="92"/>
      <c r="C388" s="57" t="s">
        <v>186</v>
      </c>
      <c r="D388" s="58">
        <v>26</v>
      </c>
      <c r="E388" s="59">
        <v>6.9731266427100003E-4</v>
      </c>
    </row>
    <row r="389" spans="2:5" ht="14.5" customHeight="1">
      <c r="B389" s="92"/>
      <c r="C389" s="57" t="s">
        <v>188</v>
      </c>
      <c r="D389" s="58">
        <v>23</v>
      </c>
      <c r="E389" s="59">
        <v>6.1685351070100004E-4</v>
      </c>
    </row>
    <row r="390" spans="2:5" ht="14.5" customHeight="1">
      <c r="B390" s="92"/>
      <c r="C390" s="57" t="s">
        <v>191</v>
      </c>
      <c r="D390" s="58">
        <v>22</v>
      </c>
      <c r="E390" s="59">
        <v>5.9003379284399999E-4</v>
      </c>
    </row>
    <row r="391" spans="2:5" ht="14.5" customHeight="1">
      <c r="B391" s="92"/>
      <c r="C391" s="57" t="s">
        <v>189</v>
      </c>
      <c r="D391" s="58">
        <v>18</v>
      </c>
      <c r="E391" s="59">
        <v>4.8275492141800001E-4</v>
      </c>
    </row>
    <row r="392" spans="2:5" ht="14.5" customHeight="1">
      <c r="B392" s="92"/>
      <c r="C392" s="57" t="s">
        <v>192</v>
      </c>
      <c r="D392" s="58">
        <v>16</v>
      </c>
      <c r="E392" s="59">
        <v>4.2911548570500002E-4</v>
      </c>
    </row>
    <row r="393" spans="2:5" ht="14.5" customHeight="1">
      <c r="B393" s="92"/>
      <c r="C393" s="57" t="s">
        <v>190</v>
      </c>
      <c r="D393" s="58">
        <v>15</v>
      </c>
      <c r="E393" s="59">
        <v>4.0229576784899998E-4</v>
      </c>
    </row>
    <row r="394" spans="2:5" ht="14.5" customHeight="1">
      <c r="B394" s="92"/>
      <c r="C394" s="57" t="s">
        <v>193</v>
      </c>
      <c r="D394" s="58">
        <v>15</v>
      </c>
      <c r="E394" s="59">
        <v>4.0229576784899998E-4</v>
      </c>
    </row>
    <row r="395" spans="2:5" ht="14.5" customHeight="1">
      <c r="B395" s="92"/>
      <c r="C395" s="57" t="s">
        <v>196</v>
      </c>
      <c r="D395" s="58">
        <v>9</v>
      </c>
      <c r="E395" s="59">
        <v>2.4137746070900001E-4</v>
      </c>
    </row>
    <row r="396" spans="2:5" ht="14.5" customHeight="1">
      <c r="B396" s="92"/>
      <c r="C396" s="57" t="s">
        <v>194</v>
      </c>
      <c r="D396" s="58">
        <v>8</v>
      </c>
      <c r="E396" s="59">
        <v>2.1455774285299999E-4</v>
      </c>
    </row>
    <row r="397" spans="2:5" ht="14.5" customHeight="1">
      <c r="B397" s="92"/>
      <c r="C397" s="57" t="s">
        <v>195</v>
      </c>
      <c r="D397" s="58">
        <v>8</v>
      </c>
      <c r="E397" s="59">
        <v>2.1455774285299999E-4</v>
      </c>
    </row>
    <row r="398" spans="2:5" ht="14.5" customHeight="1">
      <c r="B398" s="92"/>
      <c r="C398" s="57" t="s">
        <v>197</v>
      </c>
      <c r="D398" s="58">
        <v>6</v>
      </c>
      <c r="E398" s="59">
        <v>1.6091830713899999E-4</v>
      </c>
    </row>
    <row r="399" spans="2:5" ht="14.5" customHeight="1">
      <c r="B399" s="92"/>
      <c r="C399" s="57" t="s">
        <v>199</v>
      </c>
      <c r="D399" s="58">
        <v>1</v>
      </c>
      <c r="E399" s="59">
        <v>2.6819717857000001E-5</v>
      </c>
    </row>
    <row r="400" spans="2:5" ht="14.5" customHeight="1">
      <c r="B400" s="92"/>
      <c r="C400" s="57" t="s">
        <v>198</v>
      </c>
      <c r="D400" s="58">
        <v>1</v>
      </c>
      <c r="E400" s="59">
        <v>2.6819717857000001E-5</v>
      </c>
    </row>
    <row r="401" spans="2:5" ht="14.5" customHeight="1">
      <c r="B401" s="91"/>
      <c r="C401" s="72" t="s">
        <v>353</v>
      </c>
      <c r="D401" s="71">
        <v>325</v>
      </c>
      <c r="E401" s="73">
        <v>8.7164083033849996E-3</v>
      </c>
    </row>
    <row r="402" spans="2:5" ht="14.5" customHeight="1">
      <c r="B402" s="90" t="s">
        <v>155</v>
      </c>
      <c r="C402" s="57" t="s">
        <v>186</v>
      </c>
      <c r="D402" s="58">
        <v>51</v>
      </c>
      <c r="E402" s="59">
        <v>1.3678056106849999E-3</v>
      </c>
    </row>
    <row r="403" spans="2:5" ht="14.5" customHeight="1">
      <c r="B403" s="92"/>
      <c r="C403" s="57" t="s">
        <v>184</v>
      </c>
      <c r="D403" s="58">
        <v>44</v>
      </c>
      <c r="E403" s="59">
        <v>1.180067585689E-3</v>
      </c>
    </row>
    <row r="404" spans="2:5" ht="14.5" customHeight="1">
      <c r="B404" s="92"/>
      <c r="C404" s="57" t="s">
        <v>185</v>
      </c>
      <c r="D404" s="58">
        <v>33</v>
      </c>
      <c r="E404" s="59">
        <v>8.8505068926699999E-4</v>
      </c>
    </row>
    <row r="405" spans="2:5" ht="14.5" customHeight="1">
      <c r="B405" s="92"/>
      <c r="C405" s="57" t="s">
        <v>187</v>
      </c>
      <c r="D405" s="58">
        <v>27</v>
      </c>
      <c r="E405" s="59">
        <v>7.2413238212700002E-4</v>
      </c>
    </row>
    <row r="406" spans="2:5" ht="14.5" customHeight="1">
      <c r="B406" s="92"/>
      <c r="C406" s="57" t="s">
        <v>191</v>
      </c>
      <c r="D406" s="58">
        <v>21</v>
      </c>
      <c r="E406" s="59">
        <v>5.63214074988E-4</v>
      </c>
    </row>
    <row r="407" spans="2:5" ht="14.5" customHeight="1">
      <c r="B407" s="92"/>
      <c r="C407" s="57" t="s">
        <v>190</v>
      </c>
      <c r="D407" s="58">
        <v>17</v>
      </c>
      <c r="E407" s="59">
        <v>4.5593520356200002E-4</v>
      </c>
    </row>
    <row r="408" spans="2:5" ht="14.5" customHeight="1">
      <c r="B408" s="92"/>
      <c r="C408" s="57" t="s">
        <v>188</v>
      </c>
      <c r="D408" s="58">
        <v>17</v>
      </c>
      <c r="E408" s="59">
        <v>4.5593520356200002E-4</v>
      </c>
    </row>
    <row r="409" spans="2:5" ht="14.5" customHeight="1">
      <c r="B409" s="92"/>
      <c r="C409" s="57" t="s">
        <v>189</v>
      </c>
      <c r="D409" s="58">
        <v>15</v>
      </c>
      <c r="E409" s="59">
        <v>4.0229576784899998E-4</v>
      </c>
    </row>
    <row r="410" spans="2:5" ht="14.5" customHeight="1">
      <c r="B410" s="92"/>
      <c r="C410" s="57" t="s">
        <v>193</v>
      </c>
      <c r="D410" s="58">
        <v>12</v>
      </c>
      <c r="E410" s="59">
        <v>3.2183661427899999E-4</v>
      </c>
    </row>
    <row r="411" spans="2:5" ht="14.5" customHeight="1">
      <c r="B411" s="92"/>
      <c r="C411" s="57" t="s">
        <v>194</v>
      </c>
      <c r="D411" s="58">
        <v>9</v>
      </c>
      <c r="E411" s="59">
        <v>2.4137746070900001E-4</v>
      </c>
    </row>
    <row r="412" spans="2:5" ht="14.5" customHeight="1">
      <c r="B412" s="92"/>
      <c r="C412" s="57" t="s">
        <v>192</v>
      </c>
      <c r="D412" s="58">
        <v>9</v>
      </c>
      <c r="E412" s="59">
        <v>2.4137746070900001E-4</v>
      </c>
    </row>
    <row r="413" spans="2:5" ht="14.5" customHeight="1">
      <c r="B413" s="92"/>
      <c r="C413" s="57" t="s">
        <v>195</v>
      </c>
      <c r="D413" s="58">
        <v>6</v>
      </c>
      <c r="E413" s="59">
        <v>1.6091830713899999E-4</v>
      </c>
    </row>
    <row r="414" spans="2:5" ht="14.5" customHeight="1">
      <c r="B414" s="92"/>
      <c r="C414" s="57" t="s">
        <v>197</v>
      </c>
      <c r="D414" s="58">
        <v>4</v>
      </c>
      <c r="E414" s="59">
        <v>1.07278871426E-4</v>
      </c>
    </row>
    <row r="415" spans="2:5" ht="14.5" customHeight="1">
      <c r="B415" s="92"/>
      <c r="C415" s="57" t="s">
        <v>196</v>
      </c>
      <c r="D415" s="58">
        <v>3</v>
      </c>
      <c r="E415" s="59">
        <v>8.0459153570000002E-5</v>
      </c>
    </row>
    <row r="416" spans="2:5" ht="14.5" customHeight="1">
      <c r="B416" s="92"/>
      <c r="C416" s="57" t="s">
        <v>199</v>
      </c>
      <c r="D416" s="58">
        <v>2</v>
      </c>
      <c r="E416" s="59">
        <v>5.3639435713000001E-5</v>
      </c>
    </row>
    <row r="417" spans="2:5" ht="14.5" customHeight="1">
      <c r="B417" s="92"/>
      <c r="C417" s="57" t="s">
        <v>200</v>
      </c>
      <c r="D417" s="58">
        <v>1</v>
      </c>
      <c r="E417" s="59">
        <v>2.6819717857000001E-5</v>
      </c>
    </row>
    <row r="418" spans="2:5" ht="14.5" customHeight="1">
      <c r="B418" s="92"/>
      <c r="C418" s="57" t="s">
        <v>198</v>
      </c>
      <c r="D418" s="58">
        <v>1</v>
      </c>
      <c r="E418" s="59">
        <v>2.6819717857000001E-5</v>
      </c>
    </row>
    <row r="419" spans="2:5" ht="14.5" customHeight="1">
      <c r="B419" s="91"/>
      <c r="C419" s="72" t="s">
        <v>353</v>
      </c>
      <c r="D419" s="71">
        <v>272</v>
      </c>
      <c r="E419" s="73">
        <v>7.2949632569870001E-3</v>
      </c>
    </row>
    <row r="420" spans="2:5" ht="14.5" customHeight="1">
      <c r="B420" s="90" t="s">
        <v>156</v>
      </c>
      <c r="C420" s="57" t="s">
        <v>184</v>
      </c>
      <c r="D420" s="58">
        <v>69</v>
      </c>
      <c r="E420" s="59">
        <v>1.8505605321029999E-3</v>
      </c>
    </row>
    <row r="421" spans="2:5" ht="14.5" customHeight="1">
      <c r="B421" s="92"/>
      <c r="C421" s="57" t="s">
        <v>185</v>
      </c>
      <c r="D421" s="58">
        <v>36</v>
      </c>
      <c r="E421" s="59">
        <v>9.6550984283600002E-4</v>
      </c>
    </row>
    <row r="422" spans="2:5" ht="14.5" customHeight="1">
      <c r="B422" s="92"/>
      <c r="C422" s="57" t="s">
        <v>187</v>
      </c>
      <c r="D422" s="58">
        <v>21</v>
      </c>
      <c r="E422" s="59">
        <v>5.63214074988E-4</v>
      </c>
    </row>
    <row r="423" spans="2:5" ht="14.5" customHeight="1">
      <c r="B423" s="92"/>
      <c r="C423" s="57" t="s">
        <v>186</v>
      </c>
      <c r="D423" s="58">
        <v>19</v>
      </c>
      <c r="E423" s="59">
        <v>5.0957463927499996E-4</v>
      </c>
    </row>
    <row r="424" spans="2:5" ht="14.5" customHeight="1">
      <c r="B424" s="92"/>
      <c r="C424" s="57" t="s">
        <v>188</v>
      </c>
      <c r="D424" s="58">
        <v>18</v>
      </c>
      <c r="E424" s="59">
        <v>4.8275492141800001E-4</v>
      </c>
    </row>
    <row r="425" spans="2:5" ht="14.5" customHeight="1">
      <c r="B425" s="92"/>
      <c r="C425" s="57" t="s">
        <v>189</v>
      </c>
      <c r="D425" s="58">
        <v>17</v>
      </c>
      <c r="E425" s="59">
        <v>4.5593520356200002E-4</v>
      </c>
    </row>
    <row r="426" spans="2:5" ht="14.5" customHeight="1">
      <c r="B426" s="92"/>
      <c r="C426" s="57" t="s">
        <v>190</v>
      </c>
      <c r="D426" s="58">
        <v>17</v>
      </c>
      <c r="E426" s="59">
        <v>4.5593520356200002E-4</v>
      </c>
    </row>
    <row r="427" spans="2:5" ht="14.5" customHeight="1">
      <c r="B427" s="92"/>
      <c r="C427" s="57" t="s">
        <v>192</v>
      </c>
      <c r="D427" s="58">
        <v>11</v>
      </c>
      <c r="E427" s="59">
        <v>2.9501689642199999E-4</v>
      </c>
    </row>
    <row r="428" spans="2:5" ht="14.5" customHeight="1">
      <c r="B428" s="92"/>
      <c r="C428" s="57" t="s">
        <v>191</v>
      </c>
      <c r="D428" s="58">
        <v>11</v>
      </c>
      <c r="E428" s="59">
        <v>2.9501689642199999E-4</v>
      </c>
    </row>
    <row r="429" spans="2:5" ht="14.5" customHeight="1">
      <c r="B429" s="92"/>
      <c r="C429" s="57" t="s">
        <v>195</v>
      </c>
      <c r="D429" s="58">
        <v>9</v>
      </c>
      <c r="E429" s="59">
        <v>2.4137746070900001E-4</v>
      </c>
    </row>
    <row r="430" spans="2:5" ht="14.5" customHeight="1">
      <c r="B430" s="92"/>
      <c r="C430" s="57" t="s">
        <v>193</v>
      </c>
      <c r="D430" s="58">
        <v>9</v>
      </c>
      <c r="E430" s="59">
        <v>2.4137746070900001E-4</v>
      </c>
    </row>
    <row r="431" spans="2:5" ht="14.5" customHeight="1">
      <c r="B431" s="92"/>
      <c r="C431" s="57" t="s">
        <v>194</v>
      </c>
      <c r="D431" s="58">
        <v>4</v>
      </c>
      <c r="E431" s="59">
        <v>1.07278871426E-4</v>
      </c>
    </row>
    <row r="432" spans="2:5" ht="14.5" customHeight="1">
      <c r="B432" s="92"/>
      <c r="C432" s="57" t="s">
        <v>197</v>
      </c>
      <c r="D432" s="58">
        <v>4</v>
      </c>
      <c r="E432" s="59">
        <v>1.07278871426E-4</v>
      </c>
    </row>
    <row r="433" spans="2:5" ht="14.5" customHeight="1">
      <c r="B433" s="92"/>
      <c r="C433" s="57" t="s">
        <v>200</v>
      </c>
      <c r="D433" s="58">
        <v>2</v>
      </c>
      <c r="E433" s="59">
        <v>5.3639435713000001E-5</v>
      </c>
    </row>
    <row r="434" spans="2:5" ht="14.5" customHeight="1">
      <c r="B434" s="92"/>
      <c r="C434" s="57" t="s">
        <v>199</v>
      </c>
      <c r="D434" s="58">
        <v>2</v>
      </c>
      <c r="E434" s="59">
        <v>5.3639435713000001E-5</v>
      </c>
    </row>
    <row r="435" spans="2:5" ht="14.5" customHeight="1">
      <c r="B435" s="92"/>
      <c r="C435" s="57" t="s">
        <v>198</v>
      </c>
      <c r="D435" s="58">
        <v>2</v>
      </c>
      <c r="E435" s="59">
        <v>5.3639435713000001E-5</v>
      </c>
    </row>
    <row r="436" spans="2:5" ht="14.5" customHeight="1">
      <c r="B436" s="92"/>
      <c r="C436" s="57" t="s">
        <v>196</v>
      </c>
      <c r="D436" s="58">
        <v>1</v>
      </c>
      <c r="E436" s="59">
        <v>2.6819717857000001E-5</v>
      </c>
    </row>
    <row r="437" spans="2:5" ht="14.5" customHeight="1">
      <c r="B437" s="91"/>
      <c r="C437" s="72" t="s">
        <v>353</v>
      </c>
      <c r="D437" s="71">
        <v>252</v>
      </c>
      <c r="E437" s="73">
        <v>6.7585688998549999E-3</v>
      </c>
    </row>
    <row r="438" spans="2:5" ht="14.5" customHeight="1">
      <c r="B438" s="90" t="s">
        <v>157</v>
      </c>
      <c r="C438" s="57" t="s">
        <v>186</v>
      </c>
      <c r="D438" s="58">
        <v>31</v>
      </c>
      <c r="E438" s="59">
        <v>8.3141125355399995E-4</v>
      </c>
    </row>
    <row r="439" spans="2:5" ht="14.5" customHeight="1">
      <c r="B439" s="92"/>
      <c r="C439" s="57" t="s">
        <v>184</v>
      </c>
      <c r="D439" s="58">
        <v>31</v>
      </c>
      <c r="E439" s="59">
        <v>8.3141125355399995E-4</v>
      </c>
    </row>
    <row r="440" spans="2:5" ht="14.5" customHeight="1">
      <c r="B440" s="92"/>
      <c r="C440" s="57" t="s">
        <v>188</v>
      </c>
      <c r="D440" s="58">
        <v>25</v>
      </c>
      <c r="E440" s="59">
        <v>6.7049294641399998E-4</v>
      </c>
    </row>
    <row r="441" spans="2:5" ht="14.5" customHeight="1">
      <c r="B441" s="92"/>
      <c r="C441" s="57" t="s">
        <v>187</v>
      </c>
      <c r="D441" s="58">
        <v>22</v>
      </c>
      <c r="E441" s="59">
        <v>5.9003379284399999E-4</v>
      </c>
    </row>
    <row r="442" spans="2:5" ht="14.5" customHeight="1">
      <c r="B442" s="92"/>
      <c r="C442" s="57" t="s">
        <v>185</v>
      </c>
      <c r="D442" s="58">
        <v>19</v>
      </c>
      <c r="E442" s="59">
        <v>5.0957463927499996E-4</v>
      </c>
    </row>
    <row r="443" spans="2:5" ht="14.5" customHeight="1">
      <c r="B443" s="92"/>
      <c r="C443" s="57" t="s">
        <v>192</v>
      </c>
      <c r="D443" s="58">
        <v>19</v>
      </c>
      <c r="E443" s="59">
        <v>5.0957463927499996E-4</v>
      </c>
    </row>
    <row r="444" spans="2:5" ht="14.5" customHeight="1">
      <c r="B444" s="92"/>
      <c r="C444" s="57" t="s">
        <v>190</v>
      </c>
      <c r="D444" s="58">
        <v>18</v>
      </c>
      <c r="E444" s="59">
        <v>4.8275492141800001E-4</v>
      </c>
    </row>
    <row r="445" spans="2:5" ht="14.5" customHeight="1">
      <c r="B445" s="92"/>
      <c r="C445" s="57" t="s">
        <v>189</v>
      </c>
      <c r="D445" s="58">
        <v>17</v>
      </c>
      <c r="E445" s="59">
        <v>4.5593520356200002E-4</v>
      </c>
    </row>
    <row r="446" spans="2:5" ht="14.5" customHeight="1">
      <c r="B446" s="92"/>
      <c r="C446" s="57" t="s">
        <v>193</v>
      </c>
      <c r="D446" s="58">
        <v>16</v>
      </c>
      <c r="E446" s="59">
        <v>4.2911548570500002E-4</v>
      </c>
    </row>
    <row r="447" spans="2:5" ht="14.5" customHeight="1">
      <c r="B447" s="92"/>
      <c r="C447" s="57" t="s">
        <v>191</v>
      </c>
      <c r="D447" s="58">
        <v>15</v>
      </c>
      <c r="E447" s="59">
        <v>4.0229576784899998E-4</v>
      </c>
    </row>
    <row r="448" spans="2:5" ht="14.5" customHeight="1">
      <c r="B448" s="92"/>
      <c r="C448" s="57" t="s">
        <v>194</v>
      </c>
      <c r="D448" s="58">
        <v>8</v>
      </c>
      <c r="E448" s="59">
        <v>2.1455774285299999E-4</v>
      </c>
    </row>
    <row r="449" spans="2:5" ht="14.5" customHeight="1">
      <c r="B449" s="92"/>
      <c r="C449" s="57" t="s">
        <v>200</v>
      </c>
      <c r="D449" s="58">
        <v>5</v>
      </c>
      <c r="E449" s="59">
        <v>1.34098589283E-4</v>
      </c>
    </row>
    <row r="450" spans="2:5" ht="14.5" customHeight="1">
      <c r="B450" s="92"/>
      <c r="C450" s="57" t="s">
        <v>195</v>
      </c>
      <c r="D450" s="58">
        <v>3</v>
      </c>
      <c r="E450" s="59">
        <v>8.0459153570000002E-5</v>
      </c>
    </row>
    <row r="451" spans="2:5" ht="14.5" customHeight="1">
      <c r="B451" s="92"/>
      <c r="C451" s="57" t="s">
        <v>196</v>
      </c>
      <c r="D451" s="58">
        <v>3</v>
      </c>
      <c r="E451" s="59">
        <v>8.0459153570000002E-5</v>
      </c>
    </row>
    <row r="452" spans="2:5" ht="14.5" customHeight="1">
      <c r="B452" s="92"/>
      <c r="C452" s="57" t="s">
        <v>198</v>
      </c>
      <c r="D452" s="58">
        <v>3</v>
      </c>
      <c r="E452" s="59">
        <v>8.0459153570000002E-5</v>
      </c>
    </row>
    <row r="453" spans="2:5" ht="14.5" customHeight="1">
      <c r="B453" s="92"/>
      <c r="C453" s="57" t="s">
        <v>197</v>
      </c>
      <c r="D453" s="58">
        <v>1</v>
      </c>
      <c r="E453" s="59">
        <v>2.6819717857000001E-5</v>
      </c>
    </row>
    <row r="454" spans="2:5" ht="14.5" customHeight="1">
      <c r="B454" s="92"/>
      <c r="C454" s="57" t="s">
        <v>199</v>
      </c>
      <c r="D454" s="58">
        <v>1</v>
      </c>
      <c r="E454" s="59">
        <v>2.6819717857000001E-5</v>
      </c>
    </row>
    <row r="455" spans="2:5" ht="14.5" customHeight="1">
      <c r="B455" s="91"/>
      <c r="C455" s="72" t="s">
        <v>353</v>
      </c>
      <c r="D455" s="71">
        <v>237</v>
      </c>
      <c r="E455" s="73">
        <v>6.3562731320069999E-3</v>
      </c>
    </row>
    <row r="456" spans="2:5" ht="14.5" customHeight="1">
      <c r="B456" s="90" t="s">
        <v>158</v>
      </c>
      <c r="C456" s="57" t="s">
        <v>184</v>
      </c>
      <c r="D456" s="58">
        <v>71</v>
      </c>
      <c r="E456" s="59">
        <v>1.904199967816E-3</v>
      </c>
    </row>
    <row r="457" spans="2:5" ht="14.5" customHeight="1">
      <c r="B457" s="92"/>
      <c r="C457" s="57" t="s">
        <v>187</v>
      </c>
      <c r="D457" s="58">
        <v>28</v>
      </c>
      <c r="E457" s="59">
        <v>7.5095209998399996E-4</v>
      </c>
    </row>
    <row r="458" spans="2:5" ht="14.5" customHeight="1">
      <c r="B458" s="92"/>
      <c r="C458" s="57" t="s">
        <v>185</v>
      </c>
      <c r="D458" s="58">
        <v>23</v>
      </c>
      <c r="E458" s="59">
        <v>6.1685351070100004E-4</v>
      </c>
    </row>
    <row r="459" spans="2:5" ht="14.5" customHeight="1">
      <c r="B459" s="92"/>
      <c r="C459" s="57" t="s">
        <v>189</v>
      </c>
      <c r="D459" s="58">
        <v>11</v>
      </c>
      <c r="E459" s="59">
        <v>2.9501689642199999E-4</v>
      </c>
    </row>
    <row r="460" spans="2:5" ht="14.5" customHeight="1">
      <c r="B460" s="92"/>
      <c r="C460" s="57" t="s">
        <v>186</v>
      </c>
      <c r="D460" s="58">
        <v>11</v>
      </c>
      <c r="E460" s="59">
        <v>2.9501689642199999E-4</v>
      </c>
    </row>
    <row r="461" spans="2:5" ht="14.5" customHeight="1">
      <c r="B461" s="92"/>
      <c r="C461" s="57" t="s">
        <v>188</v>
      </c>
      <c r="D461" s="58">
        <v>10</v>
      </c>
      <c r="E461" s="59">
        <v>2.6819717856600001E-4</v>
      </c>
    </row>
    <row r="462" spans="2:5" ht="14.5" customHeight="1">
      <c r="B462" s="92"/>
      <c r="C462" s="57" t="s">
        <v>193</v>
      </c>
      <c r="D462" s="58">
        <v>9</v>
      </c>
      <c r="E462" s="59">
        <v>2.4137746070900001E-4</v>
      </c>
    </row>
    <row r="463" spans="2:5" ht="14.5" customHeight="1">
      <c r="B463" s="92"/>
      <c r="C463" s="57" t="s">
        <v>191</v>
      </c>
      <c r="D463" s="58">
        <v>9</v>
      </c>
      <c r="E463" s="59">
        <v>2.4137746070900001E-4</v>
      </c>
    </row>
    <row r="464" spans="2:5" ht="14.5" customHeight="1">
      <c r="B464" s="92"/>
      <c r="C464" s="57" t="s">
        <v>195</v>
      </c>
      <c r="D464" s="58">
        <v>7</v>
      </c>
      <c r="E464" s="59">
        <v>1.8773802499599999E-4</v>
      </c>
    </row>
    <row r="465" spans="2:5" ht="14.5" customHeight="1">
      <c r="B465" s="92"/>
      <c r="C465" s="57" t="s">
        <v>190</v>
      </c>
      <c r="D465" s="58">
        <v>6</v>
      </c>
      <c r="E465" s="59">
        <v>1.6091830713899999E-4</v>
      </c>
    </row>
    <row r="466" spans="2:5" ht="14.5" customHeight="1">
      <c r="B466" s="92"/>
      <c r="C466" s="57" t="s">
        <v>196</v>
      </c>
      <c r="D466" s="58">
        <v>6</v>
      </c>
      <c r="E466" s="59">
        <v>1.6091830713899999E-4</v>
      </c>
    </row>
    <row r="467" spans="2:5" ht="14.5" customHeight="1">
      <c r="B467" s="92"/>
      <c r="C467" s="57" t="s">
        <v>199</v>
      </c>
      <c r="D467" s="58">
        <v>5</v>
      </c>
      <c r="E467" s="59">
        <v>1.34098589283E-4</v>
      </c>
    </row>
    <row r="468" spans="2:5" ht="14.5" customHeight="1">
      <c r="B468" s="92"/>
      <c r="C468" s="57" t="s">
        <v>194</v>
      </c>
      <c r="D468" s="58">
        <v>4</v>
      </c>
      <c r="E468" s="59">
        <v>1.07278871426E-4</v>
      </c>
    </row>
    <row r="469" spans="2:5" ht="14.5" customHeight="1">
      <c r="B469" s="92"/>
      <c r="C469" s="57" t="s">
        <v>192</v>
      </c>
      <c r="D469" s="58">
        <v>4</v>
      </c>
      <c r="E469" s="59">
        <v>1.07278871426E-4</v>
      </c>
    </row>
    <row r="470" spans="2:5" ht="14.5" customHeight="1">
      <c r="B470" s="92"/>
      <c r="C470" s="57" t="s">
        <v>197</v>
      </c>
      <c r="D470" s="58">
        <v>4</v>
      </c>
      <c r="E470" s="59">
        <v>1.07278871426E-4</v>
      </c>
    </row>
    <row r="471" spans="2:5" ht="14.5" customHeight="1">
      <c r="B471" s="92"/>
      <c r="C471" s="57" t="s">
        <v>198</v>
      </c>
      <c r="D471" s="58">
        <v>3</v>
      </c>
      <c r="E471" s="59">
        <v>8.0459153570000002E-5</v>
      </c>
    </row>
    <row r="472" spans="2:5" ht="14.5" customHeight="1">
      <c r="B472" s="91"/>
      <c r="C472" s="72" t="s">
        <v>353</v>
      </c>
      <c r="D472" s="71">
        <v>211</v>
      </c>
      <c r="E472" s="73">
        <v>5.6589604677360003E-3</v>
      </c>
    </row>
    <row r="473" spans="2:5" ht="14.5" customHeight="1">
      <c r="B473" s="90" t="s">
        <v>159</v>
      </c>
      <c r="C473" s="57" t="s">
        <v>184</v>
      </c>
      <c r="D473" s="58">
        <v>107</v>
      </c>
      <c r="E473" s="59">
        <v>2.8697098106529998E-3</v>
      </c>
    </row>
    <row r="474" spans="2:5" ht="14.5" customHeight="1">
      <c r="B474" s="92"/>
      <c r="C474" s="57" t="s">
        <v>186</v>
      </c>
      <c r="D474" s="58">
        <v>16</v>
      </c>
      <c r="E474" s="59">
        <v>4.2911548570500002E-4</v>
      </c>
    </row>
    <row r="475" spans="2:5" ht="14.5" customHeight="1">
      <c r="B475" s="92"/>
      <c r="C475" s="57" t="s">
        <v>185</v>
      </c>
      <c r="D475" s="58">
        <v>15</v>
      </c>
      <c r="E475" s="59">
        <v>4.0229576784899998E-4</v>
      </c>
    </row>
    <row r="476" spans="2:5" ht="14.5" customHeight="1">
      <c r="B476" s="92"/>
      <c r="C476" s="57" t="s">
        <v>188</v>
      </c>
      <c r="D476" s="58">
        <v>13</v>
      </c>
      <c r="E476" s="59">
        <v>3.4865633213499998E-4</v>
      </c>
    </row>
    <row r="477" spans="2:5" ht="14.5" customHeight="1">
      <c r="B477" s="92"/>
      <c r="C477" s="57" t="s">
        <v>189</v>
      </c>
      <c r="D477" s="58">
        <v>11</v>
      </c>
      <c r="E477" s="59">
        <v>2.9501689642199999E-4</v>
      </c>
    </row>
    <row r="478" spans="2:5" ht="14.5" customHeight="1">
      <c r="B478" s="92"/>
      <c r="C478" s="57" t="s">
        <v>190</v>
      </c>
      <c r="D478" s="58">
        <v>10</v>
      </c>
      <c r="E478" s="59">
        <v>2.6819717856600001E-4</v>
      </c>
    </row>
    <row r="479" spans="2:5" ht="14.5" customHeight="1">
      <c r="B479" s="92"/>
      <c r="C479" s="57" t="s">
        <v>192</v>
      </c>
      <c r="D479" s="58">
        <v>7</v>
      </c>
      <c r="E479" s="59">
        <v>1.8773802499599999E-4</v>
      </c>
    </row>
    <row r="480" spans="2:5" ht="14.5" customHeight="1">
      <c r="B480" s="92"/>
      <c r="C480" s="57" t="s">
        <v>193</v>
      </c>
      <c r="D480" s="58">
        <v>6</v>
      </c>
      <c r="E480" s="59">
        <v>1.6091830713899999E-4</v>
      </c>
    </row>
    <row r="481" spans="2:5" ht="14.5" customHeight="1">
      <c r="B481" s="92"/>
      <c r="C481" s="57" t="s">
        <v>197</v>
      </c>
      <c r="D481" s="58">
        <v>5</v>
      </c>
      <c r="E481" s="59">
        <v>1.34098589283E-4</v>
      </c>
    </row>
    <row r="482" spans="2:5" ht="14.5" customHeight="1">
      <c r="B482" s="92"/>
      <c r="C482" s="57" t="s">
        <v>187</v>
      </c>
      <c r="D482" s="58">
        <v>4</v>
      </c>
      <c r="E482" s="59">
        <v>1.07278871426E-4</v>
      </c>
    </row>
    <row r="483" spans="2:5" ht="14.5" customHeight="1">
      <c r="B483" s="92"/>
      <c r="C483" s="57" t="s">
        <v>196</v>
      </c>
      <c r="D483" s="58">
        <v>3</v>
      </c>
      <c r="E483" s="59">
        <v>8.0459153570000002E-5</v>
      </c>
    </row>
    <row r="484" spans="2:5" ht="14.5" customHeight="1">
      <c r="B484" s="92"/>
      <c r="C484" s="57" t="s">
        <v>199</v>
      </c>
      <c r="D484" s="58">
        <v>2</v>
      </c>
      <c r="E484" s="59">
        <v>5.3639435713000001E-5</v>
      </c>
    </row>
    <row r="485" spans="2:5" ht="14.5" customHeight="1">
      <c r="B485" s="92"/>
      <c r="C485" s="57" t="s">
        <v>195</v>
      </c>
      <c r="D485" s="58">
        <v>2</v>
      </c>
      <c r="E485" s="59">
        <v>5.3639435713000001E-5</v>
      </c>
    </row>
    <row r="486" spans="2:5" ht="14.5" customHeight="1">
      <c r="B486" s="92"/>
      <c r="C486" s="57" t="s">
        <v>191</v>
      </c>
      <c r="D486" s="58">
        <v>2</v>
      </c>
      <c r="E486" s="59">
        <v>5.3639435713000001E-5</v>
      </c>
    </row>
    <row r="487" spans="2:5" ht="14.5" customHeight="1">
      <c r="B487" s="92"/>
      <c r="C487" s="57" t="s">
        <v>200</v>
      </c>
      <c r="D487" s="58">
        <v>1</v>
      </c>
      <c r="E487" s="59">
        <v>2.6819717857000001E-5</v>
      </c>
    </row>
    <row r="488" spans="2:5" ht="14.5" customHeight="1">
      <c r="B488" s="91"/>
      <c r="C488" s="72" t="s">
        <v>353</v>
      </c>
      <c r="D488" s="71">
        <v>204</v>
      </c>
      <c r="E488" s="73">
        <v>5.4712224427399996E-3</v>
      </c>
    </row>
    <row r="489" spans="2:5" ht="14.5" customHeight="1">
      <c r="B489" s="90" t="s">
        <v>160</v>
      </c>
      <c r="C489" s="57" t="s">
        <v>184</v>
      </c>
      <c r="D489" s="58">
        <v>85</v>
      </c>
      <c r="E489" s="59">
        <v>2.2796760178079999E-3</v>
      </c>
    </row>
    <row r="490" spans="2:5" ht="14.5" customHeight="1">
      <c r="B490" s="92"/>
      <c r="C490" s="57" t="s">
        <v>186</v>
      </c>
      <c r="D490" s="58">
        <v>17</v>
      </c>
      <c r="E490" s="59">
        <v>4.5593520356200002E-4</v>
      </c>
    </row>
    <row r="491" spans="2:5" ht="14.5" customHeight="1">
      <c r="B491" s="92"/>
      <c r="C491" s="57" t="s">
        <v>192</v>
      </c>
      <c r="D491" s="58">
        <v>14</v>
      </c>
      <c r="E491" s="59">
        <v>3.7547604999199998E-4</v>
      </c>
    </row>
    <row r="492" spans="2:5" ht="14.5" customHeight="1">
      <c r="B492" s="92"/>
      <c r="C492" s="57" t="s">
        <v>187</v>
      </c>
      <c r="D492" s="58">
        <v>12</v>
      </c>
      <c r="E492" s="59">
        <v>3.2183661427899999E-4</v>
      </c>
    </row>
    <row r="493" spans="2:5" ht="14.5" customHeight="1">
      <c r="B493" s="92"/>
      <c r="C493" s="57" t="s">
        <v>194</v>
      </c>
      <c r="D493" s="58">
        <v>9</v>
      </c>
      <c r="E493" s="59">
        <v>2.4137746070900001E-4</v>
      </c>
    </row>
    <row r="494" spans="2:5" ht="14.5" customHeight="1">
      <c r="B494" s="92"/>
      <c r="C494" s="57" t="s">
        <v>188</v>
      </c>
      <c r="D494" s="58">
        <v>9</v>
      </c>
      <c r="E494" s="59">
        <v>2.4137746070900001E-4</v>
      </c>
    </row>
    <row r="495" spans="2:5" ht="14.5" customHeight="1">
      <c r="B495" s="92"/>
      <c r="C495" s="57" t="s">
        <v>191</v>
      </c>
      <c r="D495" s="58">
        <v>8</v>
      </c>
      <c r="E495" s="59">
        <v>2.1455774285299999E-4</v>
      </c>
    </row>
    <row r="496" spans="2:5" ht="14.5" customHeight="1">
      <c r="B496" s="92"/>
      <c r="C496" s="57" t="s">
        <v>185</v>
      </c>
      <c r="D496" s="58">
        <v>7</v>
      </c>
      <c r="E496" s="59">
        <v>1.8773802499599999E-4</v>
      </c>
    </row>
    <row r="497" spans="2:5" ht="14.5" customHeight="1">
      <c r="B497" s="92"/>
      <c r="C497" s="57" t="s">
        <v>193</v>
      </c>
      <c r="D497" s="58">
        <v>7</v>
      </c>
      <c r="E497" s="59">
        <v>1.8773802499599999E-4</v>
      </c>
    </row>
    <row r="498" spans="2:5" ht="14.5" customHeight="1">
      <c r="B498" s="92"/>
      <c r="C498" s="57" t="s">
        <v>189</v>
      </c>
      <c r="D498" s="58">
        <v>6</v>
      </c>
      <c r="E498" s="59">
        <v>1.6091830713899999E-4</v>
      </c>
    </row>
    <row r="499" spans="2:5" ht="14.5" customHeight="1">
      <c r="B499" s="92"/>
      <c r="C499" s="57" t="s">
        <v>195</v>
      </c>
      <c r="D499" s="58">
        <v>5</v>
      </c>
      <c r="E499" s="59">
        <v>1.34098589283E-4</v>
      </c>
    </row>
    <row r="500" spans="2:5" ht="14.5" customHeight="1">
      <c r="B500" s="92"/>
      <c r="C500" s="57" t="s">
        <v>190</v>
      </c>
      <c r="D500" s="58">
        <v>4</v>
      </c>
      <c r="E500" s="59">
        <v>1.07278871426E-4</v>
      </c>
    </row>
    <row r="501" spans="2:5" ht="14.5" customHeight="1">
      <c r="B501" s="92"/>
      <c r="C501" s="57" t="s">
        <v>197</v>
      </c>
      <c r="D501" s="58">
        <v>4</v>
      </c>
      <c r="E501" s="59">
        <v>1.07278871426E-4</v>
      </c>
    </row>
    <row r="502" spans="2:5" ht="14.5" customHeight="1">
      <c r="B502" s="92"/>
      <c r="C502" s="57" t="s">
        <v>200</v>
      </c>
      <c r="D502" s="58">
        <v>2</v>
      </c>
      <c r="E502" s="59">
        <v>5.3639435713000001E-5</v>
      </c>
    </row>
    <row r="503" spans="2:5" ht="14.5" customHeight="1">
      <c r="B503" s="92"/>
      <c r="C503" s="57" t="s">
        <v>196</v>
      </c>
      <c r="D503" s="58">
        <v>2</v>
      </c>
      <c r="E503" s="59">
        <v>5.3639435713000001E-5</v>
      </c>
    </row>
    <row r="504" spans="2:5" ht="14.5" customHeight="1">
      <c r="B504" s="92"/>
      <c r="C504" s="57" t="s">
        <v>198</v>
      </c>
      <c r="D504" s="58">
        <v>2</v>
      </c>
      <c r="E504" s="59">
        <v>5.3639435713000001E-5</v>
      </c>
    </row>
    <row r="505" spans="2:5" ht="14.5" customHeight="1">
      <c r="B505" s="92"/>
      <c r="C505" s="57" t="s">
        <v>199</v>
      </c>
      <c r="D505" s="58">
        <v>1</v>
      </c>
      <c r="E505" s="59">
        <v>2.6819717857000001E-5</v>
      </c>
    </row>
    <row r="506" spans="2:5" ht="14.5" customHeight="1">
      <c r="B506" s="91"/>
      <c r="C506" s="72" t="s">
        <v>353</v>
      </c>
      <c r="D506" s="71">
        <v>194</v>
      </c>
      <c r="E506" s="73">
        <v>5.2030252641740004E-3</v>
      </c>
    </row>
    <row r="507" spans="2:5" ht="14.5" customHeight="1">
      <c r="B507" s="90" t="s">
        <v>161</v>
      </c>
      <c r="C507" s="57" t="s">
        <v>184</v>
      </c>
      <c r="D507" s="58">
        <v>33</v>
      </c>
      <c r="E507" s="59">
        <v>8.8505068926699999E-4</v>
      </c>
    </row>
    <row r="508" spans="2:5" ht="14.5" customHeight="1">
      <c r="B508" s="92"/>
      <c r="C508" s="57" t="s">
        <v>186</v>
      </c>
      <c r="D508" s="58">
        <v>25</v>
      </c>
      <c r="E508" s="59">
        <v>6.7049294641399998E-4</v>
      </c>
    </row>
    <row r="509" spans="2:5" ht="14.5" customHeight="1">
      <c r="B509" s="92"/>
      <c r="C509" s="57" t="s">
        <v>190</v>
      </c>
      <c r="D509" s="58">
        <v>21</v>
      </c>
      <c r="E509" s="59">
        <v>5.63214074988E-4</v>
      </c>
    </row>
    <row r="510" spans="2:5" ht="14.5" customHeight="1">
      <c r="B510" s="92"/>
      <c r="C510" s="57" t="s">
        <v>187</v>
      </c>
      <c r="D510" s="58">
        <v>19</v>
      </c>
      <c r="E510" s="59">
        <v>5.0957463927499996E-4</v>
      </c>
    </row>
    <row r="511" spans="2:5" ht="14.5" customHeight="1">
      <c r="B511" s="92"/>
      <c r="C511" s="57" t="s">
        <v>188</v>
      </c>
      <c r="D511" s="58">
        <v>15</v>
      </c>
      <c r="E511" s="59">
        <v>4.0229576784899998E-4</v>
      </c>
    </row>
    <row r="512" spans="2:5" ht="14.5" customHeight="1">
      <c r="B512" s="92"/>
      <c r="C512" s="57" t="s">
        <v>185</v>
      </c>
      <c r="D512" s="58">
        <v>14</v>
      </c>
      <c r="E512" s="59">
        <v>3.7547604999199998E-4</v>
      </c>
    </row>
    <row r="513" spans="2:5" ht="14.5" customHeight="1">
      <c r="B513" s="92"/>
      <c r="C513" s="57" t="s">
        <v>189</v>
      </c>
      <c r="D513" s="58">
        <v>13</v>
      </c>
      <c r="E513" s="59">
        <v>3.4865633213499998E-4</v>
      </c>
    </row>
    <row r="514" spans="2:5" ht="14.5" customHeight="1">
      <c r="B514" s="92"/>
      <c r="C514" s="57" t="s">
        <v>191</v>
      </c>
      <c r="D514" s="58">
        <v>11</v>
      </c>
      <c r="E514" s="59">
        <v>2.9501689642199999E-4</v>
      </c>
    </row>
    <row r="515" spans="2:5" ht="14.5" customHeight="1">
      <c r="B515" s="92"/>
      <c r="C515" s="57" t="s">
        <v>193</v>
      </c>
      <c r="D515" s="58">
        <v>9</v>
      </c>
      <c r="E515" s="59">
        <v>2.4137746070900001E-4</v>
      </c>
    </row>
    <row r="516" spans="2:5" ht="14.5" customHeight="1">
      <c r="B516" s="92"/>
      <c r="C516" s="57" t="s">
        <v>192</v>
      </c>
      <c r="D516" s="58">
        <v>8</v>
      </c>
      <c r="E516" s="59">
        <v>2.1455774285299999E-4</v>
      </c>
    </row>
    <row r="517" spans="2:5" ht="14.5" customHeight="1">
      <c r="B517" s="92"/>
      <c r="C517" s="57" t="s">
        <v>194</v>
      </c>
      <c r="D517" s="58">
        <v>5</v>
      </c>
      <c r="E517" s="59">
        <v>1.34098589283E-4</v>
      </c>
    </row>
    <row r="518" spans="2:5" ht="14.5" customHeight="1">
      <c r="B518" s="92"/>
      <c r="C518" s="57" t="s">
        <v>197</v>
      </c>
      <c r="D518" s="58">
        <v>5</v>
      </c>
      <c r="E518" s="59">
        <v>1.34098589283E-4</v>
      </c>
    </row>
    <row r="519" spans="2:5" ht="14.5" customHeight="1">
      <c r="B519" s="92"/>
      <c r="C519" s="57" t="s">
        <v>196</v>
      </c>
      <c r="D519" s="58">
        <v>3</v>
      </c>
      <c r="E519" s="59">
        <v>8.0459153570000002E-5</v>
      </c>
    </row>
    <row r="520" spans="2:5" ht="14.5" customHeight="1">
      <c r="B520" s="92"/>
      <c r="C520" s="57" t="s">
        <v>199</v>
      </c>
      <c r="D520" s="58">
        <v>2</v>
      </c>
      <c r="E520" s="59">
        <v>5.3639435713000001E-5</v>
      </c>
    </row>
    <row r="521" spans="2:5" ht="14.5" customHeight="1">
      <c r="B521" s="92"/>
      <c r="C521" s="57" t="s">
        <v>200</v>
      </c>
      <c r="D521" s="58">
        <v>1</v>
      </c>
      <c r="E521" s="59">
        <v>2.6819717857000001E-5</v>
      </c>
    </row>
    <row r="522" spans="2:5" ht="14.5" customHeight="1">
      <c r="B522" s="92"/>
      <c r="C522" s="57" t="s">
        <v>198</v>
      </c>
      <c r="D522" s="58">
        <v>1</v>
      </c>
      <c r="E522" s="59">
        <v>2.6819717857000001E-5</v>
      </c>
    </row>
    <row r="523" spans="2:5" ht="14.5" customHeight="1">
      <c r="B523" s="91"/>
      <c r="C523" s="72" t="s">
        <v>353</v>
      </c>
      <c r="D523" s="71">
        <v>185</v>
      </c>
      <c r="E523" s="73">
        <v>4.9616478034649998E-3</v>
      </c>
    </row>
    <row r="524" spans="2:5" ht="14.5" customHeight="1">
      <c r="B524" s="90" t="s">
        <v>162</v>
      </c>
      <c r="C524" s="57" t="s">
        <v>184</v>
      </c>
      <c r="D524" s="58">
        <v>64</v>
      </c>
      <c r="E524" s="59">
        <v>1.7164619428200001E-3</v>
      </c>
    </row>
    <row r="525" spans="2:5" ht="14.5" customHeight="1">
      <c r="B525" s="92"/>
      <c r="C525" s="57" t="s">
        <v>187</v>
      </c>
      <c r="D525" s="58">
        <v>13</v>
      </c>
      <c r="E525" s="59">
        <v>3.4865633213499998E-4</v>
      </c>
    </row>
    <row r="526" spans="2:5" ht="14.5" customHeight="1">
      <c r="B526" s="92"/>
      <c r="C526" s="57" t="s">
        <v>188</v>
      </c>
      <c r="D526" s="58">
        <v>13</v>
      </c>
      <c r="E526" s="59">
        <v>3.4865633213499998E-4</v>
      </c>
    </row>
    <row r="527" spans="2:5" ht="14.5" customHeight="1">
      <c r="B527" s="92"/>
      <c r="C527" s="57" t="s">
        <v>186</v>
      </c>
      <c r="D527" s="58">
        <v>11</v>
      </c>
      <c r="E527" s="59">
        <v>2.9501689642199999E-4</v>
      </c>
    </row>
    <row r="528" spans="2:5" ht="14.5" customHeight="1">
      <c r="B528" s="92"/>
      <c r="C528" s="57" t="s">
        <v>185</v>
      </c>
      <c r="D528" s="58">
        <v>11</v>
      </c>
      <c r="E528" s="59">
        <v>2.9501689642199999E-4</v>
      </c>
    </row>
    <row r="529" spans="2:5" ht="14.5" customHeight="1">
      <c r="B529" s="92"/>
      <c r="C529" s="57" t="s">
        <v>192</v>
      </c>
      <c r="D529" s="58">
        <v>11</v>
      </c>
      <c r="E529" s="59">
        <v>2.9501689642199999E-4</v>
      </c>
    </row>
    <row r="530" spans="2:5" ht="14.5" customHeight="1">
      <c r="B530" s="92"/>
      <c r="C530" s="57" t="s">
        <v>191</v>
      </c>
      <c r="D530" s="58">
        <v>10</v>
      </c>
      <c r="E530" s="59">
        <v>2.6819717856600001E-4</v>
      </c>
    </row>
    <row r="531" spans="2:5" ht="14.5" customHeight="1">
      <c r="B531" s="92"/>
      <c r="C531" s="57" t="s">
        <v>195</v>
      </c>
      <c r="D531" s="58">
        <v>7</v>
      </c>
      <c r="E531" s="59">
        <v>1.8773802499599999E-4</v>
      </c>
    </row>
    <row r="532" spans="2:5" ht="14.5" customHeight="1">
      <c r="B532" s="92"/>
      <c r="C532" s="57" t="s">
        <v>189</v>
      </c>
      <c r="D532" s="58">
        <v>5</v>
      </c>
      <c r="E532" s="59">
        <v>1.34098589283E-4</v>
      </c>
    </row>
    <row r="533" spans="2:5" ht="14.5" customHeight="1">
      <c r="B533" s="92"/>
      <c r="C533" s="57" t="s">
        <v>199</v>
      </c>
      <c r="D533" s="58">
        <v>5</v>
      </c>
      <c r="E533" s="59">
        <v>1.34098589283E-4</v>
      </c>
    </row>
    <row r="534" spans="2:5" ht="14.5" customHeight="1">
      <c r="B534" s="92"/>
      <c r="C534" s="57" t="s">
        <v>196</v>
      </c>
      <c r="D534" s="58">
        <v>5</v>
      </c>
      <c r="E534" s="59">
        <v>1.34098589283E-4</v>
      </c>
    </row>
    <row r="535" spans="2:5" ht="14.5" customHeight="1">
      <c r="B535" s="92"/>
      <c r="C535" s="57" t="s">
        <v>193</v>
      </c>
      <c r="D535" s="58">
        <v>4</v>
      </c>
      <c r="E535" s="59">
        <v>1.07278871426E-4</v>
      </c>
    </row>
    <row r="536" spans="2:5" ht="14.5" customHeight="1">
      <c r="B536" s="92"/>
      <c r="C536" s="57" t="s">
        <v>190</v>
      </c>
      <c r="D536" s="58">
        <v>3</v>
      </c>
      <c r="E536" s="59">
        <v>8.0459153570000002E-5</v>
      </c>
    </row>
    <row r="537" spans="2:5" ht="14.5" customHeight="1">
      <c r="B537" s="92"/>
      <c r="C537" s="57" t="s">
        <v>194</v>
      </c>
      <c r="D537" s="58">
        <v>3</v>
      </c>
      <c r="E537" s="59">
        <v>8.0459153570000002E-5</v>
      </c>
    </row>
    <row r="538" spans="2:5" ht="14.5" customHeight="1">
      <c r="B538" s="92"/>
      <c r="C538" s="57" t="s">
        <v>200</v>
      </c>
      <c r="D538" s="58">
        <v>1</v>
      </c>
      <c r="E538" s="59">
        <v>2.6819717857000001E-5</v>
      </c>
    </row>
    <row r="539" spans="2:5" ht="14.5" customHeight="1">
      <c r="B539" s="92"/>
      <c r="C539" s="57" t="s">
        <v>197</v>
      </c>
      <c r="D539" s="58">
        <v>1</v>
      </c>
      <c r="E539" s="59">
        <v>2.6819717857000001E-5</v>
      </c>
    </row>
    <row r="540" spans="2:5" ht="14.5" customHeight="1">
      <c r="B540" s="92"/>
      <c r="C540" s="57" t="s">
        <v>198</v>
      </c>
      <c r="D540" s="58">
        <v>1</v>
      </c>
      <c r="E540" s="59">
        <v>2.6819717857000001E-5</v>
      </c>
    </row>
    <row r="541" spans="2:5" ht="14.5" customHeight="1">
      <c r="B541" s="91"/>
      <c r="C541" s="72" t="s">
        <v>353</v>
      </c>
      <c r="D541" s="71">
        <v>168</v>
      </c>
      <c r="E541" s="73">
        <v>4.5057125999029999E-3</v>
      </c>
    </row>
    <row r="542" spans="2:5" ht="14.5" customHeight="1">
      <c r="B542" s="90" t="s">
        <v>163</v>
      </c>
      <c r="C542" s="57" t="s">
        <v>184</v>
      </c>
      <c r="D542" s="58">
        <v>37</v>
      </c>
      <c r="E542" s="59">
        <v>9.9232956069299997E-4</v>
      </c>
    </row>
    <row r="543" spans="2:5" ht="14.5" customHeight="1">
      <c r="B543" s="92"/>
      <c r="C543" s="57" t="s">
        <v>186</v>
      </c>
      <c r="D543" s="58">
        <v>14</v>
      </c>
      <c r="E543" s="59">
        <v>3.7547604999199998E-4</v>
      </c>
    </row>
    <row r="544" spans="2:5" ht="14.5" customHeight="1">
      <c r="B544" s="92"/>
      <c r="C544" s="57" t="s">
        <v>193</v>
      </c>
      <c r="D544" s="58">
        <v>10</v>
      </c>
      <c r="E544" s="59">
        <v>2.6819717856600001E-4</v>
      </c>
    </row>
    <row r="545" spans="2:5" ht="14.5" customHeight="1">
      <c r="B545" s="92"/>
      <c r="C545" s="57" t="s">
        <v>192</v>
      </c>
      <c r="D545" s="58">
        <v>9</v>
      </c>
      <c r="E545" s="59">
        <v>2.4137746070900001E-4</v>
      </c>
    </row>
    <row r="546" spans="2:5" ht="14.5" customHeight="1">
      <c r="B546" s="92"/>
      <c r="C546" s="57" t="s">
        <v>187</v>
      </c>
      <c r="D546" s="58">
        <v>9</v>
      </c>
      <c r="E546" s="59">
        <v>2.4137746070900001E-4</v>
      </c>
    </row>
    <row r="547" spans="2:5" ht="14.5" customHeight="1">
      <c r="B547" s="92"/>
      <c r="C547" s="57" t="s">
        <v>188</v>
      </c>
      <c r="D547" s="58">
        <v>9</v>
      </c>
      <c r="E547" s="59">
        <v>2.4137746070900001E-4</v>
      </c>
    </row>
    <row r="548" spans="2:5" ht="14.5" customHeight="1">
      <c r="B548" s="92"/>
      <c r="C548" s="57" t="s">
        <v>185</v>
      </c>
      <c r="D548" s="58">
        <v>7</v>
      </c>
      <c r="E548" s="59">
        <v>1.8773802499599999E-4</v>
      </c>
    </row>
    <row r="549" spans="2:5" ht="14.5" customHeight="1">
      <c r="B549" s="92"/>
      <c r="C549" s="57" t="s">
        <v>189</v>
      </c>
      <c r="D549" s="58">
        <v>6</v>
      </c>
      <c r="E549" s="59">
        <v>1.6091830713899999E-4</v>
      </c>
    </row>
    <row r="550" spans="2:5" ht="14.5" customHeight="1">
      <c r="B550" s="92"/>
      <c r="C550" s="57" t="s">
        <v>200</v>
      </c>
      <c r="D550" s="58">
        <v>6</v>
      </c>
      <c r="E550" s="59">
        <v>1.6091830713899999E-4</v>
      </c>
    </row>
    <row r="551" spans="2:5" ht="14.5" customHeight="1">
      <c r="B551" s="92"/>
      <c r="C551" s="57" t="s">
        <v>194</v>
      </c>
      <c r="D551" s="58">
        <v>5</v>
      </c>
      <c r="E551" s="59">
        <v>1.34098589283E-4</v>
      </c>
    </row>
    <row r="552" spans="2:5" ht="14.5" customHeight="1">
      <c r="B552" s="92"/>
      <c r="C552" s="57" t="s">
        <v>190</v>
      </c>
      <c r="D552" s="58">
        <v>3</v>
      </c>
      <c r="E552" s="59">
        <v>8.0459153570000002E-5</v>
      </c>
    </row>
    <row r="553" spans="2:5" ht="14.5" customHeight="1">
      <c r="B553" s="92"/>
      <c r="C553" s="57" t="s">
        <v>195</v>
      </c>
      <c r="D553" s="58">
        <v>2</v>
      </c>
      <c r="E553" s="59">
        <v>5.3639435713000001E-5</v>
      </c>
    </row>
    <row r="554" spans="2:5" ht="14.5" customHeight="1">
      <c r="B554" s="92"/>
      <c r="C554" s="57" t="s">
        <v>196</v>
      </c>
      <c r="D554" s="58">
        <v>2</v>
      </c>
      <c r="E554" s="59">
        <v>5.3639435713000001E-5</v>
      </c>
    </row>
    <row r="555" spans="2:5" ht="14.5" customHeight="1">
      <c r="B555" s="92"/>
      <c r="C555" s="57" t="s">
        <v>191</v>
      </c>
      <c r="D555" s="58">
        <v>2</v>
      </c>
      <c r="E555" s="59">
        <v>5.3639435713000001E-5</v>
      </c>
    </row>
    <row r="556" spans="2:5" ht="14.5" customHeight="1">
      <c r="B556" s="92"/>
      <c r="C556" s="57" t="s">
        <v>199</v>
      </c>
      <c r="D556" s="58">
        <v>1</v>
      </c>
      <c r="E556" s="59">
        <v>2.6819717857000001E-5</v>
      </c>
    </row>
    <row r="557" spans="2:5" ht="14.5" customHeight="1">
      <c r="B557" s="91"/>
      <c r="C557" s="72" t="s">
        <v>353</v>
      </c>
      <c r="D557" s="71">
        <v>122</v>
      </c>
      <c r="E557" s="73">
        <v>3.2720055785009998E-3</v>
      </c>
    </row>
    <row r="558" spans="2:5" ht="14.5" customHeight="1">
      <c r="B558" s="90" t="s">
        <v>164</v>
      </c>
      <c r="C558" s="57" t="s">
        <v>184</v>
      </c>
      <c r="D558" s="58">
        <v>19</v>
      </c>
      <c r="E558" s="59">
        <v>5.0957463927499996E-4</v>
      </c>
    </row>
    <row r="559" spans="2:5" ht="14.5" customHeight="1">
      <c r="B559" s="92"/>
      <c r="C559" s="57" t="s">
        <v>185</v>
      </c>
      <c r="D559" s="58">
        <v>19</v>
      </c>
      <c r="E559" s="59">
        <v>5.0957463927499996E-4</v>
      </c>
    </row>
    <row r="560" spans="2:5" ht="14.5" customHeight="1">
      <c r="B560" s="92"/>
      <c r="C560" s="57" t="s">
        <v>188</v>
      </c>
      <c r="D560" s="58">
        <v>19</v>
      </c>
      <c r="E560" s="59">
        <v>5.0957463927499996E-4</v>
      </c>
    </row>
    <row r="561" spans="2:5" ht="14.5" customHeight="1">
      <c r="B561" s="92"/>
      <c r="C561" s="57" t="s">
        <v>191</v>
      </c>
      <c r="D561" s="58">
        <v>13</v>
      </c>
      <c r="E561" s="59">
        <v>3.4865633213499998E-4</v>
      </c>
    </row>
    <row r="562" spans="2:5" ht="14.5" customHeight="1">
      <c r="B562" s="92"/>
      <c r="C562" s="57" t="s">
        <v>186</v>
      </c>
      <c r="D562" s="58">
        <v>10</v>
      </c>
      <c r="E562" s="59">
        <v>2.6819717856600001E-4</v>
      </c>
    </row>
    <row r="563" spans="2:5" ht="14.5" customHeight="1">
      <c r="B563" s="92"/>
      <c r="C563" s="57" t="s">
        <v>189</v>
      </c>
      <c r="D563" s="58">
        <v>8</v>
      </c>
      <c r="E563" s="59">
        <v>2.1455774285299999E-4</v>
      </c>
    </row>
    <row r="564" spans="2:5" ht="14.5" customHeight="1">
      <c r="B564" s="92"/>
      <c r="C564" s="57" t="s">
        <v>190</v>
      </c>
      <c r="D564" s="58">
        <v>8</v>
      </c>
      <c r="E564" s="59">
        <v>2.1455774285299999E-4</v>
      </c>
    </row>
    <row r="565" spans="2:5" ht="14.5" customHeight="1">
      <c r="B565" s="92"/>
      <c r="C565" s="57" t="s">
        <v>187</v>
      </c>
      <c r="D565" s="58">
        <v>8</v>
      </c>
      <c r="E565" s="59">
        <v>2.1455774285299999E-4</v>
      </c>
    </row>
    <row r="566" spans="2:5" ht="14.5" customHeight="1">
      <c r="B566" s="92"/>
      <c r="C566" s="57" t="s">
        <v>192</v>
      </c>
      <c r="D566" s="58">
        <v>5</v>
      </c>
      <c r="E566" s="59">
        <v>1.34098589283E-4</v>
      </c>
    </row>
    <row r="567" spans="2:5" ht="14.5" customHeight="1">
      <c r="B567" s="92"/>
      <c r="C567" s="57" t="s">
        <v>193</v>
      </c>
      <c r="D567" s="58">
        <v>3</v>
      </c>
      <c r="E567" s="59">
        <v>8.0459153570000002E-5</v>
      </c>
    </row>
    <row r="568" spans="2:5" ht="14.5" customHeight="1">
      <c r="B568" s="92"/>
      <c r="C568" s="57" t="s">
        <v>194</v>
      </c>
      <c r="D568" s="58">
        <v>2</v>
      </c>
      <c r="E568" s="59">
        <v>5.3639435713000001E-5</v>
      </c>
    </row>
    <row r="569" spans="2:5" ht="14.5" customHeight="1">
      <c r="B569" s="92"/>
      <c r="C569" s="57" t="s">
        <v>198</v>
      </c>
      <c r="D569" s="58">
        <v>2</v>
      </c>
      <c r="E569" s="59">
        <v>5.3639435713000001E-5</v>
      </c>
    </row>
    <row r="570" spans="2:5" ht="14.5" customHeight="1">
      <c r="B570" s="92"/>
      <c r="C570" s="57" t="s">
        <v>199</v>
      </c>
      <c r="D570" s="58">
        <v>1</v>
      </c>
      <c r="E570" s="59">
        <v>2.6819717857000001E-5</v>
      </c>
    </row>
    <row r="571" spans="2:5" ht="14.5" customHeight="1">
      <c r="B571" s="92"/>
      <c r="C571" s="57" t="s">
        <v>195</v>
      </c>
      <c r="D571" s="58">
        <v>1</v>
      </c>
      <c r="E571" s="59">
        <v>2.6819717857000001E-5</v>
      </c>
    </row>
    <row r="572" spans="2:5" ht="14.5" customHeight="1">
      <c r="B572" s="92"/>
      <c r="C572" s="57" t="s">
        <v>196</v>
      </c>
      <c r="D572" s="58">
        <v>1</v>
      </c>
      <c r="E572" s="59">
        <v>2.6819717857000001E-5</v>
      </c>
    </row>
    <row r="573" spans="2:5" ht="14.5" customHeight="1">
      <c r="B573" s="91"/>
      <c r="C573" s="72" t="s">
        <v>353</v>
      </c>
      <c r="D573" s="71">
        <v>119</v>
      </c>
      <c r="E573" s="73">
        <v>3.1915464249320001E-3</v>
      </c>
    </row>
    <row r="574" spans="2:5" ht="14.5" customHeight="1">
      <c r="B574" s="90" t="s">
        <v>165</v>
      </c>
      <c r="C574" s="57" t="s">
        <v>184</v>
      </c>
      <c r="D574" s="58">
        <v>32</v>
      </c>
      <c r="E574" s="59">
        <v>8.5823097141000005E-4</v>
      </c>
    </row>
    <row r="575" spans="2:5" ht="14.5" customHeight="1">
      <c r="B575" s="92"/>
      <c r="C575" s="57" t="s">
        <v>187</v>
      </c>
      <c r="D575" s="58">
        <v>16</v>
      </c>
      <c r="E575" s="59">
        <v>4.2911548570500002E-4</v>
      </c>
    </row>
    <row r="576" spans="2:5" ht="14.5" customHeight="1">
      <c r="B576" s="92"/>
      <c r="C576" s="57" t="s">
        <v>186</v>
      </c>
      <c r="D576" s="58">
        <v>14</v>
      </c>
      <c r="E576" s="59">
        <v>3.7547604999199998E-4</v>
      </c>
    </row>
    <row r="577" spans="2:5" ht="14.5" customHeight="1">
      <c r="B577" s="92"/>
      <c r="C577" s="57" t="s">
        <v>185</v>
      </c>
      <c r="D577" s="58">
        <v>11</v>
      </c>
      <c r="E577" s="59">
        <v>2.9501689642199999E-4</v>
      </c>
    </row>
    <row r="578" spans="2:5" ht="14.5" customHeight="1">
      <c r="B578" s="92"/>
      <c r="C578" s="57" t="s">
        <v>190</v>
      </c>
      <c r="D578" s="58">
        <v>9</v>
      </c>
      <c r="E578" s="59">
        <v>2.4137746070900001E-4</v>
      </c>
    </row>
    <row r="579" spans="2:5" ht="14.5" customHeight="1">
      <c r="B579" s="92"/>
      <c r="C579" s="57" t="s">
        <v>192</v>
      </c>
      <c r="D579" s="58">
        <v>8</v>
      </c>
      <c r="E579" s="59">
        <v>2.1455774285299999E-4</v>
      </c>
    </row>
    <row r="580" spans="2:5" ht="14.5" customHeight="1">
      <c r="B580" s="92"/>
      <c r="C580" s="57" t="s">
        <v>191</v>
      </c>
      <c r="D580" s="58">
        <v>8</v>
      </c>
      <c r="E580" s="59">
        <v>2.1455774285299999E-4</v>
      </c>
    </row>
    <row r="581" spans="2:5" ht="14.5" customHeight="1">
      <c r="B581" s="92"/>
      <c r="C581" s="57" t="s">
        <v>188</v>
      </c>
      <c r="D581" s="58">
        <v>5</v>
      </c>
      <c r="E581" s="59">
        <v>1.34098589283E-4</v>
      </c>
    </row>
    <row r="582" spans="2:5" ht="14.5" customHeight="1">
      <c r="B582" s="92"/>
      <c r="C582" s="57" t="s">
        <v>193</v>
      </c>
      <c r="D582" s="58">
        <v>5</v>
      </c>
      <c r="E582" s="59">
        <v>1.34098589283E-4</v>
      </c>
    </row>
    <row r="583" spans="2:5" ht="14.5" customHeight="1">
      <c r="B583" s="92"/>
      <c r="C583" s="57" t="s">
        <v>189</v>
      </c>
      <c r="D583" s="58">
        <v>4</v>
      </c>
      <c r="E583" s="59">
        <v>1.07278871426E-4</v>
      </c>
    </row>
    <row r="584" spans="2:5" ht="14.5" customHeight="1">
      <c r="B584" s="92"/>
      <c r="C584" s="57" t="s">
        <v>198</v>
      </c>
      <c r="D584" s="58">
        <v>2</v>
      </c>
      <c r="E584" s="59">
        <v>5.3639435713000001E-5</v>
      </c>
    </row>
    <row r="585" spans="2:5" ht="14.5" customHeight="1">
      <c r="B585" s="92"/>
      <c r="C585" s="57" t="s">
        <v>197</v>
      </c>
      <c r="D585" s="58">
        <v>1</v>
      </c>
      <c r="E585" s="59">
        <v>2.6819717857000001E-5</v>
      </c>
    </row>
    <row r="586" spans="2:5" ht="14.5" customHeight="1">
      <c r="B586" s="92"/>
      <c r="C586" s="57" t="s">
        <v>199</v>
      </c>
      <c r="D586" s="58">
        <v>1</v>
      </c>
      <c r="E586" s="59">
        <v>2.6819717857000001E-5</v>
      </c>
    </row>
    <row r="587" spans="2:5" ht="14.5" customHeight="1">
      <c r="B587" s="91"/>
      <c r="C587" s="72" t="s">
        <v>353</v>
      </c>
      <c r="D587" s="71">
        <v>116</v>
      </c>
      <c r="E587" s="73">
        <v>3.1110872713619999E-3</v>
      </c>
    </row>
    <row r="588" spans="2:5" ht="14.5" customHeight="1">
      <c r="B588" s="90" t="s">
        <v>166</v>
      </c>
      <c r="C588" s="57" t="s">
        <v>185</v>
      </c>
      <c r="D588" s="58">
        <v>21</v>
      </c>
      <c r="E588" s="59">
        <v>5.63214074988E-4</v>
      </c>
    </row>
    <row r="589" spans="2:5" ht="14.5" customHeight="1">
      <c r="B589" s="92"/>
      <c r="C589" s="57" t="s">
        <v>187</v>
      </c>
      <c r="D589" s="58">
        <v>10</v>
      </c>
      <c r="E589" s="59">
        <v>2.6819717856600001E-4</v>
      </c>
    </row>
    <row r="590" spans="2:5" ht="14.5" customHeight="1">
      <c r="B590" s="92"/>
      <c r="C590" s="57" t="s">
        <v>186</v>
      </c>
      <c r="D590" s="58">
        <v>9</v>
      </c>
      <c r="E590" s="59">
        <v>2.4137746070900001E-4</v>
      </c>
    </row>
    <row r="591" spans="2:5" ht="14.5" customHeight="1">
      <c r="B591" s="92"/>
      <c r="C591" s="57" t="s">
        <v>189</v>
      </c>
      <c r="D591" s="58">
        <v>8</v>
      </c>
      <c r="E591" s="59">
        <v>2.1455774285299999E-4</v>
      </c>
    </row>
    <row r="592" spans="2:5" ht="14.5" customHeight="1">
      <c r="B592" s="92"/>
      <c r="C592" s="57" t="s">
        <v>191</v>
      </c>
      <c r="D592" s="58">
        <v>7</v>
      </c>
      <c r="E592" s="59">
        <v>1.8773802499599999E-4</v>
      </c>
    </row>
    <row r="593" spans="2:5" ht="14.5" customHeight="1">
      <c r="B593" s="92"/>
      <c r="C593" s="57" t="s">
        <v>194</v>
      </c>
      <c r="D593" s="58">
        <v>6</v>
      </c>
      <c r="E593" s="59">
        <v>1.6091830713899999E-4</v>
      </c>
    </row>
    <row r="594" spans="2:5" ht="14.5" customHeight="1">
      <c r="B594" s="92"/>
      <c r="C594" s="57" t="s">
        <v>188</v>
      </c>
      <c r="D594" s="58">
        <v>6</v>
      </c>
      <c r="E594" s="59">
        <v>1.6091830713899999E-4</v>
      </c>
    </row>
    <row r="595" spans="2:5" ht="14.5" customHeight="1">
      <c r="B595" s="92"/>
      <c r="C595" s="57" t="s">
        <v>193</v>
      </c>
      <c r="D595" s="58">
        <v>6</v>
      </c>
      <c r="E595" s="59">
        <v>1.6091830713899999E-4</v>
      </c>
    </row>
    <row r="596" spans="2:5" ht="14.5" customHeight="1">
      <c r="B596" s="92"/>
      <c r="C596" s="57" t="s">
        <v>190</v>
      </c>
      <c r="D596" s="58">
        <v>5</v>
      </c>
      <c r="E596" s="59">
        <v>1.34098589283E-4</v>
      </c>
    </row>
    <row r="597" spans="2:5" ht="14.5" customHeight="1">
      <c r="B597" s="92"/>
      <c r="C597" s="57" t="s">
        <v>192</v>
      </c>
      <c r="D597" s="58">
        <v>5</v>
      </c>
      <c r="E597" s="59">
        <v>1.34098589283E-4</v>
      </c>
    </row>
    <row r="598" spans="2:5" ht="14.5" customHeight="1">
      <c r="B598" s="92"/>
      <c r="C598" s="57" t="s">
        <v>184</v>
      </c>
      <c r="D598" s="58">
        <v>2</v>
      </c>
      <c r="E598" s="59">
        <v>5.3639435713000001E-5</v>
      </c>
    </row>
    <row r="599" spans="2:5" ht="14.5" customHeight="1">
      <c r="B599" s="92"/>
      <c r="C599" s="57" t="s">
        <v>195</v>
      </c>
      <c r="D599" s="58">
        <v>2</v>
      </c>
      <c r="E599" s="59">
        <v>5.3639435713000001E-5</v>
      </c>
    </row>
    <row r="600" spans="2:5" ht="14.5" customHeight="1">
      <c r="B600" s="92"/>
      <c r="C600" s="57" t="s">
        <v>199</v>
      </c>
      <c r="D600" s="58">
        <v>1</v>
      </c>
      <c r="E600" s="59">
        <v>2.6819717857000001E-5</v>
      </c>
    </row>
    <row r="601" spans="2:5" ht="14.5" customHeight="1">
      <c r="B601" s="92"/>
      <c r="C601" s="57" t="s">
        <v>196</v>
      </c>
      <c r="D601" s="58">
        <v>1</v>
      </c>
      <c r="E601" s="59">
        <v>2.6819717857000001E-5</v>
      </c>
    </row>
    <row r="602" spans="2:5" ht="14.5" customHeight="1">
      <c r="B602" s="92"/>
      <c r="C602" s="57" t="s">
        <v>198</v>
      </c>
      <c r="D602" s="58">
        <v>1</v>
      </c>
      <c r="E602" s="59">
        <v>2.6819717857000001E-5</v>
      </c>
    </row>
    <row r="603" spans="2:5" ht="14.5" customHeight="1">
      <c r="B603" s="91"/>
      <c r="C603" s="72" t="s">
        <v>353</v>
      </c>
      <c r="D603" s="71">
        <v>90</v>
      </c>
      <c r="E603" s="73">
        <v>2.4137746070909999E-3</v>
      </c>
    </row>
    <row r="604" spans="2:5" ht="14.5" customHeight="1">
      <c r="B604" s="90" t="s">
        <v>167</v>
      </c>
      <c r="C604" s="57" t="s">
        <v>184</v>
      </c>
      <c r="D604" s="58">
        <v>23</v>
      </c>
      <c r="E604" s="59">
        <v>6.1685351070100004E-4</v>
      </c>
    </row>
    <row r="605" spans="2:5" ht="14.5" customHeight="1">
      <c r="B605" s="92"/>
      <c r="C605" s="57" t="s">
        <v>185</v>
      </c>
      <c r="D605" s="58">
        <v>18</v>
      </c>
      <c r="E605" s="59">
        <v>4.8275492141800001E-4</v>
      </c>
    </row>
    <row r="606" spans="2:5" ht="14.5" customHeight="1">
      <c r="B606" s="92"/>
      <c r="C606" s="57" t="s">
        <v>186</v>
      </c>
      <c r="D606" s="58">
        <v>8</v>
      </c>
      <c r="E606" s="59">
        <v>2.1455774285299999E-4</v>
      </c>
    </row>
    <row r="607" spans="2:5" ht="14.5" customHeight="1">
      <c r="B607" s="92"/>
      <c r="C607" s="57" t="s">
        <v>187</v>
      </c>
      <c r="D607" s="58">
        <v>8</v>
      </c>
      <c r="E607" s="59">
        <v>2.1455774285299999E-4</v>
      </c>
    </row>
    <row r="608" spans="2:5" ht="14.5" customHeight="1">
      <c r="B608" s="92"/>
      <c r="C608" s="57" t="s">
        <v>191</v>
      </c>
      <c r="D608" s="58">
        <v>8</v>
      </c>
      <c r="E608" s="59">
        <v>2.1455774285299999E-4</v>
      </c>
    </row>
    <row r="609" spans="2:5" ht="14.5" customHeight="1">
      <c r="B609" s="92"/>
      <c r="C609" s="57" t="s">
        <v>189</v>
      </c>
      <c r="D609" s="58">
        <v>6</v>
      </c>
      <c r="E609" s="59">
        <v>1.6091830713899999E-4</v>
      </c>
    </row>
    <row r="610" spans="2:5" ht="14.5" customHeight="1">
      <c r="B610" s="92"/>
      <c r="C610" s="57" t="s">
        <v>188</v>
      </c>
      <c r="D610" s="58">
        <v>4</v>
      </c>
      <c r="E610" s="59">
        <v>1.07278871426E-4</v>
      </c>
    </row>
    <row r="611" spans="2:5" ht="14.5" customHeight="1">
      <c r="B611" s="92"/>
      <c r="C611" s="57" t="s">
        <v>192</v>
      </c>
      <c r="D611" s="58">
        <v>3</v>
      </c>
      <c r="E611" s="59">
        <v>8.0459153570000002E-5</v>
      </c>
    </row>
    <row r="612" spans="2:5" ht="14.5" customHeight="1">
      <c r="B612" s="92"/>
      <c r="C612" s="57" t="s">
        <v>190</v>
      </c>
      <c r="D612" s="58">
        <v>2</v>
      </c>
      <c r="E612" s="59">
        <v>5.3639435713000001E-5</v>
      </c>
    </row>
    <row r="613" spans="2:5" ht="14.5" customHeight="1">
      <c r="B613" s="92"/>
      <c r="C613" s="57" t="s">
        <v>195</v>
      </c>
      <c r="D613" s="58">
        <v>2</v>
      </c>
      <c r="E613" s="59">
        <v>5.3639435713000001E-5</v>
      </c>
    </row>
    <row r="614" spans="2:5" ht="14.5" customHeight="1">
      <c r="B614" s="92"/>
      <c r="C614" s="57" t="s">
        <v>194</v>
      </c>
      <c r="D614" s="58">
        <v>1</v>
      </c>
      <c r="E614" s="59">
        <v>2.6819717857000001E-5</v>
      </c>
    </row>
    <row r="615" spans="2:5" ht="14.5" customHeight="1">
      <c r="B615" s="92"/>
      <c r="C615" s="57" t="s">
        <v>199</v>
      </c>
      <c r="D615" s="58">
        <v>1</v>
      </c>
      <c r="E615" s="59">
        <v>2.6819717857000001E-5</v>
      </c>
    </row>
    <row r="616" spans="2:5" ht="14.5" customHeight="1">
      <c r="B616" s="92"/>
      <c r="C616" s="57" t="s">
        <v>193</v>
      </c>
      <c r="D616" s="58">
        <v>1</v>
      </c>
      <c r="E616" s="59">
        <v>2.6819717857000001E-5</v>
      </c>
    </row>
    <row r="617" spans="2:5" ht="14.5" customHeight="1">
      <c r="B617" s="92"/>
      <c r="C617" s="57" t="s">
        <v>198</v>
      </c>
      <c r="D617" s="58">
        <v>1</v>
      </c>
      <c r="E617" s="59">
        <v>2.6819717857000001E-5</v>
      </c>
    </row>
    <row r="618" spans="2:5" ht="14.5" customHeight="1">
      <c r="B618" s="91"/>
      <c r="C618" s="72" t="s">
        <v>353</v>
      </c>
      <c r="D618" s="71">
        <v>86</v>
      </c>
      <c r="E618" s="73">
        <v>2.3064957356649998E-3</v>
      </c>
    </row>
    <row r="619" spans="2:5" ht="14.5" customHeight="1">
      <c r="B619" s="90" t="s">
        <v>168</v>
      </c>
      <c r="C619" s="57" t="s">
        <v>184</v>
      </c>
      <c r="D619" s="58">
        <v>37</v>
      </c>
      <c r="E619" s="59">
        <v>9.9232956069299997E-4</v>
      </c>
    </row>
    <row r="620" spans="2:5" ht="14.5" customHeight="1">
      <c r="B620" s="92"/>
      <c r="C620" s="57" t="s">
        <v>187</v>
      </c>
      <c r="D620" s="58">
        <v>13</v>
      </c>
      <c r="E620" s="59">
        <v>3.4865633213499998E-4</v>
      </c>
    </row>
    <row r="621" spans="2:5" ht="14.5" customHeight="1">
      <c r="B621" s="92"/>
      <c r="C621" s="57" t="s">
        <v>186</v>
      </c>
      <c r="D621" s="58">
        <v>6</v>
      </c>
      <c r="E621" s="59">
        <v>1.6091830713899999E-4</v>
      </c>
    </row>
    <row r="622" spans="2:5" ht="14.5" customHeight="1">
      <c r="B622" s="92"/>
      <c r="C622" s="57" t="s">
        <v>185</v>
      </c>
      <c r="D622" s="58">
        <v>4</v>
      </c>
      <c r="E622" s="59">
        <v>1.07278871426E-4</v>
      </c>
    </row>
    <row r="623" spans="2:5" ht="14.5" customHeight="1">
      <c r="B623" s="92"/>
      <c r="C623" s="57" t="s">
        <v>192</v>
      </c>
      <c r="D623" s="58">
        <v>4</v>
      </c>
      <c r="E623" s="59">
        <v>1.07278871426E-4</v>
      </c>
    </row>
    <row r="624" spans="2:5" ht="14.5" customHeight="1">
      <c r="B624" s="92"/>
      <c r="C624" s="57" t="s">
        <v>191</v>
      </c>
      <c r="D624" s="58">
        <v>4</v>
      </c>
      <c r="E624" s="59">
        <v>1.07278871426E-4</v>
      </c>
    </row>
    <row r="625" spans="2:5" ht="14.5" customHeight="1">
      <c r="B625" s="92"/>
      <c r="C625" s="57" t="s">
        <v>189</v>
      </c>
      <c r="D625" s="58">
        <v>3</v>
      </c>
      <c r="E625" s="59">
        <v>8.0459153570000002E-5</v>
      </c>
    </row>
    <row r="626" spans="2:5" ht="14.5" customHeight="1">
      <c r="B626" s="92"/>
      <c r="C626" s="57" t="s">
        <v>188</v>
      </c>
      <c r="D626" s="58">
        <v>3</v>
      </c>
      <c r="E626" s="59">
        <v>8.0459153570000002E-5</v>
      </c>
    </row>
    <row r="627" spans="2:5" ht="14.5" customHeight="1">
      <c r="B627" s="92"/>
      <c r="C627" s="57" t="s">
        <v>195</v>
      </c>
      <c r="D627" s="58">
        <v>3</v>
      </c>
      <c r="E627" s="59">
        <v>8.0459153570000002E-5</v>
      </c>
    </row>
    <row r="628" spans="2:5" ht="14.5" customHeight="1">
      <c r="B628" s="92"/>
      <c r="C628" s="57" t="s">
        <v>196</v>
      </c>
      <c r="D628" s="58">
        <v>3</v>
      </c>
      <c r="E628" s="59">
        <v>8.0459153570000002E-5</v>
      </c>
    </row>
    <row r="629" spans="2:5" ht="14.5" customHeight="1">
      <c r="B629" s="92"/>
      <c r="C629" s="57" t="s">
        <v>193</v>
      </c>
      <c r="D629" s="58">
        <v>2</v>
      </c>
      <c r="E629" s="59">
        <v>5.3639435713000001E-5</v>
      </c>
    </row>
    <row r="630" spans="2:5" ht="14.5" customHeight="1">
      <c r="B630" s="92"/>
      <c r="C630" s="57" t="s">
        <v>200</v>
      </c>
      <c r="D630" s="58">
        <v>1</v>
      </c>
      <c r="E630" s="59">
        <v>2.6819717857000001E-5</v>
      </c>
    </row>
    <row r="631" spans="2:5" ht="14.5" customHeight="1">
      <c r="B631" s="92"/>
      <c r="C631" s="57" t="s">
        <v>197</v>
      </c>
      <c r="D631" s="58">
        <v>1</v>
      </c>
      <c r="E631" s="59">
        <v>2.6819717857000001E-5</v>
      </c>
    </row>
    <row r="632" spans="2:5" ht="14.5" customHeight="1">
      <c r="B632" s="92"/>
      <c r="C632" s="57" t="s">
        <v>199</v>
      </c>
      <c r="D632" s="58">
        <v>1</v>
      </c>
      <c r="E632" s="59">
        <v>2.6819717857000001E-5</v>
      </c>
    </row>
    <row r="633" spans="2:5" ht="14.5" customHeight="1">
      <c r="B633" s="91"/>
      <c r="C633" s="72" t="s">
        <v>353</v>
      </c>
      <c r="D633" s="71">
        <v>85</v>
      </c>
      <c r="E633" s="73">
        <v>2.2796760178079999E-3</v>
      </c>
    </row>
    <row r="634" spans="2:5" ht="14.5" customHeight="1">
      <c r="B634" s="90" t="s">
        <v>169</v>
      </c>
      <c r="C634" s="57" t="s">
        <v>184</v>
      </c>
      <c r="D634" s="58">
        <v>16</v>
      </c>
      <c r="E634" s="59">
        <v>4.2911548570500002E-4</v>
      </c>
    </row>
    <row r="635" spans="2:5" ht="14.5" customHeight="1">
      <c r="B635" s="92"/>
      <c r="C635" s="57" t="s">
        <v>185</v>
      </c>
      <c r="D635" s="58">
        <v>10</v>
      </c>
      <c r="E635" s="59">
        <v>2.6819717856600001E-4</v>
      </c>
    </row>
    <row r="636" spans="2:5" ht="14.5" customHeight="1">
      <c r="B636" s="92"/>
      <c r="C636" s="57" t="s">
        <v>189</v>
      </c>
      <c r="D636" s="58">
        <v>8</v>
      </c>
      <c r="E636" s="59">
        <v>2.1455774285299999E-4</v>
      </c>
    </row>
    <row r="637" spans="2:5" ht="14.5" customHeight="1">
      <c r="B637" s="92"/>
      <c r="C637" s="57" t="s">
        <v>186</v>
      </c>
      <c r="D637" s="58">
        <v>8</v>
      </c>
      <c r="E637" s="59">
        <v>2.1455774285299999E-4</v>
      </c>
    </row>
    <row r="638" spans="2:5" ht="14.5" customHeight="1">
      <c r="B638" s="92"/>
      <c r="C638" s="57" t="s">
        <v>190</v>
      </c>
      <c r="D638" s="58">
        <v>7</v>
      </c>
      <c r="E638" s="59">
        <v>1.8773802499599999E-4</v>
      </c>
    </row>
    <row r="639" spans="2:5" ht="14.5" customHeight="1">
      <c r="B639" s="92"/>
      <c r="C639" s="57" t="s">
        <v>193</v>
      </c>
      <c r="D639" s="58">
        <v>6</v>
      </c>
      <c r="E639" s="59">
        <v>1.6091830713899999E-4</v>
      </c>
    </row>
    <row r="640" spans="2:5" ht="14.5" customHeight="1">
      <c r="B640" s="92"/>
      <c r="C640" s="57" t="s">
        <v>191</v>
      </c>
      <c r="D640" s="58">
        <v>6</v>
      </c>
      <c r="E640" s="59">
        <v>1.6091830713899999E-4</v>
      </c>
    </row>
    <row r="641" spans="2:5" ht="14.5" customHeight="1">
      <c r="B641" s="92"/>
      <c r="C641" s="57" t="s">
        <v>194</v>
      </c>
      <c r="D641" s="58">
        <v>5</v>
      </c>
      <c r="E641" s="59">
        <v>1.34098589283E-4</v>
      </c>
    </row>
    <row r="642" spans="2:5" ht="14.5" customHeight="1">
      <c r="B642" s="92"/>
      <c r="C642" s="57" t="s">
        <v>188</v>
      </c>
      <c r="D642" s="58">
        <v>5</v>
      </c>
      <c r="E642" s="59">
        <v>1.34098589283E-4</v>
      </c>
    </row>
    <row r="643" spans="2:5" ht="14.5" customHeight="1">
      <c r="B643" s="92"/>
      <c r="C643" s="57" t="s">
        <v>196</v>
      </c>
      <c r="D643" s="58">
        <v>4</v>
      </c>
      <c r="E643" s="59">
        <v>1.07278871426E-4</v>
      </c>
    </row>
    <row r="644" spans="2:5" ht="14.5" customHeight="1">
      <c r="B644" s="92"/>
      <c r="C644" s="57" t="s">
        <v>192</v>
      </c>
      <c r="D644" s="58">
        <v>3</v>
      </c>
      <c r="E644" s="59">
        <v>8.0459153570000002E-5</v>
      </c>
    </row>
    <row r="645" spans="2:5" ht="14.5" customHeight="1">
      <c r="B645" s="92"/>
      <c r="C645" s="57" t="s">
        <v>195</v>
      </c>
      <c r="D645" s="58">
        <v>3</v>
      </c>
      <c r="E645" s="59">
        <v>8.0459153570000002E-5</v>
      </c>
    </row>
    <row r="646" spans="2:5" ht="14.5" customHeight="1">
      <c r="B646" s="92"/>
      <c r="C646" s="57" t="s">
        <v>187</v>
      </c>
      <c r="D646" s="58">
        <v>2</v>
      </c>
      <c r="E646" s="59">
        <v>5.3639435713000001E-5</v>
      </c>
    </row>
    <row r="647" spans="2:5" ht="14.5" customHeight="1">
      <c r="B647" s="92"/>
      <c r="C647" s="57" t="s">
        <v>199</v>
      </c>
      <c r="D647" s="58">
        <v>2</v>
      </c>
      <c r="E647" s="59">
        <v>5.3639435713000001E-5</v>
      </c>
    </row>
    <row r="648" spans="2:5" ht="14.5" customHeight="1">
      <c r="B648" s="91"/>
      <c r="C648" s="72" t="s">
        <v>353</v>
      </c>
      <c r="D648" s="71">
        <v>85</v>
      </c>
      <c r="E648" s="73">
        <v>2.2796760178079999E-3</v>
      </c>
    </row>
    <row r="649" spans="2:5" ht="14.5" customHeight="1">
      <c r="B649" s="90" t="s">
        <v>170</v>
      </c>
      <c r="C649" s="57" t="s">
        <v>184</v>
      </c>
      <c r="D649" s="58">
        <v>33</v>
      </c>
      <c r="E649" s="59">
        <v>8.8505068926699999E-4</v>
      </c>
    </row>
    <row r="650" spans="2:5" ht="14.5" customHeight="1">
      <c r="B650" s="92"/>
      <c r="C650" s="57" t="s">
        <v>186</v>
      </c>
      <c r="D650" s="58">
        <v>9</v>
      </c>
      <c r="E650" s="59">
        <v>2.4137746070900001E-4</v>
      </c>
    </row>
    <row r="651" spans="2:5" ht="14.5" customHeight="1">
      <c r="B651" s="92"/>
      <c r="C651" s="57" t="s">
        <v>191</v>
      </c>
      <c r="D651" s="58">
        <v>9</v>
      </c>
      <c r="E651" s="59">
        <v>2.4137746070900001E-4</v>
      </c>
    </row>
    <row r="652" spans="2:5" ht="14.5" customHeight="1">
      <c r="B652" s="92"/>
      <c r="C652" s="57" t="s">
        <v>188</v>
      </c>
      <c r="D652" s="58">
        <v>7</v>
      </c>
      <c r="E652" s="59">
        <v>1.8773802499599999E-4</v>
      </c>
    </row>
    <row r="653" spans="2:5" ht="14.5" customHeight="1">
      <c r="B653" s="92"/>
      <c r="C653" s="57" t="s">
        <v>185</v>
      </c>
      <c r="D653" s="58">
        <v>5</v>
      </c>
      <c r="E653" s="59">
        <v>1.34098589283E-4</v>
      </c>
    </row>
    <row r="654" spans="2:5" ht="14.5" customHeight="1">
      <c r="B654" s="92"/>
      <c r="C654" s="57" t="s">
        <v>187</v>
      </c>
      <c r="D654" s="58">
        <v>4</v>
      </c>
      <c r="E654" s="59">
        <v>1.07278871426E-4</v>
      </c>
    </row>
    <row r="655" spans="2:5" ht="14.5" customHeight="1">
      <c r="B655" s="92"/>
      <c r="C655" s="57" t="s">
        <v>193</v>
      </c>
      <c r="D655" s="58">
        <v>4</v>
      </c>
      <c r="E655" s="59">
        <v>1.07278871426E-4</v>
      </c>
    </row>
    <row r="656" spans="2:5" ht="14.5" customHeight="1">
      <c r="B656" s="92"/>
      <c r="C656" s="57" t="s">
        <v>189</v>
      </c>
      <c r="D656" s="58">
        <v>3</v>
      </c>
      <c r="E656" s="59">
        <v>8.0459153570000002E-5</v>
      </c>
    </row>
    <row r="657" spans="2:5" ht="14.5" customHeight="1">
      <c r="B657" s="92"/>
      <c r="C657" s="57" t="s">
        <v>192</v>
      </c>
      <c r="D657" s="58">
        <v>3</v>
      </c>
      <c r="E657" s="59">
        <v>8.0459153570000002E-5</v>
      </c>
    </row>
    <row r="658" spans="2:5" ht="14.5" customHeight="1">
      <c r="B658" s="92"/>
      <c r="C658" s="57" t="s">
        <v>190</v>
      </c>
      <c r="D658" s="58">
        <v>2</v>
      </c>
      <c r="E658" s="59">
        <v>5.3639435713000001E-5</v>
      </c>
    </row>
    <row r="659" spans="2:5" ht="14.5" customHeight="1">
      <c r="B659" s="92"/>
      <c r="C659" s="57" t="s">
        <v>199</v>
      </c>
      <c r="D659" s="58">
        <v>2</v>
      </c>
      <c r="E659" s="59">
        <v>5.3639435713000001E-5</v>
      </c>
    </row>
    <row r="660" spans="2:5" ht="14.5" customHeight="1">
      <c r="B660" s="92"/>
      <c r="C660" s="57" t="s">
        <v>200</v>
      </c>
      <c r="D660" s="58">
        <v>1</v>
      </c>
      <c r="E660" s="59">
        <v>2.6819717857000001E-5</v>
      </c>
    </row>
    <row r="661" spans="2:5" ht="14.5" customHeight="1">
      <c r="B661" s="92"/>
      <c r="C661" s="57" t="s">
        <v>195</v>
      </c>
      <c r="D661" s="58">
        <v>1</v>
      </c>
      <c r="E661" s="59">
        <v>2.6819717857000001E-5</v>
      </c>
    </row>
    <row r="662" spans="2:5" ht="14.5" customHeight="1">
      <c r="B662" s="91"/>
      <c r="C662" s="72" t="s">
        <v>353</v>
      </c>
      <c r="D662" s="71">
        <v>83</v>
      </c>
      <c r="E662" s="73">
        <v>2.2260365820950001E-3</v>
      </c>
    </row>
    <row r="663" spans="2:5" ht="14.5" customHeight="1">
      <c r="B663" s="90" t="s">
        <v>171</v>
      </c>
      <c r="C663" s="57" t="s">
        <v>184</v>
      </c>
      <c r="D663" s="58">
        <v>11</v>
      </c>
      <c r="E663" s="59">
        <v>2.9501689642199999E-4</v>
      </c>
    </row>
    <row r="664" spans="2:5" ht="14.5" customHeight="1">
      <c r="B664" s="92"/>
      <c r="C664" s="57" t="s">
        <v>187</v>
      </c>
      <c r="D664" s="58">
        <v>9</v>
      </c>
      <c r="E664" s="59">
        <v>2.4137746070900001E-4</v>
      </c>
    </row>
    <row r="665" spans="2:5" ht="14.5" customHeight="1">
      <c r="B665" s="92"/>
      <c r="C665" s="57" t="s">
        <v>186</v>
      </c>
      <c r="D665" s="58">
        <v>7</v>
      </c>
      <c r="E665" s="59">
        <v>1.8773802499599999E-4</v>
      </c>
    </row>
    <row r="666" spans="2:5" ht="14.5" customHeight="1">
      <c r="B666" s="92"/>
      <c r="C666" s="57" t="s">
        <v>185</v>
      </c>
      <c r="D666" s="58">
        <v>7</v>
      </c>
      <c r="E666" s="59">
        <v>1.8773802499599999E-4</v>
      </c>
    </row>
    <row r="667" spans="2:5" ht="14.5" customHeight="1">
      <c r="B667" s="92"/>
      <c r="C667" s="57" t="s">
        <v>191</v>
      </c>
      <c r="D667" s="58">
        <v>4</v>
      </c>
      <c r="E667" s="59">
        <v>1.07278871426E-4</v>
      </c>
    </row>
    <row r="668" spans="2:5" ht="14.5" customHeight="1">
      <c r="B668" s="92"/>
      <c r="C668" s="57" t="s">
        <v>189</v>
      </c>
      <c r="D668" s="58">
        <v>3</v>
      </c>
      <c r="E668" s="59">
        <v>8.0459153570000002E-5</v>
      </c>
    </row>
    <row r="669" spans="2:5" ht="14.5" customHeight="1">
      <c r="B669" s="92"/>
      <c r="C669" s="57" t="s">
        <v>192</v>
      </c>
      <c r="D669" s="58">
        <v>3</v>
      </c>
      <c r="E669" s="59">
        <v>8.0459153570000002E-5</v>
      </c>
    </row>
    <row r="670" spans="2:5" ht="14.5" customHeight="1">
      <c r="B670" s="92"/>
      <c r="C670" s="57" t="s">
        <v>197</v>
      </c>
      <c r="D670" s="58">
        <v>2</v>
      </c>
      <c r="E670" s="59">
        <v>5.3639435713000001E-5</v>
      </c>
    </row>
    <row r="671" spans="2:5" ht="14.5" customHeight="1">
      <c r="B671" s="92"/>
      <c r="C671" s="57" t="s">
        <v>188</v>
      </c>
      <c r="D671" s="58">
        <v>2</v>
      </c>
      <c r="E671" s="59">
        <v>5.3639435713000001E-5</v>
      </c>
    </row>
    <row r="672" spans="2:5" ht="14.5" customHeight="1">
      <c r="B672" s="92"/>
      <c r="C672" s="57" t="s">
        <v>190</v>
      </c>
      <c r="D672" s="58">
        <v>1</v>
      </c>
      <c r="E672" s="59">
        <v>2.6819717857000001E-5</v>
      </c>
    </row>
    <row r="673" spans="2:5" ht="14.5" customHeight="1">
      <c r="B673" s="92"/>
      <c r="C673" s="57" t="s">
        <v>194</v>
      </c>
      <c r="D673" s="58">
        <v>1</v>
      </c>
      <c r="E673" s="59">
        <v>2.6819717857000001E-5</v>
      </c>
    </row>
    <row r="674" spans="2:5" ht="14.5" customHeight="1">
      <c r="B674" s="92"/>
      <c r="C674" s="57" t="s">
        <v>199</v>
      </c>
      <c r="D674" s="58">
        <v>1</v>
      </c>
      <c r="E674" s="59">
        <v>2.6819717857000001E-5</v>
      </c>
    </row>
    <row r="675" spans="2:5" ht="14.5" customHeight="1">
      <c r="B675" s="92"/>
      <c r="C675" s="57" t="s">
        <v>195</v>
      </c>
      <c r="D675" s="58">
        <v>1</v>
      </c>
      <c r="E675" s="59">
        <v>2.6819717857000001E-5</v>
      </c>
    </row>
    <row r="676" spans="2:5" ht="14.5" customHeight="1">
      <c r="B676" s="91"/>
      <c r="C676" s="72" t="s">
        <v>353</v>
      </c>
      <c r="D676" s="71">
        <v>52</v>
      </c>
      <c r="E676" s="73">
        <v>1.3946253285420001E-3</v>
      </c>
    </row>
    <row r="677" spans="2:5" ht="14.5" customHeight="1">
      <c r="B677" s="90" t="s">
        <v>172</v>
      </c>
      <c r="C677" s="57" t="s">
        <v>185</v>
      </c>
      <c r="D677" s="58">
        <v>11</v>
      </c>
      <c r="E677" s="59">
        <v>2.9501689642199999E-4</v>
      </c>
    </row>
    <row r="678" spans="2:5" ht="14.5" customHeight="1">
      <c r="B678" s="92"/>
      <c r="C678" s="57" t="s">
        <v>186</v>
      </c>
      <c r="D678" s="58">
        <v>6</v>
      </c>
      <c r="E678" s="59">
        <v>1.6091830713899999E-4</v>
      </c>
    </row>
    <row r="679" spans="2:5" ht="14.5" customHeight="1">
      <c r="B679" s="92"/>
      <c r="C679" s="57" t="s">
        <v>188</v>
      </c>
      <c r="D679" s="58">
        <v>5</v>
      </c>
      <c r="E679" s="59">
        <v>1.34098589283E-4</v>
      </c>
    </row>
    <row r="680" spans="2:5" ht="14.5" customHeight="1">
      <c r="B680" s="92"/>
      <c r="C680" s="57" t="s">
        <v>189</v>
      </c>
      <c r="D680" s="58">
        <v>4</v>
      </c>
      <c r="E680" s="59">
        <v>1.07278871426E-4</v>
      </c>
    </row>
    <row r="681" spans="2:5" ht="14.5" customHeight="1">
      <c r="B681" s="92"/>
      <c r="C681" s="57" t="s">
        <v>190</v>
      </c>
      <c r="D681" s="58">
        <v>4</v>
      </c>
      <c r="E681" s="59">
        <v>1.07278871426E-4</v>
      </c>
    </row>
    <row r="682" spans="2:5" ht="14.5" customHeight="1">
      <c r="B682" s="92"/>
      <c r="C682" s="57" t="s">
        <v>191</v>
      </c>
      <c r="D682" s="58">
        <v>4</v>
      </c>
      <c r="E682" s="59">
        <v>1.07278871426E-4</v>
      </c>
    </row>
    <row r="683" spans="2:5" ht="14.5" customHeight="1">
      <c r="B683" s="92"/>
      <c r="C683" s="57" t="s">
        <v>187</v>
      </c>
      <c r="D683" s="58">
        <v>3</v>
      </c>
      <c r="E683" s="59">
        <v>8.0459153570000002E-5</v>
      </c>
    </row>
    <row r="684" spans="2:5" ht="14.5" customHeight="1">
      <c r="B684" s="92"/>
      <c r="C684" s="57" t="s">
        <v>195</v>
      </c>
      <c r="D684" s="58">
        <v>2</v>
      </c>
      <c r="E684" s="59">
        <v>5.3639435713000001E-5</v>
      </c>
    </row>
    <row r="685" spans="2:5" ht="14.5" customHeight="1">
      <c r="B685" s="92"/>
      <c r="C685" s="57" t="s">
        <v>194</v>
      </c>
      <c r="D685" s="58">
        <v>1</v>
      </c>
      <c r="E685" s="59">
        <v>2.6819717857000001E-5</v>
      </c>
    </row>
    <row r="686" spans="2:5" ht="14.5" customHeight="1">
      <c r="B686" s="92"/>
      <c r="C686" s="57" t="s">
        <v>192</v>
      </c>
      <c r="D686" s="58">
        <v>1</v>
      </c>
      <c r="E686" s="59">
        <v>2.6819717857000001E-5</v>
      </c>
    </row>
    <row r="687" spans="2:5" ht="14.5" customHeight="1">
      <c r="B687" s="92"/>
      <c r="C687" s="57" t="s">
        <v>196</v>
      </c>
      <c r="D687" s="58">
        <v>1</v>
      </c>
      <c r="E687" s="59">
        <v>2.6819717857000001E-5</v>
      </c>
    </row>
    <row r="688" spans="2:5" ht="14.5" customHeight="1">
      <c r="B688" s="92"/>
      <c r="C688" s="57" t="s">
        <v>193</v>
      </c>
      <c r="D688" s="58">
        <v>1</v>
      </c>
      <c r="E688" s="59">
        <v>2.6819717857000001E-5</v>
      </c>
    </row>
    <row r="689" spans="2:5" ht="14.5" customHeight="1">
      <c r="B689" s="91"/>
      <c r="C689" s="72" t="s">
        <v>353</v>
      </c>
      <c r="D689" s="71">
        <v>43</v>
      </c>
      <c r="E689" s="73">
        <v>1.1532478678320001E-3</v>
      </c>
    </row>
    <row r="690" spans="2:5" ht="14.5" customHeight="1">
      <c r="B690" s="90" t="s">
        <v>173</v>
      </c>
      <c r="C690" s="57" t="s">
        <v>184</v>
      </c>
      <c r="D690" s="58">
        <v>4</v>
      </c>
      <c r="E690" s="59">
        <v>1.07278871426E-4</v>
      </c>
    </row>
    <row r="691" spans="2:5" ht="14.5" customHeight="1">
      <c r="B691" s="92"/>
      <c r="C691" s="57" t="s">
        <v>188</v>
      </c>
      <c r="D691" s="58">
        <v>4</v>
      </c>
      <c r="E691" s="59">
        <v>1.07278871426E-4</v>
      </c>
    </row>
    <row r="692" spans="2:5" ht="14.5" customHeight="1">
      <c r="B692" s="92"/>
      <c r="C692" s="57" t="s">
        <v>198</v>
      </c>
      <c r="D692" s="58">
        <v>2</v>
      </c>
      <c r="E692" s="59">
        <v>5.3639435713000001E-5</v>
      </c>
    </row>
    <row r="693" spans="2:5" ht="14.5" customHeight="1">
      <c r="B693" s="92"/>
      <c r="C693" s="57" t="s">
        <v>189</v>
      </c>
      <c r="D693" s="58">
        <v>1</v>
      </c>
      <c r="E693" s="59">
        <v>2.6819717857000001E-5</v>
      </c>
    </row>
    <row r="694" spans="2:5" ht="14.5" customHeight="1">
      <c r="B694" s="92"/>
      <c r="C694" s="57" t="s">
        <v>186</v>
      </c>
      <c r="D694" s="58">
        <v>1</v>
      </c>
      <c r="E694" s="59">
        <v>2.6819717857000001E-5</v>
      </c>
    </row>
    <row r="695" spans="2:5" ht="14.5" customHeight="1">
      <c r="B695" s="92"/>
      <c r="C695" s="57" t="s">
        <v>187</v>
      </c>
      <c r="D695" s="58">
        <v>1</v>
      </c>
      <c r="E695" s="59">
        <v>2.6819717857000001E-5</v>
      </c>
    </row>
    <row r="696" spans="2:5" ht="14.5" customHeight="1">
      <c r="B696" s="92"/>
      <c r="C696" s="57" t="s">
        <v>197</v>
      </c>
      <c r="D696" s="58">
        <v>1</v>
      </c>
      <c r="E696" s="59">
        <v>2.6819717857000001E-5</v>
      </c>
    </row>
    <row r="697" spans="2:5" ht="14.5" customHeight="1">
      <c r="B697" s="92"/>
      <c r="C697" s="57" t="s">
        <v>195</v>
      </c>
      <c r="D697" s="58">
        <v>1</v>
      </c>
      <c r="E697" s="59">
        <v>2.6819717857000001E-5</v>
      </c>
    </row>
    <row r="698" spans="2:5" ht="14.5" customHeight="1">
      <c r="B698" s="91"/>
      <c r="C698" s="72" t="s">
        <v>353</v>
      </c>
      <c r="D698" s="71">
        <v>15</v>
      </c>
      <c r="E698" s="73">
        <v>4.0229576784899998E-4</v>
      </c>
    </row>
    <row r="699" spans="2:5" ht="14.5" customHeight="1">
      <c r="B699" s="90" t="s">
        <v>174</v>
      </c>
      <c r="C699" s="57" t="s">
        <v>184</v>
      </c>
      <c r="D699" s="58">
        <v>3</v>
      </c>
      <c r="E699" s="59">
        <v>8.0459153570000002E-5</v>
      </c>
    </row>
    <row r="700" spans="2:5" ht="14.5" customHeight="1">
      <c r="B700" s="92"/>
      <c r="C700" s="57" t="s">
        <v>193</v>
      </c>
      <c r="D700" s="58">
        <v>3</v>
      </c>
      <c r="E700" s="59">
        <v>8.0459153570000002E-5</v>
      </c>
    </row>
    <row r="701" spans="2:5" ht="14.5" customHeight="1">
      <c r="B701" s="92"/>
      <c r="C701" s="57" t="s">
        <v>186</v>
      </c>
      <c r="D701" s="58">
        <v>2</v>
      </c>
      <c r="E701" s="59">
        <v>5.3639435713000001E-5</v>
      </c>
    </row>
    <row r="702" spans="2:5" ht="14.5" customHeight="1">
      <c r="B702" s="92"/>
      <c r="C702" s="57" t="s">
        <v>188</v>
      </c>
      <c r="D702" s="58">
        <v>2</v>
      </c>
      <c r="E702" s="59">
        <v>5.3639435713000001E-5</v>
      </c>
    </row>
    <row r="703" spans="2:5" ht="14.5" customHeight="1">
      <c r="B703" s="92"/>
      <c r="C703" s="57" t="s">
        <v>190</v>
      </c>
      <c r="D703" s="58">
        <v>1</v>
      </c>
      <c r="E703" s="59">
        <v>2.6819717857000001E-5</v>
      </c>
    </row>
    <row r="704" spans="2:5" ht="14.5" customHeight="1">
      <c r="B704" s="92"/>
      <c r="C704" s="57" t="s">
        <v>185</v>
      </c>
      <c r="D704" s="58">
        <v>1</v>
      </c>
      <c r="E704" s="59">
        <v>2.6819717857000001E-5</v>
      </c>
    </row>
    <row r="705" spans="2:5" ht="14.5" customHeight="1">
      <c r="B705" s="92"/>
      <c r="C705" s="57" t="s">
        <v>187</v>
      </c>
      <c r="D705" s="58">
        <v>1</v>
      </c>
      <c r="E705" s="59">
        <v>2.6819717857000001E-5</v>
      </c>
    </row>
    <row r="706" spans="2:5" ht="14.5" customHeight="1">
      <c r="B706" s="92"/>
      <c r="C706" s="57" t="s">
        <v>197</v>
      </c>
      <c r="D706" s="58">
        <v>1</v>
      </c>
      <c r="E706" s="59">
        <v>2.6819717857000001E-5</v>
      </c>
    </row>
    <row r="707" spans="2:5" ht="14.5" customHeight="1">
      <c r="B707" s="92"/>
      <c r="C707" s="57" t="s">
        <v>191</v>
      </c>
      <c r="D707" s="58">
        <v>1</v>
      </c>
      <c r="E707" s="59">
        <v>2.6819717857000001E-5</v>
      </c>
    </row>
    <row r="708" spans="2:5" ht="14.5" customHeight="1">
      <c r="B708" s="91"/>
      <c r="C708" s="72" t="s">
        <v>353</v>
      </c>
      <c r="D708" s="71">
        <v>15</v>
      </c>
      <c r="E708" s="73">
        <v>4.0229576784899998E-4</v>
      </c>
    </row>
    <row r="709" spans="2:5" ht="14.5" customHeight="1">
      <c r="B709" s="90" t="s">
        <v>175</v>
      </c>
      <c r="C709" s="57" t="s">
        <v>189</v>
      </c>
      <c r="D709" s="58">
        <v>2</v>
      </c>
      <c r="E709" s="59">
        <v>5.3639435713000001E-5</v>
      </c>
    </row>
    <row r="710" spans="2:5" ht="14.5" customHeight="1">
      <c r="B710" s="92"/>
      <c r="C710" s="57" t="s">
        <v>186</v>
      </c>
      <c r="D710" s="58">
        <v>2</v>
      </c>
      <c r="E710" s="59">
        <v>5.3639435713000001E-5</v>
      </c>
    </row>
    <row r="711" spans="2:5" ht="14.5" customHeight="1">
      <c r="B711" s="92"/>
      <c r="C711" s="57" t="s">
        <v>185</v>
      </c>
      <c r="D711" s="58">
        <v>2</v>
      </c>
      <c r="E711" s="59">
        <v>5.3639435713000001E-5</v>
      </c>
    </row>
    <row r="712" spans="2:5" ht="14.5" customHeight="1">
      <c r="B712" s="92"/>
      <c r="C712" s="57" t="s">
        <v>190</v>
      </c>
      <c r="D712" s="58">
        <v>1</v>
      </c>
      <c r="E712" s="59">
        <v>2.6819717857000001E-5</v>
      </c>
    </row>
    <row r="713" spans="2:5" ht="14.5" customHeight="1">
      <c r="B713" s="92"/>
      <c r="C713" s="57" t="s">
        <v>194</v>
      </c>
      <c r="D713" s="58">
        <v>1</v>
      </c>
      <c r="E713" s="59">
        <v>2.6819717857000001E-5</v>
      </c>
    </row>
    <row r="714" spans="2:5" ht="14.5" customHeight="1">
      <c r="B714" s="92"/>
      <c r="C714" s="57" t="s">
        <v>192</v>
      </c>
      <c r="D714" s="58">
        <v>1</v>
      </c>
      <c r="E714" s="59">
        <v>2.6819717857000001E-5</v>
      </c>
    </row>
    <row r="715" spans="2:5" ht="14.5" customHeight="1">
      <c r="B715" s="92"/>
      <c r="C715" s="57" t="s">
        <v>187</v>
      </c>
      <c r="D715" s="58">
        <v>1</v>
      </c>
      <c r="E715" s="59">
        <v>2.6819717857000001E-5</v>
      </c>
    </row>
    <row r="716" spans="2:5" ht="14.5" customHeight="1">
      <c r="B716" s="92"/>
      <c r="C716" s="57" t="s">
        <v>199</v>
      </c>
      <c r="D716" s="58">
        <v>1</v>
      </c>
      <c r="E716" s="59">
        <v>2.6819717857000001E-5</v>
      </c>
    </row>
    <row r="717" spans="2:5" ht="14.5" customHeight="1">
      <c r="B717" s="92"/>
      <c r="C717" s="57" t="s">
        <v>195</v>
      </c>
      <c r="D717" s="58">
        <v>1</v>
      </c>
      <c r="E717" s="59">
        <v>2.6819717857000001E-5</v>
      </c>
    </row>
    <row r="718" spans="2:5" ht="14.5" customHeight="1">
      <c r="B718" s="92"/>
      <c r="C718" s="57" t="s">
        <v>196</v>
      </c>
      <c r="D718" s="58">
        <v>1</v>
      </c>
      <c r="E718" s="59">
        <v>2.6819717857000001E-5</v>
      </c>
    </row>
    <row r="719" spans="2:5" ht="14.5" customHeight="1">
      <c r="B719" s="92"/>
      <c r="C719" s="57" t="s">
        <v>193</v>
      </c>
      <c r="D719" s="58">
        <v>1</v>
      </c>
      <c r="E719" s="59">
        <v>2.6819717857000001E-5</v>
      </c>
    </row>
    <row r="720" spans="2:5" ht="14.5" customHeight="1">
      <c r="B720" s="92"/>
      <c r="C720" s="57" t="s">
        <v>191</v>
      </c>
      <c r="D720" s="58">
        <v>1</v>
      </c>
      <c r="E720" s="59">
        <v>2.6819717857000001E-5</v>
      </c>
    </row>
    <row r="721" spans="2:5" ht="14.5" customHeight="1">
      <c r="B721" s="91"/>
      <c r="C721" s="72" t="s">
        <v>353</v>
      </c>
      <c r="D721" s="71">
        <v>15</v>
      </c>
      <c r="E721" s="73">
        <v>4.0229576784899998E-4</v>
      </c>
    </row>
    <row r="722" spans="2:5" ht="14.5" customHeight="1">
      <c r="B722" s="90" t="s">
        <v>176</v>
      </c>
      <c r="C722" s="57" t="s">
        <v>190</v>
      </c>
      <c r="D722" s="58">
        <v>4</v>
      </c>
      <c r="E722" s="59">
        <v>1.07278871426E-4</v>
      </c>
    </row>
    <row r="723" spans="2:5" ht="14.5" customHeight="1">
      <c r="B723" s="92"/>
      <c r="C723" s="57" t="s">
        <v>189</v>
      </c>
      <c r="D723" s="58">
        <v>2</v>
      </c>
      <c r="E723" s="59">
        <v>5.3639435713000001E-5</v>
      </c>
    </row>
    <row r="724" spans="2:5" ht="14.5" customHeight="1">
      <c r="B724" s="92"/>
      <c r="C724" s="57" t="s">
        <v>194</v>
      </c>
      <c r="D724" s="58">
        <v>2</v>
      </c>
      <c r="E724" s="59">
        <v>5.3639435713000001E-5</v>
      </c>
    </row>
    <row r="725" spans="2:5" ht="14.5" customHeight="1">
      <c r="B725" s="92"/>
      <c r="C725" s="57" t="s">
        <v>188</v>
      </c>
      <c r="D725" s="58">
        <v>2</v>
      </c>
      <c r="E725" s="59">
        <v>5.3639435713000001E-5</v>
      </c>
    </row>
    <row r="726" spans="2:5" ht="14.5" customHeight="1">
      <c r="B726" s="92"/>
      <c r="C726" s="57" t="s">
        <v>184</v>
      </c>
      <c r="D726" s="58">
        <v>1</v>
      </c>
      <c r="E726" s="59">
        <v>2.6819717857000001E-5</v>
      </c>
    </row>
    <row r="727" spans="2:5" ht="14.5" customHeight="1">
      <c r="B727" s="92"/>
      <c r="C727" s="57" t="s">
        <v>192</v>
      </c>
      <c r="D727" s="58">
        <v>1</v>
      </c>
      <c r="E727" s="59">
        <v>2.6819717857000001E-5</v>
      </c>
    </row>
    <row r="728" spans="2:5" ht="14.5" customHeight="1">
      <c r="B728" s="91"/>
      <c r="C728" s="72" t="s">
        <v>353</v>
      </c>
      <c r="D728" s="71">
        <v>12</v>
      </c>
      <c r="E728" s="73">
        <v>3.2183661427899999E-4</v>
      </c>
    </row>
    <row r="729" spans="2:5" ht="14.5" customHeight="1">
      <c r="B729" s="90" t="s">
        <v>177</v>
      </c>
      <c r="C729" s="57" t="s">
        <v>188</v>
      </c>
      <c r="D729" s="58">
        <v>4</v>
      </c>
      <c r="E729" s="59">
        <v>1.07278871426E-4</v>
      </c>
    </row>
    <row r="730" spans="2:5" ht="14.5" customHeight="1">
      <c r="B730" s="92"/>
      <c r="C730" s="57" t="s">
        <v>186</v>
      </c>
      <c r="D730" s="58">
        <v>2</v>
      </c>
      <c r="E730" s="59">
        <v>5.3639435713000001E-5</v>
      </c>
    </row>
    <row r="731" spans="2:5" ht="14.5" customHeight="1">
      <c r="B731" s="92"/>
      <c r="C731" s="57" t="s">
        <v>187</v>
      </c>
      <c r="D731" s="58">
        <v>2</v>
      </c>
      <c r="E731" s="59">
        <v>5.3639435713000001E-5</v>
      </c>
    </row>
    <row r="732" spans="2:5" ht="14.5" customHeight="1">
      <c r="B732" s="92"/>
      <c r="C732" s="57" t="s">
        <v>189</v>
      </c>
      <c r="D732" s="58">
        <v>1</v>
      </c>
      <c r="E732" s="59">
        <v>2.6819717857000001E-5</v>
      </c>
    </row>
    <row r="733" spans="2:5" ht="14.5" customHeight="1">
      <c r="B733" s="92"/>
      <c r="C733" s="57" t="s">
        <v>190</v>
      </c>
      <c r="D733" s="58">
        <v>1</v>
      </c>
      <c r="E733" s="59">
        <v>2.6819717857000001E-5</v>
      </c>
    </row>
    <row r="734" spans="2:5" ht="14.5" customHeight="1">
      <c r="B734" s="92"/>
      <c r="C734" s="57" t="s">
        <v>195</v>
      </c>
      <c r="D734" s="58">
        <v>1</v>
      </c>
      <c r="E734" s="59">
        <v>2.6819717857000001E-5</v>
      </c>
    </row>
    <row r="735" spans="2:5" ht="14.5" customHeight="1">
      <c r="B735" s="91"/>
      <c r="C735" s="72" t="s">
        <v>353</v>
      </c>
      <c r="D735" s="71">
        <v>11</v>
      </c>
      <c r="E735" s="73">
        <v>2.9501689642199999E-4</v>
      </c>
    </row>
    <row r="736" spans="2:5" ht="14.5" customHeight="1">
      <c r="B736" s="90" t="s">
        <v>178</v>
      </c>
      <c r="C736" s="57" t="s">
        <v>191</v>
      </c>
      <c r="D736" s="58">
        <v>3</v>
      </c>
      <c r="E736" s="59">
        <v>8.0459153570000002E-5</v>
      </c>
    </row>
    <row r="737" spans="2:5" ht="14.5" customHeight="1">
      <c r="B737" s="92"/>
      <c r="C737" s="57" t="s">
        <v>184</v>
      </c>
      <c r="D737" s="58">
        <v>2</v>
      </c>
      <c r="E737" s="59">
        <v>5.3639435713000001E-5</v>
      </c>
    </row>
    <row r="738" spans="2:5" ht="14.5" customHeight="1">
      <c r="B738" s="92"/>
      <c r="C738" s="57" t="s">
        <v>187</v>
      </c>
      <c r="D738" s="58">
        <v>2</v>
      </c>
      <c r="E738" s="59">
        <v>5.3639435713000001E-5</v>
      </c>
    </row>
    <row r="739" spans="2:5" ht="14.5" customHeight="1">
      <c r="B739" s="92"/>
      <c r="C739" s="57" t="s">
        <v>185</v>
      </c>
      <c r="D739" s="58">
        <v>1</v>
      </c>
      <c r="E739" s="59">
        <v>2.6819717857000001E-5</v>
      </c>
    </row>
    <row r="740" spans="2:5" ht="14.5" customHeight="1">
      <c r="B740" s="91"/>
      <c r="C740" s="72" t="s">
        <v>353</v>
      </c>
      <c r="D740" s="71">
        <v>8</v>
      </c>
      <c r="E740" s="73">
        <v>2.1455774285299999E-4</v>
      </c>
    </row>
    <row r="741" spans="2:5" ht="14.5" customHeight="1">
      <c r="B741" s="90" t="s">
        <v>179</v>
      </c>
      <c r="C741" s="57" t="s">
        <v>184</v>
      </c>
      <c r="D741" s="58">
        <v>3</v>
      </c>
      <c r="E741" s="59">
        <v>8.0459153570000002E-5</v>
      </c>
    </row>
    <row r="742" spans="2:5" ht="14.5" customHeight="1">
      <c r="B742" s="92"/>
      <c r="C742" s="57" t="s">
        <v>189</v>
      </c>
      <c r="D742" s="58">
        <v>1</v>
      </c>
      <c r="E742" s="59">
        <v>2.6819717857000001E-5</v>
      </c>
    </row>
    <row r="743" spans="2:5" ht="14.5" customHeight="1">
      <c r="B743" s="92"/>
      <c r="C743" s="57" t="s">
        <v>192</v>
      </c>
      <c r="D743" s="58">
        <v>1</v>
      </c>
      <c r="E743" s="59">
        <v>2.6819717857000001E-5</v>
      </c>
    </row>
    <row r="744" spans="2:5" ht="14.5" customHeight="1">
      <c r="B744" s="91"/>
      <c r="C744" s="72" t="s">
        <v>353</v>
      </c>
      <c r="D744" s="71">
        <v>5</v>
      </c>
      <c r="E744" s="73">
        <v>1.34098589283E-4</v>
      </c>
    </row>
    <row r="745" spans="2:5" ht="14.5" customHeight="1">
      <c r="B745" s="90" t="s">
        <v>180</v>
      </c>
      <c r="C745" s="57" t="s">
        <v>184</v>
      </c>
      <c r="D745" s="58">
        <v>1</v>
      </c>
      <c r="E745" s="59">
        <v>2.6819717857000001E-5</v>
      </c>
    </row>
    <row r="746" spans="2:5" ht="14.5" customHeight="1">
      <c r="B746" s="92"/>
      <c r="C746" s="57" t="s">
        <v>185</v>
      </c>
      <c r="D746" s="58">
        <v>1</v>
      </c>
      <c r="E746" s="59">
        <v>2.6819717857000001E-5</v>
      </c>
    </row>
    <row r="747" spans="2:5" ht="14.5" customHeight="1">
      <c r="B747" s="92"/>
      <c r="C747" s="57" t="s">
        <v>188</v>
      </c>
      <c r="D747" s="58">
        <v>1</v>
      </c>
      <c r="E747" s="59">
        <v>2.6819717857000001E-5</v>
      </c>
    </row>
    <row r="748" spans="2:5" ht="14.5" customHeight="1">
      <c r="B748" s="92"/>
      <c r="C748" s="57" t="s">
        <v>191</v>
      </c>
      <c r="D748" s="58">
        <v>1</v>
      </c>
      <c r="E748" s="59">
        <v>2.6819717857000001E-5</v>
      </c>
    </row>
    <row r="749" spans="2:5" ht="14.5" customHeight="1">
      <c r="B749" s="91"/>
      <c r="C749" s="72" t="s">
        <v>353</v>
      </c>
      <c r="D749" s="71">
        <v>4</v>
      </c>
      <c r="E749" s="73">
        <v>1.07278871426E-4</v>
      </c>
    </row>
    <row r="750" spans="2:5" ht="14.5" customHeight="1">
      <c r="B750" s="90" t="s">
        <v>181</v>
      </c>
      <c r="C750" s="57" t="s">
        <v>196</v>
      </c>
      <c r="D750" s="58">
        <v>1</v>
      </c>
      <c r="E750" s="59">
        <v>2.6819717857000001E-5</v>
      </c>
    </row>
    <row r="751" spans="2:5" ht="14.5" customHeight="1">
      <c r="B751" s="92"/>
      <c r="C751" s="57" t="s">
        <v>191</v>
      </c>
      <c r="D751" s="58">
        <v>1</v>
      </c>
      <c r="E751" s="59">
        <v>2.6819717857000001E-5</v>
      </c>
    </row>
    <row r="752" spans="2:5" ht="14.5" customHeight="1">
      <c r="B752" s="91"/>
      <c r="C752" s="72" t="s">
        <v>353</v>
      </c>
      <c r="D752" s="71">
        <v>2</v>
      </c>
      <c r="E752" s="73">
        <v>5.3639435713000001E-5</v>
      </c>
    </row>
    <row r="753" spans="1:5" ht="14.5" customHeight="1">
      <c r="B753" s="90" t="s">
        <v>182</v>
      </c>
      <c r="C753" s="57" t="s">
        <v>187</v>
      </c>
      <c r="D753" s="58">
        <v>1</v>
      </c>
      <c r="E753" s="59">
        <v>2.6819717857000001E-5</v>
      </c>
    </row>
    <row r="754" spans="1:5" ht="14.5" customHeight="1">
      <c r="B754" s="91"/>
      <c r="C754" s="72" t="s">
        <v>353</v>
      </c>
      <c r="D754" s="71">
        <v>1</v>
      </c>
      <c r="E754" s="73">
        <v>2.6819717857000001E-5</v>
      </c>
    </row>
    <row r="755" spans="1:5" ht="14.5" customHeight="1">
      <c r="B755" s="90" t="s">
        <v>183</v>
      </c>
      <c r="C755" s="57" t="s">
        <v>189</v>
      </c>
      <c r="D755" s="58">
        <v>1</v>
      </c>
      <c r="E755" s="59">
        <v>2.6819717857000001E-5</v>
      </c>
    </row>
    <row r="756" spans="1:5" ht="14.5" customHeight="1">
      <c r="B756" s="91"/>
      <c r="C756" s="72" t="s">
        <v>353</v>
      </c>
      <c r="D756" s="71">
        <v>1</v>
      </c>
      <c r="E756" s="73">
        <v>2.6819717857000001E-5</v>
      </c>
    </row>
    <row r="757" spans="1:5" ht="14.5" customHeight="1">
      <c r="B757" s="88" t="s">
        <v>353</v>
      </c>
      <c r="C757" s="89"/>
      <c r="D757" s="61">
        <v>37286</v>
      </c>
      <c r="E757" s="62">
        <v>1</v>
      </c>
    </row>
    <row r="758" spans="1:5" ht="14.5" customHeight="1"/>
    <row r="759" spans="1:5" ht="14.5" customHeight="1">
      <c r="A759" s="13"/>
      <c r="B759" s="40" t="s">
        <v>132</v>
      </c>
      <c r="C759" s="39"/>
      <c r="D759" s="39"/>
    </row>
    <row r="760" spans="1:5" ht="14.5" customHeight="1">
      <c r="A760" s="13"/>
      <c r="B760" s="41" t="s">
        <v>17</v>
      </c>
      <c r="C760" s="39"/>
      <c r="D760" s="39"/>
    </row>
    <row r="761" spans="1:5" ht="14.5" customHeight="1">
      <c r="A761" s="13"/>
      <c r="B761" s="42" t="s">
        <v>46</v>
      </c>
      <c r="C761" s="39"/>
      <c r="D761" s="39"/>
    </row>
    <row r="762" spans="1:5" ht="14.5" customHeight="1">
      <c r="A762" s="13"/>
      <c r="B762" s="40" t="s">
        <v>16</v>
      </c>
      <c r="C762" s="39"/>
      <c r="D762" s="39"/>
    </row>
    <row r="763" spans="1:5" ht="14.5" customHeight="1">
      <c r="A763" s="13"/>
      <c r="B763" s="40" t="s">
        <v>352</v>
      </c>
      <c r="C763" s="39"/>
      <c r="D763" s="39"/>
    </row>
  </sheetData>
  <mergeCells count="53">
    <mergeCell ref="B7:E8"/>
    <mergeCell ref="B10:B27"/>
    <mergeCell ref="B28:B45"/>
    <mergeCell ref="B46:B63"/>
    <mergeCell ref="B64:B81"/>
    <mergeCell ref="B82:B99"/>
    <mergeCell ref="B100:B116"/>
    <mergeCell ref="B117:B134"/>
    <mergeCell ref="B135:B152"/>
    <mergeCell ref="B153:B170"/>
    <mergeCell ref="B171:B188"/>
    <mergeCell ref="B189:B206"/>
    <mergeCell ref="B207:B224"/>
    <mergeCell ref="B225:B242"/>
    <mergeCell ref="B243:B260"/>
    <mergeCell ref="B261:B277"/>
    <mergeCell ref="B278:B295"/>
    <mergeCell ref="B296:B312"/>
    <mergeCell ref="B313:B330"/>
    <mergeCell ref="B331:B348"/>
    <mergeCell ref="B349:B366"/>
    <mergeCell ref="B367:B384"/>
    <mergeCell ref="B385:B401"/>
    <mergeCell ref="B402:B419"/>
    <mergeCell ref="B420:B437"/>
    <mergeCell ref="B438:B455"/>
    <mergeCell ref="B456:B472"/>
    <mergeCell ref="B473:B488"/>
    <mergeCell ref="B489:B506"/>
    <mergeCell ref="B507:B523"/>
    <mergeCell ref="B524:B541"/>
    <mergeCell ref="B542:B557"/>
    <mergeCell ref="B558:B573"/>
    <mergeCell ref="B574:B587"/>
    <mergeCell ref="B588:B603"/>
    <mergeCell ref="B604:B618"/>
    <mergeCell ref="B619:B633"/>
    <mergeCell ref="B634:B648"/>
    <mergeCell ref="B649:B662"/>
    <mergeCell ref="B663:B676"/>
    <mergeCell ref="B677:B689"/>
    <mergeCell ref="B690:B698"/>
    <mergeCell ref="B699:B708"/>
    <mergeCell ref="B709:B721"/>
    <mergeCell ref="B722:B728"/>
    <mergeCell ref="B757:C757"/>
    <mergeCell ref="B753:B754"/>
    <mergeCell ref="B755:B756"/>
    <mergeCell ref="B729:B735"/>
    <mergeCell ref="B736:B740"/>
    <mergeCell ref="B741:B744"/>
    <mergeCell ref="B745:B749"/>
    <mergeCell ref="B750:B7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842"/>
  <sheetViews>
    <sheetView showGridLines="0" view="pageBreakPreview" topLeftCell="A823" zoomScaleNormal="100" zoomScaleSheetLayoutView="100" workbookViewId="0">
      <selection activeCell="C829" sqref="C829"/>
    </sheetView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1.45312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34"/>
      <c r="C6" s="35"/>
      <c r="D6" s="35"/>
      <c r="E6" s="35"/>
    </row>
    <row r="7" spans="1:5" s="25" customFormat="1" ht="26.25" customHeight="1">
      <c r="A7" s="26"/>
      <c r="B7" s="99"/>
      <c r="C7" s="99"/>
      <c r="D7" s="99"/>
      <c r="E7" s="99"/>
    </row>
    <row r="8" spans="1:5" s="25" customFormat="1" ht="33" customHeight="1">
      <c r="A8" s="26"/>
      <c r="B8" s="99"/>
      <c r="C8" s="99"/>
      <c r="D8" s="99"/>
      <c r="E8" s="99"/>
    </row>
    <row r="9" spans="1:5" s="18" customFormat="1" ht="40.5" customHeight="1">
      <c r="B9" s="36" t="s">
        <v>21</v>
      </c>
      <c r="C9" s="37" t="s">
        <v>25</v>
      </c>
      <c r="D9" s="38" t="s">
        <v>19</v>
      </c>
      <c r="E9" s="36" t="s">
        <v>18</v>
      </c>
    </row>
    <row r="10" spans="1:5" ht="15" customHeight="1">
      <c r="B10" s="96" t="s">
        <v>86</v>
      </c>
      <c r="C10" s="74" t="s">
        <v>202</v>
      </c>
      <c r="D10" s="58">
        <v>10</v>
      </c>
      <c r="E10" s="59">
        <v>2.6819717856600001E-4</v>
      </c>
    </row>
    <row r="11" spans="1:5" ht="15" customHeight="1">
      <c r="B11" s="97"/>
      <c r="C11" s="74" t="s">
        <v>203</v>
      </c>
      <c r="D11" s="58">
        <v>9</v>
      </c>
      <c r="E11" s="59">
        <v>2.4137746070900001E-4</v>
      </c>
    </row>
    <row r="12" spans="1:5" ht="15" customHeight="1">
      <c r="B12" s="97"/>
      <c r="C12" s="74" t="s">
        <v>204</v>
      </c>
      <c r="D12" s="58">
        <v>5</v>
      </c>
      <c r="E12" s="59">
        <v>1.34098589283E-4</v>
      </c>
    </row>
    <row r="13" spans="1:5" ht="15" customHeight="1">
      <c r="B13" s="97"/>
      <c r="C13" s="74" t="s">
        <v>205</v>
      </c>
      <c r="D13" s="58">
        <v>1</v>
      </c>
      <c r="E13" s="59">
        <v>2.6819717857000001E-5</v>
      </c>
    </row>
    <row r="14" spans="1:5" ht="15" customHeight="1">
      <c r="B14" s="97"/>
      <c r="C14" s="74" t="s">
        <v>206</v>
      </c>
      <c r="D14" s="58">
        <v>11</v>
      </c>
      <c r="E14" s="59">
        <v>2.9501689642199999E-4</v>
      </c>
    </row>
    <row r="15" spans="1:5" ht="15" customHeight="1">
      <c r="B15" s="97"/>
      <c r="C15" s="74" t="s">
        <v>207</v>
      </c>
      <c r="D15" s="58">
        <v>16</v>
      </c>
      <c r="E15" s="59">
        <v>4.2911548570500002E-4</v>
      </c>
    </row>
    <row r="16" spans="1:5" ht="15" customHeight="1">
      <c r="B16" s="97"/>
      <c r="C16" s="74" t="s">
        <v>208</v>
      </c>
      <c r="D16" s="58">
        <v>7</v>
      </c>
      <c r="E16" s="59">
        <v>1.8773802499599999E-4</v>
      </c>
    </row>
    <row r="17" spans="2:5" ht="15" customHeight="1">
      <c r="B17" s="97"/>
      <c r="C17" s="74" t="s">
        <v>209</v>
      </c>
      <c r="D17" s="58">
        <v>11</v>
      </c>
      <c r="E17" s="59">
        <v>2.9501689642199999E-4</v>
      </c>
    </row>
    <row r="18" spans="2:5" ht="15" customHeight="1">
      <c r="B18" s="97"/>
      <c r="C18" s="74" t="s">
        <v>210</v>
      </c>
      <c r="D18" s="58">
        <v>9</v>
      </c>
      <c r="E18" s="59">
        <v>2.4137746070900001E-4</v>
      </c>
    </row>
    <row r="19" spans="2:5" ht="15" customHeight="1">
      <c r="B19" s="97"/>
      <c r="C19" s="74" t="s">
        <v>211</v>
      </c>
      <c r="D19" s="58">
        <v>1</v>
      </c>
      <c r="E19" s="59">
        <v>2.6819717857000001E-5</v>
      </c>
    </row>
    <row r="20" spans="2:5" ht="15" customHeight="1">
      <c r="B20" s="97"/>
      <c r="C20" s="74" t="s">
        <v>212</v>
      </c>
      <c r="D20" s="58">
        <v>4</v>
      </c>
      <c r="E20" s="59">
        <v>1.07278871426E-4</v>
      </c>
    </row>
    <row r="21" spans="2:5" ht="15" customHeight="1">
      <c r="B21" s="97"/>
      <c r="C21" s="74" t="s">
        <v>213</v>
      </c>
      <c r="D21" s="58">
        <v>2</v>
      </c>
      <c r="E21" s="59">
        <v>5.3639435713000001E-5</v>
      </c>
    </row>
    <row r="22" spans="2:5" ht="15" customHeight="1">
      <c r="B22" s="97"/>
      <c r="C22" s="74" t="s">
        <v>214</v>
      </c>
      <c r="D22" s="58">
        <v>6</v>
      </c>
      <c r="E22" s="59">
        <v>1.6091830713899999E-4</v>
      </c>
    </row>
    <row r="23" spans="2:5" ht="15" customHeight="1">
      <c r="B23" s="97"/>
      <c r="C23" s="74" t="s">
        <v>215</v>
      </c>
      <c r="D23" s="58">
        <v>2</v>
      </c>
      <c r="E23" s="59">
        <v>5.3639435713000001E-5</v>
      </c>
    </row>
    <row r="24" spans="2:5" ht="15" customHeight="1">
      <c r="B24" s="97"/>
      <c r="C24" s="74" t="s">
        <v>216</v>
      </c>
      <c r="D24" s="58">
        <v>4</v>
      </c>
      <c r="E24" s="59">
        <v>1.07278871426E-4</v>
      </c>
    </row>
    <row r="25" spans="2:5" ht="15" customHeight="1">
      <c r="B25" s="98"/>
      <c r="C25" s="75" t="s">
        <v>353</v>
      </c>
      <c r="D25" s="71">
        <v>98</v>
      </c>
      <c r="E25" s="73">
        <v>2.6283323499440001E-3</v>
      </c>
    </row>
    <row r="26" spans="2:5" ht="15" customHeight="1">
      <c r="B26" s="96" t="s">
        <v>53</v>
      </c>
      <c r="C26" s="74" t="s">
        <v>202</v>
      </c>
      <c r="D26" s="58">
        <v>81</v>
      </c>
      <c r="E26" s="59">
        <v>2.1723971463819998E-3</v>
      </c>
    </row>
    <row r="27" spans="2:5" ht="15" customHeight="1">
      <c r="B27" s="97"/>
      <c r="C27" s="74" t="s">
        <v>203</v>
      </c>
      <c r="D27" s="58">
        <v>76</v>
      </c>
      <c r="E27" s="59">
        <v>2.0382985570990002E-3</v>
      </c>
    </row>
    <row r="28" spans="2:5" ht="15" customHeight="1">
      <c r="B28" s="97"/>
      <c r="C28" s="74" t="s">
        <v>204</v>
      </c>
      <c r="D28" s="58">
        <v>28</v>
      </c>
      <c r="E28" s="59">
        <v>7.5095209998399996E-4</v>
      </c>
    </row>
    <row r="29" spans="2:5" ht="15" customHeight="1">
      <c r="B29" s="97"/>
      <c r="C29" s="74" t="s">
        <v>205</v>
      </c>
      <c r="D29" s="58">
        <v>10</v>
      </c>
      <c r="E29" s="59">
        <v>2.6819717856600001E-4</v>
      </c>
    </row>
    <row r="30" spans="2:5" ht="15" customHeight="1">
      <c r="B30" s="97"/>
      <c r="C30" s="74" t="s">
        <v>206</v>
      </c>
      <c r="D30" s="58">
        <v>112</v>
      </c>
      <c r="E30" s="59">
        <v>3.0038083999359999E-3</v>
      </c>
    </row>
    <row r="31" spans="2:5" ht="15" customHeight="1">
      <c r="B31" s="97"/>
      <c r="C31" s="74" t="s">
        <v>217</v>
      </c>
      <c r="D31" s="58">
        <v>508</v>
      </c>
      <c r="E31" s="59">
        <v>1.3624416671137E-2</v>
      </c>
    </row>
    <row r="32" spans="2:5" ht="15" customHeight="1">
      <c r="B32" s="97"/>
      <c r="C32" s="74" t="s">
        <v>207</v>
      </c>
      <c r="D32" s="58">
        <v>156</v>
      </c>
      <c r="E32" s="59">
        <v>4.1838759856250001E-3</v>
      </c>
    </row>
    <row r="33" spans="2:5" ht="15" customHeight="1">
      <c r="B33" s="97"/>
      <c r="C33" s="74" t="s">
        <v>208</v>
      </c>
      <c r="D33" s="58">
        <v>70</v>
      </c>
      <c r="E33" s="59">
        <v>1.8773802499600001E-3</v>
      </c>
    </row>
    <row r="34" spans="2:5" ht="15" customHeight="1">
      <c r="B34" s="97"/>
      <c r="C34" s="74" t="s">
        <v>209</v>
      </c>
      <c r="D34" s="58">
        <v>92</v>
      </c>
      <c r="E34" s="59">
        <v>2.4674140428040002E-3</v>
      </c>
    </row>
    <row r="35" spans="2:5" ht="15" customHeight="1">
      <c r="B35" s="97"/>
      <c r="C35" s="74" t="s">
        <v>218</v>
      </c>
      <c r="D35" s="58">
        <v>25</v>
      </c>
      <c r="E35" s="59">
        <v>6.7049294641399998E-4</v>
      </c>
    </row>
    <row r="36" spans="2:5" ht="15" customHeight="1">
      <c r="B36" s="97"/>
      <c r="C36" s="74" t="s">
        <v>210</v>
      </c>
      <c r="D36" s="58">
        <v>79</v>
      </c>
      <c r="E36" s="59">
        <v>2.118757710669E-3</v>
      </c>
    </row>
    <row r="37" spans="2:5" ht="15" customHeight="1">
      <c r="B37" s="97"/>
      <c r="C37" s="74" t="s">
        <v>211</v>
      </c>
      <c r="D37" s="58">
        <v>16</v>
      </c>
      <c r="E37" s="59">
        <v>4.2911548570500002E-4</v>
      </c>
    </row>
    <row r="38" spans="2:5" ht="15" customHeight="1">
      <c r="B38" s="97"/>
      <c r="C38" s="74" t="s">
        <v>212</v>
      </c>
      <c r="D38" s="58">
        <v>26</v>
      </c>
      <c r="E38" s="59">
        <v>6.9731266427100003E-4</v>
      </c>
    </row>
    <row r="39" spans="2:5" ht="15" customHeight="1">
      <c r="B39" s="97"/>
      <c r="C39" s="74" t="s">
        <v>213</v>
      </c>
      <c r="D39" s="58">
        <v>19</v>
      </c>
      <c r="E39" s="59">
        <v>5.0957463927499996E-4</v>
      </c>
    </row>
    <row r="40" spans="2:5" ht="15" customHeight="1">
      <c r="B40" s="97"/>
      <c r="C40" s="74" t="s">
        <v>214</v>
      </c>
      <c r="D40" s="58">
        <v>44</v>
      </c>
      <c r="E40" s="59">
        <v>1.180067585689E-3</v>
      </c>
    </row>
    <row r="41" spans="2:5" ht="15" customHeight="1">
      <c r="B41" s="97"/>
      <c r="C41" s="74" t="s">
        <v>215</v>
      </c>
      <c r="D41" s="58">
        <v>9</v>
      </c>
      <c r="E41" s="59">
        <v>2.4137746070900001E-4</v>
      </c>
    </row>
    <row r="42" spans="2:5" ht="15" customHeight="1">
      <c r="B42" s="97"/>
      <c r="C42" s="74" t="s">
        <v>216</v>
      </c>
      <c r="D42" s="58">
        <v>69</v>
      </c>
      <c r="E42" s="59">
        <v>1.8505605321029999E-3</v>
      </c>
    </row>
    <row r="43" spans="2:5" ht="15" customHeight="1">
      <c r="B43" s="98"/>
      <c r="C43" s="75" t="s">
        <v>353</v>
      </c>
      <c r="D43" s="71">
        <v>1420</v>
      </c>
      <c r="E43" s="73">
        <v>3.8083999356327003E-2</v>
      </c>
    </row>
    <row r="44" spans="2:5" ht="15" customHeight="1">
      <c r="B44" s="96" t="s">
        <v>62</v>
      </c>
      <c r="C44" s="74" t="s">
        <v>202</v>
      </c>
      <c r="D44" s="58">
        <v>29</v>
      </c>
      <c r="E44" s="59">
        <v>7.7777181783999995E-4</v>
      </c>
    </row>
    <row r="45" spans="2:5" ht="15" customHeight="1">
      <c r="B45" s="97"/>
      <c r="C45" s="74" t="s">
        <v>203</v>
      </c>
      <c r="D45" s="58">
        <v>37</v>
      </c>
      <c r="E45" s="59">
        <v>9.9232956069299997E-4</v>
      </c>
    </row>
    <row r="46" spans="2:5" ht="15" customHeight="1">
      <c r="B46" s="97"/>
      <c r="C46" s="74" t="s">
        <v>204</v>
      </c>
      <c r="D46" s="58">
        <v>11</v>
      </c>
      <c r="E46" s="59">
        <v>2.9501689642199999E-4</v>
      </c>
    </row>
    <row r="47" spans="2:5" ht="15" customHeight="1">
      <c r="B47" s="97"/>
      <c r="C47" s="74" t="s">
        <v>205</v>
      </c>
      <c r="D47" s="58">
        <v>3</v>
      </c>
      <c r="E47" s="59">
        <v>8.0459153570000002E-5</v>
      </c>
    </row>
    <row r="48" spans="2:5" ht="15" customHeight="1">
      <c r="B48" s="97"/>
      <c r="C48" s="74" t="s">
        <v>206</v>
      </c>
      <c r="D48" s="58">
        <v>45</v>
      </c>
      <c r="E48" s="59">
        <v>1.206887303546E-3</v>
      </c>
    </row>
    <row r="49" spans="2:5" ht="15" customHeight="1">
      <c r="B49" s="97"/>
      <c r="C49" s="74" t="s">
        <v>217</v>
      </c>
      <c r="D49" s="58">
        <v>160</v>
      </c>
      <c r="E49" s="59">
        <v>4.2911548570509998E-3</v>
      </c>
    </row>
    <row r="50" spans="2:5" ht="15" customHeight="1">
      <c r="B50" s="97"/>
      <c r="C50" s="74" t="s">
        <v>207</v>
      </c>
      <c r="D50" s="58">
        <v>78</v>
      </c>
      <c r="E50" s="59">
        <v>2.091937992812E-3</v>
      </c>
    </row>
    <row r="51" spans="2:5" ht="15" customHeight="1">
      <c r="B51" s="97"/>
      <c r="C51" s="74" t="s">
        <v>208</v>
      </c>
      <c r="D51" s="58">
        <v>38</v>
      </c>
      <c r="E51" s="59">
        <v>1.0191492785499999E-3</v>
      </c>
    </row>
    <row r="52" spans="2:5" ht="15" customHeight="1">
      <c r="B52" s="97"/>
      <c r="C52" s="74" t="s">
        <v>209</v>
      </c>
      <c r="D52" s="58">
        <v>53</v>
      </c>
      <c r="E52" s="59">
        <v>1.4214450463979999E-3</v>
      </c>
    </row>
    <row r="53" spans="2:5" ht="15" customHeight="1">
      <c r="B53" s="97"/>
      <c r="C53" s="74" t="s">
        <v>218</v>
      </c>
      <c r="D53" s="58">
        <v>2</v>
      </c>
      <c r="E53" s="59">
        <v>5.3639435713000001E-5</v>
      </c>
    </row>
    <row r="54" spans="2:5" ht="15" customHeight="1">
      <c r="B54" s="97"/>
      <c r="C54" s="74" t="s">
        <v>210</v>
      </c>
      <c r="D54" s="58">
        <v>54</v>
      </c>
      <c r="E54" s="59">
        <v>1.4482647642550001E-3</v>
      </c>
    </row>
    <row r="55" spans="2:5" ht="15" customHeight="1">
      <c r="B55" s="97"/>
      <c r="C55" s="74" t="s">
        <v>211</v>
      </c>
      <c r="D55" s="58">
        <v>2</v>
      </c>
      <c r="E55" s="59">
        <v>5.3639435713000001E-5</v>
      </c>
    </row>
    <row r="56" spans="2:5" ht="15" customHeight="1">
      <c r="B56" s="97"/>
      <c r="C56" s="74" t="s">
        <v>212</v>
      </c>
      <c r="D56" s="58">
        <v>13</v>
      </c>
      <c r="E56" s="59">
        <v>3.4865633213499998E-4</v>
      </c>
    </row>
    <row r="57" spans="2:5" ht="15" customHeight="1">
      <c r="B57" s="97"/>
      <c r="C57" s="74" t="s">
        <v>213</v>
      </c>
      <c r="D57" s="58">
        <v>7</v>
      </c>
      <c r="E57" s="59">
        <v>1.8773802499599999E-4</v>
      </c>
    </row>
    <row r="58" spans="2:5" ht="15" customHeight="1">
      <c r="B58" s="97"/>
      <c r="C58" s="74" t="s">
        <v>214</v>
      </c>
      <c r="D58" s="58">
        <v>24</v>
      </c>
      <c r="E58" s="59">
        <v>6.4367322855799999E-4</v>
      </c>
    </row>
    <row r="59" spans="2:5" ht="15" customHeight="1">
      <c r="B59" s="97"/>
      <c r="C59" s="74" t="s">
        <v>215</v>
      </c>
      <c r="D59" s="58">
        <v>5</v>
      </c>
      <c r="E59" s="59">
        <v>1.34098589283E-4</v>
      </c>
    </row>
    <row r="60" spans="2:5" ht="15" customHeight="1">
      <c r="B60" s="97"/>
      <c r="C60" s="74" t="s">
        <v>216</v>
      </c>
      <c r="D60" s="58">
        <v>45</v>
      </c>
      <c r="E60" s="59">
        <v>1.206887303546E-3</v>
      </c>
    </row>
    <row r="61" spans="2:5" ht="15" customHeight="1">
      <c r="B61" s="98"/>
      <c r="C61" s="75" t="s">
        <v>353</v>
      </c>
      <c r="D61" s="71">
        <v>606</v>
      </c>
      <c r="E61" s="73">
        <v>1.6252749021079999E-2</v>
      </c>
    </row>
    <row r="62" spans="2:5" ht="15" customHeight="1">
      <c r="B62" s="96" t="s">
        <v>84</v>
      </c>
      <c r="C62" s="74" t="s">
        <v>202</v>
      </c>
      <c r="D62" s="58">
        <v>11</v>
      </c>
      <c r="E62" s="59">
        <v>2.9501689642199999E-4</v>
      </c>
    </row>
    <row r="63" spans="2:5" ht="15" customHeight="1">
      <c r="B63" s="97"/>
      <c r="C63" s="74" t="s">
        <v>203</v>
      </c>
      <c r="D63" s="58">
        <v>10</v>
      </c>
      <c r="E63" s="59">
        <v>2.6819717856600001E-4</v>
      </c>
    </row>
    <row r="64" spans="2:5" ht="15" customHeight="1">
      <c r="B64" s="97"/>
      <c r="C64" s="74" t="s">
        <v>204</v>
      </c>
      <c r="D64" s="58">
        <v>5</v>
      </c>
      <c r="E64" s="59">
        <v>1.34098589283E-4</v>
      </c>
    </row>
    <row r="65" spans="2:5" ht="15" customHeight="1">
      <c r="B65" s="97"/>
      <c r="C65" s="74" t="s">
        <v>205</v>
      </c>
      <c r="D65" s="58">
        <v>1</v>
      </c>
      <c r="E65" s="59">
        <v>2.6819717857000001E-5</v>
      </c>
    </row>
    <row r="66" spans="2:5" ht="15" customHeight="1">
      <c r="B66" s="97"/>
      <c r="C66" s="74" t="s">
        <v>206</v>
      </c>
      <c r="D66" s="58">
        <v>13</v>
      </c>
      <c r="E66" s="59">
        <v>3.4865633213499998E-4</v>
      </c>
    </row>
    <row r="67" spans="2:5" ht="15" customHeight="1">
      <c r="B67" s="97"/>
      <c r="C67" s="74" t="s">
        <v>217</v>
      </c>
      <c r="D67" s="58">
        <v>32</v>
      </c>
      <c r="E67" s="59">
        <v>8.5823097141000005E-4</v>
      </c>
    </row>
    <row r="68" spans="2:5" ht="15" customHeight="1">
      <c r="B68" s="97"/>
      <c r="C68" s="74" t="s">
        <v>207</v>
      </c>
      <c r="D68" s="58">
        <v>32</v>
      </c>
      <c r="E68" s="59">
        <v>8.5823097141000005E-4</v>
      </c>
    </row>
    <row r="69" spans="2:5" ht="15" customHeight="1">
      <c r="B69" s="97"/>
      <c r="C69" s="74" t="s">
        <v>208</v>
      </c>
      <c r="D69" s="58">
        <v>10</v>
      </c>
      <c r="E69" s="59">
        <v>2.6819717856600001E-4</v>
      </c>
    </row>
    <row r="70" spans="2:5" ht="15" customHeight="1">
      <c r="B70" s="97"/>
      <c r="C70" s="74" t="s">
        <v>209</v>
      </c>
      <c r="D70" s="58">
        <v>19</v>
      </c>
      <c r="E70" s="59">
        <v>5.0957463927499996E-4</v>
      </c>
    </row>
    <row r="71" spans="2:5" ht="15" customHeight="1">
      <c r="B71" s="97"/>
      <c r="C71" s="74" t="s">
        <v>210</v>
      </c>
      <c r="D71" s="58">
        <v>23</v>
      </c>
      <c r="E71" s="59">
        <v>6.1685351070100004E-4</v>
      </c>
    </row>
    <row r="72" spans="2:5" ht="15" customHeight="1">
      <c r="B72" s="97"/>
      <c r="C72" s="74" t="s">
        <v>211</v>
      </c>
      <c r="D72" s="58">
        <v>2</v>
      </c>
      <c r="E72" s="59">
        <v>5.3639435713000001E-5</v>
      </c>
    </row>
    <row r="73" spans="2:5" ht="15" customHeight="1">
      <c r="B73" s="97"/>
      <c r="C73" s="74" t="s">
        <v>212</v>
      </c>
      <c r="D73" s="58">
        <v>4</v>
      </c>
      <c r="E73" s="59">
        <v>1.07278871426E-4</v>
      </c>
    </row>
    <row r="74" spans="2:5" ht="15" customHeight="1">
      <c r="B74" s="97"/>
      <c r="C74" s="74" t="s">
        <v>213</v>
      </c>
      <c r="D74" s="58">
        <v>2</v>
      </c>
      <c r="E74" s="59">
        <v>5.3639435713000001E-5</v>
      </c>
    </row>
    <row r="75" spans="2:5" ht="15" customHeight="1">
      <c r="B75" s="97"/>
      <c r="C75" s="74" t="s">
        <v>214</v>
      </c>
      <c r="D75" s="58">
        <v>4</v>
      </c>
      <c r="E75" s="59">
        <v>1.07278871426E-4</v>
      </c>
    </row>
    <row r="76" spans="2:5" ht="15" customHeight="1">
      <c r="B76" s="97"/>
      <c r="C76" s="74" t="s">
        <v>215</v>
      </c>
      <c r="D76" s="58">
        <v>2</v>
      </c>
      <c r="E76" s="59">
        <v>5.3639435713000001E-5</v>
      </c>
    </row>
    <row r="77" spans="2:5" ht="15" customHeight="1">
      <c r="B77" s="97"/>
      <c r="C77" s="74" t="s">
        <v>216</v>
      </c>
      <c r="D77" s="58">
        <v>16</v>
      </c>
      <c r="E77" s="59">
        <v>4.2911548570500002E-4</v>
      </c>
    </row>
    <row r="78" spans="2:5" ht="15" customHeight="1">
      <c r="B78" s="98"/>
      <c r="C78" s="75" t="s">
        <v>353</v>
      </c>
      <c r="D78" s="71">
        <v>186</v>
      </c>
      <c r="E78" s="73">
        <v>4.9884675213220002E-3</v>
      </c>
    </row>
    <row r="79" spans="2:5" ht="15" customHeight="1">
      <c r="B79" s="96" t="s">
        <v>83</v>
      </c>
      <c r="C79" s="74" t="s">
        <v>202</v>
      </c>
      <c r="D79" s="58">
        <v>14</v>
      </c>
      <c r="E79" s="59">
        <v>3.7547604999199998E-4</v>
      </c>
    </row>
    <row r="80" spans="2:5" ht="15" customHeight="1">
      <c r="B80" s="97"/>
      <c r="C80" s="74" t="s">
        <v>203</v>
      </c>
      <c r="D80" s="58">
        <v>7</v>
      </c>
      <c r="E80" s="59">
        <v>1.8773802499599999E-4</v>
      </c>
    </row>
    <row r="81" spans="2:5" ht="15" customHeight="1">
      <c r="B81" s="97"/>
      <c r="C81" s="74" t="s">
        <v>204</v>
      </c>
      <c r="D81" s="58">
        <v>4</v>
      </c>
      <c r="E81" s="59">
        <v>1.07278871426E-4</v>
      </c>
    </row>
    <row r="82" spans="2:5" ht="15" customHeight="1">
      <c r="B82" s="97"/>
      <c r="C82" s="74" t="s">
        <v>205</v>
      </c>
      <c r="D82" s="58">
        <v>5</v>
      </c>
      <c r="E82" s="59">
        <v>1.34098589283E-4</v>
      </c>
    </row>
    <row r="83" spans="2:5" ht="15" customHeight="1">
      <c r="B83" s="97"/>
      <c r="C83" s="74" t="s">
        <v>206</v>
      </c>
      <c r="D83" s="58">
        <v>18</v>
      </c>
      <c r="E83" s="59">
        <v>4.8275492141800001E-4</v>
      </c>
    </row>
    <row r="84" spans="2:5" ht="15" customHeight="1">
      <c r="B84" s="97"/>
      <c r="C84" s="74" t="s">
        <v>217</v>
      </c>
      <c r="D84" s="58">
        <v>2</v>
      </c>
      <c r="E84" s="59">
        <v>5.3639435713000001E-5</v>
      </c>
    </row>
    <row r="85" spans="2:5" ht="15" customHeight="1">
      <c r="B85" s="97"/>
      <c r="C85" s="74" t="s">
        <v>207</v>
      </c>
      <c r="D85" s="58">
        <v>20</v>
      </c>
      <c r="E85" s="59">
        <v>5.3639435713100005E-4</v>
      </c>
    </row>
    <row r="86" spans="2:5" ht="15" customHeight="1">
      <c r="B86" s="97"/>
      <c r="C86" s="74" t="s">
        <v>208</v>
      </c>
      <c r="D86" s="58">
        <v>9</v>
      </c>
      <c r="E86" s="59">
        <v>2.4137746070900001E-4</v>
      </c>
    </row>
    <row r="87" spans="2:5" ht="15" customHeight="1">
      <c r="B87" s="97"/>
      <c r="C87" s="74" t="s">
        <v>209</v>
      </c>
      <c r="D87" s="58">
        <v>11</v>
      </c>
      <c r="E87" s="59">
        <v>2.9501689642199999E-4</v>
      </c>
    </row>
    <row r="88" spans="2:5" ht="15" customHeight="1">
      <c r="B88" s="97"/>
      <c r="C88" s="74" t="s">
        <v>210</v>
      </c>
      <c r="D88" s="58">
        <v>12</v>
      </c>
      <c r="E88" s="59">
        <v>3.2183661427899999E-4</v>
      </c>
    </row>
    <row r="89" spans="2:5" ht="15" customHeight="1">
      <c r="B89" s="97"/>
      <c r="C89" s="74" t="s">
        <v>211</v>
      </c>
      <c r="D89" s="58">
        <v>2</v>
      </c>
      <c r="E89" s="59">
        <v>5.3639435713000001E-5</v>
      </c>
    </row>
    <row r="90" spans="2:5" ht="15" customHeight="1">
      <c r="B90" s="97"/>
      <c r="C90" s="74" t="s">
        <v>212</v>
      </c>
      <c r="D90" s="58">
        <v>4</v>
      </c>
      <c r="E90" s="59">
        <v>1.07278871426E-4</v>
      </c>
    </row>
    <row r="91" spans="2:5" ht="15" customHeight="1">
      <c r="B91" s="97"/>
      <c r="C91" s="74" t="s">
        <v>213</v>
      </c>
      <c r="D91" s="58">
        <v>5</v>
      </c>
      <c r="E91" s="59">
        <v>1.34098589283E-4</v>
      </c>
    </row>
    <row r="92" spans="2:5" ht="15" customHeight="1">
      <c r="B92" s="97"/>
      <c r="C92" s="74" t="s">
        <v>214</v>
      </c>
      <c r="D92" s="58">
        <v>9</v>
      </c>
      <c r="E92" s="59">
        <v>2.4137746070900001E-4</v>
      </c>
    </row>
    <row r="93" spans="2:5" ht="15" customHeight="1">
      <c r="B93" s="97"/>
      <c r="C93" s="74" t="s">
        <v>216</v>
      </c>
      <c r="D93" s="58">
        <v>7</v>
      </c>
      <c r="E93" s="59">
        <v>1.8773802499599999E-4</v>
      </c>
    </row>
    <row r="94" spans="2:5" ht="15" customHeight="1">
      <c r="B94" s="98"/>
      <c r="C94" s="75" t="s">
        <v>353</v>
      </c>
      <c r="D94" s="71">
        <v>129</v>
      </c>
      <c r="E94" s="73">
        <v>3.4597436034970001E-3</v>
      </c>
    </row>
    <row r="95" spans="2:5" ht="15" customHeight="1">
      <c r="B95" s="96" t="s">
        <v>88</v>
      </c>
      <c r="C95" s="74" t="s">
        <v>202</v>
      </c>
      <c r="D95" s="58">
        <v>9</v>
      </c>
      <c r="E95" s="59">
        <v>2.4137746070900001E-4</v>
      </c>
    </row>
    <row r="96" spans="2:5" ht="15" customHeight="1">
      <c r="B96" s="97"/>
      <c r="C96" s="74" t="s">
        <v>203</v>
      </c>
      <c r="D96" s="58">
        <v>14</v>
      </c>
      <c r="E96" s="59">
        <v>3.7547604999199998E-4</v>
      </c>
    </row>
    <row r="97" spans="2:5" ht="15" customHeight="1">
      <c r="B97" s="97"/>
      <c r="C97" s="74" t="s">
        <v>204</v>
      </c>
      <c r="D97" s="58">
        <v>4</v>
      </c>
      <c r="E97" s="59">
        <v>1.07278871426E-4</v>
      </c>
    </row>
    <row r="98" spans="2:5" ht="15" customHeight="1">
      <c r="B98" s="97"/>
      <c r="C98" s="74" t="s">
        <v>205</v>
      </c>
      <c r="D98" s="58">
        <v>3</v>
      </c>
      <c r="E98" s="59">
        <v>8.0459153570000002E-5</v>
      </c>
    </row>
    <row r="99" spans="2:5" ht="15" customHeight="1">
      <c r="B99" s="97"/>
      <c r="C99" s="74" t="s">
        <v>206</v>
      </c>
      <c r="D99" s="58">
        <v>25</v>
      </c>
      <c r="E99" s="59">
        <v>6.7049294641399998E-4</v>
      </c>
    </row>
    <row r="100" spans="2:5" ht="15" customHeight="1">
      <c r="B100" s="97"/>
      <c r="C100" s="74" t="s">
        <v>217</v>
      </c>
      <c r="D100" s="58">
        <v>4</v>
      </c>
      <c r="E100" s="59">
        <v>1.07278871426E-4</v>
      </c>
    </row>
    <row r="101" spans="2:5" ht="15" customHeight="1">
      <c r="B101" s="97"/>
      <c r="C101" s="74" t="s">
        <v>207</v>
      </c>
      <c r="D101" s="58">
        <v>16</v>
      </c>
      <c r="E101" s="59">
        <v>4.2911548570500002E-4</v>
      </c>
    </row>
    <row r="102" spans="2:5" ht="15" customHeight="1">
      <c r="B102" s="97"/>
      <c r="C102" s="74" t="s">
        <v>208</v>
      </c>
      <c r="D102" s="58">
        <v>5</v>
      </c>
      <c r="E102" s="59">
        <v>1.34098589283E-4</v>
      </c>
    </row>
    <row r="103" spans="2:5" ht="15" customHeight="1">
      <c r="B103" s="97"/>
      <c r="C103" s="74" t="s">
        <v>209</v>
      </c>
      <c r="D103" s="58">
        <v>8</v>
      </c>
      <c r="E103" s="59">
        <v>2.1455774285299999E-4</v>
      </c>
    </row>
    <row r="104" spans="2:5" ht="15" customHeight="1">
      <c r="B104" s="97"/>
      <c r="C104" s="74" t="s">
        <v>210</v>
      </c>
      <c r="D104" s="58">
        <v>14</v>
      </c>
      <c r="E104" s="59">
        <v>3.7547604999199998E-4</v>
      </c>
    </row>
    <row r="105" spans="2:5" ht="15" customHeight="1">
      <c r="B105" s="97"/>
      <c r="C105" s="74" t="s">
        <v>212</v>
      </c>
      <c r="D105" s="58">
        <v>5</v>
      </c>
      <c r="E105" s="59">
        <v>1.34098589283E-4</v>
      </c>
    </row>
    <row r="106" spans="2:5" ht="15" customHeight="1">
      <c r="B106" s="97"/>
      <c r="C106" s="74" t="s">
        <v>213</v>
      </c>
      <c r="D106" s="58">
        <v>3</v>
      </c>
      <c r="E106" s="59">
        <v>8.0459153570000002E-5</v>
      </c>
    </row>
    <row r="107" spans="2:5" ht="15" customHeight="1">
      <c r="B107" s="97"/>
      <c r="C107" s="74" t="s">
        <v>214</v>
      </c>
      <c r="D107" s="58">
        <v>2</v>
      </c>
      <c r="E107" s="59">
        <v>5.3639435713000001E-5</v>
      </c>
    </row>
    <row r="108" spans="2:5" ht="15" customHeight="1">
      <c r="B108" s="97"/>
      <c r="C108" s="74" t="s">
        <v>216</v>
      </c>
      <c r="D108" s="58">
        <v>4</v>
      </c>
      <c r="E108" s="59">
        <v>1.07278871426E-4</v>
      </c>
    </row>
    <row r="109" spans="2:5" ht="15" customHeight="1">
      <c r="B109" s="98"/>
      <c r="C109" s="75" t="s">
        <v>353</v>
      </c>
      <c r="D109" s="71">
        <v>116</v>
      </c>
      <c r="E109" s="73">
        <v>3.1110872713619999E-3</v>
      </c>
    </row>
    <row r="110" spans="2:5" ht="15" customHeight="1">
      <c r="B110" s="96" t="s">
        <v>93</v>
      </c>
      <c r="C110" s="74" t="s">
        <v>202</v>
      </c>
      <c r="D110" s="58">
        <v>1</v>
      </c>
      <c r="E110" s="59">
        <v>2.6819717857000001E-5</v>
      </c>
    </row>
    <row r="111" spans="2:5" ht="15" customHeight="1">
      <c r="B111" s="97"/>
      <c r="C111" s="74" t="s">
        <v>203</v>
      </c>
      <c r="D111" s="58">
        <v>2</v>
      </c>
      <c r="E111" s="59">
        <v>5.3639435713000001E-5</v>
      </c>
    </row>
    <row r="112" spans="2:5" ht="15" customHeight="1">
      <c r="B112" s="97"/>
      <c r="C112" s="74" t="s">
        <v>204</v>
      </c>
      <c r="D112" s="58">
        <v>3</v>
      </c>
      <c r="E112" s="59">
        <v>8.0459153570000002E-5</v>
      </c>
    </row>
    <row r="113" spans="2:5" ht="15" customHeight="1">
      <c r="B113" s="97"/>
      <c r="C113" s="74" t="s">
        <v>206</v>
      </c>
      <c r="D113" s="58">
        <v>5</v>
      </c>
      <c r="E113" s="59">
        <v>1.34098589283E-4</v>
      </c>
    </row>
    <row r="114" spans="2:5" ht="15" customHeight="1">
      <c r="B114" s="97"/>
      <c r="C114" s="74" t="s">
        <v>217</v>
      </c>
      <c r="D114" s="58">
        <v>2</v>
      </c>
      <c r="E114" s="59">
        <v>5.3639435713000001E-5</v>
      </c>
    </row>
    <row r="115" spans="2:5" ht="15" customHeight="1">
      <c r="B115" s="97"/>
      <c r="C115" s="74" t="s">
        <v>207</v>
      </c>
      <c r="D115" s="58">
        <v>6</v>
      </c>
      <c r="E115" s="59">
        <v>1.6091830713899999E-4</v>
      </c>
    </row>
    <row r="116" spans="2:5" ht="15" customHeight="1">
      <c r="B116" s="97"/>
      <c r="C116" s="74" t="s">
        <v>209</v>
      </c>
      <c r="D116" s="58">
        <v>4</v>
      </c>
      <c r="E116" s="59">
        <v>1.07278871426E-4</v>
      </c>
    </row>
    <row r="117" spans="2:5" ht="15" customHeight="1">
      <c r="B117" s="97"/>
      <c r="C117" s="74" t="s">
        <v>210</v>
      </c>
      <c r="D117" s="58">
        <v>1</v>
      </c>
      <c r="E117" s="59">
        <v>2.6819717857000001E-5</v>
      </c>
    </row>
    <row r="118" spans="2:5" ht="15" customHeight="1">
      <c r="B118" s="97"/>
      <c r="C118" s="74" t="s">
        <v>212</v>
      </c>
      <c r="D118" s="58">
        <v>1</v>
      </c>
      <c r="E118" s="59">
        <v>2.6819717857000001E-5</v>
      </c>
    </row>
    <row r="119" spans="2:5" ht="15" customHeight="1">
      <c r="B119" s="97"/>
      <c r="C119" s="74" t="s">
        <v>214</v>
      </c>
      <c r="D119" s="58">
        <v>2</v>
      </c>
      <c r="E119" s="59">
        <v>5.3639435713000001E-5</v>
      </c>
    </row>
    <row r="120" spans="2:5" ht="15" customHeight="1">
      <c r="B120" s="97"/>
      <c r="C120" s="74" t="s">
        <v>216</v>
      </c>
      <c r="D120" s="58">
        <v>2</v>
      </c>
      <c r="E120" s="59">
        <v>5.3639435713000001E-5</v>
      </c>
    </row>
    <row r="121" spans="2:5" ht="15" customHeight="1">
      <c r="B121" s="98"/>
      <c r="C121" s="75" t="s">
        <v>353</v>
      </c>
      <c r="D121" s="71">
        <v>29</v>
      </c>
      <c r="E121" s="73">
        <v>7.7777181783999995E-4</v>
      </c>
    </row>
    <row r="122" spans="2:5" ht="15" customHeight="1">
      <c r="B122" s="96" t="s">
        <v>47</v>
      </c>
      <c r="C122" s="74" t="s">
        <v>202</v>
      </c>
      <c r="D122" s="58">
        <v>424</v>
      </c>
      <c r="E122" s="59">
        <v>1.1371560371185E-2</v>
      </c>
    </row>
    <row r="123" spans="2:5" ht="15" customHeight="1">
      <c r="B123" s="97"/>
      <c r="C123" s="74" t="s">
        <v>203</v>
      </c>
      <c r="D123" s="58">
        <v>476</v>
      </c>
      <c r="E123" s="59">
        <v>1.2766185699726E-2</v>
      </c>
    </row>
    <row r="124" spans="2:5" ht="15" customHeight="1">
      <c r="B124" s="97"/>
      <c r="C124" s="74" t="s">
        <v>204</v>
      </c>
      <c r="D124" s="58">
        <v>215</v>
      </c>
      <c r="E124" s="59">
        <v>5.766239339162E-3</v>
      </c>
    </row>
    <row r="125" spans="2:5" ht="15" customHeight="1">
      <c r="B125" s="97"/>
      <c r="C125" s="74" t="s">
        <v>205</v>
      </c>
      <c r="D125" s="58">
        <v>47</v>
      </c>
      <c r="E125" s="59">
        <v>1.260526739259E-3</v>
      </c>
    </row>
    <row r="126" spans="2:5" ht="15" customHeight="1">
      <c r="B126" s="97"/>
      <c r="C126" s="74" t="s">
        <v>206</v>
      </c>
      <c r="D126" s="58">
        <v>655</v>
      </c>
      <c r="E126" s="59">
        <v>1.7566915196052E-2</v>
      </c>
    </row>
    <row r="127" spans="2:5" ht="15" customHeight="1">
      <c r="B127" s="97"/>
      <c r="C127" s="74" t="s">
        <v>217</v>
      </c>
      <c r="D127" s="58">
        <v>125</v>
      </c>
      <c r="E127" s="59">
        <v>3.3524647320710001E-3</v>
      </c>
    </row>
    <row r="128" spans="2:5" ht="15" customHeight="1">
      <c r="B128" s="97"/>
      <c r="C128" s="74" t="s">
        <v>207</v>
      </c>
      <c r="D128" s="58">
        <v>788</v>
      </c>
      <c r="E128" s="59">
        <v>2.1133937670975999E-2</v>
      </c>
    </row>
    <row r="129" spans="2:5" ht="15" customHeight="1">
      <c r="B129" s="97"/>
      <c r="C129" s="74" t="s">
        <v>208</v>
      </c>
      <c r="D129" s="58">
        <v>336</v>
      </c>
      <c r="E129" s="59">
        <v>9.0114251998070008E-3</v>
      </c>
    </row>
    <row r="130" spans="2:5" ht="15" customHeight="1">
      <c r="B130" s="97"/>
      <c r="C130" s="74" t="s">
        <v>209</v>
      </c>
      <c r="D130" s="58">
        <v>544</v>
      </c>
      <c r="E130" s="59">
        <v>1.4589926513972999E-2</v>
      </c>
    </row>
    <row r="131" spans="2:5" ht="15" customHeight="1">
      <c r="B131" s="97"/>
      <c r="C131" s="74" t="s">
        <v>218</v>
      </c>
      <c r="D131" s="58">
        <v>63</v>
      </c>
      <c r="E131" s="59">
        <v>1.689642224964E-3</v>
      </c>
    </row>
    <row r="132" spans="2:5" ht="15" customHeight="1">
      <c r="B132" s="97"/>
      <c r="C132" s="74" t="s">
        <v>210</v>
      </c>
      <c r="D132" s="58">
        <v>463</v>
      </c>
      <c r="E132" s="59">
        <v>1.2417529367590999E-2</v>
      </c>
    </row>
    <row r="133" spans="2:5" ht="15" customHeight="1">
      <c r="B133" s="97"/>
      <c r="C133" s="74" t="s">
        <v>211</v>
      </c>
      <c r="D133" s="58">
        <v>44</v>
      </c>
      <c r="E133" s="59">
        <v>1.180067585689E-3</v>
      </c>
    </row>
    <row r="134" spans="2:5" ht="15" customHeight="1">
      <c r="B134" s="97"/>
      <c r="C134" s="74" t="s">
        <v>212</v>
      </c>
      <c r="D134" s="58">
        <v>113</v>
      </c>
      <c r="E134" s="59">
        <v>3.0306281177920002E-3</v>
      </c>
    </row>
    <row r="135" spans="2:5" ht="15" customHeight="1">
      <c r="B135" s="97"/>
      <c r="C135" s="74" t="s">
        <v>213</v>
      </c>
      <c r="D135" s="58">
        <v>85</v>
      </c>
      <c r="E135" s="59">
        <v>2.2796760178079999E-3</v>
      </c>
    </row>
    <row r="136" spans="2:5" ht="15" customHeight="1">
      <c r="B136" s="97"/>
      <c r="C136" s="74" t="s">
        <v>214</v>
      </c>
      <c r="D136" s="58">
        <v>369</v>
      </c>
      <c r="E136" s="59">
        <v>9.8964758890740002E-3</v>
      </c>
    </row>
    <row r="137" spans="2:5" ht="15" customHeight="1">
      <c r="B137" s="97"/>
      <c r="C137" s="74" t="s">
        <v>215</v>
      </c>
      <c r="D137" s="58">
        <v>35</v>
      </c>
      <c r="E137" s="59">
        <v>9.3869012498000004E-4</v>
      </c>
    </row>
    <row r="138" spans="2:5" ht="15" customHeight="1">
      <c r="B138" s="97"/>
      <c r="C138" s="74" t="s">
        <v>216</v>
      </c>
      <c r="D138" s="58">
        <v>386</v>
      </c>
      <c r="E138" s="59">
        <v>1.0352411092634999E-2</v>
      </c>
    </row>
    <row r="139" spans="2:5" ht="15" customHeight="1">
      <c r="B139" s="98"/>
      <c r="C139" s="75" t="s">
        <v>353</v>
      </c>
      <c r="D139" s="71">
        <v>5168</v>
      </c>
      <c r="E139" s="73">
        <v>0.138604301882744</v>
      </c>
    </row>
    <row r="140" spans="2:5" ht="15" customHeight="1">
      <c r="B140" s="96" t="s">
        <v>50</v>
      </c>
      <c r="C140" s="74" t="s">
        <v>202</v>
      </c>
      <c r="D140" s="58">
        <v>204</v>
      </c>
      <c r="E140" s="59">
        <v>5.4712224427399996E-3</v>
      </c>
    </row>
    <row r="141" spans="2:5" ht="15" customHeight="1">
      <c r="B141" s="97"/>
      <c r="C141" s="74" t="s">
        <v>203</v>
      </c>
      <c r="D141" s="58">
        <v>172</v>
      </c>
      <c r="E141" s="59">
        <v>4.6129914713299996E-3</v>
      </c>
    </row>
    <row r="142" spans="2:5" ht="15" customHeight="1">
      <c r="B142" s="97"/>
      <c r="C142" s="74" t="s">
        <v>204</v>
      </c>
      <c r="D142" s="58">
        <v>86</v>
      </c>
      <c r="E142" s="59">
        <v>2.3064957356649998E-3</v>
      </c>
    </row>
    <row r="143" spans="2:5" ht="15" customHeight="1">
      <c r="B143" s="97"/>
      <c r="C143" s="74" t="s">
        <v>205</v>
      </c>
      <c r="D143" s="58">
        <v>18</v>
      </c>
      <c r="E143" s="59">
        <v>4.8275492141800001E-4</v>
      </c>
    </row>
    <row r="144" spans="2:5" ht="15" customHeight="1">
      <c r="B144" s="97"/>
      <c r="C144" s="74" t="s">
        <v>206</v>
      </c>
      <c r="D144" s="58">
        <v>223</v>
      </c>
      <c r="E144" s="59">
        <v>5.9807970820150002E-3</v>
      </c>
    </row>
    <row r="145" spans="2:5" ht="15" customHeight="1">
      <c r="B145" s="97"/>
      <c r="C145" s="74" t="s">
        <v>217</v>
      </c>
      <c r="D145" s="58">
        <v>231</v>
      </c>
      <c r="E145" s="59">
        <v>6.1953548248670004E-3</v>
      </c>
    </row>
    <row r="146" spans="2:5" ht="15" customHeight="1">
      <c r="B146" s="97"/>
      <c r="C146" s="74" t="s">
        <v>207</v>
      </c>
      <c r="D146" s="58">
        <v>335</v>
      </c>
      <c r="E146" s="59">
        <v>8.9846054819500004E-3</v>
      </c>
    </row>
    <row r="147" spans="2:5" ht="15" customHeight="1">
      <c r="B147" s="97"/>
      <c r="C147" s="74" t="s">
        <v>208</v>
      </c>
      <c r="D147" s="58">
        <v>145</v>
      </c>
      <c r="E147" s="59">
        <v>3.8888590892020001E-3</v>
      </c>
    </row>
    <row r="148" spans="2:5" ht="15" customHeight="1">
      <c r="B148" s="97"/>
      <c r="C148" s="74" t="s">
        <v>209</v>
      </c>
      <c r="D148" s="58">
        <v>240</v>
      </c>
      <c r="E148" s="59">
        <v>6.436732285576E-3</v>
      </c>
    </row>
    <row r="149" spans="2:5" ht="15" customHeight="1">
      <c r="B149" s="97"/>
      <c r="C149" s="74" t="s">
        <v>218</v>
      </c>
      <c r="D149" s="58">
        <v>28</v>
      </c>
      <c r="E149" s="59">
        <v>7.5095209998399996E-4</v>
      </c>
    </row>
    <row r="150" spans="2:5" ht="15" customHeight="1">
      <c r="B150" s="97"/>
      <c r="C150" s="74" t="s">
        <v>210</v>
      </c>
      <c r="D150" s="58">
        <v>161</v>
      </c>
      <c r="E150" s="59">
        <v>4.3179745749070001E-3</v>
      </c>
    </row>
    <row r="151" spans="2:5" ht="15" customHeight="1">
      <c r="B151" s="97"/>
      <c r="C151" s="74" t="s">
        <v>211</v>
      </c>
      <c r="D151" s="58">
        <v>25</v>
      </c>
      <c r="E151" s="59">
        <v>6.7049294641399998E-4</v>
      </c>
    </row>
    <row r="152" spans="2:5" ht="15" customHeight="1">
      <c r="B152" s="97"/>
      <c r="C152" s="74" t="s">
        <v>212</v>
      </c>
      <c r="D152" s="58">
        <v>67</v>
      </c>
      <c r="E152" s="59">
        <v>1.7969210963900001E-3</v>
      </c>
    </row>
    <row r="153" spans="2:5" ht="15" customHeight="1">
      <c r="B153" s="97"/>
      <c r="C153" s="74" t="s">
        <v>213</v>
      </c>
      <c r="D153" s="58">
        <v>40</v>
      </c>
      <c r="E153" s="59">
        <v>1.072788714263E-3</v>
      </c>
    </row>
    <row r="154" spans="2:5" ht="15" customHeight="1">
      <c r="B154" s="97"/>
      <c r="C154" s="74" t="s">
        <v>214</v>
      </c>
      <c r="D154" s="58">
        <v>144</v>
      </c>
      <c r="E154" s="59">
        <v>3.8620393713459998E-3</v>
      </c>
    </row>
    <row r="155" spans="2:5" ht="15" customHeight="1">
      <c r="B155" s="97"/>
      <c r="C155" s="74" t="s">
        <v>215</v>
      </c>
      <c r="D155" s="58">
        <v>19</v>
      </c>
      <c r="E155" s="59">
        <v>5.0957463927499996E-4</v>
      </c>
    </row>
    <row r="156" spans="2:5" ht="15" customHeight="1">
      <c r="B156" s="97"/>
      <c r="C156" s="74" t="s">
        <v>216</v>
      </c>
      <c r="D156" s="58">
        <v>163</v>
      </c>
      <c r="E156" s="59">
        <v>4.371614010621E-3</v>
      </c>
    </row>
    <row r="157" spans="2:5" ht="15" customHeight="1">
      <c r="B157" s="98"/>
      <c r="C157" s="75" t="s">
        <v>353</v>
      </c>
      <c r="D157" s="71">
        <v>2301</v>
      </c>
      <c r="E157" s="73">
        <v>6.1712170787962997E-2</v>
      </c>
    </row>
    <row r="158" spans="2:5" ht="15" customHeight="1">
      <c r="B158" s="96" t="s">
        <v>94</v>
      </c>
      <c r="C158" s="74" t="s">
        <v>206</v>
      </c>
      <c r="D158" s="58">
        <v>1</v>
      </c>
      <c r="E158" s="59">
        <v>2.6819717857000001E-5</v>
      </c>
    </row>
    <row r="159" spans="2:5" ht="15" customHeight="1">
      <c r="B159" s="97"/>
      <c r="C159" s="74" t="s">
        <v>217</v>
      </c>
      <c r="D159" s="58">
        <v>3</v>
      </c>
      <c r="E159" s="59">
        <v>8.0459153570000002E-5</v>
      </c>
    </row>
    <row r="160" spans="2:5" ht="15" customHeight="1">
      <c r="B160" s="97"/>
      <c r="C160" s="74" t="s">
        <v>207</v>
      </c>
      <c r="D160" s="58">
        <v>2</v>
      </c>
      <c r="E160" s="59">
        <v>5.3639435713000001E-5</v>
      </c>
    </row>
    <row r="161" spans="2:5" ht="15" customHeight="1">
      <c r="B161" s="97"/>
      <c r="C161" s="74" t="s">
        <v>208</v>
      </c>
      <c r="D161" s="58">
        <v>1</v>
      </c>
      <c r="E161" s="59">
        <v>2.6819717857000001E-5</v>
      </c>
    </row>
    <row r="162" spans="2:5" ht="15" customHeight="1">
      <c r="B162" s="97"/>
      <c r="C162" s="74" t="s">
        <v>216</v>
      </c>
      <c r="D162" s="58">
        <v>2</v>
      </c>
      <c r="E162" s="59">
        <v>5.3639435713000001E-5</v>
      </c>
    </row>
    <row r="163" spans="2:5" ht="15" customHeight="1">
      <c r="B163" s="98"/>
      <c r="C163" s="75" t="s">
        <v>353</v>
      </c>
      <c r="D163" s="71">
        <v>9</v>
      </c>
      <c r="E163" s="73">
        <v>2.4137746070900001E-4</v>
      </c>
    </row>
    <row r="164" spans="2:5" ht="15" customHeight="1">
      <c r="B164" s="96" t="s">
        <v>72</v>
      </c>
      <c r="C164" s="74" t="s">
        <v>202</v>
      </c>
      <c r="D164" s="58">
        <v>21</v>
      </c>
      <c r="E164" s="59">
        <v>5.63214074988E-4</v>
      </c>
    </row>
    <row r="165" spans="2:5" ht="15" customHeight="1">
      <c r="B165" s="97"/>
      <c r="C165" s="74" t="s">
        <v>203</v>
      </c>
      <c r="D165" s="58">
        <v>24</v>
      </c>
      <c r="E165" s="59">
        <v>6.4367322855799999E-4</v>
      </c>
    </row>
    <row r="166" spans="2:5" ht="15" customHeight="1">
      <c r="B166" s="97"/>
      <c r="C166" s="74" t="s">
        <v>204</v>
      </c>
      <c r="D166" s="58">
        <v>12</v>
      </c>
      <c r="E166" s="59">
        <v>3.2183661427899999E-4</v>
      </c>
    </row>
    <row r="167" spans="2:5" ht="15" customHeight="1">
      <c r="B167" s="97"/>
      <c r="C167" s="74" t="s">
        <v>205</v>
      </c>
      <c r="D167" s="58">
        <v>2</v>
      </c>
      <c r="E167" s="59">
        <v>5.3639435713000001E-5</v>
      </c>
    </row>
    <row r="168" spans="2:5" ht="15" customHeight="1">
      <c r="B168" s="97"/>
      <c r="C168" s="74" t="s">
        <v>206</v>
      </c>
      <c r="D168" s="58">
        <v>37</v>
      </c>
      <c r="E168" s="59">
        <v>9.9232956069299997E-4</v>
      </c>
    </row>
    <row r="169" spans="2:5" ht="15" customHeight="1">
      <c r="B169" s="97"/>
      <c r="C169" s="74" t="s">
        <v>217</v>
      </c>
      <c r="D169" s="58">
        <v>190</v>
      </c>
      <c r="E169" s="59">
        <v>5.0957463927479999E-3</v>
      </c>
    </row>
    <row r="170" spans="2:5" ht="15" customHeight="1">
      <c r="B170" s="97"/>
      <c r="C170" s="74" t="s">
        <v>207</v>
      </c>
      <c r="D170" s="58">
        <v>51</v>
      </c>
      <c r="E170" s="59">
        <v>1.3678056106849999E-3</v>
      </c>
    </row>
    <row r="171" spans="2:5" ht="15" customHeight="1">
      <c r="B171" s="97"/>
      <c r="C171" s="74" t="s">
        <v>208</v>
      </c>
      <c r="D171" s="58">
        <v>19</v>
      </c>
      <c r="E171" s="59">
        <v>5.0957463927499996E-4</v>
      </c>
    </row>
    <row r="172" spans="2:5" ht="15" customHeight="1">
      <c r="B172" s="97"/>
      <c r="C172" s="74" t="s">
        <v>209</v>
      </c>
      <c r="D172" s="58">
        <v>41</v>
      </c>
      <c r="E172" s="59">
        <v>1.0996084321190001E-3</v>
      </c>
    </row>
    <row r="173" spans="2:5" ht="15" customHeight="1">
      <c r="B173" s="97"/>
      <c r="C173" s="74" t="s">
        <v>218</v>
      </c>
      <c r="D173" s="58">
        <v>5</v>
      </c>
      <c r="E173" s="59">
        <v>1.34098589283E-4</v>
      </c>
    </row>
    <row r="174" spans="2:5" ht="15" customHeight="1">
      <c r="B174" s="97"/>
      <c r="C174" s="74" t="s">
        <v>210</v>
      </c>
      <c r="D174" s="58">
        <v>18</v>
      </c>
      <c r="E174" s="59">
        <v>4.8275492141800001E-4</v>
      </c>
    </row>
    <row r="175" spans="2:5" ht="15" customHeight="1">
      <c r="B175" s="97"/>
      <c r="C175" s="74" t="s">
        <v>211</v>
      </c>
      <c r="D175" s="58">
        <v>4</v>
      </c>
      <c r="E175" s="59">
        <v>1.07278871426E-4</v>
      </c>
    </row>
    <row r="176" spans="2:5" ht="15" customHeight="1">
      <c r="B176" s="97"/>
      <c r="C176" s="74" t="s">
        <v>212</v>
      </c>
      <c r="D176" s="58">
        <v>10</v>
      </c>
      <c r="E176" s="59">
        <v>2.6819717856600001E-4</v>
      </c>
    </row>
    <row r="177" spans="2:5" ht="15" customHeight="1">
      <c r="B177" s="97"/>
      <c r="C177" s="74" t="s">
        <v>213</v>
      </c>
      <c r="D177" s="58">
        <v>12</v>
      </c>
      <c r="E177" s="59">
        <v>3.2183661427899999E-4</v>
      </c>
    </row>
    <row r="178" spans="2:5" ht="15" customHeight="1">
      <c r="B178" s="97"/>
      <c r="C178" s="74" t="s">
        <v>214</v>
      </c>
      <c r="D178" s="58">
        <v>15</v>
      </c>
      <c r="E178" s="59">
        <v>4.0229576784899998E-4</v>
      </c>
    </row>
    <row r="179" spans="2:5" ht="15" customHeight="1">
      <c r="B179" s="97"/>
      <c r="C179" s="74" t="s">
        <v>215</v>
      </c>
      <c r="D179" s="58">
        <v>6</v>
      </c>
      <c r="E179" s="59">
        <v>1.6091830713899999E-4</v>
      </c>
    </row>
    <row r="180" spans="2:5" ht="15" customHeight="1">
      <c r="B180" s="97"/>
      <c r="C180" s="74" t="s">
        <v>216</v>
      </c>
      <c r="D180" s="58">
        <v>20</v>
      </c>
      <c r="E180" s="59">
        <v>5.3639435713100005E-4</v>
      </c>
    </row>
    <row r="181" spans="2:5" ht="15" customHeight="1">
      <c r="B181" s="98"/>
      <c r="C181" s="75" t="s">
        <v>353</v>
      </c>
      <c r="D181" s="71">
        <v>487</v>
      </c>
      <c r="E181" s="73">
        <v>1.3061202596148999E-2</v>
      </c>
    </row>
    <row r="182" spans="2:5" ht="15" customHeight="1">
      <c r="B182" s="96" t="s">
        <v>69</v>
      </c>
      <c r="C182" s="74" t="s">
        <v>202</v>
      </c>
      <c r="D182" s="58">
        <v>28</v>
      </c>
      <c r="E182" s="59">
        <v>7.5095209998399996E-4</v>
      </c>
    </row>
    <row r="183" spans="2:5" ht="15" customHeight="1">
      <c r="B183" s="97"/>
      <c r="C183" s="74" t="s">
        <v>203</v>
      </c>
      <c r="D183" s="58">
        <v>27</v>
      </c>
      <c r="E183" s="59">
        <v>7.2413238212700002E-4</v>
      </c>
    </row>
    <row r="184" spans="2:5" ht="15" customHeight="1">
      <c r="B184" s="97"/>
      <c r="C184" s="74" t="s">
        <v>204</v>
      </c>
      <c r="D184" s="58">
        <v>13</v>
      </c>
      <c r="E184" s="59">
        <v>3.4865633213499998E-4</v>
      </c>
    </row>
    <row r="185" spans="2:5" ht="15" customHeight="1">
      <c r="B185" s="97"/>
      <c r="C185" s="74" t="s">
        <v>205</v>
      </c>
      <c r="D185" s="58">
        <v>1</v>
      </c>
      <c r="E185" s="59">
        <v>2.6819717857000001E-5</v>
      </c>
    </row>
    <row r="186" spans="2:5" ht="15" customHeight="1">
      <c r="B186" s="97"/>
      <c r="C186" s="74" t="s">
        <v>206</v>
      </c>
      <c r="D186" s="58">
        <v>49</v>
      </c>
      <c r="E186" s="59">
        <v>1.3141661749720001E-3</v>
      </c>
    </row>
    <row r="187" spans="2:5" ht="15" customHeight="1">
      <c r="B187" s="97"/>
      <c r="C187" s="74" t="s">
        <v>217</v>
      </c>
      <c r="D187" s="58">
        <v>190</v>
      </c>
      <c r="E187" s="59">
        <v>5.0957463927479999E-3</v>
      </c>
    </row>
    <row r="188" spans="2:5" ht="15" customHeight="1">
      <c r="B188" s="97"/>
      <c r="C188" s="74" t="s">
        <v>207</v>
      </c>
      <c r="D188" s="58">
        <v>63</v>
      </c>
      <c r="E188" s="59">
        <v>1.689642224964E-3</v>
      </c>
    </row>
    <row r="189" spans="2:5" ht="15" customHeight="1">
      <c r="B189" s="97"/>
      <c r="C189" s="74" t="s">
        <v>208</v>
      </c>
      <c r="D189" s="58">
        <v>20</v>
      </c>
      <c r="E189" s="59">
        <v>5.3639435713100005E-4</v>
      </c>
    </row>
    <row r="190" spans="2:5" ht="15" customHeight="1">
      <c r="B190" s="97"/>
      <c r="C190" s="74" t="s">
        <v>209</v>
      </c>
      <c r="D190" s="58">
        <v>68</v>
      </c>
      <c r="E190" s="59">
        <v>1.823740814247E-3</v>
      </c>
    </row>
    <row r="191" spans="2:5" ht="15" customHeight="1">
      <c r="B191" s="97"/>
      <c r="C191" s="74" t="s">
        <v>218</v>
      </c>
      <c r="D191" s="58">
        <v>4</v>
      </c>
      <c r="E191" s="59">
        <v>1.07278871426E-4</v>
      </c>
    </row>
    <row r="192" spans="2:5" ht="15" customHeight="1">
      <c r="B192" s="97"/>
      <c r="C192" s="74" t="s">
        <v>210</v>
      </c>
      <c r="D192" s="58">
        <v>30</v>
      </c>
      <c r="E192" s="59">
        <v>8.0459153569700001E-4</v>
      </c>
    </row>
    <row r="193" spans="2:5" ht="15" customHeight="1">
      <c r="B193" s="97"/>
      <c r="C193" s="74" t="s">
        <v>211</v>
      </c>
      <c r="D193" s="58">
        <v>3</v>
      </c>
      <c r="E193" s="59">
        <v>8.0459153570000002E-5</v>
      </c>
    </row>
    <row r="194" spans="2:5" ht="15" customHeight="1">
      <c r="B194" s="97"/>
      <c r="C194" s="74" t="s">
        <v>212</v>
      </c>
      <c r="D194" s="58">
        <v>9</v>
      </c>
      <c r="E194" s="59">
        <v>2.4137746070900001E-4</v>
      </c>
    </row>
    <row r="195" spans="2:5" ht="15" customHeight="1">
      <c r="B195" s="97"/>
      <c r="C195" s="74" t="s">
        <v>213</v>
      </c>
      <c r="D195" s="58">
        <v>13</v>
      </c>
      <c r="E195" s="59">
        <v>3.4865633213499998E-4</v>
      </c>
    </row>
    <row r="196" spans="2:5" ht="15" customHeight="1">
      <c r="B196" s="97"/>
      <c r="C196" s="74" t="s">
        <v>214</v>
      </c>
      <c r="D196" s="58">
        <v>22</v>
      </c>
      <c r="E196" s="59">
        <v>5.9003379284399999E-4</v>
      </c>
    </row>
    <row r="197" spans="2:5" ht="15" customHeight="1">
      <c r="B197" s="97"/>
      <c r="C197" s="74" t="s">
        <v>215</v>
      </c>
      <c r="D197" s="58">
        <v>3</v>
      </c>
      <c r="E197" s="59">
        <v>8.0459153570000002E-5</v>
      </c>
    </row>
    <row r="198" spans="2:5" ht="15" customHeight="1">
      <c r="B198" s="97"/>
      <c r="C198" s="74" t="s">
        <v>216</v>
      </c>
      <c r="D198" s="58">
        <v>33</v>
      </c>
      <c r="E198" s="59">
        <v>8.8505068926699999E-4</v>
      </c>
    </row>
    <row r="199" spans="2:5" ht="15" customHeight="1">
      <c r="B199" s="98"/>
      <c r="C199" s="75" t="s">
        <v>353</v>
      </c>
      <c r="D199" s="71">
        <v>576</v>
      </c>
      <c r="E199" s="73">
        <v>1.5448157485383E-2</v>
      </c>
    </row>
    <row r="200" spans="2:5" ht="15" customHeight="1">
      <c r="B200" s="96" t="s">
        <v>98</v>
      </c>
      <c r="C200" s="74" t="s">
        <v>207</v>
      </c>
      <c r="D200" s="58">
        <v>1</v>
      </c>
      <c r="E200" s="59">
        <v>2.6819717857000001E-5</v>
      </c>
    </row>
    <row r="201" spans="2:5" ht="15" customHeight="1">
      <c r="B201" s="98"/>
      <c r="C201" s="75" t="s">
        <v>353</v>
      </c>
      <c r="D201" s="71">
        <v>1</v>
      </c>
      <c r="E201" s="73">
        <v>2.6819717857000001E-5</v>
      </c>
    </row>
    <row r="202" spans="2:5" ht="15" customHeight="1">
      <c r="B202" s="96" t="s">
        <v>95</v>
      </c>
      <c r="C202" s="74" t="s">
        <v>206</v>
      </c>
      <c r="D202" s="58">
        <v>1</v>
      </c>
      <c r="E202" s="59">
        <v>2.6819717857000001E-5</v>
      </c>
    </row>
    <row r="203" spans="2:5" ht="15" customHeight="1">
      <c r="B203" s="97"/>
      <c r="C203" s="74" t="s">
        <v>217</v>
      </c>
      <c r="D203" s="58">
        <v>3</v>
      </c>
      <c r="E203" s="59">
        <v>8.0459153570000002E-5</v>
      </c>
    </row>
    <row r="204" spans="2:5" ht="15" customHeight="1">
      <c r="B204" s="97"/>
      <c r="C204" s="74" t="s">
        <v>210</v>
      </c>
      <c r="D204" s="58">
        <v>1</v>
      </c>
      <c r="E204" s="59">
        <v>2.6819717857000001E-5</v>
      </c>
    </row>
    <row r="205" spans="2:5" ht="15" customHeight="1">
      <c r="B205" s="97"/>
      <c r="C205" s="74" t="s">
        <v>216</v>
      </c>
      <c r="D205" s="58">
        <v>1</v>
      </c>
      <c r="E205" s="59">
        <v>2.6819717857000001E-5</v>
      </c>
    </row>
    <row r="206" spans="2:5" ht="15" customHeight="1">
      <c r="B206" s="98"/>
      <c r="C206" s="75" t="s">
        <v>353</v>
      </c>
      <c r="D206" s="71">
        <v>6</v>
      </c>
      <c r="E206" s="73">
        <v>1.6091830713899999E-4</v>
      </c>
    </row>
    <row r="207" spans="2:5" ht="15" customHeight="1">
      <c r="B207" s="96" t="s">
        <v>89</v>
      </c>
      <c r="C207" s="74" t="s">
        <v>202</v>
      </c>
      <c r="D207" s="58">
        <v>1</v>
      </c>
      <c r="E207" s="59">
        <v>2.6819717857000001E-5</v>
      </c>
    </row>
    <row r="208" spans="2:5" ht="15" customHeight="1">
      <c r="B208" s="97"/>
      <c r="C208" s="74" t="s">
        <v>203</v>
      </c>
      <c r="D208" s="58">
        <v>3</v>
      </c>
      <c r="E208" s="59">
        <v>8.0459153570000002E-5</v>
      </c>
    </row>
    <row r="209" spans="2:5" ht="15" customHeight="1">
      <c r="B209" s="97"/>
      <c r="C209" s="74" t="s">
        <v>204</v>
      </c>
      <c r="D209" s="58">
        <v>7</v>
      </c>
      <c r="E209" s="59">
        <v>1.8773802499599999E-4</v>
      </c>
    </row>
    <row r="210" spans="2:5" ht="15" customHeight="1">
      <c r="B210" s="97"/>
      <c r="C210" s="74" t="s">
        <v>206</v>
      </c>
      <c r="D210" s="58">
        <v>12</v>
      </c>
      <c r="E210" s="59">
        <v>3.2183661427899999E-4</v>
      </c>
    </row>
    <row r="211" spans="2:5" ht="15" customHeight="1">
      <c r="B211" s="97"/>
      <c r="C211" s="74" t="s">
        <v>217</v>
      </c>
      <c r="D211" s="58">
        <v>12</v>
      </c>
      <c r="E211" s="59">
        <v>3.2183661427899999E-4</v>
      </c>
    </row>
    <row r="212" spans="2:5" ht="15" customHeight="1">
      <c r="B212" s="97"/>
      <c r="C212" s="74" t="s">
        <v>207</v>
      </c>
      <c r="D212" s="58">
        <v>16</v>
      </c>
      <c r="E212" s="59">
        <v>4.2911548570500002E-4</v>
      </c>
    </row>
    <row r="213" spans="2:5" ht="15" customHeight="1">
      <c r="B213" s="97"/>
      <c r="C213" s="74" t="s">
        <v>208</v>
      </c>
      <c r="D213" s="58">
        <v>3</v>
      </c>
      <c r="E213" s="59">
        <v>8.0459153570000002E-5</v>
      </c>
    </row>
    <row r="214" spans="2:5" ht="15" customHeight="1">
      <c r="B214" s="97"/>
      <c r="C214" s="74" t="s">
        <v>209</v>
      </c>
      <c r="D214" s="58">
        <v>5</v>
      </c>
      <c r="E214" s="59">
        <v>1.34098589283E-4</v>
      </c>
    </row>
    <row r="215" spans="2:5" ht="15" customHeight="1">
      <c r="B215" s="97"/>
      <c r="C215" s="74" t="s">
        <v>218</v>
      </c>
      <c r="D215" s="58">
        <v>1</v>
      </c>
      <c r="E215" s="59">
        <v>2.6819717857000001E-5</v>
      </c>
    </row>
    <row r="216" spans="2:5" ht="15" customHeight="1">
      <c r="B216" s="97"/>
      <c r="C216" s="74" t="s">
        <v>210</v>
      </c>
      <c r="D216" s="58">
        <v>7</v>
      </c>
      <c r="E216" s="59">
        <v>1.8773802499599999E-4</v>
      </c>
    </row>
    <row r="217" spans="2:5" ht="15" customHeight="1">
      <c r="B217" s="97"/>
      <c r="C217" s="74" t="s">
        <v>211</v>
      </c>
      <c r="D217" s="58">
        <v>1</v>
      </c>
      <c r="E217" s="59">
        <v>2.6819717857000001E-5</v>
      </c>
    </row>
    <row r="218" spans="2:5" ht="15" customHeight="1">
      <c r="B218" s="97"/>
      <c r="C218" s="74" t="s">
        <v>214</v>
      </c>
      <c r="D218" s="58">
        <v>3</v>
      </c>
      <c r="E218" s="59">
        <v>8.0459153570000002E-5</v>
      </c>
    </row>
    <row r="219" spans="2:5" ht="15" customHeight="1">
      <c r="B219" s="97"/>
      <c r="C219" s="74" t="s">
        <v>215</v>
      </c>
      <c r="D219" s="58">
        <v>1</v>
      </c>
      <c r="E219" s="59">
        <v>2.6819717857000001E-5</v>
      </c>
    </row>
    <row r="220" spans="2:5" ht="15" customHeight="1">
      <c r="B220" s="97"/>
      <c r="C220" s="74" t="s">
        <v>216</v>
      </c>
      <c r="D220" s="58">
        <v>16</v>
      </c>
      <c r="E220" s="59">
        <v>4.2911548570500002E-4</v>
      </c>
    </row>
    <row r="221" spans="2:5" ht="15" customHeight="1">
      <c r="B221" s="98"/>
      <c r="C221" s="75" t="s">
        <v>353</v>
      </c>
      <c r="D221" s="71">
        <v>88</v>
      </c>
      <c r="E221" s="73">
        <v>2.3601351713780001E-3</v>
      </c>
    </row>
    <row r="222" spans="2:5" ht="15" customHeight="1">
      <c r="B222" s="96" t="s">
        <v>67</v>
      </c>
      <c r="C222" s="74" t="s">
        <v>202</v>
      </c>
      <c r="D222" s="58">
        <v>22</v>
      </c>
      <c r="E222" s="59">
        <v>5.9003379284399999E-4</v>
      </c>
    </row>
    <row r="223" spans="2:5" ht="15" customHeight="1">
      <c r="B223" s="97"/>
      <c r="C223" s="74" t="s">
        <v>203</v>
      </c>
      <c r="D223" s="58">
        <v>23</v>
      </c>
      <c r="E223" s="59">
        <v>6.1685351070100004E-4</v>
      </c>
    </row>
    <row r="224" spans="2:5" ht="15" customHeight="1">
      <c r="B224" s="97"/>
      <c r="C224" s="74" t="s">
        <v>204</v>
      </c>
      <c r="D224" s="58">
        <v>10</v>
      </c>
      <c r="E224" s="59">
        <v>2.6819717856600001E-4</v>
      </c>
    </row>
    <row r="225" spans="2:5" ht="15" customHeight="1">
      <c r="B225" s="97"/>
      <c r="C225" s="74" t="s">
        <v>205</v>
      </c>
      <c r="D225" s="58">
        <v>3</v>
      </c>
      <c r="E225" s="59">
        <v>8.0459153570000002E-5</v>
      </c>
    </row>
    <row r="226" spans="2:5" ht="15" customHeight="1">
      <c r="B226" s="97"/>
      <c r="C226" s="74" t="s">
        <v>206</v>
      </c>
      <c r="D226" s="58">
        <v>60</v>
      </c>
      <c r="E226" s="59">
        <v>1.609183071394E-3</v>
      </c>
    </row>
    <row r="227" spans="2:5" ht="15" customHeight="1">
      <c r="B227" s="97"/>
      <c r="C227" s="74" t="s">
        <v>217</v>
      </c>
      <c r="D227" s="58">
        <v>255</v>
      </c>
      <c r="E227" s="59">
        <v>6.8390280534250001E-3</v>
      </c>
    </row>
    <row r="228" spans="2:5" ht="15" customHeight="1">
      <c r="B228" s="97"/>
      <c r="C228" s="74" t="s">
        <v>207</v>
      </c>
      <c r="D228" s="58">
        <v>43</v>
      </c>
      <c r="E228" s="59">
        <v>1.1532478678320001E-3</v>
      </c>
    </row>
    <row r="229" spans="2:5" ht="15" customHeight="1">
      <c r="B229" s="97"/>
      <c r="C229" s="74" t="s">
        <v>208</v>
      </c>
      <c r="D229" s="58">
        <v>29</v>
      </c>
      <c r="E229" s="59">
        <v>7.7777181783999995E-4</v>
      </c>
    </row>
    <row r="230" spans="2:5" ht="15" customHeight="1">
      <c r="B230" s="97"/>
      <c r="C230" s="74" t="s">
        <v>209</v>
      </c>
      <c r="D230" s="58">
        <v>62</v>
      </c>
      <c r="E230" s="59">
        <v>1.6628225071070001E-3</v>
      </c>
    </row>
    <row r="231" spans="2:5" ht="15" customHeight="1">
      <c r="B231" s="97"/>
      <c r="C231" s="74" t="s">
        <v>218</v>
      </c>
      <c r="D231" s="58">
        <v>9</v>
      </c>
      <c r="E231" s="59">
        <v>2.4137746070900001E-4</v>
      </c>
    </row>
    <row r="232" spans="2:5" ht="15" customHeight="1">
      <c r="B232" s="97"/>
      <c r="C232" s="74" t="s">
        <v>210</v>
      </c>
      <c r="D232" s="58">
        <v>47</v>
      </c>
      <c r="E232" s="59">
        <v>1.260526739259E-3</v>
      </c>
    </row>
    <row r="233" spans="2:5" ht="15" customHeight="1">
      <c r="B233" s="97"/>
      <c r="C233" s="74" t="s">
        <v>211</v>
      </c>
      <c r="D233" s="58">
        <v>10</v>
      </c>
      <c r="E233" s="59">
        <v>2.6819717856600001E-4</v>
      </c>
    </row>
    <row r="234" spans="2:5" ht="15" customHeight="1">
      <c r="B234" s="97"/>
      <c r="C234" s="74" t="s">
        <v>212</v>
      </c>
      <c r="D234" s="58">
        <v>13</v>
      </c>
      <c r="E234" s="59">
        <v>3.4865633213499998E-4</v>
      </c>
    </row>
    <row r="235" spans="2:5" ht="15" customHeight="1">
      <c r="B235" s="97"/>
      <c r="C235" s="74" t="s">
        <v>213</v>
      </c>
      <c r="D235" s="58">
        <v>3</v>
      </c>
      <c r="E235" s="59">
        <v>8.0459153570000002E-5</v>
      </c>
    </row>
    <row r="236" spans="2:5" ht="15" customHeight="1">
      <c r="B236" s="97"/>
      <c r="C236" s="74" t="s">
        <v>214</v>
      </c>
      <c r="D236" s="58">
        <v>36</v>
      </c>
      <c r="E236" s="59">
        <v>9.6550984283600002E-4</v>
      </c>
    </row>
    <row r="237" spans="2:5" ht="15" customHeight="1">
      <c r="B237" s="97"/>
      <c r="C237" s="74" t="s">
        <v>215</v>
      </c>
      <c r="D237" s="58">
        <v>2</v>
      </c>
      <c r="E237" s="59">
        <v>5.3639435713000001E-5</v>
      </c>
    </row>
    <row r="238" spans="2:5" ht="15" customHeight="1">
      <c r="B238" s="97"/>
      <c r="C238" s="74" t="s">
        <v>216</v>
      </c>
      <c r="D238" s="58">
        <v>26</v>
      </c>
      <c r="E238" s="59">
        <v>6.9731266427100003E-4</v>
      </c>
    </row>
    <row r="239" spans="2:5" ht="15" customHeight="1">
      <c r="B239" s="98"/>
      <c r="C239" s="75" t="s">
        <v>353</v>
      </c>
      <c r="D239" s="71">
        <v>653</v>
      </c>
      <c r="E239" s="73">
        <v>1.7513275760338998E-2</v>
      </c>
    </row>
    <row r="240" spans="2:5" ht="15" customHeight="1">
      <c r="B240" s="96" t="s">
        <v>63</v>
      </c>
      <c r="C240" s="74" t="s">
        <v>202</v>
      </c>
      <c r="D240" s="58">
        <v>30</v>
      </c>
      <c r="E240" s="59">
        <v>8.0459153569700001E-4</v>
      </c>
    </row>
    <row r="241" spans="2:5" ht="15" customHeight="1">
      <c r="B241" s="97"/>
      <c r="C241" s="74" t="s">
        <v>203</v>
      </c>
      <c r="D241" s="58">
        <v>25</v>
      </c>
      <c r="E241" s="59">
        <v>6.7049294641399998E-4</v>
      </c>
    </row>
    <row r="242" spans="2:5" ht="15" customHeight="1">
      <c r="B242" s="97"/>
      <c r="C242" s="74" t="s">
        <v>204</v>
      </c>
      <c r="D242" s="58">
        <v>18</v>
      </c>
      <c r="E242" s="59">
        <v>4.8275492141800001E-4</v>
      </c>
    </row>
    <row r="243" spans="2:5" ht="15" customHeight="1">
      <c r="B243" s="97"/>
      <c r="C243" s="74" t="s">
        <v>205</v>
      </c>
      <c r="D243" s="58">
        <v>7</v>
      </c>
      <c r="E243" s="59">
        <v>1.8773802499599999E-4</v>
      </c>
    </row>
    <row r="244" spans="2:5" ht="15" customHeight="1">
      <c r="B244" s="97"/>
      <c r="C244" s="74" t="s">
        <v>206</v>
      </c>
      <c r="D244" s="58">
        <v>51</v>
      </c>
      <c r="E244" s="59">
        <v>1.3678056106849999E-3</v>
      </c>
    </row>
    <row r="245" spans="2:5" ht="15" customHeight="1">
      <c r="B245" s="97"/>
      <c r="C245" s="74" t="s">
        <v>217</v>
      </c>
      <c r="D245" s="58">
        <v>141</v>
      </c>
      <c r="E245" s="59">
        <v>3.781580217776E-3</v>
      </c>
    </row>
    <row r="246" spans="2:5" ht="15" customHeight="1">
      <c r="B246" s="97"/>
      <c r="C246" s="74" t="s">
        <v>207</v>
      </c>
      <c r="D246" s="58">
        <v>73</v>
      </c>
      <c r="E246" s="59">
        <v>1.957839403529E-3</v>
      </c>
    </row>
    <row r="247" spans="2:5" ht="15" customHeight="1">
      <c r="B247" s="97"/>
      <c r="C247" s="74" t="s">
        <v>208</v>
      </c>
      <c r="D247" s="58">
        <v>22</v>
      </c>
      <c r="E247" s="59">
        <v>5.9003379284399999E-4</v>
      </c>
    </row>
    <row r="248" spans="2:5" ht="15" customHeight="1">
      <c r="B248" s="97"/>
      <c r="C248" s="74" t="s">
        <v>209</v>
      </c>
      <c r="D248" s="58">
        <v>56</v>
      </c>
      <c r="E248" s="59">
        <v>1.5019041999679999E-3</v>
      </c>
    </row>
    <row r="249" spans="2:5" ht="15" customHeight="1">
      <c r="B249" s="97"/>
      <c r="C249" s="74" t="s">
        <v>218</v>
      </c>
      <c r="D249" s="58">
        <v>7</v>
      </c>
      <c r="E249" s="59">
        <v>1.8773802499599999E-4</v>
      </c>
    </row>
    <row r="250" spans="2:5" ht="15" customHeight="1">
      <c r="B250" s="97"/>
      <c r="C250" s="74" t="s">
        <v>210</v>
      </c>
      <c r="D250" s="58">
        <v>37</v>
      </c>
      <c r="E250" s="59">
        <v>9.9232956069299997E-4</v>
      </c>
    </row>
    <row r="251" spans="2:5" ht="15" customHeight="1">
      <c r="B251" s="97"/>
      <c r="C251" s="74" t="s">
        <v>211</v>
      </c>
      <c r="D251" s="58">
        <v>1</v>
      </c>
      <c r="E251" s="59">
        <v>2.6819717857000001E-5</v>
      </c>
    </row>
    <row r="252" spans="2:5" ht="15" customHeight="1">
      <c r="B252" s="97"/>
      <c r="C252" s="74" t="s">
        <v>212</v>
      </c>
      <c r="D252" s="58">
        <v>14</v>
      </c>
      <c r="E252" s="59">
        <v>3.7547604999199998E-4</v>
      </c>
    </row>
    <row r="253" spans="2:5" ht="15" customHeight="1">
      <c r="B253" s="97"/>
      <c r="C253" s="74" t="s">
        <v>213</v>
      </c>
      <c r="D253" s="58">
        <v>6</v>
      </c>
      <c r="E253" s="59">
        <v>1.6091830713899999E-4</v>
      </c>
    </row>
    <row r="254" spans="2:5" ht="15" customHeight="1">
      <c r="B254" s="97"/>
      <c r="C254" s="74" t="s">
        <v>214</v>
      </c>
      <c r="D254" s="58">
        <v>19</v>
      </c>
      <c r="E254" s="59">
        <v>5.0957463927499996E-4</v>
      </c>
    </row>
    <row r="255" spans="2:5" ht="15" customHeight="1">
      <c r="B255" s="97"/>
      <c r="C255" s="74" t="s">
        <v>215</v>
      </c>
      <c r="D255" s="58">
        <v>3</v>
      </c>
      <c r="E255" s="59">
        <v>8.0459153570000002E-5</v>
      </c>
    </row>
    <row r="256" spans="2:5" ht="15" customHeight="1">
      <c r="B256" s="97"/>
      <c r="C256" s="74" t="s">
        <v>216</v>
      </c>
      <c r="D256" s="58">
        <v>43</v>
      </c>
      <c r="E256" s="59">
        <v>1.1532478678320001E-3</v>
      </c>
    </row>
    <row r="257" spans="2:5" ht="15" customHeight="1">
      <c r="B257" s="98"/>
      <c r="C257" s="75" t="s">
        <v>353</v>
      </c>
      <c r="D257" s="71">
        <v>553</v>
      </c>
      <c r="E257" s="73">
        <v>1.4831303974682001E-2</v>
      </c>
    </row>
    <row r="258" spans="2:5" ht="15" customHeight="1">
      <c r="B258" s="96" t="s">
        <v>49</v>
      </c>
      <c r="C258" s="74" t="s">
        <v>202</v>
      </c>
      <c r="D258" s="58">
        <v>168</v>
      </c>
      <c r="E258" s="59">
        <v>4.5057125999029999E-3</v>
      </c>
    </row>
    <row r="259" spans="2:5" ht="15" customHeight="1">
      <c r="B259" s="97"/>
      <c r="C259" s="74" t="s">
        <v>203</v>
      </c>
      <c r="D259" s="58">
        <v>183</v>
      </c>
      <c r="E259" s="59">
        <v>4.908008367752E-3</v>
      </c>
    </row>
    <row r="260" spans="2:5" ht="15" customHeight="1">
      <c r="B260" s="97"/>
      <c r="C260" s="74" t="s">
        <v>204</v>
      </c>
      <c r="D260" s="58">
        <v>93</v>
      </c>
      <c r="E260" s="59">
        <v>2.4942337606610001E-3</v>
      </c>
    </row>
    <row r="261" spans="2:5" ht="15" customHeight="1">
      <c r="B261" s="97"/>
      <c r="C261" s="74" t="s">
        <v>205</v>
      </c>
      <c r="D261" s="58">
        <v>11</v>
      </c>
      <c r="E261" s="59">
        <v>2.9501689642199999E-4</v>
      </c>
    </row>
    <row r="262" spans="2:5" ht="15" customHeight="1">
      <c r="B262" s="97"/>
      <c r="C262" s="74" t="s">
        <v>206</v>
      </c>
      <c r="D262" s="58">
        <v>307</v>
      </c>
      <c r="E262" s="59">
        <v>8.2336533819659993E-3</v>
      </c>
    </row>
    <row r="263" spans="2:5" ht="15" customHeight="1">
      <c r="B263" s="97"/>
      <c r="C263" s="74" t="s">
        <v>217</v>
      </c>
      <c r="D263" s="58">
        <v>339</v>
      </c>
      <c r="E263" s="59">
        <v>9.0918843533769993E-3</v>
      </c>
    </row>
    <row r="264" spans="2:5" ht="15" customHeight="1">
      <c r="B264" s="97"/>
      <c r="C264" s="74" t="s">
        <v>207</v>
      </c>
      <c r="D264" s="58">
        <v>326</v>
      </c>
      <c r="E264" s="59">
        <v>8.7432280212410007E-3</v>
      </c>
    </row>
    <row r="265" spans="2:5" ht="15" customHeight="1">
      <c r="B265" s="97"/>
      <c r="C265" s="74" t="s">
        <v>208</v>
      </c>
      <c r="D265" s="58">
        <v>150</v>
      </c>
      <c r="E265" s="59">
        <v>4.0229576784849997E-3</v>
      </c>
    </row>
    <row r="266" spans="2:5" ht="15" customHeight="1">
      <c r="B266" s="97"/>
      <c r="C266" s="74" t="s">
        <v>209</v>
      </c>
      <c r="D266" s="58">
        <v>256</v>
      </c>
      <c r="E266" s="59">
        <v>6.8658477712809996E-3</v>
      </c>
    </row>
    <row r="267" spans="2:5" ht="15" customHeight="1">
      <c r="B267" s="97"/>
      <c r="C267" s="74" t="s">
        <v>218</v>
      </c>
      <c r="D267" s="58">
        <v>39</v>
      </c>
      <c r="E267" s="59">
        <v>1.045968996406E-3</v>
      </c>
    </row>
    <row r="268" spans="2:5" ht="15" customHeight="1">
      <c r="B268" s="97"/>
      <c r="C268" s="74" t="s">
        <v>210</v>
      </c>
      <c r="D268" s="58">
        <v>211</v>
      </c>
      <c r="E268" s="59">
        <v>5.6589604677360003E-3</v>
      </c>
    </row>
    <row r="269" spans="2:5" ht="15" customHeight="1">
      <c r="B269" s="97"/>
      <c r="C269" s="74" t="s">
        <v>211</v>
      </c>
      <c r="D269" s="58">
        <v>16</v>
      </c>
      <c r="E269" s="59">
        <v>4.2911548570500002E-4</v>
      </c>
    </row>
    <row r="270" spans="2:5" ht="15" customHeight="1">
      <c r="B270" s="97"/>
      <c r="C270" s="74" t="s">
        <v>212</v>
      </c>
      <c r="D270" s="58">
        <v>73</v>
      </c>
      <c r="E270" s="59">
        <v>1.957839403529E-3</v>
      </c>
    </row>
    <row r="271" spans="2:5" ht="15" customHeight="1">
      <c r="B271" s="97"/>
      <c r="C271" s="74" t="s">
        <v>213</v>
      </c>
      <c r="D271" s="58">
        <v>41</v>
      </c>
      <c r="E271" s="59">
        <v>1.0996084321190001E-3</v>
      </c>
    </row>
    <row r="272" spans="2:5" ht="15" customHeight="1">
      <c r="B272" s="97"/>
      <c r="C272" s="74" t="s">
        <v>214</v>
      </c>
      <c r="D272" s="58">
        <v>136</v>
      </c>
      <c r="E272" s="59">
        <v>3.647481628493E-3</v>
      </c>
    </row>
    <row r="273" spans="2:5" ht="15" customHeight="1">
      <c r="B273" s="97"/>
      <c r="C273" s="74" t="s">
        <v>215</v>
      </c>
      <c r="D273" s="58">
        <v>27</v>
      </c>
      <c r="E273" s="59">
        <v>7.2413238212700002E-4</v>
      </c>
    </row>
    <row r="274" spans="2:5" ht="15" customHeight="1">
      <c r="B274" s="97"/>
      <c r="C274" s="74" t="s">
        <v>216</v>
      </c>
      <c r="D274" s="58">
        <v>198</v>
      </c>
      <c r="E274" s="59">
        <v>5.3103041356E-3</v>
      </c>
    </row>
    <row r="275" spans="2:5" ht="15" customHeight="1">
      <c r="B275" s="98"/>
      <c r="C275" s="75" t="s">
        <v>353</v>
      </c>
      <c r="D275" s="71">
        <v>2574</v>
      </c>
      <c r="E275" s="73">
        <v>6.9033953762805994E-2</v>
      </c>
    </row>
    <row r="276" spans="2:5" ht="15" customHeight="1">
      <c r="B276" s="96" t="s">
        <v>59</v>
      </c>
      <c r="C276" s="74" t="s">
        <v>202</v>
      </c>
      <c r="D276" s="58">
        <v>19</v>
      </c>
      <c r="E276" s="59">
        <v>5.0957463927499996E-4</v>
      </c>
    </row>
    <row r="277" spans="2:5" ht="15" customHeight="1">
      <c r="B277" s="97"/>
      <c r="C277" s="74" t="s">
        <v>203</v>
      </c>
      <c r="D277" s="58">
        <v>17</v>
      </c>
      <c r="E277" s="59">
        <v>4.5593520356200002E-4</v>
      </c>
    </row>
    <row r="278" spans="2:5" ht="15" customHeight="1">
      <c r="B278" s="97"/>
      <c r="C278" s="74" t="s">
        <v>204</v>
      </c>
      <c r="D278" s="58">
        <v>21</v>
      </c>
      <c r="E278" s="59">
        <v>5.63214074988E-4</v>
      </c>
    </row>
    <row r="279" spans="2:5" ht="15" customHeight="1">
      <c r="B279" s="97"/>
      <c r="C279" s="74" t="s">
        <v>206</v>
      </c>
      <c r="D279" s="58">
        <v>53</v>
      </c>
      <c r="E279" s="59">
        <v>1.4214450463979999E-3</v>
      </c>
    </row>
    <row r="280" spans="2:5" ht="15" customHeight="1">
      <c r="B280" s="97"/>
      <c r="C280" s="74" t="s">
        <v>217</v>
      </c>
      <c r="D280" s="58">
        <v>129</v>
      </c>
      <c r="E280" s="59">
        <v>3.4597436034970001E-3</v>
      </c>
    </row>
    <row r="281" spans="2:5" ht="15" customHeight="1">
      <c r="B281" s="97"/>
      <c r="C281" s="74" t="s">
        <v>207</v>
      </c>
      <c r="D281" s="58">
        <v>48</v>
      </c>
      <c r="E281" s="59">
        <v>1.2873464571149999E-3</v>
      </c>
    </row>
    <row r="282" spans="2:5" ht="15" customHeight="1">
      <c r="B282" s="97"/>
      <c r="C282" s="74" t="s">
        <v>208</v>
      </c>
      <c r="D282" s="58">
        <v>26</v>
      </c>
      <c r="E282" s="59">
        <v>6.9731266427100003E-4</v>
      </c>
    </row>
    <row r="283" spans="2:5" ht="15" customHeight="1">
      <c r="B283" s="97"/>
      <c r="C283" s="74" t="s">
        <v>209</v>
      </c>
      <c r="D283" s="58">
        <v>43</v>
      </c>
      <c r="E283" s="59">
        <v>1.1532478678320001E-3</v>
      </c>
    </row>
    <row r="284" spans="2:5" ht="15" customHeight="1">
      <c r="B284" s="97"/>
      <c r="C284" s="74" t="s">
        <v>218</v>
      </c>
      <c r="D284" s="58">
        <v>3</v>
      </c>
      <c r="E284" s="59">
        <v>8.0459153570000002E-5</v>
      </c>
    </row>
    <row r="285" spans="2:5" ht="15" customHeight="1">
      <c r="B285" s="97"/>
      <c r="C285" s="74" t="s">
        <v>210</v>
      </c>
      <c r="D285" s="58">
        <v>24</v>
      </c>
      <c r="E285" s="59">
        <v>6.4367322855799999E-4</v>
      </c>
    </row>
    <row r="286" spans="2:5" ht="15" customHeight="1">
      <c r="B286" s="97"/>
      <c r="C286" s="74" t="s">
        <v>211</v>
      </c>
      <c r="D286" s="58">
        <v>3</v>
      </c>
      <c r="E286" s="59">
        <v>8.0459153570000002E-5</v>
      </c>
    </row>
    <row r="287" spans="2:5" ht="15" customHeight="1">
      <c r="B287" s="97"/>
      <c r="C287" s="74" t="s">
        <v>212</v>
      </c>
      <c r="D287" s="58">
        <v>10</v>
      </c>
      <c r="E287" s="59">
        <v>2.6819717856600001E-4</v>
      </c>
    </row>
    <row r="288" spans="2:5" ht="15" customHeight="1">
      <c r="B288" s="97"/>
      <c r="C288" s="74" t="s">
        <v>213</v>
      </c>
      <c r="D288" s="58">
        <v>8</v>
      </c>
      <c r="E288" s="59">
        <v>2.1455774285299999E-4</v>
      </c>
    </row>
    <row r="289" spans="2:5" ht="15" customHeight="1">
      <c r="B289" s="97"/>
      <c r="C289" s="74" t="s">
        <v>214</v>
      </c>
      <c r="D289" s="58">
        <v>18</v>
      </c>
      <c r="E289" s="59">
        <v>4.8275492141800001E-4</v>
      </c>
    </row>
    <row r="290" spans="2:5" ht="15" customHeight="1">
      <c r="B290" s="97"/>
      <c r="C290" s="74" t="s">
        <v>215</v>
      </c>
      <c r="D290" s="58">
        <v>1</v>
      </c>
      <c r="E290" s="59">
        <v>2.6819717857000001E-5</v>
      </c>
    </row>
    <row r="291" spans="2:5" ht="15" customHeight="1">
      <c r="B291" s="97"/>
      <c r="C291" s="74" t="s">
        <v>216</v>
      </c>
      <c r="D291" s="58">
        <v>32</v>
      </c>
      <c r="E291" s="59">
        <v>8.5823097141000005E-4</v>
      </c>
    </row>
    <row r="292" spans="2:5" ht="15" customHeight="1">
      <c r="B292" s="98"/>
      <c r="C292" s="75" t="s">
        <v>353</v>
      </c>
      <c r="D292" s="71">
        <v>455</v>
      </c>
      <c r="E292" s="73">
        <v>1.2202971624739E-2</v>
      </c>
    </row>
    <row r="293" spans="2:5" ht="15" customHeight="1">
      <c r="B293" s="96" t="s">
        <v>61</v>
      </c>
      <c r="C293" s="74" t="s">
        <v>202</v>
      </c>
      <c r="D293" s="58">
        <v>28</v>
      </c>
      <c r="E293" s="59">
        <v>7.5095209998399996E-4</v>
      </c>
    </row>
    <row r="294" spans="2:5" ht="15" customHeight="1">
      <c r="B294" s="97"/>
      <c r="C294" s="74" t="s">
        <v>203</v>
      </c>
      <c r="D294" s="58">
        <v>36</v>
      </c>
      <c r="E294" s="59">
        <v>9.6550984283600002E-4</v>
      </c>
    </row>
    <row r="295" spans="2:5" ht="15" customHeight="1">
      <c r="B295" s="97"/>
      <c r="C295" s="74" t="s">
        <v>204</v>
      </c>
      <c r="D295" s="58">
        <v>13</v>
      </c>
      <c r="E295" s="59">
        <v>3.4865633213499998E-4</v>
      </c>
    </row>
    <row r="296" spans="2:5" ht="15" customHeight="1">
      <c r="B296" s="97"/>
      <c r="C296" s="74" t="s">
        <v>205</v>
      </c>
      <c r="D296" s="58">
        <v>2</v>
      </c>
      <c r="E296" s="59">
        <v>5.3639435713000001E-5</v>
      </c>
    </row>
    <row r="297" spans="2:5" ht="15" customHeight="1">
      <c r="B297" s="97"/>
      <c r="C297" s="74" t="s">
        <v>206</v>
      </c>
      <c r="D297" s="58">
        <v>70</v>
      </c>
      <c r="E297" s="59">
        <v>1.8773802499600001E-3</v>
      </c>
    </row>
    <row r="298" spans="2:5" ht="15" customHeight="1">
      <c r="B298" s="97"/>
      <c r="C298" s="74" t="s">
        <v>217</v>
      </c>
      <c r="D298" s="58">
        <v>84</v>
      </c>
      <c r="E298" s="59">
        <v>2.252856299952E-3</v>
      </c>
    </row>
    <row r="299" spans="2:5" ht="15" customHeight="1">
      <c r="B299" s="97"/>
      <c r="C299" s="74" t="s">
        <v>207</v>
      </c>
      <c r="D299" s="58">
        <v>43</v>
      </c>
      <c r="E299" s="59">
        <v>1.1532478678320001E-3</v>
      </c>
    </row>
    <row r="300" spans="2:5" ht="15" customHeight="1">
      <c r="B300" s="97"/>
      <c r="C300" s="74" t="s">
        <v>208</v>
      </c>
      <c r="D300" s="58">
        <v>25</v>
      </c>
      <c r="E300" s="59">
        <v>6.7049294641399998E-4</v>
      </c>
    </row>
    <row r="301" spans="2:5" ht="15" customHeight="1">
      <c r="B301" s="97"/>
      <c r="C301" s="74" t="s">
        <v>209</v>
      </c>
      <c r="D301" s="58">
        <v>44</v>
      </c>
      <c r="E301" s="59">
        <v>1.180067585689E-3</v>
      </c>
    </row>
    <row r="302" spans="2:5" ht="15" customHeight="1">
      <c r="B302" s="97"/>
      <c r="C302" s="74" t="s">
        <v>218</v>
      </c>
      <c r="D302" s="58">
        <v>6</v>
      </c>
      <c r="E302" s="59">
        <v>1.6091830713899999E-4</v>
      </c>
    </row>
    <row r="303" spans="2:5" ht="15" customHeight="1">
      <c r="B303" s="97"/>
      <c r="C303" s="74" t="s">
        <v>210</v>
      </c>
      <c r="D303" s="58">
        <v>36</v>
      </c>
      <c r="E303" s="59">
        <v>9.6550984283600002E-4</v>
      </c>
    </row>
    <row r="304" spans="2:5" ht="15" customHeight="1">
      <c r="B304" s="97"/>
      <c r="C304" s="74" t="s">
        <v>211</v>
      </c>
      <c r="D304" s="58">
        <v>5</v>
      </c>
      <c r="E304" s="59">
        <v>1.34098589283E-4</v>
      </c>
    </row>
    <row r="305" spans="2:5" ht="15" customHeight="1">
      <c r="B305" s="97"/>
      <c r="C305" s="74" t="s">
        <v>212</v>
      </c>
      <c r="D305" s="58">
        <v>8</v>
      </c>
      <c r="E305" s="59">
        <v>2.1455774285299999E-4</v>
      </c>
    </row>
    <row r="306" spans="2:5" ht="15" customHeight="1">
      <c r="B306" s="97"/>
      <c r="C306" s="74" t="s">
        <v>213</v>
      </c>
      <c r="D306" s="58">
        <v>6</v>
      </c>
      <c r="E306" s="59">
        <v>1.6091830713899999E-4</v>
      </c>
    </row>
    <row r="307" spans="2:5" ht="15" customHeight="1">
      <c r="B307" s="97"/>
      <c r="C307" s="74" t="s">
        <v>214</v>
      </c>
      <c r="D307" s="58">
        <v>24</v>
      </c>
      <c r="E307" s="59">
        <v>6.4367322855799999E-4</v>
      </c>
    </row>
    <row r="308" spans="2:5" ht="15" customHeight="1">
      <c r="B308" s="97"/>
      <c r="C308" s="74" t="s">
        <v>215</v>
      </c>
      <c r="D308" s="58">
        <v>3</v>
      </c>
      <c r="E308" s="59">
        <v>8.0459153570000002E-5</v>
      </c>
    </row>
    <row r="309" spans="2:5" ht="15" customHeight="1">
      <c r="B309" s="97"/>
      <c r="C309" s="74" t="s">
        <v>216</v>
      </c>
      <c r="D309" s="58">
        <v>34</v>
      </c>
      <c r="E309" s="59">
        <v>9.1187040712299998E-4</v>
      </c>
    </row>
    <row r="310" spans="2:5" ht="15" customHeight="1">
      <c r="B310" s="98"/>
      <c r="C310" s="75" t="s">
        <v>353</v>
      </c>
      <c r="D310" s="71">
        <v>467</v>
      </c>
      <c r="E310" s="73">
        <v>1.2524808239017001E-2</v>
      </c>
    </row>
    <row r="311" spans="2:5" ht="15" customHeight="1">
      <c r="B311" s="96" t="s">
        <v>90</v>
      </c>
      <c r="C311" s="74" t="s">
        <v>202</v>
      </c>
      <c r="D311" s="58">
        <v>3</v>
      </c>
      <c r="E311" s="59">
        <v>8.0459153570000002E-5</v>
      </c>
    </row>
    <row r="312" spans="2:5" ht="15" customHeight="1">
      <c r="B312" s="97"/>
      <c r="C312" s="74" t="s">
        <v>203</v>
      </c>
      <c r="D312" s="58">
        <v>5</v>
      </c>
      <c r="E312" s="59">
        <v>1.34098589283E-4</v>
      </c>
    </row>
    <row r="313" spans="2:5" ht="15" customHeight="1">
      <c r="B313" s="97"/>
      <c r="C313" s="74" t="s">
        <v>205</v>
      </c>
      <c r="D313" s="58">
        <v>1</v>
      </c>
      <c r="E313" s="59">
        <v>2.6819717857000001E-5</v>
      </c>
    </row>
    <row r="314" spans="2:5" ht="15" customHeight="1">
      <c r="B314" s="97"/>
      <c r="C314" s="74" t="s">
        <v>206</v>
      </c>
      <c r="D314" s="58">
        <v>12</v>
      </c>
      <c r="E314" s="59">
        <v>3.2183661427899999E-4</v>
      </c>
    </row>
    <row r="315" spans="2:5" ht="15" customHeight="1">
      <c r="B315" s="97"/>
      <c r="C315" s="74" t="s">
        <v>217</v>
      </c>
      <c r="D315" s="58">
        <v>25</v>
      </c>
      <c r="E315" s="59">
        <v>6.7049294641399998E-4</v>
      </c>
    </row>
    <row r="316" spans="2:5" ht="15" customHeight="1">
      <c r="B316" s="97"/>
      <c r="C316" s="74" t="s">
        <v>207</v>
      </c>
      <c r="D316" s="58">
        <v>8</v>
      </c>
      <c r="E316" s="59">
        <v>2.1455774285299999E-4</v>
      </c>
    </row>
    <row r="317" spans="2:5" ht="15" customHeight="1">
      <c r="B317" s="97"/>
      <c r="C317" s="74" t="s">
        <v>208</v>
      </c>
      <c r="D317" s="58">
        <v>3</v>
      </c>
      <c r="E317" s="59">
        <v>8.0459153570000002E-5</v>
      </c>
    </row>
    <row r="318" spans="2:5" ht="15" customHeight="1">
      <c r="B318" s="97"/>
      <c r="C318" s="74" t="s">
        <v>209</v>
      </c>
      <c r="D318" s="58">
        <v>7</v>
      </c>
      <c r="E318" s="59">
        <v>1.8773802499599999E-4</v>
      </c>
    </row>
    <row r="319" spans="2:5" ht="15" customHeight="1">
      <c r="B319" s="97"/>
      <c r="C319" s="74" t="s">
        <v>210</v>
      </c>
      <c r="D319" s="58">
        <v>6</v>
      </c>
      <c r="E319" s="59">
        <v>1.6091830713899999E-4</v>
      </c>
    </row>
    <row r="320" spans="2:5" ht="15" customHeight="1">
      <c r="B320" s="97"/>
      <c r="C320" s="74" t="s">
        <v>212</v>
      </c>
      <c r="D320" s="58">
        <v>1</v>
      </c>
      <c r="E320" s="59">
        <v>2.6819717857000001E-5</v>
      </c>
    </row>
    <row r="321" spans="2:5" ht="15" customHeight="1">
      <c r="B321" s="97"/>
      <c r="C321" s="74" t="s">
        <v>214</v>
      </c>
      <c r="D321" s="58">
        <v>7</v>
      </c>
      <c r="E321" s="59">
        <v>1.8773802499599999E-4</v>
      </c>
    </row>
    <row r="322" spans="2:5" ht="15" customHeight="1">
      <c r="B322" s="97"/>
      <c r="C322" s="74" t="s">
        <v>216</v>
      </c>
      <c r="D322" s="58">
        <v>9</v>
      </c>
      <c r="E322" s="59">
        <v>2.4137746070900001E-4</v>
      </c>
    </row>
    <row r="323" spans="2:5" ht="15" customHeight="1">
      <c r="B323" s="98"/>
      <c r="C323" s="75" t="s">
        <v>353</v>
      </c>
      <c r="D323" s="71">
        <v>87</v>
      </c>
      <c r="E323" s="73">
        <v>2.3333154535210001E-3</v>
      </c>
    </row>
    <row r="324" spans="2:5" ht="15" customHeight="1">
      <c r="B324" s="96" t="s">
        <v>55</v>
      </c>
      <c r="C324" s="74" t="s">
        <v>202</v>
      </c>
      <c r="D324" s="58">
        <v>24</v>
      </c>
      <c r="E324" s="59">
        <v>6.4367322855799999E-4</v>
      </c>
    </row>
    <row r="325" spans="2:5" ht="15" customHeight="1">
      <c r="B325" s="97"/>
      <c r="C325" s="74" t="s">
        <v>203</v>
      </c>
      <c r="D325" s="58">
        <v>27</v>
      </c>
      <c r="E325" s="59">
        <v>7.2413238212700002E-4</v>
      </c>
    </row>
    <row r="326" spans="2:5" ht="15" customHeight="1">
      <c r="B326" s="97"/>
      <c r="C326" s="74" t="s">
        <v>204</v>
      </c>
      <c r="D326" s="58">
        <v>23</v>
      </c>
      <c r="E326" s="59">
        <v>6.1685351070100004E-4</v>
      </c>
    </row>
    <row r="327" spans="2:5" ht="15" customHeight="1">
      <c r="B327" s="97"/>
      <c r="C327" s="74" t="s">
        <v>206</v>
      </c>
      <c r="D327" s="58">
        <v>66</v>
      </c>
      <c r="E327" s="59">
        <v>1.7701013785329999E-3</v>
      </c>
    </row>
    <row r="328" spans="2:5" ht="15" customHeight="1">
      <c r="B328" s="97"/>
      <c r="C328" s="74" t="s">
        <v>217</v>
      </c>
      <c r="D328" s="58">
        <v>484</v>
      </c>
      <c r="E328" s="59">
        <v>1.2980743442579001E-2</v>
      </c>
    </row>
    <row r="329" spans="2:5" ht="15" customHeight="1">
      <c r="B329" s="97"/>
      <c r="C329" s="74" t="s">
        <v>207</v>
      </c>
      <c r="D329" s="58">
        <v>57</v>
      </c>
      <c r="E329" s="59">
        <v>1.528723917824E-3</v>
      </c>
    </row>
    <row r="330" spans="2:5" ht="15" customHeight="1">
      <c r="B330" s="97"/>
      <c r="C330" s="74" t="s">
        <v>208</v>
      </c>
      <c r="D330" s="58">
        <v>30</v>
      </c>
      <c r="E330" s="59">
        <v>8.0459153569700001E-4</v>
      </c>
    </row>
    <row r="331" spans="2:5" ht="15" customHeight="1">
      <c r="B331" s="97"/>
      <c r="C331" s="74" t="s">
        <v>209</v>
      </c>
      <c r="D331" s="58">
        <v>59</v>
      </c>
      <c r="E331" s="59">
        <v>1.5823633535379999E-3</v>
      </c>
    </row>
    <row r="332" spans="2:5" ht="15" customHeight="1">
      <c r="B332" s="97"/>
      <c r="C332" s="74" t="s">
        <v>218</v>
      </c>
      <c r="D332" s="58">
        <v>5</v>
      </c>
      <c r="E332" s="59">
        <v>1.34098589283E-4</v>
      </c>
    </row>
    <row r="333" spans="2:5" ht="15" customHeight="1">
      <c r="B333" s="97"/>
      <c r="C333" s="74" t="s">
        <v>210</v>
      </c>
      <c r="D333" s="58">
        <v>40</v>
      </c>
      <c r="E333" s="59">
        <v>1.072788714263E-3</v>
      </c>
    </row>
    <row r="334" spans="2:5" ht="15" customHeight="1">
      <c r="B334" s="97"/>
      <c r="C334" s="74" t="s">
        <v>211</v>
      </c>
      <c r="D334" s="58">
        <v>6</v>
      </c>
      <c r="E334" s="59">
        <v>1.6091830713899999E-4</v>
      </c>
    </row>
    <row r="335" spans="2:5" ht="15" customHeight="1">
      <c r="B335" s="97"/>
      <c r="C335" s="74" t="s">
        <v>212</v>
      </c>
      <c r="D335" s="58">
        <v>15</v>
      </c>
      <c r="E335" s="59">
        <v>4.0229576784899998E-4</v>
      </c>
    </row>
    <row r="336" spans="2:5" ht="15" customHeight="1">
      <c r="B336" s="97"/>
      <c r="C336" s="74" t="s">
        <v>213</v>
      </c>
      <c r="D336" s="58">
        <v>9</v>
      </c>
      <c r="E336" s="59">
        <v>2.4137746070900001E-4</v>
      </c>
    </row>
    <row r="337" spans="2:5" ht="15" customHeight="1">
      <c r="B337" s="97"/>
      <c r="C337" s="74" t="s">
        <v>214</v>
      </c>
      <c r="D337" s="58">
        <v>19</v>
      </c>
      <c r="E337" s="59">
        <v>5.0957463927499996E-4</v>
      </c>
    </row>
    <row r="338" spans="2:5" ht="15" customHeight="1">
      <c r="B338" s="97"/>
      <c r="C338" s="74" t="s">
        <v>216</v>
      </c>
      <c r="D338" s="58">
        <v>44</v>
      </c>
      <c r="E338" s="59">
        <v>1.180067585689E-3</v>
      </c>
    </row>
    <row r="339" spans="2:5" ht="15" customHeight="1">
      <c r="B339" s="98"/>
      <c r="C339" s="75" t="s">
        <v>353</v>
      </c>
      <c r="D339" s="71">
        <v>908</v>
      </c>
      <c r="E339" s="73">
        <v>2.4352303813763999E-2</v>
      </c>
    </row>
    <row r="340" spans="2:5" ht="15" customHeight="1">
      <c r="B340" s="96" t="s">
        <v>57</v>
      </c>
      <c r="C340" s="74" t="s">
        <v>202</v>
      </c>
      <c r="D340" s="58">
        <v>49</v>
      </c>
      <c r="E340" s="59">
        <v>1.3141661749720001E-3</v>
      </c>
    </row>
    <row r="341" spans="2:5" ht="15" customHeight="1">
      <c r="B341" s="97"/>
      <c r="C341" s="74" t="s">
        <v>203</v>
      </c>
      <c r="D341" s="58">
        <v>36</v>
      </c>
      <c r="E341" s="59">
        <v>9.6550984283600002E-4</v>
      </c>
    </row>
    <row r="342" spans="2:5" ht="15" customHeight="1">
      <c r="B342" s="97"/>
      <c r="C342" s="74" t="s">
        <v>204</v>
      </c>
      <c r="D342" s="58">
        <v>34</v>
      </c>
      <c r="E342" s="59">
        <v>9.1187040712299998E-4</v>
      </c>
    </row>
    <row r="343" spans="2:5" ht="15" customHeight="1">
      <c r="B343" s="97"/>
      <c r="C343" s="74" t="s">
        <v>205</v>
      </c>
      <c r="D343" s="58">
        <v>10</v>
      </c>
      <c r="E343" s="59">
        <v>2.6819717856600001E-4</v>
      </c>
    </row>
    <row r="344" spans="2:5" ht="15" customHeight="1">
      <c r="B344" s="97"/>
      <c r="C344" s="74" t="s">
        <v>206</v>
      </c>
      <c r="D344" s="58">
        <v>90</v>
      </c>
      <c r="E344" s="59">
        <v>2.4137746070909999E-3</v>
      </c>
    </row>
    <row r="345" spans="2:5" ht="15" customHeight="1">
      <c r="B345" s="97"/>
      <c r="C345" s="74" t="s">
        <v>217</v>
      </c>
      <c r="D345" s="58">
        <v>1</v>
      </c>
      <c r="E345" s="59">
        <v>2.6819717857000001E-5</v>
      </c>
    </row>
    <row r="346" spans="2:5" ht="15" customHeight="1">
      <c r="B346" s="97"/>
      <c r="C346" s="74" t="s">
        <v>207</v>
      </c>
      <c r="D346" s="58">
        <v>128</v>
      </c>
      <c r="E346" s="59">
        <v>3.4329238856409998E-3</v>
      </c>
    </row>
    <row r="347" spans="2:5" ht="15" customHeight="1">
      <c r="B347" s="97"/>
      <c r="C347" s="74" t="s">
        <v>208</v>
      </c>
      <c r="D347" s="58">
        <v>24</v>
      </c>
      <c r="E347" s="59">
        <v>6.4367322855799999E-4</v>
      </c>
    </row>
    <row r="348" spans="2:5" ht="15" customHeight="1">
      <c r="B348" s="97"/>
      <c r="C348" s="74" t="s">
        <v>209</v>
      </c>
      <c r="D348" s="58">
        <v>70</v>
      </c>
      <c r="E348" s="59">
        <v>1.8773802499600001E-3</v>
      </c>
    </row>
    <row r="349" spans="2:5" ht="15" customHeight="1">
      <c r="B349" s="97"/>
      <c r="C349" s="74" t="s">
        <v>218</v>
      </c>
      <c r="D349" s="58">
        <v>7</v>
      </c>
      <c r="E349" s="59">
        <v>1.8773802499599999E-4</v>
      </c>
    </row>
    <row r="350" spans="2:5" ht="15" customHeight="1">
      <c r="B350" s="97"/>
      <c r="C350" s="74" t="s">
        <v>210</v>
      </c>
      <c r="D350" s="58">
        <v>63</v>
      </c>
      <c r="E350" s="59">
        <v>1.689642224964E-3</v>
      </c>
    </row>
    <row r="351" spans="2:5" ht="15" customHeight="1">
      <c r="B351" s="97"/>
      <c r="C351" s="74" t="s">
        <v>211</v>
      </c>
      <c r="D351" s="58">
        <v>4</v>
      </c>
      <c r="E351" s="59">
        <v>1.07278871426E-4</v>
      </c>
    </row>
    <row r="352" spans="2:5" ht="15" customHeight="1">
      <c r="B352" s="97"/>
      <c r="C352" s="74" t="s">
        <v>212</v>
      </c>
      <c r="D352" s="58">
        <v>24</v>
      </c>
      <c r="E352" s="59">
        <v>6.4367322855799999E-4</v>
      </c>
    </row>
    <row r="353" spans="2:5" ht="15" customHeight="1">
      <c r="B353" s="97"/>
      <c r="C353" s="74" t="s">
        <v>213</v>
      </c>
      <c r="D353" s="58">
        <v>21</v>
      </c>
      <c r="E353" s="59">
        <v>5.63214074988E-4</v>
      </c>
    </row>
    <row r="354" spans="2:5" ht="15" customHeight="1">
      <c r="B354" s="97"/>
      <c r="C354" s="74" t="s">
        <v>214</v>
      </c>
      <c r="D354" s="58">
        <v>32</v>
      </c>
      <c r="E354" s="59">
        <v>8.5823097141000005E-4</v>
      </c>
    </row>
    <row r="355" spans="2:5" ht="15" customHeight="1">
      <c r="B355" s="97"/>
      <c r="C355" s="74" t="s">
        <v>215</v>
      </c>
      <c r="D355" s="58">
        <v>8</v>
      </c>
      <c r="E355" s="59">
        <v>2.1455774285299999E-4</v>
      </c>
    </row>
    <row r="356" spans="2:5" ht="15" customHeight="1">
      <c r="B356" s="97"/>
      <c r="C356" s="74" t="s">
        <v>216</v>
      </c>
      <c r="D356" s="58">
        <v>67</v>
      </c>
      <c r="E356" s="59">
        <v>1.7969210963900001E-3</v>
      </c>
    </row>
    <row r="357" spans="2:5" ht="15" customHeight="1">
      <c r="B357" s="98"/>
      <c r="C357" s="75" t="s">
        <v>353</v>
      </c>
      <c r="D357" s="71">
        <v>668</v>
      </c>
      <c r="E357" s="73">
        <v>1.7915571528187998E-2</v>
      </c>
    </row>
    <row r="358" spans="2:5" ht="15" customHeight="1">
      <c r="B358" s="96" t="s">
        <v>48</v>
      </c>
      <c r="C358" s="74" t="s">
        <v>202</v>
      </c>
      <c r="D358" s="58">
        <v>303</v>
      </c>
      <c r="E358" s="59">
        <v>8.1263745105399996E-3</v>
      </c>
    </row>
    <row r="359" spans="2:5" ht="15" customHeight="1">
      <c r="B359" s="97"/>
      <c r="C359" s="74" t="s">
        <v>203</v>
      </c>
      <c r="D359" s="58">
        <v>292</v>
      </c>
      <c r="E359" s="59">
        <v>7.8313576141180001E-3</v>
      </c>
    </row>
    <row r="360" spans="2:5" ht="15" customHeight="1">
      <c r="B360" s="97"/>
      <c r="C360" s="74" t="s">
        <v>204</v>
      </c>
      <c r="D360" s="58">
        <v>127</v>
      </c>
      <c r="E360" s="59">
        <v>3.4061041677839999E-3</v>
      </c>
    </row>
    <row r="361" spans="2:5" ht="15" customHeight="1">
      <c r="B361" s="97"/>
      <c r="C361" s="74" t="s">
        <v>205</v>
      </c>
      <c r="D361" s="58">
        <v>21</v>
      </c>
      <c r="E361" s="59">
        <v>5.63214074988E-4</v>
      </c>
    </row>
    <row r="362" spans="2:5" ht="15" customHeight="1">
      <c r="B362" s="97"/>
      <c r="C362" s="74" t="s">
        <v>206</v>
      </c>
      <c r="D362" s="58">
        <v>515</v>
      </c>
      <c r="E362" s="59">
        <v>1.3812154696133E-2</v>
      </c>
    </row>
    <row r="363" spans="2:5" ht="15" customHeight="1">
      <c r="B363" s="97"/>
      <c r="C363" s="74" t="s">
        <v>217</v>
      </c>
      <c r="D363" s="58">
        <v>1270</v>
      </c>
      <c r="E363" s="59">
        <v>3.4061041677841998E-2</v>
      </c>
    </row>
    <row r="364" spans="2:5" ht="15" customHeight="1">
      <c r="B364" s="97"/>
      <c r="C364" s="74" t="s">
        <v>207</v>
      </c>
      <c r="D364" s="58">
        <v>586</v>
      </c>
      <c r="E364" s="59">
        <v>1.5716354663948998E-2</v>
      </c>
    </row>
    <row r="365" spans="2:5" ht="15" customHeight="1">
      <c r="B365" s="97"/>
      <c r="C365" s="74" t="s">
        <v>208</v>
      </c>
      <c r="D365" s="58">
        <v>273</v>
      </c>
      <c r="E365" s="59">
        <v>7.3217829748430004E-3</v>
      </c>
    </row>
    <row r="366" spans="2:5" ht="15" customHeight="1">
      <c r="B366" s="97"/>
      <c r="C366" s="74" t="s">
        <v>209</v>
      </c>
      <c r="D366" s="58">
        <v>362</v>
      </c>
      <c r="E366" s="59">
        <v>9.7087378640780004E-3</v>
      </c>
    </row>
    <row r="367" spans="2:5" ht="15" customHeight="1">
      <c r="B367" s="97"/>
      <c r="C367" s="74" t="s">
        <v>218</v>
      </c>
      <c r="D367" s="58">
        <v>40</v>
      </c>
      <c r="E367" s="59">
        <v>1.072788714263E-3</v>
      </c>
    </row>
    <row r="368" spans="2:5" ht="15" customHeight="1">
      <c r="B368" s="97"/>
      <c r="C368" s="74" t="s">
        <v>210</v>
      </c>
      <c r="D368" s="58">
        <v>305</v>
      </c>
      <c r="E368" s="59">
        <v>8.1800139462529994E-3</v>
      </c>
    </row>
    <row r="369" spans="2:5" ht="15" customHeight="1">
      <c r="B369" s="97"/>
      <c r="C369" s="74" t="s">
        <v>211</v>
      </c>
      <c r="D369" s="58">
        <v>32</v>
      </c>
      <c r="E369" s="59">
        <v>8.5823097141000005E-4</v>
      </c>
    </row>
    <row r="370" spans="2:5" ht="15" customHeight="1">
      <c r="B370" s="97"/>
      <c r="C370" s="74" t="s">
        <v>212</v>
      </c>
      <c r="D370" s="58">
        <v>80</v>
      </c>
      <c r="E370" s="59">
        <v>2.1455774285249998E-3</v>
      </c>
    </row>
    <row r="371" spans="2:5" ht="15" customHeight="1">
      <c r="B371" s="97"/>
      <c r="C371" s="74" t="s">
        <v>213</v>
      </c>
      <c r="D371" s="58">
        <v>59</v>
      </c>
      <c r="E371" s="59">
        <v>1.5823633535379999E-3</v>
      </c>
    </row>
    <row r="372" spans="2:5" ht="15" customHeight="1">
      <c r="B372" s="97"/>
      <c r="C372" s="74" t="s">
        <v>214</v>
      </c>
      <c r="D372" s="58">
        <v>269</v>
      </c>
      <c r="E372" s="59">
        <v>7.2145041034169998E-3</v>
      </c>
    </row>
    <row r="373" spans="2:5" ht="15" customHeight="1">
      <c r="B373" s="97"/>
      <c r="C373" s="74" t="s">
        <v>215</v>
      </c>
      <c r="D373" s="58">
        <v>27</v>
      </c>
      <c r="E373" s="59">
        <v>7.2413238212700002E-4</v>
      </c>
    </row>
    <row r="374" spans="2:5" ht="15" customHeight="1">
      <c r="B374" s="97"/>
      <c r="C374" s="74" t="s">
        <v>216</v>
      </c>
      <c r="D374" s="58">
        <v>256</v>
      </c>
      <c r="E374" s="59">
        <v>6.8658477712809996E-3</v>
      </c>
    </row>
    <row r="375" spans="2:5" ht="15" customHeight="1">
      <c r="B375" s="98"/>
      <c r="C375" s="75" t="s">
        <v>353</v>
      </c>
      <c r="D375" s="71">
        <v>4817</v>
      </c>
      <c r="E375" s="73">
        <v>0.129190580915089</v>
      </c>
    </row>
    <row r="376" spans="2:5" ht="15" customHeight="1">
      <c r="B376" s="96" t="s">
        <v>78</v>
      </c>
      <c r="C376" s="74" t="s">
        <v>202</v>
      </c>
      <c r="D376" s="58">
        <v>20</v>
      </c>
      <c r="E376" s="59">
        <v>5.3639435713100005E-4</v>
      </c>
    </row>
    <row r="377" spans="2:5" ht="15" customHeight="1">
      <c r="B377" s="97"/>
      <c r="C377" s="74" t="s">
        <v>203</v>
      </c>
      <c r="D377" s="58">
        <v>26</v>
      </c>
      <c r="E377" s="59">
        <v>6.9731266427100003E-4</v>
      </c>
    </row>
    <row r="378" spans="2:5" ht="15" customHeight="1">
      <c r="B378" s="97"/>
      <c r="C378" s="74" t="s">
        <v>204</v>
      </c>
      <c r="D378" s="58">
        <v>6</v>
      </c>
      <c r="E378" s="59">
        <v>1.6091830713899999E-4</v>
      </c>
    </row>
    <row r="379" spans="2:5" ht="15" customHeight="1">
      <c r="B379" s="97"/>
      <c r="C379" s="74" t="s">
        <v>205</v>
      </c>
      <c r="D379" s="58">
        <v>3</v>
      </c>
      <c r="E379" s="59">
        <v>8.0459153570000002E-5</v>
      </c>
    </row>
    <row r="380" spans="2:5" ht="15" customHeight="1">
      <c r="B380" s="97"/>
      <c r="C380" s="74" t="s">
        <v>206</v>
      </c>
      <c r="D380" s="58">
        <v>66</v>
      </c>
      <c r="E380" s="59">
        <v>1.7701013785329999E-3</v>
      </c>
    </row>
    <row r="381" spans="2:5" ht="15" customHeight="1">
      <c r="B381" s="97"/>
      <c r="C381" s="74" t="s">
        <v>217</v>
      </c>
      <c r="D381" s="58">
        <v>2</v>
      </c>
      <c r="E381" s="59">
        <v>5.3639435713000001E-5</v>
      </c>
    </row>
    <row r="382" spans="2:5" ht="15" customHeight="1">
      <c r="B382" s="97"/>
      <c r="C382" s="74" t="s">
        <v>207</v>
      </c>
      <c r="D382" s="58">
        <v>40</v>
      </c>
      <c r="E382" s="59">
        <v>1.072788714263E-3</v>
      </c>
    </row>
    <row r="383" spans="2:5" ht="15" customHeight="1">
      <c r="B383" s="97"/>
      <c r="C383" s="74" t="s">
        <v>208</v>
      </c>
      <c r="D383" s="58">
        <v>12</v>
      </c>
      <c r="E383" s="59">
        <v>3.2183661427899999E-4</v>
      </c>
    </row>
    <row r="384" spans="2:5" ht="15" customHeight="1">
      <c r="B384" s="97"/>
      <c r="C384" s="74" t="s">
        <v>209</v>
      </c>
      <c r="D384" s="58">
        <v>22</v>
      </c>
      <c r="E384" s="59">
        <v>5.9003379284399999E-4</v>
      </c>
    </row>
    <row r="385" spans="2:5" ht="15" customHeight="1">
      <c r="B385" s="97"/>
      <c r="C385" s="74" t="s">
        <v>218</v>
      </c>
      <c r="D385" s="58">
        <v>1</v>
      </c>
      <c r="E385" s="59">
        <v>2.6819717857000001E-5</v>
      </c>
    </row>
    <row r="386" spans="2:5" ht="15" customHeight="1">
      <c r="B386" s="97"/>
      <c r="C386" s="74" t="s">
        <v>210</v>
      </c>
      <c r="D386" s="58">
        <v>27</v>
      </c>
      <c r="E386" s="59">
        <v>7.2413238212700002E-4</v>
      </c>
    </row>
    <row r="387" spans="2:5" ht="15" customHeight="1">
      <c r="B387" s="97"/>
      <c r="C387" s="74" t="s">
        <v>211</v>
      </c>
      <c r="D387" s="58">
        <v>1</v>
      </c>
      <c r="E387" s="59">
        <v>2.6819717857000001E-5</v>
      </c>
    </row>
    <row r="388" spans="2:5" ht="15" customHeight="1">
      <c r="B388" s="97"/>
      <c r="C388" s="74" t="s">
        <v>212</v>
      </c>
      <c r="D388" s="58">
        <v>8</v>
      </c>
      <c r="E388" s="59">
        <v>2.1455774285299999E-4</v>
      </c>
    </row>
    <row r="389" spans="2:5" ht="15" customHeight="1">
      <c r="B389" s="97"/>
      <c r="C389" s="74" t="s">
        <v>213</v>
      </c>
      <c r="D389" s="58">
        <v>6</v>
      </c>
      <c r="E389" s="59">
        <v>1.6091830713899999E-4</v>
      </c>
    </row>
    <row r="390" spans="2:5" ht="15" customHeight="1">
      <c r="B390" s="97"/>
      <c r="C390" s="74" t="s">
        <v>214</v>
      </c>
      <c r="D390" s="58">
        <v>19</v>
      </c>
      <c r="E390" s="59">
        <v>5.0957463927499996E-4</v>
      </c>
    </row>
    <row r="391" spans="2:5" ht="15" customHeight="1">
      <c r="B391" s="97"/>
      <c r="C391" s="74" t="s">
        <v>215</v>
      </c>
      <c r="D391" s="58">
        <v>3</v>
      </c>
      <c r="E391" s="59">
        <v>8.0459153570000002E-5</v>
      </c>
    </row>
    <row r="392" spans="2:5" ht="15" customHeight="1">
      <c r="B392" s="97"/>
      <c r="C392" s="74" t="s">
        <v>216</v>
      </c>
      <c r="D392" s="58">
        <v>16</v>
      </c>
      <c r="E392" s="59">
        <v>4.2911548570500002E-4</v>
      </c>
    </row>
    <row r="393" spans="2:5" ht="15" customHeight="1">
      <c r="B393" s="98"/>
      <c r="C393" s="75" t="s">
        <v>353</v>
      </c>
      <c r="D393" s="71">
        <v>278</v>
      </c>
      <c r="E393" s="73">
        <v>7.4558815641260004E-3</v>
      </c>
    </row>
    <row r="394" spans="2:5" ht="15" customHeight="1">
      <c r="B394" s="96" t="s">
        <v>71</v>
      </c>
      <c r="C394" s="74" t="s">
        <v>202</v>
      </c>
      <c r="D394" s="58">
        <v>20</v>
      </c>
      <c r="E394" s="59">
        <v>5.3639435713100005E-4</v>
      </c>
    </row>
    <row r="395" spans="2:5" ht="15" customHeight="1">
      <c r="B395" s="97"/>
      <c r="C395" s="74" t="s">
        <v>203</v>
      </c>
      <c r="D395" s="58">
        <v>13</v>
      </c>
      <c r="E395" s="59">
        <v>3.4865633213499998E-4</v>
      </c>
    </row>
    <row r="396" spans="2:5" ht="15" customHeight="1">
      <c r="B396" s="97"/>
      <c r="C396" s="74" t="s">
        <v>204</v>
      </c>
      <c r="D396" s="58">
        <v>15</v>
      </c>
      <c r="E396" s="59">
        <v>4.0229576784899998E-4</v>
      </c>
    </row>
    <row r="397" spans="2:5" ht="15" customHeight="1">
      <c r="B397" s="97"/>
      <c r="C397" s="74" t="s">
        <v>205</v>
      </c>
      <c r="D397" s="58">
        <v>5</v>
      </c>
      <c r="E397" s="59">
        <v>1.34098589283E-4</v>
      </c>
    </row>
    <row r="398" spans="2:5" ht="15" customHeight="1">
      <c r="B398" s="97"/>
      <c r="C398" s="74" t="s">
        <v>206</v>
      </c>
      <c r="D398" s="58">
        <v>48</v>
      </c>
      <c r="E398" s="59">
        <v>1.2873464571149999E-3</v>
      </c>
    </row>
    <row r="399" spans="2:5" ht="15" customHeight="1">
      <c r="B399" s="97"/>
      <c r="C399" s="74" t="s">
        <v>217</v>
      </c>
      <c r="D399" s="58">
        <v>170</v>
      </c>
      <c r="E399" s="59">
        <v>4.5593520356169998E-3</v>
      </c>
    </row>
    <row r="400" spans="2:5" ht="15" customHeight="1">
      <c r="B400" s="97"/>
      <c r="C400" s="74" t="s">
        <v>207</v>
      </c>
      <c r="D400" s="58">
        <v>56</v>
      </c>
      <c r="E400" s="59">
        <v>1.5019041999679999E-3</v>
      </c>
    </row>
    <row r="401" spans="2:5" ht="15" customHeight="1">
      <c r="B401" s="97"/>
      <c r="C401" s="74" t="s">
        <v>208</v>
      </c>
      <c r="D401" s="58">
        <v>14</v>
      </c>
      <c r="E401" s="59">
        <v>3.7547604999199998E-4</v>
      </c>
    </row>
    <row r="402" spans="2:5" ht="15" customHeight="1">
      <c r="B402" s="97"/>
      <c r="C402" s="74" t="s">
        <v>209</v>
      </c>
      <c r="D402" s="58">
        <v>35</v>
      </c>
      <c r="E402" s="59">
        <v>9.3869012498000004E-4</v>
      </c>
    </row>
    <row r="403" spans="2:5" ht="15" customHeight="1">
      <c r="B403" s="97"/>
      <c r="C403" s="74" t="s">
        <v>218</v>
      </c>
      <c r="D403" s="58">
        <v>8</v>
      </c>
      <c r="E403" s="59">
        <v>2.1455774285299999E-4</v>
      </c>
    </row>
    <row r="404" spans="2:5" ht="15" customHeight="1">
      <c r="B404" s="97"/>
      <c r="C404" s="74" t="s">
        <v>210</v>
      </c>
      <c r="D404" s="58">
        <v>32</v>
      </c>
      <c r="E404" s="59">
        <v>8.5823097141000005E-4</v>
      </c>
    </row>
    <row r="405" spans="2:5" ht="15" customHeight="1">
      <c r="B405" s="97"/>
      <c r="C405" s="74" t="s">
        <v>211</v>
      </c>
      <c r="D405" s="58">
        <v>2</v>
      </c>
      <c r="E405" s="59">
        <v>5.3639435713000001E-5</v>
      </c>
    </row>
    <row r="406" spans="2:5" ht="15" customHeight="1">
      <c r="B406" s="97"/>
      <c r="C406" s="74" t="s">
        <v>212</v>
      </c>
      <c r="D406" s="58">
        <v>9</v>
      </c>
      <c r="E406" s="59">
        <v>2.4137746070900001E-4</v>
      </c>
    </row>
    <row r="407" spans="2:5" ht="15" customHeight="1">
      <c r="B407" s="97"/>
      <c r="C407" s="74" t="s">
        <v>213</v>
      </c>
      <c r="D407" s="58">
        <v>6</v>
      </c>
      <c r="E407" s="59">
        <v>1.6091830713899999E-4</v>
      </c>
    </row>
    <row r="408" spans="2:5" ht="15" customHeight="1">
      <c r="B408" s="97"/>
      <c r="C408" s="74" t="s">
        <v>214</v>
      </c>
      <c r="D408" s="58">
        <v>18</v>
      </c>
      <c r="E408" s="59">
        <v>4.8275492141800001E-4</v>
      </c>
    </row>
    <row r="409" spans="2:5" ht="15" customHeight="1">
      <c r="B409" s="97"/>
      <c r="C409" s="74" t="s">
        <v>215</v>
      </c>
      <c r="D409" s="58">
        <v>3</v>
      </c>
      <c r="E409" s="59">
        <v>8.0459153570000002E-5</v>
      </c>
    </row>
    <row r="410" spans="2:5" ht="15" customHeight="1">
      <c r="B410" s="97"/>
      <c r="C410" s="74" t="s">
        <v>216</v>
      </c>
      <c r="D410" s="58">
        <v>22</v>
      </c>
      <c r="E410" s="59">
        <v>5.9003379284399999E-4</v>
      </c>
    </row>
    <row r="411" spans="2:5" ht="15" customHeight="1">
      <c r="B411" s="98"/>
      <c r="C411" s="75" t="s">
        <v>353</v>
      </c>
      <c r="D411" s="71">
        <v>476</v>
      </c>
      <c r="E411" s="73">
        <v>1.2766185699726E-2</v>
      </c>
    </row>
    <row r="412" spans="2:5" ht="15" customHeight="1">
      <c r="B412" s="96" t="s">
        <v>77</v>
      </c>
      <c r="C412" s="74" t="s">
        <v>202</v>
      </c>
      <c r="D412" s="58">
        <v>11</v>
      </c>
      <c r="E412" s="59">
        <v>2.9501689642199999E-4</v>
      </c>
    </row>
    <row r="413" spans="2:5" ht="15" customHeight="1">
      <c r="B413" s="97"/>
      <c r="C413" s="74" t="s">
        <v>203</v>
      </c>
      <c r="D413" s="58">
        <v>15</v>
      </c>
      <c r="E413" s="59">
        <v>4.0229576784899998E-4</v>
      </c>
    </row>
    <row r="414" spans="2:5" ht="15" customHeight="1">
      <c r="B414" s="97"/>
      <c r="C414" s="74" t="s">
        <v>204</v>
      </c>
      <c r="D414" s="58">
        <v>3</v>
      </c>
      <c r="E414" s="59">
        <v>8.0459153570000002E-5</v>
      </c>
    </row>
    <row r="415" spans="2:5" ht="15" customHeight="1">
      <c r="B415" s="97"/>
      <c r="C415" s="74" t="s">
        <v>205</v>
      </c>
      <c r="D415" s="58">
        <v>2</v>
      </c>
      <c r="E415" s="59">
        <v>5.3639435713000001E-5</v>
      </c>
    </row>
    <row r="416" spans="2:5" ht="15" customHeight="1">
      <c r="B416" s="97"/>
      <c r="C416" s="74" t="s">
        <v>206</v>
      </c>
      <c r="D416" s="58">
        <v>26</v>
      </c>
      <c r="E416" s="59">
        <v>6.9731266427100003E-4</v>
      </c>
    </row>
    <row r="417" spans="2:5" ht="15" customHeight="1">
      <c r="B417" s="97"/>
      <c r="C417" s="74" t="s">
        <v>217</v>
      </c>
      <c r="D417" s="58">
        <v>248</v>
      </c>
      <c r="E417" s="59">
        <v>6.6512900284290003E-3</v>
      </c>
    </row>
    <row r="418" spans="2:5" ht="15" customHeight="1">
      <c r="B418" s="97"/>
      <c r="C418" s="74" t="s">
        <v>207</v>
      </c>
      <c r="D418" s="58">
        <v>16</v>
      </c>
      <c r="E418" s="59">
        <v>4.2911548570500002E-4</v>
      </c>
    </row>
    <row r="419" spans="2:5" ht="15" customHeight="1">
      <c r="B419" s="97"/>
      <c r="C419" s="74" t="s">
        <v>208</v>
      </c>
      <c r="D419" s="58">
        <v>19</v>
      </c>
      <c r="E419" s="59">
        <v>5.0957463927499996E-4</v>
      </c>
    </row>
    <row r="420" spans="2:5" ht="15" customHeight="1">
      <c r="B420" s="97"/>
      <c r="C420" s="74" t="s">
        <v>209</v>
      </c>
      <c r="D420" s="58">
        <v>16</v>
      </c>
      <c r="E420" s="59">
        <v>4.2911548570500002E-4</v>
      </c>
    </row>
    <row r="421" spans="2:5" ht="15" customHeight="1">
      <c r="B421" s="97"/>
      <c r="C421" s="74" t="s">
        <v>218</v>
      </c>
      <c r="D421" s="58">
        <v>2</v>
      </c>
      <c r="E421" s="59">
        <v>5.3639435713000001E-5</v>
      </c>
    </row>
    <row r="422" spans="2:5" ht="15" customHeight="1">
      <c r="B422" s="97"/>
      <c r="C422" s="74" t="s">
        <v>210</v>
      </c>
      <c r="D422" s="58">
        <v>16</v>
      </c>
      <c r="E422" s="59">
        <v>4.2911548570500002E-4</v>
      </c>
    </row>
    <row r="423" spans="2:5" ht="15" customHeight="1">
      <c r="B423" s="97"/>
      <c r="C423" s="74" t="s">
        <v>211</v>
      </c>
      <c r="D423" s="58">
        <v>1</v>
      </c>
      <c r="E423" s="59">
        <v>2.6819717857000001E-5</v>
      </c>
    </row>
    <row r="424" spans="2:5" ht="15" customHeight="1">
      <c r="B424" s="97"/>
      <c r="C424" s="74" t="s">
        <v>212</v>
      </c>
      <c r="D424" s="58">
        <v>10</v>
      </c>
      <c r="E424" s="59">
        <v>2.6819717856600001E-4</v>
      </c>
    </row>
    <row r="425" spans="2:5" ht="15" customHeight="1">
      <c r="B425" s="97"/>
      <c r="C425" s="74" t="s">
        <v>213</v>
      </c>
      <c r="D425" s="58">
        <v>6</v>
      </c>
      <c r="E425" s="59">
        <v>1.6091830713899999E-4</v>
      </c>
    </row>
    <row r="426" spans="2:5" ht="15" customHeight="1">
      <c r="B426" s="97"/>
      <c r="C426" s="74" t="s">
        <v>214</v>
      </c>
      <c r="D426" s="58">
        <v>3</v>
      </c>
      <c r="E426" s="59">
        <v>8.0459153570000002E-5</v>
      </c>
    </row>
    <row r="427" spans="2:5" ht="15" customHeight="1">
      <c r="B427" s="97"/>
      <c r="C427" s="74" t="s">
        <v>215</v>
      </c>
      <c r="D427" s="58">
        <v>2</v>
      </c>
      <c r="E427" s="59">
        <v>5.3639435713000001E-5</v>
      </c>
    </row>
    <row r="428" spans="2:5" ht="15" customHeight="1">
      <c r="B428" s="97"/>
      <c r="C428" s="74" t="s">
        <v>216</v>
      </c>
      <c r="D428" s="58">
        <v>15</v>
      </c>
      <c r="E428" s="59">
        <v>4.0229576784899998E-4</v>
      </c>
    </row>
    <row r="429" spans="2:5" ht="15" customHeight="1">
      <c r="B429" s="98"/>
      <c r="C429" s="75" t="s">
        <v>353</v>
      </c>
      <c r="D429" s="71">
        <v>411</v>
      </c>
      <c r="E429" s="73">
        <v>1.1022904039049999E-2</v>
      </c>
    </row>
    <row r="430" spans="2:5" ht="15" customHeight="1">
      <c r="B430" s="96" t="s">
        <v>87</v>
      </c>
      <c r="C430" s="74" t="s">
        <v>202</v>
      </c>
      <c r="D430" s="58">
        <v>10</v>
      </c>
      <c r="E430" s="59">
        <v>2.6819717856600001E-4</v>
      </c>
    </row>
    <row r="431" spans="2:5" ht="15" customHeight="1">
      <c r="B431" s="97"/>
      <c r="C431" s="74" t="s">
        <v>203</v>
      </c>
      <c r="D431" s="58">
        <v>15</v>
      </c>
      <c r="E431" s="59">
        <v>4.0229576784899998E-4</v>
      </c>
    </row>
    <row r="432" spans="2:5" ht="15" customHeight="1">
      <c r="B432" s="97"/>
      <c r="C432" s="74" t="s">
        <v>204</v>
      </c>
      <c r="D432" s="58">
        <v>2</v>
      </c>
      <c r="E432" s="59">
        <v>5.3639435713000001E-5</v>
      </c>
    </row>
    <row r="433" spans="2:5" ht="15" customHeight="1">
      <c r="B433" s="97"/>
      <c r="C433" s="74" t="s">
        <v>205</v>
      </c>
      <c r="D433" s="58">
        <v>2</v>
      </c>
      <c r="E433" s="59">
        <v>5.3639435713000001E-5</v>
      </c>
    </row>
    <row r="434" spans="2:5" ht="15" customHeight="1">
      <c r="B434" s="97"/>
      <c r="C434" s="74" t="s">
        <v>206</v>
      </c>
      <c r="D434" s="58">
        <v>28</v>
      </c>
      <c r="E434" s="59">
        <v>7.5095209998399996E-4</v>
      </c>
    </row>
    <row r="435" spans="2:5" ht="15" customHeight="1">
      <c r="B435" s="97"/>
      <c r="C435" s="74" t="s">
        <v>217</v>
      </c>
      <c r="D435" s="58">
        <v>142</v>
      </c>
      <c r="E435" s="59">
        <v>3.808399935633E-3</v>
      </c>
    </row>
    <row r="436" spans="2:5" ht="15" customHeight="1">
      <c r="B436" s="97"/>
      <c r="C436" s="74" t="s">
        <v>207</v>
      </c>
      <c r="D436" s="58">
        <v>21</v>
      </c>
      <c r="E436" s="59">
        <v>5.63214074988E-4</v>
      </c>
    </row>
    <row r="437" spans="2:5" ht="15" customHeight="1">
      <c r="B437" s="97"/>
      <c r="C437" s="74" t="s">
        <v>208</v>
      </c>
      <c r="D437" s="58">
        <v>10</v>
      </c>
      <c r="E437" s="59">
        <v>2.6819717856600001E-4</v>
      </c>
    </row>
    <row r="438" spans="2:5" ht="15" customHeight="1">
      <c r="B438" s="97"/>
      <c r="C438" s="74" t="s">
        <v>209</v>
      </c>
      <c r="D438" s="58">
        <v>26</v>
      </c>
      <c r="E438" s="59">
        <v>6.9731266427100003E-4</v>
      </c>
    </row>
    <row r="439" spans="2:5" ht="15" customHeight="1">
      <c r="B439" s="97"/>
      <c r="C439" s="74" t="s">
        <v>218</v>
      </c>
      <c r="D439" s="58">
        <v>6</v>
      </c>
      <c r="E439" s="59">
        <v>1.6091830713899999E-4</v>
      </c>
    </row>
    <row r="440" spans="2:5" ht="15" customHeight="1">
      <c r="B440" s="97"/>
      <c r="C440" s="74" t="s">
        <v>210</v>
      </c>
      <c r="D440" s="58">
        <v>22</v>
      </c>
      <c r="E440" s="59">
        <v>5.9003379284399999E-4</v>
      </c>
    </row>
    <row r="441" spans="2:5" ht="15" customHeight="1">
      <c r="B441" s="97"/>
      <c r="C441" s="74" t="s">
        <v>211</v>
      </c>
      <c r="D441" s="58">
        <v>4</v>
      </c>
      <c r="E441" s="59">
        <v>1.07278871426E-4</v>
      </c>
    </row>
    <row r="442" spans="2:5" ht="15" customHeight="1">
      <c r="B442" s="97"/>
      <c r="C442" s="74" t="s">
        <v>212</v>
      </c>
      <c r="D442" s="58">
        <v>4</v>
      </c>
      <c r="E442" s="59">
        <v>1.07278871426E-4</v>
      </c>
    </row>
    <row r="443" spans="2:5" ht="15" customHeight="1">
      <c r="B443" s="97"/>
      <c r="C443" s="74" t="s">
        <v>213</v>
      </c>
      <c r="D443" s="58">
        <v>5</v>
      </c>
      <c r="E443" s="59">
        <v>1.34098589283E-4</v>
      </c>
    </row>
    <row r="444" spans="2:5" ht="15" customHeight="1">
      <c r="B444" s="97"/>
      <c r="C444" s="74" t="s">
        <v>214</v>
      </c>
      <c r="D444" s="58">
        <v>9</v>
      </c>
      <c r="E444" s="59">
        <v>2.4137746070900001E-4</v>
      </c>
    </row>
    <row r="445" spans="2:5" ht="15" customHeight="1">
      <c r="B445" s="97"/>
      <c r="C445" s="74" t="s">
        <v>215</v>
      </c>
      <c r="D445" s="58">
        <v>1</v>
      </c>
      <c r="E445" s="59">
        <v>2.6819717857000001E-5</v>
      </c>
    </row>
    <row r="446" spans="2:5" ht="15" customHeight="1">
      <c r="B446" s="97"/>
      <c r="C446" s="74" t="s">
        <v>216</v>
      </c>
      <c r="D446" s="58">
        <v>11</v>
      </c>
      <c r="E446" s="59">
        <v>2.9501689642199999E-4</v>
      </c>
    </row>
    <row r="447" spans="2:5" ht="15" customHeight="1">
      <c r="B447" s="98"/>
      <c r="C447" s="75" t="s">
        <v>353</v>
      </c>
      <c r="D447" s="71">
        <v>318</v>
      </c>
      <c r="E447" s="73">
        <v>8.5286702783889997E-3</v>
      </c>
    </row>
    <row r="448" spans="2:5" ht="15" customHeight="1">
      <c r="B448" s="96" t="s">
        <v>97</v>
      </c>
      <c r="C448" s="74" t="s">
        <v>217</v>
      </c>
      <c r="D448" s="58">
        <v>7</v>
      </c>
      <c r="E448" s="59">
        <v>1.8773802499599999E-4</v>
      </c>
    </row>
    <row r="449" spans="2:5" ht="15" customHeight="1">
      <c r="B449" s="98"/>
      <c r="C449" s="75" t="s">
        <v>353</v>
      </c>
      <c r="D449" s="71">
        <v>7</v>
      </c>
      <c r="E449" s="73">
        <v>1.8773802499599999E-4</v>
      </c>
    </row>
    <row r="450" spans="2:5" ht="15" customHeight="1">
      <c r="B450" s="96" t="s">
        <v>80</v>
      </c>
      <c r="C450" s="74" t="s">
        <v>202</v>
      </c>
      <c r="D450" s="58">
        <v>10</v>
      </c>
      <c r="E450" s="59">
        <v>2.6819717856600001E-4</v>
      </c>
    </row>
    <row r="451" spans="2:5" ht="15" customHeight="1">
      <c r="B451" s="97"/>
      <c r="C451" s="74" t="s">
        <v>203</v>
      </c>
      <c r="D451" s="58">
        <v>9</v>
      </c>
      <c r="E451" s="59">
        <v>2.4137746070900001E-4</v>
      </c>
    </row>
    <row r="452" spans="2:5" ht="15" customHeight="1">
      <c r="B452" s="97"/>
      <c r="C452" s="74" t="s">
        <v>204</v>
      </c>
      <c r="D452" s="58">
        <v>4</v>
      </c>
      <c r="E452" s="59">
        <v>1.07278871426E-4</v>
      </c>
    </row>
    <row r="453" spans="2:5" ht="15" customHeight="1">
      <c r="B453" s="97"/>
      <c r="C453" s="74" t="s">
        <v>206</v>
      </c>
      <c r="D453" s="58">
        <v>14</v>
      </c>
      <c r="E453" s="59">
        <v>3.7547604999199998E-4</v>
      </c>
    </row>
    <row r="454" spans="2:5" ht="15" customHeight="1">
      <c r="B454" s="97"/>
      <c r="C454" s="74" t="s">
        <v>217</v>
      </c>
      <c r="D454" s="58">
        <v>54</v>
      </c>
      <c r="E454" s="59">
        <v>1.4482647642550001E-3</v>
      </c>
    </row>
    <row r="455" spans="2:5" ht="15" customHeight="1">
      <c r="B455" s="97"/>
      <c r="C455" s="74" t="s">
        <v>207</v>
      </c>
      <c r="D455" s="58">
        <v>31</v>
      </c>
      <c r="E455" s="59">
        <v>8.3141125355399995E-4</v>
      </c>
    </row>
    <row r="456" spans="2:5" ht="15" customHeight="1">
      <c r="B456" s="97"/>
      <c r="C456" s="74" t="s">
        <v>208</v>
      </c>
      <c r="D456" s="58">
        <v>6</v>
      </c>
      <c r="E456" s="59">
        <v>1.6091830713899999E-4</v>
      </c>
    </row>
    <row r="457" spans="2:5" ht="15" customHeight="1">
      <c r="B457" s="97"/>
      <c r="C457" s="74" t="s">
        <v>209</v>
      </c>
      <c r="D457" s="58">
        <v>16</v>
      </c>
      <c r="E457" s="59">
        <v>4.2911548570500002E-4</v>
      </c>
    </row>
    <row r="458" spans="2:5" ht="15" customHeight="1">
      <c r="B458" s="97"/>
      <c r="C458" s="74" t="s">
        <v>218</v>
      </c>
      <c r="D458" s="58">
        <v>1</v>
      </c>
      <c r="E458" s="59">
        <v>2.6819717857000001E-5</v>
      </c>
    </row>
    <row r="459" spans="2:5" ht="15" customHeight="1">
      <c r="B459" s="97"/>
      <c r="C459" s="74" t="s">
        <v>210</v>
      </c>
      <c r="D459" s="58">
        <v>9</v>
      </c>
      <c r="E459" s="59">
        <v>2.4137746070900001E-4</v>
      </c>
    </row>
    <row r="460" spans="2:5" ht="15" customHeight="1">
      <c r="B460" s="97"/>
      <c r="C460" s="74" t="s">
        <v>211</v>
      </c>
      <c r="D460" s="58">
        <v>3</v>
      </c>
      <c r="E460" s="59">
        <v>8.0459153570000002E-5</v>
      </c>
    </row>
    <row r="461" spans="2:5" ht="15" customHeight="1">
      <c r="B461" s="97"/>
      <c r="C461" s="74" t="s">
        <v>212</v>
      </c>
      <c r="D461" s="58">
        <v>3</v>
      </c>
      <c r="E461" s="59">
        <v>8.0459153570000002E-5</v>
      </c>
    </row>
    <row r="462" spans="2:5" ht="15" customHeight="1">
      <c r="B462" s="97"/>
      <c r="C462" s="74" t="s">
        <v>213</v>
      </c>
      <c r="D462" s="58">
        <v>3</v>
      </c>
      <c r="E462" s="59">
        <v>8.0459153570000002E-5</v>
      </c>
    </row>
    <row r="463" spans="2:5" ht="15" customHeight="1">
      <c r="B463" s="97"/>
      <c r="C463" s="74" t="s">
        <v>214</v>
      </c>
      <c r="D463" s="58">
        <v>11</v>
      </c>
      <c r="E463" s="59">
        <v>2.9501689642199999E-4</v>
      </c>
    </row>
    <row r="464" spans="2:5" ht="15" customHeight="1">
      <c r="B464" s="97"/>
      <c r="C464" s="74" t="s">
        <v>215</v>
      </c>
      <c r="D464" s="58">
        <v>1</v>
      </c>
      <c r="E464" s="59">
        <v>2.6819717857000001E-5</v>
      </c>
    </row>
    <row r="465" spans="2:5" ht="15" customHeight="1">
      <c r="B465" s="97"/>
      <c r="C465" s="74" t="s">
        <v>216</v>
      </c>
      <c r="D465" s="58">
        <v>12</v>
      </c>
      <c r="E465" s="59">
        <v>3.2183661427899999E-4</v>
      </c>
    </row>
    <row r="466" spans="2:5" ht="15" customHeight="1">
      <c r="B466" s="98"/>
      <c r="C466" s="75" t="s">
        <v>353</v>
      </c>
      <c r="D466" s="71">
        <v>187</v>
      </c>
      <c r="E466" s="73">
        <v>5.0152872391779997E-3</v>
      </c>
    </row>
    <row r="467" spans="2:5" ht="15" customHeight="1">
      <c r="B467" s="96" t="s">
        <v>54</v>
      </c>
      <c r="C467" s="74" t="s">
        <v>202</v>
      </c>
      <c r="D467" s="58">
        <v>37</v>
      </c>
      <c r="E467" s="59">
        <v>9.9232956069299997E-4</v>
      </c>
    </row>
    <row r="468" spans="2:5" ht="15" customHeight="1">
      <c r="B468" s="97"/>
      <c r="C468" s="74" t="s">
        <v>203</v>
      </c>
      <c r="D468" s="58">
        <v>40</v>
      </c>
      <c r="E468" s="59">
        <v>1.072788714263E-3</v>
      </c>
    </row>
    <row r="469" spans="2:5" ht="15" customHeight="1">
      <c r="B469" s="97"/>
      <c r="C469" s="74" t="s">
        <v>204</v>
      </c>
      <c r="D469" s="58">
        <v>34</v>
      </c>
      <c r="E469" s="59">
        <v>9.1187040712299998E-4</v>
      </c>
    </row>
    <row r="470" spans="2:5" ht="15" customHeight="1">
      <c r="B470" s="97"/>
      <c r="C470" s="74" t="s">
        <v>205</v>
      </c>
      <c r="D470" s="58">
        <v>5</v>
      </c>
      <c r="E470" s="59">
        <v>1.34098589283E-4</v>
      </c>
    </row>
    <row r="471" spans="2:5" ht="15" customHeight="1">
      <c r="B471" s="97"/>
      <c r="C471" s="74" t="s">
        <v>206</v>
      </c>
      <c r="D471" s="58">
        <v>82</v>
      </c>
      <c r="E471" s="59">
        <v>2.1992168642390002E-3</v>
      </c>
    </row>
    <row r="472" spans="2:5" ht="15" customHeight="1">
      <c r="B472" s="97"/>
      <c r="C472" s="74" t="s">
        <v>217</v>
      </c>
      <c r="D472" s="58">
        <v>1061</v>
      </c>
      <c r="E472" s="59">
        <v>2.8455720645818999E-2</v>
      </c>
    </row>
    <row r="473" spans="2:5" ht="15" customHeight="1">
      <c r="B473" s="97"/>
      <c r="C473" s="74" t="s">
        <v>207</v>
      </c>
      <c r="D473" s="58">
        <v>77</v>
      </c>
      <c r="E473" s="59">
        <v>2.0651182749560001E-3</v>
      </c>
    </row>
    <row r="474" spans="2:5" ht="15" customHeight="1">
      <c r="B474" s="97"/>
      <c r="C474" s="74" t="s">
        <v>208</v>
      </c>
      <c r="D474" s="58">
        <v>55</v>
      </c>
      <c r="E474" s="59">
        <v>1.475084482111E-3</v>
      </c>
    </row>
    <row r="475" spans="2:5" ht="15" customHeight="1">
      <c r="B475" s="97"/>
      <c r="C475" s="74" t="s">
        <v>209</v>
      </c>
      <c r="D475" s="58">
        <v>98</v>
      </c>
      <c r="E475" s="59">
        <v>2.6283323499440001E-3</v>
      </c>
    </row>
    <row r="476" spans="2:5" ht="15" customHeight="1">
      <c r="B476" s="97"/>
      <c r="C476" s="74" t="s">
        <v>218</v>
      </c>
      <c r="D476" s="58">
        <v>12</v>
      </c>
      <c r="E476" s="59">
        <v>3.2183661427899999E-4</v>
      </c>
    </row>
    <row r="477" spans="2:5" ht="15" customHeight="1">
      <c r="B477" s="97"/>
      <c r="C477" s="74" t="s">
        <v>210</v>
      </c>
      <c r="D477" s="58">
        <v>54</v>
      </c>
      <c r="E477" s="59">
        <v>1.4482647642550001E-3</v>
      </c>
    </row>
    <row r="478" spans="2:5" ht="15" customHeight="1">
      <c r="B478" s="97"/>
      <c r="C478" s="74" t="s">
        <v>211</v>
      </c>
      <c r="D478" s="58">
        <v>15</v>
      </c>
      <c r="E478" s="59">
        <v>4.0229576784899998E-4</v>
      </c>
    </row>
    <row r="479" spans="2:5" ht="15" customHeight="1">
      <c r="B479" s="97"/>
      <c r="C479" s="74" t="s">
        <v>212</v>
      </c>
      <c r="D479" s="58">
        <v>24</v>
      </c>
      <c r="E479" s="59">
        <v>6.4367322855799999E-4</v>
      </c>
    </row>
    <row r="480" spans="2:5" ht="15" customHeight="1">
      <c r="B480" s="97"/>
      <c r="C480" s="74" t="s">
        <v>213</v>
      </c>
      <c r="D480" s="58">
        <v>25</v>
      </c>
      <c r="E480" s="59">
        <v>6.7049294641399998E-4</v>
      </c>
    </row>
    <row r="481" spans="2:5" ht="15" customHeight="1">
      <c r="B481" s="97"/>
      <c r="C481" s="74" t="s">
        <v>214</v>
      </c>
      <c r="D481" s="58">
        <v>37</v>
      </c>
      <c r="E481" s="59">
        <v>9.9232956069299997E-4</v>
      </c>
    </row>
    <row r="482" spans="2:5" ht="15" customHeight="1">
      <c r="B482" s="97"/>
      <c r="C482" s="74" t="s">
        <v>215</v>
      </c>
      <c r="D482" s="58">
        <v>9</v>
      </c>
      <c r="E482" s="59">
        <v>2.4137746070900001E-4</v>
      </c>
    </row>
    <row r="483" spans="2:5" ht="15" customHeight="1">
      <c r="B483" s="97"/>
      <c r="C483" s="74" t="s">
        <v>216</v>
      </c>
      <c r="D483" s="58">
        <v>42</v>
      </c>
      <c r="E483" s="59">
        <v>1.126428149976E-3</v>
      </c>
    </row>
    <row r="484" spans="2:5" ht="15" customHeight="1">
      <c r="B484" s="98"/>
      <c r="C484" s="75" t="s">
        <v>353</v>
      </c>
      <c r="D484" s="71">
        <v>1707</v>
      </c>
      <c r="E484" s="73">
        <v>4.5781258381162003E-2</v>
      </c>
    </row>
    <row r="485" spans="2:5" ht="15" customHeight="1">
      <c r="B485" s="96" t="s">
        <v>73</v>
      </c>
      <c r="C485" s="74" t="s">
        <v>202</v>
      </c>
      <c r="D485" s="58">
        <v>44</v>
      </c>
      <c r="E485" s="59">
        <v>1.180067585689E-3</v>
      </c>
    </row>
    <row r="486" spans="2:5" ht="15" customHeight="1">
      <c r="B486" s="97"/>
      <c r="C486" s="74" t="s">
        <v>203</v>
      </c>
      <c r="D486" s="58">
        <v>37</v>
      </c>
      <c r="E486" s="59">
        <v>9.9232956069299997E-4</v>
      </c>
    </row>
    <row r="487" spans="2:5" ht="15" customHeight="1">
      <c r="B487" s="97"/>
      <c r="C487" s="74" t="s">
        <v>204</v>
      </c>
      <c r="D487" s="58">
        <v>25</v>
      </c>
      <c r="E487" s="59">
        <v>6.7049294641399998E-4</v>
      </c>
    </row>
    <row r="488" spans="2:5" ht="15" customHeight="1">
      <c r="B488" s="97"/>
      <c r="C488" s="74" t="s">
        <v>205</v>
      </c>
      <c r="D488" s="58">
        <v>5</v>
      </c>
      <c r="E488" s="59">
        <v>1.34098589283E-4</v>
      </c>
    </row>
    <row r="489" spans="2:5" ht="15" customHeight="1">
      <c r="B489" s="97"/>
      <c r="C489" s="74" t="s">
        <v>206</v>
      </c>
      <c r="D489" s="58">
        <v>61</v>
      </c>
      <c r="E489" s="59">
        <v>1.636002789251E-3</v>
      </c>
    </row>
    <row r="490" spans="2:5" ht="15" customHeight="1">
      <c r="B490" s="97"/>
      <c r="C490" s="74" t="s">
        <v>207</v>
      </c>
      <c r="D490" s="58">
        <v>95</v>
      </c>
      <c r="E490" s="59">
        <v>2.5478731963739999E-3</v>
      </c>
    </row>
    <row r="491" spans="2:5" ht="15" customHeight="1">
      <c r="B491" s="97"/>
      <c r="C491" s="74" t="s">
        <v>208</v>
      </c>
      <c r="D491" s="58">
        <v>30</v>
      </c>
      <c r="E491" s="59">
        <v>8.0459153569700001E-4</v>
      </c>
    </row>
    <row r="492" spans="2:5" ht="15" customHeight="1">
      <c r="B492" s="97"/>
      <c r="C492" s="74" t="s">
        <v>209</v>
      </c>
      <c r="D492" s="58">
        <v>43</v>
      </c>
      <c r="E492" s="59">
        <v>1.1532478678320001E-3</v>
      </c>
    </row>
    <row r="493" spans="2:5" ht="15" customHeight="1">
      <c r="B493" s="97"/>
      <c r="C493" s="74" t="s">
        <v>218</v>
      </c>
      <c r="D493" s="58">
        <v>8</v>
      </c>
      <c r="E493" s="59">
        <v>2.1455774285299999E-4</v>
      </c>
    </row>
    <row r="494" spans="2:5" ht="15" customHeight="1">
      <c r="B494" s="97"/>
      <c r="C494" s="74" t="s">
        <v>210</v>
      </c>
      <c r="D494" s="58">
        <v>53</v>
      </c>
      <c r="E494" s="59">
        <v>1.4214450463979999E-3</v>
      </c>
    </row>
    <row r="495" spans="2:5" ht="15" customHeight="1">
      <c r="B495" s="97"/>
      <c r="C495" s="74" t="s">
        <v>211</v>
      </c>
      <c r="D495" s="58">
        <v>3</v>
      </c>
      <c r="E495" s="59">
        <v>8.0459153570000002E-5</v>
      </c>
    </row>
    <row r="496" spans="2:5" ht="15" customHeight="1">
      <c r="B496" s="97"/>
      <c r="C496" s="74" t="s">
        <v>212</v>
      </c>
      <c r="D496" s="58">
        <v>20</v>
      </c>
      <c r="E496" s="59">
        <v>5.3639435713100005E-4</v>
      </c>
    </row>
    <row r="497" spans="2:5" ht="15" customHeight="1">
      <c r="B497" s="97"/>
      <c r="C497" s="74" t="s">
        <v>213</v>
      </c>
      <c r="D497" s="58">
        <v>11</v>
      </c>
      <c r="E497" s="59">
        <v>2.9501689642199999E-4</v>
      </c>
    </row>
    <row r="498" spans="2:5" ht="15" customHeight="1">
      <c r="B498" s="97"/>
      <c r="C498" s="74" t="s">
        <v>214</v>
      </c>
      <c r="D498" s="58">
        <v>32</v>
      </c>
      <c r="E498" s="59">
        <v>8.5823097141000005E-4</v>
      </c>
    </row>
    <row r="499" spans="2:5" ht="15" customHeight="1">
      <c r="B499" s="97"/>
      <c r="C499" s="74" t="s">
        <v>215</v>
      </c>
      <c r="D499" s="58">
        <v>5</v>
      </c>
      <c r="E499" s="59">
        <v>1.34098589283E-4</v>
      </c>
    </row>
    <row r="500" spans="2:5" ht="15" customHeight="1">
      <c r="B500" s="97"/>
      <c r="C500" s="74" t="s">
        <v>216</v>
      </c>
      <c r="D500" s="58">
        <v>48</v>
      </c>
      <c r="E500" s="59">
        <v>1.2873464571149999E-3</v>
      </c>
    </row>
    <row r="501" spans="2:5" ht="15" customHeight="1">
      <c r="B501" s="98"/>
      <c r="C501" s="75" t="s">
        <v>353</v>
      </c>
      <c r="D501" s="71">
        <v>520</v>
      </c>
      <c r="E501" s="73">
        <v>1.3946253285414999E-2</v>
      </c>
    </row>
    <row r="502" spans="2:5" ht="15" customHeight="1">
      <c r="B502" s="96" t="s">
        <v>81</v>
      </c>
      <c r="C502" s="74" t="s">
        <v>202</v>
      </c>
      <c r="D502" s="58">
        <v>12</v>
      </c>
      <c r="E502" s="59">
        <v>3.2183661427899999E-4</v>
      </c>
    </row>
    <row r="503" spans="2:5" ht="15" customHeight="1">
      <c r="B503" s="97"/>
      <c r="C503" s="74" t="s">
        <v>203</v>
      </c>
      <c r="D503" s="58">
        <v>11</v>
      </c>
      <c r="E503" s="59">
        <v>2.9501689642199999E-4</v>
      </c>
    </row>
    <row r="504" spans="2:5" ht="15" customHeight="1">
      <c r="B504" s="97"/>
      <c r="C504" s="74" t="s">
        <v>204</v>
      </c>
      <c r="D504" s="58">
        <v>4</v>
      </c>
      <c r="E504" s="59">
        <v>1.07278871426E-4</v>
      </c>
    </row>
    <row r="505" spans="2:5" ht="15" customHeight="1">
      <c r="B505" s="97"/>
      <c r="C505" s="74" t="s">
        <v>206</v>
      </c>
      <c r="D505" s="58">
        <v>23</v>
      </c>
      <c r="E505" s="59">
        <v>6.1685351070100004E-4</v>
      </c>
    </row>
    <row r="506" spans="2:5" ht="15" customHeight="1">
      <c r="B506" s="97"/>
      <c r="C506" s="74" t="s">
        <v>217</v>
      </c>
      <c r="D506" s="58">
        <v>98</v>
      </c>
      <c r="E506" s="59">
        <v>2.6283323499440001E-3</v>
      </c>
    </row>
    <row r="507" spans="2:5" ht="15" customHeight="1">
      <c r="B507" s="97"/>
      <c r="C507" s="74" t="s">
        <v>207</v>
      </c>
      <c r="D507" s="58">
        <v>30</v>
      </c>
      <c r="E507" s="59">
        <v>8.0459153569700001E-4</v>
      </c>
    </row>
    <row r="508" spans="2:5" ht="15" customHeight="1">
      <c r="B508" s="97"/>
      <c r="C508" s="74" t="s">
        <v>208</v>
      </c>
      <c r="D508" s="58">
        <v>10</v>
      </c>
      <c r="E508" s="59">
        <v>2.6819717856600001E-4</v>
      </c>
    </row>
    <row r="509" spans="2:5" ht="15" customHeight="1">
      <c r="B509" s="97"/>
      <c r="C509" s="74" t="s">
        <v>209</v>
      </c>
      <c r="D509" s="58">
        <v>41</v>
      </c>
      <c r="E509" s="59">
        <v>1.0996084321190001E-3</v>
      </c>
    </row>
    <row r="510" spans="2:5" ht="15" customHeight="1">
      <c r="B510" s="97"/>
      <c r="C510" s="74" t="s">
        <v>218</v>
      </c>
      <c r="D510" s="58">
        <v>4</v>
      </c>
      <c r="E510" s="59">
        <v>1.07278871426E-4</v>
      </c>
    </row>
    <row r="511" spans="2:5" ht="15" customHeight="1">
      <c r="B511" s="97"/>
      <c r="C511" s="74" t="s">
        <v>210</v>
      </c>
      <c r="D511" s="58">
        <v>13</v>
      </c>
      <c r="E511" s="59">
        <v>3.4865633213499998E-4</v>
      </c>
    </row>
    <row r="512" spans="2:5" ht="15" customHeight="1">
      <c r="B512" s="97"/>
      <c r="C512" s="74" t="s">
        <v>211</v>
      </c>
      <c r="D512" s="58">
        <v>4</v>
      </c>
      <c r="E512" s="59">
        <v>1.07278871426E-4</v>
      </c>
    </row>
    <row r="513" spans="2:5" ht="15" customHeight="1">
      <c r="B513" s="97"/>
      <c r="C513" s="74" t="s">
        <v>212</v>
      </c>
      <c r="D513" s="58">
        <v>8</v>
      </c>
      <c r="E513" s="59">
        <v>2.1455774285299999E-4</v>
      </c>
    </row>
    <row r="514" spans="2:5" ht="15" customHeight="1">
      <c r="B514" s="97"/>
      <c r="C514" s="74" t="s">
        <v>213</v>
      </c>
      <c r="D514" s="58">
        <v>6</v>
      </c>
      <c r="E514" s="59">
        <v>1.6091830713899999E-4</v>
      </c>
    </row>
    <row r="515" spans="2:5" ht="15" customHeight="1">
      <c r="B515" s="97"/>
      <c r="C515" s="74" t="s">
        <v>214</v>
      </c>
      <c r="D515" s="58">
        <v>14</v>
      </c>
      <c r="E515" s="59">
        <v>3.7547604999199998E-4</v>
      </c>
    </row>
    <row r="516" spans="2:5" ht="15" customHeight="1">
      <c r="B516" s="97"/>
      <c r="C516" s="74" t="s">
        <v>215</v>
      </c>
      <c r="D516" s="58">
        <v>5</v>
      </c>
      <c r="E516" s="59">
        <v>1.34098589283E-4</v>
      </c>
    </row>
    <row r="517" spans="2:5" ht="15" customHeight="1">
      <c r="B517" s="97"/>
      <c r="C517" s="74" t="s">
        <v>216</v>
      </c>
      <c r="D517" s="58">
        <v>15</v>
      </c>
      <c r="E517" s="59">
        <v>4.0229576784899998E-4</v>
      </c>
    </row>
    <row r="518" spans="2:5" ht="15" customHeight="1">
      <c r="B518" s="98"/>
      <c r="C518" s="75" t="s">
        <v>353</v>
      </c>
      <c r="D518" s="71">
        <v>298</v>
      </c>
      <c r="E518" s="73">
        <v>7.9922759212569996E-3</v>
      </c>
    </row>
    <row r="519" spans="2:5" ht="15" customHeight="1">
      <c r="B519" s="96" t="s">
        <v>66</v>
      </c>
      <c r="C519" s="74" t="s">
        <v>202</v>
      </c>
      <c r="D519" s="58">
        <v>42</v>
      </c>
      <c r="E519" s="59">
        <v>1.126428149976E-3</v>
      </c>
    </row>
    <row r="520" spans="2:5" ht="15" customHeight="1">
      <c r="B520" s="97"/>
      <c r="C520" s="74" t="s">
        <v>203</v>
      </c>
      <c r="D520" s="58">
        <v>33</v>
      </c>
      <c r="E520" s="59">
        <v>8.8505068926699999E-4</v>
      </c>
    </row>
    <row r="521" spans="2:5" ht="15" customHeight="1">
      <c r="B521" s="97"/>
      <c r="C521" s="74" t="s">
        <v>204</v>
      </c>
      <c r="D521" s="58">
        <v>15</v>
      </c>
      <c r="E521" s="59">
        <v>4.0229576784899998E-4</v>
      </c>
    </row>
    <row r="522" spans="2:5" ht="15" customHeight="1">
      <c r="B522" s="97"/>
      <c r="C522" s="74" t="s">
        <v>205</v>
      </c>
      <c r="D522" s="58">
        <v>6</v>
      </c>
      <c r="E522" s="59">
        <v>1.6091830713899999E-4</v>
      </c>
    </row>
    <row r="523" spans="2:5" ht="15" customHeight="1">
      <c r="B523" s="97"/>
      <c r="C523" s="74" t="s">
        <v>206</v>
      </c>
      <c r="D523" s="58">
        <v>51</v>
      </c>
      <c r="E523" s="59">
        <v>1.3678056106849999E-3</v>
      </c>
    </row>
    <row r="524" spans="2:5" ht="15" customHeight="1">
      <c r="B524" s="97"/>
      <c r="C524" s="74" t="s">
        <v>217</v>
      </c>
      <c r="D524" s="58">
        <v>15</v>
      </c>
      <c r="E524" s="59">
        <v>4.0229576784899998E-4</v>
      </c>
    </row>
    <row r="525" spans="2:5" ht="15" customHeight="1">
      <c r="B525" s="97"/>
      <c r="C525" s="74" t="s">
        <v>207</v>
      </c>
      <c r="D525" s="58">
        <v>77</v>
      </c>
      <c r="E525" s="59">
        <v>2.0651182749560001E-3</v>
      </c>
    </row>
    <row r="526" spans="2:5" ht="15" customHeight="1">
      <c r="B526" s="97"/>
      <c r="C526" s="74" t="s">
        <v>208</v>
      </c>
      <c r="D526" s="58">
        <v>20</v>
      </c>
      <c r="E526" s="59">
        <v>5.3639435713100005E-4</v>
      </c>
    </row>
    <row r="527" spans="2:5" ht="15" customHeight="1">
      <c r="B527" s="97"/>
      <c r="C527" s="74" t="s">
        <v>209</v>
      </c>
      <c r="D527" s="58">
        <v>53</v>
      </c>
      <c r="E527" s="59">
        <v>1.4214450463979999E-3</v>
      </c>
    </row>
    <row r="528" spans="2:5" ht="15" customHeight="1">
      <c r="B528" s="97"/>
      <c r="C528" s="74" t="s">
        <v>218</v>
      </c>
      <c r="D528" s="58">
        <v>6</v>
      </c>
      <c r="E528" s="59">
        <v>1.6091830713899999E-4</v>
      </c>
    </row>
    <row r="529" spans="2:5" ht="15" customHeight="1">
      <c r="B529" s="97"/>
      <c r="C529" s="74" t="s">
        <v>210</v>
      </c>
      <c r="D529" s="58">
        <v>31</v>
      </c>
      <c r="E529" s="59">
        <v>8.3141125355399995E-4</v>
      </c>
    </row>
    <row r="530" spans="2:5" ht="15" customHeight="1">
      <c r="B530" s="97"/>
      <c r="C530" s="74" t="s">
        <v>211</v>
      </c>
      <c r="D530" s="58">
        <v>4</v>
      </c>
      <c r="E530" s="59">
        <v>1.07278871426E-4</v>
      </c>
    </row>
    <row r="531" spans="2:5" ht="15" customHeight="1">
      <c r="B531" s="97"/>
      <c r="C531" s="74" t="s">
        <v>212</v>
      </c>
      <c r="D531" s="58">
        <v>12</v>
      </c>
      <c r="E531" s="59">
        <v>3.2183661427899999E-4</v>
      </c>
    </row>
    <row r="532" spans="2:5" ht="15" customHeight="1">
      <c r="B532" s="97"/>
      <c r="C532" s="74" t="s">
        <v>213</v>
      </c>
      <c r="D532" s="58">
        <v>6</v>
      </c>
      <c r="E532" s="59">
        <v>1.6091830713899999E-4</v>
      </c>
    </row>
    <row r="533" spans="2:5" ht="15" customHeight="1">
      <c r="B533" s="97"/>
      <c r="C533" s="74" t="s">
        <v>214</v>
      </c>
      <c r="D533" s="58">
        <v>32</v>
      </c>
      <c r="E533" s="59">
        <v>8.5823097141000005E-4</v>
      </c>
    </row>
    <row r="534" spans="2:5" ht="15" customHeight="1">
      <c r="B534" s="97"/>
      <c r="C534" s="74" t="s">
        <v>215</v>
      </c>
      <c r="D534" s="58">
        <v>5</v>
      </c>
      <c r="E534" s="59">
        <v>1.34098589283E-4</v>
      </c>
    </row>
    <row r="535" spans="2:5" ht="15" customHeight="1">
      <c r="B535" s="97"/>
      <c r="C535" s="74" t="s">
        <v>216</v>
      </c>
      <c r="D535" s="58">
        <v>32</v>
      </c>
      <c r="E535" s="59">
        <v>8.5823097141000005E-4</v>
      </c>
    </row>
    <row r="536" spans="2:5" ht="15" customHeight="1">
      <c r="B536" s="98"/>
      <c r="C536" s="75" t="s">
        <v>353</v>
      </c>
      <c r="D536" s="71">
        <v>440</v>
      </c>
      <c r="E536" s="73">
        <v>1.180067585689E-2</v>
      </c>
    </row>
    <row r="537" spans="2:5" ht="15" customHeight="1">
      <c r="B537" s="96" t="s">
        <v>76</v>
      </c>
      <c r="C537" s="74" t="s">
        <v>202</v>
      </c>
      <c r="D537" s="58">
        <v>22</v>
      </c>
      <c r="E537" s="59">
        <v>5.9003379284399999E-4</v>
      </c>
    </row>
    <row r="538" spans="2:5" ht="15" customHeight="1">
      <c r="B538" s="97"/>
      <c r="C538" s="74" t="s">
        <v>203</v>
      </c>
      <c r="D538" s="58">
        <v>21</v>
      </c>
      <c r="E538" s="59">
        <v>5.63214074988E-4</v>
      </c>
    </row>
    <row r="539" spans="2:5" ht="15" customHeight="1">
      <c r="B539" s="97"/>
      <c r="C539" s="74" t="s">
        <v>204</v>
      </c>
      <c r="D539" s="58">
        <v>13</v>
      </c>
      <c r="E539" s="59">
        <v>3.4865633213499998E-4</v>
      </c>
    </row>
    <row r="540" spans="2:5" ht="15" customHeight="1">
      <c r="B540" s="97"/>
      <c r="C540" s="74" t="s">
        <v>205</v>
      </c>
      <c r="D540" s="58">
        <v>2</v>
      </c>
      <c r="E540" s="59">
        <v>5.3639435713000001E-5</v>
      </c>
    </row>
    <row r="541" spans="2:5" ht="15" customHeight="1">
      <c r="B541" s="97"/>
      <c r="C541" s="74" t="s">
        <v>206</v>
      </c>
      <c r="D541" s="58">
        <v>44</v>
      </c>
      <c r="E541" s="59">
        <v>1.180067585689E-3</v>
      </c>
    </row>
    <row r="542" spans="2:5" ht="15" customHeight="1">
      <c r="B542" s="97"/>
      <c r="C542" s="74" t="s">
        <v>217</v>
      </c>
      <c r="D542" s="58">
        <v>24</v>
      </c>
      <c r="E542" s="59">
        <v>6.4367322855799999E-4</v>
      </c>
    </row>
    <row r="543" spans="2:5" ht="15" customHeight="1">
      <c r="B543" s="97"/>
      <c r="C543" s="74" t="s">
        <v>207</v>
      </c>
      <c r="D543" s="58">
        <v>47</v>
      </c>
      <c r="E543" s="59">
        <v>1.260526739259E-3</v>
      </c>
    </row>
    <row r="544" spans="2:5" ht="15" customHeight="1">
      <c r="B544" s="97"/>
      <c r="C544" s="74" t="s">
        <v>208</v>
      </c>
      <c r="D544" s="58">
        <v>30</v>
      </c>
      <c r="E544" s="59">
        <v>8.0459153569700001E-4</v>
      </c>
    </row>
    <row r="545" spans="2:5" ht="15" customHeight="1">
      <c r="B545" s="97"/>
      <c r="C545" s="74" t="s">
        <v>209</v>
      </c>
      <c r="D545" s="58">
        <v>36</v>
      </c>
      <c r="E545" s="59">
        <v>9.6550984283600002E-4</v>
      </c>
    </row>
    <row r="546" spans="2:5" ht="15" customHeight="1">
      <c r="B546" s="97"/>
      <c r="C546" s="74" t="s">
        <v>218</v>
      </c>
      <c r="D546" s="58">
        <v>7</v>
      </c>
      <c r="E546" s="59">
        <v>1.8773802499599999E-4</v>
      </c>
    </row>
    <row r="547" spans="2:5" ht="15" customHeight="1">
      <c r="B547" s="97"/>
      <c r="C547" s="74" t="s">
        <v>210</v>
      </c>
      <c r="D547" s="58">
        <v>35</v>
      </c>
      <c r="E547" s="59">
        <v>9.3869012498000004E-4</v>
      </c>
    </row>
    <row r="548" spans="2:5" ht="15" customHeight="1">
      <c r="B548" s="97"/>
      <c r="C548" s="74" t="s">
        <v>211</v>
      </c>
      <c r="D548" s="58">
        <v>9</v>
      </c>
      <c r="E548" s="59">
        <v>2.4137746070900001E-4</v>
      </c>
    </row>
    <row r="549" spans="2:5" ht="15" customHeight="1">
      <c r="B549" s="97"/>
      <c r="C549" s="74" t="s">
        <v>212</v>
      </c>
      <c r="D549" s="58">
        <v>9</v>
      </c>
      <c r="E549" s="59">
        <v>2.4137746070900001E-4</v>
      </c>
    </row>
    <row r="550" spans="2:5" ht="15" customHeight="1">
      <c r="B550" s="97"/>
      <c r="C550" s="74" t="s">
        <v>213</v>
      </c>
      <c r="D550" s="58">
        <v>7</v>
      </c>
      <c r="E550" s="59">
        <v>1.8773802499599999E-4</v>
      </c>
    </row>
    <row r="551" spans="2:5" ht="15" customHeight="1">
      <c r="B551" s="97"/>
      <c r="C551" s="74" t="s">
        <v>214</v>
      </c>
      <c r="D551" s="58">
        <v>19</v>
      </c>
      <c r="E551" s="59">
        <v>5.0957463927499996E-4</v>
      </c>
    </row>
    <row r="552" spans="2:5" ht="15" customHeight="1">
      <c r="B552" s="97"/>
      <c r="C552" s="74" t="s">
        <v>215</v>
      </c>
      <c r="D552" s="58">
        <v>10</v>
      </c>
      <c r="E552" s="59">
        <v>2.6819717856600001E-4</v>
      </c>
    </row>
    <row r="553" spans="2:5" ht="15" customHeight="1">
      <c r="B553" s="97"/>
      <c r="C553" s="74" t="s">
        <v>216</v>
      </c>
      <c r="D553" s="58">
        <v>30</v>
      </c>
      <c r="E553" s="59">
        <v>8.0459153569700001E-4</v>
      </c>
    </row>
    <row r="554" spans="2:5" ht="15" customHeight="1">
      <c r="B554" s="98"/>
      <c r="C554" s="75" t="s">
        <v>353</v>
      </c>
      <c r="D554" s="71">
        <v>365</v>
      </c>
      <c r="E554" s="73">
        <v>9.7891970176469997E-3</v>
      </c>
    </row>
    <row r="555" spans="2:5" ht="15" customHeight="1">
      <c r="B555" s="96" t="s">
        <v>60</v>
      </c>
      <c r="C555" s="74" t="s">
        <v>202</v>
      </c>
      <c r="D555" s="58">
        <v>32</v>
      </c>
      <c r="E555" s="59">
        <v>8.5823097141000005E-4</v>
      </c>
    </row>
    <row r="556" spans="2:5" ht="15" customHeight="1">
      <c r="B556" s="97"/>
      <c r="C556" s="74" t="s">
        <v>203</v>
      </c>
      <c r="D556" s="58">
        <v>38</v>
      </c>
      <c r="E556" s="59">
        <v>1.0191492785499999E-3</v>
      </c>
    </row>
    <row r="557" spans="2:5" ht="15" customHeight="1">
      <c r="B557" s="97"/>
      <c r="C557" s="74" t="s">
        <v>204</v>
      </c>
      <c r="D557" s="58">
        <v>14</v>
      </c>
      <c r="E557" s="59">
        <v>3.7547604999199998E-4</v>
      </c>
    </row>
    <row r="558" spans="2:5" ht="15" customHeight="1">
      <c r="B558" s="97"/>
      <c r="C558" s="74" t="s">
        <v>205</v>
      </c>
      <c r="D558" s="58">
        <v>1</v>
      </c>
      <c r="E558" s="59">
        <v>2.6819717857000001E-5</v>
      </c>
    </row>
    <row r="559" spans="2:5" ht="15" customHeight="1">
      <c r="B559" s="97"/>
      <c r="C559" s="74" t="s">
        <v>206</v>
      </c>
      <c r="D559" s="58">
        <v>55</v>
      </c>
      <c r="E559" s="59">
        <v>1.475084482111E-3</v>
      </c>
    </row>
    <row r="560" spans="2:5" ht="15" customHeight="1">
      <c r="B560" s="97"/>
      <c r="C560" s="74" t="s">
        <v>217</v>
      </c>
      <c r="D560" s="58">
        <v>138</v>
      </c>
      <c r="E560" s="59">
        <v>3.7011210642059998E-3</v>
      </c>
    </row>
    <row r="561" spans="2:5" ht="15" customHeight="1">
      <c r="B561" s="97"/>
      <c r="C561" s="74" t="s">
        <v>207</v>
      </c>
      <c r="D561" s="58">
        <v>88</v>
      </c>
      <c r="E561" s="59">
        <v>2.3601351713780001E-3</v>
      </c>
    </row>
    <row r="562" spans="2:5" ht="15" customHeight="1">
      <c r="B562" s="97"/>
      <c r="C562" s="74" t="s">
        <v>208</v>
      </c>
      <c r="D562" s="58">
        <v>27</v>
      </c>
      <c r="E562" s="59">
        <v>7.2413238212700002E-4</v>
      </c>
    </row>
    <row r="563" spans="2:5" ht="15" customHeight="1">
      <c r="B563" s="97"/>
      <c r="C563" s="74" t="s">
        <v>209</v>
      </c>
      <c r="D563" s="58">
        <v>51</v>
      </c>
      <c r="E563" s="59">
        <v>1.3678056106849999E-3</v>
      </c>
    </row>
    <row r="564" spans="2:5" ht="15" customHeight="1">
      <c r="B564" s="97"/>
      <c r="C564" s="74" t="s">
        <v>218</v>
      </c>
      <c r="D564" s="58">
        <v>3</v>
      </c>
      <c r="E564" s="59">
        <v>8.0459153570000002E-5</v>
      </c>
    </row>
    <row r="565" spans="2:5" ht="15" customHeight="1">
      <c r="B565" s="97"/>
      <c r="C565" s="74" t="s">
        <v>210</v>
      </c>
      <c r="D565" s="58">
        <v>35</v>
      </c>
      <c r="E565" s="59">
        <v>9.3869012498000004E-4</v>
      </c>
    </row>
    <row r="566" spans="2:5" ht="15" customHeight="1">
      <c r="B566" s="97"/>
      <c r="C566" s="74" t="s">
        <v>211</v>
      </c>
      <c r="D566" s="58">
        <v>5</v>
      </c>
      <c r="E566" s="59">
        <v>1.34098589283E-4</v>
      </c>
    </row>
    <row r="567" spans="2:5" ht="15" customHeight="1">
      <c r="B567" s="97"/>
      <c r="C567" s="74" t="s">
        <v>212</v>
      </c>
      <c r="D567" s="58">
        <v>10</v>
      </c>
      <c r="E567" s="59">
        <v>2.6819717856600001E-4</v>
      </c>
    </row>
    <row r="568" spans="2:5" ht="15" customHeight="1">
      <c r="B568" s="97"/>
      <c r="C568" s="74" t="s">
        <v>213</v>
      </c>
      <c r="D568" s="58">
        <v>8</v>
      </c>
      <c r="E568" s="59">
        <v>2.1455774285299999E-4</v>
      </c>
    </row>
    <row r="569" spans="2:5" ht="15" customHeight="1">
      <c r="B569" s="97"/>
      <c r="C569" s="74" t="s">
        <v>214</v>
      </c>
      <c r="D569" s="58">
        <v>39</v>
      </c>
      <c r="E569" s="59">
        <v>1.045968996406E-3</v>
      </c>
    </row>
    <row r="570" spans="2:5" ht="15" customHeight="1">
      <c r="B570" s="97"/>
      <c r="C570" s="74" t="s">
        <v>215</v>
      </c>
      <c r="D570" s="58">
        <v>4</v>
      </c>
      <c r="E570" s="59">
        <v>1.07278871426E-4</v>
      </c>
    </row>
    <row r="571" spans="2:5" ht="15" customHeight="1">
      <c r="B571" s="97"/>
      <c r="C571" s="74" t="s">
        <v>216</v>
      </c>
      <c r="D571" s="58">
        <v>28</v>
      </c>
      <c r="E571" s="59">
        <v>7.5095209998399996E-4</v>
      </c>
    </row>
    <row r="572" spans="2:5" ht="15" customHeight="1">
      <c r="B572" s="98"/>
      <c r="C572" s="75" t="s">
        <v>353</v>
      </c>
      <c r="D572" s="71">
        <v>576</v>
      </c>
      <c r="E572" s="73">
        <v>1.5448157485383E-2</v>
      </c>
    </row>
    <row r="573" spans="2:5" ht="15" customHeight="1">
      <c r="B573" s="96" t="s">
        <v>82</v>
      </c>
      <c r="C573" s="74" t="s">
        <v>202</v>
      </c>
      <c r="D573" s="58">
        <v>12</v>
      </c>
      <c r="E573" s="59">
        <v>3.2183661427899999E-4</v>
      </c>
    </row>
    <row r="574" spans="2:5" ht="15" customHeight="1">
      <c r="B574" s="97"/>
      <c r="C574" s="74" t="s">
        <v>203</v>
      </c>
      <c r="D574" s="58">
        <v>10</v>
      </c>
      <c r="E574" s="59">
        <v>2.6819717856600001E-4</v>
      </c>
    </row>
    <row r="575" spans="2:5" ht="15" customHeight="1">
      <c r="B575" s="97"/>
      <c r="C575" s="74" t="s">
        <v>205</v>
      </c>
      <c r="D575" s="58">
        <v>1</v>
      </c>
      <c r="E575" s="59">
        <v>2.6819717857000001E-5</v>
      </c>
    </row>
    <row r="576" spans="2:5" ht="15" customHeight="1">
      <c r="B576" s="97"/>
      <c r="C576" s="74" t="s">
        <v>206</v>
      </c>
      <c r="D576" s="58">
        <v>17</v>
      </c>
      <c r="E576" s="59">
        <v>4.5593520356200002E-4</v>
      </c>
    </row>
    <row r="577" spans="2:5" ht="15" customHeight="1">
      <c r="B577" s="97"/>
      <c r="C577" s="74" t="s">
        <v>217</v>
      </c>
      <c r="D577" s="58">
        <v>131</v>
      </c>
      <c r="E577" s="59">
        <v>3.51338303921E-3</v>
      </c>
    </row>
    <row r="578" spans="2:5" ht="15" customHeight="1">
      <c r="B578" s="97"/>
      <c r="C578" s="74" t="s">
        <v>207</v>
      </c>
      <c r="D578" s="58">
        <v>12</v>
      </c>
      <c r="E578" s="59">
        <v>3.2183661427899999E-4</v>
      </c>
    </row>
    <row r="579" spans="2:5" ht="15" customHeight="1">
      <c r="B579" s="97"/>
      <c r="C579" s="74" t="s">
        <v>208</v>
      </c>
      <c r="D579" s="58">
        <v>9</v>
      </c>
      <c r="E579" s="59">
        <v>2.4137746070900001E-4</v>
      </c>
    </row>
    <row r="580" spans="2:5" ht="15" customHeight="1">
      <c r="B580" s="97"/>
      <c r="C580" s="74" t="s">
        <v>209</v>
      </c>
      <c r="D580" s="58">
        <v>5</v>
      </c>
      <c r="E580" s="59">
        <v>1.34098589283E-4</v>
      </c>
    </row>
    <row r="581" spans="2:5" ht="15" customHeight="1">
      <c r="B581" s="97"/>
      <c r="C581" s="74" t="s">
        <v>218</v>
      </c>
      <c r="D581" s="58">
        <v>6</v>
      </c>
      <c r="E581" s="59">
        <v>1.6091830713899999E-4</v>
      </c>
    </row>
    <row r="582" spans="2:5" ht="15" customHeight="1">
      <c r="B582" s="97"/>
      <c r="C582" s="74" t="s">
        <v>210</v>
      </c>
      <c r="D582" s="58">
        <v>12</v>
      </c>
      <c r="E582" s="59">
        <v>3.2183661427899999E-4</v>
      </c>
    </row>
    <row r="583" spans="2:5" ht="15" customHeight="1">
      <c r="B583" s="97"/>
      <c r="C583" s="74" t="s">
        <v>211</v>
      </c>
      <c r="D583" s="58">
        <v>2</v>
      </c>
      <c r="E583" s="59">
        <v>5.3639435713000001E-5</v>
      </c>
    </row>
    <row r="584" spans="2:5" ht="15" customHeight="1">
      <c r="B584" s="97"/>
      <c r="C584" s="74" t="s">
        <v>212</v>
      </c>
      <c r="D584" s="58">
        <v>3</v>
      </c>
      <c r="E584" s="59">
        <v>8.0459153570000002E-5</v>
      </c>
    </row>
    <row r="585" spans="2:5" ht="15" customHeight="1">
      <c r="B585" s="97"/>
      <c r="C585" s="74" t="s">
        <v>213</v>
      </c>
      <c r="D585" s="58">
        <v>4</v>
      </c>
      <c r="E585" s="59">
        <v>1.07278871426E-4</v>
      </c>
    </row>
    <row r="586" spans="2:5" ht="15" customHeight="1">
      <c r="B586" s="97"/>
      <c r="C586" s="74" t="s">
        <v>214</v>
      </c>
      <c r="D586" s="58">
        <v>6</v>
      </c>
      <c r="E586" s="59">
        <v>1.6091830713899999E-4</v>
      </c>
    </row>
    <row r="587" spans="2:5" ht="15" customHeight="1">
      <c r="B587" s="97"/>
      <c r="C587" s="74" t="s">
        <v>215</v>
      </c>
      <c r="D587" s="58">
        <v>1</v>
      </c>
      <c r="E587" s="59">
        <v>2.6819717857000001E-5</v>
      </c>
    </row>
    <row r="588" spans="2:5" ht="15" customHeight="1">
      <c r="B588" s="97"/>
      <c r="C588" s="74" t="s">
        <v>216</v>
      </c>
      <c r="D588" s="58">
        <v>5</v>
      </c>
      <c r="E588" s="59">
        <v>1.34098589283E-4</v>
      </c>
    </row>
    <row r="589" spans="2:5" ht="15" customHeight="1">
      <c r="B589" s="98"/>
      <c r="C589" s="75" t="s">
        <v>353</v>
      </c>
      <c r="D589" s="71">
        <v>236</v>
      </c>
      <c r="E589" s="73">
        <v>6.3294534141500004E-3</v>
      </c>
    </row>
    <row r="590" spans="2:5" ht="15" customHeight="1">
      <c r="B590" s="96" t="s">
        <v>92</v>
      </c>
      <c r="C590" s="74" t="s">
        <v>217</v>
      </c>
      <c r="D590" s="58">
        <v>2</v>
      </c>
      <c r="E590" s="59">
        <v>5.3639435713000001E-5</v>
      </c>
    </row>
    <row r="591" spans="2:5" ht="15" customHeight="1">
      <c r="B591" s="97"/>
      <c r="C591" s="74" t="s">
        <v>207</v>
      </c>
      <c r="D591" s="58">
        <v>1</v>
      </c>
      <c r="E591" s="59">
        <v>2.6819717857000001E-5</v>
      </c>
    </row>
    <row r="592" spans="2:5" ht="15" customHeight="1">
      <c r="B592" s="97"/>
      <c r="C592" s="74" t="s">
        <v>209</v>
      </c>
      <c r="D592" s="58">
        <v>1</v>
      </c>
      <c r="E592" s="59">
        <v>2.6819717857000001E-5</v>
      </c>
    </row>
    <row r="593" spans="2:5" ht="15" customHeight="1">
      <c r="B593" s="97"/>
      <c r="C593" s="74" t="s">
        <v>210</v>
      </c>
      <c r="D593" s="58">
        <v>1</v>
      </c>
      <c r="E593" s="59">
        <v>2.6819717857000001E-5</v>
      </c>
    </row>
    <row r="594" spans="2:5" ht="15" customHeight="1">
      <c r="B594" s="97"/>
      <c r="C594" s="74" t="s">
        <v>213</v>
      </c>
      <c r="D594" s="58">
        <v>1</v>
      </c>
      <c r="E594" s="59">
        <v>2.6819717857000001E-5</v>
      </c>
    </row>
    <row r="595" spans="2:5" ht="15" customHeight="1">
      <c r="B595" s="97"/>
      <c r="C595" s="74" t="s">
        <v>216</v>
      </c>
      <c r="D595" s="58">
        <v>1</v>
      </c>
      <c r="E595" s="59">
        <v>2.6819717857000001E-5</v>
      </c>
    </row>
    <row r="596" spans="2:5" ht="15" customHeight="1">
      <c r="B596" s="98"/>
      <c r="C596" s="75" t="s">
        <v>353</v>
      </c>
      <c r="D596" s="71">
        <v>7</v>
      </c>
      <c r="E596" s="73">
        <v>1.8773802499599999E-4</v>
      </c>
    </row>
    <row r="597" spans="2:5" ht="15" customHeight="1">
      <c r="B597" s="96" t="s">
        <v>52</v>
      </c>
      <c r="C597" s="74" t="s">
        <v>202</v>
      </c>
      <c r="D597" s="58">
        <v>79</v>
      </c>
      <c r="E597" s="59">
        <v>2.118757710669E-3</v>
      </c>
    </row>
    <row r="598" spans="2:5" ht="15" customHeight="1">
      <c r="B598" s="97"/>
      <c r="C598" s="74" t="s">
        <v>203</v>
      </c>
      <c r="D598" s="58">
        <v>71</v>
      </c>
      <c r="E598" s="59">
        <v>1.904199967816E-3</v>
      </c>
    </row>
    <row r="599" spans="2:5" ht="15" customHeight="1">
      <c r="B599" s="97"/>
      <c r="C599" s="74" t="s">
        <v>204</v>
      </c>
      <c r="D599" s="58">
        <v>76</v>
      </c>
      <c r="E599" s="59">
        <v>2.0382985570990002E-3</v>
      </c>
    </row>
    <row r="600" spans="2:5" ht="15" customHeight="1">
      <c r="B600" s="97"/>
      <c r="C600" s="74" t="s">
        <v>205</v>
      </c>
      <c r="D600" s="58">
        <v>11</v>
      </c>
      <c r="E600" s="59">
        <v>2.9501689642199999E-4</v>
      </c>
    </row>
    <row r="601" spans="2:5" ht="15" customHeight="1">
      <c r="B601" s="97"/>
      <c r="C601" s="74" t="s">
        <v>206</v>
      </c>
      <c r="D601" s="58">
        <v>153</v>
      </c>
      <c r="E601" s="59">
        <v>4.1034168320549999E-3</v>
      </c>
    </row>
    <row r="602" spans="2:5" ht="15" customHeight="1">
      <c r="B602" s="97"/>
      <c r="C602" s="74" t="s">
        <v>217</v>
      </c>
      <c r="D602" s="58">
        <v>163</v>
      </c>
      <c r="E602" s="59">
        <v>4.371614010621E-3</v>
      </c>
    </row>
    <row r="603" spans="2:5" ht="15" customHeight="1">
      <c r="B603" s="97"/>
      <c r="C603" s="74" t="s">
        <v>207</v>
      </c>
      <c r="D603" s="58">
        <v>209</v>
      </c>
      <c r="E603" s="59">
        <v>5.6053210320229996E-3</v>
      </c>
    </row>
    <row r="604" spans="2:5" ht="15" customHeight="1">
      <c r="B604" s="97"/>
      <c r="C604" s="74" t="s">
        <v>208</v>
      </c>
      <c r="D604" s="58">
        <v>80</v>
      </c>
      <c r="E604" s="59">
        <v>2.1455774285249998E-3</v>
      </c>
    </row>
    <row r="605" spans="2:5" ht="15" customHeight="1">
      <c r="B605" s="97"/>
      <c r="C605" s="74" t="s">
        <v>209</v>
      </c>
      <c r="D605" s="58">
        <v>162</v>
      </c>
      <c r="E605" s="59">
        <v>4.3447942927639996E-3</v>
      </c>
    </row>
    <row r="606" spans="2:5" ht="15" customHeight="1">
      <c r="B606" s="97"/>
      <c r="C606" s="74" t="s">
        <v>218</v>
      </c>
      <c r="D606" s="58">
        <v>21</v>
      </c>
      <c r="E606" s="59">
        <v>5.63214074988E-4</v>
      </c>
    </row>
    <row r="607" spans="2:5" ht="15" customHeight="1">
      <c r="B607" s="97"/>
      <c r="C607" s="74" t="s">
        <v>210</v>
      </c>
      <c r="D607" s="58">
        <v>131</v>
      </c>
      <c r="E607" s="59">
        <v>3.51338303921E-3</v>
      </c>
    </row>
    <row r="608" spans="2:5" ht="15" customHeight="1">
      <c r="B608" s="97"/>
      <c r="C608" s="74" t="s">
        <v>211</v>
      </c>
      <c r="D608" s="58">
        <v>25</v>
      </c>
      <c r="E608" s="59">
        <v>6.7049294641399998E-4</v>
      </c>
    </row>
    <row r="609" spans="2:5" ht="15" customHeight="1">
      <c r="B609" s="97"/>
      <c r="C609" s="74" t="s">
        <v>212</v>
      </c>
      <c r="D609" s="58">
        <v>31</v>
      </c>
      <c r="E609" s="59">
        <v>8.3141125355399995E-4</v>
      </c>
    </row>
    <row r="610" spans="2:5" ht="15" customHeight="1">
      <c r="B610" s="97"/>
      <c r="C610" s="74" t="s">
        <v>213</v>
      </c>
      <c r="D610" s="58">
        <v>39</v>
      </c>
      <c r="E610" s="59">
        <v>1.045968996406E-3</v>
      </c>
    </row>
    <row r="611" spans="2:5" ht="15" customHeight="1">
      <c r="B611" s="97"/>
      <c r="C611" s="74" t="s">
        <v>214</v>
      </c>
      <c r="D611" s="58">
        <v>89</v>
      </c>
      <c r="E611" s="59">
        <v>2.386954889235E-3</v>
      </c>
    </row>
    <row r="612" spans="2:5" ht="15" customHeight="1">
      <c r="B612" s="97"/>
      <c r="C612" s="74" t="s">
        <v>215</v>
      </c>
      <c r="D612" s="58">
        <v>14</v>
      </c>
      <c r="E612" s="59">
        <v>3.7547604999199998E-4</v>
      </c>
    </row>
    <row r="613" spans="2:5" ht="15" customHeight="1">
      <c r="B613" s="97"/>
      <c r="C613" s="74" t="s">
        <v>216</v>
      </c>
      <c r="D613" s="58">
        <v>77</v>
      </c>
      <c r="E613" s="59">
        <v>2.0651182749560001E-3</v>
      </c>
    </row>
    <row r="614" spans="2:5" ht="15" customHeight="1">
      <c r="B614" s="98"/>
      <c r="C614" s="75" t="s">
        <v>353</v>
      </c>
      <c r="D614" s="71">
        <v>1431</v>
      </c>
      <c r="E614" s="73">
        <v>3.8379016252748997E-2</v>
      </c>
    </row>
    <row r="615" spans="2:5" ht="15" customHeight="1">
      <c r="B615" s="96" t="s">
        <v>64</v>
      </c>
      <c r="C615" s="74" t="s">
        <v>202</v>
      </c>
      <c r="D615" s="58">
        <v>43</v>
      </c>
      <c r="E615" s="59">
        <v>1.1532478678320001E-3</v>
      </c>
    </row>
    <row r="616" spans="2:5" ht="15" customHeight="1">
      <c r="B616" s="97"/>
      <c r="C616" s="74" t="s">
        <v>203</v>
      </c>
      <c r="D616" s="58">
        <v>45</v>
      </c>
      <c r="E616" s="59">
        <v>1.206887303546E-3</v>
      </c>
    </row>
    <row r="617" spans="2:5" ht="15" customHeight="1">
      <c r="B617" s="97"/>
      <c r="C617" s="74" t="s">
        <v>204</v>
      </c>
      <c r="D617" s="58">
        <v>26</v>
      </c>
      <c r="E617" s="59">
        <v>6.9731266427100003E-4</v>
      </c>
    </row>
    <row r="618" spans="2:5" ht="15" customHeight="1">
      <c r="B618" s="97"/>
      <c r="C618" s="74" t="s">
        <v>205</v>
      </c>
      <c r="D618" s="58">
        <v>3</v>
      </c>
      <c r="E618" s="59">
        <v>8.0459153570000002E-5</v>
      </c>
    </row>
    <row r="619" spans="2:5" ht="15" customHeight="1">
      <c r="B619" s="97"/>
      <c r="C619" s="74" t="s">
        <v>206</v>
      </c>
      <c r="D619" s="58">
        <v>69</v>
      </c>
      <c r="E619" s="59">
        <v>1.8505605321029999E-3</v>
      </c>
    </row>
    <row r="620" spans="2:5" ht="15" customHeight="1">
      <c r="B620" s="97"/>
      <c r="C620" s="74" t="s">
        <v>217</v>
      </c>
      <c r="D620" s="58">
        <v>114</v>
      </c>
      <c r="E620" s="59">
        <v>3.0574478356490001E-3</v>
      </c>
    </row>
    <row r="621" spans="2:5" ht="15" customHeight="1">
      <c r="B621" s="97"/>
      <c r="C621" s="74" t="s">
        <v>207</v>
      </c>
      <c r="D621" s="58">
        <v>96</v>
      </c>
      <c r="E621" s="59">
        <v>2.5746929142309999E-3</v>
      </c>
    </row>
    <row r="622" spans="2:5" ht="15" customHeight="1">
      <c r="B622" s="97"/>
      <c r="C622" s="74" t="s">
        <v>208</v>
      </c>
      <c r="D622" s="58">
        <v>32</v>
      </c>
      <c r="E622" s="59">
        <v>8.5823097141000005E-4</v>
      </c>
    </row>
    <row r="623" spans="2:5" ht="15" customHeight="1">
      <c r="B623" s="97"/>
      <c r="C623" s="74" t="s">
        <v>209</v>
      </c>
      <c r="D623" s="58">
        <v>60</v>
      </c>
      <c r="E623" s="59">
        <v>1.609183071394E-3</v>
      </c>
    </row>
    <row r="624" spans="2:5" ht="15" customHeight="1">
      <c r="B624" s="97"/>
      <c r="C624" s="74" t="s">
        <v>218</v>
      </c>
      <c r="D624" s="58">
        <v>8</v>
      </c>
      <c r="E624" s="59">
        <v>2.1455774285299999E-4</v>
      </c>
    </row>
    <row r="625" spans="2:5" ht="15" customHeight="1">
      <c r="B625" s="97"/>
      <c r="C625" s="74" t="s">
        <v>210</v>
      </c>
      <c r="D625" s="58">
        <v>49</v>
      </c>
      <c r="E625" s="59">
        <v>1.3141661749720001E-3</v>
      </c>
    </row>
    <row r="626" spans="2:5" ht="15" customHeight="1">
      <c r="B626" s="97"/>
      <c r="C626" s="74" t="s">
        <v>211</v>
      </c>
      <c r="D626" s="58">
        <v>5</v>
      </c>
      <c r="E626" s="59">
        <v>1.34098589283E-4</v>
      </c>
    </row>
    <row r="627" spans="2:5" ht="15" customHeight="1">
      <c r="B627" s="97"/>
      <c r="C627" s="74" t="s">
        <v>212</v>
      </c>
      <c r="D627" s="58">
        <v>19</v>
      </c>
      <c r="E627" s="59">
        <v>5.0957463927499996E-4</v>
      </c>
    </row>
    <row r="628" spans="2:5" ht="15" customHeight="1">
      <c r="B628" s="97"/>
      <c r="C628" s="74" t="s">
        <v>213</v>
      </c>
      <c r="D628" s="58">
        <v>9</v>
      </c>
      <c r="E628" s="59">
        <v>2.4137746070900001E-4</v>
      </c>
    </row>
    <row r="629" spans="2:5" ht="15" customHeight="1">
      <c r="B629" s="97"/>
      <c r="C629" s="74" t="s">
        <v>214</v>
      </c>
      <c r="D629" s="58">
        <v>26</v>
      </c>
      <c r="E629" s="59">
        <v>6.9731266427100003E-4</v>
      </c>
    </row>
    <row r="630" spans="2:5" ht="15" customHeight="1">
      <c r="B630" s="97"/>
      <c r="C630" s="74" t="s">
        <v>215</v>
      </c>
      <c r="D630" s="58">
        <v>6</v>
      </c>
      <c r="E630" s="59">
        <v>1.6091830713899999E-4</v>
      </c>
    </row>
    <row r="631" spans="2:5" ht="15" customHeight="1">
      <c r="B631" s="97"/>
      <c r="C631" s="74" t="s">
        <v>216</v>
      </c>
      <c r="D631" s="58">
        <v>49</v>
      </c>
      <c r="E631" s="59">
        <v>1.3141661749720001E-3</v>
      </c>
    </row>
    <row r="632" spans="2:5" ht="15" customHeight="1">
      <c r="B632" s="98"/>
      <c r="C632" s="75" t="s">
        <v>353</v>
      </c>
      <c r="D632" s="71">
        <v>659</v>
      </c>
      <c r="E632" s="73">
        <v>1.7674194067478E-2</v>
      </c>
    </row>
    <row r="633" spans="2:5" ht="15" customHeight="1">
      <c r="B633" s="96" t="s">
        <v>68</v>
      </c>
      <c r="C633" s="74" t="s">
        <v>202</v>
      </c>
      <c r="D633" s="58">
        <v>32</v>
      </c>
      <c r="E633" s="59">
        <v>8.5823097141000005E-4</v>
      </c>
    </row>
    <row r="634" spans="2:5" ht="15" customHeight="1">
      <c r="B634" s="97"/>
      <c r="C634" s="74" t="s">
        <v>203</v>
      </c>
      <c r="D634" s="58">
        <v>33</v>
      </c>
      <c r="E634" s="59">
        <v>8.8505068926699999E-4</v>
      </c>
    </row>
    <row r="635" spans="2:5" ht="15" customHeight="1">
      <c r="B635" s="97"/>
      <c r="C635" s="74" t="s">
        <v>204</v>
      </c>
      <c r="D635" s="58">
        <v>17</v>
      </c>
      <c r="E635" s="59">
        <v>4.5593520356200002E-4</v>
      </c>
    </row>
    <row r="636" spans="2:5" ht="15" customHeight="1">
      <c r="B636" s="97"/>
      <c r="C636" s="74" t="s">
        <v>205</v>
      </c>
      <c r="D636" s="58">
        <v>5</v>
      </c>
      <c r="E636" s="59">
        <v>1.34098589283E-4</v>
      </c>
    </row>
    <row r="637" spans="2:5" ht="15" customHeight="1">
      <c r="B637" s="97"/>
      <c r="C637" s="74" t="s">
        <v>206</v>
      </c>
      <c r="D637" s="58">
        <v>72</v>
      </c>
      <c r="E637" s="59">
        <v>1.9310196856729999E-3</v>
      </c>
    </row>
    <row r="638" spans="2:5" ht="15" customHeight="1">
      <c r="B638" s="97"/>
      <c r="C638" s="74" t="s">
        <v>217</v>
      </c>
      <c r="D638" s="58">
        <v>3</v>
      </c>
      <c r="E638" s="59">
        <v>8.0459153570000002E-5</v>
      </c>
    </row>
    <row r="639" spans="2:5" ht="15" customHeight="1">
      <c r="B639" s="97"/>
      <c r="C639" s="74" t="s">
        <v>207</v>
      </c>
      <c r="D639" s="58">
        <v>53</v>
      </c>
      <c r="E639" s="59">
        <v>1.4214450463979999E-3</v>
      </c>
    </row>
    <row r="640" spans="2:5" ht="15" customHeight="1">
      <c r="B640" s="97"/>
      <c r="C640" s="74" t="s">
        <v>208</v>
      </c>
      <c r="D640" s="58">
        <v>31</v>
      </c>
      <c r="E640" s="59">
        <v>8.3141125355399995E-4</v>
      </c>
    </row>
    <row r="641" spans="2:5" ht="15" customHeight="1">
      <c r="B641" s="97"/>
      <c r="C641" s="74" t="s">
        <v>209</v>
      </c>
      <c r="D641" s="58">
        <v>51</v>
      </c>
      <c r="E641" s="59">
        <v>1.3678056106849999E-3</v>
      </c>
    </row>
    <row r="642" spans="2:5" ht="15" customHeight="1">
      <c r="B642" s="97"/>
      <c r="C642" s="74" t="s">
        <v>218</v>
      </c>
      <c r="D642" s="58">
        <v>9</v>
      </c>
      <c r="E642" s="59">
        <v>2.4137746070900001E-4</v>
      </c>
    </row>
    <row r="643" spans="2:5" ht="15" customHeight="1">
      <c r="B643" s="97"/>
      <c r="C643" s="74" t="s">
        <v>210</v>
      </c>
      <c r="D643" s="58">
        <v>53</v>
      </c>
      <c r="E643" s="59">
        <v>1.4214450463979999E-3</v>
      </c>
    </row>
    <row r="644" spans="2:5" ht="15" customHeight="1">
      <c r="B644" s="97"/>
      <c r="C644" s="74" t="s">
        <v>211</v>
      </c>
      <c r="D644" s="58">
        <v>5</v>
      </c>
      <c r="E644" s="59">
        <v>1.34098589283E-4</v>
      </c>
    </row>
    <row r="645" spans="2:5" ht="15" customHeight="1">
      <c r="B645" s="97"/>
      <c r="C645" s="74" t="s">
        <v>212</v>
      </c>
      <c r="D645" s="58">
        <v>11</v>
      </c>
      <c r="E645" s="59">
        <v>2.9501689642199999E-4</v>
      </c>
    </row>
    <row r="646" spans="2:5" ht="15" customHeight="1">
      <c r="B646" s="97"/>
      <c r="C646" s="74" t="s">
        <v>213</v>
      </c>
      <c r="D646" s="58">
        <v>9</v>
      </c>
      <c r="E646" s="59">
        <v>2.4137746070900001E-4</v>
      </c>
    </row>
    <row r="647" spans="2:5" ht="15" customHeight="1">
      <c r="B647" s="97"/>
      <c r="C647" s="74" t="s">
        <v>214</v>
      </c>
      <c r="D647" s="58">
        <v>25</v>
      </c>
      <c r="E647" s="59">
        <v>6.7049294641399998E-4</v>
      </c>
    </row>
    <row r="648" spans="2:5" ht="15" customHeight="1">
      <c r="B648" s="97"/>
      <c r="C648" s="74" t="s">
        <v>215</v>
      </c>
      <c r="D648" s="58">
        <v>5</v>
      </c>
      <c r="E648" s="59">
        <v>1.34098589283E-4</v>
      </c>
    </row>
    <row r="649" spans="2:5" ht="15" customHeight="1">
      <c r="B649" s="97"/>
      <c r="C649" s="74" t="s">
        <v>216</v>
      </c>
      <c r="D649" s="58">
        <v>39</v>
      </c>
      <c r="E649" s="59">
        <v>1.045968996406E-3</v>
      </c>
    </row>
    <row r="650" spans="2:5" ht="15" customHeight="1">
      <c r="B650" s="98"/>
      <c r="C650" s="75" t="s">
        <v>353</v>
      </c>
      <c r="D650" s="71">
        <v>453</v>
      </c>
      <c r="E650" s="73">
        <v>1.2149332189024999E-2</v>
      </c>
    </row>
    <row r="651" spans="2:5" ht="15" customHeight="1">
      <c r="B651" s="96" t="s">
        <v>75</v>
      </c>
      <c r="C651" s="74" t="s">
        <v>202</v>
      </c>
      <c r="D651" s="58">
        <v>28</v>
      </c>
      <c r="E651" s="59">
        <v>7.5095209998399996E-4</v>
      </c>
    </row>
    <row r="652" spans="2:5" ht="15" customHeight="1">
      <c r="B652" s="97"/>
      <c r="C652" s="74" t="s">
        <v>203</v>
      </c>
      <c r="D652" s="58">
        <v>24</v>
      </c>
      <c r="E652" s="59">
        <v>6.4367322855799999E-4</v>
      </c>
    </row>
    <row r="653" spans="2:5" ht="15" customHeight="1">
      <c r="B653" s="97"/>
      <c r="C653" s="74" t="s">
        <v>204</v>
      </c>
      <c r="D653" s="58">
        <v>9</v>
      </c>
      <c r="E653" s="59">
        <v>2.4137746070900001E-4</v>
      </c>
    </row>
    <row r="654" spans="2:5" ht="15" customHeight="1">
      <c r="B654" s="97"/>
      <c r="C654" s="74" t="s">
        <v>205</v>
      </c>
      <c r="D654" s="58">
        <v>1</v>
      </c>
      <c r="E654" s="59">
        <v>2.6819717857000001E-5</v>
      </c>
    </row>
    <row r="655" spans="2:5" ht="15" customHeight="1">
      <c r="B655" s="97"/>
      <c r="C655" s="74" t="s">
        <v>206</v>
      </c>
      <c r="D655" s="58">
        <v>58</v>
      </c>
      <c r="E655" s="59">
        <v>1.555543635681E-3</v>
      </c>
    </row>
    <row r="656" spans="2:5" ht="15" customHeight="1">
      <c r="B656" s="97"/>
      <c r="C656" s="74" t="s">
        <v>217</v>
      </c>
      <c r="D656" s="58">
        <v>45</v>
      </c>
      <c r="E656" s="59">
        <v>1.206887303546E-3</v>
      </c>
    </row>
    <row r="657" spans="2:5" ht="15" customHeight="1">
      <c r="B657" s="97"/>
      <c r="C657" s="74" t="s">
        <v>207</v>
      </c>
      <c r="D657" s="58">
        <v>76</v>
      </c>
      <c r="E657" s="59">
        <v>2.0382985570990002E-3</v>
      </c>
    </row>
    <row r="658" spans="2:5" ht="15" customHeight="1">
      <c r="B658" s="97"/>
      <c r="C658" s="74" t="s">
        <v>208</v>
      </c>
      <c r="D658" s="58">
        <v>24</v>
      </c>
      <c r="E658" s="59">
        <v>6.4367322855799999E-4</v>
      </c>
    </row>
    <row r="659" spans="2:5" ht="15" customHeight="1">
      <c r="B659" s="97"/>
      <c r="C659" s="74" t="s">
        <v>209</v>
      </c>
      <c r="D659" s="58">
        <v>31</v>
      </c>
      <c r="E659" s="59">
        <v>8.3141125355399995E-4</v>
      </c>
    </row>
    <row r="660" spans="2:5" ht="15" customHeight="1">
      <c r="B660" s="97"/>
      <c r="C660" s="74" t="s">
        <v>218</v>
      </c>
      <c r="D660" s="58">
        <v>4</v>
      </c>
      <c r="E660" s="59">
        <v>1.07278871426E-4</v>
      </c>
    </row>
    <row r="661" spans="2:5" ht="15" customHeight="1">
      <c r="B661" s="97"/>
      <c r="C661" s="74" t="s">
        <v>210</v>
      </c>
      <c r="D661" s="58">
        <v>33</v>
      </c>
      <c r="E661" s="59">
        <v>8.8505068926699999E-4</v>
      </c>
    </row>
    <row r="662" spans="2:5" ht="15" customHeight="1">
      <c r="B662" s="97"/>
      <c r="C662" s="74" t="s">
        <v>212</v>
      </c>
      <c r="D662" s="58">
        <v>4</v>
      </c>
      <c r="E662" s="59">
        <v>1.07278871426E-4</v>
      </c>
    </row>
    <row r="663" spans="2:5" ht="15" customHeight="1">
      <c r="B663" s="97"/>
      <c r="C663" s="74" t="s">
        <v>213</v>
      </c>
      <c r="D663" s="58">
        <v>6</v>
      </c>
      <c r="E663" s="59">
        <v>1.6091830713899999E-4</v>
      </c>
    </row>
    <row r="664" spans="2:5" ht="15" customHeight="1">
      <c r="B664" s="97"/>
      <c r="C664" s="74" t="s">
        <v>214</v>
      </c>
      <c r="D664" s="58">
        <v>24</v>
      </c>
      <c r="E664" s="59">
        <v>6.4367322855799999E-4</v>
      </c>
    </row>
    <row r="665" spans="2:5" ht="15" customHeight="1">
      <c r="B665" s="97"/>
      <c r="C665" s="74" t="s">
        <v>215</v>
      </c>
      <c r="D665" s="58">
        <v>2</v>
      </c>
      <c r="E665" s="59">
        <v>5.3639435713000001E-5</v>
      </c>
    </row>
    <row r="666" spans="2:5" ht="15" customHeight="1">
      <c r="B666" s="97"/>
      <c r="C666" s="74" t="s">
        <v>216</v>
      </c>
      <c r="D666" s="58">
        <v>27</v>
      </c>
      <c r="E666" s="59">
        <v>7.2413238212700002E-4</v>
      </c>
    </row>
    <row r="667" spans="2:5" ht="15" customHeight="1">
      <c r="B667" s="98"/>
      <c r="C667" s="75" t="s">
        <v>353</v>
      </c>
      <c r="D667" s="71">
        <v>396</v>
      </c>
      <c r="E667" s="73">
        <v>1.0620608271200999E-2</v>
      </c>
    </row>
    <row r="668" spans="2:5" ht="15" customHeight="1">
      <c r="B668" s="96" t="s">
        <v>74</v>
      </c>
      <c r="C668" s="74" t="s">
        <v>202</v>
      </c>
      <c r="D668" s="58">
        <v>30</v>
      </c>
      <c r="E668" s="59">
        <v>8.0459153569700001E-4</v>
      </c>
    </row>
    <row r="669" spans="2:5" ht="15" customHeight="1">
      <c r="B669" s="97"/>
      <c r="C669" s="74" t="s">
        <v>203</v>
      </c>
      <c r="D669" s="58">
        <v>36</v>
      </c>
      <c r="E669" s="59">
        <v>9.6550984283600002E-4</v>
      </c>
    </row>
    <row r="670" spans="2:5" ht="15" customHeight="1">
      <c r="B670" s="97"/>
      <c r="C670" s="74" t="s">
        <v>204</v>
      </c>
      <c r="D670" s="58">
        <v>18</v>
      </c>
      <c r="E670" s="59">
        <v>4.8275492141800001E-4</v>
      </c>
    </row>
    <row r="671" spans="2:5" ht="15" customHeight="1">
      <c r="B671" s="97"/>
      <c r="C671" s="74" t="s">
        <v>205</v>
      </c>
      <c r="D671" s="58">
        <v>1</v>
      </c>
      <c r="E671" s="59">
        <v>2.6819717857000001E-5</v>
      </c>
    </row>
    <row r="672" spans="2:5" ht="15" customHeight="1">
      <c r="B672" s="97"/>
      <c r="C672" s="74" t="s">
        <v>206</v>
      </c>
      <c r="D672" s="58">
        <v>57</v>
      </c>
      <c r="E672" s="59">
        <v>1.528723917824E-3</v>
      </c>
    </row>
    <row r="673" spans="2:5" ht="15" customHeight="1">
      <c r="B673" s="97"/>
      <c r="C673" s="74" t="s">
        <v>217</v>
      </c>
      <c r="D673" s="58">
        <v>9</v>
      </c>
      <c r="E673" s="59">
        <v>2.4137746070900001E-4</v>
      </c>
    </row>
    <row r="674" spans="2:5" ht="15" customHeight="1">
      <c r="B674" s="97"/>
      <c r="C674" s="74" t="s">
        <v>207</v>
      </c>
      <c r="D674" s="58">
        <v>69</v>
      </c>
      <c r="E674" s="59">
        <v>1.8505605321029999E-3</v>
      </c>
    </row>
    <row r="675" spans="2:5" ht="15" customHeight="1">
      <c r="B675" s="97"/>
      <c r="C675" s="74" t="s">
        <v>208</v>
      </c>
      <c r="D675" s="58">
        <v>41</v>
      </c>
      <c r="E675" s="59">
        <v>1.0996084321190001E-3</v>
      </c>
    </row>
    <row r="676" spans="2:5" ht="15" customHeight="1">
      <c r="B676" s="97"/>
      <c r="C676" s="74" t="s">
        <v>209</v>
      </c>
      <c r="D676" s="58">
        <v>38</v>
      </c>
      <c r="E676" s="59">
        <v>1.0191492785499999E-3</v>
      </c>
    </row>
    <row r="677" spans="2:5" ht="15" customHeight="1">
      <c r="B677" s="97"/>
      <c r="C677" s="74" t="s">
        <v>218</v>
      </c>
      <c r="D677" s="58">
        <v>3</v>
      </c>
      <c r="E677" s="59">
        <v>8.0459153570000002E-5</v>
      </c>
    </row>
    <row r="678" spans="2:5" ht="15" customHeight="1">
      <c r="B678" s="97"/>
      <c r="C678" s="74" t="s">
        <v>210</v>
      </c>
      <c r="D678" s="58">
        <v>46</v>
      </c>
      <c r="E678" s="59">
        <v>1.2337070214020001E-3</v>
      </c>
    </row>
    <row r="679" spans="2:5" ht="15" customHeight="1">
      <c r="B679" s="97"/>
      <c r="C679" s="74" t="s">
        <v>212</v>
      </c>
      <c r="D679" s="58">
        <v>14</v>
      </c>
      <c r="E679" s="59">
        <v>3.7547604999199998E-4</v>
      </c>
    </row>
    <row r="680" spans="2:5" ht="15" customHeight="1">
      <c r="B680" s="97"/>
      <c r="C680" s="74" t="s">
        <v>213</v>
      </c>
      <c r="D680" s="58">
        <v>6</v>
      </c>
      <c r="E680" s="59">
        <v>1.6091830713899999E-4</v>
      </c>
    </row>
    <row r="681" spans="2:5" ht="15" customHeight="1">
      <c r="B681" s="97"/>
      <c r="C681" s="74" t="s">
        <v>214</v>
      </c>
      <c r="D681" s="58">
        <v>25</v>
      </c>
      <c r="E681" s="59">
        <v>6.7049294641399998E-4</v>
      </c>
    </row>
    <row r="682" spans="2:5" ht="15" customHeight="1">
      <c r="B682" s="97"/>
      <c r="C682" s="74" t="s">
        <v>215</v>
      </c>
      <c r="D682" s="58">
        <v>5</v>
      </c>
      <c r="E682" s="59">
        <v>1.34098589283E-4</v>
      </c>
    </row>
    <row r="683" spans="2:5" ht="15" customHeight="1">
      <c r="B683" s="97"/>
      <c r="C683" s="74" t="s">
        <v>216</v>
      </c>
      <c r="D683" s="58">
        <v>35</v>
      </c>
      <c r="E683" s="59">
        <v>9.3869012498000004E-4</v>
      </c>
    </row>
    <row r="684" spans="2:5" ht="15" customHeight="1">
      <c r="B684" s="98"/>
      <c r="C684" s="75" t="s">
        <v>353</v>
      </c>
      <c r="D684" s="71">
        <v>433</v>
      </c>
      <c r="E684" s="73">
        <v>1.1612937831894E-2</v>
      </c>
    </row>
    <row r="685" spans="2:5" ht="15" customHeight="1">
      <c r="B685" s="96" t="s">
        <v>56</v>
      </c>
      <c r="C685" s="74" t="s">
        <v>202</v>
      </c>
      <c r="D685" s="58">
        <v>90</v>
      </c>
      <c r="E685" s="59">
        <v>2.4137746070909999E-3</v>
      </c>
    </row>
    <row r="686" spans="2:5" ht="15" customHeight="1">
      <c r="B686" s="97"/>
      <c r="C686" s="74" t="s">
        <v>203</v>
      </c>
      <c r="D686" s="58">
        <v>106</v>
      </c>
      <c r="E686" s="59">
        <v>2.8428900927959999E-3</v>
      </c>
    </row>
    <row r="687" spans="2:5" ht="15" customHeight="1">
      <c r="B687" s="97"/>
      <c r="C687" s="74" t="s">
        <v>204</v>
      </c>
      <c r="D687" s="58">
        <v>36</v>
      </c>
      <c r="E687" s="59">
        <v>9.6550984283600002E-4</v>
      </c>
    </row>
    <row r="688" spans="2:5" ht="15" customHeight="1">
      <c r="B688" s="97"/>
      <c r="C688" s="74" t="s">
        <v>205</v>
      </c>
      <c r="D688" s="58">
        <v>10</v>
      </c>
      <c r="E688" s="59">
        <v>2.6819717856600001E-4</v>
      </c>
    </row>
    <row r="689" spans="2:5" ht="15" customHeight="1">
      <c r="B689" s="97"/>
      <c r="C689" s="74" t="s">
        <v>206</v>
      </c>
      <c r="D689" s="58">
        <v>129</v>
      </c>
      <c r="E689" s="59">
        <v>3.4597436034970001E-3</v>
      </c>
    </row>
    <row r="690" spans="2:5" ht="15" customHeight="1">
      <c r="B690" s="97"/>
      <c r="C690" s="74" t="s">
        <v>217</v>
      </c>
      <c r="D690" s="58">
        <v>137</v>
      </c>
      <c r="E690" s="59">
        <v>3.6743013463499999E-3</v>
      </c>
    </row>
    <row r="691" spans="2:5" ht="15" customHeight="1">
      <c r="B691" s="97"/>
      <c r="C691" s="74" t="s">
        <v>207</v>
      </c>
      <c r="D691" s="58">
        <v>178</v>
      </c>
      <c r="E691" s="59">
        <v>4.773909778469E-3</v>
      </c>
    </row>
    <row r="692" spans="2:5" ht="15" customHeight="1">
      <c r="B692" s="97"/>
      <c r="C692" s="74" t="s">
        <v>208</v>
      </c>
      <c r="D692" s="58">
        <v>72</v>
      </c>
      <c r="E692" s="59">
        <v>1.9310196856729999E-3</v>
      </c>
    </row>
    <row r="693" spans="2:5" ht="15" customHeight="1">
      <c r="B693" s="97"/>
      <c r="C693" s="74" t="s">
        <v>209</v>
      </c>
      <c r="D693" s="58">
        <v>119</v>
      </c>
      <c r="E693" s="59">
        <v>3.1915464249320001E-3</v>
      </c>
    </row>
    <row r="694" spans="2:5" ht="15" customHeight="1">
      <c r="B694" s="97"/>
      <c r="C694" s="74" t="s">
        <v>218</v>
      </c>
      <c r="D694" s="58">
        <v>7</v>
      </c>
      <c r="E694" s="59">
        <v>1.8773802499599999E-4</v>
      </c>
    </row>
    <row r="695" spans="2:5" ht="15" customHeight="1">
      <c r="B695" s="97"/>
      <c r="C695" s="74" t="s">
        <v>210</v>
      </c>
      <c r="D695" s="58">
        <v>85</v>
      </c>
      <c r="E695" s="59">
        <v>2.2796760178079999E-3</v>
      </c>
    </row>
    <row r="696" spans="2:5" ht="15" customHeight="1">
      <c r="B696" s="97"/>
      <c r="C696" s="74" t="s">
        <v>211</v>
      </c>
      <c r="D696" s="58">
        <v>8</v>
      </c>
      <c r="E696" s="59">
        <v>2.1455774285299999E-4</v>
      </c>
    </row>
    <row r="697" spans="2:5" ht="15" customHeight="1">
      <c r="B697" s="97"/>
      <c r="C697" s="74" t="s">
        <v>212</v>
      </c>
      <c r="D697" s="58">
        <v>25</v>
      </c>
      <c r="E697" s="59">
        <v>6.7049294641399998E-4</v>
      </c>
    </row>
    <row r="698" spans="2:5" ht="15" customHeight="1">
      <c r="B698" s="97"/>
      <c r="C698" s="74" t="s">
        <v>213</v>
      </c>
      <c r="D698" s="58">
        <v>18</v>
      </c>
      <c r="E698" s="59">
        <v>4.8275492141800001E-4</v>
      </c>
    </row>
    <row r="699" spans="2:5" ht="15" customHeight="1">
      <c r="B699" s="97"/>
      <c r="C699" s="74" t="s">
        <v>214</v>
      </c>
      <c r="D699" s="58">
        <v>65</v>
      </c>
      <c r="E699" s="59">
        <v>1.743281660677E-3</v>
      </c>
    </row>
    <row r="700" spans="2:5" ht="15" customHeight="1">
      <c r="B700" s="97"/>
      <c r="C700" s="74" t="s">
        <v>215</v>
      </c>
      <c r="D700" s="58">
        <v>11</v>
      </c>
      <c r="E700" s="59">
        <v>2.9501689642199999E-4</v>
      </c>
    </row>
    <row r="701" spans="2:5" ht="15" customHeight="1">
      <c r="B701" s="97"/>
      <c r="C701" s="74" t="s">
        <v>216</v>
      </c>
      <c r="D701" s="58">
        <v>68</v>
      </c>
      <c r="E701" s="59">
        <v>1.823740814247E-3</v>
      </c>
    </row>
    <row r="702" spans="2:5" ht="15" customHeight="1">
      <c r="B702" s="98"/>
      <c r="C702" s="75" t="s">
        <v>353</v>
      </c>
      <c r="D702" s="71">
        <v>1164</v>
      </c>
      <c r="E702" s="73">
        <v>3.1218151585045002E-2</v>
      </c>
    </row>
    <row r="703" spans="2:5" ht="15" customHeight="1">
      <c r="B703" s="96" t="s">
        <v>65</v>
      </c>
      <c r="C703" s="74" t="s">
        <v>202</v>
      </c>
      <c r="D703" s="58">
        <v>54</v>
      </c>
      <c r="E703" s="59">
        <v>1.4482647642550001E-3</v>
      </c>
    </row>
    <row r="704" spans="2:5" ht="15" customHeight="1">
      <c r="B704" s="97"/>
      <c r="C704" s="74" t="s">
        <v>203</v>
      </c>
      <c r="D704" s="58">
        <v>54</v>
      </c>
      <c r="E704" s="59">
        <v>1.4482647642550001E-3</v>
      </c>
    </row>
    <row r="705" spans="2:5" ht="15" customHeight="1">
      <c r="B705" s="97"/>
      <c r="C705" s="74" t="s">
        <v>204</v>
      </c>
      <c r="D705" s="58">
        <v>26</v>
      </c>
      <c r="E705" s="59">
        <v>6.9731266427100003E-4</v>
      </c>
    </row>
    <row r="706" spans="2:5" ht="15" customHeight="1">
      <c r="B706" s="97"/>
      <c r="C706" s="74" t="s">
        <v>205</v>
      </c>
      <c r="D706" s="58">
        <v>5</v>
      </c>
      <c r="E706" s="59">
        <v>1.34098589283E-4</v>
      </c>
    </row>
    <row r="707" spans="2:5" ht="15" customHeight="1">
      <c r="B707" s="97"/>
      <c r="C707" s="74" t="s">
        <v>206</v>
      </c>
      <c r="D707" s="58">
        <v>133</v>
      </c>
      <c r="E707" s="59">
        <v>3.5670224749239999E-3</v>
      </c>
    </row>
    <row r="708" spans="2:5" ht="15" customHeight="1">
      <c r="B708" s="97"/>
      <c r="C708" s="74" t="s">
        <v>217</v>
      </c>
      <c r="D708" s="58">
        <v>5</v>
      </c>
      <c r="E708" s="59">
        <v>1.34098589283E-4</v>
      </c>
    </row>
    <row r="709" spans="2:5" ht="15" customHeight="1">
      <c r="B709" s="97"/>
      <c r="C709" s="74" t="s">
        <v>207</v>
      </c>
      <c r="D709" s="58">
        <v>110</v>
      </c>
      <c r="E709" s="59">
        <v>2.950168964222E-3</v>
      </c>
    </row>
    <row r="710" spans="2:5" ht="15" customHeight="1">
      <c r="B710" s="97"/>
      <c r="C710" s="74" t="s">
        <v>208</v>
      </c>
      <c r="D710" s="58">
        <v>45</v>
      </c>
      <c r="E710" s="59">
        <v>1.206887303546E-3</v>
      </c>
    </row>
    <row r="711" spans="2:5" ht="15" customHeight="1">
      <c r="B711" s="97"/>
      <c r="C711" s="74" t="s">
        <v>209</v>
      </c>
      <c r="D711" s="58">
        <v>75</v>
      </c>
      <c r="E711" s="59">
        <v>2.0114788392429999E-3</v>
      </c>
    </row>
    <row r="712" spans="2:5" ht="15" customHeight="1">
      <c r="B712" s="97"/>
      <c r="C712" s="74" t="s">
        <v>218</v>
      </c>
      <c r="D712" s="58">
        <v>11</v>
      </c>
      <c r="E712" s="59">
        <v>2.9501689642199999E-4</v>
      </c>
    </row>
    <row r="713" spans="2:5" ht="15" customHeight="1">
      <c r="B713" s="97"/>
      <c r="C713" s="74" t="s">
        <v>210</v>
      </c>
      <c r="D713" s="58">
        <v>67</v>
      </c>
      <c r="E713" s="59">
        <v>1.7969210963900001E-3</v>
      </c>
    </row>
    <row r="714" spans="2:5" ht="15" customHeight="1">
      <c r="B714" s="97"/>
      <c r="C714" s="74" t="s">
        <v>211</v>
      </c>
      <c r="D714" s="58">
        <v>10</v>
      </c>
      <c r="E714" s="59">
        <v>2.6819717856600001E-4</v>
      </c>
    </row>
    <row r="715" spans="2:5" ht="15" customHeight="1">
      <c r="B715" s="97"/>
      <c r="C715" s="74" t="s">
        <v>212</v>
      </c>
      <c r="D715" s="58">
        <v>16</v>
      </c>
      <c r="E715" s="59">
        <v>4.2911548570500002E-4</v>
      </c>
    </row>
    <row r="716" spans="2:5" ht="15" customHeight="1">
      <c r="B716" s="97"/>
      <c r="C716" s="74" t="s">
        <v>213</v>
      </c>
      <c r="D716" s="58">
        <v>13</v>
      </c>
      <c r="E716" s="59">
        <v>3.4865633213499998E-4</v>
      </c>
    </row>
    <row r="717" spans="2:5" ht="15" customHeight="1">
      <c r="B717" s="97"/>
      <c r="C717" s="74" t="s">
        <v>214</v>
      </c>
      <c r="D717" s="58">
        <v>47</v>
      </c>
      <c r="E717" s="59">
        <v>1.260526739259E-3</v>
      </c>
    </row>
    <row r="718" spans="2:5" ht="15" customHeight="1">
      <c r="B718" s="97"/>
      <c r="C718" s="74" t="s">
        <v>215</v>
      </c>
      <c r="D718" s="58">
        <v>2</v>
      </c>
      <c r="E718" s="59">
        <v>5.3639435713000001E-5</v>
      </c>
    </row>
    <row r="719" spans="2:5" ht="15" customHeight="1">
      <c r="B719" s="97"/>
      <c r="C719" s="74" t="s">
        <v>216</v>
      </c>
      <c r="D719" s="58">
        <v>78</v>
      </c>
      <c r="E719" s="59">
        <v>2.091937992812E-3</v>
      </c>
    </row>
    <row r="720" spans="2:5" ht="15" customHeight="1">
      <c r="B720" s="98"/>
      <c r="C720" s="75" t="s">
        <v>353</v>
      </c>
      <c r="D720" s="71">
        <v>751</v>
      </c>
      <c r="E720" s="73">
        <v>2.0141608110283E-2</v>
      </c>
    </row>
    <row r="721" spans="2:5" ht="15" customHeight="1">
      <c r="B721" s="96" t="s">
        <v>70</v>
      </c>
      <c r="C721" s="74" t="s">
        <v>202</v>
      </c>
      <c r="D721" s="58">
        <v>24</v>
      </c>
      <c r="E721" s="59">
        <v>6.4367322855799999E-4</v>
      </c>
    </row>
    <row r="722" spans="2:5" ht="15" customHeight="1">
      <c r="B722" s="97"/>
      <c r="C722" s="74" t="s">
        <v>203</v>
      </c>
      <c r="D722" s="58">
        <v>24</v>
      </c>
      <c r="E722" s="59">
        <v>6.4367322855799999E-4</v>
      </c>
    </row>
    <row r="723" spans="2:5" ht="15" customHeight="1">
      <c r="B723" s="97"/>
      <c r="C723" s="74" t="s">
        <v>204</v>
      </c>
      <c r="D723" s="58">
        <v>15</v>
      </c>
      <c r="E723" s="59">
        <v>4.0229576784899998E-4</v>
      </c>
    </row>
    <row r="724" spans="2:5" ht="15" customHeight="1">
      <c r="B724" s="97"/>
      <c r="C724" s="74" t="s">
        <v>205</v>
      </c>
      <c r="D724" s="58">
        <v>1</v>
      </c>
      <c r="E724" s="59">
        <v>2.6819717857000001E-5</v>
      </c>
    </row>
    <row r="725" spans="2:5" ht="15" customHeight="1">
      <c r="B725" s="97"/>
      <c r="C725" s="74" t="s">
        <v>206</v>
      </c>
      <c r="D725" s="58">
        <v>35</v>
      </c>
      <c r="E725" s="59">
        <v>9.3869012498000004E-4</v>
      </c>
    </row>
    <row r="726" spans="2:5" ht="15" customHeight="1">
      <c r="B726" s="97"/>
      <c r="C726" s="74" t="s">
        <v>217</v>
      </c>
      <c r="D726" s="58">
        <v>334</v>
      </c>
      <c r="E726" s="59">
        <v>8.9577857640939992E-3</v>
      </c>
    </row>
    <row r="727" spans="2:5" ht="15" customHeight="1">
      <c r="B727" s="97"/>
      <c r="C727" s="74" t="s">
        <v>207</v>
      </c>
      <c r="D727" s="58">
        <v>49</v>
      </c>
      <c r="E727" s="59">
        <v>1.3141661749720001E-3</v>
      </c>
    </row>
    <row r="728" spans="2:5" ht="15" customHeight="1">
      <c r="B728" s="97"/>
      <c r="C728" s="74" t="s">
        <v>208</v>
      </c>
      <c r="D728" s="58">
        <v>25</v>
      </c>
      <c r="E728" s="59">
        <v>6.7049294641399998E-4</v>
      </c>
    </row>
    <row r="729" spans="2:5" ht="15" customHeight="1">
      <c r="B729" s="97"/>
      <c r="C729" s="74" t="s">
        <v>209</v>
      </c>
      <c r="D729" s="58">
        <v>45</v>
      </c>
      <c r="E729" s="59">
        <v>1.206887303546E-3</v>
      </c>
    </row>
    <row r="730" spans="2:5" ht="15" customHeight="1">
      <c r="B730" s="97"/>
      <c r="C730" s="74" t="s">
        <v>218</v>
      </c>
      <c r="D730" s="58">
        <v>15</v>
      </c>
      <c r="E730" s="59">
        <v>4.0229576784899998E-4</v>
      </c>
    </row>
    <row r="731" spans="2:5" ht="15" customHeight="1">
      <c r="B731" s="97"/>
      <c r="C731" s="74" t="s">
        <v>210</v>
      </c>
      <c r="D731" s="58">
        <v>32</v>
      </c>
      <c r="E731" s="59">
        <v>8.5823097141000005E-4</v>
      </c>
    </row>
    <row r="732" spans="2:5" ht="15" customHeight="1">
      <c r="B732" s="97"/>
      <c r="C732" s="74" t="s">
        <v>211</v>
      </c>
      <c r="D732" s="58">
        <v>4</v>
      </c>
      <c r="E732" s="59">
        <v>1.07278871426E-4</v>
      </c>
    </row>
    <row r="733" spans="2:5" ht="15" customHeight="1">
      <c r="B733" s="97"/>
      <c r="C733" s="74" t="s">
        <v>212</v>
      </c>
      <c r="D733" s="58">
        <v>8</v>
      </c>
      <c r="E733" s="59">
        <v>2.1455774285299999E-4</v>
      </c>
    </row>
    <row r="734" spans="2:5" ht="15" customHeight="1">
      <c r="B734" s="97"/>
      <c r="C734" s="74" t="s">
        <v>213</v>
      </c>
      <c r="D734" s="58">
        <v>5</v>
      </c>
      <c r="E734" s="59">
        <v>1.34098589283E-4</v>
      </c>
    </row>
    <row r="735" spans="2:5" ht="15" customHeight="1">
      <c r="B735" s="97"/>
      <c r="C735" s="74" t="s">
        <v>214</v>
      </c>
      <c r="D735" s="58">
        <v>30</v>
      </c>
      <c r="E735" s="59">
        <v>8.0459153569700001E-4</v>
      </c>
    </row>
    <row r="736" spans="2:5" ht="15" customHeight="1">
      <c r="B736" s="97"/>
      <c r="C736" s="74" t="s">
        <v>215</v>
      </c>
      <c r="D736" s="58">
        <v>3</v>
      </c>
      <c r="E736" s="59">
        <v>8.0459153570000002E-5</v>
      </c>
    </row>
    <row r="737" spans="2:5" ht="15" customHeight="1">
      <c r="B737" s="97"/>
      <c r="C737" s="74" t="s">
        <v>216</v>
      </c>
      <c r="D737" s="58">
        <v>35</v>
      </c>
      <c r="E737" s="59">
        <v>9.3869012498000004E-4</v>
      </c>
    </row>
    <row r="738" spans="2:5" ht="15" customHeight="1">
      <c r="B738" s="98"/>
      <c r="C738" s="75" t="s">
        <v>353</v>
      </c>
      <c r="D738" s="71">
        <v>684</v>
      </c>
      <c r="E738" s="73">
        <v>1.8344687013893E-2</v>
      </c>
    </row>
    <row r="739" spans="2:5" ht="15" customHeight="1">
      <c r="B739" s="96" t="s">
        <v>58</v>
      </c>
      <c r="C739" s="74" t="s">
        <v>202</v>
      </c>
      <c r="D739" s="58">
        <v>50</v>
      </c>
      <c r="E739" s="59">
        <v>1.340985892828E-3</v>
      </c>
    </row>
    <row r="740" spans="2:5" ht="15" customHeight="1">
      <c r="B740" s="97"/>
      <c r="C740" s="74" t="s">
        <v>203</v>
      </c>
      <c r="D740" s="58">
        <v>48</v>
      </c>
      <c r="E740" s="59">
        <v>1.2873464571149999E-3</v>
      </c>
    </row>
    <row r="741" spans="2:5" ht="15" customHeight="1">
      <c r="B741" s="97"/>
      <c r="C741" s="74" t="s">
        <v>204</v>
      </c>
      <c r="D741" s="58">
        <v>24</v>
      </c>
      <c r="E741" s="59">
        <v>6.4367322855799999E-4</v>
      </c>
    </row>
    <row r="742" spans="2:5" ht="15" customHeight="1">
      <c r="B742" s="97"/>
      <c r="C742" s="74" t="s">
        <v>205</v>
      </c>
      <c r="D742" s="58">
        <v>5</v>
      </c>
      <c r="E742" s="59">
        <v>1.34098589283E-4</v>
      </c>
    </row>
    <row r="743" spans="2:5" ht="15" customHeight="1">
      <c r="B743" s="97"/>
      <c r="C743" s="74" t="s">
        <v>206</v>
      </c>
      <c r="D743" s="58">
        <v>70</v>
      </c>
      <c r="E743" s="59">
        <v>1.8773802499600001E-3</v>
      </c>
    </row>
    <row r="744" spans="2:5" ht="15" customHeight="1">
      <c r="B744" s="97"/>
      <c r="C744" s="74" t="s">
        <v>217</v>
      </c>
      <c r="D744" s="58">
        <v>273</v>
      </c>
      <c r="E744" s="59">
        <v>7.3217829748430004E-3</v>
      </c>
    </row>
    <row r="745" spans="2:5" ht="15" customHeight="1">
      <c r="B745" s="97"/>
      <c r="C745" s="74" t="s">
        <v>207</v>
      </c>
      <c r="D745" s="58">
        <v>113</v>
      </c>
      <c r="E745" s="59">
        <v>3.0306281177920002E-3</v>
      </c>
    </row>
    <row r="746" spans="2:5" ht="15" customHeight="1">
      <c r="B746" s="97"/>
      <c r="C746" s="74" t="s">
        <v>208</v>
      </c>
      <c r="D746" s="58">
        <v>33</v>
      </c>
      <c r="E746" s="59">
        <v>8.8505068926699999E-4</v>
      </c>
    </row>
    <row r="747" spans="2:5" ht="15" customHeight="1">
      <c r="B747" s="97"/>
      <c r="C747" s="74" t="s">
        <v>209</v>
      </c>
      <c r="D747" s="58">
        <v>72</v>
      </c>
      <c r="E747" s="59">
        <v>1.9310196856729999E-3</v>
      </c>
    </row>
    <row r="748" spans="2:5" ht="15" customHeight="1">
      <c r="B748" s="97"/>
      <c r="C748" s="74" t="s">
        <v>218</v>
      </c>
      <c r="D748" s="58">
        <v>18</v>
      </c>
      <c r="E748" s="59">
        <v>4.8275492141800001E-4</v>
      </c>
    </row>
    <row r="749" spans="2:5" ht="15" customHeight="1">
      <c r="B749" s="97"/>
      <c r="C749" s="74" t="s">
        <v>210</v>
      </c>
      <c r="D749" s="58">
        <v>61</v>
      </c>
      <c r="E749" s="59">
        <v>1.636002789251E-3</v>
      </c>
    </row>
    <row r="750" spans="2:5" ht="15" customHeight="1">
      <c r="B750" s="97"/>
      <c r="C750" s="74" t="s">
        <v>211</v>
      </c>
      <c r="D750" s="58">
        <v>4</v>
      </c>
      <c r="E750" s="59">
        <v>1.07278871426E-4</v>
      </c>
    </row>
    <row r="751" spans="2:5" ht="15" customHeight="1">
      <c r="B751" s="97"/>
      <c r="C751" s="74" t="s">
        <v>212</v>
      </c>
      <c r="D751" s="58">
        <v>32</v>
      </c>
      <c r="E751" s="59">
        <v>8.5823097141000005E-4</v>
      </c>
    </row>
    <row r="752" spans="2:5" ht="15" customHeight="1">
      <c r="B752" s="97"/>
      <c r="C752" s="74" t="s">
        <v>213</v>
      </c>
      <c r="D752" s="58">
        <v>15</v>
      </c>
      <c r="E752" s="59">
        <v>4.0229576784899998E-4</v>
      </c>
    </row>
    <row r="753" spans="2:5" ht="15" customHeight="1">
      <c r="B753" s="97"/>
      <c r="C753" s="74" t="s">
        <v>214</v>
      </c>
      <c r="D753" s="58">
        <v>47</v>
      </c>
      <c r="E753" s="59">
        <v>1.260526739259E-3</v>
      </c>
    </row>
    <row r="754" spans="2:5" ht="15" customHeight="1">
      <c r="B754" s="97"/>
      <c r="C754" s="74" t="s">
        <v>215</v>
      </c>
      <c r="D754" s="58">
        <v>11</v>
      </c>
      <c r="E754" s="59">
        <v>2.9501689642199999E-4</v>
      </c>
    </row>
    <row r="755" spans="2:5" ht="15" customHeight="1">
      <c r="B755" s="97"/>
      <c r="C755" s="74" t="s">
        <v>216</v>
      </c>
      <c r="D755" s="58">
        <v>39</v>
      </c>
      <c r="E755" s="59">
        <v>1.045968996406E-3</v>
      </c>
    </row>
    <row r="756" spans="2:5" ht="15" customHeight="1">
      <c r="B756" s="98"/>
      <c r="C756" s="75" t="s">
        <v>353</v>
      </c>
      <c r="D756" s="71">
        <v>915</v>
      </c>
      <c r="E756" s="73">
        <v>2.4540041838760001E-2</v>
      </c>
    </row>
    <row r="757" spans="2:5" ht="15" customHeight="1">
      <c r="B757" s="96" t="s">
        <v>51</v>
      </c>
      <c r="C757" s="74" t="s">
        <v>202</v>
      </c>
      <c r="D757" s="58">
        <v>121</v>
      </c>
      <c r="E757" s="59">
        <v>3.245185860645E-3</v>
      </c>
    </row>
    <row r="758" spans="2:5" ht="15" customHeight="1">
      <c r="B758" s="97"/>
      <c r="C758" s="74" t="s">
        <v>203</v>
      </c>
      <c r="D758" s="58">
        <v>88</v>
      </c>
      <c r="E758" s="59">
        <v>2.3601351713780001E-3</v>
      </c>
    </row>
    <row r="759" spans="2:5" ht="15" customHeight="1">
      <c r="B759" s="97"/>
      <c r="C759" s="74" t="s">
        <v>204</v>
      </c>
      <c r="D759" s="58">
        <v>50</v>
      </c>
      <c r="E759" s="59">
        <v>1.340985892828E-3</v>
      </c>
    </row>
    <row r="760" spans="2:5" ht="15" customHeight="1">
      <c r="B760" s="97"/>
      <c r="C760" s="74" t="s">
        <v>205</v>
      </c>
      <c r="D760" s="58">
        <v>7</v>
      </c>
      <c r="E760" s="59">
        <v>1.8773802499599999E-4</v>
      </c>
    </row>
    <row r="761" spans="2:5" ht="15" customHeight="1">
      <c r="B761" s="97"/>
      <c r="C761" s="74" t="s">
        <v>206</v>
      </c>
      <c r="D761" s="58">
        <v>154</v>
      </c>
      <c r="E761" s="59">
        <v>4.1302365499110002E-3</v>
      </c>
    </row>
    <row r="762" spans="2:5" ht="15" customHeight="1">
      <c r="B762" s="97"/>
      <c r="C762" s="74" t="s">
        <v>217</v>
      </c>
      <c r="D762" s="58">
        <v>531</v>
      </c>
      <c r="E762" s="59">
        <v>1.4241270181838E-2</v>
      </c>
    </row>
    <row r="763" spans="2:5" ht="15" customHeight="1">
      <c r="B763" s="97"/>
      <c r="C763" s="74" t="s">
        <v>207</v>
      </c>
      <c r="D763" s="58">
        <v>215</v>
      </c>
      <c r="E763" s="59">
        <v>5.766239339162E-3</v>
      </c>
    </row>
    <row r="764" spans="2:5" ht="15" customHeight="1">
      <c r="B764" s="97"/>
      <c r="C764" s="74" t="s">
        <v>208</v>
      </c>
      <c r="D764" s="58">
        <v>76</v>
      </c>
      <c r="E764" s="59">
        <v>2.0382985570990002E-3</v>
      </c>
    </row>
    <row r="765" spans="2:5" ht="15" customHeight="1">
      <c r="B765" s="97"/>
      <c r="C765" s="74" t="s">
        <v>209</v>
      </c>
      <c r="D765" s="58">
        <v>166</v>
      </c>
      <c r="E765" s="59">
        <v>4.4520731641900001E-3</v>
      </c>
    </row>
    <row r="766" spans="2:5" ht="15" customHeight="1">
      <c r="B766" s="97"/>
      <c r="C766" s="74" t="s">
        <v>218</v>
      </c>
      <c r="D766" s="58">
        <v>16</v>
      </c>
      <c r="E766" s="59">
        <v>4.2911548570500002E-4</v>
      </c>
    </row>
    <row r="767" spans="2:5" ht="15" customHeight="1">
      <c r="B767" s="97"/>
      <c r="C767" s="74" t="s">
        <v>210</v>
      </c>
      <c r="D767" s="58">
        <v>88</v>
      </c>
      <c r="E767" s="59">
        <v>2.3601351713780001E-3</v>
      </c>
    </row>
    <row r="768" spans="2:5" ht="15" customHeight="1">
      <c r="B768" s="97"/>
      <c r="C768" s="74" t="s">
        <v>211</v>
      </c>
      <c r="D768" s="58">
        <v>9</v>
      </c>
      <c r="E768" s="59">
        <v>2.4137746070900001E-4</v>
      </c>
    </row>
    <row r="769" spans="2:5" ht="15" customHeight="1">
      <c r="B769" s="97"/>
      <c r="C769" s="74" t="s">
        <v>212</v>
      </c>
      <c r="D769" s="58">
        <v>32</v>
      </c>
      <c r="E769" s="59">
        <v>8.5823097141000005E-4</v>
      </c>
    </row>
    <row r="770" spans="2:5" ht="15" customHeight="1">
      <c r="B770" s="97"/>
      <c r="C770" s="74" t="s">
        <v>213</v>
      </c>
      <c r="D770" s="58">
        <v>16</v>
      </c>
      <c r="E770" s="59">
        <v>4.2911548570500002E-4</v>
      </c>
    </row>
    <row r="771" spans="2:5" ht="15" customHeight="1">
      <c r="B771" s="97"/>
      <c r="C771" s="74" t="s">
        <v>214</v>
      </c>
      <c r="D771" s="58">
        <v>58</v>
      </c>
      <c r="E771" s="59">
        <v>1.555543635681E-3</v>
      </c>
    </row>
    <row r="772" spans="2:5" ht="15" customHeight="1">
      <c r="B772" s="97"/>
      <c r="C772" s="74" t="s">
        <v>215</v>
      </c>
      <c r="D772" s="58">
        <v>20</v>
      </c>
      <c r="E772" s="59">
        <v>5.3639435713100005E-4</v>
      </c>
    </row>
    <row r="773" spans="2:5" ht="15" customHeight="1">
      <c r="B773" s="97"/>
      <c r="C773" s="74" t="s">
        <v>216</v>
      </c>
      <c r="D773" s="58">
        <v>93</v>
      </c>
      <c r="E773" s="59">
        <v>2.4942337606610001E-3</v>
      </c>
    </row>
    <row r="774" spans="2:5" ht="15" customHeight="1">
      <c r="B774" s="98"/>
      <c r="C774" s="75" t="s">
        <v>353</v>
      </c>
      <c r="D774" s="71">
        <v>1740</v>
      </c>
      <c r="E774" s="73">
        <v>4.6666309070428999E-2</v>
      </c>
    </row>
    <row r="775" spans="2:5" ht="15" customHeight="1">
      <c r="B775" s="96" t="s">
        <v>85</v>
      </c>
      <c r="C775" s="74" t="s">
        <v>202</v>
      </c>
      <c r="D775" s="58">
        <v>4</v>
      </c>
      <c r="E775" s="59">
        <v>1.07278871426E-4</v>
      </c>
    </row>
    <row r="776" spans="2:5" ht="15" customHeight="1">
      <c r="B776" s="97"/>
      <c r="C776" s="74" t="s">
        <v>203</v>
      </c>
      <c r="D776" s="58">
        <v>2</v>
      </c>
      <c r="E776" s="59">
        <v>5.3639435713000001E-5</v>
      </c>
    </row>
    <row r="777" spans="2:5" ht="15" customHeight="1">
      <c r="B777" s="97"/>
      <c r="C777" s="74" t="s">
        <v>204</v>
      </c>
      <c r="D777" s="58">
        <v>4</v>
      </c>
      <c r="E777" s="59">
        <v>1.07278871426E-4</v>
      </c>
    </row>
    <row r="778" spans="2:5" ht="15" customHeight="1">
      <c r="B778" s="97"/>
      <c r="C778" s="74" t="s">
        <v>205</v>
      </c>
      <c r="D778" s="58">
        <v>1</v>
      </c>
      <c r="E778" s="59">
        <v>2.6819717857000001E-5</v>
      </c>
    </row>
    <row r="779" spans="2:5" ht="15" customHeight="1">
      <c r="B779" s="97"/>
      <c r="C779" s="74" t="s">
        <v>206</v>
      </c>
      <c r="D779" s="58">
        <v>12</v>
      </c>
      <c r="E779" s="59">
        <v>3.2183661427899999E-4</v>
      </c>
    </row>
    <row r="780" spans="2:5" ht="15" customHeight="1">
      <c r="B780" s="97"/>
      <c r="C780" s="74" t="s">
        <v>217</v>
      </c>
      <c r="D780" s="58">
        <v>54</v>
      </c>
      <c r="E780" s="59">
        <v>1.4482647642550001E-3</v>
      </c>
    </row>
    <row r="781" spans="2:5" ht="15" customHeight="1">
      <c r="B781" s="97"/>
      <c r="C781" s="74" t="s">
        <v>207</v>
      </c>
      <c r="D781" s="58">
        <v>7</v>
      </c>
      <c r="E781" s="59">
        <v>1.8773802499599999E-4</v>
      </c>
    </row>
    <row r="782" spans="2:5" ht="15" customHeight="1">
      <c r="B782" s="97"/>
      <c r="C782" s="74" t="s">
        <v>208</v>
      </c>
      <c r="D782" s="58">
        <v>11</v>
      </c>
      <c r="E782" s="59">
        <v>2.9501689642199999E-4</v>
      </c>
    </row>
    <row r="783" spans="2:5" ht="15" customHeight="1">
      <c r="B783" s="97"/>
      <c r="C783" s="74" t="s">
        <v>209</v>
      </c>
      <c r="D783" s="58">
        <v>7</v>
      </c>
      <c r="E783" s="59">
        <v>1.8773802499599999E-4</v>
      </c>
    </row>
    <row r="784" spans="2:5" ht="15" customHeight="1">
      <c r="B784" s="97"/>
      <c r="C784" s="74" t="s">
        <v>218</v>
      </c>
      <c r="D784" s="58">
        <v>3</v>
      </c>
      <c r="E784" s="59">
        <v>8.0459153570000002E-5</v>
      </c>
    </row>
    <row r="785" spans="2:5" ht="15" customHeight="1">
      <c r="B785" s="97"/>
      <c r="C785" s="74" t="s">
        <v>210</v>
      </c>
      <c r="D785" s="58">
        <v>6</v>
      </c>
      <c r="E785" s="59">
        <v>1.6091830713899999E-4</v>
      </c>
    </row>
    <row r="786" spans="2:5" ht="15" customHeight="1">
      <c r="B786" s="97"/>
      <c r="C786" s="74" t="s">
        <v>211</v>
      </c>
      <c r="D786" s="58">
        <v>1</v>
      </c>
      <c r="E786" s="59">
        <v>2.6819717857000001E-5</v>
      </c>
    </row>
    <row r="787" spans="2:5" ht="15" customHeight="1">
      <c r="B787" s="97"/>
      <c r="C787" s="74" t="s">
        <v>212</v>
      </c>
      <c r="D787" s="58">
        <v>3</v>
      </c>
      <c r="E787" s="59">
        <v>8.0459153570000002E-5</v>
      </c>
    </row>
    <row r="788" spans="2:5" ht="15" customHeight="1">
      <c r="B788" s="97"/>
      <c r="C788" s="74" t="s">
        <v>213</v>
      </c>
      <c r="D788" s="58">
        <v>1</v>
      </c>
      <c r="E788" s="59">
        <v>2.6819717857000001E-5</v>
      </c>
    </row>
    <row r="789" spans="2:5" ht="15" customHeight="1">
      <c r="B789" s="97"/>
      <c r="C789" s="74" t="s">
        <v>214</v>
      </c>
      <c r="D789" s="58">
        <v>7</v>
      </c>
      <c r="E789" s="59">
        <v>1.8773802499599999E-4</v>
      </c>
    </row>
    <row r="790" spans="2:5" ht="15" customHeight="1">
      <c r="B790" s="97"/>
      <c r="C790" s="74" t="s">
        <v>215</v>
      </c>
      <c r="D790" s="58">
        <v>1</v>
      </c>
      <c r="E790" s="59">
        <v>2.6819717857000001E-5</v>
      </c>
    </row>
    <row r="791" spans="2:5" ht="15" customHeight="1">
      <c r="B791" s="97"/>
      <c r="C791" s="74" t="s">
        <v>216</v>
      </c>
      <c r="D791" s="58">
        <v>4</v>
      </c>
      <c r="E791" s="59">
        <v>1.07278871426E-4</v>
      </c>
    </row>
    <row r="792" spans="2:5" ht="15" customHeight="1">
      <c r="B792" s="98"/>
      <c r="C792" s="75" t="s">
        <v>353</v>
      </c>
      <c r="D792" s="71">
        <v>128</v>
      </c>
      <c r="E792" s="73">
        <v>3.4329238856409998E-3</v>
      </c>
    </row>
    <row r="793" spans="2:5" ht="15" customHeight="1">
      <c r="B793" s="96" t="s">
        <v>91</v>
      </c>
      <c r="C793" s="74" t="s">
        <v>202</v>
      </c>
      <c r="D793" s="58">
        <v>3</v>
      </c>
      <c r="E793" s="59">
        <v>8.0459153570000002E-5</v>
      </c>
    </row>
    <row r="794" spans="2:5" ht="15" customHeight="1">
      <c r="B794" s="97"/>
      <c r="C794" s="74" t="s">
        <v>203</v>
      </c>
      <c r="D794" s="58">
        <v>3</v>
      </c>
      <c r="E794" s="59">
        <v>8.0459153570000002E-5</v>
      </c>
    </row>
    <row r="795" spans="2:5" ht="15" customHeight="1">
      <c r="B795" s="97"/>
      <c r="C795" s="74" t="s">
        <v>204</v>
      </c>
      <c r="D795" s="58">
        <v>2</v>
      </c>
      <c r="E795" s="59">
        <v>5.3639435713000001E-5</v>
      </c>
    </row>
    <row r="796" spans="2:5" ht="15" customHeight="1">
      <c r="B796" s="97"/>
      <c r="C796" s="74" t="s">
        <v>206</v>
      </c>
      <c r="D796" s="58">
        <v>7</v>
      </c>
      <c r="E796" s="59">
        <v>1.8773802499599999E-4</v>
      </c>
    </row>
    <row r="797" spans="2:5" ht="15" customHeight="1">
      <c r="B797" s="97"/>
      <c r="C797" s="74" t="s">
        <v>217</v>
      </c>
      <c r="D797" s="58">
        <v>10</v>
      </c>
      <c r="E797" s="59">
        <v>2.6819717856600001E-4</v>
      </c>
    </row>
    <row r="798" spans="2:5" ht="15" customHeight="1">
      <c r="B798" s="97"/>
      <c r="C798" s="74" t="s">
        <v>207</v>
      </c>
      <c r="D798" s="58">
        <v>3</v>
      </c>
      <c r="E798" s="59">
        <v>8.0459153570000002E-5</v>
      </c>
    </row>
    <row r="799" spans="2:5" ht="15" customHeight="1">
      <c r="B799" s="97"/>
      <c r="C799" s="74" t="s">
        <v>208</v>
      </c>
      <c r="D799" s="58">
        <v>3</v>
      </c>
      <c r="E799" s="59">
        <v>8.0459153570000002E-5</v>
      </c>
    </row>
    <row r="800" spans="2:5" ht="15" customHeight="1">
      <c r="B800" s="97"/>
      <c r="C800" s="74" t="s">
        <v>209</v>
      </c>
      <c r="D800" s="58">
        <v>3</v>
      </c>
      <c r="E800" s="59">
        <v>8.0459153570000002E-5</v>
      </c>
    </row>
    <row r="801" spans="2:5" ht="15" customHeight="1">
      <c r="B801" s="97"/>
      <c r="C801" s="74" t="s">
        <v>210</v>
      </c>
      <c r="D801" s="58">
        <v>4</v>
      </c>
      <c r="E801" s="59">
        <v>1.07278871426E-4</v>
      </c>
    </row>
    <row r="802" spans="2:5" ht="15" customHeight="1">
      <c r="B802" s="97"/>
      <c r="C802" s="74" t="s">
        <v>212</v>
      </c>
      <c r="D802" s="58">
        <v>1</v>
      </c>
      <c r="E802" s="59">
        <v>2.6819717857000001E-5</v>
      </c>
    </row>
    <row r="803" spans="2:5" ht="15" customHeight="1">
      <c r="B803" s="97"/>
      <c r="C803" s="74" t="s">
        <v>213</v>
      </c>
      <c r="D803" s="58">
        <v>2</v>
      </c>
      <c r="E803" s="59">
        <v>5.3639435713000001E-5</v>
      </c>
    </row>
    <row r="804" spans="2:5" ht="15" customHeight="1">
      <c r="B804" s="97"/>
      <c r="C804" s="74" t="s">
        <v>214</v>
      </c>
      <c r="D804" s="58">
        <v>2</v>
      </c>
      <c r="E804" s="59">
        <v>5.3639435713000001E-5</v>
      </c>
    </row>
    <row r="805" spans="2:5" ht="15" customHeight="1">
      <c r="B805" s="97"/>
      <c r="C805" s="74" t="s">
        <v>215</v>
      </c>
      <c r="D805" s="58">
        <v>1</v>
      </c>
      <c r="E805" s="59">
        <v>2.6819717857000001E-5</v>
      </c>
    </row>
    <row r="806" spans="2:5" ht="15" customHeight="1">
      <c r="B806" s="97"/>
      <c r="C806" s="74" t="s">
        <v>216</v>
      </c>
      <c r="D806" s="58">
        <v>1</v>
      </c>
      <c r="E806" s="59">
        <v>2.6819717857000001E-5</v>
      </c>
    </row>
    <row r="807" spans="2:5" ht="15" customHeight="1">
      <c r="B807" s="98"/>
      <c r="C807" s="75" t="s">
        <v>353</v>
      </c>
      <c r="D807" s="71">
        <v>45</v>
      </c>
      <c r="E807" s="73">
        <v>1.206887303546E-3</v>
      </c>
    </row>
    <row r="808" spans="2:5" ht="15" customHeight="1">
      <c r="B808" s="96" t="s">
        <v>79</v>
      </c>
      <c r="C808" s="74" t="s">
        <v>202</v>
      </c>
      <c r="D808" s="58">
        <v>8</v>
      </c>
      <c r="E808" s="59">
        <v>2.1455774285299999E-4</v>
      </c>
    </row>
    <row r="809" spans="2:5" ht="15" customHeight="1">
      <c r="B809" s="97"/>
      <c r="C809" s="74" t="s">
        <v>203</v>
      </c>
      <c r="D809" s="58">
        <v>3</v>
      </c>
      <c r="E809" s="59">
        <v>8.0459153570000002E-5</v>
      </c>
    </row>
    <row r="810" spans="2:5" ht="15" customHeight="1">
      <c r="B810" s="97"/>
      <c r="C810" s="74" t="s">
        <v>204</v>
      </c>
      <c r="D810" s="58">
        <v>3</v>
      </c>
      <c r="E810" s="59">
        <v>8.0459153570000002E-5</v>
      </c>
    </row>
    <row r="811" spans="2:5" ht="15" customHeight="1">
      <c r="B811" s="97"/>
      <c r="C811" s="74" t="s">
        <v>205</v>
      </c>
      <c r="D811" s="58">
        <v>2</v>
      </c>
      <c r="E811" s="59">
        <v>5.3639435713000001E-5</v>
      </c>
    </row>
    <row r="812" spans="2:5" ht="15" customHeight="1">
      <c r="B812" s="97"/>
      <c r="C812" s="74" t="s">
        <v>206</v>
      </c>
      <c r="D812" s="58">
        <v>18</v>
      </c>
      <c r="E812" s="59">
        <v>4.8275492141800001E-4</v>
      </c>
    </row>
    <row r="813" spans="2:5" ht="15" customHeight="1">
      <c r="B813" s="97"/>
      <c r="C813" s="74" t="s">
        <v>217</v>
      </c>
      <c r="D813" s="58">
        <v>102</v>
      </c>
      <c r="E813" s="59">
        <v>2.7356112213699998E-3</v>
      </c>
    </row>
    <row r="814" spans="2:5" ht="15" customHeight="1">
      <c r="B814" s="97"/>
      <c r="C814" s="74" t="s">
        <v>207</v>
      </c>
      <c r="D814" s="58">
        <v>13</v>
      </c>
      <c r="E814" s="59">
        <v>3.4865633213499998E-4</v>
      </c>
    </row>
    <row r="815" spans="2:5" ht="15" customHeight="1">
      <c r="B815" s="97"/>
      <c r="C815" s="74" t="s">
        <v>208</v>
      </c>
      <c r="D815" s="58">
        <v>12</v>
      </c>
      <c r="E815" s="59">
        <v>3.2183661427899999E-4</v>
      </c>
    </row>
    <row r="816" spans="2:5" ht="15" customHeight="1">
      <c r="B816" s="97"/>
      <c r="C816" s="74" t="s">
        <v>209</v>
      </c>
      <c r="D816" s="58">
        <v>23</v>
      </c>
      <c r="E816" s="59">
        <v>6.1685351070100004E-4</v>
      </c>
    </row>
    <row r="817" spans="2:5" ht="15" customHeight="1">
      <c r="B817" s="97"/>
      <c r="C817" s="74" t="s">
        <v>218</v>
      </c>
      <c r="D817" s="58">
        <v>3</v>
      </c>
      <c r="E817" s="59">
        <v>8.0459153570000002E-5</v>
      </c>
    </row>
    <row r="818" spans="2:5" ht="15" customHeight="1">
      <c r="B818" s="97"/>
      <c r="C818" s="74" t="s">
        <v>210</v>
      </c>
      <c r="D818" s="58">
        <v>19</v>
      </c>
      <c r="E818" s="59">
        <v>5.0957463927499996E-4</v>
      </c>
    </row>
    <row r="819" spans="2:5" ht="15" customHeight="1">
      <c r="B819" s="97"/>
      <c r="C819" s="74" t="s">
        <v>211</v>
      </c>
      <c r="D819" s="58">
        <v>4</v>
      </c>
      <c r="E819" s="59">
        <v>1.07278871426E-4</v>
      </c>
    </row>
    <row r="820" spans="2:5" ht="15" customHeight="1">
      <c r="B820" s="97"/>
      <c r="C820" s="74" t="s">
        <v>212</v>
      </c>
      <c r="D820" s="58">
        <v>11</v>
      </c>
      <c r="E820" s="59">
        <v>2.9501689642199999E-4</v>
      </c>
    </row>
    <row r="821" spans="2:5" ht="15" customHeight="1">
      <c r="B821" s="97"/>
      <c r="C821" s="74" t="s">
        <v>213</v>
      </c>
      <c r="D821" s="58">
        <v>7</v>
      </c>
      <c r="E821" s="59">
        <v>1.8773802499599999E-4</v>
      </c>
    </row>
    <row r="822" spans="2:5" ht="15" customHeight="1">
      <c r="B822" s="97"/>
      <c r="C822" s="74" t="s">
        <v>214</v>
      </c>
      <c r="D822" s="58">
        <v>5</v>
      </c>
      <c r="E822" s="59">
        <v>1.34098589283E-4</v>
      </c>
    </row>
    <row r="823" spans="2:5" ht="15" customHeight="1">
      <c r="B823" s="97"/>
      <c r="C823" s="74" t="s">
        <v>215</v>
      </c>
      <c r="D823" s="58">
        <v>3</v>
      </c>
      <c r="E823" s="59">
        <v>8.0459153570000002E-5</v>
      </c>
    </row>
    <row r="824" spans="2:5" ht="15" customHeight="1">
      <c r="B824" s="97"/>
      <c r="C824" s="74" t="s">
        <v>216</v>
      </c>
      <c r="D824" s="58">
        <v>15</v>
      </c>
      <c r="E824" s="59">
        <v>4.0229576784899998E-4</v>
      </c>
    </row>
    <row r="825" spans="2:5" ht="15" customHeight="1">
      <c r="B825" s="98"/>
      <c r="C825" s="75" t="s">
        <v>353</v>
      </c>
      <c r="D825" s="71">
        <v>251</v>
      </c>
      <c r="E825" s="73">
        <v>6.7317491819989996E-3</v>
      </c>
    </row>
    <row r="826" spans="2:5" ht="15" customHeight="1">
      <c r="B826" s="96" t="s">
        <v>96</v>
      </c>
      <c r="C826" s="74" t="s">
        <v>203</v>
      </c>
      <c r="D826" s="58">
        <v>1</v>
      </c>
      <c r="E826" s="59">
        <v>2.6819717857000001E-5</v>
      </c>
    </row>
    <row r="827" spans="2:5" ht="15" customHeight="1">
      <c r="B827" s="97"/>
      <c r="C827" s="74" t="s">
        <v>217</v>
      </c>
      <c r="D827" s="58">
        <v>2</v>
      </c>
      <c r="E827" s="59">
        <v>5.3639435713000001E-5</v>
      </c>
    </row>
    <row r="828" spans="2:5" ht="15" customHeight="1">
      <c r="B828" s="97"/>
      <c r="C828" s="74" t="s">
        <v>207</v>
      </c>
      <c r="D828" s="58">
        <v>2</v>
      </c>
      <c r="E828" s="59">
        <v>5.3639435713000001E-5</v>
      </c>
    </row>
    <row r="829" spans="2:5" ht="15" customHeight="1">
      <c r="B829" s="97"/>
      <c r="C829" s="74" t="s">
        <v>212</v>
      </c>
      <c r="D829" s="58">
        <v>1</v>
      </c>
      <c r="E829" s="59">
        <v>2.6819717857000001E-5</v>
      </c>
    </row>
    <row r="830" spans="2:5" ht="15" customHeight="1">
      <c r="B830" s="97"/>
      <c r="C830" s="74" t="s">
        <v>214</v>
      </c>
      <c r="D830" s="58">
        <v>1</v>
      </c>
      <c r="E830" s="59">
        <v>2.6819717857000001E-5</v>
      </c>
    </row>
    <row r="831" spans="2:5" ht="15" customHeight="1">
      <c r="B831" s="97"/>
      <c r="C831" s="74" t="s">
        <v>216</v>
      </c>
      <c r="D831" s="58">
        <v>1</v>
      </c>
      <c r="E831" s="59">
        <v>2.6819717857000001E-5</v>
      </c>
    </row>
    <row r="832" spans="2:5" ht="15" customHeight="1">
      <c r="B832" s="98"/>
      <c r="C832" s="75" t="s">
        <v>353</v>
      </c>
      <c r="D832" s="71">
        <v>8</v>
      </c>
      <c r="E832" s="73">
        <v>2.1455774285299999E-4</v>
      </c>
    </row>
    <row r="833" spans="1:5" ht="15" customHeight="1">
      <c r="B833" s="94" t="s">
        <v>354</v>
      </c>
      <c r="C833" s="95"/>
      <c r="D833" s="61">
        <v>37286</v>
      </c>
      <c r="E833" s="62">
        <v>1</v>
      </c>
    </row>
    <row r="834" spans="1:5" ht="15" customHeight="1">
      <c r="B834" s="39"/>
      <c r="C834" s="39"/>
      <c r="D834" s="39"/>
      <c r="E834" s="39"/>
    </row>
    <row r="835" spans="1:5" ht="15" customHeight="1">
      <c r="B835" s="40" t="s">
        <v>132</v>
      </c>
      <c r="C835" s="39"/>
      <c r="D835" s="39"/>
      <c r="E835" s="39"/>
    </row>
    <row r="836" spans="1:5" ht="15" customHeight="1">
      <c r="A836" s="13"/>
      <c r="B836" s="41" t="s">
        <v>17</v>
      </c>
      <c r="C836" s="39"/>
      <c r="D836" s="39"/>
      <c r="E836" s="39"/>
    </row>
    <row r="837" spans="1:5" ht="15" customHeight="1">
      <c r="A837" s="13"/>
      <c r="B837" s="42" t="s">
        <v>46</v>
      </c>
      <c r="C837" s="39"/>
      <c r="D837" s="39"/>
      <c r="E837" s="39"/>
    </row>
    <row r="838" spans="1:5" ht="15" customHeight="1">
      <c r="A838" s="13"/>
      <c r="B838" s="40" t="s">
        <v>16</v>
      </c>
      <c r="C838" s="39"/>
      <c r="D838" s="39"/>
      <c r="E838" s="39"/>
    </row>
    <row r="839" spans="1:5" ht="15" customHeight="1">
      <c r="A839" s="13"/>
      <c r="B839" s="40" t="s">
        <v>352</v>
      </c>
      <c r="C839" s="39"/>
      <c r="D839" s="39"/>
      <c r="E839" s="39"/>
    </row>
    <row r="840" spans="1:5" ht="15" customHeight="1">
      <c r="A840" s="13"/>
      <c r="C840" s="39"/>
      <c r="D840" s="39"/>
      <c r="E840" s="39"/>
    </row>
    <row r="841" spans="1:5" ht="15" customHeight="1">
      <c r="B841" s="39"/>
      <c r="C841" s="39"/>
      <c r="D841" s="39"/>
      <c r="E841" s="39"/>
    </row>
    <row r="842" spans="1:5" ht="15" customHeight="1">
      <c r="B842" s="39"/>
      <c r="C842" s="39"/>
      <c r="D842" s="39"/>
      <c r="E842" s="39"/>
    </row>
  </sheetData>
  <mergeCells count="54">
    <mergeCell ref="B7:E8"/>
    <mergeCell ref="B10:B25"/>
    <mergeCell ref="B26:B43"/>
    <mergeCell ref="B44:B61"/>
    <mergeCell ref="B62:B78"/>
    <mergeCell ref="B79:B94"/>
    <mergeCell ref="B95:B109"/>
    <mergeCell ref="B110:B121"/>
    <mergeCell ref="B122:B139"/>
    <mergeCell ref="B140:B157"/>
    <mergeCell ref="B158:B163"/>
    <mergeCell ref="B164:B181"/>
    <mergeCell ref="B182:B199"/>
    <mergeCell ref="B200:B201"/>
    <mergeCell ref="B202:B206"/>
    <mergeCell ref="B207:B221"/>
    <mergeCell ref="B222:B239"/>
    <mergeCell ref="B240:B257"/>
    <mergeCell ref="B258:B275"/>
    <mergeCell ref="B276:B292"/>
    <mergeCell ref="B293:B310"/>
    <mergeCell ref="B311:B323"/>
    <mergeCell ref="B324:B339"/>
    <mergeCell ref="B340:B357"/>
    <mergeCell ref="B358:B375"/>
    <mergeCell ref="B376:B393"/>
    <mergeCell ref="B394:B411"/>
    <mergeCell ref="B412:B429"/>
    <mergeCell ref="B430:B447"/>
    <mergeCell ref="B448:B449"/>
    <mergeCell ref="B450:B466"/>
    <mergeCell ref="B467:B484"/>
    <mergeCell ref="B485:B501"/>
    <mergeCell ref="B502:B518"/>
    <mergeCell ref="B519:B536"/>
    <mergeCell ref="B537:B554"/>
    <mergeCell ref="B555:B572"/>
    <mergeCell ref="B573:B589"/>
    <mergeCell ref="B590:B596"/>
    <mergeCell ref="B597:B614"/>
    <mergeCell ref="B615:B632"/>
    <mergeCell ref="B633:B650"/>
    <mergeCell ref="B651:B667"/>
    <mergeCell ref="B668:B684"/>
    <mergeCell ref="B685:B702"/>
    <mergeCell ref="B833:C833"/>
    <mergeCell ref="B793:B807"/>
    <mergeCell ref="B808:B825"/>
    <mergeCell ref="B826:B832"/>
    <mergeCell ref="B703:B720"/>
    <mergeCell ref="B721:B738"/>
    <mergeCell ref="B739:B756"/>
    <mergeCell ref="B757:B774"/>
    <mergeCell ref="B775:B79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2" orientation="portrait" r:id="rId1"/>
  <rowBreaks count="1" manualBreakCount="1">
    <brk id="79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4"/>
  <sheetViews>
    <sheetView showGridLines="0" view="pageBreakPreview" topLeftCell="A30" zoomScaleNormal="100" zoomScaleSheetLayoutView="100" workbookViewId="0">
      <selection activeCell="B38" sqref="B38"/>
    </sheetView>
  </sheetViews>
  <sheetFormatPr baseColWidth="10" defaultColWidth="11.453125" defaultRowHeight="14.5"/>
  <cols>
    <col min="1" max="1" width="9.26953125" style="13" customWidth="1"/>
    <col min="2" max="2" width="39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81640625" style="13" customWidth="1"/>
    <col min="7" max="16384" width="11.453125" style="13"/>
  </cols>
  <sheetData>
    <row r="1" spans="1:6" s="18" customFormat="1" ht="15" customHeight="1">
      <c r="C1" s="21"/>
    </row>
    <row r="2" spans="1:6" s="18" customFormat="1" ht="15" customHeight="1">
      <c r="C2" s="21"/>
    </row>
    <row r="3" spans="1:6" s="18" customFormat="1" ht="15" customHeight="1">
      <c r="C3" s="21"/>
    </row>
    <row r="4" spans="1:6" s="18" customFormat="1" ht="30" customHeight="1">
      <c r="C4" s="21"/>
      <c r="D4" s="20"/>
    </row>
    <row r="5" spans="1:6" s="18" customFormat="1" ht="15" customHeight="1">
      <c r="C5" s="21"/>
      <c r="D5" s="20"/>
    </row>
    <row r="6" spans="1:6" s="18" customFormat="1" ht="15" customHeight="1">
      <c r="C6" s="21"/>
      <c r="D6" s="20"/>
    </row>
    <row r="7" spans="1:6" s="18" customFormat="1" ht="15" customHeight="1">
      <c r="A7" s="43"/>
      <c r="B7" s="87" t="s">
        <v>40</v>
      </c>
      <c r="C7" s="87"/>
      <c r="D7" s="87"/>
      <c r="E7" s="43"/>
      <c r="F7" s="43"/>
    </row>
    <row r="8" spans="1:6" s="18" customFormat="1" ht="15" customHeight="1">
      <c r="A8" s="43"/>
      <c r="B8" s="87"/>
      <c r="C8" s="87"/>
      <c r="D8" s="87"/>
      <c r="E8" s="43"/>
      <c r="F8" s="43"/>
    </row>
    <row r="9" spans="1:6" s="18" customFormat="1" ht="33" customHeight="1">
      <c r="A9" s="43"/>
      <c r="B9" s="87"/>
      <c r="C9" s="87"/>
      <c r="D9" s="87"/>
      <c r="E9" s="43"/>
      <c r="F9" s="43"/>
    </row>
    <row r="10" spans="1:6" s="18" customFormat="1" ht="4.5" customHeight="1">
      <c r="A10" s="43"/>
      <c r="B10" s="44"/>
      <c r="C10" s="44"/>
      <c r="D10" s="44"/>
      <c r="E10" s="43"/>
      <c r="F10" s="43"/>
    </row>
    <row r="11" spans="1:6" s="18" customFormat="1" ht="33" customHeight="1">
      <c r="A11" s="43"/>
      <c r="B11" s="45" t="s">
        <v>27</v>
      </c>
      <c r="C11" s="46" t="s">
        <v>26</v>
      </c>
      <c r="D11" s="47" t="s">
        <v>18</v>
      </c>
      <c r="E11" s="43"/>
      <c r="F11" s="43"/>
    </row>
    <row r="12" spans="1:6" ht="14.5" customHeight="1">
      <c r="A12" s="48"/>
      <c r="B12" s="57" t="s">
        <v>99</v>
      </c>
      <c r="C12" s="58">
        <v>175</v>
      </c>
      <c r="D12" s="59">
        <v>4.6934506248989998E-3</v>
      </c>
      <c r="E12" s="48"/>
      <c r="F12" s="48"/>
    </row>
    <row r="13" spans="1:6" ht="14.5" customHeight="1">
      <c r="A13" s="48"/>
      <c r="B13" s="57" t="s">
        <v>100</v>
      </c>
      <c r="C13" s="58">
        <v>63</v>
      </c>
      <c r="D13" s="59">
        <v>1.689642224964E-3</v>
      </c>
      <c r="E13" s="48"/>
      <c r="F13" s="48"/>
    </row>
    <row r="14" spans="1:6" ht="14.5" customHeight="1">
      <c r="A14" s="48"/>
      <c r="B14" s="57" t="s">
        <v>101</v>
      </c>
      <c r="C14" s="58">
        <v>100</v>
      </c>
      <c r="D14" s="59">
        <v>2.681971785657E-3</v>
      </c>
      <c r="E14" s="48"/>
      <c r="F14" s="48"/>
    </row>
    <row r="15" spans="1:6" ht="14.5" customHeight="1">
      <c r="A15" s="48"/>
      <c r="B15" s="57" t="s">
        <v>102</v>
      </c>
      <c r="C15" s="58">
        <v>189</v>
      </c>
      <c r="D15" s="59">
        <v>5.0689266748910004E-3</v>
      </c>
      <c r="E15" s="48"/>
      <c r="F15" s="48"/>
    </row>
    <row r="16" spans="1:6" ht="14.5" customHeight="1">
      <c r="A16" s="48"/>
      <c r="B16" s="57" t="s">
        <v>103</v>
      </c>
      <c r="C16" s="58">
        <v>113</v>
      </c>
      <c r="D16" s="59">
        <v>3.0306281177920002E-3</v>
      </c>
      <c r="E16" s="48"/>
      <c r="F16" s="48"/>
    </row>
    <row r="17" spans="1:6" ht="14.5" customHeight="1">
      <c r="A17" s="48"/>
      <c r="B17" s="57" t="s">
        <v>104</v>
      </c>
      <c r="C17" s="58">
        <v>212</v>
      </c>
      <c r="D17" s="59">
        <v>5.6857801855919998E-3</v>
      </c>
      <c r="E17" s="48"/>
      <c r="F17" s="48"/>
    </row>
    <row r="18" spans="1:6" ht="14.5" customHeight="1">
      <c r="A18" s="48"/>
      <c r="B18" s="57" t="s">
        <v>105</v>
      </c>
      <c r="C18" s="58">
        <v>1508</v>
      </c>
      <c r="D18" s="59">
        <v>4.0444134527704997E-2</v>
      </c>
      <c r="E18" s="48"/>
      <c r="F18" s="48"/>
    </row>
    <row r="19" spans="1:6" ht="14.5" customHeight="1">
      <c r="A19" s="48"/>
      <c r="B19" s="57" t="s">
        <v>106</v>
      </c>
      <c r="C19" s="58">
        <v>3094</v>
      </c>
      <c r="D19" s="59">
        <v>8.2980207048221996E-2</v>
      </c>
      <c r="E19" s="48"/>
      <c r="F19" s="48"/>
    </row>
    <row r="20" spans="1:6" ht="14.5" customHeight="1">
      <c r="A20" s="48"/>
      <c r="B20" s="57" t="s">
        <v>107</v>
      </c>
      <c r="C20" s="58">
        <v>425</v>
      </c>
      <c r="D20" s="59">
        <v>1.1398380089041E-2</v>
      </c>
      <c r="E20" s="48"/>
      <c r="F20" s="48"/>
    </row>
    <row r="21" spans="1:6" ht="14.5" customHeight="1">
      <c r="A21" s="48"/>
      <c r="B21" s="57" t="s">
        <v>108</v>
      </c>
      <c r="C21" s="58">
        <v>814</v>
      </c>
      <c r="D21" s="59">
        <v>2.1831250335246001E-2</v>
      </c>
      <c r="E21" s="48"/>
      <c r="F21" s="48"/>
    </row>
    <row r="22" spans="1:6" ht="14.5" customHeight="1">
      <c r="A22" s="48"/>
      <c r="B22" s="57" t="s">
        <v>109</v>
      </c>
      <c r="C22" s="58">
        <v>1244</v>
      </c>
      <c r="D22" s="59">
        <v>3.3363729013571E-2</v>
      </c>
      <c r="E22" s="48"/>
      <c r="F22" s="48"/>
    </row>
    <row r="23" spans="1:6" ht="14.5" customHeight="1">
      <c r="A23" s="48"/>
      <c r="B23" s="57" t="s">
        <v>110</v>
      </c>
      <c r="C23" s="58">
        <v>12144</v>
      </c>
      <c r="D23" s="59">
        <v>0.32569865365016398</v>
      </c>
      <c r="E23" s="48"/>
      <c r="F23" s="48"/>
    </row>
    <row r="24" spans="1:6" ht="14.5" customHeight="1">
      <c r="A24" s="48"/>
      <c r="B24" s="57" t="s">
        <v>111</v>
      </c>
      <c r="C24" s="58">
        <v>1019</v>
      </c>
      <c r="D24" s="59">
        <v>2.7329292495843E-2</v>
      </c>
      <c r="E24" s="48"/>
      <c r="F24" s="48"/>
    </row>
    <row r="25" spans="1:6" ht="14.5" customHeight="1">
      <c r="A25" s="48"/>
      <c r="B25" s="57" t="s">
        <v>112</v>
      </c>
      <c r="C25" s="58">
        <v>2345</v>
      </c>
      <c r="D25" s="59">
        <v>6.2892238373652001E-2</v>
      </c>
      <c r="E25" s="48"/>
      <c r="F25" s="48"/>
    </row>
    <row r="26" spans="1:6" ht="14.5" customHeight="1">
      <c r="A26" s="48"/>
      <c r="B26" s="57" t="s">
        <v>113</v>
      </c>
      <c r="C26" s="58">
        <v>9746</v>
      </c>
      <c r="D26" s="59">
        <v>0.26138497023011298</v>
      </c>
      <c r="E26" s="48"/>
      <c r="F26" s="48"/>
    </row>
    <row r="27" spans="1:6" ht="14.5" customHeight="1">
      <c r="A27" s="48"/>
      <c r="B27" s="57" t="s">
        <v>114</v>
      </c>
      <c r="C27" s="58">
        <v>238</v>
      </c>
      <c r="D27" s="59">
        <v>6.3830928498630002E-3</v>
      </c>
      <c r="E27" s="48"/>
      <c r="F27" s="48"/>
    </row>
    <row r="28" spans="1:6" ht="14.5" customHeight="1">
      <c r="A28" s="48"/>
      <c r="B28" s="57" t="s">
        <v>115</v>
      </c>
      <c r="C28" s="58">
        <v>266</v>
      </c>
      <c r="D28" s="59">
        <v>7.1340449498469996E-3</v>
      </c>
      <c r="E28" s="48"/>
      <c r="F28" s="48"/>
    </row>
    <row r="29" spans="1:6" ht="14.5" customHeight="1">
      <c r="A29" s="48"/>
      <c r="B29" s="57" t="s">
        <v>116</v>
      </c>
      <c r="C29" s="58">
        <v>97</v>
      </c>
      <c r="D29" s="59">
        <v>2.6015126320870002E-3</v>
      </c>
      <c r="E29" s="48"/>
      <c r="F29" s="48"/>
    </row>
    <row r="30" spans="1:6" ht="14.5" customHeight="1">
      <c r="A30" s="48"/>
      <c r="B30" s="57" t="s">
        <v>117</v>
      </c>
      <c r="C30" s="58">
        <v>71</v>
      </c>
      <c r="D30" s="59">
        <v>1.904199967816E-3</v>
      </c>
      <c r="E30" s="48"/>
      <c r="F30" s="48"/>
    </row>
    <row r="31" spans="1:6" ht="14.5" customHeight="1">
      <c r="A31" s="48"/>
      <c r="B31" s="57" t="s">
        <v>118</v>
      </c>
      <c r="C31" s="58">
        <v>810</v>
      </c>
      <c r="D31" s="59">
        <v>2.1723971463820001E-2</v>
      </c>
      <c r="E31" s="48"/>
      <c r="F31" s="48"/>
    </row>
    <row r="32" spans="1:6" ht="14.5" customHeight="1">
      <c r="A32" s="48"/>
      <c r="B32" s="57" t="s">
        <v>119</v>
      </c>
      <c r="C32" s="58">
        <v>2387</v>
      </c>
      <c r="D32" s="59">
        <v>6.4018666523628004E-2</v>
      </c>
      <c r="E32" s="48"/>
      <c r="F32" s="48"/>
    </row>
    <row r="33" spans="1:6" ht="14.5" customHeight="1">
      <c r="A33" s="48"/>
      <c r="B33" s="57" t="s">
        <v>120</v>
      </c>
      <c r="C33" s="58">
        <v>20</v>
      </c>
      <c r="D33" s="59">
        <v>5.3639435713100005E-4</v>
      </c>
      <c r="E33" s="48"/>
      <c r="F33" s="48"/>
    </row>
    <row r="34" spans="1:6" ht="14.5" customHeight="1">
      <c r="A34" s="48"/>
      <c r="B34" s="57" t="s">
        <v>121</v>
      </c>
      <c r="C34" s="58">
        <v>182</v>
      </c>
      <c r="D34" s="59">
        <v>4.8811886498949996E-3</v>
      </c>
      <c r="E34" s="48"/>
      <c r="F34" s="48"/>
    </row>
    <row r="35" spans="1:6" ht="14.5" customHeight="1">
      <c r="A35" s="48"/>
      <c r="B35" s="57" t="s">
        <v>122</v>
      </c>
      <c r="C35" s="58">
        <v>24</v>
      </c>
      <c r="D35" s="59">
        <v>6.4367322855799999E-4</v>
      </c>
      <c r="E35" s="48"/>
      <c r="F35" s="48"/>
    </row>
    <row r="36" spans="1:6" ht="14.5" customHeight="1">
      <c r="A36" s="48"/>
      <c r="B36" s="60" t="s">
        <v>355</v>
      </c>
      <c r="C36" s="61">
        <v>37286</v>
      </c>
      <c r="D36" s="62">
        <v>1</v>
      </c>
      <c r="E36" s="48"/>
      <c r="F36" s="48"/>
    </row>
    <row r="37" spans="1:6" ht="14.5" customHeight="1">
      <c r="A37" s="48"/>
      <c r="B37" s="48"/>
      <c r="C37" s="48"/>
      <c r="D37" s="48"/>
      <c r="E37" s="48"/>
      <c r="F37" s="48"/>
    </row>
    <row r="38" spans="1:6" ht="14.5" customHeight="1">
      <c r="A38" s="48"/>
      <c r="B38" s="40" t="s">
        <v>132</v>
      </c>
      <c r="C38" s="48"/>
      <c r="D38" s="48"/>
      <c r="E38" s="48"/>
      <c r="F38" s="48"/>
    </row>
    <row r="39" spans="1:6" ht="14.5" customHeight="1">
      <c r="A39" s="48"/>
      <c r="B39" s="41" t="s">
        <v>17</v>
      </c>
      <c r="C39" s="48"/>
      <c r="D39" s="48"/>
      <c r="E39" s="48"/>
      <c r="F39" s="48"/>
    </row>
    <row r="40" spans="1:6" ht="14.5" customHeight="1">
      <c r="A40" s="48"/>
      <c r="B40" s="42" t="s">
        <v>46</v>
      </c>
      <c r="C40" s="48"/>
      <c r="D40" s="48"/>
      <c r="E40" s="48"/>
      <c r="F40" s="48"/>
    </row>
    <row r="41" spans="1:6" ht="14.5" customHeight="1">
      <c r="A41" s="48"/>
      <c r="B41" s="40" t="s">
        <v>16</v>
      </c>
      <c r="C41" s="48"/>
      <c r="D41" s="48"/>
      <c r="E41" s="48"/>
      <c r="F41" s="48"/>
    </row>
    <row r="42" spans="1:6" ht="14.5" customHeight="1">
      <c r="A42" s="48"/>
      <c r="B42" s="40" t="s">
        <v>352</v>
      </c>
      <c r="C42" s="48"/>
      <c r="D42" s="48"/>
      <c r="E42" s="48"/>
      <c r="F42" s="48"/>
    </row>
    <row r="43" spans="1:6">
      <c r="B43" s="33"/>
      <c r="C43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18"/>
  <sheetViews>
    <sheetView showGridLines="0" view="pageBreakPreview" topLeftCell="A799" zoomScaleNormal="100" zoomScaleSheetLayoutView="100" workbookViewId="0">
      <selection activeCell="E818" sqref="E818"/>
    </sheetView>
  </sheetViews>
  <sheetFormatPr baseColWidth="10" defaultColWidth="35" defaultRowHeight="15" customHeight="1"/>
  <cols>
    <col min="1" max="1" width="1" style="22" customWidth="1"/>
    <col min="2" max="2" width="27" style="23" customWidth="1"/>
    <col min="3" max="3" width="28.5429687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A6" s="35"/>
      <c r="B6" s="34"/>
      <c r="C6" s="35"/>
      <c r="D6" s="35"/>
      <c r="E6" s="35"/>
    </row>
    <row r="7" spans="1:5" s="25" customFormat="1" ht="26.25" customHeight="1">
      <c r="A7" s="49"/>
      <c r="B7" s="99"/>
      <c r="C7" s="99"/>
      <c r="D7" s="99"/>
      <c r="E7" s="99"/>
    </row>
    <row r="8" spans="1:5" s="25" customFormat="1" ht="33" customHeight="1">
      <c r="A8" s="49"/>
      <c r="B8" s="99"/>
      <c r="C8" s="99"/>
      <c r="D8" s="99"/>
      <c r="E8" s="99"/>
    </row>
    <row r="9" spans="1:5" s="18" customFormat="1" ht="40.5" customHeight="1">
      <c r="A9" s="43"/>
      <c r="B9" s="36" t="s">
        <v>28</v>
      </c>
      <c r="C9" s="37" t="s">
        <v>24</v>
      </c>
      <c r="D9" s="38" t="s">
        <v>19</v>
      </c>
      <c r="E9" s="36" t="s">
        <v>18</v>
      </c>
    </row>
    <row r="10" spans="1:5" ht="15" customHeight="1">
      <c r="A10" s="39"/>
      <c r="B10" s="96" t="s">
        <v>99</v>
      </c>
      <c r="C10" s="74" t="s">
        <v>219</v>
      </c>
      <c r="D10" s="58">
        <v>1</v>
      </c>
      <c r="E10" s="59">
        <v>2.6819717857000001E-5</v>
      </c>
    </row>
    <row r="11" spans="1:5" ht="15" customHeight="1">
      <c r="A11" s="39"/>
      <c r="B11" s="97"/>
      <c r="C11" s="74" t="s">
        <v>220</v>
      </c>
      <c r="D11" s="58">
        <v>2</v>
      </c>
      <c r="E11" s="59">
        <v>5.3639435713000001E-5</v>
      </c>
    </row>
    <row r="12" spans="1:5" ht="15" customHeight="1">
      <c r="A12" s="39"/>
      <c r="B12" s="97"/>
      <c r="C12" s="74" t="s">
        <v>221</v>
      </c>
      <c r="D12" s="58">
        <v>1</v>
      </c>
      <c r="E12" s="59">
        <v>2.6819717857000001E-5</v>
      </c>
    </row>
    <row r="13" spans="1:5" ht="15" customHeight="1">
      <c r="A13" s="39"/>
      <c r="B13" s="97"/>
      <c r="C13" s="74" t="s">
        <v>222</v>
      </c>
      <c r="D13" s="58">
        <v>78</v>
      </c>
      <c r="E13" s="59">
        <v>2.091937992812E-3</v>
      </c>
    </row>
    <row r="14" spans="1:5" ht="15" customHeight="1">
      <c r="A14" s="39"/>
      <c r="B14" s="97"/>
      <c r="C14" s="74" t="s">
        <v>223</v>
      </c>
      <c r="D14" s="58">
        <v>1</v>
      </c>
      <c r="E14" s="59">
        <v>2.6819717857000001E-5</v>
      </c>
    </row>
    <row r="15" spans="1:5" ht="15" customHeight="1">
      <c r="A15" s="39"/>
      <c r="B15" s="97"/>
      <c r="C15" s="74" t="s">
        <v>224</v>
      </c>
      <c r="D15" s="58">
        <v>2</v>
      </c>
      <c r="E15" s="59">
        <v>5.3639435713000001E-5</v>
      </c>
    </row>
    <row r="16" spans="1:5" ht="15" customHeight="1">
      <c r="A16" s="39"/>
      <c r="B16" s="97"/>
      <c r="C16" s="74" t="s">
        <v>225</v>
      </c>
      <c r="D16" s="58">
        <v>6</v>
      </c>
      <c r="E16" s="59">
        <v>1.6091830713899999E-4</v>
      </c>
    </row>
    <row r="17" spans="1:5" ht="15" customHeight="1">
      <c r="A17" s="39"/>
      <c r="B17" s="97"/>
      <c r="C17" s="74" t="s">
        <v>226</v>
      </c>
      <c r="D17" s="58">
        <v>2</v>
      </c>
      <c r="E17" s="59">
        <v>5.3639435713000001E-5</v>
      </c>
    </row>
    <row r="18" spans="1:5" ht="15" customHeight="1">
      <c r="A18" s="39"/>
      <c r="B18" s="97"/>
      <c r="C18" s="74" t="s">
        <v>227</v>
      </c>
      <c r="D18" s="58">
        <v>14</v>
      </c>
      <c r="E18" s="59">
        <v>3.7547604999199998E-4</v>
      </c>
    </row>
    <row r="19" spans="1:5" ht="15" customHeight="1">
      <c r="A19" s="39"/>
      <c r="B19" s="97"/>
      <c r="C19" s="74" t="s">
        <v>228</v>
      </c>
      <c r="D19" s="58">
        <v>1</v>
      </c>
      <c r="E19" s="59">
        <v>2.6819717857000001E-5</v>
      </c>
    </row>
    <row r="20" spans="1:5" ht="15" customHeight="1">
      <c r="A20" s="39"/>
      <c r="B20" s="97"/>
      <c r="C20" s="74" t="s">
        <v>229</v>
      </c>
      <c r="D20" s="58">
        <v>1</v>
      </c>
      <c r="E20" s="59">
        <v>2.6819717857000001E-5</v>
      </c>
    </row>
    <row r="21" spans="1:5" ht="15" customHeight="1">
      <c r="A21" s="39"/>
      <c r="B21" s="97"/>
      <c r="C21" s="74" t="s">
        <v>230</v>
      </c>
      <c r="D21" s="58">
        <v>1</v>
      </c>
      <c r="E21" s="59">
        <v>2.6819717857000001E-5</v>
      </c>
    </row>
    <row r="22" spans="1:5" ht="15" customHeight="1">
      <c r="A22" s="39"/>
      <c r="B22" s="97"/>
      <c r="C22" s="74" t="s">
        <v>231</v>
      </c>
      <c r="D22" s="58">
        <v>3</v>
      </c>
      <c r="E22" s="59">
        <v>8.0459153570000002E-5</v>
      </c>
    </row>
    <row r="23" spans="1:5" ht="15" customHeight="1">
      <c r="A23" s="39"/>
      <c r="B23" s="97"/>
      <c r="C23" s="74" t="s">
        <v>232</v>
      </c>
      <c r="D23" s="58">
        <v>1</v>
      </c>
      <c r="E23" s="59">
        <v>2.6819717857000001E-5</v>
      </c>
    </row>
    <row r="24" spans="1:5" ht="15" customHeight="1">
      <c r="A24" s="39"/>
      <c r="B24" s="97"/>
      <c r="C24" s="74" t="s">
        <v>233</v>
      </c>
      <c r="D24" s="58">
        <v>3</v>
      </c>
      <c r="E24" s="59">
        <v>8.0459153570000002E-5</v>
      </c>
    </row>
    <row r="25" spans="1:5" ht="15" customHeight="1">
      <c r="A25" s="39"/>
      <c r="B25" s="97"/>
      <c r="C25" s="74" t="s">
        <v>234</v>
      </c>
      <c r="D25" s="58">
        <v>2</v>
      </c>
      <c r="E25" s="59">
        <v>5.3639435713000001E-5</v>
      </c>
    </row>
    <row r="26" spans="1:5" ht="15" customHeight="1">
      <c r="A26" s="39"/>
      <c r="B26" s="97"/>
      <c r="C26" s="74" t="s">
        <v>235</v>
      </c>
      <c r="D26" s="58">
        <v>1</v>
      </c>
      <c r="E26" s="59">
        <v>2.6819717857000001E-5</v>
      </c>
    </row>
    <row r="27" spans="1:5" ht="15" customHeight="1">
      <c r="A27" s="39"/>
      <c r="B27" s="97"/>
      <c r="C27" s="74" t="s">
        <v>236</v>
      </c>
      <c r="D27" s="58">
        <v>12</v>
      </c>
      <c r="E27" s="59">
        <v>3.2183661427899999E-4</v>
      </c>
    </row>
    <row r="28" spans="1:5" ht="15" customHeight="1">
      <c r="A28" s="39"/>
      <c r="B28" s="97"/>
      <c r="C28" s="74" t="s">
        <v>237</v>
      </c>
      <c r="D28" s="58">
        <v>6</v>
      </c>
      <c r="E28" s="59">
        <v>1.6091830713899999E-4</v>
      </c>
    </row>
    <row r="29" spans="1:5" ht="15" customHeight="1">
      <c r="A29" s="39"/>
      <c r="B29" s="97"/>
      <c r="C29" s="74" t="s">
        <v>238</v>
      </c>
      <c r="D29" s="58">
        <v>1</v>
      </c>
      <c r="E29" s="59">
        <v>2.6819717857000001E-5</v>
      </c>
    </row>
    <row r="30" spans="1:5" ht="15" customHeight="1">
      <c r="A30" s="39"/>
      <c r="B30" s="97"/>
      <c r="C30" s="74" t="s">
        <v>239</v>
      </c>
      <c r="D30" s="58">
        <v>3</v>
      </c>
      <c r="E30" s="59">
        <v>8.0459153570000002E-5</v>
      </c>
    </row>
    <row r="31" spans="1:5" ht="15" customHeight="1">
      <c r="A31" s="39"/>
      <c r="B31" s="97"/>
      <c r="C31" s="74" t="s">
        <v>240</v>
      </c>
      <c r="D31" s="58">
        <v>3</v>
      </c>
      <c r="E31" s="59">
        <v>8.0459153570000002E-5</v>
      </c>
    </row>
    <row r="32" spans="1:5" ht="15" customHeight="1">
      <c r="A32" s="39"/>
      <c r="B32" s="97"/>
      <c r="C32" s="74" t="s">
        <v>241</v>
      </c>
      <c r="D32" s="58">
        <v>3</v>
      </c>
      <c r="E32" s="59">
        <v>8.0459153570000002E-5</v>
      </c>
    </row>
    <row r="33" spans="1:5" ht="15" customHeight="1">
      <c r="A33" s="39"/>
      <c r="B33" s="97"/>
      <c r="C33" s="74" t="s">
        <v>242</v>
      </c>
      <c r="D33" s="58">
        <v>22</v>
      </c>
      <c r="E33" s="59">
        <v>5.9003379284399999E-4</v>
      </c>
    </row>
    <row r="34" spans="1:5" ht="15" customHeight="1">
      <c r="A34" s="39"/>
      <c r="B34" s="97"/>
      <c r="C34" s="74" t="s">
        <v>243</v>
      </c>
      <c r="D34" s="58">
        <v>1</v>
      </c>
      <c r="E34" s="59">
        <v>2.6819717857000001E-5</v>
      </c>
    </row>
    <row r="35" spans="1:5" ht="15" customHeight="1">
      <c r="A35" s="39"/>
      <c r="B35" s="97"/>
      <c r="C35" s="74" t="s">
        <v>244</v>
      </c>
      <c r="D35" s="58">
        <v>2</v>
      </c>
      <c r="E35" s="59">
        <v>5.3639435713000001E-5</v>
      </c>
    </row>
    <row r="36" spans="1:5" ht="15" customHeight="1">
      <c r="A36" s="39"/>
      <c r="B36" s="97"/>
      <c r="C36" s="74" t="s">
        <v>245</v>
      </c>
      <c r="D36" s="58">
        <v>2</v>
      </c>
      <c r="E36" s="59">
        <v>5.3639435713000001E-5</v>
      </c>
    </row>
    <row r="37" spans="1:5" ht="15" customHeight="1">
      <c r="A37" s="39"/>
      <c r="B37" s="98"/>
      <c r="C37" s="75" t="s">
        <v>353</v>
      </c>
      <c r="D37" s="71">
        <v>175</v>
      </c>
      <c r="E37" s="73">
        <v>4.6934506248989998E-3</v>
      </c>
    </row>
    <row r="38" spans="1:5" ht="15" customHeight="1">
      <c r="A38" s="39"/>
      <c r="B38" s="96" t="s">
        <v>246</v>
      </c>
      <c r="C38" s="74" t="s">
        <v>221</v>
      </c>
      <c r="D38" s="58">
        <v>1</v>
      </c>
      <c r="E38" s="59">
        <v>2.6819717857000001E-5</v>
      </c>
    </row>
    <row r="39" spans="1:5" ht="15" customHeight="1">
      <c r="A39" s="39"/>
      <c r="B39" s="97"/>
      <c r="C39" s="74" t="s">
        <v>222</v>
      </c>
      <c r="D39" s="58">
        <v>19</v>
      </c>
      <c r="E39" s="59">
        <v>5.0957463927499996E-4</v>
      </c>
    </row>
    <row r="40" spans="1:5" ht="15" customHeight="1">
      <c r="A40" s="39"/>
      <c r="B40" s="97"/>
      <c r="C40" s="74" t="s">
        <v>223</v>
      </c>
      <c r="D40" s="58">
        <v>1</v>
      </c>
      <c r="E40" s="59">
        <v>2.6819717857000001E-5</v>
      </c>
    </row>
    <row r="41" spans="1:5" ht="15" customHeight="1">
      <c r="A41" s="39"/>
      <c r="B41" s="97"/>
      <c r="C41" s="74" t="s">
        <v>225</v>
      </c>
      <c r="D41" s="58">
        <v>1</v>
      </c>
      <c r="E41" s="59">
        <v>2.6819717857000001E-5</v>
      </c>
    </row>
    <row r="42" spans="1:5" ht="15" customHeight="1">
      <c r="A42" s="39"/>
      <c r="B42" s="97"/>
      <c r="C42" s="74" t="s">
        <v>226</v>
      </c>
      <c r="D42" s="58">
        <v>6</v>
      </c>
      <c r="E42" s="59">
        <v>1.6091830713899999E-4</v>
      </c>
    </row>
    <row r="43" spans="1:5" ht="15" customHeight="1">
      <c r="A43" s="39"/>
      <c r="B43" s="97"/>
      <c r="C43" s="74" t="s">
        <v>247</v>
      </c>
      <c r="D43" s="58">
        <v>1</v>
      </c>
      <c r="E43" s="59">
        <v>2.6819717857000001E-5</v>
      </c>
    </row>
    <row r="44" spans="1:5" ht="15" customHeight="1">
      <c r="A44" s="39"/>
      <c r="B44" s="97"/>
      <c r="C44" s="74" t="s">
        <v>227</v>
      </c>
      <c r="D44" s="58">
        <v>5</v>
      </c>
      <c r="E44" s="59">
        <v>1.34098589283E-4</v>
      </c>
    </row>
    <row r="45" spans="1:5" ht="15" customHeight="1">
      <c r="A45" s="39"/>
      <c r="B45" s="97"/>
      <c r="C45" s="74" t="s">
        <v>228</v>
      </c>
      <c r="D45" s="58">
        <v>1</v>
      </c>
      <c r="E45" s="59">
        <v>2.6819717857000001E-5</v>
      </c>
    </row>
    <row r="46" spans="1:5" ht="15" customHeight="1">
      <c r="A46" s="39"/>
      <c r="B46" s="97"/>
      <c r="C46" s="74" t="s">
        <v>248</v>
      </c>
      <c r="D46" s="58">
        <v>1</v>
      </c>
      <c r="E46" s="59">
        <v>2.6819717857000001E-5</v>
      </c>
    </row>
    <row r="47" spans="1:5" ht="15" customHeight="1">
      <c r="A47" s="39"/>
      <c r="B47" s="97"/>
      <c r="C47" s="74" t="s">
        <v>249</v>
      </c>
      <c r="D47" s="58">
        <v>1</v>
      </c>
      <c r="E47" s="59">
        <v>2.6819717857000001E-5</v>
      </c>
    </row>
    <row r="48" spans="1:5" ht="15" customHeight="1">
      <c r="A48" s="39"/>
      <c r="B48" s="97"/>
      <c r="C48" s="74" t="s">
        <v>230</v>
      </c>
      <c r="D48" s="58">
        <v>1</v>
      </c>
      <c r="E48" s="59">
        <v>2.6819717857000001E-5</v>
      </c>
    </row>
    <row r="49" spans="1:5" ht="15" customHeight="1">
      <c r="A49" s="39"/>
      <c r="B49" s="97"/>
      <c r="C49" s="74" t="s">
        <v>232</v>
      </c>
      <c r="D49" s="58">
        <v>1</v>
      </c>
      <c r="E49" s="59">
        <v>2.6819717857000001E-5</v>
      </c>
    </row>
    <row r="50" spans="1:5" ht="15" customHeight="1">
      <c r="A50" s="39"/>
      <c r="B50" s="97"/>
      <c r="C50" s="74" t="s">
        <v>234</v>
      </c>
      <c r="D50" s="58">
        <v>1</v>
      </c>
      <c r="E50" s="59">
        <v>2.6819717857000001E-5</v>
      </c>
    </row>
    <row r="51" spans="1:5" ht="15" customHeight="1">
      <c r="A51" s="39"/>
      <c r="B51" s="97"/>
      <c r="C51" s="74" t="s">
        <v>236</v>
      </c>
      <c r="D51" s="58">
        <v>5</v>
      </c>
      <c r="E51" s="59">
        <v>1.34098589283E-4</v>
      </c>
    </row>
    <row r="52" spans="1:5" ht="15" customHeight="1">
      <c r="A52" s="39"/>
      <c r="B52" s="97"/>
      <c r="C52" s="74" t="s">
        <v>237</v>
      </c>
      <c r="D52" s="58">
        <v>4</v>
      </c>
      <c r="E52" s="59">
        <v>1.07278871426E-4</v>
      </c>
    </row>
    <row r="53" spans="1:5" ht="15" customHeight="1">
      <c r="A53" s="39"/>
      <c r="B53" s="97"/>
      <c r="C53" s="74" t="s">
        <v>239</v>
      </c>
      <c r="D53" s="58">
        <v>1</v>
      </c>
      <c r="E53" s="59">
        <v>2.6819717857000001E-5</v>
      </c>
    </row>
    <row r="54" spans="1:5" ht="15" customHeight="1">
      <c r="A54" s="39"/>
      <c r="B54" s="97"/>
      <c r="C54" s="74" t="s">
        <v>250</v>
      </c>
      <c r="D54" s="58">
        <v>2</v>
      </c>
      <c r="E54" s="59">
        <v>5.3639435713000001E-5</v>
      </c>
    </row>
    <row r="55" spans="1:5" ht="15" customHeight="1">
      <c r="A55" s="39"/>
      <c r="B55" s="97"/>
      <c r="C55" s="74" t="s">
        <v>241</v>
      </c>
      <c r="D55" s="58">
        <v>2</v>
      </c>
      <c r="E55" s="59">
        <v>5.3639435713000001E-5</v>
      </c>
    </row>
    <row r="56" spans="1:5" ht="15" customHeight="1">
      <c r="A56" s="39"/>
      <c r="B56" s="97"/>
      <c r="C56" s="74" t="s">
        <v>242</v>
      </c>
      <c r="D56" s="58">
        <v>7</v>
      </c>
      <c r="E56" s="59">
        <v>1.8773802499599999E-4</v>
      </c>
    </row>
    <row r="57" spans="1:5" ht="15" customHeight="1">
      <c r="A57" s="39"/>
      <c r="B57" s="97"/>
      <c r="C57" s="74" t="s">
        <v>243</v>
      </c>
      <c r="D57" s="58">
        <v>1</v>
      </c>
      <c r="E57" s="59">
        <v>2.6819717857000001E-5</v>
      </c>
    </row>
    <row r="58" spans="1:5" ht="15" customHeight="1">
      <c r="A58" s="39"/>
      <c r="B58" s="97"/>
      <c r="C58" s="74" t="s">
        <v>79</v>
      </c>
      <c r="D58" s="58">
        <v>1</v>
      </c>
      <c r="E58" s="59">
        <v>2.6819717857000001E-5</v>
      </c>
    </row>
    <row r="59" spans="1:5" ht="15" customHeight="1">
      <c r="A59" s="39"/>
      <c r="B59" s="98"/>
      <c r="C59" s="75" t="s">
        <v>353</v>
      </c>
      <c r="D59" s="71">
        <v>63</v>
      </c>
      <c r="E59" s="73">
        <v>1.689642224964E-3</v>
      </c>
    </row>
    <row r="60" spans="1:5" ht="15" customHeight="1">
      <c r="A60" s="39"/>
      <c r="B60" s="96" t="s">
        <v>251</v>
      </c>
      <c r="C60" s="74" t="s">
        <v>219</v>
      </c>
      <c r="D60" s="58">
        <v>1</v>
      </c>
      <c r="E60" s="59">
        <v>2.6819717857000001E-5</v>
      </c>
    </row>
    <row r="61" spans="1:5" ht="15" customHeight="1">
      <c r="A61" s="39"/>
      <c r="B61" s="97"/>
      <c r="C61" s="74" t="s">
        <v>220</v>
      </c>
      <c r="D61" s="58">
        <v>1</v>
      </c>
      <c r="E61" s="59">
        <v>2.6819717857000001E-5</v>
      </c>
    </row>
    <row r="62" spans="1:5" ht="15" customHeight="1">
      <c r="A62" s="39"/>
      <c r="B62" s="97"/>
      <c r="C62" s="74" t="s">
        <v>221</v>
      </c>
      <c r="D62" s="58">
        <v>2</v>
      </c>
      <c r="E62" s="59">
        <v>5.3639435713000001E-5</v>
      </c>
    </row>
    <row r="63" spans="1:5" ht="15" customHeight="1">
      <c r="A63" s="39"/>
      <c r="B63" s="97"/>
      <c r="C63" s="74" t="s">
        <v>222</v>
      </c>
      <c r="D63" s="58">
        <v>40</v>
      </c>
      <c r="E63" s="59">
        <v>1.072788714263E-3</v>
      </c>
    </row>
    <row r="64" spans="1:5" ht="15" customHeight="1">
      <c r="A64" s="39"/>
      <c r="B64" s="97"/>
      <c r="C64" s="74" t="s">
        <v>223</v>
      </c>
      <c r="D64" s="58">
        <v>1</v>
      </c>
      <c r="E64" s="59">
        <v>2.6819717857000001E-5</v>
      </c>
    </row>
    <row r="65" spans="1:5" ht="15" customHeight="1">
      <c r="A65" s="39"/>
      <c r="B65" s="97"/>
      <c r="C65" s="74" t="s">
        <v>225</v>
      </c>
      <c r="D65" s="58">
        <v>4</v>
      </c>
      <c r="E65" s="59">
        <v>1.07278871426E-4</v>
      </c>
    </row>
    <row r="66" spans="1:5" ht="15" customHeight="1">
      <c r="A66" s="39"/>
      <c r="B66" s="97"/>
      <c r="C66" s="74" t="s">
        <v>226</v>
      </c>
      <c r="D66" s="58">
        <v>2</v>
      </c>
      <c r="E66" s="59">
        <v>5.3639435713000001E-5</v>
      </c>
    </row>
    <row r="67" spans="1:5" ht="15" customHeight="1">
      <c r="A67" s="39"/>
      <c r="B67" s="97"/>
      <c r="C67" s="74" t="s">
        <v>227</v>
      </c>
      <c r="D67" s="58">
        <v>10</v>
      </c>
      <c r="E67" s="59">
        <v>2.6819717856600001E-4</v>
      </c>
    </row>
    <row r="68" spans="1:5" ht="15" customHeight="1">
      <c r="A68" s="39"/>
      <c r="B68" s="97"/>
      <c r="C68" s="74" t="s">
        <v>228</v>
      </c>
      <c r="D68" s="58">
        <v>1</v>
      </c>
      <c r="E68" s="59">
        <v>2.6819717857000001E-5</v>
      </c>
    </row>
    <row r="69" spans="1:5" ht="15" customHeight="1">
      <c r="A69" s="39"/>
      <c r="B69" s="97"/>
      <c r="C69" s="74" t="s">
        <v>252</v>
      </c>
      <c r="D69" s="58">
        <v>1</v>
      </c>
      <c r="E69" s="59">
        <v>2.6819717857000001E-5</v>
      </c>
    </row>
    <row r="70" spans="1:5" ht="15" customHeight="1">
      <c r="A70" s="39"/>
      <c r="B70" s="97"/>
      <c r="C70" s="74" t="s">
        <v>248</v>
      </c>
      <c r="D70" s="58">
        <v>1</v>
      </c>
      <c r="E70" s="59">
        <v>2.6819717857000001E-5</v>
      </c>
    </row>
    <row r="71" spans="1:5" ht="15" customHeight="1">
      <c r="A71" s="39"/>
      <c r="B71" s="97"/>
      <c r="C71" s="74" t="s">
        <v>230</v>
      </c>
      <c r="D71" s="58">
        <v>1</v>
      </c>
      <c r="E71" s="59">
        <v>2.6819717857000001E-5</v>
      </c>
    </row>
    <row r="72" spans="1:5" ht="15" customHeight="1">
      <c r="A72" s="39"/>
      <c r="B72" s="97"/>
      <c r="C72" s="74" t="s">
        <v>231</v>
      </c>
      <c r="D72" s="58">
        <v>1</v>
      </c>
      <c r="E72" s="59">
        <v>2.6819717857000001E-5</v>
      </c>
    </row>
    <row r="73" spans="1:5" ht="15" customHeight="1">
      <c r="A73" s="39"/>
      <c r="B73" s="97"/>
      <c r="C73" s="74" t="s">
        <v>233</v>
      </c>
      <c r="D73" s="58">
        <v>4</v>
      </c>
      <c r="E73" s="59">
        <v>1.07278871426E-4</v>
      </c>
    </row>
    <row r="74" spans="1:5" ht="15" customHeight="1">
      <c r="A74" s="39"/>
      <c r="B74" s="97"/>
      <c r="C74" s="74" t="s">
        <v>234</v>
      </c>
      <c r="D74" s="58">
        <v>2</v>
      </c>
      <c r="E74" s="59">
        <v>5.3639435713000001E-5</v>
      </c>
    </row>
    <row r="75" spans="1:5" ht="15" customHeight="1">
      <c r="A75" s="39"/>
      <c r="B75" s="97"/>
      <c r="C75" s="74" t="s">
        <v>236</v>
      </c>
      <c r="D75" s="58">
        <v>2</v>
      </c>
      <c r="E75" s="59">
        <v>5.3639435713000001E-5</v>
      </c>
    </row>
    <row r="76" spans="1:5" ht="15" customHeight="1">
      <c r="A76" s="39"/>
      <c r="B76" s="97"/>
      <c r="C76" s="74" t="s">
        <v>237</v>
      </c>
      <c r="D76" s="58">
        <v>1</v>
      </c>
      <c r="E76" s="59">
        <v>2.6819717857000001E-5</v>
      </c>
    </row>
    <row r="77" spans="1:5" ht="15" customHeight="1">
      <c r="A77" s="39"/>
      <c r="B77" s="97"/>
      <c r="C77" s="74" t="s">
        <v>238</v>
      </c>
      <c r="D77" s="58">
        <v>3</v>
      </c>
      <c r="E77" s="59">
        <v>8.0459153570000002E-5</v>
      </c>
    </row>
    <row r="78" spans="1:5" ht="15" customHeight="1">
      <c r="A78" s="39"/>
      <c r="B78" s="97"/>
      <c r="C78" s="74" t="s">
        <v>239</v>
      </c>
      <c r="D78" s="58">
        <v>2</v>
      </c>
      <c r="E78" s="59">
        <v>5.3639435713000001E-5</v>
      </c>
    </row>
    <row r="79" spans="1:5" ht="15" customHeight="1">
      <c r="A79" s="39"/>
      <c r="B79" s="97"/>
      <c r="C79" s="74" t="s">
        <v>241</v>
      </c>
      <c r="D79" s="58">
        <v>2</v>
      </c>
      <c r="E79" s="59">
        <v>5.3639435713000001E-5</v>
      </c>
    </row>
    <row r="80" spans="1:5" ht="15" customHeight="1">
      <c r="A80" s="39"/>
      <c r="B80" s="97"/>
      <c r="C80" s="74" t="s">
        <v>242</v>
      </c>
      <c r="D80" s="58">
        <v>17</v>
      </c>
      <c r="E80" s="59">
        <v>4.5593520356200002E-4</v>
      </c>
    </row>
    <row r="81" spans="1:5" ht="15" customHeight="1">
      <c r="A81" s="39"/>
      <c r="B81" s="97"/>
      <c r="C81" s="74" t="s">
        <v>245</v>
      </c>
      <c r="D81" s="58">
        <v>1</v>
      </c>
      <c r="E81" s="59">
        <v>2.6819717857000001E-5</v>
      </c>
    </row>
    <row r="82" spans="1:5" ht="15" customHeight="1">
      <c r="A82" s="39"/>
      <c r="B82" s="98"/>
      <c r="C82" s="75" t="s">
        <v>353</v>
      </c>
      <c r="D82" s="71">
        <v>100</v>
      </c>
      <c r="E82" s="73">
        <v>2.681971785657E-3</v>
      </c>
    </row>
    <row r="83" spans="1:5" ht="15" customHeight="1">
      <c r="A83" s="39"/>
      <c r="B83" s="96" t="s">
        <v>253</v>
      </c>
      <c r="C83" s="74" t="s">
        <v>220</v>
      </c>
      <c r="D83" s="58">
        <v>4</v>
      </c>
      <c r="E83" s="59">
        <v>1.07278871426E-4</v>
      </c>
    </row>
    <row r="84" spans="1:5" ht="15" customHeight="1">
      <c r="A84" s="39"/>
      <c r="B84" s="97"/>
      <c r="C84" s="74" t="s">
        <v>221</v>
      </c>
      <c r="D84" s="58">
        <v>1</v>
      </c>
      <c r="E84" s="59">
        <v>2.6819717857000001E-5</v>
      </c>
    </row>
    <row r="85" spans="1:5" ht="15" customHeight="1">
      <c r="A85" s="39"/>
      <c r="B85" s="97"/>
      <c r="C85" s="74" t="s">
        <v>222</v>
      </c>
      <c r="D85" s="58">
        <v>76</v>
      </c>
      <c r="E85" s="59">
        <v>2.0382985570990002E-3</v>
      </c>
    </row>
    <row r="86" spans="1:5" ht="15" customHeight="1">
      <c r="A86" s="39"/>
      <c r="B86" s="97"/>
      <c r="C86" s="74" t="s">
        <v>223</v>
      </c>
      <c r="D86" s="58">
        <v>2</v>
      </c>
      <c r="E86" s="59">
        <v>5.3639435713000001E-5</v>
      </c>
    </row>
    <row r="87" spans="1:5" ht="15" customHeight="1">
      <c r="A87" s="39"/>
      <c r="B87" s="97"/>
      <c r="C87" s="74" t="s">
        <v>225</v>
      </c>
      <c r="D87" s="58">
        <v>3</v>
      </c>
      <c r="E87" s="59">
        <v>8.0459153570000002E-5</v>
      </c>
    </row>
    <row r="88" spans="1:5" ht="15" customHeight="1">
      <c r="A88" s="39"/>
      <c r="B88" s="97"/>
      <c r="C88" s="74" t="s">
        <v>226</v>
      </c>
      <c r="D88" s="58">
        <v>5</v>
      </c>
      <c r="E88" s="59">
        <v>1.34098589283E-4</v>
      </c>
    </row>
    <row r="89" spans="1:5" ht="15" customHeight="1">
      <c r="A89" s="39"/>
      <c r="B89" s="97"/>
      <c r="C89" s="74" t="s">
        <v>254</v>
      </c>
      <c r="D89" s="58">
        <v>1</v>
      </c>
      <c r="E89" s="59">
        <v>2.6819717857000001E-5</v>
      </c>
    </row>
    <row r="90" spans="1:5" ht="15" customHeight="1">
      <c r="A90" s="39"/>
      <c r="B90" s="97"/>
      <c r="C90" s="74" t="s">
        <v>227</v>
      </c>
      <c r="D90" s="58">
        <v>15</v>
      </c>
      <c r="E90" s="59">
        <v>4.0229576784899998E-4</v>
      </c>
    </row>
    <row r="91" spans="1:5" ht="15" customHeight="1">
      <c r="A91" s="39"/>
      <c r="B91" s="97"/>
      <c r="C91" s="74" t="s">
        <v>228</v>
      </c>
      <c r="D91" s="58">
        <v>1</v>
      </c>
      <c r="E91" s="59">
        <v>2.6819717857000001E-5</v>
      </c>
    </row>
    <row r="92" spans="1:5" ht="15" customHeight="1">
      <c r="A92" s="39"/>
      <c r="B92" s="97"/>
      <c r="C92" s="74" t="s">
        <v>255</v>
      </c>
      <c r="D92" s="58">
        <v>1</v>
      </c>
      <c r="E92" s="59">
        <v>2.6819717857000001E-5</v>
      </c>
    </row>
    <row r="93" spans="1:5" ht="15" customHeight="1">
      <c r="A93" s="39"/>
      <c r="B93" s="97"/>
      <c r="C93" s="74" t="s">
        <v>249</v>
      </c>
      <c r="D93" s="58">
        <v>2</v>
      </c>
      <c r="E93" s="59">
        <v>5.3639435713000001E-5</v>
      </c>
    </row>
    <row r="94" spans="1:5" ht="15" customHeight="1">
      <c r="A94" s="39"/>
      <c r="B94" s="97"/>
      <c r="C94" s="74" t="s">
        <v>230</v>
      </c>
      <c r="D94" s="58">
        <v>4</v>
      </c>
      <c r="E94" s="59">
        <v>1.07278871426E-4</v>
      </c>
    </row>
    <row r="95" spans="1:5" ht="15" customHeight="1">
      <c r="A95" s="39"/>
      <c r="B95" s="97"/>
      <c r="C95" s="74" t="s">
        <v>231</v>
      </c>
      <c r="D95" s="58">
        <v>1</v>
      </c>
      <c r="E95" s="59">
        <v>2.6819717857000001E-5</v>
      </c>
    </row>
    <row r="96" spans="1:5" ht="15" customHeight="1">
      <c r="A96" s="39"/>
      <c r="B96" s="97"/>
      <c r="C96" s="74" t="s">
        <v>232</v>
      </c>
      <c r="D96" s="58">
        <v>2</v>
      </c>
      <c r="E96" s="59">
        <v>5.3639435713000001E-5</v>
      </c>
    </row>
    <row r="97" spans="1:5" ht="15" customHeight="1">
      <c r="A97" s="39"/>
      <c r="B97" s="97"/>
      <c r="C97" s="74" t="s">
        <v>256</v>
      </c>
      <c r="D97" s="58">
        <v>1</v>
      </c>
      <c r="E97" s="59">
        <v>2.6819717857000001E-5</v>
      </c>
    </row>
    <row r="98" spans="1:5" ht="15" customHeight="1">
      <c r="A98" s="39"/>
      <c r="B98" s="97"/>
      <c r="C98" s="74" t="s">
        <v>233</v>
      </c>
      <c r="D98" s="58">
        <v>7</v>
      </c>
      <c r="E98" s="59">
        <v>1.8773802499599999E-4</v>
      </c>
    </row>
    <row r="99" spans="1:5" ht="15" customHeight="1">
      <c r="A99" s="39"/>
      <c r="B99" s="97"/>
      <c r="C99" s="74" t="s">
        <v>234</v>
      </c>
      <c r="D99" s="58">
        <v>4</v>
      </c>
      <c r="E99" s="59">
        <v>1.07278871426E-4</v>
      </c>
    </row>
    <row r="100" spans="1:5" ht="15" customHeight="1">
      <c r="A100" s="39"/>
      <c r="B100" s="97"/>
      <c r="C100" s="74" t="s">
        <v>236</v>
      </c>
      <c r="D100" s="58">
        <v>10</v>
      </c>
      <c r="E100" s="59">
        <v>2.6819717856600001E-4</v>
      </c>
    </row>
    <row r="101" spans="1:5" ht="15" customHeight="1">
      <c r="A101" s="39"/>
      <c r="B101" s="97"/>
      <c r="C101" s="74" t="s">
        <v>237</v>
      </c>
      <c r="D101" s="58">
        <v>5</v>
      </c>
      <c r="E101" s="59">
        <v>1.34098589283E-4</v>
      </c>
    </row>
    <row r="102" spans="1:5" ht="15" customHeight="1">
      <c r="A102" s="39"/>
      <c r="B102" s="97"/>
      <c r="C102" s="74" t="s">
        <v>238</v>
      </c>
      <c r="D102" s="58">
        <v>2</v>
      </c>
      <c r="E102" s="59">
        <v>5.3639435713000001E-5</v>
      </c>
    </row>
    <row r="103" spans="1:5" ht="15" customHeight="1">
      <c r="A103" s="39"/>
      <c r="B103" s="97"/>
      <c r="C103" s="74" t="s">
        <v>239</v>
      </c>
      <c r="D103" s="58">
        <v>3</v>
      </c>
      <c r="E103" s="59">
        <v>8.0459153570000002E-5</v>
      </c>
    </row>
    <row r="104" spans="1:5" ht="15" customHeight="1">
      <c r="A104" s="39"/>
      <c r="B104" s="97"/>
      <c r="C104" s="74" t="s">
        <v>240</v>
      </c>
      <c r="D104" s="58">
        <v>1</v>
      </c>
      <c r="E104" s="59">
        <v>2.6819717857000001E-5</v>
      </c>
    </row>
    <row r="105" spans="1:5" ht="15" customHeight="1">
      <c r="A105" s="39"/>
      <c r="B105" s="97"/>
      <c r="C105" s="74" t="s">
        <v>250</v>
      </c>
      <c r="D105" s="58">
        <v>2</v>
      </c>
      <c r="E105" s="59">
        <v>5.3639435713000001E-5</v>
      </c>
    </row>
    <row r="106" spans="1:5" ht="15" customHeight="1">
      <c r="A106" s="39"/>
      <c r="B106" s="97"/>
      <c r="C106" s="74" t="s">
        <v>257</v>
      </c>
      <c r="D106" s="58">
        <v>2</v>
      </c>
      <c r="E106" s="59">
        <v>5.3639435713000001E-5</v>
      </c>
    </row>
    <row r="107" spans="1:5" ht="15" customHeight="1">
      <c r="A107" s="39"/>
      <c r="B107" s="97"/>
      <c r="C107" s="74" t="s">
        <v>258</v>
      </c>
      <c r="D107" s="58">
        <v>1</v>
      </c>
      <c r="E107" s="59">
        <v>2.6819717857000001E-5</v>
      </c>
    </row>
    <row r="108" spans="1:5" ht="15" customHeight="1">
      <c r="A108" s="39"/>
      <c r="B108" s="97"/>
      <c r="C108" s="74" t="s">
        <v>241</v>
      </c>
      <c r="D108" s="58">
        <v>1</v>
      </c>
      <c r="E108" s="59">
        <v>2.6819717857000001E-5</v>
      </c>
    </row>
    <row r="109" spans="1:5" ht="15" customHeight="1">
      <c r="A109" s="39"/>
      <c r="B109" s="97"/>
      <c r="C109" s="74" t="s">
        <v>242</v>
      </c>
      <c r="D109" s="58">
        <v>29</v>
      </c>
      <c r="E109" s="59">
        <v>7.7777181783999995E-4</v>
      </c>
    </row>
    <row r="110" spans="1:5" ht="15" customHeight="1">
      <c r="A110" s="39"/>
      <c r="B110" s="97"/>
      <c r="C110" s="74" t="s">
        <v>243</v>
      </c>
      <c r="D110" s="58">
        <v>1</v>
      </c>
      <c r="E110" s="59">
        <v>2.6819717857000001E-5</v>
      </c>
    </row>
    <row r="111" spans="1:5" ht="15" customHeight="1">
      <c r="A111" s="39"/>
      <c r="B111" s="97"/>
      <c r="C111" s="74" t="s">
        <v>245</v>
      </c>
      <c r="D111" s="58">
        <v>2</v>
      </c>
      <c r="E111" s="59">
        <v>5.3639435713000001E-5</v>
      </c>
    </row>
    <row r="112" spans="1:5" ht="15" customHeight="1">
      <c r="A112" s="39"/>
      <c r="B112" s="98"/>
      <c r="C112" s="75" t="s">
        <v>353</v>
      </c>
      <c r="D112" s="71">
        <v>189</v>
      </c>
      <c r="E112" s="73">
        <v>5.0689266748910004E-3</v>
      </c>
    </row>
    <row r="113" spans="1:5" ht="15" customHeight="1">
      <c r="A113" s="39"/>
      <c r="B113" s="96" t="s">
        <v>259</v>
      </c>
      <c r="C113" s="74" t="s">
        <v>219</v>
      </c>
      <c r="D113" s="58">
        <v>1</v>
      </c>
      <c r="E113" s="59">
        <v>2.6819717857000001E-5</v>
      </c>
    </row>
    <row r="114" spans="1:5" ht="15" customHeight="1">
      <c r="A114" s="39"/>
      <c r="B114" s="97"/>
      <c r="C114" s="74" t="s">
        <v>220</v>
      </c>
      <c r="D114" s="58">
        <v>4</v>
      </c>
      <c r="E114" s="59">
        <v>1.07278871426E-4</v>
      </c>
    </row>
    <row r="115" spans="1:5" ht="15" customHeight="1">
      <c r="A115" s="39"/>
      <c r="B115" s="97"/>
      <c r="C115" s="74" t="s">
        <v>222</v>
      </c>
      <c r="D115" s="58">
        <v>43</v>
      </c>
      <c r="E115" s="59">
        <v>1.1532478678320001E-3</v>
      </c>
    </row>
    <row r="116" spans="1:5" ht="15" customHeight="1">
      <c r="A116" s="39"/>
      <c r="B116" s="97"/>
      <c r="C116" s="74" t="s">
        <v>225</v>
      </c>
      <c r="D116" s="58">
        <v>1</v>
      </c>
      <c r="E116" s="59">
        <v>2.6819717857000001E-5</v>
      </c>
    </row>
    <row r="117" spans="1:5" ht="15" customHeight="1">
      <c r="A117" s="39"/>
      <c r="B117" s="97"/>
      <c r="C117" s="74" t="s">
        <v>226</v>
      </c>
      <c r="D117" s="58">
        <v>3</v>
      </c>
      <c r="E117" s="59">
        <v>8.0459153570000002E-5</v>
      </c>
    </row>
    <row r="118" spans="1:5" ht="15" customHeight="1">
      <c r="A118" s="39"/>
      <c r="B118" s="97"/>
      <c r="C118" s="74" t="s">
        <v>227</v>
      </c>
      <c r="D118" s="58">
        <v>9</v>
      </c>
      <c r="E118" s="59">
        <v>2.4137746070900001E-4</v>
      </c>
    </row>
    <row r="119" spans="1:5" ht="15" customHeight="1">
      <c r="A119" s="39"/>
      <c r="B119" s="97"/>
      <c r="C119" s="74" t="s">
        <v>228</v>
      </c>
      <c r="D119" s="58">
        <v>2</v>
      </c>
      <c r="E119" s="59">
        <v>5.3639435713000001E-5</v>
      </c>
    </row>
    <row r="120" spans="1:5" ht="15" customHeight="1">
      <c r="A120" s="39"/>
      <c r="B120" s="97"/>
      <c r="C120" s="74" t="s">
        <v>252</v>
      </c>
      <c r="D120" s="58">
        <v>1</v>
      </c>
      <c r="E120" s="59">
        <v>2.6819717857000001E-5</v>
      </c>
    </row>
    <row r="121" spans="1:5" ht="15" customHeight="1">
      <c r="A121" s="39"/>
      <c r="B121" s="97"/>
      <c r="C121" s="74" t="s">
        <v>248</v>
      </c>
      <c r="D121" s="58">
        <v>1</v>
      </c>
      <c r="E121" s="59">
        <v>2.6819717857000001E-5</v>
      </c>
    </row>
    <row r="122" spans="1:5" ht="15" customHeight="1">
      <c r="A122" s="39"/>
      <c r="B122" s="97"/>
      <c r="C122" s="74" t="s">
        <v>255</v>
      </c>
      <c r="D122" s="58">
        <v>1</v>
      </c>
      <c r="E122" s="59">
        <v>2.6819717857000001E-5</v>
      </c>
    </row>
    <row r="123" spans="1:5" ht="15" customHeight="1">
      <c r="A123" s="39"/>
      <c r="B123" s="97"/>
      <c r="C123" s="74" t="s">
        <v>230</v>
      </c>
      <c r="D123" s="58">
        <v>1</v>
      </c>
      <c r="E123" s="59">
        <v>2.6819717857000001E-5</v>
      </c>
    </row>
    <row r="124" spans="1:5" ht="15" customHeight="1">
      <c r="A124" s="39"/>
      <c r="B124" s="97"/>
      <c r="C124" s="74" t="s">
        <v>232</v>
      </c>
      <c r="D124" s="58">
        <v>1</v>
      </c>
      <c r="E124" s="59">
        <v>2.6819717857000001E-5</v>
      </c>
    </row>
    <row r="125" spans="1:5" ht="15" customHeight="1">
      <c r="A125" s="39"/>
      <c r="B125" s="97"/>
      <c r="C125" s="74" t="s">
        <v>233</v>
      </c>
      <c r="D125" s="58">
        <v>3</v>
      </c>
      <c r="E125" s="59">
        <v>8.0459153570000002E-5</v>
      </c>
    </row>
    <row r="126" spans="1:5" ht="15" customHeight="1">
      <c r="A126" s="39"/>
      <c r="B126" s="97"/>
      <c r="C126" s="74" t="s">
        <v>234</v>
      </c>
      <c r="D126" s="58">
        <v>1</v>
      </c>
      <c r="E126" s="59">
        <v>2.6819717857000001E-5</v>
      </c>
    </row>
    <row r="127" spans="1:5" ht="15" customHeight="1">
      <c r="A127" s="39"/>
      <c r="B127" s="97"/>
      <c r="C127" s="74" t="s">
        <v>236</v>
      </c>
      <c r="D127" s="58">
        <v>5</v>
      </c>
      <c r="E127" s="59">
        <v>1.34098589283E-4</v>
      </c>
    </row>
    <row r="128" spans="1:5" ht="15" customHeight="1">
      <c r="A128" s="39"/>
      <c r="B128" s="97"/>
      <c r="C128" s="74" t="s">
        <v>237</v>
      </c>
      <c r="D128" s="58">
        <v>3</v>
      </c>
      <c r="E128" s="59">
        <v>8.0459153570000002E-5</v>
      </c>
    </row>
    <row r="129" spans="1:5" ht="15" customHeight="1">
      <c r="A129" s="39"/>
      <c r="B129" s="97"/>
      <c r="C129" s="74" t="s">
        <v>238</v>
      </c>
      <c r="D129" s="58">
        <v>5</v>
      </c>
      <c r="E129" s="59">
        <v>1.34098589283E-4</v>
      </c>
    </row>
    <row r="130" spans="1:5" ht="15" customHeight="1">
      <c r="A130" s="39"/>
      <c r="B130" s="97"/>
      <c r="C130" s="74" t="s">
        <v>239</v>
      </c>
      <c r="D130" s="58">
        <v>1</v>
      </c>
      <c r="E130" s="59">
        <v>2.6819717857000001E-5</v>
      </c>
    </row>
    <row r="131" spans="1:5" ht="15" customHeight="1">
      <c r="A131" s="39"/>
      <c r="B131" s="97"/>
      <c r="C131" s="74" t="s">
        <v>240</v>
      </c>
      <c r="D131" s="58">
        <v>1</v>
      </c>
      <c r="E131" s="59">
        <v>2.6819717857000001E-5</v>
      </c>
    </row>
    <row r="132" spans="1:5" ht="15" customHeight="1">
      <c r="A132" s="39"/>
      <c r="B132" s="97"/>
      <c r="C132" s="74" t="s">
        <v>250</v>
      </c>
      <c r="D132" s="58">
        <v>3</v>
      </c>
      <c r="E132" s="59">
        <v>8.0459153570000002E-5</v>
      </c>
    </row>
    <row r="133" spans="1:5" ht="15" customHeight="1">
      <c r="A133" s="39"/>
      <c r="B133" s="97"/>
      <c r="C133" s="74" t="s">
        <v>260</v>
      </c>
      <c r="D133" s="58">
        <v>1</v>
      </c>
      <c r="E133" s="59">
        <v>2.6819717857000001E-5</v>
      </c>
    </row>
    <row r="134" spans="1:5" ht="15" customHeight="1">
      <c r="A134" s="39"/>
      <c r="B134" s="97"/>
      <c r="C134" s="74" t="s">
        <v>258</v>
      </c>
      <c r="D134" s="58">
        <v>1</v>
      </c>
      <c r="E134" s="59">
        <v>2.6819717857000001E-5</v>
      </c>
    </row>
    <row r="135" spans="1:5" ht="15" customHeight="1">
      <c r="A135" s="39"/>
      <c r="B135" s="97"/>
      <c r="C135" s="74" t="s">
        <v>241</v>
      </c>
      <c r="D135" s="58">
        <v>1</v>
      </c>
      <c r="E135" s="59">
        <v>2.6819717857000001E-5</v>
      </c>
    </row>
    <row r="136" spans="1:5" ht="15" customHeight="1">
      <c r="A136" s="39"/>
      <c r="B136" s="97"/>
      <c r="C136" s="74" t="s">
        <v>242</v>
      </c>
      <c r="D136" s="58">
        <v>16</v>
      </c>
      <c r="E136" s="59">
        <v>4.2911548570500002E-4</v>
      </c>
    </row>
    <row r="137" spans="1:5" ht="15" customHeight="1">
      <c r="A137" s="39"/>
      <c r="B137" s="97"/>
      <c r="C137" s="74" t="s">
        <v>243</v>
      </c>
      <c r="D137" s="58">
        <v>1</v>
      </c>
      <c r="E137" s="59">
        <v>2.6819717857000001E-5</v>
      </c>
    </row>
    <row r="138" spans="1:5" ht="15" customHeight="1">
      <c r="A138" s="39"/>
      <c r="B138" s="97"/>
      <c r="C138" s="74" t="s">
        <v>244</v>
      </c>
      <c r="D138" s="58">
        <v>1</v>
      </c>
      <c r="E138" s="59">
        <v>2.6819717857000001E-5</v>
      </c>
    </row>
    <row r="139" spans="1:5" ht="15" customHeight="1">
      <c r="A139" s="39"/>
      <c r="B139" s="97"/>
      <c r="C139" s="74" t="s">
        <v>79</v>
      </c>
      <c r="D139" s="58">
        <v>2</v>
      </c>
      <c r="E139" s="59">
        <v>5.3639435713000001E-5</v>
      </c>
    </row>
    <row r="140" spans="1:5" ht="15" customHeight="1">
      <c r="A140" s="39"/>
      <c r="B140" s="98"/>
      <c r="C140" s="75" t="s">
        <v>353</v>
      </c>
      <c r="D140" s="71">
        <v>113</v>
      </c>
      <c r="E140" s="73">
        <v>3.0306281177920002E-3</v>
      </c>
    </row>
    <row r="141" spans="1:5" ht="15" customHeight="1">
      <c r="A141" s="39"/>
      <c r="B141" s="96" t="s">
        <v>261</v>
      </c>
      <c r="C141" s="74" t="s">
        <v>220</v>
      </c>
      <c r="D141" s="58">
        <v>3</v>
      </c>
      <c r="E141" s="59">
        <v>8.0459153570000002E-5</v>
      </c>
    </row>
    <row r="142" spans="1:5" ht="15" customHeight="1">
      <c r="A142" s="39"/>
      <c r="B142" s="97"/>
      <c r="C142" s="74" t="s">
        <v>221</v>
      </c>
      <c r="D142" s="58">
        <v>1</v>
      </c>
      <c r="E142" s="59">
        <v>2.6819717857000001E-5</v>
      </c>
    </row>
    <row r="143" spans="1:5" ht="15" customHeight="1">
      <c r="A143" s="39"/>
      <c r="B143" s="97"/>
      <c r="C143" s="74" t="s">
        <v>222</v>
      </c>
      <c r="D143" s="58">
        <v>75</v>
      </c>
      <c r="E143" s="59">
        <v>2.0114788392429999E-3</v>
      </c>
    </row>
    <row r="144" spans="1:5" ht="15" customHeight="1">
      <c r="A144" s="39"/>
      <c r="B144" s="97"/>
      <c r="C144" s="74" t="s">
        <v>223</v>
      </c>
      <c r="D144" s="58">
        <v>11</v>
      </c>
      <c r="E144" s="59">
        <v>2.9501689642199999E-4</v>
      </c>
    </row>
    <row r="145" spans="1:5" ht="15" customHeight="1">
      <c r="A145" s="39"/>
      <c r="B145" s="97"/>
      <c r="C145" s="74" t="s">
        <v>224</v>
      </c>
      <c r="D145" s="58">
        <v>1</v>
      </c>
      <c r="E145" s="59">
        <v>2.6819717857000001E-5</v>
      </c>
    </row>
    <row r="146" spans="1:5" ht="15" customHeight="1">
      <c r="A146" s="39"/>
      <c r="B146" s="97"/>
      <c r="C146" s="74" t="s">
        <v>262</v>
      </c>
      <c r="D146" s="58">
        <v>1</v>
      </c>
      <c r="E146" s="59">
        <v>2.6819717857000001E-5</v>
      </c>
    </row>
    <row r="147" spans="1:5" ht="15" customHeight="1">
      <c r="A147" s="39"/>
      <c r="B147" s="97"/>
      <c r="C147" s="74" t="s">
        <v>225</v>
      </c>
      <c r="D147" s="58">
        <v>8</v>
      </c>
      <c r="E147" s="59">
        <v>2.1455774285299999E-4</v>
      </c>
    </row>
    <row r="148" spans="1:5" ht="15" customHeight="1">
      <c r="A148" s="39"/>
      <c r="B148" s="97"/>
      <c r="C148" s="74" t="s">
        <v>226</v>
      </c>
      <c r="D148" s="58">
        <v>6</v>
      </c>
      <c r="E148" s="59">
        <v>1.6091830713899999E-4</v>
      </c>
    </row>
    <row r="149" spans="1:5" ht="15" customHeight="1">
      <c r="A149" s="39"/>
      <c r="B149" s="97"/>
      <c r="C149" s="74" t="s">
        <v>227</v>
      </c>
      <c r="D149" s="58">
        <v>12</v>
      </c>
      <c r="E149" s="59">
        <v>3.2183661427899999E-4</v>
      </c>
    </row>
    <row r="150" spans="1:5" ht="15" customHeight="1">
      <c r="A150" s="39"/>
      <c r="B150" s="97"/>
      <c r="C150" s="74" t="s">
        <v>228</v>
      </c>
      <c r="D150" s="58">
        <v>1</v>
      </c>
      <c r="E150" s="59">
        <v>2.6819717857000001E-5</v>
      </c>
    </row>
    <row r="151" spans="1:5" ht="15" customHeight="1">
      <c r="A151" s="39"/>
      <c r="B151" s="97"/>
      <c r="C151" s="74" t="s">
        <v>252</v>
      </c>
      <c r="D151" s="58">
        <v>1</v>
      </c>
      <c r="E151" s="59">
        <v>2.6819717857000001E-5</v>
      </c>
    </row>
    <row r="152" spans="1:5" ht="15" customHeight="1">
      <c r="A152" s="39"/>
      <c r="B152" s="97"/>
      <c r="C152" s="74" t="s">
        <v>248</v>
      </c>
      <c r="D152" s="58">
        <v>2</v>
      </c>
      <c r="E152" s="59">
        <v>5.3639435713000001E-5</v>
      </c>
    </row>
    <row r="153" spans="1:5" ht="15" customHeight="1">
      <c r="A153" s="39"/>
      <c r="B153" s="97"/>
      <c r="C153" s="74" t="s">
        <v>249</v>
      </c>
      <c r="D153" s="58">
        <v>1</v>
      </c>
      <c r="E153" s="59">
        <v>2.6819717857000001E-5</v>
      </c>
    </row>
    <row r="154" spans="1:5" ht="15" customHeight="1">
      <c r="A154" s="39"/>
      <c r="B154" s="97"/>
      <c r="C154" s="74" t="s">
        <v>230</v>
      </c>
      <c r="D154" s="58">
        <v>1</v>
      </c>
      <c r="E154" s="59">
        <v>2.6819717857000001E-5</v>
      </c>
    </row>
    <row r="155" spans="1:5" ht="15" customHeight="1">
      <c r="A155" s="39"/>
      <c r="B155" s="97"/>
      <c r="C155" s="74" t="s">
        <v>231</v>
      </c>
      <c r="D155" s="58">
        <v>1</v>
      </c>
      <c r="E155" s="59">
        <v>2.6819717857000001E-5</v>
      </c>
    </row>
    <row r="156" spans="1:5" ht="15" customHeight="1">
      <c r="A156" s="39"/>
      <c r="B156" s="97"/>
      <c r="C156" s="74" t="s">
        <v>263</v>
      </c>
      <c r="D156" s="58">
        <v>1</v>
      </c>
      <c r="E156" s="59">
        <v>2.6819717857000001E-5</v>
      </c>
    </row>
    <row r="157" spans="1:5" ht="15" customHeight="1">
      <c r="A157" s="39"/>
      <c r="B157" s="97"/>
      <c r="C157" s="74" t="s">
        <v>232</v>
      </c>
      <c r="D157" s="58">
        <v>2</v>
      </c>
      <c r="E157" s="59">
        <v>5.3639435713000001E-5</v>
      </c>
    </row>
    <row r="158" spans="1:5" ht="15" customHeight="1">
      <c r="A158" s="39"/>
      <c r="B158" s="97"/>
      <c r="C158" s="74" t="s">
        <v>256</v>
      </c>
      <c r="D158" s="58">
        <v>1</v>
      </c>
      <c r="E158" s="59">
        <v>2.6819717857000001E-5</v>
      </c>
    </row>
    <row r="159" spans="1:5" ht="15" customHeight="1">
      <c r="A159" s="39"/>
      <c r="B159" s="97"/>
      <c r="C159" s="74" t="s">
        <v>233</v>
      </c>
      <c r="D159" s="58">
        <v>5</v>
      </c>
      <c r="E159" s="59">
        <v>1.34098589283E-4</v>
      </c>
    </row>
    <row r="160" spans="1:5" ht="15" customHeight="1">
      <c r="A160" s="39"/>
      <c r="B160" s="97"/>
      <c r="C160" s="74" t="s">
        <v>234</v>
      </c>
      <c r="D160" s="58">
        <v>5</v>
      </c>
      <c r="E160" s="59">
        <v>1.34098589283E-4</v>
      </c>
    </row>
    <row r="161" spans="1:5" ht="15" customHeight="1">
      <c r="A161" s="39"/>
      <c r="B161" s="97"/>
      <c r="C161" s="74" t="s">
        <v>236</v>
      </c>
      <c r="D161" s="58">
        <v>18</v>
      </c>
      <c r="E161" s="59">
        <v>4.8275492141800001E-4</v>
      </c>
    </row>
    <row r="162" spans="1:5" ht="15" customHeight="1">
      <c r="A162" s="39"/>
      <c r="B162" s="97"/>
      <c r="C162" s="74" t="s">
        <v>237</v>
      </c>
      <c r="D162" s="58">
        <v>4</v>
      </c>
      <c r="E162" s="59">
        <v>1.07278871426E-4</v>
      </c>
    </row>
    <row r="163" spans="1:5" ht="15" customHeight="1">
      <c r="A163" s="39"/>
      <c r="B163" s="97"/>
      <c r="C163" s="74" t="s">
        <v>238</v>
      </c>
      <c r="D163" s="58">
        <v>1</v>
      </c>
      <c r="E163" s="59">
        <v>2.6819717857000001E-5</v>
      </c>
    </row>
    <row r="164" spans="1:5" ht="15" customHeight="1">
      <c r="A164" s="39"/>
      <c r="B164" s="97"/>
      <c r="C164" s="74" t="s">
        <v>239</v>
      </c>
      <c r="D164" s="58">
        <v>2</v>
      </c>
      <c r="E164" s="59">
        <v>5.3639435713000001E-5</v>
      </c>
    </row>
    <row r="165" spans="1:5" ht="15" customHeight="1">
      <c r="A165" s="39"/>
      <c r="B165" s="97"/>
      <c r="C165" s="74" t="s">
        <v>257</v>
      </c>
      <c r="D165" s="58">
        <v>4</v>
      </c>
      <c r="E165" s="59">
        <v>1.07278871426E-4</v>
      </c>
    </row>
    <row r="166" spans="1:5" ht="15" customHeight="1">
      <c r="A166" s="39"/>
      <c r="B166" s="97"/>
      <c r="C166" s="74" t="s">
        <v>241</v>
      </c>
      <c r="D166" s="58">
        <v>1</v>
      </c>
      <c r="E166" s="59">
        <v>2.6819717857000001E-5</v>
      </c>
    </row>
    <row r="167" spans="1:5" ht="15" customHeight="1">
      <c r="A167" s="39"/>
      <c r="B167" s="97"/>
      <c r="C167" s="74" t="s">
        <v>242</v>
      </c>
      <c r="D167" s="58">
        <v>34</v>
      </c>
      <c r="E167" s="59">
        <v>9.1187040712299998E-4</v>
      </c>
    </row>
    <row r="168" spans="1:5" ht="15" customHeight="1">
      <c r="A168" s="39"/>
      <c r="B168" s="97"/>
      <c r="C168" s="74" t="s">
        <v>243</v>
      </c>
      <c r="D168" s="58">
        <v>2</v>
      </c>
      <c r="E168" s="59">
        <v>5.3639435713000001E-5</v>
      </c>
    </row>
    <row r="169" spans="1:5" ht="15" customHeight="1">
      <c r="A169" s="39"/>
      <c r="B169" s="97"/>
      <c r="C169" s="74" t="s">
        <v>244</v>
      </c>
      <c r="D169" s="58">
        <v>2</v>
      </c>
      <c r="E169" s="59">
        <v>5.3639435713000001E-5</v>
      </c>
    </row>
    <row r="170" spans="1:5" ht="15" customHeight="1">
      <c r="A170" s="39"/>
      <c r="B170" s="97"/>
      <c r="C170" s="74" t="s">
        <v>245</v>
      </c>
      <c r="D170" s="58">
        <v>5</v>
      </c>
      <c r="E170" s="59">
        <v>1.34098589283E-4</v>
      </c>
    </row>
    <row r="171" spans="1:5" ht="15" customHeight="1">
      <c r="A171" s="39"/>
      <c r="B171" s="98"/>
      <c r="C171" s="75" t="s">
        <v>353</v>
      </c>
      <c r="D171" s="71">
        <v>212</v>
      </c>
      <c r="E171" s="73">
        <v>5.6857801855919998E-3</v>
      </c>
    </row>
    <row r="172" spans="1:5" ht="15" customHeight="1">
      <c r="A172" s="39"/>
      <c r="B172" s="96" t="s">
        <v>264</v>
      </c>
      <c r="C172" s="74" t="s">
        <v>219</v>
      </c>
      <c r="D172" s="58">
        <v>12</v>
      </c>
      <c r="E172" s="59">
        <v>3.2183661427899999E-4</v>
      </c>
    </row>
    <row r="173" spans="1:5" ht="15" customHeight="1">
      <c r="A173" s="39"/>
      <c r="B173" s="97"/>
      <c r="C173" s="74" t="s">
        <v>220</v>
      </c>
      <c r="D173" s="58">
        <v>19</v>
      </c>
      <c r="E173" s="59">
        <v>5.0957463927499996E-4</v>
      </c>
    </row>
    <row r="174" spans="1:5" ht="15" customHeight="1">
      <c r="A174" s="39"/>
      <c r="B174" s="97"/>
      <c r="C174" s="74" t="s">
        <v>221</v>
      </c>
      <c r="D174" s="58">
        <v>6</v>
      </c>
      <c r="E174" s="59">
        <v>1.6091830713899999E-4</v>
      </c>
    </row>
    <row r="175" spans="1:5" ht="15" customHeight="1">
      <c r="A175" s="39"/>
      <c r="B175" s="97"/>
      <c r="C175" s="74" t="s">
        <v>222</v>
      </c>
      <c r="D175" s="58">
        <v>603</v>
      </c>
      <c r="E175" s="59">
        <v>1.6172289867511E-2</v>
      </c>
    </row>
    <row r="176" spans="1:5" ht="15" customHeight="1">
      <c r="A176" s="39"/>
      <c r="B176" s="97"/>
      <c r="C176" s="74" t="s">
        <v>223</v>
      </c>
      <c r="D176" s="58">
        <v>21</v>
      </c>
      <c r="E176" s="59">
        <v>5.63214074988E-4</v>
      </c>
    </row>
    <row r="177" spans="1:5" ht="15" customHeight="1">
      <c r="A177" s="39"/>
      <c r="B177" s="97"/>
      <c r="C177" s="74" t="s">
        <v>224</v>
      </c>
      <c r="D177" s="58">
        <v>4</v>
      </c>
      <c r="E177" s="59">
        <v>1.07278871426E-4</v>
      </c>
    </row>
    <row r="178" spans="1:5" ht="15" customHeight="1">
      <c r="A178" s="39"/>
      <c r="B178" s="97"/>
      <c r="C178" s="74" t="s">
        <v>262</v>
      </c>
      <c r="D178" s="58">
        <v>5</v>
      </c>
      <c r="E178" s="59">
        <v>1.34098589283E-4</v>
      </c>
    </row>
    <row r="179" spans="1:5" ht="15" customHeight="1">
      <c r="A179" s="39"/>
      <c r="B179" s="97"/>
      <c r="C179" s="74" t="s">
        <v>265</v>
      </c>
      <c r="D179" s="58">
        <v>1</v>
      </c>
      <c r="E179" s="59">
        <v>2.6819717857000001E-5</v>
      </c>
    </row>
    <row r="180" spans="1:5" ht="15" customHeight="1">
      <c r="A180" s="39"/>
      <c r="B180" s="97"/>
      <c r="C180" s="74" t="s">
        <v>225</v>
      </c>
      <c r="D180" s="58">
        <v>25</v>
      </c>
      <c r="E180" s="59">
        <v>6.7049294641399998E-4</v>
      </c>
    </row>
    <row r="181" spans="1:5" ht="15" customHeight="1">
      <c r="A181" s="39"/>
      <c r="B181" s="97"/>
      <c r="C181" s="74" t="s">
        <v>226</v>
      </c>
      <c r="D181" s="58">
        <v>30</v>
      </c>
      <c r="E181" s="59">
        <v>8.0459153569700001E-4</v>
      </c>
    </row>
    <row r="182" spans="1:5" ht="15" customHeight="1">
      <c r="A182" s="39"/>
      <c r="B182" s="97"/>
      <c r="C182" s="74" t="s">
        <v>247</v>
      </c>
      <c r="D182" s="58">
        <v>2</v>
      </c>
      <c r="E182" s="59">
        <v>5.3639435713000001E-5</v>
      </c>
    </row>
    <row r="183" spans="1:5" ht="15" customHeight="1">
      <c r="A183" s="39"/>
      <c r="B183" s="97"/>
      <c r="C183" s="74" t="s">
        <v>254</v>
      </c>
      <c r="D183" s="58">
        <v>10</v>
      </c>
      <c r="E183" s="59">
        <v>2.6819717856600001E-4</v>
      </c>
    </row>
    <row r="184" spans="1:5" ht="15" customHeight="1">
      <c r="A184" s="39"/>
      <c r="B184" s="97"/>
      <c r="C184" s="74" t="s">
        <v>227</v>
      </c>
      <c r="D184" s="58">
        <v>103</v>
      </c>
      <c r="E184" s="59">
        <v>2.7624309392270002E-3</v>
      </c>
    </row>
    <row r="185" spans="1:5" ht="15" customHeight="1">
      <c r="A185" s="39"/>
      <c r="B185" s="97"/>
      <c r="C185" s="74" t="s">
        <v>228</v>
      </c>
      <c r="D185" s="58">
        <v>19</v>
      </c>
      <c r="E185" s="59">
        <v>5.0957463927499996E-4</v>
      </c>
    </row>
    <row r="186" spans="1:5" ht="15" customHeight="1">
      <c r="A186" s="39"/>
      <c r="B186" s="97"/>
      <c r="C186" s="74" t="s">
        <v>252</v>
      </c>
      <c r="D186" s="58">
        <v>1</v>
      </c>
      <c r="E186" s="59">
        <v>2.6819717857000001E-5</v>
      </c>
    </row>
    <row r="187" spans="1:5" ht="15" customHeight="1">
      <c r="A187" s="39"/>
      <c r="B187" s="97"/>
      <c r="C187" s="74" t="s">
        <v>248</v>
      </c>
      <c r="D187" s="58">
        <v>11</v>
      </c>
      <c r="E187" s="59">
        <v>2.9501689642199999E-4</v>
      </c>
    </row>
    <row r="188" spans="1:5" ht="15" customHeight="1">
      <c r="A188" s="39"/>
      <c r="B188" s="97"/>
      <c r="C188" s="74" t="s">
        <v>255</v>
      </c>
      <c r="D188" s="58">
        <v>3</v>
      </c>
      <c r="E188" s="59">
        <v>8.0459153570000002E-5</v>
      </c>
    </row>
    <row r="189" spans="1:5" ht="15" customHeight="1">
      <c r="A189" s="39"/>
      <c r="B189" s="97"/>
      <c r="C189" s="74" t="s">
        <v>249</v>
      </c>
      <c r="D189" s="58">
        <v>1</v>
      </c>
      <c r="E189" s="59">
        <v>2.6819717857000001E-5</v>
      </c>
    </row>
    <row r="190" spans="1:5" ht="15" customHeight="1">
      <c r="A190" s="39"/>
      <c r="B190" s="97"/>
      <c r="C190" s="74" t="s">
        <v>229</v>
      </c>
      <c r="D190" s="58">
        <v>3</v>
      </c>
      <c r="E190" s="59">
        <v>8.0459153570000002E-5</v>
      </c>
    </row>
    <row r="191" spans="1:5" ht="15" customHeight="1">
      <c r="A191" s="39"/>
      <c r="B191" s="97"/>
      <c r="C191" s="74" t="s">
        <v>266</v>
      </c>
      <c r="D191" s="58">
        <v>1</v>
      </c>
      <c r="E191" s="59">
        <v>2.6819717857000001E-5</v>
      </c>
    </row>
    <row r="192" spans="1:5" ht="15" customHeight="1">
      <c r="A192" s="39"/>
      <c r="B192" s="97"/>
      <c r="C192" s="74" t="s">
        <v>230</v>
      </c>
      <c r="D192" s="58">
        <v>12</v>
      </c>
      <c r="E192" s="59">
        <v>3.2183661427899999E-4</v>
      </c>
    </row>
    <row r="193" spans="1:5" ht="15" customHeight="1">
      <c r="A193" s="39"/>
      <c r="B193" s="97"/>
      <c r="C193" s="74" t="s">
        <v>231</v>
      </c>
      <c r="D193" s="58">
        <v>6</v>
      </c>
      <c r="E193" s="59">
        <v>1.6091830713899999E-4</v>
      </c>
    </row>
    <row r="194" spans="1:5" ht="15" customHeight="1">
      <c r="A194" s="39"/>
      <c r="B194" s="97"/>
      <c r="C194" s="74" t="s">
        <v>263</v>
      </c>
      <c r="D194" s="58">
        <v>2</v>
      </c>
      <c r="E194" s="59">
        <v>5.3639435713000001E-5</v>
      </c>
    </row>
    <row r="195" spans="1:5" ht="15" customHeight="1">
      <c r="A195" s="39"/>
      <c r="B195" s="97"/>
      <c r="C195" s="74" t="s">
        <v>232</v>
      </c>
      <c r="D195" s="58">
        <v>7</v>
      </c>
      <c r="E195" s="59">
        <v>1.8773802499599999E-4</v>
      </c>
    </row>
    <row r="196" spans="1:5" ht="15" customHeight="1">
      <c r="A196" s="39"/>
      <c r="B196" s="97"/>
      <c r="C196" s="74" t="s">
        <v>267</v>
      </c>
      <c r="D196" s="58">
        <v>1</v>
      </c>
      <c r="E196" s="59">
        <v>2.6819717857000001E-5</v>
      </c>
    </row>
    <row r="197" spans="1:5" ht="15" customHeight="1">
      <c r="A197" s="39"/>
      <c r="B197" s="97"/>
      <c r="C197" s="74" t="s">
        <v>256</v>
      </c>
      <c r="D197" s="58">
        <v>5</v>
      </c>
      <c r="E197" s="59">
        <v>1.34098589283E-4</v>
      </c>
    </row>
    <row r="198" spans="1:5" ht="15" customHeight="1">
      <c r="A198" s="39"/>
      <c r="B198" s="97"/>
      <c r="C198" s="74" t="s">
        <v>233</v>
      </c>
      <c r="D198" s="58">
        <v>62</v>
      </c>
      <c r="E198" s="59">
        <v>1.6628225071070001E-3</v>
      </c>
    </row>
    <row r="199" spans="1:5" ht="15" customHeight="1">
      <c r="A199" s="39"/>
      <c r="B199" s="97"/>
      <c r="C199" s="74" t="s">
        <v>234</v>
      </c>
      <c r="D199" s="58">
        <v>31</v>
      </c>
      <c r="E199" s="59">
        <v>8.3141125355399995E-4</v>
      </c>
    </row>
    <row r="200" spans="1:5" ht="15" customHeight="1">
      <c r="A200" s="39"/>
      <c r="B200" s="97"/>
      <c r="C200" s="74" t="s">
        <v>236</v>
      </c>
      <c r="D200" s="58">
        <v>73</v>
      </c>
      <c r="E200" s="59">
        <v>1.957839403529E-3</v>
      </c>
    </row>
    <row r="201" spans="1:5" ht="15" customHeight="1">
      <c r="A201" s="39"/>
      <c r="B201" s="97"/>
      <c r="C201" s="74" t="s">
        <v>237</v>
      </c>
      <c r="D201" s="58">
        <v>21</v>
      </c>
      <c r="E201" s="59">
        <v>5.63214074988E-4</v>
      </c>
    </row>
    <row r="202" spans="1:5" ht="15" customHeight="1">
      <c r="A202" s="39"/>
      <c r="B202" s="97"/>
      <c r="C202" s="74" t="s">
        <v>238</v>
      </c>
      <c r="D202" s="58">
        <v>14</v>
      </c>
      <c r="E202" s="59">
        <v>3.7547604999199998E-4</v>
      </c>
    </row>
    <row r="203" spans="1:5" ht="15" customHeight="1">
      <c r="A203" s="39"/>
      <c r="B203" s="97"/>
      <c r="C203" s="74" t="s">
        <v>239</v>
      </c>
      <c r="D203" s="58">
        <v>14</v>
      </c>
      <c r="E203" s="59">
        <v>3.7547604999199998E-4</v>
      </c>
    </row>
    <row r="204" spans="1:5" ht="15" customHeight="1">
      <c r="A204" s="39"/>
      <c r="B204" s="97"/>
      <c r="C204" s="74" t="s">
        <v>240</v>
      </c>
      <c r="D204" s="58">
        <v>14</v>
      </c>
      <c r="E204" s="59">
        <v>3.7547604999199998E-4</v>
      </c>
    </row>
    <row r="205" spans="1:5" ht="15" customHeight="1">
      <c r="A205" s="39"/>
      <c r="B205" s="97"/>
      <c r="C205" s="74" t="s">
        <v>250</v>
      </c>
      <c r="D205" s="58">
        <v>27</v>
      </c>
      <c r="E205" s="59">
        <v>7.2413238212700002E-4</v>
      </c>
    </row>
    <row r="206" spans="1:5" ht="15" customHeight="1">
      <c r="A206" s="39"/>
      <c r="B206" s="97"/>
      <c r="C206" s="74" t="s">
        <v>257</v>
      </c>
      <c r="D206" s="58">
        <v>10</v>
      </c>
      <c r="E206" s="59">
        <v>2.6819717856600001E-4</v>
      </c>
    </row>
    <row r="207" spans="1:5" ht="15" customHeight="1">
      <c r="A207" s="39"/>
      <c r="B207" s="97"/>
      <c r="C207" s="74" t="s">
        <v>241</v>
      </c>
      <c r="D207" s="58">
        <v>16</v>
      </c>
      <c r="E207" s="59">
        <v>4.2911548570500002E-4</v>
      </c>
    </row>
    <row r="208" spans="1:5" ht="15" customHeight="1">
      <c r="A208" s="39"/>
      <c r="B208" s="97"/>
      <c r="C208" s="74" t="s">
        <v>242</v>
      </c>
      <c r="D208" s="58">
        <v>261</v>
      </c>
      <c r="E208" s="59">
        <v>6.9999463605639996E-3</v>
      </c>
    </row>
    <row r="209" spans="1:5" ht="15" customHeight="1">
      <c r="A209" s="39"/>
      <c r="B209" s="97"/>
      <c r="C209" s="74" t="s">
        <v>243</v>
      </c>
      <c r="D209" s="58">
        <v>15</v>
      </c>
      <c r="E209" s="59">
        <v>4.0229576784899998E-4</v>
      </c>
    </row>
    <row r="210" spans="1:5" ht="15" customHeight="1">
      <c r="A210" s="39"/>
      <c r="B210" s="97"/>
      <c r="C210" s="74" t="s">
        <v>244</v>
      </c>
      <c r="D210" s="58">
        <v>10</v>
      </c>
      <c r="E210" s="59">
        <v>2.6819717856600001E-4</v>
      </c>
    </row>
    <row r="211" spans="1:5" ht="15" customHeight="1">
      <c r="A211" s="39"/>
      <c r="B211" s="97"/>
      <c r="C211" s="74" t="s">
        <v>79</v>
      </c>
      <c r="D211" s="58">
        <v>9</v>
      </c>
      <c r="E211" s="59">
        <v>2.4137746070900001E-4</v>
      </c>
    </row>
    <row r="212" spans="1:5" ht="15" customHeight="1">
      <c r="A212" s="39"/>
      <c r="B212" s="97"/>
      <c r="C212" s="74" t="s">
        <v>268</v>
      </c>
      <c r="D212" s="58">
        <v>1</v>
      </c>
      <c r="E212" s="59">
        <v>2.6819717857000001E-5</v>
      </c>
    </row>
    <row r="213" spans="1:5" ht="15" customHeight="1">
      <c r="A213" s="39"/>
      <c r="B213" s="97"/>
      <c r="C213" s="74" t="s">
        <v>245</v>
      </c>
      <c r="D213" s="58">
        <v>16</v>
      </c>
      <c r="E213" s="59">
        <v>4.2911548570500002E-4</v>
      </c>
    </row>
    <row r="214" spans="1:5" ht="15" customHeight="1">
      <c r="A214" s="39"/>
      <c r="B214" s="97"/>
      <c r="C214" s="74" t="s">
        <v>269</v>
      </c>
      <c r="D214" s="58">
        <v>1</v>
      </c>
      <c r="E214" s="59">
        <v>2.6819717857000001E-5</v>
      </c>
    </row>
    <row r="215" spans="1:5" ht="15" customHeight="1">
      <c r="A215" s="39"/>
      <c r="B215" s="98"/>
      <c r="C215" s="75" t="s">
        <v>353</v>
      </c>
      <c r="D215" s="71">
        <v>1508</v>
      </c>
      <c r="E215" s="73">
        <v>4.0444134527704997E-2</v>
      </c>
    </row>
    <row r="216" spans="1:5" ht="15" customHeight="1">
      <c r="A216" s="39"/>
      <c r="B216" s="96" t="s">
        <v>106</v>
      </c>
      <c r="C216" s="74" t="s">
        <v>219</v>
      </c>
      <c r="D216" s="58">
        <v>20</v>
      </c>
      <c r="E216" s="59">
        <v>5.3639435713100005E-4</v>
      </c>
    </row>
    <row r="217" spans="1:5" ht="15" customHeight="1">
      <c r="A217" s="39"/>
      <c r="B217" s="97"/>
      <c r="C217" s="74" t="s">
        <v>220</v>
      </c>
      <c r="D217" s="58">
        <v>43</v>
      </c>
      <c r="E217" s="59">
        <v>1.1532478678320001E-3</v>
      </c>
    </row>
    <row r="218" spans="1:5" ht="15" customHeight="1">
      <c r="A218" s="39"/>
      <c r="B218" s="97"/>
      <c r="C218" s="74" t="s">
        <v>221</v>
      </c>
      <c r="D218" s="58">
        <v>31</v>
      </c>
      <c r="E218" s="59">
        <v>8.3141125355399995E-4</v>
      </c>
    </row>
    <row r="219" spans="1:5" ht="15" customHeight="1">
      <c r="A219" s="39"/>
      <c r="B219" s="97"/>
      <c r="C219" s="74" t="s">
        <v>222</v>
      </c>
      <c r="D219" s="58">
        <v>1026</v>
      </c>
      <c r="E219" s="59">
        <v>2.7517030520838998E-2</v>
      </c>
    </row>
    <row r="220" spans="1:5" ht="15" customHeight="1">
      <c r="A220" s="39"/>
      <c r="B220" s="97"/>
      <c r="C220" s="74" t="s">
        <v>223</v>
      </c>
      <c r="D220" s="58">
        <v>30</v>
      </c>
      <c r="E220" s="59">
        <v>8.0459153569700001E-4</v>
      </c>
    </row>
    <row r="221" spans="1:5" ht="15" customHeight="1">
      <c r="A221" s="39"/>
      <c r="B221" s="97"/>
      <c r="C221" s="74" t="s">
        <v>224</v>
      </c>
      <c r="D221" s="58">
        <v>8</v>
      </c>
      <c r="E221" s="59">
        <v>2.1455774285299999E-4</v>
      </c>
    </row>
    <row r="222" spans="1:5" ht="15" customHeight="1">
      <c r="A222" s="39"/>
      <c r="B222" s="97"/>
      <c r="C222" s="74" t="s">
        <v>262</v>
      </c>
      <c r="D222" s="58">
        <v>3</v>
      </c>
      <c r="E222" s="59">
        <v>8.0459153570000002E-5</v>
      </c>
    </row>
    <row r="223" spans="1:5" ht="15" customHeight="1">
      <c r="A223" s="39"/>
      <c r="B223" s="97"/>
      <c r="C223" s="74" t="s">
        <v>225</v>
      </c>
      <c r="D223" s="58">
        <v>74</v>
      </c>
      <c r="E223" s="59">
        <v>1.9846591213859999E-3</v>
      </c>
    </row>
    <row r="224" spans="1:5" ht="15" customHeight="1">
      <c r="A224" s="39"/>
      <c r="B224" s="97"/>
      <c r="C224" s="74" t="s">
        <v>226</v>
      </c>
      <c r="D224" s="58">
        <v>98</v>
      </c>
      <c r="E224" s="59">
        <v>2.6283323499440001E-3</v>
      </c>
    </row>
    <row r="225" spans="1:5" ht="15" customHeight="1">
      <c r="A225" s="39"/>
      <c r="B225" s="97"/>
      <c r="C225" s="74" t="s">
        <v>254</v>
      </c>
      <c r="D225" s="58">
        <v>9</v>
      </c>
      <c r="E225" s="59">
        <v>2.4137746070900001E-4</v>
      </c>
    </row>
    <row r="226" spans="1:5" ht="15" customHeight="1">
      <c r="A226" s="39"/>
      <c r="B226" s="97"/>
      <c r="C226" s="74" t="s">
        <v>227</v>
      </c>
      <c r="D226" s="58">
        <v>517</v>
      </c>
      <c r="E226" s="59">
        <v>1.3865794131846E-2</v>
      </c>
    </row>
    <row r="227" spans="1:5" ht="15" customHeight="1">
      <c r="A227" s="39"/>
      <c r="B227" s="97"/>
      <c r="C227" s="74" t="s">
        <v>228</v>
      </c>
      <c r="D227" s="58">
        <v>63</v>
      </c>
      <c r="E227" s="59">
        <v>1.689642224964E-3</v>
      </c>
    </row>
    <row r="228" spans="1:5" ht="15" customHeight="1">
      <c r="A228" s="39"/>
      <c r="B228" s="97"/>
      <c r="C228" s="74" t="s">
        <v>252</v>
      </c>
      <c r="D228" s="58">
        <v>14</v>
      </c>
      <c r="E228" s="59">
        <v>3.7547604999199998E-4</v>
      </c>
    </row>
    <row r="229" spans="1:5" ht="15" customHeight="1">
      <c r="A229" s="39"/>
      <c r="B229" s="97"/>
      <c r="C229" s="74" t="s">
        <v>248</v>
      </c>
      <c r="D229" s="58">
        <v>20</v>
      </c>
      <c r="E229" s="59">
        <v>5.3639435713100005E-4</v>
      </c>
    </row>
    <row r="230" spans="1:5" ht="15" customHeight="1">
      <c r="A230" s="39"/>
      <c r="B230" s="97"/>
      <c r="C230" s="74" t="s">
        <v>255</v>
      </c>
      <c r="D230" s="58">
        <v>12</v>
      </c>
      <c r="E230" s="59">
        <v>3.2183661427899999E-4</v>
      </c>
    </row>
    <row r="231" spans="1:5" ht="15" customHeight="1">
      <c r="A231" s="39"/>
      <c r="B231" s="97"/>
      <c r="C231" s="74" t="s">
        <v>249</v>
      </c>
      <c r="D231" s="58">
        <v>5</v>
      </c>
      <c r="E231" s="59">
        <v>1.34098589283E-4</v>
      </c>
    </row>
    <row r="232" spans="1:5" ht="15" customHeight="1">
      <c r="A232" s="39"/>
      <c r="B232" s="97"/>
      <c r="C232" s="74" t="s">
        <v>270</v>
      </c>
      <c r="D232" s="58">
        <v>1</v>
      </c>
      <c r="E232" s="59">
        <v>2.6819717857000001E-5</v>
      </c>
    </row>
    <row r="233" spans="1:5" ht="15" customHeight="1">
      <c r="A233" s="39"/>
      <c r="B233" s="97"/>
      <c r="C233" s="74" t="s">
        <v>229</v>
      </c>
      <c r="D233" s="58">
        <v>8</v>
      </c>
      <c r="E233" s="59">
        <v>2.1455774285299999E-4</v>
      </c>
    </row>
    <row r="234" spans="1:5" ht="15" customHeight="1">
      <c r="A234" s="39"/>
      <c r="B234" s="97"/>
      <c r="C234" s="74" t="s">
        <v>266</v>
      </c>
      <c r="D234" s="58">
        <v>3</v>
      </c>
      <c r="E234" s="59">
        <v>8.0459153570000002E-5</v>
      </c>
    </row>
    <row r="235" spans="1:5" ht="15" customHeight="1">
      <c r="A235" s="39"/>
      <c r="B235" s="97"/>
      <c r="C235" s="74" t="s">
        <v>230</v>
      </c>
      <c r="D235" s="58">
        <v>20</v>
      </c>
      <c r="E235" s="59">
        <v>5.3639435713100005E-4</v>
      </c>
    </row>
    <row r="236" spans="1:5" ht="15" customHeight="1">
      <c r="A236" s="39"/>
      <c r="B236" s="97"/>
      <c r="C236" s="74" t="s">
        <v>231</v>
      </c>
      <c r="D236" s="58">
        <v>26</v>
      </c>
      <c r="E236" s="59">
        <v>6.9731266427100003E-4</v>
      </c>
    </row>
    <row r="237" spans="1:5" ht="15" customHeight="1">
      <c r="A237" s="39"/>
      <c r="B237" s="97"/>
      <c r="C237" s="74" t="s">
        <v>263</v>
      </c>
      <c r="D237" s="58">
        <v>4</v>
      </c>
      <c r="E237" s="59">
        <v>1.07278871426E-4</v>
      </c>
    </row>
    <row r="238" spans="1:5" ht="15" customHeight="1">
      <c r="A238" s="39"/>
      <c r="B238" s="97"/>
      <c r="C238" s="74" t="s">
        <v>232</v>
      </c>
      <c r="D238" s="58">
        <v>23</v>
      </c>
      <c r="E238" s="59">
        <v>6.1685351070100004E-4</v>
      </c>
    </row>
    <row r="239" spans="1:5" ht="15" customHeight="1">
      <c r="A239" s="39"/>
      <c r="B239" s="97"/>
      <c r="C239" s="74" t="s">
        <v>256</v>
      </c>
      <c r="D239" s="58">
        <v>11</v>
      </c>
      <c r="E239" s="59">
        <v>2.9501689642199999E-4</v>
      </c>
    </row>
    <row r="240" spans="1:5" ht="15" customHeight="1">
      <c r="A240" s="39"/>
      <c r="B240" s="97"/>
      <c r="C240" s="74" t="s">
        <v>233</v>
      </c>
      <c r="D240" s="58">
        <v>58</v>
      </c>
      <c r="E240" s="59">
        <v>1.555543635681E-3</v>
      </c>
    </row>
    <row r="241" spans="1:5" ht="15" customHeight="1">
      <c r="A241" s="39"/>
      <c r="B241" s="97"/>
      <c r="C241" s="74" t="s">
        <v>271</v>
      </c>
      <c r="D241" s="58">
        <v>1</v>
      </c>
      <c r="E241" s="59">
        <v>2.6819717857000001E-5</v>
      </c>
    </row>
    <row r="242" spans="1:5" ht="15" customHeight="1">
      <c r="A242" s="39"/>
      <c r="B242" s="97"/>
      <c r="C242" s="74" t="s">
        <v>234</v>
      </c>
      <c r="D242" s="58">
        <v>52</v>
      </c>
      <c r="E242" s="59">
        <v>1.3946253285420001E-3</v>
      </c>
    </row>
    <row r="243" spans="1:5" ht="15" customHeight="1">
      <c r="A243" s="39"/>
      <c r="B243" s="97"/>
      <c r="C243" s="74" t="s">
        <v>235</v>
      </c>
      <c r="D243" s="58">
        <v>7</v>
      </c>
      <c r="E243" s="59">
        <v>1.8773802499599999E-4</v>
      </c>
    </row>
    <row r="244" spans="1:5" ht="15" customHeight="1">
      <c r="A244" s="39"/>
      <c r="B244" s="97"/>
      <c r="C244" s="74" t="s">
        <v>236</v>
      </c>
      <c r="D244" s="58">
        <v>121</v>
      </c>
      <c r="E244" s="59">
        <v>3.245185860645E-3</v>
      </c>
    </row>
    <row r="245" spans="1:5" ht="15" customHeight="1">
      <c r="A245" s="39"/>
      <c r="B245" s="97"/>
      <c r="C245" s="74" t="s">
        <v>237</v>
      </c>
      <c r="D245" s="58">
        <v>77</v>
      </c>
      <c r="E245" s="59">
        <v>2.0651182749560001E-3</v>
      </c>
    </row>
    <row r="246" spans="1:5" ht="15" customHeight="1">
      <c r="A246" s="39"/>
      <c r="B246" s="97"/>
      <c r="C246" s="74" t="s">
        <v>272</v>
      </c>
      <c r="D246" s="58">
        <v>1</v>
      </c>
      <c r="E246" s="59">
        <v>2.6819717857000001E-5</v>
      </c>
    </row>
    <row r="247" spans="1:5" ht="15" customHeight="1">
      <c r="A247" s="39"/>
      <c r="B247" s="97"/>
      <c r="C247" s="74" t="s">
        <v>238</v>
      </c>
      <c r="D247" s="58">
        <v>27</v>
      </c>
      <c r="E247" s="59">
        <v>7.2413238212700002E-4</v>
      </c>
    </row>
    <row r="248" spans="1:5" ht="15" customHeight="1">
      <c r="A248" s="39"/>
      <c r="B248" s="97"/>
      <c r="C248" s="74" t="s">
        <v>239</v>
      </c>
      <c r="D248" s="58">
        <v>44</v>
      </c>
      <c r="E248" s="59">
        <v>1.180067585689E-3</v>
      </c>
    </row>
    <row r="249" spans="1:5" ht="15" customHeight="1">
      <c r="A249" s="39"/>
      <c r="B249" s="97"/>
      <c r="C249" s="74" t="s">
        <v>240</v>
      </c>
      <c r="D249" s="58">
        <v>10</v>
      </c>
      <c r="E249" s="59">
        <v>2.6819717856600001E-4</v>
      </c>
    </row>
    <row r="250" spans="1:5" ht="15" customHeight="1">
      <c r="A250" s="39"/>
      <c r="B250" s="97"/>
      <c r="C250" s="74" t="s">
        <v>250</v>
      </c>
      <c r="D250" s="58">
        <v>28</v>
      </c>
      <c r="E250" s="59">
        <v>7.5095209998399996E-4</v>
      </c>
    </row>
    <row r="251" spans="1:5" ht="15" customHeight="1">
      <c r="A251" s="39"/>
      <c r="B251" s="97"/>
      <c r="C251" s="74" t="s">
        <v>260</v>
      </c>
      <c r="D251" s="58">
        <v>1</v>
      </c>
      <c r="E251" s="59">
        <v>2.6819717857000001E-5</v>
      </c>
    </row>
    <row r="252" spans="1:5" ht="15" customHeight="1">
      <c r="A252" s="39"/>
      <c r="B252" s="97"/>
      <c r="C252" s="74" t="s">
        <v>257</v>
      </c>
      <c r="D252" s="58">
        <v>29</v>
      </c>
      <c r="E252" s="59">
        <v>7.7777181783999995E-4</v>
      </c>
    </row>
    <row r="253" spans="1:5" ht="15" customHeight="1">
      <c r="A253" s="39"/>
      <c r="B253" s="97"/>
      <c r="C253" s="74" t="s">
        <v>258</v>
      </c>
      <c r="D253" s="58">
        <v>1</v>
      </c>
      <c r="E253" s="59">
        <v>2.6819717857000001E-5</v>
      </c>
    </row>
    <row r="254" spans="1:5" ht="15" customHeight="1">
      <c r="A254" s="39"/>
      <c r="B254" s="97"/>
      <c r="C254" s="74" t="s">
        <v>241</v>
      </c>
      <c r="D254" s="58">
        <v>41</v>
      </c>
      <c r="E254" s="59">
        <v>1.0996084321190001E-3</v>
      </c>
    </row>
    <row r="255" spans="1:5" ht="15" customHeight="1">
      <c r="A255" s="39"/>
      <c r="B255" s="97"/>
      <c r="C255" s="74" t="s">
        <v>242</v>
      </c>
      <c r="D255" s="58">
        <v>419</v>
      </c>
      <c r="E255" s="59">
        <v>1.1237461781902E-2</v>
      </c>
    </row>
    <row r="256" spans="1:5" ht="15" customHeight="1">
      <c r="A256" s="39"/>
      <c r="B256" s="97"/>
      <c r="C256" s="74" t="s">
        <v>243</v>
      </c>
      <c r="D256" s="58">
        <v>32</v>
      </c>
      <c r="E256" s="59">
        <v>8.5823097141000005E-4</v>
      </c>
    </row>
    <row r="257" spans="1:5" ht="15" customHeight="1">
      <c r="A257" s="39"/>
      <c r="B257" s="97"/>
      <c r="C257" s="74" t="s">
        <v>273</v>
      </c>
      <c r="D257" s="58">
        <v>1</v>
      </c>
      <c r="E257" s="59">
        <v>2.6819717857000001E-5</v>
      </c>
    </row>
    <row r="258" spans="1:5" ht="15" customHeight="1">
      <c r="A258" s="39"/>
      <c r="B258" s="97"/>
      <c r="C258" s="74" t="s">
        <v>244</v>
      </c>
      <c r="D258" s="58">
        <v>17</v>
      </c>
      <c r="E258" s="59">
        <v>4.5593520356200002E-4</v>
      </c>
    </row>
    <row r="259" spans="1:5" ht="15" customHeight="1">
      <c r="A259" s="39"/>
      <c r="B259" s="97"/>
      <c r="C259" s="74" t="s">
        <v>79</v>
      </c>
      <c r="D259" s="58">
        <v>7</v>
      </c>
      <c r="E259" s="59">
        <v>1.8773802499599999E-4</v>
      </c>
    </row>
    <row r="260" spans="1:5" ht="15" customHeight="1">
      <c r="A260" s="39"/>
      <c r="B260" s="97"/>
      <c r="C260" s="74" t="s">
        <v>245</v>
      </c>
      <c r="D260" s="58">
        <v>48</v>
      </c>
      <c r="E260" s="59">
        <v>1.2873464571149999E-3</v>
      </c>
    </row>
    <row r="261" spans="1:5" ht="15" customHeight="1">
      <c r="A261" s="39"/>
      <c r="B261" s="97"/>
      <c r="C261" s="74" t="s">
        <v>269</v>
      </c>
      <c r="D261" s="58">
        <v>3</v>
      </c>
      <c r="E261" s="59">
        <v>8.0459153570000002E-5</v>
      </c>
    </row>
    <row r="262" spans="1:5" ht="15" customHeight="1">
      <c r="A262" s="39"/>
      <c r="B262" s="98"/>
      <c r="C262" s="75" t="s">
        <v>353</v>
      </c>
      <c r="D262" s="71">
        <v>3094</v>
      </c>
      <c r="E262" s="73">
        <v>8.2980207048221996E-2</v>
      </c>
    </row>
    <row r="263" spans="1:5" ht="15" customHeight="1">
      <c r="A263" s="39"/>
      <c r="B263" s="96" t="s">
        <v>274</v>
      </c>
      <c r="C263" s="74" t="s">
        <v>219</v>
      </c>
      <c r="D263" s="58">
        <v>3</v>
      </c>
      <c r="E263" s="59">
        <v>8.0459153570000002E-5</v>
      </c>
    </row>
    <row r="264" spans="1:5" ht="15" customHeight="1">
      <c r="A264" s="39"/>
      <c r="B264" s="97"/>
      <c r="C264" s="74" t="s">
        <v>220</v>
      </c>
      <c r="D264" s="58">
        <v>10</v>
      </c>
      <c r="E264" s="59">
        <v>2.6819717856600001E-4</v>
      </c>
    </row>
    <row r="265" spans="1:5" ht="15" customHeight="1">
      <c r="A265" s="39"/>
      <c r="B265" s="97"/>
      <c r="C265" s="74" t="s">
        <v>221</v>
      </c>
      <c r="D265" s="58">
        <v>3</v>
      </c>
      <c r="E265" s="59">
        <v>8.0459153570000002E-5</v>
      </c>
    </row>
    <row r="266" spans="1:5" ht="15" customHeight="1">
      <c r="A266" s="39"/>
      <c r="B266" s="97"/>
      <c r="C266" s="74" t="s">
        <v>222</v>
      </c>
      <c r="D266" s="58">
        <v>159</v>
      </c>
      <c r="E266" s="59">
        <v>4.2643351391940003E-3</v>
      </c>
    </row>
    <row r="267" spans="1:5" ht="15" customHeight="1">
      <c r="A267" s="39"/>
      <c r="B267" s="97"/>
      <c r="C267" s="74" t="s">
        <v>223</v>
      </c>
      <c r="D267" s="58">
        <v>5</v>
      </c>
      <c r="E267" s="59">
        <v>1.34098589283E-4</v>
      </c>
    </row>
    <row r="268" spans="1:5" ht="15" customHeight="1">
      <c r="A268" s="39"/>
      <c r="B268" s="97"/>
      <c r="C268" s="74" t="s">
        <v>224</v>
      </c>
      <c r="D268" s="58">
        <v>2</v>
      </c>
      <c r="E268" s="59">
        <v>5.3639435713000001E-5</v>
      </c>
    </row>
    <row r="269" spans="1:5" ht="15" customHeight="1">
      <c r="A269" s="39"/>
      <c r="B269" s="97"/>
      <c r="C269" s="74" t="s">
        <v>262</v>
      </c>
      <c r="D269" s="58">
        <v>1</v>
      </c>
      <c r="E269" s="59">
        <v>2.6819717857000001E-5</v>
      </c>
    </row>
    <row r="270" spans="1:5" ht="15" customHeight="1">
      <c r="A270" s="39"/>
      <c r="B270" s="97"/>
      <c r="C270" s="74" t="s">
        <v>225</v>
      </c>
      <c r="D270" s="58">
        <v>12</v>
      </c>
      <c r="E270" s="59">
        <v>3.2183661427899999E-4</v>
      </c>
    </row>
    <row r="271" spans="1:5" ht="15" customHeight="1">
      <c r="A271" s="39"/>
      <c r="B271" s="97"/>
      <c r="C271" s="74" t="s">
        <v>226</v>
      </c>
      <c r="D271" s="58">
        <v>18</v>
      </c>
      <c r="E271" s="59">
        <v>4.8275492141800001E-4</v>
      </c>
    </row>
    <row r="272" spans="1:5" ht="15" customHeight="1">
      <c r="A272" s="39"/>
      <c r="B272" s="97"/>
      <c r="C272" s="74" t="s">
        <v>227</v>
      </c>
      <c r="D272" s="58">
        <v>29</v>
      </c>
      <c r="E272" s="59">
        <v>7.7777181783999995E-4</v>
      </c>
    </row>
    <row r="273" spans="1:5" ht="15" customHeight="1">
      <c r="A273" s="39"/>
      <c r="B273" s="97"/>
      <c r="C273" s="74" t="s">
        <v>228</v>
      </c>
      <c r="D273" s="58">
        <v>4</v>
      </c>
      <c r="E273" s="59">
        <v>1.07278871426E-4</v>
      </c>
    </row>
    <row r="274" spans="1:5" ht="15" customHeight="1">
      <c r="A274" s="39"/>
      <c r="B274" s="97"/>
      <c r="C274" s="74" t="s">
        <v>252</v>
      </c>
      <c r="D274" s="58">
        <v>2</v>
      </c>
      <c r="E274" s="59">
        <v>5.3639435713000001E-5</v>
      </c>
    </row>
    <row r="275" spans="1:5" ht="15" customHeight="1">
      <c r="A275" s="39"/>
      <c r="B275" s="97"/>
      <c r="C275" s="74" t="s">
        <v>248</v>
      </c>
      <c r="D275" s="58">
        <v>7</v>
      </c>
      <c r="E275" s="59">
        <v>1.8773802499599999E-4</v>
      </c>
    </row>
    <row r="276" spans="1:5" ht="15" customHeight="1">
      <c r="A276" s="39"/>
      <c r="B276" s="97"/>
      <c r="C276" s="74" t="s">
        <v>255</v>
      </c>
      <c r="D276" s="58">
        <v>3</v>
      </c>
      <c r="E276" s="59">
        <v>8.0459153570000002E-5</v>
      </c>
    </row>
    <row r="277" spans="1:5" ht="15" customHeight="1">
      <c r="A277" s="39"/>
      <c r="B277" s="97"/>
      <c r="C277" s="74" t="s">
        <v>230</v>
      </c>
      <c r="D277" s="58">
        <v>7</v>
      </c>
      <c r="E277" s="59">
        <v>1.8773802499599999E-4</v>
      </c>
    </row>
    <row r="278" spans="1:5" ht="15" customHeight="1">
      <c r="A278" s="39"/>
      <c r="B278" s="97"/>
      <c r="C278" s="74" t="s">
        <v>231</v>
      </c>
      <c r="D278" s="58">
        <v>5</v>
      </c>
      <c r="E278" s="59">
        <v>1.34098589283E-4</v>
      </c>
    </row>
    <row r="279" spans="1:5" ht="15" customHeight="1">
      <c r="A279" s="39"/>
      <c r="B279" s="97"/>
      <c r="C279" s="74" t="s">
        <v>232</v>
      </c>
      <c r="D279" s="58">
        <v>3</v>
      </c>
      <c r="E279" s="59">
        <v>8.0459153570000002E-5</v>
      </c>
    </row>
    <row r="280" spans="1:5" ht="15" customHeight="1">
      <c r="A280" s="39"/>
      <c r="B280" s="97"/>
      <c r="C280" s="74" t="s">
        <v>256</v>
      </c>
      <c r="D280" s="58">
        <v>2</v>
      </c>
      <c r="E280" s="59">
        <v>5.3639435713000001E-5</v>
      </c>
    </row>
    <row r="281" spans="1:5" ht="15" customHeight="1">
      <c r="A281" s="39"/>
      <c r="B281" s="97"/>
      <c r="C281" s="74" t="s">
        <v>233</v>
      </c>
      <c r="D281" s="58">
        <v>16</v>
      </c>
      <c r="E281" s="59">
        <v>4.2911548570500002E-4</v>
      </c>
    </row>
    <row r="282" spans="1:5" ht="15" customHeight="1">
      <c r="A282" s="39"/>
      <c r="B282" s="97"/>
      <c r="C282" s="74" t="s">
        <v>234</v>
      </c>
      <c r="D282" s="58">
        <v>13</v>
      </c>
      <c r="E282" s="59">
        <v>3.4865633213499998E-4</v>
      </c>
    </row>
    <row r="283" spans="1:5" ht="15" customHeight="1">
      <c r="A283" s="39"/>
      <c r="B283" s="97"/>
      <c r="C283" s="74" t="s">
        <v>235</v>
      </c>
      <c r="D283" s="58">
        <v>2</v>
      </c>
      <c r="E283" s="59">
        <v>5.3639435713000001E-5</v>
      </c>
    </row>
    <row r="284" spans="1:5" ht="15" customHeight="1">
      <c r="A284" s="39"/>
      <c r="B284" s="97"/>
      <c r="C284" s="74" t="s">
        <v>236</v>
      </c>
      <c r="D284" s="58">
        <v>19</v>
      </c>
      <c r="E284" s="59">
        <v>5.0957463927499996E-4</v>
      </c>
    </row>
    <row r="285" spans="1:5" ht="15" customHeight="1">
      <c r="A285" s="39"/>
      <c r="B285" s="97"/>
      <c r="C285" s="74" t="s">
        <v>237</v>
      </c>
      <c r="D285" s="58">
        <v>10</v>
      </c>
      <c r="E285" s="59">
        <v>2.6819717856600001E-4</v>
      </c>
    </row>
    <row r="286" spans="1:5" ht="15" customHeight="1">
      <c r="A286" s="39"/>
      <c r="B286" s="97"/>
      <c r="C286" s="74" t="s">
        <v>238</v>
      </c>
      <c r="D286" s="58">
        <v>8</v>
      </c>
      <c r="E286" s="59">
        <v>2.1455774285299999E-4</v>
      </c>
    </row>
    <row r="287" spans="1:5" ht="15" customHeight="1">
      <c r="A287" s="39"/>
      <c r="B287" s="97"/>
      <c r="C287" s="74" t="s">
        <v>239</v>
      </c>
      <c r="D287" s="58">
        <v>8</v>
      </c>
      <c r="E287" s="59">
        <v>2.1455774285299999E-4</v>
      </c>
    </row>
    <row r="288" spans="1:5" ht="15" customHeight="1">
      <c r="A288" s="39"/>
      <c r="B288" s="97"/>
      <c r="C288" s="74" t="s">
        <v>240</v>
      </c>
      <c r="D288" s="58">
        <v>6</v>
      </c>
      <c r="E288" s="59">
        <v>1.6091830713899999E-4</v>
      </c>
    </row>
    <row r="289" spans="1:5" ht="15" customHeight="1">
      <c r="A289" s="39"/>
      <c r="B289" s="97"/>
      <c r="C289" s="74" t="s">
        <v>250</v>
      </c>
      <c r="D289" s="58">
        <v>6</v>
      </c>
      <c r="E289" s="59">
        <v>1.6091830713899999E-4</v>
      </c>
    </row>
    <row r="290" spans="1:5" ht="15" customHeight="1">
      <c r="A290" s="39"/>
      <c r="B290" s="97"/>
      <c r="C290" s="74" t="s">
        <v>257</v>
      </c>
      <c r="D290" s="58">
        <v>4</v>
      </c>
      <c r="E290" s="59">
        <v>1.07278871426E-4</v>
      </c>
    </row>
    <row r="291" spans="1:5" ht="15" customHeight="1">
      <c r="A291" s="39"/>
      <c r="B291" s="97"/>
      <c r="C291" s="74" t="s">
        <v>258</v>
      </c>
      <c r="D291" s="58">
        <v>1</v>
      </c>
      <c r="E291" s="59">
        <v>2.6819717857000001E-5</v>
      </c>
    </row>
    <row r="292" spans="1:5" ht="15" customHeight="1">
      <c r="A292" s="39"/>
      <c r="B292" s="97"/>
      <c r="C292" s="74" t="s">
        <v>241</v>
      </c>
      <c r="D292" s="58">
        <v>5</v>
      </c>
      <c r="E292" s="59">
        <v>1.34098589283E-4</v>
      </c>
    </row>
    <row r="293" spans="1:5" ht="15" customHeight="1">
      <c r="A293" s="39"/>
      <c r="B293" s="97"/>
      <c r="C293" s="74" t="s">
        <v>242</v>
      </c>
      <c r="D293" s="58">
        <v>46</v>
      </c>
      <c r="E293" s="59">
        <v>1.2337070214020001E-3</v>
      </c>
    </row>
    <row r="294" spans="1:5" ht="15" customHeight="1">
      <c r="A294" s="39"/>
      <c r="B294" s="97"/>
      <c r="C294" s="74" t="s">
        <v>243</v>
      </c>
      <c r="D294" s="58">
        <v>2</v>
      </c>
      <c r="E294" s="59">
        <v>5.3639435713000001E-5</v>
      </c>
    </row>
    <row r="295" spans="1:5" ht="15" customHeight="1">
      <c r="A295" s="39"/>
      <c r="B295" s="97"/>
      <c r="C295" s="74" t="s">
        <v>244</v>
      </c>
      <c r="D295" s="58">
        <v>2</v>
      </c>
      <c r="E295" s="59">
        <v>5.3639435713000001E-5</v>
      </c>
    </row>
    <row r="296" spans="1:5" ht="15" customHeight="1">
      <c r="A296" s="39"/>
      <c r="B296" s="97"/>
      <c r="C296" s="74" t="s">
        <v>245</v>
      </c>
      <c r="D296" s="58">
        <v>2</v>
      </c>
      <c r="E296" s="59">
        <v>5.3639435713000001E-5</v>
      </c>
    </row>
    <row r="297" spans="1:5" ht="15" customHeight="1">
      <c r="A297" s="39"/>
      <c r="B297" s="98"/>
      <c r="C297" s="75" t="s">
        <v>353</v>
      </c>
      <c r="D297" s="71">
        <v>425</v>
      </c>
      <c r="E297" s="73">
        <v>1.1398380089041E-2</v>
      </c>
    </row>
    <row r="298" spans="1:5" ht="15" customHeight="1">
      <c r="A298" s="39"/>
      <c r="B298" s="96" t="s">
        <v>275</v>
      </c>
      <c r="C298" s="74" t="s">
        <v>219</v>
      </c>
      <c r="D298" s="58">
        <v>2</v>
      </c>
      <c r="E298" s="59">
        <v>5.3639435713000001E-5</v>
      </c>
    </row>
    <row r="299" spans="1:5" ht="15" customHeight="1">
      <c r="A299" s="39"/>
      <c r="B299" s="97"/>
      <c r="C299" s="74" t="s">
        <v>220</v>
      </c>
      <c r="D299" s="58">
        <v>20</v>
      </c>
      <c r="E299" s="59">
        <v>5.3639435713100005E-4</v>
      </c>
    </row>
    <row r="300" spans="1:5" ht="15" customHeight="1">
      <c r="A300" s="39"/>
      <c r="B300" s="97"/>
      <c r="C300" s="74" t="s">
        <v>221</v>
      </c>
      <c r="D300" s="58">
        <v>8</v>
      </c>
      <c r="E300" s="59">
        <v>2.1455774285299999E-4</v>
      </c>
    </row>
    <row r="301" spans="1:5" ht="15" customHeight="1">
      <c r="A301" s="39"/>
      <c r="B301" s="97"/>
      <c r="C301" s="74" t="s">
        <v>222</v>
      </c>
      <c r="D301" s="58">
        <v>266</v>
      </c>
      <c r="E301" s="59">
        <v>7.1340449498469996E-3</v>
      </c>
    </row>
    <row r="302" spans="1:5" ht="15" customHeight="1">
      <c r="A302" s="39"/>
      <c r="B302" s="97"/>
      <c r="C302" s="74" t="s">
        <v>223</v>
      </c>
      <c r="D302" s="58">
        <v>16</v>
      </c>
      <c r="E302" s="59">
        <v>4.2911548570500002E-4</v>
      </c>
    </row>
    <row r="303" spans="1:5" ht="15" customHeight="1">
      <c r="A303" s="39"/>
      <c r="B303" s="97"/>
      <c r="C303" s="74" t="s">
        <v>224</v>
      </c>
      <c r="D303" s="58">
        <v>4</v>
      </c>
      <c r="E303" s="59">
        <v>1.07278871426E-4</v>
      </c>
    </row>
    <row r="304" spans="1:5" ht="15" customHeight="1">
      <c r="A304" s="39"/>
      <c r="B304" s="97"/>
      <c r="C304" s="74" t="s">
        <v>262</v>
      </c>
      <c r="D304" s="58">
        <v>3</v>
      </c>
      <c r="E304" s="59">
        <v>8.0459153570000002E-5</v>
      </c>
    </row>
    <row r="305" spans="1:5" ht="15" customHeight="1">
      <c r="A305" s="39"/>
      <c r="B305" s="97"/>
      <c r="C305" s="74" t="s">
        <v>225</v>
      </c>
      <c r="D305" s="58">
        <v>27</v>
      </c>
      <c r="E305" s="59">
        <v>7.2413238212700002E-4</v>
      </c>
    </row>
    <row r="306" spans="1:5" ht="15" customHeight="1">
      <c r="A306" s="39"/>
      <c r="B306" s="97"/>
      <c r="C306" s="74" t="s">
        <v>226</v>
      </c>
      <c r="D306" s="58">
        <v>26</v>
      </c>
      <c r="E306" s="59">
        <v>6.9731266427100003E-4</v>
      </c>
    </row>
    <row r="307" spans="1:5" ht="15" customHeight="1">
      <c r="A307" s="39"/>
      <c r="B307" s="97"/>
      <c r="C307" s="74" t="s">
        <v>254</v>
      </c>
      <c r="D307" s="58">
        <v>3</v>
      </c>
      <c r="E307" s="59">
        <v>8.0459153570000002E-5</v>
      </c>
    </row>
    <row r="308" spans="1:5" ht="15" customHeight="1">
      <c r="A308" s="39"/>
      <c r="B308" s="97"/>
      <c r="C308" s="74" t="s">
        <v>227</v>
      </c>
      <c r="D308" s="58">
        <v>55</v>
      </c>
      <c r="E308" s="59">
        <v>1.475084482111E-3</v>
      </c>
    </row>
    <row r="309" spans="1:5" ht="15" customHeight="1">
      <c r="A309" s="39"/>
      <c r="B309" s="97"/>
      <c r="C309" s="74" t="s">
        <v>228</v>
      </c>
      <c r="D309" s="58">
        <v>12</v>
      </c>
      <c r="E309" s="59">
        <v>3.2183661427899999E-4</v>
      </c>
    </row>
    <row r="310" spans="1:5" ht="15" customHeight="1">
      <c r="A310" s="39"/>
      <c r="B310" s="97"/>
      <c r="C310" s="74" t="s">
        <v>252</v>
      </c>
      <c r="D310" s="58">
        <v>3</v>
      </c>
      <c r="E310" s="59">
        <v>8.0459153570000002E-5</v>
      </c>
    </row>
    <row r="311" spans="1:5" ht="15" customHeight="1">
      <c r="A311" s="39"/>
      <c r="B311" s="97"/>
      <c r="C311" s="74" t="s">
        <v>248</v>
      </c>
      <c r="D311" s="58">
        <v>9</v>
      </c>
      <c r="E311" s="59">
        <v>2.4137746070900001E-4</v>
      </c>
    </row>
    <row r="312" spans="1:5" ht="15" customHeight="1">
      <c r="A312" s="39"/>
      <c r="B312" s="97"/>
      <c r="C312" s="74" t="s">
        <v>255</v>
      </c>
      <c r="D312" s="58">
        <v>2</v>
      </c>
      <c r="E312" s="59">
        <v>5.3639435713000001E-5</v>
      </c>
    </row>
    <row r="313" spans="1:5" ht="15" customHeight="1">
      <c r="A313" s="39"/>
      <c r="B313" s="97"/>
      <c r="C313" s="74" t="s">
        <v>249</v>
      </c>
      <c r="D313" s="58">
        <v>1</v>
      </c>
      <c r="E313" s="59">
        <v>2.6819717857000001E-5</v>
      </c>
    </row>
    <row r="314" spans="1:5" ht="15" customHeight="1">
      <c r="A314" s="39"/>
      <c r="B314" s="97"/>
      <c r="C314" s="74" t="s">
        <v>229</v>
      </c>
      <c r="D314" s="58">
        <v>3</v>
      </c>
      <c r="E314" s="59">
        <v>8.0459153570000002E-5</v>
      </c>
    </row>
    <row r="315" spans="1:5" ht="15" customHeight="1">
      <c r="A315" s="39"/>
      <c r="B315" s="97"/>
      <c r="C315" s="74" t="s">
        <v>230</v>
      </c>
      <c r="D315" s="58">
        <v>8</v>
      </c>
      <c r="E315" s="59">
        <v>2.1455774285299999E-4</v>
      </c>
    </row>
    <row r="316" spans="1:5" ht="15" customHeight="1">
      <c r="A316" s="39"/>
      <c r="B316" s="97"/>
      <c r="C316" s="74" t="s">
        <v>231</v>
      </c>
      <c r="D316" s="58">
        <v>12</v>
      </c>
      <c r="E316" s="59">
        <v>3.2183661427899999E-4</v>
      </c>
    </row>
    <row r="317" spans="1:5" ht="15" customHeight="1">
      <c r="A317" s="39"/>
      <c r="B317" s="97"/>
      <c r="C317" s="74" t="s">
        <v>263</v>
      </c>
      <c r="D317" s="58">
        <v>4</v>
      </c>
      <c r="E317" s="59">
        <v>1.07278871426E-4</v>
      </c>
    </row>
    <row r="318" spans="1:5" ht="15" customHeight="1">
      <c r="A318" s="39"/>
      <c r="B318" s="97"/>
      <c r="C318" s="74" t="s">
        <v>232</v>
      </c>
      <c r="D318" s="58">
        <v>10</v>
      </c>
      <c r="E318" s="59">
        <v>2.6819717856600001E-4</v>
      </c>
    </row>
    <row r="319" spans="1:5" ht="15" customHeight="1">
      <c r="A319" s="39"/>
      <c r="B319" s="97"/>
      <c r="C319" s="74" t="s">
        <v>256</v>
      </c>
      <c r="D319" s="58">
        <v>7</v>
      </c>
      <c r="E319" s="59">
        <v>1.8773802499599999E-4</v>
      </c>
    </row>
    <row r="320" spans="1:5" ht="15" customHeight="1">
      <c r="A320" s="39"/>
      <c r="B320" s="97"/>
      <c r="C320" s="74" t="s">
        <v>233</v>
      </c>
      <c r="D320" s="58">
        <v>28</v>
      </c>
      <c r="E320" s="59">
        <v>7.5095209998399996E-4</v>
      </c>
    </row>
    <row r="321" spans="1:5" ht="15" customHeight="1">
      <c r="A321" s="39"/>
      <c r="B321" s="97"/>
      <c r="C321" s="74" t="s">
        <v>234</v>
      </c>
      <c r="D321" s="58">
        <v>18</v>
      </c>
      <c r="E321" s="59">
        <v>4.8275492141800001E-4</v>
      </c>
    </row>
    <row r="322" spans="1:5" ht="15" customHeight="1">
      <c r="A322" s="39"/>
      <c r="B322" s="97"/>
      <c r="C322" s="74" t="s">
        <v>235</v>
      </c>
      <c r="D322" s="58">
        <v>3</v>
      </c>
      <c r="E322" s="59">
        <v>8.0459153570000002E-5</v>
      </c>
    </row>
    <row r="323" spans="1:5" ht="15" customHeight="1">
      <c r="A323" s="39"/>
      <c r="B323" s="97"/>
      <c r="C323" s="74" t="s">
        <v>236</v>
      </c>
      <c r="D323" s="58">
        <v>43</v>
      </c>
      <c r="E323" s="59">
        <v>1.1532478678320001E-3</v>
      </c>
    </row>
    <row r="324" spans="1:5" ht="15" customHeight="1">
      <c r="A324" s="39"/>
      <c r="B324" s="97"/>
      <c r="C324" s="74" t="s">
        <v>237</v>
      </c>
      <c r="D324" s="58">
        <v>26</v>
      </c>
      <c r="E324" s="59">
        <v>6.9731266427100003E-4</v>
      </c>
    </row>
    <row r="325" spans="1:5" ht="15" customHeight="1">
      <c r="A325" s="39"/>
      <c r="B325" s="97"/>
      <c r="C325" s="74" t="s">
        <v>272</v>
      </c>
      <c r="D325" s="58">
        <v>1</v>
      </c>
      <c r="E325" s="59">
        <v>2.6819717857000001E-5</v>
      </c>
    </row>
    <row r="326" spans="1:5" ht="15" customHeight="1">
      <c r="A326" s="39"/>
      <c r="B326" s="97"/>
      <c r="C326" s="74" t="s">
        <v>238</v>
      </c>
      <c r="D326" s="58">
        <v>10</v>
      </c>
      <c r="E326" s="59">
        <v>2.6819717856600001E-4</v>
      </c>
    </row>
    <row r="327" spans="1:5" ht="15" customHeight="1">
      <c r="A327" s="39"/>
      <c r="B327" s="97"/>
      <c r="C327" s="74" t="s">
        <v>239</v>
      </c>
      <c r="D327" s="58">
        <v>12</v>
      </c>
      <c r="E327" s="59">
        <v>3.2183661427899999E-4</v>
      </c>
    </row>
    <row r="328" spans="1:5" ht="15" customHeight="1">
      <c r="A328" s="39"/>
      <c r="B328" s="97"/>
      <c r="C328" s="74" t="s">
        <v>240</v>
      </c>
      <c r="D328" s="58">
        <v>9</v>
      </c>
      <c r="E328" s="59">
        <v>2.4137746070900001E-4</v>
      </c>
    </row>
    <row r="329" spans="1:5" ht="15" customHeight="1">
      <c r="A329" s="39"/>
      <c r="B329" s="97"/>
      <c r="C329" s="74" t="s">
        <v>250</v>
      </c>
      <c r="D329" s="58">
        <v>8</v>
      </c>
      <c r="E329" s="59">
        <v>2.1455774285299999E-4</v>
      </c>
    </row>
    <row r="330" spans="1:5" ht="15" customHeight="1">
      <c r="A330" s="39"/>
      <c r="B330" s="97"/>
      <c r="C330" s="74" t="s">
        <v>257</v>
      </c>
      <c r="D330" s="58">
        <v>12</v>
      </c>
      <c r="E330" s="59">
        <v>3.2183661427899999E-4</v>
      </c>
    </row>
    <row r="331" spans="1:5" ht="15" customHeight="1">
      <c r="A331" s="39"/>
      <c r="B331" s="97"/>
      <c r="C331" s="74" t="s">
        <v>241</v>
      </c>
      <c r="D331" s="58">
        <v>12</v>
      </c>
      <c r="E331" s="59">
        <v>3.2183661427899999E-4</v>
      </c>
    </row>
    <row r="332" spans="1:5" ht="15" customHeight="1">
      <c r="A332" s="39"/>
      <c r="B332" s="97"/>
      <c r="C332" s="74" t="s">
        <v>242</v>
      </c>
      <c r="D332" s="58">
        <v>111</v>
      </c>
      <c r="E332" s="59">
        <v>2.9769886820789999E-3</v>
      </c>
    </row>
    <row r="333" spans="1:5" ht="15" customHeight="1">
      <c r="A333" s="39"/>
      <c r="B333" s="97"/>
      <c r="C333" s="74" t="s">
        <v>243</v>
      </c>
      <c r="D333" s="58">
        <v>5</v>
      </c>
      <c r="E333" s="59">
        <v>1.34098589283E-4</v>
      </c>
    </row>
    <row r="334" spans="1:5" ht="15" customHeight="1">
      <c r="A334" s="39"/>
      <c r="B334" s="97"/>
      <c r="C334" s="74" t="s">
        <v>244</v>
      </c>
      <c r="D334" s="58">
        <v>4</v>
      </c>
      <c r="E334" s="59">
        <v>1.07278871426E-4</v>
      </c>
    </row>
    <row r="335" spans="1:5" ht="15" customHeight="1">
      <c r="A335" s="39"/>
      <c r="B335" s="97"/>
      <c r="C335" s="74" t="s">
        <v>79</v>
      </c>
      <c r="D335" s="58">
        <v>4</v>
      </c>
      <c r="E335" s="59">
        <v>1.07278871426E-4</v>
      </c>
    </row>
    <row r="336" spans="1:5" ht="15" customHeight="1">
      <c r="A336" s="39"/>
      <c r="B336" s="97"/>
      <c r="C336" s="74" t="s">
        <v>245</v>
      </c>
      <c r="D336" s="58">
        <v>5</v>
      </c>
      <c r="E336" s="59">
        <v>1.34098589283E-4</v>
      </c>
    </row>
    <row r="337" spans="1:5" ht="15" customHeight="1">
      <c r="A337" s="39"/>
      <c r="B337" s="97"/>
      <c r="C337" s="74" t="s">
        <v>269</v>
      </c>
      <c r="D337" s="58">
        <v>2</v>
      </c>
      <c r="E337" s="59">
        <v>5.3639435713000001E-5</v>
      </c>
    </row>
    <row r="338" spans="1:5" ht="15" customHeight="1">
      <c r="A338" s="39"/>
      <c r="B338" s="98"/>
      <c r="C338" s="75" t="s">
        <v>353</v>
      </c>
      <c r="D338" s="71">
        <v>814</v>
      </c>
      <c r="E338" s="73">
        <v>2.1831250335246001E-2</v>
      </c>
    </row>
    <row r="339" spans="1:5" ht="15" customHeight="1">
      <c r="A339" s="39"/>
      <c r="B339" s="96" t="s">
        <v>276</v>
      </c>
      <c r="C339" s="74" t="s">
        <v>219</v>
      </c>
      <c r="D339" s="58">
        <v>5</v>
      </c>
      <c r="E339" s="59">
        <v>1.34098589283E-4</v>
      </c>
    </row>
    <row r="340" spans="1:5" ht="15" customHeight="1">
      <c r="A340" s="39"/>
      <c r="B340" s="97"/>
      <c r="C340" s="74" t="s">
        <v>220</v>
      </c>
      <c r="D340" s="58">
        <v>21</v>
      </c>
      <c r="E340" s="59">
        <v>5.63214074988E-4</v>
      </c>
    </row>
    <row r="341" spans="1:5" ht="15" customHeight="1">
      <c r="A341" s="39"/>
      <c r="B341" s="97"/>
      <c r="C341" s="74" t="s">
        <v>221</v>
      </c>
      <c r="D341" s="58">
        <v>9</v>
      </c>
      <c r="E341" s="59">
        <v>2.4137746070900001E-4</v>
      </c>
    </row>
    <row r="342" spans="1:5" ht="15" customHeight="1">
      <c r="A342" s="39"/>
      <c r="B342" s="97"/>
      <c r="C342" s="74" t="s">
        <v>222</v>
      </c>
      <c r="D342" s="58">
        <v>438</v>
      </c>
      <c r="E342" s="59">
        <v>1.1747036421177E-2</v>
      </c>
    </row>
    <row r="343" spans="1:5" ht="15" customHeight="1">
      <c r="A343" s="39"/>
      <c r="B343" s="97"/>
      <c r="C343" s="74" t="s">
        <v>223</v>
      </c>
      <c r="D343" s="58">
        <v>26</v>
      </c>
      <c r="E343" s="59">
        <v>6.9731266427100003E-4</v>
      </c>
    </row>
    <row r="344" spans="1:5" ht="15" customHeight="1">
      <c r="A344" s="39"/>
      <c r="B344" s="97"/>
      <c r="C344" s="74" t="s">
        <v>224</v>
      </c>
      <c r="D344" s="58">
        <v>2</v>
      </c>
      <c r="E344" s="59">
        <v>5.3639435713000001E-5</v>
      </c>
    </row>
    <row r="345" spans="1:5" ht="15" customHeight="1">
      <c r="A345" s="39"/>
      <c r="B345" s="97"/>
      <c r="C345" s="74" t="s">
        <v>262</v>
      </c>
      <c r="D345" s="58">
        <v>1</v>
      </c>
      <c r="E345" s="59">
        <v>2.6819717857000001E-5</v>
      </c>
    </row>
    <row r="346" spans="1:5" ht="15" customHeight="1">
      <c r="A346" s="39"/>
      <c r="B346" s="97"/>
      <c r="C346" s="74" t="s">
        <v>225</v>
      </c>
      <c r="D346" s="58">
        <v>33</v>
      </c>
      <c r="E346" s="59">
        <v>8.8505068926699999E-4</v>
      </c>
    </row>
    <row r="347" spans="1:5" ht="15" customHeight="1">
      <c r="A347" s="39"/>
      <c r="B347" s="97"/>
      <c r="C347" s="74" t="s">
        <v>226</v>
      </c>
      <c r="D347" s="58">
        <v>23</v>
      </c>
      <c r="E347" s="59">
        <v>6.1685351070100004E-4</v>
      </c>
    </row>
    <row r="348" spans="1:5" ht="15" customHeight="1">
      <c r="A348" s="39"/>
      <c r="B348" s="97"/>
      <c r="C348" s="74" t="s">
        <v>247</v>
      </c>
      <c r="D348" s="58">
        <v>2</v>
      </c>
      <c r="E348" s="59">
        <v>5.3639435713000001E-5</v>
      </c>
    </row>
    <row r="349" spans="1:5" ht="15" customHeight="1">
      <c r="A349" s="39"/>
      <c r="B349" s="97"/>
      <c r="C349" s="74" t="s">
        <v>254</v>
      </c>
      <c r="D349" s="58">
        <v>3</v>
      </c>
      <c r="E349" s="59">
        <v>8.0459153570000002E-5</v>
      </c>
    </row>
    <row r="350" spans="1:5" ht="15" customHeight="1">
      <c r="A350" s="39"/>
      <c r="B350" s="97"/>
      <c r="C350" s="74" t="s">
        <v>227</v>
      </c>
      <c r="D350" s="58">
        <v>91</v>
      </c>
      <c r="E350" s="59">
        <v>2.4405943249479999E-3</v>
      </c>
    </row>
    <row r="351" spans="1:5" ht="15" customHeight="1">
      <c r="A351" s="39"/>
      <c r="B351" s="97"/>
      <c r="C351" s="74" t="s">
        <v>228</v>
      </c>
      <c r="D351" s="58">
        <v>22</v>
      </c>
      <c r="E351" s="59">
        <v>5.9003379284399999E-4</v>
      </c>
    </row>
    <row r="352" spans="1:5" ht="15" customHeight="1">
      <c r="A352" s="39"/>
      <c r="B352" s="97"/>
      <c r="C352" s="74" t="s">
        <v>252</v>
      </c>
      <c r="D352" s="58">
        <v>8</v>
      </c>
      <c r="E352" s="59">
        <v>2.1455774285299999E-4</v>
      </c>
    </row>
    <row r="353" spans="1:5" ht="15" customHeight="1">
      <c r="A353" s="39"/>
      <c r="B353" s="97"/>
      <c r="C353" s="74" t="s">
        <v>248</v>
      </c>
      <c r="D353" s="58">
        <v>8</v>
      </c>
      <c r="E353" s="59">
        <v>2.1455774285299999E-4</v>
      </c>
    </row>
    <row r="354" spans="1:5" ht="15" customHeight="1">
      <c r="A354" s="39"/>
      <c r="B354" s="97"/>
      <c r="C354" s="74" t="s">
        <v>255</v>
      </c>
      <c r="D354" s="58">
        <v>6</v>
      </c>
      <c r="E354" s="59">
        <v>1.6091830713899999E-4</v>
      </c>
    </row>
    <row r="355" spans="1:5" ht="15" customHeight="1">
      <c r="A355" s="39"/>
      <c r="B355" s="97"/>
      <c r="C355" s="74" t="s">
        <v>230</v>
      </c>
      <c r="D355" s="58">
        <v>23</v>
      </c>
      <c r="E355" s="59">
        <v>6.1685351070100004E-4</v>
      </c>
    </row>
    <row r="356" spans="1:5" ht="15" customHeight="1">
      <c r="A356" s="39"/>
      <c r="B356" s="97"/>
      <c r="C356" s="74" t="s">
        <v>231</v>
      </c>
      <c r="D356" s="58">
        <v>6</v>
      </c>
      <c r="E356" s="59">
        <v>1.6091830713899999E-4</v>
      </c>
    </row>
    <row r="357" spans="1:5" ht="15" customHeight="1">
      <c r="A357" s="39"/>
      <c r="B357" s="97"/>
      <c r="C357" s="74" t="s">
        <v>263</v>
      </c>
      <c r="D357" s="58">
        <v>1</v>
      </c>
      <c r="E357" s="59">
        <v>2.6819717857000001E-5</v>
      </c>
    </row>
    <row r="358" spans="1:5" ht="15" customHeight="1">
      <c r="A358" s="39"/>
      <c r="B358" s="97"/>
      <c r="C358" s="74" t="s">
        <v>232</v>
      </c>
      <c r="D358" s="58">
        <v>5</v>
      </c>
      <c r="E358" s="59">
        <v>1.34098589283E-4</v>
      </c>
    </row>
    <row r="359" spans="1:5" ht="15" customHeight="1">
      <c r="A359" s="39"/>
      <c r="B359" s="97"/>
      <c r="C359" s="74" t="s">
        <v>267</v>
      </c>
      <c r="D359" s="58">
        <v>1</v>
      </c>
      <c r="E359" s="59">
        <v>2.6819717857000001E-5</v>
      </c>
    </row>
    <row r="360" spans="1:5" ht="15" customHeight="1">
      <c r="A360" s="39"/>
      <c r="B360" s="97"/>
      <c r="C360" s="74" t="s">
        <v>256</v>
      </c>
      <c r="D360" s="58">
        <v>11</v>
      </c>
      <c r="E360" s="59">
        <v>2.9501689642199999E-4</v>
      </c>
    </row>
    <row r="361" spans="1:5" ht="15" customHeight="1">
      <c r="A361" s="39"/>
      <c r="B361" s="97"/>
      <c r="C361" s="74" t="s">
        <v>233</v>
      </c>
      <c r="D361" s="58">
        <v>44</v>
      </c>
      <c r="E361" s="59">
        <v>1.180067585689E-3</v>
      </c>
    </row>
    <row r="362" spans="1:5" ht="15" customHeight="1">
      <c r="A362" s="39"/>
      <c r="B362" s="97"/>
      <c r="C362" s="74" t="s">
        <v>234</v>
      </c>
      <c r="D362" s="58">
        <v>37</v>
      </c>
      <c r="E362" s="59">
        <v>9.9232956069299997E-4</v>
      </c>
    </row>
    <row r="363" spans="1:5" ht="15" customHeight="1">
      <c r="A363" s="39"/>
      <c r="B363" s="97"/>
      <c r="C363" s="74" t="s">
        <v>235</v>
      </c>
      <c r="D363" s="58">
        <v>1</v>
      </c>
      <c r="E363" s="59">
        <v>2.6819717857000001E-5</v>
      </c>
    </row>
    <row r="364" spans="1:5" ht="15" customHeight="1">
      <c r="A364" s="39"/>
      <c r="B364" s="97"/>
      <c r="C364" s="74" t="s">
        <v>236</v>
      </c>
      <c r="D364" s="58">
        <v>51</v>
      </c>
      <c r="E364" s="59">
        <v>1.3678056106849999E-3</v>
      </c>
    </row>
    <row r="365" spans="1:5" ht="15" customHeight="1">
      <c r="A365" s="39"/>
      <c r="B365" s="97"/>
      <c r="C365" s="74" t="s">
        <v>237</v>
      </c>
      <c r="D365" s="58">
        <v>32</v>
      </c>
      <c r="E365" s="59">
        <v>8.5823097141000005E-4</v>
      </c>
    </row>
    <row r="366" spans="1:5" ht="15" customHeight="1">
      <c r="A366" s="39"/>
      <c r="B366" s="97"/>
      <c r="C366" s="74" t="s">
        <v>238</v>
      </c>
      <c r="D366" s="58">
        <v>10</v>
      </c>
      <c r="E366" s="59">
        <v>2.6819717856600001E-4</v>
      </c>
    </row>
    <row r="367" spans="1:5" ht="15" customHeight="1">
      <c r="A367" s="39"/>
      <c r="B367" s="97"/>
      <c r="C367" s="74" t="s">
        <v>239</v>
      </c>
      <c r="D367" s="58">
        <v>10</v>
      </c>
      <c r="E367" s="59">
        <v>2.6819717856600001E-4</v>
      </c>
    </row>
    <row r="368" spans="1:5" ht="15" customHeight="1">
      <c r="A368" s="39"/>
      <c r="B368" s="97"/>
      <c r="C368" s="74" t="s">
        <v>240</v>
      </c>
      <c r="D368" s="58">
        <v>2</v>
      </c>
      <c r="E368" s="59">
        <v>5.3639435713000001E-5</v>
      </c>
    </row>
    <row r="369" spans="1:5" ht="15" customHeight="1">
      <c r="A369" s="39"/>
      <c r="B369" s="97"/>
      <c r="C369" s="74" t="s">
        <v>250</v>
      </c>
      <c r="D369" s="58">
        <v>6</v>
      </c>
      <c r="E369" s="59">
        <v>1.6091830713899999E-4</v>
      </c>
    </row>
    <row r="370" spans="1:5" ht="15" customHeight="1">
      <c r="A370" s="39"/>
      <c r="B370" s="97"/>
      <c r="C370" s="74" t="s">
        <v>257</v>
      </c>
      <c r="D370" s="58">
        <v>18</v>
      </c>
      <c r="E370" s="59">
        <v>4.8275492141800001E-4</v>
      </c>
    </row>
    <row r="371" spans="1:5" ht="15" customHeight="1">
      <c r="A371" s="39"/>
      <c r="B371" s="97"/>
      <c r="C371" s="74" t="s">
        <v>241</v>
      </c>
      <c r="D371" s="58">
        <v>23</v>
      </c>
      <c r="E371" s="59">
        <v>6.1685351070100004E-4</v>
      </c>
    </row>
    <row r="372" spans="1:5" ht="15" customHeight="1">
      <c r="A372" s="39"/>
      <c r="B372" s="97"/>
      <c r="C372" s="74" t="s">
        <v>242</v>
      </c>
      <c r="D372" s="58">
        <v>226</v>
      </c>
      <c r="E372" s="59">
        <v>6.0612562355840003E-3</v>
      </c>
    </row>
    <row r="373" spans="1:5" ht="15" customHeight="1">
      <c r="A373" s="39"/>
      <c r="B373" s="97"/>
      <c r="C373" s="74" t="s">
        <v>243</v>
      </c>
      <c r="D373" s="58">
        <v>10</v>
      </c>
      <c r="E373" s="59">
        <v>2.6819717856600001E-4</v>
      </c>
    </row>
    <row r="374" spans="1:5" ht="15" customHeight="1">
      <c r="A374" s="39"/>
      <c r="B374" s="97"/>
      <c r="C374" s="74" t="s">
        <v>244</v>
      </c>
      <c r="D374" s="58">
        <v>4</v>
      </c>
      <c r="E374" s="59">
        <v>1.07278871426E-4</v>
      </c>
    </row>
    <row r="375" spans="1:5" ht="15" customHeight="1">
      <c r="A375" s="39"/>
      <c r="B375" s="97"/>
      <c r="C375" s="74" t="s">
        <v>79</v>
      </c>
      <c r="D375" s="58">
        <v>4</v>
      </c>
      <c r="E375" s="59">
        <v>1.07278871426E-4</v>
      </c>
    </row>
    <row r="376" spans="1:5" ht="15" customHeight="1">
      <c r="A376" s="39"/>
      <c r="B376" s="97"/>
      <c r="C376" s="74" t="s">
        <v>268</v>
      </c>
      <c r="D376" s="58">
        <v>1</v>
      </c>
      <c r="E376" s="59">
        <v>2.6819717857000001E-5</v>
      </c>
    </row>
    <row r="377" spans="1:5" ht="15" customHeight="1">
      <c r="A377" s="39"/>
      <c r="B377" s="97"/>
      <c r="C377" s="74" t="s">
        <v>245</v>
      </c>
      <c r="D377" s="58">
        <v>18</v>
      </c>
      <c r="E377" s="59">
        <v>4.8275492141800001E-4</v>
      </c>
    </row>
    <row r="378" spans="1:5" ht="15" customHeight="1">
      <c r="A378" s="39"/>
      <c r="B378" s="97"/>
      <c r="C378" s="74" t="s">
        <v>269</v>
      </c>
      <c r="D378" s="58">
        <v>2</v>
      </c>
      <c r="E378" s="59">
        <v>5.3639435713000001E-5</v>
      </c>
    </row>
    <row r="379" spans="1:5" ht="15" customHeight="1">
      <c r="A379" s="39"/>
      <c r="B379" s="98"/>
      <c r="C379" s="75" t="s">
        <v>353</v>
      </c>
      <c r="D379" s="71">
        <v>1244</v>
      </c>
      <c r="E379" s="73">
        <v>3.3363729013571E-2</v>
      </c>
    </row>
    <row r="380" spans="1:5" ht="15" customHeight="1">
      <c r="A380" s="39"/>
      <c r="B380" s="96" t="s">
        <v>110</v>
      </c>
      <c r="C380" s="74" t="s">
        <v>219</v>
      </c>
      <c r="D380" s="58">
        <v>93</v>
      </c>
      <c r="E380" s="59">
        <v>2.4942337606610001E-3</v>
      </c>
    </row>
    <row r="381" spans="1:5" ht="15" customHeight="1">
      <c r="A381" s="39"/>
      <c r="B381" s="97"/>
      <c r="C381" s="74" t="s">
        <v>277</v>
      </c>
      <c r="D381" s="58">
        <v>1</v>
      </c>
      <c r="E381" s="59">
        <v>2.6819717857000001E-5</v>
      </c>
    </row>
    <row r="382" spans="1:5" ht="15" customHeight="1">
      <c r="A382" s="39"/>
      <c r="B382" s="97"/>
      <c r="C382" s="74" t="s">
        <v>220</v>
      </c>
      <c r="D382" s="58">
        <v>190</v>
      </c>
      <c r="E382" s="59">
        <v>5.0957463927479999E-3</v>
      </c>
    </row>
    <row r="383" spans="1:5" ht="15" customHeight="1">
      <c r="A383" s="39"/>
      <c r="B383" s="97"/>
      <c r="C383" s="74" t="s">
        <v>221</v>
      </c>
      <c r="D383" s="58">
        <v>104</v>
      </c>
      <c r="E383" s="59">
        <v>2.7892506570830001E-3</v>
      </c>
    </row>
    <row r="384" spans="1:5" ht="15" customHeight="1">
      <c r="A384" s="39"/>
      <c r="B384" s="97"/>
      <c r="C384" s="74" t="s">
        <v>222</v>
      </c>
      <c r="D384" s="58">
        <v>3546</v>
      </c>
      <c r="E384" s="59">
        <v>9.5102719519391005E-2</v>
      </c>
    </row>
    <row r="385" spans="1:5" ht="15" customHeight="1">
      <c r="A385" s="39"/>
      <c r="B385" s="97"/>
      <c r="C385" s="74" t="s">
        <v>223</v>
      </c>
      <c r="D385" s="58">
        <v>152</v>
      </c>
      <c r="E385" s="59">
        <v>4.0765971141980004E-3</v>
      </c>
    </row>
    <row r="386" spans="1:5" ht="15" customHeight="1">
      <c r="A386" s="39"/>
      <c r="B386" s="97"/>
      <c r="C386" s="74" t="s">
        <v>224</v>
      </c>
      <c r="D386" s="58">
        <v>38</v>
      </c>
      <c r="E386" s="59">
        <v>1.0191492785499999E-3</v>
      </c>
    </row>
    <row r="387" spans="1:5" ht="15" customHeight="1">
      <c r="A387" s="39"/>
      <c r="B387" s="97"/>
      <c r="C387" s="74" t="s">
        <v>262</v>
      </c>
      <c r="D387" s="58">
        <v>28</v>
      </c>
      <c r="E387" s="59">
        <v>7.5095209998399996E-4</v>
      </c>
    </row>
    <row r="388" spans="1:5" ht="15" customHeight="1">
      <c r="A388" s="39"/>
      <c r="B388" s="97"/>
      <c r="C388" s="74" t="s">
        <v>265</v>
      </c>
      <c r="D388" s="58">
        <v>6</v>
      </c>
      <c r="E388" s="59">
        <v>1.6091830713899999E-4</v>
      </c>
    </row>
    <row r="389" spans="1:5" ht="15" customHeight="1">
      <c r="A389" s="39"/>
      <c r="B389" s="97"/>
      <c r="C389" s="74" t="s">
        <v>225</v>
      </c>
      <c r="D389" s="58">
        <v>294</v>
      </c>
      <c r="E389" s="59">
        <v>7.8849970498309999E-3</v>
      </c>
    </row>
    <row r="390" spans="1:5" ht="15" customHeight="1">
      <c r="A390" s="39"/>
      <c r="B390" s="97"/>
      <c r="C390" s="74" t="s">
        <v>226</v>
      </c>
      <c r="D390" s="58">
        <v>478</v>
      </c>
      <c r="E390" s="59">
        <v>1.2819825135439999E-2</v>
      </c>
    </row>
    <row r="391" spans="1:5" ht="15" customHeight="1">
      <c r="A391" s="39"/>
      <c r="B391" s="97"/>
      <c r="C391" s="74" t="s">
        <v>247</v>
      </c>
      <c r="D391" s="58">
        <v>5</v>
      </c>
      <c r="E391" s="59">
        <v>1.34098589283E-4</v>
      </c>
    </row>
    <row r="392" spans="1:5" ht="15" customHeight="1">
      <c r="A392" s="39"/>
      <c r="B392" s="97"/>
      <c r="C392" s="74" t="s">
        <v>254</v>
      </c>
      <c r="D392" s="58">
        <v>29</v>
      </c>
      <c r="E392" s="59">
        <v>7.7777181783999995E-4</v>
      </c>
    </row>
    <row r="393" spans="1:5" ht="15" customHeight="1">
      <c r="A393" s="39"/>
      <c r="B393" s="97"/>
      <c r="C393" s="74" t="s">
        <v>227</v>
      </c>
      <c r="D393" s="58">
        <v>1691</v>
      </c>
      <c r="E393" s="59">
        <v>4.5352142895456998E-2</v>
      </c>
    </row>
    <row r="394" spans="1:5" ht="15" customHeight="1">
      <c r="A394" s="39"/>
      <c r="B394" s="97"/>
      <c r="C394" s="74" t="s">
        <v>228</v>
      </c>
      <c r="D394" s="58">
        <v>240</v>
      </c>
      <c r="E394" s="59">
        <v>6.436732285576E-3</v>
      </c>
    </row>
    <row r="395" spans="1:5" ht="15" customHeight="1">
      <c r="A395" s="39"/>
      <c r="B395" s="97"/>
      <c r="C395" s="74" t="s">
        <v>252</v>
      </c>
      <c r="D395" s="58">
        <v>33</v>
      </c>
      <c r="E395" s="59">
        <v>8.8505068926699999E-4</v>
      </c>
    </row>
    <row r="396" spans="1:5" ht="15" customHeight="1">
      <c r="A396" s="39"/>
      <c r="B396" s="97"/>
      <c r="C396" s="74" t="s">
        <v>248</v>
      </c>
      <c r="D396" s="58">
        <v>75</v>
      </c>
      <c r="E396" s="59">
        <v>2.0114788392429999E-3</v>
      </c>
    </row>
    <row r="397" spans="1:5" ht="15" customHeight="1">
      <c r="A397" s="39"/>
      <c r="B397" s="97"/>
      <c r="C397" s="74" t="s">
        <v>255</v>
      </c>
      <c r="D397" s="58">
        <v>68</v>
      </c>
      <c r="E397" s="59">
        <v>1.823740814247E-3</v>
      </c>
    </row>
    <row r="398" spans="1:5" ht="15" customHeight="1">
      <c r="A398" s="39"/>
      <c r="B398" s="97"/>
      <c r="C398" s="74" t="s">
        <v>249</v>
      </c>
      <c r="D398" s="58">
        <v>34</v>
      </c>
      <c r="E398" s="59">
        <v>9.1187040712299998E-4</v>
      </c>
    </row>
    <row r="399" spans="1:5" ht="15" customHeight="1">
      <c r="A399" s="39"/>
      <c r="B399" s="97"/>
      <c r="C399" s="74" t="s">
        <v>229</v>
      </c>
      <c r="D399" s="58">
        <v>25</v>
      </c>
      <c r="E399" s="59">
        <v>6.7049294641399998E-4</v>
      </c>
    </row>
    <row r="400" spans="1:5" ht="15" customHeight="1">
      <c r="A400" s="39"/>
      <c r="B400" s="97"/>
      <c r="C400" s="74" t="s">
        <v>266</v>
      </c>
      <c r="D400" s="58">
        <v>12</v>
      </c>
      <c r="E400" s="59">
        <v>3.2183661427899999E-4</v>
      </c>
    </row>
    <row r="401" spans="1:5" ht="15" customHeight="1">
      <c r="A401" s="39"/>
      <c r="B401" s="97"/>
      <c r="C401" s="74" t="s">
        <v>230</v>
      </c>
      <c r="D401" s="58">
        <v>81</v>
      </c>
      <c r="E401" s="59">
        <v>2.1723971463819998E-3</v>
      </c>
    </row>
    <row r="402" spans="1:5" ht="15" customHeight="1">
      <c r="A402" s="39"/>
      <c r="B402" s="97"/>
      <c r="C402" s="74" t="s">
        <v>231</v>
      </c>
      <c r="D402" s="58">
        <v>129</v>
      </c>
      <c r="E402" s="59">
        <v>3.4597436034970001E-3</v>
      </c>
    </row>
    <row r="403" spans="1:5" ht="15" customHeight="1">
      <c r="A403" s="39"/>
      <c r="B403" s="97"/>
      <c r="C403" s="74" t="s">
        <v>263</v>
      </c>
      <c r="D403" s="58">
        <v>26</v>
      </c>
      <c r="E403" s="59">
        <v>6.9731266427100003E-4</v>
      </c>
    </row>
    <row r="404" spans="1:5" ht="15" customHeight="1">
      <c r="A404" s="39"/>
      <c r="B404" s="97"/>
      <c r="C404" s="74" t="s">
        <v>232</v>
      </c>
      <c r="D404" s="58">
        <v>72</v>
      </c>
      <c r="E404" s="59">
        <v>1.9310196856729999E-3</v>
      </c>
    </row>
    <row r="405" spans="1:5" ht="15" customHeight="1">
      <c r="A405" s="39"/>
      <c r="B405" s="97"/>
      <c r="C405" s="74" t="s">
        <v>267</v>
      </c>
      <c r="D405" s="58">
        <v>2</v>
      </c>
      <c r="E405" s="59">
        <v>5.3639435713000001E-5</v>
      </c>
    </row>
    <row r="406" spans="1:5" ht="15" customHeight="1">
      <c r="A406" s="39"/>
      <c r="B406" s="97"/>
      <c r="C406" s="74" t="s">
        <v>256</v>
      </c>
      <c r="D406" s="58">
        <v>71</v>
      </c>
      <c r="E406" s="59">
        <v>1.904199967816E-3</v>
      </c>
    </row>
    <row r="407" spans="1:5" ht="15" customHeight="1">
      <c r="A407" s="39"/>
      <c r="B407" s="97"/>
      <c r="C407" s="74" t="s">
        <v>233</v>
      </c>
      <c r="D407" s="58">
        <v>269</v>
      </c>
      <c r="E407" s="59">
        <v>7.2145041034169998E-3</v>
      </c>
    </row>
    <row r="408" spans="1:5" ht="15" customHeight="1">
      <c r="A408" s="39"/>
      <c r="B408" s="97"/>
      <c r="C408" s="74" t="s">
        <v>234</v>
      </c>
      <c r="D408" s="58">
        <v>224</v>
      </c>
      <c r="E408" s="59">
        <v>6.0076167998709996E-3</v>
      </c>
    </row>
    <row r="409" spans="1:5" ht="15" customHeight="1">
      <c r="A409" s="39"/>
      <c r="B409" s="97"/>
      <c r="C409" s="74" t="s">
        <v>235</v>
      </c>
      <c r="D409" s="58">
        <v>28</v>
      </c>
      <c r="E409" s="59">
        <v>7.5095209998399996E-4</v>
      </c>
    </row>
    <row r="410" spans="1:5" ht="15" customHeight="1">
      <c r="A410" s="39"/>
      <c r="B410" s="97"/>
      <c r="C410" s="74" t="s">
        <v>236</v>
      </c>
      <c r="D410" s="58">
        <v>567</v>
      </c>
      <c r="E410" s="59">
        <v>1.5206780024674E-2</v>
      </c>
    </row>
    <row r="411" spans="1:5" ht="15" customHeight="1">
      <c r="A411" s="39"/>
      <c r="B411" s="97"/>
      <c r="C411" s="74" t="s">
        <v>237</v>
      </c>
      <c r="D411" s="58">
        <v>370</v>
      </c>
      <c r="E411" s="59">
        <v>9.9232956069299997E-3</v>
      </c>
    </row>
    <row r="412" spans="1:5" ht="15" customHeight="1">
      <c r="A412" s="39"/>
      <c r="B412" s="97"/>
      <c r="C412" s="74" t="s">
        <v>272</v>
      </c>
      <c r="D412" s="58">
        <v>4</v>
      </c>
      <c r="E412" s="59">
        <v>1.07278871426E-4</v>
      </c>
    </row>
    <row r="413" spans="1:5" ht="15" customHeight="1">
      <c r="A413" s="39"/>
      <c r="B413" s="97"/>
      <c r="C413" s="74" t="s">
        <v>238</v>
      </c>
      <c r="D413" s="58">
        <v>107</v>
      </c>
      <c r="E413" s="59">
        <v>2.8697098106529998E-3</v>
      </c>
    </row>
    <row r="414" spans="1:5" ht="15" customHeight="1">
      <c r="A414" s="39"/>
      <c r="B414" s="97"/>
      <c r="C414" s="74" t="s">
        <v>239</v>
      </c>
      <c r="D414" s="58">
        <v>133</v>
      </c>
      <c r="E414" s="59">
        <v>3.5670224749239999E-3</v>
      </c>
    </row>
    <row r="415" spans="1:5" ht="15" customHeight="1">
      <c r="A415" s="39"/>
      <c r="B415" s="97"/>
      <c r="C415" s="74" t="s">
        <v>240</v>
      </c>
      <c r="D415" s="58">
        <v>51</v>
      </c>
      <c r="E415" s="59">
        <v>1.3678056106849999E-3</v>
      </c>
    </row>
    <row r="416" spans="1:5" ht="15" customHeight="1">
      <c r="A416" s="39"/>
      <c r="B416" s="97"/>
      <c r="C416" s="74" t="s">
        <v>250</v>
      </c>
      <c r="D416" s="58">
        <v>119</v>
      </c>
      <c r="E416" s="59">
        <v>3.1915464249320001E-3</v>
      </c>
    </row>
    <row r="417" spans="1:5" ht="15" customHeight="1">
      <c r="A417" s="39"/>
      <c r="B417" s="97"/>
      <c r="C417" s="74" t="s">
        <v>260</v>
      </c>
      <c r="D417" s="58">
        <v>5</v>
      </c>
      <c r="E417" s="59">
        <v>1.34098589283E-4</v>
      </c>
    </row>
    <row r="418" spans="1:5" ht="15" customHeight="1">
      <c r="A418" s="39"/>
      <c r="B418" s="97"/>
      <c r="C418" s="74" t="s">
        <v>257</v>
      </c>
      <c r="D418" s="58">
        <v>121</v>
      </c>
      <c r="E418" s="59">
        <v>3.245185860645E-3</v>
      </c>
    </row>
    <row r="419" spans="1:5" ht="15" customHeight="1">
      <c r="A419" s="39"/>
      <c r="B419" s="97"/>
      <c r="C419" s="74" t="s">
        <v>258</v>
      </c>
      <c r="D419" s="58">
        <v>3</v>
      </c>
      <c r="E419" s="59">
        <v>8.0459153570000002E-5</v>
      </c>
    </row>
    <row r="420" spans="1:5" ht="15" customHeight="1">
      <c r="A420" s="39"/>
      <c r="B420" s="97"/>
      <c r="C420" s="74" t="s">
        <v>241</v>
      </c>
      <c r="D420" s="58">
        <v>208</v>
      </c>
      <c r="E420" s="59">
        <v>5.5785013141660001E-3</v>
      </c>
    </row>
    <row r="421" spans="1:5" ht="15" customHeight="1">
      <c r="A421" s="39"/>
      <c r="B421" s="97"/>
      <c r="C421" s="74" t="s">
        <v>242</v>
      </c>
      <c r="D421" s="58">
        <v>1972</v>
      </c>
      <c r="E421" s="59">
        <v>5.2888483613152001E-2</v>
      </c>
    </row>
    <row r="422" spans="1:5" ht="15" customHeight="1">
      <c r="A422" s="39"/>
      <c r="B422" s="97"/>
      <c r="C422" s="74" t="s">
        <v>243</v>
      </c>
      <c r="D422" s="58">
        <v>97</v>
      </c>
      <c r="E422" s="59">
        <v>2.6015126320870002E-3</v>
      </c>
    </row>
    <row r="423" spans="1:5" ht="15" customHeight="1">
      <c r="A423" s="39"/>
      <c r="B423" s="97"/>
      <c r="C423" s="74" t="s">
        <v>273</v>
      </c>
      <c r="D423" s="58">
        <v>1</v>
      </c>
      <c r="E423" s="59">
        <v>2.6819717857000001E-5</v>
      </c>
    </row>
    <row r="424" spans="1:5" ht="15" customHeight="1">
      <c r="A424" s="39"/>
      <c r="B424" s="97"/>
      <c r="C424" s="74" t="s">
        <v>244</v>
      </c>
      <c r="D424" s="58">
        <v>60</v>
      </c>
      <c r="E424" s="59">
        <v>1.609183071394E-3</v>
      </c>
    </row>
    <row r="425" spans="1:5" ht="15" customHeight="1">
      <c r="A425" s="39"/>
      <c r="B425" s="97"/>
      <c r="C425" s="74" t="s">
        <v>79</v>
      </c>
      <c r="D425" s="58">
        <v>63</v>
      </c>
      <c r="E425" s="59">
        <v>1.689642224964E-3</v>
      </c>
    </row>
    <row r="426" spans="1:5" ht="15" customHeight="1">
      <c r="A426" s="39"/>
      <c r="B426" s="97"/>
      <c r="C426" s="74" t="s">
        <v>268</v>
      </c>
      <c r="D426" s="58">
        <v>2</v>
      </c>
      <c r="E426" s="59">
        <v>5.3639435713000001E-5</v>
      </c>
    </row>
    <row r="427" spans="1:5" ht="15" customHeight="1">
      <c r="A427" s="39"/>
      <c r="B427" s="97"/>
      <c r="C427" s="74" t="s">
        <v>245</v>
      </c>
      <c r="D427" s="58">
        <v>200</v>
      </c>
      <c r="E427" s="59">
        <v>5.3639435713139999E-3</v>
      </c>
    </row>
    <row r="428" spans="1:5" ht="15" customHeight="1">
      <c r="A428" s="39"/>
      <c r="B428" s="97"/>
      <c r="C428" s="74" t="s">
        <v>269</v>
      </c>
      <c r="D428" s="58">
        <v>17</v>
      </c>
      <c r="E428" s="59">
        <v>4.5593520356200002E-4</v>
      </c>
    </row>
    <row r="429" spans="1:5" ht="15" customHeight="1">
      <c r="A429" s="39"/>
      <c r="B429" s="98"/>
      <c r="C429" s="75" t="s">
        <v>353</v>
      </c>
      <c r="D429" s="71">
        <v>12144</v>
      </c>
      <c r="E429" s="73">
        <v>0.32569865365016398</v>
      </c>
    </row>
    <row r="430" spans="1:5" ht="15" customHeight="1">
      <c r="A430" s="39"/>
      <c r="B430" s="96" t="s">
        <v>111</v>
      </c>
      <c r="C430" s="74" t="s">
        <v>219</v>
      </c>
      <c r="D430" s="58">
        <v>10</v>
      </c>
      <c r="E430" s="59">
        <v>2.6819717856600001E-4</v>
      </c>
    </row>
    <row r="431" spans="1:5" ht="15" customHeight="1">
      <c r="A431" s="39"/>
      <c r="B431" s="97"/>
      <c r="C431" s="74" t="s">
        <v>220</v>
      </c>
      <c r="D431" s="58">
        <v>22</v>
      </c>
      <c r="E431" s="59">
        <v>5.9003379284399999E-4</v>
      </c>
    </row>
    <row r="432" spans="1:5" ht="15" customHeight="1">
      <c r="A432" s="39"/>
      <c r="B432" s="97"/>
      <c r="C432" s="74" t="s">
        <v>221</v>
      </c>
      <c r="D432" s="58">
        <v>6</v>
      </c>
      <c r="E432" s="59">
        <v>1.6091830713899999E-4</v>
      </c>
    </row>
    <row r="433" spans="1:5" ht="15" customHeight="1">
      <c r="A433" s="39"/>
      <c r="B433" s="97"/>
      <c r="C433" s="74" t="s">
        <v>222</v>
      </c>
      <c r="D433" s="58">
        <v>327</v>
      </c>
      <c r="E433" s="59">
        <v>8.7700477390979994E-3</v>
      </c>
    </row>
    <row r="434" spans="1:5" ht="15" customHeight="1">
      <c r="A434" s="39"/>
      <c r="B434" s="97"/>
      <c r="C434" s="74" t="s">
        <v>223</v>
      </c>
      <c r="D434" s="58">
        <v>13</v>
      </c>
      <c r="E434" s="59">
        <v>3.4865633213499998E-4</v>
      </c>
    </row>
    <row r="435" spans="1:5" ht="15" customHeight="1">
      <c r="A435" s="39"/>
      <c r="B435" s="97"/>
      <c r="C435" s="74" t="s">
        <v>224</v>
      </c>
      <c r="D435" s="58">
        <v>1</v>
      </c>
      <c r="E435" s="59">
        <v>2.6819717857000001E-5</v>
      </c>
    </row>
    <row r="436" spans="1:5" ht="15" customHeight="1">
      <c r="A436" s="39"/>
      <c r="B436" s="97"/>
      <c r="C436" s="74" t="s">
        <v>262</v>
      </c>
      <c r="D436" s="58">
        <v>2</v>
      </c>
      <c r="E436" s="59">
        <v>5.3639435713000001E-5</v>
      </c>
    </row>
    <row r="437" spans="1:5" ht="15" customHeight="1">
      <c r="A437" s="39"/>
      <c r="B437" s="97"/>
      <c r="C437" s="74" t="s">
        <v>225</v>
      </c>
      <c r="D437" s="58">
        <v>33</v>
      </c>
      <c r="E437" s="59">
        <v>8.8505068926699999E-4</v>
      </c>
    </row>
    <row r="438" spans="1:5" ht="15" customHeight="1">
      <c r="A438" s="39"/>
      <c r="B438" s="97"/>
      <c r="C438" s="74" t="s">
        <v>226</v>
      </c>
      <c r="D438" s="58">
        <v>27</v>
      </c>
      <c r="E438" s="59">
        <v>7.2413238212700002E-4</v>
      </c>
    </row>
    <row r="439" spans="1:5" ht="15" customHeight="1">
      <c r="A439" s="39"/>
      <c r="B439" s="97"/>
      <c r="C439" s="74" t="s">
        <v>254</v>
      </c>
      <c r="D439" s="58">
        <v>4</v>
      </c>
      <c r="E439" s="59">
        <v>1.07278871426E-4</v>
      </c>
    </row>
    <row r="440" spans="1:5" ht="15" customHeight="1">
      <c r="A440" s="39"/>
      <c r="B440" s="97"/>
      <c r="C440" s="74" t="s">
        <v>227</v>
      </c>
      <c r="D440" s="58">
        <v>98</v>
      </c>
      <c r="E440" s="59">
        <v>2.6283323499440001E-3</v>
      </c>
    </row>
    <row r="441" spans="1:5" ht="15" customHeight="1">
      <c r="A441" s="39"/>
      <c r="B441" s="97"/>
      <c r="C441" s="74" t="s">
        <v>228</v>
      </c>
      <c r="D441" s="58">
        <v>18</v>
      </c>
      <c r="E441" s="59">
        <v>4.8275492141800001E-4</v>
      </c>
    </row>
    <row r="442" spans="1:5" ht="15" customHeight="1">
      <c r="A442" s="39"/>
      <c r="B442" s="97"/>
      <c r="C442" s="74" t="s">
        <v>252</v>
      </c>
      <c r="D442" s="58">
        <v>1</v>
      </c>
      <c r="E442" s="59">
        <v>2.6819717857000001E-5</v>
      </c>
    </row>
    <row r="443" spans="1:5" ht="15" customHeight="1">
      <c r="A443" s="39"/>
      <c r="B443" s="97"/>
      <c r="C443" s="74" t="s">
        <v>248</v>
      </c>
      <c r="D443" s="58">
        <v>11</v>
      </c>
      <c r="E443" s="59">
        <v>2.9501689642199999E-4</v>
      </c>
    </row>
    <row r="444" spans="1:5" ht="15" customHeight="1">
      <c r="A444" s="39"/>
      <c r="B444" s="97"/>
      <c r="C444" s="74" t="s">
        <v>255</v>
      </c>
      <c r="D444" s="58">
        <v>4</v>
      </c>
      <c r="E444" s="59">
        <v>1.07278871426E-4</v>
      </c>
    </row>
    <row r="445" spans="1:5" ht="15" customHeight="1">
      <c r="A445" s="39"/>
      <c r="B445" s="97"/>
      <c r="C445" s="74" t="s">
        <v>249</v>
      </c>
      <c r="D445" s="58">
        <v>1</v>
      </c>
      <c r="E445" s="59">
        <v>2.6819717857000001E-5</v>
      </c>
    </row>
    <row r="446" spans="1:5" ht="15" customHeight="1">
      <c r="A446" s="39"/>
      <c r="B446" s="97"/>
      <c r="C446" s="74" t="s">
        <v>229</v>
      </c>
      <c r="D446" s="58">
        <v>2</v>
      </c>
      <c r="E446" s="59">
        <v>5.3639435713000001E-5</v>
      </c>
    </row>
    <row r="447" spans="1:5" ht="15" customHeight="1">
      <c r="A447" s="39"/>
      <c r="B447" s="97"/>
      <c r="C447" s="74" t="s">
        <v>266</v>
      </c>
      <c r="D447" s="58">
        <v>1</v>
      </c>
      <c r="E447" s="59">
        <v>2.6819717857000001E-5</v>
      </c>
    </row>
    <row r="448" spans="1:5" ht="15" customHeight="1">
      <c r="A448" s="39"/>
      <c r="B448" s="97"/>
      <c r="C448" s="74" t="s">
        <v>230</v>
      </c>
      <c r="D448" s="58">
        <v>15</v>
      </c>
      <c r="E448" s="59">
        <v>4.0229576784899998E-4</v>
      </c>
    </row>
    <row r="449" spans="1:5" ht="15" customHeight="1">
      <c r="A449" s="39"/>
      <c r="B449" s="97"/>
      <c r="C449" s="74" t="s">
        <v>231</v>
      </c>
      <c r="D449" s="58">
        <v>9</v>
      </c>
      <c r="E449" s="59">
        <v>2.4137746070900001E-4</v>
      </c>
    </row>
    <row r="450" spans="1:5" ht="15" customHeight="1">
      <c r="A450" s="39"/>
      <c r="B450" s="97"/>
      <c r="C450" s="74" t="s">
        <v>263</v>
      </c>
      <c r="D450" s="58">
        <v>5</v>
      </c>
      <c r="E450" s="59">
        <v>1.34098589283E-4</v>
      </c>
    </row>
    <row r="451" spans="1:5" ht="15" customHeight="1">
      <c r="A451" s="39"/>
      <c r="B451" s="97"/>
      <c r="C451" s="74" t="s">
        <v>232</v>
      </c>
      <c r="D451" s="58">
        <v>9</v>
      </c>
      <c r="E451" s="59">
        <v>2.4137746070900001E-4</v>
      </c>
    </row>
    <row r="452" spans="1:5" ht="15" customHeight="1">
      <c r="A452" s="39"/>
      <c r="B452" s="97"/>
      <c r="C452" s="74" t="s">
        <v>256</v>
      </c>
      <c r="D452" s="58">
        <v>3</v>
      </c>
      <c r="E452" s="59">
        <v>8.0459153570000002E-5</v>
      </c>
    </row>
    <row r="453" spans="1:5" ht="15" customHeight="1">
      <c r="A453" s="39"/>
      <c r="B453" s="97"/>
      <c r="C453" s="74" t="s">
        <v>233</v>
      </c>
      <c r="D453" s="58">
        <v>29</v>
      </c>
      <c r="E453" s="59">
        <v>7.7777181783999995E-4</v>
      </c>
    </row>
    <row r="454" spans="1:5" ht="15" customHeight="1">
      <c r="A454" s="39"/>
      <c r="B454" s="97"/>
      <c r="C454" s="74" t="s">
        <v>234</v>
      </c>
      <c r="D454" s="58">
        <v>19</v>
      </c>
      <c r="E454" s="59">
        <v>5.0957463927499996E-4</v>
      </c>
    </row>
    <row r="455" spans="1:5" ht="15" customHeight="1">
      <c r="A455" s="39"/>
      <c r="B455" s="97"/>
      <c r="C455" s="74" t="s">
        <v>235</v>
      </c>
      <c r="D455" s="58">
        <v>5</v>
      </c>
      <c r="E455" s="59">
        <v>1.34098589283E-4</v>
      </c>
    </row>
    <row r="456" spans="1:5" ht="15" customHeight="1">
      <c r="A456" s="39"/>
      <c r="B456" s="97"/>
      <c r="C456" s="74" t="s">
        <v>236</v>
      </c>
      <c r="D456" s="58">
        <v>33</v>
      </c>
      <c r="E456" s="59">
        <v>8.8505068926699999E-4</v>
      </c>
    </row>
    <row r="457" spans="1:5" ht="15" customHeight="1">
      <c r="A457" s="39"/>
      <c r="B457" s="97"/>
      <c r="C457" s="74" t="s">
        <v>237</v>
      </c>
      <c r="D457" s="58">
        <v>21</v>
      </c>
      <c r="E457" s="59">
        <v>5.63214074988E-4</v>
      </c>
    </row>
    <row r="458" spans="1:5" ht="15" customHeight="1">
      <c r="A458" s="39"/>
      <c r="B458" s="97"/>
      <c r="C458" s="74" t="s">
        <v>238</v>
      </c>
      <c r="D458" s="58">
        <v>10</v>
      </c>
      <c r="E458" s="59">
        <v>2.6819717856600001E-4</v>
      </c>
    </row>
    <row r="459" spans="1:5" ht="15" customHeight="1">
      <c r="A459" s="39"/>
      <c r="B459" s="97"/>
      <c r="C459" s="74" t="s">
        <v>239</v>
      </c>
      <c r="D459" s="58">
        <v>17</v>
      </c>
      <c r="E459" s="59">
        <v>4.5593520356200002E-4</v>
      </c>
    </row>
    <row r="460" spans="1:5" ht="15" customHeight="1">
      <c r="A460" s="39"/>
      <c r="B460" s="97"/>
      <c r="C460" s="74" t="s">
        <v>240</v>
      </c>
      <c r="D460" s="58">
        <v>3</v>
      </c>
      <c r="E460" s="59">
        <v>8.0459153570000002E-5</v>
      </c>
    </row>
    <row r="461" spans="1:5" ht="15" customHeight="1">
      <c r="A461" s="39"/>
      <c r="B461" s="97"/>
      <c r="C461" s="74" t="s">
        <v>250</v>
      </c>
      <c r="D461" s="58">
        <v>7</v>
      </c>
      <c r="E461" s="59">
        <v>1.8773802499599999E-4</v>
      </c>
    </row>
    <row r="462" spans="1:5" ht="15" customHeight="1">
      <c r="A462" s="39"/>
      <c r="B462" s="97"/>
      <c r="C462" s="74" t="s">
        <v>257</v>
      </c>
      <c r="D462" s="58">
        <v>5</v>
      </c>
      <c r="E462" s="59">
        <v>1.34098589283E-4</v>
      </c>
    </row>
    <row r="463" spans="1:5" ht="15" customHeight="1">
      <c r="A463" s="39"/>
      <c r="B463" s="97"/>
      <c r="C463" s="74" t="s">
        <v>241</v>
      </c>
      <c r="D463" s="58">
        <v>6</v>
      </c>
      <c r="E463" s="59">
        <v>1.6091830713899999E-4</v>
      </c>
    </row>
    <row r="464" spans="1:5" ht="15" customHeight="1">
      <c r="A464" s="39"/>
      <c r="B464" s="97"/>
      <c r="C464" s="74" t="s">
        <v>242</v>
      </c>
      <c r="D464" s="58">
        <v>201</v>
      </c>
      <c r="E464" s="59">
        <v>5.3907632891700002E-3</v>
      </c>
    </row>
    <row r="465" spans="1:5" ht="15" customHeight="1">
      <c r="A465" s="39"/>
      <c r="B465" s="97"/>
      <c r="C465" s="74" t="s">
        <v>243</v>
      </c>
      <c r="D465" s="58">
        <v>9</v>
      </c>
      <c r="E465" s="59">
        <v>2.4137746070900001E-4</v>
      </c>
    </row>
    <row r="466" spans="1:5" ht="15" customHeight="1">
      <c r="A466" s="39"/>
      <c r="B466" s="97"/>
      <c r="C466" s="74" t="s">
        <v>244</v>
      </c>
      <c r="D466" s="58">
        <v>2</v>
      </c>
      <c r="E466" s="59">
        <v>5.3639435713000001E-5</v>
      </c>
    </row>
    <row r="467" spans="1:5" ht="15" customHeight="1">
      <c r="A467" s="39"/>
      <c r="B467" s="97"/>
      <c r="C467" s="74" t="s">
        <v>79</v>
      </c>
      <c r="D467" s="58">
        <v>4</v>
      </c>
      <c r="E467" s="59">
        <v>1.07278871426E-4</v>
      </c>
    </row>
    <row r="468" spans="1:5" ht="15" customHeight="1">
      <c r="A468" s="39"/>
      <c r="B468" s="97"/>
      <c r="C468" s="74" t="s">
        <v>245</v>
      </c>
      <c r="D468" s="58">
        <v>26</v>
      </c>
      <c r="E468" s="59">
        <v>6.9731266427100003E-4</v>
      </c>
    </row>
    <row r="469" spans="1:5" ht="15" customHeight="1">
      <c r="A469" s="39"/>
      <c r="B469" s="98"/>
      <c r="C469" s="75" t="s">
        <v>353</v>
      </c>
      <c r="D469" s="71">
        <v>1019</v>
      </c>
      <c r="E469" s="73">
        <v>2.7329292495843E-2</v>
      </c>
    </row>
    <row r="470" spans="1:5" ht="15" customHeight="1">
      <c r="A470" s="39"/>
      <c r="B470" s="96" t="s">
        <v>112</v>
      </c>
      <c r="C470" s="74" t="s">
        <v>219</v>
      </c>
      <c r="D470" s="58">
        <v>18</v>
      </c>
      <c r="E470" s="59">
        <v>4.8275492141800001E-4</v>
      </c>
    </row>
    <row r="471" spans="1:5" ht="15" customHeight="1">
      <c r="A471" s="39"/>
      <c r="B471" s="97"/>
      <c r="C471" s="74" t="s">
        <v>220</v>
      </c>
      <c r="D471" s="58">
        <v>37</v>
      </c>
      <c r="E471" s="59">
        <v>9.9232956069299997E-4</v>
      </c>
    </row>
    <row r="472" spans="1:5" ht="15" customHeight="1">
      <c r="A472" s="39"/>
      <c r="B472" s="97"/>
      <c r="C472" s="74" t="s">
        <v>221</v>
      </c>
      <c r="D472" s="58">
        <v>15</v>
      </c>
      <c r="E472" s="59">
        <v>4.0229576784899998E-4</v>
      </c>
    </row>
    <row r="473" spans="1:5" ht="15" customHeight="1">
      <c r="A473" s="39"/>
      <c r="B473" s="97"/>
      <c r="C473" s="74" t="s">
        <v>222</v>
      </c>
      <c r="D473" s="58">
        <v>717</v>
      </c>
      <c r="E473" s="59">
        <v>1.9229737703159E-2</v>
      </c>
    </row>
    <row r="474" spans="1:5" ht="15" customHeight="1">
      <c r="A474" s="39"/>
      <c r="B474" s="97"/>
      <c r="C474" s="74" t="s">
        <v>223</v>
      </c>
      <c r="D474" s="58">
        <v>39</v>
      </c>
      <c r="E474" s="59">
        <v>1.045968996406E-3</v>
      </c>
    </row>
    <row r="475" spans="1:5" ht="15" customHeight="1">
      <c r="A475" s="39"/>
      <c r="B475" s="97"/>
      <c r="C475" s="74" t="s">
        <v>224</v>
      </c>
      <c r="D475" s="58">
        <v>13</v>
      </c>
      <c r="E475" s="59">
        <v>3.4865633213499998E-4</v>
      </c>
    </row>
    <row r="476" spans="1:5" ht="15" customHeight="1">
      <c r="A476" s="39"/>
      <c r="B476" s="97"/>
      <c r="C476" s="74" t="s">
        <v>262</v>
      </c>
      <c r="D476" s="58">
        <v>10</v>
      </c>
      <c r="E476" s="59">
        <v>2.6819717856600001E-4</v>
      </c>
    </row>
    <row r="477" spans="1:5" ht="15" customHeight="1">
      <c r="A477" s="39"/>
      <c r="B477" s="97"/>
      <c r="C477" s="74" t="s">
        <v>225</v>
      </c>
      <c r="D477" s="58">
        <v>55</v>
      </c>
      <c r="E477" s="59">
        <v>1.475084482111E-3</v>
      </c>
    </row>
    <row r="478" spans="1:5" ht="15" customHeight="1">
      <c r="A478" s="39"/>
      <c r="B478" s="97"/>
      <c r="C478" s="74" t="s">
        <v>226</v>
      </c>
      <c r="D478" s="58">
        <v>74</v>
      </c>
      <c r="E478" s="59">
        <v>1.9846591213859999E-3</v>
      </c>
    </row>
    <row r="479" spans="1:5" ht="15" customHeight="1">
      <c r="A479" s="39"/>
      <c r="B479" s="97"/>
      <c r="C479" s="74" t="s">
        <v>247</v>
      </c>
      <c r="D479" s="58">
        <v>1</v>
      </c>
      <c r="E479" s="59">
        <v>2.6819717857000001E-5</v>
      </c>
    </row>
    <row r="480" spans="1:5" ht="15" customHeight="1">
      <c r="A480" s="39"/>
      <c r="B480" s="97"/>
      <c r="C480" s="74" t="s">
        <v>254</v>
      </c>
      <c r="D480" s="58">
        <v>6</v>
      </c>
      <c r="E480" s="59">
        <v>1.6091830713899999E-4</v>
      </c>
    </row>
    <row r="481" spans="1:5" ht="15" customHeight="1">
      <c r="A481" s="39"/>
      <c r="B481" s="97"/>
      <c r="C481" s="74" t="s">
        <v>227</v>
      </c>
      <c r="D481" s="58">
        <v>228</v>
      </c>
      <c r="E481" s="59">
        <v>6.1148956712980002E-3</v>
      </c>
    </row>
    <row r="482" spans="1:5" ht="15" customHeight="1">
      <c r="A482" s="39"/>
      <c r="B482" s="97"/>
      <c r="C482" s="74" t="s">
        <v>228</v>
      </c>
      <c r="D482" s="58">
        <v>72</v>
      </c>
      <c r="E482" s="59">
        <v>1.9310196856729999E-3</v>
      </c>
    </row>
    <row r="483" spans="1:5" ht="15" customHeight="1">
      <c r="A483" s="39"/>
      <c r="B483" s="97"/>
      <c r="C483" s="74" t="s">
        <v>252</v>
      </c>
      <c r="D483" s="58">
        <v>9</v>
      </c>
      <c r="E483" s="59">
        <v>2.4137746070900001E-4</v>
      </c>
    </row>
    <row r="484" spans="1:5" ht="15" customHeight="1">
      <c r="A484" s="39"/>
      <c r="B484" s="97"/>
      <c r="C484" s="74" t="s">
        <v>248</v>
      </c>
      <c r="D484" s="58">
        <v>26</v>
      </c>
      <c r="E484" s="59">
        <v>6.9731266427100003E-4</v>
      </c>
    </row>
    <row r="485" spans="1:5" ht="15" customHeight="1">
      <c r="A485" s="39"/>
      <c r="B485" s="97"/>
      <c r="C485" s="74" t="s">
        <v>255</v>
      </c>
      <c r="D485" s="58">
        <v>18</v>
      </c>
      <c r="E485" s="59">
        <v>4.8275492141800001E-4</v>
      </c>
    </row>
    <row r="486" spans="1:5" ht="15" customHeight="1">
      <c r="A486" s="39"/>
      <c r="B486" s="97"/>
      <c r="C486" s="74" t="s">
        <v>249</v>
      </c>
      <c r="D486" s="58">
        <v>5</v>
      </c>
      <c r="E486" s="59">
        <v>1.34098589283E-4</v>
      </c>
    </row>
    <row r="487" spans="1:5" ht="15" customHeight="1">
      <c r="A487" s="39"/>
      <c r="B487" s="97"/>
      <c r="C487" s="74" t="s">
        <v>229</v>
      </c>
      <c r="D487" s="58">
        <v>5</v>
      </c>
      <c r="E487" s="59">
        <v>1.34098589283E-4</v>
      </c>
    </row>
    <row r="488" spans="1:5" ht="15" customHeight="1">
      <c r="A488" s="39"/>
      <c r="B488" s="97"/>
      <c r="C488" s="74" t="s">
        <v>266</v>
      </c>
      <c r="D488" s="58">
        <v>2</v>
      </c>
      <c r="E488" s="59">
        <v>5.3639435713000001E-5</v>
      </c>
    </row>
    <row r="489" spans="1:5" ht="15" customHeight="1">
      <c r="A489" s="39"/>
      <c r="B489" s="97"/>
      <c r="C489" s="74" t="s">
        <v>230</v>
      </c>
      <c r="D489" s="58">
        <v>36</v>
      </c>
      <c r="E489" s="59">
        <v>9.6550984283600002E-4</v>
      </c>
    </row>
    <row r="490" spans="1:5" ht="15" customHeight="1">
      <c r="A490" s="39"/>
      <c r="B490" s="97"/>
      <c r="C490" s="74" t="s">
        <v>231</v>
      </c>
      <c r="D490" s="58">
        <v>25</v>
      </c>
      <c r="E490" s="59">
        <v>6.7049294641399998E-4</v>
      </c>
    </row>
    <row r="491" spans="1:5" ht="15" customHeight="1">
      <c r="A491" s="39"/>
      <c r="B491" s="97"/>
      <c r="C491" s="74" t="s">
        <v>263</v>
      </c>
      <c r="D491" s="58">
        <v>6</v>
      </c>
      <c r="E491" s="59">
        <v>1.6091830713899999E-4</v>
      </c>
    </row>
    <row r="492" spans="1:5" ht="15" customHeight="1">
      <c r="A492" s="39"/>
      <c r="B492" s="97"/>
      <c r="C492" s="74" t="s">
        <v>232</v>
      </c>
      <c r="D492" s="58">
        <v>12</v>
      </c>
      <c r="E492" s="59">
        <v>3.2183661427899999E-4</v>
      </c>
    </row>
    <row r="493" spans="1:5" ht="15" customHeight="1">
      <c r="A493" s="39"/>
      <c r="B493" s="97"/>
      <c r="C493" s="74" t="s">
        <v>256</v>
      </c>
      <c r="D493" s="58">
        <v>22</v>
      </c>
      <c r="E493" s="59">
        <v>5.9003379284399999E-4</v>
      </c>
    </row>
    <row r="494" spans="1:5" ht="15" customHeight="1">
      <c r="A494" s="39"/>
      <c r="B494" s="97"/>
      <c r="C494" s="74" t="s">
        <v>233</v>
      </c>
      <c r="D494" s="58">
        <v>67</v>
      </c>
      <c r="E494" s="59">
        <v>1.7969210963900001E-3</v>
      </c>
    </row>
    <row r="495" spans="1:5" ht="15" customHeight="1">
      <c r="A495" s="39"/>
      <c r="B495" s="97"/>
      <c r="C495" s="74" t="s">
        <v>234</v>
      </c>
      <c r="D495" s="58">
        <v>41</v>
      </c>
      <c r="E495" s="59">
        <v>1.0996084321190001E-3</v>
      </c>
    </row>
    <row r="496" spans="1:5" ht="15" customHeight="1">
      <c r="A496" s="39"/>
      <c r="B496" s="97"/>
      <c r="C496" s="74" t="s">
        <v>235</v>
      </c>
      <c r="D496" s="58">
        <v>3</v>
      </c>
      <c r="E496" s="59">
        <v>8.0459153570000002E-5</v>
      </c>
    </row>
    <row r="497" spans="1:5" ht="15" customHeight="1">
      <c r="A497" s="39"/>
      <c r="B497" s="97"/>
      <c r="C497" s="74" t="s">
        <v>236</v>
      </c>
      <c r="D497" s="58">
        <v>75</v>
      </c>
      <c r="E497" s="59">
        <v>2.0114788392429999E-3</v>
      </c>
    </row>
    <row r="498" spans="1:5" ht="15" customHeight="1">
      <c r="A498" s="39"/>
      <c r="B498" s="97"/>
      <c r="C498" s="74" t="s">
        <v>237</v>
      </c>
      <c r="D498" s="58">
        <v>75</v>
      </c>
      <c r="E498" s="59">
        <v>2.0114788392429999E-3</v>
      </c>
    </row>
    <row r="499" spans="1:5" ht="15" customHeight="1">
      <c r="A499" s="39"/>
      <c r="B499" s="97"/>
      <c r="C499" s="74" t="s">
        <v>238</v>
      </c>
      <c r="D499" s="58">
        <v>24</v>
      </c>
      <c r="E499" s="59">
        <v>6.4367322855799999E-4</v>
      </c>
    </row>
    <row r="500" spans="1:5" ht="15" customHeight="1">
      <c r="A500" s="39"/>
      <c r="B500" s="97"/>
      <c r="C500" s="74" t="s">
        <v>239</v>
      </c>
      <c r="D500" s="58">
        <v>40</v>
      </c>
      <c r="E500" s="59">
        <v>1.072788714263E-3</v>
      </c>
    </row>
    <row r="501" spans="1:5" ht="15" customHeight="1">
      <c r="A501" s="39"/>
      <c r="B501" s="97"/>
      <c r="C501" s="74" t="s">
        <v>240</v>
      </c>
      <c r="D501" s="58">
        <v>10</v>
      </c>
      <c r="E501" s="59">
        <v>2.6819717856600001E-4</v>
      </c>
    </row>
    <row r="502" spans="1:5" ht="15" customHeight="1">
      <c r="A502" s="39"/>
      <c r="B502" s="97"/>
      <c r="C502" s="74" t="s">
        <v>250</v>
      </c>
      <c r="D502" s="58">
        <v>15</v>
      </c>
      <c r="E502" s="59">
        <v>4.0229576784899998E-4</v>
      </c>
    </row>
    <row r="503" spans="1:5" ht="15" customHeight="1">
      <c r="A503" s="39"/>
      <c r="B503" s="97"/>
      <c r="C503" s="74" t="s">
        <v>257</v>
      </c>
      <c r="D503" s="58">
        <v>22</v>
      </c>
      <c r="E503" s="59">
        <v>5.9003379284399999E-4</v>
      </c>
    </row>
    <row r="504" spans="1:5" ht="15" customHeight="1">
      <c r="A504" s="39"/>
      <c r="B504" s="97"/>
      <c r="C504" s="74" t="s">
        <v>258</v>
      </c>
      <c r="D504" s="58">
        <v>1</v>
      </c>
      <c r="E504" s="59">
        <v>2.6819717857000001E-5</v>
      </c>
    </row>
    <row r="505" spans="1:5" ht="15" customHeight="1">
      <c r="A505" s="39"/>
      <c r="B505" s="97"/>
      <c r="C505" s="74" t="s">
        <v>241</v>
      </c>
      <c r="D505" s="58">
        <v>41</v>
      </c>
      <c r="E505" s="59">
        <v>1.0996084321190001E-3</v>
      </c>
    </row>
    <row r="506" spans="1:5" ht="15" customHeight="1">
      <c r="A506" s="39"/>
      <c r="B506" s="97"/>
      <c r="C506" s="74" t="s">
        <v>242</v>
      </c>
      <c r="D506" s="58">
        <v>410</v>
      </c>
      <c r="E506" s="59">
        <v>1.0996084321193001E-2</v>
      </c>
    </row>
    <row r="507" spans="1:5" ht="15" customHeight="1">
      <c r="A507" s="39"/>
      <c r="B507" s="97"/>
      <c r="C507" s="74" t="s">
        <v>243</v>
      </c>
      <c r="D507" s="58">
        <v>17</v>
      </c>
      <c r="E507" s="59">
        <v>4.5593520356200002E-4</v>
      </c>
    </row>
    <row r="508" spans="1:5" ht="15" customHeight="1">
      <c r="A508" s="39"/>
      <c r="B508" s="97"/>
      <c r="C508" s="74" t="s">
        <v>244</v>
      </c>
      <c r="D508" s="58">
        <v>8</v>
      </c>
      <c r="E508" s="59">
        <v>2.1455774285299999E-4</v>
      </c>
    </row>
    <row r="509" spans="1:5" ht="15" customHeight="1">
      <c r="A509" s="39"/>
      <c r="B509" s="97"/>
      <c r="C509" s="74" t="s">
        <v>79</v>
      </c>
      <c r="D509" s="58">
        <v>14</v>
      </c>
      <c r="E509" s="59">
        <v>3.7547604999199998E-4</v>
      </c>
    </row>
    <row r="510" spans="1:5" ht="15" customHeight="1">
      <c r="A510" s="39"/>
      <c r="B510" s="97"/>
      <c r="C510" s="74" t="s">
        <v>245</v>
      </c>
      <c r="D510" s="58">
        <v>27</v>
      </c>
      <c r="E510" s="59">
        <v>7.2413238212700002E-4</v>
      </c>
    </row>
    <row r="511" spans="1:5" ht="15" customHeight="1">
      <c r="A511" s="39"/>
      <c r="B511" s="97"/>
      <c r="C511" s="74" t="s">
        <v>269</v>
      </c>
      <c r="D511" s="58">
        <v>4</v>
      </c>
      <c r="E511" s="59">
        <v>1.07278871426E-4</v>
      </c>
    </row>
    <row r="512" spans="1:5" ht="15" customHeight="1">
      <c r="A512" s="39"/>
      <c r="B512" s="98"/>
      <c r="C512" s="75" t="s">
        <v>353</v>
      </c>
      <c r="D512" s="71">
        <v>2345</v>
      </c>
      <c r="E512" s="73">
        <v>6.2892238373652001E-2</v>
      </c>
    </row>
    <row r="513" spans="1:5" ht="15" customHeight="1">
      <c r="A513" s="39"/>
      <c r="B513" s="96" t="s">
        <v>113</v>
      </c>
      <c r="C513" s="74" t="s">
        <v>219</v>
      </c>
      <c r="D513" s="58">
        <v>67</v>
      </c>
      <c r="E513" s="59">
        <v>1.7969210963900001E-3</v>
      </c>
    </row>
    <row r="514" spans="1:5" ht="15" customHeight="1">
      <c r="A514" s="39"/>
      <c r="B514" s="97"/>
      <c r="C514" s="74" t="s">
        <v>277</v>
      </c>
      <c r="D514" s="58">
        <v>1</v>
      </c>
      <c r="E514" s="59">
        <v>2.6819717857000001E-5</v>
      </c>
    </row>
    <row r="515" spans="1:5" ht="15" customHeight="1">
      <c r="A515" s="39"/>
      <c r="B515" s="97"/>
      <c r="C515" s="74" t="s">
        <v>220</v>
      </c>
      <c r="D515" s="58">
        <v>157</v>
      </c>
      <c r="E515" s="59">
        <v>4.2106957034810004E-3</v>
      </c>
    </row>
    <row r="516" spans="1:5" ht="15" customHeight="1">
      <c r="A516" s="39"/>
      <c r="B516" s="97"/>
      <c r="C516" s="74" t="s">
        <v>221</v>
      </c>
      <c r="D516" s="58">
        <v>110</v>
      </c>
      <c r="E516" s="59">
        <v>2.950168964222E-3</v>
      </c>
    </row>
    <row r="517" spans="1:5" ht="15" customHeight="1">
      <c r="A517" s="39"/>
      <c r="B517" s="97"/>
      <c r="C517" s="74" t="s">
        <v>222</v>
      </c>
      <c r="D517" s="58">
        <v>3043</v>
      </c>
      <c r="E517" s="59">
        <v>8.1612401437536994E-2</v>
      </c>
    </row>
    <row r="518" spans="1:5" ht="15" customHeight="1">
      <c r="A518" s="39"/>
      <c r="B518" s="97"/>
      <c r="C518" s="74" t="s">
        <v>223</v>
      </c>
      <c r="D518" s="58">
        <v>117</v>
      </c>
      <c r="E518" s="59">
        <v>3.1379069892179998E-3</v>
      </c>
    </row>
    <row r="519" spans="1:5" ht="15" customHeight="1">
      <c r="A519" s="39"/>
      <c r="B519" s="97"/>
      <c r="C519" s="74" t="s">
        <v>224</v>
      </c>
      <c r="D519" s="58">
        <v>36</v>
      </c>
      <c r="E519" s="59">
        <v>9.6550984283600002E-4</v>
      </c>
    </row>
    <row r="520" spans="1:5" ht="15" customHeight="1">
      <c r="A520" s="39"/>
      <c r="B520" s="97"/>
      <c r="C520" s="74" t="s">
        <v>262</v>
      </c>
      <c r="D520" s="58">
        <v>21</v>
      </c>
      <c r="E520" s="59">
        <v>5.63214074988E-4</v>
      </c>
    </row>
    <row r="521" spans="1:5" ht="15" customHeight="1">
      <c r="A521" s="39"/>
      <c r="B521" s="97"/>
      <c r="C521" s="74" t="s">
        <v>225</v>
      </c>
      <c r="D521" s="58">
        <v>212</v>
      </c>
      <c r="E521" s="59">
        <v>5.6857801855919998E-3</v>
      </c>
    </row>
    <row r="522" spans="1:5" ht="15" customHeight="1">
      <c r="A522" s="39"/>
      <c r="B522" s="97"/>
      <c r="C522" s="74" t="s">
        <v>226</v>
      </c>
      <c r="D522" s="58">
        <v>236</v>
      </c>
      <c r="E522" s="59">
        <v>6.3294534141500004E-3</v>
      </c>
    </row>
    <row r="523" spans="1:5" ht="15" customHeight="1">
      <c r="A523" s="39"/>
      <c r="B523" s="97"/>
      <c r="C523" s="74" t="s">
        <v>247</v>
      </c>
      <c r="D523" s="58">
        <v>4</v>
      </c>
      <c r="E523" s="59">
        <v>1.07278871426E-4</v>
      </c>
    </row>
    <row r="524" spans="1:5" ht="15" customHeight="1">
      <c r="A524" s="39"/>
      <c r="B524" s="97"/>
      <c r="C524" s="74" t="s">
        <v>254</v>
      </c>
      <c r="D524" s="58">
        <v>43</v>
      </c>
      <c r="E524" s="59">
        <v>1.1532478678320001E-3</v>
      </c>
    </row>
    <row r="525" spans="1:5" ht="15" customHeight="1">
      <c r="A525" s="39"/>
      <c r="B525" s="97"/>
      <c r="C525" s="74" t="s">
        <v>227</v>
      </c>
      <c r="D525" s="58">
        <v>1181</v>
      </c>
      <c r="E525" s="59">
        <v>3.1674086788607003E-2</v>
      </c>
    </row>
    <row r="526" spans="1:5" ht="15" customHeight="1">
      <c r="A526" s="39"/>
      <c r="B526" s="97"/>
      <c r="C526" s="74" t="s">
        <v>228</v>
      </c>
      <c r="D526" s="58">
        <v>188</v>
      </c>
      <c r="E526" s="59">
        <v>5.0421069570350001E-3</v>
      </c>
    </row>
    <row r="527" spans="1:5" ht="15" customHeight="1">
      <c r="A527" s="39"/>
      <c r="B527" s="97"/>
      <c r="C527" s="74" t="s">
        <v>252</v>
      </c>
      <c r="D527" s="58">
        <v>27</v>
      </c>
      <c r="E527" s="59">
        <v>7.2413238212700002E-4</v>
      </c>
    </row>
    <row r="528" spans="1:5" ht="15" customHeight="1">
      <c r="A528" s="39"/>
      <c r="B528" s="97"/>
      <c r="C528" s="74" t="s">
        <v>248</v>
      </c>
      <c r="D528" s="58">
        <v>61</v>
      </c>
      <c r="E528" s="59">
        <v>1.636002789251E-3</v>
      </c>
    </row>
    <row r="529" spans="1:5" ht="15" customHeight="1">
      <c r="A529" s="39"/>
      <c r="B529" s="97"/>
      <c r="C529" s="74" t="s">
        <v>255</v>
      </c>
      <c r="D529" s="58">
        <v>52</v>
      </c>
      <c r="E529" s="59">
        <v>1.3946253285420001E-3</v>
      </c>
    </row>
    <row r="530" spans="1:5" ht="15" customHeight="1">
      <c r="A530" s="39"/>
      <c r="B530" s="97"/>
      <c r="C530" s="74" t="s">
        <v>249</v>
      </c>
      <c r="D530" s="58">
        <v>25</v>
      </c>
      <c r="E530" s="59">
        <v>6.7049294641399998E-4</v>
      </c>
    </row>
    <row r="531" spans="1:5" ht="15" customHeight="1">
      <c r="A531" s="39"/>
      <c r="B531" s="97"/>
      <c r="C531" s="74" t="s">
        <v>229</v>
      </c>
      <c r="D531" s="58">
        <v>23</v>
      </c>
      <c r="E531" s="59">
        <v>6.1685351070100004E-4</v>
      </c>
    </row>
    <row r="532" spans="1:5" ht="15" customHeight="1">
      <c r="A532" s="39"/>
      <c r="B532" s="97"/>
      <c r="C532" s="74" t="s">
        <v>266</v>
      </c>
      <c r="D532" s="58">
        <v>9</v>
      </c>
      <c r="E532" s="59">
        <v>2.4137746070900001E-4</v>
      </c>
    </row>
    <row r="533" spans="1:5" ht="15" customHeight="1">
      <c r="A533" s="39"/>
      <c r="B533" s="97"/>
      <c r="C533" s="74" t="s">
        <v>230</v>
      </c>
      <c r="D533" s="58">
        <v>75</v>
      </c>
      <c r="E533" s="59">
        <v>2.0114788392429999E-3</v>
      </c>
    </row>
    <row r="534" spans="1:5" ht="15" customHeight="1">
      <c r="A534" s="39"/>
      <c r="B534" s="97"/>
      <c r="C534" s="74" t="s">
        <v>231</v>
      </c>
      <c r="D534" s="58">
        <v>109</v>
      </c>
      <c r="E534" s="59">
        <v>2.9233492463660001E-3</v>
      </c>
    </row>
    <row r="535" spans="1:5" ht="15" customHeight="1">
      <c r="A535" s="39"/>
      <c r="B535" s="97"/>
      <c r="C535" s="74" t="s">
        <v>263</v>
      </c>
      <c r="D535" s="58">
        <v>28</v>
      </c>
      <c r="E535" s="59">
        <v>7.5095209998399996E-4</v>
      </c>
    </row>
    <row r="536" spans="1:5" ht="15" customHeight="1">
      <c r="A536" s="39"/>
      <c r="B536" s="97"/>
      <c r="C536" s="74" t="s">
        <v>232</v>
      </c>
      <c r="D536" s="58">
        <v>65</v>
      </c>
      <c r="E536" s="59">
        <v>1.743281660677E-3</v>
      </c>
    </row>
    <row r="537" spans="1:5" ht="15" customHeight="1">
      <c r="A537" s="39"/>
      <c r="B537" s="97"/>
      <c r="C537" s="74" t="s">
        <v>267</v>
      </c>
      <c r="D537" s="58">
        <v>4</v>
      </c>
      <c r="E537" s="59">
        <v>1.07278871426E-4</v>
      </c>
    </row>
    <row r="538" spans="1:5" ht="15" customHeight="1">
      <c r="A538" s="39"/>
      <c r="B538" s="97"/>
      <c r="C538" s="74" t="s">
        <v>256</v>
      </c>
      <c r="D538" s="58">
        <v>50</v>
      </c>
      <c r="E538" s="59">
        <v>1.340985892828E-3</v>
      </c>
    </row>
    <row r="539" spans="1:5" ht="15" customHeight="1">
      <c r="A539" s="39"/>
      <c r="B539" s="97"/>
      <c r="C539" s="74" t="s">
        <v>233</v>
      </c>
      <c r="D539" s="58">
        <v>312</v>
      </c>
      <c r="E539" s="59">
        <v>8.3677519712489993E-3</v>
      </c>
    </row>
    <row r="540" spans="1:5" ht="15" customHeight="1">
      <c r="A540" s="39"/>
      <c r="B540" s="97"/>
      <c r="C540" s="74" t="s">
        <v>234</v>
      </c>
      <c r="D540" s="58">
        <v>167</v>
      </c>
      <c r="E540" s="59">
        <v>4.4788928820469996E-3</v>
      </c>
    </row>
    <row r="541" spans="1:5" ht="15" customHeight="1">
      <c r="A541" s="39"/>
      <c r="B541" s="97"/>
      <c r="C541" s="74" t="s">
        <v>235</v>
      </c>
      <c r="D541" s="58">
        <v>22</v>
      </c>
      <c r="E541" s="59">
        <v>5.9003379284399999E-4</v>
      </c>
    </row>
    <row r="542" spans="1:5" ht="15" customHeight="1">
      <c r="A542" s="39"/>
      <c r="B542" s="97"/>
      <c r="C542" s="74" t="s">
        <v>236</v>
      </c>
      <c r="D542" s="58">
        <v>319</v>
      </c>
      <c r="E542" s="59">
        <v>8.5554899962449991E-3</v>
      </c>
    </row>
    <row r="543" spans="1:5" ht="15" customHeight="1">
      <c r="A543" s="39"/>
      <c r="B543" s="97"/>
      <c r="C543" s="74" t="s">
        <v>237</v>
      </c>
      <c r="D543" s="58">
        <v>239</v>
      </c>
      <c r="E543" s="59">
        <v>6.4099125677199997E-3</v>
      </c>
    </row>
    <row r="544" spans="1:5" ht="15" customHeight="1">
      <c r="A544" s="39"/>
      <c r="B544" s="97"/>
      <c r="C544" s="74" t="s">
        <v>272</v>
      </c>
      <c r="D544" s="58">
        <v>3</v>
      </c>
      <c r="E544" s="59">
        <v>8.0459153570000002E-5</v>
      </c>
    </row>
    <row r="545" spans="1:5" ht="15" customHeight="1">
      <c r="A545" s="39"/>
      <c r="B545" s="97"/>
      <c r="C545" s="74" t="s">
        <v>238</v>
      </c>
      <c r="D545" s="58">
        <v>68</v>
      </c>
      <c r="E545" s="59">
        <v>1.823740814247E-3</v>
      </c>
    </row>
    <row r="546" spans="1:5" ht="15" customHeight="1">
      <c r="A546" s="39"/>
      <c r="B546" s="97"/>
      <c r="C546" s="74" t="s">
        <v>239</v>
      </c>
      <c r="D546" s="58">
        <v>115</v>
      </c>
      <c r="E546" s="59">
        <v>3.084267553505E-3</v>
      </c>
    </row>
    <row r="547" spans="1:5" ht="15" customHeight="1">
      <c r="A547" s="39"/>
      <c r="B547" s="97"/>
      <c r="C547" s="74" t="s">
        <v>240</v>
      </c>
      <c r="D547" s="58">
        <v>56</v>
      </c>
      <c r="E547" s="59">
        <v>1.5019041999679999E-3</v>
      </c>
    </row>
    <row r="548" spans="1:5" ht="15" customHeight="1">
      <c r="A548" s="39"/>
      <c r="B548" s="97"/>
      <c r="C548" s="74" t="s">
        <v>250</v>
      </c>
      <c r="D548" s="58">
        <v>70</v>
      </c>
      <c r="E548" s="59">
        <v>1.8773802499600001E-3</v>
      </c>
    </row>
    <row r="549" spans="1:5" ht="15" customHeight="1">
      <c r="A549" s="39"/>
      <c r="B549" s="97"/>
      <c r="C549" s="74" t="s">
        <v>260</v>
      </c>
      <c r="D549" s="58">
        <v>5</v>
      </c>
      <c r="E549" s="59">
        <v>1.34098589283E-4</v>
      </c>
    </row>
    <row r="550" spans="1:5" ht="15" customHeight="1">
      <c r="A550" s="39"/>
      <c r="B550" s="97"/>
      <c r="C550" s="74" t="s">
        <v>257</v>
      </c>
      <c r="D550" s="58">
        <v>90</v>
      </c>
      <c r="E550" s="59">
        <v>2.4137746070909999E-3</v>
      </c>
    </row>
    <row r="551" spans="1:5" ht="15" customHeight="1">
      <c r="A551" s="39"/>
      <c r="B551" s="97"/>
      <c r="C551" s="74" t="s">
        <v>258</v>
      </c>
      <c r="D551" s="58">
        <v>1</v>
      </c>
      <c r="E551" s="59">
        <v>2.6819717857000001E-5</v>
      </c>
    </row>
    <row r="552" spans="1:5" ht="15" customHeight="1">
      <c r="A552" s="39"/>
      <c r="B552" s="97"/>
      <c r="C552" s="74" t="s">
        <v>241</v>
      </c>
      <c r="D552" s="58">
        <v>142</v>
      </c>
      <c r="E552" s="59">
        <v>3.808399935633E-3</v>
      </c>
    </row>
    <row r="553" spans="1:5" ht="15" customHeight="1">
      <c r="A553" s="39"/>
      <c r="B553" s="97"/>
      <c r="C553" s="74" t="s">
        <v>242</v>
      </c>
      <c r="D553" s="58">
        <v>1813</v>
      </c>
      <c r="E553" s="59">
        <v>4.8624148473957997E-2</v>
      </c>
    </row>
    <row r="554" spans="1:5" ht="15" customHeight="1">
      <c r="A554" s="39"/>
      <c r="B554" s="97"/>
      <c r="C554" s="74" t="s">
        <v>243</v>
      </c>
      <c r="D554" s="58">
        <v>136</v>
      </c>
      <c r="E554" s="59">
        <v>3.647481628493E-3</v>
      </c>
    </row>
    <row r="555" spans="1:5" ht="15" customHeight="1">
      <c r="A555" s="39"/>
      <c r="B555" s="97"/>
      <c r="C555" s="74" t="s">
        <v>244</v>
      </c>
      <c r="D555" s="58">
        <v>38</v>
      </c>
      <c r="E555" s="59">
        <v>1.0191492785499999E-3</v>
      </c>
    </row>
    <row r="556" spans="1:5" ht="15" customHeight="1">
      <c r="A556" s="39"/>
      <c r="B556" s="97"/>
      <c r="C556" s="74" t="s">
        <v>79</v>
      </c>
      <c r="D556" s="58">
        <v>58</v>
      </c>
      <c r="E556" s="59">
        <v>1.555543635681E-3</v>
      </c>
    </row>
    <row r="557" spans="1:5" ht="15" customHeight="1">
      <c r="A557" s="39"/>
      <c r="B557" s="97"/>
      <c r="C557" s="74" t="s">
        <v>245</v>
      </c>
      <c r="D557" s="58">
        <v>133</v>
      </c>
      <c r="E557" s="59">
        <v>3.5670224749239999E-3</v>
      </c>
    </row>
    <row r="558" spans="1:5" ht="15" customHeight="1">
      <c r="A558" s="39"/>
      <c r="B558" s="97"/>
      <c r="C558" s="74" t="s">
        <v>269</v>
      </c>
      <c r="D558" s="58">
        <v>15</v>
      </c>
      <c r="E558" s="59">
        <v>4.0229576784899998E-4</v>
      </c>
    </row>
    <row r="559" spans="1:5" ht="15" customHeight="1">
      <c r="A559" s="39"/>
      <c r="B559" s="98"/>
      <c r="C559" s="75" t="s">
        <v>353</v>
      </c>
      <c r="D559" s="71">
        <v>9746</v>
      </c>
      <c r="E559" s="73">
        <v>0.26138497023011298</v>
      </c>
    </row>
    <row r="560" spans="1:5" ht="15" customHeight="1">
      <c r="A560" s="39"/>
      <c r="B560" s="96" t="s">
        <v>278</v>
      </c>
      <c r="C560" s="74" t="s">
        <v>219</v>
      </c>
      <c r="D560" s="58">
        <v>1</v>
      </c>
      <c r="E560" s="59">
        <v>2.6819717857000001E-5</v>
      </c>
    </row>
    <row r="561" spans="1:5" ht="15" customHeight="1">
      <c r="A561" s="39"/>
      <c r="B561" s="97"/>
      <c r="C561" s="74" t="s">
        <v>220</v>
      </c>
      <c r="D561" s="58">
        <v>6</v>
      </c>
      <c r="E561" s="59">
        <v>1.6091830713899999E-4</v>
      </c>
    </row>
    <row r="562" spans="1:5" ht="15" customHeight="1">
      <c r="A562" s="39"/>
      <c r="B562" s="97"/>
      <c r="C562" s="74" t="s">
        <v>221</v>
      </c>
      <c r="D562" s="58">
        <v>3</v>
      </c>
      <c r="E562" s="59">
        <v>8.0459153570000002E-5</v>
      </c>
    </row>
    <row r="563" spans="1:5" ht="15" customHeight="1">
      <c r="A563" s="39"/>
      <c r="B563" s="97"/>
      <c r="C563" s="74" t="s">
        <v>222</v>
      </c>
      <c r="D563" s="58">
        <v>95</v>
      </c>
      <c r="E563" s="59">
        <v>2.5478731963739999E-3</v>
      </c>
    </row>
    <row r="564" spans="1:5" ht="15" customHeight="1">
      <c r="A564" s="39"/>
      <c r="B564" s="97"/>
      <c r="C564" s="74" t="s">
        <v>223</v>
      </c>
      <c r="D564" s="58">
        <v>4</v>
      </c>
      <c r="E564" s="59">
        <v>1.07278871426E-4</v>
      </c>
    </row>
    <row r="565" spans="1:5" ht="15" customHeight="1">
      <c r="A565" s="39"/>
      <c r="B565" s="97"/>
      <c r="C565" s="74" t="s">
        <v>262</v>
      </c>
      <c r="D565" s="58">
        <v>1</v>
      </c>
      <c r="E565" s="59">
        <v>2.6819717857000001E-5</v>
      </c>
    </row>
    <row r="566" spans="1:5" ht="15" customHeight="1">
      <c r="A566" s="39"/>
      <c r="B566" s="97"/>
      <c r="C566" s="74" t="s">
        <v>225</v>
      </c>
      <c r="D566" s="58">
        <v>2</v>
      </c>
      <c r="E566" s="59">
        <v>5.3639435713000001E-5</v>
      </c>
    </row>
    <row r="567" spans="1:5" ht="15" customHeight="1">
      <c r="A567" s="39"/>
      <c r="B567" s="97"/>
      <c r="C567" s="74" t="s">
        <v>226</v>
      </c>
      <c r="D567" s="58">
        <v>8</v>
      </c>
      <c r="E567" s="59">
        <v>2.1455774285299999E-4</v>
      </c>
    </row>
    <row r="568" spans="1:5" ht="15" customHeight="1">
      <c r="A568" s="39"/>
      <c r="B568" s="97"/>
      <c r="C568" s="74" t="s">
        <v>227</v>
      </c>
      <c r="D568" s="58">
        <v>16</v>
      </c>
      <c r="E568" s="59">
        <v>4.2911548570500002E-4</v>
      </c>
    </row>
    <row r="569" spans="1:5" ht="15" customHeight="1">
      <c r="A569" s="39"/>
      <c r="B569" s="97"/>
      <c r="C569" s="74" t="s">
        <v>228</v>
      </c>
      <c r="D569" s="58">
        <v>3</v>
      </c>
      <c r="E569" s="59">
        <v>8.0459153570000002E-5</v>
      </c>
    </row>
    <row r="570" spans="1:5" ht="15" customHeight="1">
      <c r="A570" s="39"/>
      <c r="B570" s="97"/>
      <c r="C570" s="74" t="s">
        <v>252</v>
      </c>
      <c r="D570" s="58">
        <v>1</v>
      </c>
      <c r="E570" s="59">
        <v>2.6819717857000001E-5</v>
      </c>
    </row>
    <row r="571" spans="1:5" ht="15" customHeight="1">
      <c r="A571" s="39"/>
      <c r="B571" s="97"/>
      <c r="C571" s="74" t="s">
        <v>248</v>
      </c>
      <c r="D571" s="58">
        <v>3</v>
      </c>
      <c r="E571" s="59">
        <v>8.0459153570000002E-5</v>
      </c>
    </row>
    <row r="572" spans="1:5" ht="15" customHeight="1">
      <c r="A572" s="39"/>
      <c r="B572" s="97"/>
      <c r="C572" s="74" t="s">
        <v>230</v>
      </c>
      <c r="D572" s="58">
        <v>5</v>
      </c>
      <c r="E572" s="59">
        <v>1.34098589283E-4</v>
      </c>
    </row>
    <row r="573" spans="1:5" ht="15" customHeight="1">
      <c r="A573" s="39"/>
      <c r="B573" s="97"/>
      <c r="C573" s="74" t="s">
        <v>231</v>
      </c>
      <c r="D573" s="58">
        <v>6</v>
      </c>
      <c r="E573" s="59">
        <v>1.6091830713899999E-4</v>
      </c>
    </row>
    <row r="574" spans="1:5" ht="15" customHeight="1">
      <c r="A574" s="39"/>
      <c r="B574" s="97"/>
      <c r="C574" s="74" t="s">
        <v>232</v>
      </c>
      <c r="D574" s="58">
        <v>1</v>
      </c>
      <c r="E574" s="59">
        <v>2.6819717857000001E-5</v>
      </c>
    </row>
    <row r="575" spans="1:5" ht="15" customHeight="1">
      <c r="A575" s="39"/>
      <c r="B575" s="97"/>
      <c r="C575" s="74" t="s">
        <v>256</v>
      </c>
      <c r="D575" s="58">
        <v>2</v>
      </c>
      <c r="E575" s="59">
        <v>5.3639435713000001E-5</v>
      </c>
    </row>
    <row r="576" spans="1:5" ht="15" customHeight="1">
      <c r="A576" s="39"/>
      <c r="B576" s="97"/>
      <c r="C576" s="74" t="s">
        <v>233</v>
      </c>
      <c r="D576" s="58">
        <v>2</v>
      </c>
      <c r="E576" s="59">
        <v>5.3639435713000001E-5</v>
      </c>
    </row>
    <row r="577" spans="1:5" ht="15" customHeight="1">
      <c r="A577" s="39"/>
      <c r="B577" s="97"/>
      <c r="C577" s="74" t="s">
        <v>234</v>
      </c>
      <c r="D577" s="58">
        <v>3</v>
      </c>
      <c r="E577" s="59">
        <v>8.0459153570000002E-5</v>
      </c>
    </row>
    <row r="578" spans="1:5" ht="15" customHeight="1">
      <c r="A578" s="39"/>
      <c r="B578" s="97"/>
      <c r="C578" s="74" t="s">
        <v>235</v>
      </c>
      <c r="D578" s="58">
        <v>1</v>
      </c>
      <c r="E578" s="59">
        <v>2.6819717857000001E-5</v>
      </c>
    </row>
    <row r="579" spans="1:5" ht="15" customHeight="1">
      <c r="A579" s="39"/>
      <c r="B579" s="97"/>
      <c r="C579" s="74" t="s">
        <v>236</v>
      </c>
      <c r="D579" s="58">
        <v>6</v>
      </c>
      <c r="E579" s="59">
        <v>1.6091830713899999E-4</v>
      </c>
    </row>
    <row r="580" spans="1:5" ht="15" customHeight="1">
      <c r="A580" s="39"/>
      <c r="B580" s="97"/>
      <c r="C580" s="74" t="s">
        <v>237</v>
      </c>
      <c r="D580" s="58">
        <v>4</v>
      </c>
      <c r="E580" s="59">
        <v>1.07278871426E-4</v>
      </c>
    </row>
    <row r="581" spans="1:5" ht="15" customHeight="1">
      <c r="A581" s="39"/>
      <c r="B581" s="97"/>
      <c r="C581" s="74" t="s">
        <v>272</v>
      </c>
      <c r="D581" s="58">
        <v>1</v>
      </c>
      <c r="E581" s="59">
        <v>2.6819717857000001E-5</v>
      </c>
    </row>
    <row r="582" spans="1:5" ht="15" customHeight="1">
      <c r="A582" s="39"/>
      <c r="B582" s="97"/>
      <c r="C582" s="74" t="s">
        <v>238</v>
      </c>
      <c r="D582" s="58">
        <v>4</v>
      </c>
      <c r="E582" s="59">
        <v>1.07278871426E-4</v>
      </c>
    </row>
    <row r="583" spans="1:5" ht="15" customHeight="1">
      <c r="A583" s="39"/>
      <c r="B583" s="97"/>
      <c r="C583" s="74" t="s">
        <v>239</v>
      </c>
      <c r="D583" s="58">
        <v>4</v>
      </c>
      <c r="E583" s="59">
        <v>1.07278871426E-4</v>
      </c>
    </row>
    <row r="584" spans="1:5" ht="15" customHeight="1">
      <c r="A584" s="39"/>
      <c r="B584" s="97"/>
      <c r="C584" s="74" t="s">
        <v>240</v>
      </c>
      <c r="D584" s="58">
        <v>2</v>
      </c>
      <c r="E584" s="59">
        <v>5.3639435713000001E-5</v>
      </c>
    </row>
    <row r="585" spans="1:5" ht="15" customHeight="1">
      <c r="A585" s="39"/>
      <c r="B585" s="97"/>
      <c r="C585" s="74" t="s">
        <v>250</v>
      </c>
      <c r="D585" s="58">
        <v>1</v>
      </c>
      <c r="E585" s="59">
        <v>2.6819717857000001E-5</v>
      </c>
    </row>
    <row r="586" spans="1:5" ht="15" customHeight="1">
      <c r="A586" s="39"/>
      <c r="B586" s="97"/>
      <c r="C586" s="74" t="s">
        <v>260</v>
      </c>
      <c r="D586" s="58">
        <v>1</v>
      </c>
      <c r="E586" s="59">
        <v>2.6819717857000001E-5</v>
      </c>
    </row>
    <row r="587" spans="1:5" ht="15" customHeight="1">
      <c r="A587" s="39"/>
      <c r="B587" s="97"/>
      <c r="C587" s="74" t="s">
        <v>257</v>
      </c>
      <c r="D587" s="58">
        <v>1</v>
      </c>
      <c r="E587" s="59">
        <v>2.6819717857000001E-5</v>
      </c>
    </row>
    <row r="588" spans="1:5" ht="15" customHeight="1">
      <c r="A588" s="39"/>
      <c r="B588" s="97"/>
      <c r="C588" s="74" t="s">
        <v>241</v>
      </c>
      <c r="D588" s="58">
        <v>1</v>
      </c>
      <c r="E588" s="59">
        <v>2.6819717857000001E-5</v>
      </c>
    </row>
    <row r="589" spans="1:5" ht="15" customHeight="1">
      <c r="A589" s="39"/>
      <c r="B589" s="97"/>
      <c r="C589" s="74" t="s">
        <v>242</v>
      </c>
      <c r="D589" s="58">
        <v>45</v>
      </c>
      <c r="E589" s="59">
        <v>1.206887303546E-3</v>
      </c>
    </row>
    <row r="590" spans="1:5" ht="15" customHeight="1">
      <c r="A590" s="39"/>
      <c r="B590" s="97"/>
      <c r="C590" s="74" t="s">
        <v>243</v>
      </c>
      <c r="D590" s="58">
        <v>1</v>
      </c>
      <c r="E590" s="59">
        <v>2.6819717857000001E-5</v>
      </c>
    </row>
    <row r="591" spans="1:5" ht="15" customHeight="1">
      <c r="A591" s="39"/>
      <c r="B591" s="97"/>
      <c r="C591" s="74" t="s">
        <v>245</v>
      </c>
      <c r="D591" s="58">
        <v>3</v>
      </c>
      <c r="E591" s="59">
        <v>8.0459153570000002E-5</v>
      </c>
    </row>
    <row r="592" spans="1:5" ht="15" customHeight="1">
      <c r="A592" s="39"/>
      <c r="B592" s="97"/>
      <c r="C592" s="74" t="s">
        <v>269</v>
      </c>
      <c r="D592" s="58">
        <v>1</v>
      </c>
      <c r="E592" s="59">
        <v>2.6819717857000001E-5</v>
      </c>
    </row>
    <row r="593" spans="1:5" ht="15" customHeight="1">
      <c r="A593" s="39"/>
      <c r="B593" s="98"/>
      <c r="C593" s="75" t="s">
        <v>353</v>
      </c>
      <c r="D593" s="71">
        <v>238</v>
      </c>
      <c r="E593" s="73">
        <v>6.3830928498630002E-3</v>
      </c>
    </row>
    <row r="594" spans="1:5" ht="15" customHeight="1">
      <c r="A594" s="39"/>
      <c r="B594" s="96" t="s">
        <v>279</v>
      </c>
      <c r="C594" s="74" t="s">
        <v>219</v>
      </c>
      <c r="D594" s="58">
        <v>1</v>
      </c>
      <c r="E594" s="59">
        <v>2.6819717857000001E-5</v>
      </c>
    </row>
    <row r="595" spans="1:5" ht="15" customHeight="1">
      <c r="A595" s="39"/>
      <c r="B595" s="97"/>
      <c r="C595" s="74" t="s">
        <v>220</v>
      </c>
      <c r="D595" s="58">
        <v>8</v>
      </c>
      <c r="E595" s="59">
        <v>2.1455774285299999E-4</v>
      </c>
    </row>
    <row r="596" spans="1:5" ht="15" customHeight="1">
      <c r="A596" s="39"/>
      <c r="B596" s="97"/>
      <c r="C596" s="74" t="s">
        <v>221</v>
      </c>
      <c r="D596" s="58">
        <v>1</v>
      </c>
      <c r="E596" s="59">
        <v>2.6819717857000001E-5</v>
      </c>
    </row>
    <row r="597" spans="1:5" ht="15" customHeight="1">
      <c r="A597" s="39"/>
      <c r="B597" s="97"/>
      <c r="C597" s="74" t="s">
        <v>222</v>
      </c>
      <c r="D597" s="58">
        <v>84</v>
      </c>
      <c r="E597" s="59">
        <v>2.252856299952E-3</v>
      </c>
    </row>
    <row r="598" spans="1:5" ht="15" customHeight="1">
      <c r="A598" s="39"/>
      <c r="B598" s="97"/>
      <c r="C598" s="74" t="s">
        <v>223</v>
      </c>
      <c r="D598" s="58">
        <v>8</v>
      </c>
      <c r="E598" s="59">
        <v>2.1455774285299999E-4</v>
      </c>
    </row>
    <row r="599" spans="1:5" ht="15" customHeight="1">
      <c r="A599" s="39"/>
      <c r="B599" s="97"/>
      <c r="C599" s="74" t="s">
        <v>224</v>
      </c>
      <c r="D599" s="58">
        <v>2</v>
      </c>
      <c r="E599" s="59">
        <v>5.3639435713000001E-5</v>
      </c>
    </row>
    <row r="600" spans="1:5" ht="15" customHeight="1">
      <c r="A600" s="39"/>
      <c r="B600" s="97"/>
      <c r="C600" s="74" t="s">
        <v>262</v>
      </c>
      <c r="D600" s="58">
        <v>1</v>
      </c>
      <c r="E600" s="59">
        <v>2.6819717857000001E-5</v>
      </c>
    </row>
    <row r="601" spans="1:5" ht="15" customHeight="1">
      <c r="A601" s="39"/>
      <c r="B601" s="97"/>
      <c r="C601" s="74" t="s">
        <v>225</v>
      </c>
      <c r="D601" s="58">
        <v>12</v>
      </c>
      <c r="E601" s="59">
        <v>3.2183661427899999E-4</v>
      </c>
    </row>
    <row r="602" spans="1:5" ht="15" customHeight="1">
      <c r="A602" s="39"/>
      <c r="B602" s="97"/>
      <c r="C602" s="74" t="s">
        <v>226</v>
      </c>
      <c r="D602" s="58">
        <v>9</v>
      </c>
      <c r="E602" s="59">
        <v>2.4137746070900001E-4</v>
      </c>
    </row>
    <row r="603" spans="1:5" ht="15" customHeight="1">
      <c r="A603" s="39"/>
      <c r="B603" s="97"/>
      <c r="C603" s="74" t="s">
        <v>227</v>
      </c>
      <c r="D603" s="58">
        <v>18</v>
      </c>
      <c r="E603" s="59">
        <v>4.8275492141800001E-4</v>
      </c>
    </row>
    <row r="604" spans="1:5" ht="15" customHeight="1">
      <c r="A604" s="39"/>
      <c r="B604" s="97"/>
      <c r="C604" s="74" t="s">
        <v>228</v>
      </c>
      <c r="D604" s="58">
        <v>2</v>
      </c>
      <c r="E604" s="59">
        <v>5.3639435713000001E-5</v>
      </c>
    </row>
    <row r="605" spans="1:5" ht="15" customHeight="1">
      <c r="A605" s="39"/>
      <c r="B605" s="97"/>
      <c r="C605" s="74" t="s">
        <v>252</v>
      </c>
      <c r="D605" s="58">
        <v>1</v>
      </c>
      <c r="E605" s="59">
        <v>2.6819717857000001E-5</v>
      </c>
    </row>
    <row r="606" spans="1:5" ht="15" customHeight="1">
      <c r="A606" s="39"/>
      <c r="B606" s="97"/>
      <c r="C606" s="74" t="s">
        <v>248</v>
      </c>
      <c r="D606" s="58">
        <v>2</v>
      </c>
      <c r="E606" s="59">
        <v>5.3639435713000001E-5</v>
      </c>
    </row>
    <row r="607" spans="1:5" ht="15" customHeight="1">
      <c r="A607" s="39"/>
      <c r="B607" s="97"/>
      <c r="C607" s="74" t="s">
        <v>229</v>
      </c>
      <c r="D607" s="58">
        <v>2</v>
      </c>
      <c r="E607" s="59">
        <v>5.3639435713000001E-5</v>
      </c>
    </row>
    <row r="608" spans="1:5" ht="15" customHeight="1">
      <c r="A608" s="39"/>
      <c r="B608" s="97"/>
      <c r="C608" s="74" t="s">
        <v>266</v>
      </c>
      <c r="D608" s="58">
        <v>1</v>
      </c>
      <c r="E608" s="59">
        <v>2.6819717857000001E-5</v>
      </c>
    </row>
    <row r="609" spans="1:5" ht="15" customHeight="1">
      <c r="A609" s="39"/>
      <c r="B609" s="97"/>
      <c r="C609" s="74" t="s">
        <v>230</v>
      </c>
      <c r="D609" s="58">
        <v>1</v>
      </c>
      <c r="E609" s="59">
        <v>2.6819717857000001E-5</v>
      </c>
    </row>
    <row r="610" spans="1:5" ht="15" customHeight="1">
      <c r="A610" s="39"/>
      <c r="B610" s="97"/>
      <c r="C610" s="74" t="s">
        <v>231</v>
      </c>
      <c r="D610" s="58">
        <v>4</v>
      </c>
      <c r="E610" s="59">
        <v>1.07278871426E-4</v>
      </c>
    </row>
    <row r="611" spans="1:5" ht="15" customHeight="1">
      <c r="A611" s="39"/>
      <c r="B611" s="97"/>
      <c r="C611" s="74" t="s">
        <v>232</v>
      </c>
      <c r="D611" s="58">
        <v>2</v>
      </c>
      <c r="E611" s="59">
        <v>5.3639435713000001E-5</v>
      </c>
    </row>
    <row r="612" spans="1:5" ht="15" customHeight="1">
      <c r="A612" s="39"/>
      <c r="B612" s="97"/>
      <c r="C612" s="74" t="s">
        <v>256</v>
      </c>
      <c r="D612" s="58">
        <v>2</v>
      </c>
      <c r="E612" s="59">
        <v>5.3639435713000001E-5</v>
      </c>
    </row>
    <row r="613" spans="1:5" ht="15" customHeight="1">
      <c r="A613" s="39"/>
      <c r="B613" s="97"/>
      <c r="C613" s="74" t="s">
        <v>233</v>
      </c>
      <c r="D613" s="58">
        <v>6</v>
      </c>
      <c r="E613" s="59">
        <v>1.6091830713899999E-4</v>
      </c>
    </row>
    <row r="614" spans="1:5" ht="15" customHeight="1">
      <c r="A614" s="39"/>
      <c r="B614" s="97"/>
      <c r="C614" s="74" t="s">
        <v>234</v>
      </c>
      <c r="D614" s="58">
        <v>10</v>
      </c>
      <c r="E614" s="59">
        <v>2.6819717856600001E-4</v>
      </c>
    </row>
    <row r="615" spans="1:5" ht="15" customHeight="1">
      <c r="A615" s="39"/>
      <c r="B615" s="97"/>
      <c r="C615" s="74" t="s">
        <v>235</v>
      </c>
      <c r="D615" s="58">
        <v>1</v>
      </c>
      <c r="E615" s="59">
        <v>2.6819717857000001E-5</v>
      </c>
    </row>
    <row r="616" spans="1:5" ht="15" customHeight="1">
      <c r="A616" s="39"/>
      <c r="B616" s="97"/>
      <c r="C616" s="74" t="s">
        <v>236</v>
      </c>
      <c r="D616" s="58">
        <v>5</v>
      </c>
      <c r="E616" s="59">
        <v>1.34098589283E-4</v>
      </c>
    </row>
    <row r="617" spans="1:5" ht="15" customHeight="1">
      <c r="A617" s="39"/>
      <c r="B617" s="97"/>
      <c r="C617" s="74" t="s">
        <v>237</v>
      </c>
      <c r="D617" s="58">
        <v>3</v>
      </c>
      <c r="E617" s="59">
        <v>8.0459153570000002E-5</v>
      </c>
    </row>
    <row r="618" spans="1:5" ht="15" customHeight="1">
      <c r="A618" s="39"/>
      <c r="B618" s="97"/>
      <c r="C618" s="74" t="s">
        <v>238</v>
      </c>
      <c r="D618" s="58">
        <v>1</v>
      </c>
      <c r="E618" s="59">
        <v>2.6819717857000001E-5</v>
      </c>
    </row>
    <row r="619" spans="1:5" ht="15" customHeight="1">
      <c r="A619" s="39"/>
      <c r="B619" s="97"/>
      <c r="C619" s="74" t="s">
        <v>239</v>
      </c>
      <c r="D619" s="58">
        <v>6</v>
      </c>
      <c r="E619" s="59">
        <v>1.6091830713899999E-4</v>
      </c>
    </row>
    <row r="620" spans="1:5" ht="15" customHeight="1">
      <c r="A620" s="39"/>
      <c r="B620" s="97"/>
      <c r="C620" s="74" t="s">
        <v>240</v>
      </c>
      <c r="D620" s="58">
        <v>3</v>
      </c>
      <c r="E620" s="59">
        <v>8.0459153570000002E-5</v>
      </c>
    </row>
    <row r="621" spans="1:5" ht="15" customHeight="1">
      <c r="A621" s="39"/>
      <c r="B621" s="97"/>
      <c r="C621" s="74" t="s">
        <v>250</v>
      </c>
      <c r="D621" s="58">
        <v>2</v>
      </c>
      <c r="E621" s="59">
        <v>5.3639435713000001E-5</v>
      </c>
    </row>
    <row r="622" spans="1:5" ht="15" customHeight="1">
      <c r="A622" s="39"/>
      <c r="B622" s="97"/>
      <c r="C622" s="74" t="s">
        <v>241</v>
      </c>
      <c r="D622" s="58">
        <v>3</v>
      </c>
      <c r="E622" s="59">
        <v>8.0459153570000002E-5</v>
      </c>
    </row>
    <row r="623" spans="1:5" ht="15" customHeight="1">
      <c r="A623" s="39"/>
      <c r="B623" s="97"/>
      <c r="C623" s="74" t="s">
        <v>242</v>
      </c>
      <c r="D623" s="58">
        <v>59</v>
      </c>
      <c r="E623" s="59">
        <v>1.5823633535379999E-3</v>
      </c>
    </row>
    <row r="624" spans="1:5" ht="15" customHeight="1">
      <c r="A624" s="39"/>
      <c r="B624" s="97"/>
      <c r="C624" s="74" t="s">
        <v>243</v>
      </c>
      <c r="D624" s="58">
        <v>3</v>
      </c>
      <c r="E624" s="59">
        <v>8.0459153570000002E-5</v>
      </c>
    </row>
    <row r="625" spans="1:5" ht="15" customHeight="1">
      <c r="A625" s="39"/>
      <c r="B625" s="97"/>
      <c r="C625" s="74" t="s">
        <v>244</v>
      </c>
      <c r="D625" s="58">
        <v>1</v>
      </c>
      <c r="E625" s="59">
        <v>2.6819717857000001E-5</v>
      </c>
    </row>
    <row r="626" spans="1:5" ht="15" customHeight="1">
      <c r="A626" s="39"/>
      <c r="B626" s="97"/>
      <c r="C626" s="74" t="s">
        <v>245</v>
      </c>
      <c r="D626" s="58">
        <v>2</v>
      </c>
      <c r="E626" s="59">
        <v>5.3639435713000001E-5</v>
      </c>
    </row>
    <row r="627" spans="1:5" ht="15" customHeight="1">
      <c r="A627" s="39"/>
      <c r="B627" s="98"/>
      <c r="C627" s="75" t="s">
        <v>353</v>
      </c>
      <c r="D627" s="71">
        <v>266</v>
      </c>
      <c r="E627" s="73">
        <v>7.1340449498469996E-3</v>
      </c>
    </row>
    <row r="628" spans="1:5" ht="15" customHeight="1">
      <c r="A628" s="39"/>
      <c r="B628" s="96" t="s">
        <v>280</v>
      </c>
      <c r="C628" s="74" t="s">
        <v>220</v>
      </c>
      <c r="D628" s="58">
        <v>2</v>
      </c>
      <c r="E628" s="59">
        <v>5.3639435713000001E-5</v>
      </c>
    </row>
    <row r="629" spans="1:5" ht="15" customHeight="1">
      <c r="A629" s="39"/>
      <c r="B629" s="97"/>
      <c r="C629" s="74" t="s">
        <v>221</v>
      </c>
      <c r="D629" s="58">
        <v>1</v>
      </c>
      <c r="E629" s="59">
        <v>2.6819717857000001E-5</v>
      </c>
    </row>
    <row r="630" spans="1:5" ht="15" customHeight="1">
      <c r="A630" s="39"/>
      <c r="B630" s="97"/>
      <c r="C630" s="74" t="s">
        <v>222</v>
      </c>
      <c r="D630" s="58">
        <v>37</v>
      </c>
      <c r="E630" s="59">
        <v>9.9232956069299997E-4</v>
      </c>
    </row>
    <row r="631" spans="1:5" ht="15" customHeight="1">
      <c r="A631" s="39"/>
      <c r="B631" s="97"/>
      <c r="C631" s="74" t="s">
        <v>223</v>
      </c>
      <c r="D631" s="58">
        <v>1</v>
      </c>
      <c r="E631" s="59">
        <v>2.6819717857000001E-5</v>
      </c>
    </row>
    <row r="632" spans="1:5" ht="15" customHeight="1">
      <c r="A632" s="39"/>
      <c r="B632" s="97"/>
      <c r="C632" s="74" t="s">
        <v>225</v>
      </c>
      <c r="D632" s="58">
        <v>3</v>
      </c>
      <c r="E632" s="59">
        <v>8.0459153570000002E-5</v>
      </c>
    </row>
    <row r="633" spans="1:5" ht="15" customHeight="1">
      <c r="A633" s="39"/>
      <c r="B633" s="97"/>
      <c r="C633" s="74" t="s">
        <v>226</v>
      </c>
      <c r="D633" s="58">
        <v>1</v>
      </c>
      <c r="E633" s="59">
        <v>2.6819717857000001E-5</v>
      </c>
    </row>
    <row r="634" spans="1:5" ht="15" customHeight="1">
      <c r="A634" s="39"/>
      <c r="B634" s="97"/>
      <c r="C634" s="74" t="s">
        <v>254</v>
      </c>
      <c r="D634" s="58">
        <v>1</v>
      </c>
      <c r="E634" s="59">
        <v>2.6819717857000001E-5</v>
      </c>
    </row>
    <row r="635" spans="1:5" ht="15" customHeight="1">
      <c r="A635" s="39"/>
      <c r="B635" s="97"/>
      <c r="C635" s="74" t="s">
        <v>227</v>
      </c>
      <c r="D635" s="58">
        <v>5</v>
      </c>
      <c r="E635" s="59">
        <v>1.34098589283E-4</v>
      </c>
    </row>
    <row r="636" spans="1:5" ht="15" customHeight="1">
      <c r="A636" s="39"/>
      <c r="B636" s="97"/>
      <c r="C636" s="74" t="s">
        <v>228</v>
      </c>
      <c r="D636" s="58">
        <v>2</v>
      </c>
      <c r="E636" s="59">
        <v>5.3639435713000001E-5</v>
      </c>
    </row>
    <row r="637" spans="1:5" ht="15" customHeight="1">
      <c r="A637" s="39"/>
      <c r="B637" s="97"/>
      <c r="C637" s="74" t="s">
        <v>248</v>
      </c>
      <c r="D637" s="58">
        <v>1</v>
      </c>
      <c r="E637" s="59">
        <v>2.6819717857000001E-5</v>
      </c>
    </row>
    <row r="638" spans="1:5" ht="15" customHeight="1">
      <c r="A638" s="39"/>
      <c r="B638" s="97"/>
      <c r="C638" s="74" t="s">
        <v>230</v>
      </c>
      <c r="D638" s="58">
        <v>2</v>
      </c>
      <c r="E638" s="59">
        <v>5.3639435713000001E-5</v>
      </c>
    </row>
    <row r="639" spans="1:5" ht="15" customHeight="1">
      <c r="A639" s="39"/>
      <c r="B639" s="97"/>
      <c r="C639" s="74" t="s">
        <v>231</v>
      </c>
      <c r="D639" s="58">
        <v>1</v>
      </c>
      <c r="E639" s="59">
        <v>2.6819717857000001E-5</v>
      </c>
    </row>
    <row r="640" spans="1:5" ht="15" customHeight="1">
      <c r="A640" s="39"/>
      <c r="B640" s="97"/>
      <c r="C640" s="74" t="s">
        <v>263</v>
      </c>
      <c r="D640" s="58">
        <v>1</v>
      </c>
      <c r="E640" s="59">
        <v>2.6819717857000001E-5</v>
      </c>
    </row>
    <row r="641" spans="1:5" ht="15" customHeight="1">
      <c r="A641" s="39"/>
      <c r="B641" s="97"/>
      <c r="C641" s="74" t="s">
        <v>232</v>
      </c>
      <c r="D641" s="58">
        <v>3</v>
      </c>
      <c r="E641" s="59">
        <v>8.0459153570000002E-5</v>
      </c>
    </row>
    <row r="642" spans="1:5" ht="15" customHeight="1">
      <c r="A642" s="39"/>
      <c r="B642" s="97"/>
      <c r="C642" s="74" t="s">
        <v>256</v>
      </c>
      <c r="D642" s="58">
        <v>3</v>
      </c>
      <c r="E642" s="59">
        <v>8.0459153570000002E-5</v>
      </c>
    </row>
    <row r="643" spans="1:5" ht="15" customHeight="1">
      <c r="A643" s="39"/>
      <c r="B643" s="97"/>
      <c r="C643" s="74" t="s">
        <v>233</v>
      </c>
      <c r="D643" s="58">
        <v>1</v>
      </c>
      <c r="E643" s="59">
        <v>2.6819717857000001E-5</v>
      </c>
    </row>
    <row r="644" spans="1:5" ht="15" customHeight="1">
      <c r="A644" s="39"/>
      <c r="B644" s="97"/>
      <c r="C644" s="74" t="s">
        <v>234</v>
      </c>
      <c r="D644" s="58">
        <v>2</v>
      </c>
      <c r="E644" s="59">
        <v>5.3639435713000001E-5</v>
      </c>
    </row>
    <row r="645" spans="1:5" ht="15" customHeight="1">
      <c r="A645" s="39"/>
      <c r="B645" s="97"/>
      <c r="C645" s="74" t="s">
        <v>235</v>
      </c>
      <c r="D645" s="58">
        <v>2</v>
      </c>
      <c r="E645" s="59">
        <v>5.3639435713000001E-5</v>
      </c>
    </row>
    <row r="646" spans="1:5" ht="15" customHeight="1">
      <c r="A646" s="39"/>
      <c r="B646" s="97"/>
      <c r="C646" s="74" t="s">
        <v>236</v>
      </c>
      <c r="D646" s="58">
        <v>1</v>
      </c>
      <c r="E646" s="59">
        <v>2.6819717857000001E-5</v>
      </c>
    </row>
    <row r="647" spans="1:5" ht="15" customHeight="1">
      <c r="A647" s="39"/>
      <c r="B647" s="97"/>
      <c r="C647" s="74" t="s">
        <v>237</v>
      </c>
      <c r="D647" s="58">
        <v>1</v>
      </c>
      <c r="E647" s="59">
        <v>2.6819717857000001E-5</v>
      </c>
    </row>
    <row r="648" spans="1:5" ht="15" customHeight="1">
      <c r="A648" s="39"/>
      <c r="B648" s="97"/>
      <c r="C648" s="74" t="s">
        <v>272</v>
      </c>
      <c r="D648" s="58">
        <v>1</v>
      </c>
      <c r="E648" s="59">
        <v>2.6819717857000001E-5</v>
      </c>
    </row>
    <row r="649" spans="1:5" ht="15" customHeight="1">
      <c r="A649" s="39"/>
      <c r="B649" s="97"/>
      <c r="C649" s="74" t="s">
        <v>238</v>
      </c>
      <c r="D649" s="58">
        <v>1</v>
      </c>
      <c r="E649" s="59">
        <v>2.6819717857000001E-5</v>
      </c>
    </row>
    <row r="650" spans="1:5" ht="15" customHeight="1">
      <c r="A650" s="39"/>
      <c r="B650" s="97"/>
      <c r="C650" s="74" t="s">
        <v>240</v>
      </c>
      <c r="D650" s="58">
        <v>1</v>
      </c>
      <c r="E650" s="59">
        <v>2.6819717857000001E-5</v>
      </c>
    </row>
    <row r="651" spans="1:5" ht="15" customHeight="1">
      <c r="A651" s="39"/>
      <c r="B651" s="97"/>
      <c r="C651" s="74" t="s">
        <v>242</v>
      </c>
      <c r="D651" s="58">
        <v>20</v>
      </c>
      <c r="E651" s="59">
        <v>5.3639435713100005E-4</v>
      </c>
    </row>
    <row r="652" spans="1:5" ht="15" customHeight="1">
      <c r="A652" s="39"/>
      <c r="B652" s="97"/>
      <c r="C652" s="74" t="s">
        <v>243</v>
      </c>
      <c r="D652" s="58">
        <v>3</v>
      </c>
      <c r="E652" s="59">
        <v>8.0459153570000002E-5</v>
      </c>
    </row>
    <row r="653" spans="1:5" ht="15" customHeight="1">
      <c r="A653" s="39"/>
      <c r="B653" s="98"/>
      <c r="C653" s="75" t="s">
        <v>353</v>
      </c>
      <c r="D653" s="71">
        <v>97</v>
      </c>
      <c r="E653" s="73">
        <v>2.6015126320870002E-3</v>
      </c>
    </row>
    <row r="654" spans="1:5" ht="15" customHeight="1">
      <c r="A654" s="39"/>
      <c r="B654" s="96" t="s">
        <v>281</v>
      </c>
      <c r="C654" s="74" t="s">
        <v>220</v>
      </c>
      <c r="D654" s="58">
        <v>3</v>
      </c>
      <c r="E654" s="59">
        <v>8.0459153570000002E-5</v>
      </c>
    </row>
    <row r="655" spans="1:5" ht="15" customHeight="1">
      <c r="A655" s="39"/>
      <c r="B655" s="97"/>
      <c r="C655" s="74" t="s">
        <v>222</v>
      </c>
      <c r="D655" s="58">
        <v>27</v>
      </c>
      <c r="E655" s="59">
        <v>7.2413238212700002E-4</v>
      </c>
    </row>
    <row r="656" spans="1:5" ht="15" customHeight="1">
      <c r="A656" s="39"/>
      <c r="B656" s="97"/>
      <c r="C656" s="74" t="s">
        <v>223</v>
      </c>
      <c r="D656" s="58">
        <v>2</v>
      </c>
      <c r="E656" s="59">
        <v>5.3639435713000001E-5</v>
      </c>
    </row>
    <row r="657" spans="1:5" ht="15" customHeight="1">
      <c r="A657" s="39"/>
      <c r="B657" s="97"/>
      <c r="C657" s="74" t="s">
        <v>225</v>
      </c>
      <c r="D657" s="58">
        <v>1</v>
      </c>
      <c r="E657" s="59">
        <v>2.6819717857000001E-5</v>
      </c>
    </row>
    <row r="658" spans="1:5" ht="15" customHeight="1">
      <c r="A658" s="39"/>
      <c r="B658" s="97"/>
      <c r="C658" s="74" t="s">
        <v>226</v>
      </c>
      <c r="D658" s="58">
        <v>1</v>
      </c>
      <c r="E658" s="59">
        <v>2.6819717857000001E-5</v>
      </c>
    </row>
    <row r="659" spans="1:5" ht="15" customHeight="1">
      <c r="A659" s="39"/>
      <c r="B659" s="97"/>
      <c r="C659" s="74" t="s">
        <v>254</v>
      </c>
      <c r="D659" s="58">
        <v>1</v>
      </c>
      <c r="E659" s="59">
        <v>2.6819717857000001E-5</v>
      </c>
    </row>
    <row r="660" spans="1:5" ht="15" customHeight="1">
      <c r="A660" s="39"/>
      <c r="B660" s="97"/>
      <c r="C660" s="74" t="s">
        <v>227</v>
      </c>
      <c r="D660" s="58">
        <v>3</v>
      </c>
      <c r="E660" s="59">
        <v>8.0459153570000002E-5</v>
      </c>
    </row>
    <row r="661" spans="1:5" ht="15" customHeight="1">
      <c r="A661" s="39"/>
      <c r="B661" s="97"/>
      <c r="C661" s="74" t="s">
        <v>228</v>
      </c>
      <c r="D661" s="58">
        <v>1</v>
      </c>
      <c r="E661" s="59">
        <v>2.6819717857000001E-5</v>
      </c>
    </row>
    <row r="662" spans="1:5" ht="15" customHeight="1">
      <c r="A662" s="39"/>
      <c r="B662" s="97"/>
      <c r="C662" s="74" t="s">
        <v>249</v>
      </c>
      <c r="D662" s="58">
        <v>1</v>
      </c>
      <c r="E662" s="59">
        <v>2.6819717857000001E-5</v>
      </c>
    </row>
    <row r="663" spans="1:5" ht="15" customHeight="1">
      <c r="A663" s="39"/>
      <c r="B663" s="97"/>
      <c r="C663" s="74" t="s">
        <v>231</v>
      </c>
      <c r="D663" s="58">
        <v>4</v>
      </c>
      <c r="E663" s="59">
        <v>1.07278871426E-4</v>
      </c>
    </row>
    <row r="664" spans="1:5" ht="15" customHeight="1">
      <c r="A664" s="39"/>
      <c r="B664" s="97"/>
      <c r="C664" s="74" t="s">
        <v>233</v>
      </c>
      <c r="D664" s="58">
        <v>1</v>
      </c>
      <c r="E664" s="59">
        <v>2.6819717857000001E-5</v>
      </c>
    </row>
    <row r="665" spans="1:5" ht="15" customHeight="1">
      <c r="A665" s="39"/>
      <c r="B665" s="97"/>
      <c r="C665" s="74" t="s">
        <v>234</v>
      </c>
      <c r="D665" s="58">
        <v>4</v>
      </c>
      <c r="E665" s="59">
        <v>1.07278871426E-4</v>
      </c>
    </row>
    <row r="666" spans="1:5" ht="15" customHeight="1">
      <c r="A666" s="39"/>
      <c r="B666" s="97"/>
      <c r="C666" s="74" t="s">
        <v>236</v>
      </c>
      <c r="D666" s="58">
        <v>5</v>
      </c>
      <c r="E666" s="59">
        <v>1.34098589283E-4</v>
      </c>
    </row>
    <row r="667" spans="1:5" ht="15" customHeight="1">
      <c r="A667" s="39"/>
      <c r="B667" s="97"/>
      <c r="C667" s="74" t="s">
        <v>250</v>
      </c>
      <c r="D667" s="58">
        <v>1</v>
      </c>
      <c r="E667" s="59">
        <v>2.6819717857000001E-5</v>
      </c>
    </row>
    <row r="668" spans="1:5" ht="15" customHeight="1">
      <c r="A668" s="39"/>
      <c r="B668" s="97"/>
      <c r="C668" s="74" t="s">
        <v>257</v>
      </c>
      <c r="D668" s="58">
        <v>1</v>
      </c>
      <c r="E668" s="59">
        <v>2.6819717857000001E-5</v>
      </c>
    </row>
    <row r="669" spans="1:5" ht="15" customHeight="1">
      <c r="A669" s="39"/>
      <c r="B669" s="97"/>
      <c r="C669" s="74" t="s">
        <v>242</v>
      </c>
      <c r="D669" s="58">
        <v>13</v>
      </c>
      <c r="E669" s="59">
        <v>3.4865633213499998E-4</v>
      </c>
    </row>
    <row r="670" spans="1:5" ht="15" customHeight="1">
      <c r="A670" s="39"/>
      <c r="B670" s="97"/>
      <c r="C670" s="74" t="s">
        <v>243</v>
      </c>
      <c r="D670" s="58">
        <v>1</v>
      </c>
      <c r="E670" s="59">
        <v>2.6819717857000001E-5</v>
      </c>
    </row>
    <row r="671" spans="1:5" ht="15" customHeight="1">
      <c r="A671" s="39"/>
      <c r="B671" s="97"/>
      <c r="C671" s="74" t="s">
        <v>245</v>
      </c>
      <c r="D671" s="58">
        <v>1</v>
      </c>
      <c r="E671" s="59">
        <v>2.6819717857000001E-5</v>
      </c>
    </row>
    <row r="672" spans="1:5" ht="15" customHeight="1">
      <c r="A672" s="39"/>
      <c r="B672" s="98"/>
      <c r="C672" s="75" t="s">
        <v>353</v>
      </c>
      <c r="D672" s="71">
        <v>71</v>
      </c>
      <c r="E672" s="73">
        <v>1.904199967816E-3</v>
      </c>
    </row>
    <row r="673" spans="1:5" ht="15" customHeight="1">
      <c r="A673" s="39"/>
      <c r="B673" s="96" t="s">
        <v>118</v>
      </c>
      <c r="C673" s="74" t="s">
        <v>219</v>
      </c>
      <c r="D673" s="58">
        <v>6</v>
      </c>
      <c r="E673" s="59">
        <v>1.6091830713899999E-4</v>
      </c>
    </row>
    <row r="674" spans="1:5" ht="15" customHeight="1">
      <c r="A674" s="39"/>
      <c r="B674" s="97"/>
      <c r="C674" s="74" t="s">
        <v>220</v>
      </c>
      <c r="D674" s="58">
        <v>15</v>
      </c>
      <c r="E674" s="59">
        <v>4.0229576784899998E-4</v>
      </c>
    </row>
    <row r="675" spans="1:5" ht="15" customHeight="1">
      <c r="A675" s="39"/>
      <c r="B675" s="97"/>
      <c r="C675" s="74" t="s">
        <v>221</v>
      </c>
      <c r="D675" s="58">
        <v>9</v>
      </c>
      <c r="E675" s="59">
        <v>2.4137746070900001E-4</v>
      </c>
    </row>
    <row r="676" spans="1:5" ht="15" customHeight="1">
      <c r="A676" s="39"/>
      <c r="B676" s="97"/>
      <c r="C676" s="74" t="s">
        <v>222</v>
      </c>
      <c r="D676" s="58">
        <v>224</v>
      </c>
      <c r="E676" s="59">
        <v>6.0076167998709996E-3</v>
      </c>
    </row>
    <row r="677" spans="1:5" ht="15" customHeight="1">
      <c r="A677" s="39"/>
      <c r="B677" s="97"/>
      <c r="C677" s="74" t="s">
        <v>223</v>
      </c>
      <c r="D677" s="58">
        <v>12</v>
      </c>
      <c r="E677" s="59">
        <v>3.2183661427899999E-4</v>
      </c>
    </row>
    <row r="678" spans="1:5" ht="15" customHeight="1">
      <c r="A678" s="39"/>
      <c r="B678" s="97"/>
      <c r="C678" s="74" t="s">
        <v>262</v>
      </c>
      <c r="D678" s="58">
        <v>1</v>
      </c>
      <c r="E678" s="59">
        <v>2.6819717857000001E-5</v>
      </c>
    </row>
    <row r="679" spans="1:5" ht="15" customHeight="1">
      <c r="A679" s="39"/>
      <c r="B679" s="97"/>
      <c r="C679" s="74" t="s">
        <v>225</v>
      </c>
      <c r="D679" s="58">
        <v>26</v>
      </c>
      <c r="E679" s="59">
        <v>6.9731266427100003E-4</v>
      </c>
    </row>
    <row r="680" spans="1:5" ht="15" customHeight="1">
      <c r="A680" s="39"/>
      <c r="B680" s="97"/>
      <c r="C680" s="74" t="s">
        <v>226</v>
      </c>
      <c r="D680" s="58">
        <v>21</v>
      </c>
      <c r="E680" s="59">
        <v>5.63214074988E-4</v>
      </c>
    </row>
    <row r="681" spans="1:5" ht="15" customHeight="1">
      <c r="A681" s="39"/>
      <c r="B681" s="97"/>
      <c r="C681" s="74" t="s">
        <v>254</v>
      </c>
      <c r="D681" s="58">
        <v>3</v>
      </c>
      <c r="E681" s="59">
        <v>8.0459153570000002E-5</v>
      </c>
    </row>
    <row r="682" spans="1:5" ht="15" customHeight="1">
      <c r="A682" s="39"/>
      <c r="B682" s="97"/>
      <c r="C682" s="74" t="s">
        <v>227</v>
      </c>
      <c r="D682" s="58">
        <v>73</v>
      </c>
      <c r="E682" s="59">
        <v>1.957839403529E-3</v>
      </c>
    </row>
    <row r="683" spans="1:5" ht="15" customHeight="1">
      <c r="A683" s="39"/>
      <c r="B683" s="97"/>
      <c r="C683" s="74" t="s">
        <v>228</v>
      </c>
      <c r="D683" s="58">
        <v>15</v>
      </c>
      <c r="E683" s="59">
        <v>4.0229576784899998E-4</v>
      </c>
    </row>
    <row r="684" spans="1:5" ht="15" customHeight="1">
      <c r="A684" s="39"/>
      <c r="B684" s="97"/>
      <c r="C684" s="74" t="s">
        <v>252</v>
      </c>
      <c r="D684" s="58">
        <v>2</v>
      </c>
      <c r="E684" s="59">
        <v>5.3639435713000001E-5</v>
      </c>
    </row>
    <row r="685" spans="1:5" ht="15" customHeight="1">
      <c r="A685" s="39"/>
      <c r="B685" s="97"/>
      <c r="C685" s="74" t="s">
        <v>248</v>
      </c>
      <c r="D685" s="58">
        <v>8</v>
      </c>
      <c r="E685" s="59">
        <v>2.1455774285299999E-4</v>
      </c>
    </row>
    <row r="686" spans="1:5" ht="15" customHeight="1">
      <c r="A686" s="39"/>
      <c r="B686" s="97"/>
      <c r="C686" s="74" t="s">
        <v>255</v>
      </c>
      <c r="D686" s="58">
        <v>6</v>
      </c>
      <c r="E686" s="59">
        <v>1.6091830713899999E-4</v>
      </c>
    </row>
    <row r="687" spans="1:5" ht="15" customHeight="1">
      <c r="A687" s="39"/>
      <c r="B687" s="97"/>
      <c r="C687" s="74" t="s">
        <v>249</v>
      </c>
      <c r="D687" s="58">
        <v>4</v>
      </c>
      <c r="E687" s="59">
        <v>1.07278871426E-4</v>
      </c>
    </row>
    <row r="688" spans="1:5" ht="15" customHeight="1">
      <c r="A688" s="39"/>
      <c r="B688" s="97"/>
      <c r="C688" s="74" t="s">
        <v>229</v>
      </c>
      <c r="D688" s="58">
        <v>4</v>
      </c>
      <c r="E688" s="59">
        <v>1.07278871426E-4</v>
      </c>
    </row>
    <row r="689" spans="1:5" ht="15" customHeight="1">
      <c r="A689" s="39"/>
      <c r="B689" s="97"/>
      <c r="C689" s="74" t="s">
        <v>266</v>
      </c>
      <c r="D689" s="58">
        <v>4</v>
      </c>
      <c r="E689" s="59">
        <v>1.07278871426E-4</v>
      </c>
    </row>
    <row r="690" spans="1:5" ht="15" customHeight="1">
      <c r="A690" s="39"/>
      <c r="B690" s="97"/>
      <c r="C690" s="74" t="s">
        <v>230</v>
      </c>
      <c r="D690" s="58">
        <v>12</v>
      </c>
      <c r="E690" s="59">
        <v>3.2183661427899999E-4</v>
      </c>
    </row>
    <row r="691" spans="1:5" ht="15" customHeight="1">
      <c r="A691" s="39"/>
      <c r="B691" s="97"/>
      <c r="C691" s="74" t="s">
        <v>231</v>
      </c>
      <c r="D691" s="58">
        <v>14</v>
      </c>
      <c r="E691" s="59">
        <v>3.7547604999199998E-4</v>
      </c>
    </row>
    <row r="692" spans="1:5" ht="15" customHeight="1">
      <c r="A692" s="39"/>
      <c r="B692" s="97"/>
      <c r="C692" s="74" t="s">
        <v>263</v>
      </c>
      <c r="D692" s="58">
        <v>1</v>
      </c>
      <c r="E692" s="59">
        <v>2.6819717857000001E-5</v>
      </c>
    </row>
    <row r="693" spans="1:5" ht="15" customHeight="1">
      <c r="A693" s="39"/>
      <c r="B693" s="97"/>
      <c r="C693" s="74" t="s">
        <v>232</v>
      </c>
      <c r="D693" s="58">
        <v>6</v>
      </c>
      <c r="E693" s="59">
        <v>1.6091830713899999E-4</v>
      </c>
    </row>
    <row r="694" spans="1:5" ht="15" customHeight="1">
      <c r="A694" s="39"/>
      <c r="B694" s="97"/>
      <c r="C694" s="74" t="s">
        <v>256</v>
      </c>
      <c r="D694" s="58">
        <v>6</v>
      </c>
      <c r="E694" s="59">
        <v>1.6091830713899999E-4</v>
      </c>
    </row>
    <row r="695" spans="1:5" ht="15" customHeight="1">
      <c r="A695" s="39"/>
      <c r="B695" s="97"/>
      <c r="C695" s="74" t="s">
        <v>233</v>
      </c>
      <c r="D695" s="58">
        <v>20</v>
      </c>
      <c r="E695" s="59">
        <v>5.3639435713100005E-4</v>
      </c>
    </row>
    <row r="696" spans="1:5" ht="15" customHeight="1">
      <c r="A696" s="39"/>
      <c r="B696" s="97"/>
      <c r="C696" s="74" t="s">
        <v>234</v>
      </c>
      <c r="D696" s="58">
        <v>18</v>
      </c>
      <c r="E696" s="59">
        <v>4.8275492141800001E-4</v>
      </c>
    </row>
    <row r="697" spans="1:5" ht="15" customHeight="1">
      <c r="A697" s="39"/>
      <c r="B697" s="97"/>
      <c r="C697" s="74" t="s">
        <v>235</v>
      </c>
      <c r="D697" s="58">
        <v>3</v>
      </c>
      <c r="E697" s="59">
        <v>8.0459153570000002E-5</v>
      </c>
    </row>
    <row r="698" spans="1:5" ht="15" customHeight="1">
      <c r="A698" s="39"/>
      <c r="B698" s="97"/>
      <c r="C698" s="74" t="s">
        <v>236</v>
      </c>
      <c r="D698" s="58">
        <v>30</v>
      </c>
      <c r="E698" s="59">
        <v>8.0459153569700001E-4</v>
      </c>
    </row>
    <row r="699" spans="1:5" ht="15" customHeight="1">
      <c r="A699" s="39"/>
      <c r="B699" s="97"/>
      <c r="C699" s="74" t="s">
        <v>237</v>
      </c>
      <c r="D699" s="58">
        <v>18</v>
      </c>
      <c r="E699" s="59">
        <v>4.8275492141800001E-4</v>
      </c>
    </row>
    <row r="700" spans="1:5" ht="15" customHeight="1">
      <c r="A700" s="39"/>
      <c r="B700" s="97"/>
      <c r="C700" s="74" t="s">
        <v>238</v>
      </c>
      <c r="D700" s="58">
        <v>16</v>
      </c>
      <c r="E700" s="59">
        <v>4.2911548570500002E-4</v>
      </c>
    </row>
    <row r="701" spans="1:5" ht="15" customHeight="1">
      <c r="A701" s="39"/>
      <c r="B701" s="97"/>
      <c r="C701" s="74" t="s">
        <v>239</v>
      </c>
      <c r="D701" s="58">
        <v>12</v>
      </c>
      <c r="E701" s="59">
        <v>3.2183661427899999E-4</v>
      </c>
    </row>
    <row r="702" spans="1:5" ht="15" customHeight="1">
      <c r="A702" s="39"/>
      <c r="B702" s="97"/>
      <c r="C702" s="74" t="s">
        <v>240</v>
      </c>
      <c r="D702" s="58">
        <v>5</v>
      </c>
      <c r="E702" s="59">
        <v>1.34098589283E-4</v>
      </c>
    </row>
    <row r="703" spans="1:5" ht="15" customHeight="1">
      <c r="A703" s="39"/>
      <c r="B703" s="97"/>
      <c r="C703" s="74" t="s">
        <v>250</v>
      </c>
      <c r="D703" s="58">
        <v>7</v>
      </c>
      <c r="E703" s="59">
        <v>1.8773802499599999E-4</v>
      </c>
    </row>
    <row r="704" spans="1:5" ht="15" customHeight="1">
      <c r="A704" s="39"/>
      <c r="B704" s="97"/>
      <c r="C704" s="74" t="s">
        <v>257</v>
      </c>
      <c r="D704" s="58">
        <v>11</v>
      </c>
      <c r="E704" s="59">
        <v>2.9501689642199999E-4</v>
      </c>
    </row>
    <row r="705" spans="1:5" ht="15" customHeight="1">
      <c r="A705" s="39"/>
      <c r="B705" s="97"/>
      <c r="C705" s="74" t="s">
        <v>258</v>
      </c>
      <c r="D705" s="58">
        <v>1</v>
      </c>
      <c r="E705" s="59">
        <v>2.6819717857000001E-5</v>
      </c>
    </row>
    <row r="706" spans="1:5" ht="15" customHeight="1">
      <c r="A706" s="39"/>
      <c r="B706" s="97"/>
      <c r="C706" s="74" t="s">
        <v>241</v>
      </c>
      <c r="D706" s="58">
        <v>5</v>
      </c>
      <c r="E706" s="59">
        <v>1.34098589283E-4</v>
      </c>
    </row>
    <row r="707" spans="1:5" ht="15" customHeight="1">
      <c r="A707" s="39"/>
      <c r="B707" s="97"/>
      <c r="C707" s="74" t="s">
        <v>242</v>
      </c>
      <c r="D707" s="58">
        <v>156</v>
      </c>
      <c r="E707" s="59">
        <v>4.1838759856250001E-3</v>
      </c>
    </row>
    <row r="708" spans="1:5" ht="15" customHeight="1">
      <c r="A708" s="39"/>
      <c r="B708" s="97"/>
      <c r="C708" s="74" t="s">
        <v>243</v>
      </c>
      <c r="D708" s="58">
        <v>10</v>
      </c>
      <c r="E708" s="59">
        <v>2.6819717856600001E-4</v>
      </c>
    </row>
    <row r="709" spans="1:5" ht="15" customHeight="1">
      <c r="A709" s="39"/>
      <c r="B709" s="97"/>
      <c r="C709" s="74" t="s">
        <v>244</v>
      </c>
      <c r="D709" s="58">
        <v>6</v>
      </c>
      <c r="E709" s="59">
        <v>1.6091830713899999E-4</v>
      </c>
    </row>
    <row r="710" spans="1:5" ht="15" customHeight="1">
      <c r="A710" s="39"/>
      <c r="B710" s="97"/>
      <c r="C710" s="74" t="s">
        <v>79</v>
      </c>
      <c r="D710" s="58">
        <v>7</v>
      </c>
      <c r="E710" s="59">
        <v>1.8773802499599999E-4</v>
      </c>
    </row>
    <row r="711" spans="1:5" ht="15" customHeight="1">
      <c r="A711" s="39"/>
      <c r="B711" s="97"/>
      <c r="C711" s="74" t="s">
        <v>245</v>
      </c>
      <c r="D711" s="58">
        <v>12</v>
      </c>
      <c r="E711" s="59">
        <v>3.2183661427899999E-4</v>
      </c>
    </row>
    <row r="712" spans="1:5" ht="15" customHeight="1">
      <c r="A712" s="39"/>
      <c r="B712" s="97"/>
      <c r="C712" s="74" t="s">
        <v>269</v>
      </c>
      <c r="D712" s="58">
        <v>1</v>
      </c>
      <c r="E712" s="59">
        <v>2.6819717857000001E-5</v>
      </c>
    </row>
    <row r="713" spans="1:5" ht="15" customHeight="1">
      <c r="A713" s="39"/>
      <c r="B713" s="98"/>
      <c r="C713" s="75" t="s">
        <v>353</v>
      </c>
      <c r="D713" s="71">
        <v>810</v>
      </c>
      <c r="E713" s="73">
        <v>2.1723971463820001E-2</v>
      </c>
    </row>
    <row r="714" spans="1:5" ht="15" customHeight="1">
      <c r="A714" s="39"/>
      <c r="B714" s="96" t="s">
        <v>119</v>
      </c>
      <c r="C714" s="74" t="s">
        <v>219</v>
      </c>
      <c r="D714" s="58">
        <v>11</v>
      </c>
      <c r="E714" s="59">
        <v>2.9501689642199999E-4</v>
      </c>
    </row>
    <row r="715" spans="1:5" ht="15" customHeight="1">
      <c r="A715" s="39"/>
      <c r="B715" s="97"/>
      <c r="C715" s="74" t="s">
        <v>277</v>
      </c>
      <c r="D715" s="58">
        <v>3</v>
      </c>
      <c r="E715" s="59">
        <v>8.0459153570000002E-5</v>
      </c>
    </row>
    <row r="716" spans="1:5" ht="15" customHeight="1">
      <c r="A716" s="39"/>
      <c r="B716" s="97"/>
      <c r="C716" s="74" t="s">
        <v>220</v>
      </c>
      <c r="D716" s="58">
        <v>38</v>
      </c>
      <c r="E716" s="59">
        <v>1.0191492785499999E-3</v>
      </c>
    </row>
    <row r="717" spans="1:5" ht="15" customHeight="1">
      <c r="A717" s="39"/>
      <c r="B717" s="97"/>
      <c r="C717" s="74" t="s">
        <v>221</v>
      </c>
      <c r="D717" s="58">
        <v>13</v>
      </c>
      <c r="E717" s="59">
        <v>3.4865633213499998E-4</v>
      </c>
    </row>
    <row r="718" spans="1:5" ht="15" customHeight="1">
      <c r="A718" s="39"/>
      <c r="B718" s="97"/>
      <c r="C718" s="74" t="s">
        <v>222</v>
      </c>
      <c r="D718" s="58">
        <v>624</v>
      </c>
      <c r="E718" s="59">
        <v>1.6735503942499001E-2</v>
      </c>
    </row>
    <row r="719" spans="1:5" ht="15" customHeight="1">
      <c r="A719" s="39"/>
      <c r="B719" s="97"/>
      <c r="C719" s="74" t="s">
        <v>223</v>
      </c>
      <c r="D719" s="58">
        <v>29</v>
      </c>
      <c r="E719" s="59">
        <v>7.7777181783999995E-4</v>
      </c>
    </row>
    <row r="720" spans="1:5" ht="15" customHeight="1">
      <c r="A720" s="39"/>
      <c r="B720" s="97"/>
      <c r="C720" s="74" t="s">
        <v>224</v>
      </c>
      <c r="D720" s="58">
        <v>8</v>
      </c>
      <c r="E720" s="59">
        <v>2.1455774285299999E-4</v>
      </c>
    </row>
    <row r="721" spans="1:5" ht="15" customHeight="1">
      <c r="A721" s="39"/>
      <c r="B721" s="97"/>
      <c r="C721" s="74" t="s">
        <v>262</v>
      </c>
      <c r="D721" s="58">
        <v>5</v>
      </c>
      <c r="E721" s="59">
        <v>1.34098589283E-4</v>
      </c>
    </row>
    <row r="722" spans="1:5" ht="15" customHeight="1">
      <c r="A722" s="39"/>
      <c r="B722" s="97"/>
      <c r="C722" s="74" t="s">
        <v>265</v>
      </c>
      <c r="D722" s="58">
        <v>2</v>
      </c>
      <c r="E722" s="59">
        <v>5.3639435713000001E-5</v>
      </c>
    </row>
    <row r="723" spans="1:5" ht="15" customHeight="1">
      <c r="A723" s="39"/>
      <c r="B723" s="97"/>
      <c r="C723" s="74" t="s">
        <v>225</v>
      </c>
      <c r="D723" s="58">
        <v>60</v>
      </c>
      <c r="E723" s="59">
        <v>1.609183071394E-3</v>
      </c>
    </row>
    <row r="724" spans="1:5" ht="15" customHeight="1">
      <c r="A724" s="39"/>
      <c r="B724" s="97"/>
      <c r="C724" s="74" t="s">
        <v>226</v>
      </c>
      <c r="D724" s="58">
        <v>46</v>
      </c>
      <c r="E724" s="59">
        <v>1.2337070214020001E-3</v>
      </c>
    </row>
    <row r="725" spans="1:5" ht="15" customHeight="1">
      <c r="A725" s="39"/>
      <c r="B725" s="97"/>
      <c r="C725" s="74" t="s">
        <v>254</v>
      </c>
      <c r="D725" s="58">
        <v>6</v>
      </c>
      <c r="E725" s="59">
        <v>1.6091830713899999E-4</v>
      </c>
    </row>
    <row r="726" spans="1:5" ht="15" customHeight="1">
      <c r="A726" s="39"/>
      <c r="B726" s="97"/>
      <c r="C726" s="74" t="s">
        <v>227</v>
      </c>
      <c r="D726" s="58">
        <v>343</v>
      </c>
      <c r="E726" s="59">
        <v>9.1991632248030007E-3</v>
      </c>
    </row>
    <row r="727" spans="1:5" ht="15" customHeight="1">
      <c r="A727" s="39"/>
      <c r="B727" s="97"/>
      <c r="C727" s="74" t="s">
        <v>228</v>
      </c>
      <c r="D727" s="58">
        <v>40</v>
      </c>
      <c r="E727" s="59">
        <v>1.072788714263E-3</v>
      </c>
    </row>
    <row r="728" spans="1:5" ht="15" customHeight="1">
      <c r="A728" s="39"/>
      <c r="B728" s="97"/>
      <c r="C728" s="74" t="s">
        <v>252</v>
      </c>
      <c r="D728" s="58">
        <v>11</v>
      </c>
      <c r="E728" s="59">
        <v>2.9501689642199999E-4</v>
      </c>
    </row>
    <row r="729" spans="1:5" ht="15" customHeight="1">
      <c r="A729" s="39"/>
      <c r="B729" s="97"/>
      <c r="C729" s="74" t="s">
        <v>248</v>
      </c>
      <c r="D729" s="58">
        <v>22</v>
      </c>
      <c r="E729" s="59">
        <v>5.9003379284399999E-4</v>
      </c>
    </row>
    <row r="730" spans="1:5" ht="15" customHeight="1">
      <c r="A730" s="39"/>
      <c r="B730" s="97"/>
      <c r="C730" s="74" t="s">
        <v>255</v>
      </c>
      <c r="D730" s="58">
        <v>7</v>
      </c>
      <c r="E730" s="59">
        <v>1.8773802499599999E-4</v>
      </c>
    </row>
    <row r="731" spans="1:5" ht="15" customHeight="1">
      <c r="A731" s="39"/>
      <c r="B731" s="97"/>
      <c r="C731" s="74" t="s">
        <v>249</v>
      </c>
      <c r="D731" s="58">
        <v>5</v>
      </c>
      <c r="E731" s="59">
        <v>1.34098589283E-4</v>
      </c>
    </row>
    <row r="732" spans="1:5" ht="15" customHeight="1">
      <c r="A732" s="39"/>
      <c r="B732" s="97"/>
      <c r="C732" s="74" t="s">
        <v>229</v>
      </c>
      <c r="D732" s="58">
        <v>4</v>
      </c>
      <c r="E732" s="59">
        <v>1.07278871426E-4</v>
      </c>
    </row>
    <row r="733" spans="1:5" ht="15" customHeight="1">
      <c r="A733" s="39"/>
      <c r="B733" s="97"/>
      <c r="C733" s="74" t="s">
        <v>266</v>
      </c>
      <c r="D733" s="58">
        <v>8</v>
      </c>
      <c r="E733" s="59">
        <v>2.1455774285299999E-4</v>
      </c>
    </row>
    <row r="734" spans="1:5" ht="15" customHeight="1">
      <c r="A734" s="39"/>
      <c r="B734" s="97"/>
      <c r="C734" s="74" t="s">
        <v>230</v>
      </c>
      <c r="D734" s="58">
        <v>25</v>
      </c>
      <c r="E734" s="59">
        <v>6.7049294641399998E-4</v>
      </c>
    </row>
    <row r="735" spans="1:5" ht="15" customHeight="1">
      <c r="A735" s="39"/>
      <c r="B735" s="97"/>
      <c r="C735" s="74" t="s">
        <v>231</v>
      </c>
      <c r="D735" s="58">
        <v>32</v>
      </c>
      <c r="E735" s="59">
        <v>8.5823097141000005E-4</v>
      </c>
    </row>
    <row r="736" spans="1:5" ht="15" customHeight="1">
      <c r="A736" s="39"/>
      <c r="B736" s="97"/>
      <c r="C736" s="74" t="s">
        <v>263</v>
      </c>
      <c r="D736" s="58">
        <v>6</v>
      </c>
      <c r="E736" s="59">
        <v>1.6091830713899999E-4</v>
      </c>
    </row>
    <row r="737" spans="1:5" ht="15" customHeight="1">
      <c r="A737" s="39"/>
      <c r="B737" s="97"/>
      <c r="C737" s="74" t="s">
        <v>232</v>
      </c>
      <c r="D737" s="58">
        <v>12</v>
      </c>
      <c r="E737" s="59">
        <v>3.2183661427899999E-4</v>
      </c>
    </row>
    <row r="738" spans="1:5" ht="15" customHeight="1">
      <c r="A738" s="39"/>
      <c r="B738" s="97"/>
      <c r="C738" s="74" t="s">
        <v>256</v>
      </c>
      <c r="D738" s="58">
        <v>14</v>
      </c>
      <c r="E738" s="59">
        <v>3.7547604999199998E-4</v>
      </c>
    </row>
    <row r="739" spans="1:5" ht="15" customHeight="1">
      <c r="A739" s="39"/>
      <c r="B739" s="97"/>
      <c r="C739" s="74" t="s">
        <v>233</v>
      </c>
      <c r="D739" s="58">
        <v>66</v>
      </c>
      <c r="E739" s="59">
        <v>1.7701013785329999E-3</v>
      </c>
    </row>
    <row r="740" spans="1:5" ht="15" customHeight="1">
      <c r="A740" s="39"/>
      <c r="B740" s="97"/>
      <c r="C740" s="74" t="s">
        <v>234</v>
      </c>
      <c r="D740" s="58">
        <v>28</v>
      </c>
      <c r="E740" s="59">
        <v>7.5095209998399996E-4</v>
      </c>
    </row>
    <row r="741" spans="1:5" ht="15" customHeight="1">
      <c r="A741" s="39"/>
      <c r="B741" s="97"/>
      <c r="C741" s="74" t="s">
        <v>235</v>
      </c>
      <c r="D741" s="58">
        <v>9</v>
      </c>
      <c r="E741" s="59">
        <v>2.4137746070900001E-4</v>
      </c>
    </row>
    <row r="742" spans="1:5" ht="15" customHeight="1">
      <c r="A742" s="39"/>
      <c r="B742" s="97"/>
      <c r="C742" s="74" t="s">
        <v>236</v>
      </c>
      <c r="D742" s="58">
        <v>82</v>
      </c>
      <c r="E742" s="59">
        <v>2.1992168642390002E-3</v>
      </c>
    </row>
    <row r="743" spans="1:5" ht="15" customHeight="1">
      <c r="A743" s="39"/>
      <c r="B743" s="97"/>
      <c r="C743" s="74" t="s">
        <v>237</v>
      </c>
      <c r="D743" s="58">
        <v>35</v>
      </c>
      <c r="E743" s="59">
        <v>9.3869012498000004E-4</v>
      </c>
    </row>
    <row r="744" spans="1:5" ht="15" customHeight="1">
      <c r="A744" s="39"/>
      <c r="B744" s="97"/>
      <c r="C744" s="74" t="s">
        <v>272</v>
      </c>
      <c r="D744" s="58">
        <v>1</v>
      </c>
      <c r="E744" s="59">
        <v>2.6819717857000001E-5</v>
      </c>
    </row>
    <row r="745" spans="1:5" ht="15" customHeight="1">
      <c r="A745" s="39"/>
      <c r="B745" s="97"/>
      <c r="C745" s="74" t="s">
        <v>238</v>
      </c>
      <c r="D745" s="58">
        <v>10</v>
      </c>
      <c r="E745" s="59">
        <v>2.6819717856600001E-4</v>
      </c>
    </row>
    <row r="746" spans="1:5" ht="15" customHeight="1">
      <c r="A746" s="39"/>
      <c r="B746" s="97"/>
      <c r="C746" s="74" t="s">
        <v>239</v>
      </c>
      <c r="D746" s="58">
        <v>39</v>
      </c>
      <c r="E746" s="59">
        <v>1.045968996406E-3</v>
      </c>
    </row>
    <row r="747" spans="1:5" ht="15" customHeight="1">
      <c r="A747" s="39"/>
      <c r="B747" s="97"/>
      <c r="C747" s="74" t="s">
        <v>240</v>
      </c>
      <c r="D747" s="58">
        <v>24</v>
      </c>
      <c r="E747" s="59">
        <v>6.4367322855799999E-4</v>
      </c>
    </row>
    <row r="748" spans="1:5" ht="15" customHeight="1">
      <c r="A748" s="39"/>
      <c r="B748" s="97"/>
      <c r="C748" s="74" t="s">
        <v>250</v>
      </c>
      <c r="D748" s="58">
        <v>22</v>
      </c>
      <c r="E748" s="59">
        <v>5.9003379284399999E-4</v>
      </c>
    </row>
    <row r="749" spans="1:5" ht="15" customHeight="1">
      <c r="A749" s="39"/>
      <c r="B749" s="97"/>
      <c r="C749" s="74" t="s">
        <v>260</v>
      </c>
      <c r="D749" s="58">
        <v>1</v>
      </c>
      <c r="E749" s="59">
        <v>2.6819717857000001E-5</v>
      </c>
    </row>
    <row r="750" spans="1:5" ht="15" customHeight="1">
      <c r="A750" s="39"/>
      <c r="B750" s="97"/>
      <c r="C750" s="74" t="s">
        <v>257</v>
      </c>
      <c r="D750" s="58">
        <v>15</v>
      </c>
      <c r="E750" s="59">
        <v>4.0229576784899998E-4</v>
      </c>
    </row>
    <row r="751" spans="1:5" ht="15" customHeight="1">
      <c r="A751" s="39"/>
      <c r="B751" s="97"/>
      <c r="C751" s="74" t="s">
        <v>258</v>
      </c>
      <c r="D751" s="58">
        <v>1</v>
      </c>
      <c r="E751" s="59">
        <v>2.6819717857000001E-5</v>
      </c>
    </row>
    <row r="752" spans="1:5" ht="15" customHeight="1">
      <c r="A752" s="39"/>
      <c r="B752" s="97"/>
      <c r="C752" s="74" t="s">
        <v>241</v>
      </c>
      <c r="D752" s="58">
        <v>16</v>
      </c>
      <c r="E752" s="59">
        <v>4.2911548570500002E-4</v>
      </c>
    </row>
    <row r="753" spans="1:5" ht="15" customHeight="1">
      <c r="A753" s="39"/>
      <c r="B753" s="97"/>
      <c r="C753" s="74" t="s">
        <v>242</v>
      </c>
      <c r="D753" s="58">
        <v>563</v>
      </c>
      <c r="E753" s="59">
        <v>1.5099501153248001E-2</v>
      </c>
    </row>
    <row r="754" spans="1:5" ht="15" customHeight="1">
      <c r="A754" s="39"/>
      <c r="B754" s="97"/>
      <c r="C754" s="74" t="s">
        <v>243</v>
      </c>
      <c r="D754" s="58">
        <v>35</v>
      </c>
      <c r="E754" s="59">
        <v>9.3869012498000004E-4</v>
      </c>
    </row>
    <row r="755" spans="1:5" ht="15" customHeight="1">
      <c r="A755" s="39"/>
      <c r="B755" s="97"/>
      <c r="C755" s="74" t="s">
        <v>244</v>
      </c>
      <c r="D755" s="58">
        <v>9</v>
      </c>
      <c r="E755" s="59">
        <v>2.4137746070900001E-4</v>
      </c>
    </row>
    <row r="756" spans="1:5" ht="15" customHeight="1">
      <c r="A756" s="39"/>
      <c r="B756" s="97"/>
      <c r="C756" s="74" t="s">
        <v>79</v>
      </c>
      <c r="D756" s="58">
        <v>18</v>
      </c>
      <c r="E756" s="59">
        <v>4.8275492141800001E-4</v>
      </c>
    </row>
    <row r="757" spans="1:5" ht="15" customHeight="1">
      <c r="A757" s="39"/>
      <c r="B757" s="97"/>
      <c r="C757" s="74" t="s">
        <v>245</v>
      </c>
      <c r="D757" s="58">
        <v>35</v>
      </c>
      <c r="E757" s="59">
        <v>9.3869012498000004E-4</v>
      </c>
    </row>
    <row r="758" spans="1:5" ht="15" customHeight="1">
      <c r="A758" s="39"/>
      <c r="B758" s="97"/>
      <c r="C758" s="74" t="s">
        <v>269</v>
      </c>
      <c r="D758" s="58">
        <v>4</v>
      </c>
      <c r="E758" s="59">
        <v>1.07278871426E-4</v>
      </c>
    </row>
    <row r="759" spans="1:5" ht="15" customHeight="1">
      <c r="A759" s="39"/>
      <c r="B759" s="98"/>
      <c r="C759" s="75" t="s">
        <v>353</v>
      </c>
      <c r="D759" s="71">
        <v>2387</v>
      </c>
      <c r="E759" s="73">
        <v>6.4018666523628004E-2</v>
      </c>
    </row>
    <row r="760" spans="1:5" ht="15" customHeight="1">
      <c r="A760" s="39"/>
      <c r="B760" s="96" t="s">
        <v>120</v>
      </c>
      <c r="C760" s="74" t="s">
        <v>221</v>
      </c>
      <c r="D760" s="58">
        <v>3</v>
      </c>
      <c r="E760" s="59">
        <v>8.0459153570000002E-5</v>
      </c>
    </row>
    <row r="761" spans="1:5" ht="15" customHeight="1">
      <c r="A761" s="39"/>
      <c r="B761" s="97"/>
      <c r="C761" s="74" t="s">
        <v>222</v>
      </c>
      <c r="D761" s="58">
        <v>4</v>
      </c>
      <c r="E761" s="59">
        <v>1.07278871426E-4</v>
      </c>
    </row>
    <row r="762" spans="1:5" ht="15" customHeight="1">
      <c r="A762" s="39"/>
      <c r="B762" s="97"/>
      <c r="C762" s="74" t="s">
        <v>227</v>
      </c>
      <c r="D762" s="58">
        <v>2</v>
      </c>
      <c r="E762" s="59">
        <v>5.3639435713000001E-5</v>
      </c>
    </row>
    <row r="763" spans="1:5" ht="15" customHeight="1">
      <c r="A763" s="39"/>
      <c r="B763" s="97"/>
      <c r="C763" s="74" t="s">
        <v>255</v>
      </c>
      <c r="D763" s="58">
        <v>2</v>
      </c>
      <c r="E763" s="59">
        <v>5.3639435713000001E-5</v>
      </c>
    </row>
    <row r="764" spans="1:5" ht="15" customHeight="1">
      <c r="A764" s="39"/>
      <c r="B764" s="97"/>
      <c r="C764" s="74" t="s">
        <v>239</v>
      </c>
      <c r="D764" s="58">
        <v>2</v>
      </c>
      <c r="E764" s="59">
        <v>5.3639435713000001E-5</v>
      </c>
    </row>
    <row r="765" spans="1:5" ht="15" customHeight="1">
      <c r="A765" s="39"/>
      <c r="B765" s="97"/>
      <c r="C765" s="74" t="s">
        <v>250</v>
      </c>
      <c r="D765" s="58">
        <v>1</v>
      </c>
      <c r="E765" s="59">
        <v>2.6819717857000001E-5</v>
      </c>
    </row>
    <row r="766" spans="1:5" ht="15" customHeight="1">
      <c r="A766" s="39"/>
      <c r="B766" s="97"/>
      <c r="C766" s="74" t="s">
        <v>242</v>
      </c>
      <c r="D766" s="58">
        <v>5</v>
      </c>
      <c r="E766" s="59">
        <v>1.34098589283E-4</v>
      </c>
    </row>
    <row r="767" spans="1:5" ht="15" customHeight="1">
      <c r="A767" s="39"/>
      <c r="B767" s="97"/>
      <c r="C767" s="74" t="s">
        <v>243</v>
      </c>
      <c r="D767" s="58">
        <v>1</v>
      </c>
      <c r="E767" s="59">
        <v>2.6819717857000001E-5</v>
      </c>
    </row>
    <row r="768" spans="1:5" ht="15" customHeight="1">
      <c r="A768" s="39"/>
      <c r="B768" s="98"/>
      <c r="C768" s="75" t="s">
        <v>353</v>
      </c>
      <c r="D768" s="71">
        <v>20</v>
      </c>
      <c r="E768" s="73">
        <v>5.3639435713100005E-4</v>
      </c>
    </row>
    <row r="769" spans="1:5" ht="15" customHeight="1">
      <c r="A769" s="39"/>
      <c r="B769" s="96" t="s">
        <v>121</v>
      </c>
      <c r="C769" s="74" t="s">
        <v>220</v>
      </c>
      <c r="D769" s="58">
        <v>5</v>
      </c>
      <c r="E769" s="59">
        <v>1.34098589283E-4</v>
      </c>
    </row>
    <row r="770" spans="1:5" ht="15" customHeight="1">
      <c r="A770" s="39"/>
      <c r="B770" s="97"/>
      <c r="C770" s="74" t="s">
        <v>221</v>
      </c>
      <c r="D770" s="58">
        <v>2</v>
      </c>
      <c r="E770" s="59">
        <v>5.3639435713000001E-5</v>
      </c>
    </row>
    <row r="771" spans="1:5" ht="15" customHeight="1">
      <c r="A771" s="39"/>
      <c r="B771" s="97"/>
      <c r="C771" s="74" t="s">
        <v>222</v>
      </c>
      <c r="D771" s="58">
        <v>39</v>
      </c>
      <c r="E771" s="59">
        <v>1.045968996406E-3</v>
      </c>
    </row>
    <row r="772" spans="1:5" ht="15" customHeight="1">
      <c r="A772" s="39"/>
      <c r="B772" s="97"/>
      <c r="C772" s="74" t="s">
        <v>223</v>
      </c>
      <c r="D772" s="58">
        <v>1</v>
      </c>
      <c r="E772" s="59">
        <v>2.6819717857000001E-5</v>
      </c>
    </row>
    <row r="773" spans="1:5" ht="15" customHeight="1">
      <c r="A773" s="39"/>
      <c r="B773" s="97"/>
      <c r="C773" s="74" t="s">
        <v>265</v>
      </c>
      <c r="D773" s="58">
        <v>6</v>
      </c>
      <c r="E773" s="59">
        <v>1.6091830713899999E-4</v>
      </c>
    </row>
    <row r="774" spans="1:5" ht="15" customHeight="1">
      <c r="A774" s="39"/>
      <c r="B774" s="97"/>
      <c r="C774" s="74" t="s">
        <v>225</v>
      </c>
      <c r="D774" s="58">
        <v>6</v>
      </c>
      <c r="E774" s="59">
        <v>1.6091830713899999E-4</v>
      </c>
    </row>
    <row r="775" spans="1:5" ht="15" customHeight="1">
      <c r="A775" s="39"/>
      <c r="B775" s="97"/>
      <c r="C775" s="74" t="s">
        <v>226</v>
      </c>
      <c r="D775" s="58">
        <v>1</v>
      </c>
      <c r="E775" s="59">
        <v>2.6819717857000001E-5</v>
      </c>
    </row>
    <row r="776" spans="1:5" ht="15" customHeight="1">
      <c r="A776" s="39"/>
      <c r="B776" s="97"/>
      <c r="C776" s="74" t="s">
        <v>227</v>
      </c>
      <c r="D776" s="58">
        <v>6</v>
      </c>
      <c r="E776" s="59">
        <v>1.6091830713899999E-4</v>
      </c>
    </row>
    <row r="777" spans="1:5" ht="15" customHeight="1">
      <c r="A777" s="39"/>
      <c r="B777" s="97"/>
      <c r="C777" s="74" t="s">
        <v>228</v>
      </c>
      <c r="D777" s="58">
        <v>1</v>
      </c>
      <c r="E777" s="59">
        <v>2.6819717857000001E-5</v>
      </c>
    </row>
    <row r="778" spans="1:5" ht="15" customHeight="1">
      <c r="A778" s="39"/>
      <c r="B778" s="97"/>
      <c r="C778" s="74" t="s">
        <v>248</v>
      </c>
      <c r="D778" s="58">
        <v>3</v>
      </c>
      <c r="E778" s="59">
        <v>8.0459153570000002E-5</v>
      </c>
    </row>
    <row r="779" spans="1:5" ht="15" customHeight="1">
      <c r="A779" s="39"/>
      <c r="B779" s="97"/>
      <c r="C779" s="74" t="s">
        <v>229</v>
      </c>
      <c r="D779" s="58">
        <v>5</v>
      </c>
      <c r="E779" s="59">
        <v>1.34098589283E-4</v>
      </c>
    </row>
    <row r="780" spans="1:5" ht="15" customHeight="1">
      <c r="A780" s="39"/>
      <c r="B780" s="97"/>
      <c r="C780" s="74" t="s">
        <v>266</v>
      </c>
      <c r="D780" s="58">
        <v>2</v>
      </c>
      <c r="E780" s="59">
        <v>5.3639435713000001E-5</v>
      </c>
    </row>
    <row r="781" spans="1:5" ht="15" customHeight="1">
      <c r="A781" s="39"/>
      <c r="B781" s="97"/>
      <c r="C781" s="74" t="s">
        <v>230</v>
      </c>
      <c r="D781" s="58">
        <v>4</v>
      </c>
      <c r="E781" s="59">
        <v>1.07278871426E-4</v>
      </c>
    </row>
    <row r="782" spans="1:5" ht="15" customHeight="1">
      <c r="A782" s="39"/>
      <c r="B782" s="97"/>
      <c r="C782" s="74" t="s">
        <v>231</v>
      </c>
      <c r="D782" s="58">
        <v>5</v>
      </c>
      <c r="E782" s="59">
        <v>1.34098589283E-4</v>
      </c>
    </row>
    <row r="783" spans="1:5" ht="15" customHeight="1">
      <c r="A783" s="39"/>
      <c r="B783" s="97"/>
      <c r="C783" s="74" t="s">
        <v>233</v>
      </c>
      <c r="D783" s="58">
        <v>4</v>
      </c>
      <c r="E783" s="59">
        <v>1.07278871426E-4</v>
      </c>
    </row>
    <row r="784" spans="1:5" ht="15" customHeight="1">
      <c r="A784" s="39"/>
      <c r="B784" s="97"/>
      <c r="C784" s="74" t="s">
        <v>234</v>
      </c>
      <c r="D784" s="58">
        <v>5</v>
      </c>
      <c r="E784" s="59">
        <v>1.34098589283E-4</v>
      </c>
    </row>
    <row r="785" spans="1:5" ht="15" customHeight="1">
      <c r="A785" s="39"/>
      <c r="B785" s="97"/>
      <c r="C785" s="74" t="s">
        <v>235</v>
      </c>
      <c r="D785" s="58">
        <v>1</v>
      </c>
      <c r="E785" s="59">
        <v>2.6819717857000001E-5</v>
      </c>
    </row>
    <row r="786" spans="1:5" ht="15" customHeight="1">
      <c r="A786" s="39"/>
      <c r="B786" s="97"/>
      <c r="C786" s="74" t="s">
        <v>236</v>
      </c>
      <c r="D786" s="58">
        <v>5</v>
      </c>
      <c r="E786" s="59">
        <v>1.34098589283E-4</v>
      </c>
    </row>
    <row r="787" spans="1:5" ht="15" customHeight="1">
      <c r="A787" s="39"/>
      <c r="B787" s="97"/>
      <c r="C787" s="74" t="s">
        <v>238</v>
      </c>
      <c r="D787" s="58">
        <v>2</v>
      </c>
      <c r="E787" s="59">
        <v>5.3639435713000001E-5</v>
      </c>
    </row>
    <row r="788" spans="1:5" ht="15" customHeight="1">
      <c r="A788" s="39"/>
      <c r="B788" s="97"/>
      <c r="C788" s="74" t="s">
        <v>239</v>
      </c>
      <c r="D788" s="58">
        <v>2</v>
      </c>
      <c r="E788" s="59">
        <v>5.3639435713000001E-5</v>
      </c>
    </row>
    <row r="789" spans="1:5" ht="15" customHeight="1">
      <c r="A789" s="39"/>
      <c r="B789" s="97"/>
      <c r="C789" s="74" t="s">
        <v>240</v>
      </c>
      <c r="D789" s="58">
        <v>3</v>
      </c>
      <c r="E789" s="59">
        <v>8.0459153570000002E-5</v>
      </c>
    </row>
    <row r="790" spans="1:5" ht="15" customHeight="1">
      <c r="A790" s="39"/>
      <c r="B790" s="97"/>
      <c r="C790" s="74" t="s">
        <v>250</v>
      </c>
      <c r="D790" s="58">
        <v>7</v>
      </c>
      <c r="E790" s="59">
        <v>1.8773802499599999E-4</v>
      </c>
    </row>
    <row r="791" spans="1:5" ht="15" customHeight="1">
      <c r="A791" s="39"/>
      <c r="B791" s="97"/>
      <c r="C791" s="74" t="s">
        <v>241</v>
      </c>
      <c r="D791" s="58">
        <v>1</v>
      </c>
      <c r="E791" s="59">
        <v>2.6819717857000001E-5</v>
      </c>
    </row>
    <row r="792" spans="1:5" ht="15" customHeight="1">
      <c r="A792" s="39"/>
      <c r="B792" s="97"/>
      <c r="C792" s="74" t="s">
        <v>242</v>
      </c>
      <c r="D792" s="58">
        <v>54</v>
      </c>
      <c r="E792" s="59">
        <v>1.4482647642550001E-3</v>
      </c>
    </row>
    <row r="793" spans="1:5" ht="15" customHeight="1">
      <c r="A793" s="39"/>
      <c r="B793" s="97"/>
      <c r="C793" s="74" t="s">
        <v>243</v>
      </c>
      <c r="D793" s="58">
        <v>1</v>
      </c>
      <c r="E793" s="59">
        <v>2.6819717857000001E-5</v>
      </c>
    </row>
    <row r="794" spans="1:5" ht="15" customHeight="1">
      <c r="A794" s="39"/>
      <c r="B794" s="97"/>
      <c r="C794" s="74" t="s">
        <v>244</v>
      </c>
      <c r="D794" s="58">
        <v>2</v>
      </c>
      <c r="E794" s="59">
        <v>5.3639435713000001E-5</v>
      </c>
    </row>
    <row r="795" spans="1:5" ht="15" customHeight="1">
      <c r="A795" s="39"/>
      <c r="B795" s="97"/>
      <c r="C795" s="74" t="s">
        <v>79</v>
      </c>
      <c r="D795" s="58">
        <v>3</v>
      </c>
      <c r="E795" s="59">
        <v>8.0459153570000002E-5</v>
      </c>
    </row>
    <row r="796" spans="1:5" ht="15" customHeight="1">
      <c r="A796" s="39"/>
      <c r="B796" s="97"/>
      <c r="C796" s="74" t="s">
        <v>245</v>
      </c>
      <c r="D796" s="58">
        <v>4</v>
      </c>
      <c r="E796" s="59">
        <v>1.07278871426E-4</v>
      </c>
    </row>
    <row r="797" spans="1:5" ht="15" customHeight="1">
      <c r="A797" s="39"/>
      <c r="B797" s="97"/>
      <c r="C797" s="74" t="s">
        <v>269</v>
      </c>
      <c r="D797" s="58">
        <v>2</v>
      </c>
      <c r="E797" s="59">
        <v>5.3639435713000001E-5</v>
      </c>
    </row>
    <row r="798" spans="1:5" ht="15" customHeight="1">
      <c r="A798" s="39"/>
      <c r="B798" s="98"/>
      <c r="C798" s="75" t="s">
        <v>353</v>
      </c>
      <c r="D798" s="71">
        <v>182</v>
      </c>
      <c r="E798" s="73">
        <v>4.8811886498949996E-3</v>
      </c>
    </row>
    <row r="799" spans="1:5" ht="15" customHeight="1">
      <c r="A799" s="39"/>
      <c r="B799" s="96" t="s">
        <v>122</v>
      </c>
      <c r="C799" s="74" t="s">
        <v>220</v>
      </c>
      <c r="D799" s="58">
        <v>2</v>
      </c>
      <c r="E799" s="59">
        <v>5.3639435713000001E-5</v>
      </c>
    </row>
    <row r="800" spans="1:5" ht="15" customHeight="1">
      <c r="A800" s="39"/>
      <c r="B800" s="97"/>
      <c r="C800" s="74" t="s">
        <v>222</v>
      </c>
      <c r="D800" s="58">
        <v>5</v>
      </c>
      <c r="E800" s="59">
        <v>1.34098589283E-4</v>
      </c>
    </row>
    <row r="801" spans="1:5" ht="15" customHeight="1">
      <c r="A801" s="39"/>
      <c r="B801" s="97"/>
      <c r="C801" s="74" t="s">
        <v>223</v>
      </c>
      <c r="D801" s="58">
        <v>1</v>
      </c>
      <c r="E801" s="59">
        <v>2.6819717857000001E-5</v>
      </c>
    </row>
    <row r="802" spans="1:5" ht="15" customHeight="1">
      <c r="A802" s="39"/>
      <c r="B802" s="97"/>
      <c r="C802" s="74" t="s">
        <v>224</v>
      </c>
      <c r="D802" s="58">
        <v>1</v>
      </c>
      <c r="E802" s="59">
        <v>2.6819717857000001E-5</v>
      </c>
    </row>
    <row r="803" spans="1:5" ht="15" customHeight="1">
      <c r="A803" s="39"/>
      <c r="B803" s="97"/>
      <c r="C803" s="74" t="s">
        <v>225</v>
      </c>
      <c r="D803" s="58">
        <v>1</v>
      </c>
      <c r="E803" s="59">
        <v>2.6819717857000001E-5</v>
      </c>
    </row>
    <row r="804" spans="1:5" ht="15" customHeight="1">
      <c r="A804" s="39"/>
      <c r="B804" s="97"/>
      <c r="C804" s="74" t="s">
        <v>234</v>
      </c>
      <c r="D804" s="58">
        <v>2</v>
      </c>
      <c r="E804" s="59">
        <v>5.3639435713000001E-5</v>
      </c>
    </row>
    <row r="805" spans="1:5" ht="15" customHeight="1">
      <c r="A805" s="39"/>
      <c r="B805" s="97"/>
      <c r="C805" s="74" t="s">
        <v>235</v>
      </c>
      <c r="D805" s="58">
        <v>1</v>
      </c>
      <c r="E805" s="59">
        <v>2.6819717857000001E-5</v>
      </c>
    </row>
    <row r="806" spans="1:5" ht="15" customHeight="1">
      <c r="A806" s="39"/>
      <c r="B806" s="97"/>
      <c r="C806" s="74" t="s">
        <v>237</v>
      </c>
      <c r="D806" s="58">
        <v>1</v>
      </c>
      <c r="E806" s="59">
        <v>2.6819717857000001E-5</v>
      </c>
    </row>
    <row r="807" spans="1:5" ht="15" customHeight="1">
      <c r="A807" s="39"/>
      <c r="B807" s="97"/>
      <c r="C807" s="74" t="s">
        <v>238</v>
      </c>
      <c r="D807" s="58">
        <v>1</v>
      </c>
      <c r="E807" s="59">
        <v>2.6819717857000001E-5</v>
      </c>
    </row>
    <row r="808" spans="1:5" ht="15" customHeight="1">
      <c r="A808" s="39"/>
      <c r="B808" s="97"/>
      <c r="C808" s="74" t="s">
        <v>260</v>
      </c>
      <c r="D808" s="58">
        <v>1</v>
      </c>
      <c r="E808" s="59">
        <v>2.6819717857000001E-5</v>
      </c>
    </row>
    <row r="809" spans="1:5" ht="15" customHeight="1">
      <c r="A809" s="39"/>
      <c r="B809" s="97"/>
      <c r="C809" s="74" t="s">
        <v>242</v>
      </c>
      <c r="D809" s="58">
        <v>7</v>
      </c>
      <c r="E809" s="59">
        <v>1.8773802499599999E-4</v>
      </c>
    </row>
    <row r="810" spans="1:5" ht="15" customHeight="1">
      <c r="A810" s="39"/>
      <c r="B810" s="97"/>
      <c r="C810" s="74" t="s">
        <v>245</v>
      </c>
      <c r="D810" s="58">
        <v>1</v>
      </c>
      <c r="E810" s="59">
        <v>2.6819717857000001E-5</v>
      </c>
    </row>
    <row r="811" spans="1:5" ht="20.5" customHeight="1">
      <c r="A811" s="39"/>
      <c r="B811" s="98"/>
      <c r="C811" s="75" t="s">
        <v>353</v>
      </c>
      <c r="D811" s="71">
        <v>24</v>
      </c>
      <c r="E811" s="73">
        <v>6.4367322855799999E-4</v>
      </c>
    </row>
    <row r="812" spans="1:5" ht="15" customHeight="1">
      <c r="A812" s="39"/>
      <c r="B812" s="94" t="s">
        <v>354</v>
      </c>
      <c r="C812" s="95"/>
      <c r="D812" s="61">
        <v>37286</v>
      </c>
      <c r="E812" s="62">
        <v>1</v>
      </c>
    </row>
    <row r="813" spans="1:5" ht="15" customHeight="1">
      <c r="A813" s="39"/>
      <c r="B813" s="39"/>
      <c r="C813" s="39"/>
      <c r="D813" s="39"/>
      <c r="E813" s="39"/>
    </row>
    <row r="814" spans="1:5" ht="15" customHeight="1">
      <c r="A814" s="48"/>
      <c r="B814" s="40" t="s">
        <v>132</v>
      </c>
      <c r="C814" s="39"/>
      <c r="D814" s="39"/>
      <c r="E814" s="39"/>
    </row>
    <row r="815" spans="1:5" ht="15" customHeight="1">
      <c r="A815" s="48"/>
      <c r="B815" s="41" t="s">
        <v>17</v>
      </c>
      <c r="C815" s="39"/>
      <c r="D815" s="39"/>
      <c r="E815" s="39"/>
    </row>
    <row r="816" spans="1:5" ht="15" customHeight="1">
      <c r="A816" s="48"/>
      <c r="B816" s="42" t="s">
        <v>46</v>
      </c>
      <c r="C816" s="39"/>
      <c r="D816" s="39"/>
      <c r="E816" s="39"/>
    </row>
    <row r="817" spans="1:5" ht="15" customHeight="1">
      <c r="A817" s="48"/>
      <c r="B817" s="40" t="s">
        <v>16</v>
      </c>
      <c r="C817" s="39"/>
      <c r="D817" s="39"/>
      <c r="E817" s="39"/>
    </row>
    <row r="818" spans="1:5" ht="15" customHeight="1">
      <c r="A818" s="48"/>
      <c r="B818" s="40" t="s">
        <v>356</v>
      </c>
      <c r="C818" s="39"/>
      <c r="D818" s="39"/>
      <c r="E818" s="39"/>
    </row>
  </sheetData>
  <mergeCells count="26">
    <mergeCell ref="B7:E8"/>
    <mergeCell ref="B10:B37"/>
    <mergeCell ref="B38:B59"/>
    <mergeCell ref="B60:B82"/>
    <mergeCell ref="B83:B112"/>
    <mergeCell ref="B113:B140"/>
    <mergeCell ref="B141:B171"/>
    <mergeCell ref="B172:B215"/>
    <mergeCell ref="B216:B262"/>
    <mergeCell ref="B263:B297"/>
    <mergeCell ref="B298:B338"/>
    <mergeCell ref="B339:B379"/>
    <mergeCell ref="B380:B429"/>
    <mergeCell ref="B430:B469"/>
    <mergeCell ref="B470:B512"/>
    <mergeCell ref="B513:B559"/>
    <mergeCell ref="B560:B593"/>
    <mergeCell ref="B594:B627"/>
    <mergeCell ref="B628:B653"/>
    <mergeCell ref="B654:B672"/>
    <mergeCell ref="B812:C812"/>
    <mergeCell ref="B673:B713"/>
    <mergeCell ref="B714:B759"/>
    <mergeCell ref="B760:B768"/>
    <mergeCell ref="B769:B798"/>
    <mergeCell ref="B799:B8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90"/>
  <sheetViews>
    <sheetView showGridLines="0" view="pageBreakPreview" topLeftCell="A971" zoomScaleNormal="100" zoomScaleSheetLayoutView="100" workbookViewId="0">
      <selection activeCell="E990" sqref="E990"/>
    </sheetView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6.45312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A6" s="35"/>
      <c r="B6" s="34"/>
      <c r="C6" s="35"/>
      <c r="D6" s="35"/>
      <c r="E6" s="35"/>
    </row>
    <row r="7" spans="1:5" s="25" customFormat="1" ht="26.25" customHeight="1">
      <c r="A7" s="49"/>
      <c r="B7" s="99"/>
      <c r="C7" s="99"/>
      <c r="D7" s="99"/>
      <c r="E7" s="99"/>
    </row>
    <row r="8" spans="1:5" s="25" customFormat="1" ht="33" customHeight="1">
      <c r="A8" s="49"/>
      <c r="B8" s="99"/>
      <c r="C8" s="99"/>
      <c r="D8" s="99"/>
      <c r="E8" s="99"/>
    </row>
    <row r="9" spans="1:5" s="18" customFormat="1" ht="40.5" customHeight="1">
      <c r="A9" s="43"/>
      <c r="B9" s="36" t="s">
        <v>21</v>
      </c>
      <c r="C9" s="37" t="s">
        <v>27</v>
      </c>
      <c r="D9" s="38" t="s">
        <v>19</v>
      </c>
      <c r="E9" s="36" t="s">
        <v>18</v>
      </c>
    </row>
    <row r="10" spans="1:5" ht="14.5" customHeight="1">
      <c r="A10" s="39"/>
      <c r="B10" s="96" t="s">
        <v>86</v>
      </c>
      <c r="C10" s="57" t="s">
        <v>99</v>
      </c>
      <c r="D10" s="58">
        <v>1</v>
      </c>
      <c r="E10" s="59">
        <v>2.6819717857000001E-5</v>
      </c>
    </row>
    <row r="11" spans="1:5" ht="14.5" customHeight="1">
      <c r="A11" s="39"/>
      <c r="B11" s="97"/>
      <c r="C11" s="57" t="s">
        <v>102</v>
      </c>
      <c r="D11" s="58">
        <v>1</v>
      </c>
      <c r="E11" s="59">
        <v>2.6819717857000001E-5</v>
      </c>
    </row>
    <row r="12" spans="1:5" ht="14.5" customHeight="1">
      <c r="A12" s="39"/>
      <c r="B12" s="97"/>
      <c r="C12" s="57" t="s">
        <v>104</v>
      </c>
      <c r="D12" s="58">
        <v>1</v>
      </c>
      <c r="E12" s="59">
        <v>2.6819717857000001E-5</v>
      </c>
    </row>
    <row r="13" spans="1:5" ht="14.5" customHeight="1">
      <c r="A13" s="39"/>
      <c r="B13" s="97"/>
      <c r="C13" s="57" t="s">
        <v>105</v>
      </c>
      <c r="D13" s="58">
        <v>1</v>
      </c>
      <c r="E13" s="59">
        <v>2.6819717857000001E-5</v>
      </c>
    </row>
    <row r="14" spans="1:5" ht="14.5" customHeight="1">
      <c r="A14" s="39"/>
      <c r="B14" s="97"/>
      <c r="C14" s="57" t="s">
        <v>106</v>
      </c>
      <c r="D14" s="58">
        <v>6</v>
      </c>
      <c r="E14" s="59">
        <v>1.6091830713899999E-4</v>
      </c>
    </row>
    <row r="15" spans="1:5" ht="14.5" customHeight="1">
      <c r="A15" s="39"/>
      <c r="B15" s="97"/>
      <c r="C15" s="57" t="s">
        <v>107</v>
      </c>
      <c r="D15" s="58">
        <v>3</v>
      </c>
      <c r="E15" s="59">
        <v>8.0459153570000002E-5</v>
      </c>
    </row>
    <row r="16" spans="1:5" ht="14.5" customHeight="1">
      <c r="A16" s="39"/>
      <c r="B16" s="97"/>
      <c r="C16" s="57" t="s">
        <v>108</v>
      </c>
      <c r="D16" s="58">
        <v>3</v>
      </c>
      <c r="E16" s="59">
        <v>8.0459153570000002E-5</v>
      </c>
    </row>
    <row r="17" spans="1:5" ht="14.5" customHeight="1">
      <c r="A17" s="39"/>
      <c r="B17" s="97"/>
      <c r="C17" s="57" t="s">
        <v>109</v>
      </c>
      <c r="D17" s="58">
        <v>1</v>
      </c>
      <c r="E17" s="59">
        <v>2.6819717857000001E-5</v>
      </c>
    </row>
    <row r="18" spans="1:5" ht="14.5" customHeight="1">
      <c r="A18" s="39"/>
      <c r="B18" s="97"/>
      <c r="C18" s="57" t="s">
        <v>110</v>
      </c>
      <c r="D18" s="58">
        <v>27</v>
      </c>
      <c r="E18" s="59">
        <v>7.2413238212700002E-4</v>
      </c>
    </row>
    <row r="19" spans="1:5" ht="14.5" customHeight="1">
      <c r="A19" s="39"/>
      <c r="B19" s="97"/>
      <c r="C19" s="57" t="s">
        <v>111</v>
      </c>
      <c r="D19" s="58">
        <v>4</v>
      </c>
      <c r="E19" s="59">
        <v>1.07278871426E-4</v>
      </c>
    </row>
    <row r="20" spans="1:5" ht="14.5" customHeight="1">
      <c r="A20" s="39"/>
      <c r="B20" s="97"/>
      <c r="C20" s="57" t="s">
        <v>112</v>
      </c>
      <c r="D20" s="58">
        <v>5</v>
      </c>
      <c r="E20" s="59">
        <v>1.34098589283E-4</v>
      </c>
    </row>
    <row r="21" spans="1:5" ht="14.5" customHeight="1">
      <c r="A21" s="39"/>
      <c r="B21" s="97"/>
      <c r="C21" s="57" t="s">
        <v>113</v>
      </c>
      <c r="D21" s="58">
        <v>27</v>
      </c>
      <c r="E21" s="59">
        <v>7.2413238212700002E-4</v>
      </c>
    </row>
    <row r="22" spans="1:5" ht="14.5" customHeight="1">
      <c r="A22" s="39"/>
      <c r="B22" s="97"/>
      <c r="C22" s="57" t="s">
        <v>114</v>
      </c>
      <c r="D22" s="58">
        <v>1</v>
      </c>
      <c r="E22" s="59">
        <v>2.6819717857000001E-5</v>
      </c>
    </row>
    <row r="23" spans="1:5" ht="14.5" customHeight="1">
      <c r="A23" s="39"/>
      <c r="B23" s="97"/>
      <c r="C23" s="57" t="s">
        <v>115</v>
      </c>
      <c r="D23" s="58">
        <v>2</v>
      </c>
      <c r="E23" s="59">
        <v>5.3639435713000001E-5</v>
      </c>
    </row>
    <row r="24" spans="1:5" ht="14.5" customHeight="1">
      <c r="A24" s="39"/>
      <c r="B24" s="97"/>
      <c r="C24" s="57" t="s">
        <v>116</v>
      </c>
      <c r="D24" s="58">
        <v>2</v>
      </c>
      <c r="E24" s="59">
        <v>5.3639435713000001E-5</v>
      </c>
    </row>
    <row r="25" spans="1:5" ht="14.5" customHeight="1">
      <c r="A25" s="39"/>
      <c r="B25" s="97"/>
      <c r="C25" s="57" t="s">
        <v>118</v>
      </c>
      <c r="D25" s="58">
        <v>5</v>
      </c>
      <c r="E25" s="59">
        <v>1.34098589283E-4</v>
      </c>
    </row>
    <row r="26" spans="1:5" ht="14.5" customHeight="1">
      <c r="A26" s="39"/>
      <c r="B26" s="97"/>
      <c r="C26" s="57" t="s">
        <v>119</v>
      </c>
      <c r="D26" s="58">
        <v>6</v>
      </c>
      <c r="E26" s="59">
        <v>1.6091830713899999E-4</v>
      </c>
    </row>
    <row r="27" spans="1:5" ht="14.5" customHeight="1">
      <c r="A27" s="39"/>
      <c r="B27" s="97"/>
      <c r="C27" s="57" t="s">
        <v>121</v>
      </c>
      <c r="D27" s="58">
        <v>1</v>
      </c>
      <c r="E27" s="59">
        <v>2.6819717857000001E-5</v>
      </c>
    </row>
    <row r="28" spans="1:5" ht="14.5" customHeight="1">
      <c r="A28" s="39"/>
      <c r="B28" s="97"/>
      <c r="C28" s="57" t="s">
        <v>122</v>
      </c>
      <c r="D28" s="58">
        <v>1</v>
      </c>
      <c r="E28" s="59">
        <v>2.6819717857000001E-5</v>
      </c>
    </row>
    <row r="29" spans="1:5" ht="14.5" customHeight="1">
      <c r="A29" s="39"/>
      <c r="B29" s="98"/>
      <c r="C29" s="72" t="s">
        <v>353</v>
      </c>
      <c r="D29" s="71">
        <v>98</v>
      </c>
      <c r="E29" s="73">
        <v>2.6283323499440001E-3</v>
      </c>
    </row>
    <row r="30" spans="1:5" ht="14.5" customHeight="1">
      <c r="A30" s="39"/>
      <c r="B30" s="96" t="s">
        <v>53</v>
      </c>
      <c r="C30" s="57" t="s">
        <v>99</v>
      </c>
      <c r="D30" s="58">
        <v>3</v>
      </c>
      <c r="E30" s="59">
        <v>8.0459153570000002E-5</v>
      </c>
    </row>
    <row r="31" spans="1:5" ht="14.5" customHeight="1">
      <c r="A31" s="39"/>
      <c r="B31" s="97"/>
      <c r="C31" s="57" t="s">
        <v>100</v>
      </c>
      <c r="D31" s="58">
        <v>6</v>
      </c>
      <c r="E31" s="59">
        <v>1.6091830713899999E-4</v>
      </c>
    </row>
    <row r="32" spans="1:5" ht="14.5" customHeight="1">
      <c r="A32" s="39"/>
      <c r="B32" s="97"/>
      <c r="C32" s="57" t="s">
        <v>101</v>
      </c>
      <c r="D32" s="58">
        <v>4</v>
      </c>
      <c r="E32" s="59">
        <v>1.07278871426E-4</v>
      </c>
    </row>
    <row r="33" spans="1:5" ht="14.5" customHeight="1">
      <c r="A33" s="39"/>
      <c r="B33" s="97"/>
      <c r="C33" s="57" t="s">
        <v>102</v>
      </c>
      <c r="D33" s="58">
        <v>5</v>
      </c>
      <c r="E33" s="59">
        <v>1.34098589283E-4</v>
      </c>
    </row>
    <row r="34" spans="1:5" ht="14.5" customHeight="1">
      <c r="A34" s="39"/>
      <c r="B34" s="97"/>
      <c r="C34" s="57" t="s">
        <v>103</v>
      </c>
      <c r="D34" s="58">
        <v>4</v>
      </c>
      <c r="E34" s="59">
        <v>1.07278871426E-4</v>
      </c>
    </row>
    <row r="35" spans="1:5" ht="14.5" customHeight="1">
      <c r="A35" s="39"/>
      <c r="B35" s="97"/>
      <c r="C35" s="57" t="s">
        <v>104</v>
      </c>
      <c r="D35" s="58">
        <v>6</v>
      </c>
      <c r="E35" s="59">
        <v>1.6091830713899999E-4</v>
      </c>
    </row>
    <row r="36" spans="1:5" ht="14.5" customHeight="1">
      <c r="A36" s="39"/>
      <c r="B36" s="97"/>
      <c r="C36" s="57" t="s">
        <v>105</v>
      </c>
      <c r="D36" s="58">
        <v>40</v>
      </c>
      <c r="E36" s="59">
        <v>1.072788714263E-3</v>
      </c>
    </row>
    <row r="37" spans="1:5" ht="14.5" customHeight="1">
      <c r="A37" s="39"/>
      <c r="B37" s="97"/>
      <c r="C37" s="57" t="s">
        <v>106</v>
      </c>
      <c r="D37" s="58">
        <v>127</v>
      </c>
      <c r="E37" s="59">
        <v>3.4061041677839999E-3</v>
      </c>
    </row>
    <row r="38" spans="1:5" ht="14.5" customHeight="1">
      <c r="A38" s="39"/>
      <c r="B38" s="97"/>
      <c r="C38" s="57" t="s">
        <v>107</v>
      </c>
      <c r="D38" s="58">
        <v>20</v>
      </c>
      <c r="E38" s="59">
        <v>5.3639435713100005E-4</v>
      </c>
    </row>
    <row r="39" spans="1:5" ht="14.5" customHeight="1">
      <c r="A39" s="39"/>
      <c r="B39" s="97"/>
      <c r="C39" s="57" t="s">
        <v>108</v>
      </c>
      <c r="D39" s="58">
        <v>26</v>
      </c>
      <c r="E39" s="59">
        <v>6.9731266427100003E-4</v>
      </c>
    </row>
    <row r="40" spans="1:5" ht="14.5" customHeight="1">
      <c r="A40" s="39"/>
      <c r="B40" s="97"/>
      <c r="C40" s="57" t="s">
        <v>109</v>
      </c>
      <c r="D40" s="58">
        <v>31</v>
      </c>
      <c r="E40" s="59">
        <v>8.3141125355399995E-4</v>
      </c>
    </row>
    <row r="41" spans="1:5" ht="14.5" customHeight="1">
      <c r="A41" s="39"/>
      <c r="B41" s="97"/>
      <c r="C41" s="57" t="s">
        <v>110</v>
      </c>
      <c r="D41" s="58">
        <v>602</v>
      </c>
      <c r="E41" s="59">
        <v>1.6145470149654E-2</v>
      </c>
    </row>
    <row r="42" spans="1:5" ht="14.5" customHeight="1">
      <c r="A42" s="39"/>
      <c r="B42" s="97"/>
      <c r="C42" s="57" t="s">
        <v>111</v>
      </c>
      <c r="D42" s="58">
        <v>35</v>
      </c>
      <c r="E42" s="59">
        <v>9.3869012498000004E-4</v>
      </c>
    </row>
    <row r="43" spans="1:5" ht="14.5" customHeight="1">
      <c r="A43" s="39"/>
      <c r="B43" s="97"/>
      <c r="C43" s="57" t="s">
        <v>112</v>
      </c>
      <c r="D43" s="58">
        <v>97</v>
      </c>
      <c r="E43" s="59">
        <v>2.6015126320870002E-3</v>
      </c>
    </row>
    <row r="44" spans="1:5" ht="14.5" customHeight="1">
      <c r="A44" s="39"/>
      <c r="B44" s="97"/>
      <c r="C44" s="57" t="s">
        <v>113</v>
      </c>
      <c r="D44" s="58">
        <v>323</v>
      </c>
      <c r="E44" s="59">
        <v>8.6627688676719997E-3</v>
      </c>
    </row>
    <row r="45" spans="1:5" ht="14.5" customHeight="1">
      <c r="A45" s="39"/>
      <c r="B45" s="97"/>
      <c r="C45" s="57" t="s">
        <v>114</v>
      </c>
      <c r="D45" s="58">
        <v>9</v>
      </c>
      <c r="E45" s="59">
        <v>2.4137746070900001E-4</v>
      </c>
    </row>
    <row r="46" spans="1:5" ht="14.5" customHeight="1">
      <c r="A46" s="39"/>
      <c r="B46" s="97"/>
      <c r="C46" s="57" t="s">
        <v>115</v>
      </c>
      <c r="D46" s="58">
        <v>10</v>
      </c>
      <c r="E46" s="59">
        <v>2.6819717856600001E-4</v>
      </c>
    </row>
    <row r="47" spans="1:5" ht="14.5" customHeight="1">
      <c r="A47" s="39"/>
      <c r="B47" s="97"/>
      <c r="C47" s="57" t="s">
        <v>116</v>
      </c>
      <c r="D47" s="58">
        <v>1</v>
      </c>
      <c r="E47" s="59">
        <v>2.6819717857000001E-5</v>
      </c>
    </row>
    <row r="48" spans="1:5" ht="14.5" customHeight="1">
      <c r="A48" s="39"/>
      <c r="B48" s="97"/>
      <c r="C48" s="57" t="s">
        <v>117</v>
      </c>
      <c r="D48" s="58">
        <v>1</v>
      </c>
      <c r="E48" s="59">
        <v>2.6819717857000001E-5</v>
      </c>
    </row>
    <row r="49" spans="1:5" ht="14.5" customHeight="1">
      <c r="A49" s="39"/>
      <c r="B49" s="97"/>
      <c r="C49" s="57" t="s">
        <v>118</v>
      </c>
      <c r="D49" s="58">
        <v>17</v>
      </c>
      <c r="E49" s="59">
        <v>4.5593520356200002E-4</v>
      </c>
    </row>
    <row r="50" spans="1:5" ht="14.5" customHeight="1">
      <c r="A50" s="39"/>
      <c r="B50" s="97"/>
      <c r="C50" s="57" t="s">
        <v>119</v>
      </c>
      <c r="D50" s="58">
        <v>52</v>
      </c>
      <c r="E50" s="59">
        <v>1.3946253285420001E-3</v>
      </c>
    </row>
    <row r="51" spans="1:5" ht="14.5" customHeight="1">
      <c r="A51" s="39"/>
      <c r="B51" s="97"/>
      <c r="C51" s="57" t="s">
        <v>121</v>
      </c>
      <c r="D51" s="58">
        <v>1</v>
      </c>
      <c r="E51" s="59">
        <v>2.6819717857000001E-5</v>
      </c>
    </row>
    <row r="52" spans="1:5" ht="14.5" customHeight="1">
      <c r="A52" s="39"/>
      <c r="B52" s="98"/>
      <c r="C52" s="72" t="s">
        <v>353</v>
      </c>
      <c r="D52" s="71">
        <v>1420</v>
      </c>
      <c r="E52" s="73">
        <v>3.8083999356327003E-2</v>
      </c>
    </row>
    <row r="53" spans="1:5" ht="14.5" customHeight="1">
      <c r="A53" s="39"/>
      <c r="B53" s="96" t="s">
        <v>62</v>
      </c>
      <c r="C53" s="57" t="s">
        <v>99</v>
      </c>
      <c r="D53" s="58">
        <v>4</v>
      </c>
      <c r="E53" s="59">
        <v>1.07278871426E-4</v>
      </c>
    </row>
    <row r="54" spans="1:5" ht="14.5" customHeight="1">
      <c r="A54" s="39"/>
      <c r="B54" s="97"/>
      <c r="C54" s="57" t="s">
        <v>100</v>
      </c>
      <c r="D54" s="58">
        <v>1</v>
      </c>
      <c r="E54" s="59">
        <v>2.6819717857000001E-5</v>
      </c>
    </row>
    <row r="55" spans="1:5" ht="14.5" customHeight="1">
      <c r="A55" s="39"/>
      <c r="B55" s="97"/>
      <c r="C55" s="57" t="s">
        <v>103</v>
      </c>
      <c r="D55" s="58">
        <v>1</v>
      </c>
      <c r="E55" s="59">
        <v>2.6819717857000001E-5</v>
      </c>
    </row>
    <row r="56" spans="1:5" ht="14.5" customHeight="1">
      <c r="A56" s="39"/>
      <c r="B56" s="97"/>
      <c r="C56" s="57" t="s">
        <v>104</v>
      </c>
      <c r="D56" s="58">
        <v>5</v>
      </c>
      <c r="E56" s="59">
        <v>1.34098589283E-4</v>
      </c>
    </row>
    <row r="57" spans="1:5" ht="14.5" customHeight="1">
      <c r="A57" s="39"/>
      <c r="B57" s="97"/>
      <c r="C57" s="57" t="s">
        <v>105</v>
      </c>
      <c r="D57" s="58">
        <v>24</v>
      </c>
      <c r="E57" s="59">
        <v>6.4367322855799999E-4</v>
      </c>
    </row>
    <row r="58" spans="1:5" ht="14.5" customHeight="1">
      <c r="A58" s="39"/>
      <c r="B58" s="97"/>
      <c r="C58" s="57" t="s">
        <v>106</v>
      </c>
      <c r="D58" s="58">
        <v>54</v>
      </c>
      <c r="E58" s="59">
        <v>1.4482647642550001E-3</v>
      </c>
    </row>
    <row r="59" spans="1:5" ht="14.5" customHeight="1">
      <c r="A59" s="39"/>
      <c r="B59" s="97"/>
      <c r="C59" s="57" t="s">
        <v>107</v>
      </c>
      <c r="D59" s="58">
        <v>5</v>
      </c>
      <c r="E59" s="59">
        <v>1.34098589283E-4</v>
      </c>
    </row>
    <row r="60" spans="1:5" ht="14.5" customHeight="1">
      <c r="A60" s="39"/>
      <c r="B60" s="97"/>
      <c r="C60" s="57" t="s">
        <v>108</v>
      </c>
      <c r="D60" s="58">
        <v>11</v>
      </c>
      <c r="E60" s="59">
        <v>2.9501689642199999E-4</v>
      </c>
    </row>
    <row r="61" spans="1:5" ht="14.5" customHeight="1">
      <c r="A61" s="39"/>
      <c r="B61" s="97"/>
      <c r="C61" s="57" t="s">
        <v>109</v>
      </c>
      <c r="D61" s="58">
        <v>34</v>
      </c>
      <c r="E61" s="59">
        <v>9.1187040712299998E-4</v>
      </c>
    </row>
    <row r="62" spans="1:5" ht="14.5" customHeight="1">
      <c r="A62" s="39"/>
      <c r="B62" s="97"/>
      <c r="C62" s="57" t="s">
        <v>110</v>
      </c>
      <c r="D62" s="58">
        <v>165</v>
      </c>
      <c r="E62" s="59">
        <v>4.4252534463339998E-3</v>
      </c>
    </row>
    <row r="63" spans="1:5" ht="14.5" customHeight="1">
      <c r="A63" s="39"/>
      <c r="B63" s="97"/>
      <c r="C63" s="57" t="s">
        <v>111</v>
      </c>
      <c r="D63" s="58">
        <v>19</v>
      </c>
      <c r="E63" s="59">
        <v>5.0957463927499996E-4</v>
      </c>
    </row>
    <row r="64" spans="1:5" ht="14.5" customHeight="1">
      <c r="A64" s="39"/>
      <c r="B64" s="97"/>
      <c r="C64" s="57" t="s">
        <v>112</v>
      </c>
      <c r="D64" s="58">
        <v>38</v>
      </c>
      <c r="E64" s="59">
        <v>1.0191492785499999E-3</v>
      </c>
    </row>
    <row r="65" spans="1:5" ht="14.5" customHeight="1">
      <c r="A65" s="39"/>
      <c r="B65" s="97"/>
      <c r="C65" s="57" t="s">
        <v>113</v>
      </c>
      <c r="D65" s="58">
        <v>167</v>
      </c>
      <c r="E65" s="59">
        <v>4.4788928820469996E-3</v>
      </c>
    </row>
    <row r="66" spans="1:5" ht="14.5" customHeight="1">
      <c r="A66" s="39"/>
      <c r="B66" s="97"/>
      <c r="C66" s="57" t="s">
        <v>114</v>
      </c>
      <c r="D66" s="58">
        <v>5</v>
      </c>
      <c r="E66" s="59">
        <v>1.34098589283E-4</v>
      </c>
    </row>
    <row r="67" spans="1:5" ht="14.5" customHeight="1">
      <c r="A67" s="39"/>
      <c r="B67" s="97"/>
      <c r="C67" s="57" t="s">
        <v>115</v>
      </c>
      <c r="D67" s="58">
        <v>6</v>
      </c>
      <c r="E67" s="59">
        <v>1.6091830713899999E-4</v>
      </c>
    </row>
    <row r="68" spans="1:5" ht="14.5" customHeight="1">
      <c r="A68" s="39"/>
      <c r="B68" s="97"/>
      <c r="C68" s="57" t="s">
        <v>116</v>
      </c>
      <c r="D68" s="58">
        <v>3</v>
      </c>
      <c r="E68" s="59">
        <v>8.0459153570000002E-5</v>
      </c>
    </row>
    <row r="69" spans="1:5" ht="14.5" customHeight="1">
      <c r="A69" s="39"/>
      <c r="B69" s="97"/>
      <c r="C69" s="57" t="s">
        <v>118</v>
      </c>
      <c r="D69" s="58">
        <v>6</v>
      </c>
      <c r="E69" s="59">
        <v>1.6091830713899999E-4</v>
      </c>
    </row>
    <row r="70" spans="1:5" ht="14.5" customHeight="1">
      <c r="A70" s="39"/>
      <c r="B70" s="97"/>
      <c r="C70" s="57" t="s">
        <v>119</v>
      </c>
      <c r="D70" s="58">
        <v>50</v>
      </c>
      <c r="E70" s="59">
        <v>1.340985892828E-3</v>
      </c>
    </row>
    <row r="71" spans="1:5" ht="14.5" customHeight="1">
      <c r="A71" s="39"/>
      <c r="B71" s="97"/>
      <c r="C71" s="57" t="s">
        <v>120</v>
      </c>
      <c r="D71" s="58">
        <v>1</v>
      </c>
      <c r="E71" s="59">
        <v>2.6819717857000001E-5</v>
      </c>
    </row>
    <row r="72" spans="1:5" ht="14.5" customHeight="1">
      <c r="A72" s="39"/>
      <c r="B72" s="97"/>
      <c r="C72" s="57" t="s">
        <v>121</v>
      </c>
      <c r="D72" s="58">
        <v>6</v>
      </c>
      <c r="E72" s="59">
        <v>1.6091830713899999E-4</v>
      </c>
    </row>
    <row r="73" spans="1:5" ht="14.5" customHeight="1">
      <c r="A73" s="39"/>
      <c r="B73" s="97"/>
      <c r="C73" s="57" t="s">
        <v>122</v>
      </c>
      <c r="D73" s="58">
        <v>1</v>
      </c>
      <c r="E73" s="59">
        <v>2.6819717857000001E-5</v>
      </c>
    </row>
    <row r="74" spans="1:5" ht="14.5" customHeight="1">
      <c r="A74" s="39"/>
      <c r="B74" s="98"/>
      <c r="C74" s="72" t="s">
        <v>353</v>
      </c>
      <c r="D74" s="71">
        <v>606</v>
      </c>
      <c r="E74" s="73">
        <v>1.6252749021079999E-2</v>
      </c>
    </row>
    <row r="75" spans="1:5" ht="14.5" customHeight="1">
      <c r="A75" s="39"/>
      <c r="B75" s="96" t="s">
        <v>84</v>
      </c>
      <c r="C75" s="57" t="s">
        <v>102</v>
      </c>
      <c r="D75" s="58">
        <v>1</v>
      </c>
      <c r="E75" s="59">
        <v>2.6819717857000001E-5</v>
      </c>
    </row>
    <row r="76" spans="1:5" ht="14.5" customHeight="1">
      <c r="A76" s="39"/>
      <c r="B76" s="97"/>
      <c r="C76" s="57" t="s">
        <v>103</v>
      </c>
      <c r="D76" s="58">
        <v>1</v>
      </c>
      <c r="E76" s="59">
        <v>2.6819717857000001E-5</v>
      </c>
    </row>
    <row r="77" spans="1:5" ht="14.5" customHeight="1">
      <c r="A77" s="39"/>
      <c r="B77" s="97"/>
      <c r="C77" s="57" t="s">
        <v>105</v>
      </c>
      <c r="D77" s="58">
        <v>12</v>
      </c>
      <c r="E77" s="59">
        <v>3.2183661427899999E-4</v>
      </c>
    </row>
    <row r="78" spans="1:5" ht="14.5" customHeight="1">
      <c r="A78" s="39"/>
      <c r="B78" s="97"/>
      <c r="C78" s="57" t="s">
        <v>106</v>
      </c>
      <c r="D78" s="58">
        <v>12</v>
      </c>
      <c r="E78" s="59">
        <v>3.2183661427899999E-4</v>
      </c>
    </row>
    <row r="79" spans="1:5" ht="14.5" customHeight="1">
      <c r="A79" s="39"/>
      <c r="B79" s="97"/>
      <c r="C79" s="57" t="s">
        <v>108</v>
      </c>
      <c r="D79" s="58">
        <v>4</v>
      </c>
      <c r="E79" s="59">
        <v>1.07278871426E-4</v>
      </c>
    </row>
    <row r="80" spans="1:5" ht="14.5" customHeight="1">
      <c r="A80" s="39"/>
      <c r="B80" s="97"/>
      <c r="C80" s="57" t="s">
        <v>109</v>
      </c>
      <c r="D80" s="58">
        <v>4</v>
      </c>
      <c r="E80" s="59">
        <v>1.07278871426E-4</v>
      </c>
    </row>
    <row r="81" spans="1:5" ht="14.5" customHeight="1">
      <c r="A81" s="39"/>
      <c r="B81" s="97"/>
      <c r="C81" s="57" t="s">
        <v>110</v>
      </c>
      <c r="D81" s="58">
        <v>50</v>
      </c>
      <c r="E81" s="59">
        <v>1.340985892828E-3</v>
      </c>
    </row>
    <row r="82" spans="1:5" ht="14.5" customHeight="1">
      <c r="A82" s="39"/>
      <c r="B82" s="97"/>
      <c r="C82" s="57" t="s">
        <v>111</v>
      </c>
      <c r="D82" s="58">
        <v>5</v>
      </c>
      <c r="E82" s="59">
        <v>1.34098589283E-4</v>
      </c>
    </row>
    <row r="83" spans="1:5" ht="14.5" customHeight="1">
      <c r="A83" s="39"/>
      <c r="B83" s="97"/>
      <c r="C83" s="57" t="s">
        <v>112</v>
      </c>
      <c r="D83" s="58">
        <v>10</v>
      </c>
      <c r="E83" s="59">
        <v>2.6819717856600001E-4</v>
      </c>
    </row>
    <row r="84" spans="1:5" ht="14.5" customHeight="1">
      <c r="A84" s="39"/>
      <c r="B84" s="97"/>
      <c r="C84" s="57" t="s">
        <v>113</v>
      </c>
      <c r="D84" s="58">
        <v>70</v>
      </c>
      <c r="E84" s="59">
        <v>1.8773802499600001E-3</v>
      </c>
    </row>
    <row r="85" spans="1:5" ht="14.5" customHeight="1">
      <c r="A85" s="39"/>
      <c r="B85" s="97"/>
      <c r="C85" s="57" t="s">
        <v>116</v>
      </c>
      <c r="D85" s="58">
        <v>1</v>
      </c>
      <c r="E85" s="59">
        <v>2.6819717857000001E-5</v>
      </c>
    </row>
    <row r="86" spans="1:5" ht="14.5" customHeight="1">
      <c r="A86" s="39"/>
      <c r="B86" s="97"/>
      <c r="C86" s="57" t="s">
        <v>117</v>
      </c>
      <c r="D86" s="58">
        <v>1</v>
      </c>
      <c r="E86" s="59">
        <v>2.6819717857000001E-5</v>
      </c>
    </row>
    <row r="87" spans="1:5" ht="14.5" customHeight="1">
      <c r="A87" s="39"/>
      <c r="B87" s="97"/>
      <c r="C87" s="57" t="s">
        <v>118</v>
      </c>
      <c r="D87" s="58">
        <v>3</v>
      </c>
      <c r="E87" s="59">
        <v>8.0459153570000002E-5</v>
      </c>
    </row>
    <row r="88" spans="1:5" ht="14.5" customHeight="1">
      <c r="A88" s="39"/>
      <c r="B88" s="97"/>
      <c r="C88" s="57" t="s">
        <v>119</v>
      </c>
      <c r="D88" s="58">
        <v>11</v>
      </c>
      <c r="E88" s="59">
        <v>2.9501689642199999E-4</v>
      </c>
    </row>
    <row r="89" spans="1:5" ht="14.5" customHeight="1">
      <c r="A89" s="39"/>
      <c r="B89" s="97"/>
      <c r="C89" s="57" t="s">
        <v>120</v>
      </c>
      <c r="D89" s="58">
        <v>1</v>
      </c>
      <c r="E89" s="59">
        <v>2.6819717857000001E-5</v>
      </c>
    </row>
    <row r="90" spans="1:5" ht="14.5" customHeight="1">
      <c r="A90" s="39"/>
      <c r="B90" s="98"/>
      <c r="C90" s="72" t="s">
        <v>353</v>
      </c>
      <c r="D90" s="71">
        <v>186</v>
      </c>
      <c r="E90" s="73">
        <v>4.9884675213220002E-3</v>
      </c>
    </row>
    <row r="91" spans="1:5" ht="14.5" customHeight="1">
      <c r="A91" s="39"/>
      <c r="B91" s="96" t="s">
        <v>83</v>
      </c>
      <c r="C91" s="57" t="s">
        <v>99</v>
      </c>
      <c r="D91" s="58">
        <v>1</v>
      </c>
      <c r="E91" s="59">
        <v>2.6819717857000001E-5</v>
      </c>
    </row>
    <row r="92" spans="1:5" ht="14.5" customHeight="1">
      <c r="A92" s="39"/>
      <c r="B92" s="97"/>
      <c r="C92" s="57" t="s">
        <v>103</v>
      </c>
      <c r="D92" s="58">
        <v>1</v>
      </c>
      <c r="E92" s="59">
        <v>2.6819717857000001E-5</v>
      </c>
    </row>
    <row r="93" spans="1:5" ht="14.5" customHeight="1">
      <c r="A93" s="39"/>
      <c r="B93" s="97"/>
      <c r="C93" s="57" t="s">
        <v>105</v>
      </c>
      <c r="D93" s="58">
        <v>1</v>
      </c>
      <c r="E93" s="59">
        <v>2.6819717857000001E-5</v>
      </c>
    </row>
    <row r="94" spans="1:5" ht="14.5" customHeight="1">
      <c r="A94" s="39"/>
      <c r="B94" s="97"/>
      <c r="C94" s="57" t="s">
        <v>106</v>
      </c>
      <c r="D94" s="58">
        <v>11</v>
      </c>
      <c r="E94" s="59">
        <v>2.9501689642199999E-4</v>
      </c>
    </row>
    <row r="95" spans="1:5" ht="14.5" customHeight="1">
      <c r="A95" s="39"/>
      <c r="B95" s="97"/>
      <c r="C95" s="57" t="s">
        <v>108</v>
      </c>
      <c r="D95" s="58">
        <v>3</v>
      </c>
      <c r="E95" s="59">
        <v>8.0459153570000002E-5</v>
      </c>
    </row>
    <row r="96" spans="1:5" ht="14.5" customHeight="1">
      <c r="A96" s="39"/>
      <c r="B96" s="97"/>
      <c r="C96" s="57" t="s">
        <v>109</v>
      </c>
      <c r="D96" s="58">
        <v>1</v>
      </c>
      <c r="E96" s="59">
        <v>2.6819717857000001E-5</v>
      </c>
    </row>
    <row r="97" spans="1:5" ht="14.5" customHeight="1">
      <c r="A97" s="39"/>
      <c r="B97" s="97"/>
      <c r="C97" s="57" t="s">
        <v>110</v>
      </c>
      <c r="D97" s="58">
        <v>40</v>
      </c>
      <c r="E97" s="59">
        <v>1.072788714263E-3</v>
      </c>
    </row>
    <row r="98" spans="1:5" ht="14.5" customHeight="1">
      <c r="A98" s="39"/>
      <c r="B98" s="97"/>
      <c r="C98" s="57" t="s">
        <v>111</v>
      </c>
      <c r="D98" s="58">
        <v>1</v>
      </c>
      <c r="E98" s="59">
        <v>2.6819717857000001E-5</v>
      </c>
    </row>
    <row r="99" spans="1:5" ht="14.5" customHeight="1">
      <c r="A99" s="39"/>
      <c r="B99" s="97"/>
      <c r="C99" s="57" t="s">
        <v>112</v>
      </c>
      <c r="D99" s="58">
        <v>10</v>
      </c>
      <c r="E99" s="59">
        <v>2.6819717856600001E-4</v>
      </c>
    </row>
    <row r="100" spans="1:5" ht="14.5" customHeight="1">
      <c r="A100" s="39"/>
      <c r="B100" s="97"/>
      <c r="C100" s="57" t="s">
        <v>113</v>
      </c>
      <c r="D100" s="58">
        <v>36</v>
      </c>
      <c r="E100" s="59">
        <v>9.6550984283600002E-4</v>
      </c>
    </row>
    <row r="101" spans="1:5" ht="14.5" customHeight="1">
      <c r="A101" s="39"/>
      <c r="B101" s="97"/>
      <c r="C101" s="57" t="s">
        <v>114</v>
      </c>
      <c r="D101" s="58">
        <v>2</v>
      </c>
      <c r="E101" s="59">
        <v>5.3639435713000001E-5</v>
      </c>
    </row>
    <row r="102" spans="1:5" ht="14.5" customHeight="1">
      <c r="A102" s="39"/>
      <c r="B102" s="97"/>
      <c r="C102" s="57" t="s">
        <v>115</v>
      </c>
      <c r="D102" s="58">
        <v>2</v>
      </c>
      <c r="E102" s="59">
        <v>5.3639435713000001E-5</v>
      </c>
    </row>
    <row r="103" spans="1:5" ht="14.5" customHeight="1">
      <c r="A103" s="39"/>
      <c r="B103" s="97"/>
      <c r="C103" s="57" t="s">
        <v>118</v>
      </c>
      <c r="D103" s="58">
        <v>4</v>
      </c>
      <c r="E103" s="59">
        <v>1.07278871426E-4</v>
      </c>
    </row>
    <row r="104" spans="1:5" ht="14.5" customHeight="1">
      <c r="A104" s="39"/>
      <c r="B104" s="97"/>
      <c r="C104" s="57" t="s">
        <v>119</v>
      </c>
      <c r="D104" s="58">
        <v>13</v>
      </c>
      <c r="E104" s="59">
        <v>3.4865633213499998E-4</v>
      </c>
    </row>
    <row r="105" spans="1:5" ht="14.5" customHeight="1">
      <c r="A105" s="39"/>
      <c r="B105" s="97"/>
      <c r="C105" s="57" t="s">
        <v>121</v>
      </c>
      <c r="D105" s="58">
        <v>2</v>
      </c>
      <c r="E105" s="59">
        <v>5.3639435713000001E-5</v>
      </c>
    </row>
    <row r="106" spans="1:5" ht="14.5" customHeight="1">
      <c r="A106" s="39"/>
      <c r="B106" s="97"/>
      <c r="C106" s="57" t="s">
        <v>122</v>
      </c>
      <c r="D106" s="58">
        <v>1</v>
      </c>
      <c r="E106" s="59">
        <v>2.6819717857000001E-5</v>
      </c>
    </row>
    <row r="107" spans="1:5" ht="14.5" customHeight="1">
      <c r="A107" s="39"/>
      <c r="B107" s="98"/>
      <c r="C107" s="72" t="s">
        <v>353</v>
      </c>
      <c r="D107" s="71">
        <v>129</v>
      </c>
      <c r="E107" s="73">
        <v>3.4597436034970001E-3</v>
      </c>
    </row>
    <row r="108" spans="1:5" ht="14.5" customHeight="1">
      <c r="A108" s="39"/>
      <c r="B108" s="96" t="s">
        <v>88</v>
      </c>
      <c r="C108" s="57" t="s">
        <v>105</v>
      </c>
      <c r="D108" s="58">
        <v>3</v>
      </c>
      <c r="E108" s="59">
        <v>8.0459153570000002E-5</v>
      </c>
    </row>
    <row r="109" spans="1:5" ht="14.5" customHeight="1">
      <c r="A109" s="39"/>
      <c r="B109" s="97"/>
      <c r="C109" s="57" t="s">
        <v>106</v>
      </c>
      <c r="D109" s="58">
        <v>2</v>
      </c>
      <c r="E109" s="59">
        <v>5.3639435713000001E-5</v>
      </c>
    </row>
    <row r="110" spans="1:5" ht="14.5" customHeight="1">
      <c r="A110" s="39"/>
      <c r="B110" s="97"/>
      <c r="C110" s="57" t="s">
        <v>107</v>
      </c>
      <c r="D110" s="58">
        <v>5</v>
      </c>
      <c r="E110" s="59">
        <v>1.34098589283E-4</v>
      </c>
    </row>
    <row r="111" spans="1:5" ht="14.5" customHeight="1">
      <c r="A111" s="39"/>
      <c r="B111" s="97"/>
      <c r="C111" s="57" t="s">
        <v>108</v>
      </c>
      <c r="D111" s="58">
        <v>7</v>
      </c>
      <c r="E111" s="59">
        <v>1.8773802499599999E-4</v>
      </c>
    </row>
    <row r="112" spans="1:5" ht="14.5" customHeight="1">
      <c r="A112" s="39"/>
      <c r="B112" s="97"/>
      <c r="C112" s="57" t="s">
        <v>109</v>
      </c>
      <c r="D112" s="58">
        <v>11</v>
      </c>
      <c r="E112" s="59">
        <v>2.9501689642199999E-4</v>
      </c>
    </row>
    <row r="113" spans="1:5" ht="14.5" customHeight="1">
      <c r="A113" s="39"/>
      <c r="B113" s="97"/>
      <c r="C113" s="57" t="s">
        <v>110</v>
      </c>
      <c r="D113" s="58">
        <v>27</v>
      </c>
      <c r="E113" s="59">
        <v>7.2413238212700002E-4</v>
      </c>
    </row>
    <row r="114" spans="1:5" ht="14.5" customHeight="1">
      <c r="A114" s="39"/>
      <c r="B114" s="97"/>
      <c r="C114" s="57" t="s">
        <v>111</v>
      </c>
      <c r="D114" s="58">
        <v>2</v>
      </c>
      <c r="E114" s="59">
        <v>5.3639435713000001E-5</v>
      </c>
    </row>
    <row r="115" spans="1:5" ht="14.5" customHeight="1">
      <c r="A115" s="39"/>
      <c r="B115" s="97"/>
      <c r="C115" s="57" t="s">
        <v>112</v>
      </c>
      <c r="D115" s="58">
        <v>5</v>
      </c>
      <c r="E115" s="59">
        <v>1.34098589283E-4</v>
      </c>
    </row>
    <row r="116" spans="1:5" ht="14.5" customHeight="1">
      <c r="A116" s="39"/>
      <c r="B116" s="97"/>
      <c r="C116" s="57" t="s">
        <v>113</v>
      </c>
      <c r="D116" s="58">
        <v>26</v>
      </c>
      <c r="E116" s="59">
        <v>6.9731266427100003E-4</v>
      </c>
    </row>
    <row r="117" spans="1:5" ht="14.5" customHeight="1">
      <c r="A117" s="39"/>
      <c r="B117" s="97"/>
      <c r="C117" s="57" t="s">
        <v>116</v>
      </c>
      <c r="D117" s="58">
        <v>2</v>
      </c>
      <c r="E117" s="59">
        <v>5.3639435713000001E-5</v>
      </c>
    </row>
    <row r="118" spans="1:5" ht="14.5" customHeight="1">
      <c r="A118" s="39"/>
      <c r="B118" s="97"/>
      <c r="C118" s="57" t="s">
        <v>118</v>
      </c>
      <c r="D118" s="58">
        <v>4</v>
      </c>
      <c r="E118" s="59">
        <v>1.07278871426E-4</v>
      </c>
    </row>
    <row r="119" spans="1:5" ht="14.5" customHeight="1">
      <c r="A119" s="39"/>
      <c r="B119" s="97"/>
      <c r="C119" s="57" t="s">
        <v>119</v>
      </c>
      <c r="D119" s="58">
        <v>21</v>
      </c>
      <c r="E119" s="59">
        <v>5.63214074988E-4</v>
      </c>
    </row>
    <row r="120" spans="1:5" ht="14.5" customHeight="1">
      <c r="A120" s="39"/>
      <c r="B120" s="97"/>
      <c r="C120" s="57" t="s">
        <v>121</v>
      </c>
      <c r="D120" s="58">
        <v>1</v>
      </c>
      <c r="E120" s="59">
        <v>2.6819717857000001E-5</v>
      </c>
    </row>
    <row r="121" spans="1:5" ht="14.5" customHeight="1">
      <c r="A121" s="39"/>
      <c r="B121" s="98"/>
      <c r="C121" s="72" t="s">
        <v>353</v>
      </c>
      <c r="D121" s="71">
        <v>116</v>
      </c>
      <c r="E121" s="73">
        <v>3.1110872713619999E-3</v>
      </c>
    </row>
    <row r="122" spans="1:5" ht="14.5" customHeight="1">
      <c r="A122" s="39"/>
      <c r="B122" s="96" t="s">
        <v>93</v>
      </c>
      <c r="C122" s="57" t="s">
        <v>105</v>
      </c>
      <c r="D122" s="58">
        <v>1</v>
      </c>
      <c r="E122" s="59">
        <v>2.6819717857000001E-5</v>
      </c>
    </row>
    <row r="123" spans="1:5" ht="14.5" customHeight="1">
      <c r="A123" s="39"/>
      <c r="B123" s="97"/>
      <c r="C123" s="57" t="s">
        <v>106</v>
      </c>
      <c r="D123" s="58">
        <v>1</v>
      </c>
      <c r="E123" s="59">
        <v>2.6819717857000001E-5</v>
      </c>
    </row>
    <row r="124" spans="1:5" ht="14.5" customHeight="1">
      <c r="A124" s="39"/>
      <c r="B124" s="97"/>
      <c r="C124" s="57" t="s">
        <v>110</v>
      </c>
      <c r="D124" s="58">
        <v>4</v>
      </c>
      <c r="E124" s="59">
        <v>1.07278871426E-4</v>
      </c>
    </row>
    <row r="125" spans="1:5" ht="14.5" customHeight="1">
      <c r="A125" s="39"/>
      <c r="B125" s="97"/>
      <c r="C125" s="57" t="s">
        <v>111</v>
      </c>
      <c r="D125" s="58">
        <v>1</v>
      </c>
      <c r="E125" s="59">
        <v>2.6819717857000001E-5</v>
      </c>
    </row>
    <row r="126" spans="1:5" ht="14.5" customHeight="1">
      <c r="A126" s="39"/>
      <c r="B126" s="97"/>
      <c r="C126" s="57" t="s">
        <v>113</v>
      </c>
      <c r="D126" s="58">
        <v>12</v>
      </c>
      <c r="E126" s="59">
        <v>3.2183661427899999E-4</v>
      </c>
    </row>
    <row r="127" spans="1:5" ht="14.5" customHeight="1">
      <c r="A127" s="39"/>
      <c r="B127" s="97"/>
      <c r="C127" s="57" t="s">
        <v>117</v>
      </c>
      <c r="D127" s="58">
        <v>1</v>
      </c>
      <c r="E127" s="59">
        <v>2.6819717857000001E-5</v>
      </c>
    </row>
    <row r="128" spans="1:5" ht="14.5" customHeight="1">
      <c r="A128" s="39"/>
      <c r="B128" s="97"/>
      <c r="C128" s="57" t="s">
        <v>119</v>
      </c>
      <c r="D128" s="58">
        <v>6</v>
      </c>
      <c r="E128" s="59">
        <v>1.6091830713899999E-4</v>
      </c>
    </row>
    <row r="129" spans="1:5" ht="14.5" customHeight="1">
      <c r="A129" s="39"/>
      <c r="B129" s="97"/>
      <c r="C129" s="57" t="s">
        <v>121</v>
      </c>
      <c r="D129" s="58">
        <v>3</v>
      </c>
      <c r="E129" s="59">
        <v>8.0459153570000002E-5</v>
      </c>
    </row>
    <row r="130" spans="1:5" ht="14.5" customHeight="1">
      <c r="A130" s="39"/>
      <c r="B130" s="98"/>
      <c r="C130" s="72" t="s">
        <v>353</v>
      </c>
      <c r="D130" s="71">
        <v>29</v>
      </c>
      <c r="E130" s="73">
        <v>7.7777181783999995E-4</v>
      </c>
    </row>
    <row r="131" spans="1:5" ht="14.5" customHeight="1">
      <c r="A131" s="39"/>
      <c r="B131" s="96" t="s">
        <v>47</v>
      </c>
      <c r="C131" s="57" t="s">
        <v>99</v>
      </c>
      <c r="D131" s="58">
        <v>17</v>
      </c>
      <c r="E131" s="59">
        <v>4.5593520356200002E-4</v>
      </c>
    </row>
    <row r="132" spans="1:5" ht="14.5" customHeight="1">
      <c r="A132" s="39"/>
      <c r="B132" s="97"/>
      <c r="C132" s="57" t="s">
        <v>100</v>
      </c>
      <c r="D132" s="58">
        <v>7</v>
      </c>
      <c r="E132" s="59">
        <v>1.8773802499599999E-4</v>
      </c>
    </row>
    <row r="133" spans="1:5" ht="14.5" customHeight="1">
      <c r="A133" s="39"/>
      <c r="B133" s="97"/>
      <c r="C133" s="57" t="s">
        <v>101</v>
      </c>
      <c r="D133" s="58">
        <v>10</v>
      </c>
      <c r="E133" s="59">
        <v>2.6819717856600001E-4</v>
      </c>
    </row>
    <row r="134" spans="1:5" ht="14.5" customHeight="1">
      <c r="A134" s="39"/>
      <c r="B134" s="97"/>
      <c r="C134" s="57" t="s">
        <v>102</v>
      </c>
      <c r="D134" s="58">
        <v>19</v>
      </c>
      <c r="E134" s="59">
        <v>5.0957463927499996E-4</v>
      </c>
    </row>
    <row r="135" spans="1:5" ht="14.5" customHeight="1">
      <c r="A135" s="39"/>
      <c r="B135" s="97"/>
      <c r="C135" s="57" t="s">
        <v>103</v>
      </c>
      <c r="D135" s="58">
        <v>9</v>
      </c>
      <c r="E135" s="59">
        <v>2.4137746070900001E-4</v>
      </c>
    </row>
    <row r="136" spans="1:5" ht="14.5" customHeight="1">
      <c r="A136" s="39"/>
      <c r="B136" s="97"/>
      <c r="C136" s="57" t="s">
        <v>104</v>
      </c>
      <c r="D136" s="58">
        <v>12</v>
      </c>
      <c r="E136" s="59">
        <v>3.2183661427899999E-4</v>
      </c>
    </row>
    <row r="137" spans="1:5" ht="14.5" customHeight="1">
      <c r="A137" s="39"/>
      <c r="B137" s="97"/>
      <c r="C137" s="57" t="s">
        <v>105</v>
      </c>
      <c r="D137" s="58">
        <v>117</v>
      </c>
      <c r="E137" s="59">
        <v>3.1379069892179998E-3</v>
      </c>
    </row>
    <row r="138" spans="1:5" ht="14.5" customHeight="1">
      <c r="A138" s="39"/>
      <c r="B138" s="97"/>
      <c r="C138" s="57" t="s">
        <v>106</v>
      </c>
      <c r="D138" s="58">
        <v>592</v>
      </c>
      <c r="E138" s="59">
        <v>1.5877272971088E-2</v>
      </c>
    </row>
    <row r="139" spans="1:5" ht="14.5" customHeight="1">
      <c r="A139" s="39"/>
      <c r="B139" s="97"/>
      <c r="C139" s="57" t="s">
        <v>107</v>
      </c>
      <c r="D139" s="58">
        <v>35</v>
      </c>
      <c r="E139" s="59">
        <v>9.3869012498000004E-4</v>
      </c>
    </row>
    <row r="140" spans="1:5" ht="14.5" customHeight="1">
      <c r="A140" s="39"/>
      <c r="B140" s="97"/>
      <c r="C140" s="57" t="s">
        <v>108</v>
      </c>
      <c r="D140" s="58">
        <v>61</v>
      </c>
      <c r="E140" s="59">
        <v>1.636002789251E-3</v>
      </c>
    </row>
    <row r="141" spans="1:5" ht="14.5" customHeight="1">
      <c r="A141" s="39"/>
      <c r="B141" s="97"/>
      <c r="C141" s="57" t="s">
        <v>109</v>
      </c>
      <c r="D141" s="58">
        <v>110</v>
      </c>
      <c r="E141" s="59">
        <v>2.950168964222E-3</v>
      </c>
    </row>
    <row r="142" spans="1:5" ht="14.5" customHeight="1">
      <c r="A142" s="39"/>
      <c r="B142" s="97"/>
      <c r="C142" s="57" t="s">
        <v>110</v>
      </c>
      <c r="D142" s="58">
        <v>1909</v>
      </c>
      <c r="E142" s="59">
        <v>5.1198841388188997E-2</v>
      </c>
    </row>
    <row r="143" spans="1:5" ht="14.5" customHeight="1">
      <c r="A143" s="39"/>
      <c r="B143" s="97"/>
      <c r="C143" s="57" t="s">
        <v>111</v>
      </c>
      <c r="D143" s="58">
        <v>114</v>
      </c>
      <c r="E143" s="59">
        <v>3.0574478356490001E-3</v>
      </c>
    </row>
    <row r="144" spans="1:5" ht="14.5" customHeight="1">
      <c r="A144" s="39"/>
      <c r="B144" s="97"/>
      <c r="C144" s="57" t="s">
        <v>112</v>
      </c>
      <c r="D144" s="58">
        <v>273</v>
      </c>
      <c r="E144" s="59">
        <v>7.3217829748430004E-3</v>
      </c>
    </row>
    <row r="145" spans="1:5" ht="14.5" customHeight="1">
      <c r="A145" s="39"/>
      <c r="B145" s="97"/>
      <c r="C145" s="57" t="s">
        <v>113</v>
      </c>
      <c r="D145" s="58">
        <v>1350</v>
      </c>
      <c r="E145" s="59">
        <v>3.6206619106367001E-2</v>
      </c>
    </row>
    <row r="146" spans="1:5" ht="14.5" customHeight="1">
      <c r="A146" s="39"/>
      <c r="B146" s="97"/>
      <c r="C146" s="57" t="s">
        <v>114</v>
      </c>
      <c r="D146" s="58">
        <v>16</v>
      </c>
      <c r="E146" s="59">
        <v>4.2911548570500002E-4</v>
      </c>
    </row>
    <row r="147" spans="1:5" ht="14.5" customHeight="1">
      <c r="A147" s="39"/>
      <c r="B147" s="97"/>
      <c r="C147" s="57" t="s">
        <v>115</v>
      </c>
      <c r="D147" s="58">
        <v>21</v>
      </c>
      <c r="E147" s="59">
        <v>5.63214074988E-4</v>
      </c>
    </row>
    <row r="148" spans="1:5" ht="14.5" customHeight="1">
      <c r="A148" s="39"/>
      <c r="B148" s="97"/>
      <c r="C148" s="57" t="s">
        <v>116</v>
      </c>
      <c r="D148" s="58">
        <v>6</v>
      </c>
      <c r="E148" s="59">
        <v>1.6091830713899999E-4</v>
      </c>
    </row>
    <row r="149" spans="1:5" ht="14.5" customHeight="1">
      <c r="A149" s="39"/>
      <c r="B149" s="97"/>
      <c r="C149" s="57" t="s">
        <v>117</v>
      </c>
      <c r="D149" s="58">
        <v>4</v>
      </c>
      <c r="E149" s="59">
        <v>1.07278871426E-4</v>
      </c>
    </row>
    <row r="150" spans="1:5" ht="14.5" customHeight="1">
      <c r="A150" s="39"/>
      <c r="B150" s="97"/>
      <c r="C150" s="57" t="s">
        <v>118</v>
      </c>
      <c r="D150" s="58">
        <v>89</v>
      </c>
      <c r="E150" s="59">
        <v>2.386954889235E-3</v>
      </c>
    </row>
    <row r="151" spans="1:5" ht="14.5" customHeight="1">
      <c r="A151" s="39"/>
      <c r="B151" s="97"/>
      <c r="C151" s="57" t="s">
        <v>119</v>
      </c>
      <c r="D151" s="58">
        <v>385</v>
      </c>
      <c r="E151" s="59">
        <v>1.0325591374779E-2</v>
      </c>
    </row>
    <row r="152" spans="1:5" ht="14.5" customHeight="1">
      <c r="A152" s="39"/>
      <c r="B152" s="97"/>
      <c r="C152" s="57" t="s">
        <v>120</v>
      </c>
      <c r="D152" s="58">
        <v>4</v>
      </c>
      <c r="E152" s="59">
        <v>1.07278871426E-4</v>
      </c>
    </row>
    <row r="153" spans="1:5" ht="14.5" customHeight="1">
      <c r="A153" s="39"/>
      <c r="B153" s="97"/>
      <c r="C153" s="57" t="s">
        <v>121</v>
      </c>
      <c r="D153" s="58">
        <v>8</v>
      </c>
      <c r="E153" s="59">
        <v>2.1455774285299999E-4</v>
      </c>
    </row>
    <row r="154" spans="1:5" ht="14.5" customHeight="1">
      <c r="A154" s="39"/>
      <c r="B154" s="98"/>
      <c r="C154" s="72" t="s">
        <v>353</v>
      </c>
      <c r="D154" s="71">
        <v>5168</v>
      </c>
      <c r="E154" s="73">
        <v>0.138604301882744</v>
      </c>
    </row>
    <row r="155" spans="1:5" ht="14.5" customHeight="1">
      <c r="A155" s="39"/>
      <c r="B155" s="96" t="s">
        <v>50</v>
      </c>
      <c r="C155" s="57" t="s">
        <v>99</v>
      </c>
      <c r="D155" s="58">
        <v>5</v>
      </c>
      <c r="E155" s="59">
        <v>1.34098589283E-4</v>
      </c>
    </row>
    <row r="156" spans="1:5" ht="14.5" customHeight="1">
      <c r="A156" s="39"/>
      <c r="B156" s="97"/>
      <c r="C156" s="57" t="s">
        <v>100</v>
      </c>
      <c r="D156" s="58">
        <v>3</v>
      </c>
      <c r="E156" s="59">
        <v>8.0459153570000002E-5</v>
      </c>
    </row>
    <row r="157" spans="1:5" ht="14.5" customHeight="1">
      <c r="A157" s="39"/>
      <c r="B157" s="97"/>
      <c r="C157" s="57" t="s">
        <v>101</v>
      </c>
      <c r="D157" s="58">
        <v>5</v>
      </c>
      <c r="E157" s="59">
        <v>1.34098589283E-4</v>
      </c>
    </row>
    <row r="158" spans="1:5" ht="14.5" customHeight="1">
      <c r="A158" s="39"/>
      <c r="B158" s="97"/>
      <c r="C158" s="57" t="s">
        <v>102</v>
      </c>
      <c r="D158" s="58">
        <v>7</v>
      </c>
      <c r="E158" s="59">
        <v>1.8773802499599999E-4</v>
      </c>
    </row>
    <row r="159" spans="1:5" ht="14.5" customHeight="1">
      <c r="A159" s="39"/>
      <c r="B159" s="97"/>
      <c r="C159" s="57" t="s">
        <v>103</v>
      </c>
      <c r="D159" s="58">
        <v>7</v>
      </c>
      <c r="E159" s="59">
        <v>1.8773802499599999E-4</v>
      </c>
    </row>
    <row r="160" spans="1:5" ht="14.5" customHeight="1">
      <c r="A160" s="39"/>
      <c r="B160" s="97"/>
      <c r="C160" s="57" t="s">
        <v>104</v>
      </c>
      <c r="D160" s="58">
        <v>9</v>
      </c>
      <c r="E160" s="59">
        <v>2.4137746070900001E-4</v>
      </c>
    </row>
    <row r="161" spans="1:5" ht="14.5" customHeight="1">
      <c r="A161" s="39"/>
      <c r="B161" s="97"/>
      <c r="C161" s="57" t="s">
        <v>105</v>
      </c>
      <c r="D161" s="58">
        <v>89</v>
      </c>
      <c r="E161" s="59">
        <v>2.386954889235E-3</v>
      </c>
    </row>
    <row r="162" spans="1:5" ht="14.5" customHeight="1">
      <c r="A162" s="39"/>
      <c r="B162" s="97"/>
      <c r="C162" s="57" t="s">
        <v>106</v>
      </c>
      <c r="D162" s="58">
        <v>160</v>
      </c>
      <c r="E162" s="59">
        <v>4.2911548570509998E-3</v>
      </c>
    </row>
    <row r="163" spans="1:5" ht="14.5" customHeight="1">
      <c r="A163" s="39"/>
      <c r="B163" s="97"/>
      <c r="C163" s="57" t="s">
        <v>107</v>
      </c>
      <c r="D163" s="58">
        <v>10</v>
      </c>
      <c r="E163" s="59">
        <v>2.6819717856600001E-4</v>
      </c>
    </row>
    <row r="164" spans="1:5" ht="14.5" customHeight="1">
      <c r="A164" s="39"/>
      <c r="B164" s="97"/>
      <c r="C164" s="57" t="s">
        <v>108</v>
      </c>
      <c r="D164" s="58">
        <v>27</v>
      </c>
      <c r="E164" s="59">
        <v>7.2413238212700002E-4</v>
      </c>
    </row>
    <row r="165" spans="1:5" ht="14.5" customHeight="1">
      <c r="A165" s="39"/>
      <c r="B165" s="97"/>
      <c r="C165" s="57" t="s">
        <v>109</v>
      </c>
      <c r="D165" s="58">
        <v>50</v>
      </c>
      <c r="E165" s="59">
        <v>1.340985892828E-3</v>
      </c>
    </row>
    <row r="166" spans="1:5" ht="14.5" customHeight="1">
      <c r="A166" s="39"/>
      <c r="B166" s="97"/>
      <c r="C166" s="57" t="s">
        <v>110</v>
      </c>
      <c r="D166" s="58">
        <v>775</v>
      </c>
      <c r="E166" s="59">
        <v>2.078528133884E-2</v>
      </c>
    </row>
    <row r="167" spans="1:5" ht="14.5" customHeight="1">
      <c r="A167" s="39"/>
      <c r="B167" s="97"/>
      <c r="C167" s="57" t="s">
        <v>111</v>
      </c>
      <c r="D167" s="58">
        <v>79</v>
      </c>
      <c r="E167" s="59">
        <v>2.118757710669E-3</v>
      </c>
    </row>
    <row r="168" spans="1:5" ht="14.5" customHeight="1">
      <c r="A168" s="39"/>
      <c r="B168" s="97"/>
      <c r="C168" s="57" t="s">
        <v>112</v>
      </c>
      <c r="D168" s="58">
        <v>159</v>
      </c>
      <c r="E168" s="59">
        <v>4.2643351391940003E-3</v>
      </c>
    </row>
    <row r="169" spans="1:5" ht="14.5" customHeight="1">
      <c r="A169" s="39"/>
      <c r="B169" s="97"/>
      <c r="C169" s="57" t="s">
        <v>113</v>
      </c>
      <c r="D169" s="58">
        <v>664</v>
      </c>
      <c r="E169" s="59">
        <v>1.7808292656761E-2</v>
      </c>
    </row>
    <row r="170" spans="1:5" ht="14.5" customHeight="1">
      <c r="A170" s="39"/>
      <c r="B170" s="97"/>
      <c r="C170" s="57" t="s">
        <v>114</v>
      </c>
      <c r="D170" s="58">
        <v>18</v>
      </c>
      <c r="E170" s="59">
        <v>4.8275492141800001E-4</v>
      </c>
    </row>
    <row r="171" spans="1:5" ht="14.5" customHeight="1">
      <c r="A171" s="39"/>
      <c r="B171" s="97"/>
      <c r="C171" s="57" t="s">
        <v>115</v>
      </c>
      <c r="D171" s="58">
        <v>22</v>
      </c>
      <c r="E171" s="59">
        <v>5.9003379284399999E-4</v>
      </c>
    </row>
    <row r="172" spans="1:5" ht="14.5" customHeight="1">
      <c r="A172" s="39"/>
      <c r="B172" s="97"/>
      <c r="C172" s="57" t="s">
        <v>116</v>
      </c>
      <c r="D172" s="58">
        <v>6</v>
      </c>
      <c r="E172" s="59">
        <v>1.6091830713899999E-4</v>
      </c>
    </row>
    <row r="173" spans="1:5" ht="14.5" customHeight="1">
      <c r="A173" s="39"/>
      <c r="B173" s="97"/>
      <c r="C173" s="57" t="s">
        <v>117</v>
      </c>
      <c r="D173" s="58">
        <v>2</v>
      </c>
      <c r="E173" s="59">
        <v>5.3639435713000001E-5</v>
      </c>
    </row>
    <row r="174" spans="1:5" ht="14.5" customHeight="1">
      <c r="A174" s="39"/>
      <c r="B174" s="97"/>
      <c r="C174" s="57" t="s">
        <v>118</v>
      </c>
      <c r="D174" s="58">
        <v>54</v>
      </c>
      <c r="E174" s="59">
        <v>1.4482647642550001E-3</v>
      </c>
    </row>
    <row r="175" spans="1:5" ht="14.5" customHeight="1">
      <c r="A175" s="39"/>
      <c r="B175" s="97"/>
      <c r="C175" s="57" t="s">
        <v>119</v>
      </c>
      <c r="D175" s="58">
        <v>135</v>
      </c>
      <c r="E175" s="59">
        <v>3.6206619106370001E-3</v>
      </c>
    </row>
    <row r="176" spans="1:5" ht="14.5" customHeight="1">
      <c r="A176" s="39"/>
      <c r="B176" s="97"/>
      <c r="C176" s="57" t="s">
        <v>120</v>
      </c>
      <c r="D176" s="58">
        <v>1</v>
      </c>
      <c r="E176" s="59">
        <v>2.6819717857000001E-5</v>
      </c>
    </row>
    <row r="177" spans="1:5" ht="14.5" customHeight="1">
      <c r="A177" s="39"/>
      <c r="B177" s="97"/>
      <c r="C177" s="57" t="s">
        <v>121</v>
      </c>
      <c r="D177" s="58">
        <v>13</v>
      </c>
      <c r="E177" s="59">
        <v>3.4865633213499998E-4</v>
      </c>
    </row>
    <row r="178" spans="1:5" ht="14.5" customHeight="1">
      <c r="A178" s="39"/>
      <c r="B178" s="97"/>
      <c r="C178" s="57" t="s">
        <v>122</v>
      </c>
      <c r="D178" s="58">
        <v>1</v>
      </c>
      <c r="E178" s="59">
        <v>2.6819717857000001E-5</v>
      </c>
    </row>
    <row r="179" spans="1:5" ht="14.5" customHeight="1">
      <c r="A179" s="39"/>
      <c r="B179" s="98"/>
      <c r="C179" s="72" t="s">
        <v>353</v>
      </c>
      <c r="D179" s="71">
        <v>2301</v>
      </c>
      <c r="E179" s="73">
        <v>6.1712170787962997E-2</v>
      </c>
    </row>
    <row r="180" spans="1:5" ht="14.5" customHeight="1">
      <c r="A180" s="39"/>
      <c r="B180" s="96" t="s">
        <v>94</v>
      </c>
      <c r="C180" s="57" t="s">
        <v>110</v>
      </c>
      <c r="D180" s="58">
        <v>4</v>
      </c>
      <c r="E180" s="59">
        <v>1.07278871426E-4</v>
      </c>
    </row>
    <row r="181" spans="1:5" ht="14.5" customHeight="1">
      <c r="A181" s="39"/>
      <c r="B181" s="97"/>
      <c r="C181" s="57" t="s">
        <v>113</v>
      </c>
      <c r="D181" s="58">
        <v>3</v>
      </c>
      <c r="E181" s="59">
        <v>8.0459153570000002E-5</v>
      </c>
    </row>
    <row r="182" spans="1:5" ht="14.5" customHeight="1">
      <c r="A182" s="39"/>
      <c r="B182" s="97"/>
      <c r="C182" s="57" t="s">
        <v>119</v>
      </c>
      <c r="D182" s="58">
        <v>2</v>
      </c>
      <c r="E182" s="59">
        <v>5.3639435713000001E-5</v>
      </c>
    </row>
    <row r="183" spans="1:5" ht="14.5" customHeight="1">
      <c r="A183" s="39"/>
      <c r="B183" s="98"/>
      <c r="C183" s="72" t="s">
        <v>353</v>
      </c>
      <c r="D183" s="71">
        <v>9</v>
      </c>
      <c r="E183" s="73">
        <v>2.4137746070900001E-4</v>
      </c>
    </row>
    <row r="184" spans="1:5" ht="14.5" customHeight="1">
      <c r="A184" s="39"/>
      <c r="B184" s="96" t="s">
        <v>72</v>
      </c>
      <c r="C184" s="57" t="s">
        <v>99</v>
      </c>
      <c r="D184" s="58">
        <v>1</v>
      </c>
      <c r="E184" s="59">
        <v>2.6819717857000001E-5</v>
      </c>
    </row>
    <row r="185" spans="1:5" ht="14.5" customHeight="1">
      <c r="A185" s="39"/>
      <c r="B185" s="97"/>
      <c r="C185" s="57" t="s">
        <v>100</v>
      </c>
      <c r="D185" s="58">
        <v>1</v>
      </c>
      <c r="E185" s="59">
        <v>2.6819717857000001E-5</v>
      </c>
    </row>
    <row r="186" spans="1:5" ht="14.5" customHeight="1">
      <c r="A186" s="39"/>
      <c r="B186" s="97"/>
      <c r="C186" s="57" t="s">
        <v>101</v>
      </c>
      <c r="D186" s="58">
        <v>1</v>
      </c>
      <c r="E186" s="59">
        <v>2.6819717857000001E-5</v>
      </c>
    </row>
    <row r="187" spans="1:5" ht="14.5" customHeight="1">
      <c r="A187" s="39"/>
      <c r="B187" s="97"/>
      <c r="C187" s="57" t="s">
        <v>102</v>
      </c>
      <c r="D187" s="58">
        <v>1</v>
      </c>
      <c r="E187" s="59">
        <v>2.6819717857000001E-5</v>
      </c>
    </row>
    <row r="188" spans="1:5" ht="14.5" customHeight="1">
      <c r="A188" s="39"/>
      <c r="B188" s="97"/>
      <c r="C188" s="57" t="s">
        <v>104</v>
      </c>
      <c r="D188" s="58">
        <v>11</v>
      </c>
      <c r="E188" s="59">
        <v>2.9501689642199999E-4</v>
      </c>
    </row>
    <row r="189" spans="1:5" ht="14.5" customHeight="1">
      <c r="A189" s="39"/>
      <c r="B189" s="97"/>
      <c r="C189" s="57" t="s">
        <v>105</v>
      </c>
      <c r="D189" s="58">
        <v>22</v>
      </c>
      <c r="E189" s="59">
        <v>5.9003379284399999E-4</v>
      </c>
    </row>
    <row r="190" spans="1:5" ht="14.5" customHeight="1">
      <c r="A190" s="39"/>
      <c r="B190" s="97"/>
      <c r="C190" s="57" t="s">
        <v>106</v>
      </c>
      <c r="D190" s="58">
        <v>31</v>
      </c>
      <c r="E190" s="59">
        <v>8.3141125355399995E-4</v>
      </c>
    </row>
    <row r="191" spans="1:5" ht="14.5" customHeight="1">
      <c r="A191" s="39"/>
      <c r="B191" s="97"/>
      <c r="C191" s="57" t="s">
        <v>107</v>
      </c>
      <c r="D191" s="58">
        <v>5</v>
      </c>
      <c r="E191" s="59">
        <v>1.34098589283E-4</v>
      </c>
    </row>
    <row r="192" spans="1:5" ht="14.5" customHeight="1">
      <c r="A192" s="39"/>
      <c r="B192" s="97"/>
      <c r="C192" s="57" t="s">
        <v>108</v>
      </c>
      <c r="D192" s="58">
        <v>16</v>
      </c>
      <c r="E192" s="59">
        <v>4.2911548570500002E-4</v>
      </c>
    </row>
    <row r="193" spans="1:5" ht="14.5" customHeight="1">
      <c r="A193" s="39"/>
      <c r="B193" s="97"/>
      <c r="C193" s="57" t="s">
        <v>109</v>
      </c>
      <c r="D193" s="58">
        <v>26</v>
      </c>
      <c r="E193" s="59">
        <v>6.9731266427100003E-4</v>
      </c>
    </row>
    <row r="194" spans="1:5" ht="14.5" customHeight="1">
      <c r="A194" s="39"/>
      <c r="B194" s="97"/>
      <c r="C194" s="57" t="s">
        <v>110</v>
      </c>
      <c r="D194" s="58">
        <v>151</v>
      </c>
      <c r="E194" s="59">
        <v>4.0497773963420001E-3</v>
      </c>
    </row>
    <row r="195" spans="1:5" ht="14.5" customHeight="1">
      <c r="A195" s="39"/>
      <c r="B195" s="97"/>
      <c r="C195" s="57" t="s">
        <v>111</v>
      </c>
      <c r="D195" s="58">
        <v>13</v>
      </c>
      <c r="E195" s="59">
        <v>3.4865633213499998E-4</v>
      </c>
    </row>
    <row r="196" spans="1:5" ht="14.5" customHeight="1">
      <c r="A196" s="39"/>
      <c r="B196" s="97"/>
      <c r="C196" s="57" t="s">
        <v>112</v>
      </c>
      <c r="D196" s="58">
        <v>40</v>
      </c>
      <c r="E196" s="59">
        <v>1.072788714263E-3</v>
      </c>
    </row>
    <row r="197" spans="1:5" ht="14.5" customHeight="1">
      <c r="A197" s="39"/>
      <c r="B197" s="97"/>
      <c r="C197" s="57" t="s">
        <v>113</v>
      </c>
      <c r="D197" s="58">
        <v>116</v>
      </c>
      <c r="E197" s="59">
        <v>3.1110872713619999E-3</v>
      </c>
    </row>
    <row r="198" spans="1:5" ht="14.5" customHeight="1">
      <c r="A198" s="39"/>
      <c r="B198" s="97"/>
      <c r="C198" s="57" t="s">
        <v>114</v>
      </c>
      <c r="D198" s="58">
        <v>4</v>
      </c>
      <c r="E198" s="59">
        <v>1.07278871426E-4</v>
      </c>
    </row>
    <row r="199" spans="1:5" ht="14.5" customHeight="1">
      <c r="A199" s="39"/>
      <c r="B199" s="97"/>
      <c r="C199" s="57" t="s">
        <v>115</v>
      </c>
      <c r="D199" s="58">
        <v>6</v>
      </c>
      <c r="E199" s="59">
        <v>1.6091830713899999E-4</v>
      </c>
    </row>
    <row r="200" spans="1:5" ht="14.5" customHeight="1">
      <c r="A200" s="39"/>
      <c r="B200" s="97"/>
      <c r="C200" s="57" t="s">
        <v>116</v>
      </c>
      <c r="D200" s="58">
        <v>1</v>
      </c>
      <c r="E200" s="59">
        <v>2.6819717857000001E-5</v>
      </c>
    </row>
    <row r="201" spans="1:5" ht="14.5" customHeight="1">
      <c r="A201" s="39"/>
      <c r="B201" s="97"/>
      <c r="C201" s="57" t="s">
        <v>117</v>
      </c>
      <c r="D201" s="58">
        <v>1</v>
      </c>
      <c r="E201" s="59">
        <v>2.6819717857000001E-5</v>
      </c>
    </row>
    <row r="202" spans="1:5" ht="14.5" customHeight="1">
      <c r="A202" s="39"/>
      <c r="B202" s="97"/>
      <c r="C202" s="57" t="s">
        <v>118</v>
      </c>
      <c r="D202" s="58">
        <v>10</v>
      </c>
      <c r="E202" s="59">
        <v>2.6819717856600001E-4</v>
      </c>
    </row>
    <row r="203" spans="1:5" ht="14.5" customHeight="1">
      <c r="A203" s="39"/>
      <c r="B203" s="97"/>
      <c r="C203" s="57" t="s">
        <v>119</v>
      </c>
      <c r="D203" s="58">
        <v>29</v>
      </c>
      <c r="E203" s="59">
        <v>7.7777181783999995E-4</v>
      </c>
    </row>
    <row r="204" spans="1:5" ht="14.5" customHeight="1">
      <c r="A204" s="39"/>
      <c r="B204" s="97"/>
      <c r="C204" s="57" t="s">
        <v>121</v>
      </c>
      <c r="D204" s="58">
        <v>1</v>
      </c>
      <c r="E204" s="59">
        <v>2.6819717857000001E-5</v>
      </c>
    </row>
    <row r="205" spans="1:5" ht="14.5" customHeight="1">
      <c r="A205" s="39"/>
      <c r="B205" s="98"/>
      <c r="C205" s="72" t="s">
        <v>353</v>
      </c>
      <c r="D205" s="71">
        <v>487</v>
      </c>
      <c r="E205" s="73">
        <v>1.3061202596148999E-2</v>
      </c>
    </row>
    <row r="206" spans="1:5" ht="14.5" customHeight="1">
      <c r="A206" s="39"/>
      <c r="B206" s="96" t="s">
        <v>69</v>
      </c>
      <c r="C206" s="57" t="s">
        <v>99</v>
      </c>
      <c r="D206" s="58">
        <v>1</v>
      </c>
      <c r="E206" s="59">
        <v>2.6819717857000001E-5</v>
      </c>
    </row>
    <row r="207" spans="1:5" ht="14.5" customHeight="1">
      <c r="A207" s="39"/>
      <c r="B207" s="97"/>
      <c r="C207" s="57" t="s">
        <v>100</v>
      </c>
      <c r="D207" s="58">
        <v>1</v>
      </c>
      <c r="E207" s="59">
        <v>2.6819717857000001E-5</v>
      </c>
    </row>
    <row r="208" spans="1:5" ht="14.5" customHeight="1">
      <c r="A208" s="39"/>
      <c r="B208" s="97"/>
      <c r="C208" s="57" t="s">
        <v>101</v>
      </c>
      <c r="D208" s="58">
        <v>3</v>
      </c>
      <c r="E208" s="59">
        <v>8.0459153570000002E-5</v>
      </c>
    </row>
    <row r="209" spans="1:5" ht="14.5" customHeight="1">
      <c r="A209" s="39"/>
      <c r="B209" s="97"/>
      <c r="C209" s="57" t="s">
        <v>102</v>
      </c>
      <c r="D209" s="58">
        <v>4</v>
      </c>
      <c r="E209" s="59">
        <v>1.07278871426E-4</v>
      </c>
    </row>
    <row r="210" spans="1:5" ht="14.5" customHeight="1">
      <c r="A210" s="39"/>
      <c r="B210" s="97"/>
      <c r="C210" s="57" t="s">
        <v>103</v>
      </c>
      <c r="D210" s="58">
        <v>6</v>
      </c>
      <c r="E210" s="59">
        <v>1.6091830713899999E-4</v>
      </c>
    </row>
    <row r="211" spans="1:5" ht="14.5" customHeight="1">
      <c r="A211" s="39"/>
      <c r="B211" s="97"/>
      <c r="C211" s="57" t="s">
        <v>104</v>
      </c>
      <c r="D211" s="58">
        <v>2</v>
      </c>
      <c r="E211" s="59">
        <v>5.3639435713000001E-5</v>
      </c>
    </row>
    <row r="212" spans="1:5" ht="14.5" customHeight="1">
      <c r="A212" s="39"/>
      <c r="B212" s="97"/>
      <c r="C212" s="57" t="s">
        <v>105</v>
      </c>
      <c r="D212" s="58">
        <v>22</v>
      </c>
      <c r="E212" s="59">
        <v>5.9003379284399999E-4</v>
      </c>
    </row>
    <row r="213" spans="1:5" ht="14.5" customHeight="1">
      <c r="A213" s="39"/>
      <c r="B213" s="97"/>
      <c r="C213" s="57" t="s">
        <v>106</v>
      </c>
      <c r="D213" s="58">
        <v>40</v>
      </c>
      <c r="E213" s="59">
        <v>1.072788714263E-3</v>
      </c>
    </row>
    <row r="214" spans="1:5" ht="14.5" customHeight="1">
      <c r="A214" s="39"/>
      <c r="B214" s="97"/>
      <c r="C214" s="57" t="s">
        <v>107</v>
      </c>
      <c r="D214" s="58">
        <v>11</v>
      </c>
      <c r="E214" s="59">
        <v>2.9501689642199999E-4</v>
      </c>
    </row>
    <row r="215" spans="1:5" ht="14.5" customHeight="1">
      <c r="A215" s="39"/>
      <c r="B215" s="97"/>
      <c r="C215" s="57" t="s">
        <v>108</v>
      </c>
      <c r="D215" s="58">
        <v>14</v>
      </c>
      <c r="E215" s="59">
        <v>3.7547604999199998E-4</v>
      </c>
    </row>
    <row r="216" spans="1:5" ht="14.5" customHeight="1">
      <c r="A216" s="39"/>
      <c r="B216" s="97"/>
      <c r="C216" s="57" t="s">
        <v>109</v>
      </c>
      <c r="D216" s="58">
        <v>34</v>
      </c>
      <c r="E216" s="59">
        <v>9.1187040712299998E-4</v>
      </c>
    </row>
    <row r="217" spans="1:5" ht="14.5" customHeight="1">
      <c r="A217" s="39"/>
      <c r="B217" s="97"/>
      <c r="C217" s="57" t="s">
        <v>110</v>
      </c>
      <c r="D217" s="58">
        <v>149</v>
      </c>
      <c r="E217" s="59">
        <v>3.9961379606290003E-3</v>
      </c>
    </row>
    <row r="218" spans="1:5" ht="14.5" customHeight="1">
      <c r="A218" s="39"/>
      <c r="B218" s="97"/>
      <c r="C218" s="57" t="s">
        <v>111</v>
      </c>
      <c r="D218" s="58">
        <v>23</v>
      </c>
      <c r="E218" s="59">
        <v>6.1685351070100004E-4</v>
      </c>
    </row>
    <row r="219" spans="1:5" ht="14.5" customHeight="1">
      <c r="A219" s="39"/>
      <c r="B219" s="97"/>
      <c r="C219" s="57" t="s">
        <v>112</v>
      </c>
      <c r="D219" s="58">
        <v>56</v>
      </c>
      <c r="E219" s="59">
        <v>1.5019041999679999E-3</v>
      </c>
    </row>
    <row r="220" spans="1:5" ht="14.5" customHeight="1">
      <c r="A220" s="39"/>
      <c r="B220" s="97"/>
      <c r="C220" s="57" t="s">
        <v>113</v>
      </c>
      <c r="D220" s="58">
        <v>129</v>
      </c>
      <c r="E220" s="59">
        <v>3.4597436034970001E-3</v>
      </c>
    </row>
    <row r="221" spans="1:5" ht="14.5" customHeight="1">
      <c r="A221" s="39"/>
      <c r="B221" s="97"/>
      <c r="C221" s="57" t="s">
        <v>114</v>
      </c>
      <c r="D221" s="58">
        <v>9</v>
      </c>
      <c r="E221" s="59">
        <v>2.4137746070900001E-4</v>
      </c>
    </row>
    <row r="222" spans="1:5" ht="14.5" customHeight="1">
      <c r="A222" s="39"/>
      <c r="B222" s="97"/>
      <c r="C222" s="57" t="s">
        <v>115</v>
      </c>
      <c r="D222" s="58">
        <v>2</v>
      </c>
      <c r="E222" s="59">
        <v>5.3639435713000001E-5</v>
      </c>
    </row>
    <row r="223" spans="1:5" ht="14.5" customHeight="1">
      <c r="A223" s="39"/>
      <c r="B223" s="97"/>
      <c r="C223" s="57" t="s">
        <v>116</v>
      </c>
      <c r="D223" s="58">
        <v>2</v>
      </c>
      <c r="E223" s="59">
        <v>5.3639435713000001E-5</v>
      </c>
    </row>
    <row r="224" spans="1:5" ht="14.5" customHeight="1">
      <c r="A224" s="39"/>
      <c r="B224" s="97"/>
      <c r="C224" s="57" t="s">
        <v>118</v>
      </c>
      <c r="D224" s="58">
        <v>28</v>
      </c>
      <c r="E224" s="59">
        <v>7.5095209998399996E-4</v>
      </c>
    </row>
    <row r="225" spans="1:5" ht="14.5" customHeight="1">
      <c r="A225" s="39"/>
      <c r="B225" s="97"/>
      <c r="C225" s="57" t="s">
        <v>119</v>
      </c>
      <c r="D225" s="58">
        <v>33</v>
      </c>
      <c r="E225" s="59">
        <v>8.8505068926699999E-4</v>
      </c>
    </row>
    <row r="226" spans="1:5" ht="14.5" customHeight="1">
      <c r="A226" s="39"/>
      <c r="B226" s="97"/>
      <c r="C226" s="57" t="s">
        <v>121</v>
      </c>
      <c r="D226" s="58">
        <v>6</v>
      </c>
      <c r="E226" s="59">
        <v>1.6091830713899999E-4</v>
      </c>
    </row>
    <row r="227" spans="1:5" ht="14.5" customHeight="1">
      <c r="A227" s="39"/>
      <c r="B227" s="97"/>
      <c r="C227" s="57" t="s">
        <v>122</v>
      </c>
      <c r="D227" s="58">
        <v>1</v>
      </c>
      <c r="E227" s="59">
        <v>2.6819717857000001E-5</v>
      </c>
    </row>
    <row r="228" spans="1:5" ht="14.5" customHeight="1">
      <c r="A228" s="39"/>
      <c r="B228" s="98"/>
      <c r="C228" s="72" t="s">
        <v>353</v>
      </c>
      <c r="D228" s="71">
        <v>576</v>
      </c>
      <c r="E228" s="73">
        <v>1.5448157485383E-2</v>
      </c>
    </row>
    <row r="229" spans="1:5" ht="14.5" customHeight="1">
      <c r="A229" s="39"/>
      <c r="B229" s="96" t="s">
        <v>98</v>
      </c>
      <c r="C229" s="57" t="s">
        <v>110</v>
      </c>
      <c r="D229" s="58">
        <v>1</v>
      </c>
      <c r="E229" s="59">
        <v>2.6819717857000001E-5</v>
      </c>
    </row>
    <row r="230" spans="1:5" ht="14.5" customHeight="1">
      <c r="A230" s="39"/>
      <c r="B230" s="98"/>
      <c r="C230" s="72" t="s">
        <v>353</v>
      </c>
      <c r="D230" s="71">
        <v>1</v>
      </c>
      <c r="E230" s="73">
        <v>2.6819717857000001E-5</v>
      </c>
    </row>
    <row r="231" spans="1:5" ht="14.5" customHeight="1">
      <c r="A231" s="39"/>
      <c r="B231" s="96" t="s">
        <v>95</v>
      </c>
      <c r="C231" s="57" t="s">
        <v>110</v>
      </c>
      <c r="D231" s="58">
        <v>1</v>
      </c>
      <c r="E231" s="59">
        <v>2.6819717857000001E-5</v>
      </c>
    </row>
    <row r="232" spans="1:5" ht="14.5" customHeight="1">
      <c r="A232" s="39"/>
      <c r="B232" s="97"/>
      <c r="C232" s="57" t="s">
        <v>119</v>
      </c>
      <c r="D232" s="58">
        <v>4</v>
      </c>
      <c r="E232" s="59">
        <v>1.07278871426E-4</v>
      </c>
    </row>
    <row r="233" spans="1:5" ht="14.5" customHeight="1">
      <c r="A233" s="39"/>
      <c r="B233" s="97"/>
      <c r="C233" s="57" t="s">
        <v>121</v>
      </c>
      <c r="D233" s="58">
        <v>1</v>
      </c>
      <c r="E233" s="59">
        <v>2.6819717857000001E-5</v>
      </c>
    </row>
    <row r="234" spans="1:5" ht="14.5" customHeight="1">
      <c r="A234" s="39"/>
      <c r="B234" s="98"/>
      <c r="C234" s="72" t="s">
        <v>353</v>
      </c>
      <c r="D234" s="71">
        <v>6</v>
      </c>
      <c r="E234" s="73">
        <v>1.6091830713899999E-4</v>
      </c>
    </row>
    <row r="235" spans="1:5" ht="14.5" customHeight="1">
      <c r="A235" s="39"/>
      <c r="B235" s="96" t="s">
        <v>89</v>
      </c>
      <c r="C235" s="57" t="s">
        <v>104</v>
      </c>
      <c r="D235" s="58">
        <v>1</v>
      </c>
      <c r="E235" s="59">
        <v>2.6819717857000001E-5</v>
      </c>
    </row>
    <row r="236" spans="1:5" ht="14.5" customHeight="1">
      <c r="A236" s="39"/>
      <c r="B236" s="97"/>
      <c r="C236" s="57" t="s">
        <v>105</v>
      </c>
      <c r="D236" s="58">
        <v>3</v>
      </c>
      <c r="E236" s="59">
        <v>8.0459153570000002E-5</v>
      </c>
    </row>
    <row r="237" spans="1:5" ht="14.5" customHeight="1">
      <c r="A237" s="39"/>
      <c r="B237" s="97"/>
      <c r="C237" s="57" t="s">
        <v>106</v>
      </c>
      <c r="D237" s="58">
        <v>2</v>
      </c>
      <c r="E237" s="59">
        <v>5.3639435713000001E-5</v>
      </c>
    </row>
    <row r="238" spans="1:5" ht="14.5" customHeight="1">
      <c r="A238" s="39"/>
      <c r="B238" s="97"/>
      <c r="C238" s="57" t="s">
        <v>108</v>
      </c>
      <c r="D238" s="58">
        <v>1</v>
      </c>
      <c r="E238" s="59">
        <v>2.6819717857000001E-5</v>
      </c>
    </row>
    <row r="239" spans="1:5" ht="14.5" customHeight="1">
      <c r="A239" s="39"/>
      <c r="B239" s="97"/>
      <c r="C239" s="57" t="s">
        <v>109</v>
      </c>
      <c r="D239" s="58">
        <v>3</v>
      </c>
      <c r="E239" s="59">
        <v>8.0459153570000002E-5</v>
      </c>
    </row>
    <row r="240" spans="1:5" ht="14.5" customHeight="1">
      <c r="A240" s="39"/>
      <c r="B240" s="97"/>
      <c r="C240" s="57" t="s">
        <v>110</v>
      </c>
      <c r="D240" s="58">
        <v>25</v>
      </c>
      <c r="E240" s="59">
        <v>6.7049294641399998E-4</v>
      </c>
    </row>
    <row r="241" spans="1:5" ht="14.5" customHeight="1">
      <c r="A241" s="39"/>
      <c r="B241" s="97"/>
      <c r="C241" s="57" t="s">
        <v>111</v>
      </c>
      <c r="D241" s="58">
        <v>6</v>
      </c>
      <c r="E241" s="59">
        <v>1.6091830713899999E-4</v>
      </c>
    </row>
    <row r="242" spans="1:5" ht="14.5" customHeight="1">
      <c r="A242" s="39"/>
      <c r="B242" s="97"/>
      <c r="C242" s="57" t="s">
        <v>112</v>
      </c>
      <c r="D242" s="58">
        <v>4</v>
      </c>
      <c r="E242" s="59">
        <v>1.07278871426E-4</v>
      </c>
    </row>
    <row r="243" spans="1:5" ht="14.5" customHeight="1">
      <c r="A243" s="39"/>
      <c r="B243" s="97"/>
      <c r="C243" s="57" t="s">
        <v>113</v>
      </c>
      <c r="D243" s="58">
        <v>22</v>
      </c>
      <c r="E243" s="59">
        <v>5.9003379284399999E-4</v>
      </c>
    </row>
    <row r="244" spans="1:5" ht="14.5" customHeight="1">
      <c r="A244" s="39"/>
      <c r="B244" s="97"/>
      <c r="C244" s="57" t="s">
        <v>116</v>
      </c>
      <c r="D244" s="58">
        <v>1</v>
      </c>
      <c r="E244" s="59">
        <v>2.6819717857000001E-5</v>
      </c>
    </row>
    <row r="245" spans="1:5" ht="14.5" customHeight="1">
      <c r="A245" s="39"/>
      <c r="B245" s="97"/>
      <c r="C245" s="57" t="s">
        <v>117</v>
      </c>
      <c r="D245" s="58">
        <v>2</v>
      </c>
      <c r="E245" s="59">
        <v>5.3639435713000001E-5</v>
      </c>
    </row>
    <row r="246" spans="1:5" ht="14.5" customHeight="1">
      <c r="A246" s="39"/>
      <c r="B246" s="97"/>
      <c r="C246" s="57" t="s">
        <v>118</v>
      </c>
      <c r="D246" s="58">
        <v>3</v>
      </c>
      <c r="E246" s="59">
        <v>8.0459153570000002E-5</v>
      </c>
    </row>
    <row r="247" spans="1:5" ht="14.5" customHeight="1">
      <c r="A247" s="39"/>
      <c r="B247" s="97"/>
      <c r="C247" s="57" t="s">
        <v>119</v>
      </c>
      <c r="D247" s="58">
        <v>13</v>
      </c>
      <c r="E247" s="59">
        <v>3.4865633213499998E-4</v>
      </c>
    </row>
    <row r="248" spans="1:5" ht="14.5" customHeight="1">
      <c r="A248" s="39"/>
      <c r="B248" s="97"/>
      <c r="C248" s="57" t="s">
        <v>121</v>
      </c>
      <c r="D248" s="58">
        <v>1</v>
      </c>
      <c r="E248" s="59">
        <v>2.6819717857000001E-5</v>
      </c>
    </row>
    <row r="249" spans="1:5" ht="14.5" customHeight="1">
      <c r="A249" s="39"/>
      <c r="B249" s="97"/>
      <c r="C249" s="57" t="s">
        <v>122</v>
      </c>
      <c r="D249" s="58">
        <v>1</v>
      </c>
      <c r="E249" s="59">
        <v>2.6819717857000001E-5</v>
      </c>
    </row>
    <row r="250" spans="1:5" ht="14.5" customHeight="1">
      <c r="A250" s="39"/>
      <c r="B250" s="98"/>
      <c r="C250" s="72" t="s">
        <v>353</v>
      </c>
      <c r="D250" s="71">
        <v>88</v>
      </c>
      <c r="E250" s="73">
        <v>2.3601351713780001E-3</v>
      </c>
    </row>
    <row r="251" spans="1:5" ht="14.5" customHeight="1">
      <c r="A251" s="39"/>
      <c r="B251" s="96" t="s">
        <v>67</v>
      </c>
      <c r="C251" s="57" t="s">
        <v>100</v>
      </c>
      <c r="D251" s="58">
        <v>3</v>
      </c>
      <c r="E251" s="59">
        <v>8.0459153570000002E-5</v>
      </c>
    </row>
    <row r="252" spans="1:5" ht="14.5" customHeight="1">
      <c r="A252" s="39"/>
      <c r="B252" s="97"/>
      <c r="C252" s="57" t="s">
        <v>101</v>
      </c>
      <c r="D252" s="58">
        <v>1</v>
      </c>
      <c r="E252" s="59">
        <v>2.6819717857000001E-5</v>
      </c>
    </row>
    <row r="253" spans="1:5" ht="14.5" customHeight="1">
      <c r="A253" s="39"/>
      <c r="B253" s="97"/>
      <c r="C253" s="57" t="s">
        <v>102</v>
      </c>
      <c r="D253" s="58">
        <v>4</v>
      </c>
      <c r="E253" s="59">
        <v>1.07278871426E-4</v>
      </c>
    </row>
    <row r="254" spans="1:5" ht="14.5" customHeight="1">
      <c r="A254" s="39"/>
      <c r="B254" s="97"/>
      <c r="C254" s="57" t="s">
        <v>103</v>
      </c>
      <c r="D254" s="58">
        <v>4</v>
      </c>
      <c r="E254" s="59">
        <v>1.07278871426E-4</v>
      </c>
    </row>
    <row r="255" spans="1:5" ht="14.5" customHeight="1">
      <c r="A255" s="39"/>
      <c r="B255" s="97"/>
      <c r="C255" s="57" t="s">
        <v>104</v>
      </c>
      <c r="D255" s="58">
        <v>2</v>
      </c>
      <c r="E255" s="59">
        <v>5.3639435713000001E-5</v>
      </c>
    </row>
    <row r="256" spans="1:5" ht="14.5" customHeight="1">
      <c r="A256" s="39"/>
      <c r="B256" s="97"/>
      <c r="C256" s="57" t="s">
        <v>105</v>
      </c>
      <c r="D256" s="58">
        <v>46</v>
      </c>
      <c r="E256" s="59">
        <v>1.2337070214020001E-3</v>
      </c>
    </row>
    <row r="257" spans="1:5" ht="14.5" customHeight="1">
      <c r="A257" s="39"/>
      <c r="B257" s="97"/>
      <c r="C257" s="57" t="s">
        <v>106</v>
      </c>
      <c r="D257" s="58">
        <v>49</v>
      </c>
      <c r="E257" s="59">
        <v>1.3141661749720001E-3</v>
      </c>
    </row>
    <row r="258" spans="1:5" ht="14.5" customHeight="1">
      <c r="A258" s="39"/>
      <c r="B258" s="97"/>
      <c r="C258" s="57" t="s">
        <v>107</v>
      </c>
      <c r="D258" s="58">
        <v>9</v>
      </c>
      <c r="E258" s="59">
        <v>2.4137746070900001E-4</v>
      </c>
    </row>
    <row r="259" spans="1:5" ht="14.5" customHeight="1">
      <c r="A259" s="39"/>
      <c r="B259" s="97"/>
      <c r="C259" s="57" t="s">
        <v>108</v>
      </c>
      <c r="D259" s="58">
        <v>18</v>
      </c>
      <c r="E259" s="59">
        <v>4.8275492141800001E-4</v>
      </c>
    </row>
    <row r="260" spans="1:5" ht="14.5" customHeight="1">
      <c r="A260" s="39"/>
      <c r="B260" s="97"/>
      <c r="C260" s="57" t="s">
        <v>109</v>
      </c>
      <c r="D260" s="58">
        <v>16</v>
      </c>
      <c r="E260" s="59">
        <v>4.2911548570500002E-4</v>
      </c>
    </row>
    <row r="261" spans="1:5" ht="14.5" customHeight="1">
      <c r="A261" s="39"/>
      <c r="B261" s="97"/>
      <c r="C261" s="57" t="s">
        <v>110</v>
      </c>
      <c r="D261" s="58">
        <v>234</v>
      </c>
      <c r="E261" s="59">
        <v>6.2758139784369997E-3</v>
      </c>
    </row>
    <row r="262" spans="1:5" ht="14.5" customHeight="1">
      <c r="A262" s="39"/>
      <c r="B262" s="97"/>
      <c r="C262" s="57" t="s">
        <v>111</v>
      </c>
      <c r="D262" s="58">
        <v>18</v>
      </c>
      <c r="E262" s="59">
        <v>4.8275492141800001E-4</v>
      </c>
    </row>
    <row r="263" spans="1:5" ht="14.5" customHeight="1">
      <c r="A263" s="39"/>
      <c r="B263" s="97"/>
      <c r="C263" s="57" t="s">
        <v>112</v>
      </c>
      <c r="D263" s="58">
        <v>42</v>
      </c>
      <c r="E263" s="59">
        <v>1.126428149976E-3</v>
      </c>
    </row>
    <row r="264" spans="1:5" ht="14.5" customHeight="1">
      <c r="A264" s="39"/>
      <c r="B264" s="97"/>
      <c r="C264" s="57" t="s">
        <v>113</v>
      </c>
      <c r="D264" s="58">
        <v>141</v>
      </c>
      <c r="E264" s="59">
        <v>3.781580217776E-3</v>
      </c>
    </row>
    <row r="265" spans="1:5" ht="14.5" customHeight="1">
      <c r="A265" s="39"/>
      <c r="B265" s="97"/>
      <c r="C265" s="57" t="s">
        <v>114</v>
      </c>
      <c r="D265" s="58">
        <v>2</v>
      </c>
      <c r="E265" s="59">
        <v>5.3639435713000001E-5</v>
      </c>
    </row>
    <row r="266" spans="1:5" ht="14.5" customHeight="1">
      <c r="A266" s="39"/>
      <c r="B266" s="97"/>
      <c r="C266" s="57" t="s">
        <v>115</v>
      </c>
      <c r="D266" s="58">
        <v>8</v>
      </c>
      <c r="E266" s="59">
        <v>2.1455774285299999E-4</v>
      </c>
    </row>
    <row r="267" spans="1:5" ht="14.5" customHeight="1">
      <c r="A267" s="39"/>
      <c r="B267" s="97"/>
      <c r="C267" s="57" t="s">
        <v>117</v>
      </c>
      <c r="D267" s="58">
        <v>2</v>
      </c>
      <c r="E267" s="59">
        <v>5.3639435713000001E-5</v>
      </c>
    </row>
    <row r="268" spans="1:5" ht="14.5" customHeight="1">
      <c r="A268" s="39"/>
      <c r="B268" s="97"/>
      <c r="C268" s="57" t="s">
        <v>118</v>
      </c>
      <c r="D268" s="58">
        <v>14</v>
      </c>
      <c r="E268" s="59">
        <v>3.7547604999199998E-4</v>
      </c>
    </row>
    <row r="269" spans="1:5" ht="14.5" customHeight="1">
      <c r="A269" s="39"/>
      <c r="B269" s="97"/>
      <c r="C269" s="57" t="s">
        <v>119</v>
      </c>
      <c r="D269" s="58">
        <v>32</v>
      </c>
      <c r="E269" s="59">
        <v>8.5823097141000005E-4</v>
      </c>
    </row>
    <row r="270" spans="1:5" ht="14.5" customHeight="1">
      <c r="A270" s="39"/>
      <c r="B270" s="97"/>
      <c r="C270" s="57" t="s">
        <v>120</v>
      </c>
      <c r="D270" s="58">
        <v>1</v>
      </c>
      <c r="E270" s="59">
        <v>2.6819717857000001E-5</v>
      </c>
    </row>
    <row r="271" spans="1:5" ht="14.5" customHeight="1">
      <c r="A271" s="39"/>
      <c r="B271" s="97"/>
      <c r="C271" s="57" t="s">
        <v>121</v>
      </c>
      <c r="D271" s="58">
        <v>7</v>
      </c>
      <c r="E271" s="59">
        <v>1.8773802499599999E-4</v>
      </c>
    </row>
    <row r="272" spans="1:5" ht="14.5" customHeight="1">
      <c r="A272" s="39"/>
      <c r="B272" s="98"/>
      <c r="C272" s="72" t="s">
        <v>353</v>
      </c>
      <c r="D272" s="71">
        <v>653</v>
      </c>
      <c r="E272" s="73">
        <v>1.7513275760338998E-2</v>
      </c>
    </row>
    <row r="273" spans="1:5" ht="14.5" customHeight="1">
      <c r="A273" s="39"/>
      <c r="B273" s="96" t="s">
        <v>63</v>
      </c>
      <c r="C273" s="57" t="s">
        <v>99</v>
      </c>
      <c r="D273" s="58">
        <v>8</v>
      </c>
      <c r="E273" s="59">
        <v>2.1455774285299999E-4</v>
      </c>
    </row>
    <row r="274" spans="1:5" ht="14.5" customHeight="1">
      <c r="A274" s="39"/>
      <c r="B274" s="97"/>
      <c r="C274" s="57" t="s">
        <v>100</v>
      </c>
      <c r="D274" s="58">
        <v>2</v>
      </c>
      <c r="E274" s="59">
        <v>5.3639435713000001E-5</v>
      </c>
    </row>
    <row r="275" spans="1:5" ht="14.5" customHeight="1">
      <c r="A275" s="39"/>
      <c r="B275" s="97"/>
      <c r="C275" s="57" t="s">
        <v>101</v>
      </c>
      <c r="D275" s="58">
        <v>4</v>
      </c>
      <c r="E275" s="59">
        <v>1.07278871426E-4</v>
      </c>
    </row>
    <row r="276" spans="1:5" ht="14.5" customHeight="1">
      <c r="A276" s="39"/>
      <c r="B276" s="97"/>
      <c r="C276" s="57" t="s">
        <v>102</v>
      </c>
      <c r="D276" s="58">
        <v>6</v>
      </c>
      <c r="E276" s="59">
        <v>1.6091830713899999E-4</v>
      </c>
    </row>
    <row r="277" spans="1:5" ht="14.5" customHeight="1">
      <c r="A277" s="39"/>
      <c r="B277" s="97"/>
      <c r="C277" s="57" t="s">
        <v>103</v>
      </c>
      <c r="D277" s="58">
        <v>4</v>
      </c>
      <c r="E277" s="59">
        <v>1.07278871426E-4</v>
      </c>
    </row>
    <row r="278" spans="1:5" ht="14.5" customHeight="1">
      <c r="A278" s="39"/>
      <c r="B278" s="97"/>
      <c r="C278" s="57" t="s">
        <v>104</v>
      </c>
      <c r="D278" s="58">
        <v>3</v>
      </c>
      <c r="E278" s="59">
        <v>8.0459153570000002E-5</v>
      </c>
    </row>
    <row r="279" spans="1:5" ht="14.5" customHeight="1">
      <c r="A279" s="39"/>
      <c r="B279" s="97"/>
      <c r="C279" s="57" t="s">
        <v>105</v>
      </c>
      <c r="D279" s="58">
        <v>45</v>
      </c>
      <c r="E279" s="59">
        <v>1.206887303546E-3</v>
      </c>
    </row>
    <row r="280" spans="1:5" ht="14.5" customHeight="1">
      <c r="A280" s="39"/>
      <c r="B280" s="97"/>
      <c r="C280" s="57" t="s">
        <v>106</v>
      </c>
      <c r="D280" s="58">
        <v>53</v>
      </c>
      <c r="E280" s="59">
        <v>1.4214450463979999E-3</v>
      </c>
    </row>
    <row r="281" spans="1:5" ht="14.5" customHeight="1">
      <c r="A281" s="39"/>
      <c r="B281" s="97"/>
      <c r="C281" s="57" t="s">
        <v>107</v>
      </c>
      <c r="D281" s="58">
        <v>12</v>
      </c>
      <c r="E281" s="59">
        <v>3.2183661427899999E-4</v>
      </c>
    </row>
    <row r="282" spans="1:5" ht="14.5" customHeight="1">
      <c r="A282" s="39"/>
      <c r="B282" s="97"/>
      <c r="C282" s="57" t="s">
        <v>108</v>
      </c>
      <c r="D282" s="58">
        <v>13</v>
      </c>
      <c r="E282" s="59">
        <v>3.4865633213499998E-4</v>
      </c>
    </row>
    <row r="283" spans="1:5" ht="14.5" customHeight="1">
      <c r="A283" s="39"/>
      <c r="B283" s="97"/>
      <c r="C283" s="57" t="s">
        <v>109</v>
      </c>
      <c r="D283" s="58">
        <v>34</v>
      </c>
      <c r="E283" s="59">
        <v>9.1187040712299998E-4</v>
      </c>
    </row>
    <row r="284" spans="1:5" ht="14.5" customHeight="1">
      <c r="A284" s="39"/>
      <c r="B284" s="97"/>
      <c r="C284" s="57" t="s">
        <v>110</v>
      </c>
      <c r="D284" s="58">
        <v>139</v>
      </c>
      <c r="E284" s="59">
        <v>3.7279407820630002E-3</v>
      </c>
    </row>
    <row r="285" spans="1:5" ht="14.5" customHeight="1">
      <c r="A285" s="39"/>
      <c r="B285" s="97"/>
      <c r="C285" s="57" t="s">
        <v>111</v>
      </c>
      <c r="D285" s="58">
        <v>7</v>
      </c>
      <c r="E285" s="59">
        <v>1.8773802499599999E-4</v>
      </c>
    </row>
    <row r="286" spans="1:5" ht="14.5" customHeight="1">
      <c r="A286" s="39"/>
      <c r="B286" s="97"/>
      <c r="C286" s="57" t="s">
        <v>112</v>
      </c>
      <c r="D286" s="58">
        <v>43</v>
      </c>
      <c r="E286" s="59">
        <v>1.1532478678320001E-3</v>
      </c>
    </row>
    <row r="287" spans="1:5" ht="14.5" customHeight="1">
      <c r="A287" s="39"/>
      <c r="B287" s="97"/>
      <c r="C287" s="57" t="s">
        <v>113</v>
      </c>
      <c r="D287" s="58">
        <v>119</v>
      </c>
      <c r="E287" s="59">
        <v>3.1915464249320001E-3</v>
      </c>
    </row>
    <row r="288" spans="1:5" ht="14.5" customHeight="1">
      <c r="A288" s="39"/>
      <c r="B288" s="97"/>
      <c r="C288" s="57" t="s">
        <v>114</v>
      </c>
      <c r="D288" s="58">
        <v>5</v>
      </c>
      <c r="E288" s="59">
        <v>1.34098589283E-4</v>
      </c>
    </row>
    <row r="289" spans="1:5" ht="14.5" customHeight="1">
      <c r="A289" s="39"/>
      <c r="B289" s="97"/>
      <c r="C289" s="57" t="s">
        <v>115</v>
      </c>
      <c r="D289" s="58">
        <v>3</v>
      </c>
      <c r="E289" s="59">
        <v>8.0459153570000002E-5</v>
      </c>
    </row>
    <row r="290" spans="1:5" ht="14.5" customHeight="1">
      <c r="A290" s="39"/>
      <c r="B290" s="97"/>
      <c r="C290" s="57" t="s">
        <v>116</v>
      </c>
      <c r="D290" s="58">
        <v>1</v>
      </c>
      <c r="E290" s="59">
        <v>2.6819717857000001E-5</v>
      </c>
    </row>
    <row r="291" spans="1:5" ht="14.5" customHeight="1">
      <c r="A291" s="39"/>
      <c r="B291" s="97"/>
      <c r="C291" s="57" t="s">
        <v>117</v>
      </c>
      <c r="D291" s="58">
        <v>1</v>
      </c>
      <c r="E291" s="59">
        <v>2.6819717857000001E-5</v>
      </c>
    </row>
    <row r="292" spans="1:5" ht="14.5" customHeight="1">
      <c r="A292" s="39"/>
      <c r="B292" s="97"/>
      <c r="C292" s="57" t="s">
        <v>118</v>
      </c>
      <c r="D292" s="58">
        <v>16</v>
      </c>
      <c r="E292" s="59">
        <v>4.2911548570500002E-4</v>
      </c>
    </row>
    <row r="293" spans="1:5" ht="14.5" customHeight="1">
      <c r="A293" s="39"/>
      <c r="B293" s="97"/>
      <c r="C293" s="57" t="s">
        <v>119</v>
      </c>
      <c r="D293" s="58">
        <v>33</v>
      </c>
      <c r="E293" s="59">
        <v>8.8505068926699999E-4</v>
      </c>
    </row>
    <row r="294" spans="1:5" ht="14.5" customHeight="1">
      <c r="A294" s="39"/>
      <c r="B294" s="97"/>
      <c r="C294" s="57" t="s">
        <v>121</v>
      </c>
      <c r="D294" s="58">
        <v>2</v>
      </c>
      <c r="E294" s="59">
        <v>5.3639435713000001E-5</v>
      </c>
    </row>
    <row r="295" spans="1:5" ht="14.5" customHeight="1">
      <c r="A295" s="39"/>
      <c r="B295" s="98"/>
      <c r="C295" s="72" t="s">
        <v>353</v>
      </c>
      <c r="D295" s="71">
        <v>553</v>
      </c>
      <c r="E295" s="73">
        <v>1.4831303974682001E-2</v>
      </c>
    </row>
    <row r="296" spans="1:5" ht="14.5" customHeight="1">
      <c r="A296" s="39"/>
      <c r="B296" s="96" t="s">
        <v>49</v>
      </c>
      <c r="C296" s="57" t="s">
        <v>99</v>
      </c>
      <c r="D296" s="58">
        <v>10</v>
      </c>
      <c r="E296" s="59">
        <v>2.6819717856600001E-4</v>
      </c>
    </row>
    <row r="297" spans="1:5" ht="14.5" customHeight="1">
      <c r="A297" s="39"/>
      <c r="B297" s="97"/>
      <c r="C297" s="57" t="s">
        <v>100</v>
      </c>
      <c r="D297" s="58">
        <v>2</v>
      </c>
      <c r="E297" s="59">
        <v>5.3639435713000001E-5</v>
      </c>
    </row>
    <row r="298" spans="1:5" ht="14.5" customHeight="1">
      <c r="A298" s="39"/>
      <c r="B298" s="97"/>
      <c r="C298" s="57" t="s">
        <v>101</v>
      </c>
      <c r="D298" s="58">
        <v>7</v>
      </c>
      <c r="E298" s="59">
        <v>1.8773802499599999E-4</v>
      </c>
    </row>
    <row r="299" spans="1:5" ht="14.5" customHeight="1">
      <c r="A299" s="39"/>
      <c r="B299" s="97"/>
      <c r="C299" s="57" t="s">
        <v>102</v>
      </c>
      <c r="D299" s="58">
        <v>18</v>
      </c>
      <c r="E299" s="59">
        <v>4.8275492141800001E-4</v>
      </c>
    </row>
    <row r="300" spans="1:5" ht="14.5" customHeight="1">
      <c r="A300" s="39"/>
      <c r="B300" s="97"/>
      <c r="C300" s="57" t="s">
        <v>103</v>
      </c>
      <c r="D300" s="58">
        <v>7</v>
      </c>
      <c r="E300" s="59">
        <v>1.8773802499599999E-4</v>
      </c>
    </row>
    <row r="301" spans="1:5" ht="14.5" customHeight="1">
      <c r="A301" s="39"/>
      <c r="B301" s="97"/>
      <c r="C301" s="57" t="s">
        <v>104</v>
      </c>
      <c r="D301" s="58">
        <v>16</v>
      </c>
      <c r="E301" s="59">
        <v>4.2911548570500002E-4</v>
      </c>
    </row>
    <row r="302" spans="1:5" ht="14.5" customHeight="1">
      <c r="A302" s="39"/>
      <c r="B302" s="97"/>
      <c r="C302" s="57" t="s">
        <v>105</v>
      </c>
      <c r="D302" s="58">
        <v>103</v>
      </c>
      <c r="E302" s="59">
        <v>2.7624309392270002E-3</v>
      </c>
    </row>
    <row r="303" spans="1:5" ht="14.5" customHeight="1">
      <c r="A303" s="39"/>
      <c r="B303" s="97"/>
      <c r="C303" s="57" t="s">
        <v>106</v>
      </c>
      <c r="D303" s="58">
        <v>157</v>
      </c>
      <c r="E303" s="59">
        <v>4.2106957034810004E-3</v>
      </c>
    </row>
    <row r="304" spans="1:5" ht="14.5" customHeight="1">
      <c r="A304" s="39"/>
      <c r="B304" s="97"/>
      <c r="C304" s="57" t="s">
        <v>107</v>
      </c>
      <c r="D304" s="58">
        <v>18</v>
      </c>
      <c r="E304" s="59">
        <v>4.8275492141800001E-4</v>
      </c>
    </row>
    <row r="305" spans="1:5" ht="14.5" customHeight="1">
      <c r="A305" s="39"/>
      <c r="B305" s="97"/>
      <c r="C305" s="57" t="s">
        <v>108</v>
      </c>
      <c r="D305" s="58">
        <v>51</v>
      </c>
      <c r="E305" s="59">
        <v>1.3678056106849999E-3</v>
      </c>
    </row>
    <row r="306" spans="1:5" ht="14.5" customHeight="1">
      <c r="A306" s="39"/>
      <c r="B306" s="97"/>
      <c r="C306" s="57" t="s">
        <v>109</v>
      </c>
      <c r="D306" s="58">
        <v>91</v>
      </c>
      <c r="E306" s="59">
        <v>2.4405943249479999E-3</v>
      </c>
    </row>
    <row r="307" spans="1:5" ht="14.5" customHeight="1">
      <c r="A307" s="39"/>
      <c r="B307" s="97"/>
      <c r="C307" s="57" t="s">
        <v>110</v>
      </c>
      <c r="D307" s="58">
        <v>790</v>
      </c>
      <c r="E307" s="59">
        <v>2.1187577106689E-2</v>
      </c>
    </row>
    <row r="308" spans="1:5" ht="14.5" customHeight="1">
      <c r="A308" s="39"/>
      <c r="B308" s="97"/>
      <c r="C308" s="57" t="s">
        <v>111</v>
      </c>
      <c r="D308" s="58">
        <v>66</v>
      </c>
      <c r="E308" s="59">
        <v>1.7701013785329999E-3</v>
      </c>
    </row>
    <row r="309" spans="1:5" ht="14.5" customHeight="1">
      <c r="A309" s="39"/>
      <c r="B309" s="97"/>
      <c r="C309" s="57" t="s">
        <v>112</v>
      </c>
      <c r="D309" s="58">
        <v>157</v>
      </c>
      <c r="E309" s="59">
        <v>4.2106957034810004E-3</v>
      </c>
    </row>
    <row r="310" spans="1:5" ht="14.5" customHeight="1">
      <c r="A310" s="39"/>
      <c r="B310" s="97"/>
      <c r="C310" s="57" t="s">
        <v>113</v>
      </c>
      <c r="D310" s="58">
        <v>716</v>
      </c>
      <c r="E310" s="59">
        <v>1.9202917985302999E-2</v>
      </c>
    </row>
    <row r="311" spans="1:5" ht="14.5" customHeight="1">
      <c r="A311" s="39"/>
      <c r="B311" s="97"/>
      <c r="C311" s="57" t="s">
        <v>114</v>
      </c>
      <c r="D311" s="58">
        <v>20</v>
      </c>
      <c r="E311" s="59">
        <v>5.3639435713100005E-4</v>
      </c>
    </row>
    <row r="312" spans="1:5" ht="14.5" customHeight="1">
      <c r="A312" s="39"/>
      <c r="B312" s="97"/>
      <c r="C312" s="57" t="s">
        <v>115</v>
      </c>
      <c r="D312" s="58">
        <v>25</v>
      </c>
      <c r="E312" s="59">
        <v>6.7049294641399998E-4</v>
      </c>
    </row>
    <row r="313" spans="1:5" ht="14.5" customHeight="1">
      <c r="A313" s="39"/>
      <c r="B313" s="97"/>
      <c r="C313" s="57" t="s">
        <v>116</v>
      </c>
      <c r="D313" s="58">
        <v>7</v>
      </c>
      <c r="E313" s="59">
        <v>1.8773802499599999E-4</v>
      </c>
    </row>
    <row r="314" spans="1:5" ht="14.5" customHeight="1">
      <c r="A314" s="39"/>
      <c r="B314" s="97"/>
      <c r="C314" s="57" t="s">
        <v>117</v>
      </c>
      <c r="D314" s="58">
        <v>6</v>
      </c>
      <c r="E314" s="59">
        <v>1.6091830713899999E-4</v>
      </c>
    </row>
    <row r="315" spans="1:5" ht="14.5" customHeight="1">
      <c r="A315" s="39"/>
      <c r="B315" s="97"/>
      <c r="C315" s="57" t="s">
        <v>118</v>
      </c>
      <c r="D315" s="58">
        <v>73</v>
      </c>
      <c r="E315" s="59">
        <v>1.957839403529E-3</v>
      </c>
    </row>
    <row r="316" spans="1:5" ht="14.5" customHeight="1">
      <c r="A316" s="39"/>
      <c r="B316" s="97"/>
      <c r="C316" s="57" t="s">
        <v>119</v>
      </c>
      <c r="D316" s="58">
        <v>214</v>
      </c>
      <c r="E316" s="59">
        <v>5.7394196213059996E-3</v>
      </c>
    </row>
    <row r="317" spans="1:5" ht="14.5" customHeight="1">
      <c r="A317" s="39"/>
      <c r="B317" s="97"/>
      <c r="C317" s="57" t="s">
        <v>120</v>
      </c>
      <c r="D317" s="58">
        <v>1</v>
      </c>
      <c r="E317" s="59">
        <v>2.6819717857000001E-5</v>
      </c>
    </row>
    <row r="318" spans="1:5" ht="14.5" customHeight="1">
      <c r="A318" s="39"/>
      <c r="B318" s="97"/>
      <c r="C318" s="57" t="s">
        <v>121</v>
      </c>
      <c r="D318" s="58">
        <v>16</v>
      </c>
      <c r="E318" s="59">
        <v>4.2911548570500002E-4</v>
      </c>
    </row>
    <row r="319" spans="1:5" ht="14.5" customHeight="1">
      <c r="A319" s="39"/>
      <c r="B319" s="97"/>
      <c r="C319" s="57" t="s">
        <v>122</v>
      </c>
      <c r="D319" s="58">
        <v>3</v>
      </c>
      <c r="E319" s="59">
        <v>8.0459153570000002E-5</v>
      </c>
    </row>
    <row r="320" spans="1:5" ht="14.5" customHeight="1">
      <c r="A320" s="39"/>
      <c r="B320" s="98"/>
      <c r="C320" s="72" t="s">
        <v>353</v>
      </c>
      <c r="D320" s="71">
        <v>2574</v>
      </c>
      <c r="E320" s="73">
        <v>6.9033953762805994E-2</v>
      </c>
    </row>
    <row r="321" spans="1:5" ht="14.5" customHeight="1">
      <c r="A321" s="39"/>
      <c r="B321" s="96" t="s">
        <v>59</v>
      </c>
      <c r="C321" s="57" t="s">
        <v>101</v>
      </c>
      <c r="D321" s="58">
        <v>2</v>
      </c>
      <c r="E321" s="59">
        <v>5.3639435713000001E-5</v>
      </c>
    </row>
    <row r="322" spans="1:5" ht="14.5" customHeight="1">
      <c r="A322" s="39"/>
      <c r="B322" s="97"/>
      <c r="C322" s="57" t="s">
        <v>102</v>
      </c>
      <c r="D322" s="58">
        <v>3</v>
      </c>
      <c r="E322" s="59">
        <v>8.0459153570000002E-5</v>
      </c>
    </row>
    <row r="323" spans="1:5" ht="14.5" customHeight="1">
      <c r="A323" s="39"/>
      <c r="B323" s="97"/>
      <c r="C323" s="57" t="s">
        <v>103</v>
      </c>
      <c r="D323" s="58">
        <v>3</v>
      </c>
      <c r="E323" s="59">
        <v>8.0459153570000002E-5</v>
      </c>
    </row>
    <row r="324" spans="1:5" ht="14.5" customHeight="1">
      <c r="A324" s="39"/>
      <c r="B324" s="97"/>
      <c r="C324" s="57" t="s">
        <v>104</v>
      </c>
      <c r="D324" s="58">
        <v>1</v>
      </c>
      <c r="E324" s="59">
        <v>2.6819717857000001E-5</v>
      </c>
    </row>
    <row r="325" spans="1:5" ht="14.5" customHeight="1">
      <c r="A325" s="39"/>
      <c r="B325" s="97"/>
      <c r="C325" s="57" t="s">
        <v>105</v>
      </c>
      <c r="D325" s="58">
        <v>14</v>
      </c>
      <c r="E325" s="59">
        <v>3.7547604999199998E-4</v>
      </c>
    </row>
    <row r="326" spans="1:5" ht="14.5" customHeight="1">
      <c r="A326" s="39"/>
      <c r="B326" s="97"/>
      <c r="C326" s="57" t="s">
        <v>106</v>
      </c>
      <c r="D326" s="58">
        <v>20</v>
      </c>
      <c r="E326" s="59">
        <v>5.3639435713100005E-4</v>
      </c>
    </row>
    <row r="327" spans="1:5" ht="14.5" customHeight="1">
      <c r="A327" s="39"/>
      <c r="B327" s="97"/>
      <c r="C327" s="57" t="s">
        <v>107</v>
      </c>
      <c r="D327" s="58">
        <v>7</v>
      </c>
      <c r="E327" s="59">
        <v>1.8773802499599999E-4</v>
      </c>
    </row>
    <row r="328" spans="1:5" ht="14.5" customHeight="1">
      <c r="A328" s="39"/>
      <c r="B328" s="97"/>
      <c r="C328" s="57" t="s">
        <v>108</v>
      </c>
      <c r="D328" s="58">
        <v>13</v>
      </c>
      <c r="E328" s="59">
        <v>3.4865633213499998E-4</v>
      </c>
    </row>
    <row r="329" spans="1:5" ht="14.5" customHeight="1">
      <c r="A329" s="39"/>
      <c r="B329" s="97"/>
      <c r="C329" s="57" t="s">
        <v>109</v>
      </c>
      <c r="D329" s="58">
        <v>13</v>
      </c>
      <c r="E329" s="59">
        <v>3.4865633213499998E-4</v>
      </c>
    </row>
    <row r="330" spans="1:5" ht="14.5" customHeight="1">
      <c r="A330" s="39"/>
      <c r="B330" s="97"/>
      <c r="C330" s="57" t="s">
        <v>110</v>
      </c>
      <c r="D330" s="58">
        <v>175</v>
      </c>
      <c r="E330" s="59">
        <v>4.6934506248989998E-3</v>
      </c>
    </row>
    <row r="331" spans="1:5" ht="14.5" customHeight="1">
      <c r="A331" s="39"/>
      <c r="B331" s="97"/>
      <c r="C331" s="57" t="s">
        <v>111</v>
      </c>
      <c r="D331" s="58">
        <v>11</v>
      </c>
      <c r="E331" s="59">
        <v>2.9501689642199999E-4</v>
      </c>
    </row>
    <row r="332" spans="1:5" ht="14.5" customHeight="1">
      <c r="A332" s="39"/>
      <c r="B332" s="97"/>
      <c r="C332" s="57" t="s">
        <v>112</v>
      </c>
      <c r="D332" s="58">
        <v>50</v>
      </c>
      <c r="E332" s="59">
        <v>1.340985892828E-3</v>
      </c>
    </row>
    <row r="333" spans="1:5" ht="14.5" customHeight="1">
      <c r="A333" s="39"/>
      <c r="B333" s="97"/>
      <c r="C333" s="57" t="s">
        <v>113</v>
      </c>
      <c r="D333" s="58">
        <v>112</v>
      </c>
      <c r="E333" s="59">
        <v>3.0038083999359999E-3</v>
      </c>
    </row>
    <row r="334" spans="1:5" ht="14.5" customHeight="1">
      <c r="A334" s="39"/>
      <c r="B334" s="97"/>
      <c r="C334" s="57" t="s">
        <v>114</v>
      </c>
      <c r="D334" s="58">
        <v>2</v>
      </c>
      <c r="E334" s="59">
        <v>5.3639435713000001E-5</v>
      </c>
    </row>
    <row r="335" spans="1:5" ht="14.5" customHeight="1">
      <c r="A335" s="39"/>
      <c r="B335" s="97"/>
      <c r="C335" s="57" t="s">
        <v>115</v>
      </c>
      <c r="D335" s="58">
        <v>1</v>
      </c>
      <c r="E335" s="59">
        <v>2.6819717857000001E-5</v>
      </c>
    </row>
    <row r="336" spans="1:5" ht="14.5" customHeight="1">
      <c r="A336" s="39"/>
      <c r="B336" s="97"/>
      <c r="C336" s="57" t="s">
        <v>116</v>
      </c>
      <c r="D336" s="58">
        <v>2</v>
      </c>
      <c r="E336" s="59">
        <v>5.3639435713000001E-5</v>
      </c>
    </row>
    <row r="337" spans="1:5" ht="14.5" customHeight="1">
      <c r="A337" s="39"/>
      <c r="B337" s="97"/>
      <c r="C337" s="57" t="s">
        <v>118</v>
      </c>
      <c r="D337" s="58">
        <v>11</v>
      </c>
      <c r="E337" s="59">
        <v>2.9501689642199999E-4</v>
      </c>
    </row>
    <row r="338" spans="1:5" ht="14.5" customHeight="1">
      <c r="A338" s="39"/>
      <c r="B338" s="97"/>
      <c r="C338" s="57" t="s">
        <v>119</v>
      </c>
      <c r="D338" s="58">
        <v>15</v>
      </c>
      <c r="E338" s="59">
        <v>4.0229576784899998E-4</v>
      </c>
    </row>
    <row r="339" spans="1:5" ht="14.5" customHeight="1">
      <c r="A339" s="39"/>
      <c r="B339" s="98"/>
      <c r="C339" s="72" t="s">
        <v>353</v>
      </c>
      <c r="D339" s="71">
        <v>455</v>
      </c>
      <c r="E339" s="73">
        <v>1.2202971624739E-2</v>
      </c>
    </row>
    <row r="340" spans="1:5" ht="14.5" customHeight="1">
      <c r="A340" s="39"/>
      <c r="B340" s="96" t="s">
        <v>61</v>
      </c>
      <c r="C340" s="57" t="s">
        <v>99</v>
      </c>
      <c r="D340" s="58">
        <v>1</v>
      </c>
      <c r="E340" s="59">
        <v>2.6819717857000001E-5</v>
      </c>
    </row>
    <row r="341" spans="1:5" ht="14.5" customHeight="1">
      <c r="A341" s="39"/>
      <c r="B341" s="97"/>
      <c r="C341" s="57" t="s">
        <v>100</v>
      </c>
      <c r="D341" s="58">
        <v>1</v>
      </c>
      <c r="E341" s="59">
        <v>2.6819717857000001E-5</v>
      </c>
    </row>
    <row r="342" spans="1:5" ht="14.5" customHeight="1">
      <c r="A342" s="39"/>
      <c r="B342" s="97"/>
      <c r="C342" s="57" t="s">
        <v>101</v>
      </c>
      <c r="D342" s="58">
        <v>1</v>
      </c>
      <c r="E342" s="59">
        <v>2.6819717857000001E-5</v>
      </c>
    </row>
    <row r="343" spans="1:5" ht="14.5" customHeight="1">
      <c r="A343" s="39"/>
      <c r="B343" s="97"/>
      <c r="C343" s="57" t="s">
        <v>102</v>
      </c>
      <c r="D343" s="58">
        <v>1</v>
      </c>
      <c r="E343" s="59">
        <v>2.6819717857000001E-5</v>
      </c>
    </row>
    <row r="344" spans="1:5" ht="14.5" customHeight="1">
      <c r="A344" s="39"/>
      <c r="B344" s="97"/>
      <c r="C344" s="57" t="s">
        <v>103</v>
      </c>
      <c r="D344" s="58">
        <v>2</v>
      </c>
      <c r="E344" s="59">
        <v>5.3639435713000001E-5</v>
      </c>
    </row>
    <row r="345" spans="1:5" ht="14.5" customHeight="1">
      <c r="A345" s="39"/>
      <c r="B345" s="97"/>
      <c r="C345" s="57" t="s">
        <v>104</v>
      </c>
      <c r="D345" s="58">
        <v>3</v>
      </c>
      <c r="E345" s="59">
        <v>8.0459153570000002E-5</v>
      </c>
    </row>
    <row r="346" spans="1:5" ht="14.5" customHeight="1">
      <c r="A346" s="39"/>
      <c r="B346" s="97"/>
      <c r="C346" s="57" t="s">
        <v>105</v>
      </c>
      <c r="D346" s="58">
        <v>14</v>
      </c>
      <c r="E346" s="59">
        <v>3.7547604999199998E-4</v>
      </c>
    </row>
    <row r="347" spans="1:5" ht="14.5" customHeight="1">
      <c r="A347" s="39"/>
      <c r="B347" s="97"/>
      <c r="C347" s="57" t="s">
        <v>106</v>
      </c>
      <c r="D347" s="58">
        <v>40</v>
      </c>
      <c r="E347" s="59">
        <v>1.072788714263E-3</v>
      </c>
    </row>
    <row r="348" spans="1:5" ht="14.5" customHeight="1">
      <c r="A348" s="39"/>
      <c r="B348" s="97"/>
      <c r="C348" s="57" t="s">
        <v>107</v>
      </c>
      <c r="D348" s="58">
        <v>8</v>
      </c>
      <c r="E348" s="59">
        <v>2.1455774285299999E-4</v>
      </c>
    </row>
    <row r="349" spans="1:5" ht="14.5" customHeight="1">
      <c r="A349" s="39"/>
      <c r="B349" s="97"/>
      <c r="C349" s="57" t="s">
        <v>108</v>
      </c>
      <c r="D349" s="58">
        <v>17</v>
      </c>
      <c r="E349" s="59">
        <v>4.5593520356200002E-4</v>
      </c>
    </row>
    <row r="350" spans="1:5" ht="14.5" customHeight="1">
      <c r="A350" s="39"/>
      <c r="B350" s="97"/>
      <c r="C350" s="57" t="s">
        <v>109</v>
      </c>
      <c r="D350" s="58">
        <v>13</v>
      </c>
      <c r="E350" s="59">
        <v>3.4865633213499998E-4</v>
      </c>
    </row>
    <row r="351" spans="1:5" ht="14.5" customHeight="1">
      <c r="A351" s="39"/>
      <c r="B351" s="97"/>
      <c r="C351" s="57" t="s">
        <v>110</v>
      </c>
      <c r="D351" s="58">
        <v>135</v>
      </c>
      <c r="E351" s="59">
        <v>3.6206619106370001E-3</v>
      </c>
    </row>
    <row r="352" spans="1:5" ht="14.5" customHeight="1">
      <c r="A352" s="39"/>
      <c r="B352" s="97"/>
      <c r="C352" s="57" t="s">
        <v>111</v>
      </c>
      <c r="D352" s="58">
        <v>21</v>
      </c>
      <c r="E352" s="59">
        <v>5.63214074988E-4</v>
      </c>
    </row>
    <row r="353" spans="1:5" ht="14.5" customHeight="1">
      <c r="A353" s="39"/>
      <c r="B353" s="97"/>
      <c r="C353" s="57" t="s">
        <v>112</v>
      </c>
      <c r="D353" s="58">
        <v>39</v>
      </c>
      <c r="E353" s="59">
        <v>1.045968996406E-3</v>
      </c>
    </row>
    <row r="354" spans="1:5" ht="14.5" customHeight="1">
      <c r="A354" s="39"/>
      <c r="B354" s="97"/>
      <c r="C354" s="57" t="s">
        <v>113</v>
      </c>
      <c r="D354" s="58">
        <v>115</v>
      </c>
      <c r="E354" s="59">
        <v>3.084267553505E-3</v>
      </c>
    </row>
    <row r="355" spans="1:5" ht="14.5" customHeight="1">
      <c r="A355" s="39"/>
      <c r="B355" s="97"/>
      <c r="C355" s="57" t="s">
        <v>114</v>
      </c>
      <c r="D355" s="58">
        <v>4</v>
      </c>
      <c r="E355" s="59">
        <v>1.07278871426E-4</v>
      </c>
    </row>
    <row r="356" spans="1:5" ht="14.5" customHeight="1">
      <c r="A356" s="39"/>
      <c r="B356" s="97"/>
      <c r="C356" s="57" t="s">
        <v>115</v>
      </c>
      <c r="D356" s="58">
        <v>4</v>
      </c>
      <c r="E356" s="59">
        <v>1.07278871426E-4</v>
      </c>
    </row>
    <row r="357" spans="1:5" ht="14.5" customHeight="1">
      <c r="A357" s="39"/>
      <c r="B357" s="97"/>
      <c r="C357" s="57" t="s">
        <v>116</v>
      </c>
      <c r="D357" s="58">
        <v>3</v>
      </c>
      <c r="E357" s="59">
        <v>8.0459153570000002E-5</v>
      </c>
    </row>
    <row r="358" spans="1:5" ht="14.5" customHeight="1">
      <c r="A358" s="39"/>
      <c r="B358" s="97"/>
      <c r="C358" s="57" t="s">
        <v>118</v>
      </c>
      <c r="D358" s="58">
        <v>11</v>
      </c>
      <c r="E358" s="59">
        <v>2.9501689642199999E-4</v>
      </c>
    </row>
    <row r="359" spans="1:5" ht="14.5" customHeight="1">
      <c r="A359" s="39"/>
      <c r="B359" s="97"/>
      <c r="C359" s="57" t="s">
        <v>119</v>
      </c>
      <c r="D359" s="58">
        <v>31</v>
      </c>
      <c r="E359" s="59">
        <v>8.3141125355399995E-4</v>
      </c>
    </row>
    <row r="360" spans="1:5" ht="14.5" customHeight="1">
      <c r="A360" s="39"/>
      <c r="B360" s="97"/>
      <c r="C360" s="57" t="s">
        <v>121</v>
      </c>
      <c r="D360" s="58">
        <v>3</v>
      </c>
      <c r="E360" s="59">
        <v>8.0459153570000002E-5</v>
      </c>
    </row>
    <row r="361" spans="1:5" ht="14.5" customHeight="1">
      <c r="A361" s="39"/>
      <c r="B361" s="98"/>
      <c r="C361" s="72" t="s">
        <v>353</v>
      </c>
      <c r="D361" s="71">
        <v>467</v>
      </c>
      <c r="E361" s="73">
        <v>1.2524808239017001E-2</v>
      </c>
    </row>
    <row r="362" spans="1:5" ht="14.5" customHeight="1">
      <c r="A362" s="39"/>
      <c r="B362" s="96" t="s">
        <v>90</v>
      </c>
      <c r="C362" s="57" t="s">
        <v>103</v>
      </c>
      <c r="D362" s="58">
        <v>1</v>
      </c>
      <c r="E362" s="59">
        <v>2.6819717857000001E-5</v>
      </c>
    </row>
    <row r="363" spans="1:5" ht="14.5" customHeight="1">
      <c r="A363" s="39"/>
      <c r="B363" s="97"/>
      <c r="C363" s="57" t="s">
        <v>105</v>
      </c>
      <c r="D363" s="58">
        <v>1</v>
      </c>
      <c r="E363" s="59">
        <v>2.6819717857000001E-5</v>
      </c>
    </row>
    <row r="364" spans="1:5" ht="14.5" customHeight="1">
      <c r="A364" s="39"/>
      <c r="B364" s="97"/>
      <c r="C364" s="57" t="s">
        <v>106</v>
      </c>
      <c r="D364" s="58">
        <v>4</v>
      </c>
      <c r="E364" s="59">
        <v>1.07278871426E-4</v>
      </c>
    </row>
    <row r="365" spans="1:5" ht="14.5" customHeight="1">
      <c r="A365" s="39"/>
      <c r="B365" s="97"/>
      <c r="C365" s="57" t="s">
        <v>108</v>
      </c>
      <c r="D365" s="58">
        <v>2</v>
      </c>
      <c r="E365" s="59">
        <v>5.3639435713000001E-5</v>
      </c>
    </row>
    <row r="366" spans="1:5" ht="14.5" customHeight="1">
      <c r="A366" s="39"/>
      <c r="B366" s="97"/>
      <c r="C366" s="57" t="s">
        <v>109</v>
      </c>
      <c r="D366" s="58">
        <v>7</v>
      </c>
      <c r="E366" s="59">
        <v>1.8773802499599999E-4</v>
      </c>
    </row>
    <row r="367" spans="1:5" ht="14.5" customHeight="1">
      <c r="A367" s="39"/>
      <c r="B367" s="97"/>
      <c r="C367" s="57" t="s">
        <v>110</v>
      </c>
      <c r="D367" s="58">
        <v>20</v>
      </c>
      <c r="E367" s="59">
        <v>5.3639435713100005E-4</v>
      </c>
    </row>
    <row r="368" spans="1:5" ht="14.5" customHeight="1">
      <c r="A368" s="39"/>
      <c r="B368" s="97"/>
      <c r="C368" s="57" t="s">
        <v>111</v>
      </c>
      <c r="D368" s="58">
        <v>1</v>
      </c>
      <c r="E368" s="59">
        <v>2.6819717857000001E-5</v>
      </c>
    </row>
    <row r="369" spans="1:5" ht="14.5" customHeight="1">
      <c r="A369" s="39"/>
      <c r="B369" s="97"/>
      <c r="C369" s="57" t="s">
        <v>112</v>
      </c>
      <c r="D369" s="58">
        <v>5</v>
      </c>
      <c r="E369" s="59">
        <v>1.34098589283E-4</v>
      </c>
    </row>
    <row r="370" spans="1:5" ht="14.5" customHeight="1">
      <c r="A370" s="39"/>
      <c r="B370" s="97"/>
      <c r="C370" s="57" t="s">
        <v>113</v>
      </c>
      <c r="D370" s="58">
        <v>24</v>
      </c>
      <c r="E370" s="59">
        <v>6.4367322855799999E-4</v>
      </c>
    </row>
    <row r="371" spans="1:5" ht="14.5" customHeight="1">
      <c r="A371" s="39"/>
      <c r="B371" s="97"/>
      <c r="C371" s="57" t="s">
        <v>116</v>
      </c>
      <c r="D371" s="58">
        <v>1</v>
      </c>
      <c r="E371" s="59">
        <v>2.6819717857000001E-5</v>
      </c>
    </row>
    <row r="372" spans="1:5" ht="14.5" customHeight="1">
      <c r="A372" s="39"/>
      <c r="B372" s="97"/>
      <c r="C372" s="57" t="s">
        <v>118</v>
      </c>
      <c r="D372" s="58">
        <v>2</v>
      </c>
      <c r="E372" s="59">
        <v>5.3639435713000001E-5</v>
      </c>
    </row>
    <row r="373" spans="1:5" ht="14.5" customHeight="1">
      <c r="A373" s="39"/>
      <c r="B373" s="97"/>
      <c r="C373" s="57" t="s">
        <v>119</v>
      </c>
      <c r="D373" s="58">
        <v>19</v>
      </c>
      <c r="E373" s="59">
        <v>5.0957463927499996E-4</v>
      </c>
    </row>
    <row r="374" spans="1:5" ht="14.5" customHeight="1">
      <c r="A374" s="39"/>
      <c r="B374" s="98"/>
      <c r="C374" s="72" t="s">
        <v>353</v>
      </c>
      <c r="D374" s="71">
        <v>87</v>
      </c>
      <c r="E374" s="73">
        <v>2.3333154535210001E-3</v>
      </c>
    </row>
    <row r="375" spans="1:5" ht="14.5" customHeight="1">
      <c r="A375" s="39"/>
      <c r="B375" s="96" t="s">
        <v>55</v>
      </c>
      <c r="C375" s="57" t="s">
        <v>99</v>
      </c>
      <c r="D375" s="58">
        <v>3</v>
      </c>
      <c r="E375" s="59">
        <v>8.0459153570000002E-5</v>
      </c>
    </row>
    <row r="376" spans="1:5" ht="14.5" customHeight="1">
      <c r="A376" s="39"/>
      <c r="B376" s="97"/>
      <c r="C376" s="57" t="s">
        <v>101</v>
      </c>
      <c r="D376" s="58">
        <v>4</v>
      </c>
      <c r="E376" s="59">
        <v>1.07278871426E-4</v>
      </c>
    </row>
    <row r="377" spans="1:5" ht="14.5" customHeight="1">
      <c r="A377" s="39"/>
      <c r="B377" s="97"/>
      <c r="C377" s="57" t="s">
        <v>102</v>
      </c>
      <c r="D377" s="58">
        <v>6</v>
      </c>
      <c r="E377" s="59">
        <v>1.6091830713899999E-4</v>
      </c>
    </row>
    <row r="378" spans="1:5" ht="14.5" customHeight="1">
      <c r="A378" s="39"/>
      <c r="B378" s="97"/>
      <c r="C378" s="57" t="s">
        <v>103</v>
      </c>
      <c r="D378" s="58">
        <v>3</v>
      </c>
      <c r="E378" s="59">
        <v>8.0459153570000002E-5</v>
      </c>
    </row>
    <row r="379" spans="1:5" ht="14.5" customHeight="1">
      <c r="A379" s="39"/>
      <c r="B379" s="97"/>
      <c r="C379" s="57" t="s">
        <v>104</v>
      </c>
      <c r="D379" s="58">
        <v>6</v>
      </c>
      <c r="E379" s="59">
        <v>1.6091830713899999E-4</v>
      </c>
    </row>
    <row r="380" spans="1:5" ht="14.5" customHeight="1">
      <c r="A380" s="39"/>
      <c r="B380" s="97"/>
      <c r="C380" s="57" t="s">
        <v>105</v>
      </c>
      <c r="D380" s="58">
        <v>58</v>
      </c>
      <c r="E380" s="59">
        <v>1.555543635681E-3</v>
      </c>
    </row>
    <row r="381" spans="1:5" ht="14.5" customHeight="1">
      <c r="A381" s="39"/>
      <c r="B381" s="97"/>
      <c r="C381" s="57" t="s">
        <v>106</v>
      </c>
      <c r="D381" s="58">
        <v>49</v>
      </c>
      <c r="E381" s="59">
        <v>1.3141661749720001E-3</v>
      </c>
    </row>
    <row r="382" spans="1:5" ht="14.5" customHeight="1">
      <c r="A382" s="39"/>
      <c r="B382" s="97"/>
      <c r="C382" s="57" t="s">
        <v>107</v>
      </c>
      <c r="D382" s="58">
        <v>15</v>
      </c>
      <c r="E382" s="59">
        <v>4.0229576784899998E-4</v>
      </c>
    </row>
    <row r="383" spans="1:5" ht="14.5" customHeight="1">
      <c r="A383" s="39"/>
      <c r="B383" s="97"/>
      <c r="C383" s="57" t="s">
        <v>108</v>
      </c>
      <c r="D383" s="58">
        <v>28</v>
      </c>
      <c r="E383" s="59">
        <v>7.5095209998399996E-4</v>
      </c>
    </row>
    <row r="384" spans="1:5" ht="14.5" customHeight="1">
      <c r="A384" s="39"/>
      <c r="B384" s="97"/>
      <c r="C384" s="57" t="s">
        <v>109</v>
      </c>
      <c r="D384" s="58">
        <v>42</v>
      </c>
      <c r="E384" s="59">
        <v>1.126428149976E-3</v>
      </c>
    </row>
    <row r="385" spans="1:5" ht="14.5" customHeight="1">
      <c r="A385" s="39"/>
      <c r="B385" s="97"/>
      <c r="C385" s="57" t="s">
        <v>110</v>
      </c>
      <c r="D385" s="58">
        <v>239</v>
      </c>
      <c r="E385" s="59">
        <v>6.4099125677199997E-3</v>
      </c>
    </row>
    <row r="386" spans="1:5" ht="14.5" customHeight="1">
      <c r="A386" s="39"/>
      <c r="B386" s="97"/>
      <c r="C386" s="57" t="s">
        <v>111</v>
      </c>
      <c r="D386" s="58">
        <v>27</v>
      </c>
      <c r="E386" s="59">
        <v>7.2413238212700002E-4</v>
      </c>
    </row>
    <row r="387" spans="1:5" ht="14.5" customHeight="1">
      <c r="A387" s="39"/>
      <c r="B387" s="97"/>
      <c r="C387" s="57" t="s">
        <v>112</v>
      </c>
      <c r="D387" s="58">
        <v>54</v>
      </c>
      <c r="E387" s="59">
        <v>1.4482647642550001E-3</v>
      </c>
    </row>
    <row r="388" spans="1:5" ht="14.5" customHeight="1">
      <c r="A388" s="39"/>
      <c r="B388" s="97"/>
      <c r="C388" s="57" t="s">
        <v>113</v>
      </c>
      <c r="D388" s="58">
        <v>282</v>
      </c>
      <c r="E388" s="59">
        <v>7.563160435552E-3</v>
      </c>
    </row>
    <row r="389" spans="1:5" ht="14.5" customHeight="1">
      <c r="A389" s="39"/>
      <c r="B389" s="97"/>
      <c r="C389" s="57" t="s">
        <v>114</v>
      </c>
      <c r="D389" s="58">
        <v>1</v>
      </c>
      <c r="E389" s="59">
        <v>2.6819717857000001E-5</v>
      </c>
    </row>
    <row r="390" spans="1:5" ht="14.5" customHeight="1">
      <c r="A390" s="39"/>
      <c r="B390" s="97"/>
      <c r="C390" s="57" t="s">
        <v>115</v>
      </c>
      <c r="D390" s="58">
        <v>6</v>
      </c>
      <c r="E390" s="59">
        <v>1.6091830713899999E-4</v>
      </c>
    </row>
    <row r="391" spans="1:5" ht="14.5" customHeight="1">
      <c r="A391" s="39"/>
      <c r="B391" s="97"/>
      <c r="C391" s="57" t="s">
        <v>116</v>
      </c>
      <c r="D391" s="58">
        <v>1</v>
      </c>
      <c r="E391" s="59">
        <v>2.6819717857000001E-5</v>
      </c>
    </row>
    <row r="392" spans="1:5" ht="14.5" customHeight="1">
      <c r="A392" s="39"/>
      <c r="B392" s="97"/>
      <c r="C392" s="57" t="s">
        <v>117</v>
      </c>
      <c r="D392" s="58">
        <v>1</v>
      </c>
      <c r="E392" s="59">
        <v>2.6819717857000001E-5</v>
      </c>
    </row>
    <row r="393" spans="1:5" ht="14.5" customHeight="1">
      <c r="A393" s="39"/>
      <c r="B393" s="97"/>
      <c r="C393" s="57" t="s">
        <v>118</v>
      </c>
      <c r="D393" s="58">
        <v>18</v>
      </c>
      <c r="E393" s="59">
        <v>4.8275492141800001E-4</v>
      </c>
    </row>
    <row r="394" spans="1:5" ht="14.5" customHeight="1">
      <c r="A394" s="39"/>
      <c r="B394" s="97"/>
      <c r="C394" s="57" t="s">
        <v>119</v>
      </c>
      <c r="D394" s="58">
        <v>60</v>
      </c>
      <c r="E394" s="59">
        <v>1.609183071394E-3</v>
      </c>
    </row>
    <row r="395" spans="1:5" ht="14.5" customHeight="1">
      <c r="A395" s="39"/>
      <c r="B395" s="97"/>
      <c r="C395" s="57" t="s">
        <v>121</v>
      </c>
      <c r="D395" s="58">
        <v>4</v>
      </c>
      <c r="E395" s="59">
        <v>1.07278871426E-4</v>
      </c>
    </row>
    <row r="396" spans="1:5" ht="14.5" customHeight="1">
      <c r="A396" s="39"/>
      <c r="B396" s="97"/>
      <c r="C396" s="57" t="s">
        <v>122</v>
      </c>
      <c r="D396" s="58">
        <v>1</v>
      </c>
      <c r="E396" s="59">
        <v>2.6819717857000001E-5</v>
      </c>
    </row>
    <row r="397" spans="1:5" ht="14.5" customHeight="1">
      <c r="A397" s="39"/>
      <c r="B397" s="98"/>
      <c r="C397" s="72" t="s">
        <v>353</v>
      </c>
      <c r="D397" s="71">
        <v>908</v>
      </c>
      <c r="E397" s="73">
        <v>2.4352303813763999E-2</v>
      </c>
    </row>
    <row r="398" spans="1:5" ht="14.5" customHeight="1">
      <c r="A398" s="39"/>
      <c r="B398" s="96" t="s">
        <v>57</v>
      </c>
      <c r="C398" s="57" t="s">
        <v>99</v>
      </c>
      <c r="D398" s="58">
        <v>4</v>
      </c>
      <c r="E398" s="59">
        <v>1.07278871426E-4</v>
      </c>
    </row>
    <row r="399" spans="1:5" ht="14.5" customHeight="1">
      <c r="A399" s="39"/>
      <c r="B399" s="97"/>
      <c r="C399" s="57" t="s">
        <v>100</v>
      </c>
      <c r="D399" s="58">
        <v>3</v>
      </c>
      <c r="E399" s="59">
        <v>8.0459153570000002E-5</v>
      </c>
    </row>
    <row r="400" spans="1:5" ht="14.5" customHeight="1">
      <c r="A400" s="39"/>
      <c r="B400" s="97"/>
      <c r="C400" s="57" t="s">
        <v>101</v>
      </c>
      <c r="D400" s="58">
        <v>1</v>
      </c>
      <c r="E400" s="59">
        <v>2.6819717857000001E-5</v>
      </c>
    </row>
    <row r="401" spans="1:5" ht="14.5" customHeight="1">
      <c r="A401" s="39"/>
      <c r="B401" s="97"/>
      <c r="C401" s="57" t="s">
        <v>102</v>
      </c>
      <c r="D401" s="58">
        <v>2</v>
      </c>
      <c r="E401" s="59">
        <v>5.3639435713000001E-5</v>
      </c>
    </row>
    <row r="402" spans="1:5" ht="14.5" customHeight="1">
      <c r="A402" s="39"/>
      <c r="B402" s="97"/>
      <c r="C402" s="57" t="s">
        <v>103</v>
      </c>
      <c r="D402" s="58">
        <v>1</v>
      </c>
      <c r="E402" s="59">
        <v>2.6819717857000001E-5</v>
      </c>
    </row>
    <row r="403" spans="1:5" ht="14.5" customHeight="1">
      <c r="A403" s="39"/>
      <c r="B403" s="97"/>
      <c r="C403" s="57" t="s">
        <v>104</v>
      </c>
      <c r="D403" s="58">
        <v>2</v>
      </c>
      <c r="E403" s="59">
        <v>5.3639435713000001E-5</v>
      </c>
    </row>
    <row r="404" spans="1:5" ht="14.5" customHeight="1">
      <c r="A404" s="39"/>
      <c r="B404" s="97"/>
      <c r="C404" s="57" t="s">
        <v>105</v>
      </c>
      <c r="D404" s="58">
        <v>16</v>
      </c>
      <c r="E404" s="59">
        <v>4.2911548570500002E-4</v>
      </c>
    </row>
    <row r="405" spans="1:5" ht="14.5" customHeight="1">
      <c r="A405" s="39"/>
      <c r="B405" s="97"/>
      <c r="C405" s="57" t="s">
        <v>106</v>
      </c>
      <c r="D405" s="58">
        <v>57</v>
      </c>
      <c r="E405" s="59">
        <v>1.528723917824E-3</v>
      </c>
    </row>
    <row r="406" spans="1:5" ht="14.5" customHeight="1">
      <c r="A406" s="39"/>
      <c r="B406" s="97"/>
      <c r="C406" s="57" t="s">
        <v>107</v>
      </c>
      <c r="D406" s="58">
        <v>7</v>
      </c>
      <c r="E406" s="59">
        <v>1.8773802499599999E-4</v>
      </c>
    </row>
    <row r="407" spans="1:5" ht="14.5" customHeight="1">
      <c r="A407" s="39"/>
      <c r="B407" s="97"/>
      <c r="C407" s="57" t="s">
        <v>108</v>
      </c>
      <c r="D407" s="58">
        <v>17</v>
      </c>
      <c r="E407" s="59">
        <v>4.5593520356200002E-4</v>
      </c>
    </row>
    <row r="408" spans="1:5" ht="14.5" customHeight="1">
      <c r="A408" s="39"/>
      <c r="B408" s="97"/>
      <c r="C408" s="57" t="s">
        <v>109</v>
      </c>
      <c r="D408" s="58">
        <v>19</v>
      </c>
      <c r="E408" s="59">
        <v>5.0957463927499996E-4</v>
      </c>
    </row>
    <row r="409" spans="1:5" ht="14.5" customHeight="1">
      <c r="A409" s="39"/>
      <c r="B409" s="97"/>
      <c r="C409" s="57" t="s">
        <v>110</v>
      </c>
      <c r="D409" s="58">
        <v>226</v>
      </c>
      <c r="E409" s="59">
        <v>6.0612562355840003E-3</v>
      </c>
    </row>
    <row r="410" spans="1:5" ht="14.5" customHeight="1">
      <c r="A410" s="39"/>
      <c r="B410" s="97"/>
      <c r="C410" s="57" t="s">
        <v>111</v>
      </c>
      <c r="D410" s="58">
        <v>14</v>
      </c>
      <c r="E410" s="59">
        <v>3.7547604999199998E-4</v>
      </c>
    </row>
    <row r="411" spans="1:5" ht="14.5" customHeight="1">
      <c r="A411" s="39"/>
      <c r="B411" s="97"/>
      <c r="C411" s="57" t="s">
        <v>112</v>
      </c>
      <c r="D411" s="58">
        <v>46</v>
      </c>
      <c r="E411" s="59">
        <v>1.2337070214020001E-3</v>
      </c>
    </row>
    <row r="412" spans="1:5" ht="14.5" customHeight="1">
      <c r="A412" s="39"/>
      <c r="B412" s="97"/>
      <c r="C412" s="57" t="s">
        <v>113</v>
      </c>
      <c r="D412" s="58">
        <v>198</v>
      </c>
      <c r="E412" s="59">
        <v>5.3103041356E-3</v>
      </c>
    </row>
    <row r="413" spans="1:5" ht="14.5" customHeight="1">
      <c r="A413" s="39"/>
      <c r="B413" s="97"/>
      <c r="C413" s="57" t="s">
        <v>114</v>
      </c>
      <c r="D413" s="58">
        <v>4</v>
      </c>
      <c r="E413" s="59">
        <v>1.07278871426E-4</v>
      </c>
    </row>
    <row r="414" spans="1:5" ht="14.5" customHeight="1">
      <c r="A414" s="39"/>
      <c r="B414" s="97"/>
      <c r="C414" s="57" t="s">
        <v>115</v>
      </c>
      <c r="D414" s="58">
        <v>2</v>
      </c>
      <c r="E414" s="59">
        <v>5.3639435713000001E-5</v>
      </c>
    </row>
    <row r="415" spans="1:5" ht="14.5" customHeight="1">
      <c r="A415" s="39"/>
      <c r="B415" s="97"/>
      <c r="C415" s="57" t="s">
        <v>116</v>
      </c>
      <c r="D415" s="58">
        <v>1</v>
      </c>
      <c r="E415" s="59">
        <v>2.6819717857000001E-5</v>
      </c>
    </row>
    <row r="416" spans="1:5" ht="14.5" customHeight="1">
      <c r="A416" s="39"/>
      <c r="B416" s="97"/>
      <c r="C416" s="57" t="s">
        <v>118</v>
      </c>
      <c r="D416" s="58">
        <v>13</v>
      </c>
      <c r="E416" s="59">
        <v>3.4865633213499998E-4</v>
      </c>
    </row>
    <row r="417" spans="1:5" ht="14.5" customHeight="1">
      <c r="A417" s="39"/>
      <c r="B417" s="97"/>
      <c r="C417" s="57" t="s">
        <v>119</v>
      </c>
      <c r="D417" s="58">
        <v>29</v>
      </c>
      <c r="E417" s="59">
        <v>7.7777181783999995E-4</v>
      </c>
    </row>
    <row r="418" spans="1:5" ht="14.5" customHeight="1">
      <c r="A418" s="39"/>
      <c r="B418" s="97"/>
      <c r="C418" s="57" t="s">
        <v>120</v>
      </c>
      <c r="D418" s="58">
        <v>3</v>
      </c>
      <c r="E418" s="59">
        <v>8.0459153570000002E-5</v>
      </c>
    </row>
    <row r="419" spans="1:5" ht="14.5" customHeight="1">
      <c r="A419" s="39"/>
      <c r="B419" s="97"/>
      <c r="C419" s="57" t="s">
        <v>121</v>
      </c>
      <c r="D419" s="58">
        <v>3</v>
      </c>
      <c r="E419" s="59">
        <v>8.0459153570000002E-5</v>
      </c>
    </row>
    <row r="420" spans="1:5" ht="14.5" customHeight="1">
      <c r="A420" s="39"/>
      <c r="B420" s="98"/>
      <c r="C420" s="72" t="s">
        <v>353</v>
      </c>
      <c r="D420" s="71">
        <v>668</v>
      </c>
      <c r="E420" s="73">
        <v>1.7915571528187998E-2</v>
      </c>
    </row>
    <row r="421" spans="1:5" ht="14.5" customHeight="1">
      <c r="A421" s="39"/>
      <c r="B421" s="96" t="s">
        <v>48</v>
      </c>
      <c r="C421" s="57" t="s">
        <v>99</v>
      </c>
      <c r="D421" s="58">
        <v>33</v>
      </c>
      <c r="E421" s="59">
        <v>8.8505068926699999E-4</v>
      </c>
    </row>
    <row r="422" spans="1:5" ht="14.5" customHeight="1">
      <c r="A422" s="39"/>
      <c r="B422" s="97"/>
      <c r="C422" s="57" t="s">
        <v>100</v>
      </c>
      <c r="D422" s="58">
        <v>12</v>
      </c>
      <c r="E422" s="59">
        <v>3.2183661427899999E-4</v>
      </c>
    </row>
    <row r="423" spans="1:5" ht="14.5" customHeight="1">
      <c r="A423" s="39"/>
      <c r="B423" s="97"/>
      <c r="C423" s="57" t="s">
        <v>101</v>
      </c>
      <c r="D423" s="58">
        <v>12</v>
      </c>
      <c r="E423" s="59">
        <v>3.2183661427899999E-4</v>
      </c>
    </row>
    <row r="424" spans="1:5" ht="14.5" customHeight="1">
      <c r="A424" s="39"/>
      <c r="B424" s="97"/>
      <c r="C424" s="57" t="s">
        <v>102</v>
      </c>
      <c r="D424" s="58">
        <v>26</v>
      </c>
      <c r="E424" s="59">
        <v>6.9731266427100003E-4</v>
      </c>
    </row>
    <row r="425" spans="1:5" ht="14.5" customHeight="1">
      <c r="A425" s="39"/>
      <c r="B425" s="97"/>
      <c r="C425" s="57" t="s">
        <v>103</v>
      </c>
      <c r="D425" s="58">
        <v>16</v>
      </c>
      <c r="E425" s="59">
        <v>4.2911548570500002E-4</v>
      </c>
    </row>
    <row r="426" spans="1:5" ht="14.5" customHeight="1">
      <c r="A426" s="39"/>
      <c r="B426" s="97"/>
      <c r="C426" s="57" t="s">
        <v>104</v>
      </c>
      <c r="D426" s="58">
        <v>24</v>
      </c>
      <c r="E426" s="59">
        <v>6.4367322855799999E-4</v>
      </c>
    </row>
    <row r="427" spans="1:5" ht="14.5" customHeight="1">
      <c r="A427" s="39"/>
      <c r="B427" s="97"/>
      <c r="C427" s="57" t="s">
        <v>105</v>
      </c>
      <c r="D427" s="58">
        <v>247</v>
      </c>
      <c r="E427" s="59">
        <v>6.6244703105719999E-3</v>
      </c>
    </row>
    <row r="428" spans="1:5" ht="14.5" customHeight="1">
      <c r="A428" s="39"/>
      <c r="B428" s="97"/>
      <c r="C428" s="57" t="s">
        <v>106</v>
      </c>
      <c r="D428" s="58">
        <v>455</v>
      </c>
      <c r="E428" s="59">
        <v>1.2202971624739E-2</v>
      </c>
    </row>
    <row r="429" spans="1:5" ht="14.5" customHeight="1">
      <c r="A429" s="39"/>
      <c r="B429" s="97"/>
      <c r="C429" s="57" t="s">
        <v>107</v>
      </c>
      <c r="D429" s="58">
        <v>50</v>
      </c>
      <c r="E429" s="59">
        <v>1.340985892828E-3</v>
      </c>
    </row>
    <row r="430" spans="1:5" ht="14.5" customHeight="1">
      <c r="A430" s="39"/>
      <c r="B430" s="97"/>
      <c r="C430" s="57" t="s">
        <v>108</v>
      </c>
      <c r="D430" s="58">
        <v>101</v>
      </c>
      <c r="E430" s="59">
        <v>2.7087915035129998E-3</v>
      </c>
    </row>
    <row r="431" spans="1:5" ht="14.5" customHeight="1">
      <c r="A431" s="39"/>
      <c r="B431" s="97"/>
      <c r="C431" s="57" t="s">
        <v>109</v>
      </c>
      <c r="D431" s="58">
        <v>191</v>
      </c>
      <c r="E431" s="59">
        <v>5.1225661106050003E-3</v>
      </c>
    </row>
    <row r="432" spans="1:5" ht="14.5" customHeight="1">
      <c r="A432" s="39"/>
      <c r="B432" s="97"/>
      <c r="C432" s="57" t="s">
        <v>110</v>
      </c>
      <c r="D432" s="58">
        <v>1509</v>
      </c>
      <c r="E432" s="59">
        <v>4.0470954245560999E-2</v>
      </c>
    </row>
    <row r="433" spans="1:5" ht="14.5" customHeight="1">
      <c r="A433" s="39"/>
      <c r="B433" s="97"/>
      <c r="C433" s="57" t="s">
        <v>111</v>
      </c>
      <c r="D433" s="58">
        <v>100</v>
      </c>
      <c r="E433" s="59">
        <v>2.681971785657E-3</v>
      </c>
    </row>
    <row r="434" spans="1:5" ht="14.5" customHeight="1">
      <c r="A434" s="39"/>
      <c r="B434" s="97"/>
      <c r="C434" s="57" t="s">
        <v>112</v>
      </c>
      <c r="D434" s="58">
        <v>278</v>
      </c>
      <c r="E434" s="59">
        <v>7.4558815641260004E-3</v>
      </c>
    </row>
    <row r="435" spans="1:5" ht="14.5" customHeight="1">
      <c r="A435" s="39"/>
      <c r="B435" s="97"/>
      <c r="C435" s="57" t="s">
        <v>113</v>
      </c>
      <c r="D435" s="58">
        <v>1309</v>
      </c>
      <c r="E435" s="59">
        <v>3.5107010674247999E-2</v>
      </c>
    </row>
    <row r="436" spans="1:5" ht="14.5" customHeight="1">
      <c r="A436" s="39"/>
      <c r="B436" s="97"/>
      <c r="C436" s="57" t="s">
        <v>114</v>
      </c>
      <c r="D436" s="58">
        <v>28</v>
      </c>
      <c r="E436" s="59">
        <v>7.5095209998399996E-4</v>
      </c>
    </row>
    <row r="437" spans="1:5" ht="14.5" customHeight="1">
      <c r="A437" s="39"/>
      <c r="B437" s="97"/>
      <c r="C437" s="57" t="s">
        <v>115</v>
      </c>
      <c r="D437" s="58">
        <v>27</v>
      </c>
      <c r="E437" s="59">
        <v>7.2413238212700002E-4</v>
      </c>
    </row>
    <row r="438" spans="1:5" ht="14.5" customHeight="1">
      <c r="A438" s="39"/>
      <c r="B438" s="97"/>
      <c r="C438" s="57" t="s">
        <v>116</v>
      </c>
      <c r="D438" s="58">
        <v>14</v>
      </c>
      <c r="E438" s="59">
        <v>3.7547604999199998E-4</v>
      </c>
    </row>
    <row r="439" spans="1:5" ht="14.5" customHeight="1">
      <c r="A439" s="39"/>
      <c r="B439" s="97"/>
      <c r="C439" s="57" t="s">
        <v>117</v>
      </c>
      <c r="D439" s="58">
        <v>9</v>
      </c>
      <c r="E439" s="59">
        <v>2.4137746070900001E-4</v>
      </c>
    </row>
    <row r="440" spans="1:5" ht="14.5" customHeight="1">
      <c r="A440" s="39"/>
      <c r="B440" s="97"/>
      <c r="C440" s="57" t="s">
        <v>118</v>
      </c>
      <c r="D440" s="58">
        <v>96</v>
      </c>
      <c r="E440" s="59">
        <v>2.5746929142309999E-3</v>
      </c>
    </row>
    <row r="441" spans="1:5" ht="14.5" customHeight="1">
      <c r="A441" s="39"/>
      <c r="B441" s="97"/>
      <c r="C441" s="57" t="s">
        <v>119</v>
      </c>
      <c r="D441" s="58">
        <v>262</v>
      </c>
      <c r="E441" s="59">
        <v>7.026766078421E-3</v>
      </c>
    </row>
    <row r="442" spans="1:5" ht="14.5" customHeight="1">
      <c r="A442" s="39"/>
      <c r="B442" s="97"/>
      <c r="C442" s="57" t="s">
        <v>120</v>
      </c>
      <c r="D442" s="58">
        <v>3</v>
      </c>
      <c r="E442" s="59">
        <v>8.0459153570000002E-5</v>
      </c>
    </row>
    <row r="443" spans="1:5" ht="14.5" customHeight="1">
      <c r="A443" s="39"/>
      <c r="B443" s="97"/>
      <c r="C443" s="57" t="s">
        <v>121</v>
      </c>
      <c r="D443" s="58">
        <v>11</v>
      </c>
      <c r="E443" s="59">
        <v>2.9501689642199999E-4</v>
      </c>
    </row>
    <row r="444" spans="1:5" ht="14.5" customHeight="1">
      <c r="A444" s="39"/>
      <c r="B444" s="97"/>
      <c r="C444" s="57" t="s">
        <v>122</v>
      </c>
      <c r="D444" s="58">
        <v>4</v>
      </c>
      <c r="E444" s="59">
        <v>1.07278871426E-4</v>
      </c>
    </row>
    <row r="445" spans="1:5" ht="14.5" customHeight="1">
      <c r="A445" s="39"/>
      <c r="B445" s="98"/>
      <c r="C445" s="72" t="s">
        <v>353</v>
      </c>
      <c r="D445" s="71">
        <v>4817</v>
      </c>
      <c r="E445" s="73">
        <v>0.129190580915089</v>
      </c>
    </row>
    <row r="446" spans="1:5" ht="14.5" customHeight="1">
      <c r="A446" s="39"/>
      <c r="B446" s="96" t="s">
        <v>78</v>
      </c>
      <c r="C446" s="57" t="s">
        <v>99</v>
      </c>
      <c r="D446" s="58">
        <v>2</v>
      </c>
      <c r="E446" s="59">
        <v>5.3639435713000001E-5</v>
      </c>
    </row>
    <row r="447" spans="1:5" ht="14.5" customHeight="1">
      <c r="A447" s="39"/>
      <c r="B447" s="97"/>
      <c r="C447" s="57" t="s">
        <v>100</v>
      </c>
      <c r="D447" s="58">
        <v>1</v>
      </c>
      <c r="E447" s="59">
        <v>2.6819717857000001E-5</v>
      </c>
    </row>
    <row r="448" spans="1:5" ht="14.5" customHeight="1">
      <c r="A448" s="39"/>
      <c r="B448" s="97"/>
      <c r="C448" s="57" t="s">
        <v>101</v>
      </c>
      <c r="D448" s="58">
        <v>2</v>
      </c>
      <c r="E448" s="59">
        <v>5.3639435713000001E-5</v>
      </c>
    </row>
    <row r="449" spans="1:5" ht="14.5" customHeight="1">
      <c r="A449" s="39"/>
      <c r="B449" s="97"/>
      <c r="C449" s="57" t="s">
        <v>102</v>
      </c>
      <c r="D449" s="58">
        <v>1</v>
      </c>
      <c r="E449" s="59">
        <v>2.6819717857000001E-5</v>
      </c>
    </row>
    <row r="450" spans="1:5" ht="14.5" customHeight="1">
      <c r="A450" s="39"/>
      <c r="B450" s="97"/>
      <c r="C450" s="57" t="s">
        <v>104</v>
      </c>
      <c r="D450" s="58">
        <v>1</v>
      </c>
      <c r="E450" s="59">
        <v>2.6819717857000001E-5</v>
      </c>
    </row>
    <row r="451" spans="1:5" ht="14.5" customHeight="1">
      <c r="A451" s="39"/>
      <c r="B451" s="97"/>
      <c r="C451" s="57" t="s">
        <v>105</v>
      </c>
      <c r="D451" s="58">
        <v>18</v>
      </c>
      <c r="E451" s="59">
        <v>4.8275492141800001E-4</v>
      </c>
    </row>
    <row r="452" spans="1:5" ht="14.5" customHeight="1">
      <c r="A452" s="39"/>
      <c r="B452" s="97"/>
      <c r="C452" s="57" t="s">
        <v>106</v>
      </c>
      <c r="D452" s="58">
        <v>16</v>
      </c>
      <c r="E452" s="59">
        <v>4.2911548570500002E-4</v>
      </c>
    </row>
    <row r="453" spans="1:5" ht="14.5" customHeight="1">
      <c r="A453" s="39"/>
      <c r="B453" s="97"/>
      <c r="C453" s="57" t="s">
        <v>107</v>
      </c>
      <c r="D453" s="58">
        <v>4</v>
      </c>
      <c r="E453" s="59">
        <v>1.07278871426E-4</v>
      </c>
    </row>
    <row r="454" spans="1:5" ht="14.5" customHeight="1">
      <c r="A454" s="39"/>
      <c r="B454" s="97"/>
      <c r="C454" s="57" t="s">
        <v>108</v>
      </c>
      <c r="D454" s="58">
        <v>5</v>
      </c>
      <c r="E454" s="59">
        <v>1.34098589283E-4</v>
      </c>
    </row>
    <row r="455" spans="1:5" ht="14.5" customHeight="1">
      <c r="A455" s="39"/>
      <c r="B455" s="97"/>
      <c r="C455" s="57" t="s">
        <v>109</v>
      </c>
      <c r="D455" s="58">
        <v>15</v>
      </c>
      <c r="E455" s="59">
        <v>4.0229576784899998E-4</v>
      </c>
    </row>
    <row r="456" spans="1:5" ht="14.5" customHeight="1">
      <c r="A456" s="39"/>
      <c r="B456" s="97"/>
      <c r="C456" s="57" t="s">
        <v>110</v>
      </c>
      <c r="D456" s="58">
        <v>49</v>
      </c>
      <c r="E456" s="59">
        <v>1.3141661749720001E-3</v>
      </c>
    </row>
    <row r="457" spans="1:5" ht="14.5" customHeight="1">
      <c r="A457" s="39"/>
      <c r="B457" s="97"/>
      <c r="C457" s="57" t="s">
        <v>111</v>
      </c>
      <c r="D457" s="58">
        <v>12</v>
      </c>
      <c r="E457" s="59">
        <v>3.2183661427899999E-4</v>
      </c>
    </row>
    <row r="458" spans="1:5" ht="14.5" customHeight="1">
      <c r="A458" s="39"/>
      <c r="B458" s="97"/>
      <c r="C458" s="57" t="s">
        <v>112</v>
      </c>
      <c r="D458" s="58">
        <v>18</v>
      </c>
      <c r="E458" s="59">
        <v>4.8275492141800001E-4</v>
      </c>
    </row>
    <row r="459" spans="1:5" ht="14.5" customHeight="1">
      <c r="A459" s="39"/>
      <c r="B459" s="97"/>
      <c r="C459" s="57" t="s">
        <v>113</v>
      </c>
      <c r="D459" s="58">
        <v>77</v>
      </c>
      <c r="E459" s="59">
        <v>2.0651182749560001E-3</v>
      </c>
    </row>
    <row r="460" spans="1:5" ht="14.5" customHeight="1">
      <c r="A460" s="39"/>
      <c r="B460" s="97"/>
      <c r="C460" s="57" t="s">
        <v>114</v>
      </c>
      <c r="D460" s="58">
        <v>1</v>
      </c>
      <c r="E460" s="59">
        <v>2.6819717857000001E-5</v>
      </c>
    </row>
    <row r="461" spans="1:5" ht="14.5" customHeight="1">
      <c r="A461" s="39"/>
      <c r="B461" s="97"/>
      <c r="C461" s="57" t="s">
        <v>115</v>
      </c>
      <c r="D461" s="58">
        <v>3</v>
      </c>
      <c r="E461" s="59">
        <v>8.0459153570000002E-5</v>
      </c>
    </row>
    <row r="462" spans="1:5" ht="14.5" customHeight="1">
      <c r="A462" s="39"/>
      <c r="B462" s="97"/>
      <c r="C462" s="57" t="s">
        <v>117</v>
      </c>
      <c r="D462" s="58">
        <v>2</v>
      </c>
      <c r="E462" s="59">
        <v>5.3639435713000001E-5</v>
      </c>
    </row>
    <row r="463" spans="1:5" ht="14.5" customHeight="1">
      <c r="A463" s="39"/>
      <c r="B463" s="97"/>
      <c r="C463" s="57" t="s">
        <v>118</v>
      </c>
      <c r="D463" s="58">
        <v>5</v>
      </c>
      <c r="E463" s="59">
        <v>1.34098589283E-4</v>
      </c>
    </row>
    <row r="464" spans="1:5" ht="14.5" customHeight="1">
      <c r="A464" s="39"/>
      <c r="B464" s="97"/>
      <c r="C464" s="57" t="s">
        <v>119</v>
      </c>
      <c r="D464" s="58">
        <v>37</v>
      </c>
      <c r="E464" s="59">
        <v>9.9232956069299997E-4</v>
      </c>
    </row>
    <row r="465" spans="1:5" ht="14.5" customHeight="1">
      <c r="A465" s="39"/>
      <c r="B465" s="97"/>
      <c r="C465" s="57" t="s">
        <v>121</v>
      </c>
      <c r="D465" s="58">
        <v>9</v>
      </c>
      <c r="E465" s="59">
        <v>2.4137746070900001E-4</v>
      </c>
    </row>
    <row r="466" spans="1:5" ht="14.5" customHeight="1">
      <c r="A466" s="39"/>
      <c r="B466" s="98"/>
      <c r="C466" s="72" t="s">
        <v>353</v>
      </c>
      <c r="D466" s="71">
        <v>278</v>
      </c>
      <c r="E466" s="73">
        <v>7.4558815641260004E-3</v>
      </c>
    </row>
    <row r="467" spans="1:5" ht="14.5" customHeight="1">
      <c r="A467" s="39"/>
      <c r="B467" s="96" t="s">
        <v>71</v>
      </c>
      <c r="C467" s="57" t="s">
        <v>99</v>
      </c>
      <c r="D467" s="58">
        <v>2</v>
      </c>
      <c r="E467" s="59">
        <v>5.3639435713000001E-5</v>
      </c>
    </row>
    <row r="468" spans="1:5" ht="14.5" customHeight="1">
      <c r="A468" s="39"/>
      <c r="B468" s="97"/>
      <c r="C468" s="57" t="s">
        <v>100</v>
      </c>
      <c r="D468" s="58">
        <v>1</v>
      </c>
      <c r="E468" s="59">
        <v>2.6819717857000001E-5</v>
      </c>
    </row>
    <row r="469" spans="1:5" ht="14.5" customHeight="1">
      <c r="A469" s="39"/>
      <c r="B469" s="97"/>
      <c r="C469" s="57" t="s">
        <v>101</v>
      </c>
      <c r="D469" s="58">
        <v>2</v>
      </c>
      <c r="E469" s="59">
        <v>5.3639435713000001E-5</v>
      </c>
    </row>
    <row r="470" spans="1:5" ht="14.5" customHeight="1">
      <c r="A470" s="39"/>
      <c r="B470" s="97"/>
      <c r="C470" s="57" t="s">
        <v>103</v>
      </c>
      <c r="D470" s="58">
        <v>1</v>
      </c>
      <c r="E470" s="59">
        <v>2.6819717857000001E-5</v>
      </c>
    </row>
    <row r="471" spans="1:5" ht="14.5" customHeight="1">
      <c r="A471" s="39"/>
      <c r="B471" s="97"/>
      <c r="C471" s="57" t="s">
        <v>104</v>
      </c>
      <c r="D471" s="58">
        <v>3</v>
      </c>
      <c r="E471" s="59">
        <v>8.0459153570000002E-5</v>
      </c>
    </row>
    <row r="472" spans="1:5" ht="14.5" customHeight="1">
      <c r="A472" s="39"/>
      <c r="B472" s="97"/>
      <c r="C472" s="57" t="s">
        <v>105</v>
      </c>
      <c r="D472" s="58">
        <v>12</v>
      </c>
      <c r="E472" s="59">
        <v>3.2183661427899999E-4</v>
      </c>
    </row>
    <row r="473" spans="1:5" ht="14.5" customHeight="1">
      <c r="A473" s="39"/>
      <c r="B473" s="97"/>
      <c r="C473" s="57" t="s">
        <v>106</v>
      </c>
      <c r="D473" s="58">
        <v>37</v>
      </c>
      <c r="E473" s="59">
        <v>9.9232956069299997E-4</v>
      </c>
    </row>
    <row r="474" spans="1:5" ht="14.5" customHeight="1">
      <c r="A474" s="39"/>
      <c r="B474" s="97"/>
      <c r="C474" s="57" t="s">
        <v>107</v>
      </c>
      <c r="D474" s="58">
        <v>7</v>
      </c>
      <c r="E474" s="59">
        <v>1.8773802499599999E-4</v>
      </c>
    </row>
    <row r="475" spans="1:5" ht="14.5" customHeight="1">
      <c r="A475" s="39"/>
      <c r="B475" s="97"/>
      <c r="C475" s="57" t="s">
        <v>108</v>
      </c>
      <c r="D475" s="58">
        <v>15</v>
      </c>
      <c r="E475" s="59">
        <v>4.0229576784899998E-4</v>
      </c>
    </row>
    <row r="476" spans="1:5" ht="14.5" customHeight="1">
      <c r="A476" s="39"/>
      <c r="B476" s="97"/>
      <c r="C476" s="57" t="s">
        <v>109</v>
      </c>
      <c r="D476" s="58">
        <v>22</v>
      </c>
      <c r="E476" s="59">
        <v>5.9003379284399999E-4</v>
      </c>
    </row>
    <row r="477" spans="1:5" ht="14.5" customHeight="1">
      <c r="A477" s="39"/>
      <c r="B477" s="97"/>
      <c r="C477" s="57" t="s">
        <v>110</v>
      </c>
      <c r="D477" s="58">
        <v>150</v>
      </c>
      <c r="E477" s="59">
        <v>4.0229576784849997E-3</v>
      </c>
    </row>
    <row r="478" spans="1:5" ht="14.5" customHeight="1">
      <c r="A478" s="39"/>
      <c r="B478" s="97"/>
      <c r="C478" s="57" t="s">
        <v>111</v>
      </c>
      <c r="D478" s="58">
        <v>19</v>
      </c>
      <c r="E478" s="59">
        <v>5.0957463927499996E-4</v>
      </c>
    </row>
    <row r="479" spans="1:5" ht="14.5" customHeight="1">
      <c r="A479" s="39"/>
      <c r="B479" s="97"/>
      <c r="C479" s="57" t="s">
        <v>112</v>
      </c>
      <c r="D479" s="58">
        <v>30</v>
      </c>
      <c r="E479" s="59">
        <v>8.0459153569700001E-4</v>
      </c>
    </row>
    <row r="480" spans="1:5" ht="14.5" customHeight="1">
      <c r="A480" s="39"/>
      <c r="B480" s="97"/>
      <c r="C480" s="57" t="s">
        <v>113</v>
      </c>
      <c r="D480" s="58">
        <v>111</v>
      </c>
      <c r="E480" s="59">
        <v>2.9769886820789999E-3</v>
      </c>
    </row>
    <row r="481" spans="1:5" ht="14.5" customHeight="1">
      <c r="A481" s="39"/>
      <c r="B481" s="97"/>
      <c r="C481" s="57" t="s">
        <v>114</v>
      </c>
      <c r="D481" s="58">
        <v>1</v>
      </c>
      <c r="E481" s="59">
        <v>2.6819717857000001E-5</v>
      </c>
    </row>
    <row r="482" spans="1:5" ht="14.5" customHeight="1">
      <c r="A482" s="39"/>
      <c r="B482" s="97"/>
      <c r="C482" s="57" t="s">
        <v>115</v>
      </c>
      <c r="D482" s="58">
        <v>7</v>
      </c>
      <c r="E482" s="59">
        <v>1.8773802499599999E-4</v>
      </c>
    </row>
    <row r="483" spans="1:5" ht="14.5" customHeight="1">
      <c r="A483" s="39"/>
      <c r="B483" s="97"/>
      <c r="C483" s="57" t="s">
        <v>116</v>
      </c>
      <c r="D483" s="58">
        <v>2</v>
      </c>
      <c r="E483" s="59">
        <v>5.3639435713000001E-5</v>
      </c>
    </row>
    <row r="484" spans="1:5" ht="14.5" customHeight="1">
      <c r="A484" s="39"/>
      <c r="B484" s="97"/>
      <c r="C484" s="57" t="s">
        <v>118</v>
      </c>
      <c r="D484" s="58">
        <v>12</v>
      </c>
      <c r="E484" s="59">
        <v>3.2183661427899999E-4</v>
      </c>
    </row>
    <row r="485" spans="1:5" ht="14.5" customHeight="1">
      <c r="A485" s="39"/>
      <c r="B485" s="97"/>
      <c r="C485" s="57" t="s">
        <v>119</v>
      </c>
      <c r="D485" s="58">
        <v>36</v>
      </c>
      <c r="E485" s="59">
        <v>9.6550984283600002E-4</v>
      </c>
    </row>
    <row r="486" spans="1:5" ht="14.5" customHeight="1">
      <c r="A486" s="39"/>
      <c r="B486" s="97"/>
      <c r="C486" s="57" t="s">
        <v>121</v>
      </c>
      <c r="D486" s="58">
        <v>6</v>
      </c>
      <c r="E486" s="59">
        <v>1.6091830713899999E-4</v>
      </c>
    </row>
    <row r="487" spans="1:5" ht="14.5" customHeight="1">
      <c r="A487" s="39"/>
      <c r="B487" s="98"/>
      <c r="C487" s="72" t="s">
        <v>353</v>
      </c>
      <c r="D487" s="71">
        <v>476</v>
      </c>
      <c r="E487" s="73">
        <v>1.2766185699726E-2</v>
      </c>
    </row>
    <row r="488" spans="1:5" ht="14.5" customHeight="1">
      <c r="A488" s="39"/>
      <c r="B488" s="96" t="s">
        <v>77</v>
      </c>
      <c r="C488" s="57" t="s">
        <v>99</v>
      </c>
      <c r="D488" s="58">
        <v>1</v>
      </c>
      <c r="E488" s="59">
        <v>2.6819717857000001E-5</v>
      </c>
    </row>
    <row r="489" spans="1:5" ht="14.5" customHeight="1">
      <c r="A489" s="39"/>
      <c r="B489" s="97"/>
      <c r="C489" s="57" t="s">
        <v>101</v>
      </c>
      <c r="D489" s="58">
        <v>1</v>
      </c>
      <c r="E489" s="59">
        <v>2.6819717857000001E-5</v>
      </c>
    </row>
    <row r="490" spans="1:5" ht="14.5" customHeight="1">
      <c r="A490" s="39"/>
      <c r="B490" s="97"/>
      <c r="C490" s="57" t="s">
        <v>104</v>
      </c>
      <c r="D490" s="58">
        <v>5</v>
      </c>
      <c r="E490" s="59">
        <v>1.34098589283E-4</v>
      </c>
    </row>
    <row r="491" spans="1:5" ht="14.5" customHeight="1">
      <c r="A491" s="39"/>
      <c r="B491" s="97"/>
      <c r="C491" s="57" t="s">
        <v>105</v>
      </c>
      <c r="D491" s="58">
        <v>13</v>
      </c>
      <c r="E491" s="59">
        <v>3.4865633213499998E-4</v>
      </c>
    </row>
    <row r="492" spans="1:5" ht="14.5" customHeight="1">
      <c r="A492" s="39"/>
      <c r="B492" s="97"/>
      <c r="C492" s="57" t="s">
        <v>106</v>
      </c>
      <c r="D492" s="58">
        <v>37</v>
      </c>
      <c r="E492" s="59">
        <v>9.9232956069299997E-4</v>
      </c>
    </row>
    <row r="493" spans="1:5" ht="14.5" customHeight="1">
      <c r="A493" s="39"/>
      <c r="B493" s="97"/>
      <c r="C493" s="57" t="s">
        <v>107</v>
      </c>
      <c r="D493" s="58">
        <v>2</v>
      </c>
      <c r="E493" s="59">
        <v>5.3639435713000001E-5</v>
      </c>
    </row>
    <row r="494" spans="1:5" ht="14.5" customHeight="1">
      <c r="A494" s="39"/>
      <c r="B494" s="97"/>
      <c r="C494" s="57" t="s">
        <v>108</v>
      </c>
      <c r="D494" s="58">
        <v>4</v>
      </c>
      <c r="E494" s="59">
        <v>1.07278871426E-4</v>
      </c>
    </row>
    <row r="495" spans="1:5" ht="14.5" customHeight="1">
      <c r="A495" s="39"/>
      <c r="B495" s="97"/>
      <c r="C495" s="57" t="s">
        <v>109</v>
      </c>
      <c r="D495" s="58">
        <v>16</v>
      </c>
      <c r="E495" s="59">
        <v>4.2911548570500002E-4</v>
      </c>
    </row>
    <row r="496" spans="1:5" ht="14.5" customHeight="1">
      <c r="A496" s="39"/>
      <c r="B496" s="97"/>
      <c r="C496" s="57" t="s">
        <v>110</v>
      </c>
      <c r="D496" s="58">
        <v>149</v>
      </c>
      <c r="E496" s="59">
        <v>3.9961379606290003E-3</v>
      </c>
    </row>
    <row r="497" spans="1:5" ht="14.5" customHeight="1">
      <c r="A497" s="39"/>
      <c r="B497" s="97"/>
      <c r="C497" s="57" t="s">
        <v>111</v>
      </c>
      <c r="D497" s="58">
        <v>20</v>
      </c>
      <c r="E497" s="59">
        <v>5.3639435713100005E-4</v>
      </c>
    </row>
    <row r="498" spans="1:5" ht="14.5" customHeight="1">
      <c r="A498" s="39"/>
      <c r="B498" s="97"/>
      <c r="C498" s="57" t="s">
        <v>112</v>
      </c>
      <c r="D498" s="58">
        <v>22</v>
      </c>
      <c r="E498" s="59">
        <v>5.9003379284399999E-4</v>
      </c>
    </row>
    <row r="499" spans="1:5" ht="14.5" customHeight="1">
      <c r="A499" s="39"/>
      <c r="B499" s="97"/>
      <c r="C499" s="57" t="s">
        <v>113</v>
      </c>
      <c r="D499" s="58">
        <v>107</v>
      </c>
      <c r="E499" s="59">
        <v>2.8697098106529998E-3</v>
      </c>
    </row>
    <row r="500" spans="1:5" ht="14.5" customHeight="1">
      <c r="A500" s="39"/>
      <c r="B500" s="97"/>
      <c r="C500" s="57" t="s">
        <v>114</v>
      </c>
      <c r="D500" s="58">
        <v>3</v>
      </c>
      <c r="E500" s="59">
        <v>8.0459153570000002E-5</v>
      </c>
    </row>
    <row r="501" spans="1:5" ht="14.5" customHeight="1">
      <c r="A501" s="39"/>
      <c r="B501" s="97"/>
      <c r="C501" s="57" t="s">
        <v>115</v>
      </c>
      <c r="D501" s="58">
        <v>1</v>
      </c>
      <c r="E501" s="59">
        <v>2.6819717857000001E-5</v>
      </c>
    </row>
    <row r="502" spans="1:5" ht="14.5" customHeight="1">
      <c r="A502" s="39"/>
      <c r="B502" s="97"/>
      <c r="C502" s="57" t="s">
        <v>118</v>
      </c>
      <c r="D502" s="58">
        <v>7</v>
      </c>
      <c r="E502" s="59">
        <v>1.8773802499599999E-4</v>
      </c>
    </row>
    <row r="503" spans="1:5" ht="14.5" customHeight="1">
      <c r="A503" s="39"/>
      <c r="B503" s="97"/>
      <c r="C503" s="57" t="s">
        <v>119</v>
      </c>
      <c r="D503" s="58">
        <v>21</v>
      </c>
      <c r="E503" s="59">
        <v>5.63214074988E-4</v>
      </c>
    </row>
    <row r="504" spans="1:5" ht="14.5" customHeight="1">
      <c r="A504" s="39"/>
      <c r="B504" s="97"/>
      <c r="C504" s="57" t="s">
        <v>121</v>
      </c>
      <c r="D504" s="58">
        <v>2</v>
      </c>
      <c r="E504" s="59">
        <v>5.3639435713000001E-5</v>
      </c>
    </row>
    <row r="505" spans="1:5" ht="14.5" customHeight="1">
      <c r="A505" s="39"/>
      <c r="B505" s="98"/>
      <c r="C505" s="72" t="s">
        <v>353</v>
      </c>
      <c r="D505" s="71">
        <v>411</v>
      </c>
      <c r="E505" s="73">
        <v>1.1022904039049999E-2</v>
      </c>
    </row>
    <row r="506" spans="1:5" ht="14.5" customHeight="1">
      <c r="A506" s="39"/>
      <c r="B506" s="96" t="s">
        <v>87</v>
      </c>
      <c r="C506" s="57" t="s">
        <v>99</v>
      </c>
      <c r="D506" s="58">
        <v>2</v>
      </c>
      <c r="E506" s="59">
        <v>5.3639435713000001E-5</v>
      </c>
    </row>
    <row r="507" spans="1:5" ht="14.5" customHeight="1">
      <c r="A507" s="39"/>
      <c r="B507" s="97"/>
      <c r="C507" s="57" t="s">
        <v>101</v>
      </c>
      <c r="D507" s="58">
        <v>1</v>
      </c>
      <c r="E507" s="59">
        <v>2.6819717857000001E-5</v>
      </c>
    </row>
    <row r="508" spans="1:5" ht="14.5" customHeight="1">
      <c r="A508" s="39"/>
      <c r="B508" s="97"/>
      <c r="C508" s="57" t="s">
        <v>102</v>
      </c>
      <c r="D508" s="58">
        <v>1</v>
      </c>
      <c r="E508" s="59">
        <v>2.6819717857000001E-5</v>
      </c>
    </row>
    <row r="509" spans="1:5" ht="14.5" customHeight="1">
      <c r="A509" s="39"/>
      <c r="B509" s="97"/>
      <c r="C509" s="57" t="s">
        <v>104</v>
      </c>
      <c r="D509" s="58">
        <v>1</v>
      </c>
      <c r="E509" s="59">
        <v>2.6819717857000001E-5</v>
      </c>
    </row>
    <row r="510" spans="1:5" ht="14.5" customHeight="1">
      <c r="A510" s="39"/>
      <c r="B510" s="97"/>
      <c r="C510" s="57" t="s">
        <v>105</v>
      </c>
      <c r="D510" s="58">
        <v>13</v>
      </c>
      <c r="E510" s="59">
        <v>3.4865633213499998E-4</v>
      </c>
    </row>
    <row r="511" spans="1:5" ht="14.5" customHeight="1">
      <c r="A511" s="39"/>
      <c r="B511" s="97"/>
      <c r="C511" s="57" t="s">
        <v>106</v>
      </c>
      <c r="D511" s="58">
        <v>27</v>
      </c>
      <c r="E511" s="59">
        <v>7.2413238212700002E-4</v>
      </c>
    </row>
    <row r="512" spans="1:5" ht="14.5" customHeight="1">
      <c r="A512" s="39"/>
      <c r="B512" s="97"/>
      <c r="C512" s="57" t="s">
        <v>107</v>
      </c>
      <c r="D512" s="58">
        <v>5</v>
      </c>
      <c r="E512" s="59">
        <v>1.34098589283E-4</v>
      </c>
    </row>
    <row r="513" spans="1:5" ht="14.5" customHeight="1">
      <c r="A513" s="39"/>
      <c r="B513" s="97"/>
      <c r="C513" s="57" t="s">
        <v>108</v>
      </c>
      <c r="D513" s="58">
        <v>7</v>
      </c>
      <c r="E513" s="59">
        <v>1.8773802499599999E-4</v>
      </c>
    </row>
    <row r="514" spans="1:5" ht="14.5" customHeight="1">
      <c r="A514" s="39"/>
      <c r="B514" s="97"/>
      <c r="C514" s="57" t="s">
        <v>109</v>
      </c>
      <c r="D514" s="58">
        <v>17</v>
      </c>
      <c r="E514" s="59">
        <v>4.5593520356200002E-4</v>
      </c>
    </row>
    <row r="515" spans="1:5" ht="14.5" customHeight="1">
      <c r="A515" s="39"/>
      <c r="B515" s="97"/>
      <c r="C515" s="57" t="s">
        <v>110</v>
      </c>
      <c r="D515" s="58">
        <v>100</v>
      </c>
      <c r="E515" s="59">
        <v>2.681971785657E-3</v>
      </c>
    </row>
    <row r="516" spans="1:5" ht="14.5" customHeight="1">
      <c r="A516" s="39"/>
      <c r="B516" s="97"/>
      <c r="C516" s="57" t="s">
        <v>111</v>
      </c>
      <c r="D516" s="58">
        <v>10</v>
      </c>
      <c r="E516" s="59">
        <v>2.6819717856600001E-4</v>
      </c>
    </row>
    <row r="517" spans="1:5" ht="14.5" customHeight="1">
      <c r="A517" s="39"/>
      <c r="B517" s="97"/>
      <c r="C517" s="57" t="s">
        <v>112</v>
      </c>
      <c r="D517" s="58">
        <v>17</v>
      </c>
      <c r="E517" s="59">
        <v>4.5593520356200002E-4</v>
      </c>
    </row>
    <row r="518" spans="1:5" ht="14.5" customHeight="1">
      <c r="A518" s="39"/>
      <c r="B518" s="97"/>
      <c r="C518" s="57" t="s">
        <v>113</v>
      </c>
      <c r="D518" s="58">
        <v>76</v>
      </c>
      <c r="E518" s="59">
        <v>2.0382985570990002E-3</v>
      </c>
    </row>
    <row r="519" spans="1:5" ht="14.5" customHeight="1">
      <c r="A519" s="39"/>
      <c r="B519" s="97"/>
      <c r="C519" s="57" t="s">
        <v>114</v>
      </c>
      <c r="D519" s="58">
        <v>3</v>
      </c>
      <c r="E519" s="59">
        <v>8.0459153570000002E-5</v>
      </c>
    </row>
    <row r="520" spans="1:5" ht="14.5" customHeight="1">
      <c r="A520" s="39"/>
      <c r="B520" s="97"/>
      <c r="C520" s="57" t="s">
        <v>115</v>
      </c>
      <c r="D520" s="58">
        <v>5</v>
      </c>
      <c r="E520" s="59">
        <v>1.34098589283E-4</v>
      </c>
    </row>
    <row r="521" spans="1:5" ht="14.5" customHeight="1">
      <c r="A521" s="39"/>
      <c r="B521" s="97"/>
      <c r="C521" s="57" t="s">
        <v>116</v>
      </c>
      <c r="D521" s="58">
        <v>2</v>
      </c>
      <c r="E521" s="59">
        <v>5.3639435713000001E-5</v>
      </c>
    </row>
    <row r="522" spans="1:5" ht="14.5" customHeight="1">
      <c r="A522" s="39"/>
      <c r="B522" s="97"/>
      <c r="C522" s="57" t="s">
        <v>117</v>
      </c>
      <c r="D522" s="58">
        <v>3</v>
      </c>
      <c r="E522" s="59">
        <v>8.0459153570000002E-5</v>
      </c>
    </row>
    <row r="523" spans="1:5" ht="14.5" customHeight="1">
      <c r="A523" s="39"/>
      <c r="B523" s="97"/>
      <c r="C523" s="57" t="s">
        <v>118</v>
      </c>
      <c r="D523" s="58">
        <v>8</v>
      </c>
      <c r="E523" s="59">
        <v>2.1455774285299999E-4</v>
      </c>
    </row>
    <row r="524" spans="1:5" ht="14.5" customHeight="1">
      <c r="A524" s="39"/>
      <c r="B524" s="97"/>
      <c r="C524" s="57" t="s">
        <v>119</v>
      </c>
      <c r="D524" s="58">
        <v>16</v>
      </c>
      <c r="E524" s="59">
        <v>4.2911548570500002E-4</v>
      </c>
    </row>
    <row r="525" spans="1:5" ht="14.5" customHeight="1">
      <c r="A525" s="39"/>
      <c r="B525" s="97"/>
      <c r="C525" s="57" t="s">
        <v>121</v>
      </c>
      <c r="D525" s="58">
        <v>4</v>
      </c>
      <c r="E525" s="59">
        <v>1.07278871426E-4</v>
      </c>
    </row>
    <row r="526" spans="1:5" ht="14.5" customHeight="1">
      <c r="A526" s="39"/>
      <c r="B526" s="98"/>
      <c r="C526" s="72" t="s">
        <v>353</v>
      </c>
      <c r="D526" s="71">
        <v>318</v>
      </c>
      <c r="E526" s="73">
        <v>8.5286702783889997E-3</v>
      </c>
    </row>
    <row r="527" spans="1:5" ht="14.5" customHeight="1">
      <c r="A527" s="39"/>
      <c r="B527" s="96" t="s">
        <v>97</v>
      </c>
      <c r="C527" s="57" t="s">
        <v>106</v>
      </c>
      <c r="D527" s="58">
        <v>1</v>
      </c>
      <c r="E527" s="59">
        <v>2.6819717857000001E-5</v>
      </c>
    </row>
    <row r="528" spans="1:5" ht="14.5" customHeight="1">
      <c r="A528" s="39"/>
      <c r="B528" s="97"/>
      <c r="C528" s="57" t="s">
        <v>111</v>
      </c>
      <c r="D528" s="58">
        <v>1</v>
      </c>
      <c r="E528" s="59">
        <v>2.6819717857000001E-5</v>
      </c>
    </row>
    <row r="529" spans="1:5" ht="14.5" customHeight="1">
      <c r="A529" s="39"/>
      <c r="B529" s="97"/>
      <c r="C529" s="57" t="s">
        <v>113</v>
      </c>
      <c r="D529" s="58">
        <v>1</v>
      </c>
      <c r="E529" s="59">
        <v>2.6819717857000001E-5</v>
      </c>
    </row>
    <row r="530" spans="1:5" ht="14.5" customHeight="1">
      <c r="A530" s="39"/>
      <c r="B530" s="97"/>
      <c r="C530" s="57" t="s">
        <v>119</v>
      </c>
      <c r="D530" s="58">
        <v>3</v>
      </c>
      <c r="E530" s="59">
        <v>8.0459153570000002E-5</v>
      </c>
    </row>
    <row r="531" spans="1:5" ht="14.5" customHeight="1">
      <c r="A531" s="39"/>
      <c r="B531" s="97"/>
      <c r="C531" s="57" t="s">
        <v>121</v>
      </c>
      <c r="D531" s="58">
        <v>1</v>
      </c>
      <c r="E531" s="59">
        <v>2.6819717857000001E-5</v>
      </c>
    </row>
    <row r="532" spans="1:5" ht="14.5" customHeight="1">
      <c r="A532" s="39"/>
      <c r="B532" s="98"/>
      <c r="C532" s="72" t="s">
        <v>353</v>
      </c>
      <c r="D532" s="71">
        <v>7</v>
      </c>
      <c r="E532" s="73">
        <v>1.8773802499599999E-4</v>
      </c>
    </row>
    <row r="533" spans="1:5" ht="14.5" customHeight="1">
      <c r="A533" s="39"/>
      <c r="B533" s="96" t="s">
        <v>80</v>
      </c>
      <c r="C533" s="57" t="s">
        <v>100</v>
      </c>
      <c r="D533" s="58">
        <v>1</v>
      </c>
      <c r="E533" s="59">
        <v>2.6819717857000001E-5</v>
      </c>
    </row>
    <row r="534" spans="1:5" ht="14.5" customHeight="1">
      <c r="A534" s="39"/>
      <c r="B534" s="97"/>
      <c r="C534" s="57" t="s">
        <v>101</v>
      </c>
      <c r="D534" s="58">
        <v>1</v>
      </c>
      <c r="E534" s="59">
        <v>2.6819717857000001E-5</v>
      </c>
    </row>
    <row r="535" spans="1:5" ht="14.5" customHeight="1">
      <c r="A535" s="39"/>
      <c r="B535" s="97"/>
      <c r="C535" s="57" t="s">
        <v>102</v>
      </c>
      <c r="D535" s="58">
        <v>2</v>
      </c>
      <c r="E535" s="59">
        <v>5.3639435713000001E-5</v>
      </c>
    </row>
    <row r="536" spans="1:5" ht="14.5" customHeight="1">
      <c r="A536" s="39"/>
      <c r="B536" s="97"/>
      <c r="C536" s="57" t="s">
        <v>104</v>
      </c>
      <c r="D536" s="58">
        <v>2</v>
      </c>
      <c r="E536" s="59">
        <v>5.3639435713000001E-5</v>
      </c>
    </row>
    <row r="537" spans="1:5" ht="14.5" customHeight="1">
      <c r="A537" s="39"/>
      <c r="B537" s="97"/>
      <c r="C537" s="57" t="s">
        <v>105</v>
      </c>
      <c r="D537" s="58">
        <v>2</v>
      </c>
      <c r="E537" s="59">
        <v>5.3639435713000001E-5</v>
      </c>
    </row>
    <row r="538" spans="1:5" ht="14.5" customHeight="1">
      <c r="A538" s="39"/>
      <c r="B538" s="97"/>
      <c r="C538" s="57" t="s">
        <v>106</v>
      </c>
      <c r="D538" s="58">
        <v>9</v>
      </c>
      <c r="E538" s="59">
        <v>2.4137746070900001E-4</v>
      </c>
    </row>
    <row r="539" spans="1:5" ht="14.5" customHeight="1">
      <c r="A539" s="39"/>
      <c r="B539" s="97"/>
      <c r="C539" s="57" t="s">
        <v>107</v>
      </c>
      <c r="D539" s="58">
        <v>1</v>
      </c>
      <c r="E539" s="59">
        <v>2.6819717857000001E-5</v>
      </c>
    </row>
    <row r="540" spans="1:5" ht="14.5" customHeight="1">
      <c r="A540" s="39"/>
      <c r="B540" s="97"/>
      <c r="C540" s="57" t="s">
        <v>108</v>
      </c>
      <c r="D540" s="58">
        <v>3</v>
      </c>
      <c r="E540" s="59">
        <v>8.0459153570000002E-5</v>
      </c>
    </row>
    <row r="541" spans="1:5" ht="14.5" customHeight="1">
      <c r="A541" s="39"/>
      <c r="B541" s="97"/>
      <c r="C541" s="57" t="s">
        <v>109</v>
      </c>
      <c r="D541" s="58">
        <v>1</v>
      </c>
      <c r="E541" s="59">
        <v>2.6819717857000001E-5</v>
      </c>
    </row>
    <row r="542" spans="1:5" ht="14.5" customHeight="1">
      <c r="A542" s="39"/>
      <c r="B542" s="97"/>
      <c r="C542" s="57" t="s">
        <v>110</v>
      </c>
      <c r="D542" s="58">
        <v>65</v>
      </c>
      <c r="E542" s="59">
        <v>1.743281660677E-3</v>
      </c>
    </row>
    <row r="543" spans="1:5" ht="14.5" customHeight="1">
      <c r="A543" s="39"/>
      <c r="B543" s="97"/>
      <c r="C543" s="57" t="s">
        <v>111</v>
      </c>
      <c r="D543" s="58">
        <v>5</v>
      </c>
      <c r="E543" s="59">
        <v>1.34098589283E-4</v>
      </c>
    </row>
    <row r="544" spans="1:5" ht="14.5" customHeight="1">
      <c r="A544" s="39"/>
      <c r="B544" s="97"/>
      <c r="C544" s="57" t="s">
        <v>112</v>
      </c>
      <c r="D544" s="58">
        <v>10</v>
      </c>
      <c r="E544" s="59">
        <v>2.6819717856600001E-4</v>
      </c>
    </row>
    <row r="545" spans="1:5" ht="14.5" customHeight="1">
      <c r="A545" s="39"/>
      <c r="B545" s="97"/>
      <c r="C545" s="57" t="s">
        <v>113</v>
      </c>
      <c r="D545" s="58">
        <v>60</v>
      </c>
      <c r="E545" s="59">
        <v>1.609183071394E-3</v>
      </c>
    </row>
    <row r="546" spans="1:5" ht="14.5" customHeight="1">
      <c r="A546" s="39"/>
      <c r="B546" s="97"/>
      <c r="C546" s="57" t="s">
        <v>115</v>
      </c>
      <c r="D546" s="58">
        <v>1</v>
      </c>
      <c r="E546" s="59">
        <v>2.6819717857000001E-5</v>
      </c>
    </row>
    <row r="547" spans="1:5" ht="14.5" customHeight="1">
      <c r="A547" s="39"/>
      <c r="B547" s="97"/>
      <c r="C547" s="57" t="s">
        <v>116</v>
      </c>
      <c r="D547" s="58">
        <v>1</v>
      </c>
      <c r="E547" s="59">
        <v>2.6819717857000001E-5</v>
      </c>
    </row>
    <row r="548" spans="1:5" ht="14.5" customHeight="1">
      <c r="A548" s="39"/>
      <c r="B548" s="97"/>
      <c r="C548" s="57" t="s">
        <v>117</v>
      </c>
      <c r="D548" s="58">
        <v>1</v>
      </c>
      <c r="E548" s="59">
        <v>2.6819717857000001E-5</v>
      </c>
    </row>
    <row r="549" spans="1:5" ht="14.5" customHeight="1">
      <c r="A549" s="39"/>
      <c r="B549" s="97"/>
      <c r="C549" s="57" t="s">
        <v>118</v>
      </c>
      <c r="D549" s="58">
        <v>8</v>
      </c>
      <c r="E549" s="59">
        <v>2.1455774285299999E-4</v>
      </c>
    </row>
    <row r="550" spans="1:5" ht="14.5" customHeight="1">
      <c r="A550" s="39"/>
      <c r="B550" s="97"/>
      <c r="C550" s="57" t="s">
        <v>119</v>
      </c>
      <c r="D550" s="58">
        <v>14</v>
      </c>
      <c r="E550" s="59">
        <v>3.7547604999199998E-4</v>
      </c>
    </row>
    <row r="551" spans="1:5" ht="14.5" customHeight="1">
      <c r="A551" s="39"/>
      <c r="B551" s="98"/>
      <c r="C551" s="72" t="s">
        <v>353</v>
      </c>
      <c r="D551" s="71">
        <v>187</v>
      </c>
      <c r="E551" s="73">
        <v>5.0152872391779997E-3</v>
      </c>
    </row>
    <row r="552" spans="1:5" ht="14.5" customHeight="1">
      <c r="A552" s="39"/>
      <c r="B552" s="96" t="s">
        <v>54</v>
      </c>
      <c r="C552" s="57" t="s">
        <v>99</v>
      </c>
      <c r="D552" s="58">
        <v>13</v>
      </c>
      <c r="E552" s="59">
        <v>3.4865633213499998E-4</v>
      </c>
    </row>
    <row r="553" spans="1:5" ht="14.5" customHeight="1">
      <c r="A553" s="39"/>
      <c r="B553" s="97"/>
      <c r="C553" s="57" t="s">
        <v>100</v>
      </c>
      <c r="D553" s="58">
        <v>5</v>
      </c>
      <c r="E553" s="59">
        <v>1.34098589283E-4</v>
      </c>
    </row>
    <row r="554" spans="1:5" ht="14.5" customHeight="1">
      <c r="A554" s="39"/>
      <c r="B554" s="97"/>
      <c r="C554" s="57" t="s">
        <v>101</v>
      </c>
      <c r="D554" s="58">
        <v>2</v>
      </c>
      <c r="E554" s="59">
        <v>5.3639435713000001E-5</v>
      </c>
    </row>
    <row r="555" spans="1:5" ht="14.5" customHeight="1">
      <c r="A555" s="39"/>
      <c r="B555" s="97"/>
      <c r="C555" s="57" t="s">
        <v>102</v>
      </c>
      <c r="D555" s="58">
        <v>11</v>
      </c>
      <c r="E555" s="59">
        <v>2.9501689642199999E-4</v>
      </c>
    </row>
    <row r="556" spans="1:5" ht="14.5" customHeight="1">
      <c r="A556" s="39"/>
      <c r="B556" s="97"/>
      <c r="C556" s="57" t="s">
        <v>103</v>
      </c>
      <c r="D556" s="58">
        <v>5</v>
      </c>
      <c r="E556" s="59">
        <v>1.34098589283E-4</v>
      </c>
    </row>
    <row r="557" spans="1:5" ht="14.5" customHeight="1">
      <c r="A557" s="39"/>
      <c r="B557" s="97"/>
      <c r="C557" s="57" t="s">
        <v>104</v>
      </c>
      <c r="D557" s="58">
        <v>22</v>
      </c>
      <c r="E557" s="59">
        <v>5.9003379284399999E-4</v>
      </c>
    </row>
    <row r="558" spans="1:5" ht="14.5" customHeight="1">
      <c r="A558" s="39"/>
      <c r="B558" s="97"/>
      <c r="C558" s="57" t="s">
        <v>105</v>
      </c>
      <c r="D558" s="58">
        <v>82</v>
      </c>
      <c r="E558" s="59">
        <v>2.1992168642390002E-3</v>
      </c>
    </row>
    <row r="559" spans="1:5" ht="14.5" customHeight="1">
      <c r="A559" s="39"/>
      <c r="B559" s="97"/>
      <c r="C559" s="57" t="s">
        <v>106</v>
      </c>
      <c r="D559" s="58">
        <v>134</v>
      </c>
      <c r="E559" s="59">
        <v>3.5938421927800002E-3</v>
      </c>
    </row>
    <row r="560" spans="1:5" ht="14.5" customHeight="1">
      <c r="A560" s="39"/>
      <c r="B560" s="97"/>
      <c r="C560" s="57" t="s">
        <v>107</v>
      </c>
      <c r="D560" s="58">
        <v>26</v>
      </c>
      <c r="E560" s="59">
        <v>6.9731266427100003E-4</v>
      </c>
    </row>
    <row r="561" spans="1:5" ht="14.5" customHeight="1">
      <c r="A561" s="39"/>
      <c r="B561" s="97"/>
      <c r="C561" s="57" t="s">
        <v>108</v>
      </c>
      <c r="D561" s="58">
        <v>48</v>
      </c>
      <c r="E561" s="59">
        <v>1.2873464571149999E-3</v>
      </c>
    </row>
    <row r="562" spans="1:5" ht="14.5" customHeight="1">
      <c r="A562" s="39"/>
      <c r="B562" s="97"/>
      <c r="C562" s="57" t="s">
        <v>109</v>
      </c>
      <c r="D562" s="58">
        <v>63</v>
      </c>
      <c r="E562" s="59">
        <v>1.689642224964E-3</v>
      </c>
    </row>
    <row r="563" spans="1:5" ht="14.5" customHeight="1">
      <c r="A563" s="39"/>
      <c r="B563" s="97"/>
      <c r="C563" s="57" t="s">
        <v>110</v>
      </c>
      <c r="D563" s="58">
        <v>631</v>
      </c>
      <c r="E563" s="59">
        <v>1.6923241967494999E-2</v>
      </c>
    </row>
    <row r="564" spans="1:5" ht="14.5" customHeight="1">
      <c r="A564" s="39"/>
      <c r="B564" s="97"/>
      <c r="C564" s="57" t="s">
        <v>111</v>
      </c>
      <c r="D564" s="58">
        <v>36</v>
      </c>
      <c r="E564" s="59">
        <v>9.6550984283600002E-4</v>
      </c>
    </row>
    <row r="565" spans="1:5" ht="14.5" customHeight="1">
      <c r="A565" s="39"/>
      <c r="B565" s="97"/>
      <c r="C565" s="57" t="s">
        <v>112</v>
      </c>
      <c r="D565" s="58">
        <v>90</v>
      </c>
      <c r="E565" s="59">
        <v>2.4137746070909999E-3</v>
      </c>
    </row>
    <row r="566" spans="1:5" ht="14.5" customHeight="1">
      <c r="A566" s="39"/>
      <c r="B566" s="97"/>
      <c r="C566" s="57" t="s">
        <v>113</v>
      </c>
      <c r="D566" s="58">
        <v>384</v>
      </c>
      <c r="E566" s="59">
        <v>1.0298771656921999E-2</v>
      </c>
    </row>
    <row r="567" spans="1:5" ht="14.5" customHeight="1">
      <c r="A567" s="39"/>
      <c r="B567" s="97"/>
      <c r="C567" s="57" t="s">
        <v>114</v>
      </c>
      <c r="D567" s="58">
        <v>6</v>
      </c>
      <c r="E567" s="59">
        <v>1.6091830713899999E-4</v>
      </c>
    </row>
    <row r="568" spans="1:5" ht="14.5" customHeight="1">
      <c r="A568" s="39"/>
      <c r="B568" s="97"/>
      <c r="C568" s="57" t="s">
        <v>115</v>
      </c>
      <c r="D568" s="58">
        <v>7</v>
      </c>
      <c r="E568" s="59">
        <v>1.8773802499599999E-4</v>
      </c>
    </row>
    <row r="569" spans="1:5" ht="14.5" customHeight="1">
      <c r="A569" s="39"/>
      <c r="B569" s="97"/>
      <c r="C569" s="57" t="s">
        <v>116</v>
      </c>
      <c r="D569" s="58">
        <v>1</v>
      </c>
      <c r="E569" s="59">
        <v>2.6819717857000001E-5</v>
      </c>
    </row>
    <row r="570" spans="1:5" ht="14.5" customHeight="1">
      <c r="A570" s="39"/>
      <c r="B570" s="97"/>
      <c r="C570" s="57" t="s">
        <v>117</v>
      </c>
      <c r="D570" s="58">
        <v>5</v>
      </c>
      <c r="E570" s="59">
        <v>1.34098589283E-4</v>
      </c>
    </row>
    <row r="571" spans="1:5" ht="14.5" customHeight="1">
      <c r="A571" s="39"/>
      <c r="B571" s="97"/>
      <c r="C571" s="57" t="s">
        <v>118</v>
      </c>
      <c r="D571" s="58">
        <v>34</v>
      </c>
      <c r="E571" s="59">
        <v>9.1187040712299998E-4</v>
      </c>
    </row>
    <row r="572" spans="1:5" ht="14.5" customHeight="1">
      <c r="A572" s="39"/>
      <c r="B572" s="97"/>
      <c r="C572" s="57" t="s">
        <v>119</v>
      </c>
      <c r="D572" s="58">
        <v>94</v>
      </c>
      <c r="E572" s="59">
        <v>2.521053478517E-3</v>
      </c>
    </row>
    <row r="573" spans="1:5" ht="14.5" customHeight="1">
      <c r="A573" s="39"/>
      <c r="B573" s="97"/>
      <c r="C573" s="57" t="s">
        <v>121</v>
      </c>
      <c r="D573" s="58">
        <v>6</v>
      </c>
      <c r="E573" s="59">
        <v>1.6091830713899999E-4</v>
      </c>
    </row>
    <row r="574" spans="1:5" ht="14.5" customHeight="1">
      <c r="A574" s="39"/>
      <c r="B574" s="97"/>
      <c r="C574" s="57" t="s">
        <v>122</v>
      </c>
      <c r="D574" s="58">
        <v>2</v>
      </c>
      <c r="E574" s="59">
        <v>5.3639435713000001E-5</v>
      </c>
    </row>
    <row r="575" spans="1:5" ht="14.5" customHeight="1">
      <c r="A575" s="39"/>
      <c r="B575" s="98"/>
      <c r="C575" s="72" t="s">
        <v>353</v>
      </c>
      <c r="D575" s="71">
        <v>1707</v>
      </c>
      <c r="E575" s="73">
        <v>4.5781258381162003E-2</v>
      </c>
    </row>
    <row r="576" spans="1:5" ht="14.5" customHeight="1">
      <c r="A576" s="39"/>
      <c r="B576" s="96" t="s">
        <v>73</v>
      </c>
      <c r="C576" s="57" t="s">
        <v>99</v>
      </c>
      <c r="D576" s="58">
        <v>3</v>
      </c>
      <c r="E576" s="59">
        <v>8.0459153570000002E-5</v>
      </c>
    </row>
    <row r="577" spans="1:5" ht="14.5" customHeight="1">
      <c r="A577" s="39"/>
      <c r="B577" s="97"/>
      <c r="C577" s="57" t="s">
        <v>100</v>
      </c>
      <c r="D577" s="58">
        <v>1</v>
      </c>
      <c r="E577" s="59">
        <v>2.6819717857000001E-5</v>
      </c>
    </row>
    <row r="578" spans="1:5" ht="14.5" customHeight="1">
      <c r="A578" s="39"/>
      <c r="B578" s="97"/>
      <c r="C578" s="57" t="s">
        <v>101</v>
      </c>
      <c r="D578" s="58">
        <v>3</v>
      </c>
      <c r="E578" s="59">
        <v>8.0459153570000002E-5</v>
      </c>
    </row>
    <row r="579" spans="1:5" ht="14.5" customHeight="1">
      <c r="A579" s="39"/>
      <c r="B579" s="97"/>
      <c r="C579" s="57" t="s">
        <v>102</v>
      </c>
      <c r="D579" s="58">
        <v>3</v>
      </c>
      <c r="E579" s="59">
        <v>8.0459153570000002E-5</v>
      </c>
    </row>
    <row r="580" spans="1:5" ht="14.5" customHeight="1">
      <c r="A580" s="39"/>
      <c r="B580" s="97"/>
      <c r="C580" s="57" t="s">
        <v>103</v>
      </c>
      <c r="D580" s="58">
        <v>1</v>
      </c>
      <c r="E580" s="59">
        <v>2.6819717857000001E-5</v>
      </c>
    </row>
    <row r="581" spans="1:5" ht="14.5" customHeight="1">
      <c r="A581" s="39"/>
      <c r="B581" s="97"/>
      <c r="C581" s="57" t="s">
        <v>104</v>
      </c>
      <c r="D581" s="58">
        <v>2</v>
      </c>
      <c r="E581" s="59">
        <v>5.3639435713000001E-5</v>
      </c>
    </row>
    <row r="582" spans="1:5" ht="14.5" customHeight="1">
      <c r="A582" s="39"/>
      <c r="B582" s="97"/>
      <c r="C582" s="57" t="s">
        <v>105</v>
      </c>
      <c r="D582" s="58">
        <v>17</v>
      </c>
      <c r="E582" s="59">
        <v>4.5593520356200002E-4</v>
      </c>
    </row>
    <row r="583" spans="1:5" ht="14.5" customHeight="1">
      <c r="A583" s="39"/>
      <c r="B583" s="97"/>
      <c r="C583" s="57" t="s">
        <v>106</v>
      </c>
      <c r="D583" s="58">
        <v>46</v>
      </c>
      <c r="E583" s="59">
        <v>1.2337070214020001E-3</v>
      </c>
    </row>
    <row r="584" spans="1:5" ht="14.5" customHeight="1">
      <c r="A584" s="39"/>
      <c r="B584" s="97"/>
      <c r="C584" s="57" t="s">
        <v>107</v>
      </c>
      <c r="D584" s="58">
        <v>9</v>
      </c>
      <c r="E584" s="59">
        <v>2.4137746070900001E-4</v>
      </c>
    </row>
    <row r="585" spans="1:5" ht="14.5" customHeight="1">
      <c r="A585" s="39"/>
      <c r="B585" s="97"/>
      <c r="C585" s="57" t="s">
        <v>108</v>
      </c>
      <c r="D585" s="58">
        <v>13</v>
      </c>
      <c r="E585" s="59">
        <v>3.4865633213499998E-4</v>
      </c>
    </row>
    <row r="586" spans="1:5" ht="14.5" customHeight="1">
      <c r="A586" s="39"/>
      <c r="B586" s="97"/>
      <c r="C586" s="57" t="s">
        <v>109</v>
      </c>
      <c r="D586" s="58">
        <v>10</v>
      </c>
      <c r="E586" s="59">
        <v>2.6819717856600001E-4</v>
      </c>
    </row>
    <row r="587" spans="1:5" ht="14.5" customHeight="1">
      <c r="A587" s="39"/>
      <c r="B587" s="97"/>
      <c r="C587" s="57" t="s">
        <v>110</v>
      </c>
      <c r="D587" s="58">
        <v>150</v>
      </c>
      <c r="E587" s="59">
        <v>4.0229576784849997E-3</v>
      </c>
    </row>
    <row r="588" spans="1:5" ht="14.5" customHeight="1">
      <c r="A588" s="39"/>
      <c r="B588" s="97"/>
      <c r="C588" s="57" t="s">
        <v>111</v>
      </c>
      <c r="D588" s="58">
        <v>16</v>
      </c>
      <c r="E588" s="59">
        <v>4.2911548570500002E-4</v>
      </c>
    </row>
    <row r="589" spans="1:5" ht="14.5" customHeight="1">
      <c r="A589" s="39"/>
      <c r="B589" s="97"/>
      <c r="C589" s="57" t="s">
        <v>112</v>
      </c>
      <c r="D589" s="58">
        <v>43</v>
      </c>
      <c r="E589" s="59">
        <v>1.1532478678320001E-3</v>
      </c>
    </row>
    <row r="590" spans="1:5" ht="14.5" customHeight="1">
      <c r="A590" s="39"/>
      <c r="B590" s="97"/>
      <c r="C590" s="57" t="s">
        <v>113</v>
      </c>
      <c r="D590" s="58">
        <v>126</v>
      </c>
      <c r="E590" s="59">
        <v>3.379284449928E-3</v>
      </c>
    </row>
    <row r="591" spans="1:5" ht="14.5" customHeight="1">
      <c r="A591" s="39"/>
      <c r="B591" s="97"/>
      <c r="C591" s="57" t="s">
        <v>114</v>
      </c>
      <c r="D591" s="58">
        <v>4</v>
      </c>
      <c r="E591" s="59">
        <v>1.07278871426E-4</v>
      </c>
    </row>
    <row r="592" spans="1:5" ht="14.5" customHeight="1">
      <c r="A592" s="39"/>
      <c r="B592" s="97"/>
      <c r="C592" s="57" t="s">
        <v>115</v>
      </c>
      <c r="D592" s="58">
        <v>7</v>
      </c>
      <c r="E592" s="59">
        <v>1.8773802499599999E-4</v>
      </c>
    </row>
    <row r="593" spans="1:5" ht="14.5" customHeight="1">
      <c r="A593" s="39"/>
      <c r="B593" s="97"/>
      <c r="C593" s="57" t="s">
        <v>116</v>
      </c>
      <c r="D593" s="58">
        <v>1</v>
      </c>
      <c r="E593" s="59">
        <v>2.6819717857000001E-5</v>
      </c>
    </row>
    <row r="594" spans="1:5" ht="14.5" customHeight="1">
      <c r="A594" s="39"/>
      <c r="B594" s="97"/>
      <c r="C594" s="57" t="s">
        <v>118</v>
      </c>
      <c r="D594" s="58">
        <v>15</v>
      </c>
      <c r="E594" s="59">
        <v>4.0229576784899998E-4</v>
      </c>
    </row>
    <row r="595" spans="1:5" ht="14.5" customHeight="1">
      <c r="A595" s="39"/>
      <c r="B595" s="97"/>
      <c r="C595" s="57" t="s">
        <v>119</v>
      </c>
      <c r="D595" s="58">
        <v>46</v>
      </c>
      <c r="E595" s="59">
        <v>1.2337070214020001E-3</v>
      </c>
    </row>
    <row r="596" spans="1:5" ht="14.5" customHeight="1">
      <c r="A596" s="39"/>
      <c r="B596" s="97"/>
      <c r="C596" s="57" t="s">
        <v>120</v>
      </c>
      <c r="D596" s="58">
        <v>2</v>
      </c>
      <c r="E596" s="59">
        <v>5.3639435713000001E-5</v>
      </c>
    </row>
    <row r="597" spans="1:5" ht="14.5" customHeight="1">
      <c r="A597" s="39"/>
      <c r="B597" s="97"/>
      <c r="C597" s="57" t="s">
        <v>121</v>
      </c>
      <c r="D597" s="58">
        <v>2</v>
      </c>
      <c r="E597" s="59">
        <v>5.3639435713000001E-5</v>
      </c>
    </row>
    <row r="598" spans="1:5" ht="14.5" customHeight="1">
      <c r="A598" s="39"/>
      <c r="B598" s="98"/>
      <c r="C598" s="72" t="s">
        <v>353</v>
      </c>
      <c r="D598" s="71">
        <v>520</v>
      </c>
      <c r="E598" s="73">
        <v>1.3946253285414999E-2</v>
      </c>
    </row>
    <row r="599" spans="1:5" ht="14.5" customHeight="1">
      <c r="A599" s="39"/>
      <c r="B599" s="96" t="s">
        <v>81</v>
      </c>
      <c r="C599" s="57" t="s">
        <v>99</v>
      </c>
      <c r="D599" s="58">
        <v>1</v>
      </c>
      <c r="E599" s="59">
        <v>2.6819717857000001E-5</v>
      </c>
    </row>
    <row r="600" spans="1:5" ht="14.5" customHeight="1">
      <c r="A600" s="39"/>
      <c r="B600" s="97"/>
      <c r="C600" s="57" t="s">
        <v>101</v>
      </c>
      <c r="D600" s="58">
        <v>1</v>
      </c>
      <c r="E600" s="59">
        <v>2.6819717857000001E-5</v>
      </c>
    </row>
    <row r="601" spans="1:5" ht="14.5" customHeight="1">
      <c r="A601" s="39"/>
      <c r="B601" s="97"/>
      <c r="C601" s="57" t="s">
        <v>102</v>
      </c>
      <c r="D601" s="58">
        <v>2</v>
      </c>
      <c r="E601" s="59">
        <v>5.3639435713000001E-5</v>
      </c>
    </row>
    <row r="602" spans="1:5" ht="14.5" customHeight="1">
      <c r="A602" s="39"/>
      <c r="B602" s="97"/>
      <c r="C602" s="57" t="s">
        <v>103</v>
      </c>
      <c r="D602" s="58">
        <v>1</v>
      </c>
      <c r="E602" s="59">
        <v>2.6819717857000001E-5</v>
      </c>
    </row>
    <row r="603" spans="1:5" ht="14.5" customHeight="1">
      <c r="A603" s="39"/>
      <c r="B603" s="97"/>
      <c r="C603" s="57" t="s">
        <v>104</v>
      </c>
      <c r="D603" s="58">
        <v>2</v>
      </c>
      <c r="E603" s="59">
        <v>5.3639435713000001E-5</v>
      </c>
    </row>
    <row r="604" spans="1:5" ht="14.5" customHeight="1">
      <c r="A604" s="39"/>
      <c r="B604" s="97"/>
      <c r="C604" s="57" t="s">
        <v>105</v>
      </c>
      <c r="D604" s="58">
        <v>6</v>
      </c>
      <c r="E604" s="59">
        <v>1.6091830713899999E-4</v>
      </c>
    </row>
    <row r="605" spans="1:5" ht="14.5" customHeight="1">
      <c r="A605" s="39"/>
      <c r="B605" s="97"/>
      <c r="C605" s="57" t="s">
        <v>106</v>
      </c>
      <c r="D605" s="58">
        <v>19</v>
      </c>
      <c r="E605" s="59">
        <v>5.0957463927499996E-4</v>
      </c>
    </row>
    <row r="606" spans="1:5" ht="14.5" customHeight="1">
      <c r="A606" s="39"/>
      <c r="B606" s="97"/>
      <c r="C606" s="57" t="s">
        <v>107</v>
      </c>
      <c r="D606" s="58">
        <v>4</v>
      </c>
      <c r="E606" s="59">
        <v>1.07278871426E-4</v>
      </c>
    </row>
    <row r="607" spans="1:5" ht="14.5" customHeight="1">
      <c r="A607" s="39"/>
      <c r="B607" s="97"/>
      <c r="C607" s="57" t="s">
        <v>108</v>
      </c>
      <c r="D607" s="58">
        <v>10</v>
      </c>
      <c r="E607" s="59">
        <v>2.6819717856600001E-4</v>
      </c>
    </row>
    <row r="608" spans="1:5" ht="14.5" customHeight="1">
      <c r="A608" s="39"/>
      <c r="B608" s="97"/>
      <c r="C608" s="57" t="s">
        <v>109</v>
      </c>
      <c r="D608" s="58">
        <v>15</v>
      </c>
      <c r="E608" s="59">
        <v>4.0229576784899998E-4</v>
      </c>
    </row>
    <row r="609" spans="1:5" ht="14.5" customHeight="1">
      <c r="A609" s="39"/>
      <c r="B609" s="97"/>
      <c r="C609" s="57" t="s">
        <v>110</v>
      </c>
      <c r="D609" s="58">
        <v>97</v>
      </c>
      <c r="E609" s="59">
        <v>2.6015126320870002E-3</v>
      </c>
    </row>
    <row r="610" spans="1:5" ht="14.5" customHeight="1">
      <c r="A610" s="39"/>
      <c r="B610" s="97"/>
      <c r="C610" s="57" t="s">
        <v>111</v>
      </c>
      <c r="D610" s="58">
        <v>4</v>
      </c>
      <c r="E610" s="59">
        <v>1.07278871426E-4</v>
      </c>
    </row>
    <row r="611" spans="1:5" ht="14.5" customHeight="1">
      <c r="A611" s="39"/>
      <c r="B611" s="97"/>
      <c r="C611" s="57" t="s">
        <v>112</v>
      </c>
      <c r="D611" s="58">
        <v>25</v>
      </c>
      <c r="E611" s="59">
        <v>6.7049294641399998E-4</v>
      </c>
    </row>
    <row r="612" spans="1:5" ht="14.5" customHeight="1">
      <c r="A612" s="39"/>
      <c r="B612" s="97"/>
      <c r="C612" s="57" t="s">
        <v>113</v>
      </c>
      <c r="D612" s="58">
        <v>70</v>
      </c>
      <c r="E612" s="59">
        <v>1.8773802499600001E-3</v>
      </c>
    </row>
    <row r="613" spans="1:5" ht="14.5" customHeight="1">
      <c r="A613" s="39"/>
      <c r="B613" s="97"/>
      <c r="C613" s="57" t="s">
        <v>114</v>
      </c>
      <c r="D613" s="58">
        <v>3</v>
      </c>
      <c r="E613" s="59">
        <v>8.0459153570000002E-5</v>
      </c>
    </row>
    <row r="614" spans="1:5" ht="14.5" customHeight="1">
      <c r="A614" s="39"/>
      <c r="B614" s="97"/>
      <c r="C614" s="57" t="s">
        <v>115</v>
      </c>
      <c r="D614" s="58">
        <v>3</v>
      </c>
      <c r="E614" s="59">
        <v>8.0459153570000002E-5</v>
      </c>
    </row>
    <row r="615" spans="1:5" ht="14.5" customHeight="1">
      <c r="A615" s="39"/>
      <c r="B615" s="97"/>
      <c r="C615" s="57" t="s">
        <v>116</v>
      </c>
      <c r="D615" s="58">
        <v>3</v>
      </c>
      <c r="E615" s="59">
        <v>8.0459153570000002E-5</v>
      </c>
    </row>
    <row r="616" spans="1:5" ht="14.5" customHeight="1">
      <c r="A616" s="39"/>
      <c r="B616" s="97"/>
      <c r="C616" s="57" t="s">
        <v>118</v>
      </c>
      <c r="D616" s="58">
        <v>8</v>
      </c>
      <c r="E616" s="59">
        <v>2.1455774285299999E-4</v>
      </c>
    </row>
    <row r="617" spans="1:5" ht="14.5" customHeight="1">
      <c r="A617" s="39"/>
      <c r="B617" s="97"/>
      <c r="C617" s="57" t="s">
        <v>119</v>
      </c>
      <c r="D617" s="58">
        <v>24</v>
      </c>
      <c r="E617" s="59">
        <v>6.4367322855799999E-4</v>
      </c>
    </row>
    <row r="618" spans="1:5" ht="14.5" customHeight="1">
      <c r="A618" s="39"/>
      <c r="B618" s="98"/>
      <c r="C618" s="72" t="s">
        <v>353</v>
      </c>
      <c r="D618" s="71">
        <v>298</v>
      </c>
      <c r="E618" s="73">
        <v>7.9922759212569996E-3</v>
      </c>
    </row>
    <row r="619" spans="1:5" ht="14.5" customHeight="1">
      <c r="A619" s="39"/>
      <c r="B619" s="96" t="s">
        <v>66</v>
      </c>
      <c r="C619" s="57" t="s">
        <v>99</v>
      </c>
      <c r="D619" s="58">
        <v>4</v>
      </c>
      <c r="E619" s="59">
        <v>1.07278871426E-4</v>
      </c>
    </row>
    <row r="620" spans="1:5" ht="14.5" customHeight="1">
      <c r="A620" s="39"/>
      <c r="B620" s="97"/>
      <c r="C620" s="57" t="s">
        <v>101</v>
      </c>
      <c r="D620" s="58">
        <v>2</v>
      </c>
      <c r="E620" s="59">
        <v>5.3639435713000001E-5</v>
      </c>
    </row>
    <row r="621" spans="1:5" ht="14.5" customHeight="1">
      <c r="A621" s="39"/>
      <c r="B621" s="97"/>
      <c r="C621" s="57" t="s">
        <v>102</v>
      </c>
      <c r="D621" s="58">
        <v>3</v>
      </c>
      <c r="E621" s="59">
        <v>8.0459153570000002E-5</v>
      </c>
    </row>
    <row r="622" spans="1:5" ht="14.5" customHeight="1">
      <c r="A622" s="39"/>
      <c r="B622" s="97"/>
      <c r="C622" s="57" t="s">
        <v>104</v>
      </c>
      <c r="D622" s="58">
        <v>5</v>
      </c>
      <c r="E622" s="59">
        <v>1.34098589283E-4</v>
      </c>
    </row>
    <row r="623" spans="1:5" ht="14.5" customHeight="1">
      <c r="A623" s="39"/>
      <c r="B623" s="97"/>
      <c r="C623" s="57" t="s">
        <v>105</v>
      </c>
      <c r="D623" s="58">
        <v>13</v>
      </c>
      <c r="E623" s="59">
        <v>3.4865633213499998E-4</v>
      </c>
    </row>
    <row r="624" spans="1:5" ht="14.5" customHeight="1">
      <c r="A624" s="39"/>
      <c r="B624" s="97"/>
      <c r="C624" s="57" t="s">
        <v>106</v>
      </c>
      <c r="D624" s="58">
        <v>39</v>
      </c>
      <c r="E624" s="59">
        <v>1.045968996406E-3</v>
      </c>
    </row>
    <row r="625" spans="1:5" ht="14.5" customHeight="1">
      <c r="A625" s="39"/>
      <c r="B625" s="97"/>
      <c r="C625" s="57" t="s">
        <v>107</v>
      </c>
      <c r="D625" s="58">
        <v>4</v>
      </c>
      <c r="E625" s="59">
        <v>1.07278871426E-4</v>
      </c>
    </row>
    <row r="626" spans="1:5" ht="14.5" customHeight="1">
      <c r="A626" s="39"/>
      <c r="B626" s="97"/>
      <c r="C626" s="57" t="s">
        <v>108</v>
      </c>
      <c r="D626" s="58">
        <v>14</v>
      </c>
      <c r="E626" s="59">
        <v>3.7547604999199998E-4</v>
      </c>
    </row>
    <row r="627" spans="1:5" ht="14.5" customHeight="1">
      <c r="A627" s="39"/>
      <c r="B627" s="97"/>
      <c r="C627" s="57" t="s">
        <v>109</v>
      </c>
      <c r="D627" s="58">
        <v>12</v>
      </c>
      <c r="E627" s="59">
        <v>3.2183661427899999E-4</v>
      </c>
    </row>
    <row r="628" spans="1:5" ht="14.5" customHeight="1">
      <c r="A628" s="39"/>
      <c r="B628" s="97"/>
      <c r="C628" s="57" t="s">
        <v>110</v>
      </c>
      <c r="D628" s="58">
        <v>148</v>
      </c>
      <c r="E628" s="59">
        <v>3.9693182427719999E-3</v>
      </c>
    </row>
    <row r="629" spans="1:5" ht="14.5" customHeight="1">
      <c r="A629" s="39"/>
      <c r="B629" s="97"/>
      <c r="C629" s="57" t="s">
        <v>111</v>
      </c>
      <c r="D629" s="58">
        <v>16</v>
      </c>
      <c r="E629" s="59">
        <v>4.2911548570500002E-4</v>
      </c>
    </row>
    <row r="630" spans="1:5" ht="14.5" customHeight="1">
      <c r="A630" s="39"/>
      <c r="B630" s="97"/>
      <c r="C630" s="57" t="s">
        <v>112</v>
      </c>
      <c r="D630" s="58">
        <v>26</v>
      </c>
      <c r="E630" s="59">
        <v>6.9731266427100003E-4</v>
      </c>
    </row>
    <row r="631" spans="1:5" ht="14.5" customHeight="1">
      <c r="A631" s="39"/>
      <c r="B631" s="97"/>
      <c r="C631" s="57" t="s">
        <v>113</v>
      </c>
      <c r="D631" s="58">
        <v>103</v>
      </c>
      <c r="E631" s="59">
        <v>2.7624309392270002E-3</v>
      </c>
    </row>
    <row r="632" spans="1:5" ht="14.5" customHeight="1">
      <c r="A632" s="39"/>
      <c r="B632" s="97"/>
      <c r="C632" s="57" t="s">
        <v>114</v>
      </c>
      <c r="D632" s="58">
        <v>1</v>
      </c>
      <c r="E632" s="59">
        <v>2.6819717857000001E-5</v>
      </c>
    </row>
    <row r="633" spans="1:5" ht="14.5" customHeight="1">
      <c r="A633" s="39"/>
      <c r="B633" s="97"/>
      <c r="C633" s="57" t="s">
        <v>115</v>
      </c>
      <c r="D633" s="58">
        <v>5</v>
      </c>
      <c r="E633" s="59">
        <v>1.34098589283E-4</v>
      </c>
    </row>
    <row r="634" spans="1:5" ht="14.5" customHeight="1">
      <c r="A634" s="39"/>
      <c r="B634" s="97"/>
      <c r="C634" s="57" t="s">
        <v>116</v>
      </c>
      <c r="D634" s="58">
        <v>1</v>
      </c>
      <c r="E634" s="59">
        <v>2.6819717857000001E-5</v>
      </c>
    </row>
    <row r="635" spans="1:5" ht="14.5" customHeight="1">
      <c r="A635" s="39"/>
      <c r="B635" s="97"/>
      <c r="C635" s="57" t="s">
        <v>117</v>
      </c>
      <c r="D635" s="58">
        <v>1</v>
      </c>
      <c r="E635" s="59">
        <v>2.6819717857000001E-5</v>
      </c>
    </row>
    <row r="636" spans="1:5" ht="14.5" customHeight="1">
      <c r="A636" s="39"/>
      <c r="B636" s="97"/>
      <c r="C636" s="57" t="s">
        <v>118</v>
      </c>
      <c r="D636" s="58">
        <v>15</v>
      </c>
      <c r="E636" s="59">
        <v>4.0229576784899998E-4</v>
      </c>
    </row>
    <row r="637" spans="1:5" ht="14.5" customHeight="1">
      <c r="A637" s="39"/>
      <c r="B637" s="97"/>
      <c r="C637" s="57" t="s">
        <v>119</v>
      </c>
      <c r="D637" s="58">
        <v>26</v>
      </c>
      <c r="E637" s="59">
        <v>6.9731266427100003E-4</v>
      </c>
    </row>
    <row r="638" spans="1:5" ht="14.5" customHeight="1">
      <c r="A638" s="39"/>
      <c r="B638" s="97"/>
      <c r="C638" s="57" t="s">
        <v>121</v>
      </c>
      <c r="D638" s="58">
        <v>1</v>
      </c>
      <c r="E638" s="59">
        <v>2.6819717857000001E-5</v>
      </c>
    </row>
    <row r="639" spans="1:5" ht="14.5" customHeight="1">
      <c r="A639" s="39"/>
      <c r="B639" s="97"/>
      <c r="C639" s="57" t="s">
        <v>122</v>
      </c>
      <c r="D639" s="58">
        <v>1</v>
      </c>
      <c r="E639" s="59">
        <v>2.6819717857000001E-5</v>
      </c>
    </row>
    <row r="640" spans="1:5" ht="14.5" customHeight="1">
      <c r="A640" s="39"/>
      <c r="B640" s="98"/>
      <c r="C640" s="72" t="s">
        <v>353</v>
      </c>
      <c r="D640" s="71">
        <v>440</v>
      </c>
      <c r="E640" s="73">
        <v>1.180067585689E-2</v>
      </c>
    </row>
    <row r="641" spans="1:5" ht="14.5" customHeight="1">
      <c r="A641" s="39"/>
      <c r="B641" s="96" t="s">
        <v>76</v>
      </c>
      <c r="C641" s="57" t="s">
        <v>99</v>
      </c>
      <c r="D641" s="58">
        <v>3</v>
      </c>
      <c r="E641" s="59">
        <v>8.0459153570000002E-5</v>
      </c>
    </row>
    <row r="642" spans="1:5" ht="14.5" customHeight="1">
      <c r="A642" s="39"/>
      <c r="B642" s="97"/>
      <c r="C642" s="57" t="s">
        <v>100</v>
      </c>
      <c r="D642" s="58">
        <v>1</v>
      </c>
      <c r="E642" s="59">
        <v>2.6819717857000001E-5</v>
      </c>
    </row>
    <row r="643" spans="1:5" ht="14.5" customHeight="1">
      <c r="A643" s="39"/>
      <c r="B643" s="97"/>
      <c r="C643" s="57" t="s">
        <v>101</v>
      </c>
      <c r="D643" s="58">
        <v>2</v>
      </c>
      <c r="E643" s="59">
        <v>5.3639435713000001E-5</v>
      </c>
    </row>
    <row r="644" spans="1:5" ht="14.5" customHeight="1">
      <c r="A644" s="39"/>
      <c r="B644" s="97"/>
      <c r="C644" s="57" t="s">
        <v>102</v>
      </c>
      <c r="D644" s="58">
        <v>5</v>
      </c>
      <c r="E644" s="59">
        <v>1.34098589283E-4</v>
      </c>
    </row>
    <row r="645" spans="1:5" ht="14.5" customHeight="1">
      <c r="A645" s="39"/>
      <c r="B645" s="97"/>
      <c r="C645" s="57" t="s">
        <v>103</v>
      </c>
      <c r="D645" s="58">
        <v>3</v>
      </c>
      <c r="E645" s="59">
        <v>8.0459153570000002E-5</v>
      </c>
    </row>
    <row r="646" spans="1:5" ht="14.5" customHeight="1">
      <c r="A646" s="39"/>
      <c r="B646" s="97"/>
      <c r="C646" s="57" t="s">
        <v>104</v>
      </c>
      <c r="D646" s="58">
        <v>2</v>
      </c>
      <c r="E646" s="59">
        <v>5.3639435713000001E-5</v>
      </c>
    </row>
    <row r="647" spans="1:5" ht="14.5" customHeight="1">
      <c r="A647" s="39"/>
      <c r="B647" s="97"/>
      <c r="C647" s="57" t="s">
        <v>105</v>
      </c>
      <c r="D647" s="58">
        <v>20</v>
      </c>
      <c r="E647" s="59">
        <v>5.3639435713100005E-4</v>
      </c>
    </row>
    <row r="648" spans="1:5" ht="14.5" customHeight="1">
      <c r="A648" s="39"/>
      <c r="B648" s="97"/>
      <c r="C648" s="57" t="s">
        <v>106</v>
      </c>
      <c r="D648" s="58">
        <v>33</v>
      </c>
      <c r="E648" s="59">
        <v>8.8505068926699999E-4</v>
      </c>
    </row>
    <row r="649" spans="1:5" ht="14.5" customHeight="1">
      <c r="A649" s="39"/>
      <c r="B649" s="97"/>
      <c r="C649" s="57" t="s">
        <v>107</v>
      </c>
      <c r="D649" s="58">
        <v>5</v>
      </c>
      <c r="E649" s="59">
        <v>1.34098589283E-4</v>
      </c>
    </row>
    <row r="650" spans="1:5" ht="14.5" customHeight="1">
      <c r="A650" s="39"/>
      <c r="B650" s="97"/>
      <c r="C650" s="57" t="s">
        <v>108</v>
      </c>
      <c r="D650" s="58">
        <v>10</v>
      </c>
      <c r="E650" s="59">
        <v>2.6819717856600001E-4</v>
      </c>
    </row>
    <row r="651" spans="1:5" ht="14.5" customHeight="1">
      <c r="A651" s="39"/>
      <c r="B651" s="97"/>
      <c r="C651" s="57" t="s">
        <v>109</v>
      </c>
      <c r="D651" s="58">
        <v>7</v>
      </c>
      <c r="E651" s="59">
        <v>1.8773802499599999E-4</v>
      </c>
    </row>
    <row r="652" spans="1:5" ht="14.5" customHeight="1">
      <c r="A652" s="39"/>
      <c r="B652" s="97"/>
      <c r="C652" s="57" t="s">
        <v>110</v>
      </c>
      <c r="D652" s="58">
        <v>109</v>
      </c>
      <c r="E652" s="59">
        <v>2.9233492463660001E-3</v>
      </c>
    </row>
    <row r="653" spans="1:5" ht="14.5" customHeight="1">
      <c r="A653" s="39"/>
      <c r="B653" s="97"/>
      <c r="C653" s="57" t="s">
        <v>111</v>
      </c>
      <c r="D653" s="58">
        <v>9</v>
      </c>
      <c r="E653" s="59">
        <v>2.4137746070900001E-4</v>
      </c>
    </row>
    <row r="654" spans="1:5" ht="14.5" customHeight="1">
      <c r="A654" s="39"/>
      <c r="B654" s="97"/>
      <c r="C654" s="57" t="s">
        <v>112</v>
      </c>
      <c r="D654" s="58">
        <v>30</v>
      </c>
      <c r="E654" s="59">
        <v>8.0459153569700001E-4</v>
      </c>
    </row>
    <row r="655" spans="1:5" ht="14.5" customHeight="1">
      <c r="A655" s="39"/>
      <c r="B655" s="97"/>
      <c r="C655" s="57" t="s">
        <v>113</v>
      </c>
      <c r="D655" s="58">
        <v>107</v>
      </c>
      <c r="E655" s="59">
        <v>2.8697098106529998E-3</v>
      </c>
    </row>
    <row r="656" spans="1:5" ht="14.5" customHeight="1">
      <c r="A656" s="39"/>
      <c r="B656" s="97"/>
      <c r="C656" s="57" t="s">
        <v>114</v>
      </c>
      <c r="D656" s="58">
        <v>5</v>
      </c>
      <c r="E656" s="59">
        <v>1.34098589283E-4</v>
      </c>
    </row>
    <row r="657" spans="1:5" ht="14.5" customHeight="1">
      <c r="A657" s="39"/>
      <c r="B657" s="97"/>
      <c r="C657" s="57" t="s">
        <v>115</v>
      </c>
      <c r="D657" s="58">
        <v>2</v>
      </c>
      <c r="E657" s="59">
        <v>5.3639435713000001E-5</v>
      </c>
    </row>
    <row r="658" spans="1:5" ht="14.5" customHeight="1">
      <c r="A658" s="39"/>
      <c r="B658" s="97"/>
      <c r="C658" s="57" t="s">
        <v>118</v>
      </c>
      <c r="D658" s="58">
        <v>3</v>
      </c>
      <c r="E658" s="59">
        <v>8.0459153570000002E-5</v>
      </c>
    </row>
    <row r="659" spans="1:5" ht="14.5" customHeight="1">
      <c r="A659" s="39"/>
      <c r="B659" s="97"/>
      <c r="C659" s="57" t="s">
        <v>119</v>
      </c>
      <c r="D659" s="58">
        <v>9</v>
      </c>
      <c r="E659" s="59">
        <v>2.4137746070900001E-4</v>
      </c>
    </row>
    <row r="660" spans="1:5" ht="14.5" customHeight="1">
      <c r="A660" s="39"/>
      <c r="B660" s="98"/>
      <c r="C660" s="72" t="s">
        <v>353</v>
      </c>
      <c r="D660" s="71">
        <v>365</v>
      </c>
      <c r="E660" s="73">
        <v>9.7891970176469997E-3</v>
      </c>
    </row>
    <row r="661" spans="1:5" ht="14.5" customHeight="1">
      <c r="A661" s="39"/>
      <c r="B661" s="96" t="s">
        <v>60</v>
      </c>
      <c r="C661" s="57" t="s">
        <v>99</v>
      </c>
      <c r="D661" s="58">
        <v>2</v>
      </c>
      <c r="E661" s="59">
        <v>5.3639435713000001E-5</v>
      </c>
    </row>
    <row r="662" spans="1:5" ht="14.5" customHeight="1">
      <c r="A662" s="39"/>
      <c r="B662" s="97"/>
      <c r="C662" s="57" t="s">
        <v>101</v>
      </c>
      <c r="D662" s="58">
        <v>1</v>
      </c>
      <c r="E662" s="59">
        <v>2.6819717857000001E-5</v>
      </c>
    </row>
    <row r="663" spans="1:5" ht="14.5" customHeight="1">
      <c r="A663" s="39"/>
      <c r="B663" s="97"/>
      <c r="C663" s="57" t="s">
        <v>102</v>
      </c>
      <c r="D663" s="58">
        <v>4</v>
      </c>
      <c r="E663" s="59">
        <v>1.07278871426E-4</v>
      </c>
    </row>
    <row r="664" spans="1:5" ht="14.5" customHeight="1">
      <c r="A664" s="39"/>
      <c r="B664" s="97"/>
      <c r="C664" s="57" t="s">
        <v>103</v>
      </c>
      <c r="D664" s="58">
        <v>3</v>
      </c>
      <c r="E664" s="59">
        <v>8.0459153570000002E-5</v>
      </c>
    </row>
    <row r="665" spans="1:5" ht="14.5" customHeight="1">
      <c r="A665" s="39"/>
      <c r="B665" s="97"/>
      <c r="C665" s="57" t="s">
        <v>104</v>
      </c>
      <c r="D665" s="58">
        <v>2</v>
      </c>
      <c r="E665" s="59">
        <v>5.3639435713000001E-5</v>
      </c>
    </row>
    <row r="666" spans="1:5" ht="14.5" customHeight="1">
      <c r="A666" s="39"/>
      <c r="B666" s="97"/>
      <c r="C666" s="57" t="s">
        <v>105</v>
      </c>
      <c r="D666" s="58">
        <v>19</v>
      </c>
      <c r="E666" s="59">
        <v>5.0957463927499996E-4</v>
      </c>
    </row>
    <row r="667" spans="1:5" ht="14.5" customHeight="1">
      <c r="A667" s="39"/>
      <c r="B667" s="97"/>
      <c r="C667" s="57" t="s">
        <v>106</v>
      </c>
      <c r="D667" s="58">
        <v>40</v>
      </c>
      <c r="E667" s="59">
        <v>1.072788714263E-3</v>
      </c>
    </row>
    <row r="668" spans="1:5" ht="14.5" customHeight="1">
      <c r="A668" s="39"/>
      <c r="B668" s="97"/>
      <c r="C668" s="57" t="s">
        <v>107</v>
      </c>
      <c r="D668" s="58">
        <v>8</v>
      </c>
      <c r="E668" s="59">
        <v>2.1455774285299999E-4</v>
      </c>
    </row>
    <row r="669" spans="1:5" ht="14.5" customHeight="1">
      <c r="A669" s="39"/>
      <c r="B669" s="97"/>
      <c r="C669" s="57" t="s">
        <v>108</v>
      </c>
      <c r="D669" s="58">
        <v>19</v>
      </c>
      <c r="E669" s="59">
        <v>5.0957463927499996E-4</v>
      </c>
    </row>
    <row r="670" spans="1:5" ht="14.5" customHeight="1">
      <c r="A670" s="39"/>
      <c r="B670" s="97"/>
      <c r="C670" s="57" t="s">
        <v>109</v>
      </c>
      <c r="D670" s="58">
        <v>20</v>
      </c>
      <c r="E670" s="59">
        <v>5.3639435713100005E-4</v>
      </c>
    </row>
    <row r="671" spans="1:5" ht="14.5" customHeight="1">
      <c r="A671" s="39"/>
      <c r="B671" s="97"/>
      <c r="C671" s="57" t="s">
        <v>110</v>
      </c>
      <c r="D671" s="58">
        <v>179</v>
      </c>
      <c r="E671" s="59">
        <v>4.8007294963260004E-3</v>
      </c>
    </row>
    <row r="672" spans="1:5" ht="14.5" customHeight="1">
      <c r="A672" s="39"/>
      <c r="B672" s="97"/>
      <c r="C672" s="57" t="s">
        <v>111</v>
      </c>
      <c r="D672" s="58">
        <v>18</v>
      </c>
      <c r="E672" s="59">
        <v>4.8275492141800001E-4</v>
      </c>
    </row>
    <row r="673" spans="1:5" ht="14.5" customHeight="1">
      <c r="A673" s="39"/>
      <c r="B673" s="97"/>
      <c r="C673" s="57" t="s">
        <v>112</v>
      </c>
      <c r="D673" s="58">
        <v>37</v>
      </c>
      <c r="E673" s="59">
        <v>9.9232956069299997E-4</v>
      </c>
    </row>
    <row r="674" spans="1:5" ht="14.5" customHeight="1">
      <c r="A674" s="39"/>
      <c r="B674" s="97"/>
      <c r="C674" s="57" t="s">
        <v>113</v>
      </c>
      <c r="D674" s="58">
        <v>153</v>
      </c>
      <c r="E674" s="59">
        <v>4.1034168320549999E-3</v>
      </c>
    </row>
    <row r="675" spans="1:5" ht="14.5" customHeight="1">
      <c r="A675" s="39"/>
      <c r="B675" s="97"/>
      <c r="C675" s="57" t="s">
        <v>114</v>
      </c>
      <c r="D675" s="58">
        <v>8</v>
      </c>
      <c r="E675" s="59">
        <v>2.1455774285299999E-4</v>
      </c>
    </row>
    <row r="676" spans="1:5" ht="14.5" customHeight="1">
      <c r="A676" s="39"/>
      <c r="B676" s="97"/>
      <c r="C676" s="57" t="s">
        <v>115</v>
      </c>
      <c r="D676" s="58">
        <v>9</v>
      </c>
      <c r="E676" s="59">
        <v>2.4137746070900001E-4</v>
      </c>
    </row>
    <row r="677" spans="1:5" ht="14.5" customHeight="1">
      <c r="A677" s="39"/>
      <c r="B677" s="97"/>
      <c r="C677" s="57" t="s">
        <v>117</v>
      </c>
      <c r="D677" s="58">
        <v>4</v>
      </c>
      <c r="E677" s="59">
        <v>1.07278871426E-4</v>
      </c>
    </row>
    <row r="678" spans="1:5" ht="14.5" customHeight="1">
      <c r="A678" s="39"/>
      <c r="B678" s="97"/>
      <c r="C678" s="57" t="s">
        <v>118</v>
      </c>
      <c r="D678" s="58">
        <v>15</v>
      </c>
      <c r="E678" s="59">
        <v>4.0229576784899998E-4</v>
      </c>
    </row>
    <row r="679" spans="1:5" ht="14.5" customHeight="1">
      <c r="A679" s="39"/>
      <c r="B679" s="97"/>
      <c r="C679" s="57" t="s">
        <v>119</v>
      </c>
      <c r="D679" s="58">
        <v>32</v>
      </c>
      <c r="E679" s="59">
        <v>8.5823097141000005E-4</v>
      </c>
    </row>
    <row r="680" spans="1:5" ht="14.5" customHeight="1">
      <c r="A680" s="39"/>
      <c r="B680" s="97"/>
      <c r="C680" s="57" t="s">
        <v>121</v>
      </c>
      <c r="D680" s="58">
        <v>3</v>
      </c>
      <c r="E680" s="59">
        <v>8.0459153570000002E-5</v>
      </c>
    </row>
    <row r="681" spans="1:5" ht="14.5" customHeight="1">
      <c r="A681" s="39"/>
      <c r="B681" s="98"/>
      <c r="C681" s="72" t="s">
        <v>353</v>
      </c>
      <c r="D681" s="71">
        <v>576</v>
      </c>
      <c r="E681" s="73">
        <v>1.5448157485383E-2</v>
      </c>
    </row>
    <row r="682" spans="1:5" ht="14.5" customHeight="1">
      <c r="A682" s="39"/>
      <c r="B682" s="96" t="s">
        <v>82</v>
      </c>
      <c r="C682" s="57" t="s">
        <v>99</v>
      </c>
      <c r="D682" s="58">
        <v>3</v>
      </c>
      <c r="E682" s="59">
        <v>8.0459153570000002E-5</v>
      </c>
    </row>
    <row r="683" spans="1:5" ht="14.5" customHeight="1">
      <c r="A683" s="39"/>
      <c r="B683" s="97"/>
      <c r="C683" s="57" t="s">
        <v>102</v>
      </c>
      <c r="D683" s="58">
        <v>1</v>
      </c>
      <c r="E683" s="59">
        <v>2.6819717857000001E-5</v>
      </c>
    </row>
    <row r="684" spans="1:5" ht="14.5" customHeight="1">
      <c r="A684" s="39"/>
      <c r="B684" s="97"/>
      <c r="C684" s="57" t="s">
        <v>103</v>
      </c>
      <c r="D684" s="58">
        <v>2</v>
      </c>
      <c r="E684" s="59">
        <v>5.3639435713000001E-5</v>
      </c>
    </row>
    <row r="685" spans="1:5" ht="14.5" customHeight="1">
      <c r="A685" s="39"/>
      <c r="B685" s="97"/>
      <c r="C685" s="57" t="s">
        <v>105</v>
      </c>
      <c r="D685" s="58">
        <v>16</v>
      </c>
      <c r="E685" s="59">
        <v>4.2911548570500002E-4</v>
      </c>
    </row>
    <row r="686" spans="1:5" ht="14.5" customHeight="1">
      <c r="A686" s="39"/>
      <c r="B686" s="97"/>
      <c r="C686" s="57" t="s">
        <v>106</v>
      </c>
      <c r="D686" s="58">
        <v>10</v>
      </c>
      <c r="E686" s="59">
        <v>2.6819717856600001E-4</v>
      </c>
    </row>
    <row r="687" spans="1:5" ht="14.5" customHeight="1">
      <c r="A687" s="39"/>
      <c r="B687" s="97"/>
      <c r="C687" s="57" t="s">
        <v>107</v>
      </c>
      <c r="D687" s="58">
        <v>6</v>
      </c>
      <c r="E687" s="59">
        <v>1.6091830713899999E-4</v>
      </c>
    </row>
    <row r="688" spans="1:5" ht="14.5" customHeight="1">
      <c r="A688" s="39"/>
      <c r="B688" s="97"/>
      <c r="C688" s="57" t="s">
        <v>108</v>
      </c>
      <c r="D688" s="58">
        <v>8</v>
      </c>
      <c r="E688" s="59">
        <v>2.1455774285299999E-4</v>
      </c>
    </row>
    <row r="689" spans="1:5" ht="14.5" customHeight="1">
      <c r="A689" s="39"/>
      <c r="B689" s="97"/>
      <c r="C689" s="57" t="s">
        <v>109</v>
      </c>
      <c r="D689" s="58">
        <v>3</v>
      </c>
      <c r="E689" s="59">
        <v>8.0459153570000002E-5</v>
      </c>
    </row>
    <row r="690" spans="1:5" ht="14.5" customHeight="1">
      <c r="A690" s="39"/>
      <c r="B690" s="97"/>
      <c r="C690" s="57" t="s">
        <v>110</v>
      </c>
      <c r="D690" s="58">
        <v>65</v>
      </c>
      <c r="E690" s="59">
        <v>1.743281660677E-3</v>
      </c>
    </row>
    <row r="691" spans="1:5" ht="14.5" customHeight="1">
      <c r="A691" s="39"/>
      <c r="B691" s="97"/>
      <c r="C691" s="57" t="s">
        <v>111</v>
      </c>
      <c r="D691" s="58">
        <v>4</v>
      </c>
      <c r="E691" s="59">
        <v>1.07278871426E-4</v>
      </c>
    </row>
    <row r="692" spans="1:5" ht="14.5" customHeight="1">
      <c r="A692" s="39"/>
      <c r="B692" s="97"/>
      <c r="C692" s="57" t="s">
        <v>112</v>
      </c>
      <c r="D692" s="58">
        <v>12</v>
      </c>
      <c r="E692" s="59">
        <v>3.2183661427899999E-4</v>
      </c>
    </row>
    <row r="693" spans="1:5" ht="14.5" customHeight="1">
      <c r="A693" s="39"/>
      <c r="B693" s="97"/>
      <c r="C693" s="57" t="s">
        <v>113</v>
      </c>
      <c r="D693" s="58">
        <v>66</v>
      </c>
      <c r="E693" s="59">
        <v>1.7701013785329999E-3</v>
      </c>
    </row>
    <row r="694" spans="1:5" ht="14.5" customHeight="1">
      <c r="A694" s="39"/>
      <c r="B694" s="97"/>
      <c r="C694" s="57" t="s">
        <v>114</v>
      </c>
      <c r="D694" s="58">
        <v>2</v>
      </c>
      <c r="E694" s="59">
        <v>5.3639435713000001E-5</v>
      </c>
    </row>
    <row r="695" spans="1:5" ht="14.5" customHeight="1">
      <c r="A695" s="39"/>
      <c r="B695" s="97"/>
      <c r="C695" s="57" t="s">
        <v>115</v>
      </c>
      <c r="D695" s="58">
        <v>3</v>
      </c>
      <c r="E695" s="59">
        <v>8.0459153570000002E-5</v>
      </c>
    </row>
    <row r="696" spans="1:5" ht="14.5" customHeight="1">
      <c r="A696" s="39"/>
      <c r="B696" s="97"/>
      <c r="C696" s="57" t="s">
        <v>116</v>
      </c>
      <c r="D696" s="58">
        <v>1</v>
      </c>
      <c r="E696" s="59">
        <v>2.6819717857000001E-5</v>
      </c>
    </row>
    <row r="697" spans="1:5" ht="14.5" customHeight="1">
      <c r="A697" s="39"/>
      <c r="B697" s="97"/>
      <c r="C697" s="57" t="s">
        <v>118</v>
      </c>
      <c r="D697" s="58">
        <v>6</v>
      </c>
      <c r="E697" s="59">
        <v>1.6091830713899999E-4</v>
      </c>
    </row>
    <row r="698" spans="1:5" ht="14.5" customHeight="1">
      <c r="A698" s="39"/>
      <c r="B698" s="97"/>
      <c r="C698" s="57" t="s">
        <v>119</v>
      </c>
      <c r="D698" s="58">
        <v>23</v>
      </c>
      <c r="E698" s="59">
        <v>6.1685351070100004E-4</v>
      </c>
    </row>
    <row r="699" spans="1:5" ht="14.5" customHeight="1">
      <c r="A699" s="39"/>
      <c r="B699" s="97"/>
      <c r="C699" s="57" t="s">
        <v>121</v>
      </c>
      <c r="D699" s="58">
        <v>5</v>
      </c>
      <c r="E699" s="59">
        <v>1.34098589283E-4</v>
      </c>
    </row>
    <row r="700" spans="1:5" ht="14.5" customHeight="1">
      <c r="A700" s="39"/>
      <c r="B700" s="98"/>
      <c r="C700" s="72" t="s">
        <v>353</v>
      </c>
      <c r="D700" s="71">
        <v>236</v>
      </c>
      <c r="E700" s="73">
        <v>6.3294534141500004E-3</v>
      </c>
    </row>
    <row r="701" spans="1:5" ht="14.5" customHeight="1">
      <c r="A701" s="39"/>
      <c r="B701" s="96" t="s">
        <v>92</v>
      </c>
      <c r="C701" s="57" t="s">
        <v>105</v>
      </c>
      <c r="D701" s="58">
        <v>1</v>
      </c>
      <c r="E701" s="59">
        <v>2.6819717857000001E-5</v>
      </c>
    </row>
    <row r="702" spans="1:5" ht="14.5" customHeight="1">
      <c r="A702" s="39"/>
      <c r="B702" s="97"/>
      <c r="C702" s="57" t="s">
        <v>110</v>
      </c>
      <c r="D702" s="58">
        <v>4</v>
      </c>
      <c r="E702" s="59">
        <v>1.07278871426E-4</v>
      </c>
    </row>
    <row r="703" spans="1:5" ht="14.5" customHeight="1">
      <c r="A703" s="39"/>
      <c r="B703" s="97"/>
      <c r="C703" s="57" t="s">
        <v>113</v>
      </c>
      <c r="D703" s="58">
        <v>1</v>
      </c>
      <c r="E703" s="59">
        <v>2.6819717857000001E-5</v>
      </c>
    </row>
    <row r="704" spans="1:5" ht="14.5" customHeight="1">
      <c r="A704" s="39"/>
      <c r="B704" s="97"/>
      <c r="C704" s="57" t="s">
        <v>119</v>
      </c>
      <c r="D704" s="58">
        <v>1</v>
      </c>
      <c r="E704" s="59">
        <v>2.6819717857000001E-5</v>
      </c>
    </row>
    <row r="705" spans="1:5" ht="14.5" customHeight="1">
      <c r="A705" s="39"/>
      <c r="B705" s="98"/>
      <c r="C705" s="72" t="s">
        <v>353</v>
      </c>
      <c r="D705" s="71">
        <v>7</v>
      </c>
      <c r="E705" s="73">
        <v>1.8773802499599999E-4</v>
      </c>
    </row>
    <row r="706" spans="1:5" ht="14.5" customHeight="1">
      <c r="A706" s="39"/>
      <c r="B706" s="96" t="s">
        <v>52</v>
      </c>
      <c r="C706" s="57" t="s">
        <v>99</v>
      </c>
      <c r="D706" s="58">
        <v>6</v>
      </c>
      <c r="E706" s="59">
        <v>1.6091830713899999E-4</v>
      </c>
    </row>
    <row r="707" spans="1:5" ht="14.5" customHeight="1">
      <c r="A707" s="39"/>
      <c r="B707" s="97"/>
      <c r="C707" s="57" t="s">
        <v>100</v>
      </c>
      <c r="D707" s="58">
        <v>4</v>
      </c>
      <c r="E707" s="59">
        <v>1.07278871426E-4</v>
      </c>
    </row>
    <row r="708" spans="1:5" ht="14.5" customHeight="1">
      <c r="A708" s="39"/>
      <c r="B708" s="97"/>
      <c r="C708" s="57" t="s">
        <v>101</v>
      </c>
      <c r="D708" s="58">
        <v>1</v>
      </c>
      <c r="E708" s="59">
        <v>2.6819717857000001E-5</v>
      </c>
    </row>
    <row r="709" spans="1:5" ht="14.5" customHeight="1">
      <c r="A709" s="39"/>
      <c r="B709" s="97"/>
      <c r="C709" s="57" t="s">
        <v>102</v>
      </c>
      <c r="D709" s="58">
        <v>7</v>
      </c>
      <c r="E709" s="59">
        <v>1.8773802499599999E-4</v>
      </c>
    </row>
    <row r="710" spans="1:5" ht="14.5" customHeight="1">
      <c r="A710" s="39"/>
      <c r="B710" s="97"/>
      <c r="C710" s="57" t="s">
        <v>103</v>
      </c>
      <c r="D710" s="58">
        <v>3</v>
      </c>
      <c r="E710" s="59">
        <v>8.0459153570000002E-5</v>
      </c>
    </row>
    <row r="711" spans="1:5" ht="14.5" customHeight="1">
      <c r="A711" s="39"/>
      <c r="B711" s="97"/>
      <c r="C711" s="57" t="s">
        <v>104</v>
      </c>
      <c r="D711" s="58">
        <v>9</v>
      </c>
      <c r="E711" s="59">
        <v>2.4137746070900001E-4</v>
      </c>
    </row>
    <row r="712" spans="1:5" ht="14.5" customHeight="1">
      <c r="A712" s="39"/>
      <c r="B712" s="97"/>
      <c r="C712" s="57" t="s">
        <v>105</v>
      </c>
      <c r="D712" s="58">
        <v>39</v>
      </c>
      <c r="E712" s="59">
        <v>1.045968996406E-3</v>
      </c>
    </row>
    <row r="713" spans="1:5" ht="14.5" customHeight="1">
      <c r="A713" s="39"/>
      <c r="B713" s="97"/>
      <c r="C713" s="57" t="s">
        <v>106</v>
      </c>
      <c r="D713" s="58">
        <v>111</v>
      </c>
      <c r="E713" s="59">
        <v>2.9769886820789999E-3</v>
      </c>
    </row>
    <row r="714" spans="1:5" ht="14.5" customHeight="1">
      <c r="A714" s="39"/>
      <c r="B714" s="97"/>
      <c r="C714" s="57" t="s">
        <v>107</v>
      </c>
      <c r="D714" s="58">
        <v>17</v>
      </c>
      <c r="E714" s="59">
        <v>4.5593520356200002E-4</v>
      </c>
    </row>
    <row r="715" spans="1:5" ht="14.5" customHeight="1">
      <c r="A715" s="39"/>
      <c r="B715" s="97"/>
      <c r="C715" s="57" t="s">
        <v>108</v>
      </c>
      <c r="D715" s="58">
        <v>42</v>
      </c>
      <c r="E715" s="59">
        <v>1.126428149976E-3</v>
      </c>
    </row>
    <row r="716" spans="1:5" ht="14.5" customHeight="1">
      <c r="A716" s="39"/>
      <c r="B716" s="97"/>
      <c r="C716" s="57" t="s">
        <v>109</v>
      </c>
      <c r="D716" s="58">
        <v>56</v>
      </c>
      <c r="E716" s="59">
        <v>1.5019041999679999E-3</v>
      </c>
    </row>
    <row r="717" spans="1:5" ht="14.5" customHeight="1">
      <c r="A717" s="39"/>
      <c r="B717" s="97"/>
      <c r="C717" s="57" t="s">
        <v>110</v>
      </c>
      <c r="D717" s="58">
        <v>542</v>
      </c>
      <c r="E717" s="59">
        <v>1.4536287078259999E-2</v>
      </c>
    </row>
    <row r="718" spans="1:5" ht="14.5" customHeight="1">
      <c r="A718" s="39"/>
      <c r="B718" s="97"/>
      <c r="C718" s="57" t="s">
        <v>111</v>
      </c>
      <c r="D718" s="58">
        <v>28</v>
      </c>
      <c r="E718" s="59">
        <v>7.5095209998399996E-4</v>
      </c>
    </row>
    <row r="719" spans="1:5" ht="14.5" customHeight="1">
      <c r="A719" s="39"/>
      <c r="B719" s="97"/>
      <c r="C719" s="57" t="s">
        <v>112</v>
      </c>
      <c r="D719" s="58">
        <v>105</v>
      </c>
      <c r="E719" s="59">
        <v>2.81607037494E-3</v>
      </c>
    </row>
    <row r="720" spans="1:5" ht="14.5" customHeight="1">
      <c r="A720" s="39"/>
      <c r="B720" s="97"/>
      <c r="C720" s="57" t="s">
        <v>113</v>
      </c>
      <c r="D720" s="58">
        <v>359</v>
      </c>
      <c r="E720" s="59">
        <v>9.6282787105080002E-3</v>
      </c>
    </row>
    <row r="721" spans="1:5" ht="14.5" customHeight="1">
      <c r="A721" s="39"/>
      <c r="B721" s="97"/>
      <c r="C721" s="57" t="s">
        <v>114</v>
      </c>
      <c r="D721" s="58">
        <v>5</v>
      </c>
      <c r="E721" s="59">
        <v>1.34098589283E-4</v>
      </c>
    </row>
    <row r="722" spans="1:5" ht="14.5" customHeight="1">
      <c r="A722" s="39"/>
      <c r="B722" s="97"/>
      <c r="C722" s="57" t="s">
        <v>115</v>
      </c>
      <c r="D722" s="58">
        <v>3</v>
      </c>
      <c r="E722" s="59">
        <v>8.0459153570000002E-5</v>
      </c>
    </row>
    <row r="723" spans="1:5" ht="14.5" customHeight="1">
      <c r="A723" s="39"/>
      <c r="B723" s="97"/>
      <c r="C723" s="57" t="s">
        <v>116</v>
      </c>
      <c r="D723" s="58">
        <v>1</v>
      </c>
      <c r="E723" s="59">
        <v>2.6819717857000001E-5</v>
      </c>
    </row>
    <row r="724" spans="1:5" ht="14.5" customHeight="1">
      <c r="A724" s="39"/>
      <c r="B724" s="97"/>
      <c r="C724" s="57" t="s">
        <v>117</v>
      </c>
      <c r="D724" s="58">
        <v>1</v>
      </c>
      <c r="E724" s="59">
        <v>2.6819717857000001E-5</v>
      </c>
    </row>
    <row r="725" spans="1:5" ht="14.5" customHeight="1">
      <c r="A725" s="39"/>
      <c r="B725" s="97"/>
      <c r="C725" s="57" t="s">
        <v>118</v>
      </c>
      <c r="D725" s="58">
        <v>37</v>
      </c>
      <c r="E725" s="59">
        <v>9.9232956069299997E-4</v>
      </c>
    </row>
    <row r="726" spans="1:5" ht="14.5" customHeight="1">
      <c r="A726" s="39"/>
      <c r="B726" s="97"/>
      <c r="C726" s="57" t="s">
        <v>119</v>
      </c>
      <c r="D726" s="58">
        <v>54</v>
      </c>
      <c r="E726" s="59">
        <v>1.4482647642550001E-3</v>
      </c>
    </row>
    <row r="727" spans="1:5" ht="14.5" customHeight="1">
      <c r="A727" s="39"/>
      <c r="B727" s="97"/>
      <c r="C727" s="57" t="s">
        <v>122</v>
      </c>
      <c r="D727" s="58">
        <v>1</v>
      </c>
      <c r="E727" s="59">
        <v>2.6819717857000001E-5</v>
      </c>
    </row>
    <row r="728" spans="1:5" ht="14.5" customHeight="1">
      <c r="A728" s="39"/>
      <c r="B728" s="98"/>
      <c r="C728" s="72" t="s">
        <v>353</v>
      </c>
      <c r="D728" s="71">
        <v>1431</v>
      </c>
      <c r="E728" s="73">
        <v>3.8379016252748997E-2</v>
      </c>
    </row>
    <row r="729" spans="1:5" ht="14.5" customHeight="1">
      <c r="A729" s="39"/>
      <c r="B729" s="96" t="s">
        <v>64</v>
      </c>
      <c r="C729" s="57" t="s">
        <v>99</v>
      </c>
      <c r="D729" s="58">
        <v>6</v>
      </c>
      <c r="E729" s="59">
        <v>1.6091830713899999E-4</v>
      </c>
    </row>
    <row r="730" spans="1:5" ht="14.5" customHeight="1">
      <c r="A730" s="39"/>
      <c r="B730" s="97"/>
      <c r="C730" s="57" t="s">
        <v>102</v>
      </c>
      <c r="D730" s="58">
        <v>7</v>
      </c>
      <c r="E730" s="59">
        <v>1.8773802499599999E-4</v>
      </c>
    </row>
    <row r="731" spans="1:5" ht="14.5" customHeight="1">
      <c r="A731" s="39"/>
      <c r="B731" s="97"/>
      <c r="C731" s="57" t="s">
        <v>103</v>
      </c>
      <c r="D731" s="58">
        <v>2</v>
      </c>
      <c r="E731" s="59">
        <v>5.3639435713000001E-5</v>
      </c>
    </row>
    <row r="732" spans="1:5" ht="14.5" customHeight="1">
      <c r="A732" s="39"/>
      <c r="B732" s="97"/>
      <c r="C732" s="57" t="s">
        <v>104</v>
      </c>
      <c r="D732" s="58">
        <v>5</v>
      </c>
      <c r="E732" s="59">
        <v>1.34098589283E-4</v>
      </c>
    </row>
    <row r="733" spans="1:5" ht="14.5" customHeight="1">
      <c r="A733" s="39"/>
      <c r="B733" s="97"/>
      <c r="C733" s="57" t="s">
        <v>105</v>
      </c>
      <c r="D733" s="58">
        <v>33</v>
      </c>
      <c r="E733" s="59">
        <v>8.8505068926699999E-4</v>
      </c>
    </row>
    <row r="734" spans="1:5" ht="14.5" customHeight="1">
      <c r="A734" s="39"/>
      <c r="B734" s="97"/>
      <c r="C734" s="57" t="s">
        <v>106</v>
      </c>
      <c r="D734" s="58">
        <v>87</v>
      </c>
      <c r="E734" s="59">
        <v>2.3333154535210001E-3</v>
      </c>
    </row>
    <row r="735" spans="1:5" ht="14.5" customHeight="1">
      <c r="A735" s="39"/>
      <c r="B735" s="97"/>
      <c r="C735" s="57" t="s">
        <v>107</v>
      </c>
      <c r="D735" s="58">
        <v>5</v>
      </c>
      <c r="E735" s="59">
        <v>1.34098589283E-4</v>
      </c>
    </row>
    <row r="736" spans="1:5" ht="14.5" customHeight="1">
      <c r="A736" s="39"/>
      <c r="B736" s="97"/>
      <c r="C736" s="57" t="s">
        <v>108</v>
      </c>
      <c r="D736" s="58">
        <v>13</v>
      </c>
      <c r="E736" s="59">
        <v>3.4865633213499998E-4</v>
      </c>
    </row>
    <row r="737" spans="1:5" ht="14.5" customHeight="1">
      <c r="A737" s="39"/>
      <c r="B737" s="97"/>
      <c r="C737" s="57" t="s">
        <v>109</v>
      </c>
      <c r="D737" s="58">
        <v>28</v>
      </c>
      <c r="E737" s="59">
        <v>7.5095209998399996E-4</v>
      </c>
    </row>
    <row r="738" spans="1:5" ht="14.5" customHeight="1">
      <c r="A738" s="39"/>
      <c r="B738" s="97"/>
      <c r="C738" s="57" t="s">
        <v>110</v>
      </c>
      <c r="D738" s="58">
        <v>188</v>
      </c>
      <c r="E738" s="59">
        <v>5.0421069570350001E-3</v>
      </c>
    </row>
    <row r="739" spans="1:5" ht="14.5" customHeight="1">
      <c r="A739" s="39"/>
      <c r="B739" s="97"/>
      <c r="C739" s="57" t="s">
        <v>111</v>
      </c>
      <c r="D739" s="58">
        <v>23</v>
      </c>
      <c r="E739" s="59">
        <v>6.1685351070100004E-4</v>
      </c>
    </row>
    <row r="740" spans="1:5" ht="14.5" customHeight="1">
      <c r="A740" s="39"/>
      <c r="B740" s="97"/>
      <c r="C740" s="57" t="s">
        <v>112</v>
      </c>
      <c r="D740" s="58">
        <v>41</v>
      </c>
      <c r="E740" s="59">
        <v>1.0996084321190001E-3</v>
      </c>
    </row>
    <row r="741" spans="1:5" ht="14.5" customHeight="1">
      <c r="A741" s="39"/>
      <c r="B741" s="97"/>
      <c r="C741" s="57" t="s">
        <v>113</v>
      </c>
      <c r="D741" s="58">
        <v>170</v>
      </c>
      <c r="E741" s="59">
        <v>4.5593520356169998E-3</v>
      </c>
    </row>
    <row r="742" spans="1:5" ht="14.5" customHeight="1">
      <c r="A742" s="39"/>
      <c r="B742" s="97"/>
      <c r="C742" s="57" t="s">
        <v>114</v>
      </c>
      <c r="D742" s="58">
        <v>6</v>
      </c>
      <c r="E742" s="59">
        <v>1.6091830713899999E-4</v>
      </c>
    </row>
    <row r="743" spans="1:5" ht="14.5" customHeight="1">
      <c r="A743" s="39"/>
      <c r="B743" s="97"/>
      <c r="C743" s="57" t="s">
        <v>115</v>
      </c>
      <c r="D743" s="58">
        <v>1</v>
      </c>
      <c r="E743" s="59">
        <v>2.6819717857000001E-5</v>
      </c>
    </row>
    <row r="744" spans="1:5" ht="14.5" customHeight="1">
      <c r="A744" s="39"/>
      <c r="B744" s="97"/>
      <c r="C744" s="57" t="s">
        <v>116</v>
      </c>
      <c r="D744" s="58">
        <v>1</v>
      </c>
      <c r="E744" s="59">
        <v>2.6819717857000001E-5</v>
      </c>
    </row>
    <row r="745" spans="1:5" ht="14.5" customHeight="1">
      <c r="A745" s="39"/>
      <c r="B745" s="97"/>
      <c r="C745" s="57" t="s">
        <v>117</v>
      </c>
      <c r="D745" s="58">
        <v>1</v>
      </c>
      <c r="E745" s="59">
        <v>2.6819717857000001E-5</v>
      </c>
    </row>
    <row r="746" spans="1:5" ht="14.5" customHeight="1">
      <c r="A746" s="39"/>
      <c r="B746" s="97"/>
      <c r="C746" s="57" t="s">
        <v>118</v>
      </c>
      <c r="D746" s="58">
        <v>12</v>
      </c>
      <c r="E746" s="59">
        <v>3.2183661427899999E-4</v>
      </c>
    </row>
    <row r="747" spans="1:5" ht="14.5" customHeight="1">
      <c r="A747" s="39"/>
      <c r="B747" s="97"/>
      <c r="C747" s="57" t="s">
        <v>119</v>
      </c>
      <c r="D747" s="58">
        <v>29</v>
      </c>
      <c r="E747" s="59">
        <v>7.7777181783999995E-4</v>
      </c>
    </row>
    <row r="748" spans="1:5" ht="14.5" customHeight="1">
      <c r="A748" s="39"/>
      <c r="B748" s="97"/>
      <c r="C748" s="57" t="s">
        <v>121</v>
      </c>
      <c r="D748" s="58">
        <v>1</v>
      </c>
      <c r="E748" s="59">
        <v>2.6819717857000001E-5</v>
      </c>
    </row>
    <row r="749" spans="1:5" ht="14.5" customHeight="1">
      <c r="A749" s="39"/>
      <c r="B749" s="98"/>
      <c r="C749" s="72" t="s">
        <v>353</v>
      </c>
      <c r="D749" s="71">
        <v>659</v>
      </c>
      <c r="E749" s="73">
        <v>1.7674194067478E-2</v>
      </c>
    </row>
    <row r="750" spans="1:5" ht="14.5" customHeight="1">
      <c r="A750" s="39"/>
      <c r="B750" s="96" t="s">
        <v>68</v>
      </c>
      <c r="C750" s="57" t="s">
        <v>99</v>
      </c>
      <c r="D750" s="58">
        <v>3</v>
      </c>
      <c r="E750" s="59">
        <v>8.0459153570000002E-5</v>
      </c>
    </row>
    <row r="751" spans="1:5" ht="14.5" customHeight="1">
      <c r="A751" s="39"/>
      <c r="B751" s="97"/>
      <c r="C751" s="57" t="s">
        <v>101</v>
      </c>
      <c r="D751" s="58">
        <v>1</v>
      </c>
      <c r="E751" s="59">
        <v>2.6819717857000001E-5</v>
      </c>
    </row>
    <row r="752" spans="1:5" ht="14.5" customHeight="1">
      <c r="A752" s="39"/>
      <c r="B752" s="97"/>
      <c r="C752" s="57" t="s">
        <v>102</v>
      </c>
      <c r="D752" s="58">
        <v>1</v>
      </c>
      <c r="E752" s="59">
        <v>2.6819717857000001E-5</v>
      </c>
    </row>
    <row r="753" spans="1:5" ht="14.5" customHeight="1">
      <c r="A753" s="39"/>
      <c r="B753" s="97"/>
      <c r="C753" s="57" t="s">
        <v>103</v>
      </c>
      <c r="D753" s="58">
        <v>1</v>
      </c>
      <c r="E753" s="59">
        <v>2.6819717857000001E-5</v>
      </c>
    </row>
    <row r="754" spans="1:5" ht="14.5" customHeight="1">
      <c r="A754" s="39"/>
      <c r="B754" s="97"/>
      <c r="C754" s="57" t="s">
        <v>104</v>
      </c>
      <c r="D754" s="58">
        <v>1</v>
      </c>
      <c r="E754" s="59">
        <v>2.6819717857000001E-5</v>
      </c>
    </row>
    <row r="755" spans="1:5" ht="14.5" customHeight="1">
      <c r="A755" s="39"/>
      <c r="B755" s="97"/>
      <c r="C755" s="57" t="s">
        <v>105</v>
      </c>
      <c r="D755" s="58">
        <v>6</v>
      </c>
      <c r="E755" s="59">
        <v>1.6091830713899999E-4</v>
      </c>
    </row>
    <row r="756" spans="1:5" ht="14.5" customHeight="1">
      <c r="A756" s="39"/>
      <c r="B756" s="97"/>
      <c r="C756" s="57" t="s">
        <v>106</v>
      </c>
      <c r="D756" s="58">
        <v>31</v>
      </c>
      <c r="E756" s="59">
        <v>8.3141125355399995E-4</v>
      </c>
    </row>
    <row r="757" spans="1:5" ht="14.5" customHeight="1">
      <c r="A757" s="39"/>
      <c r="B757" s="97"/>
      <c r="C757" s="57" t="s">
        <v>107</v>
      </c>
      <c r="D757" s="58">
        <v>6</v>
      </c>
      <c r="E757" s="59">
        <v>1.6091830713899999E-4</v>
      </c>
    </row>
    <row r="758" spans="1:5" ht="14.5" customHeight="1">
      <c r="A758" s="39"/>
      <c r="B758" s="97"/>
      <c r="C758" s="57" t="s">
        <v>108</v>
      </c>
      <c r="D758" s="58">
        <v>15</v>
      </c>
      <c r="E758" s="59">
        <v>4.0229576784899998E-4</v>
      </c>
    </row>
    <row r="759" spans="1:5" ht="14.5" customHeight="1">
      <c r="A759" s="39"/>
      <c r="B759" s="97"/>
      <c r="C759" s="57" t="s">
        <v>109</v>
      </c>
      <c r="D759" s="58">
        <v>8</v>
      </c>
      <c r="E759" s="59">
        <v>2.1455774285299999E-4</v>
      </c>
    </row>
    <row r="760" spans="1:5" ht="14.5" customHeight="1">
      <c r="A760" s="39"/>
      <c r="B760" s="97"/>
      <c r="C760" s="57" t="s">
        <v>110</v>
      </c>
      <c r="D760" s="58">
        <v>142</v>
      </c>
      <c r="E760" s="59">
        <v>3.808399935633E-3</v>
      </c>
    </row>
    <row r="761" spans="1:5" ht="14.5" customHeight="1">
      <c r="A761" s="39"/>
      <c r="B761" s="97"/>
      <c r="C761" s="57" t="s">
        <v>111</v>
      </c>
      <c r="D761" s="58">
        <v>9</v>
      </c>
      <c r="E761" s="59">
        <v>2.4137746070900001E-4</v>
      </c>
    </row>
    <row r="762" spans="1:5" ht="14.5" customHeight="1">
      <c r="A762" s="39"/>
      <c r="B762" s="97"/>
      <c r="C762" s="57" t="s">
        <v>112</v>
      </c>
      <c r="D762" s="58">
        <v>30</v>
      </c>
      <c r="E762" s="59">
        <v>8.0459153569700001E-4</v>
      </c>
    </row>
    <row r="763" spans="1:5" ht="14.5" customHeight="1">
      <c r="A763" s="39"/>
      <c r="B763" s="97"/>
      <c r="C763" s="57" t="s">
        <v>113</v>
      </c>
      <c r="D763" s="58">
        <v>122</v>
      </c>
      <c r="E763" s="59">
        <v>3.2720055785009998E-3</v>
      </c>
    </row>
    <row r="764" spans="1:5" ht="14.5" customHeight="1">
      <c r="A764" s="39"/>
      <c r="B764" s="97"/>
      <c r="C764" s="57" t="s">
        <v>114</v>
      </c>
      <c r="D764" s="58">
        <v>7</v>
      </c>
      <c r="E764" s="59">
        <v>1.8773802499599999E-4</v>
      </c>
    </row>
    <row r="765" spans="1:5" ht="14.5" customHeight="1">
      <c r="A765" s="39"/>
      <c r="B765" s="97"/>
      <c r="C765" s="57" t="s">
        <v>115</v>
      </c>
      <c r="D765" s="58">
        <v>5</v>
      </c>
      <c r="E765" s="59">
        <v>1.34098589283E-4</v>
      </c>
    </row>
    <row r="766" spans="1:5" ht="14.5" customHeight="1">
      <c r="A766" s="39"/>
      <c r="B766" s="97"/>
      <c r="C766" s="57" t="s">
        <v>116</v>
      </c>
      <c r="D766" s="58">
        <v>2</v>
      </c>
      <c r="E766" s="59">
        <v>5.3639435713000001E-5</v>
      </c>
    </row>
    <row r="767" spans="1:5" ht="14.5" customHeight="1">
      <c r="A767" s="39"/>
      <c r="B767" s="97"/>
      <c r="C767" s="57" t="s">
        <v>117</v>
      </c>
      <c r="D767" s="58">
        <v>5</v>
      </c>
      <c r="E767" s="59">
        <v>1.34098589283E-4</v>
      </c>
    </row>
    <row r="768" spans="1:5" ht="14.5" customHeight="1">
      <c r="A768" s="39"/>
      <c r="B768" s="97"/>
      <c r="C768" s="57" t="s">
        <v>118</v>
      </c>
      <c r="D768" s="58">
        <v>14</v>
      </c>
      <c r="E768" s="59">
        <v>3.7547604999199998E-4</v>
      </c>
    </row>
    <row r="769" spans="1:5" ht="14.5" customHeight="1">
      <c r="A769" s="39"/>
      <c r="B769" s="97"/>
      <c r="C769" s="57" t="s">
        <v>119</v>
      </c>
      <c r="D769" s="58">
        <v>37</v>
      </c>
      <c r="E769" s="59">
        <v>9.9232956069299997E-4</v>
      </c>
    </row>
    <row r="770" spans="1:5" ht="14.5" customHeight="1">
      <c r="A770" s="39"/>
      <c r="B770" s="97"/>
      <c r="C770" s="57" t="s">
        <v>121</v>
      </c>
      <c r="D770" s="58">
        <v>6</v>
      </c>
      <c r="E770" s="59">
        <v>1.6091830713899999E-4</v>
      </c>
    </row>
    <row r="771" spans="1:5" ht="14.5" customHeight="1">
      <c r="A771" s="39"/>
      <c r="B771" s="97"/>
      <c r="C771" s="57" t="s">
        <v>122</v>
      </c>
      <c r="D771" s="58">
        <v>1</v>
      </c>
      <c r="E771" s="59">
        <v>2.6819717857000001E-5</v>
      </c>
    </row>
    <row r="772" spans="1:5" ht="14.5" customHeight="1">
      <c r="A772" s="39"/>
      <c r="B772" s="98"/>
      <c r="C772" s="72" t="s">
        <v>353</v>
      </c>
      <c r="D772" s="71">
        <v>453</v>
      </c>
      <c r="E772" s="73">
        <v>1.2149332189024999E-2</v>
      </c>
    </row>
    <row r="773" spans="1:5" ht="14.5" customHeight="1">
      <c r="A773" s="39"/>
      <c r="B773" s="96" t="s">
        <v>75</v>
      </c>
      <c r="C773" s="57" t="s">
        <v>99</v>
      </c>
      <c r="D773" s="58">
        <v>1</v>
      </c>
      <c r="E773" s="59">
        <v>2.6819717857000001E-5</v>
      </c>
    </row>
    <row r="774" spans="1:5" ht="14.5" customHeight="1">
      <c r="A774" s="39"/>
      <c r="B774" s="97"/>
      <c r="C774" s="57" t="s">
        <v>100</v>
      </c>
      <c r="D774" s="58">
        <v>1</v>
      </c>
      <c r="E774" s="59">
        <v>2.6819717857000001E-5</v>
      </c>
    </row>
    <row r="775" spans="1:5" ht="14.5" customHeight="1">
      <c r="A775" s="39"/>
      <c r="B775" s="97"/>
      <c r="C775" s="57" t="s">
        <v>102</v>
      </c>
      <c r="D775" s="58">
        <v>1</v>
      </c>
      <c r="E775" s="59">
        <v>2.6819717857000001E-5</v>
      </c>
    </row>
    <row r="776" spans="1:5" ht="14.5" customHeight="1">
      <c r="A776" s="39"/>
      <c r="B776" s="97"/>
      <c r="C776" s="57" t="s">
        <v>103</v>
      </c>
      <c r="D776" s="58">
        <v>1</v>
      </c>
      <c r="E776" s="59">
        <v>2.6819717857000001E-5</v>
      </c>
    </row>
    <row r="777" spans="1:5" ht="14.5" customHeight="1">
      <c r="A777" s="39"/>
      <c r="B777" s="97"/>
      <c r="C777" s="57" t="s">
        <v>104</v>
      </c>
      <c r="D777" s="58">
        <v>1</v>
      </c>
      <c r="E777" s="59">
        <v>2.6819717857000001E-5</v>
      </c>
    </row>
    <row r="778" spans="1:5" ht="14.5" customHeight="1">
      <c r="A778" s="39"/>
      <c r="B778" s="97"/>
      <c r="C778" s="57" t="s">
        <v>105</v>
      </c>
      <c r="D778" s="58">
        <v>15</v>
      </c>
      <c r="E778" s="59">
        <v>4.0229576784899998E-4</v>
      </c>
    </row>
    <row r="779" spans="1:5" ht="14.5" customHeight="1">
      <c r="A779" s="39"/>
      <c r="B779" s="97"/>
      <c r="C779" s="57" t="s">
        <v>106</v>
      </c>
      <c r="D779" s="58">
        <v>33</v>
      </c>
      <c r="E779" s="59">
        <v>8.8505068926699999E-4</v>
      </c>
    </row>
    <row r="780" spans="1:5" ht="14.5" customHeight="1">
      <c r="A780" s="39"/>
      <c r="B780" s="97"/>
      <c r="C780" s="57" t="s">
        <v>107</v>
      </c>
      <c r="D780" s="58">
        <v>2</v>
      </c>
      <c r="E780" s="59">
        <v>5.3639435713000001E-5</v>
      </c>
    </row>
    <row r="781" spans="1:5" ht="14.5" customHeight="1">
      <c r="A781" s="39"/>
      <c r="B781" s="97"/>
      <c r="C781" s="57" t="s">
        <v>108</v>
      </c>
      <c r="D781" s="58">
        <v>6</v>
      </c>
      <c r="E781" s="59">
        <v>1.6091830713899999E-4</v>
      </c>
    </row>
    <row r="782" spans="1:5" ht="14.5" customHeight="1">
      <c r="A782" s="39"/>
      <c r="B782" s="97"/>
      <c r="C782" s="57" t="s">
        <v>109</v>
      </c>
      <c r="D782" s="58">
        <v>12</v>
      </c>
      <c r="E782" s="59">
        <v>3.2183661427899999E-4</v>
      </c>
    </row>
    <row r="783" spans="1:5" ht="14.5" customHeight="1">
      <c r="A783" s="39"/>
      <c r="B783" s="97"/>
      <c r="C783" s="57" t="s">
        <v>110</v>
      </c>
      <c r="D783" s="58">
        <v>103</v>
      </c>
      <c r="E783" s="59">
        <v>2.7624309392270002E-3</v>
      </c>
    </row>
    <row r="784" spans="1:5" ht="14.5" customHeight="1">
      <c r="A784" s="39"/>
      <c r="B784" s="97"/>
      <c r="C784" s="57" t="s">
        <v>111</v>
      </c>
      <c r="D784" s="58">
        <v>8</v>
      </c>
      <c r="E784" s="59">
        <v>2.1455774285299999E-4</v>
      </c>
    </row>
    <row r="785" spans="1:5" ht="14.5" customHeight="1">
      <c r="A785" s="39"/>
      <c r="B785" s="97"/>
      <c r="C785" s="57" t="s">
        <v>112</v>
      </c>
      <c r="D785" s="58">
        <v>17</v>
      </c>
      <c r="E785" s="59">
        <v>4.5593520356200002E-4</v>
      </c>
    </row>
    <row r="786" spans="1:5" ht="14.5" customHeight="1">
      <c r="A786" s="39"/>
      <c r="B786" s="97"/>
      <c r="C786" s="57" t="s">
        <v>113</v>
      </c>
      <c r="D786" s="58">
        <v>136</v>
      </c>
      <c r="E786" s="59">
        <v>3.647481628493E-3</v>
      </c>
    </row>
    <row r="787" spans="1:5" ht="14.5" customHeight="1">
      <c r="A787" s="39"/>
      <c r="B787" s="97"/>
      <c r="C787" s="57" t="s">
        <v>114</v>
      </c>
      <c r="D787" s="58">
        <v>2</v>
      </c>
      <c r="E787" s="59">
        <v>5.3639435713000001E-5</v>
      </c>
    </row>
    <row r="788" spans="1:5" ht="14.5" customHeight="1">
      <c r="A788" s="39"/>
      <c r="B788" s="97"/>
      <c r="C788" s="57" t="s">
        <v>115</v>
      </c>
      <c r="D788" s="58">
        <v>2</v>
      </c>
      <c r="E788" s="59">
        <v>5.3639435713000001E-5</v>
      </c>
    </row>
    <row r="789" spans="1:5" ht="14.5" customHeight="1">
      <c r="A789" s="39"/>
      <c r="B789" s="97"/>
      <c r="C789" s="57" t="s">
        <v>116</v>
      </c>
      <c r="D789" s="58">
        <v>4</v>
      </c>
      <c r="E789" s="59">
        <v>1.07278871426E-4</v>
      </c>
    </row>
    <row r="790" spans="1:5" ht="14.5" customHeight="1">
      <c r="A790" s="39"/>
      <c r="B790" s="97"/>
      <c r="C790" s="57" t="s">
        <v>117</v>
      </c>
      <c r="D790" s="58">
        <v>1</v>
      </c>
      <c r="E790" s="59">
        <v>2.6819717857000001E-5</v>
      </c>
    </row>
    <row r="791" spans="1:5" ht="14.5" customHeight="1">
      <c r="A791" s="39"/>
      <c r="B791" s="97"/>
      <c r="C791" s="57" t="s">
        <v>118</v>
      </c>
      <c r="D791" s="58">
        <v>11</v>
      </c>
      <c r="E791" s="59">
        <v>2.9501689642199999E-4</v>
      </c>
    </row>
    <row r="792" spans="1:5" ht="14.5" customHeight="1">
      <c r="A792" s="39"/>
      <c r="B792" s="97"/>
      <c r="C792" s="57" t="s">
        <v>119</v>
      </c>
      <c r="D792" s="58">
        <v>36</v>
      </c>
      <c r="E792" s="59">
        <v>9.6550984283600002E-4</v>
      </c>
    </row>
    <row r="793" spans="1:5" ht="14.5" customHeight="1">
      <c r="A793" s="39"/>
      <c r="B793" s="97"/>
      <c r="C793" s="57" t="s">
        <v>121</v>
      </c>
      <c r="D793" s="58">
        <v>3</v>
      </c>
      <c r="E793" s="59">
        <v>8.0459153570000002E-5</v>
      </c>
    </row>
    <row r="794" spans="1:5" ht="14.5" customHeight="1">
      <c r="A794" s="39"/>
      <c r="B794" s="98"/>
      <c r="C794" s="72" t="s">
        <v>353</v>
      </c>
      <c r="D794" s="71">
        <v>396</v>
      </c>
      <c r="E794" s="73">
        <v>1.0620608271200999E-2</v>
      </c>
    </row>
    <row r="795" spans="1:5" ht="14.5" customHeight="1">
      <c r="A795" s="39"/>
      <c r="B795" s="96" t="s">
        <v>74</v>
      </c>
      <c r="C795" s="57" t="s">
        <v>101</v>
      </c>
      <c r="D795" s="58">
        <v>3</v>
      </c>
      <c r="E795" s="59">
        <v>8.0459153570000002E-5</v>
      </c>
    </row>
    <row r="796" spans="1:5" ht="14.5" customHeight="1">
      <c r="A796" s="39"/>
      <c r="B796" s="97"/>
      <c r="C796" s="57" t="s">
        <v>102</v>
      </c>
      <c r="D796" s="58">
        <v>3</v>
      </c>
      <c r="E796" s="59">
        <v>8.0459153570000002E-5</v>
      </c>
    </row>
    <row r="797" spans="1:5" ht="14.5" customHeight="1">
      <c r="A797" s="39"/>
      <c r="B797" s="97"/>
      <c r="C797" s="57" t="s">
        <v>104</v>
      </c>
      <c r="D797" s="58">
        <v>1</v>
      </c>
      <c r="E797" s="59">
        <v>2.6819717857000001E-5</v>
      </c>
    </row>
    <row r="798" spans="1:5" ht="14.5" customHeight="1">
      <c r="A798" s="39"/>
      <c r="B798" s="97"/>
      <c r="C798" s="57" t="s">
        <v>105</v>
      </c>
      <c r="D798" s="58">
        <v>19</v>
      </c>
      <c r="E798" s="59">
        <v>5.0957463927499996E-4</v>
      </c>
    </row>
    <row r="799" spans="1:5" ht="14.5" customHeight="1">
      <c r="A799" s="39"/>
      <c r="B799" s="97"/>
      <c r="C799" s="57" t="s">
        <v>106</v>
      </c>
      <c r="D799" s="58">
        <v>27</v>
      </c>
      <c r="E799" s="59">
        <v>7.2413238212700002E-4</v>
      </c>
    </row>
    <row r="800" spans="1:5" ht="14.5" customHeight="1">
      <c r="A800" s="39"/>
      <c r="B800" s="97"/>
      <c r="C800" s="57" t="s">
        <v>107</v>
      </c>
      <c r="D800" s="58">
        <v>3</v>
      </c>
      <c r="E800" s="59">
        <v>8.0459153570000002E-5</v>
      </c>
    </row>
    <row r="801" spans="1:5" ht="14.5" customHeight="1">
      <c r="A801" s="39"/>
      <c r="B801" s="97"/>
      <c r="C801" s="57" t="s">
        <v>108</v>
      </c>
      <c r="D801" s="58">
        <v>7</v>
      </c>
      <c r="E801" s="59">
        <v>1.8773802499599999E-4</v>
      </c>
    </row>
    <row r="802" spans="1:5" ht="14.5" customHeight="1">
      <c r="A802" s="39"/>
      <c r="B802" s="97"/>
      <c r="C802" s="57" t="s">
        <v>109</v>
      </c>
      <c r="D802" s="58">
        <v>18</v>
      </c>
      <c r="E802" s="59">
        <v>4.8275492141800001E-4</v>
      </c>
    </row>
    <row r="803" spans="1:5" ht="14.5" customHeight="1">
      <c r="A803" s="39"/>
      <c r="B803" s="97"/>
      <c r="C803" s="57" t="s">
        <v>110</v>
      </c>
      <c r="D803" s="58">
        <v>113</v>
      </c>
      <c r="E803" s="59">
        <v>3.0306281177920002E-3</v>
      </c>
    </row>
    <row r="804" spans="1:5" ht="14.5" customHeight="1">
      <c r="A804" s="39"/>
      <c r="B804" s="97"/>
      <c r="C804" s="57" t="s">
        <v>111</v>
      </c>
      <c r="D804" s="58">
        <v>17</v>
      </c>
      <c r="E804" s="59">
        <v>4.5593520356200002E-4</v>
      </c>
    </row>
    <row r="805" spans="1:5" ht="14.5" customHeight="1">
      <c r="A805" s="39"/>
      <c r="B805" s="97"/>
      <c r="C805" s="57" t="s">
        <v>112</v>
      </c>
      <c r="D805" s="58">
        <v>21</v>
      </c>
      <c r="E805" s="59">
        <v>5.63214074988E-4</v>
      </c>
    </row>
    <row r="806" spans="1:5" ht="14.5" customHeight="1">
      <c r="A806" s="39"/>
      <c r="B806" s="97"/>
      <c r="C806" s="57" t="s">
        <v>113</v>
      </c>
      <c r="D806" s="58">
        <v>113</v>
      </c>
      <c r="E806" s="59">
        <v>3.0306281177920002E-3</v>
      </c>
    </row>
    <row r="807" spans="1:5" ht="14.5" customHeight="1">
      <c r="A807" s="39"/>
      <c r="B807" s="97"/>
      <c r="C807" s="57" t="s">
        <v>114</v>
      </c>
      <c r="D807" s="58">
        <v>1</v>
      </c>
      <c r="E807" s="59">
        <v>2.6819717857000001E-5</v>
      </c>
    </row>
    <row r="808" spans="1:5" ht="14.5" customHeight="1">
      <c r="A808" s="39"/>
      <c r="B808" s="97"/>
      <c r="C808" s="57" t="s">
        <v>115</v>
      </c>
      <c r="D808" s="58">
        <v>1</v>
      </c>
      <c r="E808" s="59">
        <v>2.6819717857000001E-5</v>
      </c>
    </row>
    <row r="809" spans="1:5" ht="14.5" customHeight="1">
      <c r="A809" s="39"/>
      <c r="B809" s="97"/>
      <c r="C809" s="57" t="s">
        <v>117</v>
      </c>
      <c r="D809" s="58">
        <v>1</v>
      </c>
      <c r="E809" s="59">
        <v>2.6819717857000001E-5</v>
      </c>
    </row>
    <row r="810" spans="1:5" ht="14.5" customHeight="1">
      <c r="A810" s="39"/>
      <c r="B810" s="97"/>
      <c r="C810" s="57" t="s">
        <v>118</v>
      </c>
      <c r="D810" s="58">
        <v>9</v>
      </c>
      <c r="E810" s="59">
        <v>2.4137746070900001E-4</v>
      </c>
    </row>
    <row r="811" spans="1:5" ht="14.5" customHeight="1">
      <c r="A811" s="39"/>
      <c r="B811" s="97"/>
      <c r="C811" s="57" t="s">
        <v>119</v>
      </c>
      <c r="D811" s="58">
        <v>68</v>
      </c>
      <c r="E811" s="59">
        <v>1.823740814247E-3</v>
      </c>
    </row>
    <row r="812" spans="1:5" ht="14.5" customHeight="1">
      <c r="A812" s="39"/>
      <c r="B812" s="97"/>
      <c r="C812" s="57" t="s">
        <v>120</v>
      </c>
      <c r="D812" s="58">
        <v>2</v>
      </c>
      <c r="E812" s="59">
        <v>5.3639435713000001E-5</v>
      </c>
    </row>
    <row r="813" spans="1:5" ht="14.5" customHeight="1">
      <c r="A813" s="39"/>
      <c r="B813" s="97"/>
      <c r="C813" s="57" t="s">
        <v>121</v>
      </c>
      <c r="D813" s="58">
        <v>5</v>
      </c>
      <c r="E813" s="59">
        <v>1.34098589283E-4</v>
      </c>
    </row>
    <row r="814" spans="1:5" ht="14.5" customHeight="1">
      <c r="A814" s="39"/>
      <c r="B814" s="97"/>
      <c r="C814" s="57" t="s">
        <v>122</v>
      </c>
      <c r="D814" s="58">
        <v>1</v>
      </c>
      <c r="E814" s="59">
        <v>2.6819717857000001E-5</v>
      </c>
    </row>
    <row r="815" spans="1:5" ht="14.5" customHeight="1">
      <c r="A815" s="39"/>
      <c r="B815" s="98"/>
      <c r="C815" s="72" t="s">
        <v>353</v>
      </c>
      <c r="D815" s="71">
        <v>433</v>
      </c>
      <c r="E815" s="73">
        <v>1.1612937831894E-2</v>
      </c>
    </row>
    <row r="816" spans="1:5" ht="14.5" customHeight="1">
      <c r="A816" s="39"/>
      <c r="B816" s="96" t="s">
        <v>56</v>
      </c>
      <c r="C816" s="57" t="s">
        <v>99</v>
      </c>
      <c r="D816" s="58">
        <v>4</v>
      </c>
      <c r="E816" s="59">
        <v>1.07278871426E-4</v>
      </c>
    </row>
    <row r="817" spans="1:5" ht="14.5" customHeight="1">
      <c r="A817" s="39"/>
      <c r="B817" s="97"/>
      <c r="C817" s="57" t="s">
        <v>101</v>
      </c>
      <c r="D817" s="58">
        <v>6</v>
      </c>
      <c r="E817" s="59">
        <v>1.6091830713899999E-4</v>
      </c>
    </row>
    <row r="818" spans="1:5" ht="14.5" customHeight="1">
      <c r="A818" s="39"/>
      <c r="B818" s="97"/>
      <c r="C818" s="57" t="s">
        <v>102</v>
      </c>
      <c r="D818" s="58">
        <v>9</v>
      </c>
      <c r="E818" s="59">
        <v>2.4137746070900001E-4</v>
      </c>
    </row>
    <row r="819" spans="1:5" ht="14.5" customHeight="1">
      <c r="A819" s="39"/>
      <c r="B819" s="97"/>
      <c r="C819" s="57" t="s">
        <v>103</v>
      </c>
      <c r="D819" s="58">
        <v>4</v>
      </c>
      <c r="E819" s="59">
        <v>1.07278871426E-4</v>
      </c>
    </row>
    <row r="820" spans="1:5" ht="14.5" customHeight="1">
      <c r="A820" s="39"/>
      <c r="B820" s="97"/>
      <c r="C820" s="57" t="s">
        <v>104</v>
      </c>
      <c r="D820" s="58">
        <v>11</v>
      </c>
      <c r="E820" s="59">
        <v>2.9501689642199999E-4</v>
      </c>
    </row>
    <row r="821" spans="1:5" ht="14.5" customHeight="1">
      <c r="A821" s="39"/>
      <c r="B821" s="97"/>
      <c r="C821" s="57" t="s">
        <v>105</v>
      </c>
      <c r="D821" s="58">
        <v>73</v>
      </c>
      <c r="E821" s="59">
        <v>1.957839403529E-3</v>
      </c>
    </row>
    <row r="822" spans="1:5" ht="14.5" customHeight="1">
      <c r="A822" s="39"/>
      <c r="B822" s="97"/>
      <c r="C822" s="57" t="s">
        <v>106</v>
      </c>
      <c r="D822" s="58">
        <v>95</v>
      </c>
      <c r="E822" s="59">
        <v>2.5478731963739999E-3</v>
      </c>
    </row>
    <row r="823" spans="1:5" ht="14.5" customHeight="1">
      <c r="A823" s="39"/>
      <c r="B823" s="97"/>
      <c r="C823" s="57" t="s">
        <v>107</v>
      </c>
      <c r="D823" s="58">
        <v>16</v>
      </c>
      <c r="E823" s="59">
        <v>4.2911548570500002E-4</v>
      </c>
    </row>
    <row r="824" spans="1:5" ht="14.5" customHeight="1">
      <c r="A824" s="39"/>
      <c r="B824" s="97"/>
      <c r="C824" s="57" t="s">
        <v>108</v>
      </c>
      <c r="D824" s="58">
        <v>28</v>
      </c>
      <c r="E824" s="59">
        <v>7.5095209998399996E-4</v>
      </c>
    </row>
    <row r="825" spans="1:5" ht="14.5" customHeight="1">
      <c r="A825" s="39"/>
      <c r="B825" s="97"/>
      <c r="C825" s="57" t="s">
        <v>109</v>
      </c>
      <c r="D825" s="58">
        <v>57</v>
      </c>
      <c r="E825" s="59">
        <v>1.528723917824E-3</v>
      </c>
    </row>
    <row r="826" spans="1:5" ht="14.5" customHeight="1">
      <c r="A826" s="39"/>
      <c r="B826" s="97"/>
      <c r="C826" s="57" t="s">
        <v>110</v>
      </c>
      <c r="D826" s="58">
        <v>324</v>
      </c>
      <c r="E826" s="59">
        <v>8.6895885855279992E-3</v>
      </c>
    </row>
    <row r="827" spans="1:5" ht="14.5" customHeight="1">
      <c r="A827" s="39"/>
      <c r="B827" s="97"/>
      <c r="C827" s="57" t="s">
        <v>111</v>
      </c>
      <c r="D827" s="58">
        <v>49</v>
      </c>
      <c r="E827" s="59">
        <v>1.3141661749720001E-3</v>
      </c>
    </row>
    <row r="828" spans="1:5" ht="14.5" customHeight="1">
      <c r="A828" s="39"/>
      <c r="B828" s="97"/>
      <c r="C828" s="57" t="s">
        <v>112</v>
      </c>
      <c r="D828" s="58">
        <v>75</v>
      </c>
      <c r="E828" s="59">
        <v>2.0114788392429999E-3</v>
      </c>
    </row>
    <row r="829" spans="1:5" ht="14.5" customHeight="1">
      <c r="A829" s="39"/>
      <c r="B829" s="97"/>
      <c r="C829" s="57" t="s">
        <v>113</v>
      </c>
      <c r="D829" s="58">
        <v>311</v>
      </c>
      <c r="E829" s="59">
        <v>8.3409322533929998E-3</v>
      </c>
    </row>
    <row r="830" spans="1:5" ht="14.5" customHeight="1">
      <c r="A830" s="39"/>
      <c r="B830" s="97"/>
      <c r="C830" s="57" t="s">
        <v>114</v>
      </c>
      <c r="D830" s="58">
        <v>7</v>
      </c>
      <c r="E830" s="59">
        <v>1.8773802499599999E-4</v>
      </c>
    </row>
    <row r="831" spans="1:5" ht="14.5" customHeight="1">
      <c r="A831" s="39"/>
      <c r="B831" s="97"/>
      <c r="C831" s="57" t="s">
        <v>115</v>
      </c>
      <c r="D831" s="58">
        <v>7</v>
      </c>
      <c r="E831" s="59">
        <v>1.8773802499599999E-4</v>
      </c>
    </row>
    <row r="832" spans="1:5" ht="14.5" customHeight="1">
      <c r="A832" s="39"/>
      <c r="B832" s="97"/>
      <c r="C832" s="57" t="s">
        <v>116</v>
      </c>
      <c r="D832" s="58">
        <v>4</v>
      </c>
      <c r="E832" s="59">
        <v>1.07278871426E-4</v>
      </c>
    </row>
    <row r="833" spans="1:5" ht="14.5" customHeight="1">
      <c r="A833" s="39"/>
      <c r="B833" s="97"/>
      <c r="C833" s="57" t="s">
        <v>117</v>
      </c>
      <c r="D833" s="58">
        <v>3</v>
      </c>
      <c r="E833" s="59">
        <v>8.0459153570000002E-5</v>
      </c>
    </row>
    <row r="834" spans="1:5" ht="14.5" customHeight="1">
      <c r="A834" s="39"/>
      <c r="B834" s="97"/>
      <c r="C834" s="57" t="s">
        <v>118</v>
      </c>
      <c r="D834" s="58">
        <v>24</v>
      </c>
      <c r="E834" s="59">
        <v>6.4367322855799999E-4</v>
      </c>
    </row>
    <row r="835" spans="1:5" ht="14.5" customHeight="1">
      <c r="A835" s="39"/>
      <c r="B835" s="97"/>
      <c r="C835" s="57" t="s">
        <v>119</v>
      </c>
      <c r="D835" s="58">
        <v>51</v>
      </c>
      <c r="E835" s="59">
        <v>1.3678056106849999E-3</v>
      </c>
    </row>
    <row r="836" spans="1:5" ht="14.5" customHeight="1">
      <c r="A836" s="39"/>
      <c r="B836" s="97"/>
      <c r="C836" s="57" t="s">
        <v>121</v>
      </c>
      <c r="D836" s="58">
        <v>6</v>
      </c>
      <c r="E836" s="59">
        <v>1.6091830713899999E-4</v>
      </c>
    </row>
    <row r="837" spans="1:5" ht="14.5" customHeight="1">
      <c r="A837" s="39"/>
      <c r="B837" s="98"/>
      <c r="C837" s="72" t="s">
        <v>353</v>
      </c>
      <c r="D837" s="71">
        <v>1164</v>
      </c>
      <c r="E837" s="73">
        <v>3.1218151585045002E-2</v>
      </c>
    </row>
    <row r="838" spans="1:5" ht="14.5" customHeight="1">
      <c r="A838" s="39"/>
      <c r="B838" s="96" t="s">
        <v>65</v>
      </c>
      <c r="C838" s="57" t="s">
        <v>99</v>
      </c>
      <c r="D838" s="58">
        <v>5</v>
      </c>
      <c r="E838" s="59">
        <v>1.34098589283E-4</v>
      </c>
    </row>
    <row r="839" spans="1:5" ht="14.5" customHeight="1">
      <c r="A839" s="39"/>
      <c r="B839" s="97"/>
      <c r="C839" s="57" t="s">
        <v>100</v>
      </c>
      <c r="D839" s="58">
        <v>1</v>
      </c>
      <c r="E839" s="59">
        <v>2.6819717857000001E-5</v>
      </c>
    </row>
    <row r="840" spans="1:5" ht="14.5" customHeight="1">
      <c r="A840" s="39"/>
      <c r="B840" s="97"/>
      <c r="C840" s="57" t="s">
        <v>101</v>
      </c>
      <c r="D840" s="58">
        <v>5</v>
      </c>
      <c r="E840" s="59">
        <v>1.34098589283E-4</v>
      </c>
    </row>
    <row r="841" spans="1:5" ht="14.5" customHeight="1">
      <c r="A841" s="39"/>
      <c r="B841" s="97"/>
      <c r="C841" s="57" t="s">
        <v>102</v>
      </c>
      <c r="D841" s="58">
        <v>3</v>
      </c>
      <c r="E841" s="59">
        <v>8.0459153570000002E-5</v>
      </c>
    </row>
    <row r="842" spans="1:5" ht="14.5" customHeight="1">
      <c r="A842" s="39"/>
      <c r="B842" s="97"/>
      <c r="C842" s="57" t="s">
        <v>103</v>
      </c>
      <c r="D842" s="58">
        <v>2</v>
      </c>
      <c r="E842" s="59">
        <v>5.3639435713000001E-5</v>
      </c>
    </row>
    <row r="843" spans="1:5" ht="14.5" customHeight="1">
      <c r="A843" s="39"/>
      <c r="B843" s="97"/>
      <c r="C843" s="57" t="s">
        <v>104</v>
      </c>
      <c r="D843" s="58">
        <v>2</v>
      </c>
      <c r="E843" s="59">
        <v>5.3639435713000001E-5</v>
      </c>
    </row>
    <row r="844" spans="1:5" ht="14.5" customHeight="1">
      <c r="A844" s="39"/>
      <c r="B844" s="97"/>
      <c r="C844" s="57" t="s">
        <v>105</v>
      </c>
      <c r="D844" s="58">
        <v>18</v>
      </c>
      <c r="E844" s="59">
        <v>4.8275492141800001E-4</v>
      </c>
    </row>
    <row r="845" spans="1:5" ht="14.5" customHeight="1">
      <c r="A845" s="39"/>
      <c r="B845" s="97"/>
      <c r="C845" s="57" t="s">
        <v>106</v>
      </c>
      <c r="D845" s="58">
        <v>50</v>
      </c>
      <c r="E845" s="59">
        <v>1.340985892828E-3</v>
      </c>
    </row>
    <row r="846" spans="1:5" ht="14.5" customHeight="1">
      <c r="A846" s="39"/>
      <c r="B846" s="97"/>
      <c r="C846" s="57" t="s">
        <v>107</v>
      </c>
      <c r="D846" s="58">
        <v>11</v>
      </c>
      <c r="E846" s="59">
        <v>2.9501689642199999E-4</v>
      </c>
    </row>
    <row r="847" spans="1:5" ht="14.5" customHeight="1">
      <c r="A847" s="39"/>
      <c r="B847" s="97"/>
      <c r="C847" s="57" t="s">
        <v>108</v>
      </c>
      <c r="D847" s="58">
        <v>17</v>
      </c>
      <c r="E847" s="59">
        <v>4.5593520356200002E-4</v>
      </c>
    </row>
    <row r="848" spans="1:5" ht="14.5" customHeight="1">
      <c r="A848" s="39"/>
      <c r="B848" s="97"/>
      <c r="C848" s="57" t="s">
        <v>109</v>
      </c>
      <c r="D848" s="58">
        <v>24</v>
      </c>
      <c r="E848" s="59">
        <v>6.4367322855799999E-4</v>
      </c>
    </row>
    <row r="849" spans="1:5" ht="14.5" customHeight="1">
      <c r="A849" s="39"/>
      <c r="B849" s="97"/>
      <c r="C849" s="57" t="s">
        <v>110</v>
      </c>
      <c r="D849" s="58">
        <v>237</v>
      </c>
      <c r="E849" s="59">
        <v>6.3562731320069999E-3</v>
      </c>
    </row>
    <row r="850" spans="1:5" ht="14.5" customHeight="1">
      <c r="A850" s="39"/>
      <c r="B850" s="97"/>
      <c r="C850" s="57" t="s">
        <v>111</v>
      </c>
      <c r="D850" s="58">
        <v>25</v>
      </c>
      <c r="E850" s="59">
        <v>6.7049294641399998E-4</v>
      </c>
    </row>
    <row r="851" spans="1:5" ht="14.5" customHeight="1">
      <c r="A851" s="39"/>
      <c r="B851" s="97"/>
      <c r="C851" s="57" t="s">
        <v>112</v>
      </c>
      <c r="D851" s="58">
        <v>40</v>
      </c>
      <c r="E851" s="59">
        <v>1.072788714263E-3</v>
      </c>
    </row>
    <row r="852" spans="1:5" ht="14.5" customHeight="1">
      <c r="A852" s="39"/>
      <c r="B852" s="97"/>
      <c r="C852" s="57" t="s">
        <v>113</v>
      </c>
      <c r="D852" s="58">
        <v>213</v>
      </c>
      <c r="E852" s="59">
        <v>5.7125999034490001E-3</v>
      </c>
    </row>
    <row r="853" spans="1:5" ht="14.5" customHeight="1">
      <c r="A853" s="39"/>
      <c r="B853" s="97"/>
      <c r="C853" s="57" t="s">
        <v>114</v>
      </c>
      <c r="D853" s="58">
        <v>7</v>
      </c>
      <c r="E853" s="59">
        <v>1.8773802499599999E-4</v>
      </c>
    </row>
    <row r="854" spans="1:5" ht="14.5" customHeight="1">
      <c r="A854" s="39"/>
      <c r="B854" s="97"/>
      <c r="C854" s="57" t="s">
        <v>115</v>
      </c>
      <c r="D854" s="58">
        <v>11</v>
      </c>
      <c r="E854" s="59">
        <v>2.9501689642199999E-4</v>
      </c>
    </row>
    <row r="855" spans="1:5" ht="14.5" customHeight="1">
      <c r="A855" s="39"/>
      <c r="B855" s="97"/>
      <c r="C855" s="57" t="s">
        <v>116</v>
      </c>
      <c r="D855" s="58">
        <v>1</v>
      </c>
      <c r="E855" s="59">
        <v>2.6819717857000001E-5</v>
      </c>
    </row>
    <row r="856" spans="1:5" ht="14.5" customHeight="1">
      <c r="A856" s="39"/>
      <c r="B856" s="97"/>
      <c r="C856" s="57" t="s">
        <v>117</v>
      </c>
      <c r="D856" s="58">
        <v>1</v>
      </c>
      <c r="E856" s="59">
        <v>2.6819717857000001E-5</v>
      </c>
    </row>
    <row r="857" spans="1:5" ht="14.5" customHeight="1">
      <c r="A857" s="39"/>
      <c r="B857" s="97"/>
      <c r="C857" s="57" t="s">
        <v>118</v>
      </c>
      <c r="D857" s="58">
        <v>6</v>
      </c>
      <c r="E857" s="59">
        <v>1.6091830713899999E-4</v>
      </c>
    </row>
    <row r="858" spans="1:5" ht="14.5" customHeight="1">
      <c r="A858" s="39"/>
      <c r="B858" s="97"/>
      <c r="C858" s="57" t="s">
        <v>119</v>
      </c>
      <c r="D858" s="58">
        <v>64</v>
      </c>
      <c r="E858" s="59">
        <v>1.7164619428200001E-3</v>
      </c>
    </row>
    <row r="859" spans="1:5" ht="14.5" customHeight="1">
      <c r="A859" s="39"/>
      <c r="B859" s="97"/>
      <c r="C859" s="57" t="s">
        <v>121</v>
      </c>
      <c r="D859" s="58">
        <v>7</v>
      </c>
      <c r="E859" s="59">
        <v>1.8773802499599999E-4</v>
      </c>
    </row>
    <row r="860" spans="1:5" ht="14.5" customHeight="1">
      <c r="A860" s="39"/>
      <c r="B860" s="97"/>
      <c r="C860" s="57" t="s">
        <v>122</v>
      </c>
      <c r="D860" s="58">
        <v>1</v>
      </c>
      <c r="E860" s="59">
        <v>2.6819717857000001E-5</v>
      </c>
    </row>
    <row r="861" spans="1:5" ht="14.5" customHeight="1">
      <c r="A861" s="39"/>
      <c r="B861" s="98"/>
      <c r="C861" s="72" t="s">
        <v>353</v>
      </c>
      <c r="D861" s="71">
        <v>751</v>
      </c>
      <c r="E861" s="73">
        <v>2.0141608110283E-2</v>
      </c>
    </row>
    <row r="862" spans="1:5" ht="14.5" customHeight="1">
      <c r="A862" s="39"/>
      <c r="B862" s="96" t="s">
        <v>70</v>
      </c>
      <c r="C862" s="57" t="s">
        <v>99</v>
      </c>
      <c r="D862" s="58">
        <v>6</v>
      </c>
      <c r="E862" s="59">
        <v>1.6091830713899999E-4</v>
      </c>
    </row>
    <row r="863" spans="1:5" ht="14.5" customHeight="1">
      <c r="A863" s="39"/>
      <c r="B863" s="97"/>
      <c r="C863" s="57" t="s">
        <v>100</v>
      </c>
      <c r="D863" s="58">
        <v>2</v>
      </c>
      <c r="E863" s="59">
        <v>5.3639435713000001E-5</v>
      </c>
    </row>
    <row r="864" spans="1:5" ht="14.5" customHeight="1">
      <c r="A864" s="39"/>
      <c r="B864" s="97"/>
      <c r="C864" s="57" t="s">
        <v>101</v>
      </c>
      <c r="D864" s="58">
        <v>1</v>
      </c>
      <c r="E864" s="59">
        <v>2.6819717857000001E-5</v>
      </c>
    </row>
    <row r="865" spans="1:5" ht="14.5" customHeight="1">
      <c r="A865" s="39"/>
      <c r="B865" s="97"/>
      <c r="C865" s="57" t="s">
        <v>102</v>
      </c>
      <c r="D865" s="58">
        <v>2</v>
      </c>
      <c r="E865" s="59">
        <v>5.3639435713000001E-5</v>
      </c>
    </row>
    <row r="866" spans="1:5" ht="14.5" customHeight="1">
      <c r="A866" s="39"/>
      <c r="B866" s="97"/>
      <c r="C866" s="57" t="s">
        <v>103</v>
      </c>
      <c r="D866" s="58">
        <v>4</v>
      </c>
      <c r="E866" s="59">
        <v>1.07278871426E-4</v>
      </c>
    </row>
    <row r="867" spans="1:5" ht="14.5" customHeight="1">
      <c r="A867" s="39"/>
      <c r="B867" s="97"/>
      <c r="C867" s="57" t="s">
        <v>104</v>
      </c>
      <c r="D867" s="58">
        <v>2</v>
      </c>
      <c r="E867" s="59">
        <v>5.3639435713000001E-5</v>
      </c>
    </row>
    <row r="868" spans="1:5" ht="14.5" customHeight="1">
      <c r="A868" s="39"/>
      <c r="B868" s="97"/>
      <c r="C868" s="57" t="s">
        <v>105</v>
      </c>
      <c r="D868" s="58">
        <v>39</v>
      </c>
      <c r="E868" s="59">
        <v>1.045968996406E-3</v>
      </c>
    </row>
    <row r="869" spans="1:5" ht="14.5" customHeight="1">
      <c r="A869" s="39"/>
      <c r="B869" s="97"/>
      <c r="C869" s="57" t="s">
        <v>106</v>
      </c>
      <c r="D869" s="58">
        <v>60</v>
      </c>
      <c r="E869" s="59">
        <v>1.609183071394E-3</v>
      </c>
    </row>
    <row r="870" spans="1:5" ht="14.5" customHeight="1">
      <c r="A870" s="39"/>
      <c r="B870" s="97"/>
      <c r="C870" s="57" t="s">
        <v>107</v>
      </c>
      <c r="D870" s="58">
        <v>10</v>
      </c>
      <c r="E870" s="59">
        <v>2.6819717856600001E-4</v>
      </c>
    </row>
    <row r="871" spans="1:5" ht="14.5" customHeight="1">
      <c r="A871" s="39"/>
      <c r="B871" s="97"/>
      <c r="C871" s="57" t="s">
        <v>108</v>
      </c>
      <c r="D871" s="58">
        <v>14</v>
      </c>
      <c r="E871" s="59">
        <v>3.7547604999199998E-4</v>
      </c>
    </row>
    <row r="872" spans="1:5" ht="14.5" customHeight="1">
      <c r="A872" s="39"/>
      <c r="B872" s="97"/>
      <c r="C872" s="57" t="s">
        <v>109</v>
      </c>
      <c r="D872" s="58">
        <v>28</v>
      </c>
      <c r="E872" s="59">
        <v>7.5095209998399996E-4</v>
      </c>
    </row>
    <row r="873" spans="1:5" ht="14.5" customHeight="1">
      <c r="A873" s="39"/>
      <c r="B873" s="97"/>
      <c r="C873" s="57" t="s">
        <v>110</v>
      </c>
      <c r="D873" s="58">
        <v>236</v>
      </c>
      <c r="E873" s="59">
        <v>6.3294534141500004E-3</v>
      </c>
    </row>
    <row r="874" spans="1:5" ht="14.5" customHeight="1">
      <c r="A874" s="39"/>
      <c r="B874" s="97"/>
      <c r="C874" s="57" t="s">
        <v>111</v>
      </c>
      <c r="D874" s="58">
        <v>22</v>
      </c>
      <c r="E874" s="59">
        <v>5.9003379284399999E-4</v>
      </c>
    </row>
    <row r="875" spans="1:5" ht="14.5" customHeight="1">
      <c r="A875" s="39"/>
      <c r="B875" s="97"/>
      <c r="C875" s="57" t="s">
        <v>112</v>
      </c>
      <c r="D875" s="58">
        <v>34</v>
      </c>
      <c r="E875" s="59">
        <v>9.1187040712299998E-4</v>
      </c>
    </row>
    <row r="876" spans="1:5" ht="14.5" customHeight="1">
      <c r="A876" s="39"/>
      <c r="B876" s="97"/>
      <c r="C876" s="57" t="s">
        <v>113</v>
      </c>
      <c r="D876" s="58">
        <v>155</v>
      </c>
      <c r="E876" s="59">
        <v>4.1570562677679997E-3</v>
      </c>
    </row>
    <row r="877" spans="1:5" ht="14.5" customHeight="1">
      <c r="A877" s="39"/>
      <c r="B877" s="97"/>
      <c r="C877" s="57" t="s">
        <v>114</v>
      </c>
      <c r="D877" s="58">
        <v>5</v>
      </c>
      <c r="E877" s="59">
        <v>1.34098589283E-4</v>
      </c>
    </row>
    <row r="878" spans="1:5" ht="14.5" customHeight="1">
      <c r="A878" s="39"/>
      <c r="B878" s="97"/>
      <c r="C878" s="57" t="s">
        <v>115</v>
      </c>
      <c r="D878" s="58">
        <v>3</v>
      </c>
      <c r="E878" s="59">
        <v>8.0459153570000002E-5</v>
      </c>
    </row>
    <row r="879" spans="1:5" ht="14.5" customHeight="1">
      <c r="A879" s="39"/>
      <c r="B879" s="97"/>
      <c r="C879" s="57" t="s">
        <v>116</v>
      </c>
      <c r="D879" s="58">
        <v>4</v>
      </c>
      <c r="E879" s="59">
        <v>1.07278871426E-4</v>
      </c>
    </row>
    <row r="880" spans="1:5" ht="14.5" customHeight="1">
      <c r="A880" s="39"/>
      <c r="B880" s="97"/>
      <c r="C880" s="57" t="s">
        <v>117</v>
      </c>
      <c r="D880" s="58">
        <v>2</v>
      </c>
      <c r="E880" s="59">
        <v>5.3639435713000001E-5</v>
      </c>
    </row>
    <row r="881" spans="1:5" ht="14.5" customHeight="1">
      <c r="A881" s="39"/>
      <c r="B881" s="97"/>
      <c r="C881" s="57" t="s">
        <v>118</v>
      </c>
      <c r="D881" s="58">
        <v>15</v>
      </c>
      <c r="E881" s="59">
        <v>4.0229576784899998E-4</v>
      </c>
    </row>
    <row r="882" spans="1:5" ht="14.5" customHeight="1">
      <c r="A882" s="39"/>
      <c r="B882" s="97"/>
      <c r="C882" s="57" t="s">
        <v>119</v>
      </c>
      <c r="D882" s="58">
        <v>38</v>
      </c>
      <c r="E882" s="59">
        <v>1.0191492785499999E-3</v>
      </c>
    </row>
    <row r="883" spans="1:5" ht="14.5" customHeight="1">
      <c r="A883" s="39"/>
      <c r="B883" s="97"/>
      <c r="C883" s="57" t="s">
        <v>121</v>
      </c>
      <c r="D883" s="58">
        <v>2</v>
      </c>
      <c r="E883" s="59">
        <v>5.3639435713000001E-5</v>
      </c>
    </row>
    <row r="884" spans="1:5" ht="14.5" customHeight="1">
      <c r="A884" s="39"/>
      <c r="B884" s="98"/>
      <c r="C884" s="72" t="s">
        <v>353</v>
      </c>
      <c r="D884" s="71">
        <v>684</v>
      </c>
      <c r="E884" s="73">
        <v>1.8344687013893E-2</v>
      </c>
    </row>
    <row r="885" spans="1:5" ht="14.5" customHeight="1">
      <c r="A885" s="39"/>
      <c r="B885" s="96" t="s">
        <v>58</v>
      </c>
      <c r="C885" s="57" t="s">
        <v>99</v>
      </c>
      <c r="D885" s="58">
        <v>4</v>
      </c>
      <c r="E885" s="59">
        <v>1.07278871426E-4</v>
      </c>
    </row>
    <row r="886" spans="1:5" ht="14.5" customHeight="1">
      <c r="A886" s="39"/>
      <c r="B886" s="97"/>
      <c r="C886" s="57" t="s">
        <v>100</v>
      </c>
      <c r="D886" s="58">
        <v>1</v>
      </c>
      <c r="E886" s="59">
        <v>2.6819717857000001E-5</v>
      </c>
    </row>
    <row r="887" spans="1:5" ht="14.5" customHeight="1">
      <c r="A887" s="39"/>
      <c r="B887" s="97"/>
      <c r="C887" s="57" t="s">
        <v>101</v>
      </c>
      <c r="D887" s="58">
        <v>4</v>
      </c>
      <c r="E887" s="59">
        <v>1.07278871426E-4</v>
      </c>
    </row>
    <row r="888" spans="1:5" ht="14.5" customHeight="1">
      <c r="A888" s="39"/>
      <c r="B888" s="97"/>
      <c r="C888" s="57" t="s">
        <v>102</v>
      </c>
      <c r="D888" s="58">
        <v>12</v>
      </c>
      <c r="E888" s="59">
        <v>3.2183661427899999E-4</v>
      </c>
    </row>
    <row r="889" spans="1:5" ht="14.5" customHeight="1">
      <c r="A889" s="39"/>
      <c r="B889" s="97"/>
      <c r="C889" s="57" t="s">
        <v>103</v>
      </c>
      <c r="D889" s="58">
        <v>4</v>
      </c>
      <c r="E889" s="59">
        <v>1.07278871426E-4</v>
      </c>
    </row>
    <row r="890" spans="1:5" ht="14.5" customHeight="1">
      <c r="A890" s="39"/>
      <c r="B890" s="97"/>
      <c r="C890" s="57" t="s">
        <v>104</v>
      </c>
      <c r="D890" s="58">
        <v>12</v>
      </c>
      <c r="E890" s="59">
        <v>3.2183661427899999E-4</v>
      </c>
    </row>
    <row r="891" spans="1:5" ht="14.5" customHeight="1">
      <c r="A891" s="39"/>
      <c r="B891" s="97"/>
      <c r="C891" s="57" t="s">
        <v>105</v>
      </c>
      <c r="D891" s="58">
        <v>48</v>
      </c>
      <c r="E891" s="59">
        <v>1.2873464571149999E-3</v>
      </c>
    </row>
    <row r="892" spans="1:5" ht="14.5" customHeight="1">
      <c r="A892" s="39"/>
      <c r="B892" s="97"/>
      <c r="C892" s="57" t="s">
        <v>106</v>
      </c>
      <c r="D892" s="58">
        <v>67</v>
      </c>
      <c r="E892" s="59">
        <v>1.7969210963900001E-3</v>
      </c>
    </row>
    <row r="893" spans="1:5" ht="14.5" customHeight="1">
      <c r="A893" s="39"/>
      <c r="B893" s="97"/>
      <c r="C893" s="57" t="s">
        <v>107</v>
      </c>
      <c r="D893" s="58">
        <v>13</v>
      </c>
      <c r="E893" s="59">
        <v>3.4865633213499998E-4</v>
      </c>
    </row>
    <row r="894" spans="1:5" ht="14.5" customHeight="1">
      <c r="A894" s="39"/>
      <c r="B894" s="97"/>
      <c r="C894" s="57" t="s">
        <v>108</v>
      </c>
      <c r="D894" s="58">
        <v>21</v>
      </c>
      <c r="E894" s="59">
        <v>5.63214074988E-4</v>
      </c>
    </row>
    <row r="895" spans="1:5" ht="14.5" customHeight="1">
      <c r="A895" s="39"/>
      <c r="B895" s="97"/>
      <c r="C895" s="57" t="s">
        <v>109</v>
      </c>
      <c r="D895" s="58">
        <v>25</v>
      </c>
      <c r="E895" s="59">
        <v>6.7049294641399998E-4</v>
      </c>
    </row>
    <row r="896" spans="1:5" ht="14.5" customHeight="1">
      <c r="A896" s="39"/>
      <c r="B896" s="97"/>
      <c r="C896" s="57" t="s">
        <v>110</v>
      </c>
      <c r="D896" s="58">
        <v>294</v>
      </c>
      <c r="E896" s="59">
        <v>7.8849970498309999E-3</v>
      </c>
    </row>
    <row r="897" spans="1:5" ht="14.5" customHeight="1">
      <c r="A897" s="39"/>
      <c r="B897" s="97"/>
      <c r="C897" s="57" t="s">
        <v>111</v>
      </c>
      <c r="D897" s="58">
        <v>35</v>
      </c>
      <c r="E897" s="59">
        <v>9.3869012498000004E-4</v>
      </c>
    </row>
    <row r="898" spans="1:5" ht="14.5" customHeight="1">
      <c r="A898" s="39"/>
      <c r="B898" s="97"/>
      <c r="C898" s="57" t="s">
        <v>112</v>
      </c>
      <c r="D898" s="58">
        <v>61</v>
      </c>
      <c r="E898" s="59">
        <v>1.636002789251E-3</v>
      </c>
    </row>
    <row r="899" spans="1:5" ht="14.5" customHeight="1">
      <c r="A899" s="39"/>
      <c r="B899" s="97"/>
      <c r="C899" s="57" t="s">
        <v>113</v>
      </c>
      <c r="D899" s="58">
        <v>209</v>
      </c>
      <c r="E899" s="59">
        <v>5.6053210320229996E-3</v>
      </c>
    </row>
    <row r="900" spans="1:5" ht="14.5" customHeight="1">
      <c r="A900" s="39"/>
      <c r="B900" s="97"/>
      <c r="C900" s="57" t="s">
        <v>114</v>
      </c>
      <c r="D900" s="58">
        <v>8</v>
      </c>
      <c r="E900" s="59">
        <v>2.1455774285299999E-4</v>
      </c>
    </row>
    <row r="901" spans="1:5" ht="14.5" customHeight="1">
      <c r="A901" s="39"/>
      <c r="B901" s="97"/>
      <c r="C901" s="57" t="s">
        <v>115</v>
      </c>
      <c r="D901" s="58">
        <v>13</v>
      </c>
      <c r="E901" s="59">
        <v>3.4865633213499998E-4</v>
      </c>
    </row>
    <row r="902" spans="1:5" ht="14.5" customHeight="1">
      <c r="A902" s="39"/>
      <c r="B902" s="97"/>
      <c r="C902" s="57" t="s">
        <v>117</v>
      </c>
      <c r="D902" s="58">
        <v>4</v>
      </c>
      <c r="E902" s="59">
        <v>1.07278871426E-4</v>
      </c>
    </row>
    <row r="903" spans="1:5" ht="14.5" customHeight="1">
      <c r="A903" s="39"/>
      <c r="B903" s="97"/>
      <c r="C903" s="57" t="s">
        <v>118</v>
      </c>
      <c r="D903" s="58">
        <v>16</v>
      </c>
      <c r="E903" s="59">
        <v>4.2911548570500002E-4</v>
      </c>
    </row>
    <row r="904" spans="1:5" ht="14.5" customHeight="1">
      <c r="A904" s="39"/>
      <c r="B904" s="97"/>
      <c r="C904" s="57" t="s">
        <v>119</v>
      </c>
      <c r="D904" s="58">
        <v>60</v>
      </c>
      <c r="E904" s="59">
        <v>1.609183071394E-3</v>
      </c>
    </row>
    <row r="905" spans="1:5" ht="14.5" customHeight="1">
      <c r="A905" s="39"/>
      <c r="B905" s="97"/>
      <c r="C905" s="57" t="s">
        <v>120</v>
      </c>
      <c r="D905" s="58">
        <v>1</v>
      </c>
      <c r="E905" s="59">
        <v>2.6819717857000001E-5</v>
      </c>
    </row>
    <row r="906" spans="1:5" ht="14.5" customHeight="1">
      <c r="A906" s="39"/>
      <c r="B906" s="97"/>
      <c r="C906" s="57" t="s">
        <v>121</v>
      </c>
      <c r="D906" s="58">
        <v>3</v>
      </c>
      <c r="E906" s="59">
        <v>8.0459153570000002E-5</v>
      </c>
    </row>
    <row r="907" spans="1:5" ht="14.5" customHeight="1">
      <c r="A907" s="39"/>
      <c r="B907" s="98"/>
      <c r="C907" s="72" t="s">
        <v>353</v>
      </c>
      <c r="D907" s="71">
        <v>915</v>
      </c>
      <c r="E907" s="73">
        <v>2.4540041838760001E-2</v>
      </c>
    </row>
    <row r="908" spans="1:5" ht="14.5" customHeight="1">
      <c r="A908" s="39"/>
      <c r="B908" s="96" t="s">
        <v>51</v>
      </c>
      <c r="C908" s="57" t="s">
        <v>99</v>
      </c>
      <c r="D908" s="58">
        <v>9</v>
      </c>
      <c r="E908" s="59">
        <v>2.4137746070900001E-4</v>
      </c>
    </row>
    <row r="909" spans="1:5" ht="14.5" customHeight="1">
      <c r="A909" s="39"/>
      <c r="B909" s="97"/>
      <c r="C909" s="57" t="s">
        <v>100</v>
      </c>
      <c r="D909" s="58">
        <v>1</v>
      </c>
      <c r="E909" s="59">
        <v>2.6819717857000001E-5</v>
      </c>
    </row>
    <row r="910" spans="1:5" ht="14.5" customHeight="1">
      <c r="A910" s="39"/>
      <c r="B910" s="97"/>
      <c r="C910" s="57" t="s">
        <v>101</v>
      </c>
      <c r="D910" s="58">
        <v>6</v>
      </c>
      <c r="E910" s="59">
        <v>1.6091830713899999E-4</v>
      </c>
    </row>
    <row r="911" spans="1:5" ht="14.5" customHeight="1">
      <c r="A911" s="39"/>
      <c r="B911" s="97"/>
      <c r="C911" s="57" t="s">
        <v>102</v>
      </c>
      <c r="D911" s="58">
        <v>7</v>
      </c>
      <c r="E911" s="59">
        <v>1.8773802499599999E-4</v>
      </c>
    </row>
    <row r="912" spans="1:5" ht="14.5" customHeight="1">
      <c r="A912" s="39"/>
      <c r="B912" s="97"/>
      <c r="C912" s="57" t="s">
        <v>103</v>
      </c>
      <c r="D912" s="58">
        <v>4</v>
      </c>
      <c r="E912" s="59">
        <v>1.07278871426E-4</v>
      </c>
    </row>
    <row r="913" spans="1:5" ht="14.5" customHeight="1">
      <c r="A913" s="39"/>
      <c r="B913" s="97"/>
      <c r="C913" s="57" t="s">
        <v>104</v>
      </c>
      <c r="D913" s="58">
        <v>14</v>
      </c>
      <c r="E913" s="59">
        <v>3.7547604999199998E-4</v>
      </c>
    </row>
    <row r="914" spans="1:5" ht="14.5" customHeight="1">
      <c r="A914" s="39"/>
      <c r="B914" s="97"/>
      <c r="C914" s="57" t="s">
        <v>105</v>
      </c>
      <c r="D914" s="58">
        <v>84</v>
      </c>
      <c r="E914" s="59">
        <v>2.252856299952E-3</v>
      </c>
    </row>
    <row r="915" spans="1:5" ht="14.5" customHeight="1">
      <c r="A915" s="39"/>
      <c r="B915" s="97"/>
      <c r="C915" s="57" t="s">
        <v>106</v>
      </c>
      <c r="D915" s="58">
        <v>135</v>
      </c>
      <c r="E915" s="59">
        <v>3.6206619106370001E-3</v>
      </c>
    </row>
    <row r="916" spans="1:5" ht="14.5" customHeight="1">
      <c r="A916" s="39"/>
      <c r="B916" s="97"/>
      <c r="C916" s="57" t="s">
        <v>107</v>
      </c>
      <c r="D916" s="58">
        <v>36</v>
      </c>
      <c r="E916" s="59">
        <v>9.6550984283600002E-4</v>
      </c>
    </row>
    <row r="917" spans="1:5" ht="14.5" customHeight="1">
      <c r="A917" s="39"/>
      <c r="B917" s="97"/>
      <c r="C917" s="57" t="s">
        <v>108</v>
      </c>
      <c r="D917" s="58">
        <v>50</v>
      </c>
      <c r="E917" s="59">
        <v>1.340985892828E-3</v>
      </c>
    </row>
    <row r="918" spans="1:5" ht="14.5" customHeight="1">
      <c r="A918" s="39"/>
      <c r="B918" s="97"/>
      <c r="C918" s="57" t="s">
        <v>109</v>
      </c>
      <c r="D918" s="58">
        <v>48</v>
      </c>
      <c r="E918" s="59">
        <v>1.2873464571149999E-3</v>
      </c>
    </row>
    <row r="919" spans="1:5" ht="14.5" customHeight="1">
      <c r="A919" s="39"/>
      <c r="B919" s="97"/>
      <c r="C919" s="57" t="s">
        <v>110</v>
      </c>
      <c r="D919" s="58">
        <v>536</v>
      </c>
      <c r="E919" s="59">
        <v>1.4375368771121E-2</v>
      </c>
    </row>
    <row r="920" spans="1:5" ht="14.5" customHeight="1">
      <c r="A920" s="39"/>
      <c r="B920" s="97"/>
      <c r="C920" s="57" t="s">
        <v>111</v>
      </c>
      <c r="D920" s="58">
        <v>56</v>
      </c>
      <c r="E920" s="59">
        <v>1.5019041999679999E-3</v>
      </c>
    </row>
    <row r="921" spans="1:5" ht="14.5" customHeight="1">
      <c r="A921" s="39"/>
      <c r="B921" s="97"/>
      <c r="C921" s="57" t="s">
        <v>112</v>
      </c>
      <c r="D921" s="58">
        <v>124</v>
      </c>
      <c r="E921" s="59">
        <v>3.3256450142140001E-3</v>
      </c>
    </row>
    <row r="922" spans="1:5" ht="14.5" customHeight="1">
      <c r="A922" s="39"/>
      <c r="B922" s="97"/>
      <c r="C922" s="57" t="s">
        <v>113</v>
      </c>
      <c r="D922" s="58">
        <v>456</v>
      </c>
      <c r="E922" s="59">
        <v>1.2229791342595E-2</v>
      </c>
    </row>
    <row r="923" spans="1:5" ht="14.5" customHeight="1">
      <c r="A923" s="39"/>
      <c r="B923" s="97"/>
      <c r="C923" s="57" t="s">
        <v>114</v>
      </c>
      <c r="D923" s="58">
        <v>23</v>
      </c>
      <c r="E923" s="59">
        <v>6.1685351070100004E-4</v>
      </c>
    </row>
    <row r="924" spans="1:5" ht="14.5" customHeight="1">
      <c r="A924" s="39"/>
      <c r="B924" s="97"/>
      <c r="C924" s="57" t="s">
        <v>115</v>
      </c>
      <c r="D924" s="58">
        <v>17</v>
      </c>
      <c r="E924" s="59">
        <v>4.5593520356200002E-4</v>
      </c>
    </row>
    <row r="925" spans="1:5" ht="14.5" customHeight="1">
      <c r="A925" s="39"/>
      <c r="B925" s="97"/>
      <c r="C925" s="57" t="s">
        <v>116</v>
      </c>
      <c r="D925" s="58">
        <v>11</v>
      </c>
      <c r="E925" s="59">
        <v>2.9501689642199999E-4</v>
      </c>
    </row>
    <row r="926" spans="1:5" ht="14.5" customHeight="1">
      <c r="A926" s="39"/>
      <c r="B926" s="97"/>
      <c r="C926" s="57" t="s">
        <v>117</v>
      </c>
      <c r="D926" s="58">
        <v>5</v>
      </c>
      <c r="E926" s="59">
        <v>1.34098589283E-4</v>
      </c>
    </row>
    <row r="927" spans="1:5" ht="14.5" customHeight="1">
      <c r="A927" s="39"/>
      <c r="B927" s="97"/>
      <c r="C927" s="57" t="s">
        <v>118</v>
      </c>
      <c r="D927" s="58">
        <v>37</v>
      </c>
      <c r="E927" s="59">
        <v>9.9232956069299997E-4</v>
      </c>
    </row>
    <row r="928" spans="1:5" ht="14.5" customHeight="1">
      <c r="A928" s="39"/>
      <c r="B928" s="97"/>
      <c r="C928" s="57" t="s">
        <v>119</v>
      </c>
      <c r="D928" s="58">
        <v>77</v>
      </c>
      <c r="E928" s="59">
        <v>2.0651182749560001E-3</v>
      </c>
    </row>
    <row r="929" spans="1:5" ht="14.5" customHeight="1">
      <c r="A929" s="39"/>
      <c r="B929" s="97"/>
      <c r="C929" s="57" t="s">
        <v>121</v>
      </c>
      <c r="D929" s="58">
        <v>4</v>
      </c>
      <c r="E929" s="59">
        <v>1.07278871426E-4</v>
      </c>
    </row>
    <row r="930" spans="1:5" ht="14.5" customHeight="1">
      <c r="A930" s="39"/>
      <c r="B930" s="98"/>
      <c r="C930" s="72" t="s">
        <v>353</v>
      </c>
      <c r="D930" s="71">
        <v>1740</v>
      </c>
      <c r="E930" s="73">
        <v>4.6666309070428999E-2</v>
      </c>
    </row>
    <row r="931" spans="1:5" ht="14.5" customHeight="1">
      <c r="A931" s="39"/>
      <c r="B931" s="96" t="s">
        <v>85</v>
      </c>
      <c r="C931" s="57" t="s">
        <v>100</v>
      </c>
      <c r="D931" s="58">
        <v>1</v>
      </c>
      <c r="E931" s="59">
        <v>2.6819717857000001E-5</v>
      </c>
    </row>
    <row r="932" spans="1:5" ht="14.5" customHeight="1">
      <c r="A932" s="39"/>
      <c r="B932" s="97"/>
      <c r="C932" s="57" t="s">
        <v>105</v>
      </c>
      <c r="D932" s="58">
        <v>6</v>
      </c>
      <c r="E932" s="59">
        <v>1.6091830713899999E-4</v>
      </c>
    </row>
    <row r="933" spans="1:5" ht="14.5" customHeight="1">
      <c r="A933" s="39"/>
      <c r="B933" s="97"/>
      <c r="C933" s="57" t="s">
        <v>106</v>
      </c>
      <c r="D933" s="58">
        <v>5</v>
      </c>
      <c r="E933" s="59">
        <v>1.34098589283E-4</v>
      </c>
    </row>
    <row r="934" spans="1:5" ht="14.5" customHeight="1">
      <c r="A934" s="39"/>
      <c r="B934" s="97"/>
      <c r="C934" s="57" t="s">
        <v>108</v>
      </c>
      <c r="D934" s="58">
        <v>4</v>
      </c>
      <c r="E934" s="59">
        <v>1.07278871426E-4</v>
      </c>
    </row>
    <row r="935" spans="1:5" ht="14.5" customHeight="1">
      <c r="A935" s="39"/>
      <c r="B935" s="97"/>
      <c r="C935" s="57" t="s">
        <v>109</v>
      </c>
      <c r="D935" s="58">
        <v>2</v>
      </c>
      <c r="E935" s="59">
        <v>5.3639435713000001E-5</v>
      </c>
    </row>
    <row r="936" spans="1:5" ht="14.5" customHeight="1">
      <c r="A936" s="39"/>
      <c r="B936" s="97"/>
      <c r="C936" s="57" t="s">
        <v>110</v>
      </c>
      <c r="D936" s="58">
        <v>38</v>
      </c>
      <c r="E936" s="59">
        <v>1.0191492785499999E-3</v>
      </c>
    </row>
    <row r="937" spans="1:5" ht="14.5" customHeight="1">
      <c r="A937" s="39"/>
      <c r="B937" s="97"/>
      <c r="C937" s="57" t="s">
        <v>111</v>
      </c>
      <c r="D937" s="58">
        <v>3</v>
      </c>
      <c r="E937" s="59">
        <v>8.0459153570000002E-5</v>
      </c>
    </row>
    <row r="938" spans="1:5" ht="14.5" customHeight="1">
      <c r="A938" s="39"/>
      <c r="B938" s="97"/>
      <c r="C938" s="57" t="s">
        <v>112</v>
      </c>
      <c r="D938" s="58">
        <v>9</v>
      </c>
      <c r="E938" s="59">
        <v>2.4137746070900001E-4</v>
      </c>
    </row>
    <row r="939" spans="1:5" ht="14.5" customHeight="1">
      <c r="A939" s="39"/>
      <c r="B939" s="97"/>
      <c r="C939" s="57" t="s">
        <v>113</v>
      </c>
      <c r="D939" s="58">
        <v>37</v>
      </c>
      <c r="E939" s="59">
        <v>9.9232956069299997E-4</v>
      </c>
    </row>
    <row r="940" spans="1:5" ht="14.5" customHeight="1">
      <c r="A940" s="39"/>
      <c r="B940" s="97"/>
      <c r="C940" s="57" t="s">
        <v>118</v>
      </c>
      <c r="D940" s="58">
        <v>6</v>
      </c>
      <c r="E940" s="59">
        <v>1.6091830713899999E-4</v>
      </c>
    </row>
    <row r="941" spans="1:5" ht="14.5" customHeight="1">
      <c r="A941" s="39"/>
      <c r="B941" s="97"/>
      <c r="C941" s="57" t="s">
        <v>119</v>
      </c>
      <c r="D941" s="58">
        <v>16</v>
      </c>
      <c r="E941" s="59">
        <v>4.2911548570500002E-4</v>
      </c>
    </row>
    <row r="942" spans="1:5" ht="14.5" customHeight="1">
      <c r="A942" s="39"/>
      <c r="B942" s="97"/>
      <c r="C942" s="57" t="s">
        <v>121</v>
      </c>
      <c r="D942" s="58">
        <v>1</v>
      </c>
      <c r="E942" s="59">
        <v>2.6819717857000001E-5</v>
      </c>
    </row>
    <row r="943" spans="1:5" ht="14.5" customHeight="1">
      <c r="A943" s="39"/>
      <c r="B943" s="98"/>
      <c r="C943" s="72" t="s">
        <v>353</v>
      </c>
      <c r="D943" s="71">
        <v>128</v>
      </c>
      <c r="E943" s="73">
        <v>3.4329238856409998E-3</v>
      </c>
    </row>
    <row r="944" spans="1:5" ht="14.5" customHeight="1">
      <c r="A944" s="39"/>
      <c r="B944" s="96" t="s">
        <v>91</v>
      </c>
      <c r="C944" s="57" t="s">
        <v>103</v>
      </c>
      <c r="D944" s="58">
        <v>1</v>
      </c>
      <c r="E944" s="59">
        <v>2.6819717857000001E-5</v>
      </c>
    </row>
    <row r="945" spans="1:5" ht="14.5" customHeight="1">
      <c r="A945" s="39"/>
      <c r="B945" s="97"/>
      <c r="C945" s="57" t="s">
        <v>105</v>
      </c>
      <c r="D945" s="58">
        <v>2</v>
      </c>
      <c r="E945" s="59">
        <v>5.3639435713000001E-5</v>
      </c>
    </row>
    <row r="946" spans="1:5" ht="14.5" customHeight="1">
      <c r="A946" s="39"/>
      <c r="B946" s="97"/>
      <c r="C946" s="57" t="s">
        <v>106</v>
      </c>
      <c r="D946" s="58">
        <v>1</v>
      </c>
      <c r="E946" s="59">
        <v>2.6819717857000001E-5</v>
      </c>
    </row>
    <row r="947" spans="1:5" ht="14.5" customHeight="1">
      <c r="A947" s="39"/>
      <c r="B947" s="97"/>
      <c r="C947" s="57" t="s">
        <v>107</v>
      </c>
      <c r="D947" s="58">
        <v>3</v>
      </c>
      <c r="E947" s="59">
        <v>8.0459153570000002E-5</v>
      </c>
    </row>
    <row r="948" spans="1:5" ht="14.5" customHeight="1">
      <c r="A948" s="39"/>
      <c r="B948" s="97"/>
      <c r="C948" s="57" t="s">
        <v>108</v>
      </c>
      <c r="D948" s="58">
        <v>1</v>
      </c>
      <c r="E948" s="59">
        <v>2.6819717857000001E-5</v>
      </c>
    </row>
    <row r="949" spans="1:5" ht="14.5" customHeight="1">
      <c r="A949" s="39"/>
      <c r="B949" s="97"/>
      <c r="C949" s="57" t="s">
        <v>109</v>
      </c>
      <c r="D949" s="58">
        <v>1</v>
      </c>
      <c r="E949" s="59">
        <v>2.6819717857000001E-5</v>
      </c>
    </row>
    <row r="950" spans="1:5" ht="14.5" customHeight="1">
      <c r="A950" s="39"/>
      <c r="B950" s="97"/>
      <c r="C950" s="57" t="s">
        <v>110</v>
      </c>
      <c r="D950" s="58">
        <v>12</v>
      </c>
      <c r="E950" s="59">
        <v>3.2183661427899999E-4</v>
      </c>
    </row>
    <row r="951" spans="1:5" ht="14.5" customHeight="1">
      <c r="A951" s="39"/>
      <c r="B951" s="97"/>
      <c r="C951" s="57" t="s">
        <v>111</v>
      </c>
      <c r="D951" s="58">
        <v>3</v>
      </c>
      <c r="E951" s="59">
        <v>8.0459153570000002E-5</v>
      </c>
    </row>
    <row r="952" spans="1:5" ht="14.5" customHeight="1">
      <c r="A952" s="39"/>
      <c r="B952" s="97"/>
      <c r="C952" s="57" t="s">
        <v>112</v>
      </c>
      <c r="D952" s="58">
        <v>3</v>
      </c>
      <c r="E952" s="59">
        <v>8.0459153570000002E-5</v>
      </c>
    </row>
    <row r="953" spans="1:5" ht="14.5" customHeight="1">
      <c r="A953" s="39"/>
      <c r="B953" s="97"/>
      <c r="C953" s="57" t="s">
        <v>113</v>
      </c>
      <c r="D953" s="58">
        <v>9</v>
      </c>
      <c r="E953" s="59">
        <v>2.4137746070900001E-4</v>
      </c>
    </row>
    <row r="954" spans="1:5" ht="14.5" customHeight="1">
      <c r="A954" s="39"/>
      <c r="B954" s="97"/>
      <c r="C954" s="57" t="s">
        <v>116</v>
      </c>
      <c r="D954" s="58">
        <v>2</v>
      </c>
      <c r="E954" s="59">
        <v>5.3639435713000001E-5</v>
      </c>
    </row>
    <row r="955" spans="1:5" ht="14.5" customHeight="1">
      <c r="A955" s="39"/>
      <c r="B955" s="97"/>
      <c r="C955" s="57" t="s">
        <v>118</v>
      </c>
      <c r="D955" s="58">
        <v>1</v>
      </c>
      <c r="E955" s="59">
        <v>2.6819717857000001E-5</v>
      </c>
    </row>
    <row r="956" spans="1:5" ht="14.5" customHeight="1">
      <c r="A956" s="39"/>
      <c r="B956" s="97"/>
      <c r="C956" s="57" t="s">
        <v>119</v>
      </c>
      <c r="D956" s="58">
        <v>3</v>
      </c>
      <c r="E956" s="59">
        <v>8.0459153570000002E-5</v>
      </c>
    </row>
    <row r="957" spans="1:5" ht="14.5" customHeight="1">
      <c r="A957" s="39"/>
      <c r="B957" s="97"/>
      <c r="C957" s="57" t="s">
        <v>121</v>
      </c>
      <c r="D957" s="58">
        <v>1</v>
      </c>
      <c r="E957" s="59">
        <v>2.6819717857000001E-5</v>
      </c>
    </row>
    <row r="958" spans="1:5" ht="14.5" customHeight="1">
      <c r="A958" s="39"/>
      <c r="B958" s="97"/>
      <c r="C958" s="57" t="s">
        <v>122</v>
      </c>
      <c r="D958" s="58">
        <v>2</v>
      </c>
      <c r="E958" s="59">
        <v>5.3639435713000001E-5</v>
      </c>
    </row>
    <row r="959" spans="1:5" ht="14.5" customHeight="1">
      <c r="A959" s="39"/>
      <c r="B959" s="98"/>
      <c r="C959" s="72" t="s">
        <v>353</v>
      </c>
      <c r="D959" s="71">
        <v>45</v>
      </c>
      <c r="E959" s="73">
        <v>1.206887303546E-3</v>
      </c>
    </row>
    <row r="960" spans="1:5" ht="14.5" customHeight="1">
      <c r="A960" s="39"/>
      <c r="B960" s="96" t="s">
        <v>79</v>
      </c>
      <c r="C960" s="57" t="s">
        <v>99</v>
      </c>
      <c r="D960" s="58">
        <v>3</v>
      </c>
      <c r="E960" s="59">
        <v>8.0459153570000002E-5</v>
      </c>
    </row>
    <row r="961" spans="1:5" ht="14.5" customHeight="1">
      <c r="A961" s="39"/>
      <c r="B961" s="97"/>
      <c r="C961" s="57" t="s">
        <v>103</v>
      </c>
      <c r="D961" s="58">
        <v>1</v>
      </c>
      <c r="E961" s="59">
        <v>2.6819717857000001E-5</v>
      </c>
    </row>
    <row r="962" spans="1:5" ht="14.5" customHeight="1">
      <c r="A962" s="39"/>
      <c r="B962" s="97"/>
      <c r="C962" s="57" t="s">
        <v>104</v>
      </c>
      <c r="D962" s="58">
        <v>2</v>
      </c>
      <c r="E962" s="59">
        <v>5.3639435713000001E-5</v>
      </c>
    </row>
    <row r="963" spans="1:5" ht="14.5" customHeight="1">
      <c r="A963" s="39"/>
      <c r="B963" s="97"/>
      <c r="C963" s="57" t="s">
        <v>105</v>
      </c>
      <c r="D963" s="58">
        <v>15</v>
      </c>
      <c r="E963" s="59">
        <v>4.0229576784899998E-4</v>
      </c>
    </row>
    <row r="964" spans="1:5" ht="14.5" customHeight="1">
      <c r="A964" s="39"/>
      <c r="B964" s="97"/>
      <c r="C964" s="57" t="s">
        <v>106</v>
      </c>
      <c r="D964" s="58">
        <v>21</v>
      </c>
      <c r="E964" s="59">
        <v>5.63214074988E-4</v>
      </c>
    </row>
    <row r="965" spans="1:5" ht="14.5" customHeight="1">
      <c r="A965" s="39"/>
      <c r="B965" s="97"/>
      <c r="C965" s="57" t="s">
        <v>107</v>
      </c>
      <c r="D965" s="58">
        <v>2</v>
      </c>
      <c r="E965" s="59">
        <v>5.3639435713000001E-5</v>
      </c>
    </row>
    <row r="966" spans="1:5" ht="14.5" customHeight="1">
      <c r="A966" s="39"/>
      <c r="B966" s="97"/>
      <c r="C966" s="57" t="s">
        <v>108</v>
      </c>
      <c r="D966" s="58">
        <v>7</v>
      </c>
      <c r="E966" s="59">
        <v>1.8773802499599999E-4</v>
      </c>
    </row>
    <row r="967" spans="1:5" ht="14.5" customHeight="1">
      <c r="A967" s="39"/>
      <c r="B967" s="97"/>
      <c r="C967" s="57" t="s">
        <v>109</v>
      </c>
      <c r="D967" s="58">
        <v>5</v>
      </c>
      <c r="E967" s="59">
        <v>1.34098589283E-4</v>
      </c>
    </row>
    <row r="968" spans="1:5" ht="14.5" customHeight="1">
      <c r="A968" s="39"/>
      <c r="B968" s="97"/>
      <c r="C968" s="57" t="s">
        <v>110</v>
      </c>
      <c r="D968" s="58">
        <v>83</v>
      </c>
      <c r="E968" s="59">
        <v>2.2260365820950001E-3</v>
      </c>
    </row>
    <row r="969" spans="1:5" ht="14.5" customHeight="1">
      <c r="A969" s="39"/>
      <c r="B969" s="97"/>
      <c r="C969" s="57" t="s">
        <v>111</v>
      </c>
      <c r="D969" s="58">
        <v>4</v>
      </c>
      <c r="E969" s="59">
        <v>1.07278871426E-4</v>
      </c>
    </row>
    <row r="970" spans="1:5" ht="14.5" customHeight="1">
      <c r="A970" s="39"/>
      <c r="B970" s="97"/>
      <c r="C970" s="57" t="s">
        <v>112</v>
      </c>
      <c r="D970" s="58">
        <v>14</v>
      </c>
      <c r="E970" s="59">
        <v>3.7547604999199998E-4</v>
      </c>
    </row>
    <row r="971" spans="1:5" ht="15" customHeight="1">
      <c r="A971" s="39"/>
      <c r="B971" s="97"/>
      <c r="C971" s="57" t="s">
        <v>113</v>
      </c>
      <c r="D971" s="58">
        <v>51</v>
      </c>
      <c r="E971" s="59">
        <v>1.3678056106849999E-3</v>
      </c>
    </row>
    <row r="972" spans="1:5" ht="15" customHeight="1">
      <c r="A972" s="39"/>
      <c r="B972" s="97"/>
      <c r="C972" s="57" t="s">
        <v>115</v>
      </c>
      <c r="D972" s="58">
        <v>3</v>
      </c>
      <c r="E972" s="59">
        <v>8.0459153570000002E-5</v>
      </c>
    </row>
    <row r="973" spans="1:5" ht="15" customHeight="1">
      <c r="A973" s="39"/>
      <c r="B973" s="97"/>
      <c r="C973" s="57" t="s">
        <v>118</v>
      </c>
      <c r="D973" s="58">
        <v>9</v>
      </c>
      <c r="E973" s="59">
        <v>2.4137746070900001E-4</v>
      </c>
    </row>
    <row r="974" spans="1:5" ht="15" customHeight="1">
      <c r="A974" s="39"/>
      <c r="B974" s="97"/>
      <c r="C974" s="57" t="s">
        <v>119</v>
      </c>
      <c r="D974" s="58">
        <v>16</v>
      </c>
      <c r="E974" s="59">
        <v>4.2911548570500002E-4</v>
      </c>
    </row>
    <row r="975" spans="1:5" ht="15" customHeight="1">
      <c r="A975" s="39"/>
      <c r="B975" s="97"/>
      <c r="C975" s="57" t="s">
        <v>121</v>
      </c>
      <c r="D975" s="58">
        <v>14</v>
      </c>
      <c r="E975" s="59">
        <v>3.7547604999199998E-4</v>
      </c>
    </row>
    <row r="976" spans="1:5" ht="15" customHeight="1">
      <c r="A976" s="39"/>
      <c r="B976" s="97"/>
      <c r="C976" s="57" t="s">
        <v>122</v>
      </c>
      <c r="D976" s="58">
        <v>1</v>
      </c>
      <c r="E976" s="59">
        <v>2.6819717857000001E-5</v>
      </c>
    </row>
    <row r="977" spans="1:5" ht="15" customHeight="1">
      <c r="A977" s="39"/>
      <c r="B977" s="98"/>
      <c r="C977" s="72" t="s">
        <v>353</v>
      </c>
      <c r="D977" s="71">
        <v>251</v>
      </c>
      <c r="E977" s="73">
        <v>6.7317491819989996E-3</v>
      </c>
    </row>
    <row r="978" spans="1:5" ht="15" customHeight="1">
      <c r="A978" s="39"/>
      <c r="B978" s="96" t="s">
        <v>96</v>
      </c>
      <c r="C978" s="57" t="s">
        <v>104</v>
      </c>
      <c r="D978" s="58">
        <v>1</v>
      </c>
      <c r="E978" s="59">
        <v>2.6819717857000001E-5</v>
      </c>
    </row>
    <row r="979" spans="1:5" ht="15" customHeight="1">
      <c r="A979" s="39"/>
      <c r="B979" s="97"/>
      <c r="C979" s="57" t="s">
        <v>106</v>
      </c>
      <c r="D979" s="58">
        <v>1</v>
      </c>
      <c r="E979" s="59">
        <v>2.6819717857000001E-5</v>
      </c>
    </row>
    <row r="980" spans="1:5" ht="15" customHeight="1">
      <c r="A980" s="39"/>
      <c r="B980" s="97"/>
      <c r="C980" s="57" t="s">
        <v>110</v>
      </c>
      <c r="D980" s="58">
        <v>3</v>
      </c>
      <c r="E980" s="59">
        <v>8.0459153570000002E-5</v>
      </c>
    </row>
    <row r="981" spans="1:5" ht="15" customHeight="1">
      <c r="A981" s="39"/>
      <c r="B981" s="97"/>
      <c r="C981" s="57" t="s">
        <v>113</v>
      </c>
      <c r="D981" s="58">
        <v>2</v>
      </c>
      <c r="E981" s="59">
        <v>5.3639435713000001E-5</v>
      </c>
    </row>
    <row r="982" spans="1:5" ht="15" customHeight="1">
      <c r="A982" s="39"/>
      <c r="B982" s="97"/>
      <c r="C982" s="57" t="s">
        <v>119</v>
      </c>
      <c r="D982" s="58">
        <v>1</v>
      </c>
      <c r="E982" s="59">
        <v>2.6819717857000001E-5</v>
      </c>
    </row>
    <row r="983" spans="1:5" ht="15" customHeight="1">
      <c r="A983" s="39"/>
      <c r="B983" s="98"/>
      <c r="C983" s="72" t="s">
        <v>353</v>
      </c>
      <c r="D983" s="71">
        <v>8</v>
      </c>
      <c r="E983" s="73">
        <v>2.1455774285299999E-4</v>
      </c>
    </row>
    <row r="984" spans="1:5" ht="15" customHeight="1">
      <c r="A984" s="39"/>
      <c r="B984" s="94" t="s">
        <v>353</v>
      </c>
      <c r="C984" s="95"/>
      <c r="D984" s="61">
        <v>37286</v>
      </c>
      <c r="E984" s="62">
        <v>1</v>
      </c>
    </row>
    <row r="985" spans="1:5" ht="15" customHeight="1">
      <c r="A985" s="39"/>
      <c r="B985" s="39"/>
      <c r="C985" s="39"/>
      <c r="D985" s="39"/>
      <c r="E985" s="39"/>
    </row>
    <row r="986" spans="1:5" ht="15" customHeight="1">
      <c r="A986" s="39"/>
      <c r="B986" s="40" t="s">
        <v>132</v>
      </c>
      <c r="C986" s="50"/>
      <c r="D986" s="39"/>
      <c r="E986" s="39"/>
    </row>
    <row r="987" spans="1:5" ht="15" customHeight="1">
      <c r="A987" s="39"/>
      <c r="B987" s="41" t="s">
        <v>17</v>
      </c>
      <c r="C987" s="50"/>
      <c r="D987" s="39"/>
      <c r="E987" s="39"/>
    </row>
    <row r="988" spans="1:5" ht="15" customHeight="1">
      <c r="A988" s="39"/>
      <c r="B988" s="42" t="s">
        <v>46</v>
      </c>
      <c r="C988" s="50"/>
      <c r="D988" s="39"/>
      <c r="E988" s="39"/>
    </row>
    <row r="989" spans="1:5" ht="15" customHeight="1">
      <c r="A989" s="39"/>
      <c r="B989" s="40" t="s">
        <v>16</v>
      </c>
      <c r="C989" s="50"/>
      <c r="D989" s="39"/>
      <c r="E989" s="39"/>
    </row>
    <row r="990" spans="1:5" ht="15" customHeight="1">
      <c r="A990" s="39"/>
      <c r="B990" s="40" t="s">
        <v>352</v>
      </c>
      <c r="C990" s="50"/>
      <c r="D990" s="39"/>
      <c r="E990" s="39"/>
    </row>
  </sheetData>
  <mergeCells count="54">
    <mergeCell ref="B7:E8"/>
    <mergeCell ref="B10:B29"/>
    <mergeCell ref="B30:B52"/>
    <mergeCell ref="B53:B74"/>
    <mergeCell ref="B75:B90"/>
    <mergeCell ref="B91:B107"/>
    <mergeCell ref="B108:B121"/>
    <mergeCell ref="B122:B130"/>
    <mergeCell ref="B131:B154"/>
    <mergeCell ref="B155:B179"/>
    <mergeCell ref="B180:B183"/>
    <mergeCell ref="B184:B205"/>
    <mergeCell ref="B206:B228"/>
    <mergeCell ref="B229:B230"/>
    <mergeCell ref="B231:B234"/>
    <mergeCell ref="B235:B250"/>
    <mergeCell ref="B251:B272"/>
    <mergeCell ref="B273:B295"/>
    <mergeCell ref="B296:B320"/>
    <mergeCell ref="B321:B339"/>
    <mergeCell ref="B340:B361"/>
    <mergeCell ref="B362:B374"/>
    <mergeCell ref="B375:B397"/>
    <mergeCell ref="B398:B420"/>
    <mergeCell ref="B421:B445"/>
    <mergeCell ref="B446:B466"/>
    <mergeCell ref="B467:B487"/>
    <mergeCell ref="B488:B505"/>
    <mergeCell ref="B506:B526"/>
    <mergeCell ref="B527:B532"/>
    <mergeCell ref="B533:B551"/>
    <mergeCell ref="B552:B575"/>
    <mergeCell ref="B576:B598"/>
    <mergeCell ref="B599:B618"/>
    <mergeCell ref="B619:B640"/>
    <mergeCell ref="B641:B660"/>
    <mergeCell ref="B661:B681"/>
    <mergeCell ref="B682:B700"/>
    <mergeCell ref="B701:B705"/>
    <mergeCell ref="B706:B728"/>
    <mergeCell ref="B729:B749"/>
    <mergeCell ref="B750:B772"/>
    <mergeCell ref="B773:B794"/>
    <mergeCell ref="B795:B815"/>
    <mergeCell ref="B816:B837"/>
    <mergeCell ref="B984:C984"/>
    <mergeCell ref="B944:B959"/>
    <mergeCell ref="B960:B977"/>
    <mergeCell ref="B978:B983"/>
    <mergeCell ref="B838:B861"/>
    <mergeCell ref="B862:B884"/>
    <mergeCell ref="B885:B907"/>
    <mergeCell ref="B908:B930"/>
    <mergeCell ref="B931:B94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1" manualBreakCount="1">
    <brk id="92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topLeftCell="A5" zoomScaleNormal="100" zoomScaleSheetLayoutView="100" workbookViewId="0">
      <selection activeCell="B13" sqref="B1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8" customFormat="1" ht="15" customHeight="1">
      <c r="C1" s="21"/>
    </row>
    <row r="2" spans="1:6" s="18" customFormat="1" ht="15" customHeight="1">
      <c r="C2" s="21"/>
    </row>
    <row r="3" spans="1:6" s="18" customFormat="1" ht="15" customHeight="1">
      <c r="C3" s="21"/>
    </row>
    <row r="4" spans="1:6" s="18" customFormat="1" ht="30" customHeight="1">
      <c r="C4" s="21"/>
      <c r="D4" s="20"/>
    </row>
    <row r="5" spans="1:6" s="18" customFormat="1" ht="15" customHeight="1">
      <c r="C5" s="21"/>
      <c r="D5" s="20"/>
    </row>
    <row r="6" spans="1:6" s="18" customFormat="1" ht="15" customHeight="1">
      <c r="C6" s="21"/>
      <c r="D6" s="20"/>
    </row>
    <row r="7" spans="1:6" s="18" customFormat="1" ht="15" customHeight="1">
      <c r="A7" s="43"/>
      <c r="B7" s="87" t="s">
        <v>41</v>
      </c>
      <c r="C7" s="87"/>
      <c r="D7" s="87"/>
      <c r="E7" s="43"/>
      <c r="F7" s="43"/>
    </row>
    <row r="8" spans="1:6" s="18" customFormat="1" ht="15" customHeight="1">
      <c r="A8" s="43"/>
      <c r="B8" s="87"/>
      <c r="C8" s="87"/>
      <c r="D8" s="87"/>
      <c r="E8" s="43"/>
      <c r="F8" s="43"/>
    </row>
    <row r="9" spans="1:6" s="18" customFormat="1" ht="33" customHeight="1">
      <c r="A9" s="43"/>
      <c r="B9" s="87"/>
      <c r="C9" s="87"/>
      <c r="D9" s="87"/>
      <c r="E9" s="43"/>
      <c r="F9" s="43"/>
    </row>
    <row r="10" spans="1:6" s="18" customFormat="1" ht="4.5" customHeight="1">
      <c r="A10" s="43"/>
      <c r="B10" s="44"/>
      <c r="C10" s="44"/>
      <c r="D10" s="44"/>
      <c r="E10" s="43"/>
      <c r="F10" s="43"/>
    </row>
    <row r="11" spans="1:6" s="18" customFormat="1" ht="33" customHeight="1">
      <c r="A11" s="43"/>
      <c r="B11" s="45" t="s">
        <v>29</v>
      </c>
      <c r="C11" s="46" t="s">
        <v>19</v>
      </c>
      <c r="D11" s="47" t="s">
        <v>18</v>
      </c>
      <c r="E11" s="43"/>
      <c r="F11" s="43"/>
    </row>
    <row r="12" spans="1:6" ht="14.5" customHeight="1">
      <c r="A12" s="48"/>
      <c r="B12" s="57" t="s">
        <v>282</v>
      </c>
      <c r="C12" s="58">
        <v>15670</v>
      </c>
      <c r="D12" s="59">
        <v>0.42026497881242297</v>
      </c>
      <c r="E12" s="48"/>
      <c r="F12" s="48"/>
    </row>
    <row r="13" spans="1:6" ht="14.5" customHeight="1">
      <c r="A13" s="48"/>
      <c r="B13" s="57" t="s">
        <v>283</v>
      </c>
      <c r="C13" s="58">
        <v>21614</v>
      </c>
      <c r="D13" s="59">
        <v>0.57968138175186401</v>
      </c>
      <c r="E13" s="48"/>
      <c r="F13" s="48"/>
    </row>
    <row r="14" spans="1:6" ht="14.5" customHeight="1">
      <c r="A14" s="48"/>
      <c r="B14" s="57" t="s">
        <v>284</v>
      </c>
      <c r="C14" s="58">
        <v>2</v>
      </c>
      <c r="D14" s="59">
        <v>5.3639435713000001E-5</v>
      </c>
      <c r="E14" s="48"/>
      <c r="F14" s="48"/>
    </row>
    <row r="15" spans="1:6" ht="14.5" customHeight="1">
      <c r="A15" s="48"/>
      <c r="B15" s="60" t="s">
        <v>355</v>
      </c>
      <c r="C15" s="61">
        <v>37286</v>
      </c>
      <c r="D15" s="62">
        <v>1</v>
      </c>
      <c r="E15" s="48"/>
      <c r="F15" s="48"/>
    </row>
    <row r="16" spans="1:6" s="17" customFormat="1" ht="14.5" customHeight="1">
      <c r="A16" s="48"/>
      <c r="B16" s="48"/>
      <c r="C16" s="51"/>
      <c r="D16" s="51"/>
      <c r="E16" s="48"/>
      <c r="F16" s="48"/>
    </row>
    <row r="17" spans="1:6" s="17" customFormat="1" ht="14.5" customHeight="1">
      <c r="A17" s="48"/>
      <c r="B17" s="40" t="s">
        <v>132</v>
      </c>
      <c r="C17" s="51"/>
      <c r="D17" s="51"/>
      <c r="E17" s="48"/>
      <c r="F17" s="48"/>
    </row>
    <row r="18" spans="1:6" ht="14.5" customHeight="1">
      <c r="A18" s="48"/>
      <c r="B18" s="41" t="s">
        <v>17</v>
      </c>
      <c r="C18" s="52"/>
      <c r="D18" s="52"/>
      <c r="E18" s="48"/>
      <c r="F18" s="48"/>
    </row>
    <row r="19" spans="1:6" ht="14.5" customHeight="1">
      <c r="A19" s="48"/>
      <c r="B19" s="42" t="s">
        <v>46</v>
      </c>
      <c r="C19" s="53"/>
      <c r="D19" s="53"/>
      <c r="E19" s="48"/>
      <c r="F19" s="48"/>
    </row>
    <row r="20" spans="1:6" ht="14.5" customHeight="1">
      <c r="A20" s="48"/>
      <c r="B20" s="40" t="s">
        <v>16</v>
      </c>
      <c r="C20" s="51"/>
      <c r="D20" s="48"/>
      <c r="E20" s="48"/>
      <c r="F20" s="48"/>
    </row>
    <row r="21" spans="1:6" ht="14.5" customHeight="1">
      <c r="A21" s="48"/>
      <c r="B21" s="40" t="s">
        <v>352</v>
      </c>
      <c r="C21" s="51"/>
      <c r="D21" s="48"/>
      <c r="E21" s="48"/>
      <c r="F21" s="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76"/>
  <sheetViews>
    <sheetView showGridLines="0" view="pageBreakPreview" topLeftCell="A154" zoomScale="90" zoomScaleNormal="100" zoomScaleSheetLayoutView="90" workbookViewId="0">
      <selection activeCell="E161" sqref="E161"/>
    </sheetView>
  </sheetViews>
  <sheetFormatPr baseColWidth="10" defaultColWidth="11.453125" defaultRowHeight="10"/>
  <cols>
    <col min="1" max="1" width="5.7265625" style="18" customWidth="1"/>
    <col min="2" max="2" width="22.7265625" style="25" customWidth="1"/>
    <col min="3" max="3" width="20.7265625" style="25" customWidth="1"/>
    <col min="4" max="4" width="15.7265625" style="28" customWidth="1"/>
    <col min="5" max="5" width="15.7265625" style="25" customWidth="1"/>
    <col min="6" max="6" width="5.7265625" style="18" customWidth="1"/>
    <col min="7" max="7" width="3.1796875" style="18" customWidth="1"/>
    <col min="8" max="16384" width="11.453125" style="18"/>
  </cols>
  <sheetData>
    <row r="1" spans="1:7" s="13" customFormat="1" ht="14.5">
      <c r="B1" s="25"/>
      <c r="C1" s="25"/>
    </row>
    <row r="2" spans="1:7" s="25" customFormat="1">
      <c r="B2" s="30"/>
    </row>
    <row r="3" spans="1:7" ht="15" customHeight="1">
      <c r="B3" s="31"/>
      <c r="C3" s="21"/>
      <c r="D3" s="18"/>
      <c r="F3" s="25"/>
    </row>
    <row r="4" spans="1:7" ht="30" customHeight="1">
      <c r="B4" s="31"/>
      <c r="C4" s="21"/>
      <c r="D4" s="18"/>
      <c r="F4" s="25"/>
    </row>
    <row r="5" spans="1:7" ht="15" customHeight="1">
      <c r="B5" s="31"/>
      <c r="C5" s="21"/>
      <c r="D5" s="18"/>
      <c r="F5" s="25"/>
    </row>
    <row r="6" spans="1:7" s="25" customFormat="1" ht="10.5">
      <c r="B6" s="27"/>
      <c r="C6" s="24"/>
    </row>
    <row r="7" spans="1:7" s="25" customFormat="1">
      <c r="B7" s="30"/>
    </row>
    <row r="8" spans="1:7" s="13" customFormat="1" ht="15" customHeight="1">
      <c r="A8" s="48"/>
      <c r="B8" s="100" t="s">
        <v>130</v>
      </c>
      <c r="C8" s="101"/>
      <c r="D8" s="101"/>
      <c r="E8" s="101"/>
      <c r="F8" s="48"/>
      <c r="G8" s="48"/>
    </row>
    <row r="9" spans="1:7" s="13" customFormat="1" ht="15" customHeight="1">
      <c r="A9" s="48"/>
      <c r="B9" s="101"/>
      <c r="C9" s="101"/>
      <c r="D9" s="101"/>
      <c r="E9" s="101"/>
      <c r="F9" s="54"/>
      <c r="G9" s="48"/>
    </row>
    <row r="10" spans="1:7" s="13" customFormat="1" ht="15" customHeight="1">
      <c r="A10" s="48"/>
      <c r="B10" s="101"/>
      <c r="C10" s="101"/>
      <c r="D10" s="101"/>
      <c r="E10" s="101"/>
      <c r="F10" s="48"/>
      <c r="G10" s="48"/>
    </row>
    <row r="11" spans="1:7" s="13" customFormat="1" ht="15" customHeight="1">
      <c r="A11" s="48"/>
      <c r="B11" s="55"/>
      <c r="C11" s="55"/>
      <c r="D11" s="55"/>
      <c r="E11" s="55"/>
      <c r="F11" s="48"/>
      <c r="G11" s="48"/>
    </row>
    <row r="12" spans="1:7" s="13" customFormat="1" ht="37" customHeight="1">
      <c r="A12" s="48"/>
      <c r="B12" s="77" t="s">
        <v>21</v>
      </c>
      <c r="C12" s="77" t="s">
        <v>29</v>
      </c>
      <c r="D12" s="77" t="s">
        <v>19</v>
      </c>
      <c r="E12" s="77" t="s">
        <v>18</v>
      </c>
      <c r="F12" s="48"/>
      <c r="G12" s="48"/>
    </row>
    <row r="13" spans="1:7" ht="14.5" customHeight="1">
      <c r="A13" s="43"/>
      <c r="B13" s="96" t="s">
        <v>86</v>
      </c>
      <c r="C13" s="74" t="s">
        <v>282</v>
      </c>
      <c r="D13" s="58">
        <v>31</v>
      </c>
      <c r="E13" s="59">
        <v>8.3141125355399995E-4</v>
      </c>
      <c r="F13" s="43"/>
      <c r="G13" s="43"/>
    </row>
    <row r="14" spans="1:7" ht="14.5" customHeight="1">
      <c r="A14" s="43"/>
      <c r="B14" s="97"/>
      <c r="C14" s="74" t="s">
        <v>283</v>
      </c>
      <c r="D14" s="58">
        <v>67</v>
      </c>
      <c r="E14" s="59">
        <v>1.7969210963900001E-3</v>
      </c>
      <c r="F14" s="43"/>
      <c r="G14" s="43"/>
    </row>
    <row r="15" spans="1:7" ht="14.5" customHeight="1">
      <c r="A15" s="43"/>
      <c r="B15" s="98"/>
      <c r="C15" s="75" t="s">
        <v>353</v>
      </c>
      <c r="D15" s="71">
        <v>98</v>
      </c>
      <c r="E15" s="73">
        <v>2.6283323499440001E-3</v>
      </c>
      <c r="F15" s="43"/>
      <c r="G15" s="43"/>
    </row>
    <row r="16" spans="1:7" ht="14.5" customHeight="1">
      <c r="A16" s="43"/>
      <c r="B16" s="96" t="s">
        <v>53</v>
      </c>
      <c r="C16" s="74" t="s">
        <v>282</v>
      </c>
      <c r="D16" s="58">
        <v>560</v>
      </c>
      <c r="E16" s="59">
        <v>1.5019041999678E-2</v>
      </c>
      <c r="F16" s="43"/>
      <c r="G16" s="43"/>
    </row>
    <row r="17" spans="1:7" ht="14.5" customHeight="1">
      <c r="A17" s="43"/>
      <c r="B17" s="97"/>
      <c r="C17" s="74" t="s">
        <v>283</v>
      </c>
      <c r="D17" s="58">
        <v>860</v>
      </c>
      <c r="E17" s="59">
        <v>2.3064957356648999E-2</v>
      </c>
      <c r="F17" s="43"/>
      <c r="G17" s="43"/>
    </row>
    <row r="18" spans="1:7" ht="14.5" customHeight="1">
      <c r="A18" s="43"/>
      <c r="B18" s="98"/>
      <c r="C18" s="75" t="s">
        <v>353</v>
      </c>
      <c r="D18" s="71">
        <v>1420</v>
      </c>
      <c r="E18" s="73">
        <v>3.8083999356327003E-2</v>
      </c>
      <c r="F18" s="43"/>
      <c r="G18" s="43"/>
    </row>
    <row r="19" spans="1:7" ht="14.5" customHeight="1">
      <c r="A19" s="43"/>
      <c r="B19" s="96" t="s">
        <v>62</v>
      </c>
      <c r="C19" s="74" t="s">
        <v>282</v>
      </c>
      <c r="D19" s="58">
        <v>249</v>
      </c>
      <c r="E19" s="59">
        <v>6.6781097462849997E-3</v>
      </c>
      <c r="F19" s="43"/>
      <c r="G19" s="43"/>
    </row>
    <row r="20" spans="1:7" ht="14.5" customHeight="1">
      <c r="A20" s="43"/>
      <c r="B20" s="97"/>
      <c r="C20" s="74" t="s">
        <v>283</v>
      </c>
      <c r="D20" s="58">
        <v>357</v>
      </c>
      <c r="E20" s="59">
        <v>9.5746392747950004E-3</v>
      </c>
      <c r="F20" s="43"/>
      <c r="G20" s="43"/>
    </row>
    <row r="21" spans="1:7" ht="14.5" customHeight="1">
      <c r="A21" s="43"/>
      <c r="B21" s="98"/>
      <c r="C21" s="75" t="s">
        <v>353</v>
      </c>
      <c r="D21" s="71">
        <v>606</v>
      </c>
      <c r="E21" s="73">
        <v>1.6252749021079999E-2</v>
      </c>
      <c r="F21" s="43"/>
      <c r="G21" s="43"/>
    </row>
    <row r="22" spans="1:7" ht="14.5" customHeight="1">
      <c r="A22" s="43"/>
      <c r="B22" s="96" t="s">
        <v>84</v>
      </c>
      <c r="C22" s="74" t="s">
        <v>282</v>
      </c>
      <c r="D22" s="58">
        <v>60</v>
      </c>
      <c r="E22" s="59">
        <v>1.609183071394E-3</v>
      </c>
      <c r="F22" s="43"/>
      <c r="G22" s="43"/>
    </row>
    <row r="23" spans="1:7" ht="14.5" customHeight="1">
      <c r="A23" s="43"/>
      <c r="B23" s="97"/>
      <c r="C23" s="74" t="s">
        <v>283</v>
      </c>
      <c r="D23" s="58">
        <v>126</v>
      </c>
      <c r="E23" s="59">
        <v>3.379284449928E-3</v>
      </c>
      <c r="F23" s="43"/>
      <c r="G23" s="43"/>
    </row>
    <row r="24" spans="1:7" ht="14.5" customHeight="1">
      <c r="A24" s="43"/>
      <c r="B24" s="98"/>
      <c r="C24" s="75" t="s">
        <v>353</v>
      </c>
      <c r="D24" s="71">
        <v>186</v>
      </c>
      <c r="E24" s="73">
        <v>4.9884675213220002E-3</v>
      </c>
      <c r="F24" s="43"/>
      <c r="G24" s="43"/>
    </row>
    <row r="25" spans="1:7" ht="14.5" customHeight="1">
      <c r="A25" s="43"/>
      <c r="B25" s="96" t="s">
        <v>83</v>
      </c>
      <c r="C25" s="74" t="s">
        <v>282</v>
      </c>
      <c r="D25" s="58">
        <v>49</v>
      </c>
      <c r="E25" s="59">
        <v>1.3141661749720001E-3</v>
      </c>
      <c r="F25" s="43"/>
      <c r="G25" s="43"/>
    </row>
    <row r="26" spans="1:7" ht="14.5" customHeight="1">
      <c r="A26" s="43"/>
      <c r="B26" s="97"/>
      <c r="C26" s="74" t="s">
        <v>283</v>
      </c>
      <c r="D26" s="58">
        <v>80</v>
      </c>
      <c r="E26" s="59">
        <v>2.1455774285249998E-3</v>
      </c>
      <c r="F26" s="43"/>
      <c r="G26" s="43"/>
    </row>
    <row r="27" spans="1:7" ht="14.5" customHeight="1">
      <c r="A27" s="43"/>
      <c r="B27" s="98"/>
      <c r="C27" s="75" t="s">
        <v>353</v>
      </c>
      <c r="D27" s="71">
        <v>129</v>
      </c>
      <c r="E27" s="73">
        <v>3.4597436034970001E-3</v>
      </c>
      <c r="F27" s="43"/>
      <c r="G27" s="43"/>
    </row>
    <row r="28" spans="1:7" ht="14.5" customHeight="1">
      <c r="A28" s="43"/>
      <c r="B28" s="96" t="s">
        <v>88</v>
      </c>
      <c r="C28" s="74" t="s">
        <v>282</v>
      </c>
      <c r="D28" s="58">
        <v>59</v>
      </c>
      <c r="E28" s="59">
        <v>1.5823633535379999E-3</v>
      </c>
      <c r="F28" s="43"/>
      <c r="G28" s="43"/>
    </row>
    <row r="29" spans="1:7" ht="14.5" customHeight="1">
      <c r="A29" s="43"/>
      <c r="B29" s="97"/>
      <c r="C29" s="74" t="s">
        <v>283</v>
      </c>
      <c r="D29" s="58">
        <v>57</v>
      </c>
      <c r="E29" s="59">
        <v>1.528723917824E-3</v>
      </c>
      <c r="F29" s="43"/>
      <c r="G29" s="43"/>
    </row>
    <row r="30" spans="1:7" ht="14.5" customHeight="1">
      <c r="A30" s="43"/>
      <c r="B30" s="98"/>
      <c r="C30" s="75" t="s">
        <v>353</v>
      </c>
      <c r="D30" s="71">
        <v>116</v>
      </c>
      <c r="E30" s="73">
        <v>3.1110872713619999E-3</v>
      </c>
      <c r="F30" s="43"/>
      <c r="G30" s="43"/>
    </row>
    <row r="31" spans="1:7" ht="14.5" customHeight="1">
      <c r="A31" s="43"/>
      <c r="B31" s="96" t="s">
        <v>93</v>
      </c>
      <c r="C31" s="74" t="s">
        <v>282</v>
      </c>
      <c r="D31" s="58">
        <v>11</v>
      </c>
      <c r="E31" s="59">
        <v>2.9501689642199999E-4</v>
      </c>
      <c r="F31" s="43"/>
      <c r="G31" s="43"/>
    </row>
    <row r="32" spans="1:7" ht="14.5" customHeight="1">
      <c r="A32" s="43"/>
      <c r="B32" s="97"/>
      <c r="C32" s="74" t="s">
        <v>283</v>
      </c>
      <c r="D32" s="58">
        <v>18</v>
      </c>
      <c r="E32" s="59">
        <v>4.8275492141800001E-4</v>
      </c>
      <c r="F32" s="43"/>
      <c r="G32" s="43"/>
    </row>
    <row r="33" spans="1:7" ht="14.5" customHeight="1">
      <c r="A33" s="43"/>
      <c r="B33" s="98"/>
      <c r="C33" s="75" t="s">
        <v>353</v>
      </c>
      <c r="D33" s="71">
        <v>29</v>
      </c>
      <c r="E33" s="73">
        <v>7.7777181783999995E-4</v>
      </c>
      <c r="F33" s="43"/>
      <c r="G33" s="43"/>
    </row>
    <row r="34" spans="1:7" ht="14.5" customHeight="1">
      <c r="A34" s="43"/>
      <c r="B34" s="96" t="s">
        <v>47</v>
      </c>
      <c r="C34" s="74" t="s">
        <v>282</v>
      </c>
      <c r="D34" s="58">
        <v>2169</v>
      </c>
      <c r="E34" s="59">
        <v>5.8171968030895999E-2</v>
      </c>
      <c r="F34" s="43"/>
      <c r="G34" s="43"/>
    </row>
    <row r="35" spans="1:7" ht="14.5" customHeight="1">
      <c r="A35" s="43"/>
      <c r="B35" s="97"/>
      <c r="C35" s="74" t="s">
        <v>283</v>
      </c>
      <c r="D35" s="58">
        <v>2998</v>
      </c>
      <c r="E35" s="59">
        <v>8.0405514133990996E-2</v>
      </c>
      <c r="F35" s="43"/>
      <c r="G35" s="43"/>
    </row>
    <row r="36" spans="1:7" ht="14.5" customHeight="1">
      <c r="A36" s="43"/>
      <c r="B36" s="97"/>
      <c r="C36" s="74" t="s">
        <v>284</v>
      </c>
      <c r="D36" s="58">
        <v>1</v>
      </c>
      <c r="E36" s="59">
        <v>2.6819717857000001E-5</v>
      </c>
      <c r="F36" s="43"/>
      <c r="G36" s="43"/>
    </row>
    <row r="37" spans="1:7" ht="14.5" customHeight="1">
      <c r="A37" s="43"/>
      <c r="B37" s="98"/>
      <c r="C37" s="75" t="s">
        <v>353</v>
      </c>
      <c r="D37" s="71">
        <v>5168</v>
      </c>
      <c r="E37" s="73">
        <v>0.138604301882744</v>
      </c>
      <c r="F37" s="43"/>
      <c r="G37" s="43"/>
    </row>
    <row r="38" spans="1:7" ht="14.5" customHeight="1">
      <c r="A38" s="43"/>
      <c r="B38" s="96" t="s">
        <v>50</v>
      </c>
      <c r="C38" s="74" t="s">
        <v>282</v>
      </c>
      <c r="D38" s="58">
        <v>965</v>
      </c>
      <c r="E38" s="59">
        <v>2.5881027731587999E-2</v>
      </c>
      <c r="F38" s="43"/>
      <c r="G38" s="43"/>
    </row>
    <row r="39" spans="1:7" ht="14.5" customHeight="1">
      <c r="A39" s="43"/>
      <c r="B39" s="97"/>
      <c r="C39" s="74" t="s">
        <v>283</v>
      </c>
      <c r="D39" s="58">
        <v>1335</v>
      </c>
      <c r="E39" s="59">
        <v>3.5804323338517997E-2</v>
      </c>
      <c r="F39" s="43"/>
      <c r="G39" s="43"/>
    </row>
    <row r="40" spans="1:7" ht="14.5" customHeight="1">
      <c r="A40" s="43"/>
      <c r="B40" s="97"/>
      <c r="C40" s="74" t="s">
        <v>284</v>
      </c>
      <c r="D40" s="58">
        <v>1</v>
      </c>
      <c r="E40" s="59">
        <v>2.6819717857000001E-5</v>
      </c>
      <c r="F40" s="43"/>
      <c r="G40" s="43"/>
    </row>
    <row r="41" spans="1:7" ht="14.5" customHeight="1">
      <c r="A41" s="43"/>
      <c r="B41" s="98"/>
      <c r="C41" s="75" t="s">
        <v>353</v>
      </c>
      <c r="D41" s="71">
        <v>2301</v>
      </c>
      <c r="E41" s="73">
        <v>6.1712170787962997E-2</v>
      </c>
      <c r="F41" s="43"/>
      <c r="G41" s="43"/>
    </row>
    <row r="42" spans="1:7" ht="14.5" customHeight="1">
      <c r="A42" s="43"/>
      <c r="B42" s="96" t="s">
        <v>94</v>
      </c>
      <c r="C42" s="74" t="s">
        <v>282</v>
      </c>
      <c r="D42" s="58">
        <v>4</v>
      </c>
      <c r="E42" s="59">
        <v>1.07278871426E-4</v>
      </c>
      <c r="F42" s="43"/>
      <c r="G42" s="43"/>
    </row>
    <row r="43" spans="1:7" ht="14.5" customHeight="1">
      <c r="A43" s="43"/>
      <c r="B43" s="97"/>
      <c r="C43" s="74" t="s">
        <v>283</v>
      </c>
      <c r="D43" s="58">
        <v>5</v>
      </c>
      <c r="E43" s="59">
        <v>1.34098589283E-4</v>
      </c>
      <c r="F43" s="43"/>
      <c r="G43" s="43"/>
    </row>
    <row r="44" spans="1:7" ht="14.5" customHeight="1">
      <c r="A44" s="43"/>
      <c r="B44" s="98"/>
      <c r="C44" s="75" t="s">
        <v>353</v>
      </c>
      <c r="D44" s="71">
        <v>9</v>
      </c>
      <c r="E44" s="73">
        <v>2.4137746070900001E-4</v>
      </c>
      <c r="F44" s="43"/>
      <c r="G44" s="43"/>
    </row>
    <row r="45" spans="1:7" ht="14.5" customHeight="1">
      <c r="A45" s="43"/>
      <c r="B45" s="96" t="s">
        <v>72</v>
      </c>
      <c r="C45" s="74" t="s">
        <v>282</v>
      </c>
      <c r="D45" s="58">
        <v>178</v>
      </c>
      <c r="E45" s="59">
        <v>4.773909778469E-3</v>
      </c>
      <c r="F45" s="43"/>
      <c r="G45" s="43"/>
    </row>
    <row r="46" spans="1:7" ht="14.5" customHeight="1">
      <c r="A46" s="43"/>
      <c r="B46" s="97"/>
      <c r="C46" s="74" t="s">
        <v>283</v>
      </c>
      <c r="D46" s="58">
        <v>309</v>
      </c>
      <c r="E46" s="59">
        <v>8.28729281768E-3</v>
      </c>
      <c r="F46" s="43"/>
      <c r="G46" s="43"/>
    </row>
    <row r="47" spans="1:7" ht="14.5" customHeight="1">
      <c r="A47" s="43"/>
      <c r="B47" s="98"/>
      <c r="C47" s="75" t="s">
        <v>353</v>
      </c>
      <c r="D47" s="71">
        <v>487</v>
      </c>
      <c r="E47" s="73">
        <v>1.3061202596148999E-2</v>
      </c>
      <c r="F47" s="43"/>
      <c r="G47" s="43"/>
    </row>
    <row r="48" spans="1:7" ht="14.5" customHeight="1">
      <c r="A48" s="43"/>
      <c r="B48" s="96" t="s">
        <v>69</v>
      </c>
      <c r="C48" s="74" t="s">
        <v>282</v>
      </c>
      <c r="D48" s="58">
        <v>236</v>
      </c>
      <c r="E48" s="59">
        <v>6.3294534141500004E-3</v>
      </c>
      <c r="F48" s="43"/>
      <c r="G48" s="43"/>
    </row>
    <row r="49" spans="1:7" ht="14.5" customHeight="1">
      <c r="A49" s="43"/>
      <c r="B49" s="97"/>
      <c r="C49" s="74" t="s">
        <v>283</v>
      </c>
      <c r="D49" s="58">
        <v>340</v>
      </c>
      <c r="E49" s="59">
        <v>9.1187040712330004E-3</v>
      </c>
      <c r="F49" s="43"/>
      <c r="G49" s="43"/>
    </row>
    <row r="50" spans="1:7" ht="14.5" customHeight="1">
      <c r="A50" s="43"/>
      <c r="B50" s="98"/>
      <c r="C50" s="75" t="s">
        <v>353</v>
      </c>
      <c r="D50" s="71">
        <v>576</v>
      </c>
      <c r="E50" s="73">
        <v>1.5448157485383E-2</v>
      </c>
      <c r="F50" s="43"/>
      <c r="G50" s="43"/>
    </row>
    <row r="51" spans="1:7" ht="14.5" customHeight="1">
      <c r="A51" s="43"/>
      <c r="B51" s="96" t="s">
        <v>98</v>
      </c>
      <c r="C51" s="74" t="s">
        <v>283</v>
      </c>
      <c r="D51" s="58">
        <v>1</v>
      </c>
      <c r="E51" s="59">
        <v>2.6819717857000001E-5</v>
      </c>
      <c r="F51" s="43"/>
      <c r="G51" s="43"/>
    </row>
    <row r="52" spans="1:7" ht="14.5" customHeight="1">
      <c r="A52" s="43"/>
      <c r="B52" s="98"/>
      <c r="C52" s="75" t="s">
        <v>353</v>
      </c>
      <c r="D52" s="71">
        <v>1</v>
      </c>
      <c r="E52" s="73">
        <v>2.6819717857000001E-5</v>
      </c>
      <c r="F52" s="43"/>
      <c r="G52" s="43"/>
    </row>
    <row r="53" spans="1:7" ht="14.5" customHeight="1">
      <c r="A53" s="43"/>
      <c r="B53" s="96" t="s">
        <v>95</v>
      </c>
      <c r="C53" s="74" t="s">
        <v>282</v>
      </c>
      <c r="D53" s="58">
        <v>1</v>
      </c>
      <c r="E53" s="59">
        <v>2.6819717857000001E-5</v>
      </c>
      <c r="F53" s="43"/>
      <c r="G53" s="43"/>
    </row>
    <row r="54" spans="1:7" ht="14.5" customHeight="1">
      <c r="A54" s="43"/>
      <c r="B54" s="97"/>
      <c r="C54" s="74" t="s">
        <v>283</v>
      </c>
      <c r="D54" s="58">
        <v>5</v>
      </c>
      <c r="E54" s="59">
        <v>1.34098589283E-4</v>
      </c>
      <c r="F54" s="43"/>
      <c r="G54" s="43"/>
    </row>
    <row r="55" spans="1:7" ht="14.5" customHeight="1">
      <c r="A55" s="43"/>
      <c r="B55" s="98"/>
      <c r="C55" s="75" t="s">
        <v>353</v>
      </c>
      <c r="D55" s="71">
        <v>6</v>
      </c>
      <c r="E55" s="73">
        <v>1.6091830713899999E-4</v>
      </c>
      <c r="F55" s="43"/>
      <c r="G55" s="43"/>
    </row>
    <row r="56" spans="1:7" ht="14.5" customHeight="1">
      <c r="A56" s="43"/>
      <c r="B56" s="96" t="s">
        <v>89</v>
      </c>
      <c r="C56" s="74" t="s">
        <v>282</v>
      </c>
      <c r="D56" s="58">
        <v>33</v>
      </c>
      <c r="E56" s="59">
        <v>8.8505068926699999E-4</v>
      </c>
      <c r="F56" s="43"/>
      <c r="G56" s="43"/>
    </row>
    <row r="57" spans="1:7" ht="14.5" customHeight="1">
      <c r="A57" s="43"/>
      <c r="B57" s="97"/>
      <c r="C57" s="74" t="s">
        <v>283</v>
      </c>
      <c r="D57" s="58">
        <v>55</v>
      </c>
      <c r="E57" s="59">
        <v>1.475084482111E-3</v>
      </c>
      <c r="F57" s="43"/>
      <c r="G57" s="43"/>
    </row>
    <row r="58" spans="1:7" ht="14.5" customHeight="1">
      <c r="A58" s="43"/>
      <c r="B58" s="98"/>
      <c r="C58" s="75" t="s">
        <v>353</v>
      </c>
      <c r="D58" s="71">
        <v>88</v>
      </c>
      <c r="E58" s="73">
        <v>2.3601351713780001E-3</v>
      </c>
      <c r="F58" s="43"/>
      <c r="G58" s="43"/>
    </row>
    <row r="59" spans="1:7" ht="14.5" customHeight="1">
      <c r="A59" s="43"/>
      <c r="B59" s="96" t="s">
        <v>67</v>
      </c>
      <c r="C59" s="74" t="s">
        <v>282</v>
      </c>
      <c r="D59" s="58">
        <v>251</v>
      </c>
      <c r="E59" s="59">
        <v>6.7317491819989996E-3</v>
      </c>
      <c r="F59" s="43"/>
      <c r="G59" s="43"/>
    </row>
    <row r="60" spans="1:7" ht="14.5" customHeight="1">
      <c r="A60" s="43"/>
      <c r="B60" s="97"/>
      <c r="C60" s="74" t="s">
        <v>283</v>
      </c>
      <c r="D60" s="58">
        <v>402</v>
      </c>
      <c r="E60" s="59">
        <v>1.078152657834E-2</v>
      </c>
      <c r="F60" s="43"/>
      <c r="G60" s="43"/>
    </row>
    <row r="61" spans="1:7" ht="14.5" customHeight="1">
      <c r="A61" s="43"/>
      <c r="B61" s="98"/>
      <c r="C61" s="75" t="s">
        <v>353</v>
      </c>
      <c r="D61" s="71">
        <v>653</v>
      </c>
      <c r="E61" s="73">
        <v>1.7513275760338998E-2</v>
      </c>
      <c r="F61" s="43"/>
      <c r="G61" s="43"/>
    </row>
    <row r="62" spans="1:7" ht="14.5" customHeight="1">
      <c r="A62" s="43"/>
      <c r="B62" s="96" t="s">
        <v>63</v>
      </c>
      <c r="C62" s="74" t="s">
        <v>282</v>
      </c>
      <c r="D62" s="58">
        <v>263</v>
      </c>
      <c r="E62" s="59">
        <v>7.0535857962770003E-3</v>
      </c>
      <c r="F62" s="43"/>
      <c r="G62" s="43"/>
    </row>
    <row r="63" spans="1:7" ht="14.5" customHeight="1">
      <c r="A63" s="43"/>
      <c r="B63" s="97"/>
      <c r="C63" s="74" t="s">
        <v>283</v>
      </c>
      <c r="D63" s="58">
        <v>290</v>
      </c>
      <c r="E63" s="59">
        <v>7.7777181784050003E-3</v>
      </c>
      <c r="F63" s="43"/>
      <c r="G63" s="43"/>
    </row>
    <row r="64" spans="1:7" ht="14.5" customHeight="1">
      <c r="A64" s="43"/>
      <c r="B64" s="98"/>
      <c r="C64" s="75" t="s">
        <v>353</v>
      </c>
      <c r="D64" s="71">
        <v>553</v>
      </c>
      <c r="E64" s="73">
        <v>1.4831303974682001E-2</v>
      </c>
      <c r="F64" s="43"/>
      <c r="G64" s="43"/>
    </row>
    <row r="65" spans="1:7" ht="14.5" customHeight="1">
      <c r="A65" s="43"/>
      <c r="B65" s="96" t="s">
        <v>49</v>
      </c>
      <c r="C65" s="74" t="s">
        <v>282</v>
      </c>
      <c r="D65" s="58">
        <v>1082</v>
      </c>
      <c r="E65" s="59">
        <v>2.9018934720807001E-2</v>
      </c>
      <c r="F65" s="43"/>
      <c r="G65" s="43"/>
    </row>
    <row r="66" spans="1:7" ht="14.5" customHeight="1">
      <c r="A66" s="43"/>
      <c r="B66" s="97"/>
      <c r="C66" s="74" t="s">
        <v>283</v>
      </c>
      <c r="D66" s="58">
        <v>1492</v>
      </c>
      <c r="E66" s="59">
        <v>4.0015019042E-2</v>
      </c>
      <c r="F66" s="43"/>
      <c r="G66" s="43"/>
    </row>
    <row r="67" spans="1:7" ht="14.5" customHeight="1">
      <c r="A67" s="43"/>
      <c r="B67" s="98"/>
      <c r="C67" s="75" t="s">
        <v>353</v>
      </c>
      <c r="D67" s="71">
        <v>2574</v>
      </c>
      <c r="E67" s="73">
        <v>6.9033953762805994E-2</v>
      </c>
      <c r="F67" s="43"/>
      <c r="G67" s="43"/>
    </row>
    <row r="68" spans="1:7" ht="14.5" customHeight="1">
      <c r="A68" s="43"/>
      <c r="B68" s="96" t="s">
        <v>59</v>
      </c>
      <c r="C68" s="74" t="s">
        <v>282</v>
      </c>
      <c r="D68" s="58">
        <v>192</v>
      </c>
      <c r="E68" s="59">
        <v>5.1493858284609997E-3</v>
      </c>
      <c r="F68" s="43"/>
      <c r="G68" s="43"/>
    </row>
    <row r="69" spans="1:7" ht="14.5" customHeight="1">
      <c r="A69" s="43"/>
      <c r="B69" s="97"/>
      <c r="C69" s="74" t="s">
        <v>283</v>
      </c>
      <c r="D69" s="58">
        <v>263</v>
      </c>
      <c r="E69" s="59">
        <v>7.0535857962770003E-3</v>
      </c>
      <c r="F69" s="43"/>
      <c r="G69" s="43"/>
    </row>
    <row r="70" spans="1:7" ht="14.5" customHeight="1">
      <c r="A70" s="43"/>
      <c r="B70" s="98"/>
      <c r="C70" s="75" t="s">
        <v>353</v>
      </c>
      <c r="D70" s="71">
        <v>455</v>
      </c>
      <c r="E70" s="73">
        <v>1.2202971624739E-2</v>
      </c>
      <c r="F70" s="43"/>
      <c r="G70" s="43"/>
    </row>
    <row r="71" spans="1:7" ht="14.5" customHeight="1">
      <c r="A71" s="43"/>
      <c r="B71" s="96" t="s">
        <v>61</v>
      </c>
      <c r="C71" s="74" t="s">
        <v>282</v>
      </c>
      <c r="D71" s="58">
        <v>168</v>
      </c>
      <c r="E71" s="59">
        <v>4.5057125999029999E-3</v>
      </c>
      <c r="F71" s="43"/>
      <c r="G71" s="43"/>
    </row>
    <row r="72" spans="1:7" ht="14.5" customHeight="1">
      <c r="A72" s="43"/>
      <c r="B72" s="97"/>
      <c r="C72" s="74" t="s">
        <v>283</v>
      </c>
      <c r="D72" s="58">
        <v>299</v>
      </c>
      <c r="E72" s="59">
        <v>8.019095639114E-3</v>
      </c>
      <c r="F72" s="43"/>
      <c r="G72" s="43"/>
    </row>
    <row r="73" spans="1:7" ht="14.5" customHeight="1">
      <c r="A73" s="43"/>
      <c r="B73" s="98"/>
      <c r="C73" s="75" t="s">
        <v>353</v>
      </c>
      <c r="D73" s="71">
        <v>467</v>
      </c>
      <c r="E73" s="73">
        <v>1.2524808239017001E-2</v>
      </c>
      <c r="F73" s="43"/>
      <c r="G73" s="43"/>
    </row>
    <row r="74" spans="1:7" ht="14.5" customHeight="1">
      <c r="A74" s="43"/>
      <c r="B74" s="96" t="s">
        <v>90</v>
      </c>
      <c r="C74" s="74" t="s">
        <v>282</v>
      </c>
      <c r="D74" s="58">
        <v>39</v>
      </c>
      <c r="E74" s="59">
        <v>1.045968996406E-3</v>
      </c>
      <c r="F74" s="43"/>
      <c r="G74" s="43"/>
    </row>
    <row r="75" spans="1:7" ht="14.5" customHeight="1">
      <c r="A75" s="43"/>
      <c r="B75" s="97"/>
      <c r="C75" s="74" t="s">
        <v>283</v>
      </c>
      <c r="D75" s="58">
        <v>48</v>
      </c>
      <c r="E75" s="59">
        <v>1.2873464571149999E-3</v>
      </c>
      <c r="F75" s="43"/>
      <c r="G75" s="43"/>
    </row>
    <row r="76" spans="1:7" ht="14.5" customHeight="1">
      <c r="A76" s="43"/>
      <c r="B76" s="98"/>
      <c r="C76" s="75" t="s">
        <v>353</v>
      </c>
      <c r="D76" s="71">
        <v>87</v>
      </c>
      <c r="E76" s="73">
        <v>2.3333154535210001E-3</v>
      </c>
      <c r="F76" s="43"/>
      <c r="G76" s="43"/>
    </row>
    <row r="77" spans="1:7" ht="14.5" customHeight="1">
      <c r="A77" s="43"/>
      <c r="B77" s="96" t="s">
        <v>55</v>
      </c>
      <c r="C77" s="74" t="s">
        <v>282</v>
      </c>
      <c r="D77" s="58">
        <v>398</v>
      </c>
      <c r="E77" s="59">
        <v>1.0674247706914001E-2</v>
      </c>
      <c r="F77" s="43"/>
      <c r="G77" s="43"/>
    </row>
    <row r="78" spans="1:7" ht="14.5" customHeight="1">
      <c r="A78" s="43"/>
      <c r="B78" s="97"/>
      <c r="C78" s="74" t="s">
        <v>283</v>
      </c>
      <c r="D78" s="58">
        <v>510</v>
      </c>
      <c r="E78" s="59">
        <v>1.367805610685E-2</v>
      </c>
      <c r="F78" s="43"/>
      <c r="G78" s="43"/>
    </row>
    <row r="79" spans="1:7" ht="14.5" customHeight="1">
      <c r="A79" s="43"/>
      <c r="B79" s="98"/>
      <c r="C79" s="75" t="s">
        <v>353</v>
      </c>
      <c r="D79" s="71">
        <v>908</v>
      </c>
      <c r="E79" s="73">
        <v>2.4352303813763999E-2</v>
      </c>
      <c r="F79" s="43"/>
      <c r="G79" s="43"/>
    </row>
    <row r="80" spans="1:7" ht="14.5" customHeight="1">
      <c r="A80" s="43"/>
      <c r="B80" s="96" t="s">
        <v>57</v>
      </c>
      <c r="C80" s="74" t="s">
        <v>282</v>
      </c>
      <c r="D80" s="58">
        <v>268</v>
      </c>
      <c r="E80" s="59">
        <v>7.1876843855600003E-3</v>
      </c>
      <c r="F80" s="43"/>
      <c r="G80" s="43"/>
    </row>
    <row r="81" spans="1:7" ht="14.5" customHeight="1">
      <c r="A81" s="43"/>
      <c r="B81" s="97"/>
      <c r="C81" s="74" t="s">
        <v>283</v>
      </c>
      <c r="D81" s="58">
        <v>400</v>
      </c>
      <c r="E81" s="59">
        <v>1.0727887142627001E-2</v>
      </c>
      <c r="F81" s="43"/>
      <c r="G81" s="43"/>
    </row>
    <row r="82" spans="1:7" ht="14.5" customHeight="1">
      <c r="A82" s="43"/>
      <c r="B82" s="98"/>
      <c r="C82" s="75" t="s">
        <v>353</v>
      </c>
      <c r="D82" s="71">
        <v>668</v>
      </c>
      <c r="E82" s="73">
        <v>1.7915571528187998E-2</v>
      </c>
      <c r="F82" s="43"/>
      <c r="G82" s="43"/>
    </row>
    <row r="83" spans="1:7" ht="14.5" customHeight="1">
      <c r="A83" s="43"/>
      <c r="B83" s="96" t="s">
        <v>48</v>
      </c>
      <c r="C83" s="74" t="s">
        <v>282</v>
      </c>
      <c r="D83" s="58">
        <v>2286</v>
      </c>
      <c r="E83" s="59">
        <v>6.1309875020115E-2</v>
      </c>
      <c r="F83" s="43"/>
      <c r="G83" s="43"/>
    </row>
    <row r="84" spans="1:7" ht="14.5" customHeight="1">
      <c r="A84" s="43"/>
      <c r="B84" s="97"/>
      <c r="C84" s="74" t="s">
        <v>283</v>
      </c>
      <c r="D84" s="58">
        <v>2531</v>
      </c>
      <c r="E84" s="59">
        <v>6.7880705894973997E-2</v>
      </c>
      <c r="F84" s="43"/>
      <c r="G84" s="43"/>
    </row>
    <row r="85" spans="1:7" ht="14.5" customHeight="1">
      <c r="A85" s="43"/>
      <c r="B85" s="98"/>
      <c r="C85" s="75" t="s">
        <v>353</v>
      </c>
      <c r="D85" s="71">
        <v>4817</v>
      </c>
      <c r="E85" s="73">
        <v>0.129190580915089</v>
      </c>
      <c r="F85" s="43"/>
      <c r="G85" s="43"/>
    </row>
    <row r="86" spans="1:7" ht="14.5" customHeight="1">
      <c r="A86" s="43"/>
      <c r="B86" s="96" t="s">
        <v>78</v>
      </c>
      <c r="C86" s="74" t="s">
        <v>282</v>
      </c>
      <c r="D86" s="58">
        <v>130</v>
      </c>
      <c r="E86" s="59">
        <v>3.4865633213540001E-3</v>
      </c>
      <c r="F86" s="43"/>
      <c r="G86" s="43"/>
    </row>
    <row r="87" spans="1:7" ht="14.5" customHeight="1">
      <c r="A87" s="43"/>
      <c r="B87" s="97"/>
      <c r="C87" s="74" t="s">
        <v>283</v>
      </c>
      <c r="D87" s="58">
        <v>148</v>
      </c>
      <c r="E87" s="59">
        <v>3.9693182427719999E-3</v>
      </c>
      <c r="F87" s="43"/>
      <c r="G87" s="43"/>
    </row>
    <row r="88" spans="1:7" ht="14.5" customHeight="1">
      <c r="A88" s="43"/>
      <c r="B88" s="98"/>
      <c r="C88" s="75" t="s">
        <v>353</v>
      </c>
      <c r="D88" s="71">
        <v>278</v>
      </c>
      <c r="E88" s="73">
        <v>7.4558815641260004E-3</v>
      </c>
      <c r="F88" s="43"/>
      <c r="G88" s="43"/>
    </row>
    <row r="89" spans="1:7" ht="14.5" customHeight="1">
      <c r="A89" s="43"/>
      <c r="B89" s="96" t="s">
        <v>71</v>
      </c>
      <c r="C89" s="74" t="s">
        <v>282</v>
      </c>
      <c r="D89" s="58">
        <v>194</v>
      </c>
      <c r="E89" s="59">
        <v>5.2030252641740004E-3</v>
      </c>
      <c r="F89" s="43"/>
      <c r="G89" s="43"/>
    </row>
    <row r="90" spans="1:7" ht="14.5" customHeight="1">
      <c r="A90" s="43"/>
      <c r="B90" s="97"/>
      <c r="C90" s="74" t="s">
        <v>283</v>
      </c>
      <c r="D90" s="58">
        <v>282</v>
      </c>
      <c r="E90" s="59">
        <v>7.563160435552E-3</v>
      </c>
      <c r="F90" s="43"/>
      <c r="G90" s="43"/>
    </row>
    <row r="91" spans="1:7" ht="14.5" customHeight="1">
      <c r="A91" s="43"/>
      <c r="B91" s="98"/>
      <c r="C91" s="75" t="s">
        <v>353</v>
      </c>
      <c r="D91" s="71">
        <v>476</v>
      </c>
      <c r="E91" s="73">
        <v>1.2766185699726E-2</v>
      </c>
      <c r="F91" s="43"/>
      <c r="G91" s="43"/>
    </row>
    <row r="92" spans="1:7" ht="14.5" customHeight="1">
      <c r="A92" s="43"/>
      <c r="B92" s="96" t="s">
        <v>77</v>
      </c>
      <c r="C92" s="74" t="s">
        <v>282</v>
      </c>
      <c r="D92" s="58">
        <v>158</v>
      </c>
      <c r="E92" s="59">
        <v>4.2375154213379999E-3</v>
      </c>
      <c r="F92" s="43"/>
      <c r="G92" s="43"/>
    </row>
    <row r="93" spans="1:7" ht="14.5" customHeight="1">
      <c r="A93" s="43"/>
      <c r="B93" s="97"/>
      <c r="C93" s="74" t="s">
        <v>283</v>
      </c>
      <c r="D93" s="58">
        <v>253</v>
      </c>
      <c r="E93" s="59">
        <v>6.7853886177120003E-3</v>
      </c>
      <c r="F93" s="43"/>
      <c r="G93" s="43"/>
    </row>
    <row r="94" spans="1:7" ht="14.5" customHeight="1">
      <c r="A94" s="43"/>
      <c r="B94" s="98"/>
      <c r="C94" s="75" t="s">
        <v>353</v>
      </c>
      <c r="D94" s="71">
        <v>411</v>
      </c>
      <c r="E94" s="73">
        <v>1.1022904039049999E-2</v>
      </c>
      <c r="F94" s="43"/>
      <c r="G94" s="43"/>
    </row>
    <row r="95" spans="1:7" ht="14.5" customHeight="1">
      <c r="A95" s="43"/>
      <c r="B95" s="96" t="s">
        <v>87</v>
      </c>
      <c r="C95" s="74" t="s">
        <v>282</v>
      </c>
      <c r="D95" s="58">
        <v>113</v>
      </c>
      <c r="E95" s="59">
        <v>3.0306281177920002E-3</v>
      </c>
      <c r="F95" s="43"/>
      <c r="G95" s="43"/>
    </row>
    <row r="96" spans="1:7" ht="14.5" customHeight="1">
      <c r="A96" s="43"/>
      <c r="B96" s="97"/>
      <c r="C96" s="74" t="s">
        <v>283</v>
      </c>
      <c r="D96" s="58">
        <v>205</v>
      </c>
      <c r="E96" s="59">
        <v>5.4980421605959999E-3</v>
      </c>
      <c r="F96" s="43"/>
      <c r="G96" s="43"/>
    </row>
    <row r="97" spans="1:7" ht="14.5" customHeight="1">
      <c r="A97" s="43"/>
      <c r="B97" s="98"/>
      <c r="C97" s="75" t="s">
        <v>353</v>
      </c>
      <c r="D97" s="71">
        <v>318</v>
      </c>
      <c r="E97" s="73">
        <v>8.5286702783889997E-3</v>
      </c>
      <c r="F97" s="43"/>
      <c r="G97" s="43"/>
    </row>
    <row r="98" spans="1:7" ht="14.5" customHeight="1">
      <c r="A98" s="43"/>
      <c r="B98" s="96" t="s">
        <v>97</v>
      </c>
      <c r="C98" s="74" t="s">
        <v>282</v>
      </c>
      <c r="D98" s="58">
        <v>4</v>
      </c>
      <c r="E98" s="59">
        <v>1.07278871426E-4</v>
      </c>
      <c r="F98" s="43"/>
      <c r="G98" s="43"/>
    </row>
    <row r="99" spans="1:7" ht="14.5" customHeight="1">
      <c r="A99" s="43"/>
      <c r="B99" s="97"/>
      <c r="C99" s="74" t="s">
        <v>283</v>
      </c>
      <c r="D99" s="58">
        <v>3</v>
      </c>
      <c r="E99" s="59">
        <v>8.0459153570000002E-5</v>
      </c>
      <c r="F99" s="43"/>
      <c r="G99" s="43"/>
    </row>
    <row r="100" spans="1:7" ht="14.5" customHeight="1">
      <c r="A100" s="43"/>
      <c r="B100" s="98"/>
      <c r="C100" s="75" t="s">
        <v>353</v>
      </c>
      <c r="D100" s="71">
        <v>7</v>
      </c>
      <c r="E100" s="73">
        <v>1.8773802499599999E-4</v>
      </c>
      <c r="F100" s="43"/>
      <c r="G100" s="43"/>
    </row>
    <row r="101" spans="1:7" ht="14.5" customHeight="1">
      <c r="A101" s="43"/>
      <c r="B101" s="96" t="s">
        <v>80</v>
      </c>
      <c r="C101" s="74" t="s">
        <v>282</v>
      </c>
      <c r="D101" s="58">
        <v>68</v>
      </c>
      <c r="E101" s="59">
        <v>1.823740814247E-3</v>
      </c>
      <c r="F101" s="43"/>
      <c r="G101" s="43"/>
    </row>
    <row r="102" spans="1:7" ht="14.5" customHeight="1">
      <c r="A102" s="43"/>
      <c r="B102" s="97"/>
      <c r="C102" s="74" t="s">
        <v>283</v>
      </c>
      <c r="D102" s="58">
        <v>119</v>
      </c>
      <c r="E102" s="59">
        <v>3.1915464249320001E-3</v>
      </c>
      <c r="F102" s="43"/>
      <c r="G102" s="43"/>
    </row>
    <row r="103" spans="1:7" ht="14.5" customHeight="1">
      <c r="A103" s="43"/>
      <c r="B103" s="98"/>
      <c r="C103" s="75" t="s">
        <v>353</v>
      </c>
      <c r="D103" s="71">
        <v>187</v>
      </c>
      <c r="E103" s="73">
        <v>5.0152872391779997E-3</v>
      </c>
      <c r="F103" s="43"/>
      <c r="G103" s="43"/>
    </row>
    <row r="104" spans="1:7" ht="14.5" customHeight="1">
      <c r="A104" s="43"/>
      <c r="B104" s="96" t="s">
        <v>54</v>
      </c>
      <c r="C104" s="74" t="s">
        <v>282</v>
      </c>
      <c r="D104" s="58">
        <v>602</v>
      </c>
      <c r="E104" s="59">
        <v>1.6145470149654E-2</v>
      </c>
      <c r="F104" s="43"/>
      <c r="G104" s="43"/>
    </row>
    <row r="105" spans="1:7" ht="14.5" customHeight="1">
      <c r="A105" s="43"/>
      <c r="B105" s="97"/>
      <c r="C105" s="74" t="s">
        <v>283</v>
      </c>
      <c r="D105" s="58">
        <v>1105</v>
      </c>
      <c r="E105" s="59">
        <v>2.9635788231508E-2</v>
      </c>
      <c r="F105" s="43"/>
      <c r="G105" s="43"/>
    </row>
    <row r="106" spans="1:7" ht="14.5" customHeight="1">
      <c r="A106" s="43"/>
      <c r="B106" s="98"/>
      <c r="C106" s="75" t="s">
        <v>353</v>
      </c>
      <c r="D106" s="71">
        <v>1707</v>
      </c>
      <c r="E106" s="73">
        <v>4.5781258381162003E-2</v>
      </c>
      <c r="F106" s="43"/>
      <c r="G106" s="43"/>
    </row>
    <row r="107" spans="1:7" ht="14.5" customHeight="1">
      <c r="A107" s="43"/>
      <c r="B107" s="96" t="s">
        <v>73</v>
      </c>
      <c r="C107" s="74" t="s">
        <v>282</v>
      </c>
      <c r="D107" s="58">
        <v>205</v>
      </c>
      <c r="E107" s="59">
        <v>5.4980421605959999E-3</v>
      </c>
      <c r="F107" s="43"/>
      <c r="G107" s="43"/>
    </row>
    <row r="108" spans="1:7" ht="14.5" customHeight="1">
      <c r="A108" s="43"/>
      <c r="B108" s="97"/>
      <c r="C108" s="74" t="s">
        <v>283</v>
      </c>
      <c r="D108" s="58">
        <v>315</v>
      </c>
      <c r="E108" s="59">
        <v>8.4482111248189995E-3</v>
      </c>
      <c r="F108" s="43"/>
      <c r="G108" s="43"/>
    </row>
    <row r="109" spans="1:7" ht="14.5" customHeight="1">
      <c r="A109" s="43"/>
      <c r="B109" s="98"/>
      <c r="C109" s="75" t="s">
        <v>353</v>
      </c>
      <c r="D109" s="71">
        <v>520</v>
      </c>
      <c r="E109" s="73">
        <v>1.3946253285414999E-2</v>
      </c>
      <c r="F109" s="43"/>
      <c r="G109" s="43"/>
    </row>
    <row r="110" spans="1:7" ht="14.5" customHeight="1">
      <c r="A110" s="43"/>
      <c r="B110" s="96" t="s">
        <v>81</v>
      </c>
      <c r="C110" s="74" t="s">
        <v>282</v>
      </c>
      <c r="D110" s="58">
        <v>119</v>
      </c>
      <c r="E110" s="59">
        <v>3.1915464249320001E-3</v>
      </c>
      <c r="F110" s="43"/>
      <c r="G110" s="43"/>
    </row>
    <row r="111" spans="1:7" ht="14.5" customHeight="1">
      <c r="A111" s="43"/>
      <c r="B111" s="97"/>
      <c r="C111" s="74" t="s">
        <v>283</v>
      </c>
      <c r="D111" s="58">
        <v>179</v>
      </c>
      <c r="E111" s="59">
        <v>4.8007294963260004E-3</v>
      </c>
      <c r="F111" s="43"/>
      <c r="G111" s="43"/>
    </row>
    <row r="112" spans="1:7" ht="14.5" customHeight="1">
      <c r="A112" s="43"/>
      <c r="B112" s="98"/>
      <c r="C112" s="75" t="s">
        <v>353</v>
      </c>
      <c r="D112" s="71">
        <v>298</v>
      </c>
      <c r="E112" s="73">
        <v>7.9922759212569996E-3</v>
      </c>
      <c r="F112" s="43"/>
      <c r="G112" s="43"/>
    </row>
    <row r="113" spans="1:7" ht="14.5" customHeight="1">
      <c r="A113" s="43"/>
      <c r="B113" s="96" t="s">
        <v>66</v>
      </c>
      <c r="C113" s="74" t="s">
        <v>282</v>
      </c>
      <c r="D113" s="58">
        <v>153</v>
      </c>
      <c r="E113" s="59">
        <v>4.1034168320549999E-3</v>
      </c>
      <c r="F113" s="43"/>
      <c r="G113" s="43"/>
    </row>
    <row r="114" spans="1:7" ht="14.5" customHeight="1">
      <c r="A114" s="43"/>
      <c r="B114" s="97"/>
      <c r="C114" s="74" t="s">
        <v>283</v>
      </c>
      <c r="D114" s="58">
        <v>287</v>
      </c>
      <c r="E114" s="59">
        <v>7.6972590248350001E-3</v>
      </c>
      <c r="F114" s="43"/>
      <c r="G114" s="43"/>
    </row>
    <row r="115" spans="1:7" ht="14.5" customHeight="1">
      <c r="A115" s="43"/>
      <c r="B115" s="98"/>
      <c r="C115" s="75" t="s">
        <v>353</v>
      </c>
      <c r="D115" s="71">
        <v>440</v>
      </c>
      <c r="E115" s="73">
        <v>1.180067585689E-2</v>
      </c>
      <c r="F115" s="43"/>
      <c r="G115" s="43"/>
    </row>
    <row r="116" spans="1:7" ht="14.5" customHeight="1">
      <c r="A116" s="43"/>
      <c r="B116" s="96" t="s">
        <v>76</v>
      </c>
      <c r="C116" s="74" t="s">
        <v>282</v>
      </c>
      <c r="D116" s="58">
        <v>148</v>
      </c>
      <c r="E116" s="59">
        <v>3.9693182427719999E-3</v>
      </c>
      <c r="F116" s="43"/>
      <c r="G116" s="43"/>
    </row>
    <row r="117" spans="1:7" ht="14.5" customHeight="1">
      <c r="A117" s="43"/>
      <c r="B117" s="97"/>
      <c r="C117" s="74" t="s">
        <v>283</v>
      </c>
      <c r="D117" s="58">
        <v>217</v>
      </c>
      <c r="E117" s="59">
        <v>5.8198787748749998E-3</v>
      </c>
      <c r="F117" s="43"/>
      <c r="G117" s="43"/>
    </row>
    <row r="118" spans="1:7" ht="14.5" customHeight="1">
      <c r="A118" s="43"/>
      <c r="B118" s="98"/>
      <c r="C118" s="75" t="s">
        <v>353</v>
      </c>
      <c r="D118" s="71">
        <v>365</v>
      </c>
      <c r="E118" s="73">
        <v>9.7891970176469997E-3</v>
      </c>
      <c r="F118" s="43"/>
      <c r="G118" s="43"/>
    </row>
    <row r="119" spans="1:7" ht="14.5" customHeight="1">
      <c r="A119" s="43"/>
      <c r="B119" s="96" t="s">
        <v>60</v>
      </c>
      <c r="C119" s="74" t="s">
        <v>282</v>
      </c>
      <c r="D119" s="58">
        <v>233</v>
      </c>
      <c r="E119" s="59">
        <v>6.2489942605800002E-3</v>
      </c>
      <c r="F119" s="43"/>
      <c r="G119" s="43"/>
    </row>
    <row r="120" spans="1:7" ht="14.5" customHeight="1">
      <c r="A120" s="43"/>
      <c r="B120" s="97"/>
      <c r="C120" s="74" t="s">
        <v>283</v>
      </c>
      <c r="D120" s="58">
        <v>343</v>
      </c>
      <c r="E120" s="59">
        <v>9.1991632248030007E-3</v>
      </c>
      <c r="F120" s="43"/>
      <c r="G120" s="43"/>
    </row>
    <row r="121" spans="1:7" ht="14.5" customHeight="1">
      <c r="A121" s="43"/>
      <c r="B121" s="98"/>
      <c r="C121" s="75" t="s">
        <v>353</v>
      </c>
      <c r="D121" s="71">
        <v>576</v>
      </c>
      <c r="E121" s="73">
        <v>1.5448157485383E-2</v>
      </c>
      <c r="F121" s="43"/>
      <c r="G121" s="43"/>
    </row>
    <row r="122" spans="1:7" ht="14.5" customHeight="1">
      <c r="A122" s="43"/>
      <c r="B122" s="96" t="s">
        <v>82</v>
      </c>
      <c r="C122" s="74" t="s">
        <v>282</v>
      </c>
      <c r="D122" s="58">
        <v>102</v>
      </c>
      <c r="E122" s="59">
        <v>2.7356112213699998E-3</v>
      </c>
      <c r="F122" s="43"/>
      <c r="G122" s="43"/>
    </row>
    <row r="123" spans="1:7" ht="14.5" customHeight="1">
      <c r="A123" s="43"/>
      <c r="B123" s="97"/>
      <c r="C123" s="74" t="s">
        <v>283</v>
      </c>
      <c r="D123" s="58">
        <v>134</v>
      </c>
      <c r="E123" s="59">
        <v>3.5938421927800002E-3</v>
      </c>
      <c r="F123" s="43"/>
      <c r="G123" s="43"/>
    </row>
    <row r="124" spans="1:7" ht="14.5" customHeight="1">
      <c r="A124" s="43"/>
      <c r="B124" s="98"/>
      <c r="C124" s="75" t="s">
        <v>353</v>
      </c>
      <c r="D124" s="71">
        <v>236</v>
      </c>
      <c r="E124" s="73">
        <v>6.3294534141500004E-3</v>
      </c>
      <c r="F124" s="43"/>
      <c r="G124" s="43"/>
    </row>
    <row r="125" spans="1:7" ht="14.5" customHeight="1">
      <c r="A125" s="43"/>
      <c r="B125" s="96" t="s">
        <v>92</v>
      </c>
      <c r="C125" s="74" t="s">
        <v>282</v>
      </c>
      <c r="D125" s="58">
        <v>2</v>
      </c>
      <c r="E125" s="59">
        <v>5.3639435713000001E-5</v>
      </c>
      <c r="F125" s="43"/>
      <c r="G125" s="43"/>
    </row>
    <row r="126" spans="1:7" ht="14.5" customHeight="1">
      <c r="A126" s="43"/>
      <c r="B126" s="97"/>
      <c r="C126" s="74" t="s">
        <v>283</v>
      </c>
      <c r="D126" s="58">
        <v>5</v>
      </c>
      <c r="E126" s="59">
        <v>1.34098589283E-4</v>
      </c>
      <c r="F126" s="43"/>
      <c r="G126" s="43"/>
    </row>
    <row r="127" spans="1:7" ht="14.5" customHeight="1">
      <c r="A127" s="43"/>
      <c r="B127" s="98"/>
      <c r="C127" s="75" t="s">
        <v>353</v>
      </c>
      <c r="D127" s="71">
        <v>7</v>
      </c>
      <c r="E127" s="73">
        <v>1.8773802499599999E-4</v>
      </c>
      <c r="F127" s="43"/>
      <c r="G127" s="43"/>
    </row>
    <row r="128" spans="1:7" ht="14.5" customHeight="1">
      <c r="A128" s="43"/>
      <c r="B128" s="96" t="s">
        <v>52</v>
      </c>
      <c r="C128" s="74" t="s">
        <v>282</v>
      </c>
      <c r="D128" s="58">
        <v>511</v>
      </c>
      <c r="E128" s="59">
        <v>1.3704875824706E-2</v>
      </c>
      <c r="F128" s="43"/>
      <c r="G128" s="43"/>
    </row>
    <row r="129" spans="1:7" ht="14.5" customHeight="1">
      <c r="A129" s="43"/>
      <c r="B129" s="97"/>
      <c r="C129" s="74" t="s">
        <v>283</v>
      </c>
      <c r="D129" s="58">
        <v>920</v>
      </c>
      <c r="E129" s="59">
        <v>2.4674140428043001E-2</v>
      </c>
      <c r="F129" s="43"/>
      <c r="G129" s="43"/>
    </row>
    <row r="130" spans="1:7" ht="14.5" customHeight="1">
      <c r="A130" s="43"/>
      <c r="B130" s="98"/>
      <c r="C130" s="75" t="s">
        <v>353</v>
      </c>
      <c r="D130" s="71">
        <v>1431</v>
      </c>
      <c r="E130" s="73">
        <v>3.8379016252748997E-2</v>
      </c>
      <c r="F130" s="43"/>
      <c r="G130" s="43"/>
    </row>
    <row r="131" spans="1:7" ht="14.5" customHeight="1">
      <c r="A131" s="43"/>
      <c r="B131" s="96" t="s">
        <v>64</v>
      </c>
      <c r="C131" s="74" t="s">
        <v>282</v>
      </c>
      <c r="D131" s="58">
        <v>286</v>
      </c>
      <c r="E131" s="59">
        <v>7.6704393069779997E-3</v>
      </c>
      <c r="F131" s="43"/>
      <c r="G131" s="43"/>
    </row>
    <row r="132" spans="1:7" ht="14.5" customHeight="1">
      <c r="A132" s="43"/>
      <c r="B132" s="97"/>
      <c r="C132" s="74" t="s">
        <v>283</v>
      </c>
      <c r="D132" s="58">
        <v>373</v>
      </c>
      <c r="E132" s="59">
        <v>1.00037547605E-2</v>
      </c>
      <c r="F132" s="43"/>
      <c r="G132" s="43"/>
    </row>
    <row r="133" spans="1:7" ht="14.5" customHeight="1">
      <c r="A133" s="43"/>
      <c r="B133" s="98"/>
      <c r="C133" s="75" t="s">
        <v>353</v>
      </c>
      <c r="D133" s="71">
        <v>659</v>
      </c>
      <c r="E133" s="73">
        <v>1.7674194067478E-2</v>
      </c>
      <c r="F133" s="43"/>
      <c r="G133" s="43"/>
    </row>
    <row r="134" spans="1:7" ht="14.5" customHeight="1">
      <c r="A134" s="43"/>
      <c r="B134" s="96" t="s">
        <v>68</v>
      </c>
      <c r="C134" s="74" t="s">
        <v>282</v>
      </c>
      <c r="D134" s="58">
        <v>160</v>
      </c>
      <c r="E134" s="59">
        <v>4.2911548570509998E-3</v>
      </c>
      <c r="F134" s="43"/>
      <c r="G134" s="43"/>
    </row>
    <row r="135" spans="1:7" ht="14.5" customHeight="1">
      <c r="A135" s="43"/>
      <c r="B135" s="97"/>
      <c r="C135" s="74" t="s">
        <v>283</v>
      </c>
      <c r="D135" s="58">
        <v>293</v>
      </c>
      <c r="E135" s="59">
        <v>7.8581773319739995E-3</v>
      </c>
      <c r="F135" s="43"/>
      <c r="G135" s="43"/>
    </row>
    <row r="136" spans="1:7" ht="14.5" customHeight="1">
      <c r="A136" s="43"/>
      <c r="B136" s="98"/>
      <c r="C136" s="75" t="s">
        <v>353</v>
      </c>
      <c r="D136" s="71">
        <v>453</v>
      </c>
      <c r="E136" s="73">
        <v>1.2149332189024999E-2</v>
      </c>
      <c r="F136" s="43"/>
      <c r="G136" s="43"/>
    </row>
    <row r="137" spans="1:7" ht="14.5" customHeight="1">
      <c r="A137" s="43"/>
      <c r="B137" s="96" t="s">
        <v>75</v>
      </c>
      <c r="C137" s="74" t="s">
        <v>282</v>
      </c>
      <c r="D137" s="58">
        <v>161</v>
      </c>
      <c r="E137" s="59">
        <v>4.3179745749070001E-3</v>
      </c>
      <c r="F137" s="43"/>
      <c r="G137" s="43"/>
    </row>
    <row r="138" spans="1:7" ht="14.5" customHeight="1">
      <c r="A138" s="43"/>
      <c r="B138" s="97"/>
      <c r="C138" s="74" t="s">
        <v>283</v>
      </c>
      <c r="D138" s="58">
        <v>235</v>
      </c>
      <c r="E138" s="59">
        <v>6.3026336962940001E-3</v>
      </c>
      <c r="F138" s="43"/>
      <c r="G138" s="43"/>
    </row>
    <row r="139" spans="1:7" ht="14.5" customHeight="1">
      <c r="A139" s="43"/>
      <c r="B139" s="98"/>
      <c r="C139" s="75" t="s">
        <v>353</v>
      </c>
      <c r="D139" s="71">
        <v>396</v>
      </c>
      <c r="E139" s="73">
        <v>1.0620608271200999E-2</v>
      </c>
      <c r="F139" s="43"/>
      <c r="G139" s="43"/>
    </row>
    <row r="140" spans="1:7" ht="14.5" customHeight="1">
      <c r="A140" s="43"/>
      <c r="B140" s="96" t="s">
        <v>74</v>
      </c>
      <c r="C140" s="74" t="s">
        <v>282</v>
      </c>
      <c r="D140" s="58">
        <v>171</v>
      </c>
      <c r="E140" s="59">
        <v>4.5861717534730001E-3</v>
      </c>
      <c r="F140" s="43"/>
      <c r="G140" s="43"/>
    </row>
    <row r="141" spans="1:7" ht="14.5" customHeight="1">
      <c r="A141" s="43"/>
      <c r="B141" s="97"/>
      <c r="C141" s="74" t="s">
        <v>283</v>
      </c>
      <c r="D141" s="58">
        <v>262</v>
      </c>
      <c r="E141" s="59">
        <v>7.026766078421E-3</v>
      </c>
      <c r="F141" s="43"/>
      <c r="G141" s="43"/>
    </row>
    <row r="142" spans="1:7" ht="14.5" customHeight="1">
      <c r="A142" s="43"/>
      <c r="B142" s="98"/>
      <c r="C142" s="75" t="s">
        <v>353</v>
      </c>
      <c r="D142" s="71">
        <v>433</v>
      </c>
      <c r="E142" s="73">
        <v>1.1612937831894E-2</v>
      </c>
      <c r="F142" s="43"/>
      <c r="G142" s="43"/>
    </row>
    <row r="143" spans="1:7" ht="14.5" customHeight="1">
      <c r="A143" s="43"/>
      <c r="B143" s="96" t="s">
        <v>56</v>
      </c>
      <c r="C143" s="74" t="s">
        <v>282</v>
      </c>
      <c r="D143" s="58">
        <v>571</v>
      </c>
      <c r="E143" s="59">
        <v>1.53140588961E-2</v>
      </c>
      <c r="F143" s="43"/>
      <c r="G143" s="43"/>
    </row>
    <row r="144" spans="1:7" ht="14.5" customHeight="1">
      <c r="A144" s="43"/>
      <c r="B144" s="97"/>
      <c r="C144" s="74" t="s">
        <v>283</v>
      </c>
      <c r="D144" s="58">
        <v>593</v>
      </c>
      <c r="E144" s="59">
        <v>1.5904092688945E-2</v>
      </c>
      <c r="F144" s="43"/>
      <c r="G144" s="43"/>
    </row>
    <row r="145" spans="1:7" ht="14.5" customHeight="1">
      <c r="A145" s="43"/>
      <c r="B145" s="98"/>
      <c r="C145" s="75" t="s">
        <v>353</v>
      </c>
      <c r="D145" s="71">
        <v>1164</v>
      </c>
      <c r="E145" s="73">
        <v>3.1218151585045002E-2</v>
      </c>
      <c r="F145" s="43"/>
      <c r="G145" s="43"/>
    </row>
    <row r="146" spans="1:7" ht="14.5" customHeight="1">
      <c r="A146" s="43"/>
      <c r="B146" s="96" t="s">
        <v>65</v>
      </c>
      <c r="C146" s="74" t="s">
        <v>282</v>
      </c>
      <c r="D146" s="58">
        <v>353</v>
      </c>
      <c r="E146" s="59">
        <v>9.4673604033690007E-3</v>
      </c>
      <c r="F146" s="43"/>
      <c r="G146" s="43"/>
    </row>
    <row r="147" spans="1:7" ht="14.5" customHeight="1">
      <c r="A147" s="43"/>
      <c r="B147" s="97"/>
      <c r="C147" s="74" t="s">
        <v>283</v>
      </c>
      <c r="D147" s="58">
        <v>398</v>
      </c>
      <c r="E147" s="59">
        <v>1.0674247706914001E-2</v>
      </c>
      <c r="F147" s="43"/>
      <c r="G147" s="43"/>
    </row>
    <row r="148" spans="1:7" ht="14.5" customHeight="1">
      <c r="A148" s="43"/>
      <c r="B148" s="98"/>
      <c r="C148" s="75" t="s">
        <v>353</v>
      </c>
      <c r="D148" s="71">
        <v>751</v>
      </c>
      <c r="E148" s="73">
        <v>2.0141608110283E-2</v>
      </c>
      <c r="F148" s="43"/>
      <c r="G148" s="43"/>
    </row>
    <row r="149" spans="1:7" ht="14.5" customHeight="1">
      <c r="A149" s="43"/>
      <c r="B149" s="96" t="s">
        <v>70</v>
      </c>
      <c r="C149" s="74" t="s">
        <v>282</v>
      </c>
      <c r="D149" s="58">
        <v>304</v>
      </c>
      <c r="E149" s="59">
        <v>8.153194228397E-3</v>
      </c>
      <c r="F149" s="43"/>
      <c r="G149" s="43"/>
    </row>
    <row r="150" spans="1:7" ht="14.5" customHeight="1">
      <c r="A150" s="43"/>
      <c r="B150" s="97"/>
      <c r="C150" s="74" t="s">
        <v>283</v>
      </c>
      <c r="D150" s="58">
        <v>380</v>
      </c>
      <c r="E150" s="59">
        <v>1.0191492785496E-2</v>
      </c>
      <c r="F150" s="43"/>
      <c r="G150" s="43"/>
    </row>
    <row r="151" spans="1:7" ht="14.5" customHeight="1">
      <c r="A151" s="43"/>
      <c r="B151" s="98"/>
      <c r="C151" s="75" t="s">
        <v>353</v>
      </c>
      <c r="D151" s="71">
        <v>684</v>
      </c>
      <c r="E151" s="73">
        <v>1.8344687013893E-2</v>
      </c>
      <c r="F151" s="43"/>
      <c r="G151" s="43"/>
    </row>
    <row r="152" spans="1:7" ht="14.5" customHeight="1">
      <c r="A152" s="43"/>
      <c r="B152" s="96" t="s">
        <v>58</v>
      </c>
      <c r="C152" s="74" t="s">
        <v>282</v>
      </c>
      <c r="D152" s="58">
        <v>406</v>
      </c>
      <c r="E152" s="59">
        <v>1.0888805449766999E-2</v>
      </c>
      <c r="F152" s="43"/>
      <c r="G152" s="43"/>
    </row>
    <row r="153" spans="1:7" ht="14.5" customHeight="1">
      <c r="A153" s="43"/>
      <c r="B153" s="97"/>
      <c r="C153" s="74" t="s">
        <v>283</v>
      </c>
      <c r="D153" s="58">
        <v>509</v>
      </c>
      <c r="E153" s="59">
        <v>1.3651236388993E-2</v>
      </c>
      <c r="F153" s="43"/>
      <c r="G153" s="43"/>
    </row>
    <row r="154" spans="1:7" ht="14.5" customHeight="1">
      <c r="A154" s="43"/>
      <c r="B154" s="98"/>
      <c r="C154" s="75" t="s">
        <v>353</v>
      </c>
      <c r="D154" s="71">
        <v>915</v>
      </c>
      <c r="E154" s="73">
        <v>2.4540041838760001E-2</v>
      </c>
      <c r="F154" s="43"/>
      <c r="G154" s="43"/>
    </row>
    <row r="155" spans="1:7" ht="14.5" customHeight="1">
      <c r="A155" s="43"/>
      <c r="B155" s="96" t="s">
        <v>51</v>
      </c>
      <c r="C155" s="74" t="s">
        <v>282</v>
      </c>
      <c r="D155" s="58">
        <v>808</v>
      </c>
      <c r="E155" s="59">
        <v>2.1670332028107E-2</v>
      </c>
      <c r="F155" s="43"/>
      <c r="G155" s="43"/>
    </row>
    <row r="156" spans="1:7" ht="14.5" customHeight="1">
      <c r="A156" s="43"/>
      <c r="B156" s="97"/>
      <c r="C156" s="74" t="s">
        <v>283</v>
      </c>
      <c r="D156" s="58">
        <v>932</v>
      </c>
      <c r="E156" s="59">
        <v>2.4995977042321999E-2</v>
      </c>
      <c r="F156" s="43"/>
      <c r="G156" s="43"/>
    </row>
    <row r="157" spans="1:7" ht="14.5" customHeight="1">
      <c r="A157" s="43"/>
      <c r="B157" s="98"/>
      <c r="C157" s="75" t="s">
        <v>353</v>
      </c>
      <c r="D157" s="71">
        <v>1740</v>
      </c>
      <c r="E157" s="73">
        <v>4.6666309070428999E-2</v>
      </c>
      <c r="F157" s="43"/>
      <c r="G157" s="43"/>
    </row>
    <row r="158" spans="1:7" ht="14.5" customHeight="1">
      <c r="A158" s="43"/>
      <c r="B158" s="96" t="s">
        <v>85</v>
      </c>
      <c r="C158" s="74" t="s">
        <v>282</v>
      </c>
      <c r="D158" s="58">
        <v>53</v>
      </c>
      <c r="E158" s="59">
        <v>1.4214450463979999E-3</v>
      </c>
      <c r="F158" s="43"/>
      <c r="G158" s="43"/>
    </row>
    <row r="159" spans="1:7" ht="14.5" customHeight="1">
      <c r="A159" s="43"/>
      <c r="B159" s="97"/>
      <c r="C159" s="74" t="s">
        <v>283</v>
      </c>
      <c r="D159" s="58">
        <v>75</v>
      </c>
      <c r="E159" s="59">
        <v>2.0114788392429999E-3</v>
      </c>
      <c r="F159" s="43"/>
      <c r="G159" s="43"/>
    </row>
    <row r="160" spans="1:7" ht="14.5" customHeight="1">
      <c r="A160" s="43"/>
      <c r="B160" s="98"/>
      <c r="C160" s="75" t="s">
        <v>353</v>
      </c>
      <c r="D160" s="71">
        <v>128</v>
      </c>
      <c r="E160" s="73">
        <v>3.4329238856409998E-3</v>
      </c>
      <c r="F160" s="43"/>
      <c r="G160" s="43"/>
    </row>
    <row r="161" spans="1:7" ht="14.5" customHeight="1">
      <c r="A161" s="43"/>
      <c r="B161" s="96" t="s">
        <v>91</v>
      </c>
      <c r="C161" s="74" t="s">
        <v>282</v>
      </c>
      <c r="D161" s="58">
        <v>13</v>
      </c>
      <c r="E161" s="59">
        <v>3.4865633213499998E-4</v>
      </c>
      <c r="F161" s="43"/>
      <c r="G161" s="43"/>
    </row>
    <row r="162" spans="1:7" ht="14.5" customHeight="1">
      <c r="A162" s="43"/>
      <c r="B162" s="97"/>
      <c r="C162" s="74" t="s">
        <v>283</v>
      </c>
      <c r="D162" s="58">
        <v>32</v>
      </c>
      <c r="E162" s="59">
        <v>8.5823097141000005E-4</v>
      </c>
      <c r="F162" s="43"/>
      <c r="G162" s="43"/>
    </row>
    <row r="163" spans="1:7" ht="14.5" customHeight="1">
      <c r="A163" s="43"/>
      <c r="B163" s="98"/>
      <c r="C163" s="75" t="s">
        <v>353</v>
      </c>
      <c r="D163" s="71">
        <v>45</v>
      </c>
      <c r="E163" s="73">
        <v>1.206887303546E-3</v>
      </c>
      <c r="F163" s="43"/>
      <c r="G163" s="43"/>
    </row>
    <row r="164" spans="1:7" ht="14.5" customHeight="1">
      <c r="A164" s="43"/>
      <c r="B164" s="96" t="s">
        <v>79</v>
      </c>
      <c r="C164" s="74" t="s">
        <v>282</v>
      </c>
      <c r="D164" s="58">
        <v>86</v>
      </c>
      <c r="E164" s="59">
        <v>2.3064957356649998E-3</v>
      </c>
      <c r="F164" s="43"/>
      <c r="G164" s="43"/>
    </row>
    <row r="165" spans="1:7" ht="14.5" customHeight="1">
      <c r="A165" s="43"/>
      <c r="B165" s="97"/>
      <c r="C165" s="74" t="s">
        <v>283</v>
      </c>
      <c r="D165" s="58">
        <v>165</v>
      </c>
      <c r="E165" s="59">
        <v>4.4252534463339998E-3</v>
      </c>
      <c r="F165" s="43"/>
      <c r="G165" s="43"/>
    </row>
    <row r="166" spans="1:7" ht="14.5" customHeight="1">
      <c r="A166" s="43"/>
      <c r="B166" s="98"/>
      <c r="C166" s="75" t="s">
        <v>353</v>
      </c>
      <c r="D166" s="71">
        <v>251</v>
      </c>
      <c r="E166" s="73">
        <v>6.7317491819989996E-3</v>
      </c>
      <c r="F166" s="43"/>
      <c r="G166" s="43"/>
    </row>
    <row r="167" spans="1:7" ht="14.5" customHeight="1">
      <c r="A167" s="43"/>
      <c r="B167" s="96" t="s">
        <v>96</v>
      </c>
      <c r="C167" s="74" t="s">
        <v>282</v>
      </c>
      <c r="D167" s="58">
        <v>4</v>
      </c>
      <c r="E167" s="59">
        <v>1.07278871426E-4</v>
      </c>
      <c r="F167" s="43"/>
      <c r="G167" s="43"/>
    </row>
    <row r="168" spans="1:7" ht="14.5" customHeight="1">
      <c r="A168" s="43"/>
      <c r="B168" s="97"/>
      <c r="C168" s="74" t="s">
        <v>283</v>
      </c>
      <c r="D168" s="58">
        <v>4</v>
      </c>
      <c r="E168" s="59">
        <v>1.07278871426E-4</v>
      </c>
      <c r="F168" s="43"/>
      <c r="G168" s="43"/>
    </row>
    <row r="169" spans="1:7" ht="14.5" customHeight="1">
      <c r="A169" s="43"/>
      <c r="B169" s="98"/>
      <c r="C169" s="75" t="s">
        <v>353</v>
      </c>
      <c r="D169" s="71">
        <v>8</v>
      </c>
      <c r="E169" s="73">
        <v>2.1455774285299999E-4</v>
      </c>
      <c r="F169" s="43"/>
      <c r="G169" s="43"/>
    </row>
    <row r="170" spans="1:7" ht="14.5" customHeight="1">
      <c r="A170" s="43"/>
      <c r="B170" s="94" t="s">
        <v>353</v>
      </c>
      <c r="C170" s="95"/>
      <c r="D170" s="61">
        <v>37286</v>
      </c>
      <c r="E170" s="62">
        <v>1</v>
      </c>
      <c r="F170" s="43"/>
      <c r="G170" s="43"/>
    </row>
    <row r="171" spans="1:7" ht="14.5" customHeight="1">
      <c r="A171" s="43"/>
      <c r="B171" s="35"/>
      <c r="C171" s="35"/>
      <c r="D171" s="50"/>
      <c r="E171" s="35"/>
      <c r="F171" s="43"/>
      <c r="G171" s="43"/>
    </row>
    <row r="172" spans="1:7" ht="14.5" customHeight="1">
      <c r="A172" s="48"/>
      <c r="B172" s="40" t="s">
        <v>132</v>
      </c>
      <c r="C172" s="63"/>
      <c r="D172" s="64"/>
      <c r="E172" s="63"/>
      <c r="F172" s="43"/>
      <c r="G172" s="43"/>
    </row>
    <row r="173" spans="1:7" ht="14.5" customHeight="1">
      <c r="A173" s="48"/>
      <c r="B173" s="41" t="s">
        <v>17</v>
      </c>
      <c r="C173" s="63"/>
      <c r="D173" s="64"/>
      <c r="E173" s="63"/>
      <c r="F173" s="43"/>
      <c r="G173" s="43"/>
    </row>
    <row r="174" spans="1:7" ht="14.5" customHeight="1">
      <c r="A174" s="48"/>
      <c r="B174" s="42" t="s">
        <v>46</v>
      </c>
      <c r="C174" s="63"/>
      <c r="D174" s="64"/>
      <c r="E174" s="63"/>
      <c r="F174" s="43"/>
      <c r="G174" s="43"/>
    </row>
    <row r="175" spans="1:7" ht="14.5" customHeight="1">
      <c r="A175" s="48"/>
      <c r="B175" s="40" t="s">
        <v>16</v>
      </c>
      <c r="C175" s="63"/>
      <c r="D175" s="64"/>
      <c r="E175" s="63"/>
      <c r="F175" s="43"/>
      <c r="G175" s="43"/>
    </row>
    <row r="176" spans="1:7" ht="16.5">
      <c r="A176" s="48"/>
      <c r="B176" s="40" t="s">
        <v>352</v>
      </c>
      <c r="C176" s="63"/>
      <c r="D176" s="64"/>
      <c r="E176" s="63"/>
      <c r="F176" s="43"/>
      <c r="G176" s="43"/>
    </row>
  </sheetData>
  <mergeCells count="54">
    <mergeCell ref="B8:E10"/>
    <mergeCell ref="B13:B15"/>
    <mergeCell ref="B16:B18"/>
    <mergeCell ref="B19:B21"/>
    <mergeCell ref="B22:B24"/>
    <mergeCell ref="B25:B27"/>
    <mergeCell ref="B28:B30"/>
    <mergeCell ref="B31:B33"/>
    <mergeCell ref="B34:B37"/>
    <mergeCell ref="B38:B41"/>
    <mergeCell ref="B42:B44"/>
    <mergeCell ref="B45:B47"/>
    <mergeCell ref="B48:B50"/>
    <mergeCell ref="B51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7:B139"/>
    <mergeCell ref="B140:B142"/>
    <mergeCell ref="B143:B145"/>
    <mergeCell ref="B170:C170"/>
    <mergeCell ref="B161:B163"/>
    <mergeCell ref="B164:B166"/>
    <mergeCell ref="B167:B169"/>
    <mergeCell ref="B146:B148"/>
    <mergeCell ref="B149:B151"/>
    <mergeCell ref="B152:B154"/>
    <mergeCell ref="B155:B157"/>
    <mergeCell ref="B158:B16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72"/>
  <sheetViews>
    <sheetView showGridLines="0" view="pageBreakPreview" zoomScaleNormal="100" zoomScaleSheetLayoutView="100" workbookViewId="0">
      <selection activeCell="F9" sqref="F9"/>
    </sheetView>
  </sheetViews>
  <sheetFormatPr baseColWidth="10" defaultColWidth="11.453125" defaultRowHeight="10"/>
  <cols>
    <col min="1" max="1" width="5.7265625" style="18" customWidth="1"/>
    <col min="2" max="2" width="22.7265625" style="25" customWidth="1"/>
    <col min="3" max="3" width="20.7265625" style="25" customWidth="1"/>
    <col min="4" max="4" width="15.7265625" style="28" customWidth="1"/>
    <col min="5" max="5" width="15.7265625" style="25" customWidth="1"/>
    <col min="6" max="6" width="5.7265625" style="18" customWidth="1"/>
    <col min="7" max="7" width="3.1796875" style="18" customWidth="1"/>
    <col min="8" max="16384" width="11.453125" style="18"/>
  </cols>
  <sheetData>
    <row r="1" spans="1:7" s="13" customFormat="1" ht="14.5">
      <c r="B1" s="25"/>
      <c r="C1" s="25"/>
    </row>
    <row r="2" spans="1:7" s="25" customFormat="1">
      <c r="B2" s="30"/>
    </row>
    <row r="3" spans="1:7" ht="15" customHeight="1">
      <c r="B3" s="31"/>
      <c r="C3" s="21"/>
      <c r="D3" s="18"/>
      <c r="F3" s="25"/>
    </row>
    <row r="4" spans="1:7" ht="30" customHeight="1">
      <c r="B4" s="31"/>
      <c r="C4" s="21"/>
      <c r="D4" s="18"/>
      <c r="F4" s="25"/>
    </row>
    <row r="5" spans="1:7" ht="15" customHeight="1">
      <c r="B5" s="31"/>
      <c r="C5" s="21"/>
      <c r="D5" s="18"/>
      <c r="F5" s="25"/>
    </row>
    <row r="6" spans="1:7" s="25" customFormat="1" ht="10.5">
      <c r="B6" s="27"/>
      <c r="C6" s="24"/>
    </row>
    <row r="7" spans="1:7" s="25" customFormat="1">
      <c r="B7" s="30"/>
    </row>
    <row r="8" spans="1:7" s="13" customFormat="1" ht="15" customHeight="1">
      <c r="A8" s="48"/>
      <c r="B8" s="100" t="s">
        <v>35</v>
      </c>
      <c r="C8" s="101"/>
      <c r="D8" s="101"/>
      <c r="E8" s="101"/>
      <c r="F8" s="48"/>
      <c r="G8" s="48"/>
    </row>
    <row r="9" spans="1:7" s="13" customFormat="1" ht="15" customHeight="1">
      <c r="A9" s="48"/>
      <c r="B9" s="101"/>
      <c r="C9" s="101"/>
      <c r="D9" s="101"/>
      <c r="E9" s="101"/>
      <c r="F9" s="54"/>
      <c r="G9" s="48"/>
    </row>
    <row r="10" spans="1:7" s="13" customFormat="1" ht="15" customHeight="1">
      <c r="A10" s="48"/>
      <c r="B10" s="101"/>
      <c r="C10" s="101"/>
      <c r="D10" s="101"/>
      <c r="E10" s="101"/>
      <c r="F10" s="48"/>
      <c r="G10" s="48"/>
    </row>
    <row r="11" spans="1:7" s="13" customFormat="1" ht="15" customHeight="1">
      <c r="A11" s="48"/>
      <c r="B11" s="55"/>
      <c r="C11" s="55"/>
      <c r="D11" s="55"/>
      <c r="E11" s="55"/>
      <c r="F11" s="48"/>
      <c r="G11" s="48"/>
    </row>
    <row r="12" spans="1:7" s="13" customFormat="1" ht="37" customHeight="1">
      <c r="A12" s="48"/>
      <c r="B12" s="77" t="s">
        <v>24</v>
      </c>
      <c r="C12" s="77" t="s">
        <v>29</v>
      </c>
      <c r="D12" s="77" t="s">
        <v>19</v>
      </c>
      <c r="E12" s="77" t="s">
        <v>18</v>
      </c>
      <c r="F12" s="48"/>
      <c r="G12" s="48"/>
    </row>
    <row r="13" spans="1:7" ht="14.5" customHeight="1">
      <c r="A13" s="43"/>
      <c r="B13" s="96" t="s">
        <v>219</v>
      </c>
      <c r="C13" s="74" t="s">
        <v>282</v>
      </c>
      <c r="D13" s="58">
        <v>101</v>
      </c>
      <c r="E13" s="59">
        <v>2.7087915035129998E-3</v>
      </c>
      <c r="F13" s="43"/>
      <c r="G13" s="43"/>
    </row>
    <row r="14" spans="1:7" ht="14.5" customHeight="1">
      <c r="A14" s="43"/>
      <c r="B14" s="97"/>
      <c r="C14" s="74" t="s">
        <v>283</v>
      </c>
      <c r="D14" s="58">
        <v>151</v>
      </c>
      <c r="E14" s="59">
        <v>4.0497773963420001E-3</v>
      </c>
      <c r="F14" s="43"/>
      <c r="G14" s="43"/>
    </row>
    <row r="15" spans="1:7" ht="14.5" customHeight="1">
      <c r="A15" s="43"/>
      <c r="B15" s="98"/>
      <c r="C15" s="75" t="s">
        <v>353</v>
      </c>
      <c r="D15" s="71">
        <v>252</v>
      </c>
      <c r="E15" s="73">
        <v>6.7585688998549999E-3</v>
      </c>
      <c r="F15" s="43"/>
      <c r="G15" s="43"/>
    </row>
    <row r="16" spans="1:7" ht="14.5" customHeight="1">
      <c r="A16" s="43"/>
      <c r="B16" s="96" t="s">
        <v>277</v>
      </c>
      <c r="C16" s="74" t="s">
        <v>282</v>
      </c>
      <c r="D16" s="58">
        <v>3</v>
      </c>
      <c r="E16" s="59">
        <v>8.0459153570000002E-5</v>
      </c>
      <c r="F16" s="43"/>
      <c r="G16" s="43"/>
    </row>
    <row r="17" spans="1:7" ht="14.5" customHeight="1">
      <c r="A17" s="43"/>
      <c r="B17" s="97"/>
      <c r="C17" s="74" t="s">
        <v>283</v>
      </c>
      <c r="D17" s="58">
        <v>2</v>
      </c>
      <c r="E17" s="59">
        <v>5.3639435713000001E-5</v>
      </c>
      <c r="F17" s="43"/>
      <c r="G17" s="43"/>
    </row>
    <row r="18" spans="1:7" ht="14.5" customHeight="1">
      <c r="A18" s="43"/>
      <c r="B18" s="98"/>
      <c r="C18" s="75" t="s">
        <v>353</v>
      </c>
      <c r="D18" s="71">
        <v>5</v>
      </c>
      <c r="E18" s="73">
        <v>1.34098589283E-4</v>
      </c>
      <c r="F18" s="43"/>
      <c r="G18" s="43"/>
    </row>
    <row r="19" spans="1:7" ht="14.5" customHeight="1">
      <c r="A19" s="43"/>
      <c r="B19" s="96" t="s">
        <v>220</v>
      </c>
      <c r="C19" s="74" t="s">
        <v>282</v>
      </c>
      <c r="D19" s="58">
        <v>242</v>
      </c>
      <c r="E19" s="59">
        <v>6.4903717212889999E-3</v>
      </c>
      <c r="F19" s="43"/>
      <c r="G19" s="43"/>
    </row>
    <row r="20" spans="1:7" ht="14.5" customHeight="1">
      <c r="A20" s="43"/>
      <c r="B20" s="97"/>
      <c r="C20" s="74" t="s">
        <v>283</v>
      </c>
      <c r="D20" s="58">
        <v>370</v>
      </c>
      <c r="E20" s="59">
        <v>9.9232956069299997E-3</v>
      </c>
      <c r="F20" s="43"/>
      <c r="G20" s="43"/>
    </row>
    <row r="21" spans="1:7" ht="14.5" customHeight="1">
      <c r="A21" s="43"/>
      <c r="B21" s="98"/>
      <c r="C21" s="75" t="s">
        <v>353</v>
      </c>
      <c r="D21" s="71">
        <v>612</v>
      </c>
      <c r="E21" s="73">
        <v>1.641366732822E-2</v>
      </c>
      <c r="F21" s="43"/>
      <c r="G21" s="43"/>
    </row>
    <row r="22" spans="1:7" ht="14.5" customHeight="1">
      <c r="A22" s="43"/>
      <c r="B22" s="96" t="s">
        <v>221</v>
      </c>
      <c r="C22" s="74" t="s">
        <v>282</v>
      </c>
      <c r="D22" s="58">
        <v>143</v>
      </c>
      <c r="E22" s="59">
        <v>3.8352196534889998E-3</v>
      </c>
      <c r="F22" s="43"/>
      <c r="G22" s="43"/>
    </row>
    <row r="23" spans="1:7" ht="14.5" customHeight="1">
      <c r="A23" s="43"/>
      <c r="B23" s="97"/>
      <c r="C23" s="74" t="s">
        <v>283</v>
      </c>
      <c r="D23" s="58">
        <v>187</v>
      </c>
      <c r="E23" s="59">
        <v>5.0152872391779997E-3</v>
      </c>
      <c r="F23" s="43"/>
      <c r="G23" s="43"/>
    </row>
    <row r="24" spans="1:7" ht="14.5" customHeight="1">
      <c r="A24" s="43"/>
      <c r="B24" s="98"/>
      <c r="C24" s="75" t="s">
        <v>353</v>
      </c>
      <c r="D24" s="71">
        <v>330</v>
      </c>
      <c r="E24" s="73">
        <v>8.8505068926670004E-3</v>
      </c>
      <c r="F24" s="43"/>
      <c r="G24" s="43"/>
    </row>
    <row r="25" spans="1:7" ht="14.5" customHeight="1">
      <c r="A25" s="43"/>
      <c r="B25" s="96" t="s">
        <v>222</v>
      </c>
      <c r="C25" s="74" t="s">
        <v>282</v>
      </c>
      <c r="D25" s="58">
        <v>5406</v>
      </c>
      <c r="E25" s="59">
        <v>0.14498739473260699</v>
      </c>
      <c r="F25" s="43"/>
      <c r="G25" s="43"/>
    </row>
    <row r="26" spans="1:7" ht="14.5" customHeight="1">
      <c r="A26" s="43"/>
      <c r="B26" s="97"/>
      <c r="C26" s="74" t="s">
        <v>283</v>
      </c>
      <c r="D26" s="58">
        <v>6189</v>
      </c>
      <c r="E26" s="59">
        <v>0.1659872338143</v>
      </c>
      <c r="F26" s="43"/>
      <c r="G26" s="43"/>
    </row>
    <row r="27" spans="1:7" ht="14.5" customHeight="1">
      <c r="A27" s="43"/>
      <c r="B27" s="98"/>
      <c r="C27" s="75" t="s">
        <v>353</v>
      </c>
      <c r="D27" s="71">
        <v>11595</v>
      </c>
      <c r="E27" s="73">
        <v>0.31097462854690799</v>
      </c>
      <c r="F27" s="43"/>
      <c r="G27" s="43"/>
    </row>
    <row r="28" spans="1:7" ht="14.5" customHeight="1">
      <c r="A28" s="43"/>
      <c r="B28" s="96" t="s">
        <v>223</v>
      </c>
      <c r="C28" s="74" t="s">
        <v>282</v>
      </c>
      <c r="D28" s="58">
        <v>176</v>
      </c>
      <c r="E28" s="59">
        <v>4.7202703427560002E-3</v>
      </c>
      <c r="F28" s="43"/>
      <c r="G28" s="43"/>
    </row>
    <row r="29" spans="1:7" ht="14.5" customHeight="1">
      <c r="A29" s="43"/>
      <c r="B29" s="97"/>
      <c r="C29" s="74" t="s">
        <v>283</v>
      </c>
      <c r="D29" s="58">
        <v>317</v>
      </c>
      <c r="E29" s="59">
        <v>8.5018505605319993E-3</v>
      </c>
      <c r="F29" s="43"/>
      <c r="G29" s="43"/>
    </row>
    <row r="30" spans="1:7" ht="14.5" customHeight="1">
      <c r="A30" s="43"/>
      <c r="B30" s="98"/>
      <c r="C30" s="75" t="s">
        <v>353</v>
      </c>
      <c r="D30" s="71">
        <v>493</v>
      </c>
      <c r="E30" s="73">
        <v>1.3222120903288E-2</v>
      </c>
      <c r="F30" s="43"/>
      <c r="G30" s="43"/>
    </row>
    <row r="31" spans="1:7" ht="14.5" customHeight="1">
      <c r="A31" s="43"/>
      <c r="B31" s="96" t="s">
        <v>224</v>
      </c>
      <c r="C31" s="74" t="s">
        <v>282</v>
      </c>
      <c r="D31" s="58">
        <v>48</v>
      </c>
      <c r="E31" s="59">
        <v>1.2873464571149999E-3</v>
      </c>
      <c r="F31" s="43"/>
      <c r="G31" s="43"/>
    </row>
    <row r="32" spans="1:7" ht="14.5" customHeight="1">
      <c r="A32" s="43"/>
      <c r="B32" s="97"/>
      <c r="C32" s="74" t="s">
        <v>283</v>
      </c>
      <c r="D32" s="58">
        <v>74</v>
      </c>
      <c r="E32" s="59">
        <v>1.9846591213859999E-3</v>
      </c>
      <c r="F32" s="43"/>
      <c r="G32" s="43"/>
    </row>
    <row r="33" spans="1:7" ht="14.5" customHeight="1">
      <c r="A33" s="43"/>
      <c r="B33" s="98"/>
      <c r="C33" s="75" t="s">
        <v>353</v>
      </c>
      <c r="D33" s="71">
        <v>122</v>
      </c>
      <c r="E33" s="73">
        <v>3.2720055785009998E-3</v>
      </c>
      <c r="F33" s="43"/>
      <c r="G33" s="43"/>
    </row>
    <row r="34" spans="1:7" ht="14.5" customHeight="1">
      <c r="A34" s="43"/>
      <c r="B34" s="96" t="s">
        <v>262</v>
      </c>
      <c r="C34" s="74" t="s">
        <v>282</v>
      </c>
      <c r="D34" s="58">
        <v>31</v>
      </c>
      <c r="E34" s="59">
        <v>8.3141125355399995E-4</v>
      </c>
      <c r="F34" s="43"/>
      <c r="G34" s="43"/>
    </row>
    <row r="35" spans="1:7" ht="14.5" customHeight="1">
      <c r="A35" s="43"/>
      <c r="B35" s="97"/>
      <c r="C35" s="74" t="s">
        <v>283</v>
      </c>
      <c r="D35" s="58">
        <v>52</v>
      </c>
      <c r="E35" s="59">
        <v>1.3946253285420001E-3</v>
      </c>
      <c r="F35" s="43"/>
      <c r="G35" s="43"/>
    </row>
    <row r="36" spans="1:7" ht="14.5" customHeight="1">
      <c r="A36" s="43"/>
      <c r="B36" s="98"/>
      <c r="C36" s="75" t="s">
        <v>353</v>
      </c>
      <c r="D36" s="71">
        <v>83</v>
      </c>
      <c r="E36" s="73">
        <v>2.2260365820950001E-3</v>
      </c>
      <c r="F36" s="43"/>
      <c r="G36" s="43"/>
    </row>
    <row r="37" spans="1:7" ht="14.5" customHeight="1">
      <c r="A37" s="43"/>
      <c r="B37" s="96" t="s">
        <v>265</v>
      </c>
      <c r="C37" s="74" t="s">
        <v>282</v>
      </c>
      <c r="D37" s="58">
        <v>4</v>
      </c>
      <c r="E37" s="59">
        <v>1.07278871426E-4</v>
      </c>
      <c r="F37" s="43"/>
      <c r="G37" s="43"/>
    </row>
    <row r="38" spans="1:7" ht="14.5" customHeight="1">
      <c r="A38" s="43"/>
      <c r="B38" s="97"/>
      <c r="C38" s="74" t="s">
        <v>283</v>
      </c>
      <c r="D38" s="58">
        <v>11</v>
      </c>
      <c r="E38" s="59">
        <v>2.9501689642199999E-4</v>
      </c>
      <c r="F38" s="43"/>
      <c r="G38" s="43"/>
    </row>
    <row r="39" spans="1:7" ht="14.5" customHeight="1">
      <c r="A39" s="43"/>
      <c r="B39" s="98"/>
      <c r="C39" s="75" t="s">
        <v>353</v>
      </c>
      <c r="D39" s="71">
        <v>15</v>
      </c>
      <c r="E39" s="73">
        <v>4.0229576784899998E-4</v>
      </c>
      <c r="F39" s="43"/>
      <c r="G39" s="43"/>
    </row>
    <row r="40" spans="1:7" ht="14.5" customHeight="1">
      <c r="A40" s="43"/>
      <c r="B40" s="96" t="s">
        <v>225</v>
      </c>
      <c r="C40" s="74" t="s">
        <v>282</v>
      </c>
      <c r="D40" s="58">
        <v>334</v>
      </c>
      <c r="E40" s="59">
        <v>8.9577857640939992E-3</v>
      </c>
      <c r="F40" s="43"/>
      <c r="G40" s="43"/>
    </row>
    <row r="41" spans="1:7" ht="14.5" customHeight="1">
      <c r="A41" s="43"/>
      <c r="B41" s="97"/>
      <c r="C41" s="74" t="s">
        <v>283</v>
      </c>
      <c r="D41" s="58">
        <v>565</v>
      </c>
      <c r="E41" s="59">
        <v>1.5153140588961E-2</v>
      </c>
      <c r="F41" s="43"/>
      <c r="G41" s="43"/>
    </row>
    <row r="42" spans="1:7" ht="14.5" customHeight="1">
      <c r="A42" s="43"/>
      <c r="B42" s="98"/>
      <c r="C42" s="75" t="s">
        <v>353</v>
      </c>
      <c r="D42" s="71">
        <v>899</v>
      </c>
      <c r="E42" s="73">
        <v>2.4110926353055E-2</v>
      </c>
      <c r="F42" s="43"/>
      <c r="G42" s="43"/>
    </row>
    <row r="43" spans="1:7" ht="14.5" customHeight="1">
      <c r="A43" s="43"/>
      <c r="B43" s="96" t="s">
        <v>226</v>
      </c>
      <c r="C43" s="74" t="s">
        <v>282</v>
      </c>
      <c r="D43" s="58">
        <v>430</v>
      </c>
      <c r="E43" s="59">
        <v>1.1532478678324E-2</v>
      </c>
      <c r="F43" s="43"/>
      <c r="G43" s="43"/>
    </row>
    <row r="44" spans="1:7" ht="14.5" customHeight="1">
      <c r="A44" s="43"/>
      <c r="B44" s="97"/>
      <c r="C44" s="74" t="s">
        <v>283</v>
      </c>
      <c r="D44" s="58">
        <v>691</v>
      </c>
      <c r="E44" s="59">
        <v>1.8532425038889001E-2</v>
      </c>
      <c r="F44" s="43"/>
      <c r="G44" s="43"/>
    </row>
    <row r="45" spans="1:7" ht="14.5" customHeight="1">
      <c r="A45" s="43"/>
      <c r="B45" s="98"/>
      <c r="C45" s="75" t="s">
        <v>353</v>
      </c>
      <c r="D45" s="71">
        <v>1121</v>
      </c>
      <c r="E45" s="73">
        <v>3.0064903717213001E-2</v>
      </c>
      <c r="F45" s="43"/>
      <c r="G45" s="43"/>
    </row>
    <row r="46" spans="1:7" ht="14.5" customHeight="1">
      <c r="A46" s="43"/>
      <c r="B46" s="96" t="s">
        <v>247</v>
      </c>
      <c r="C46" s="74" t="s">
        <v>282</v>
      </c>
      <c r="D46" s="58">
        <v>8</v>
      </c>
      <c r="E46" s="59">
        <v>2.1455774285299999E-4</v>
      </c>
      <c r="F46" s="43"/>
      <c r="G46" s="43"/>
    </row>
    <row r="47" spans="1:7" ht="14.5" customHeight="1">
      <c r="A47" s="43"/>
      <c r="B47" s="97"/>
      <c r="C47" s="74" t="s">
        <v>283</v>
      </c>
      <c r="D47" s="58">
        <v>7</v>
      </c>
      <c r="E47" s="59">
        <v>1.8773802499599999E-4</v>
      </c>
      <c r="F47" s="43"/>
      <c r="G47" s="43"/>
    </row>
    <row r="48" spans="1:7" ht="14.5" customHeight="1">
      <c r="A48" s="43"/>
      <c r="B48" s="98"/>
      <c r="C48" s="75" t="s">
        <v>353</v>
      </c>
      <c r="D48" s="71">
        <v>15</v>
      </c>
      <c r="E48" s="73">
        <v>4.0229576784899998E-4</v>
      </c>
      <c r="F48" s="43"/>
      <c r="G48" s="43"/>
    </row>
    <row r="49" spans="1:7" ht="14.5" customHeight="1">
      <c r="A49" s="43"/>
      <c r="B49" s="96" t="s">
        <v>254</v>
      </c>
      <c r="C49" s="74" t="s">
        <v>282</v>
      </c>
      <c r="D49" s="58">
        <v>38</v>
      </c>
      <c r="E49" s="59">
        <v>1.0191492785499999E-3</v>
      </c>
      <c r="F49" s="43"/>
      <c r="G49" s="43"/>
    </row>
    <row r="50" spans="1:7" ht="14.5" customHeight="1">
      <c r="A50" s="43"/>
      <c r="B50" s="97"/>
      <c r="C50" s="74" t="s">
        <v>283</v>
      </c>
      <c r="D50" s="58">
        <v>81</v>
      </c>
      <c r="E50" s="59">
        <v>2.1723971463819998E-3</v>
      </c>
      <c r="F50" s="43"/>
      <c r="G50" s="43"/>
    </row>
    <row r="51" spans="1:7" ht="14.5" customHeight="1">
      <c r="A51" s="43"/>
      <c r="B51" s="98"/>
      <c r="C51" s="75" t="s">
        <v>353</v>
      </c>
      <c r="D51" s="71">
        <v>119</v>
      </c>
      <c r="E51" s="73">
        <v>3.1915464249320001E-3</v>
      </c>
      <c r="F51" s="43"/>
      <c r="G51" s="43"/>
    </row>
    <row r="52" spans="1:7" ht="14.5" customHeight="1">
      <c r="A52" s="43"/>
      <c r="B52" s="96" t="s">
        <v>227</v>
      </c>
      <c r="C52" s="74" t="s">
        <v>282</v>
      </c>
      <c r="D52" s="58">
        <v>1891</v>
      </c>
      <c r="E52" s="59">
        <v>5.0716086466769998E-2</v>
      </c>
      <c r="F52" s="43"/>
      <c r="G52" s="43"/>
    </row>
    <row r="53" spans="1:7" ht="14.5" customHeight="1">
      <c r="A53" s="43"/>
      <c r="B53" s="97"/>
      <c r="C53" s="74" t="s">
        <v>283</v>
      </c>
      <c r="D53" s="58">
        <v>2632</v>
      </c>
      <c r="E53" s="59">
        <v>7.0589497398486994E-2</v>
      </c>
      <c r="F53" s="43"/>
      <c r="G53" s="43"/>
    </row>
    <row r="54" spans="1:7" ht="14.5" customHeight="1">
      <c r="A54" s="43"/>
      <c r="B54" s="97"/>
      <c r="C54" s="74" t="s">
        <v>284</v>
      </c>
      <c r="D54" s="58">
        <v>1</v>
      </c>
      <c r="E54" s="59">
        <v>2.6819717857000001E-5</v>
      </c>
      <c r="F54" s="43"/>
      <c r="G54" s="43"/>
    </row>
    <row r="55" spans="1:7" ht="14.5" customHeight="1">
      <c r="A55" s="43"/>
      <c r="B55" s="98"/>
      <c r="C55" s="75" t="s">
        <v>353</v>
      </c>
      <c r="D55" s="71">
        <v>4524</v>
      </c>
      <c r="E55" s="73">
        <v>0.12133240358311401</v>
      </c>
      <c r="F55" s="43"/>
      <c r="G55" s="43"/>
    </row>
    <row r="56" spans="1:7" ht="14.5" customHeight="1">
      <c r="A56" s="43"/>
      <c r="B56" s="96" t="s">
        <v>228</v>
      </c>
      <c r="C56" s="74" t="s">
        <v>282</v>
      </c>
      <c r="D56" s="58">
        <v>295</v>
      </c>
      <c r="E56" s="59">
        <v>7.9118167676880003E-3</v>
      </c>
      <c r="F56" s="43"/>
      <c r="G56" s="43"/>
    </row>
    <row r="57" spans="1:7" ht="14.5" customHeight="1">
      <c r="A57" s="43"/>
      <c r="B57" s="97"/>
      <c r="C57" s="74" t="s">
        <v>283</v>
      </c>
      <c r="D57" s="58">
        <v>414</v>
      </c>
      <c r="E57" s="59">
        <v>1.1103363192619E-2</v>
      </c>
      <c r="F57" s="43"/>
      <c r="G57" s="43"/>
    </row>
    <row r="58" spans="1:7" ht="14.5" customHeight="1">
      <c r="A58" s="43"/>
      <c r="B58" s="98"/>
      <c r="C58" s="75" t="s">
        <v>353</v>
      </c>
      <c r="D58" s="71">
        <v>709</v>
      </c>
      <c r="E58" s="73">
        <v>1.9015179960307001E-2</v>
      </c>
      <c r="F58" s="43"/>
      <c r="G58" s="43"/>
    </row>
    <row r="59" spans="1:7" ht="14.5" customHeight="1">
      <c r="A59" s="43"/>
      <c r="B59" s="96" t="s">
        <v>252</v>
      </c>
      <c r="C59" s="74" t="s">
        <v>282</v>
      </c>
      <c r="D59" s="58">
        <v>49</v>
      </c>
      <c r="E59" s="59">
        <v>1.3141661749720001E-3</v>
      </c>
      <c r="F59" s="43"/>
      <c r="G59" s="43"/>
    </row>
    <row r="60" spans="1:7" ht="14.5" customHeight="1">
      <c r="A60" s="43"/>
      <c r="B60" s="97"/>
      <c r="C60" s="74" t="s">
        <v>283</v>
      </c>
      <c r="D60" s="58">
        <v>67</v>
      </c>
      <c r="E60" s="59">
        <v>1.7969210963900001E-3</v>
      </c>
      <c r="F60" s="43"/>
      <c r="G60" s="43"/>
    </row>
    <row r="61" spans="1:7" ht="14.5" customHeight="1">
      <c r="A61" s="43"/>
      <c r="B61" s="98"/>
      <c r="C61" s="75" t="s">
        <v>353</v>
      </c>
      <c r="D61" s="71">
        <v>116</v>
      </c>
      <c r="E61" s="73">
        <v>3.1110872713619999E-3</v>
      </c>
      <c r="F61" s="43"/>
      <c r="G61" s="43"/>
    </row>
    <row r="62" spans="1:7" ht="14.5" customHeight="1">
      <c r="A62" s="43"/>
      <c r="B62" s="96" t="s">
        <v>248</v>
      </c>
      <c r="C62" s="74" t="s">
        <v>282</v>
      </c>
      <c r="D62" s="58">
        <v>94</v>
      </c>
      <c r="E62" s="59">
        <v>2.521053478517E-3</v>
      </c>
      <c r="F62" s="43"/>
      <c r="G62" s="43"/>
    </row>
    <row r="63" spans="1:7" ht="14.5" customHeight="1">
      <c r="A63" s="43"/>
      <c r="B63" s="97"/>
      <c r="C63" s="74" t="s">
        <v>283</v>
      </c>
      <c r="D63" s="58">
        <v>178</v>
      </c>
      <c r="E63" s="59">
        <v>4.773909778469E-3</v>
      </c>
      <c r="F63" s="43"/>
      <c r="G63" s="43"/>
    </row>
    <row r="64" spans="1:7" ht="14.5" customHeight="1">
      <c r="A64" s="43"/>
      <c r="B64" s="98"/>
      <c r="C64" s="75" t="s">
        <v>353</v>
      </c>
      <c r="D64" s="71">
        <v>272</v>
      </c>
      <c r="E64" s="73">
        <v>7.2949632569870001E-3</v>
      </c>
      <c r="F64" s="43"/>
      <c r="G64" s="43"/>
    </row>
    <row r="65" spans="1:7" ht="14.5" customHeight="1">
      <c r="A65" s="43"/>
      <c r="B65" s="96" t="s">
        <v>255</v>
      </c>
      <c r="C65" s="74" t="s">
        <v>282</v>
      </c>
      <c r="D65" s="58">
        <v>73</v>
      </c>
      <c r="E65" s="59">
        <v>1.957839403529E-3</v>
      </c>
      <c r="F65" s="43"/>
      <c r="G65" s="43"/>
    </row>
    <row r="66" spans="1:7" ht="14.5" customHeight="1">
      <c r="A66" s="43"/>
      <c r="B66" s="97"/>
      <c r="C66" s="74" t="s">
        <v>283</v>
      </c>
      <c r="D66" s="58">
        <v>112</v>
      </c>
      <c r="E66" s="59">
        <v>3.0038083999359999E-3</v>
      </c>
      <c r="F66" s="43"/>
      <c r="G66" s="43"/>
    </row>
    <row r="67" spans="1:7" ht="14.5" customHeight="1">
      <c r="A67" s="43"/>
      <c r="B67" s="98"/>
      <c r="C67" s="75" t="s">
        <v>353</v>
      </c>
      <c r="D67" s="71">
        <v>185</v>
      </c>
      <c r="E67" s="73">
        <v>4.9616478034649998E-3</v>
      </c>
      <c r="F67" s="43"/>
      <c r="G67" s="43"/>
    </row>
    <row r="68" spans="1:7" ht="14.5" customHeight="1">
      <c r="A68" s="43"/>
      <c r="B68" s="96" t="s">
        <v>249</v>
      </c>
      <c r="C68" s="74" t="s">
        <v>282</v>
      </c>
      <c r="D68" s="58">
        <v>25</v>
      </c>
      <c r="E68" s="59">
        <v>6.7049294641399998E-4</v>
      </c>
      <c r="F68" s="43"/>
      <c r="G68" s="43"/>
    </row>
    <row r="69" spans="1:7" ht="14.5" customHeight="1">
      <c r="A69" s="43"/>
      <c r="B69" s="97"/>
      <c r="C69" s="74" t="s">
        <v>283</v>
      </c>
      <c r="D69" s="58">
        <v>61</v>
      </c>
      <c r="E69" s="59">
        <v>1.636002789251E-3</v>
      </c>
      <c r="F69" s="43"/>
      <c r="G69" s="43"/>
    </row>
    <row r="70" spans="1:7" ht="14.5" customHeight="1">
      <c r="A70" s="43"/>
      <c r="B70" s="98"/>
      <c r="C70" s="75" t="s">
        <v>353</v>
      </c>
      <c r="D70" s="71">
        <v>86</v>
      </c>
      <c r="E70" s="73">
        <v>2.3064957356649998E-3</v>
      </c>
      <c r="F70" s="43"/>
      <c r="G70" s="43"/>
    </row>
    <row r="71" spans="1:7" ht="14.5" customHeight="1">
      <c r="A71" s="43"/>
      <c r="B71" s="96" t="s">
        <v>270</v>
      </c>
      <c r="C71" s="74" t="s">
        <v>283</v>
      </c>
      <c r="D71" s="58">
        <v>1</v>
      </c>
      <c r="E71" s="59">
        <v>2.6819717857000001E-5</v>
      </c>
      <c r="F71" s="43"/>
      <c r="G71" s="43"/>
    </row>
    <row r="72" spans="1:7" ht="14.5" customHeight="1">
      <c r="A72" s="43"/>
      <c r="B72" s="98"/>
      <c r="C72" s="75" t="s">
        <v>353</v>
      </c>
      <c r="D72" s="71">
        <v>1</v>
      </c>
      <c r="E72" s="73">
        <v>2.6819717857000001E-5</v>
      </c>
      <c r="F72" s="43"/>
      <c r="G72" s="43"/>
    </row>
    <row r="73" spans="1:7" ht="14.5" customHeight="1">
      <c r="A73" s="43"/>
      <c r="B73" s="96" t="s">
        <v>229</v>
      </c>
      <c r="C73" s="74" t="s">
        <v>282</v>
      </c>
      <c r="D73" s="58">
        <v>27</v>
      </c>
      <c r="E73" s="59">
        <v>7.2413238212700002E-4</v>
      </c>
      <c r="F73" s="43"/>
      <c r="G73" s="43"/>
    </row>
    <row r="74" spans="1:7" ht="14.5" customHeight="1">
      <c r="A74" s="43"/>
      <c r="B74" s="97"/>
      <c r="C74" s="74" t="s">
        <v>283</v>
      </c>
      <c r="D74" s="58">
        <v>58</v>
      </c>
      <c r="E74" s="59">
        <v>1.555543635681E-3</v>
      </c>
      <c r="F74" s="43"/>
      <c r="G74" s="43"/>
    </row>
    <row r="75" spans="1:7" ht="14.5" customHeight="1">
      <c r="A75" s="43"/>
      <c r="B75" s="98"/>
      <c r="C75" s="75" t="s">
        <v>353</v>
      </c>
      <c r="D75" s="71">
        <v>85</v>
      </c>
      <c r="E75" s="73">
        <v>2.2796760178079999E-3</v>
      </c>
      <c r="F75" s="43"/>
      <c r="G75" s="43"/>
    </row>
    <row r="76" spans="1:7" ht="14.5" customHeight="1">
      <c r="A76" s="43"/>
      <c r="B76" s="96" t="s">
        <v>266</v>
      </c>
      <c r="C76" s="74" t="s">
        <v>282</v>
      </c>
      <c r="D76" s="58">
        <v>17</v>
      </c>
      <c r="E76" s="59">
        <v>4.5593520356200002E-4</v>
      </c>
      <c r="F76" s="43"/>
      <c r="G76" s="43"/>
    </row>
    <row r="77" spans="1:7" ht="14.5" customHeight="1">
      <c r="A77" s="43"/>
      <c r="B77" s="97"/>
      <c r="C77" s="74" t="s">
        <v>283</v>
      </c>
      <c r="D77" s="58">
        <v>26</v>
      </c>
      <c r="E77" s="59">
        <v>6.9731266427100003E-4</v>
      </c>
      <c r="F77" s="43"/>
      <c r="G77" s="43"/>
    </row>
    <row r="78" spans="1:7" ht="14.5" customHeight="1">
      <c r="A78" s="43"/>
      <c r="B78" s="98"/>
      <c r="C78" s="75" t="s">
        <v>353</v>
      </c>
      <c r="D78" s="71">
        <v>43</v>
      </c>
      <c r="E78" s="73">
        <v>1.1532478678320001E-3</v>
      </c>
      <c r="F78" s="43"/>
      <c r="G78" s="43"/>
    </row>
    <row r="79" spans="1:7" ht="14.5" customHeight="1">
      <c r="A79" s="43"/>
      <c r="B79" s="96" t="s">
        <v>230</v>
      </c>
      <c r="C79" s="74" t="s">
        <v>282</v>
      </c>
      <c r="D79" s="58">
        <v>143</v>
      </c>
      <c r="E79" s="59">
        <v>3.8352196534889998E-3</v>
      </c>
      <c r="F79" s="43"/>
      <c r="G79" s="43"/>
    </row>
    <row r="80" spans="1:7" ht="14.5" customHeight="1">
      <c r="A80" s="43"/>
      <c r="B80" s="97"/>
      <c r="C80" s="74" t="s">
        <v>283</v>
      </c>
      <c r="D80" s="58">
        <v>192</v>
      </c>
      <c r="E80" s="59">
        <v>5.1493858284609997E-3</v>
      </c>
      <c r="F80" s="43"/>
      <c r="G80" s="43"/>
    </row>
    <row r="81" spans="1:7" ht="14.5" customHeight="1">
      <c r="A81" s="43"/>
      <c r="B81" s="98"/>
      <c r="C81" s="75" t="s">
        <v>353</v>
      </c>
      <c r="D81" s="71">
        <v>335</v>
      </c>
      <c r="E81" s="73">
        <v>8.9846054819500004E-3</v>
      </c>
      <c r="F81" s="43"/>
      <c r="G81" s="43"/>
    </row>
    <row r="82" spans="1:7" ht="14.5" customHeight="1">
      <c r="A82" s="43"/>
      <c r="B82" s="96" t="s">
        <v>231</v>
      </c>
      <c r="C82" s="74" t="s">
        <v>282</v>
      </c>
      <c r="D82" s="58">
        <v>146</v>
      </c>
      <c r="E82" s="59">
        <v>3.9156788070590001E-3</v>
      </c>
      <c r="F82" s="43"/>
      <c r="G82" s="43"/>
    </row>
    <row r="83" spans="1:7" ht="14.5" customHeight="1">
      <c r="A83" s="43"/>
      <c r="B83" s="97"/>
      <c r="C83" s="74" t="s">
        <v>283</v>
      </c>
      <c r="D83" s="58">
        <v>253</v>
      </c>
      <c r="E83" s="59">
        <v>6.7853886177120003E-3</v>
      </c>
      <c r="F83" s="43"/>
      <c r="G83" s="43"/>
    </row>
    <row r="84" spans="1:7" ht="14.5" customHeight="1">
      <c r="A84" s="43"/>
      <c r="B84" s="98"/>
      <c r="C84" s="75" t="s">
        <v>353</v>
      </c>
      <c r="D84" s="71">
        <v>399</v>
      </c>
      <c r="E84" s="73">
        <v>1.0701067424770999E-2</v>
      </c>
      <c r="F84" s="43"/>
      <c r="G84" s="43"/>
    </row>
    <row r="85" spans="1:7" ht="14.5" customHeight="1">
      <c r="A85" s="43"/>
      <c r="B85" s="96" t="s">
        <v>263</v>
      </c>
      <c r="C85" s="74" t="s">
        <v>282</v>
      </c>
      <c r="D85" s="58">
        <v>34</v>
      </c>
      <c r="E85" s="59">
        <v>9.1187040712299998E-4</v>
      </c>
      <c r="F85" s="43"/>
      <c r="G85" s="43"/>
    </row>
    <row r="86" spans="1:7" ht="14.5" customHeight="1">
      <c r="A86" s="43"/>
      <c r="B86" s="97"/>
      <c r="C86" s="74" t="s">
        <v>283</v>
      </c>
      <c r="D86" s="58">
        <v>51</v>
      </c>
      <c r="E86" s="59">
        <v>1.3678056106849999E-3</v>
      </c>
      <c r="F86" s="43"/>
      <c r="G86" s="43"/>
    </row>
    <row r="87" spans="1:7" ht="14.5" customHeight="1">
      <c r="A87" s="43"/>
      <c r="B87" s="98"/>
      <c r="C87" s="75" t="s">
        <v>353</v>
      </c>
      <c r="D87" s="71">
        <v>85</v>
      </c>
      <c r="E87" s="73">
        <v>2.2796760178079999E-3</v>
      </c>
      <c r="F87" s="43"/>
      <c r="G87" s="43"/>
    </row>
    <row r="88" spans="1:7" ht="14.5" customHeight="1">
      <c r="A88" s="43"/>
      <c r="B88" s="96" t="s">
        <v>232</v>
      </c>
      <c r="C88" s="74" t="s">
        <v>282</v>
      </c>
      <c r="D88" s="58">
        <v>95</v>
      </c>
      <c r="E88" s="59">
        <v>2.5478731963739999E-3</v>
      </c>
      <c r="F88" s="43"/>
      <c r="G88" s="43"/>
    </row>
    <row r="89" spans="1:7" ht="14.5" customHeight="1">
      <c r="A89" s="43"/>
      <c r="B89" s="97"/>
      <c r="C89" s="74" t="s">
        <v>283</v>
      </c>
      <c r="D89" s="58">
        <v>142</v>
      </c>
      <c r="E89" s="59">
        <v>3.808399935633E-3</v>
      </c>
      <c r="F89" s="43"/>
      <c r="G89" s="43"/>
    </row>
    <row r="90" spans="1:7" ht="14.5" customHeight="1">
      <c r="A90" s="43"/>
      <c r="B90" s="98"/>
      <c r="C90" s="75" t="s">
        <v>353</v>
      </c>
      <c r="D90" s="71">
        <v>237</v>
      </c>
      <c r="E90" s="73">
        <v>6.3562731320069999E-3</v>
      </c>
      <c r="F90" s="43"/>
      <c r="G90" s="43"/>
    </row>
    <row r="91" spans="1:7" ht="14.5" customHeight="1">
      <c r="A91" s="43"/>
      <c r="B91" s="96" t="s">
        <v>267</v>
      </c>
      <c r="C91" s="74" t="s">
        <v>283</v>
      </c>
      <c r="D91" s="58">
        <v>8</v>
      </c>
      <c r="E91" s="59">
        <v>2.1455774285299999E-4</v>
      </c>
      <c r="F91" s="43"/>
      <c r="G91" s="43"/>
    </row>
    <row r="92" spans="1:7" ht="14.5" customHeight="1">
      <c r="A92" s="43"/>
      <c r="B92" s="98"/>
      <c r="C92" s="75" t="s">
        <v>353</v>
      </c>
      <c r="D92" s="71">
        <v>8</v>
      </c>
      <c r="E92" s="73">
        <v>2.1455774285299999E-4</v>
      </c>
      <c r="F92" s="43"/>
      <c r="G92" s="43"/>
    </row>
    <row r="93" spans="1:7" ht="14.5" customHeight="1">
      <c r="A93" s="43"/>
      <c r="B93" s="96" t="s">
        <v>256</v>
      </c>
      <c r="C93" s="74" t="s">
        <v>282</v>
      </c>
      <c r="D93" s="58">
        <v>80</v>
      </c>
      <c r="E93" s="59">
        <v>2.1455774285249998E-3</v>
      </c>
      <c r="F93" s="43"/>
      <c r="G93" s="43"/>
    </row>
    <row r="94" spans="1:7" ht="14.5" customHeight="1">
      <c r="A94" s="43"/>
      <c r="B94" s="97"/>
      <c r="C94" s="74" t="s">
        <v>283</v>
      </c>
      <c r="D94" s="58">
        <v>131</v>
      </c>
      <c r="E94" s="59">
        <v>3.51338303921E-3</v>
      </c>
      <c r="F94" s="43"/>
      <c r="G94" s="43"/>
    </row>
    <row r="95" spans="1:7" ht="14.5" customHeight="1">
      <c r="A95" s="43"/>
      <c r="B95" s="98"/>
      <c r="C95" s="75" t="s">
        <v>353</v>
      </c>
      <c r="D95" s="71">
        <v>211</v>
      </c>
      <c r="E95" s="73">
        <v>5.6589604677360003E-3</v>
      </c>
      <c r="F95" s="43"/>
      <c r="G95" s="43"/>
    </row>
    <row r="96" spans="1:7" ht="14.5" customHeight="1">
      <c r="A96" s="43"/>
      <c r="B96" s="96" t="s">
        <v>233</v>
      </c>
      <c r="C96" s="74" t="s">
        <v>282</v>
      </c>
      <c r="D96" s="58">
        <v>430</v>
      </c>
      <c r="E96" s="59">
        <v>1.1532478678324E-2</v>
      </c>
      <c r="F96" s="43"/>
      <c r="G96" s="43"/>
    </row>
    <row r="97" spans="1:7" ht="14.5" customHeight="1">
      <c r="A97" s="43"/>
      <c r="B97" s="97"/>
      <c r="C97" s="74" t="s">
        <v>283</v>
      </c>
      <c r="D97" s="58">
        <v>577</v>
      </c>
      <c r="E97" s="59">
        <v>1.547497720324E-2</v>
      </c>
      <c r="F97" s="43"/>
      <c r="G97" s="43"/>
    </row>
    <row r="98" spans="1:7" ht="14.5" customHeight="1">
      <c r="A98" s="43"/>
      <c r="B98" s="98"/>
      <c r="C98" s="75" t="s">
        <v>353</v>
      </c>
      <c r="D98" s="71">
        <v>1007</v>
      </c>
      <c r="E98" s="73">
        <v>2.7007455881563999E-2</v>
      </c>
      <c r="F98" s="43"/>
      <c r="G98" s="43"/>
    </row>
    <row r="99" spans="1:7" ht="14.5" customHeight="1">
      <c r="A99" s="43"/>
      <c r="B99" s="96" t="s">
        <v>271</v>
      </c>
      <c r="C99" s="74" t="s">
        <v>283</v>
      </c>
      <c r="D99" s="58">
        <v>1</v>
      </c>
      <c r="E99" s="59">
        <v>2.6819717857000001E-5</v>
      </c>
      <c r="F99" s="43"/>
      <c r="G99" s="43"/>
    </row>
    <row r="100" spans="1:7" ht="14.5" customHeight="1">
      <c r="A100" s="43"/>
      <c r="B100" s="98"/>
      <c r="C100" s="75" t="s">
        <v>353</v>
      </c>
      <c r="D100" s="71">
        <v>1</v>
      </c>
      <c r="E100" s="73">
        <v>2.6819717857000001E-5</v>
      </c>
      <c r="F100" s="43"/>
      <c r="G100" s="43"/>
    </row>
    <row r="101" spans="1:7" ht="14.5" customHeight="1">
      <c r="A101" s="43"/>
      <c r="B101" s="96" t="s">
        <v>234</v>
      </c>
      <c r="C101" s="74" t="s">
        <v>282</v>
      </c>
      <c r="D101" s="58">
        <v>237</v>
      </c>
      <c r="E101" s="59">
        <v>6.3562731320069999E-3</v>
      </c>
      <c r="F101" s="43"/>
      <c r="G101" s="43"/>
    </row>
    <row r="102" spans="1:7" ht="14.5" customHeight="1">
      <c r="A102" s="43"/>
      <c r="B102" s="97"/>
      <c r="C102" s="74" t="s">
        <v>283</v>
      </c>
      <c r="D102" s="58">
        <v>452</v>
      </c>
      <c r="E102" s="59">
        <v>1.2122512471169E-2</v>
      </c>
      <c r="F102" s="43"/>
      <c r="G102" s="43"/>
    </row>
    <row r="103" spans="1:7" ht="14.5" customHeight="1">
      <c r="A103" s="43"/>
      <c r="B103" s="98"/>
      <c r="C103" s="75" t="s">
        <v>353</v>
      </c>
      <c r="D103" s="71">
        <v>689</v>
      </c>
      <c r="E103" s="73">
        <v>1.8478785603175001E-2</v>
      </c>
      <c r="F103" s="43"/>
      <c r="G103" s="43"/>
    </row>
    <row r="104" spans="1:7" ht="14.5" customHeight="1">
      <c r="A104" s="43"/>
      <c r="B104" s="96" t="s">
        <v>235</v>
      </c>
      <c r="C104" s="74" t="s">
        <v>282</v>
      </c>
      <c r="D104" s="58">
        <v>35</v>
      </c>
      <c r="E104" s="59">
        <v>9.3869012498000004E-4</v>
      </c>
      <c r="F104" s="43"/>
      <c r="G104" s="43"/>
    </row>
    <row r="105" spans="1:7" ht="14.5" customHeight="1">
      <c r="A105" s="43"/>
      <c r="B105" s="97"/>
      <c r="C105" s="74" t="s">
        <v>283</v>
      </c>
      <c r="D105" s="58">
        <v>55</v>
      </c>
      <c r="E105" s="59">
        <v>1.475084482111E-3</v>
      </c>
      <c r="F105" s="43"/>
      <c r="G105" s="43"/>
    </row>
    <row r="106" spans="1:7" ht="14.5" customHeight="1">
      <c r="A106" s="43"/>
      <c r="B106" s="98"/>
      <c r="C106" s="75" t="s">
        <v>353</v>
      </c>
      <c r="D106" s="71">
        <v>90</v>
      </c>
      <c r="E106" s="73">
        <v>2.4137746070909999E-3</v>
      </c>
      <c r="F106" s="43"/>
      <c r="G106" s="43"/>
    </row>
    <row r="107" spans="1:7" ht="14.5" customHeight="1">
      <c r="A107" s="43"/>
      <c r="B107" s="96" t="s">
        <v>236</v>
      </c>
      <c r="C107" s="74" t="s">
        <v>282</v>
      </c>
      <c r="D107" s="58">
        <v>537</v>
      </c>
      <c r="E107" s="59">
        <v>1.4402188488976999E-2</v>
      </c>
      <c r="F107" s="43"/>
      <c r="G107" s="43"/>
    </row>
    <row r="108" spans="1:7" ht="14.5" customHeight="1">
      <c r="A108" s="43"/>
      <c r="B108" s="97"/>
      <c r="C108" s="74" t="s">
        <v>283</v>
      </c>
      <c r="D108" s="58">
        <v>950</v>
      </c>
      <c r="E108" s="59">
        <v>2.5478731963739999E-2</v>
      </c>
      <c r="F108" s="43"/>
      <c r="G108" s="43"/>
    </row>
    <row r="109" spans="1:7" ht="14.5" customHeight="1">
      <c r="A109" s="43"/>
      <c r="B109" s="98"/>
      <c r="C109" s="75" t="s">
        <v>353</v>
      </c>
      <c r="D109" s="71">
        <v>1487</v>
      </c>
      <c r="E109" s="73">
        <v>3.9880920452717003E-2</v>
      </c>
      <c r="F109" s="43"/>
      <c r="G109" s="43"/>
    </row>
    <row r="110" spans="1:7" ht="14.5" customHeight="1">
      <c r="A110" s="43"/>
      <c r="B110" s="96" t="s">
        <v>237</v>
      </c>
      <c r="C110" s="74" t="s">
        <v>282</v>
      </c>
      <c r="D110" s="58">
        <v>353</v>
      </c>
      <c r="E110" s="59">
        <v>9.4673604033690007E-3</v>
      </c>
      <c r="F110" s="43"/>
      <c r="G110" s="43"/>
    </row>
    <row r="111" spans="1:7" ht="14.5" customHeight="1">
      <c r="A111" s="43"/>
      <c r="B111" s="97"/>
      <c r="C111" s="74" t="s">
        <v>283</v>
      </c>
      <c r="D111" s="58">
        <v>603</v>
      </c>
      <c r="E111" s="59">
        <v>1.6172289867511E-2</v>
      </c>
      <c r="F111" s="43"/>
      <c r="G111" s="43"/>
    </row>
    <row r="112" spans="1:7" ht="14.5" customHeight="1">
      <c r="A112" s="43"/>
      <c r="B112" s="98"/>
      <c r="C112" s="75" t="s">
        <v>353</v>
      </c>
      <c r="D112" s="71">
        <v>956</v>
      </c>
      <c r="E112" s="73">
        <v>2.5639650270879E-2</v>
      </c>
      <c r="F112" s="43"/>
      <c r="G112" s="43"/>
    </row>
    <row r="113" spans="1:7" ht="14.5" customHeight="1">
      <c r="A113" s="43"/>
      <c r="B113" s="96" t="s">
        <v>272</v>
      </c>
      <c r="C113" s="74" t="s">
        <v>282</v>
      </c>
      <c r="D113" s="58">
        <v>3</v>
      </c>
      <c r="E113" s="59">
        <v>8.0459153570000002E-5</v>
      </c>
      <c r="F113" s="43"/>
      <c r="G113" s="43"/>
    </row>
    <row r="114" spans="1:7" ht="14.5" customHeight="1">
      <c r="A114" s="43"/>
      <c r="B114" s="97"/>
      <c r="C114" s="74" t="s">
        <v>283</v>
      </c>
      <c r="D114" s="58">
        <v>9</v>
      </c>
      <c r="E114" s="59">
        <v>2.4137746070900001E-4</v>
      </c>
      <c r="F114" s="43"/>
      <c r="G114" s="43"/>
    </row>
    <row r="115" spans="1:7" ht="14.5" customHeight="1">
      <c r="A115" s="43"/>
      <c r="B115" s="98"/>
      <c r="C115" s="75" t="s">
        <v>353</v>
      </c>
      <c r="D115" s="71">
        <v>12</v>
      </c>
      <c r="E115" s="73">
        <v>3.2183661427899999E-4</v>
      </c>
      <c r="F115" s="43"/>
      <c r="G115" s="43"/>
    </row>
    <row r="116" spans="1:7" ht="14.5" customHeight="1">
      <c r="A116" s="43"/>
      <c r="B116" s="96" t="s">
        <v>238</v>
      </c>
      <c r="C116" s="74" t="s">
        <v>282</v>
      </c>
      <c r="D116" s="58">
        <v>129</v>
      </c>
      <c r="E116" s="59">
        <v>3.4597436034970001E-3</v>
      </c>
      <c r="F116" s="43"/>
      <c r="G116" s="43"/>
    </row>
    <row r="117" spans="1:7" ht="14.5" customHeight="1">
      <c r="A117" s="43"/>
      <c r="B117" s="97"/>
      <c r="C117" s="74" t="s">
        <v>283</v>
      </c>
      <c r="D117" s="58">
        <v>196</v>
      </c>
      <c r="E117" s="59">
        <v>5.2566646998870002E-3</v>
      </c>
      <c r="F117" s="43"/>
      <c r="G117" s="43"/>
    </row>
    <row r="118" spans="1:7" ht="14.5" customHeight="1">
      <c r="A118" s="43"/>
      <c r="B118" s="98"/>
      <c r="C118" s="75" t="s">
        <v>353</v>
      </c>
      <c r="D118" s="71">
        <v>325</v>
      </c>
      <c r="E118" s="73">
        <v>8.7164083033849996E-3</v>
      </c>
      <c r="F118" s="43"/>
      <c r="G118" s="43"/>
    </row>
    <row r="119" spans="1:7" ht="14.5" customHeight="1">
      <c r="A119" s="43"/>
      <c r="B119" s="96" t="s">
        <v>239</v>
      </c>
      <c r="C119" s="74" t="s">
        <v>282</v>
      </c>
      <c r="D119" s="58">
        <v>193</v>
      </c>
      <c r="E119" s="59">
        <v>5.1762055463180001E-3</v>
      </c>
      <c r="F119" s="43"/>
      <c r="G119" s="43"/>
    </row>
    <row r="120" spans="1:7" ht="14.5" customHeight="1">
      <c r="A120" s="43"/>
      <c r="B120" s="97"/>
      <c r="C120" s="74" t="s">
        <v>283</v>
      </c>
      <c r="D120" s="58">
        <v>277</v>
      </c>
      <c r="E120" s="59">
        <v>7.429061846269E-3</v>
      </c>
      <c r="F120" s="43"/>
      <c r="G120" s="43"/>
    </row>
    <row r="121" spans="1:7" ht="14.5" customHeight="1">
      <c r="A121" s="43"/>
      <c r="B121" s="98"/>
      <c r="C121" s="75" t="s">
        <v>353</v>
      </c>
      <c r="D121" s="71">
        <v>470</v>
      </c>
      <c r="E121" s="73">
        <v>1.2605267392586999E-2</v>
      </c>
      <c r="F121" s="43"/>
      <c r="G121" s="43"/>
    </row>
    <row r="122" spans="1:7" ht="14.5" customHeight="1">
      <c r="A122" s="43"/>
      <c r="B122" s="96" t="s">
        <v>240</v>
      </c>
      <c r="C122" s="74" t="s">
        <v>282</v>
      </c>
      <c r="D122" s="58">
        <v>89</v>
      </c>
      <c r="E122" s="59">
        <v>2.386954889235E-3</v>
      </c>
      <c r="F122" s="43"/>
      <c r="G122" s="43"/>
    </row>
    <row r="123" spans="1:7" ht="14.5" customHeight="1">
      <c r="A123" s="43"/>
      <c r="B123" s="97"/>
      <c r="C123" s="74" t="s">
        <v>283</v>
      </c>
      <c r="D123" s="58">
        <v>115</v>
      </c>
      <c r="E123" s="59">
        <v>3.084267553505E-3</v>
      </c>
      <c r="F123" s="43"/>
      <c r="G123" s="43"/>
    </row>
    <row r="124" spans="1:7" ht="14.5" customHeight="1">
      <c r="A124" s="43"/>
      <c r="B124" s="98"/>
      <c r="C124" s="75" t="s">
        <v>353</v>
      </c>
      <c r="D124" s="71">
        <v>204</v>
      </c>
      <c r="E124" s="73">
        <v>5.4712224427399996E-3</v>
      </c>
      <c r="F124" s="43"/>
      <c r="G124" s="43"/>
    </row>
    <row r="125" spans="1:7" ht="14.5" customHeight="1">
      <c r="A125" s="43"/>
      <c r="B125" s="96" t="s">
        <v>250</v>
      </c>
      <c r="C125" s="74" t="s">
        <v>282</v>
      </c>
      <c r="D125" s="58">
        <v>135</v>
      </c>
      <c r="E125" s="59">
        <v>3.6206619106370001E-3</v>
      </c>
      <c r="F125" s="43"/>
      <c r="G125" s="43"/>
    </row>
    <row r="126" spans="1:7" ht="14.5" customHeight="1">
      <c r="A126" s="43"/>
      <c r="B126" s="97"/>
      <c r="C126" s="74" t="s">
        <v>283</v>
      </c>
      <c r="D126" s="58">
        <v>199</v>
      </c>
      <c r="E126" s="59">
        <v>5.3371238534570004E-3</v>
      </c>
      <c r="F126" s="43"/>
      <c r="G126" s="43"/>
    </row>
    <row r="127" spans="1:7" ht="14.5" customHeight="1">
      <c r="A127" s="43"/>
      <c r="B127" s="98"/>
      <c r="C127" s="75" t="s">
        <v>353</v>
      </c>
      <c r="D127" s="71">
        <v>334</v>
      </c>
      <c r="E127" s="73">
        <v>8.9577857640939992E-3</v>
      </c>
      <c r="F127" s="43"/>
      <c r="G127" s="43"/>
    </row>
    <row r="128" spans="1:7" ht="14.5" customHeight="1">
      <c r="A128" s="43"/>
      <c r="B128" s="96" t="s">
        <v>260</v>
      </c>
      <c r="C128" s="74" t="s">
        <v>282</v>
      </c>
      <c r="D128" s="58">
        <v>5</v>
      </c>
      <c r="E128" s="59">
        <v>1.34098589283E-4</v>
      </c>
      <c r="F128" s="43"/>
      <c r="G128" s="43"/>
    </row>
    <row r="129" spans="1:7" ht="14.5" customHeight="1">
      <c r="A129" s="43"/>
      <c r="B129" s="97"/>
      <c r="C129" s="74" t="s">
        <v>283</v>
      </c>
      <c r="D129" s="58">
        <v>10</v>
      </c>
      <c r="E129" s="59">
        <v>2.6819717856600001E-4</v>
      </c>
      <c r="F129" s="43"/>
      <c r="G129" s="43"/>
    </row>
    <row r="130" spans="1:7" ht="14.5" customHeight="1">
      <c r="A130" s="43"/>
      <c r="B130" s="98"/>
      <c r="C130" s="75" t="s">
        <v>353</v>
      </c>
      <c r="D130" s="71">
        <v>15</v>
      </c>
      <c r="E130" s="73">
        <v>4.0229576784899998E-4</v>
      </c>
      <c r="F130" s="43"/>
      <c r="G130" s="43"/>
    </row>
    <row r="131" spans="1:7" ht="14.5" customHeight="1">
      <c r="A131" s="43"/>
      <c r="B131" s="96" t="s">
        <v>257</v>
      </c>
      <c r="C131" s="74" t="s">
        <v>282</v>
      </c>
      <c r="D131" s="58">
        <v>121</v>
      </c>
      <c r="E131" s="59">
        <v>3.245185860645E-3</v>
      </c>
      <c r="F131" s="43"/>
      <c r="G131" s="43"/>
    </row>
    <row r="132" spans="1:7" ht="14.5" customHeight="1">
      <c r="A132" s="43"/>
      <c r="B132" s="97"/>
      <c r="C132" s="74" t="s">
        <v>283</v>
      </c>
      <c r="D132" s="58">
        <v>224</v>
      </c>
      <c r="E132" s="59">
        <v>6.0076167998709996E-3</v>
      </c>
      <c r="F132" s="43"/>
      <c r="G132" s="43"/>
    </row>
    <row r="133" spans="1:7" ht="14.5" customHeight="1">
      <c r="A133" s="43"/>
      <c r="B133" s="98"/>
      <c r="C133" s="75" t="s">
        <v>353</v>
      </c>
      <c r="D133" s="71">
        <v>345</v>
      </c>
      <c r="E133" s="73">
        <v>9.2528026605160005E-3</v>
      </c>
      <c r="F133" s="43"/>
      <c r="G133" s="43"/>
    </row>
    <row r="134" spans="1:7" ht="14.5" customHeight="1">
      <c r="A134" s="43"/>
      <c r="B134" s="96" t="s">
        <v>258</v>
      </c>
      <c r="C134" s="74" t="s">
        <v>282</v>
      </c>
      <c r="D134" s="58">
        <v>4</v>
      </c>
      <c r="E134" s="59">
        <v>1.07278871426E-4</v>
      </c>
      <c r="F134" s="43"/>
      <c r="G134" s="43"/>
    </row>
    <row r="135" spans="1:7" ht="14.5" customHeight="1">
      <c r="A135" s="43"/>
      <c r="B135" s="97"/>
      <c r="C135" s="74" t="s">
        <v>283</v>
      </c>
      <c r="D135" s="58">
        <v>7</v>
      </c>
      <c r="E135" s="59">
        <v>1.8773802499599999E-4</v>
      </c>
      <c r="F135" s="43"/>
      <c r="G135" s="43"/>
    </row>
    <row r="136" spans="1:7" ht="14.5" customHeight="1">
      <c r="A136" s="43"/>
      <c r="B136" s="98"/>
      <c r="C136" s="75" t="s">
        <v>353</v>
      </c>
      <c r="D136" s="71">
        <v>11</v>
      </c>
      <c r="E136" s="73">
        <v>2.9501689642199999E-4</v>
      </c>
      <c r="F136" s="43"/>
      <c r="G136" s="43"/>
    </row>
    <row r="137" spans="1:7" ht="14.5" customHeight="1">
      <c r="A137" s="43"/>
      <c r="B137" s="96" t="s">
        <v>241</v>
      </c>
      <c r="C137" s="74" t="s">
        <v>282</v>
      </c>
      <c r="D137" s="58">
        <v>201</v>
      </c>
      <c r="E137" s="59">
        <v>5.3907632891700002E-3</v>
      </c>
      <c r="F137" s="43"/>
      <c r="G137" s="43"/>
    </row>
    <row r="138" spans="1:7" ht="14.5" customHeight="1">
      <c r="A138" s="43"/>
      <c r="B138" s="97"/>
      <c r="C138" s="74" t="s">
        <v>283</v>
      </c>
      <c r="D138" s="58">
        <v>329</v>
      </c>
      <c r="E138" s="59">
        <v>8.8236871748109992E-3</v>
      </c>
      <c r="F138" s="43"/>
      <c r="G138" s="43"/>
    </row>
    <row r="139" spans="1:7" ht="14.5" customHeight="1">
      <c r="A139" s="43"/>
      <c r="B139" s="98"/>
      <c r="C139" s="75" t="s">
        <v>353</v>
      </c>
      <c r="D139" s="71">
        <v>530</v>
      </c>
      <c r="E139" s="73">
        <v>1.4214450463980999E-2</v>
      </c>
      <c r="F139" s="43"/>
      <c r="G139" s="43"/>
    </row>
    <row r="140" spans="1:7" ht="14.5" customHeight="1">
      <c r="A140" s="43"/>
      <c r="B140" s="96" t="s">
        <v>242</v>
      </c>
      <c r="C140" s="74" t="s">
        <v>282</v>
      </c>
      <c r="D140" s="58">
        <v>2735</v>
      </c>
      <c r="E140" s="59">
        <v>7.3351928337714006E-2</v>
      </c>
      <c r="F140" s="43"/>
      <c r="G140" s="43"/>
    </row>
    <row r="141" spans="1:7" ht="14.5" customHeight="1">
      <c r="A141" s="43"/>
      <c r="B141" s="97"/>
      <c r="C141" s="74" t="s">
        <v>283</v>
      </c>
      <c r="D141" s="58">
        <v>3770</v>
      </c>
      <c r="E141" s="59">
        <v>0.101110336319262</v>
      </c>
      <c r="F141" s="43"/>
      <c r="G141" s="43"/>
    </row>
    <row r="142" spans="1:7" ht="14.5" customHeight="1">
      <c r="A142" s="43"/>
      <c r="B142" s="97"/>
      <c r="C142" s="74" t="s">
        <v>284</v>
      </c>
      <c r="D142" s="58">
        <v>1</v>
      </c>
      <c r="E142" s="59">
        <v>2.6819717857000001E-5</v>
      </c>
      <c r="F142" s="43"/>
      <c r="G142" s="43"/>
    </row>
    <row r="143" spans="1:7" ht="14.5" customHeight="1">
      <c r="A143" s="43"/>
      <c r="B143" s="98"/>
      <c r="C143" s="75" t="s">
        <v>353</v>
      </c>
      <c r="D143" s="71">
        <v>6506</v>
      </c>
      <c r="E143" s="73">
        <v>0.17448908437483199</v>
      </c>
      <c r="F143" s="43"/>
      <c r="G143" s="43"/>
    </row>
    <row r="144" spans="1:7" ht="14.5" customHeight="1">
      <c r="A144" s="43"/>
      <c r="B144" s="96" t="s">
        <v>243</v>
      </c>
      <c r="C144" s="74" t="s">
        <v>282</v>
      </c>
      <c r="D144" s="58">
        <v>153</v>
      </c>
      <c r="E144" s="59">
        <v>4.1034168320549999E-3</v>
      </c>
      <c r="F144" s="43"/>
      <c r="G144" s="43"/>
    </row>
    <row r="145" spans="1:7" ht="14.5" customHeight="1">
      <c r="A145" s="43"/>
      <c r="B145" s="97"/>
      <c r="C145" s="74" t="s">
        <v>283</v>
      </c>
      <c r="D145" s="58">
        <v>231</v>
      </c>
      <c r="E145" s="59">
        <v>6.1953548248670004E-3</v>
      </c>
      <c r="F145" s="43"/>
      <c r="G145" s="43"/>
    </row>
    <row r="146" spans="1:7" ht="14.5" customHeight="1">
      <c r="A146" s="43"/>
      <c r="B146" s="98"/>
      <c r="C146" s="75" t="s">
        <v>353</v>
      </c>
      <c r="D146" s="71">
        <v>384</v>
      </c>
      <c r="E146" s="73">
        <v>1.0298771656921999E-2</v>
      </c>
      <c r="F146" s="43"/>
      <c r="G146" s="43"/>
    </row>
    <row r="147" spans="1:7" ht="14.5" customHeight="1">
      <c r="A147" s="43"/>
      <c r="B147" s="96" t="s">
        <v>273</v>
      </c>
      <c r="C147" s="74" t="s">
        <v>283</v>
      </c>
      <c r="D147" s="58">
        <v>2</v>
      </c>
      <c r="E147" s="59">
        <v>5.3639435713000001E-5</v>
      </c>
      <c r="F147" s="43"/>
      <c r="G147" s="43"/>
    </row>
    <row r="148" spans="1:7" ht="14.5" customHeight="1">
      <c r="A148" s="43"/>
      <c r="B148" s="98"/>
      <c r="C148" s="75" t="s">
        <v>353</v>
      </c>
      <c r="D148" s="71">
        <v>2</v>
      </c>
      <c r="E148" s="73">
        <v>5.3639435713000001E-5</v>
      </c>
      <c r="F148" s="43"/>
      <c r="G148" s="43"/>
    </row>
    <row r="149" spans="1:7" ht="14.5" customHeight="1">
      <c r="A149" s="43"/>
      <c r="B149" s="96" t="s">
        <v>244</v>
      </c>
      <c r="C149" s="74" t="s">
        <v>282</v>
      </c>
      <c r="D149" s="58">
        <v>61</v>
      </c>
      <c r="E149" s="59">
        <v>1.636002789251E-3</v>
      </c>
      <c r="F149" s="43"/>
      <c r="G149" s="43"/>
    </row>
    <row r="150" spans="1:7" ht="14.5" customHeight="1">
      <c r="A150" s="43"/>
      <c r="B150" s="97"/>
      <c r="C150" s="74" t="s">
        <v>283</v>
      </c>
      <c r="D150" s="58">
        <v>107</v>
      </c>
      <c r="E150" s="59">
        <v>2.8697098106529998E-3</v>
      </c>
      <c r="F150" s="43"/>
      <c r="G150" s="43"/>
    </row>
    <row r="151" spans="1:7" ht="14.5" customHeight="1">
      <c r="A151" s="43"/>
      <c r="B151" s="98"/>
      <c r="C151" s="75" t="s">
        <v>353</v>
      </c>
      <c r="D151" s="71">
        <v>168</v>
      </c>
      <c r="E151" s="73">
        <v>4.5057125999029999E-3</v>
      </c>
      <c r="F151" s="43"/>
      <c r="G151" s="43"/>
    </row>
    <row r="152" spans="1:7" ht="14.5" customHeight="1">
      <c r="A152" s="43"/>
      <c r="B152" s="96" t="s">
        <v>79</v>
      </c>
      <c r="C152" s="74" t="s">
        <v>282</v>
      </c>
      <c r="D152" s="58">
        <v>77</v>
      </c>
      <c r="E152" s="59">
        <v>2.0651182749560001E-3</v>
      </c>
      <c r="F152" s="43"/>
      <c r="G152" s="43"/>
    </row>
    <row r="153" spans="1:7" ht="14.5" customHeight="1">
      <c r="A153" s="43"/>
      <c r="B153" s="97"/>
      <c r="C153" s="74" t="s">
        <v>283</v>
      </c>
      <c r="D153" s="58">
        <v>117</v>
      </c>
      <c r="E153" s="59">
        <v>3.1379069892179998E-3</v>
      </c>
      <c r="F153" s="43"/>
      <c r="G153" s="43"/>
    </row>
    <row r="154" spans="1:7" ht="14.5" customHeight="1">
      <c r="A154" s="43"/>
      <c r="B154" s="98"/>
      <c r="C154" s="75" t="s">
        <v>353</v>
      </c>
      <c r="D154" s="71">
        <v>194</v>
      </c>
      <c r="E154" s="73">
        <v>5.2030252641740004E-3</v>
      </c>
      <c r="F154" s="43"/>
      <c r="G154" s="43"/>
    </row>
    <row r="155" spans="1:7" ht="14.5" customHeight="1">
      <c r="A155" s="43"/>
      <c r="B155" s="96" t="s">
        <v>268</v>
      </c>
      <c r="C155" s="74" t="s">
        <v>282</v>
      </c>
      <c r="D155" s="58">
        <v>1</v>
      </c>
      <c r="E155" s="59">
        <v>2.6819717857000001E-5</v>
      </c>
      <c r="F155" s="43"/>
      <c r="G155" s="43"/>
    </row>
    <row r="156" spans="1:7" ht="14.5" customHeight="1">
      <c r="A156" s="43"/>
      <c r="B156" s="97"/>
      <c r="C156" s="74" t="s">
        <v>283</v>
      </c>
      <c r="D156" s="58">
        <v>3</v>
      </c>
      <c r="E156" s="59">
        <v>8.0459153570000002E-5</v>
      </c>
      <c r="F156" s="43"/>
      <c r="G156" s="43"/>
    </row>
    <row r="157" spans="1:7" ht="14.5" customHeight="1">
      <c r="A157" s="43"/>
      <c r="B157" s="98"/>
      <c r="C157" s="75" t="s">
        <v>353</v>
      </c>
      <c r="D157" s="71">
        <v>4</v>
      </c>
      <c r="E157" s="73">
        <v>1.07278871426E-4</v>
      </c>
      <c r="F157" s="43"/>
      <c r="G157" s="43"/>
    </row>
    <row r="158" spans="1:7" ht="14.5" customHeight="1">
      <c r="A158" s="43"/>
      <c r="B158" s="96" t="s">
        <v>245</v>
      </c>
      <c r="C158" s="74" t="s">
        <v>282</v>
      </c>
      <c r="D158" s="58">
        <v>217</v>
      </c>
      <c r="E158" s="59">
        <v>5.8198787748749998E-3</v>
      </c>
      <c r="F158" s="43"/>
      <c r="G158" s="43"/>
    </row>
    <row r="159" spans="1:7" ht="14.5" customHeight="1">
      <c r="A159" s="43"/>
      <c r="B159" s="97"/>
      <c r="C159" s="74" t="s">
        <v>283</v>
      </c>
      <c r="D159" s="58">
        <v>326</v>
      </c>
      <c r="E159" s="59">
        <v>8.7432280212410007E-3</v>
      </c>
      <c r="F159" s="43"/>
      <c r="G159" s="43"/>
    </row>
    <row r="160" spans="1:7" ht="14.5" customHeight="1">
      <c r="A160" s="43"/>
      <c r="B160" s="98"/>
      <c r="C160" s="75" t="s">
        <v>353</v>
      </c>
      <c r="D160" s="71">
        <v>543</v>
      </c>
      <c r="E160" s="73">
        <v>1.4563106796117E-2</v>
      </c>
      <c r="F160" s="43"/>
      <c r="G160" s="43"/>
    </row>
    <row r="161" spans="1:7" ht="14.5" customHeight="1">
      <c r="A161" s="43"/>
      <c r="B161" s="96" t="s">
        <v>269</v>
      </c>
      <c r="C161" s="74" t="s">
        <v>282</v>
      </c>
      <c r="D161" s="58">
        <v>21</v>
      </c>
      <c r="E161" s="59">
        <v>5.63214074988E-4</v>
      </c>
      <c r="F161" s="43"/>
      <c r="G161" s="43"/>
    </row>
    <row r="162" spans="1:7" ht="14.5" customHeight="1">
      <c r="A162" s="43"/>
      <c r="B162" s="97"/>
      <c r="C162" s="74" t="s">
        <v>283</v>
      </c>
      <c r="D162" s="58">
        <v>31</v>
      </c>
      <c r="E162" s="59">
        <v>8.3141125355399995E-4</v>
      </c>
      <c r="F162" s="43"/>
      <c r="G162" s="43"/>
    </row>
    <row r="163" spans="1:7" ht="14.5" customHeight="1">
      <c r="A163" s="43"/>
      <c r="B163" s="98"/>
      <c r="C163" s="75" t="s">
        <v>353</v>
      </c>
      <c r="D163" s="71">
        <v>52</v>
      </c>
      <c r="E163" s="73">
        <v>1.3946253285420001E-3</v>
      </c>
      <c r="F163" s="43"/>
      <c r="G163" s="43"/>
    </row>
    <row r="164" spans="1:7" ht="14.5" customHeight="1">
      <c r="A164" s="43"/>
      <c r="B164" s="94" t="s">
        <v>354</v>
      </c>
      <c r="C164" s="95"/>
      <c r="D164" s="61">
        <v>37286</v>
      </c>
      <c r="E164" s="62">
        <v>1</v>
      </c>
      <c r="F164" s="43"/>
      <c r="G164" s="43"/>
    </row>
    <row r="165" spans="1:7" ht="14.5" customHeight="1">
      <c r="A165" s="43"/>
      <c r="B165" s="35"/>
      <c r="C165" s="35"/>
      <c r="D165" s="50"/>
      <c r="E165" s="35"/>
      <c r="F165" s="43"/>
      <c r="G165" s="43"/>
    </row>
    <row r="166" spans="1:7" ht="14.5" customHeight="1">
      <c r="A166" s="43"/>
      <c r="B166" s="40" t="s">
        <v>132</v>
      </c>
      <c r="C166" s="35"/>
      <c r="D166" s="50"/>
      <c r="E166" s="35"/>
      <c r="F166" s="43"/>
      <c r="G166" s="43"/>
    </row>
    <row r="167" spans="1:7" ht="14.5" customHeight="1">
      <c r="A167" s="48"/>
      <c r="B167" s="41" t="s">
        <v>17</v>
      </c>
      <c r="C167" s="35"/>
      <c r="D167" s="50"/>
      <c r="E167" s="35"/>
      <c r="F167" s="43"/>
      <c r="G167" s="43"/>
    </row>
    <row r="168" spans="1:7" ht="14.5" customHeight="1">
      <c r="A168" s="48"/>
      <c r="B168" s="42" t="s">
        <v>46</v>
      </c>
      <c r="C168" s="35"/>
      <c r="D168" s="50"/>
      <c r="E168" s="35"/>
      <c r="F168" s="43"/>
      <c r="G168" s="43"/>
    </row>
    <row r="169" spans="1:7" ht="14.5" customHeight="1">
      <c r="A169" s="48"/>
      <c r="B169" s="40" t="s">
        <v>16</v>
      </c>
      <c r="C169" s="35"/>
      <c r="D169" s="50"/>
      <c r="E169" s="35"/>
      <c r="F169" s="43"/>
      <c r="G169" s="43"/>
    </row>
    <row r="170" spans="1:7" ht="14.5" customHeight="1">
      <c r="A170" s="48"/>
      <c r="B170" s="40" t="s">
        <v>352</v>
      </c>
      <c r="C170" s="35"/>
      <c r="D170" s="50"/>
      <c r="E170" s="35"/>
      <c r="F170" s="43"/>
      <c r="G170" s="43"/>
    </row>
    <row r="171" spans="1:7" ht="16.5">
      <c r="A171" s="48"/>
      <c r="C171" s="35"/>
      <c r="D171" s="50"/>
      <c r="E171" s="35"/>
      <c r="F171" s="43"/>
      <c r="G171" s="43"/>
    </row>
    <row r="172" spans="1:7" ht="12">
      <c r="A172" s="43"/>
      <c r="B172" s="35"/>
      <c r="C172" s="35"/>
      <c r="D172" s="50"/>
      <c r="E172" s="35"/>
      <c r="F172" s="43"/>
      <c r="G172" s="43"/>
    </row>
  </sheetData>
  <mergeCells count="53"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5"/>
    <mergeCell ref="B56:B58"/>
    <mergeCell ref="B59:B61"/>
    <mergeCell ref="B62:B64"/>
    <mergeCell ref="B65:B67"/>
    <mergeCell ref="B68:B70"/>
    <mergeCell ref="B71:B72"/>
    <mergeCell ref="B73:B75"/>
    <mergeCell ref="B76:B78"/>
    <mergeCell ref="B79:B81"/>
    <mergeCell ref="B82:B84"/>
    <mergeCell ref="B85:B87"/>
    <mergeCell ref="B88:B90"/>
    <mergeCell ref="B91:B92"/>
    <mergeCell ref="B93:B95"/>
    <mergeCell ref="B96:B98"/>
    <mergeCell ref="B99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7:B139"/>
    <mergeCell ref="B140:B143"/>
    <mergeCell ref="B164:C164"/>
    <mergeCell ref="B158:B160"/>
    <mergeCell ref="B161:B163"/>
    <mergeCell ref="B144:B146"/>
    <mergeCell ref="B147:B148"/>
    <mergeCell ref="B149:B151"/>
    <mergeCell ref="B152:B154"/>
    <mergeCell ref="B155:B15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0"/>
  <sheetViews>
    <sheetView showGridLines="0" view="pageBreakPreview" topLeftCell="A17" zoomScale="90" zoomScaleNormal="100" zoomScaleSheetLayoutView="90" workbookViewId="0">
      <selection activeCell="G40" sqref="G40"/>
    </sheetView>
  </sheetViews>
  <sheetFormatPr baseColWidth="10" defaultColWidth="11.453125" defaultRowHeight="10"/>
  <cols>
    <col min="1" max="1" width="5.7265625" style="18" customWidth="1"/>
    <col min="2" max="2" width="21.453125" style="25" customWidth="1"/>
    <col min="3" max="3" width="26.1796875" style="25" customWidth="1"/>
    <col min="4" max="5" width="14.7265625" style="28" customWidth="1"/>
    <col min="6" max="6" width="14.7265625" style="25" customWidth="1"/>
    <col min="7" max="7" width="5.7265625" style="18" customWidth="1"/>
    <col min="8" max="8" width="11.453125" style="18" customWidth="1"/>
    <col min="9" max="16384" width="11.453125" style="18"/>
  </cols>
  <sheetData>
    <row r="1" spans="1:7" s="13" customFormat="1" ht="14.5">
      <c r="B1" s="25"/>
      <c r="C1" s="25"/>
    </row>
    <row r="2" spans="1:7" s="25" customFormat="1">
      <c r="B2" s="30"/>
    </row>
    <row r="3" spans="1:7" ht="15" customHeight="1">
      <c r="B3" s="31"/>
      <c r="C3" s="21"/>
      <c r="D3" s="18"/>
      <c r="E3" s="18"/>
      <c r="G3" s="25"/>
    </row>
    <row r="4" spans="1:7" ht="30" customHeight="1">
      <c r="B4" s="31"/>
      <c r="C4" s="21"/>
      <c r="D4" s="18"/>
      <c r="E4" s="18"/>
      <c r="G4" s="25"/>
    </row>
    <row r="5" spans="1:7" ht="15" customHeight="1">
      <c r="B5" s="31"/>
      <c r="C5" s="21"/>
      <c r="D5" s="18"/>
      <c r="E5" s="18"/>
      <c r="G5" s="25"/>
    </row>
    <row r="6" spans="1:7" s="25" customFormat="1" ht="10.5">
      <c r="B6" s="27"/>
      <c r="C6" s="24"/>
    </row>
    <row r="7" spans="1:7" s="25" customFormat="1">
      <c r="B7" s="30"/>
    </row>
    <row r="8" spans="1:7" s="13" customFormat="1" ht="15" customHeight="1">
      <c r="A8" s="48"/>
      <c r="B8" s="87" t="s">
        <v>42</v>
      </c>
      <c r="C8" s="87"/>
      <c r="D8" s="87"/>
      <c r="E8" s="87"/>
      <c r="F8" s="87"/>
      <c r="G8" s="48"/>
    </row>
    <row r="9" spans="1:7" s="13" customFormat="1" ht="15" customHeight="1">
      <c r="A9" s="48"/>
      <c r="B9" s="87"/>
      <c r="C9" s="87"/>
      <c r="D9" s="87"/>
      <c r="E9" s="87"/>
      <c r="F9" s="87"/>
      <c r="G9" s="54"/>
    </row>
    <row r="10" spans="1:7" s="13" customFormat="1" ht="15" customHeight="1">
      <c r="A10" s="48"/>
      <c r="B10" s="87"/>
      <c r="C10" s="87"/>
      <c r="D10" s="87"/>
      <c r="E10" s="87"/>
      <c r="F10" s="87"/>
      <c r="G10" s="48"/>
    </row>
    <row r="11" spans="1:7" s="13" customFormat="1" ht="15" customHeight="1">
      <c r="A11" s="48"/>
      <c r="B11" s="56"/>
      <c r="C11" s="56"/>
      <c r="D11" s="56"/>
      <c r="E11" s="56"/>
      <c r="F11" s="56"/>
      <c r="G11" s="48"/>
    </row>
    <row r="12" spans="1:7" s="13" customFormat="1" ht="65.150000000000006" customHeight="1">
      <c r="A12" s="48"/>
      <c r="B12" s="77" t="s">
        <v>29</v>
      </c>
      <c r="C12" s="77" t="s">
        <v>32</v>
      </c>
      <c r="D12" s="77" t="s">
        <v>19</v>
      </c>
      <c r="E12" s="77" t="s">
        <v>31</v>
      </c>
      <c r="F12" s="77" t="s">
        <v>30</v>
      </c>
      <c r="G12" s="48"/>
    </row>
    <row r="13" spans="1:7" ht="14.5" customHeight="1">
      <c r="A13" s="43"/>
      <c r="B13" s="90" t="s">
        <v>285</v>
      </c>
      <c r="C13" s="57" t="s">
        <v>201</v>
      </c>
      <c r="D13" s="58">
        <v>13</v>
      </c>
      <c r="E13" s="59">
        <f>D13/$D$21</f>
        <v>8.2961072112316524E-4</v>
      </c>
      <c r="F13" s="59">
        <f>D13/$D$34</f>
        <v>3.4865633213538596E-4</v>
      </c>
      <c r="G13" s="43"/>
    </row>
    <row r="14" spans="1:7" ht="14.5" customHeight="1">
      <c r="A14" s="43"/>
      <c r="B14" s="92"/>
      <c r="C14" s="57" t="s">
        <v>123</v>
      </c>
      <c r="D14" s="58">
        <v>35</v>
      </c>
      <c r="E14" s="59">
        <f t="shared" ref="E14:E19" si="0">D14/$D$21</f>
        <v>2.2335673261008296E-3</v>
      </c>
      <c r="F14" s="59">
        <f t="shared" ref="F14:F34" si="1">D14/$D$34</f>
        <v>9.3869012497988522E-4</v>
      </c>
      <c r="G14" s="43"/>
    </row>
    <row r="15" spans="1:7" ht="14.5" customHeight="1">
      <c r="A15" s="43"/>
      <c r="B15" s="92"/>
      <c r="C15" s="57" t="s">
        <v>124</v>
      </c>
      <c r="D15" s="58">
        <v>1365</v>
      </c>
      <c r="E15" s="59">
        <f t="shared" si="0"/>
        <v>8.7109125717932348E-2</v>
      </c>
      <c r="F15" s="59">
        <f t="shared" si="1"/>
        <v>3.6608914874215526E-2</v>
      </c>
      <c r="G15" s="43"/>
    </row>
    <row r="16" spans="1:7" ht="14.5" customHeight="1">
      <c r="A16" s="43"/>
      <c r="B16" s="92"/>
      <c r="C16" s="57" t="s">
        <v>125</v>
      </c>
      <c r="D16" s="58">
        <v>2635</v>
      </c>
      <c r="E16" s="59">
        <f t="shared" si="0"/>
        <v>0.16815571155073389</v>
      </c>
      <c r="F16" s="59">
        <f t="shared" si="1"/>
        <v>7.0669956552057073E-2</v>
      </c>
      <c r="G16" s="43"/>
    </row>
    <row r="17" spans="1:7" ht="14.5" customHeight="1">
      <c r="A17" s="43"/>
      <c r="B17" s="92"/>
      <c r="C17" s="57" t="s">
        <v>126</v>
      </c>
      <c r="D17" s="58">
        <v>5219</v>
      </c>
      <c r="E17" s="59">
        <f t="shared" si="0"/>
        <v>0.33305679642629227</v>
      </c>
      <c r="F17" s="59">
        <f t="shared" si="1"/>
        <v>0.13997210749342917</v>
      </c>
      <c r="G17" s="43"/>
    </row>
    <row r="18" spans="1:7" ht="14.5" customHeight="1">
      <c r="A18" s="43"/>
      <c r="B18" s="92"/>
      <c r="C18" s="57" t="s">
        <v>127</v>
      </c>
      <c r="D18" s="58">
        <v>5648</v>
      </c>
      <c r="E18" s="59">
        <f t="shared" si="0"/>
        <v>0.36043395022335672</v>
      </c>
      <c r="F18" s="59">
        <f t="shared" si="1"/>
        <v>0.15147776645389691</v>
      </c>
      <c r="G18" s="43"/>
    </row>
    <row r="19" spans="1:7" ht="14.5" customHeight="1">
      <c r="A19" s="43"/>
      <c r="B19" s="92"/>
      <c r="C19" s="57" t="s">
        <v>128</v>
      </c>
      <c r="D19" s="58">
        <v>649</v>
      </c>
      <c r="E19" s="59">
        <f t="shared" si="0"/>
        <v>4.1416719846841095E-2</v>
      </c>
      <c r="F19" s="59">
        <f t="shared" si="1"/>
        <v>1.7405996888912728E-2</v>
      </c>
      <c r="G19" s="43"/>
    </row>
    <row r="20" spans="1:7" ht="14.5" customHeight="1">
      <c r="A20" s="43"/>
      <c r="B20" s="92"/>
      <c r="C20" s="57" t="s">
        <v>129</v>
      </c>
      <c r="D20" s="58">
        <v>106</v>
      </c>
      <c r="E20" s="59">
        <f>D20/$D$21</f>
        <v>6.7645181876196557E-3</v>
      </c>
      <c r="F20" s="59">
        <f t="shared" si="1"/>
        <v>2.8428900927962237E-3</v>
      </c>
      <c r="G20" s="43"/>
    </row>
    <row r="21" spans="1:7" ht="14.5" customHeight="1">
      <c r="A21" s="43"/>
      <c r="B21" s="91"/>
      <c r="C21" s="72" t="s">
        <v>353</v>
      </c>
      <c r="D21" s="71">
        <v>15670</v>
      </c>
      <c r="E21" s="73"/>
      <c r="F21" s="73">
        <f t="shared" si="1"/>
        <v>0.42026497881242292</v>
      </c>
      <c r="G21" s="43"/>
    </row>
    <row r="22" spans="1:7" ht="14.5" customHeight="1">
      <c r="A22" s="43"/>
      <c r="B22" s="90" t="s">
        <v>286</v>
      </c>
      <c r="C22" s="57" t="s">
        <v>201</v>
      </c>
      <c r="D22" s="58">
        <v>12</v>
      </c>
      <c r="E22" s="59">
        <f>D22/$D$30</f>
        <v>5.5519570648653645E-4</v>
      </c>
      <c r="F22" s="59">
        <f t="shared" si="1"/>
        <v>3.2183661427881779E-4</v>
      </c>
      <c r="G22" s="43"/>
    </row>
    <row r="23" spans="1:7" ht="14.5" customHeight="1">
      <c r="A23" s="43"/>
      <c r="B23" s="92"/>
      <c r="C23" s="57" t="s">
        <v>123</v>
      </c>
      <c r="D23" s="58">
        <v>41</v>
      </c>
      <c r="E23" s="59">
        <f t="shared" ref="E23:E29" si="2">D23/$D$30</f>
        <v>1.8969186638289996E-3</v>
      </c>
      <c r="F23" s="59">
        <f t="shared" si="1"/>
        <v>1.0996084321192941E-3</v>
      </c>
      <c r="G23" s="43"/>
    </row>
    <row r="24" spans="1:7" ht="14.5" customHeight="1">
      <c r="A24" s="43"/>
      <c r="B24" s="92"/>
      <c r="C24" s="57" t="s">
        <v>124</v>
      </c>
      <c r="D24" s="58">
        <v>1996</v>
      </c>
      <c r="E24" s="59">
        <f t="shared" si="2"/>
        <v>9.2347552512260567E-2</v>
      </c>
      <c r="F24" s="59">
        <f t="shared" si="1"/>
        <v>5.3532156841710025E-2</v>
      </c>
      <c r="G24" s="43"/>
    </row>
    <row r="25" spans="1:7" ht="14.5" customHeight="1">
      <c r="A25" s="43"/>
      <c r="B25" s="92"/>
      <c r="C25" s="57" t="s">
        <v>125</v>
      </c>
      <c r="D25" s="58">
        <v>4186</v>
      </c>
      <c r="E25" s="59">
        <f t="shared" si="2"/>
        <v>0.19367076894605348</v>
      </c>
      <c r="F25" s="59">
        <f t="shared" si="1"/>
        <v>0.11226733894759428</v>
      </c>
      <c r="G25" s="43"/>
    </row>
    <row r="26" spans="1:7" ht="14.5" customHeight="1">
      <c r="A26" s="43"/>
      <c r="B26" s="92"/>
      <c r="C26" s="57" t="s">
        <v>126</v>
      </c>
      <c r="D26" s="58">
        <v>7389</v>
      </c>
      <c r="E26" s="59">
        <f t="shared" si="2"/>
        <v>0.34186175626908483</v>
      </c>
      <c r="F26" s="59">
        <f t="shared" si="1"/>
        <v>0.19817089524218207</v>
      </c>
      <c r="G26" s="43"/>
    </row>
    <row r="27" spans="1:7" ht="14.5" customHeight="1">
      <c r="A27" s="43"/>
      <c r="B27" s="92"/>
      <c r="C27" s="57" t="s">
        <v>127</v>
      </c>
      <c r="D27" s="58">
        <v>7196</v>
      </c>
      <c r="E27" s="59">
        <f t="shared" si="2"/>
        <v>0.3329323586564264</v>
      </c>
      <c r="F27" s="59">
        <f t="shared" si="1"/>
        <v>0.19299468969586439</v>
      </c>
      <c r="G27" s="43"/>
    </row>
    <row r="28" spans="1:7" ht="14.5" customHeight="1">
      <c r="A28" s="43"/>
      <c r="B28" s="92"/>
      <c r="C28" s="57" t="s">
        <v>128</v>
      </c>
      <c r="D28" s="58">
        <v>703</v>
      </c>
      <c r="E28" s="59">
        <f t="shared" si="2"/>
        <v>3.2525215138336262E-2</v>
      </c>
      <c r="F28" s="59">
        <f t="shared" si="1"/>
        <v>1.885426165316741E-2</v>
      </c>
      <c r="G28" s="43"/>
    </row>
    <row r="29" spans="1:7" ht="14.5" customHeight="1">
      <c r="A29" s="43"/>
      <c r="B29" s="92"/>
      <c r="C29" s="57" t="s">
        <v>129</v>
      </c>
      <c r="D29" s="58">
        <v>91</v>
      </c>
      <c r="E29" s="59">
        <f t="shared" si="2"/>
        <v>4.2102341075229022E-3</v>
      </c>
      <c r="F29" s="59">
        <f t="shared" si="1"/>
        <v>2.4405943249477015E-3</v>
      </c>
      <c r="G29" s="43"/>
    </row>
    <row r="30" spans="1:7" ht="14.5" customHeight="1">
      <c r="A30" s="43"/>
      <c r="B30" s="91"/>
      <c r="C30" s="72" t="s">
        <v>353</v>
      </c>
      <c r="D30" s="71">
        <v>21614</v>
      </c>
      <c r="E30" s="73"/>
      <c r="F30" s="73">
        <f t="shared" si="1"/>
        <v>0.57968138175186401</v>
      </c>
      <c r="G30" s="43"/>
    </row>
    <row r="31" spans="1:7" ht="14.5" customHeight="1">
      <c r="A31" s="43"/>
      <c r="B31" s="90" t="s">
        <v>287</v>
      </c>
      <c r="C31" s="57" t="s">
        <v>125</v>
      </c>
      <c r="D31" s="58">
        <v>1</v>
      </c>
      <c r="E31" s="59">
        <f>D31/$D$33</f>
        <v>0.5</v>
      </c>
      <c r="F31" s="59">
        <f t="shared" si="1"/>
        <v>2.6819717856568149E-5</v>
      </c>
      <c r="G31" s="43"/>
    </row>
    <row r="32" spans="1:7" ht="14.5" customHeight="1">
      <c r="A32" s="43"/>
      <c r="B32" s="92"/>
      <c r="C32" s="57" t="s">
        <v>127</v>
      </c>
      <c r="D32" s="58">
        <v>1</v>
      </c>
      <c r="E32" s="59">
        <f>D32/$D$33</f>
        <v>0.5</v>
      </c>
      <c r="F32" s="59">
        <f t="shared" si="1"/>
        <v>2.6819717856568149E-5</v>
      </c>
      <c r="G32" s="43"/>
    </row>
    <row r="33" spans="1:7" ht="14.5" customHeight="1">
      <c r="A33" s="43"/>
      <c r="B33" s="91"/>
      <c r="C33" s="72" t="s">
        <v>353</v>
      </c>
      <c r="D33" s="71">
        <v>2</v>
      </c>
      <c r="E33" s="73"/>
      <c r="F33" s="73">
        <f t="shared" si="1"/>
        <v>5.3639435713136299E-5</v>
      </c>
      <c r="G33" s="43"/>
    </row>
    <row r="34" spans="1:7" ht="14.5" customHeight="1">
      <c r="A34" s="43"/>
      <c r="B34" s="88" t="s">
        <v>355</v>
      </c>
      <c r="C34" s="89"/>
      <c r="D34" s="61">
        <v>37286</v>
      </c>
      <c r="E34" s="62">
        <v>1</v>
      </c>
      <c r="F34" s="62">
        <f t="shared" si="1"/>
        <v>1</v>
      </c>
      <c r="G34" s="43"/>
    </row>
    <row r="35" spans="1:7" ht="14.5" customHeight="1">
      <c r="A35" s="43"/>
      <c r="B35" s="42"/>
      <c r="C35" s="35"/>
      <c r="D35" s="50"/>
      <c r="E35" s="50"/>
      <c r="F35" s="35"/>
      <c r="G35" s="43"/>
    </row>
    <row r="36" spans="1:7" ht="14.5" customHeight="1">
      <c r="B36" s="40" t="s">
        <v>132</v>
      </c>
      <c r="D36" s="50"/>
      <c r="E36" s="50"/>
      <c r="F36" s="35"/>
      <c r="G36" s="43"/>
    </row>
    <row r="37" spans="1:7" ht="14.5" customHeight="1">
      <c r="B37" s="41" t="s">
        <v>17</v>
      </c>
      <c r="D37" s="50"/>
      <c r="E37" s="50"/>
      <c r="F37" s="35"/>
      <c r="G37" s="43"/>
    </row>
    <row r="38" spans="1:7" ht="12">
      <c r="B38" s="42" t="s">
        <v>46</v>
      </c>
      <c r="D38" s="50"/>
      <c r="E38" s="50"/>
      <c r="F38" s="35"/>
      <c r="G38" s="43"/>
    </row>
    <row r="39" spans="1:7" ht="12">
      <c r="B39" s="40" t="s">
        <v>16</v>
      </c>
      <c r="D39" s="50"/>
      <c r="E39" s="50"/>
      <c r="F39" s="35"/>
      <c r="G39" s="43"/>
    </row>
    <row r="40" spans="1:7" ht="12">
      <c r="B40" s="40" t="s">
        <v>352</v>
      </c>
      <c r="D40" s="50"/>
      <c r="E40" s="50"/>
      <c r="F40" s="35"/>
      <c r="G40" s="43"/>
    </row>
  </sheetData>
  <mergeCells count="5">
    <mergeCell ref="B8:F10"/>
    <mergeCell ref="B13:B21"/>
    <mergeCell ref="B22:B30"/>
    <mergeCell ref="B31:B33"/>
    <mergeCell ref="B34:C3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8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3" customWidth="1"/>
    <col min="2" max="2" width="49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18" customFormat="1" ht="15" customHeight="1">
      <c r="C1" s="21"/>
    </row>
    <row r="2" spans="1:4" s="18" customFormat="1" ht="15" customHeight="1">
      <c r="C2" s="21"/>
    </row>
    <row r="3" spans="1:4" s="18" customFormat="1" ht="15" customHeight="1">
      <c r="C3" s="21"/>
    </row>
    <row r="4" spans="1:4" s="18" customFormat="1" ht="30" customHeight="1">
      <c r="C4" s="21"/>
      <c r="D4" s="20"/>
    </row>
    <row r="5" spans="1:4" s="18" customFormat="1" ht="15" customHeight="1">
      <c r="C5" s="21"/>
      <c r="D5" s="20"/>
    </row>
    <row r="6" spans="1:4" s="18" customFormat="1" ht="15" customHeight="1">
      <c r="C6" s="21"/>
      <c r="D6" s="20"/>
    </row>
    <row r="7" spans="1:4" s="18" customFormat="1" ht="15" customHeight="1">
      <c r="A7" s="43"/>
      <c r="B7" s="87" t="s">
        <v>131</v>
      </c>
      <c r="C7" s="87"/>
      <c r="D7" s="87"/>
    </row>
    <row r="8" spans="1:4" s="18" customFormat="1" ht="15" customHeight="1">
      <c r="A8" s="43"/>
      <c r="B8" s="87"/>
      <c r="C8" s="87"/>
      <c r="D8" s="87"/>
    </row>
    <row r="9" spans="1:4" s="18" customFormat="1" ht="33" customHeight="1">
      <c r="A9" s="43"/>
      <c r="B9" s="87"/>
      <c r="C9" s="87"/>
      <c r="D9" s="87"/>
    </row>
    <row r="10" spans="1:4" s="18" customFormat="1" ht="12.65" customHeight="1">
      <c r="A10" s="43"/>
      <c r="B10" s="44"/>
      <c r="C10" s="44"/>
      <c r="D10" s="44"/>
    </row>
    <row r="11" spans="1:4" s="18" customFormat="1" ht="33" customHeight="1">
      <c r="A11" s="43"/>
      <c r="B11" s="45" t="s">
        <v>33</v>
      </c>
      <c r="C11" s="46" t="s">
        <v>19</v>
      </c>
      <c r="D11" s="47" t="s">
        <v>18</v>
      </c>
    </row>
    <row r="12" spans="1:4" ht="14.5" customHeight="1">
      <c r="A12" s="48"/>
      <c r="B12" s="74" t="s">
        <v>288</v>
      </c>
      <c r="C12" s="58">
        <v>23043</v>
      </c>
      <c r="D12" s="59">
        <v>0.61800675856889997</v>
      </c>
    </row>
    <row r="13" spans="1:4" ht="14.5" customHeight="1">
      <c r="A13" s="48"/>
      <c r="B13" s="74" t="s">
        <v>289</v>
      </c>
      <c r="C13" s="58">
        <v>7011</v>
      </c>
      <c r="D13" s="59">
        <v>0.188033041892399</v>
      </c>
    </row>
    <row r="14" spans="1:4" ht="14.5" customHeight="1">
      <c r="A14" s="48"/>
      <c r="B14" s="74" t="s">
        <v>290</v>
      </c>
      <c r="C14" s="58">
        <v>1085</v>
      </c>
      <c r="D14" s="59">
        <v>2.9099393874376E-2</v>
      </c>
    </row>
    <row r="15" spans="1:4" ht="14.5" customHeight="1">
      <c r="A15" s="48"/>
      <c r="B15" s="74" t="s">
        <v>291</v>
      </c>
      <c r="C15" s="58">
        <v>1021</v>
      </c>
      <c r="D15" s="59">
        <v>2.7382931931556002E-2</v>
      </c>
    </row>
    <row r="16" spans="1:4" ht="14.5" customHeight="1">
      <c r="A16" s="48"/>
      <c r="B16" s="74" t="s">
        <v>292</v>
      </c>
      <c r="C16" s="58">
        <v>920</v>
      </c>
      <c r="D16" s="59">
        <v>2.4674140428043001E-2</v>
      </c>
    </row>
    <row r="17" spans="1:4" ht="14.5" customHeight="1">
      <c r="A17" s="48"/>
      <c r="B17" s="74" t="s">
        <v>293</v>
      </c>
      <c r="C17" s="58">
        <v>918</v>
      </c>
      <c r="D17" s="59">
        <v>2.4620500992329999E-2</v>
      </c>
    </row>
    <row r="18" spans="1:4" ht="14.5" customHeight="1">
      <c r="A18" s="48"/>
      <c r="B18" s="74" t="s">
        <v>294</v>
      </c>
      <c r="C18" s="58">
        <v>344</v>
      </c>
      <c r="D18" s="59">
        <v>9.2259829426590001E-3</v>
      </c>
    </row>
    <row r="19" spans="1:4" ht="14.5" customHeight="1">
      <c r="A19" s="48"/>
      <c r="B19" s="74" t="s">
        <v>295</v>
      </c>
      <c r="C19" s="58">
        <v>241</v>
      </c>
      <c r="D19" s="59">
        <v>6.4635520034330004E-3</v>
      </c>
    </row>
    <row r="20" spans="1:4" ht="14.5" customHeight="1">
      <c r="A20" s="48"/>
      <c r="B20" s="74" t="s">
        <v>296</v>
      </c>
      <c r="C20" s="58">
        <v>231</v>
      </c>
      <c r="D20" s="59">
        <v>6.1953548248670004E-3</v>
      </c>
    </row>
    <row r="21" spans="1:4" ht="14.5" customHeight="1">
      <c r="A21" s="48"/>
      <c r="B21" s="74" t="s">
        <v>297</v>
      </c>
      <c r="C21" s="58">
        <v>228</v>
      </c>
      <c r="D21" s="59">
        <v>6.1148956712980002E-3</v>
      </c>
    </row>
    <row r="22" spans="1:4" ht="14.5" customHeight="1">
      <c r="A22" s="48"/>
      <c r="B22" s="74" t="s">
        <v>298</v>
      </c>
      <c r="C22" s="58">
        <v>196</v>
      </c>
      <c r="D22" s="59">
        <v>5.2566646998870002E-3</v>
      </c>
    </row>
    <row r="23" spans="1:4" ht="14.5" customHeight="1">
      <c r="A23" s="48"/>
      <c r="B23" s="74" t="s">
        <v>299</v>
      </c>
      <c r="C23" s="58">
        <v>172</v>
      </c>
      <c r="D23" s="59">
        <v>4.6129914713299996E-3</v>
      </c>
    </row>
    <row r="24" spans="1:4" ht="14.5" customHeight="1">
      <c r="A24" s="48"/>
      <c r="B24" s="74" t="s">
        <v>300</v>
      </c>
      <c r="C24" s="58">
        <v>171</v>
      </c>
      <c r="D24" s="59">
        <v>4.5861717534730001E-3</v>
      </c>
    </row>
    <row r="25" spans="1:4" ht="14.5" customHeight="1">
      <c r="A25" s="48"/>
      <c r="B25" s="74" t="s">
        <v>301</v>
      </c>
      <c r="C25" s="58">
        <v>165</v>
      </c>
      <c r="D25" s="59">
        <v>4.4252534463339998E-3</v>
      </c>
    </row>
    <row r="26" spans="1:4" ht="14.5" customHeight="1">
      <c r="A26" s="48"/>
      <c r="B26" s="74" t="s">
        <v>302</v>
      </c>
      <c r="C26" s="58">
        <v>158</v>
      </c>
      <c r="D26" s="59">
        <v>4.2375154213379999E-3</v>
      </c>
    </row>
    <row r="27" spans="1:4" ht="14.5" customHeight="1">
      <c r="A27" s="48"/>
      <c r="B27" s="74" t="s">
        <v>303</v>
      </c>
      <c r="C27" s="58">
        <v>154</v>
      </c>
      <c r="D27" s="59">
        <v>4.1302365499110002E-3</v>
      </c>
    </row>
    <row r="28" spans="1:4" ht="14.5" customHeight="1">
      <c r="A28" s="48"/>
      <c r="B28" s="74" t="s">
        <v>304</v>
      </c>
      <c r="C28" s="58">
        <v>147</v>
      </c>
      <c r="D28" s="59">
        <v>3.9424985249160004E-3</v>
      </c>
    </row>
    <row r="29" spans="1:4" ht="14.5" customHeight="1">
      <c r="A29" s="48"/>
      <c r="B29" s="74" t="s">
        <v>305</v>
      </c>
      <c r="C29" s="58">
        <v>140</v>
      </c>
      <c r="D29" s="59">
        <v>3.7547604999200001E-3</v>
      </c>
    </row>
    <row r="30" spans="1:4" ht="14.5" customHeight="1">
      <c r="A30" s="48"/>
      <c r="B30" s="74" t="s">
        <v>306</v>
      </c>
      <c r="C30" s="58">
        <v>104</v>
      </c>
      <c r="D30" s="59">
        <v>2.7892506570830001E-3</v>
      </c>
    </row>
    <row r="31" spans="1:4" ht="14.5" customHeight="1">
      <c r="A31" s="48"/>
      <c r="B31" s="74" t="s">
        <v>307</v>
      </c>
      <c r="C31" s="58">
        <v>102</v>
      </c>
      <c r="D31" s="59">
        <v>2.7356112213699998E-3</v>
      </c>
    </row>
    <row r="32" spans="1:4" ht="14.5" customHeight="1">
      <c r="A32" s="48"/>
      <c r="B32" s="74" t="s">
        <v>308</v>
      </c>
      <c r="C32" s="58">
        <v>75</v>
      </c>
      <c r="D32" s="59">
        <v>2.0114788392429999E-3</v>
      </c>
    </row>
    <row r="33" spans="1:4" ht="14.5" customHeight="1">
      <c r="A33" s="48"/>
      <c r="B33" s="74" t="s">
        <v>309</v>
      </c>
      <c r="C33" s="58">
        <v>74</v>
      </c>
      <c r="D33" s="59">
        <v>1.9846591213859999E-3</v>
      </c>
    </row>
    <row r="34" spans="1:4" ht="14.5" customHeight="1">
      <c r="A34" s="48"/>
      <c r="B34" s="74" t="s">
        <v>310</v>
      </c>
      <c r="C34" s="58">
        <v>74</v>
      </c>
      <c r="D34" s="59">
        <v>1.9846591213859999E-3</v>
      </c>
    </row>
    <row r="35" spans="1:4" ht="14.5" customHeight="1">
      <c r="A35" s="48"/>
      <c r="B35" s="74" t="s">
        <v>311</v>
      </c>
      <c r="C35" s="58">
        <v>58</v>
      </c>
      <c r="D35" s="59">
        <v>1.555543635681E-3</v>
      </c>
    </row>
    <row r="36" spans="1:4" ht="14.5" customHeight="1">
      <c r="A36" s="48"/>
      <c r="B36" s="74" t="s">
        <v>312</v>
      </c>
      <c r="C36" s="58">
        <v>50</v>
      </c>
      <c r="D36" s="59">
        <v>1.340985892828E-3</v>
      </c>
    </row>
    <row r="37" spans="1:4" ht="14.5" customHeight="1">
      <c r="A37" s="48"/>
      <c r="B37" s="74" t="s">
        <v>313</v>
      </c>
      <c r="C37" s="58">
        <v>42</v>
      </c>
      <c r="D37" s="59">
        <v>1.126428149976E-3</v>
      </c>
    </row>
    <row r="38" spans="1:4" ht="14.5" customHeight="1">
      <c r="A38" s="48"/>
      <c r="B38" s="74" t="s">
        <v>314</v>
      </c>
      <c r="C38" s="58">
        <v>34</v>
      </c>
      <c r="D38" s="59">
        <v>9.1187040712299998E-4</v>
      </c>
    </row>
    <row r="39" spans="1:4" ht="14.5" customHeight="1">
      <c r="A39" s="48"/>
      <c r="B39" s="74" t="s">
        <v>315</v>
      </c>
      <c r="C39" s="58">
        <v>26</v>
      </c>
      <c r="D39" s="59">
        <v>6.9731266427100003E-4</v>
      </c>
    </row>
    <row r="40" spans="1:4" ht="14.5" customHeight="1">
      <c r="A40" s="48"/>
      <c r="B40" s="74" t="s">
        <v>316</v>
      </c>
      <c r="C40" s="58">
        <v>22</v>
      </c>
      <c r="D40" s="59">
        <v>5.9003379284399999E-4</v>
      </c>
    </row>
    <row r="41" spans="1:4" ht="14.5" customHeight="1">
      <c r="A41" s="48"/>
      <c r="B41" s="74" t="s">
        <v>317</v>
      </c>
      <c r="C41" s="58">
        <v>21</v>
      </c>
      <c r="D41" s="59">
        <v>5.63214074988E-4</v>
      </c>
    </row>
    <row r="42" spans="1:4" ht="14.5" customHeight="1">
      <c r="A42" s="48"/>
      <c r="B42" s="74" t="s">
        <v>318</v>
      </c>
      <c r="C42" s="58">
        <v>20</v>
      </c>
      <c r="D42" s="59">
        <v>5.3639435713100005E-4</v>
      </c>
    </row>
    <row r="43" spans="1:4" ht="14.5" customHeight="1">
      <c r="A43" s="48"/>
      <c r="B43" s="74" t="s">
        <v>319</v>
      </c>
      <c r="C43" s="58">
        <v>19</v>
      </c>
      <c r="D43" s="59">
        <v>5.0957463927499996E-4</v>
      </c>
    </row>
    <row r="44" spans="1:4" ht="14.5" customHeight="1">
      <c r="A44" s="48"/>
      <c r="B44" s="74" t="s">
        <v>320</v>
      </c>
      <c r="C44" s="58">
        <v>18</v>
      </c>
      <c r="D44" s="59">
        <v>4.8275492141800001E-4</v>
      </c>
    </row>
    <row r="45" spans="1:4" ht="14.5" customHeight="1">
      <c r="A45" s="48"/>
      <c r="B45" s="74" t="s">
        <v>321</v>
      </c>
      <c r="C45" s="58">
        <v>16</v>
      </c>
      <c r="D45" s="59">
        <v>4.2911548570500002E-4</v>
      </c>
    </row>
    <row r="46" spans="1:4" ht="14.5" customHeight="1">
      <c r="A46" s="48"/>
      <c r="B46" s="74" t="s">
        <v>322</v>
      </c>
      <c r="C46" s="58">
        <v>16</v>
      </c>
      <c r="D46" s="59">
        <v>4.2911548570500002E-4</v>
      </c>
    </row>
    <row r="47" spans="1:4" ht="14.5" customHeight="1">
      <c r="A47" s="48"/>
      <c r="B47" s="74" t="s">
        <v>323</v>
      </c>
      <c r="C47" s="58">
        <v>15</v>
      </c>
      <c r="D47" s="59">
        <v>4.0229576784899998E-4</v>
      </c>
    </row>
    <row r="48" spans="1:4" ht="14.5" customHeight="1">
      <c r="A48" s="48"/>
      <c r="B48" s="74" t="s">
        <v>324</v>
      </c>
      <c r="C48" s="58">
        <v>15</v>
      </c>
      <c r="D48" s="59">
        <v>4.0229576784899998E-4</v>
      </c>
    </row>
    <row r="49" spans="1:4" ht="14.5" customHeight="1">
      <c r="A49" s="48"/>
      <c r="B49" s="74" t="s">
        <v>120</v>
      </c>
      <c r="C49" s="58">
        <v>13</v>
      </c>
      <c r="D49" s="59">
        <v>3.4865633213499998E-4</v>
      </c>
    </row>
    <row r="50" spans="1:4" ht="14.5" customHeight="1">
      <c r="A50" s="48"/>
      <c r="B50" s="74" t="s">
        <v>325</v>
      </c>
      <c r="C50" s="58">
        <v>11</v>
      </c>
      <c r="D50" s="59">
        <v>2.9501689642199999E-4</v>
      </c>
    </row>
    <row r="51" spans="1:4" ht="14.5" customHeight="1">
      <c r="A51" s="48"/>
      <c r="B51" s="74" t="s">
        <v>326</v>
      </c>
      <c r="C51" s="58">
        <v>10</v>
      </c>
      <c r="D51" s="59">
        <v>2.6819717856600001E-4</v>
      </c>
    </row>
    <row r="52" spans="1:4" ht="14.5" customHeight="1">
      <c r="A52" s="48"/>
      <c r="B52" s="74" t="s">
        <v>327</v>
      </c>
      <c r="C52" s="58">
        <v>10</v>
      </c>
      <c r="D52" s="59">
        <v>2.6819717856600001E-4</v>
      </c>
    </row>
    <row r="53" spans="1:4" ht="14.5" customHeight="1">
      <c r="A53" s="48"/>
      <c r="B53" s="74" t="s">
        <v>328</v>
      </c>
      <c r="C53" s="58">
        <v>9</v>
      </c>
      <c r="D53" s="59">
        <v>2.4137746070900001E-4</v>
      </c>
    </row>
    <row r="54" spans="1:4" ht="14.5" customHeight="1">
      <c r="A54" s="48"/>
      <c r="B54" s="74" t="s">
        <v>329</v>
      </c>
      <c r="C54" s="58">
        <v>9</v>
      </c>
      <c r="D54" s="59">
        <v>2.4137746070900001E-4</v>
      </c>
    </row>
    <row r="55" spans="1:4" ht="14.5" customHeight="1">
      <c r="A55" s="48"/>
      <c r="B55" s="74" t="s">
        <v>330</v>
      </c>
      <c r="C55" s="58">
        <v>9</v>
      </c>
      <c r="D55" s="59">
        <v>2.4137746070900001E-4</v>
      </c>
    </row>
    <row r="56" spans="1:4" ht="14.5" customHeight="1">
      <c r="A56" s="48"/>
      <c r="B56" s="74" t="s">
        <v>331</v>
      </c>
      <c r="C56" s="58">
        <v>8</v>
      </c>
      <c r="D56" s="59">
        <v>2.1455774285299999E-4</v>
      </c>
    </row>
    <row r="57" spans="1:4" ht="14.5" customHeight="1">
      <c r="A57" s="48"/>
      <c r="B57" s="74" t="s">
        <v>332</v>
      </c>
      <c r="C57" s="58">
        <v>7</v>
      </c>
      <c r="D57" s="59">
        <v>1.8773802499599999E-4</v>
      </c>
    </row>
    <row r="58" spans="1:4" ht="14.5" customHeight="1">
      <c r="A58" s="48"/>
      <c r="B58" s="74" t="s">
        <v>333</v>
      </c>
      <c r="C58" s="58">
        <v>7</v>
      </c>
      <c r="D58" s="59">
        <v>1.8773802499599999E-4</v>
      </c>
    </row>
    <row r="59" spans="1:4" ht="14.5" customHeight="1">
      <c r="A59" s="48"/>
      <c r="B59" s="74" t="s">
        <v>334</v>
      </c>
      <c r="C59" s="58">
        <v>7</v>
      </c>
      <c r="D59" s="59">
        <v>1.8773802499599999E-4</v>
      </c>
    </row>
    <row r="60" spans="1:4" ht="14.5" customHeight="1">
      <c r="A60" s="48"/>
      <c r="B60" s="74" t="s">
        <v>335</v>
      </c>
      <c r="C60" s="58">
        <v>5</v>
      </c>
      <c r="D60" s="59">
        <v>1.34098589283E-4</v>
      </c>
    </row>
    <row r="61" spans="1:4" ht="14.5" customHeight="1">
      <c r="A61" s="48"/>
      <c r="B61" s="74" t="s">
        <v>336</v>
      </c>
      <c r="C61" s="58">
        <v>4</v>
      </c>
      <c r="D61" s="59">
        <v>1.07278871426E-4</v>
      </c>
    </row>
    <row r="62" spans="1:4" ht="14.5" customHeight="1">
      <c r="A62" s="48"/>
      <c r="B62" s="74" t="s">
        <v>337</v>
      </c>
      <c r="C62" s="58">
        <v>4</v>
      </c>
      <c r="D62" s="59">
        <v>1.07278871426E-4</v>
      </c>
    </row>
    <row r="63" spans="1:4" ht="14.5" customHeight="1">
      <c r="A63" s="48"/>
      <c r="B63" s="74" t="s">
        <v>338</v>
      </c>
      <c r="C63" s="58">
        <v>3</v>
      </c>
      <c r="D63" s="59">
        <v>8.0459153570000002E-5</v>
      </c>
    </row>
    <row r="64" spans="1:4" ht="14.5" customHeight="1">
      <c r="A64" s="48"/>
      <c r="B64" s="74" t="s">
        <v>339</v>
      </c>
      <c r="C64" s="58">
        <v>3</v>
      </c>
      <c r="D64" s="59">
        <v>8.0459153570000002E-5</v>
      </c>
    </row>
    <row r="65" spans="1:4" ht="14.5" customHeight="1">
      <c r="A65" s="48"/>
      <c r="B65" s="74" t="s">
        <v>340</v>
      </c>
      <c r="C65" s="58">
        <v>3</v>
      </c>
      <c r="D65" s="59">
        <v>8.0459153570000002E-5</v>
      </c>
    </row>
    <row r="66" spans="1:4" ht="14.5" customHeight="1">
      <c r="A66" s="48"/>
      <c r="B66" s="74" t="s">
        <v>341</v>
      </c>
      <c r="C66" s="58">
        <v>3</v>
      </c>
      <c r="D66" s="59">
        <v>8.0459153570000002E-5</v>
      </c>
    </row>
    <row r="67" spans="1:4" ht="14.5" customHeight="1">
      <c r="A67" s="48"/>
      <c r="B67" s="74" t="s">
        <v>342</v>
      </c>
      <c r="C67" s="58">
        <v>3</v>
      </c>
      <c r="D67" s="59">
        <v>8.0459153570000002E-5</v>
      </c>
    </row>
    <row r="68" spans="1:4" ht="14.5" customHeight="1">
      <c r="A68" s="48"/>
      <c r="B68" s="74" t="s">
        <v>343</v>
      </c>
      <c r="C68" s="58">
        <v>2</v>
      </c>
      <c r="D68" s="59">
        <v>5.3639435713000001E-5</v>
      </c>
    </row>
    <row r="69" spans="1:4" ht="14.5" customHeight="1">
      <c r="A69" s="48"/>
      <c r="B69" s="74" t="s">
        <v>344</v>
      </c>
      <c r="C69" s="58">
        <v>2</v>
      </c>
      <c r="D69" s="59">
        <v>5.3639435713000001E-5</v>
      </c>
    </row>
    <row r="70" spans="1:4" ht="14.5" customHeight="1">
      <c r="A70" s="48"/>
      <c r="B70" s="74" t="s">
        <v>345</v>
      </c>
      <c r="C70" s="58">
        <v>2</v>
      </c>
      <c r="D70" s="59">
        <v>5.3639435713000001E-5</v>
      </c>
    </row>
    <row r="71" spans="1:4" ht="14.5" customHeight="1">
      <c r="A71" s="48"/>
      <c r="B71" s="74" t="s">
        <v>346</v>
      </c>
      <c r="C71" s="58">
        <v>2</v>
      </c>
      <c r="D71" s="59">
        <v>5.3639435713000001E-5</v>
      </c>
    </row>
    <row r="72" spans="1:4" ht="14.5" customHeight="1">
      <c r="A72" s="48"/>
      <c r="B72" s="74" t="s">
        <v>347</v>
      </c>
      <c r="C72" s="58">
        <v>1</v>
      </c>
      <c r="D72" s="59">
        <v>2.6819717857000001E-5</v>
      </c>
    </row>
    <row r="73" spans="1:4" ht="14.5" customHeight="1">
      <c r="A73" s="48"/>
      <c r="B73" s="74" t="s">
        <v>348</v>
      </c>
      <c r="C73" s="58">
        <v>1</v>
      </c>
      <c r="D73" s="59">
        <v>2.6819717857000001E-5</v>
      </c>
    </row>
    <row r="74" spans="1:4" ht="14.5" customHeight="1">
      <c r="A74" s="48"/>
      <c r="B74" s="74" t="s">
        <v>349</v>
      </c>
      <c r="C74" s="58">
        <v>1</v>
      </c>
      <c r="D74" s="59">
        <v>2.6819717857000001E-5</v>
      </c>
    </row>
    <row r="75" spans="1:4" ht="14.5" customHeight="1">
      <c r="A75" s="48"/>
      <c r="B75" s="74" t="s">
        <v>350</v>
      </c>
      <c r="C75" s="58">
        <v>1</v>
      </c>
      <c r="D75" s="59">
        <v>2.6819717857000001E-5</v>
      </c>
    </row>
    <row r="76" spans="1:4" ht="14.5" customHeight="1">
      <c r="A76" s="48"/>
      <c r="B76" s="76" t="s">
        <v>353</v>
      </c>
      <c r="C76" s="61">
        <v>37286</v>
      </c>
      <c r="D76" s="62">
        <v>1</v>
      </c>
    </row>
    <row r="77" spans="1:4" ht="14.5" customHeight="1">
      <c r="A77" s="48"/>
      <c r="B77" s="48"/>
      <c r="C77" s="51"/>
      <c r="D77" s="48"/>
    </row>
    <row r="78" spans="1:4" ht="14.5" customHeight="1">
      <c r="B78" s="40" t="s">
        <v>132</v>
      </c>
      <c r="C78" s="51"/>
      <c r="D78" s="48"/>
    </row>
    <row r="79" spans="1:4" ht="14.5" customHeight="1">
      <c r="B79" s="41" t="s">
        <v>17</v>
      </c>
      <c r="C79" s="51"/>
      <c r="D79" s="48"/>
    </row>
    <row r="80" spans="1:4" ht="14.5" customHeight="1">
      <c r="B80" s="42" t="s">
        <v>46</v>
      </c>
      <c r="C80" s="51"/>
      <c r="D80" s="48"/>
    </row>
    <row r="81" spans="2:4" ht="14.5" customHeight="1">
      <c r="B81" s="40" t="s">
        <v>16</v>
      </c>
      <c r="C81" s="51"/>
      <c r="D81" s="48"/>
    </row>
    <row r="82" spans="2:4" ht="14.5" customHeight="1">
      <c r="B82" s="40" t="s">
        <v>352</v>
      </c>
      <c r="C82" s="51"/>
      <c r="D82" s="4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27</vt:i4>
      </vt:variant>
    </vt:vector>
  </HeadingPairs>
  <TitlesOfParts>
    <vt:vector size="42" baseType="lpstr">
      <vt:lpstr>Índice</vt:lpstr>
      <vt:lpstr>Ciudad de México_EdoUsa</vt:lpstr>
      <vt:lpstr>Ciudad de México_Cons</vt:lpstr>
      <vt:lpstr>Ciudad de MéxicoXCons</vt:lpstr>
      <vt:lpstr>Ciudad de México_EdoMun</vt:lpstr>
      <vt:lpstr>Ciudad de México_USAMuni</vt:lpstr>
      <vt:lpstr>Ciudad de México_MUNICIPIO</vt:lpstr>
      <vt:lpstr>Ciudad de México_educ_gral</vt:lpstr>
      <vt:lpstr>Ciudad de México_NivelE_Cons</vt:lpstr>
      <vt:lpstr>Ciudad de México_EducCons</vt:lpstr>
      <vt:lpstr>Ciudad de México_GenGral</vt:lpstr>
      <vt:lpstr>Ciudad de México_GENERO</vt:lpstr>
      <vt:lpstr>Ciudad de México_GENERO_EUA</vt:lpstr>
      <vt:lpstr>Ciudad de México_Gen_Edad</vt:lpstr>
      <vt:lpstr>Ciudad de México_ocup_gral</vt:lpstr>
      <vt:lpstr>'Ciudad de México_Cons'!Área_de_impresión</vt:lpstr>
      <vt:lpstr>'Ciudad de México_EdoMun'!Área_de_impresión</vt:lpstr>
      <vt:lpstr>'Ciudad de México_EdoUsa'!Área_de_impresión</vt:lpstr>
      <vt:lpstr>'Ciudad de México_educ_gral'!Área_de_impresión</vt:lpstr>
      <vt:lpstr>'Ciudad de México_EducCons'!Área_de_impresión</vt:lpstr>
      <vt:lpstr>'Ciudad de México_Gen_Edad'!Área_de_impresión</vt:lpstr>
      <vt:lpstr>'Ciudad de México_GENERO'!Área_de_impresión</vt:lpstr>
      <vt:lpstr>'Ciudad de México_GENERO_EUA'!Área_de_impresión</vt:lpstr>
      <vt:lpstr>'Ciudad de México_MUNICIPIO'!Área_de_impresión</vt:lpstr>
      <vt:lpstr>'Ciudad de México_NivelE_Cons'!Área_de_impresión</vt:lpstr>
      <vt:lpstr>'Ciudad de México_ocup_gral'!Área_de_impresión</vt:lpstr>
      <vt:lpstr>'Ciudad de México_USAMuni'!Área_de_impresión</vt:lpstr>
      <vt:lpstr>'Ciudad de MéxicoXCons'!Área_de_impresión</vt:lpstr>
      <vt:lpstr>'Ciudad de México_Cons'!Títulos_a_imprimir</vt:lpstr>
      <vt:lpstr>'Ciudad de México_EdoMun'!Títulos_a_imprimir</vt:lpstr>
      <vt:lpstr>'Ciudad de México_EdoUsa'!Títulos_a_imprimir</vt:lpstr>
      <vt:lpstr>'Ciudad de México_educ_gral'!Títulos_a_imprimir</vt:lpstr>
      <vt:lpstr>'Ciudad de México_EducCons'!Títulos_a_imprimir</vt:lpstr>
      <vt:lpstr>'Ciudad de México_Gen_Edad'!Títulos_a_imprimir</vt:lpstr>
      <vt:lpstr>'Ciudad de México_GENERO'!Títulos_a_imprimir</vt:lpstr>
      <vt:lpstr>'Ciudad de México_GENERO_EUA'!Títulos_a_imprimir</vt:lpstr>
      <vt:lpstr>'Ciudad de México_GenGral'!Títulos_a_imprimir</vt:lpstr>
      <vt:lpstr>'Ciudad de México_MUNICIPIO'!Títulos_a_imprimir</vt:lpstr>
      <vt:lpstr>'Ciudad de México_NivelE_Cons'!Títulos_a_imprimir</vt:lpstr>
      <vt:lpstr>'Ciudad de México_ocup_gral'!Títulos_a_imprimir</vt:lpstr>
      <vt:lpstr>'Ciudad de México_USAMuni'!Títulos_a_imprimir</vt:lpstr>
      <vt:lpstr>'Ciudad de MéxicoXCons'!Títulos_a_imprimir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2025-02-18T19:06:49Z</cp:lastPrinted>
  <dcterms:created xsi:type="dcterms:W3CDTF">2020-06-02T21:59:58Z</dcterms:created>
  <dcterms:modified xsi:type="dcterms:W3CDTF">2025-08-21T17:36:24Z</dcterms:modified>
</cp:coreProperties>
</file>