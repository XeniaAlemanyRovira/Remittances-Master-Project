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5DC2CC19-C4C2-4F0B-B277-7D0C4ECB365A}" xr6:coauthVersionLast="47" xr6:coauthVersionMax="47" xr10:uidLastSave="{00000000-0000-0000-0000-000000000000}"/>
  <bookViews>
    <workbookView xWindow="-110" yWindow="-110" windowWidth="19420" windowHeight="10420" tabRatio="849" firstSheet="9" activeTab="14" xr2:uid="{00000000-000D-0000-FFFF-FFFF00000000}"/>
  </bookViews>
  <sheets>
    <sheet name="Índice" sheetId="1" r:id="rId1"/>
    <sheet name="Coahuila_EdoUsa" sheetId="2" r:id="rId2"/>
    <sheet name="Coahuila_Cons" sheetId="18" r:id="rId3"/>
    <sheet name="CoahuilaXCons" sheetId="19" r:id="rId4"/>
    <sheet name="Coahuila_EdoMun" sheetId="5" r:id="rId5"/>
    <sheet name="Coahuila_USAMuni" sheetId="6" r:id="rId6"/>
    <sheet name="Coahuila_MUNICIPIO" sheetId="11" r:id="rId7"/>
    <sheet name="Coahuila_educ_gral" sheetId="7" r:id="rId8"/>
    <sheet name="Coahuila_NivelE_Cons" sheetId="8" r:id="rId9"/>
    <sheet name="Coahuila_EducCons" sheetId="9" r:id="rId10"/>
    <sheet name="Coahuila_GenGral" sheetId="12" r:id="rId11"/>
    <sheet name="Coahuila_GENERO" sheetId="13" r:id="rId12"/>
    <sheet name="Coahuila_GENERO_EUA" sheetId="20" r:id="rId13"/>
    <sheet name="Coahuila_Gen_Edad" sheetId="16" r:id="rId14"/>
    <sheet name="Coahuila_ocup_gral" sheetId="17" r:id="rId15"/>
  </sheets>
  <definedNames>
    <definedName name="_xlnm._FilterDatabase" localSheetId="2" hidden="1">Coahuila_Cons!$B$11:$D$11</definedName>
    <definedName name="_xlnm._FilterDatabase" localSheetId="4" hidden="1">Coahuila_EdoMun!$B$11:$D$11</definedName>
    <definedName name="_xlnm._FilterDatabase" localSheetId="1" hidden="1">Coahuila_EdoUsa!$B$11:$D$11</definedName>
    <definedName name="_xlnm._FilterDatabase" localSheetId="7" hidden="1">Coahuila_educ_gral!$B$11:$D$11</definedName>
    <definedName name="_xlnm._FilterDatabase" localSheetId="9" hidden="1">Coahuila_EducCons!$B$9:$E$701</definedName>
    <definedName name="_xlnm._FilterDatabase" localSheetId="11" hidden="1">Coahuila_GENERO!$B$12:$E$164</definedName>
    <definedName name="_xlnm._FilterDatabase" localSheetId="12" hidden="1">Coahuila_GENERO_EUA!$B$12:$E$144</definedName>
    <definedName name="_xlnm._FilterDatabase" localSheetId="10" hidden="1">Coahuila_GenGral!$B$11:$D$11</definedName>
    <definedName name="_xlnm._FilterDatabase" localSheetId="6" hidden="1">Coahuila_MUNICIPIO!$B$9:$E$801</definedName>
    <definedName name="_xlnm._FilterDatabase" localSheetId="8" hidden="1">Coahuila_NivelE_Cons!$B$9:$E$491</definedName>
    <definedName name="_xlnm._FilterDatabase" localSheetId="14" hidden="1">Coahuila_ocup_gral!$B$11:$D$11</definedName>
    <definedName name="_xlnm._FilterDatabase" localSheetId="5" hidden="1">Coahuila_USAMuni!$B$9:$E$574</definedName>
    <definedName name="_xlnm._FilterDatabase" localSheetId="3" hidden="1">CoahuilaXCons!$B$11:$D$11</definedName>
    <definedName name="_xlnm.Print_Area" localSheetId="2">Coahuila_Cons!$A$1:$F$69</definedName>
    <definedName name="_xlnm.Print_Area" localSheetId="7">Coahuila_educ_gral!$A$1:$F$43</definedName>
    <definedName name="_xlnm.Print_Area" localSheetId="9">Coahuila_EducCons!$A$1:$E$707</definedName>
    <definedName name="_xlnm.Print_Area" localSheetId="13">Coahuila_Gen_Edad!$A$1:$G$39</definedName>
    <definedName name="_xlnm.Print_Area" localSheetId="11">Coahuila_GENERO!$A$1:$F$170</definedName>
    <definedName name="_xlnm.Print_Area" localSheetId="12">Coahuila_GENERO_EUA!$A$1:$G$150</definedName>
    <definedName name="_xlnm.Print_Area" localSheetId="10">Coahuila_GenGral!$A$1:$F$21</definedName>
    <definedName name="_xlnm.Print_Area" localSheetId="6">Coahuila_MUNICIPIO!$A$1:$E$807</definedName>
    <definedName name="_xlnm.Print_Area" localSheetId="8">Coahuila_NivelE_Cons!$A$1:$E$497</definedName>
    <definedName name="_xlnm.Print_Area" localSheetId="14">Coahuila_ocup_gral!$A$1:$F$69</definedName>
    <definedName name="_xlnm.Print_Area" localSheetId="5">Coahuila_USAMuni!$A$1:$E$580</definedName>
    <definedName name="_xlnm.Print_Area" localSheetId="3">CoahuilaXCons!$A$1:$F$29</definedName>
    <definedName name="_xlnm.Print_Titles" localSheetId="2">Coahuila_Cons!$1:$11</definedName>
    <definedName name="_xlnm.Print_Titles" localSheetId="4">Coahuila_EdoMun!$1:$11</definedName>
    <definedName name="_xlnm.Print_Titles" localSheetId="1">Coahuila_EdoUsa!$1:$11</definedName>
    <definedName name="_xlnm.Print_Titles" localSheetId="7">Coahuila_educ_gral!$1:$11</definedName>
    <definedName name="_xlnm.Print_Titles" localSheetId="9">Coahuila_EducCons!$1:$9</definedName>
    <definedName name="_xlnm.Print_Titles" localSheetId="13">Coahuila_Gen_Edad!$1:$12</definedName>
    <definedName name="_xlnm.Print_Titles" localSheetId="11">Coahuila_GENERO!$1:$12</definedName>
    <definedName name="_xlnm.Print_Titles" localSheetId="12">Coahuila_GENERO_EUA!$1:$12</definedName>
    <definedName name="_xlnm.Print_Titles" localSheetId="10">Coahuila_GenGral!$1:$11</definedName>
    <definedName name="_xlnm.Print_Titles" localSheetId="6">Coahuila_MUNICIPIO!$1:$9</definedName>
    <definedName name="_xlnm.Print_Titles" localSheetId="8">Coahuila_NivelE_Cons!$1:$9</definedName>
    <definedName name="_xlnm.Print_Titles" localSheetId="14">Coahuila_ocup_gral!$1:$11</definedName>
    <definedName name="_xlnm.Print_Titles" localSheetId="5">Coahuila_USAMuni!$1:$9</definedName>
    <definedName name="_xlnm.Print_Titles" localSheetId="3">CoahuilaXCons!$1:$11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16" l="1"/>
  <c r="E28" i="16"/>
  <c r="E27" i="16"/>
  <c r="E26" i="16"/>
  <c r="E25" i="16"/>
  <c r="E24" i="16"/>
  <c r="E23" i="16"/>
  <c r="E22" i="16"/>
  <c r="E20" i="16"/>
  <c r="E19" i="16"/>
  <c r="E18" i="16"/>
  <c r="E17" i="16"/>
  <c r="E16" i="16"/>
  <c r="E15" i="16"/>
  <c r="E14" i="16"/>
  <c r="E13" i="16"/>
  <c r="F33" i="16"/>
  <c r="F32" i="16"/>
  <c r="F31" i="16"/>
  <c r="F30" i="16"/>
  <c r="F29" i="16"/>
  <c r="F28" i="16"/>
  <c r="F27" i="16"/>
  <c r="F26" i="16"/>
  <c r="F25" i="16"/>
  <c r="F24" i="16"/>
  <c r="F23" i="16"/>
  <c r="F22" i="16"/>
  <c r="F21" i="16"/>
  <c r="F20" i="16"/>
  <c r="F19" i="16"/>
  <c r="F18" i="16"/>
  <c r="F17" i="16"/>
  <c r="F16" i="16"/>
  <c r="F15" i="16"/>
  <c r="F14" i="16"/>
  <c r="F13" i="16"/>
  <c r="C22" i="19"/>
  <c r="D22" i="19" l="1"/>
</calcChain>
</file>

<file path=xl/sharedStrings.xml><?xml version="1.0" encoding="utf-8"?>
<sst xmlns="http://schemas.openxmlformats.org/spreadsheetml/2006/main" count="3488" uniqueCount="290">
  <si>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</si>
  <si>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</si>
  <si>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</si>
  <si>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</si>
  <si>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</si>
  <si>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</si>
  <si>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</si>
  <si>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</si>
  <si>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</si>
  <si>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</si>
  <si>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</si>
  <si>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</si>
  <si>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</si>
  <si>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</si>
  <si>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</si>
  <si>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</si>
  <si>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</si>
  <si>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</si>
  <si>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</si>
  <si>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</si>
  <si>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</si>
  <si>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</si>
  <si>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</si>
  <si>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</si>
  <si>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</si>
  <si>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</si>
  <si>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</si>
  <si>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</si>
  <si>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</si>
  <si>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</si>
  <si>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</si>
  <si>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</si>
  <si>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COAHUILA POR GÉNERO Y EDAD EN EE.UU.</t>
  </si>
  <si>
    <t>Ocupación</t>
  </si>
  <si>
    <t>5.2 Por Circunscripción Consular</t>
  </si>
  <si>
    <t>5.3 Por Estado de la Unión Americana</t>
  </si>
  <si>
    <t>MATRÍCULAS CONSULARES DE ALTA SEGURIDAD EXPEDIDAS A ORIGINARIOS DE COAHUILA EN LOS CONSULADOS DE MÉXICO EN EE.UU.</t>
  </si>
  <si>
    <t>MATRÍCULAS CONSULARES EXPEDIDAS A ORIGINARIOS DE COAHUILA POR GÉNERO EN EE.UU</t>
  </si>
  <si>
    <t>MATRÍCULAS CONSULARES EXPEDIDAS EN EE.UU. A ORIGINARIOS DE COAHUILA POR NIVEL DE EDUCACIÓN</t>
  </si>
  <si>
    <t xml:space="preserve">MATRÍCULAS CONSULARES EXPEDIDAS A ORIGINARIOS DE COAHUILA POR GÉNERO Y CONSULADO </t>
  </si>
  <si>
    <t>MATRÍCULAS CONSULARES EXPEDIDAS A ORIGINARIOS DE COAHUILA POR GÉNERO Y POR ESTADO DE LA UNIÓN AMERICANA</t>
  </si>
  <si>
    <t xml:space="preserve">MATRÍCULAS CONSULARES DE ALTA SEGURIDAD EXPEDIDAS POR MUNICIPIO A ORIGINARIOS DEL ESTADO DE COAHUILA EN LOS CONSULADOS DE MÉXICO EN EE.UU. </t>
  </si>
  <si>
    <t>MATRÍCULAS CONSULARES DE ALTA SEGURIDAD EXPEDIDAS A ORIGINARIOS DE COAHUILA POR ESTADO DE LA UNIÓN AMERICANA</t>
  </si>
  <si>
    <t>LOS 10 CONSULADOS  DE MÉXICO EN EE.UU., CON MAYOR NÚMERO DE EXPEDICIÓN DE  MATRÍCULAS CONSULARES DE ALTA SEGURIDAD A ORIGINARIOS DE COAHUILA</t>
  </si>
  <si>
    <t>TOTAL TOP 10</t>
  </si>
  <si>
    <t>TOTAL GENERAL</t>
  </si>
  <si>
    <t>DALLAS</t>
  </si>
  <si>
    <t>SAN ANTONIO</t>
  </si>
  <si>
    <t>HOUSTON</t>
  </si>
  <si>
    <t>AUSTIN</t>
  </si>
  <si>
    <t>OKLAHOMA CITY</t>
  </si>
  <si>
    <t>CHICAGO</t>
  </si>
  <si>
    <t>KANSAS CITY</t>
  </si>
  <si>
    <t>LOS ANGELES</t>
  </si>
  <si>
    <t>EL PASO</t>
  </si>
  <si>
    <t>DENVER</t>
  </si>
  <si>
    <t>MCALLEN</t>
  </si>
  <si>
    <t>LITTLE ROCK</t>
  </si>
  <si>
    <t>ATLANTA</t>
  </si>
  <si>
    <t>RALEIGH</t>
  </si>
  <si>
    <t>SAINT PAUL</t>
  </si>
  <si>
    <t>ALBUQUERQUE</t>
  </si>
  <si>
    <t>PRESIDIO</t>
  </si>
  <si>
    <t>DEL RIO</t>
  </si>
  <si>
    <t>ORLANDO</t>
  </si>
  <si>
    <t>LAREDO</t>
  </si>
  <si>
    <t>MILWAUKEE</t>
  </si>
  <si>
    <t>LAS VEGAS</t>
  </si>
  <si>
    <t>SANTA ANA</t>
  </si>
  <si>
    <t>INDIANAPOLIS</t>
  </si>
  <si>
    <t>PHOENIX</t>
  </si>
  <si>
    <t>BROWNSVILLE</t>
  </si>
  <si>
    <t>OMAHA</t>
  </si>
  <si>
    <t>NUEVA ORLEANS</t>
  </si>
  <si>
    <t>MIAMI</t>
  </si>
  <si>
    <t>SAN BERNARDINO</t>
  </si>
  <si>
    <t>DETROIT</t>
  </si>
  <si>
    <t>EAGLE PASS</t>
  </si>
  <si>
    <t>FRESNO</t>
  </si>
  <si>
    <t>NUEVA YORK</t>
  </si>
  <si>
    <t>SAN JOSE</t>
  </si>
  <si>
    <t>SACRAMENTO</t>
  </si>
  <si>
    <t>FILADELFIA</t>
  </si>
  <si>
    <t>SALT LAKE CITY</t>
  </si>
  <si>
    <t>WASHINGTON</t>
  </si>
  <si>
    <t>SAN FRANCISCO</t>
  </si>
  <si>
    <t>BOISE</t>
  </si>
  <si>
    <t>SAN DIEGO</t>
  </si>
  <si>
    <t>OXNARD</t>
  </si>
  <si>
    <t>SEATTLE</t>
  </si>
  <si>
    <t>TUCSON</t>
  </si>
  <si>
    <t>BOSTON</t>
  </si>
  <si>
    <t>PORTLAND</t>
  </si>
  <si>
    <t>NOGALES</t>
  </si>
  <si>
    <t>YUMA</t>
  </si>
  <si>
    <t>Elaborado por: Análisis de Información, Instituto de Mexicanas y Mexicanos en el Exterior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</si>
  <si>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</si>
  <si>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</si>
  <si>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</si>
  <si>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</si>
  <si>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</si>
  <si>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</si>
  <si>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</si>
  <si>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</si>
  <si>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</si>
  <si>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</si>
  <si>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</si>
  <si>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</si>
  <si>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</si>
  <si>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</si>
  <si>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</si>
  <si>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</si>
  <si>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</si>
  <si>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</si>
  <si>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</si>
  <si>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</si>
  <si>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</si>
  <si>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</si>
  <si>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</si>
  <si>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</si>
  <si>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</si>
  <si>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</si>
  <si>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</si>
  <si>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</si>
  <si>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</si>
  <si>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</si>
  <si>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</si>
  <si>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MATRÍCULAS CONSULARES EXPEDIDAS EN EE.UU. ORIGINARIOS DE COAHUILA POR PERFIL OCUPACIONAL</t>
  </si>
  <si>
    <t>NEW BRUNSWICK</t>
  </si>
  <si>
    <t>CALEXICO</t>
  </si>
  <si>
    <t>Tamaño de la muestra: 808,027</t>
  </si>
  <si>
    <t>KINDERGARTEN</t>
  </si>
  <si>
    <t>ENTRE 00 Y 10 AÑOS</t>
  </si>
  <si>
    <t>ACUÑA</t>
  </si>
  <si>
    <t>FRANCISCO I. MADERO</t>
  </si>
  <si>
    <t>JIMÉNEZ</t>
  </si>
  <si>
    <t>MATAMOROS</t>
  </si>
  <si>
    <t>MONCLOVA</t>
  </si>
  <si>
    <t>MÚZQUIZ</t>
  </si>
  <si>
    <t>PARRAS</t>
  </si>
  <si>
    <t>PIEDRAS NEGRAS</t>
  </si>
  <si>
    <t>SALTILLO</t>
  </si>
  <si>
    <t>SAN BUENAVENTURA</t>
  </si>
  <si>
    <t>SAN JUAN DE SABINAS</t>
  </si>
  <si>
    <t>SAN PEDRO</t>
  </si>
  <si>
    <t>SIERRA MOJADA</t>
  </si>
  <si>
    <t>TORREÓN</t>
  </si>
  <si>
    <t>VIESCA</t>
  </si>
  <si>
    <t>ZARAGOZA</t>
  </si>
  <si>
    <t>ALLENDE</t>
  </si>
  <si>
    <t>ARTEAGA</t>
  </si>
  <si>
    <t>CANDELA</t>
  </si>
  <si>
    <t>CUATRO CIÉNEGAS</t>
  </si>
  <si>
    <t>ESCOBEDO</t>
  </si>
  <si>
    <t>FRONTERA</t>
  </si>
  <si>
    <t>GENERAL CEPEDA</t>
  </si>
  <si>
    <t>JUÁREZ</t>
  </si>
  <si>
    <t>LAMADRID</t>
  </si>
  <si>
    <t>OCAMPO</t>
  </si>
  <si>
    <t>RAMOS ARIZPE</t>
  </si>
  <si>
    <t>SABINAS</t>
  </si>
  <si>
    <t>ABASOLO</t>
  </si>
  <si>
    <t>CASTAÑOS</t>
  </si>
  <si>
    <t>DESCONOCIDO</t>
  </si>
  <si>
    <t>MORELOS</t>
  </si>
  <si>
    <t>NADADORES</t>
  </si>
  <si>
    <t>PROGRESO</t>
  </si>
  <si>
    <t>VILLA UNIÓN</t>
  </si>
  <si>
    <t>GUERRERO</t>
  </si>
  <si>
    <t>HIDALGO</t>
  </si>
  <si>
    <t>NAVA</t>
  </si>
  <si>
    <t>TEXAS</t>
  </si>
  <si>
    <t>CALIFORNIA</t>
  </si>
  <si>
    <t>OKLAHOMA</t>
  </si>
  <si>
    <t>ILLINOIS</t>
  </si>
  <si>
    <t>COLORADO</t>
  </si>
  <si>
    <t>KANSAS</t>
  </si>
  <si>
    <t>FLORIDA</t>
  </si>
  <si>
    <t>TENNESSEE</t>
  </si>
  <si>
    <t>NEW MEXICO</t>
  </si>
  <si>
    <t>GEORGIA</t>
  </si>
  <si>
    <t>NORTH CAROLINA</t>
  </si>
  <si>
    <t>MINNESOTA</t>
  </si>
  <si>
    <t>ARKANSAS</t>
  </si>
  <si>
    <t>ARIZONA</t>
  </si>
  <si>
    <t>WISCONSIN</t>
  </si>
  <si>
    <t>NEBRASKA</t>
  </si>
  <si>
    <t>NEVADA</t>
  </si>
  <si>
    <t>INDIANA</t>
  </si>
  <si>
    <t>ALABAMA</t>
  </si>
  <si>
    <t>MISSOURI</t>
  </si>
  <si>
    <t>MICHIGAN</t>
  </si>
  <si>
    <t>SOUTH CAROLINA</t>
  </si>
  <si>
    <t>LOUISIANA</t>
  </si>
  <si>
    <t>KENTUCKY</t>
  </si>
  <si>
    <t>UTAH</t>
  </si>
  <si>
    <t>IOWA</t>
  </si>
  <si>
    <t>MISSISSIPPI</t>
  </si>
  <si>
    <t>OHIO</t>
  </si>
  <si>
    <t>VIRGINIA</t>
  </si>
  <si>
    <t>NEW YORK</t>
  </si>
  <si>
    <t>IDAHO</t>
  </si>
  <si>
    <t>SOUTH DAKOTA</t>
  </si>
  <si>
    <t>NEW JERSEY</t>
  </si>
  <si>
    <t>MARYLAND</t>
  </si>
  <si>
    <t>PENNSYLVANIA</t>
  </si>
  <si>
    <t>WYOMING</t>
  </si>
  <si>
    <t>CONNECTICUT</t>
  </si>
  <si>
    <t>OREGON</t>
  </si>
  <si>
    <t>NORTH DAKOTA</t>
  </si>
  <si>
    <t>ALASKA</t>
  </si>
  <si>
    <t>DELAWARE</t>
  </si>
  <si>
    <t>HAWAII</t>
  </si>
  <si>
    <t>MASSACHUSETTS</t>
  </si>
  <si>
    <t>WEST VIRGINIA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</si>
  <si>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</si>
  <si>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</si>
  <si>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</si>
  <si>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</si>
  <si>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</si>
  <si>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</si>
  <si>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</si>
  <si>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</si>
  <si>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</si>
  <si>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</si>
  <si>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</si>
  <si>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</si>
  <si>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</si>
  <si>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FEMENINO</t>
  </si>
  <si>
    <t>MASCULINO</t>
  </si>
  <si>
    <t>NO BINARIO</t>
  </si>
  <si>
    <t xml:space="preserve">FEMENINO  </t>
  </si>
  <si>
    <t xml:space="preserve">MASCULINO   </t>
  </si>
  <si>
    <t xml:space="preserve">NO BINARIO  </t>
  </si>
  <si>
    <t>EMPLEADO(A)</t>
  </si>
  <si>
    <t>HOGAR</t>
  </si>
  <si>
    <t>CONSTRUCCIÓN, TRAB. DE LA IND. DE LA</t>
  </si>
  <si>
    <t>ESTUDIANTE</t>
  </si>
  <si>
    <t>OBRERO(A)</t>
  </si>
  <si>
    <t>ALIMENTOS Y BEBIDAS, ESP. EN PREPARACIÓN DE</t>
  </si>
  <si>
    <t>PINTOR(A)</t>
  </si>
  <si>
    <t>JUBILADO(A)/PENSIONADO(A)</t>
  </si>
  <si>
    <t>LIMPIEZA, EMPLEADO DE</t>
  </si>
  <si>
    <t>MESERO(A)</t>
  </si>
  <si>
    <t>MECÁNICO(A)</t>
  </si>
  <si>
    <t>SOLDADOR</t>
  </si>
  <si>
    <t>JARDINERO(A)</t>
  </si>
  <si>
    <t>PROFESIONISTA</t>
  </si>
  <si>
    <t>OPERARIO(A)</t>
  </si>
  <si>
    <t>EMPRESARIO(A)</t>
  </si>
  <si>
    <t>CARPINTERO/TAPICERO</t>
  </si>
  <si>
    <t>DESEMPLEADO</t>
  </si>
  <si>
    <t>VENDEDOR(A)</t>
  </si>
  <si>
    <t>CHOFER</t>
  </si>
  <si>
    <t>SIN ESPECIFICAR</t>
  </si>
  <si>
    <t>OTRO</t>
  </si>
  <si>
    <t>COMERCIANTE</t>
  </si>
  <si>
    <t>AGROPECUARIA, TRAB. DE LA INDUSTRIA</t>
  </si>
  <si>
    <t>CAJERO(A)/COBRADOR(A)</t>
  </si>
  <si>
    <t>TÉCNICO(A) EN MANTENIMIENTO</t>
  </si>
  <si>
    <t>BELLEZA, PROFESIONAL DE SERVICIOS DE</t>
  </si>
  <si>
    <t>PROFESOR(A)</t>
  </si>
  <si>
    <t>ENFERMERO(A)/TRAB. DE APOYO EN SALUD</t>
  </si>
  <si>
    <t>MINISTRO(A) RELIGIOSO(A)</t>
  </si>
  <si>
    <t>SUPERVISOR(A)</t>
  </si>
  <si>
    <t>CARNICERO(A)</t>
  </si>
  <si>
    <t>ADMINISTRADOR(A)/CONTADOR(A)</t>
  </si>
  <si>
    <t>INGENIERO(A)</t>
  </si>
  <si>
    <t>PROFESIONAL TÉCNICO</t>
  </si>
  <si>
    <t>DISCAPACITADO</t>
  </si>
  <si>
    <t>EXTRACCIÓN, TRAB. DE LA INDUSTRIA DE LA</t>
  </si>
  <si>
    <t>GERENTE/DIRECTOR(A)</t>
  </si>
  <si>
    <t>ABOGADO(A)</t>
  </si>
  <si>
    <t>MODISTA/SASTRE</t>
  </si>
  <si>
    <t>ARTISTA INTERPRETATIVO(A)</t>
  </si>
  <si>
    <t>AUXILIARES ADMINISTRATIVOS Y DE OFICINA</t>
  </si>
  <si>
    <t>CONSULTOR</t>
  </si>
  <si>
    <t>DISEÑADOR(A)</t>
  </si>
  <si>
    <t>HERRERO(A)/CERRAJERO(A)/JOYERO(A)</t>
  </si>
  <si>
    <t>HOJALATERO</t>
  </si>
  <si>
    <t>LOCUTOR(A)/ANIMADOR(A)</t>
  </si>
  <si>
    <t>MILITAR</t>
  </si>
  <si>
    <t>MÉDICO(A) /ESP. EN SALUD</t>
  </si>
  <si>
    <t>PLANCHADOR(A)</t>
  </si>
  <si>
    <t>TOTAL</t>
  </si>
  <si>
    <t>Junio de 2025</t>
  </si>
  <si>
    <t xml:space="preserve"> TOTAL </t>
  </si>
  <si>
    <t>Matrículas consulares expedidas a originarios de Coahuila en el 2024</t>
  </si>
  <si>
    <t xml:space="preserve"> TOTAL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</si>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</sst>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30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Noto Sans"/>
      <family val="2"/>
    </font>
    <font>
      <sz val="11"/>
      <color theme="1"/>
      <name val="Noto Sans"/>
      <family val="2"/>
    </font>
    <font>
      <b/>
      <sz val="9"/>
      <color indexed="9"/>
      <name val="Noto Sans"/>
      <family val="2"/>
    </font>
    <font>
      <b/>
      <sz val="9"/>
      <color theme="0"/>
      <name val="Noto Sans"/>
      <family val="2"/>
    </font>
    <font>
      <sz val="8"/>
      <color rgb="FF000000"/>
      <name val="Noto Sans"/>
      <family val="2"/>
    </font>
    <font>
      <sz val="11"/>
      <name val="Noto Sans"/>
      <family val="2"/>
    </font>
    <font>
      <sz val="7"/>
      <color indexed="8"/>
      <name val="Noto Sans"/>
      <family val="2"/>
    </font>
    <font>
      <sz val="10"/>
      <color theme="1"/>
      <name val="Noto Sans"/>
      <family val="2"/>
    </font>
    <font>
      <b/>
      <sz val="1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  <font>
      <sz val="9"/>
      <color theme="0"/>
      <name val="Noto Sans"/>
      <family val="2"/>
    </font>
    <font>
      <b/>
      <sz val="8"/>
      <color theme="0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 style="medium">
        <color rgb="FF979991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9" fillId="0" borderId="0"/>
  </cellStyleXfs>
  <cellXfs count="117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0" fontId="5" fillId="0" borderId="0" xfId="0" applyFont="1"/>
    <xf numFmtId="3" fontId="5" fillId="0" borderId="0" xfId="0" applyNumberFormat="1" applyFont="1"/>
    <xf numFmtId="1" fontId="5" fillId="0" borderId="0" xfId="0" applyNumberFormat="1" applyFont="1"/>
    <xf numFmtId="0" fontId="6" fillId="3" borderId="0" xfId="0" applyFont="1" applyFill="1"/>
    <xf numFmtId="0" fontId="7" fillId="3" borderId="0" xfId="0" applyFont="1" applyFill="1"/>
    <xf numFmtId="0" fontId="8" fillId="3" borderId="0" xfId="0" applyFont="1" applyFill="1"/>
    <xf numFmtId="0" fontId="5" fillId="3" borderId="0" xfId="0" applyFont="1" applyFill="1"/>
    <xf numFmtId="0" fontId="10" fillId="3" borderId="0" xfId="0" applyFont="1" applyFill="1"/>
    <xf numFmtId="0" fontId="8" fillId="3" borderId="0" xfId="0" applyFont="1" applyFill="1" applyAlignment="1">
      <alignment vertical="center"/>
    </xf>
    <xf numFmtId="3" fontId="5" fillId="3" borderId="0" xfId="0" applyNumberFormat="1" applyFont="1" applyFill="1"/>
    <xf numFmtId="1" fontId="5" fillId="3" borderId="0" xfId="0" applyNumberFormat="1" applyFont="1" applyFill="1"/>
    <xf numFmtId="0" fontId="5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12" fillId="0" borderId="4" xfId="0" applyFont="1" applyBorder="1"/>
    <xf numFmtId="0" fontId="14" fillId="3" borderId="0" xfId="0" applyFont="1" applyFill="1" applyAlignment="1">
      <alignment vertical="center"/>
    </xf>
    <xf numFmtId="0" fontId="14" fillId="3" borderId="0" xfId="0" applyFont="1" applyFill="1"/>
    <xf numFmtId="49" fontId="14" fillId="0" borderId="13" xfId="0" applyNumberFormat="1" applyFont="1" applyBorder="1" applyAlignment="1">
      <alignment vertical="top" wrapText="1"/>
    </xf>
    <xf numFmtId="165" fontId="18" fillId="6" borderId="14" xfId="0" applyNumberFormat="1" applyFont="1" applyFill="1" applyBorder="1" applyAlignment="1">
      <alignment horizontal="right" vertical="top" wrapText="1"/>
    </xf>
    <xf numFmtId="164" fontId="18" fillId="6" borderId="15" xfId="0" applyNumberFormat="1" applyFont="1" applyFill="1" applyBorder="1" applyAlignment="1">
      <alignment horizontal="right" vertical="top" wrapText="1"/>
    </xf>
    <xf numFmtId="0" fontId="19" fillId="3" borderId="0" xfId="0" applyFont="1" applyFill="1"/>
    <xf numFmtId="0" fontId="20" fillId="3" borderId="0" xfId="0" applyFont="1" applyFill="1"/>
    <xf numFmtId="3" fontId="14" fillId="3" borderId="0" xfId="0" applyNumberFormat="1" applyFont="1" applyFill="1"/>
    <xf numFmtId="0" fontId="20" fillId="3" borderId="0" xfId="0" applyFont="1" applyFill="1" applyAlignment="1">
      <alignment vertical="center"/>
    </xf>
    <xf numFmtId="0" fontId="20" fillId="3" borderId="0" xfId="0" applyFont="1" applyFill="1" applyAlignment="1">
      <alignment vertical="top"/>
    </xf>
    <xf numFmtId="0" fontId="14" fillId="0" borderId="0" xfId="0" applyFont="1"/>
    <xf numFmtId="1" fontId="14" fillId="0" borderId="0" xfId="0" applyNumberFormat="1" applyFont="1"/>
    <xf numFmtId="3" fontId="14" fillId="0" borderId="0" xfId="0" applyNumberFormat="1" applyFont="1"/>
    <xf numFmtId="0" fontId="15" fillId="0" borderId="0" xfId="0" applyFont="1" applyAlignment="1">
      <alignment horizontal="center" vertical="center" wrapText="1"/>
    </xf>
    <xf numFmtId="0" fontId="17" fillId="2" borderId="9" xfId="0" applyFont="1" applyFill="1" applyBorder="1" applyAlignment="1">
      <alignment horizontal="center" vertical="center" wrapText="1"/>
    </xf>
    <xf numFmtId="1" fontId="17" fillId="2" borderId="9" xfId="0" applyNumberFormat="1" applyFont="1" applyFill="1" applyBorder="1" applyAlignment="1">
      <alignment horizontal="center" vertical="center" wrapText="1"/>
    </xf>
    <xf numFmtId="0" fontId="15" fillId="3" borderId="0" xfId="0" applyFont="1" applyFill="1"/>
    <xf numFmtId="3" fontId="15" fillId="3" borderId="0" xfId="0" applyNumberFormat="1" applyFont="1" applyFill="1"/>
    <xf numFmtId="0" fontId="17" fillId="2" borderId="11" xfId="0" applyFont="1" applyFill="1" applyBorder="1" applyAlignment="1">
      <alignment horizontal="center" vertical="center" wrapText="1"/>
    </xf>
    <xf numFmtId="1" fontId="17" fillId="2" borderId="10" xfId="0" applyNumberFormat="1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49" fontId="17" fillId="4" borderId="9" xfId="0" applyNumberFormat="1" applyFont="1" applyFill="1" applyBorder="1" applyAlignment="1">
      <alignment vertical="center" wrapText="1"/>
    </xf>
    <xf numFmtId="3" fontId="17" fillId="4" borderId="9" xfId="0" applyNumberFormat="1" applyFont="1" applyFill="1" applyBorder="1" applyAlignment="1">
      <alignment horizontal="right" vertical="center" wrapText="1"/>
    </xf>
    <xf numFmtId="164" fontId="17" fillId="4" borderId="9" xfId="0" applyNumberFormat="1" applyFont="1" applyFill="1" applyBorder="1" applyAlignment="1">
      <alignment horizontal="right" vertical="center" wrapText="1"/>
    </xf>
    <xf numFmtId="0" fontId="22" fillId="3" borderId="0" xfId="0" applyFont="1" applyFill="1"/>
    <xf numFmtId="0" fontId="23" fillId="0" borderId="0" xfId="0" applyFont="1" applyAlignment="1">
      <alignment horizontal="justify" vertical="center"/>
    </xf>
    <xf numFmtId="0" fontId="23" fillId="0" borderId="0" xfId="0" applyFont="1" applyAlignment="1">
      <alignment vertical="top"/>
    </xf>
    <xf numFmtId="0" fontId="24" fillId="3" borderId="0" xfId="0" applyFont="1" applyFill="1"/>
    <xf numFmtId="0" fontId="24" fillId="3" borderId="12" xfId="0" applyFont="1" applyFill="1" applyBorder="1" applyAlignment="1">
      <alignment horizontal="center" vertical="distributed"/>
    </xf>
    <xf numFmtId="0" fontId="25" fillId="5" borderId="9" xfId="3" applyFont="1" applyFill="1" applyBorder="1" applyAlignment="1">
      <alignment horizontal="center" vertical="center" wrapText="1"/>
    </xf>
    <xf numFmtId="0" fontId="25" fillId="5" borderId="10" xfId="3" applyFont="1" applyFill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165" fontId="26" fillId="6" borderId="9" xfId="0" applyNumberFormat="1" applyFont="1" applyFill="1" applyBorder="1" applyAlignment="1">
      <alignment horizontal="right" vertical="top" wrapText="1"/>
    </xf>
    <xf numFmtId="164" fontId="26" fillId="6" borderId="9" xfId="0" applyNumberFormat="1" applyFont="1" applyFill="1" applyBorder="1" applyAlignment="1">
      <alignment horizontal="right" vertical="top" wrapText="1"/>
    </xf>
    <xf numFmtId="165" fontId="17" fillId="7" borderId="9" xfId="0" applyNumberFormat="1" applyFont="1" applyFill="1" applyBorder="1" applyAlignment="1">
      <alignment horizontal="right" vertical="top" wrapText="1"/>
    </xf>
    <xf numFmtId="164" fontId="28" fillId="7" borderId="9" xfId="0" applyNumberFormat="1" applyFont="1" applyFill="1" applyBorder="1" applyAlignment="1">
      <alignment horizontal="right" vertical="top" wrapText="1"/>
    </xf>
    <xf numFmtId="0" fontId="17" fillId="7" borderId="9" xfId="0" applyFont="1" applyFill="1" applyBorder="1" applyAlignment="1">
      <alignment vertical="center" wrapText="1"/>
    </xf>
    <xf numFmtId="164" fontId="17" fillId="7" borderId="9" xfId="0" applyNumberFormat="1" applyFont="1" applyFill="1" applyBorder="1" applyAlignment="1">
      <alignment horizontal="right" vertical="top" wrapText="1"/>
    </xf>
    <xf numFmtId="0" fontId="17" fillId="4" borderId="9" xfId="0" applyFont="1" applyFill="1" applyBorder="1" applyAlignment="1">
      <alignment vertical="center" wrapText="1"/>
    </xf>
    <xf numFmtId="165" fontId="17" fillId="4" borderId="9" xfId="0" applyNumberFormat="1" applyFont="1" applyFill="1" applyBorder="1" applyAlignment="1">
      <alignment horizontal="right" vertical="top" wrapText="1"/>
    </xf>
    <xf numFmtId="164" fontId="17" fillId="4" borderId="9" xfId="0" applyNumberFormat="1" applyFont="1" applyFill="1" applyBorder="1" applyAlignment="1">
      <alignment horizontal="right" vertical="top" wrapText="1"/>
    </xf>
    <xf numFmtId="49" fontId="27" fillId="0" borderId="9" xfId="0" applyNumberFormat="1" applyFont="1" applyBorder="1" applyAlignment="1">
      <alignment vertical="top" wrapText="1"/>
    </xf>
    <xf numFmtId="49" fontId="17" fillId="7" borderId="9" xfId="0" applyNumberFormat="1" applyFont="1" applyFill="1" applyBorder="1" applyAlignment="1">
      <alignment vertical="top" wrapText="1"/>
    </xf>
    <xf numFmtId="0" fontId="18" fillId="0" borderId="9" xfId="0" applyFont="1" applyBorder="1" applyAlignment="1">
      <alignment vertical="center" wrapText="1"/>
    </xf>
    <xf numFmtId="165" fontId="18" fillId="6" borderId="9" xfId="0" applyNumberFormat="1" applyFont="1" applyFill="1" applyBorder="1" applyAlignment="1">
      <alignment horizontal="right" vertical="top" wrapText="1"/>
    </xf>
    <xf numFmtId="164" fontId="18" fillId="6" borderId="9" xfId="0" applyNumberFormat="1" applyFont="1" applyFill="1" applyBorder="1" applyAlignment="1">
      <alignment horizontal="right" vertical="top" wrapText="1"/>
    </xf>
    <xf numFmtId="0" fontId="13" fillId="0" borderId="4" xfId="1" applyFont="1" applyBorder="1" applyAlignment="1">
      <alignment horizontal="left"/>
    </xf>
    <xf numFmtId="0" fontId="13" fillId="0" borderId="0" xfId="1" applyFont="1" applyBorder="1" applyAlignment="1">
      <alignment horizontal="left"/>
    </xf>
    <xf numFmtId="0" fontId="13" fillId="0" borderId="5" xfId="1" applyFont="1" applyBorder="1" applyAlignment="1">
      <alignment horizontal="left"/>
    </xf>
    <xf numFmtId="0" fontId="11" fillId="2" borderId="1" xfId="0" applyFont="1" applyFill="1" applyBorder="1" applyAlignment="1">
      <alignment horizontal="center" wrapText="1"/>
    </xf>
    <xf numFmtId="0" fontId="11" fillId="2" borderId="2" xfId="0" applyFont="1" applyFill="1" applyBorder="1" applyAlignment="1">
      <alignment horizontal="center" wrapText="1"/>
    </xf>
    <xf numFmtId="0" fontId="11" fillId="2" borderId="3" xfId="0" applyFont="1" applyFill="1" applyBorder="1" applyAlignment="1">
      <alignment horizontal="center" wrapText="1"/>
    </xf>
    <xf numFmtId="0" fontId="12" fillId="0" borderId="4" xfId="0" applyFont="1" applyBorder="1" applyAlignment="1">
      <alignment horizontal="left" wrapText="1"/>
    </xf>
    <xf numFmtId="0" fontId="12" fillId="0" borderId="0" xfId="0" applyFont="1" applyAlignment="1">
      <alignment horizontal="left" wrapText="1"/>
    </xf>
    <xf numFmtId="0" fontId="12" fillId="0" borderId="5" xfId="0" applyFont="1" applyBorder="1" applyAlignment="1">
      <alignment horizontal="left" wrapText="1"/>
    </xf>
    <xf numFmtId="0" fontId="21" fillId="0" borderId="0" xfId="0" applyFont="1" applyAlignment="1">
      <alignment horizontal="center" vertical="center" wrapText="1"/>
    </xf>
    <xf numFmtId="0" fontId="15" fillId="3" borderId="0" xfId="0" applyFont="1" applyFill="1" applyAlignment="1">
      <alignment horizontal="center" wrapText="1"/>
    </xf>
    <xf numFmtId="0" fontId="17" fillId="4" borderId="19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6" fillId="0" borderId="17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49" fontId="27" fillId="0" borderId="10" xfId="0" applyNumberFormat="1" applyFont="1" applyBorder="1" applyAlignment="1">
      <alignment horizontal="center" vertical="center" wrapText="1"/>
    </xf>
    <xf numFmtId="49" fontId="27" fillId="0" borderId="17" xfId="0" applyNumberFormat="1" applyFont="1" applyBorder="1" applyAlignment="1">
      <alignment horizontal="center" vertical="center" wrapText="1"/>
    </xf>
    <xf numFmtId="49" fontId="27" fillId="0" borderId="18" xfId="0" applyNumberFormat="1" applyFont="1" applyBorder="1" applyAlignment="1">
      <alignment horizontal="center" vertical="center" wrapText="1"/>
    </xf>
    <xf numFmtId="0" fontId="29" fillId="4" borderId="9" xfId="0" applyFont="1" applyFill="1" applyBorder="1" applyAlignment="1">
      <alignment vertical="center" wrapText="1"/>
    </xf>
    <xf numFmtId="165" fontId="29" fillId="4" borderId="9" xfId="0" applyNumberFormat="1" applyFont="1" applyFill="1" applyBorder="1" applyAlignment="1">
      <alignment horizontal="right" vertical="top" wrapText="1"/>
    </xf>
    <xf numFmtId="164" fontId="29" fillId="4" borderId="9" xfId="0" applyNumberFormat="1" applyFont="1" applyFill="1" applyBorder="1" applyAlignment="1">
      <alignment horizontal="right" vertical="top" wrapText="1"/>
    </xf>
    <xf numFmtId="49" fontId="14" fillId="0" borderId="9" xfId="0" applyNumberFormat="1" applyFont="1" applyBorder="1" applyAlignment="1">
      <alignment vertical="top" wrapText="1"/>
    </xf>
    <xf numFmtId="165" fontId="29" fillId="4" borderId="9" xfId="0" applyNumberFormat="1" applyFont="1" applyFill="1" applyBorder="1" applyAlignment="1">
      <alignment horizontal="left" vertical="top" wrapText="1"/>
    </xf>
    <xf numFmtId="0" fontId="16" fillId="2" borderId="9" xfId="3" applyFont="1" applyFill="1" applyBorder="1" applyAlignment="1">
      <alignment horizontal="center" vertical="center" wrapText="1"/>
    </xf>
    <xf numFmtId="0" fontId="17" fillId="2" borderId="9" xfId="3" applyFont="1" applyFill="1" applyBorder="1" applyAlignment="1">
      <alignment horizontal="center" vertical="center" wrapText="1"/>
    </xf>
    <xf numFmtId="1" fontId="16" fillId="2" borderId="9" xfId="3" applyNumberFormat="1" applyFont="1" applyFill="1" applyBorder="1" applyAlignment="1">
      <alignment horizontal="center" vertical="center" wrapText="1"/>
    </xf>
    <xf numFmtId="165" fontId="29" fillId="7" borderId="9" xfId="0" applyNumberFormat="1" applyFont="1" applyFill="1" applyBorder="1" applyAlignment="1">
      <alignment horizontal="right" vertical="top" wrapText="1"/>
    </xf>
    <xf numFmtId="0" fontId="29" fillId="7" borderId="9" xfId="0" applyFont="1" applyFill="1" applyBorder="1" applyAlignment="1">
      <alignment vertical="center" wrapText="1"/>
    </xf>
    <xf numFmtId="164" fontId="29" fillId="7" borderId="9" xfId="0" applyNumberFormat="1" applyFont="1" applyFill="1" applyBorder="1" applyAlignment="1">
      <alignment horizontal="right" vertical="top" wrapText="1"/>
    </xf>
    <xf numFmtId="0" fontId="18" fillId="0" borderId="10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29" fillId="4" borderId="19" xfId="0" applyFont="1" applyFill="1" applyBorder="1" applyAlignment="1">
      <alignment horizontal="center" vertical="center" wrapText="1"/>
    </xf>
    <xf numFmtId="0" fontId="29" fillId="4" borderId="16" xfId="0" applyFont="1" applyFill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 wrapText="1"/>
    </xf>
    <xf numFmtId="0" fontId="17" fillId="4" borderId="9" xfId="0" applyFont="1" applyFill="1" applyBorder="1" applyAlignment="1">
      <alignment horizontal="center" vertical="center" wrapText="1"/>
    </xf>
    <xf numFmtId="49" fontId="29" fillId="4" borderId="9" xfId="0" applyNumberFormat="1" applyFont="1" applyFill="1" applyBorder="1" applyAlignment="1">
      <alignment vertical="top" wrapText="1"/>
    </xf>
    <xf numFmtId="0" fontId="26" fillId="0" borderId="9" xfId="0" applyFont="1" applyBorder="1" applyAlignment="1">
      <alignment horizontal="center" vertical="center"/>
    </xf>
    <xf numFmtId="49" fontId="17" fillId="4" borderId="19" xfId="0" applyNumberFormat="1" applyFont="1" applyFill="1" applyBorder="1" applyAlignment="1">
      <alignment horizontal="left" vertical="top" wrapText="1"/>
    </xf>
    <xf numFmtId="49" fontId="17" fillId="4" borderId="16" xfId="0" applyNumberFormat="1" applyFont="1" applyFill="1" applyBorder="1" applyAlignment="1">
      <alignment horizontal="left" vertical="top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388066</xdr:colOff>
      <xdr:row>1</xdr:row>
      <xdr:rowOff>177492</xdr:rowOff>
    </xdr:from>
    <xdr:to>
      <xdr:col>3</xdr:col>
      <xdr:colOff>900163</xdr:colOff>
      <xdr:row>2</xdr:row>
      <xdr:rowOff>177492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74216" y="710892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204306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2" y="193261"/>
          <a:ext cx="543145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COAHUILA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209550</xdr:colOff>
      <xdr:row>7</xdr:row>
      <xdr:rowOff>133350</xdr:rowOff>
    </xdr:from>
    <xdr:to>
      <xdr:col>5</xdr:col>
      <xdr:colOff>102522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38675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105136</xdr:colOff>
      <xdr:row>1</xdr:row>
      <xdr:rowOff>113007</xdr:rowOff>
    </xdr:from>
    <xdr:to>
      <xdr:col>1</xdr:col>
      <xdr:colOff>1105261</xdr:colOff>
      <xdr:row>2</xdr:row>
      <xdr:rowOff>144384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22691C6-DB10-4A04-BA4E-AFFDAC4D95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136" y="303507"/>
          <a:ext cx="1617608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285477</xdr:colOff>
      <xdr:row>1</xdr:row>
      <xdr:rowOff>78409</xdr:rowOff>
    </xdr:from>
    <xdr:to>
      <xdr:col>5</xdr:col>
      <xdr:colOff>77997</xdr:colOff>
      <xdr:row>3</xdr:row>
      <xdr:rowOff>165844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8AE416D-437E-4560-A59F-E37EFA94CD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27327" y="26890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COAHUILA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61010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117890</xdr:colOff>
      <xdr:row>1</xdr:row>
      <xdr:rowOff>104913</xdr:rowOff>
    </xdr:from>
    <xdr:to>
      <xdr:col>1</xdr:col>
      <xdr:colOff>1118015</xdr:colOff>
      <xdr:row>2</xdr:row>
      <xdr:rowOff>136290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DBC3BA-0061-42B0-B9EB-690FC9389C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890" y="298174"/>
          <a:ext cx="1646168" cy="2246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446434</xdr:colOff>
      <xdr:row>1</xdr:row>
      <xdr:rowOff>74543</xdr:rowOff>
    </xdr:from>
    <xdr:to>
      <xdr:col>5</xdr:col>
      <xdr:colOff>265458</xdr:colOff>
      <xdr:row>3</xdr:row>
      <xdr:rowOff>161978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3F79A32-8F30-4E6C-82D2-FA019CEA88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84695" y="267804"/>
          <a:ext cx="465067" cy="4739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COAHUILA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62915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134458</xdr:colOff>
      <xdr:row>1</xdr:row>
      <xdr:rowOff>107676</xdr:rowOff>
    </xdr:from>
    <xdr:to>
      <xdr:col>1</xdr:col>
      <xdr:colOff>1134583</xdr:colOff>
      <xdr:row>2</xdr:row>
      <xdr:rowOff>139053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40F7117-DB32-4484-A077-419CF712D1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458" y="300937"/>
          <a:ext cx="1646168" cy="2246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460238</xdr:colOff>
      <xdr:row>1</xdr:row>
      <xdr:rowOff>57979</xdr:rowOff>
    </xdr:from>
    <xdr:to>
      <xdr:col>5</xdr:col>
      <xdr:colOff>279262</xdr:colOff>
      <xdr:row>3</xdr:row>
      <xdr:rowOff>145414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F186645-DADB-4F20-B0D1-AC457E3F01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98499" y="251240"/>
          <a:ext cx="465067" cy="4739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303696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591184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COAHUILA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257175</xdr:colOff>
      <xdr:row>7</xdr:row>
      <xdr:rowOff>161925</xdr:rowOff>
    </xdr:from>
    <xdr:to>
      <xdr:col>5</xdr:col>
      <xdr:colOff>150147</xdr:colOff>
      <xdr:row>8</xdr:row>
      <xdr:rowOff>155780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86300" y="16859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98566</xdr:colOff>
      <xdr:row>1</xdr:row>
      <xdr:rowOff>60742</xdr:rowOff>
    </xdr:from>
    <xdr:to>
      <xdr:col>1</xdr:col>
      <xdr:colOff>1098691</xdr:colOff>
      <xdr:row>2</xdr:row>
      <xdr:rowOff>92119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48D94AB-01F1-4870-8939-F78221FACA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6" y="25124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388455</xdr:colOff>
      <xdr:row>1</xdr:row>
      <xdr:rowOff>44174</xdr:rowOff>
    </xdr:from>
    <xdr:to>
      <xdr:col>5</xdr:col>
      <xdr:colOff>207479</xdr:colOff>
      <xdr:row>3</xdr:row>
      <xdr:rowOff>131609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E93E4B7-2EDB-4951-A8CD-EC3924BA47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92368" y="23467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COAHUILA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COAHUILA POR ESTADO EN EE.UU.</a:t>
          </a:r>
        </a:p>
      </xdr:txBody>
    </xdr:sp>
    <xdr:clientData/>
  </xdr:twoCellAnchor>
  <xdr:twoCellAnchor>
    <xdr:from>
      <xdr:col>4</xdr:col>
      <xdr:colOff>491950</xdr:colOff>
      <xdr:row>7</xdr:row>
      <xdr:rowOff>31401</xdr:rowOff>
    </xdr:from>
    <xdr:to>
      <xdr:col>4</xdr:col>
      <xdr:colOff>1004047</xdr:colOff>
      <xdr:row>7</xdr:row>
      <xdr:rowOff>215756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28846" y="176892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88526</xdr:colOff>
      <xdr:row>1</xdr:row>
      <xdr:rowOff>117799</xdr:rowOff>
    </xdr:from>
    <xdr:to>
      <xdr:col>2</xdr:col>
      <xdr:colOff>185847</xdr:colOff>
      <xdr:row>2</xdr:row>
      <xdr:rowOff>149176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9F62563-4001-4136-8124-E48DC1D897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761" y="267211"/>
          <a:ext cx="1688557" cy="2256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536761</xdr:colOff>
      <xdr:row>1</xdr:row>
      <xdr:rowOff>87916</xdr:rowOff>
    </xdr:from>
    <xdr:to>
      <xdr:col>4</xdr:col>
      <xdr:colOff>976981</xdr:colOff>
      <xdr:row>3</xdr:row>
      <xdr:rowOff>175351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7B9A95A-B53E-4E86-814D-7B7D17FB9B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5173" y="237328"/>
          <a:ext cx="440220" cy="4759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COAHUILA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COAHUILA EN LOS CONSULADOS DE MÉXICO EN EE.UU.</a:t>
          </a:r>
        </a:p>
      </xdr:txBody>
    </xdr:sp>
    <xdr:clientData/>
  </xdr:twoCellAnchor>
  <xdr:twoCellAnchor>
    <xdr:from>
      <xdr:col>4</xdr:col>
      <xdr:colOff>495300</xdr:colOff>
      <xdr:row>7</xdr:row>
      <xdr:rowOff>114300</xdr:rowOff>
    </xdr:from>
    <xdr:to>
      <xdr:col>4</xdr:col>
      <xdr:colOff>1007397</xdr:colOff>
      <xdr:row>7</xdr:row>
      <xdr:rowOff>298655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4788A9B-52CF-472E-89EE-D4FF47A8E37A}"/>
            </a:ext>
          </a:extLst>
        </xdr:cNvPr>
        <xdr:cNvSpPr/>
      </xdr:nvSpPr>
      <xdr:spPr>
        <a:xfrm>
          <a:off x="5133975" y="18573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95249</xdr:colOff>
      <xdr:row>1</xdr:row>
      <xdr:rowOff>132179</xdr:rowOff>
    </xdr:from>
    <xdr:to>
      <xdr:col>2</xdr:col>
      <xdr:colOff>192570</xdr:colOff>
      <xdr:row>2</xdr:row>
      <xdr:rowOff>163556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B4EA9A5-AAE4-4C4D-A776-CB7E5640F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099" y="284579"/>
          <a:ext cx="169117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571499</xdr:colOff>
      <xdr:row>1</xdr:row>
      <xdr:rowOff>87730</xdr:rowOff>
    </xdr:from>
    <xdr:to>
      <xdr:col>4</xdr:col>
      <xdr:colOff>1011719</xdr:colOff>
      <xdr:row>3</xdr:row>
      <xdr:rowOff>161926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06756C8-8F9F-467E-8E9E-2AC4318C2E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05449" y="240130"/>
          <a:ext cx="440220" cy="4551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176695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41432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COAHUILA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276225</xdr:colOff>
      <xdr:row>8</xdr:row>
      <xdr:rowOff>180975</xdr:rowOff>
    </xdr:from>
    <xdr:to>
      <xdr:col>5</xdr:col>
      <xdr:colOff>169197</xdr:colOff>
      <xdr:row>8</xdr:row>
      <xdr:rowOff>365330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AAECD3-411F-428C-96A0-4BAA4CD80691}"/>
            </a:ext>
          </a:extLst>
        </xdr:cNvPr>
        <xdr:cNvSpPr/>
      </xdr:nvSpPr>
      <xdr:spPr>
        <a:xfrm>
          <a:off x="5667375" y="18954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117891</xdr:colOff>
      <xdr:row>1</xdr:row>
      <xdr:rowOff>110436</xdr:rowOff>
    </xdr:from>
    <xdr:to>
      <xdr:col>1</xdr:col>
      <xdr:colOff>1118016</xdr:colOff>
      <xdr:row>2</xdr:row>
      <xdr:rowOff>141813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D77DBB-E4B3-4B97-B935-53F7F3D143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891" y="303697"/>
          <a:ext cx="1646168" cy="2246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247651</xdr:colOff>
      <xdr:row>1</xdr:row>
      <xdr:rowOff>102153</xdr:rowOff>
    </xdr:from>
    <xdr:to>
      <xdr:col>5</xdr:col>
      <xdr:colOff>66675</xdr:colOff>
      <xdr:row>3</xdr:row>
      <xdr:rowOff>189588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706A297-909C-44E4-A329-216466DEE3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96390" y="295414"/>
          <a:ext cx="465068" cy="4739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COAHUILA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COAHUILA POR NIVEL DE EDUCACIÓN Y ESTADO EN EE.UU.</a:t>
          </a:r>
        </a:p>
      </xdr:txBody>
    </xdr:sp>
    <xdr:clientData/>
  </xdr:twoCellAnchor>
  <xdr:twoCellAnchor>
    <xdr:from>
      <xdr:col>4</xdr:col>
      <xdr:colOff>596348</xdr:colOff>
      <xdr:row>7</xdr:row>
      <xdr:rowOff>41413</xdr:rowOff>
    </xdr:from>
    <xdr:to>
      <xdr:col>4</xdr:col>
      <xdr:colOff>1108445</xdr:colOff>
      <xdr:row>7</xdr:row>
      <xdr:rowOff>225768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F37B2D4-9A64-4CA0-AB1F-EA84B94466BF}"/>
            </a:ext>
          </a:extLst>
        </xdr:cNvPr>
        <xdr:cNvSpPr/>
      </xdr:nvSpPr>
      <xdr:spPr>
        <a:xfrm>
          <a:off x="5234609" y="1780761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100771</xdr:colOff>
      <xdr:row>1</xdr:row>
      <xdr:rowOff>179114</xdr:rowOff>
    </xdr:from>
    <xdr:to>
      <xdr:col>2</xdr:col>
      <xdr:colOff>198092</xdr:colOff>
      <xdr:row>3</xdr:row>
      <xdr:rowOff>17231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69C0142-2F69-4C59-92EF-885D2D1803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2554" y="333723"/>
          <a:ext cx="1693103" cy="2246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531467</xdr:colOff>
      <xdr:row>1</xdr:row>
      <xdr:rowOff>70197</xdr:rowOff>
    </xdr:from>
    <xdr:to>
      <xdr:col>4</xdr:col>
      <xdr:colOff>971687</xdr:colOff>
      <xdr:row>3</xdr:row>
      <xdr:rowOff>157632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DD37625-B1B4-445C-A0A6-1F5F59676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6119" y="224806"/>
          <a:ext cx="440220" cy="4739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COAHUILA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1</xdr:col>
      <xdr:colOff>47124</xdr:colOff>
      <xdr:row>5</xdr:row>
      <xdr:rowOff>244140</xdr:rowOff>
    </xdr:from>
    <xdr:to>
      <xdr:col>5</xdr:col>
      <xdr:colOff>55145</xdr:colOff>
      <xdr:row>7</xdr:row>
      <xdr:rowOff>269207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113799" y="134904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COAHUILA POR CONSULADO Y NIVEL DE EDUCACIÓN EN EE.UU.</a:t>
          </a:r>
        </a:p>
      </xdr:txBody>
    </xdr:sp>
    <xdr:clientData/>
  </xdr:twoCellAnchor>
  <xdr:twoCellAnchor>
    <xdr:from>
      <xdr:col>4</xdr:col>
      <xdr:colOff>1091762</xdr:colOff>
      <xdr:row>7</xdr:row>
      <xdr:rowOff>46311</xdr:rowOff>
    </xdr:from>
    <xdr:to>
      <xdr:col>5</xdr:col>
      <xdr:colOff>479909</xdr:colOff>
      <xdr:row>7</xdr:row>
      <xdr:rowOff>230666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730437" y="178938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114674</xdr:colOff>
      <xdr:row>1</xdr:row>
      <xdr:rowOff>151417</xdr:rowOff>
    </xdr:from>
    <xdr:to>
      <xdr:col>2</xdr:col>
      <xdr:colOff>211995</xdr:colOff>
      <xdr:row>2</xdr:row>
      <xdr:rowOff>182794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4DEEDFD-AE8D-43C2-A4CF-CB25B0F4E5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909" y="300829"/>
          <a:ext cx="1688557" cy="2256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540495</xdr:colOff>
      <xdr:row>1</xdr:row>
      <xdr:rowOff>106592</xdr:rowOff>
    </xdr:from>
    <xdr:to>
      <xdr:col>4</xdr:col>
      <xdr:colOff>980715</xdr:colOff>
      <xdr:row>3</xdr:row>
      <xdr:rowOff>194027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8FB9B58-D2A1-458E-9006-76335FDFDF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59554" y="256004"/>
          <a:ext cx="440220" cy="4759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COAHUILA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276225</xdr:colOff>
      <xdr:row>7</xdr:row>
      <xdr:rowOff>142875</xdr:rowOff>
    </xdr:from>
    <xdr:to>
      <xdr:col>5</xdr:col>
      <xdr:colOff>169197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705350" y="16668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102983</xdr:colOff>
      <xdr:row>1</xdr:row>
      <xdr:rowOff>111265</xdr:rowOff>
    </xdr:from>
    <xdr:to>
      <xdr:col>1</xdr:col>
      <xdr:colOff>1103108</xdr:colOff>
      <xdr:row>2</xdr:row>
      <xdr:rowOff>142642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0AB7E34-DF5A-4D47-9638-0E2F131466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983" y="301765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435390</xdr:colOff>
      <xdr:row>1</xdr:row>
      <xdr:rowOff>65432</xdr:rowOff>
    </xdr:from>
    <xdr:to>
      <xdr:col>5</xdr:col>
      <xdr:colOff>254414</xdr:colOff>
      <xdr:row>3</xdr:row>
      <xdr:rowOff>152867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F2E4EAE-E20F-4961-B63F-7708976B80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7240" y="255932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COAHUILA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936229</xdr:colOff>
      <xdr:row>8</xdr:row>
      <xdr:rowOff>153591</xdr:rowOff>
    </xdr:from>
    <xdr:to>
      <xdr:col>5</xdr:col>
      <xdr:colOff>372794</xdr:colOff>
      <xdr:row>9</xdr:row>
      <xdr:rowOff>149431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457429" y="1677591"/>
          <a:ext cx="535115" cy="1863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63500</xdr:colOff>
      <xdr:row>1</xdr:row>
      <xdr:rowOff>75029</xdr:rowOff>
    </xdr:from>
    <xdr:to>
      <xdr:col>2</xdr:col>
      <xdr:colOff>84621</xdr:colOff>
      <xdr:row>2</xdr:row>
      <xdr:rowOff>147681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B882DB4-647B-43FE-9672-85F718DADE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3550" y="259179"/>
          <a:ext cx="1697521" cy="1996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574675</xdr:colOff>
      <xdr:row>1</xdr:row>
      <xdr:rowOff>24229</xdr:rowOff>
    </xdr:from>
    <xdr:to>
      <xdr:col>4</xdr:col>
      <xdr:colOff>1014895</xdr:colOff>
      <xdr:row>3</xdr:row>
      <xdr:rowOff>159289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326E924-DB47-4F3F-A8E2-66DA230DD9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95875" y="208379"/>
          <a:ext cx="440220" cy="452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COAHUILA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148829</xdr:colOff>
      <xdr:row>8</xdr:row>
      <xdr:rowOff>109141</xdr:rowOff>
    </xdr:from>
    <xdr:to>
      <xdr:col>6</xdr:col>
      <xdr:colOff>283894</xdr:colOff>
      <xdr:row>9</xdr:row>
      <xdr:rowOff>104981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359004" y="1680766"/>
          <a:ext cx="516065" cy="1863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80893</xdr:colOff>
      <xdr:row>1</xdr:row>
      <xdr:rowOff>95598</xdr:rowOff>
    </xdr:from>
    <xdr:to>
      <xdr:col>2</xdr:col>
      <xdr:colOff>321089</xdr:colOff>
      <xdr:row>2</xdr:row>
      <xdr:rowOff>174600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E1F661B-C236-4484-BBCB-681CAAE96F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0943" y="279748"/>
          <a:ext cx="1687996" cy="2060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549275</xdr:colOff>
      <xdr:row>1</xdr:row>
      <xdr:rowOff>5179</xdr:rowOff>
    </xdr:from>
    <xdr:to>
      <xdr:col>4</xdr:col>
      <xdr:colOff>989495</xdr:colOff>
      <xdr:row>3</xdr:row>
      <xdr:rowOff>133889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9172A36-D272-4D54-BCAF-B8C197B0E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81575" y="189329"/>
          <a:ext cx="440220" cy="4462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COAHUILA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713581</xdr:colOff>
      <xdr:row>9</xdr:row>
      <xdr:rowOff>0</xdr:rowOff>
    </xdr:from>
    <xdr:to>
      <xdr:col>6</xdr:col>
      <xdr:colOff>92997</xdr:colOff>
      <xdr:row>9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555581" y="1714500"/>
          <a:ext cx="53511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93133</xdr:colOff>
      <xdr:row>1</xdr:row>
      <xdr:rowOff>74324</xdr:rowOff>
    </xdr:from>
    <xdr:to>
      <xdr:col>2</xdr:col>
      <xdr:colOff>447629</xdr:colOff>
      <xdr:row>2</xdr:row>
      <xdr:rowOff>146270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8F03838-7DFF-4CCF-9002-8E6F2C89CB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300" y="257768"/>
          <a:ext cx="1680940" cy="1989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582789</xdr:colOff>
      <xdr:row>1</xdr:row>
      <xdr:rowOff>2004</xdr:rowOff>
    </xdr:from>
    <xdr:to>
      <xdr:col>5</xdr:col>
      <xdr:colOff>1023009</xdr:colOff>
      <xdr:row>3</xdr:row>
      <xdr:rowOff>137064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4EC1FD1-5B2B-4CAF-9F5A-E335FB2EF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24789" y="185448"/>
          <a:ext cx="440220" cy="452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55217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92784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COAHUILA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88348</xdr:colOff>
      <xdr:row>8</xdr:row>
      <xdr:rowOff>66261</xdr:rowOff>
    </xdr:from>
    <xdr:to>
      <xdr:col>4</xdr:col>
      <xdr:colOff>600445</xdr:colOff>
      <xdr:row>8</xdr:row>
      <xdr:rowOff>250616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372087" y="180008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178632</xdr:colOff>
      <xdr:row>1</xdr:row>
      <xdr:rowOff>91110</xdr:rowOff>
    </xdr:from>
    <xdr:to>
      <xdr:col>1</xdr:col>
      <xdr:colOff>1178757</xdr:colOff>
      <xdr:row>2</xdr:row>
      <xdr:rowOff>122487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E9F6954-C010-4887-B58C-B346635C37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8632" y="281610"/>
          <a:ext cx="1624542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126172</xdr:colOff>
      <xdr:row>1</xdr:row>
      <xdr:rowOff>63776</xdr:rowOff>
    </xdr:from>
    <xdr:to>
      <xdr:col>4</xdr:col>
      <xdr:colOff>620229</xdr:colOff>
      <xdr:row>3</xdr:row>
      <xdr:rowOff>151211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D64367D-D616-4D27-A3B8-B16B214FE9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2672" y="254276"/>
          <a:ext cx="494057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sqref="A1:D1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79" t="s">
        <v>287</v>
      </c>
      <c r="B1" s="80"/>
      <c r="C1" s="80"/>
      <c r="D1" s="81"/>
    </row>
    <row r="2" spans="1:4">
      <c r="A2" s="2"/>
      <c r="B2" s="3"/>
      <c r="C2" s="3"/>
      <c r="D2" s="4"/>
    </row>
    <row r="3" spans="1:4">
      <c r="A3" s="82" t="s">
        <v>0</v>
      </c>
      <c r="B3" s="83"/>
      <c r="C3" s="83"/>
      <c r="D3" s="84"/>
    </row>
    <row r="4" spans="1:4">
      <c r="A4" s="82"/>
      <c r="B4" s="83"/>
      <c r="C4" s="83"/>
      <c r="D4" s="84"/>
    </row>
    <row r="5" spans="1:4">
      <c r="A5" s="10"/>
      <c r="B5" s="11"/>
      <c r="C5" s="11"/>
      <c r="D5" s="12"/>
    </row>
    <row r="6" spans="1:4" ht="18.5">
      <c r="A6" s="76" t="s">
        <v>1</v>
      </c>
      <c r="B6" s="77"/>
      <c r="C6" s="77"/>
      <c r="D6" s="78"/>
    </row>
    <row r="7" spans="1:4">
      <c r="A7" s="5"/>
      <c r="D7" s="6"/>
    </row>
    <row r="8" spans="1:4" ht="18.5">
      <c r="A8" s="76" t="s">
        <v>2</v>
      </c>
      <c r="B8" s="77"/>
      <c r="C8" s="77"/>
      <c r="D8" s="78"/>
    </row>
    <row r="9" spans="1:4" ht="18.5">
      <c r="A9" s="5"/>
      <c r="B9" s="76" t="s">
        <v>3</v>
      </c>
      <c r="C9" s="77"/>
      <c r="D9" s="77"/>
    </row>
    <row r="10" spans="1:4">
      <c r="A10" s="5"/>
      <c r="D10" s="6"/>
    </row>
    <row r="11" spans="1:4" ht="18.5">
      <c r="A11" s="29" t="s">
        <v>4</v>
      </c>
      <c r="D11" s="6"/>
    </row>
    <row r="12" spans="1:4" ht="18.5">
      <c r="A12" s="5"/>
      <c r="B12" s="76" t="s">
        <v>5</v>
      </c>
      <c r="C12" s="77"/>
      <c r="D12" s="77"/>
    </row>
    <row r="13" spans="1:4" ht="18.5">
      <c r="A13" s="5"/>
      <c r="B13" s="76" t="s">
        <v>6</v>
      </c>
      <c r="C13" s="77"/>
      <c r="D13" s="77"/>
    </row>
    <row r="14" spans="1:4" ht="18.5">
      <c r="A14" s="5"/>
      <c r="B14" s="76" t="s">
        <v>7</v>
      </c>
      <c r="C14" s="77"/>
      <c r="D14" s="77"/>
    </row>
    <row r="15" spans="1:4">
      <c r="A15" s="5"/>
      <c r="D15" s="6"/>
    </row>
    <row r="16" spans="1:4" ht="18.5">
      <c r="A16" s="29" t="s">
        <v>8</v>
      </c>
      <c r="D16" s="6"/>
    </row>
    <row r="17" spans="1:4" ht="18.5">
      <c r="A17" s="5"/>
      <c r="B17" s="76" t="s">
        <v>9</v>
      </c>
      <c r="C17" s="77"/>
      <c r="D17" s="77"/>
    </row>
    <row r="18" spans="1:4" ht="18.5">
      <c r="A18" s="5"/>
      <c r="B18" s="76" t="s">
        <v>10</v>
      </c>
      <c r="C18" s="77"/>
      <c r="D18" s="77"/>
    </row>
    <row r="19" spans="1:4" ht="18.5">
      <c r="A19" s="5"/>
      <c r="B19" s="76" t="s">
        <v>11</v>
      </c>
      <c r="C19" s="77"/>
      <c r="D19" s="77"/>
    </row>
    <row r="20" spans="1:4">
      <c r="A20" s="5"/>
      <c r="D20" s="6"/>
    </row>
    <row r="21" spans="1:4" ht="18.5">
      <c r="A21" s="29" t="s">
        <v>12</v>
      </c>
      <c r="D21" s="6"/>
    </row>
    <row r="22" spans="1:4" ht="18.5">
      <c r="A22" s="5"/>
      <c r="B22" s="76" t="s">
        <v>13</v>
      </c>
      <c r="C22" s="77"/>
      <c r="D22" s="77"/>
    </row>
    <row r="23" spans="1:4" ht="18.5">
      <c r="A23" s="5"/>
      <c r="B23" s="76" t="s">
        <v>34</v>
      </c>
      <c r="C23" s="77"/>
      <c r="D23" s="77"/>
    </row>
    <row r="24" spans="1:4" ht="18.5">
      <c r="A24" s="5"/>
      <c r="B24" s="76" t="s">
        <v>35</v>
      </c>
      <c r="C24" s="77"/>
      <c r="D24" s="77"/>
    </row>
    <row r="25" spans="1:4">
      <c r="A25" s="5"/>
      <c r="D25" s="6"/>
    </row>
    <row r="26" spans="1:4" ht="18.5">
      <c r="A26" s="76" t="s">
        <v>14</v>
      </c>
      <c r="B26" s="77"/>
      <c r="C26" s="77"/>
      <c r="D26" s="78"/>
    </row>
    <row r="27" spans="1:4">
      <c r="A27" s="5"/>
      <c r="D27" s="6"/>
    </row>
    <row r="28" spans="1:4" ht="18.5">
      <c r="A28" s="76" t="s">
        <v>15</v>
      </c>
      <c r="B28" s="77"/>
      <c r="C28" s="77"/>
      <c r="D28" s="78"/>
    </row>
    <row r="29" spans="1:4" ht="17" thickBot="1">
      <c r="A29" s="7"/>
      <c r="B29" s="8"/>
      <c r="C29" s="8"/>
      <c r="D29" s="9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Coahuila_USAMuni!A1" display="3.2 Por Estado de USA" xr:uid="{00000000-0004-0000-0000-00000D000000}"/>
    <hyperlink ref="A8:D8" location="Coahuila_Cons!A1" display="2. Por Circunscripción Consular" xr:uid="{00000000-0004-0000-0000-00000E000000}"/>
    <hyperlink ref="B9:D9" location="CoahuilaXCons!A1" display="2.1 Top ten por circunscripción consular" xr:uid="{00000000-0004-0000-0000-00000F000000}"/>
    <hyperlink ref="A6:D6" location="Coahuila_EdoUsa!A1" display="1. Por Estados de USA" xr:uid="{00000000-0004-0000-0000-000010000000}"/>
    <hyperlink ref="B12:D12" location="Coahuila_EdoMun!A1" display="3.1 Municipio general" xr:uid="{00000000-0004-0000-0000-000011000000}"/>
    <hyperlink ref="B14:D14" location="Coahuila_MUNICIPIO!A1" display="3.3 Por Circunscripción Consular" xr:uid="{00000000-0004-0000-0000-000012000000}"/>
    <hyperlink ref="B17:D17" location="Coahuila_educ_gral!A1" display="4.1 Educación general" xr:uid="{00000000-0004-0000-0000-000013000000}"/>
    <hyperlink ref="B18:D18" location="Coahuila_NivelE_Cons!A1" display="4.2 Por Estado de USA" xr:uid="{00000000-0004-0000-0000-000014000000}"/>
    <hyperlink ref="B19:D19" location="Coahuila_EducCons!A1" display="4.3 Por Circunscripción Consular" xr:uid="{00000000-0004-0000-0000-000015000000}"/>
    <hyperlink ref="B22:D22" location="Coahuila_GenGral!A1" display="5.1 Género General" xr:uid="{00000000-0004-0000-0000-000016000000}"/>
    <hyperlink ref="B23:D23" location="Coahuila_GENERO!A1" display="5.2 Por Circunscripción Consular" xr:uid="{00000000-0004-0000-0000-000017000000}"/>
    <hyperlink ref="A26:D26" location="Coahuila_Gen_Edad!A1" display="6. Por estructura de Edad" xr:uid="{00000000-0004-0000-0000-000018000000}"/>
    <hyperlink ref="A28:D28" location="Coahuila_ocup_gral!A1" display="7. Por Ocupación" xr:uid="{00000000-0004-0000-0000-000019000000}"/>
    <hyperlink ref="B24" location="Coahuila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3"/>
  <sheetViews>
    <sheetView showGridLines="0" view="pageBreakPreview" topLeftCell="A53" zoomScaleNormal="100" zoomScaleSheetLayoutView="100" workbookViewId="0">
      <selection activeCell="C57" sqref="C57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4" style="13" customWidth="1"/>
    <col min="7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A6" s="40"/>
      <c r="B6" s="40"/>
      <c r="C6" s="41"/>
      <c r="D6" s="42"/>
      <c r="E6" s="40"/>
      <c r="F6" s="40"/>
    </row>
    <row r="7" spans="1:6" s="16" customFormat="1" ht="15" customHeight="1">
      <c r="A7" s="40"/>
      <c r="B7" s="85" t="s">
        <v>42</v>
      </c>
      <c r="C7" s="85"/>
      <c r="D7" s="85"/>
      <c r="E7" s="40"/>
      <c r="F7" s="40"/>
    </row>
    <row r="8" spans="1:6" s="16" customFormat="1" ht="15" customHeight="1">
      <c r="A8" s="40"/>
      <c r="B8" s="85"/>
      <c r="C8" s="85"/>
      <c r="D8" s="85"/>
      <c r="E8" s="40"/>
      <c r="F8" s="40"/>
    </row>
    <row r="9" spans="1:6" s="16" customFormat="1" ht="33" customHeight="1">
      <c r="A9" s="40"/>
      <c r="B9" s="85"/>
      <c r="C9" s="85"/>
      <c r="D9" s="85"/>
      <c r="E9" s="40"/>
      <c r="F9" s="40"/>
    </row>
    <row r="10" spans="1:6" s="16" customFormat="1" ht="4.5" customHeight="1">
      <c r="A10" s="40"/>
      <c r="B10" s="43"/>
      <c r="C10" s="43"/>
      <c r="D10" s="43"/>
      <c r="E10" s="40"/>
      <c r="F10" s="40"/>
    </row>
    <row r="11" spans="1:6" s="16" customFormat="1" ht="33" customHeight="1">
      <c r="A11" s="40"/>
      <c r="B11" s="44" t="s">
        <v>20</v>
      </c>
      <c r="C11" s="45" t="s">
        <v>19</v>
      </c>
      <c r="D11" s="44" t="s">
        <v>18</v>
      </c>
      <c r="E11" s="40"/>
      <c r="F11" s="40"/>
    </row>
    <row r="12" spans="1:6" ht="14.5" customHeight="1">
      <c r="A12" s="46"/>
      <c r="B12" s="73" t="s">
        <v>171</v>
      </c>
      <c r="C12" s="74">
        <v>8342</v>
      </c>
      <c r="D12" s="75">
        <v>0.70688924667401098</v>
      </c>
      <c r="E12" s="46"/>
      <c r="F12" s="46"/>
    </row>
    <row r="13" spans="1:6" ht="14.5" customHeight="1">
      <c r="A13" s="46"/>
      <c r="B13" s="73" t="s">
        <v>172</v>
      </c>
      <c r="C13" s="74">
        <v>551</v>
      </c>
      <c r="D13" s="75">
        <v>4.6690958393356997E-2</v>
      </c>
      <c r="E13" s="46"/>
      <c r="F13" s="46"/>
    </row>
    <row r="14" spans="1:6" ht="14.5" customHeight="1">
      <c r="A14" s="46"/>
      <c r="B14" s="73" t="s">
        <v>173</v>
      </c>
      <c r="C14" s="74">
        <v>453</v>
      </c>
      <c r="D14" s="75">
        <v>3.8386577408694E-2</v>
      </c>
      <c r="E14" s="46"/>
      <c r="F14" s="46"/>
    </row>
    <row r="15" spans="1:6" ht="14.5" customHeight="1">
      <c r="A15" s="46"/>
      <c r="B15" s="73" t="s">
        <v>174</v>
      </c>
      <c r="C15" s="74">
        <v>278</v>
      </c>
      <c r="D15" s="75">
        <v>2.3557325650368999E-2</v>
      </c>
      <c r="E15" s="46"/>
      <c r="F15" s="46"/>
    </row>
    <row r="16" spans="1:6" ht="14.5" customHeight="1">
      <c r="A16" s="46"/>
      <c r="B16" s="73" t="s">
        <v>175</v>
      </c>
      <c r="C16" s="74">
        <v>221</v>
      </c>
      <c r="D16" s="75">
        <v>1.8727226506228E-2</v>
      </c>
      <c r="E16" s="46"/>
      <c r="F16" s="46"/>
    </row>
    <row r="17" spans="1:6" ht="14.5" customHeight="1">
      <c r="A17" s="46"/>
      <c r="B17" s="73" t="s">
        <v>176</v>
      </c>
      <c r="C17" s="74">
        <v>158</v>
      </c>
      <c r="D17" s="75">
        <v>1.3388695873231E-2</v>
      </c>
      <c r="E17" s="46"/>
      <c r="F17" s="46"/>
    </row>
    <row r="18" spans="1:6" ht="14.5" customHeight="1">
      <c r="A18" s="46"/>
      <c r="B18" s="73" t="s">
        <v>177</v>
      </c>
      <c r="C18" s="74">
        <v>129</v>
      </c>
      <c r="D18" s="75">
        <v>1.0931277010423001E-2</v>
      </c>
      <c r="E18" s="46"/>
      <c r="F18" s="46"/>
    </row>
    <row r="19" spans="1:6" ht="14.5" customHeight="1">
      <c r="A19" s="46"/>
      <c r="B19" s="73" t="s">
        <v>178</v>
      </c>
      <c r="C19" s="74">
        <v>126</v>
      </c>
      <c r="D19" s="75">
        <v>1.0677061265993999E-2</v>
      </c>
      <c r="E19" s="46"/>
      <c r="F19" s="46"/>
    </row>
    <row r="20" spans="1:6" ht="14.5" customHeight="1">
      <c r="A20" s="46"/>
      <c r="B20" s="73" t="s">
        <v>179</v>
      </c>
      <c r="C20" s="74">
        <v>121</v>
      </c>
      <c r="D20" s="75">
        <v>1.0253368358614E-2</v>
      </c>
      <c r="E20" s="46"/>
      <c r="F20" s="46"/>
    </row>
    <row r="21" spans="1:6" ht="14.5" customHeight="1">
      <c r="A21" s="46"/>
      <c r="B21" s="73" t="s">
        <v>180</v>
      </c>
      <c r="C21" s="74">
        <v>118</v>
      </c>
      <c r="D21" s="75">
        <v>9.9991526141850005E-3</v>
      </c>
      <c r="E21" s="46"/>
      <c r="F21" s="46"/>
    </row>
    <row r="22" spans="1:6" ht="14.5" customHeight="1">
      <c r="A22" s="46"/>
      <c r="B22" s="73" t="s">
        <v>181</v>
      </c>
      <c r="C22" s="74">
        <v>118</v>
      </c>
      <c r="D22" s="75">
        <v>9.9991526141850005E-3</v>
      </c>
      <c r="E22" s="46"/>
      <c r="F22" s="46"/>
    </row>
    <row r="23" spans="1:6" ht="14.5" customHeight="1">
      <c r="A23" s="46"/>
      <c r="B23" s="73" t="s">
        <v>182</v>
      </c>
      <c r="C23" s="74">
        <v>96</v>
      </c>
      <c r="D23" s="75">
        <v>8.1349038217099993E-3</v>
      </c>
      <c r="E23" s="46"/>
      <c r="F23" s="46"/>
    </row>
    <row r="24" spans="1:6" ht="14.5" customHeight="1">
      <c r="A24" s="46"/>
      <c r="B24" s="73" t="s">
        <v>183</v>
      </c>
      <c r="C24" s="74">
        <v>83</v>
      </c>
      <c r="D24" s="75">
        <v>7.0333022625199996E-3</v>
      </c>
      <c r="E24" s="46"/>
      <c r="F24" s="46"/>
    </row>
    <row r="25" spans="1:6" ht="14.5" customHeight="1">
      <c r="A25" s="46"/>
      <c r="B25" s="73" t="s">
        <v>184</v>
      </c>
      <c r="C25" s="74">
        <v>82</v>
      </c>
      <c r="D25" s="75">
        <v>6.9485636810440003E-3</v>
      </c>
      <c r="E25" s="46"/>
      <c r="F25" s="46"/>
    </row>
    <row r="26" spans="1:6" ht="14.5" customHeight="1">
      <c r="A26" s="46"/>
      <c r="B26" s="73" t="s">
        <v>185</v>
      </c>
      <c r="C26" s="74">
        <v>82</v>
      </c>
      <c r="D26" s="75">
        <v>6.9485636810440003E-3</v>
      </c>
      <c r="E26" s="46"/>
      <c r="F26" s="46"/>
    </row>
    <row r="27" spans="1:6" ht="14.5" customHeight="1">
      <c r="A27" s="46"/>
      <c r="B27" s="73" t="s">
        <v>186</v>
      </c>
      <c r="C27" s="74">
        <v>80</v>
      </c>
      <c r="D27" s="75">
        <v>6.779086518092E-3</v>
      </c>
      <c r="E27" s="46"/>
      <c r="F27" s="46"/>
    </row>
    <row r="28" spans="1:6" ht="14.5" customHeight="1">
      <c r="A28" s="46"/>
      <c r="B28" s="73" t="s">
        <v>187</v>
      </c>
      <c r="C28" s="74">
        <v>75</v>
      </c>
      <c r="D28" s="75">
        <v>6.355393610711E-3</v>
      </c>
      <c r="E28" s="46"/>
      <c r="F28" s="46"/>
    </row>
    <row r="29" spans="1:6" ht="14.5" customHeight="1">
      <c r="A29" s="46"/>
      <c r="B29" s="73" t="s">
        <v>188</v>
      </c>
      <c r="C29" s="74">
        <v>71</v>
      </c>
      <c r="D29" s="75">
        <v>6.0164392848060001E-3</v>
      </c>
      <c r="E29" s="46"/>
      <c r="F29" s="46"/>
    </row>
    <row r="30" spans="1:6" ht="14.5" customHeight="1">
      <c r="A30" s="46"/>
      <c r="B30" s="73" t="s">
        <v>189</v>
      </c>
      <c r="C30" s="74">
        <v>68</v>
      </c>
      <c r="D30" s="75">
        <v>5.7622235403779996E-3</v>
      </c>
      <c r="E30" s="46"/>
      <c r="F30" s="46"/>
    </row>
    <row r="31" spans="1:6" ht="14.5" customHeight="1">
      <c r="A31" s="46"/>
      <c r="B31" s="73" t="s">
        <v>190</v>
      </c>
      <c r="C31" s="74">
        <v>65</v>
      </c>
      <c r="D31" s="75">
        <v>5.5080077959489999E-3</v>
      </c>
      <c r="E31" s="46"/>
      <c r="F31" s="46"/>
    </row>
    <row r="32" spans="1:6" ht="14.5" customHeight="1">
      <c r="A32" s="46"/>
      <c r="B32" s="73" t="s">
        <v>191</v>
      </c>
      <c r="C32" s="74">
        <v>58</v>
      </c>
      <c r="D32" s="75">
        <v>4.9148377256159996E-3</v>
      </c>
      <c r="E32" s="46"/>
      <c r="F32" s="46"/>
    </row>
    <row r="33" spans="1:6" ht="14.5" customHeight="1">
      <c r="A33" s="46"/>
      <c r="B33" s="73" t="s">
        <v>192</v>
      </c>
      <c r="C33" s="74">
        <v>56</v>
      </c>
      <c r="D33" s="75">
        <v>4.7453605626640001E-3</v>
      </c>
      <c r="E33" s="46"/>
      <c r="F33" s="46"/>
    </row>
    <row r="34" spans="1:6" ht="14.5" customHeight="1">
      <c r="A34" s="46"/>
      <c r="B34" s="73" t="s">
        <v>193</v>
      </c>
      <c r="C34" s="74">
        <v>54</v>
      </c>
      <c r="D34" s="75">
        <v>4.5758833997119998E-3</v>
      </c>
      <c r="E34" s="46"/>
      <c r="F34" s="46"/>
    </row>
    <row r="35" spans="1:6" ht="14.5" customHeight="1">
      <c r="A35" s="46"/>
      <c r="B35" s="73" t="s">
        <v>194</v>
      </c>
      <c r="C35" s="74">
        <v>53</v>
      </c>
      <c r="D35" s="75">
        <v>4.4911448182359997E-3</v>
      </c>
      <c r="E35" s="46"/>
      <c r="F35" s="46"/>
    </row>
    <row r="36" spans="1:6" ht="14.5" customHeight="1">
      <c r="A36" s="46"/>
      <c r="B36" s="73" t="s">
        <v>195</v>
      </c>
      <c r="C36" s="74">
        <v>38</v>
      </c>
      <c r="D36" s="75">
        <v>3.2200660960940001E-3</v>
      </c>
      <c r="E36" s="46"/>
      <c r="F36" s="46"/>
    </row>
    <row r="37" spans="1:6" ht="14.5" customHeight="1">
      <c r="A37" s="46"/>
      <c r="B37" s="73" t="s">
        <v>196</v>
      </c>
      <c r="C37" s="74">
        <v>37</v>
      </c>
      <c r="D37" s="75">
        <v>3.1353275146169999E-3</v>
      </c>
      <c r="E37" s="46"/>
      <c r="F37" s="46"/>
    </row>
    <row r="38" spans="1:6" ht="14.5" customHeight="1">
      <c r="A38" s="46"/>
      <c r="B38" s="73" t="s">
        <v>197</v>
      </c>
      <c r="C38" s="74">
        <v>30</v>
      </c>
      <c r="D38" s="75">
        <v>2.542157444284E-3</v>
      </c>
      <c r="E38" s="46"/>
      <c r="F38" s="46"/>
    </row>
    <row r="39" spans="1:6" ht="14.5" customHeight="1">
      <c r="A39" s="46"/>
      <c r="B39" s="73" t="s">
        <v>198</v>
      </c>
      <c r="C39" s="74">
        <v>29</v>
      </c>
      <c r="D39" s="75">
        <v>2.4574188628079998E-3</v>
      </c>
      <c r="E39" s="46"/>
      <c r="F39" s="46"/>
    </row>
    <row r="40" spans="1:6" ht="14.5" customHeight="1">
      <c r="A40" s="46"/>
      <c r="B40" s="73" t="s">
        <v>199</v>
      </c>
      <c r="C40" s="74">
        <v>27</v>
      </c>
      <c r="D40" s="75">
        <v>2.2879416998559999E-3</v>
      </c>
      <c r="E40" s="46"/>
      <c r="F40" s="46"/>
    </row>
    <row r="41" spans="1:6" ht="14.5" customHeight="1">
      <c r="A41" s="46"/>
      <c r="B41" s="73" t="s">
        <v>200</v>
      </c>
      <c r="C41" s="74">
        <v>15</v>
      </c>
      <c r="D41" s="75">
        <v>1.271078722142E-3</v>
      </c>
      <c r="E41" s="46"/>
      <c r="F41" s="46"/>
    </row>
    <row r="42" spans="1:6" ht="14.5" customHeight="1">
      <c r="A42" s="46"/>
      <c r="B42" s="73" t="s">
        <v>201</v>
      </c>
      <c r="C42" s="74">
        <v>14</v>
      </c>
      <c r="D42" s="75">
        <v>1.186340140666E-3</v>
      </c>
      <c r="E42" s="46"/>
      <c r="F42" s="46"/>
    </row>
    <row r="43" spans="1:6" ht="14.5" customHeight="1">
      <c r="A43" s="46"/>
      <c r="B43" s="73" t="s">
        <v>202</v>
      </c>
      <c r="C43" s="74">
        <v>12</v>
      </c>
      <c r="D43" s="75">
        <v>1.0168629777139999E-3</v>
      </c>
      <c r="E43" s="46"/>
      <c r="F43" s="46"/>
    </row>
    <row r="44" spans="1:6" ht="14.5" customHeight="1">
      <c r="A44" s="46"/>
      <c r="B44" s="73" t="s">
        <v>203</v>
      </c>
      <c r="C44" s="74">
        <v>10</v>
      </c>
      <c r="D44" s="75">
        <v>8.4738581476099997E-4</v>
      </c>
      <c r="E44" s="46"/>
      <c r="F44" s="46"/>
    </row>
    <row r="45" spans="1:6" ht="14.5" customHeight="1">
      <c r="A45" s="46"/>
      <c r="B45" s="73" t="s">
        <v>204</v>
      </c>
      <c r="C45" s="74">
        <v>8</v>
      </c>
      <c r="D45" s="75">
        <v>6.7790865180899996E-4</v>
      </c>
      <c r="E45" s="46"/>
      <c r="F45" s="46"/>
    </row>
    <row r="46" spans="1:6" ht="14.5" customHeight="1">
      <c r="A46" s="46"/>
      <c r="B46" s="73" t="s">
        <v>205</v>
      </c>
      <c r="C46" s="74">
        <v>8</v>
      </c>
      <c r="D46" s="75">
        <v>6.7790865180899996E-4</v>
      </c>
      <c r="E46" s="46"/>
      <c r="F46" s="46"/>
    </row>
    <row r="47" spans="1:6" ht="14.5" customHeight="1">
      <c r="A47" s="46"/>
      <c r="B47" s="73" t="s">
        <v>84</v>
      </c>
      <c r="C47" s="74">
        <v>8</v>
      </c>
      <c r="D47" s="75">
        <v>6.7790865180899996E-4</v>
      </c>
      <c r="E47" s="46"/>
      <c r="F47" s="46"/>
    </row>
    <row r="48" spans="1:6" ht="14.5" customHeight="1">
      <c r="A48" s="46"/>
      <c r="B48" s="73" t="s">
        <v>206</v>
      </c>
      <c r="C48" s="74">
        <v>7</v>
      </c>
      <c r="D48" s="75">
        <v>5.9317007033300002E-4</v>
      </c>
      <c r="E48" s="46"/>
      <c r="F48" s="46"/>
    </row>
    <row r="49" spans="1:6" ht="14.5" customHeight="1">
      <c r="A49" s="46"/>
      <c r="B49" s="73" t="s">
        <v>207</v>
      </c>
      <c r="C49" s="74">
        <v>6</v>
      </c>
      <c r="D49" s="75">
        <v>5.0843148885699996E-4</v>
      </c>
      <c r="E49" s="46"/>
      <c r="F49" s="46"/>
    </row>
    <row r="50" spans="1:6" ht="14.5" customHeight="1">
      <c r="A50" s="46"/>
      <c r="B50" s="73" t="s">
        <v>208</v>
      </c>
      <c r="C50" s="74">
        <v>5</v>
      </c>
      <c r="D50" s="75">
        <v>4.2369290738100002E-4</v>
      </c>
      <c r="E50" s="46"/>
      <c r="F50" s="46"/>
    </row>
    <row r="51" spans="1:6" ht="14.5" customHeight="1">
      <c r="A51" s="46"/>
      <c r="B51" s="73" t="s">
        <v>209</v>
      </c>
      <c r="C51" s="74">
        <v>3</v>
      </c>
      <c r="D51" s="75">
        <v>2.54215744428E-4</v>
      </c>
      <c r="E51" s="46"/>
      <c r="F51" s="46"/>
    </row>
    <row r="52" spans="1:6" ht="14.5" customHeight="1">
      <c r="A52" s="46"/>
      <c r="B52" s="73" t="s">
        <v>210</v>
      </c>
      <c r="C52" s="74">
        <v>2</v>
      </c>
      <c r="D52" s="75">
        <v>1.69477162952E-4</v>
      </c>
      <c r="E52" s="46"/>
      <c r="F52" s="46"/>
    </row>
    <row r="53" spans="1:6" ht="14.5" customHeight="1">
      <c r="A53" s="46"/>
      <c r="B53" s="73" t="s">
        <v>211</v>
      </c>
      <c r="C53" s="74">
        <v>1</v>
      </c>
      <c r="D53" s="75">
        <v>8.4738581476000001E-5</v>
      </c>
      <c r="E53" s="46"/>
      <c r="F53" s="46"/>
    </row>
    <row r="54" spans="1:6" ht="14.5" customHeight="1">
      <c r="A54" s="46"/>
      <c r="B54" s="73" t="s">
        <v>212</v>
      </c>
      <c r="C54" s="74">
        <v>1</v>
      </c>
      <c r="D54" s="75">
        <v>8.4738581476000001E-5</v>
      </c>
      <c r="E54" s="46"/>
      <c r="F54" s="46"/>
    </row>
    <row r="55" spans="1:6" ht="14.5" customHeight="1">
      <c r="A55" s="46"/>
      <c r="B55" s="73" t="s">
        <v>213</v>
      </c>
      <c r="C55" s="74">
        <v>1</v>
      </c>
      <c r="D55" s="75">
        <v>8.4738581476000001E-5</v>
      </c>
      <c r="E55" s="46"/>
      <c r="F55" s="46"/>
    </row>
    <row r="56" spans="1:6" ht="14.5" customHeight="1">
      <c r="A56" s="46"/>
      <c r="B56" s="73" t="s">
        <v>214</v>
      </c>
      <c r="C56" s="74">
        <v>1</v>
      </c>
      <c r="D56" s="75">
        <v>8.4738581476000001E-5</v>
      </c>
      <c r="E56" s="46"/>
      <c r="F56" s="46"/>
    </row>
    <row r="57" spans="1:6" ht="14.5" customHeight="1">
      <c r="A57" s="46"/>
      <c r="B57" s="95" t="s">
        <v>288</v>
      </c>
      <c r="C57" s="96">
        <v>11801</v>
      </c>
      <c r="D57" s="97">
        <v>1</v>
      </c>
      <c r="E57" s="46"/>
      <c r="F57" s="46"/>
    </row>
    <row r="58" spans="1:6" ht="16.5">
      <c r="A58" s="46"/>
      <c r="B58" s="36"/>
      <c r="C58" s="47"/>
      <c r="D58" s="46"/>
      <c r="E58" s="46"/>
      <c r="F58" s="46"/>
    </row>
    <row r="59" spans="1:6" ht="16.5">
      <c r="A59" s="46"/>
      <c r="B59" s="36" t="s">
        <v>130</v>
      </c>
      <c r="C59" s="37"/>
      <c r="D59" s="46"/>
      <c r="E59" s="46"/>
      <c r="F59" s="46"/>
    </row>
    <row r="60" spans="1:6" ht="16.5">
      <c r="A60" s="46"/>
      <c r="B60" s="38" t="s">
        <v>17</v>
      </c>
      <c r="C60" s="37"/>
      <c r="D60" s="46"/>
      <c r="E60" s="46"/>
      <c r="F60" s="46"/>
    </row>
    <row r="61" spans="1:6" ht="16.5">
      <c r="A61" s="46"/>
      <c r="B61" s="39" t="s">
        <v>95</v>
      </c>
      <c r="C61" s="37"/>
      <c r="D61" s="46"/>
      <c r="E61" s="46"/>
      <c r="F61" s="46"/>
    </row>
    <row r="62" spans="1:6" ht="16.5">
      <c r="A62" s="46"/>
      <c r="B62" s="36" t="s">
        <v>16</v>
      </c>
      <c r="C62" s="37"/>
      <c r="D62" s="46"/>
      <c r="E62" s="46"/>
      <c r="F62" s="46"/>
    </row>
    <row r="63" spans="1:6" ht="16.5">
      <c r="A63" s="46"/>
      <c r="B63" s="36" t="s">
        <v>285</v>
      </c>
      <c r="C63" s="37"/>
      <c r="D63" s="46"/>
      <c r="E63" s="46"/>
      <c r="F63" s="4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9"/>
  <sheetViews>
    <sheetView showGridLines="0" view="pageBreakPreview" topLeftCell="A56" zoomScale="115" zoomScaleNormal="100" zoomScaleSheetLayoutView="115" workbookViewId="0">
      <selection activeCell="B70" sqref="B70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40"/>
      <c r="B7" s="85" t="s">
        <v>36</v>
      </c>
      <c r="C7" s="85"/>
      <c r="D7" s="85"/>
      <c r="E7" s="40"/>
      <c r="F7" s="40"/>
    </row>
    <row r="8" spans="1:6" s="16" customFormat="1" ht="15" customHeight="1">
      <c r="A8" s="40"/>
      <c r="B8" s="85"/>
      <c r="C8" s="85"/>
      <c r="D8" s="85"/>
      <c r="E8" s="40"/>
      <c r="F8" s="40"/>
    </row>
    <row r="9" spans="1:6" s="16" customFormat="1" ht="33" customHeight="1">
      <c r="A9" s="40"/>
      <c r="B9" s="85"/>
      <c r="C9" s="85"/>
      <c r="D9" s="85"/>
      <c r="E9" s="40"/>
      <c r="F9" s="40"/>
    </row>
    <row r="10" spans="1:6" s="16" customFormat="1" ht="4.5" customHeight="1">
      <c r="A10" s="40"/>
      <c r="B10" s="43"/>
      <c r="C10" s="43"/>
      <c r="D10" s="43"/>
      <c r="E10" s="40"/>
      <c r="F10" s="40"/>
    </row>
    <row r="11" spans="1:6" s="16" customFormat="1" ht="33" customHeight="1">
      <c r="A11" s="40"/>
      <c r="B11" s="44" t="s">
        <v>21</v>
      </c>
      <c r="C11" s="45" t="s">
        <v>19</v>
      </c>
      <c r="D11" s="44" t="s">
        <v>18</v>
      </c>
      <c r="E11" s="40"/>
      <c r="F11" s="40"/>
    </row>
    <row r="12" spans="1:6" ht="16.5">
      <c r="A12" s="46"/>
      <c r="B12" s="98" t="s">
        <v>46</v>
      </c>
      <c r="C12" s="74">
        <v>2932</v>
      </c>
      <c r="D12" s="75">
        <v>0.24845352088806</v>
      </c>
      <c r="E12" s="46"/>
      <c r="F12" s="46"/>
    </row>
    <row r="13" spans="1:6" ht="16.5">
      <c r="A13" s="46"/>
      <c r="B13" s="98" t="s">
        <v>47</v>
      </c>
      <c r="C13" s="74">
        <v>2135</v>
      </c>
      <c r="D13" s="75">
        <v>0.18091687145157201</v>
      </c>
      <c r="E13" s="46"/>
      <c r="F13" s="46"/>
    </row>
    <row r="14" spans="1:6" ht="16.5">
      <c r="A14" s="46"/>
      <c r="B14" s="98" t="s">
        <v>48</v>
      </c>
      <c r="C14" s="74">
        <v>1763</v>
      </c>
      <c r="D14" s="75">
        <v>0.14939411914244599</v>
      </c>
      <c r="E14" s="46"/>
      <c r="F14" s="46"/>
    </row>
    <row r="15" spans="1:6" ht="16.5">
      <c r="A15" s="46"/>
      <c r="B15" s="98" t="s">
        <v>49</v>
      </c>
      <c r="C15" s="74">
        <v>636</v>
      </c>
      <c r="D15" s="75">
        <v>5.3893737818829002E-2</v>
      </c>
      <c r="E15" s="46"/>
      <c r="F15" s="46"/>
    </row>
    <row r="16" spans="1:6" ht="16.5">
      <c r="A16" s="46"/>
      <c r="B16" s="98" t="s">
        <v>50</v>
      </c>
      <c r="C16" s="74">
        <v>489</v>
      </c>
      <c r="D16" s="75">
        <v>4.1437166341835002E-2</v>
      </c>
      <c r="E16" s="46"/>
      <c r="F16" s="46"/>
    </row>
    <row r="17" spans="1:6" ht="16.5">
      <c r="A17" s="46"/>
      <c r="B17" s="98" t="s">
        <v>51</v>
      </c>
      <c r="C17" s="74">
        <v>363</v>
      </c>
      <c r="D17" s="75">
        <v>3.0760105075841E-2</v>
      </c>
      <c r="E17" s="46"/>
      <c r="F17" s="46"/>
    </row>
    <row r="18" spans="1:6" ht="16.5">
      <c r="A18" s="46"/>
      <c r="B18" s="98" t="s">
        <v>53</v>
      </c>
      <c r="C18" s="74">
        <v>231</v>
      </c>
      <c r="D18" s="75">
        <v>1.957461232099E-2</v>
      </c>
      <c r="E18" s="46"/>
      <c r="F18" s="46"/>
    </row>
    <row r="19" spans="1:6" ht="16.5">
      <c r="A19" s="46"/>
      <c r="B19" s="98" t="s">
        <v>55</v>
      </c>
      <c r="C19" s="74">
        <v>216</v>
      </c>
      <c r="D19" s="75">
        <v>1.8303533598847999E-2</v>
      </c>
      <c r="E19" s="46"/>
      <c r="F19" s="46"/>
    </row>
    <row r="20" spans="1:6" ht="16.5">
      <c r="A20" s="46"/>
      <c r="B20" s="98" t="s">
        <v>52</v>
      </c>
      <c r="C20" s="74">
        <v>216</v>
      </c>
      <c r="D20" s="75">
        <v>1.8303533598847999E-2</v>
      </c>
      <c r="E20" s="46"/>
      <c r="F20" s="46"/>
    </row>
    <row r="21" spans="1:6" ht="16.5">
      <c r="A21" s="46"/>
      <c r="B21" s="98" t="s">
        <v>56</v>
      </c>
      <c r="C21" s="74">
        <v>205</v>
      </c>
      <c r="D21" s="75">
        <v>1.7371409202609999E-2</v>
      </c>
      <c r="E21" s="46"/>
      <c r="F21" s="46"/>
    </row>
    <row r="22" spans="1:6" ht="16.5">
      <c r="A22" s="46"/>
      <c r="B22" s="98" t="s">
        <v>59</v>
      </c>
      <c r="C22" s="74">
        <v>204</v>
      </c>
      <c r="D22" s="75">
        <v>1.7286670621133999E-2</v>
      </c>
      <c r="E22" s="46"/>
      <c r="F22" s="46"/>
    </row>
    <row r="23" spans="1:6" ht="16.5">
      <c r="A23" s="46"/>
      <c r="B23" s="98" t="s">
        <v>58</v>
      </c>
      <c r="C23" s="74">
        <v>193</v>
      </c>
      <c r="D23" s="75">
        <v>1.6354546224895999E-2</v>
      </c>
      <c r="E23" s="46"/>
      <c r="F23" s="46"/>
    </row>
    <row r="24" spans="1:6" ht="16.5">
      <c r="A24" s="46"/>
      <c r="B24" s="98" t="s">
        <v>54</v>
      </c>
      <c r="C24" s="74">
        <v>180</v>
      </c>
      <c r="D24" s="75">
        <v>1.5252944665706E-2</v>
      </c>
      <c r="E24" s="46"/>
      <c r="F24" s="46"/>
    </row>
    <row r="25" spans="1:6" ht="16.5">
      <c r="A25" s="46"/>
      <c r="B25" s="98" t="s">
        <v>57</v>
      </c>
      <c r="C25" s="74">
        <v>170</v>
      </c>
      <c r="D25" s="75">
        <v>1.4405558850945001E-2</v>
      </c>
      <c r="E25" s="46"/>
      <c r="F25" s="46"/>
    </row>
    <row r="26" spans="1:6" ht="16.5">
      <c r="A26" s="46"/>
      <c r="B26" s="98" t="s">
        <v>62</v>
      </c>
      <c r="C26" s="74">
        <v>141</v>
      </c>
      <c r="D26" s="75">
        <v>1.1948139988136999E-2</v>
      </c>
      <c r="E26" s="46"/>
      <c r="F26" s="46"/>
    </row>
    <row r="27" spans="1:6" ht="16.5">
      <c r="A27" s="46"/>
      <c r="B27" s="98" t="s">
        <v>60</v>
      </c>
      <c r="C27" s="74">
        <v>128</v>
      </c>
      <c r="D27" s="75">
        <v>1.0846538428947001E-2</v>
      </c>
      <c r="E27" s="46"/>
      <c r="F27" s="46"/>
    </row>
    <row r="28" spans="1:6" ht="16.5">
      <c r="A28" s="46"/>
      <c r="B28" s="98" t="s">
        <v>63</v>
      </c>
      <c r="C28" s="74">
        <v>127</v>
      </c>
      <c r="D28" s="75">
        <v>1.0761799847471E-2</v>
      </c>
      <c r="E28" s="46"/>
      <c r="F28" s="46"/>
    </row>
    <row r="29" spans="1:6" ht="16.5">
      <c r="A29" s="46"/>
      <c r="B29" s="98" t="s">
        <v>61</v>
      </c>
      <c r="C29" s="74">
        <v>120</v>
      </c>
      <c r="D29" s="75">
        <v>1.0168629777138E-2</v>
      </c>
      <c r="E29" s="46"/>
      <c r="F29" s="46"/>
    </row>
    <row r="30" spans="1:6" ht="16.5">
      <c r="A30" s="46"/>
      <c r="B30" s="98" t="s">
        <v>65</v>
      </c>
      <c r="C30" s="74">
        <v>117</v>
      </c>
      <c r="D30" s="75">
        <v>9.9144140327090003E-3</v>
      </c>
      <c r="E30" s="46"/>
      <c r="F30" s="46"/>
    </row>
    <row r="31" spans="1:6" ht="16.5">
      <c r="A31" s="46"/>
      <c r="B31" s="98" t="s">
        <v>72</v>
      </c>
      <c r="C31" s="74">
        <v>102</v>
      </c>
      <c r="D31" s="75">
        <v>8.6433353105669995E-3</v>
      </c>
      <c r="E31" s="46"/>
      <c r="F31" s="46"/>
    </row>
    <row r="32" spans="1:6" ht="16.5">
      <c r="A32" s="46"/>
      <c r="B32" s="98" t="s">
        <v>73</v>
      </c>
      <c r="C32" s="74">
        <v>84</v>
      </c>
      <c r="D32" s="75">
        <v>7.1180408439959998E-3</v>
      </c>
      <c r="E32" s="46"/>
      <c r="F32" s="46"/>
    </row>
    <row r="33" spans="1:6" ht="16.5">
      <c r="A33" s="46"/>
      <c r="B33" s="98" t="s">
        <v>64</v>
      </c>
      <c r="C33" s="74">
        <v>81</v>
      </c>
      <c r="D33" s="75">
        <v>6.8638250995680002E-3</v>
      </c>
      <c r="E33" s="46"/>
      <c r="F33" s="46"/>
    </row>
    <row r="34" spans="1:6" ht="16.5">
      <c r="A34" s="46"/>
      <c r="B34" s="98" t="s">
        <v>76</v>
      </c>
      <c r="C34" s="74">
        <v>76</v>
      </c>
      <c r="D34" s="75">
        <v>6.4401321921870001E-3</v>
      </c>
      <c r="E34" s="46"/>
      <c r="F34" s="46"/>
    </row>
    <row r="35" spans="1:6" ht="16.5">
      <c r="A35" s="46"/>
      <c r="B35" s="98" t="s">
        <v>67</v>
      </c>
      <c r="C35" s="74">
        <v>72</v>
      </c>
      <c r="D35" s="75">
        <v>6.1011778662830004E-3</v>
      </c>
      <c r="E35" s="46"/>
      <c r="F35" s="46"/>
    </row>
    <row r="36" spans="1:6" ht="16.5">
      <c r="A36" s="46"/>
      <c r="B36" s="98" t="s">
        <v>70</v>
      </c>
      <c r="C36" s="74">
        <v>69</v>
      </c>
      <c r="D36" s="75">
        <v>5.8469621218539998E-3</v>
      </c>
      <c r="E36" s="46"/>
      <c r="F36" s="46"/>
    </row>
    <row r="37" spans="1:6" ht="16.5">
      <c r="A37" s="46"/>
      <c r="B37" s="98" t="s">
        <v>68</v>
      </c>
      <c r="C37" s="74">
        <v>69</v>
      </c>
      <c r="D37" s="75">
        <v>5.8469621218539998E-3</v>
      </c>
      <c r="E37" s="46"/>
      <c r="F37" s="46"/>
    </row>
    <row r="38" spans="1:6" ht="16.5">
      <c r="A38" s="46"/>
      <c r="B38" s="98" t="s">
        <v>75</v>
      </c>
      <c r="C38" s="74">
        <v>63</v>
      </c>
      <c r="D38" s="75">
        <v>5.3385306329969996E-3</v>
      </c>
      <c r="E38" s="46"/>
      <c r="F38" s="46"/>
    </row>
    <row r="39" spans="1:6" ht="16.5">
      <c r="A39" s="46"/>
      <c r="B39" s="98" t="s">
        <v>77</v>
      </c>
      <c r="C39" s="74">
        <v>62</v>
      </c>
      <c r="D39" s="75">
        <v>5.2537920515210003E-3</v>
      </c>
      <c r="E39" s="46"/>
      <c r="F39" s="46"/>
    </row>
    <row r="40" spans="1:6" ht="16.5">
      <c r="A40" s="46"/>
      <c r="B40" s="98" t="s">
        <v>80</v>
      </c>
      <c r="C40" s="74">
        <v>60</v>
      </c>
      <c r="D40" s="75">
        <v>5.084314888569E-3</v>
      </c>
      <c r="E40" s="46"/>
      <c r="F40" s="46"/>
    </row>
    <row r="41" spans="1:6" ht="16.5">
      <c r="A41" s="46"/>
      <c r="B41" s="98" t="s">
        <v>66</v>
      </c>
      <c r="C41" s="74">
        <v>58</v>
      </c>
      <c r="D41" s="75">
        <v>4.9148377256159996E-3</v>
      </c>
      <c r="E41" s="46"/>
      <c r="F41" s="46"/>
    </row>
    <row r="42" spans="1:6" ht="16.5">
      <c r="A42" s="46"/>
      <c r="B42" s="98" t="s">
        <v>74</v>
      </c>
      <c r="C42" s="74">
        <v>55</v>
      </c>
      <c r="D42" s="75">
        <v>4.660621981188E-3</v>
      </c>
      <c r="E42" s="46"/>
      <c r="F42" s="46"/>
    </row>
    <row r="43" spans="1:6" ht="16.5">
      <c r="A43" s="46"/>
      <c r="B43" s="98" t="s">
        <v>69</v>
      </c>
      <c r="C43" s="74">
        <v>53</v>
      </c>
      <c r="D43" s="75">
        <v>4.4911448182359997E-3</v>
      </c>
      <c r="E43" s="46"/>
      <c r="F43" s="46"/>
    </row>
    <row r="44" spans="1:6" ht="16.5">
      <c r="A44" s="46"/>
      <c r="B44" s="98" t="s">
        <v>71</v>
      </c>
      <c r="C44" s="74">
        <v>41</v>
      </c>
      <c r="D44" s="75">
        <v>3.4742818405220002E-3</v>
      </c>
      <c r="E44" s="46"/>
      <c r="F44" s="46"/>
    </row>
    <row r="45" spans="1:6" ht="16.5">
      <c r="A45" s="46"/>
      <c r="B45" s="98" t="s">
        <v>78</v>
      </c>
      <c r="C45" s="74">
        <v>38</v>
      </c>
      <c r="D45" s="75">
        <v>3.2200660960940001E-3</v>
      </c>
      <c r="E45" s="46"/>
      <c r="F45" s="46"/>
    </row>
    <row r="46" spans="1:6" ht="16.5">
      <c r="A46" s="46"/>
      <c r="B46" s="98" t="s">
        <v>83</v>
      </c>
      <c r="C46" s="74">
        <v>36</v>
      </c>
      <c r="D46" s="75">
        <v>3.0505889331410001E-3</v>
      </c>
      <c r="E46" s="46"/>
      <c r="F46" s="46"/>
    </row>
    <row r="47" spans="1:6" ht="16.5">
      <c r="A47" s="46"/>
      <c r="B47" s="98" t="s">
        <v>84</v>
      </c>
      <c r="C47" s="74">
        <v>32</v>
      </c>
      <c r="D47" s="75">
        <v>2.7116346072369999E-3</v>
      </c>
      <c r="E47" s="46"/>
      <c r="F47" s="46"/>
    </row>
    <row r="48" spans="1:6" ht="16.5">
      <c r="A48" s="46"/>
      <c r="B48" s="98" t="s">
        <v>87</v>
      </c>
      <c r="C48" s="74">
        <v>29</v>
      </c>
      <c r="D48" s="75">
        <v>2.4574188628079998E-3</v>
      </c>
      <c r="E48" s="46"/>
      <c r="F48" s="46"/>
    </row>
    <row r="49" spans="1:6" ht="16.5">
      <c r="A49" s="46"/>
      <c r="B49" s="98" t="s">
        <v>81</v>
      </c>
      <c r="C49" s="74">
        <v>26</v>
      </c>
      <c r="D49" s="75">
        <v>2.2032031183800002E-3</v>
      </c>
      <c r="E49" s="46"/>
      <c r="F49" s="46"/>
    </row>
    <row r="50" spans="1:6" ht="16.5">
      <c r="A50" s="46"/>
      <c r="B50" s="98" t="s">
        <v>79</v>
      </c>
      <c r="C50" s="74">
        <v>21</v>
      </c>
      <c r="D50" s="75">
        <v>1.7795102109989999E-3</v>
      </c>
      <c r="E50" s="46"/>
      <c r="F50" s="46"/>
    </row>
    <row r="51" spans="1:6" ht="16.5">
      <c r="A51" s="46"/>
      <c r="B51" s="98" t="s">
        <v>88</v>
      </c>
      <c r="C51" s="74">
        <v>21</v>
      </c>
      <c r="D51" s="75">
        <v>1.7795102109989999E-3</v>
      </c>
      <c r="E51" s="46"/>
      <c r="F51" s="46"/>
    </row>
    <row r="52" spans="1:6" ht="16.5">
      <c r="A52" s="46"/>
      <c r="B52" s="98" t="s">
        <v>86</v>
      </c>
      <c r="C52" s="74">
        <v>19</v>
      </c>
      <c r="D52" s="75">
        <v>1.6100330480470001E-3</v>
      </c>
      <c r="E52" s="46"/>
      <c r="F52" s="46"/>
    </row>
    <row r="53" spans="1:6" ht="16.5">
      <c r="A53" s="46"/>
      <c r="B53" s="98" t="s">
        <v>85</v>
      </c>
      <c r="C53" s="74">
        <v>17</v>
      </c>
      <c r="D53" s="75">
        <v>1.4405558850940001E-3</v>
      </c>
      <c r="E53" s="46"/>
      <c r="F53" s="46"/>
    </row>
    <row r="54" spans="1:6" ht="16.5">
      <c r="A54" s="46"/>
      <c r="B54" s="98" t="s">
        <v>82</v>
      </c>
      <c r="C54" s="74">
        <v>15</v>
      </c>
      <c r="D54" s="75">
        <v>1.271078722142E-3</v>
      </c>
      <c r="E54" s="46"/>
      <c r="F54" s="46"/>
    </row>
    <row r="55" spans="1:6" ht="16.5">
      <c r="A55" s="46"/>
      <c r="B55" s="98" t="s">
        <v>90</v>
      </c>
      <c r="C55" s="74">
        <v>11</v>
      </c>
      <c r="D55" s="75">
        <v>9.3212439623799998E-4</v>
      </c>
      <c r="E55" s="46"/>
      <c r="F55" s="46"/>
    </row>
    <row r="56" spans="1:6" ht="16.5">
      <c r="A56" s="46"/>
      <c r="B56" s="98" t="s">
        <v>89</v>
      </c>
      <c r="C56" s="74">
        <v>7</v>
      </c>
      <c r="D56" s="75">
        <v>5.9317007033300002E-4</v>
      </c>
      <c r="E56" s="46"/>
      <c r="F56" s="46"/>
    </row>
    <row r="57" spans="1:6" ht="16.5">
      <c r="A57" s="46"/>
      <c r="B57" s="98" t="s">
        <v>92</v>
      </c>
      <c r="C57" s="74">
        <v>6</v>
      </c>
      <c r="D57" s="75">
        <v>5.0843148885699996E-4</v>
      </c>
      <c r="E57" s="46"/>
      <c r="F57" s="46"/>
    </row>
    <row r="58" spans="1:6" ht="16.5">
      <c r="A58" s="46"/>
      <c r="B58" s="98" t="s">
        <v>91</v>
      </c>
      <c r="C58" s="74">
        <v>4</v>
      </c>
      <c r="D58" s="75">
        <v>3.3895432590500002E-4</v>
      </c>
      <c r="E58" s="46"/>
      <c r="F58" s="46"/>
    </row>
    <row r="59" spans="1:6" ht="16.5">
      <c r="A59" s="46"/>
      <c r="B59" s="98" t="s">
        <v>128</v>
      </c>
      <c r="C59" s="74">
        <v>4</v>
      </c>
      <c r="D59" s="75">
        <v>3.3895432590500002E-4</v>
      </c>
      <c r="E59" s="46"/>
      <c r="F59" s="46"/>
    </row>
    <row r="60" spans="1:6" ht="16.5">
      <c r="A60" s="46"/>
      <c r="B60" s="98" t="s">
        <v>129</v>
      </c>
      <c r="C60" s="74">
        <v>2</v>
      </c>
      <c r="D60" s="75">
        <v>1.69477162952E-4</v>
      </c>
      <c r="E60" s="46"/>
      <c r="F60" s="46"/>
    </row>
    <row r="61" spans="1:6" ht="16.5">
      <c r="A61" s="46"/>
      <c r="B61" s="98" t="s">
        <v>93</v>
      </c>
      <c r="C61" s="74">
        <v>1</v>
      </c>
      <c r="D61" s="75">
        <v>8.4738581476000001E-5</v>
      </c>
      <c r="E61" s="46"/>
      <c r="F61" s="46"/>
    </row>
    <row r="62" spans="1:6" ht="16.5">
      <c r="A62" s="46"/>
      <c r="B62" s="98" t="s">
        <v>94</v>
      </c>
      <c r="C62" s="74">
        <v>1</v>
      </c>
      <c r="D62" s="75">
        <v>8.4738581476000001E-5</v>
      </c>
      <c r="E62" s="46"/>
      <c r="F62" s="46"/>
    </row>
    <row r="63" spans="1:6" ht="16.5">
      <c r="A63" s="46"/>
      <c r="B63" s="99" t="s">
        <v>289</v>
      </c>
      <c r="C63" s="96">
        <v>11801</v>
      </c>
      <c r="D63" s="97">
        <v>1</v>
      </c>
      <c r="E63" s="46"/>
      <c r="F63" s="46"/>
    </row>
    <row r="64" spans="1:6" ht="16.5">
      <c r="A64" s="46"/>
      <c r="B64" s="38"/>
      <c r="C64" s="47"/>
      <c r="D64" s="46"/>
      <c r="E64" s="46"/>
      <c r="F64" s="46"/>
    </row>
    <row r="65" spans="2:6" ht="16.5">
      <c r="B65" s="36" t="s">
        <v>130</v>
      </c>
      <c r="C65" s="47"/>
      <c r="D65" s="46"/>
      <c r="E65" s="46"/>
      <c r="F65" s="46"/>
    </row>
    <row r="66" spans="2:6" ht="16.5">
      <c r="B66" s="38" t="s">
        <v>17</v>
      </c>
      <c r="C66" s="47"/>
      <c r="D66" s="46"/>
      <c r="E66" s="46"/>
      <c r="F66" s="46"/>
    </row>
    <row r="67" spans="2:6" ht="16.5">
      <c r="B67" s="39" t="s">
        <v>95</v>
      </c>
      <c r="C67" s="47"/>
      <c r="D67" s="46"/>
      <c r="E67" s="46"/>
      <c r="F67" s="46"/>
    </row>
    <row r="68" spans="2:6" ht="16.5">
      <c r="B68" s="36" t="s">
        <v>16</v>
      </c>
      <c r="C68" s="47"/>
      <c r="D68" s="46"/>
      <c r="E68" s="46"/>
      <c r="F68" s="46"/>
    </row>
    <row r="69" spans="2:6" ht="16.5">
      <c r="B69" s="36" t="s">
        <v>285</v>
      </c>
      <c r="C69" s="47"/>
      <c r="D69" s="46"/>
      <c r="E69" s="46"/>
      <c r="F69" s="4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zoomScale="115" zoomScaleNormal="100" zoomScaleSheetLayoutView="115" workbookViewId="0">
      <selection activeCell="B7" sqref="B7:D9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40"/>
      <c r="B7" s="85" t="s">
        <v>43</v>
      </c>
      <c r="C7" s="85"/>
      <c r="D7" s="85"/>
      <c r="E7" s="40"/>
      <c r="F7" s="40"/>
    </row>
    <row r="8" spans="1:6" s="16" customFormat="1" ht="15" customHeight="1">
      <c r="A8" s="40"/>
      <c r="B8" s="85"/>
      <c r="C8" s="85"/>
      <c r="D8" s="85"/>
      <c r="E8" s="40"/>
      <c r="F8" s="40"/>
    </row>
    <row r="9" spans="1:6" s="16" customFormat="1" ht="33" customHeight="1">
      <c r="A9" s="40"/>
      <c r="B9" s="85"/>
      <c r="C9" s="85"/>
      <c r="D9" s="85"/>
      <c r="E9" s="40"/>
      <c r="F9" s="40"/>
    </row>
    <row r="10" spans="1:6" s="16" customFormat="1" ht="4.5" customHeight="1">
      <c r="A10" s="40"/>
      <c r="B10" s="43"/>
      <c r="C10" s="43"/>
      <c r="D10" s="43"/>
      <c r="E10" s="40"/>
      <c r="F10" s="40"/>
    </row>
    <row r="11" spans="1:6" s="16" customFormat="1" ht="33" customHeight="1" thickBot="1">
      <c r="A11" s="40"/>
      <c r="B11" s="48" t="s">
        <v>21</v>
      </c>
      <c r="C11" s="49" t="s">
        <v>19</v>
      </c>
      <c r="D11" s="50" t="s">
        <v>18</v>
      </c>
      <c r="E11" s="40"/>
      <c r="F11" s="40"/>
    </row>
    <row r="12" spans="1:6" ht="15" customHeight="1" thickBot="1">
      <c r="A12" s="46"/>
      <c r="B12" s="32" t="s">
        <v>46</v>
      </c>
      <c r="C12" s="33">
        <v>2932</v>
      </c>
      <c r="D12" s="34">
        <v>0.24845352088806</v>
      </c>
      <c r="E12" s="46"/>
      <c r="F12" s="46"/>
    </row>
    <row r="13" spans="1:6" ht="17" thickBot="1">
      <c r="A13" s="46"/>
      <c r="B13" s="32" t="s">
        <v>47</v>
      </c>
      <c r="C13" s="33">
        <v>2135</v>
      </c>
      <c r="D13" s="34">
        <v>0.18091687145157201</v>
      </c>
      <c r="E13" s="46"/>
      <c r="F13" s="46"/>
    </row>
    <row r="14" spans="1:6" s="15" customFormat="1" ht="17" thickBot="1">
      <c r="A14" s="46"/>
      <c r="B14" s="32" t="s">
        <v>48</v>
      </c>
      <c r="C14" s="33">
        <v>1763</v>
      </c>
      <c r="D14" s="34">
        <v>0.14939411914244599</v>
      </c>
      <c r="E14" s="46"/>
      <c r="F14" s="46"/>
    </row>
    <row r="15" spans="1:6" s="15" customFormat="1" ht="17" thickBot="1">
      <c r="A15" s="46"/>
      <c r="B15" s="32" t="s">
        <v>49</v>
      </c>
      <c r="C15" s="33">
        <v>636</v>
      </c>
      <c r="D15" s="34">
        <v>5.3893737818829002E-2</v>
      </c>
      <c r="E15" s="46"/>
      <c r="F15" s="46"/>
    </row>
    <row r="16" spans="1:6" ht="17" thickBot="1">
      <c r="A16" s="46"/>
      <c r="B16" s="32" t="s">
        <v>50</v>
      </c>
      <c r="C16" s="33">
        <v>489</v>
      </c>
      <c r="D16" s="34">
        <v>4.1437166341835002E-2</v>
      </c>
      <c r="E16" s="46"/>
      <c r="F16" s="46"/>
    </row>
    <row r="17" spans="1:6" ht="17" thickBot="1">
      <c r="A17" s="46"/>
      <c r="B17" s="32" t="s">
        <v>51</v>
      </c>
      <c r="C17" s="33">
        <v>363</v>
      </c>
      <c r="D17" s="34">
        <v>3.0760105075841E-2</v>
      </c>
      <c r="E17" s="46"/>
      <c r="F17" s="46"/>
    </row>
    <row r="18" spans="1:6" ht="17" thickBot="1">
      <c r="A18" s="46"/>
      <c r="B18" s="32" t="s">
        <v>53</v>
      </c>
      <c r="C18" s="33">
        <v>231</v>
      </c>
      <c r="D18" s="34">
        <v>1.957461232099E-2</v>
      </c>
      <c r="E18" s="46"/>
      <c r="F18" s="46"/>
    </row>
    <row r="19" spans="1:6" ht="17" thickBot="1">
      <c r="A19" s="46"/>
      <c r="B19" s="32" t="s">
        <v>55</v>
      </c>
      <c r="C19" s="33">
        <v>216</v>
      </c>
      <c r="D19" s="34">
        <v>1.8303533598847999E-2</v>
      </c>
      <c r="E19" s="46"/>
      <c r="F19" s="46"/>
    </row>
    <row r="20" spans="1:6" ht="17" thickBot="1">
      <c r="A20" s="46"/>
      <c r="B20" s="32" t="s">
        <v>52</v>
      </c>
      <c r="C20" s="33">
        <v>216</v>
      </c>
      <c r="D20" s="34">
        <v>1.8303533598847999E-2</v>
      </c>
      <c r="E20" s="46"/>
      <c r="F20" s="46"/>
    </row>
    <row r="21" spans="1:6" ht="17" thickBot="1">
      <c r="A21" s="46"/>
      <c r="B21" s="32" t="s">
        <v>56</v>
      </c>
      <c r="C21" s="33">
        <v>205</v>
      </c>
      <c r="D21" s="34">
        <v>1.7371409202609999E-2</v>
      </c>
      <c r="E21" s="46"/>
      <c r="F21" s="46"/>
    </row>
    <row r="22" spans="1:6" ht="16.5">
      <c r="A22" s="46"/>
      <c r="B22" s="51" t="s">
        <v>44</v>
      </c>
      <c r="C22" s="52">
        <f>SUM(C12:C21)</f>
        <v>9186</v>
      </c>
      <c r="D22" s="53">
        <f t="shared" ref="D22" si="0">C22/$C$22</f>
        <v>1</v>
      </c>
      <c r="E22" s="46"/>
      <c r="F22" s="46"/>
    </row>
    <row r="23" spans="1:6" ht="16.5">
      <c r="A23" s="46"/>
      <c r="B23" s="51" t="s">
        <v>45</v>
      </c>
      <c r="C23" s="52">
        <v>11801</v>
      </c>
      <c r="D23" s="46"/>
      <c r="E23" s="46"/>
      <c r="F23" s="46"/>
    </row>
    <row r="24" spans="1:6" ht="16.5">
      <c r="A24" s="46"/>
      <c r="B24" s="36"/>
      <c r="C24" s="46"/>
      <c r="D24" s="46"/>
      <c r="E24" s="46"/>
      <c r="F24" s="46"/>
    </row>
    <row r="25" spans="1:6" ht="16.5">
      <c r="B25" s="36" t="s">
        <v>130</v>
      </c>
      <c r="C25" s="46"/>
      <c r="D25" s="46"/>
      <c r="E25" s="46"/>
      <c r="F25" s="46"/>
    </row>
    <row r="26" spans="1:6" ht="16.5">
      <c r="B26" s="38" t="s">
        <v>17</v>
      </c>
      <c r="C26" s="46"/>
      <c r="D26" s="46"/>
      <c r="E26" s="46"/>
      <c r="F26" s="46"/>
    </row>
    <row r="27" spans="1:6" ht="16.5">
      <c r="B27" s="39" t="s">
        <v>95</v>
      </c>
      <c r="C27" s="46"/>
      <c r="D27" s="46"/>
      <c r="E27" s="46"/>
      <c r="F27" s="46"/>
    </row>
    <row r="28" spans="1:6" ht="16.5">
      <c r="B28" s="36" t="s">
        <v>16</v>
      </c>
      <c r="C28" s="47"/>
      <c r="D28" s="46"/>
      <c r="E28" s="46"/>
      <c r="F28" s="46"/>
    </row>
    <row r="29" spans="1:6" ht="16.5">
      <c r="B29" s="36" t="s">
        <v>285</v>
      </c>
      <c r="C29" s="47"/>
      <c r="D29" s="46"/>
      <c r="E29" s="46"/>
      <c r="F29" s="4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57"/>
  <sheetViews>
    <sheetView showGridLines="0" view="pageBreakPreview" topLeftCell="A38" zoomScale="115" zoomScaleNormal="85" zoomScaleSheetLayoutView="115" workbookViewId="0">
      <selection activeCell="B58" sqref="B58"/>
    </sheetView>
  </sheetViews>
  <sheetFormatPr baseColWidth="10" defaultColWidth="11.453125" defaultRowHeight="14.5"/>
  <cols>
    <col min="1" max="1" width="9.26953125" style="13" customWidth="1"/>
    <col min="2" max="2" width="27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453125" style="13" customWidth="1"/>
    <col min="7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40"/>
      <c r="B7" s="85" t="s">
        <v>41</v>
      </c>
      <c r="C7" s="85"/>
      <c r="D7" s="85"/>
      <c r="E7" s="40"/>
      <c r="F7" s="40"/>
    </row>
    <row r="8" spans="1:6" s="16" customFormat="1" ht="15" customHeight="1">
      <c r="A8" s="40"/>
      <c r="B8" s="85"/>
      <c r="C8" s="85"/>
      <c r="D8" s="85"/>
      <c r="E8" s="40"/>
      <c r="F8" s="40"/>
    </row>
    <row r="9" spans="1:6" s="16" customFormat="1" ht="33" customHeight="1">
      <c r="A9" s="40"/>
      <c r="B9" s="85"/>
      <c r="C9" s="85"/>
      <c r="D9" s="85"/>
      <c r="E9" s="40"/>
      <c r="F9" s="40"/>
    </row>
    <row r="10" spans="1:6" s="16" customFormat="1" ht="4.5" customHeight="1">
      <c r="A10" s="40"/>
      <c r="B10" s="43"/>
      <c r="C10" s="43"/>
      <c r="D10" s="43"/>
      <c r="E10" s="40"/>
      <c r="F10" s="40"/>
    </row>
    <row r="11" spans="1:6" s="16" customFormat="1" ht="33" customHeight="1">
      <c r="A11" s="40"/>
      <c r="B11" s="44" t="s">
        <v>22</v>
      </c>
      <c r="C11" s="45" t="s">
        <v>19</v>
      </c>
      <c r="D11" s="44" t="s">
        <v>18</v>
      </c>
      <c r="E11" s="40"/>
      <c r="F11" s="40"/>
    </row>
    <row r="12" spans="1:6" ht="15" customHeight="1">
      <c r="A12" s="46"/>
      <c r="B12" s="73" t="s">
        <v>146</v>
      </c>
      <c r="C12" s="74">
        <v>2839</v>
      </c>
      <c r="D12" s="75">
        <v>0.24057283281077901</v>
      </c>
      <c r="E12" s="46"/>
      <c r="F12" s="46"/>
    </row>
    <row r="13" spans="1:6" ht="15" customHeight="1">
      <c r="A13" s="46"/>
      <c r="B13" s="73" t="s">
        <v>137</v>
      </c>
      <c r="C13" s="74">
        <v>1682</v>
      </c>
      <c r="D13" s="75">
        <v>0.14253029404287801</v>
      </c>
      <c r="E13" s="46"/>
      <c r="F13" s="46"/>
    </row>
    <row r="14" spans="1:6" ht="15" customHeight="1">
      <c r="A14" s="46"/>
      <c r="B14" s="73" t="s">
        <v>140</v>
      </c>
      <c r="C14" s="74">
        <v>1208</v>
      </c>
      <c r="D14" s="75">
        <v>0.102364206423184</v>
      </c>
      <c r="E14" s="46"/>
      <c r="F14" s="46"/>
    </row>
    <row r="15" spans="1:6" ht="15" customHeight="1">
      <c r="A15" s="46"/>
      <c r="B15" s="73" t="s">
        <v>138</v>
      </c>
      <c r="C15" s="74">
        <v>866</v>
      </c>
      <c r="D15" s="75">
        <v>7.3383611558342998E-2</v>
      </c>
      <c r="E15" s="46"/>
      <c r="F15" s="46"/>
    </row>
    <row r="16" spans="1:6" ht="15" customHeight="1">
      <c r="A16" s="46"/>
      <c r="B16" s="73" t="s">
        <v>143</v>
      </c>
      <c r="C16" s="74">
        <v>862</v>
      </c>
      <c r="D16" s="75">
        <v>7.3044657232437998E-2</v>
      </c>
      <c r="E16" s="46"/>
      <c r="F16" s="46"/>
    </row>
    <row r="17" spans="1:6" ht="15" customHeight="1">
      <c r="A17" s="46"/>
      <c r="B17" s="73" t="s">
        <v>141</v>
      </c>
      <c r="C17" s="74">
        <v>677</v>
      </c>
      <c r="D17" s="75">
        <v>5.7368019659350997E-2</v>
      </c>
      <c r="E17" s="46"/>
      <c r="F17" s="46"/>
    </row>
    <row r="18" spans="1:6" ht="15" customHeight="1">
      <c r="A18" s="46"/>
      <c r="B18" s="73" t="s">
        <v>133</v>
      </c>
      <c r="C18" s="74">
        <v>670</v>
      </c>
      <c r="D18" s="75">
        <v>5.6774849589018003E-2</v>
      </c>
      <c r="E18" s="46"/>
      <c r="F18" s="46"/>
    </row>
    <row r="19" spans="1:6" ht="15" customHeight="1">
      <c r="A19" s="46"/>
      <c r="B19" s="73" t="s">
        <v>144</v>
      </c>
      <c r="C19" s="74">
        <v>560</v>
      </c>
      <c r="D19" s="75">
        <v>4.7453605626641998E-2</v>
      </c>
      <c r="E19" s="46"/>
      <c r="F19" s="46"/>
    </row>
    <row r="20" spans="1:6" ht="15" customHeight="1">
      <c r="A20" s="46"/>
      <c r="B20" s="73" t="s">
        <v>136</v>
      </c>
      <c r="C20" s="74">
        <v>435</v>
      </c>
      <c r="D20" s="75">
        <v>3.6861282942123999E-2</v>
      </c>
      <c r="E20" s="46"/>
      <c r="F20" s="46"/>
    </row>
    <row r="21" spans="1:6" ht="15" customHeight="1">
      <c r="A21" s="46"/>
      <c r="B21" s="73" t="s">
        <v>160</v>
      </c>
      <c r="C21" s="74">
        <v>356</v>
      </c>
      <c r="D21" s="75">
        <v>3.0166935005507999E-2</v>
      </c>
      <c r="E21" s="46"/>
      <c r="F21" s="46"/>
    </row>
    <row r="22" spans="1:6" ht="15" customHeight="1">
      <c r="A22" s="46"/>
      <c r="B22" s="73" t="s">
        <v>134</v>
      </c>
      <c r="C22" s="74">
        <v>348</v>
      </c>
      <c r="D22" s="75">
        <v>2.9489026353698999E-2</v>
      </c>
      <c r="E22" s="46"/>
      <c r="F22" s="46"/>
    </row>
    <row r="23" spans="1:6" ht="15" customHeight="1">
      <c r="A23" s="46"/>
      <c r="B23" s="73" t="s">
        <v>149</v>
      </c>
      <c r="C23" s="74">
        <v>196</v>
      </c>
      <c r="D23" s="75">
        <v>1.6608761969324998E-2</v>
      </c>
      <c r="E23" s="46"/>
      <c r="F23" s="46"/>
    </row>
    <row r="24" spans="1:6" ht="15" customHeight="1">
      <c r="A24" s="46"/>
      <c r="B24" s="73" t="s">
        <v>142</v>
      </c>
      <c r="C24" s="74">
        <v>187</v>
      </c>
      <c r="D24" s="75">
        <v>1.5846114736038999E-2</v>
      </c>
      <c r="E24" s="46"/>
      <c r="F24" s="46"/>
    </row>
    <row r="25" spans="1:6" ht="15" customHeight="1">
      <c r="A25" s="46"/>
      <c r="B25" s="73" t="s">
        <v>147</v>
      </c>
      <c r="C25" s="74">
        <v>100</v>
      </c>
      <c r="D25" s="75">
        <v>8.4738581476150009E-3</v>
      </c>
      <c r="E25" s="46"/>
      <c r="F25" s="46"/>
    </row>
    <row r="26" spans="1:6" ht="15" customHeight="1">
      <c r="A26" s="46"/>
      <c r="B26" s="73" t="s">
        <v>139</v>
      </c>
      <c r="C26" s="74">
        <v>83</v>
      </c>
      <c r="D26" s="75">
        <v>7.0333022625199996E-3</v>
      </c>
      <c r="E26" s="46"/>
      <c r="F26" s="46"/>
    </row>
    <row r="27" spans="1:6" ht="15" customHeight="1">
      <c r="A27" s="46"/>
      <c r="B27" s="73" t="s">
        <v>148</v>
      </c>
      <c r="C27" s="74">
        <v>71</v>
      </c>
      <c r="D27" s="75">
        <v>6.0164392848060001E-3</v>
      </c>
      <c r="E27" s="46"/>
      <c r="F27" s="46"/>
    </row>
    <row r="28" spans="1:6" ht="15" customHeight="1">
      <c r="A28" s="46"/>
      <c r="B28" s="73" t="s">
        <v>162</v>
      </c>
      <c r="C28" s="74">
        <v>69</v>
      </c>
      <c r="D28" s="75">
        <v>5.8469621218539998E-3</v>
      </c>
      <c r="E28" s="46"/>
      <c r="F28" s="46"/>
    </row>
    <row r="29" spans="1:6" ht="15" customHeight="1">
      <c r="A29" s="46"/>
      <c r="B29" s="73" t="s">
        <v>158</v>
      </c>
      <c r="C29" s="74">
        <v>61</v>
      </c>
      <c r="D29" s="75">
        <v>5.1690534700450002E-3</v>
      </c>
      <c r="E29" s="46"/>
      <c r="F29" s="46"/>
    </row>
    <row r="30" spans="1:6" ht="15" customHeight="1">
      <c r="A30" s="46"/>
      <c r="B30" s="73" t="s">
        <v>154</v>
      </c>
      <c r="C30" s="74">
        <v>60</v>
      </c>
      <c r="D30" s="75">
        <v>5.084314888569E-3</v>
      </c>
      <c r="E30" s="46"/>
      <c r="F30" s="46"/>
    </row>
    <row r="31" spans="1:6" ht="15" customHeight="1">
      <c r="A31" s="46"/>
      <c r="B31" s="73" t="s">
        <v>159</v>
      </c>
      <c r="C31" s="74">
        <v>55</v>
      </c>
      <c r="D31" s="75">
        <v>4.660621981188E-3</v>
      </c>
      <c r="E31" s="46"/>
      <c r="F31" s="46"/>
    </row>
    <row r="32" spans="1:6" ht="15" customHeight="1">
      <c r="A32" s="46"/>
      <c r="B32" s="73" t="s">
        <v>153</v>
      </c>
      <c r="C32" s="74">
        <v>45</v>
      </c>
      <c r="D32" s="75">
        <v>3.813236166427E-3</v>
      </c>
      <c r="E32" s="46"/>
      <c r="F32" s="46"/>
    </row>
    <row r="33" spans="1:6" ht="15" customHeight="1">
      <c r="A33" s="46"/>
      <c r="B33" s="73" t="s">
        <v>163</v>
      </c>
      <c r="C33" s="74">
        <v>44</v>
      </c>
      <c r="D33" s="75">
        <v>3.7284975849499998E-3</v>
      </c>
      <c r="E33" s="46"/>
      <c r="F33" s="46"/>
    </row>
    <row r="34" spans="1:6" ht="15" customHeight="1">
      <c r="A34" s="46"/>
      <c r="B34" s="73" t="s">
        <v>152</v>
      </c>
      <c r="C34" s="74">
        <v>43</v>
      </c>
      <c r="D34" s="75">
        <v>3.6437590034740001E-3</v>
      </c>
      <c r="E34" s="46"/>
      <c r="F34" s="46"/>
    </row>
    <row r="35" spans="1:6" ht="15" customHeight="1">
      <c r="A35" s="46"/>
      <c r="B35" s="73" t="s">
        <v>135</v>
      </c>
      <c r="C35" s="74">
        <v>39</v>
      </c>
      <c r="D35" s="75">
        <v>3.3048046775699998E-3</v>
      </c>
      <c r="E35" s="46"/>
      <c r="F35" s="46"/>
    </row>
    <row r="36" spans="1:6" ht="15" customHeight="1">
      <c r="A36" s="46"/>
      <c r="B36" s="73" t="s">
        <v>155</v>
      </c>
      <c r="C36" s="74">
        <v>30</v>
      </c>
      <c r="D36" s="75">
        <v>2.542157444284E-3</v>
      </c>
      <c r="E36" s="46"/>
      <c r="F36" s="46"/>
    </row>
    <row r="37" spans="1:6" ht="15" customHeight="1">
      <c r="A37" s="46"/>
      <c r="B37" s="73" t="s">
        <v>166</v>
      </c>
      <c r="C37" s="74">
        <v>28</v>
      </c>
      <c r="D37" s="75">
        <v>2.3726802813320001E-3</v>
      </c>
      <c r="E37" s="46"/>
      <c r="F37" s="46"/>
    </row>
    <row r="38" spans="1:6" ht="15" customHeight="1">
      <c r="A38" s="46"/>
      <c r="B38" s="73" t="s">
        <v>151</v>
      </c>
      <c r="C38" s="74">
        <v>24</v>
      </c>
      <c r="D38" s="75">
        <v>2.0337259554279999E-3</v>
      </c>
      <c r="E38" s="46"/>
      <c r="F38" s="46"/>
    </row>
    <row r="39" spans="1:6" ht="15" customHeight="1">
      <c r="A39" s="46"/>
      <c r="B39" s="73" t="s">
        <v>145</v>
      </c>
      <c r="C39" s="74">
        <v>24</v>
      </c>
      <c r="D39" s="75">
        <v>2.0337259554279999E-3</v>
      </c>
      <c r="E39" s="46"/>
      <c r="F39" s="46"/>
    </row>
    <row r="40" spans="1:6" ht="16.5">
      <c r="A40" s="46"/>
      <c r="B40" s="73" t="s">
        <v>167</v>
      </c>
      <c r="C40" s="74">
        <v>19</v>
      </c>
      <c r="D40" s="75">
        <v>1.6100330480470001E-3</v>
      </c>
      <c r="E40" s="46"/>
      <c r="F40" s="46"/>
    </row>
    <row r="41" spans="1:6" ht="15" customHeight="1">
      <c r="A41" s="46"/>
      <c r="B41" s="73" t="s">
        <v>161</v>
      </c>
      <c r="C41" s="74">
        <v>18</v>
      </c>
      <c r="D41" s="75">
        <v>1.5252944665710001E-3</v>
      </c>
      <c r="E41" s="46"/>
      <c r="F41" s="46"/>
    </row>
    <row r="42" spans="1:6" ht="15" customHeight="1">
      <c r="A42" s="46"/>
      <c r="B42" s="73" t="s">
        <v>156</v>
      </c>
      <c r="C42" s="74">
        <v>16</v>
      </c>
      <c r="D42" s="75">
        <v>1.3558173036179999E-3</v>
      </c>
      <c r="E42" s="46"/>
      <c r="F42" s="46"/>
    </row>
    <row r="43" spans="1:6" ht="15" customHeight="1">
      <c r="A43" s="46"/>
      <c r="B43" s="73" t="s">
        <v>168</v>
      </c>
      <c r="C43" s="74">
        <v>15</v>
      </c>
      <c r="D43" s="75">
        <v>1.271078722142E-3</v>
      </c>
      <c r="E43" s="46"/>
      <c r="F43" s="46"/>
    </row>
    <row r="44" spans="1:6" ht="15" customHeight="1">
      <c r="A44" s="46"/>
      <c r="B44" s="73" t="s">
        <v>150</v>
      </c>
      <c r="C44" s="74">
        <v>14</v>
      </c>
      <c r="D44" s="75">
        <v>1.186340140666E-3</v>
      </c>
      <c r="E44" s="46"/>
      <c r="F44" s="46"/>
    </row>
    <row r="45" spans="1:6" ht="15" customHeight="1">
      <c r="A45" s="46"/>
      <c r="B45" s="73" t="s">
        <v>170</v>
      </c>
      <c r="C45" s="74">
        <v>14</v>
      </c>
      <c r="D45" s="75">
        <v>1.186340140666E-3</v>
      </c>
      <c r="E45" s="46"/>
      <c r="F45" s="46"/>
    </row>
    <row r="46" spans="1:6" ht="15" customHeight="1">
      <c r="A46" s="46"/>
      <c r="B46" s="73" t="s">
        <v>165</v>
      </c>
      <c r="C46" s="74">
        <v>13</v>
      </c>
      <c r="D46" s="75">
        <v>1.1016015591900001E-3</v>
      </c>
      <c r="E46" s="46"/>
      <c r="F46" s="46"/>
    </row>
    <row r="47" spans="1:6" ht="15" customHeight="1">
      <c r="A47" s="46"/>
      <c r="B47" s="73" t="s">
        <v>164</v>
      </c>
      <c r="C47" s="74">
        <v>10</v>
      </c>
      <c r="D47" s="75">
        <v>8.4738581476099997E-4</v>
      </c>
      <c r="E47" s="46"/>
      <c r="F47" s="46"/>
    </row>
    <row r="48" spans="1:6" ht="15" customHeight="1">
      <c r="A48" s="46"/>
      <c r="B48" s="73" t="s">
        <v>169</v>
      </c>
      <c r="C48" s="74">
        <v>9</v>
      </c>
      <c r="D48" s="75">
        <v>7.6264723328500002E-4</v>
      </c>
      <c r="E48" s="46"/>
      <c r="F48" s="46"/>
    </row>
    <row r="49" spans="1:6" ht="15" customHeight="1">
      <c r="A49" s="46"/>
      <c r="B49" s="73" t="s">
        <v>157</v>
      </c>
      <c r="C49" s="74">
        <v>9</v>
      </c>
      <c r="D49" s="75">
        <v>7.6264723328500002E-4</v>
      </c>
      <c r="E49" s="46"/>
      <c r="F49" s="46"/>
    </row>
    <row r="50" spans="1:6" ht="15" customHeight="1">
      <c r="A50" s="46"/>
      <c r="B50" s="73" t="s">
        <v>81</v>
      </c>
      <c r="C50" s="74">
        <v>2</v>
      </c>
      <c r="D50" s="75">
        <v>1.69477162952E-4</v>
      </c>
      <c r="E50" s="46"/>
      <c r="F50" s="46"/>
    </row>
    <row r="51" spans="1:6" ht="15" customHeight="1">
      <c r="A51" s="46"/>
      <c r="B51" s="95" t="s">
        <v>288</v>
      </c>
      <c r="C51" s="96">
        <v>11801</v>
      </c>
      <c r="D51" s="97">
        <v>1</v>
      </c>
      <c r="E51" s="46"/>
      <c r="F51" s="46"/>
    </row>
    <row r="52" spans="1:6" ht="16.5">
      <c r="A52" s="46"/>
      <c r="B52" s="36"/>
      <c r="C52" s="47"/>
      <c r="D52" s="46"/>
      <c r="E52" s="46"/>
      <c r="F52" s="46"/>
    </row>
    <row r="53" spans="1:6" ht="16.5">
      <c r="B53" s="36" t="s">
        <v>130</v>
      </c>
      <c r="C53" s="47"/>
      <c r="D53" s="46"/>
      <c r="E53" s="46"/>
      <c r="F53" s="46"/>
    </row>
    <row r="54" spans="1:6" ht="16.5">
      <c r="B54" s="38" t="s">
        <v>17</v>
      </c>
      <c r="C54" s="47"/>
      <c r="D54" s="46"/>
      <c r="E54" s="46"/>
      <c r="F54" s="46"/>
    </row>
    <row r="55" spans="1:6" ht="16.5">
      <c r="B55" s="39" t="s">
        <v>95</v>
      </c>
      <c r="C55" s="47"/>
      <c r="D55" s="46"/>
      <c r="E55" s="46"/>
      <c r="F55" s="46"/>
    </row>
    <row r="56" spans="1:6" ht="16.5">
      <c r="B56" s="36" t="s">
        <v>16</v>
      </c>
      <c r="C56" s="46"/>
      <c r="D56" s="46"/>
      <c r="E56" s="46"/>
      <c r="F56" s="46"/>
    </row>
    <row r="57" spans="1:6" ht="16.5">
      <c r="B57" s="36" t="s">
        <v>285</v>
      </c>
      <c r="C57" s="47"/>
      <c r="D57" s="46"/>
      <c r="E57" s="46"/>
      <c r="F57" s="4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580"/>
  <sheetViews>
    <sheetView showGridLines="0" view="pageBreakPreview" topLeftCell="A562" zoomScaleNormal="100" zoomScaleSheetLayoutView="100" workbookViewId="0">
      <selection activeCell="C571" sqref="C571"/>
    </sheetView>
  </sheetViews>
  <sheetFormatPr baseColWidth="10" defaultColWidth="35" defaultRowHeight="15" customHeight="1"/>
  <cols>
    <col min="1" max="1" width="1" style="19" customWidth="1"/>
    <col min="2" max="2" width="22.81640625" style="20" customWidth="1"/>
    <col min="3" max="3" width="31.453125" style="20" customWidth="1"/>
    <col min="4" max="4" width="14.26953125" style="20" customWidth="1"/>
    <col min="5" max="5" width="16.8164062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A6" s="31"/>
      <c r="B6" s="30"/>
      <c r="C6" s="31"/>
      <c r="D6" s="31"/>
      <c r="E6" s="31"/>
    </row>
    <row r="7" spans="1:5" s="22" customFormat="1" ht="26.25" customHeight="1">
      <c r="A7" s="54"/>
      <c r="B7" s="86"/>
      <c r="C7" s="86"/>
      <c r="D7" s="86"/>
      <c r="E7" s="86"/>
    </row>
    <row r="8" spans="1:5" s="22" customFormat="1" ht="33" customHeight="1">
      <c r="A8" s="54"/>
      <c r="B8" s="86"/>
      <c r="C8" s="86"/>
      <c r="D8" s="86"/>
      <c r="E8" s="86"/>
    </row>
    <row r="9" spans="1:5" s="16" customFormat="1" ht="40.5" customHeight="1">
      <c r="A9" s="40"/>
      <c r="B9" s="100" t="s">
        <v>24</v>
      </c>
      <c r="C9" s="101" t="s">
        <v>23</v>
      </c>
      <c r="D9" s="102" t="s">
        <v>19</v>
      </c>
      <c r="E9" s="100" t="s">
        <v>18</v>
      </c>
    </row>
    <row r="10" spans="1:5" ht="15" customHeight="1">
      <c r="A10" s="35"/>
      <c r="B10" s="106" t="s">
        <v>171</v>
      </c>
      <c r="C10" s="73" t="s">
        <v>137</v>
      </c>
      <c r="D10" s="74">
        <v>1409</v>
      </c>
      <c r="E10" s="75">
        <v>0.11939666129989</v>
      </c>
    </row>
    <row r="11" spans="1:5" ht="15" customHeight="1">
      <c r="A11" s="35"/>
      <c r="B11" s="107"/>
      <c r="C11" s="73" t="s">
        <v>146</v>
      </c>
      <c r="D11" s="74">
        <v>1308</v>
      </c>
      <c r="E11" s="75">
        <v>0.11083806457079901</v>
      </c>
    </row>
    <row r="12" spans="1:5" ht="15" customHeight="1">
      <c r="A12" s="35"/>
      <c r="B12" s="107"/>
      <c r="C12" s="73" t="s">
        <v>140</v>
      </c>
      <c r="D12" s="74">
        <v>1025</v>
      </c>
      <c r="E12" s="75">
        <v>8.6857046013049999E-2</v>
      </c>
    </row>
    <row r="13" spans="1:5" ht="15" customHeight="1">
      <c r="A13" s="35"/>
      <c r="B13" s="107"/>
      <c r="C13" s="73" t="s">
        <v>143</v>
      </c>
      <c r="D13" s="74">
        <v>760</v>
      </c>
      <c r="E13" s="75">
        <v>6.4401321921870994E-2</v>
      </c>
    </row>
    <row r="14" spans="1:5" ht="15" customHeight="1">
      <c r="A14" s="35"/>
      <c r="B14" s="107"/>
      <c r="C14" s="73" t="s">
        <v>138</v>
      </c>
      <c r="D14" s="74">
        <v>749</v>
      </c>
      <c r="E14" s="75">
        <v>6.3469197525633E-2</v>
      </c>
    </row>
    <row r="15" spans="1:5" ht="15" customHeight="1">
      <c r="A15" s="35"/>
      <c r="B15" s="107"/>
      <c r="C15" s="73" t="s">
        <v>133</v>
      </c>
      <c r="D15" s="74">
        <v>555</v>
      </c>
      <c r="E15" s="75">
        <v>4.7029912719260998E-2</v>
      </c>
    </row>
    <row r="16" spans="1:5" ht="15" customHeight="1">
      <c r="A16" s="35"/>
      <c r="B16" s="107"/>
      <c r="C16" s="73" t="s">
        <v>141</v>
      </c>
      <c r="D16" s="74">
        <v>500</v>
      </c>
      <c r="E16" s="75">
        <v>4.2369290738073002E-2</v>
      </c>
    </row>
    <row r="17" spans="1:5" ht="15" customHeight="1">
      <c r="A17" s="35"/>
      <c r="B17" s="107"/>
      <c r="C17" s="73" t="s">
        <v>144</v>
      </c>
      <c r="D17" s="74">
        <v>377</v>
      </c>
      <c r="E17" s="75">
        <v>3.1946445216506997E-2</v>
      </c>
    </row>
    <row r="18" spans="1:5" ht="15" customHeight="1">
      <c r="A18" s="35"/>
      <c r="B18" s="107"/>
      <c r="C18" s="73" t="s">
        <v>160</v>
      </c>
      <c r="D18" s="74">
        <v>281</v>
      </c>
      <c r="E18" s="75">
        <v>2.3811541394796999E-2</v>
      </c>
    </row>
    <row r="19" spans="1:5" ht="15" customHeight="1">
      <c r="A19" s="35"/>
      <c r="B19" s="107"/>
      <c r="C19" s="73" t="s">
        <v>136</v>
      </c>
      <c r="D19" s="74">
        <v>203</v>
      </c>
      <c r="E19" s="75">
        <v>1.7201932039657999E-2</v>
      </c>
    </row>
    <row r="20" spans="1:5" ht="15" customHeight="1">
      <c r="A20" s="35"/>
      <c r="B20" s="107"/>
      <c r="C20" s="73" t="s">
        <v>142</v>
      </c>
      <c r="D20" s="74">
        <v>162</v>
      </c>
      <c r="E20" s="75">
        <v>1.3727650199136E-2</v>
      </c>
    </row>
    <row r="21" spans="1:5" ht="15" customHeight="1">
      <c r="A21" s="35"/>
      <c r="B21" s="107"/>
      <c r="C21" s="73" t="s">
        <v>149</v>
      </c>
      <c r="D21" s="74">
        <v>159</v>
      </c>
      <c r="E21" s="75">
        <v>1.3473434454707001E-2</v>
      </c>
    </row>
    <row r="22" spans="1:5" ht="15" customHeight="1">
      <c r="A22" s="35"/>
      <c r="B22" s="107"/>
      <c r="C22" s="73" t="s">
        <v>134</v>
      </c>
      <c r="D22" s="74">
        <v>159</v>
      </c>
      <c r="E22" s="75">
        <v>1.3473434454707001E-2</v>
      </c>
    </row>
    <row r="23" spans="1:5" ht="15" customHeight="1">
      <c r="A23" s="35"/>
      <c r="B23" s="107"/>
      <c r="C23" s="73" t="s">
        <v>147</v>
      </c>
      <c r="D23" s="74">
        <v>63</v>
      </c>
      <c r="E23" s="75">
        <v>5.3385306329969996E-3</v>
      </c>
    </row>
    <row r="24" spans="1:5" ht="15" customHeight="1">
      <c r="A24" s="35"/>
      <c r="B24" s="107"/>
      <c r="C24" s="73" t="s">
        <v>162</v>
      </c>
      <c r="D24" s="74">
        <v>59</v>
      </c>
      <c r="E24" s="75">
        <v>4.9995763070929998E-3</v>
      </c>
    </row>
    <row r="25" spans="1:5" ht="15" customHeight="1">
      <c r="A25" s="35"/>
      <c r="B25" s="107"/>
      <c r="C25" s="73" t="s">
        <v>139</v>
      </c>
      <c r="D25" s="74">
        <v>57</v>
      </c>
      <c r="E25" s="75">
        <v>4.8300991441400003E-3</v>
      </c>
    </row>
    <row r="26" spans="1:5" ht="15" customHeight="1">
      <c r="A26" s="35"/>
      <c r="B26" s="107"/>
      <c r="C26" s="73" t="s">
        <v>154</v>
      </c>
      <c r="D26" s="74">
        <v>54</v>
      </c>
      <c r="E26" s="75">
        <v>4.5758833997119998E-3</v>
      </c>
    </row>
    <row r="27" spans="1:5" ht="15" customHeight="1">
      <c r="A27" s="35"/>
      <c r="B27" s="107"/>
      <c r="C27" s="73" t="s">
        <v>148</v>
      </c>
      <c r="D27" s="74">
        <v>54</v>
      </c>
      <c r="E27" s="75">
        <v>4.5758833997119998E-3</v>
      </c>
    </row>
    <row r="28" spans="1:5" ht="15" customHeight="1">
      <c r="A28" s="35"/>
      <c r="B28" s="107"/>
      <c r="C28" s="73" t="s">
        <v>158</v>
      </c>
      <c r="D28" s="74">
        <v>45</v>
      </c>
      <c r="E28" s="75">
        <v>3.813236166427E-3</v>
      </c>
    </row>
    <row r="29" spans="1:5" ht="15" customHeight="1">
      <c r="A29" s="35"/>
      <c r="B29" s="107"/>
      <c r="C29" s="73" t="s">
        <v>153</v>
      </c>
      <c r="D29" s="74">
        <v>42</v>
      </c>
      <c r="E29" s="75">
        <v>3.5590204219979999E-3</v>
      </c>
    </row>
    <row r="30" spans="1:5" ht="15" customHeight="1">
      <c r="A30" s="35"/>
      <c r="B30" s="107"/>
      <c r="C30" s="73" t="s">
        <v>159</v>
      </c>
      <c r="D30" s="74">
        <v>40</v>
      </c>
      <c r="E30" s="75">
        <v>3.389543259046E-3</v>
      </c>
    </row>
    <row r="31" spans="1:5" ht="15" customHeight="1">
      <c r="A31" s="35"/>
      <c r="B31" s="107"/>
      <c r="C31" s="73" t="s">
        <v>135</v>
      </c>
      <c r="D31" s="74">
        <v>36</v>
      </c>
      <c r="E31" s="75">
        <v>3.0505889331410001E-3</v>
      </c>
    </row>
    <row r="32" spans="1:5" ht="15" customHeight="1">
      <c r="A32" s="35"/>
      <c r="B32" s="107"/>
      <c r="C32" s="73" t="s">
        <v>152</v>
      </c>
      <c r="D32" s="74">
        <v>33</v>
      </c>
      <c r="E32" s="75">
        <v>2.7963731887130001E-3</v>
      </c>
    </row>
    <row r="33" spans="1:5" ht="15" customHeight="1">
      <c r="A33" s="35"/>
      <c r="B33" s="107"/>
      <c r="C33" s="73" t="s">
        <v>163</v>
      </c>
      <c r="D33" s="74">
        <v>30</v>
      </c>
      <c r="E33" s="75">
        <v>2.542157444284E-3</v>
      </c>
    </row>
    <row r="34" spans="1:5" ht="15" customHeight="1">
      <c r="A34" s="35"/>
      <c r="B34" s="107"/>
      <c r="C34" s="73" t="s">
        <v>166</v>
      </c>
      <c r="D34" s="74">
        <v>21</v>
      </c>
      <c r="E34" s="75">
        <v>1.7795102109989999E-3</v>
      </c>
    </row>
    <row r="35" spans="1:5" ht="15" customHeight="1">
      <c r="A35" s="35"/>
      <c r="B35" s="107"/>
      <c r="C35" s="73" t="s">
        <v>155</v>
      </c>
      <c r="D35" s="74">
        <v>17</v>
      </c>
      <c r="E35" s="75">
        <v>1.4405558850940001E-3</v>
      </c>
    </row>
    <row r="36" spans="1:5" ht="15" customHeight="1">
      <c r="A36" s="35"/>
      <c r="B36" s="107"/>
      <c r="C36" s="73" t="s">
        <v>167</v>
      </c>
      <c r="D36" s="74">
        <v>17</v>
      </c>
      <c r="E36" s="75">
        <v>1.4405558850940001E-3</v>
      </c>
    </row>
    <row r="37" spans="1:5" ht="15" customHeight="1">
      <c r="A37" s="35"/>
      <c r="B37" s="107"/>
      <c r="C37" s="73" t="s">
        <v>161</v>
      </c>
      <c r="D37" s="74">
        <v>16</v>
      </c>
      <c r="E37" s="75">
        <v>1.3558173036179999E-3</v>
      </c>
    </row>
    <row r="38" spans="1:5" ht="15" customHeight="1">
      <c r="A38" s="35"/>
      <c r="B38" s="107"/>
      <c r="C38" s="73" t="s">
        <v>151</v>
      </c>
      <c r="D38" s="74">
        <v>16</v>
      </c>
      <c r="E38" s="75">
        <v>1.3558173036179999E-3</v>
      </c>
    </row>
    <row r="39" spans="1:5" ht="15" customHeight="1">
      <c r="A39" s="35"/>
      <c r="B39" s="107"/>
      <c r="C39" s="73" t="s">
        <v>145</v>
      </c>
      <c r="D39" s="74">
        <v>14</v>
      </c>
      <c r="E39" s="75">
        <v>1.186340140666E-3</v>
      </c>
    </row>
    <row r="40" spans="1:5" ht="15" customHeight="1">
      <c r="A40" s="35"/>
      <c r="B40" s="107"/>
      <c r="C40" s="73" t="s">
        <v>168</v>
      </c>
      <c r="D40" s="74">
        <v>12</v>
      </c>
      <c r="E40" s="75">
        <v>1.0168629777139999E-3</v>
      </c>
    </row>
    <row r="41" spans="1:5" ht="15" customHeight="1">
      <c r="A41" s="35"/>
      <c r="B41" s="107"/>
      <c r="C41" s="73" t="s">
        <v>170</v>
      </c>
      <c r="D41" s="74">
        <v>12</v>
      </c>
      <c r="E41" s="75">
        <v>1.0168629777139999E-3</v>
      </c>
    </row>
    <row r="42" spans="1:5" ht="15" customHeight="1">
      <c r="A42" s="35"/>
      <c r="B42" s="107"/>
      <c r="C42" s="73" t="s">
        <v>150</v>
      </c>
      <c r="D42" s="74">
        <v>11</v>
      </c>
      <c r="E42" s="75">
        <v>9.3212439623799998E-4</v>
      </c>
    </row>
    <row r="43" spans="1:5" ht="15" customHeight="1">
      <c r="A43" s="35"/>
      <c r="B43" s="107"/>
      <c r="C43" s="73" t="s">
        <v>165</v>
      </c>
      <c r="D43" s="74">
        <v>11</v>
      </c>
      <c r="E43" s="75">
        <v>9.3212439623799998E-4</v>
      </c>
    </row>
    <row r="44" spans="1:5" ht="15" customHeight="1">
      <c r="A44" s="35"/>
      <c r="B44" s="107"/>
      <c r="C44" s="73" t="s">
        <v>156</v>
      </c>
      <c r="D44" s="74">
        <v>9</v>
      </c>
      <c r="E44" s="75">
        <v>7.6264723328500002E-4</v>
      </c>
    </row>
    <row r="45" spans="1:5" ht="15" customHeight="1">
      <c r="A45" s="35"/>
      <c r="B45" s="107"/>
      <c r="C45" s="73" t="s">
        <v>164</v>
      </c>
      <c r="D45" s="74">
        <v>9</v>
      </c>
      <c r="E45" s="75">
        <v>7.6264723328500002E-4</v>
      </c>
    </row>
    <row r="46" spans="1:5" ht="15" customHeight="1">
      <c r="A46" s="35"/>
      <c r="B46" s="107"/>
      <c r="C46" s="73" t="s">
        <v>169</v>
      </c>
      <c r="D46" s="74">
        <v>8</v>
      </c>
      <c r="E46" s="75">
        <v>6.7790865180899996E-4</v>
      </c>
    </row>
    <row r="47" spans="1:5" ht="15" customHeight="1">
      <c r="A47" s="35"/>
      <c r="B47" s="107"/>
      <c r="C47" s="73" t="s">
        <v>157</v>
      </c>
      <c r="D47" s="74">
        <v>8</v>
      </c>
      <c r="E47" s="75">
        <v>6.7790865180899996E-4</v>
      </c>
    </row>
    <row r="48" spans="1:5" ht="15" customHeight="1">
      <c r="A48" s="35"/>
      <c r="B48" s="107"/>
      <c r="C48" s="73" t="s">
        <v>81</v>
      </c>
      <c r="D48" s="74">
        <v>1</v>
      </c>
      <c r="E48" s="75">
        <v>8.4738581476000001E-5</v>
      </c>
    </row>
    <row r="49" spans="1:5" ht="15" customHeight="1">
      <c r="A49" s="35"/>
      <c r="B49" s="108"/>
      <c r="C49" s="104" t="s">
        <v>284</v>
      </c>
      <c r="D49" s="103">
        <v>8342</v>
      </c>
      <c r="E49" s="105">
        <v>0.70688924667401098</v>
      </c>
    </row>
    <row r="50" spans="1:5" ht="15" customHeight="1">
      <c r="A50" s="35"/>
      <c r="B50" s="106" t="s">
        <v>172</v>
      </c>
      <c r="C50" s="73" t="s">
        <v>146</v>
      </c>
      <c r="D50" s="74">
        <v>341</v>
      </c>
      <c r="E50" s="75">
        <v>2.8895856283365998E-2</v>
      </c>
    </row>
    <row r="51" spans="1:5" ht="15" customHeight="1">
      <c r="A51" s="35"/>
      <c r="B51" s="107"/>
      <c r="C51" s="73" t="s">
        <v>136</v>
      </c>
      <c r="D51" s="74">
        <v>47</v>
      </c>
      <c r="E51" s="75">
        <v>3.9827133293790003E-3</v>
      </c>
    </row>
    <row r="52" spans="1:5" ht="15" customHeight="1">
      <c r="A52" s="35"/>
      <c r="B52" s="107"/>
      <c r="C52" s="73" t="s">
        <v>134</v>
      </c>
      <c r="D52" s="74">
        <v>33</v>
      </c>
      <c r="E52" s="75">
        <v>2.7963731887130001E-3</v>
      </c>
    </row>
    <row r="53" spans="1:5" ht="15" customHeight="1">
      <c r="A53" s="35"/>
      <c r="B53" s="107"/>
      <c r="C53" s="73" t="s">
        <v>141</v>
      </c>
      <c r="D53" s="74">
        <v>30</v>
      </c>
      <c r="E53" s="75">
        <v>2.542157444284E-3</v>
      </c>
    </row>
    <row r="54" spans="1:5" ht="15" customHeight="1">
      <c r="A54" s="35"/>
      <c r="B54" s="107"/>
      <c r="C54" s="73" t="s">
        <v>144</v>
      </c>
      <c r="D54" s="74">
        <v>25</v>
      </c>
      <c r="E54" s="75">
        <v>2.118464536904E-3</v>
      </c>
    </row>
    <row r="55" spans="1:5" ht="15" customHeight="1">
      <c r="A55" s="35"/>
      <c r="B55" s="107"/>
      <c r="C55" s="73" t="s">
        <v>137</v>
      </c>
      <c r="D55" s="74">
        <v>23</v>
      </c>
      <c r="E55" s="75">
        <v>1.9489873739510001E-3</v>
      </c>
    </row>
    <row r="56" spans="1:5" ht="15" customHeight="1">
      <c r="A56" s="35"/>
      <c r="B56" s="107"/>
      <c r="C56" s="73" t="s">
        <v>140</v>
      </c>
      <c r="D56" s="74">
        <v>10</v>
      </c>
      <c r="E56" s="75">
        <v>8.4738581476099997E-4</v>
      </c>
    </row>
    <row r="57" spans="1:5" ht="15" customHeight="1">
      <c r="A57" s="35"/>
      <c r="B57" s="107"/>
      <c r="C57" s="73" t="s">
        <v>133</v>
      </c>
      <c r="D57" s="74">
        <v>7</v>
      </c>
      <c r="E57" s="75">
        <v>5.9317007033300002E-4</v>
      </c>
    </row>
    <row r="58" spans="1:5" ht="15" customHeight="1">
      <c r="A58" s="35"/>
      <c r="B58" s="107"/>
      <c r="C58" s="73" t="s">
        <v>143</v>
      </c>
      <c r="D58" s="74">
        <v>7</v>
      </c>
      <c r="E58" s="75">
        <v>5.9317007033300002E-4</v>
      </c>
    </row>
    <row r="59" spans="1:5" ht="15" customHeight="1">
      <c r="A59" s="35"/>
      <c r="B59" s="107"/>
      <c r="C59" s="73" t="s">
        <v>147</v>
      </c>
      <c r="D59" s="74">
        <v>6</v>
      </c>
      <c r="E59" s="75">
        <v>5.0843148885699996E-4</v>
      </c>
    </row>
    <row r="60" spans="1:5" ht="15" customHeight="1">
      <c r="A60" s="35"/>
      <c r="B60" s="107"/>
      <c r="C60" s="73" t="s">
        <v>138</v>
      </c>
      <c r="D60" s="74">
        <v>5</v>
      </c>
      <c r="E60" s="75">
        <v>4.2369290738100002E-4</v>
      </c>
    </row>
    <row r="61" spans="1:5" ht="15" customHeight="1">
      <c r="A61" s="35"/>
      <c r="B61" s="107"/>
      <c r="C61" s="73" t="s">
        <v>139</v>
      </c>
      <c r="D61" s="74">
        <v>4</v>
      </c>
      <c r="E61" s="75">
        <v>3.3895432590500002E-4</v>
      </c>
    </row>
    <row r="62" spans="1:5" ht="15" customHeight="1">
      <c r="A62" s="35"/>
      <c r="B62" s="107"/>
      <c r="C62" s="73" t="s">
        <v>151</v>
      </c>
      <c r="D62" s="74">
        <v>2</v>
      </c>
      <c r="E62" s="75">
        <v>1.69477162952E-4</v>
      </c>
    </row>
    <row r="63" spans="1:5" ht="15" customHeight="1">
      <c r="A63" s="35"/>
      <c r="B63" s="107"/>
      <c r="C63" s="73" t="s">
        <v>163</v>
      </c>
      <c r="D63" s="74">
        <v>2</v>
      </c>
      <c r="E63" s="75">
        <v>1.69477162952E-4</v>
      </c>
    </row>
    <row r="64" spans="1:5" ht="15" customHeight="1">
      <c r="A64" s="35"/>
      <c r="B64" s="107"/>
      <c r="C64" s="73" t="s">
        <v>159</v>
      </c>
      <c r="D64" s="74">
        <v>2</v>
      </c>
      <c r="E64" s="75">
        <v>1.69477162952E-4</v>
      </c>
    </row>
    <row r="65" spans="1:5" ht="15" customHeight="1">
      <c r="A65" s="35"/>
      <c r="B65" s="107"/>
      <c r="C65" s="73" t="s">
        <v>160</v>
      </c>
      <c r="D65" s="74">
        <v>2</v>
      </c>
      <c r="E65" s="75">
        <v>1.69477162952E-4</v>
      </c>
    </row>
    <row r="66" spans="1:5" ht="15" customHeight="1">
      <c r="A66" s="35"/>
      <c r="B66" s="107"/>
      <c r="C66" s="73" t="s">
        <v>148</v>
      </c>
      <c r="D66" s="74">
        <v>2</v>
      </c>
      <c r="E66" s="75">
        <v>1.69477162952E-4</v>
      </c>
    </row>
    <row r="67" spans="1:5" ht="15" customHeight="1">
      <c r="A67" s="35"/>
      <c r="B67" s="107"/>
      <c r="C67" s="73" t="s">
        <v>150</v>
      </c>
      <c r="D67" s="74">
        <v>1</v>
      </c>
      <c r="E67" s="75">
        <v>8.4738581476000001E-5</v>
      </c>
    </row>
    <row r="68" spans="1:5" ht="15" customHeight="1">
      <c r="A68" s="35"/>
      <c r="B68" s="107"/>
      <c r="C68" s="73" t="s">
        <v>154</v>
      </c>
      <c r="D68" s="74">
        <v>1</v>
      </c>
      <c r="E68" s="75">
        <v>8.4738581476000001E-5</v>
      </c>
    </row>
    <row r="69" spans="1:5" ht="15" customHeight="1">
      <c r="A69" s="35"/>
      <c r="B69" s="107"/>
      <c r="C69" s="73" t="s">
        <v>155</v>
      </c>
      <c r="D69" s="74">
        <v>1</v>
      </c>
      <c r="E69" s="75">
        <v>8.4738581476000001E-5</v>
      </c>
    </row>
    <row r="70" spans="1:5" ht="15" customHeight="1">
      <c r="A70" s="35"/>
      <c r="B70" s="108"/>
      <c r="C70" s="104" t="s">
        <v>284</v>
      </c>
      <c r="D70" s="103">
        <v>551</v>
      </c>
      <c r="E70" s="105">
        <v>4.6690958393356997E-2</v>
      </c>
    </row>
    <row r="71" spans="1:5" ht="15" customHeight="1">
      <c r="A71" s="35"/>
      <c r="B71" s="106" t="s">
        <v>173</v>
      </c>
      <c r="C71" s="73" t="s">
        <v>146</v>
      </c>
      <c r="D71" s="74">
        <v>160</v>
      </c>
      <c r="E71" s="75">
        <v>1.3558173036183001E-2</v>
      </c>
    </row>
    <row r="72" spans="1:5" ht="15" customHeight="1">
      <c r="A72" s="35"/>
      <c r="B72" s="107"/>
      <c r="C72" s="73" t="s">
        <v>134</v>
      </c>
      <c r="D72" s="74">
        <v>40</v>
      </c>
      <c r="E72" s="75">
        <v>3.389543259046E-3</v>
      </c>
    </row>
    <row r="73" spans="1:5" ht="15" customHeight="1">
      <c r="A73" s="35"/>
      <c r="B73" s="107"/>
      <c r="C73" s="73" t="s">
        <v>136</v>
      </c>
      <c r="D73" s="74">
        <v>39</v>
      </c>
      <c r="E73" s="75">
        <v>3.3048046775699998E-3</v>
      </c>
    </row>
    <row r="74" spans="1:5" ht="15" customHeight="1">
      <c r="A74" s="35"/>
      <c r="B74" s="107"/>
      <c r="C74" s="73" t="s">
        <v>137</v>
      </c>
      <c r="D74" s="74">
        <v>37</v>
      </c>
      <c r="E74" s="75">
        <v>3.1353275146169999E-3</v>
      </c>
    </row>
    <row r="75" spans="1:5" ht="15" customHeight="1">
      <c r="A75" s="35"/>
      <c r="B75" s="107"/>
      <c r="C75" s="73" t="s">
        <v>144</v>
      </c>
      <c r="D75" s="74">
        <v>33</v>
      </c>
      <c r="E75" s="75">
        <v>2.7963731887130001E-3</v>
      </c>
    </row>
    <row r="76" spans="1:5" ht="15" customHeight="1">
      <c r="A76" s="35"/>
      <c r="B76" s="107"/>
      <c r="C76" s="73" t="s">
        <v>133</v>
      </c>
      <c r="D76" s="74">
        <v>29</v>
      </c>
      <c r="E76" s="75">
        <v>2.4574188628079998E-3</v>
      </c>
    </row>
    <row r="77" spans="1:5" ht="15" customHeight="1">
      <c r="A77" s="35"/>
      <c r="B77" s="107"/>
      <c r="C77" s="73" t="s">
        <v>140</v>
      </c>
      <c r="D77" s="74">
        <v>26</v>
      </c>
      <c r="E77" s="75">
        <v>2.2032031183800002E-3</v>
      </c>
    </row>
    <row r="78" spans="1:5" ht="15" customHeight="1">
      <c r="A78" s="35"/>
      <c r="B78" s="107"/>
      <c r="C78" s="73" t="s">
        <v>138</v>
      </c>
      <c r="D78" s="74">
        <v>20</v>
      </c>
      <c r="E78" s="75">
        <v>1.694771629523E-3</v>
      </c>
    </row>
    <row r="79" spans="1:5" ht="15" customHeight="1">
      <c r="A79" s="35"/>
      <c r="B79" s="107"/>
      <c r="C79" s="73" t="s">
        <v>141</v>
      </c>
      <c r="D79" s="74">
        <v>13</v>
      </c>
      <c r="E79" s="75">
        <v>1.1016015591900001E-3</v>
      </c>
    </row>
    <row r="80" spans="1:5" ht="15" customHeight="1">
      <c r="A80" s="35"/>
      <c r="B80" s="107"/>
      <c r="C80" s="73" t="s">
        <v>143</v>
      </c>
      <c r="D80" s="74">
        <v>11</v>
      </c>
      <c r="E80" s="75">
        <v>9.3212439623799998E-4</v>
      </c>
    </row>
    <row r="81" spans="1:5" ht="15" customHeight="1">
      <c r="A81" s="35"/>
      <c r="B81" s="107"/>
      <c r="C81" s="73" t="s">
        <v>149</v>
      </c>
      <c r="D81" s="74">
        <v>7</v>
      </c>
      <c r="E81" s="75">
        <v>5.9317007033300002E-4</v>
      </c>
    </row>
    <row r="82" spans="1:5" ht="15" customHeight="1">
      <c r="A82" s="35"/>
      <c r="B82" s="107"/>
      <c r="C82" s="73" t="s">
        <v>142</v>
      </c>
      <c r="D82" s="74">
        <v>6</v>
      </c>
      <c r="E82" s="75">
        <v>5.0843148885699996E-4</v>
      </c>
    </row>
    <row r="83" spans="1:5" ht="15" customHeight="1">
      <c r="A83" s="35"/>
      <c r="B83" s="107"/>
      <c r="C83" s="73" t="s">
        <v>159</v>
      </c>
      <c r="D83" s="74">
        <v>5</v>
      </c>
      <c r="E83" s="75">
        <v>4.2369290738100002E-4</v>
      </c>
    </row>
    <row r="84" spans="1:5" ht="15" customHeight="1">
      <c r="A84" s="35"/>
      <c r="B84" s="107"/>
      <c r="C84" s="73" t="s">
        <v>160</v>
      </c>
      <c r="D84" s="74">
        <v>5</v>
      </c>
      <c r="E84" s="75">
        <v>4.2369290738100002E-4</v>
      </c>
    </row>
    <row r="85" spans="1:5" ht="15" customHeight="1">
      <c r="A85" s="35"/>
      <c r="B85" s="107"/>
      <c r="C85" s="73" t="s">
        <v>139</v>
      </c>
      <c r="D85" s="74">
        <v>4</v>
      </c>
      <c r="E85" s="75">
        <v>3.3895432590500002E-4</v>
      </c>
    </row>
    <row r="86" spans="1:5" ht="15" customHeight="1">
      <c r="A86" s="35"/>
      <c r="B86" s="107"/>
      <c r="C86" s="73" t="s">
        <v>148</v>
      </c>
      <c r="D86" s="74">
        <v>4</v>
      </c>
      <c r="E86" s="75">
        <v>3.3895432590500002E-4</v>
      </c>
    </row>
    <row r="87" spans="1:5" ht="15" customHeight="1">
      <c r="A87" s="35"/>
      <c r="B87" s="107"/>
      <c r="C87" s="73" t="s">
        <v>147</v>
      </c>
      <c r="D87" s="74">
        <v>3</v>
      </c>
      <c r="E87" s="75">
        <v>2.54215744428E-4</v>
      </c>
    </row>
    <row r="88" spans="1:5" ht="15" customHeight="1">
      <c r="A88" s="35"/>
      <c r="B88" s="107"/>
      <c r="C88" s="73" t="s">
        <v>135</v>
      </c>
      <c r="D88" s="74">
        <v>2</v>
      </c>
      <c r="E88" s="75">
        <v>1.69477162952E-4</v>
      </c>
    </row>
    <row r="89" spans="1:5" ht="15" customHeight="1">
      <c r="A89" s="35"/>
      <c r="B89" s="107"/>
      <c r="C89" s="73" t="s">
        <v>158</v>
      </c>
      <c r="D89" s="74">
        <v>2</v>
      </c>
      <c r="E89" s="75">
        <v>1.69477162952E-4</v>
      </c>
    </row>
    <row r="90" spans="1:5" ht="15" customHeight="1">
      <c r="A90" s="35"/>
      <c r="B90" s="107"/>
      <c r="C90" s="73" t="s">
        <v>151</v>
      </c>
      <c r="D90" s="74">
        <v>1</v>
      </c>
      <c r="E90" s="75">
        <v>8.4738581476000001E-5</v>
      </c>
    </row>
    <row r="91" spans="1:5" ht="15" customHeight="1">
      <c r="A91" s="35"/>
      <c r="B91" s="107"/>
      <c r="C91" s="73" t="s">
        <v>162</v>
      </c>
      <c r="D91" s="74">
        <v>1</v>
      </c>
      <c r="E91" s="75">
        <v>8.4738581476000001E-5</v>
      </c>
    </row>
    <row r="92" spans="1:5" ht="15" customHeight="1">
      <c r="A92" s="35"/>
      <c r="B92" s="107"/>
      <c r="C92" s="73" t="s">
        <v>152</v>
      </c>
      <c r="D92" s="74">
        <v>1</v>
      </c>
      <c r="E92" s="75">
        <v>8.4738581476000001E-5</v>
      </c>
    </row>
    <row r="93" spans="1:5" ht="15" customHeight="1">
      <c r="A93" s="35"/>
      <c r="B93" s="107"/>
      <c r="C93" s="73" t="s">
        <v>155</v>
      </c>
      <c r="D93" s="74">
        <v>1</v>
      </c>
      <c r="E93" s="75">
        <v>8.4738581476000001E-5</v>
      </c>
    </row>
    <row r="94" spans="1:5" ht="15" customHeight="1">
      <c r="A94" s="35"/>
      <c r="B94" s="107"/>
      <c r="C94" s="73" t="s">
        <v>166</v>
      </c>
      <c r="D94" s="74">
        <v>1</v>
      </c>
      <c r="E94" s="75">
        <v>8.4738581476000001E-5</v>
      </c>
    </row>
    <row r="95" spans="1:5" ht="15" customHeight="1">
      <c r="A95" s="35"/>
      <c r="B95" s="107"/>
      <c r="C95" s="73" t="s">
        <v>145</v>
      </c>
      <c r="D95" s="74">
        <v>1</v>
      </c>
      <c r="E95" s="75">
        <v>8.4738581476000001E-5</v>
      </c>
    </row>
    <row r="96" spans="1:5" ht="15" customHeight="1">
      <c r="A96" s="35"/>
      <c r="B96" s="107"/>
      <c r="C96" s="73" t="s">
        <v>167</v>
      </c>
      <c r="D96" s="74">
        <v>1</v>
      </c>
      <c r="E96" s="75">
        <v>8.4738581476000001E-5</v>
      </c>
    </row>
    <row r="97" spans="1:5" ht="15" customHeight="1">
      <c r="A97" s="35"/>
      <c r="B97" s="108"/>
      <c r="C97" s="104" t="s">
        <v>284</v>
      </c>
      <c r="D97" s="103">
        <v>453</v>
      </c>
      <c r="E97" s="105">
        <v>3.8386577408694E-2</v>
      </c>
    </row>
    <row r="98" spans="1:5" ht="15" customHeight="1">
      <c r="A98" s="35"/>
      <c r="B98" s="106" t="s">
        <v>174</v>
      </c>
      <c r="C98" s="73" t="s">
        <v>146</v>
      </c>
      <c r="D98" s="74">
        <v>118</v>
      </c>
      <c r="E98" s="75">
        <v>9.9991526141850005E-3</v>
      </c>
    </row>
    <row r="99" spans="1:5" ht="15" customHeight="1">
      <c r="A99" s="35"/>
      <c r="B99" s="107"/>
      <c r="C99" s="73" t="s">
        <v>137</v>
      </c>
      <c r="D99" s="74">
        <v>31</v>
      </c>
      <c r="E99" s="75">
        <v>2.6268960257610002E-3</v>
      </c>
    </row>
    <row r="100" spans="1:5" ht="15" customHeight="1">
      <c r="A100" s="35"/>
      <c r="B100" s="107"/>
      <c r="C100" s="73" t="s">
        <v>141</v>
      </c>
      <c r="D100" s="74">
        <v>24</v>
      </c>
      <c r="E100" s="75">
        <v>2.0337259554279999E-3</v>
      </c>
    </row>
    <row r="101" spans="1:5" ht="15" customHeight="1">
      <c r="A101" s="35"/>
      <c r="B101" s="107"/>
      <c r="C101" s="73" t="s">
        <v>140</v>
      </c>
      <c r="D101" s="74">
        <v>20</v>
      </c>
      <c r="E101" s="75">
        <v>1.694771629523E-3</v>
      </c>
    </row>
    <row r="102" spans="1:5" ht="15" customHeight="1">
      <c r="A102" s="35"/>
      <c r="B102" s="107"/>
      <c r="C102" s="73" t="s">
        <v>144</v>
      </c>
      <c r="D102" s="74">
        <v>18</v>
      </c>
      <c r="E102" s="75">
        <v>1.5252944665710001E-3</v>
      </c>
    </row>
    <row r="103" spans="1:5" ht="15" customHeight="1">
      <c r="A103" s="35"/>
      <c r="B103" s="107"/>
      <c r="C103" s="73" t="s">
        <v>143</v>
      </c>
      <c r="D103" s="74">
        <v>14</v>
      </c>
      <c r="E103" s="75">
        <v>1.186340140666E-3</v>
      </c>
    </row>
    <row r="104" spans="1:5" ht="15" customHeight="1">
      <c r="A104" s="35"/>
      <c r="B104" s="107"/>
      <c r="C104" s="73" t="s">
        <v>149</v>
      </c>
      <c r="D104" s="74">
        <v>11</v>
      </c>
      <c r="E104" s="75">
        <v>9.3212439623799998E-4</v>
      </c>
    </row>
    <row r="105" spans="1:5" ht="15" customHeight="1">
      <c r="A105" s="35"/>
      <c r="B105" s="107"/>
      <c r="C105" s="73" t="s">
        <v>134</v>
      </c>
      <c r="D105" s="74">
        <v>10</v>
      </c>
      <c r="E105" s="75">
        <v>8.4738581476099997E-4</v>
      </c>
    </row>
    <row r="106" spans="1:5" ht="15" customHeight="1">
      <c r="A106" s="35"/>
      <c r="B106" s="107"/>
      <c r="C106" s="73" t="s">
        <v>133</v>
      </c>
      <c r="D106" s="74">
        <v>4</v>
      </c>
      <c r="E106" s="75">
        <v>3.3895432590500002E-4</v>
      </c>
    </row>
    <row r="107" spans="1:5" ht="15" customHeight="1">
      <c r="A107" s="35"/>
      <c r="B107" s="107"/>
      <c r="C107" s="73" t="s">
        <v>136</v>
      </c>
      <c r="D107" s="74">
        <v>4</v>
      </c>
      <c r="E107" s="75">
        <v>3.3895432590500002E-4</v>
      </c>
    </row>
    <row r="108" spans="1:5" ht="15" customHeight="1">
      <c r="A108" s="35"/>
      <c r="B108" s="107"/>
      <c r="C108" s="73" t="s">
        <v>138</v>
      </c>
      <c r="D108" s="74">
        <v>4</v>
      </c>
      <c r="E108" s="75">
        <v>3.3895432590500002E-4</v>
      </c>
    </row>
    <row r="109" spans="1:5" ht="15" customHeight="1">
      <c r="A109" s="35"/>
      <c r="B109" s="107"/>
      <c r="C109" s="73" t="s">
        <v>160</v>
      </c>
      <c r="D109" s="74">
        <v>3</v>
      </c>
      <c r="E109" s="75">
        <v>2.54215744428E-4</v>
      </c>
    </row>
    <row r="110" spans="1:5" ht="15" customHeight="1">
      <c r="A110" s="35"/>
      <c r="B110" s="107"/>
      <c r="C110" s="73" t="s">
        <v>147</v>
      </c>
      <c r="D110" s="74">
        <v>3</v>
      </c>
      <c r="E110" s="75">
        <v>2.54215744428E-4</v>
      </c>
    </row>
    <row r="111" spans="1:5" ht="15" customHeight="1">
      <c r="A111" s="35"/>
      <c r="B111" s="107"/>
      <c r="C111" s="73" t="s">
        <v>148</v>
      </c>
      <c r="D111" s="74">
        <v>2</v>
      </c>
      <c r="E111" s="75">
        <v>1.69477162952E-4</v>
      </c>
    </row>
    <row r="112" spans="1:5" ht="15" customHeight="1">
      <c r="A112" s="35"/>
      <c r="B112" s="107"/>
      <c r="C112" s="73" t="s">
        <v>151</v>
      </c>
      <c r="D112" s="74">
        <v>1</v>
      </c>
      <c r="E112" s="75">
        <v>8.4738581476000001E-5</v>
      </c>
    </row>
    <row r="113" spans="1:5" ht="15" customHeight="1">
      <c r="A113" s="35"/>
      <c r="B113" s="107"/>
      <c r="C113" s="73" t="s">
        <v>162</v>
      </c>
      <c r="D113" s="74">
        <v>1</v>
      </c>
      <c r="E113" s="75">
        <v>8.4738581476000001E-5</v>
      </c>
    </row>
    <row r="114" spans="1:5" ht="15" customHeight="1">
      <c r="A114" s="35"/>
      <c r="B114" s="107"/>
      <c r="C114" s="73" t="s">
        <v>154</v>
      </c>
      <c r="D114" s="74">
        <v>1</v>
      </c>
      <c r="E114" s="75">
        <v>8.4738581476000001E-5</v>
      </c>
    </row>
    <row r="115" spans="1:5" ht="15" customHeight="1">
      <c r="A115" s="35"/>
      <c r="B115" s="107"/>
      <c r="C115" s="73" t="s">
        <v>168</v>
      </c>
      <c r="D115" s="74">
        <v>1</v>
      </c>
      <c r="E115" s="75">
        <v>8.4738581476000001E-5</v>
      </c>
    </row>
    <row r="116" spans="1:5" ht="15" customHeight="1">
      <c r="A116" s="35"/>
      <c r="B116" s="107"/>
      <c r="C116" s="73" t="s">
        <v>156</v>
      </c>
      <c r="D116" s="74">
        <v>1</v>
      </c>
      <c r="E116" s="75">
        <v>8.4738581476000001E-5</v>
      </c>
    </row>
    <row r="117" spans="1:5" ht="15" customHeight="1">
      <c r="A117" s="35"/>
      <c r="B117" s="107"/>
      <c r="C117" s="73" t="s">
        <v>164</v>
      </c>
      <c r="D117" s="74">
        <v>1</v>
      </c>
      <c r="E117" s="75">
        <v>8.4738581476000001E-5</v>
      </c>
    </row>
    <row r="118" spans="1:5" ht="15" customHeight="1">
      <c r="A118" s="35"/>
      <c r="B118" s="107"/>
      <c r="C118" s="73" t="s">
        <v>165</v>
      </c>
      <c r="D118" s="74">
        <v>1</v>
      </c>
      <c r="E118" s="75">
        <v>8.4738581476000001E-5</v>
      </c>
    </row>
    <row r="119" spans="1:5" ht="15" customHeight="1">
      <c r="A119" s="35"/>
      <c r="B119" s="107"/>
      <c r="C119" s="73" t="s">
        <v>158</v>
      </c>
      <c r="D119" s="74">
        <v>1</v>
      </c>
      <c r="E119" s="75">
        <v>8.4738581476000001E-5</v>
      </c>
    </row>
    <row r="120" spans="1:5" ht="15" customHeight="1">
      <c r="A120" s="35"/>
      <c r="B120" s="107"/>
      <c r="C120" s="73" t="s">
        <v>139</v>
      </c>
      <c r="D120" s="74">
        <v>1</v>
      </c>
      <c r="E120" s="75">
        <v>8.4738581476000001E-5</v>
      </c>
    </row>
    <row r="121" spans="1:5" ht="15" customHeight="1">
      <c r="A121" s="35"/>
      <c r="B121" s="107"/>
      <c r="C121" s="73" t="s">
        <v>159</v>
      </c>
      <c r="D121" s="74">
        <v>1</v>
      </c>
      <c r="E121" s="75">
        <v>8.4738581476000001E-5</v>
      </c>
    </row>
    <row r="122" spans="1:5" ht="15" customHeight="1">
      <c r="A122" s="35"/>
      <c r="B122" s="107"/>
      <c r="C122" s="73" t="s">
        <v>142</v>
      </c>
      <c r="D122" s="74">
        <v>1</v>
      </c>
      <c r="E122" s="75">
        <v>8.4738581476000001E-5</v>
      </c>
    </row>
    <row r="123" spans="1:5" ht="15" customHeight="1">
      <c r="A123" s="35"/>
      <c r="B123" s="107"/>
      <c r="C123" s="73" t="s">
        <v>167</v>
      </c>
      <c r="D123" s="74">
        <v>1</v>
      </c>
      <c r="E123" s="75">
        <v>8.4738581476000001E-5</v>
      </c>
    </row>
    <row r="124" spans="1:5" ht="15" customHeight="1">
      <c r="A124" s="35"/>
      <c r="B124" s="108"/>
      <c r="C124" s="104" t="s">
        <v>284</v>
      </c>
      <c r="D124" s="103">
        <v>278</v>
      </c>
      <c r="E124" s="105">
        <v>2.3557325650368999E-2</v>
      </c>
    </row>
    <row r="125" spans="1:5" ht="15" customHeight="1">
      <c r="A125" s="35"/>
      <c r="B125" s="106" t="s">
        <v>175</v>
      </c>
      <c r="C125" s="73" t="s">
        <v>146</v>
      </c>
      <c r="D125" s="74">
        <v>143</v>
      </c>
      <c r="E125" s="75">
        <v>1.2117617151089E-2</v>
      </c>
    </row>
    <row r="126" spans="1:5" ht="15" customHeight="1">
      <c r="A126" s="35"/>
      <c r="B126" s="107"/>
      <c r="C126" s="73" t="s">
        <v>134</v>
      </c>
      <c r="D126" s="74">
        <v>16</v>
      </c>
      <c r="E126" s="75">
        <v>1.3558173036179999E-3</v>
      </c>
    </row>
    <row r="127" spans="1:5" ht="15" customHeight="1">
      <c r="A127" s="35"/>
      <c r="B127" s="107"/>
      <c r="C127" s="73" t="s">
        <v>136</v>
      </c>
      <c r="D127" s="74">
        <v>12</v>
      </c>
      <c r="E127" s="75">
        <v>1.0168629777139999E-3</v>
      </c>
    </row>
    <row r="128" spans="1:5" ht="15" customHeight="1">
      <c r="A128" s="35"/>
      <c r="B128" s="107"/>
      <c r="C128" s="73" t="s">
        <v>144</v>
      </c>
      <c r="D128" s="74">
        <v>8</v>
      </c>
      <c r="E128" s="75">
        <v>6.7790865180899996E-4</v>
      </c>
    </row>
    <row r="129" spans="1:5" ht="15" customHeight="1">
      <c r="A129" s="35"/>
      <c r="B129" s="107"/>
      <c r="C129" s="73" t="s">
        <v>163</v>
      </c>
      <c r="D129" s="74">
        <v>7</v>
      </c>
      <c r="E129" s="75">
        <v>5.9317007033300002E-4</v>
      </c>
    </row>
    <row r="130" spans="1:5" ht="15" customHeight="1">
      <c r="A130" s="35"/>
      <c r="B130" s="107"/>
      <c r="C130" s="73" t="s">
        <v>133</v>
      </c>
      <c r="D130" s="74">
        <v>6</v>
      </c>
      <c r="E130" s="75">
        <v>5.0843148885699996E-4</v>
      </c>
    </row>
    <row r="131" spans="1:5" ht="15" customHeight="1">
      <c r="A131" s="35"/>
      <c r="B131" s="107"/>
      <c r="C131" s="73" t="s">
        <v>137</v>
      </c>
      <c r="D131" s="74">
        <v>6</v>
      </c>
      <c r="E131" s="75">
        <v>5.0843148885699996E-4</v>
      </c>
    </row>
    <row r="132" spans="1:5" ht="15" customHeight="1">
      <c r="A132" s="35"/>
      <c r="B132" s="107"/>
      <c r="C132" s="73" t="s">
        <v>141</v>
      </c>
      <c r="D132" s="74">
        <v>5</v>
      </c>
      <c r="E132" s="75">
        <v>4.2369290738100002E-4</v>
      </c>
    </row>
    <row r="133" spans="1:5" ht="15" customHeight="1">
      <c r="A133" s="35"/>
      <c r="B133" s="107"/>
      <c r="C133" s="73" t="s">
        <v>158</v>
      </c>
      <c r="D133" s="74">
        <v>3</v>
      </c>
      <c r="E133" s="75">
        <v>2.54215744428E-4</v>
      </c>
    </row>
    <row r="134" spans="1:5" ht="15" customHeight="1">
      <c r="A134" s="35"/>
      <c r="B134" s="107"/>
      <c r="C134" s="73" t="s">
        <v>140</v>
      </c>
      <c r="D134" s="74">
        <v>3</v>
      </c>
      <c r="E134" s="75">
        <v>2.54215744428E-4</v>
      </c>
    </row>
    <row r="135" spans="1:5" ht="15" customHeight="1">
      <c r="A135" s="35"/>
      <c r="B135" s="107"/>
      <c r="C135" s="73" t="s">
        <v>145</v>
      </c>
      <c r="D135" s="74">
        <v>3</v>
      </c>
      <c r="E135" s="75">
        <v>2.54215744428E-4</v>
      </c>
    </row>
    <row r="136" spans="1:5" ht="15" customHeight="1">
      <c r="A136" s="35"/>
      <c r="B136" s="107"/>
      <c r="C136" s="73" t="s">
        <v>152</v>
      </c>
      <c r="D136" s="74">
        <v>2</v>
      </c>
      <c r="E136" s="75">
        <v>1.69477162952E-4</v>
      </c>
    </row>
    <row r="137" spans="1:5" ht="15" customHeight="1">
      <c r="A137" s="35"/>
      <c r="B137" s="107"/>
      <c r="C137" s="73" t="s">
        <v>138</v>
      </c>
      <c r="D137" s="74">
        <v>2</v>
      </c>
      <c r="E137" s="75">
        <v>1.69477162952E-4</v>
      </c>
    </row>
    <row r="138" spans="1:5" ht="15" customHeight="1">
      <c r="A138" s="35"/>
      <c r="B138" s="107"/>
      <c r="C138" s="73" t="s">
        <v>169</v>
      </c>
      <c r="D138" s="74">
        <v>1</v>
      </c>
      <c r="E138" s="75">
        <v>8.4738581476000001E-5</v>
      </c>
    </row>
    <row r="139" spans="1:5" ht="15" customHeight="1">
      <c r="A139" s="35"/>
      <c r="B139" s="107"/>
      <c r="C139" s="73" t="s">
        <v>139</v>
      </c>
      <c r="D139" s="74">
        <v>1</v>
      </c>
      <c r="E139" s="75">
        <v>8.4738581476000001E-5</v>
      </c>
    </row>
    <row r="140" spans="1:5" ht="15" customHeight="1">
      <c r="A140" s="35"/>
      <c r="B140" s="107"/>
      <c r="C140" s="73" t="s">
        <v>142</v>
      </c>
      <c r="D140" s="74">
        <v>1</v>
      </c>
      <c r="E140" s="75">
        <v>8.4738581476000001E-5</v>
      </c>
    </row>
    <row r="141" spans="1:5" ht="15" customHeight="1">
      <c r="A141" s="35"/>
      <c r="B141" s="107"/>
      <c r="C141" s="73" t="s">
        <v>143</v>
      </c>
      <c r="D141" s="74">
        <v>1</v>
      </c>
      <c r="E141" s="75">
        <v>8.4738581476000001E-5</v>
      </c>
    </row>
    <row r="142" spans="1:5" ht="15" customHeight="1">
      <c r="A142" s="35"/>
      <c r="B142" s="107"/>
      <c r="C142" s="73" t="s">
        <v>147</v>
      </c>
      <c r="D142" s="74">
        <v>1</v>
      </c>
      <c r="E142" s="75">
        <v>8.4738581476000001E-5</v>
      </c>
    </row>
    <row r="143" spans="1:5" ht="15" customHeight="1">
      <c r="A143" s="35"/>
      <c r="B143" s="108"/>
      <c r="C143" s="104" t="s">
        <v>284</v>
      </c>
      <c r="D143" s="103">
        <v>221</v>
      </c>
      <c r="E143" s="105">
        <v>1.8727226506228E-2</v>
      </c>
    </row>
    <row r="144" spans="1:5" ht="15" customHeight="1">
      <c r="A144" s="35"/>
      <c r="B144" s="106" t="s">
        <v>176</v>
      </c>
      <c r="C144" s="73" t="s">
        <v>146</v>
      </c>
      <c r="D144" s="74">
        <v>78</v>
      </c>
      <c r="E144" s="75">
        <v>6.6096093551389996E-3</v>
      </c>
    </row>
    <row r="145" spans="1:5" ht="15" customHeight="1">
      <c r="A145" s="35"/>
      <c r="B145" s="107"/>
      <c r="C145" s="73" t="s">
        <v>136</v>
      </c>
      <c r="D145" s="74">
        <v>16</v>
      </c>
      <c r="E145" s="75">
        <v>1.3558173036179999E-3</v>
      </c>
    </row>
    <row r="146" spans="1:5" ht="15" customHeight="1">
      <c r="A146" s="35"/>
      <c r="B146" s="107"/>
      <c r="C146" s="73" t="s">
        <v>134</v>
      </c>
      <c r="D146" s="74">
        <v>10</v>
      </c>
      <c r="E146" s="75">
        <v>8.4738581476099997E-4</v>
      </c>
    </row>
    <row r="147" spans="1:5" ht="15" customHeight="1">
      <c r="A147" s="35"/>
      <c r="B147" s="107"/>
      <c r="C147" s="73" t="s">
        <v>140</v>
      </c>
      <c r="D147" s="74">
        <v>10</v>
      </c>
      <c r="E147" s="75">
        <v>8.4738581476099997E-4</v>
      </c>
    </row>
    <row r="148" spans="1:5" ht="15" customHeight="1">
      <c r="A148" s="35"/>
      <c r="B148" s="107"/>
      <c r="C148" s="73" t="s">
        <v>138</v>
      </c>
      <c r="D148" s="74">
        <v>7</v>
      </c>
      <c r="E148" s="75">
        <v>5.9317007033300002E-4</v>
      </c>
    </row>
    <row r="149" spans="1:5" ht="15" customHeight="1">
      <c r="A149" s="35"/>
      <c r="B149" s="107"/>
      <c r="C149" s="73" t="s">
        <v>137</v>
      </c>
      <c r="D149" s="74">
        <v>6</v>
      </c>
      <c r="E149" s="75">
        <v>5.0843148885699996E-4</v>
      </c>
    </row>
    <row r="150" spans="1:5" ht="15" customHeight="1">
      <c r="A150" s="35"/>
      <c r="B150" s="107"/>
      <c r="C150" s="73" t="s">
        <v>144</v>
      </c>
      <c r="D150" s="74">
        <v>6</v>
      </c>
      <c r="E150" s="75">
        <v>5.0843148885699996E-4</v>
      </c>
    </row>
    <row r="151" spans="1:5" ht="15" customHeight="1">
      <c r="A151" s="35"/>
      <c r="B151" s="107"/>
      <c r="C151" s="73" t="s">
        <v>133</v>
      </c>
      <c r="D151" s="74">
        <v>4</v>
      </c>
      <c r="E151" s="75">
        <v>3.3895432590500002E-4</v>
      </c>
    </row>
    <row r="152" spans="1:5" ht="15" customHeight="1">
      <c r="A152" s="35"/>
      <c r="B152" s="107"/>
      <c r="C152" s="73" t="s">
        <v>141</v>
      </c>
      <c r="D152" s="74">
        <v>4</v>
      </c>
      <c r="E152" s="75">
        <v>3.3895432590500002E-4</v>
      </c>
    </row>
    <row r="153" spans="1:5" ht="15" customHeight="1">
      <c r="A153" s="35"/>
      <c r="B153" s="107"/>
      <c r="C153" s="73" t="s">
        <v>148</v>
      </c>
      <c r="D153" s="74">
        <v>4</v>
      </c>
      <c r="E153" s="75">
        <v>3.3895432590500002E-4</v>
      </c>
    </row>
    <row r="154" spans="1:5" ht="15" customHeight="1">
      <c r="A154" s="35"/>
      <c r="B154" s="107"/>
      <c r="C154" s="73" t="s">
        <v>149</v>
      </c>
      <c r="D154" s="74">
        <v>3</v>
      </c>
      <c r="E154" s="75">
        <v>2.54215744428E-4</v>
      </c>
    </row>
    <row r="155" spans="1:5" ht="15" customHeight="1">
      <c r="A155" s="35"/>
      <c r="B155" s="107"/>
      <c r="C155" s="73" t="s">
        <v>143</v>
      </c>
      <c r="D155" s="74">
        <v>3</v>
      </c>
      <c r="E155" s="75">
        <v>2.54215744428E-4</v>
      </c>
    </row>
    <row r="156" spans="1:5" ht="15" customHeight="1">
      <c r="A156" s="35"/>
      <c r="B156" s="107"/>
      <c r="C156" s="73" t="s">
        <v>159</v>
      </c>
      <c r="D156" s="74">
        <v>2</v>
      </c>
      <c r="E156" s="75">
        <v>1.69477162952E-4</v>
      </c>
    </row>
    <row r="157" spans="1:5" ht="15" customHeight="1">
      <c r="A157" s="35"/>
      <c r="B157" s="107"/>
      <c r="C157" s="73" t="s">
        <v>163</v>
      </c>
      <c r="D157" s="74">
        <v>1</v>
      </c>
      <c r="E157" s="75">
        <v>8.4738581476000001E-5</v>
      </c>
    </row>
    <row r="158" spans="1:5" ht="15" customHeight="1">
      <c r="A158" s="35"/>
      <c r="B158" s="107"/>
      <c r="C158" s="73" t="s">
        <v>170</v>
      </c>
      <c r="D158" s="74">
        <v>1</v>
      </c>
      <c r="E158" s="75">
        <v>8.4738581476000001E-5</v>
      </c>
    </row>
    <row r="159" spans="1:5" ht="15" customHeight="1">
      <c r="A159" s="35"/>
      <c r="B159" s="107"/>
      <c r="C159" s="73" t="s">
        <v>160</v>
      </c>
      <c r="D159" s="74">
        <v>1</v>
      </c>
      <c r="E159" s="75">
        <v>8.4738581476000001E-5</v>
      </c>
    </row>
    <row r="160" spans="1:5" ht="15" customHeight="1">
      <c r="A160" s="35"/>
      <c r="B160" s="107"/>
      <c r="C160" s="73" t="s">
        <v>145</v>
      </c>
      <c r="D160" s="74">
        <v>1</v>
      </c>
      <c r="E160" s="75">
        <v>8.4738581476000001E-5</v>
      </c>
    </row>
    <row r="161" spans="1:5" ht="15" customHeight="1">
      <c r="A161" s="35"/>
      <c r="B161" s="107"/>
      <c r="C161" s="73" t="s">
        <v>147</v>
      </c>
      <c r="D161" s="74">
        <v>1</v>
      </c>
      <c r="E161" s="75">
        <v>8.4738581476000001E-5</v>
      </c>
    </row>
    <row r="162" spans="1:5" ht="15" customHeight="1">
      <c r="A162" s="35"/>
      <c r="B162" s="108"/>
      <c r="C162" s="104" t="s">
        <v>284</v>
      </c>
      <c r="D162" s="103">
        <v>158</v>
      </c>
      <c r="E162" s="105">
        <v>1.3388695873231E-2</v>
      </c>
    </row>
    <row r="163" spans="1:5" ht="15" customHeight="1">
      <c r="A163" s="35"/>
      <c r="B163" s="106" t="s">
        <v>177</v>
      </c>
      <c r="C163" s="73" t="s">
        <v>146</v>
      </c>
      <c r="D163" s="74">
        <v>31</v>
      </c>
      <c r="E163" s="75">
        <v>2.6268960257610002E-3</v>
      </c>
    </row>
    <row r="164" spans="1:5" ht="15" customHeight="1">
      <c r="A164" s="35"/>
      <c r="B164" s="107"/>
      <c r="C164" s="73" t="s">
        <v>138</v>
      </c>
      <c r="D164" s="74">
        <v>27</v>
      </c>
      <c r="E164" s="75">
        <v>2.2879416998559999E-3</v>
      </c>
    </row>
    <row r="165" spans="1:5" ht="15" customHeight="1">
      <c r="A165" s="35"/>
      <c r="B165" s="107"/>
      <c r="C165" s="73" t="s">
        <v>137</v>
      </c>
      <c r="D165" s="74">
        <v>16</v>
      </c>
      <c r="E165" s="75">
        <v>1.3558173036179999E-3</v>
      </c>
    </row>
    <row r="166" spans="1:5" ht="15" customHeight="1">
      <c r="A166" s="35"/>
      <c r="B166" s="107"/>
      <c r="C166" s="73" t="s">
        <v>140</v>
      </c>
      <c r="D166" s="74">
        <v>10</v>
      </c>
      <c r="E166" s="75">
        <v>8.4738581476099997E-4</v>
      </c>
    </row>
    <row r="167" spans="1:5" ht="15" customHeight="1">
      <c r="A167" s="35"/>
      <c r="B167" s="107"/>
      <c r="C167" s="73" t="s">
        <v>143</v>
      </c>
      <c r="D167" s="74">
        <v>7</v>
      </c>
      <c r="E167" s="75">
        <v>5.9317007033300002E-4</v>
      </c>
    </row>
    <row r="168" spans="1:5" ht="15" customHeight="1">
      <c r="A168" s="35"/>
      <c r="B168" s="107"/>
      <c r="C168" s="73" t="s">
        <v>144</v>
      </c>
      <c r="D168" s="74">
        <v>7</v>
      </c>
      <c r="E168" s="75">
        <v>5.9317007033300002E-4</v>
      </c>
    </row>
    <row r="169" spans="1:5" ht="15" customHeight="1">
      <c r="A169" s="35"/>
      <c r="B169" s="107"/>
      <c r="C169" s="73" t="s">
        <v>160</v>
      </c>
      <c r="D169" s="74">
        <v>6</v>
      </c>
      <c r="E169" s="75">
        <v>5.0843148885699996E-4</v>
      </c>
    </row>
    <row r="170" spans="1:5" ht="15" customHeight="1">
      <c r="A170" s="35"/>
      <c r="B170" s="107"/>
      <c r="C170" s="73" t="s">
        <v>133</v>
      </c>
      <c r="D170" s="74">
        <v>5</v>
      </c>
      <c r="E170" s="75">
        <v>4.2369290738100002E-4</v>
      </c>
    </row>
    <row r="171" spans="1:5" ht="15" customHeight="1">
      <c r="A171" s="35"/>
      <c r="B171" s="107"/>
      <c r="C171" s="73" t="s">
        <v>149</v>
      </c>
      <c r="D171" s="74">
        <v>2</v>
      </c>
      <c r="E171" s="75">
        <v>1.69477162952E-4</v>
      </c>
    </row>
    <row r="172" spans="1:5" ht="15" customHeight="1">
      <c r="A172" s="35"/>
      <c r="B172" s="107"/>
      <c r="C172" s="73" t="s">
        <v>162</v>
      </c>
      <c r="D172" s="74">
        <v>2</v>
      </c>
      <c r="E172" s="75">
        <v>1.69477162952E-4</v>
      </c>
    </row>
    <row r="173" spans="1:5" ht="15" customHeight="1">
      <c r="A173" s="35"/>
      <c r="B173" s="107"/>
      <c r="C173" s="73" t="s">
        <v>163</v>
      </c>
      <c r="D173" s="74">
        <v>2</v>
      </c>
      <c r="E173" s="75">
        <v>1.69477162952E-4</v>
      </c>
    </row>
    <row r="174" spans="1:5" ht="15" customHeight="1">
      <c r="A174" s="35"/>
      <c r="B174" s="107"/>
      <c r="C174" s="73" t="s">
        <v>134</v>
      </c>
      <c r="D174" s="74">
        <v>2</v>
      </c>
      <c r="E174" s="75">
        <v>1.69477162952E-4</v>
      </c>
    </row>
    <row r="175" spans="1:5" ht="15" customHeight="1">
      <c r="A175" s="35"/>
      <c r="B175" s="107"/>
      <c r="C175" s="73" t="s">
        <v>136</v>
      </c>
      <c r="D175" s="74">
        <v>2</v>
      </c>
      <c r="E175" s="75">
        <v>1.69477162952E-4</v>
      </c>
    </row>
    <row r="176" spans="1:5" ht="15" customHeight="1">
      <c r="A176" s="35"/>
      <c r="B176" s="107"/>
      <c r="C176" s="73" t="s">
        <v>139</v>
      </c>
      <c r="D176" s="74">
        <v>2</v>
      </c>
      <c r="E176" s="75">
        <v>1.69477162952E-4</v>
      </c>
    </row>
    <row r="177" spans="1:5" ht="15" customHeight="1">
      <c r="A177" s="35"/>
      <c r="B177" s="107"/>
      <c r="C177" s="73" t="s">
        <v>141</v>
      </c>
      <c r="D177" s="74">
        <v>2</v>
      </c>
      <c r="E177" s="75">
        <v>1.69477162952E-4</v>
      </c>
    </row>
    <row r="178" spans="1:5" ht="15" customHeight="1">
      <c r="A178" s="35"/>
      <c r="B178" s="107"/>
      <c r="C178" s="73" t="s">
        <v>154</v>
      </c>
      <c r="D178" s="74">
        <v>1</v>
      </c>
      <c r="E178" s="75">
        <v>8.4738581476000001E-5</v>
      </c>
    </row>
    <row r="179" spans="1:5" ht="15" customHeight="1">
      <c r="A179" s="35"/>
      <c r="B179" s="107"/>
      <c r="C179" s="73" t="s">
        <v>165</v>
      </c>
      <c r="D179" s="74">
        <v>1</v>
      </c>
      <c r="E179" s="75">
        <v>8.4738581476000001E-5</v>
      </c>
    </row>
    <row r="180" spans="1:5" ht="15" customHeight="1">
      <c r="A180" s="35"/>
      <c r="B180" s="107"/>
      <c r="C180" s="73" t="s">
        <v>158</v>
      </c>
      <c r="D180" s="74">
        <v>1</v>
      </c>
      <c r="E180" s="75">
        <v>8.4738581476000001E-5</v>
      </c>
    </row>
    <row r="181" spans="1:5" ht="15" customHeight="1">
      <c r="A181" s="35"/>
      <c r="B181" s="107"/>
      <c r="C181" s="73" t="s">
        <v>142</v>
      </c>
      <c r="D181" s="74">
        <v>1</v>
      </c>
      <c r="E181" s="75">
        <v>8.4738581476000001E-5</v>
      </c>
    </row>
    <row r="182" spans="1:5" ht="15" customHeight="1">
      <c r="A182" s="35"/>
      <c r="B182" s="107"/>
      <c r="C182" s="73" t="s">
        <v>145</v>
      </c>
      <c r="D182" s="74">
        <v>1</v>
      </c>
      <c r="E182" s="75">
        <v>8.4738581476000001E-5</v>
      </c>
    </row>
    <row r="183" spans="1:5" ht="15" customHeight="1">
      <c r="A183" s="35"/>
      <c r="B183" s="107"/>
      <c r="C183" s="73" t="s">
        <v>147</v>
      </c>
      <c r="D183" s="74">
        <v>1</v>
      </c>
      <c r="E183" s="75">
        <v>8.4738581476000001E-5</v>
      </c>
    </row>
    <row r="184" spans="1:5" ht="15" customHeight="1">
      <c r="A184" s="35"/>
      <c r="B184" s="108"/>
      <c r="C184" s="104" t="s">
        <v>284</v>
      </c>
      <c r="D184" s="103">
        <v>129</v>
      </c>
      <c r="E184" s="105">
        <v>1.0931277010423001E-2</v>
      </c>
    </row>
    <row r="185" spans="1:5" ht="15" customHeight="1">
      <c r="A185" s="35"/>
      <c r="B185" s="106" t="s">
        <v>178</v>
      </c>
      <c r="C185" s="73" t="s">
        <v>146</v>
      </c>
      <c r="D185" s="74">
        <v>43</v>
      </c>
      <c r="E185" s="75">
        <v>3.6437590034740001E-3</v>
      </c>
    </row>
    <row r="186" spans="1:5" ht="15" customHeight="1">
      <c r="A186" s="35"/>
      <c r="B186" s="107"/>
      <c r="C186" s="73" t="s">
        <v>141</v>
      </c>
      <c r="D186" s="74">
        <v>21</v>
      </c>
      <c r="E186" s="75">
        <v>1.7795102109989999E-3</v>
      </c>
    </row>
    <row r="187" spans="1:5" ht="15" customHeight="1">
      <c r="A187" s="35"/>
      <c r="B187" s="107"/>
      <c r="C187" s="73" t="s">
        <v>140</v>
      </c>
      <c r="D187" s="74">
        <v>9</v>
      </c>
      <c r="E187" s="75">
        <v>7.6264723328500002E-4</v>
      </c>
    </row>
    <row r="188" spans="1:5" ht="15" customHeight="1">
      <c r="A188" s="35"/>
      <c r="B188" s="107"/>
      <c r="C188" s="73" t="s">
        <v>133</v>
      </c>
      <c r="D188" s="74">
        <v>8</v>
      </c>
      <c r="E188" s="75">
        <v>6.7790865180899996E-4</v>
      </c>
    </row>
    <row r="189" spans="1:5" ht="15" customHeight="1">
      <c r="A189" s="35"/>
      <c r="B189" s="107"/>
      <c r="C189" s="73" t="s">
        <v>136</v>
      </c>
      <c r="D189" s="74">
        <v>7</v>
      </c>
      <c r="E189" s="75">
        <v>5.9317007033300002E-4</v>
      </c>
    </row>
    <row r="190" spans="1:5" ht="15" customHeight="1">
      <c r="A190" s="35"/>
      <c r="B190" s="107"/>
      <c r="C190" s="73" t="s">
        <v>137</v>
      </c>
      <c r="D190" s="74">
        <v>6</v>
      </c>
      <c r="E190" s="75">
        <v>5.0843148885699996E-4</v>
      </c>
    </row>
    <row r="191" spans="1:5" ht="15" customHeight="1">
      <c r="A191" s="35"/>
      <c r="B191" s="107"/>
      <c r="C191" s="73" t="s">
        <v>143</v>
      </c>
      <c r="D191" s="74">
        <v>5</v>
      </c>
      <c r="E191" s="75">
        <v>4.2369290738100002E-4</v>
      </c>
    </row>
    <row r="192" spans="1:5" ht="15" customHeight="1">
      <c r="A192" s="35"/>
      <c r="B192" s="107"/>
      <c r="C192" s="73" t="s">
        <v>155</v>
      </c>
      <c r="D192" s="74">
        <v>4</v>
      </c>
      <c r="E192" s="75">
        <v>3.3895432590500002E-4</v>
      </c>
    </row>
    <row r="193" spans="1:5" ht="15" customHeight="1">
      <c r="A193" s="35"/>
      <c r="B193" s="107"/>
      <c r="C193" s="73" t="s">
        <v>160</v>
      </c>
      <c r="D193" s="74">
        <v>4</v>
      </c>
      <c r="E193" s="75">
        <v>3.3895432590500002E-4</v>
      </c>
    </row>
    <row r="194" spans="1:5" ht="15" customHeight="1">
      <c r="A194" s="35"/>
      <c r="B194" s="107"/>
      <c r="C194" s="73" t="s">
        <v>144</v>
      </c>
      <c r="D194" s="74">
        <v>4</v>
      </c>
      <c r="E194" s="75">
        <v>3.3895432590500002E-4</v>
      </c>
    </row>
    <row r="195" spans="1:5" ht="15" customHeight="1">
      <c r="A195" s="35"/>
      <c r="B195" s="107"/>
      <c r="C195" s="73" t="s">
        <v>134</v>
      </c>
      <c r="D195" s="74">
        <v>3</v>
      </c>
      <c r="E195" s="75">
        <v>2.54215744428E-4</v>
      </c>
    </row>
    <row r="196" spans="1:5" ht="15" customHeight="1">
      <c r="A196" s="35"/>
      <c r="B196" s="107"/>
      <c r="C196" s="73" t="s">
        <v>147</v>
      </c>
      <c r="D196" s="74">
        <v>3</v>
      </c>
      <c r="E196" s="75">
        <v>2.54215744428E-4</v>
      </c>
    </row>
    <row r="197" spans="1:5" ht="15" customHeight="1">
      <c r="A197" s="35"/>
      <c r="B197" s="107"/>
      <c r="C197" s="73" t="s">
        <v>162</v>
      </c>
      <c r="D197" s="74">
        <v>2</v>
      </c>
      <c r="E197" s="75">
        <v>1.69477162952E-4</v>
      </c>
    </row>
    <row r="198" spans="1:5" ht="15" customHeight="1">
      <c r="A198" s="35"/>
      <c r="B198" s="107"/>
      <c r="C198" s="73" t="s">
        <v>138</v>
      </c>
      <c r="D198" s="74">
        <v>2</v>
      </c>
      <c r="E198" s="75">
        <v>1.69477162952E-4</v>
      </c>
    </row>
    <row r="199" spans="1:5" ht="15" customHeight="1">
      <c r="A199" s="35"/>
      <c r="B199" s="107"/>
      <c r="C199" s="73" t="s">
        <v>158</v>
      </c>
      <c r="D199" s="74">
        <v>2</v>
      </c>
      <c r="E199" s="75">
        <v>1.69477162952E-4</v>
      </c>
    </row>
    <row r="200" spans="1:5" ht="15" customHeight="1">
      <c r="A200" s="35"/>
      <c r="B200" s="107"/>
      <c r="C200" s="73" t="s">
        <v>139</v>
      </c>
      <c r="D200" s="74">
        <v>1</v>
      </c>
      <c r="E200" s="75">
        <v>8.4738581476000001E-5</v>
      </c>
    </row>
    <row r="201" spans="1:5" ht="15" customHeight="1">
      <c r="A201" s="35"/>
      <c r="B201" s="107"/>
      <c r="C201" s="73" t="s">
        <v>159</v>
      </c>
      <c r="D201" s="74">
        <v>1</v>
      </c>
      <c r="E201" s="75">
        <v>8.4738581476000001E-5</v>
      </c>
    </row>
    <row r="202" spans="1:5" ht="15" customHeight="1">
      <c r="A202" s="35"/>
      <c r="B202" s="107"/>
      <c r="C202" s="73" t="s">
        <v>142</v>
      </c>
      <c r="D202" s="74">
        <v>1</v>
      </c>
      <c r="E202" s="75">
        <v>8.4738581476000001E-5</v>
      </c>
    </row>
    <row r="203" spans="1:5" ht="15" customHeight="1">
      <c r="A203" s="35"/>
      <c r="B203" s="108"/>
      <c r="C203" s="104" t="s">
        <v>284</v>
      </c>
      <c r="D203" s="103">
        <v>126</v>
      </c>
      <c r="E203" s="105">
        <v>1.0677061265993999E-2</v>
      </c>
    </row>
    <row r="204" spans="1:5" ht="15" customHeight="1">
      <c r="A204" s="35"/>
      <c r="B204" s="106" t="s">
        <v>179</v>
      </c>
      <c r="C204" s="73" t="s">
        <v>146</v>
      </c>
      <c r="D204" s="74">
        <v>81</v>
      </c>
      <c r="E204" s="75">
        <v>6.8638250995680002E-3</v>
      </c>
    </row>
    <row r="205" spans="1:5" ht="15" customHeight="1">
      <c r="A205" s="35"/>
      <c r="B205" s="107"/>
      <c r="C205" s="73" t="s">
        <v>136</v>
      </c>
      <c r="D205" s="74">
        <v>10</v>
      </c>
      <c r="E205" s="75">
        <v>8.4738581476099997E-4</v>
      </c>
    </row>
    <row r="206" spans="1:5" ht="15" customHeight="1">
      <c r="A206" s="35"/>
      <c r="B206" s="107"/>
      <c r="C206" s="73" t="s">
        <v>134</v>
      </c>
      <c r="D206" s="74">
        <v>8</v>
      </c>
      <c r="E206" s="75">
        <v>6.7790865180899996E-4</v>
      </c>
    </row>
    <row r="207" spans="1:5" ht="15" customHeight="1">
      <c r="A207" s="35"/>
      <c r="B207" s="107"/>
      <c r="C207" s="73" t="s">
        <v>144</v>
      </c>
      <c r="D207" s="74">
        <v>7</v>
      </c>
      <c r="E207" s="75">
        <v>5.9317007033300002E-4</v>
      </c>
    </row>
    <row r="208" spans="1:5" ht="15" customHeight="1">
      <c r="A208" s="35"/>
      <c r="B208" s="107"/>
      <c r="C208" s="73" t="s">
        <v>147</v>
      </c>
      <c r="D208" s="74">
        <v>3</v>
      </c>
      <c r="E208" s="75">
        <v>2.54215744428E-4</v>
      </c>
    </row>
    <row r="209" spans="1:5" ht="15" customHeight="1">
      <c r="A209" s="35"/>
      <c r="B209" s="107"/>
      <c r="C209" s="73" t="s">
        <v>133</v>
      </c>
      <c r="D209" s="74">
        <v>2</v>
      </c>
      <c r="E209" s="75">
        <v>1.69477162952E-4</v>
      </c>
    </row>
    <row r="210" spans="1:5" ht="15" customHeight="1">
      <c r="A210" s="35"/>
      <c r="B210" s="107"/>
      <c r="C210" s="73" t="s">
        <v>137</v>
      </c>
      <c r="D210" s="74">
        <v>2</v>
      </c>
      <c r="E210" s="75">
        <v>1.69477162952E-4</v>
      </c>
    </row>
    <row r="211" spans="1:5" ht="15" customHeight="1">
      <c r="A211" s="35"/>
      <c r="B211" s="107"/>
      <c r="C211" s="73" t="s">
        <v>149</v>
      </c>
      <c r="D211" s="74">
        <v>1</v>
      </c>
      <c r="E211" s="75">
        <v>8.4738581476000001E-5</v>
      </c>
    </row>
    <row r="212" spans="1:5" ht="15" customHeight="1">
      <c r="A212" s="35"/>
      <c r="B212" s="107"/>
      <c r="C212" s="73" t="s">
        <v>138</v>
      </c>
      <c r="D212" s="74">
        <v>1</v>
      </c>
      <c r="E212" s="75">
        <v>8.4738581476000001E-5</v>
      </c>
    </row>
    <row r="213" spans="1:5" ht="15" customHeight="1">
      <c r="A213" s="35"/>
      <c r="B213" s="107"/>
      <c r="C213" s="73" t="s">
        <v>139</v>
      </c>
      <c r="D213" s="74">
        <v>1</v>
      </c>
      <c r="E213" s="75">
        <v>8.4738581476000001E-5</v>
      </c>
    </row>
    <row r="214" spans="1:5" ht="15" customHeight="1">
      <c r="A214" s="35"/>
      <c r="B214" s="107"/>
      <c r="C214" s="73" t="s">
        <v>140</v>
      </c>
      <c r="D214" s="74">
        <v>1</v>
      </c>
      <c r="E214" s="75">
        <v>8.4738581476000001E-5</v>
      </c>
    </row>
    <row r="215" spans="1:5" ht="15" customHeight="1">
      <c r="A215" s="35"/>
      <c r="B215" s="107"/>
      <c r="C215" s="73" t="s">
        <v>160</v>
      </c>
      <c r="D215" s="74">
        <v>1</v>
      </c>
      <c r="E215" s="75">
        <v>8.4738581476000001E-5</v>
      </c>
    </row>
    <row r="216" spans="1:5" ht="15" customHeight="1">
      <c r="A216" s="35"/>
      <c r="B216" s="107"/>
      <c r="C216" s="73" t="s">
        <v>141</v>
      </c>
      <c r="D216" s="74">
        <v>1</v>
      </c>
      <c r="E216" s="75">
        <v>8.4738581476000001E-5</v>
      </c>
    </row>
    <row r="217" spans="1:5" ht="15" customHeight="1">
      <c r="A217" s="35"/>
      <c r="B217" s="107"/>
      <c r="C217" s="73" t="s">
        <v>145</v>
      </c>
      <c r="D217" s="74">
        <v>1</v>
      </c>
      <c r="E217" s="75">
        <v>8.4738581476000001E-5</v>
      </c>
    </row>
    <row r="218" spans="1:5" ht="15" customHeight="1">
      <c r="A218" s="35"/>
      <c r="B218" s="107"/>
      <c r="C218" s="73" t="s">
        <v>148</v>
      </c>
      <c r="D218" s="74">
        <v>1</v>
      </c>
      <c r="E218" s="75">
        <v>8.4738581476000001E-5</v>
      </c>
    </row>
    <row r="219" spans="1:5" ht="15" customHeight="1">
      <c r="A219" s="35"/>
      <c r="B219" s="108"/>
      <c r="C219" s="104" t="s">
        <v>284</v>
      </c>
      <c r="D219" s="103">
        <v>121</v>
      </c>
      <c r="E219" s="105">
        <v>1.0253368358614E-2</v>
      </c>
    </row>
    <row r="220" spans="1:5" ht="15" customHeight="1">
      <c r="A220" s="35"/>
      <c r="B220" s="106" t="s">
        <v>180</v>
      </c>
      <c r="C220" s="73" t="s">
        <v>146</v>
      </c>
      <c r="D220" s="74">
        <v>26</v>
      </c>
      <c r="E220" s="75">
        <v>2.2032031183800002E-3</v>
      </c>
    </row>
    <row r="221" spans="1:5" ht="15" customHeight="1">
      <c r="A221" s="35"/>
      <c r="B221" s="107"/>
      <c r="C221" s="73" t="s">
        <v>137</v>
      </c>
      <c r="D221" s="74">
        <v>17</v>
      </c>
      <c r="E221" s="75">
        <v>1.4405558850940001E-3</v>
      </c>
    </row>
    <row r="222" spans="1:5" ht="15" customHeight="1">
      <c r="A222" s="35"/>
      <c r="B222" s="107"/>
      <c r="C222" s="73" t="s">
        <v>136</v>
      </c>
      <c r="D222" s="74">
        <v>10</v>
      </c>
      <c r="E222" s="75">
        <v>8.4738581476099997E-4</v>
      </c>
    </row>
    <row r="223" spans="1:5" ht="15" customHeight="1">
      <c r="A223" s="35"/>
      <c r="B223" s="107"/>
      <c r="C223" s="73" t="s">
        <v>138</v>
      </c>
      <c r="D223" s="74">
        <v>8</v>
      </c>
      <c r="E223" s="75">
        <v>6.7790865180899996E-4</v>
      </c>
    </row>
    <row r="224" spans="1:5" ht="15" customHeight="1">
      <c r="A224" s="35"/>
      <c r="B224" s="107"/>
      <c r="C224" s="73" t="s">
        <v>160</v>
      </c>
      <c r="D224" s="74">
        <v>8</v>
      </c>
      <c r="E224" s="75">
        <v>6.7790865180899996E-4</v>
      </c>
    </row>
    <row r="225" spans="1:5" ht="15" customHeight="1">
      <c r="A225" s="35"/>
      <c r="B225" s="107"/>
      <c r="C225" s="73" t="s">
        <v>143</v>
      </c>
      <c r="D225" s="74">
        <v>8</v>
      </c>
      <c r="E225" s="75">
        <v>6.7790865180899996E-4</v>
      </c>
    </row>
    <row r="226" spans="1:5" ht="15" customHeight="1">
      <c r="A226" s="35"/>
      <c r="B226" s="107"/>
      <c r="C226" s="73" t="s">
        <v>134</v>
      </c>
      <c r="D226" s="74">
        <v>7</v>
      </c>
      <c r="E226" s="75">
        <v>5.9317007033300002E-4</v>
      </c>
    </row>
    <row r="227" spans="1:5" ht="15" customHeight="1">
      <c r="A227" s="35"/>
      <c r="B227" s="107"/>
      <c r="C227" s="73" t="s">
        <v>141</v>
      </c>
      <c r="D227" s="74">
        <v>7</v>
      </c>
      <c r="E227" s="75">
        <v>5.9317007033300002E-4</v>
      </c>
    </row>
    <row r="228" spans="1:5" ht="15" customHeight="1">
      <c r="A228" s="35"/>
      <c r="B228" s="107"/>
      <c r="C228" s="73" t="s">
        <v>144</v>
      </c>
      <c r="D228" s="74">
        <v>6</v>
      </c>
      <c r="E228" s="75">
        <v>5.0843148885699996E-4</v>
      </c>
    </row>
    <row r="229" spans="1:5" ht="15" customHeight="1">
      <c r="A229" s="35"/>
      <c r="B229" s="107"/>
      <c r="C229" s="73" t="s">
        <v>133</v>
      </c>
      <c r="D229" s="74">
        <v>5</v>
      </c>
      <c r="E229" s="75">
        <v>4.2369290738100002E-4</v>
      </c>
    </row>
    <row r="230" spans="1:5" ht="15" customHeight="1">
      <c r="A230" s="35"/>
      <c r="B230" s="107"/>
      <c r="C230" s="73" t="s">
        <v>156</v>
      </c>
      <c r="D230" s="74">
        <v>4</v>
      </c>
      <c r="E230" s="75">
        <v>3.3895432590500002E-4</v>
      </c>
    </row>
    <row r="231" spans="1:5" ht="15" customHeight="1">
      <c r="A231" s="35"/>
      <c r="B231" s="107"/>
      <c r="C231" s="73" t="s">
        <v>140</v>
      </c>
      <c r="D231" s="74">
        <v>2</v>
      </c>
      <c r="E231" s="75">
        <v>1.69477162952E-4</v>
      </c>
    </row>
    <row r="232" spans="1:5" ht="15" customHeight="1">
      <c r="A232" s="35"/>
      <c r="B232" s="107"/>
      <c r="C232" s="73" t="s">
        <v>142</v>
      </c>
      <c r="D232" s="74">
        <v>2</v>
      </c>
      <c r="E232" s="75">
        <v>1.69477162952E-4</v>
      </c>
    </row>
    <row r="233" spans="1:5" ht="15" customHeight="1">
      <c r="A233" s="35"/>
      <c r="B233" s="107"/>
      <c r="C233" s="73" t="s">
        <v>149</v>
      </c>
      <c r="D233" s="74">
        <v>1</v>
      </c>
      <c r="E233" s="75">
        <v>8.4738581476000001E-5</v>
      </c>
    </row>
    <row r="234" spans="1:5" ht="15" customHeight="1">
      <c r="A234" s="35"/>
      <c r="B234" s="107"/>
      <c r="C234" s="73" t="s">
        <v>150</v>
      </c>
      <c r="D234" s="74">
        <v>1</v>
      </c>
      <c r="E234" s="75">
        <v>8.4738581476000001E-5</v>
      </c>
    </row>
    <row r="235" spans="1:5" ht="15" customHeight="1">
      <c r="A235" s="35"/>
      <c r="B235" s="107"/>
      <c r="C235" s="73" t="s">
        <v>151</v>
      </c>
      <c r="D235" s="74">
        <v>1</v>
      </c>
      <c r="E235" s="75">
        <v>8.4738581476000001E-5</v>
      </c>
    </row>
    <row r="236" spans="1:5" ht="15" customHeight="1">
      <c r="A236" s="35"/>
      <c r="B236" s="107"/>
      <c r="C236" s="73" t="s">
        <v>154</v>
      </c>
      <c r="D236" s="74">
        <v>1</v>
      </c>
      <c r="E236" s="75">
        <v>8.4738581476000001E-5</v>
      </c>
    </row>
    <row r="237" spans="1:5" ht="15" customHeight="1">
      <c r="A237" s="35"/>
      <c r="B237" s="107"/>
      <c r="C237" s="73" t="s">
        <v>157</v>
      </c>
      <c r="D237" s="74">
        <v>1</v>
      </c>
      <c r="E237" s="75">
        <v>8.4738581476000001E-5</v>
      </c>
    </row>
    <row r="238" spans="1:5" ht="15" customHeight="1">
      <c r="A238" s="35"/>
      <c r="B238" s="107"/>
      <c r="C238" s="73" t="s">
        <v>139</v>
      </c>
      <c r="D238" s="74">
        <v>1</v>
      </c>
      <c r="E238" s="75">
        <v>8.4738581476000001E-5</v>
      </c>
    </row>
    <row r="239" spans="1:5" ht="15" customHeight="1">
      <c r="A239" s="35"/>
      <c r="B239" s="107"/>
      <c r="C239" s="73" t="s">
        <v>159</v>
      </c>
      <c r="D239" s="74">
        <v>1</v>
      </c>
      <c r="E239" s="75">
        <v>8.4738581476000001E-5</v>
      </c>
    </row>
    <row r="240" spans="1:5" ht="15" customHeight="1">
      <c r="A240" s="35"/>
      <c r="B240" s="107"/>
      <c r="C240" s="73" t="s">
        <v>147</v>
      </c>
      <c r="D240" s="74">
        <v>1</v>
      </c>
      <c r="E240" s="75">
        <v>8.4738581476000001E-5</v>
      </c>
    </row>
    <row r="241" spans="1:5" ht="15" customHeight="1">
      <c r="A241" s="35"/>
      <c r="B241" s="108"/>
      <c r="C241" s="104" t="s">
        <v>284</v>
      </c>
      <c r="D241" s="103">
        <v>118</v>
      </c>
      <c r="E241" s="105">
        <v>9.9991526141850005E-3</v>
      </c>
    </row>
    <row r="242" spans="1:5" ht="15" customHeight="1">
      <c r="A242" s="35"/>
      <c r="B242" s="106" t="s">
        <v>181</v>
      </c>
      <c r="C242" s="73" t="s">
        <v>146</v>
      </c>
      <c r="D242" s="74">
        <v>34</v>
      </c>
      <c r="E242" s="75">
        <v>2.8811117701889998E-3</v>
      </c>
    </row>
    <row r="243" spans="1:5" ht="15" customHeight="1">
      <c r="A243" s="35"/>
      <c r="B243" s="107"/>
      <c r="C243" s="73" t="s">
        <v>137</v>
      </c>
      <c r="D243" s="74">
        <v>11</v>
      </c>
      <c r="E243" s="75">
        <v>9.3212439623799998E-4</v>
      </c>
    </row>
    <row r="244" spans="1:5" ht="15" customHeight="1">
      <c r="A244" s="35"/>
      <c r="B244" s="107"/>
      <c r="C244" s="73" t="s">
        <v>138</v>
      </c>
      <c r="D244" s="74">
        <v>9</v>
      </c>
      <c r="E244" s="75">
        <v>7.6264723328500002E-4</v>
      </c>
    </row>
    <row r="245" spans="1:5" ht="15" customHeight="1">
      <c r="A245" s="35"/>
      <c r="B245" s="107"/>
      <c r="C245" s="73" t="s">
        <v>144</v>
      </c>
      <c r="D245" s="74">
        <v>9</v>
      </c>
      <c r="E245" s="75">
        <v>7.6264723328500002E-4</v>
      </c>
    </row>
    <row r="246" spans="1:5" ht="15" customHeight="1">
      <c r="A246" s="35"/>
      <c r="B246" s="107"/>
      <c r="C246" s="73" t="s">
        <v>140</v>
      </c>
      <c r="D246" s="74">
        <v>8</v>
      </c>
      <c r="E246" s="75">
        <v>6.7790865180899996E-4</v>
      </c>
    </row>
    <row r="247" spans="1:5" ht="15" customHeight="1">
      <c r="A247" s="35"/>
      <c r="B247" s="107"/>
      <c r="C247" s="73" t="s">
        <v>149</v>
      </c>
      <c r="D247" s="74">
        <v>7</v>
      </c>
      <c r="E247" s="75">
        <v>5.9317007033300002E-4</v>
      </c>
    </row>
    <row r="248" spans="1:5" ht="15" customHeight="1">
      <c r="A248" s="35"/>
      <c r="B248" s="107"/>
      <c r="C248" s="73" t="s">
        <v>143</v>
      </c>
      <c r="D248" s="74">
        <v>7</v>
      </c>
      <c r="E248" s="75">
        <v>5.9317007033300002E-4</v>
      </c>
    </row>
    <row r="249" spans="1:5" ht="15" customHeight="1">
      <c r="A249" s="35"/>
      <c r="B249" s="107"/>
      <c r="C249" s="73" t="s">
        <v>133</v>
      </c>
      <c r="D249" s="74">
        <v>5</v>
      </c>
      <c r="E249" s="75">
        <v>4.2369290738100002E-4</v>
      </c>
    </row>
    <row r="250" spans="1:5" ht="15" customHeight="1">
      <c r="A250" s="35"/>
      <c r="B250" s="107"/>
      <c r="C250" s="73" t="s">
        <v>136</v>
      </c>
      <c r="D250" s="74">
        <v>5</v>
      </c>
      <c r="E250" s="75">
        <v>4.2369290738100002E-4</v>
      </c>
    </row>
    <row r="251" spans="1:5" ht="15" customHeight="1">
      <c r="A251" s="35"/>
      <c r="B251" s="107"/>
      <c r="C251" s="73" t="s">
        <v>160</v>
      </c>
      <c r="D251" s="74">
        <v>5</v>
      </c>
      <c r="E251" s="75">
        <v>4.2369290738100002E-4</v>
      </c>
    </row>
    <row r="252" spans="1:5" ht="15" customHeight="1">
      <c r="A252" s="35"/>
      <c r="B252" s="107"/>
      <c r="C252" s="73" t="s">
        <v>134</v>
      </c>
      <c r="D252" s="74">
        <v>4</v>
      </c>
      <c r="E252" s="75">
        <v>3.3895432590500002E-4</v>
      </c>
    </row>
    <row r="253" spans="1:5" ht="15" customHeight="1">
      <c r="A253" s="35"/>
      <c r="B253" s="107"/>
      <c r="C253" s="73" t="s">
        <v>139</v>
      </c>
      <c r="D253" s="74">
        <v>4</v>
      </c>
      <c r="E253" s="75">
        <v>3.3895432590500002E-4</v>
      </c>
    </row>
    <row r="254" spans="1:5" ht="15" customHeight="1">
      <c r="A254" s="35"/>
      <c r="B254" s="107"/>
      <c r="C254" s="73" t="s">
        <v>141</v>
      </c>
      <c r="D254" s="74">
        <v>4</v>
      </c>
      <c r="E254" s="75">
        <v>3.3895432590500002E-4</v>
      </c>
    </row>
    <row r="255" spans="1:5" ht="15" customHeight="1">
      <c r="A255" s="35"/>
      <c r="B255" s="107"/>
      <c r="C255" s="73" t="s">
        <v>150</v>
      </c>
      <c r="D255" s="74">
        <v>1</v>
      </c>
      <c r="E255" s="75">
        <v>8.4738581476000001E-5</v>
      </c>
    </row>
    <row r="256" spans="1:5" ht="15" customHeight="1">
      <c r="A256" s="35"/>
      <c r="B256" s="107"/>
      <c r="C256" s="73" t="s">
        <v>151</v>
      </c>
      <c r="D256" s="74">
        <v>1</v>
      </c>
      <c r="E256" s="75">
        <v>8.4738581476000001E-5</v>
      </c>
    </row>
    <row r="257" spans="1:5" ht="15" customHeight="1">
      <c r="A257" s="35"/>
      <c r="B257" s="107"/>
      <c r="C257" s="73" t="s">
        <v>155</v>
      </c>
      <c r="D257" s="74">
        <v>1</v>
      </c>
      <c r="E257" s="75">
        <v>8.4738581476000001E-5</v>
      </c>
    </row>
    <row r="258" spans="1:5" ht="15" customHeight="1">
      <c r="A258" s="35"/>
      <c r="B258" s="107"/>
      <c r="C258" s="73" t="s">
        <v>168</v>
      </c>
      <c r="D258" s="74">
        <v>1</v>
      </c>
      <c r="E258" s="75">
        <v>8.4738581476000001E-5</v>
      </c>
    </row>
    <row r="259" spans="1:5" ht="15" customHeight="1">
      <c r="A259" s="35"/>
      <c r="B259" s="107"/>
      <c r="C259" s="73" t="s">
        <v>159</v>
      </c>
      <c r="D259" s="74">
        <v>1</v>
      </c>
      <c r="E259" s="75">
        <v>8.4738581476000001E-5</v>
      </c>
    </row>
    <row r="260" spans="1:5" ht="15" customHeight="1">
      <c r="A260" s="35"/>
      <c r="B260" s="107"/>
      <c r="C260" s="73" t="s">
        <v>147</v>
      </c>
      <c r="D260" s="74">
        <v>1</v>
      </c>
      <c r="E260" s="75">
        <v>8.4738581476000001E-5</v>
      </c>
    </row>
    <row r="261" spans="1:5" ht="15" customHeight="1">
      <c r="A261" s="35"/>
      <c r="B261" s="108"/>
      <c r="C261" s="104" t="s">
        <v>284</v>
      </c>
      <c r="D261" s="103">
        <v>118</v>
      </c>
      <c r="E261" s="105">
        <v>9.9991526141850005E-3</v>
      </c>
    </row>
    <row r="262" spans="1:5" ht="15" customHeight="1">
      <c r="A262" s="35"/>
      <c r="B262" s="106" t="s">
        <v>182</v>
      </c>
      <c r="C262" s="73" t="s">
        <v>146</v>
      </c>
      <c r="D262" s="74">
        <v>24</v>
      </c>
      <c r="E262" s="75">
        <v>2.0337259554279999E-3</v>
      </c>
    </row>
    <row r="263" spans="1:5" ht="15" customHeight="1">
      <c r="A263" s="35"/>
      <c r="B263" s="107"/>
      <c r="C263" s="73" t="s">
        <v>140</v>
      </c>
      <c r="D263" s="74">
        <v>21</v>
      </c>
      <c r="E263" s="75">
        <v>1.7795102109989999E-3</v>
      </c>
    </row>
    <row r="264" spans="1:5" ht="15" customHeight="1">
      <c r="A264" s="35"/>
      <c r="B264" s="107"/>
      <c r="C264" s="73" t="s">
        <v>133</v>
      </c>
      <c r="D264" s="74">
        <v>10</v>
      </c>
      <c r="E264" s="75">
        <v>8.4738581476099997E-4</v>
      </c>
    </row>
    <row r="265" spans="1:5" ht="15" customHeight="1">
      <c r="A265" s="35"/>
      <c r="B265" s="107"/>
      <c r="C265" s="73" t="s">
        <v>137</v>
      </c>
      <c r="D265" s="74">
        <v>8</v>
      </c>
      <c r="E265" s="75">
        <v>6.7790865180899996E-4</v>
      </c>
    </row>
    <row r="266" spans="1:5" ht="15" customHeight="1">
      <c r="A266" s="35"/>
      <c r="B266" s="107"/>
      <c r="C266" s="73" t="s">
        <v>138</v>
      </c>
      <c r="D266" s="74">
        <v>6</v>
      </c>
      <c r="E266" s="75">
        <v>5.0843148885699996E-4</v>
      </c>
    </row>
    <row r="267" spans="1:5" ht="15" customHeight="1">
      <c r="A267" s="35"/>
      <c r="B267" s="107"/>
      <c r="C267" s="73" t="s">
        <v>141</v>
      </c>
      <c r="D267" s="74">
        <v>6</v>
      </c>
      <c r="E267" s="75">
        <v>5.0843148885699996E-4</v>
      </c>
    </row>
    <row r="268" spans="1:5" ht="15" customHeight="1">
      <c r="A268" s="35"/>
      <c r="B268" s="107"/>
      <c r="C268" s="73" t="s">
        <v>136</v>
      </c>
      <c r="D268" s="74">
        <v>4</v>
      </c>
      <c r="E268" s="75">
        <v>3.3895432590500002E-4</v>
      </c>
    </row>
    <row r="269" spans="1:5" ht="15" customHeight="1">
      <c r="A269" s="35"/>
      <c r="B269" s="107"/>
      <c r="C269" s="73" t="s">
        <v>134</v>
      </c>
      <c r="D269" s="74">
        <v>3</v>
      </c>
      <c r="E269" s="75">
        <v>2.54215744428E-4</v>
      </c>
    </row>
    <row r="270" spans="1:5" ht="15" customHeight="1">
      <c r="A270" s="35"/>
      <c r="B270" s="107"/>
      <c r="C270" s="73" t="s">
        <v>155</v>
      </c>
      <c r="D270" s="74">
        <v>3</v>
      </c>
      <c r="E270" s="75">
        <v>2.54215744428E-4</v>
      </c>
    </row>
    <row r="271" spans="1:5" ht="15" customHeight="1">
      <c r="A271" s="35"/>
      <c r="B271" s="107"/>
      <c r="C271" s="73" t="s">
        <v>160</v>
      </c>
      <c r="D271" s="74">
        <v>3</v>
      </c>
      <c r="E271" s="75">
        <v>2.54215744428E-4</v>
      </c>
    </row>
    <row r="272" spans="1:5" ht="15" customHeight="1">
      <c r="A272" s="35"/>
      <c r="B272" s="107"/>
      <c r="C272" s="73" t="s">
        <v>144</v>
      </c>
      <c r="D272" s="74">
        <v>3</v>
      </c>
      <c r="E272" s="75">
        <v>2.54215744428E-4</v>
      </c>
    </row>
    <row r="273" spans="1:5" ht="15" customHeight="1">
      <c r="A273" s="35"/>
      <c r="B273" s="107"/>
      <c r="C273" s="73" t="s">
        <v>161</v>
      </c>
      <c r="D273" s="74">
        <v>1</v>
      </c>
      <c r="E273" s="75">
        <v>8.4738581476000001E-5</v>
      </c>
    </row>
    <row r="274" spans="1:5" ht="15" customHeight="1">
      <c r="A274" s="35"/>
      <c r="B274" s="107"/>
      <c r="C274" s="73" t="s">
        <v>152</v>
      </c>
      <c r="D274" s="74">
        <v>1</v>
      </c>
      <c r="E274" s="75">
        <v>8.4738581476000001E-5</v>
      </c>
    </row>
    <row r="275" spans="1:5" ht="15" customHeight="1">
      <c r="A275" s="35"/>
      <c r="B275" s="107"/>
      <c r="C275" s="73" t="s">
        <v>168</v>
      </c>
      <c r="D275" s="74">
        <v>1</v>
      </c>
      <c r="E275" s="75">
        <v>8.4738581476000001E-5</v>
      </c>
    </row>
    <row r="276" spans="1:5" ht="15" customHeight="1">
      <c r="A276" s="35"/>
      <c r="B276" s="107"/>
      <c r="C276" s="73" t="s">
        <v>142</v>
      </c>
      <c r="D276" s="74">
        <v>1</v>
      </c>
      <c r="E276" s="75">
        <v>8.4738581476000001E-5</v>
      </c>
    </row>
    <row r="277" spans="1:5" ht="15" customHeight="1">
      <c r="A277" s="35"/>
      <c r="B277" s="107"/>
      <c r="C277" s="73" t="s">
        <v>145</v>
      </c>
      <c r="D277" s="74">
        <v>1</v>
      </c>
      <c r="E277" s="75">
        <v>8.4738581476000001E-5</v>
      </c>
    </row>
    <row r="278" spans="1:5" ht="15" customHeight="1">
      <c r="A278" s="35"/>
      <c r="B278" s="108"/>
      <c r="C278" s="104" t="s">
        <v>284</v>
      </c>
      <c r="D278" s="103">
        <v>96</v>
      </c>
      <c r="E278" s="105">
        <v>8.1349038217099993E-3</v>
      </c>
    </row>
    <row r="279" spans="1:5" ht="15" customHeight="1">
      <c r="A279" s="35"/>
      <c r="B279" s="106" t="s">
        <v>183</v>
      </c>
      <c r="C279" s="73" t="s">
        <v>146</v>
      </c>
      <c r="D279" s="74">
        <v>30</v>
      </c>
      <c r="E279" s="75">
        <v>2.542157444284E-3</v>
      </c>
    </row>
    <row r="280" spans="1:5" ht="15" customHeight="1">
      <c r="A280" s="35"/>
      <c r="B280" s="107"/>
      <c r="C280" s="73" t="s">
        <v>137</v>
      </c>
      <c r="D280" s="74">
        <v>8</v>
      </c>
      <c r="E280" s="75">
        <v>6.7790865180899996E-4</v>
      </c>
    </row>
    <row r="281" spans="1:5" ht="15" customHeight="1">
      <c r="A281" s="35"/>
      <c r="B281" s="107"/>
      <c r="C281" s="73" t="s">
        <v>141</v>
      </c>
      <c r="D281" s="74">
        <v>8</v>
      </c>
      <c r="E281" s="75">
        <v>6.7790865180899996E-4</v>
      </c>
    </row>
    <row r="282" spans="1:5" ht="15" customHeight="1">
      <c r="A282" s="35"/>
      <c r="B282" s="107"/>
      <c r="C282" s="73" t="s">
        <v>136</v>
      </c>
      <c r="D282" s="74">
        <v>7</v>
      </c>
      <c r="E282" s="75">
        <v>5.9317007033300002E-4</v>
      </c>
    </row>
    <row r="283" spans="1:5" ht="15" customHeight="1">
      <c r="A283" s="35"/>
      <c r="B283" s="107"/>
      <c r="C283" s="73" t="s">
        <v>140</v>
      </c>
      <c r="D283" s="74">
        <v>6</v>
      </c>
      <c r="E283" s="75">
        <v>5.0843148885699996E-4</v>
      </c>
    </row>
    <row r="284" spans="1:5" ht="15" customHeight="1">
      <c r="A284" s="35"/>
      <c r="B284" s="107"/>
      <c r="C284" s="73" t="s">
        <v>160</v>
      </c>
      <c r="D284" s="74">
        <v>5</v>
      </c>
      <c r="E284" s="75">
        <v>4.2369290738100002E-4</v>
      </c>
    </row>
    <row r="285" spans="1:5" ht="15" customHeight="1">
      <c r="A285" s="35"/>
      <c r="B285" s="107"/>
      <c r="C285" s="73" t="s">
        <v>144</v>
      </c>
      <c r="D285" s="74">
        <v>5</v>
      </c>
      <c r="E285" s="75">
        <v>4.2369290738100002E-4</v>
      </c>
    </row>
    <row r="286" spans="1:5" ht="15" customHeight="1">
      <c r="A286" s="35"/>
      <c r="B286" s="107"/>
      <c r="C286" s="73" t="s">
        <v>134</v>
      </c>
      <c r="D286" s="74">
        <v>4</v>
      </c>
      <c r="E286" s="75">
        <v>3.3895432590500002E-4</v>
      </c>
    </row>
    <row r="287" spans="1:5" ht="15" customHeight="1">
      <c r="A287" s="35"/>
      <c r="B287" s="107"/>
      <c r="C287" s="73" t="s">
        <v>143</v>
      </c>
      <c r="D287" s="74">
        <v>3</v>
      </c>
      <c r="E287" s="75">
        <v>2.54215744428E-4</v>
      </c>
    </row>
    <row r="288" spans="1:5" ht="15" customHeight="1">
      <c r="A288" s="35"/>
      <c r="B288" s="107"/>
      <c r="C288" s="73" t="s">
        <v>133</v>
      </c>
      <c r="D288" s="74">
        <v>2</v>
      </c>
      <c r="E288" s="75">
        <v>1.69477162952E-4</v>
      </c>
    </row>
    <row r="289" spans="1:5" ht="15" customHeight="1">
      <c r="A289" s="35"/>
      <c r="B289" s="107"/>
      <c r="C289" s="73" t="s">
        <v>138</v>
      </c>
      <c r="D289" s="74">
        <v>2</v>
      </c>
      <c r="E289" s="75">
        <v>1.69477162952E-4</v>
      </c>
    </row>
    <row r="290" spans="1:5" ht="15" customHeight="1">
      <c r="A290" s="35"/>
      <c r="B290" s="107"/>
      <c r="C290" s="73" t="s">
        <v>149</v>
      </c>
      <c r="D290" s="74">
        <v>1</v>
      </c>
      <c r="E290" s="75">
        <v>8.4738581476000001E-5</v>
      </c>
    </row>
    <row r="291" spans="1:5" ht="15" customHeight="1">
      <c r="A291" s="35"/>
      <c r="B291" s="107"/>
      <c r="C291" s="73" t="s">
        <v>155</v>
      </c>
      <c r="D291" s="74">
        <v>1</v>
      </c>
      <c r="E291" s="75">
        <v>8.4738581476000001E-5</v>
      </c>
    </row>
    <row r="292" spans="1:5" ht="15" customHeight="1">
      <c r="A292" s="35"/>
      <c r="B292" s="107"/>
      <c r="C292" s="73" t="s">
        <v>147</v>
      </c>
      <c r="D292" s="74">
        <v>1</v>
      </c>
      <c r="E292" s="75">
        <v>8.4738581476000001E-5</v>
      </c>
    </row>
    <row r="293" spans="1:5" ht="15" customHeight="1">
      <c r="A293" s="35"/>
      <c r="B293" s="108"/>
      <c r="C293" s="104" t="s">
        <v>284</v>
      </c>
      <c r="D293" s="103">
        <v>83</v>
      </c>
      <c r="E293" s="105">
        <v>7.0333022625199996E-3</v>
      </c>
    </row>
    <row r="294" spans="1:5" ht="15" customHeight="1">
      <c r="A294" s="35"/>
      <c r="B294" s="106" t="s">
        <v>184</v>
      </c>
      <c r="C294" s="73" t="s">
        <v>146</v>
      </c>
      <c r="D294" s="74">
        <v>43</v>
      </c>
      <c r="E294" s="75">
        <v>3.6437590034740001E-3</v>
      </c>
    </row>
    <row r="295" spans="1:5" ht="15" customHeight="1">
      <c r="A295" s="35"/>
      <c r="B295" s="107"/>
      <c r="C295" s="73" t="s">
        <v>136</v>
      </c>
      <c r="D295" s="74">
        <v>9</v>
      </c>
      <c r="E295" s="75">
        <v>7.6264723328500002E-4</v>
      </c>
    </row>
    <row r="296" spans="1:5" ht="15" customHeight="1">
      <c r="A296" s="35"/>
      <c r="B296" s="107"/>
      <c r="C296" s="73" t="s">
        <v>137</v>
      </c>
      <c r="D296" s="74">
        <v>6</v>
      </c>
      <c r="E296" s="75">
        <v>5.0843148885699996E-4</v>
      </c>
    </row>
    <row r="297" spans="1:5" ht="15" customHeight="1">
      <c r="A297" s="35"/>
      <c r="B297" s="107"/>
      <c r="C297" s="73" t="s">
        <v>134</v>
      </c>
      <c r="D297" s="74">
        <v>5</v>
      </c>
      <c r="E297" s="75">
        <v>4.2369290738100002E-4</v>
      </c>
    </row>
    <row r="298" spans="1:5" ht="15" customHeight="1">
      <c r="A298" s="35"/>
      <c r="B298" s="107"/>
      <c r="C298" s="73" t="s">
        <v>140</v>
      </c>
      <c r="D298" s="74">
        <v>4</v>
      </c>
      <c r="E298" s="75">
        <v>3.3895432590500002E-4</v>
      </c>
    </row>
    <row r="299" spans="1:5" ht="15" customHeight="1">
      <c r="A299" s="35"/>
      <c r="B299" s="107"/>
      <c r="C299" s="73" t="s">
        <v>141</v>
      </c>
      <c r="D299" s="74">
        <v>4</v>
      </c>
      <c r="E299" s="75">
        <v>3.3895432590500002E-4</v>
      </c>
    </row>
    <row r="300" spans="1:5" ht="15" customHeight="1">
      <c r="A300" s="35"/>
      <c r="B300" s="107"/>
      <c r="C300" s="73" t="s">
        <v>147</v>
      </c>
      <c r="D300" s="74">
        <v>3</v>
      </c>
      <c r="E300" s="75">
        <v>2.54215744428E-4</v>
      </c>
    </row>
    <row r="301" spans="1:5" ht="15" customHeight="1">
      <c r="A301" s="35"/>
      <c r="B301" s="107"/>
      <c r="C301" s="73" t="s">
        <v>138</v>
      </c>
      <c r="D301" s="74">
        <v>2</v>
      </c>
      <c r="E301" s="75">
        <v>1.69477162952E-4</v>
      </c>
    </row>
    <row r="302" spans="1:5" ht="15" customHeight="1">
      <c r="A302" s="35"/>
      <c r="B302" s="107"/>
      <c r="C302" s="73" t="s">
        <v>133</v>
      </c>
      <c r="D302" s="74">
        <v>1</v>
      </c>
      <c r="E302" s="75">
        <v>8.4738581476000001E-5</v>
      </c>
    </row>
    <row r="303" spans="1:5" ht="15" customHeight="1">
      <c r="A303" s="35"/>
      <c r="B303" s="107"/>
      <c r="C303" s="73" t="s">
        <v>162</v>
      </c>
      <c r="D303" s="74">
        <v>1</v>
      </c>
      <c r="E303" s="75">
        <v>8.4738581476000001E-5</v>
      </c>
    </row>
    <row r="304" spans="1:5" ht="15" customHeight="1">
      <c r="A304" s="35"/>
      <c r="B304" s="107"/>
      <c r="C304" s="73" t="s">
        <v>155</v>
      </c>
      <c r="D304" s="74">
        <v>1</v>
      </c>
      <c r="E304" s="75">
        <v>8.4738581476000001E-5</v>
      </c>
    </row>
    <row r="305" spans="1:5" ht="15" customHeight="1">
      <c r="A305" s="35"/>
      <c r="B305" s="107"/>
      <c r="C305" s="73" t="s">
        <v>143</v>
      </c>
      <c r="D305" s="74">
        <v>1</v>
      </c>
      <c r="E305" s="75">
        <v>8.4738581476000001E-5</v>
      </c>
    </row>
    <row r="306" spans="1:5" ht="15" customHeight="1">
      <c r="A306" s="35"/>
      <c r="B306" s="107"/>
      <c r="C306" s="73" t="s">
        <v>144</v>
      </c>
      <c r="D306" s="74">
        <v>1</v>
      </c>
      <c r="E306" s="75">
        <v>8.4738581476000001E-5</v>
      </c>
    </row>
    <row r="307" spans="1:5" ht="15" customHeight="1">
      <c r="A307" s="35"/>
      <c r="B307" s="107"/>
      <c r="C307" s="73" t="s">
        <v>148</v>
      </c>
      <c r="D307" s="74">
        <v>1</v>
      </c>
      <c r="E307" s="75">
        <v>8.4738581476000001E-5</v>
      </c>
    </row>
    <row r="308" spans="1:5" ht="15" customHeight="1">
      <c r="A308" s="35"/>
      <c r="B308" s="108"/>
      <c r="C308" s="104" t="s">
        <v>284</v>
      </c>
      <c r="D308" s="103">
        <v>82</v>
      </c>
      <c r="E308" s="105">
        <v>6.9485636810440003E-3</v>
      </c>
    </row>
    <row r="309" spans="1:5" ht="15" customHeight="1">
      <c r="A309" s="35"/>
      <c r="B309" s="106" t="s">
        <v>185</v>
      </c>
      <c r="C309" s="73" t="s">
        <v>146</v>
      </c>
      <c r="D309" s="74">
        <v>36</v>
      </c>
      <c r="E309" s="75">
        <v>3.0505889331410001E-3</v>
      </c>
    </row>
    <row r="310" spans="1:5" ht="15" customHeight="1">
      <c r="A310" s="35"/>
      <c r="B310" s="107"/>
      <c r="C310" s="73" t="s">
        <v>134</v>
      </c>
      <c r="D310" s="74">
        <v>13</v>
      </c>
      <c r="E310" s="75">
        <v>1.1016015591900001E-3</v>
      </c>
    </row>
    <row r="311" spans="1:5" ht="15" customHeight="1">
      <c r="A311" s="35"/>
      <c r="B311" s="107"/>
      <c r="C311" s="73" t="s">
        <v>136</v>
      </c>
      <c r="D311" s="74">
        <v>9</v>
      </c>
      <c r="E311" s="75">
        <v>7.6264723328500002E-4</v>
      </c>
    </row>
    <row r="312" spans="1:5" ht="15" customHeight="1">
      <c r="A312" s="35"/>
      <c r="B312" s="107"/>
      <c r="C312" s="73" t="s">
        <v>140</v>
      </c>
      <c r="D312" s="74">
        <v>8</v>
      </c>
      <c r="E312" s="75">
        <v>6.7790865180899996E-4</v>
      </c>
    </row>
    <row r="313" spans="1:5" ht="15" customHeight="1">
      <c r="A313" s="35"/>
      <c r="B313" s="107"/>
      <c r="C313" s="73" t="s">
        <v>143</v>
      </c>
      <c r="D313" s="74">
        <v>5</v>
      </c>
      <c r="E313" s="75">
        <v>4.2369290738100002E-4</v>
      </c>
    </row>
    <row r="314" spans="1:5" ht="15" customHeight="1">
      <c r="A314" s="35"/>
      <c r="B314" s="107"/>
      <c r="C314" s="73" t="s">
        <v>133</v>
      </c>
      <c r="D314" s="74">
        <v>3</v>
      </c>
      <c r="E314" s="75">
        <v>2.54215744428E-4</v>
      </c>
    </row>
    <row r="315" spans="1:5" ht="15" customHeight="1">
      <c r="A315" s="35"/>
      <c r="B315" s="107"/>
      <c r="C315" s="73" t="s">
        <v>160</v>
      </c>
      <c r="D315" s="74">
        <v>3</v>
      </c>
      <c r="E315" s="75">
        <v>2.54215744428E-4</v>
      </c>
    </row>
    <row r="316" spans="1:5" ht="15" customHeight="1">
      <c r="A316" s="35"/>
      <c r="B316" s="107"/>
      <c r="C316" s="73" t="s">
        <v>137</v>
      </c>
      <c r="D316" s="74">
        <v>2</v>
      </c>
      <c r="E316" s="75">
        <v>1.69477162952E-4</v>
      </c>
    </row>
    <row r="317" spans="1:5" ht="15" customHeight="1">
      <c r="A317" s="35"/>
      <c r="B317" s="107"/>
      <c r="C317" s="73" t="s">
        <v>158</v>
      </c>
      <c r="D317" s="74">
        <v>2</v>
      </c>
      <c r="E317" s="75">
        <v>1.69477162952E-4</v>
      </c>
    </row>
    <row r="318" spans="1:5" ht="15" customHeight="1">
      <c r="A318" s="35"/>
      <c r="B318" s="107"/>
      <c r="C318" s="73" t="s">
        <v>149</v>
      </c>
      <c r="D318" s="74">
        <v>1</v>
      </c>
      <c r="E318" s="75">
        <v>8.4738581476000001E-5</v>
      </c>
    </row>
    <row r="319" spans="1:5" ht="15" customHeight="1">
      <c r="A319" s="35"/>
      <c r="B319" s="108"/>
      <c r="C319" s="104" t="s">
        <v>284</v>
      </c>
      <c r="D319" s="103">
        <v>82</v>
      </c>
      <c r="E319" s="105">
        <v>6.9485636810440003E-3</v>
      </c>
    </row>
    <row r="320" spans="1:5" ht="15" customHeight="1">
      <c r="A320" s="35"/>
      <c r="B320" s="106" t="s">
        <v>186</v>
      </c>
      <c r="C320" s="73" t="s">
        <v>146</v>
      </c>
      <c r="D320" s="74">
        <v>52</v>
      </c>
      <c r="E320" s="75">
        <v>4.4064062367600004E-3</v>
      </c>
    </row>
    <row r="321" spans="1:5" ht="15" customHeight="1">
      <c r="A321" s="35"/>
      <c r="B321" s="107"/>
      <c r="C321" s="73" t="s">
        <v>133</v>
      </c>
      <c r="D321" s="74">
        <v>6</v>
      </c>
      <c r="E321" s="75">
        <v>5.0843148885699996E-4</v>
      </c>
    </row>
    <row r="322" spans="1:5" ht="15" customHeight="1">
      <c r="A322" s="35"/>
      <c r="B322" s="107"/>
      <c r="C322" s="73" t="s">
        <v>136</v>
      </c>
      <c r="D322" s="74">
        <v>6</v>
      </c>
      <c r="E322" s="75">
        <v>5.0843148885699996E-4</v>
      </c>
    </row>
    <row r="323" spans="1:5" ht="15" customHeight="1">
      <c r="A323" s="35"/>
      <c r="B323" s="107"/>
      <c r="C323" s="73" t="s">
        <v>138</v>
      </c>
      <c r="D323" s="74">
        <v>6</v>
      </c>
      <c r="E323" s="75">
        <v>5.0843148885699996E-4</v>
      </c>
    </row>
    <row r="324" spans="1:5" ht="15" customHeight="1">
      <c r="A324" s="35"/>
      <c r="B324" s="107"/>
      <c r="C324" s="73" t="s">
        <v>134</v>
      </c>
      <c r="D324" s="74">
        <v>3</v>
      </c>
      <c r="E324" s="75">
        <v>2.54215744428E-4</v>
      </c>
    </row>
    <row r="325" spans="1:5" ht="15" customHeight="1">
      <c r="A325" s="35"/>
      <c r="B325" s="107"/>
      <c r="C325" s="73" t="s">
        <v>137</v>
      </c>
      <c r="D325" s="74">
        <v>2</v>
      </c>
      <c r="E325" s="75">
        <v>1.69477162952E-4</v>
      </c>
    </row>
    <row r="326" spans="1:5" ht="15" customHeight="1">
      <c r="A326" s="35"/>
      <c r="B326" s="107"/>
      <c r="C326" s="73" t="s">
        <v>161</v>
      </c>
      <c r="D326" s="74">
        <v>1</v>
      </c>
      <c r="E326" s="75">
        <v>8.4738581476000001E-5</v>
      </c>
    </row>
    <row r="327" spans="1:5" ht="15" customHeight="1">
      <c r="A327" s="35"/>
      <c r="B327" s="107"/>
      <c r="C327" s="73" t="s">
        <v>158</v>
      </c>
      <c r="D327" s="74">
        <v>1</v>
      </c>
      <c r="E327" s="75">
        <v>8.4738581476000001E-5</v>
      </c>
    </row>
    <row r="328" spans="1:5" ht="15" customHeight="1">
      <c r="A328" s="35"/>
      <c r="B328" s="107"/>
      <c r="C328" s="73" t="s">
        <v>140</v>
      </c>
      <c r="D328" s="74">
        <v>1</v>
      </c>
      <c r="E328" s="75">
        <v>8.4738581476000001E-5</v>
      </c>
    </row>
    <row r="329" spans="1:5" ht="15" customHeight="1">
      <c r="A329" s="35"/>
      <c r="B329" s="107"/>
      <c r="C329" s="73" t="s">
        <v>141</v>
      </c>
      <c r="D329" s="74">
        <v>1</v>
      </c>
      <c r="E329" s="75">
        <v>8.4738581476000001E-5</v>
      </c>
    </row>
    <row r="330" spans="1:5" ht="15" customHeight="1">
      <c r="A330" s="35"/>
      <c r="B330" s="107"/>
      <c r="C330" s="73" t="s">
        <v>142</v>
      </c>
      <c r="D330" s="74">
        <v>1</v>
      </c>
      <c r="E330" s="75">
        <v>8.4738581476000001E-5</v>
      </c>
    </row>
    <row r="331" spans="1:5" ht="15" customHeight="1">
      <c r="A331" s="35"/>
      <c r="B331" s="108"/>
      <c r="C331" s="104" t="s">
        <v>284</v>
      </c>
      <c r="D331" s="103">
        <v>80</v>
      </c>
      <c r="E331" s="105">
        <v>6.779086518092E-3</v>
      </c>
    </row>
    <row r="332" spans="1:5" ht="15" customHeight="1">
      <c r="A332" s="35"/>
      <c r="B332" s="106" t="s">
        <v>187</v>
      </c>
      <c r="C332" s="73" t="s">
        <v>146</v>
      </c>
      <c r="D332" s="74">
        <v>42</v>
      </c>
      <c r="E332" s="75">
        <v>3.5590204219979999E-3</v>
      </c>
    </row>
    <row r="333" spans="1:5" ht="15" customHeight="1">
      <c r="A333" s="35"/>
      <c r="B333" s="107"/>
      <c r="C333" s="73" t="s">
        <v>136</v>
      </c>
      <c r="D333" s="74">
        <v>8</v>
      </c>
      <c r="E333" s="75">
        <v>6.7790865180899996E-4</v>
      </c>
    </row>
    <row r="334" spans="1:5" ht="15" customHeight="1">
      <c r="A334" s="35"/>
      <c r="B334" s="107"/>
      <c r="C334" s="73" t="s">
        <v>134</v>
      </c>
      <c r="D334" s="74">
        <v>5</v>
      </c>
      <c r="E334" s="75">
        <v>4.2369290738100002E-4</v>
      </c>
    </row>
    <row r="335" spans="1:5" ht="15" customHeight="1">
      <c r="A335" s="35"/>
      <c r="B335" s="107"/>
      <c r="C335" s="73" t="s">
        <v>141</v>
      </c>
      <c r="D335" s="74">
        <v>3</v>
      </c>
      <c r="E335" s="75">
        <v>2.54215744428E-4</v>
      </c>
    </row>
    <row r="336" spans="1:5" ht="15" customHeight="1">
      <c r="A336" s="35"/>
      <c r="B336" s="107"/>
      <c r="C336" s="73" t="s">
        <v>137</v>
      </c>
      <c r="D336" s="74">
        <v>2</v>
      </c>
      <c r="E336" s="75">
        <v>1.69477162952E-4</v>
      </c>
    </row>
    <row r="337" spans="1:5" ht="15" customHeight="1">
      <c r="A337" s="35"/>
      <c r="B337" s="107"/>
      <c r="C337" s="73" t="s">
        <v>158</v>
      </c>
      <c r="D337" s="74">
        <v>2</v>
      </c>
      <c r="E337" s="75">
        <v>1.69477162952E-4</v>
      </c>
    </row>
    <row r="338" spans="1:5" ht="15" customHeight="1">
      <c r="A338" s="35"/>
      <c r="B338" s="107"/>
      <c r="C338" s="73" t="s">
        <v>140</v>
      </c>
      <c r="D338" s="74">
        <v>2</v>
      </c>
      <c r="E338" s="75">
        <v>1.69477162952E-4</v>
      </c>
    </row>
    <row r="339" spans="1:5" ht="15" customHeight="1">
      <c r="A339" s="35"/>
      <c r="B339" s="107"/>
      <c r="C339" s="73" t="s">
        <v>166</v>
      </c>
      <c r="D339" s="74">
        <v>2</v>
      </c>
      <c r="E339" s="75">
        <v>1.69477162952E-4</v>
      </c>
    </row>
    <row r="340" spans="1:5" ht="15" customHeight="1">
      <c r="A340" s="35"/>
      <c r="B340" s="107"/>
      <c r="C340" s="73" t="s">
        <v>133</v>
      </c>
      <c r="D340" s="74">
        <v>1</v>
      </c>
      <c r="E340" s="75">
        <v>8.4738581476000001E-5</v>
      </c>
    </row>
    <row r="341" spans="1:5" ht="15" customHeight="1">
      <c r="A341" s="35"/>
      <c r="B341" s="107"/>
      <c r="C341" s="73" t="s">
        <v>152</v>
      </c>
      <c r="D341" s="74">
        <v>1</v>
      </c>
      <c r="E341" s="75">
        <v>8.4738581476000001E-5</v>
      </c>
    </row>
    <row r="342" spans="1:5" ht="15" customHeight="1">
      <c r="A342" s="35"/>
      <c r="B342" s="107"/>
      <c r="C342" s="73" t="s">
        <v>163</v>
      </c>
      <c r="D342" s="74">
        <v>1</v>
      </c>
      <c r="E342" s="75">
        <v>8.4738581476000001E-5</v>
      </c>
    </row>
    <row r="343" spans="1:5" ht="15" customHeight="1">
      <c r="A343" s="35"/>
      <c r="B343" s="107"/>
      <c r="C343" s="73" t="s">
        <v>155</v>
      </c>
      <c r="D343" s="74">
        <v>1</v>
      </c>
      <c r="E343" s="75">
        <v>8.4738581476000001E-5</v>
      </c>
    </row>
    <row r="344" spans="1:5" ht="15" customHeight="1">
      <c r="A344" s="35"/>
      <c r="B344" s="107"/>
      <c r="C344" s="73" t="s">
        <v>138</v>
      </c>
      <c r="D344" s="74">
        <v>1</v>
      </c>
      <c r="E344" s="75">
        <v>8.4738581476000001E-5</v>
      </c>
    </row>
    <row r="345" spans="1:5" ht="15" customHeight="1">
      <c r="A345" s="35"/>
      <c r="B345" s="107"/>
      <c r="C345" s="73" t="s">
        <v>143</v>
      </c>
      <c r="D345" s="74">
        <v>1</v>
      </c>
      <c r="E345" s="75">
        <v>8.4738581476000001E-5</v>
      </c>
    </row>
    <row r="346" spans="1:5" ht="15" customHeight="1">
      <c r="A346" s="35"/>
      <c r="B346" s="107"/>
      <c r="C346" s="73" t="s">
        <v>145</v>
      </c>
      <c r="D346" s="74">
        <v>1</v>
      </c>
      <c r="E346" s="75">
        <v>8.4738581476000001E-5</v>
      </c>
    </row>
    <row r="347" spans="1:5" ht="15" customHeight="1">
      <c r="A347" s="35"/>
      <c r="B347" s="107"/>
      <c r="C347" s="73" t="s">
        <v>147</v>
      </c>
      <c r="D347" s="74">
        <v>1</v>
      </c>
      <c r="E347" s="75">
        <v>8.4738581476000001E-5</v>
      </c>
    </row>
    <row r="348" spans="1:5" ht="15" customHeight="1">
      <c r="A348" s="35"/>
      <c r="B348" s="107"/>
      <c r="C348" s="73" t="s">
        <v>148</v>
      </c>
      <c r="D348" s="74">
        <v>1</v>
      </c>
      <c r="E348" s="75">
        <v>8.4738581476000001E-5</v>
      </c>
    </row>
    <row r="349" spans="1:5" ht="15" customHeight="1">
      <c r="A349" s="35"/>
      <c r="B349" s="108"/>
      <c r="C349" s="104" t="s">
        <v>284</v>
      </c>
      <c r="D349" s="103">
        <v>75</v>
      </c>
      <c r="E349" s="105">
        <v>6.355393610711E-3</v>
      </c>
    </row>
    <row r="350" spans="1:5" ht="15" customHeight="1">
      <c r="A350" s="35"/>
      <c r="B350" s="106" t="s">
        <v>188</v>
      </c>
      <c r="C350" s="73" t="s">
        <v>146</v>
      </c>
      <c r="D350" s="74">
        <v>28</v>
      </c>
      <c r="E350" s="75">
        <v>2.3726802813320001E-3</v>
      </c>
    </row>
    <row r="351" spans="1:5" ht="15" customHeight="1">
      <c r="A351" s="35"/>
      <c r="B351" s="107"/>
      <c r="C351" s="73" t="s">
        <v>137</v>
      </c>
      <c r="D351" s="74">
        <v>9</v>
      </c>
      <c r="E351" s="75">
        <v>7.6264723328500002E-4</v>
      </c>
    </row>
    <row r="352" spans="1:5" ht="15" customHeight="1">
      <c r="A352" s="35"/>
      <c r="B352" s="107"/>
      <c r="C352" s="73" t="s">
        <v>141</v>
      </c>
      <c r="D352" s="74">
        <v>9</v>
      </c>
      <c r="E352" s="75">
        <v>7.6264723328500002E-4</v>
      </c>
    </row>
    <row r="353" spans="1:5" ht="15" customHeight="1">
      <c r="A353" s="35"/>
      <c r="B353" s="107"/>
      <c r="C353" s="73" t="s">
        <v>143</v>
      </c>
      <c r="D353" s="74">
        <v>7</v>
      </c>
      <c r="E353" s="75">
        <v>5.9317007033300002E-4</v>
      </c>
    </row>
    <row r="354" spans="1:5" ht="15" customHeight="1">
      <c r="A354" s="35"/>
      <c r="B354" s="107"/>
      <c r="C354" s="73" t="s">
        <v>144</v>
      </c>
      <c r="D354" s="74">
        <v>6</v>
      </c>
      <c r="E354" s="75">
        <v>5.0843148885699996E-4</v>
      </c>
    </row>
    <row r="355" spans="1:5" ht="15" customHeight="1">
      <c r="A355" s="35"/>
      <c r="B355" s="107"/>
      <c r="C355" s="73" t="s">
        <v>140</v>
      </c>
      <c r="D355" s="74">
        <v>4</v>
      </c>
      <c r="E355" s="75">
        <v>3.3895432590500002E-4</v>
      </c>
    </row>
    <row r="356" spans="1:5" ht="15" customHeight="1">
      <c r="A356" s="35"/>
      <c r="B356" s="107"/>
      <c r="C356" s="73" t="s">
        <v>138</v>
      </c>
      <c r="D356" s="74">
        <v>2</v>
      </c>
      <c r="E356" s="75">
        <v>1.69477162952E-4</v>
      </c>
    </row>
    <row r="357" spans="1:5" ht="15" customHeight="1">
      <c r="A357" s="35"/>
      <c r="B357" s="107"/>
      <c r="C357" s="73" t="s">
        <v>160</v>
      </c>
      <c r="D357" s="74">
        <v>2</v>
      </c>
      <c r="E357" s="75">
        <v>1.69477162952E-4</v>
      </c>
    </row>
    <row r="358" spans="1:5" ht="15" customHeight="1">
      <c r="A358" s="35"/>
      <c r="B358" s="107"/>
      <c r="C358" s="73" t="s">
        <v>149</v>
      </c>
      <c r="D358" s="74">
        <v>1</v>
      </c>
      <c r="E358" s="75">
        <v>8.4738581476000001E-5</v>
      </c>
    </row>
    <row r="359" spans="1:5" ht="15" customHeight="1">
      <c r="A359" s="35"/>
      <c r="B359" s="107"/>
      <c r="C359" s="73" t="s">
        <v>134</v>
      </c>
      <c r="D359" s="74">
        <v>1</v>
      </c>
      <c r="E359" s="75">
        <v>8.4738581476000001E-5</v>
      </c>
    </row>
    <row r="360" spans="1:5" ht="15" customHeight="1">
      <c r="A360" s="35"/>
      <c r="B360" s="107"/>
      <c r="C360" s="73" t="s">
        <v>142</v>
      </c>
      <c r="D360" s="74">
        <v>1</v>
      </c>
      <c r="E360" s="75">
        <v>8.4738581476000001E-5</v>
      </c>
    </row>
    <row r="361" spans="1:5" ht="15" customHeight="1">
      <c r="A361" s="35"/>
      <c r="B361" s="107"/>
      <c r="C361" s="73" t="s">
        <v>147</v>
      </c>
      <c r="D361" s="74">
        <v>1</v>
      </c>
      <c r="E361" s="75">
        <v>8.4738581476000001E-5</v>
      </c>
    </row>
    <row r="362" spans="1:5" ht="15" customHeight="1">
      <c r="A362" s="35"/>
      <c r="B362" s="108"/>
      <c r="C362" s="104" t="s">
        <v>284</v>
      </c>
      <c r="D362" s="103">
        <v>71</v>
      </c>
      <c r="E362" s="105">
        <v>6.0164392848060001E-3</v>
      </c>
    </row>
    <row r="363" spans="1:5" ht="15" customHeight="1">
      <c r="A363" s="35"/>
      <c r="B363" s="106" t="s">
        <v>189</v>
      </c>
      <c r="C363" s="73" t="s">
        <v>146</v>
      </c>
      <c r="D363" s="74">
        <v>26</v>
      </c>
      <c r="E363" s="75">
        <v>2.2032031183800002E-3</v>
      </c>
    </row>
    <row r="364" spans="1:5" ht="15" customHeight="1">
      <c r="A364" s="35"/>
      <c r="B364" s="107"/>
      <c r="C364" s="73" t="s">
        <v>137</v>
      </c>
      <c r="D364" s="74">
        <v>10</v>
      </c>
      <c r="E364" s="75">
        <v>8.4738581476099997E-4</v>
      </c>
    </row>
    <row r="365" spans="1:5" ht="15" customHeight="1">
      <c r="A365" s="35"/>
      <c r="B365" s="107"/>
      <c r="C365" s="73" t="s">
        <v>141</v>
      </c>
      <c r="D365" s="74">
        <v>6</v>
      </c>
      <c r="E365" s="75">
        <v>5.0843148885699996E-4</v>
      </c>
    </row>
    <row r="366" spans="1:5" ht="15" customHeight="1">
      <c r="A366" s="35"/>
      <c r="B366" s="107"/>
      <c r="C366" s="73" t="s">
        <v>160</v>
      </c>
      <c r="D366" s="74">
        <v>4</v>
      </c>
      <c r="E366" s="75">
        <v>3.3895432590500002E-4</v>
      </c>
    </row>
    <row r="367" spans="1:5" ht="15" customHeight="1">
      <c r="A367" s="35"/>
      <c r="B367" s="107"/>
      <c r="C367" s="73" t="s">
        <v>142</v>
      </c>
      <c r="D367" s="74">
        <v>4</v>
      </c>
      <c r="E367" s="75">
        <v>3.3895432590500002E-4</v>
      </c>
    </row>
    <row r="368" spans="1:5" ht="15" customHeight="1">
      <c r="A368" s="35"/>
      <c r="B368" s="107"/>
      <c r="C368" s="73" t="s">
        <v>138</v>
      </c>
      <c r="D368" s="74">
        <v>3</v>
      </c>
      <c r="E368" s="75">
        <v>2.54215744428E-4</v>
      </c>
    </row>
    <row r="369" spans="1:5" ht="15" customHeight="1">
      <c r="A369" s="35"/>
      <c r="B369" s="107"/>
      <c r="C369" s="73" t="s">
        <v>144</v>
      </c>
      <c r="D369" s="74">
        <v>3</v>
      </c>
      <c r="E369" s="75">
        <v>2.54215744428E-4</v>
      </c>
    </row>
    <row r="370" spans="1:5" ht="15" customHeight="1">
      <c r="A370" s="35"/>
      <c r="B370" s="107"/>
      <c r="C370" s="73" t="s">
        <v>133</v>
      </c>
      <c r="D370" s="74">
        <v>2</v>
      </c>
      <c r="E370" s="75">
        <v>1.69477162952E-4</v>
      </c>
    </row>
    <row r="371" spans="1:5" ht="15" customHeight="1">
      <c r="A371" s="35"/>
      <c r="B371" s="107"/>
      <c r="C371" s="73" t="s">
        <v>153</v>
      </c>
      <c r="D371" s="74">
        <v>2</v>
      </c>
      <c r="E371" s="75">
        <v>1.69477162952E-4</v>
      </c>
    </row>
    <row r="372" spans="1:5" ht="15" customHeight="1">
      <c r="A372" s="35"/>
      <c r="B372" s="107"/>
      <c r="C372" s="73" t="s">
        <v>136</v>
      </c>
      <c r="D372" s="74">
        <v>2</v>
      </c>
      <c r="E372" s="75">
        <v>1.69477162952E-4</v>
      </c>
    </row>
    <row r="373" spans="1:5" ht="15" customHeight="1">
      <c r="A373" s="35"/>
      <c r="B373" s="107"/>
      <c r="C373" s="73" t="s">
        <v>151</v>
      </c>
      <c r="D373" s="74">
        <v>1</v>
      </c>
      <c r="E373" s="75">
        <v>8.4738581476000001E-5</v>
      </c>
    </row>
    <row r="374" spans="1:5" ht="15" customHeight="1">
      <c r="A374" s="35"/>
      <c r="B374" s="107"/>
      <c r="C374" s="73" t="s">
        <v>152</v>
      </c>
      <c r="D374" s="74">
        <v>1</v>
      </c>
      <c r="E374" s="75">
        <v>8.4738581476000001E-5</v>
      </c>
    </row>
    <row r="375" spans="1:5" ht="15" customHeight="1">
      <c r="A375" s="35"/>
      <c r="B375" s="107"/>
      <c r="C375" s="73" t="s">
        <v>134</v>
      </c>
      <c r="D375" s="74">
        <v>1</v>
      </c>
      <c r="E375" s="75">
        <v>8.4738581476000001E-5</v>
      </c>
    </row>
    <row r="376" spans="1:5" ht="15" customHeight="1">
      <c r="A376" s="35"/>
      <c r="B376" s="107"/>
      <c r="C376" s="73" t="s">
        <v>140</v>
      </c>
      <c r="D376" s="74">
        <v>1</v>
      </c>
      <c r="E376" s="75">
        <v>8.4738581476000001E-5</v>
      </c>
    </row>
    <row r="377" spans="1:5" ht="15" customHeight="1">
      <c r="A377" s="35"/>
      <c r="B377" s="107"/>
      <c r="C377" s="73" t="s">
        <v>143</v>
      </c>
      <c r="D377" s="74">
        <v>1</v>
      </c>
      <c r="E377" s="75">
        <v>8.4738581476000001E-5</v>
      </c>
    </row>
    <row r="378" spans="1:5" ht="15" customHeight="1">
      <c r="A378" s="35"/>
      <c r="B378" s="107"/>
      <c r="C378" s="73" t="s">
        <v>148</v>
      </c>
      <c r="D378" s="74">
        <v>1</v>
      </c>
      <c r="E378" s="75">
        <v>8.4738581476000001E-5</v>
      </c>
    </row>
    <row r="379" spans="1:5" ht="15" customHeight="1">
      <c r="A379" s="35"/>
      <c r="B379" s="108"/>
      <c r="C379" s="104" t="s">
        <v>284</v>
      </c>
      <c r="D379" s="103">
        <v>68</v>
      </c>
      <c r="E379" s="105">
        <v>5.7622235403779996E-3</v>
      </c>
    </row>
    <row r="380" spans="1:5" ht="15" customHeight="1">
      <c r="A380" s="35"/>
      <c r="B380" s="106" t="s">
        <v>190</v>
      </c>
      <c r="C380" s="73" t="s">
        <v>146</v>
      </c>
      <c r="D380" s="74">
        <v>24</v>
      </c>
      <c r="E380" s="75">
        <v>2.0337259554279999E-3</v>
      </c>
    </row>
    <row r="381" spans="1:5" ht="15" customHeight="1">
      <c r="A381" s="35"/>
      <c r="B381" s="107"/>
      <c r="C381" s="73" t="s">
        <v>136</v>
      </c>
      <c r="D381" s="74">
        <v>14</v>
      </c>
      <c r="E381" s="75">
        <v>1.186340140666E-3</v>
      </c>
    </row>
    <row r="382" spans="1:5" ht="15" customHeight="1">
      <c r="A382" s="35"/>
      <c r="B382" s="107"/>
      <c r="C382" s="73" t="s">
        <v>137</v>
      </c>
      <c r="D382" s="74">
        <v>7</v>
      </c>
      <c r="E382" s="75">
        <v>5.9317007033300002E-4</v>
      </c>
    </row>
    <row r="383" spans="1:5" ht="15" customHeight="1">
      <c r="A383" s="35"/>
      <c r="B383" s="107"/>
      <c r="C383" s="73" t="s">
        <v>140</v>
      </c>
      <c r="D383" s="74">
        <v>4</v>
      </c>
      <c r="E383" s="75">
        <v>3.3895432590500002E-4</v>
      </c>
    </row>
    <row r="384" spans="1:5" ht="15" customHeight="1">
      <c r="A384" s="35"/>
      <c r="B384" s="107"/>
      <c r="C384" s="73" t="s">
        <v>143</v>
      </c>
      <c r="D384" s="74">
        <v>4</v>
      </c>
      <c r="E384" s="75">
        <v>3.3895432590500002E-4</v>
      </c>
    </row>
    <row r="385" spans="1:5" ht="15" customHeight="1">
      <c r="A385" s="35"/>
      <c r="B385" s="107"/>
      <c r="C385" s="73" t="s">
        <v>138</v>
      </c>
      <c r="D385" s="74">
        <v>3</v>
      </c>
      <c r="E385" s="75">
        <v>2.54215744428E-4</v>
      </c>
    </row>
    <row r="386" spans="1:5" ht="15" customHeight="1">
      <c r="A386" s="35"/>
      <c r="B386" s="107"/>
      <c r="C386" s="73" t="s">
        <v>133</v>
      </c>
      <c r="D386" s="74">
        <v>2</v>
      </c>
      <c r="E386" s="75">
        <v>1.69477162952E-4</v>
      </c>
    </row>
    <row r="387" spans="1:5" ht="15" customHeight="1">
      <c r="A387" s="35"/>
      <c r="B387" s="107"/>
      <c r="C387" s="73" t="s">
        <v>144</v>
      </c>
      <c r="D387" s="74">
        <v>2</v>
      </c>
      <c r="E387" s="75">
        <v>1.69477162952E-4</v>
      </c>
    </row>
    <row r="388" spans="1:5" ht="15" customHeight="1">
      <c r="A388" s="35"/>
      <c r="B388" s="107"/>
      <c r="C388" s="73" t="s">
        <v>151</v>
      </c>
      <c r="D388" s="74">
        <v>1</v>
      </c>
      <c r="E388" s="75">
        <v>8.4738581476000001E-5</v>
      </c>
    </row>
    <row r="389" spans="1:5" ht="15" customHeight="1">
      <c r="A389" s="35"/>
      <c r="B389" s="107"/>
      <c r="C389" s="73" t="s">
        <v>134</v>
      </c>
      <c r="D389" s="74">
        <v>1</v>
      </c>
      <c r="E389" s="75">
        <v>8.4738581476000001E-5</v>
      </c>
    </row>
    <row r="390" spans="1:5" ht="15" customHeight="1">
      <c r="A390" s="35"/>
      <c r="B390" s="107"/>
      <c r="C390" s="73" t="s">
        <v>154</v>
      </c>
      <c r="D390" s="74">
        <v>1</v>
      </c>
      <c r="E390" s="75">
        <v>8.4738581476000001E-5</v>
      </c>
    </row>
    <row r="391" spans="1:5" ht="15" customHeight="1">
      <c r="A391" s="35"/>
      <c r="B391" s="107"/>
      <c r="C391" s="73" t="s">
        <v>141</v>
      </c>
      <c r="D391" s="74">
        <v>1</v>
      </c>
      <c r="E391" s="75">
        <v>8.4738581476000001E-5</v>
      </c>
    </row>
    <row r="392" spans="1:5" ht="15" customHeight="1">
      <c r="A392" s="35"/>
      <c r="B392" s="107"/>
      <c r="C392" s="73" t="s">
        <v>145</v>
      </c>
      <c r="D392" s="74">
        <v>1</v>
      </c>
      <c r="E392" s="75">
        <v>8.4738581476000001E-5</v>
      </c>
    </row>
    <row r="393" spans="1:5" ht="15" customHeight="1">
      <c r="A393" s="35"/>
      <c r="B393" s="108"/>
      <c r="C393" s="104" t="s">
        <v>284</v>
      </c>
      <c r="D393" s="103">
        <v>65</v>
      </c>
      <c r="E393" s="105">
        <v>5.5080077959489999E-3</v>
      </c>
    </row>
    <row r="394" spans="1:5" ht="15" customHeight="1">
      <c r="A394" s="35"/>
      <c r="B394" s="106" t="s">
        <v>191</v>
      </c>
      <c r="C394" s="73" t="s">
        <v>146</v>
      </c>
      <c r="D394" s="74">
        <v>27</v>
      </c>
      <c r="E394" s="75">
        <v>2.2879416998559999E-3</v>
      </c>
    </row>
    <row r="395" spans="1:5" ht="15" customHeight="1">
      <c r="A395" s="35"/>
      <c r="B395" s="107"/>
      <c r="C395" s="73" t="s">
        <v>136</v>
      </c>
      <c r="D395" s="74">
        <v>5</v>
      </c>
      <c r="E395" s="75">
        <v>4.2369290738100002E-4</v>
      </c>
    </row>
    <row r="396" spans="1:5" ht="15" customHeight="1">
      <c r="A396" s="35"/>
      <c r="B396" s="107"/>
      <c r="C396" s="73" t="s">
        <v>160</v>
      </c>
      <c r="D396" s="74">
        <v>5</v>
      </c>
      <c r="E396" s="75">
        <v>4.2369290738100002E-4</v>
      </c>
    </row>
    <row r="397" spans="1:5" ht="15" customHeight="1">
      <c r="A397" s="35"/>
      <c r="B397" s="107"/>
      <c r="C397" s="73" t="s">
        <v>137</v>
      </c>
      <c r="D397" s="74">
        <v>4</v>
      </c>
      <c r="E397" s="75">
        <v>3.3895432590500002E-4</v>
      </c>
    </row>
    <row r="398" spans="1:5" ht="15" customHeight="1">
      <c r="A398" s="35"/>
      <c r="B398" s="107"/>
      <c r="C398" s="73" t="s">
        <v>141</v>
      </c>
      <c r="D398" s="74">
        <v>3</v>
      </c>
      <c r="E398" s="75">
        <v>2.54215744428E-4</v>
      </c>
    </row>
    <row r="399" spans="1:5" ht="15" customHeight="1">
      <c r="A399" s="35"/>
      <c r="B399" s="107"/>
      <c r="C399" s="73" t="s">
        <v>143</v>
      </c>
      <c r="D399" s="74">
        <v>3</v>
      </c>
      <c r="E399" s="75">
        <v>2.54215744428E-4</v>
      </c>
    </row>
    <row r="400" spans="1:5" ht="15" customHeight="1">
      <c r="A400" s="35"/>
      <c r="B400" s="107"/>
      <c r="C400" s="73" t="s">
        <v>144</v>
      </c>
      <c r="D400" s="74">
        <v>3</v>
      </c>
      <c r="E400" s="75">
        <v>2.54215744428E-4</v>
      </c>
    </row>
    <row r="401" spans="1:5" ht="15" customHeight="1">
      <c r="A401" s="35"/>
      <c r="B401" s="107"/>
      <c r="C401" s="73" t="s">
        <v>140</v>
      </c>
      <c r="D401" s="74">
        <v>2</v>
      </c>
      <c r="E401" s="75">
        <v>1.69477162952E-4</v>
      </c>
    </row>
    <row r="402" spans="1:5" ht="15" customHeight="1">
      <c r="A402" s="35"/>
      <c r="B402" s="107"/>
      <c r="C402" s="73" t="s">
        <v>159</v>
      </c>
      <c r="D402" s="74">
        <v>2</v>
      </c>
      <c r="E402" s="75">
        <v>1.69477162952E-4</v>
      </c>
    </row>
    <row r="403" spans="1:5" ht="15" customHeight="1">
      <c r="A403" s="35"/>
      <c r="B403" s="107"/>
      <c r="C403" s="73" t="s">
        <v>133</v>
      </c>
      <c r="D403" s="74">
        <v>1</v>
      </c>
      <c r="E403" s="75">
        <v>8.4738581476000001E-5</v>
      </c>
    </row>
    <row r="404" spans="1:5" ht="15" customHeight="1">
      <c r="A404" s="35"/>
      <c r="B404" s="107"/>
      <c r="C404" s="73" t="s">
        <v>163</v>
      </c>
      <c r="D404" s="74">
        <v>1</v>
      </c>
      <c r="E404" s="75">
        <v>8.4738581476000001E-5</v>
      </c>
    </row>
    <row r="405" spans="1:5" ht="15" customHeight="1">
      <c r="A405" s="35"/>
      <c r="B405" s="107"/>
      <c r="C405" s="73" t="s">
        <v>134</v>
      </c>
      <c r="D405" s="74">
        <v>1</v>
      </c>
      <c r="E405" s="75">
        <v>8.4738581476000001E-5</v>
      </c>
    </row>
    <row r="406" spans="1:5" ht="15" customHeight="1">
      <c r="A406" s="35"/>
      <c r="B406" s="107"/>
      <c r="C406" s="73" t="s">
        <v>138</v>
      </c>
      <c r="D406" s="74">
        <v>1</v>
      </c>
      <c r="E406" s="75">
        <v>8.4738581476000001E-5</v>
      </c>
    </row>
    <row r="407" spans="1:5" ht="15" customHeight="1">
      <c r="A407" s="35"/>
      <c r="B407" s="108"/>
      <c r="C407" s="104" t="s">
        <v>284</v>
      </c>
      <c r="D407" s="103">
        <v>58</v>
      </c>
      <c r="E407" s="105">
        <v>4.9148377256159996E-3</v>
      </c>
    </row>
    <row r="408" spans="1:5" ht="15" customHeight="1">
      <c r="A408" s="35"/>
      <c r="B408" s="106" t="s">
        <v>192</v>
      </c>
      <c r="C408" s="73" t="s">
        <v>146</v>
      </c>
      <c r="D408" s="74">
        <v>10</v>
      </c>
      <c r="E408" s="75">
        <v>8.4738581476099997E-4</v>
      </c>
    </row>
    <row r="409" spans="1:5" ht="15" customHeight="1">
      <c r="A409" s="35"/>
      <c r="B409" s="107"/>
      <c r="C409" s="73" t="s">
        <v>136</v>
      </c>
      <c r="D409" s="74">
        <v>8</v>
      </c>
      <c r="E409" s="75">
        <v>6.7790865180899996E-4</v>
      </c>
    </row>
    <row r="410" spans="1:5" ht="15" customHeight="1">
      <c r="A410" s="35"/>
      <c r="B410" s="107"/>
      <c r="C410" s="73" t="s">
        <v>134</v>
      </c>
      <c r="D410" s="74">
        <v>7</v>
      </c>
      <c r="E410" s="75">
        <v>5.9317007033300002E-4</v>
      </c>
    </row>
    <row r="411" spans="1:5" ht="15" customHeight="1">
      <c r="A411" s="35"/>
      <c r="B411" s="107"/>
      <c r="C411" s="73" t="s">
        <v>137</v>
      </c>
      <c r="D411" s="74">
        <v>7</v>
      </c>
      <c r="E411" s="75">
        <v>5.9317007033300002E-4</v>
      </c>
    </row>
    <row r="412" spans="1:5" ht="15" customHeight="1">
      <c r="A412" s="35"/>
      <c r="B412" s="107"/>
      <c r="C412" s="73" t="s">
        <v>144</v>
      </c>
      <c r="D412" s="74">
        <v>5</v>
      </c>
      <c r="E412" s="75">
        <v>4.2369290738100002E-4</v>
      </c>
    </row>
    <row r="413" spans="1:5" ht="15" customHeight="1">
      <c r="A413" s="35"/>
      <c r="B413" s="107"/>
      <c r="C413" s="73" t="s">
        <v>140</v>
      </c>
      <c r="D413" s="74">
        <v>3</v>
      </c>
      <c r="E413" s="75">
        <v>2.54215744428E-4</v>
      </c>
    </row>
    <row r="414" spans="1:5" ht="15" customHeight="1">
      <c r="A414" s="35"/>
      <c r="B414" s="107"/>
      <c r="C414" s="73" t="s">
        <v>142</v>
      </c>
      <c r="D414" s="74">
        <v>3</v>
      </c>
      <c r="E414" s="75">
        <v>2.54215744428E-4</v>
      </c>
    </row>
    <row r="415" spans="1:5" ht="15" customHeight="1">
      <c r="A415" s="35"/>
      <c r="B415" s="107"/>
      <c r="C415" s="73" t="s">
        <v>160</v>
      </c>
      <c r="D415" s="74">
        <v>2</v>
      </c>
      <c r="E415" s="75">
        <v>1.69477162952E-4</v>
      </c>
    </row>
    <row r="416" spans="1:5" ht="15" customHeight="1">
      <c r="A416" s="35"/>
      <c r="B416" s="107"/>
      <c r="C416" s="73" t="s">
        <v>141</v>
      </c>
      <c r="D416" s="74">
        <v>2</v>
      </c>
      <c r="E416" s="75">
        <v>1.69477162952E-4</v>
      </c>
    </row>
    <row r="417" spans="1:5" ht="15" customHeight="1">
      <c r="A417" s="35"/>
      <c r="B417" s="107"/>
      <c r="C417" s="73" t="s">
        <v>133</v>
      </c>
      <c r="D417" s="74">
        <v>1</v>
      </c>
      <c r="E417" s="75">
        <v>8.4738581476000001E-5</v>
      </c>
    </row>
    <row r="418" spans="1:5" ht="15" customHeight="1">
      <c r="A418" s="35"/>
      <c r="B418" s="107"/>
      <c r="C418" s="73" t="s">
        <v>152</v>
      </c>
      <c r="D418" s="74">
        <v>1</v>
      </c>
      <c r="E418" s="75">
        <v>8.4738581476000001E-5</v>
      </c>
    </row>
    <row r="419" spans="1:5" ht="15" customHeight="1">
      <c r="A419" s="35"/>
      <c r="B419" s="107"/>
      <c r="C419" s="73" t="s">
        <v>153</v>
      </c>
      <c r="D419" s="74">
        <v>1</v>
      </c>
      <c r="E419" s="75">
        <v>8.4738581476000001E-5</v>
      </c>
    </row>
    <row r="420" spans="1:5" ht="15" customHeight="1">
      <c r="A420" s="35"/>
      <c r="B420" s="107"/>
      <c r="C420" s="73" t="s">
        <v>154</v>
      </c>
      <c r="D420" s="74">
        <v>1</v>
      </c>
      <c r="E420" s="75">
        <v>8.4738581476000001E-5</v>
      </c>
    </row>
    <row r="421" spans="1:5" ht="15" customHeight="1">
      <c r="A421" s="35"/>
      <c r="B421" s="107"/>
      <c r="C421" s="73" t="s">
        <v>135</v>
      </c>
      <c r="D421" s="74">
        <v>1</v>
      </c>
      <c r="E421" s="75">
        <v>8.4738581476000001E-5</v>
      </c>
    </row>
    <row r="422" spans="1:5" ht="15" customHeight="1">
      <c r="A422" s="35"/>
      <c r="B422" s="107"/>
      <c r="C422" s="73" t="s">
        <v>138</v>
      </c>
      <c r="D422" s="74">
        <v>1</v>
      </c>
      <c r="E422" s="75">
        <v>8.4738581476000001E-5</v>
      </c>
    </row>
    <row r="423" spans="1:5" ht="15" customHeight="1">
      <c r="A423" s="35"/>
      <c r="B423" s="107"/>
      <c r="C423" s="73" t="s">
        <v>170</v>
      </c>
      <c r="D423" s="74">
        <v>1</v>
      </c>
      <c r="E423" s="75">
        <v>8.4738581476000001E-5</v>
      </c>
    </row>
    <row r="424" spans="1:5" ht="15" customHeight="1">
      <c r="A424" s="35"/>
      <c r="B424" s="107"/>
      <c r="C424" s="73" t="s">
        <v>139</v>
      </c>
      <c r="D424" s="74">
        <v>1</v>
      </c>
      <c r="E424" s="75">
        <v>8.4738581476000001E-5</v>
      </c>
    </row>
    <row r="425" spans="1:5" ht="15" customHeight="1">
      <c r="A425" s="35"/>
      <c r="B425" s="107"/>
      <c r="C425" s="73" t="s">
        <v>143</v>
      </c>
      <c r="D425" s="74">
        <v>1</v>
      </c>
      <c r="E425" s="75">
        <v>8.4738581476000001E-5</v>
      </c>
    </row>
    <row r="426" spans="1:5" ht="15" customHeight="1">
      <c r="A426" s="35"/>
      <c r="B426" s="108"/>
      <c r="C426" s="104" t="s">
        <v>284</v>
      </c>
      <c r="D426" s="103">
        <v>56</v>
      </c>
      <c r="E426" s="105">
        <v>4.7453605626640001E-3</v>
      </c>
    </row>
    <row r="427" spans="1:5" ht="15" customHeight="1">
      <c r="A427" s="35"/>
      <c r="B427" s="106" t="s">
        <v>193</v>
      </c>
      <c r="C427" s="73" t="s">
        <v>137</v>
      </c>
      <c r="D427" s="74">
        <v>14</v>
      </c>
      <c r="E427" s="75">
        <v>1.186340140666E-3</v>
      </c>
    </row>
    <row r="428" spans="1:5" ht="15" customHeight="1">
      <c r="A428" s="35"/>
      <c r="B428" s="107"/>
      <c r="C428" s="73" t="s">
        <v>146</v>
      </c>
      <c r="D428" s="74">
        <v>11</v>
      </c>
      <c r="E428" s="75">
        <v>9.3212439623799998E-4</v>
      </c>
    </row>
    <row r="429" spans="1:5" ht="15" customHeight="1">
      <c r="A429" s="35"/>
      <c r="B429" s="107"/>
      <c r="C429" s="73" t="s">
        <v>144</v>
      </c>
      <c r="D429" s="74">
        <v>8</v>
      </c>
      <c r="E429" s="75">
        <v>6.7790865180899996E-4</v>
      </c>
    </row>
    <row r="430" spans="1:5" ht="15" customHeight="1">
      <c r="A430" s="35"/>
      <c r="B430" s="107"/>
      <c r="C430" s="73" t="s">
        <v>141</v>
      </c>
      <c r="D430" s="74">
        <v>5</v>
      </c>
      <c r="E430" s="75">
        <v>4.2369290738100002E-4</v>
      </c>
    </row>
    <row r="431" spans="1:5" ht="15" customHeight="1">
      <c r="A431" s="35"/>
      <c r="B431" s="107"/>
      <c r="C431" s="73" t="s">
        <v>134</v>
      </c>
      <c r="D431" s="74">
        <v>3</v>
      </c>
      <c r="E431" s="75">
        <v>2.54215744428E-4</v>
      </c>
    </row>
    <row r="432" spans="1:5" ht="15" customHeight="1">
      <c r="A432" s="35"/>
      <c r="B432" s="107"/>
      <c r="C432" s="73" t="s">
        <v>139</v>
      </c>
      <c r="D432" s="74">
        <v>3</v>
      </c>
      <c r="E432" s="75">
        <v>2.54215744428E-4</v>
      </c>
    </row>
    <row r="433" spans="1:5" ht="15" customHeight="1">
      <c r="A433" s="35"/>
      <c r="B433" s="107"/>
      <c r="C433" s="73" t="s">
        <v>138</v>
      </c>
      <c r="D433" s="74">
        <v>2</v>
      </c>
      <c r="E433" s="75">
        <v>1.69477162952E-4</v>
      </c>
    </row>
    <row r="434" spans="1:5" ht="15" customHeight="1">
      <c r="A434" s="35"/>
      <c r="B434" s="107"/>
      <c r="C434" s="73" t="s">
        <v>140</v>
      </c>
      <c r="D434" s="74">
        <v>2</v>
      </c>
      <c r="E434" s="75">
        <v>1.69477162952E-4</v>
      </c>
    </row>
    <row r="435" spans="1:5" ht="15" customHeight="1">
      <c r="A435" s="35"/>
      <c r="B435" s="107"/>
      <c r="C435" s="73" t="s">
        <v>143</v>
      </c>
      <c r="D435" s="74">
        <v>2</v>
      </c>
      <c r="E435" s="75">
        <v>1.69477162952E-4</v>
      </c>
    </row>
    <row r="436" spans="1:5" ht="15" customHeight="1">
      <c r="A436" s="35"/>
      <c r="B436" s="107"/>
      <c r="C436" s="73" t="s">
        <v>149</v>
      </c>
      <c r="D436" s="74">
        <v>1</v>
      </c>
      <c r="E436" s="75">
        <v>8.4738581476000001E-5</v>
      </c>
    </row>
    <row r="437" spans="1:5" ht="15" customHeight="1">
      <c r="A437" s="35"/>
      <c r="B437" s="107"/>
      <c r="C437" s="73" t="s">
        <v>158</v>
      </c>
      <c r="D437" s="74">
        <v>1</v>
      </c>
      <c r="E437" s="75">
        <v>8.4738581476000001E-5</v>
      </c>
    </row>
    <row r="438" spans="1:5" ht="15" customHeight="1">
      <c r="A438" s="35"/>
      <c r="B438" s="107"/>
      <c r="C438" s="73" t="s">
        <v>160</v>
      </c>
      <c r="D438" s="74">
        <v>1</v>
      </c>
      <c r="E438" s="75">
        <v>8.4738581476000001E-5</v>
      </c>
    </row>
    <row r="439" spans="1:5" ht="15" customHeight="1">
      <c r="A439" s="35"/>
      <c r="B439" s="107"/>
      <c r="C439" s="73" t="s">
        <v>142</v>
      </c>
      <c r="D439" s="74">
        <v>1</v>
      </c>
      <c r="E439" s="75">
        <v>8.4738581476000001E-5</v>
      </c>
    </row>
    <row r="440" spans="1:5" ht="15" customHeight="1">
      <c r="A440" s="35"/>
      <c r="B440" s="108"/>
      <c r="C440" s="104" t="s">
        <v>284</v>
      </c>
      <c r="D440" s="103">
        <v>54</v>
      </c>
      <c r="E440" s="105">
        <v>4.5758833997119998E-3</v>
      </c>
    </row>
    <row r="441" spans="1:5" ht="15" customHeight="1">
      <c r="A441" s="35"/>
      <c r="B441" s="106" t="s">
        <v>194</v>
      </c>
      <c r="C441" s="73" t="s">
        <v>146</v>
      </c>
      <c r="D441" s="74">
        <v>18</v>
      </c>
      <c r="E441" s="75">
        <v>1.5252944665710001E-3</v>
      </c>
    </row>
    <row r="442" spans="1:5" ht="15" customHeight="1">
      <c r="A442" s="35"/>
      <c r="B442" s="107"/>
      <c r="C442" s="73" t="s">
        <v>137</v>
      </c>
      <c r="D442" s="74">
        <v>5</v>
      </c>
      <c r="E442" s="75">
        <v>4.2369290738100002E-4</v>
      </c>
    </row>
    <row r="443" spans="1:5" ht="15" customHeight="1">
      <c r="A443" s="35"/>
      <c r="B443" s="107"/>
      <c r="C443" s="73" t="s">
        <v>160</v>
      </c>
      <c r="D443" s="74">
        <v>5</v>
      </c>
      <c r="E443" s="75">
        <v>4.2369290738100002E-4</v>
      </c>
    </row>
    <row r="444" spans="1:5" ht="15" customHeight="1">
      <c r="A444" s="35"/>
      <c r="B444" s="107"/>
      <c r="C444" s="73" t="s">
        <v>147</v>
      </c>
      <c r="D444" s="74">
        <v>5</v>
      </c>
      <c r="E444" s="75">
        <v>4.2369290738100002E-4</v>
      </c>
    </row>
    <row r="445" spans="1:5" ht="15" customHeight="1">
      <c r="A445" s="35"/>
      <c r="B445" s="107"/>
      <c r="C445" s="73" t="s">
        <v>140</v>
      </c>
      <c r="D445" s="74">
        <v>4</v>
      </c>
      <c r="E445" s="75">
        <v>3.3895432590500002E-4</v>
      </c>
    </row>
    <row r="446" spans="1:5" ht="15" customHeight="1">
      <c r="A446" s="35"/>
      <c r="B446" s="107"/>
      <c r="C446" s="73" t="s">
        <v>143</v>
      </c>
      <c r="D446" s="74">
        <v>4</v>
      </c>
      <c r="E446" s="75">
        <v>3.3895432590500002E-4</v>
      </c>
    </row>
    <row r="447" spans="1:5" ht="15" customHeight="1">
      <c r="A447" s="35"/>
      <c r="B447" s="107"/>
      <c r="C447" s="73" t="s">
        <v>133</v>
      </c>
      <c r="D447" s="74">
        <v>3</v>
      </c>
      <c r="E447" s="75">
        <v>2.54215744428E-4</v>
      </c>
    </row>
    <row r="448" spans="1:5" ht="15" customHeight="1">
      <c r="A448" s="35"/>
      <c r="B448" s="107"/>
      <c r="C448" s="73" t="s">
        <v>166</v>
      </c>
      <c r="D448" s="74">
        <v>3</v>
      </c>
      <c r="E448" s="75">
        <v>2.54215744428E-4</v>
      </c>
    </row>
    <row r="449" spans="1:5" ht="15" customHeight="1">
      <c r="A449" s="35"/>
      <c r="B449" s="107"/>
      <c r="C449" s="73" t="s">
        <v>144</v>
      </c>
      <c r="D449" s="74">
        <v>3</v>
      </c>
      <c r="E449" s="75">
        <v>2.54215744428E-4</v>
      </c>
    </row>
    <row r="450" spans="1:5" ht="15" customHeight="1">
      <c r="A450" s="35"/>
      <c r="B450" s="107"/>
      <c r="C450" s="73" t="s">
        <v>156</v>
      </c>
      <c r="D450" s="74">
        <v>1</v>
      </c>
      <c r="E450" s="75">
        <v>8.4738581476000001E-5</v>
      </c>
    </row>
    <row r="451" spans="1:5" ht="15" customHeight="1">
      <c r="A451" s="35"/>
      <c r="B451" s="107"/>
      <c r="C451" s="73" t="s">
        <v>136</v>
      </c>
      <c r="D451" s="74">
        <v>1</v>
      </c>
      <c r="E451" s="75">
        <v>8.4738581476000001E-5</v>
      </c>
    </row>
    <row r="452" spans="1:5" ht="15" customHeight="1">
      <c r="A452" s="35"/>
      <c r="B452" s="107"/>
      <c r="C452" s="73" t="s">
        <v>142</v>
      </c>
      <c r="D452" s="74">
        <v>1</v>
      </c>
      <c r="E452" s="75">
        <v>8.4738581476000001E-5</v>
      </c>
    </row>
    <row r="453" spans="1:5" ht="15" customHeight="1">
      <c r="A453" s="35"/>
      <c r="B453" s="108"/>
      <c r="C453" s="104" t="s">
        <v>284</v>
      </c>
      <c r="D453" s="103">
        <v>53</v>
      </c>
      <c r="E453" s="105">
        <v>4.4911448182359997E-3</v>
      </c>
    </row>
    <row r="454" spans="1:5" ht="15" customHeight="1">
      <c r="A454" s="35"/>
      <c r="B454" s="106" t="s">
        <v>195</v>
      </c>
      <c r="C454" s="73" t="s">
        <v>146</v>
      </c>
      <c r="D454" s="74">
        <v>20</v>
      </c>
      <c r="E454" s="75">
        <v>1.694771629523E-3</v>
      </c>
    </row>
    <row r="455" spans="1:5" ht="15" customHeight="1">
      <c r="A455" s="35"/>
      <c r="B455" s="107"/>
      <c r="C455" s="73" t="s">
        <v>140</v>
      </c>
      <c r="D455" s="74">
        <v>6</v>
      </c>
      <c r="E455" s="75">
        <v>5.0843148885699996E-4</v>
      </c>
    </row>
    <row r="456" spans="1:5" ht="15" customHeight="1">
      <c r="A456" s="35"/>
      <c r="B456" s="107"/>
      <c r="C456" s="73" t="s">
        <v>137</v>
      </c>
      <c r="D456" s="74">
        <v>3</v>
      </c>
      <c r="E456" s="75">
        <v>2.54215744428E-4</v>
      </c>
    </row>
    <row r="457" spans="1:5" ht="15" customHeight="1">
      <c r="A457" s="35"/>
      <c r="B457" s="107"/>
      <c r="C457" s="73" t="s">
        <v>134</v>
      </c>
      <c r="D457" s="74">
        <v>2</v>
      </c>
      <c r="E457" s="75">
        <v>1.69477162952E-4</v>
      </c>
    </row>
    <row r="458" spans="1:5" ht="15" customHeight="1">
      <c r="A458" s="35"/>
      <c r="B458" s="107"/>
      <c r="C458" s="73" t="s">
        <v>144</v>
      </c>
      <c r="D458" s="74">
        <v>2</v>
      </c>
      <c r="E458" s="75">
        <v>1.69477162952E-4</v>
      </c>
    </row>
    <row r="459" spans="1:5" ht="15" customHeight="1">
      <c r="A459" s="35"/>
      <c r="B459" s="107"/>
      <c r="C459" s="73" t="s">
        <v>133</v>
      </c>
      <c r="D459" s="74">
        <v>1</v>
      </c>
      <c r="E459" s="75">
        <v>8.4738581476000001E-5</v>
      </c>
    </row>
    <row r="460" spans="1:5" ht="15" customHeight="1">
      <c r="A460" s="35"/>
      <c r="B460" s="107"/>
      <c r="C460" s="73" t="s">
        <v>139</v>
      </c>
      <c r="D460" s="74">
        <v>1</v>
      </c>
      <c r="E460" s="75">
        <v>8.4738581476000001E-5</v>
      </c>
    </row>
    <row r="461" spans="1:5" ht="15" customHeight="1">
      <c r="A461" s="35"/>
      <c r="B461" s="107"/>
      <c r="C461" s="73" t="s">
        <v>141</v>
      </c>
      <c r="D461" s="74">
        <v>1</v>
      </c>
      <c r="E461" s="75">
        <v>8.4738581476000001E-5</v>
      </c>
    </row>
    <row r="462" spans="1:5" ht="15" customHeight="1">
      <c r="A462" s="35"/>
      <c r="B462" s="107"/>
      <c r="C462" s="73" t="s">
        <v>142</v>
      </c>
      <c r="D462" s="74">
        <v>1</v>
      </c>
      <c r="E462" s="75">
        <v>8.4738581476000001E-5</v>
      </c>
    </row>
    <row r="463" spans="1:5" ht="15" customHeight="1">
      <c r="A463" s="35"/>
      <c r="B463" s="107"/>
      <c r="C463" s="73" t="s">
        <v>147</v>
      </c>
      <c r="D463" s="74">
        <v>1</v>
      </c>
      <c r="E463" s="75">
        <v>8.4738581476000001E-5</v>
      </c>
    </row>
    <row r="464" spans="1:5" ht="15" customHeight="1">
      <c r="A464" s="35"/>
      <c r="B464" s="108"/>
      <c r="C464" s="104" t="s">
        <v>284</v>
      </c>
      <c r="D464" s="103">
        <v>38</v>
      </c>
      <c r="E464" s="105">
        <v>3.2200660960940001E-3</v>
      </c>
    </row>
    <row r="465" spans="1:5" ht="15" customHeight="1">
      <c r="A465" s="35"/>
      <c r="B465" s="106" t="s">
        <v>196</v>
      </c>
      <c r="C465" s="73" t="s">
        <v>146</v>
      </c>
      <c r="D465" s="74">
        <v>21</v>
      </c>
      <c r="E465" s="75">
        <v>1.7795102109989999E-3</v>
      </c>
    </row>
    <row r="466" spans="1:5" ht="15" customHeight="1">
      <c r="A466" s="35"/>
      <c r="B466" s="107"/>
      <c r="C466" s="73" t="s">
        <v>144</v>
      </c>
      <c r="D466" s="74">
        <v>5</v>
      </c>
      <c r="E466" s="75">
        <v>4.2369290738100002E-4</v>
      </c>
    </row>
    <row r="467" spans="1:5" ht="15" customHeight="1">
      <c r="A467" s="35"/>
      <c r="B467" s="107"/>
      <c r="C467" s="73" t="s">
        <v>160</v>
      </c>
      <c r="D467" s="74">
        <v>3</v>
      </c>
      <c r="E467" s="75">
        <v>2.54215744428E-4</v>
      </c>
    </row>
    <row r="468" spans="1:5" ht="15" customHeight="1">
      <c r="A468" s="35"/>
      <c r="B468" s="107"/>
      <c r="C468" s="73" t="s">
        <v>140</v>
      </c>
      <c r="D468" s="74">
        <v>2</v>
      </c>
      <c r="E468" s="75">
        <v>1.69477162952E-4</v>
      </c>
    </row>
    <row r="469" spans="1:5" ht="15" customHeight="1">
      <c r="A469" s="35"/>
      <c r="B469" s="107"/>
      <c r="C469" s="73" t="s">
        <v>143</v>
      </c>
      <c r="D469" s="74">
        <v>2</v>
      </c>
      <c r="E469" s="75">
        <v>1.69477162952E-4</v>
      </c>
    </row>
    <row r="470" spans="1:5" ht="15" customHeight="1">
      <c r="A470" s="35"/>
      <c r="B470" s="107"/>
      <c r="C470" s="73" t="s">
        <v>136</v>
      </c>
      <c r="D470" s="74">
        <v>1</v>
      </c>
      <c r="E470" s="75">
        <v>8.4738581476000001E-5</v>
      </c>
    </row>
    <row r="471" spans="1:5" ht="15" customHeight="1">
      <c r="A471" s="35"/>
      <c r="B471" s="107"/>
      <c r="C471" s="73" t="s">
        <v>138</v>
      </c>
      <c r="D471" s="74">
        <v>1</v>
      </c>
      <c r="E471" s="75">
        <v>8.4738581476000001E-5</v>
      </c>
    </row>
    <row r="472" spans="1:5" ht="15" customHeight="1">
      <c r="A472" s="35"/>
      <c r="B472" s="107"/>
      <c r="C472" s="73" t="s">
        <v>141</v>
      </c>
      <c r="D472" s="74">
        <v>1</v>
      </c>
      <c r="E472" s="75">
        <v>8.4738581476000001E-5</v>
      </c>
    </row>
    <row r="473" spans="1:5" ht="15" customHeight="1">
      <c r="A473" s="35"/>
      <c r="B473" s="107"/>
      <c r="C473" s="73" t="s">
        <v>148</v>
      </c>
      <c r="D473" s="74">
        <v>1</v>
      </c>
      <c r="E473" s="75">
        <v>8.4738581476000001E-5</v>
      </c>
    </row>
    <row r="474" spans="1:5" ht="15" customHeight="1">
      <c r="A474" s="35"/>
      <c r="B474" s="108"/>
      <c r="C474" s="104" t="s">
        <v>284</v>
      </c>
      <c r="D474" s="103">
        <v>37</v>
      </c>
      <c r="E474" s="105">
        <v>3.1353275146169999E-3</v>
      </c>
    </row>
    <row r="475" spans="1:5" ht="15" customHeight="1">
      <c r="A475" s="35"/>
      <c r="B475" s="106" t="s">
        <v>197</v>
      </c>
      <c r="C475" s="73" t="s">
        <v>137</v>
      </c>
      <c r="D475" s="74">
        <v>9</v>
      </c>
      <c r="E475" s="75">
        <v>7.6264723328500002E-4</v>
      </c>
    </row>
    <row r="476" spans="1:5" ht="15" customHeight="1">
      <c r="A476" s="35"/>
      <c r="B476" s="107"/>
      <c r="C476" s="73" t="s">
        <v>146</v>
      </c>
      <c r="D476" s="74">
        <v>5</v>
      </c>
      <c r="E476" s="75">
        <v>4.2369290738100002E-4</v>
      </c>
    </row>
    <row r="477" spans="1:5" ht="15" customHeight="1">
      <c r="A477" s="35"/>
      <c r="B477" s="107"/>
      <c r="C477" s="73" t="s">
        <v>152</v>
      </c>
      <c r="D477" s="74">
        <v>3</v>
      </c>
      <c r="E477" s="75">
        <v>2.54215744428E-4</v>
      </c>
    </row>
    <row r="478" spans="1:5" ht="15" customHeight="1">
      <c r="A478" s="35"/>
      <c r="B478" s="107"/>
      <c r="C478" s="73" t="s">
        <v>144</v>
      </c>
      <c r="D478" s="74">
        <v>3</v>
      </c>
      <c r="E478" s="75">
        <v>2.54215744428E-4</v>
      </c>
    </row>
    <row r="479" spans="1:5" ht="15" customHeight="1">
      <c r="A479" s="35"/>
      <c r="B479" s="107"/>
      <c r="C479" s="73" t="s">
        <v>160</v>
      </c>
      <c r="D479" s="74">
        <v>2</v>
      </c>
      <c r="E479" s="75">
        <v>1.69477162952E-4</v>
      </c>
    </row>
    <row r="480" spans="1:5" ht="15" customHeight="1">
      <c r="A480" s="35"/>
      <c r="B480" s="107"/>
      <c r="C480" s="73" t="s">
        <v>141</v>
      </c>
      <c r="D480" s="74">
        <v>2</v>
      </c>
      <c r="E480" s="75">
        <v>1.69477162952E-4</v>
      </c>
    </row>
    <row r="481" spans="1:5" ht="15" customHeight="1">
      <c r="A481" s="35"/>
      <c r="B481" s="107"/>
      <c r="C481" s="73" t="s">
        <v>133</v>
      </c>
      <c r="D481" s="74">
        <v>1</v>
      </c>
      <c r="E481" s="75">
        <v>8.4738581476000001E-5</v>
      </c>
    </row>
    <row r="482" spans="1:5" ht="15" customHeight="1">
      <c r="A482" s="35"/>
      <c r="B482" s="107"/>
      <c r="C482" s="73" t="s">
        <v>134</v>
      </c>
      <c r="D482" s="74">
        <v>1</v>
      </c>
      <c r="E482" s="75">
        <v>8.4738581476000001E-5</v>
      </c>
    </row>
    <row r="483" spans="1:5" ht="15" customHeight="1">
      <c r="A483" s="35"/>
      <c r="B483" s="107"/>
      <c r="C483" s="73" t="s">
        <v>136</v>
      </c>
      <c r="D483" s="74">
        <v>1</v>
      </c>
      <c r="E483" s="75">
        <v>8.4738581476000001E-5</v>
      </c>
    </row>
    <row r="484" spans="1:5" ht="15" customHeight="1">
      <c r="A484" s="35"/>
      <c r="B484" s="107"/>
      <c r="C484" s="73" t="s">
        <v>158</v>
      </c>
      <c r="D484" s="74">
        <v>1</v>
      </c>
      <c r="E484" s="75">
        <v>8.4738581476000001E-5</v>
      </c>
    </row>
    <row r="485" spans="1:5" ht="15" customHeight="1">
      <c r="A485" s="35"/>
      <c r="B485" s="107"/>
      <c r="C485" s="73" t="s">
        <v>140</v>
      </c>
      <c r="D485" s="74">
        <v>1</v>
      </c>
      <c r="E485" s="75">
        <v>8.4738581476000001E-5</v>
      </c>
    </row>
    <row r="486" spans="1:5" ht="15" customHeight="1">
      <c r="A486" s="35"/>
      <c r="B486" s="107"/>
      <c r="C486" s="73" t="s">
        <v>81</v>
      </c>
      <c r="D486" s="74">
        <v>1</v>
      </c>
      <c r="E486" s="75">
        <v>8.4738581476000001E-5</v>
      </c>
    </row>
    <row r="487" spans="1:5" ht="15" customHeight="1">
      <c r="A487" s="35"/>
      <c r="B487" s="108"/>
      <c r="C487" s="104" t="s">
        <v>284</v>
      </c>
      <c r="D487" s="103">
        <v>30</v>
      </c>
      <c r="E487" s="105">
        <v>2.542157444284E-3</v>
      </c>
    </row>
    <row r="488" spans="1:5" ht="15" customHeight="1">
      <c r="A488" s="35"/>
      <c r="B488" s="106" t="s">
        <v>198</v>
      </c>
      <c r="C488" s="73" t="s">
        <v>146</v>
      </c>
      <c r="D488" s="74">
        <v>11</v>
      </c>
      <c r="E488" s="75">
        <v>9.3212439623799998E-4</v>
      </c>
    </row>
    <row r="489" spans="1:5" ht="15" customHeight="1">
      <c r="A489" s="35"/>
      <c r="B489" s="107"/>
      <c r="C489" s="73" t="s">
        <v>137</v>
      </c>
      <c r="D489" s="74">
        <v>9</v>
      </c>
      <c r="E489" s="75">
        <v>7.6264723328500002E-4</v>
      </c>
    </row>
    <row r="490" spans="1:5" ht="15" customHeight="1">
      <c r="A490" s="35"/>
      <c r="B490" s="107"/>
      <c r="C490" s="73" t="s">
        <v>141</v>
      </c>
      <c r="D490" s="74">
        <v>3</v>
      </c>
      <c r="E490" s="75">
        <v>2.54215744428E-4</v>
      </c>
    </row>
    <row r="491" spans="1:5" ht="15" customHeight="1">
      <c r="A491" s="35"/>
      <c r="B491" s="107"/>
      <c r="C491" s="73" t="s">
        <v>162</v>
      </c>
      <c r="D491" s="74">
        <v>2</v>
      </c>
      <c r="E491" s="75">
        <v>1.69477162952E-4</v>
      </c>
    </row>
    <row r="492" spans="1:5" ht="15" customHeight="1">
      <c r="A492" s="35"/>
      <c r="B492" s="107"/>
      <c r="C492" s="73" t="s">
        <v>160</v>
      </c>
      <c r="D492" s="74">
        <v>2</v>
      </c>
      <c r="E492" s="75">
        <v>1.69477162952E-4</v>
      </c>
    </row>
    <row r="493" spans="1:5" ht="15" customHeight="1">
      <c r="A493" s="35"/>
      <c r="B493" s="107"/>
      <c r="C493" s="73" t="s">
        <v>136</v>
      </c>
      <c r="D493" s="74">
        <v>1</v>
      </c>
      <c r="E493" s="75">
        <v>8.4738581476000001E-5</v>
      </c>
    </row>
    <row r="494" spans="1:5" ht="15" customHeight="1">
      <c r="A494" s="35"/>
      <c r="B494" s="107"/>
      <c r="C494" s="73" t="s">
        <v>140</v>
      </c>
      <c r="D494" s="74">
        <v>1</v>
      </c>
      <c r="E494" s="75">
        <v>8.4738581476000001E-5</v>
      </c>
    </row>
    <row r="495" spans="1:5" ht="15" customHeight="1">
      <c r="A495" s="35"/>
      <c r="B495" s="108"/>
      <c r="C495" s="104" t="s">
        <v>284</v>
      </c>
      <c r="D495" s="103">
        <v>29</v>
      </c>
      <c r="E495" s="105">
        <v>2.4574188628079998E-3</v>
      </c>
    </row>
    <row r="496" spans="1:5" ht="15" customHeight="1">
      <c r="A496" s="35"/>
      <c r="B496" s="106" t="s">
        <v>199</v>
      </c>
      <c r="C496" s="73" t="s">
        <v>146</v>
      </c>
      <c r="D496" s="74">
        <v>8</v>
      </c>
      <c r="E496" s="75">
        <v>6.7790865180899996E-4</v>
      </c>
    </row>
    <row r="497" spans="1:5" ht="15" customHeight="1">
      <c r="A497" s="35"/>
      <c r="B497" s="107"/>
      <c r="C497" s="73" t="s">
        <v>136</v>
      </c>
      <c r="D497" s="74">
        <v>4</v>
      </c>
      <c r="E497" s="75">
        <v>3.3895432590500002E-4</v>
      </c>
    </row>
    <row r="498" spans="1:5" ht="15" customHeight="1">
      <c r="A498" s="35"/>
      <c r="B498" s="107"/>
      <c r="C498" s="73" t="s">
        <v>137</v>
      </c>
      <c r="D498" s="74">
        <v>3</v>
      </c>
      <c r="E498" s="75">
        <v>2.54215744428E-4</v>
      </c>
    </row>
    <row r="499" spans="1:5" ht="15" customHeight="1">
      <c r="A499" s="35"/>
      <c r="B499" s="107"/>
      <c r="C499" s="73" t="s">
        <v>141</v>
      </c>
      <c r="D499" s="74">
        <v>3</v>
      </c>
      <c r="E499" s="75">
        <v>2.54215744428E-4</v>
      </c>
    </row>
    <row r="500" spans="1:5" ht="15" customHeight="1">
      <c r="A500" s="35"/>
      <c r="B500" s="107"/>
      <c r="C500" s="73" t="s">
        <v>133</v>
      </c>
      <c r="D500" s="74">
        <v>2</v>
      </c>
      <c r="E500" s="75">
        <v>1.69477162952E-4</v>
      </c>
    </row>
    <row r="501" spans="1:5" ht="15" customHeight="1">
      <c r="A501" s="35"/>
      <c r="B501" s="107"/>
      <c r="C501" s="73" t="s">
        <v>143</v>
      </c>
      <c r="D501" s="74">
        <v>2</v>
      </c>
      <c r="E501" s="75">
        <v>1.69477162952E-4</v>
      </c>
    </row>
    <row r="502" spans="1:5" ht="15" customHeight="1">
      <c r="A502" s="35"/>
      <c r="B502" s="107"/>
      <c r="C502" s="73" t="s">
        <v>149</v>
      </c>
      <c r="D502" s="74">
        <v>1</v>
      </c>
      <c r="E502" s="75">
        <v>8.4738581476000001E-5</v>
      </c>
    </row>
    <row r="503" spans="1:5" ht="15" customHeight="1">
      <c r="A503" s="35"/>
      <c r="B503" s="107"/>
      <c r="C503" s="73" t="s">
        <v>156</v>
      </c>
      <c r="D503" s="74">
        <v>1</v>
      </c>
      <c r="E503" s="75">
        <v>8.4738581476000001E-5</v>
      </c>
    </row>
    <row r="504" spans="1:5" ht="15" customHeight="1">
      <c r="A504" s="35"/>
      <c r="B504" s="107"/>
      <c r="C504" s="73" t="s">
        <v>140</v>
      </c>
      <c r="D504" s="74">
        <v>1</v>
      </c>
      <c r="E504" s="75">
        <v>8.4738581476000001E-5</v>
      </c>
    </row>
    <row r="505" spans="1:5" ht="15" customHeight="1">
      <c r="A505" s="35"/>
      <c r="B505" s="107"/>
      <c r="C505" s="73" t="s">
        <v>166</v>
      </c>
      <c r="D505" s="74">
        <v>1</v>
      </c>
      <c r="E505" s="75">
        <v>8.4738581476000001E-5</v>
      </c>
    </row>
    <row r="506" spans="1:5" ht="15" customHeight="1">
      <c r="A506" s="35"/>
      <c r="B506" s="107"/>
      <c r="C506" s="73" t="s">
        <v>147</v>
      </c>
      <c r="D506" s="74">
        <v>1</v>
      </c>
      <c r="E506" s="75">
        <v>8.4738581476000001E-5</v>
      </c>
    </row>
    <row r="507" spans="1:5" ht="15" customHeight="1">
      <c r="A507" s="35"/>
      <c r="B507" s="108"/>
      <c r="C507" s="104" t="s">
        <v>284</v>
      </c>
      <c r="D507" s="103">
        <v>27</v>
      </c>
      <c r="E507" s="105">
        <v>2.2879416998559999E-3</v>
      </c>
    </row>
    <row r="508" spans="1:5" ht="15" customHeight="1">
      <c r="A508" s="35"/>
      <c r="B508" s="106" t="s">
        <v>200</v>
      </c>
      <c r="C508" s="73" t="s">
        <v>146</v>
      </c>
      <c r="D508" s="74">
        <v>7</v>
      </c>
      <c r="E508" s="75">
        <v>5.9317007033300002E-4</v>
      </c>
    </row>
    <row r="509" spans="1:5" ht="15" customHeight="1">
      <c r="A509" s="35"/>
      <c r="B509" s="107"/>
      <c r="C509" s="73" t="s">
        <v>140</v>
      </c>
      <c r="D509" s="74">
        <v>3</v>
      </c>
      <c r="E509" s="75">
        <v>2.54215744428E-4</v>
      </c>
    </row>
    <row r="510" spans="1:5" ht="15" customHeight="1">
      <c r="A510" s="35"/>
      <c r="B510" s="107"/>
      <c r="C510" s="73" t="s">
        <v>141</v>
      </c>
      <c r="D510" s="74">
        <v>3</v>
      </c>
      <c r="E510" s="75">
        <v>2.54215744428E-4</v>
      </c>
    </row>
    <row r="511" spans="1:5" ht="15" customHeight="1">
      <c r="A511" s="35"/>
      <c r="B511" s="107"/>
      <c r="C511" s="73" t="s">
        <v>133</v>
      </c>
      <c r="D511" s="74">
        <v>1</v>
      </c>
      <c r="E511" s="75">
        <v>8.4738581476000001E-5</v>
      </c>
    </row>
    <row r="512" spans="1:5" ht="15" customHeight="1">
      <c r="A512" s="35"/>
      <c r="B512" s="107"/>
      <c r="C512" s="73" t="s">
        <v>143</v>
      </c>
      <c r="D512" s="74">
        <v>1</v>
      </c>
      <c r="E512" s="75">
        <v>8.4738581476000001E-5</v>
      </c>
    </row>
    <row r="513" spans="1:5" ht="15" customHeight="1">
      <c r="A513" s="35"/>
      <c r="B513" s="108"/>
      <c r="C513" s="104" t="s">
        <v>284</v>
      </c>
      <c r="D513" s="103">
        <v>15</v>
      </c>
      <c r="E513" s="105">
        <v>1.271078722142E-3</v>
      </c>
    </row>
    <row r="514" spans="1:5" ht="15" customHeight="1">
      <c r="A514" s="35"/>
      <c r="B514" s="106" t="s">
        <v>201</v>
      </c>
      <c r="C514" s="73" t="s">
        <v>146</v>
      </c>
      <c r="D514" s="74">
        <v>9</v>
      </c>
      <c r="E514" s="75">
        <v>7.6264723328500002E-4</v>
      </c>
    </row>
    <row r="515" spans="1:5" ht="15" customHeight="1">
      <c r="A515" s="35"/>
      <c r="B515" s="107"/>
      <c r="C515" s="73" t="s">
        <v>140</v>
      </c>
      <c r="D515" s="74">
        <v>2</v>
      </c>
      <c r="E515" s="75">
        <v>1.69477162952E-4</v>
      </c>
    </row>
    <row r="516" spans="1:5" ht="15" customHeight="1">
      <c r="A516" s="35"/>
      <c r="B516" s="107"/>
      <c r="C516" s="73" t="s">
        <v>162</v>
      </c>
      <c r="D516" s="74">
        <v>1</v>
      </c>
      <c r="E516" s="75">
        <v>8.4738581476000001E-5</v>
      </c>
    </row>
    <row r="517" spans="1:5" ht="15" customHeight="1">
      <c r="A517" s="35"/>
      <c r="B517" s="107"/>
      <c r="C517" s="73" t="s">
        <v>137</v>
      </c>
      <c r="D517" s="74">
        <v>1</v>
      </c>
      <c r="E517" s="75">
        <v>8.4738581476000001E-5</v>
      </c>
    </row>
    <row r="518" spans="1:5" ht="15" customHeight="1">
      <c r="A518" s="35"/>
      <c r="B518" s="107"/>
      <c r="C518" s="73" t="s">
        <v>141</v>
      </c>
      <c r="D518" s="74">
        <v>1</v>
      </c>
      <c r="E518" s="75">
        <v>8.4738581476000001E-5</v>
      </c>
    </row>
    <row r="519" spans="1:5" ht="15" customHeight="1">
      <c r="A519" s="35"/>
      <c r="B519" s="108"/>
      <c r="C519" s="104" t="s">
        <v>284</v>
      </c>
      <c r="D519" s="103">
        <v>14</v>
      </c>
      <c r="E519" s="105">
        <v>1.186340140666E-3</v>
      </c>
    </row>
    <row r="520" spans="1:5" ht="15" customHeight="1">
      <c r="A520" s="35"/>
      <c r="B520" s="106" t="s">
        <v>202</v>
      </c>
      <c r="C520" s="73" t="s">
        <v>144</v>
      </c>
      <c r="D520" s="74">
        <v>6</v>
      </c>
      <c r="E520" s="75">
        <v>5.0843148885699996E-4</v>
      </c>
    </row>
    <row r="521" spans="1:5" ht="15" customHeight="1">
      <c r="A521" s="35"/>
      <c r="B521" s="107"/>
      <c r="C521" s="73" t="s">
        <v>140</v>
      </c>
      <c r="D521" s="74">
        <v>4</v>
      </c>
      <c r="E521" s="75">
        <v>3.3895432590500002E-4</v>
      </c>
    </row>
    <row r="522" spans="1:5" ht="15" customHeight="1">
      <c r="A522" s="35"/>
      <c r="B522" s="107"/>
      <c r="C522" s="73" t="s">
        <v>137</v>
      </c>
      <c r="D522" s="74">
        <v>1</v>
      </c>
      <c r="E522" s="75">
        <v>8.4738581476000001E-5</v>
      </c>
    </row>
    <row r="523" spans="1:5" ht="15" customHeight="1">
      <c r="A523" s="35"/>
      <c r="B523" s="107"/>
      <c r="C523" s="73" t="s">
        <v>146</v>
      </c>
      <c r="D523" s="74">
        <v>1</v>
      </c>
      <c r="E523" s="75">
        <v>8.4738581476000001E-5</v>
      </c>
    </row>
    <row r="524" spans="1:5" ht="15" customHeight="1">
      <c r="A524" s="35"/>
      <c r="B524" s="108"/>
      <c r="C524" s="104" t="s">
        <v>284</v>
      </c>
      <c r="D524" s="103">
        <v>12</v>
      </c>
      <c r="E524" s="105">
        <v>1.0168629777139999E-3</v>
      </c>
    </row>
    <row r="525" spans="1:5" ht="15" customHeight="1">
      <c r="A525" s="35"/>
      <c r="B525" s="106" t="s">
        <v>203</v>
      </c>
      <c r="C525" s="73" t="s">
        <v>141</v>
      </c>
      <c r="D525" s="74">
        <v>2</v>
      </c>
      <c r="E525" s="75">
        <v>1.69477162952E-4</v>
      </c>
    </row>
    <row r="526" spans="1:5" ht="15" customHeight="1">
      <c r="A526" s="35"/>
      <c r="B526" s="107"/>
      <c r="C526" s="73" t="s">
        <v>143</v>
      </c>
      <c r="D526" s="74">
        <v>2</v>
      </c>
      <c r="E526" s="75">
        <v>1.69477162952E-4</v>
      </c>
    </row>
    <row r="527" spans="1:5" ht="15" customHeight="1">
      <c r="A527" s="35"/>
      <c r="B527" s="107"/>
      <c r="C527" s="73" t="s">
        <v>144</v>
      </c>
      <c r="D527" s="74">
        <v>2</v>
      </c>
      <c r="E527" s="75">
        <v>1.69477162952E-4</v>
      </c>
    </row>
    <row r="528" spans="1:5" ht="15" customHeight="1">
      <c r="A528" s="35"/>
      <c r="B528" s="107"/>
      <c r="C528" s="73" t="s">
        <v>133</v>
      </c>
      <c r="D528" s="74">
        <v>1</v>
      </c>
      <c r="E528" s="75">
        <v>8.4738581476000001E-5</v>
      </c>
    </row>
    <row r="529" spans="1:5" ht="15" customHeight="1">
      <c r="A529" s="35"/>
      <c r="B529" s="107"/>
      <c r="C529" s="73" t="s">
        <v>138</v>
      </c>
      <c r="D529" s="74">
        <v>1</v>
      </c>
      <c r="E529" s="75">
        <v>8.4738581476000001E-5</v>
      </c>
    </row>
    <row r="530" spans="1:5" ht="15" customHeight="1">
      <c r="A530" s="35"/>
      <c r="B530" s="107"/>
      <c r="C530" s="73" t="s">
        <v>160</v>
      </c>
      <c r="D530" s="74">
        <v>1</v>
      </c>
      <c r="E530" s="75">
        <v>8.4738581476000001E-5</v>
      </c>
    </row>
    <row r="531" spans="1:5" ht="15" customHeight="1">
      <c r="A531" s="35"/>
      <c r="B531" s="107"/>
      <c r="C531" s="73" t="s">
        <v>146</v>
      </c>
      <c r="D531" s="74">
        <v>1</v>
      </c>
      <c r="E531" s="75">
        <v>8.4738581476000001E-5</v>
      </c>
    </row>
    <row r="532" spans="1:5" ht="15" customHeight="1">
      <c r="A532" s="35"/>
      <c r="B532" s="108"/>
      <c r="C532" s="104" t="s">
        <v>284</v>
      </c>
      <c r="D532" s="103">
        <v>10</v>
      </c>
      <c r="E532" s="105">
        <v>8.4738581476099997E-4</v>
      </c>
    </row>
    <row r="533" spans="1:5" ht="15" customHeight="1">
      <c r="A533" s="35"/>
      <c r="B533" s="106" t="s">
        <v>204</v>
      </c>
      <c r="C533" s="73" t="s">
        <v>137</v>
      </c>
      <c r="D533" s="74">
        <v>3</v>
      </c>
      <c r="E533" s="75">
        <v>2.54215744428E-4</v>
      </c>
    </row>
    <row r="534" spans="1:5" ht="15" customHeight="1">
      <c r="A534" s="35"/>
      <c r="B534" s="107"/>
      <c r="C534" s="73" t="s">
        <v>146</v>
      </c>
      <c r="D534" s="74">
        <v>3</v>
      </c>
      <c r="E534" s="75">
        <v>2.54215744428E-4</v>
      </c>
    </row>
    <row r="535" spans="1:5" ht="15" customHeight="1">
      <c r="A535" s="35"/>
      <c r="B535" s="107"/>
      <c r="C535" s="73" t="s">
        <v>141</v>
      </c>
      <c r="D535" s="74">
        <v>2</v>
      </c>
      <c r="E535" s="75">
        <v>1.69477162952E-4</v>
      </c>
    </row>
    <row r="536" spans="1:5" ht="15" customHeight="1">
      <c r="A536" s="35"/>
      <c r="B536" s="108"/>
      <c r="C536" s="104" t="s">
        <v>284</v>
      </c>
      <c r="D536" s="103">
        <v>8</v>
      </c>
      <c r="E536" s="105">
        <v>6.7790865180899996E-4</v>
      </c>
    </row>
    <row r="537" spans="1:5" ht="15" customHeight="1">
      <c r="A537" s="35"/>
      <c r="B537" s="106" t="s">
        <v>205</v>
      </c>
      <c r="C537" s="73" t="s">
        <v>137</v>
      </c>
      <c r="D537" s="74">
        <v>3</v>
      </c>
      <c r="E537" s="75">
        <v>2.54215744428E-4</v>
      </c>
    </row>
    <row r="538" spans="1:5" ht="15" customHeight="1">
      <c r="A538" s="35"/>
      <c r="B538" s="107"/>
      <c r="C538" s="73" t="s">
        <v>146</v>
      </c>
      <c r="D538" s="74">
        <v>3</v>
      </c>
      <c r="E538" s="75">
        <v>2.54215744428E-4</v>
      </c>
    </row>
    <row r="539" spans="1:5" ht="15" customHeight="1">
      <c r="A539" s="35"/>
      <c r="B539" s="107"/>
      <c r="C539" s="73" t="s">
        <v>134</v>
      </c>
      <c r="D539" s="74">
        <v>1</v>
      </c>
      <c r="E539" s="75">
        <v>8.4738581476000001E-5</v>
      </c>
    </row>
    <row r="540" spans="1:5" ht="15" customHeight="1">
      <c r="A540" s="35"/>
      <c r="B540" s="107"/>
      <c r="C540" s="73" t="s">
        <v>139</v>
      </c>
      <c r="D540" s="74">
        <v>1</v>
      </c>
      <c r="E540" s="75">
        <v>8.4738581476000001E-5</v>
      </c>
    </row>
    <row r="541" spans="1:5" ht="15" customHeight="1">
      <c r="A541" s="35"/>
      <c r="B541" s="108"/>
      <c r="C541" s="104" t="s">
        <v>284</v>
      </c>
      <c r="D541" s="103">
        <v>8</v>
      </c>
      <c r="E541" s="105">
        <v>6.7790865180899996E-4</v>
      </c>
    </row>
    <row r="542" spans="1:5" ht="15" customHeight="1">
      <c r="A542" s="35"/>
      <c r="B542" s="106" t="s">
        <v>84</v>
      </c>
      <c r="C542" s="73" t="s">
        <v>146</v>
      </c>
      <c r="D542" s="74">
        <v>4</v>
      </c>
      <c r="E542" s="75">
        <v>3.3895432590500002E-4</v>
      </c>
    </row>
    <row r="543" spans="1:5" ht="15" customHeight="1">
      <c r="A543" s="35"/>
      <c r="B543" s="107"/>
      <c r="C543" s="73" t="s">
        <v>134</v>
      </c>
      <c r="D543" s="74">
        <v>2</v>
      </c>
      <c r="E543" s="75">
        <v>1.69477162952E-4</v>
      </c>
    </row>
    <row r="544" spans="1:5" ht="15" customHeight="1">
      <c r="A544" s="35"/>
      <c r="B544" s="107"/>
      <c r="C544" s="73" t="s">
        <v>160</v>
      </c>
      <c r="D544" s="74">
        <v>1</v>
      </c>
      <c r="E544" s="75">
        <v>8.4738581476000001E-5</v>
      </c>
    </row>
    <row r="545" spans="1:5" ht="15" customHeight="1">
      <c r="A545" s="35"/>
      <c r="B545" s="107"/>
      <c r="C545" s="73" t="s">
        <v>144</v>
      </c>
      <c r="D545" s="74">
        <v>1</v>
      </c>
      <c r="E545" s="75">
        <v>8.4738581476000001E-5</v>
      </c>
    </row>
    <row r="546" spans="1:5" ht="15" customHeight="1">
      <c r="A546" s="35"/>
      <c r="B546" s="108"/>
      <c r="C546" s="104" t="s">
        <v>284</v>
      </c>
      <c r="D546" s="103">
        <v>8</v>
      </c>
      <c r="E546" s="105">
        <v>6.7790865180899996E-4</v>
      </c>
    </row>
    <row r="547" spans="1:5" ht="15" customHeight="1">
      <c r="A547" s="35"/>
      <c r="B547" s="106" t="s">
        <v>206</v>
      </c>
      <c r="C547" s="73" t="s">
        <v>146</v>
      </c>
      <c r="D547" s="74">
        <v>5</v>
      </c>
      <c r="E547" s="75">
        <v>4.2369290738100002E-4</v>
      </c>
    </row>
    <row r="548" spans="1:5" ht="15" customHeight="1">
      <c r="A548" s="35"/>
      <c r="B548" s="107"/>
      <c r="C548" s="73" t="s">
        <v>160</v>
      </c>
      <c r="D548" s="74">
        <v>1</v>
      </c>
      <c r="E548" s="75">
        <v>8.4738581476000001E-5</v>
      </c>
    </row>
    <row r="549" spans="1:5" ht="15" customHeight="1">
      <c r="A549" s="35"/>
      <c r="B549" s="107"/>
      <c r="C549" s="73" t="s">
        <v>147</v>
      </c>
      <c r="D549" s="74">
        <v>1</v>
      </c>
      <c r="E549" s="75">
        <v>8.4738581476000001E-5</v>
      </c>
    </row>
    <row r="550" spans="1:5" ht="15" customHeight="1">
      <c r="A550" s="35"/>
      <c r="B550" s="108"/>
      <c r="C550" s="104" t="s">
        <v>284</v>
      </c>
      <c r="D550" s="103">
        <v>7</v>
      </c>
      <c r="E550" s="105">
        <v>5.9317007033300002E-4</v>
      </c>
    </row>
    <row r="551" spans="1:5" ht="15" customHeight="1">
      <c r="A551" s="35"/>
      <c r="B551" s="106" t="s">
        <v>207</v>
      </c>
      <c r="C551" s="73" t="s">
        <v>146</v>
      </c>
      <c r="D551" s="74">
        <v>3</v>
      </c>
      <c r="E551" s="75">
        <v>2.54215744428E-4</v>
      </c>
    </row>
    <row r="552" spans="1:5" ht="15" customHeight="1">
      <c r="A552" s="35"/>
      <c r="B552" s="107"/>
      <c r="C552" s="73" t="s">
        <v>134</v>
      </c>
      <c r="D552" s="74">
        <v>2</v>
      </c>
      <c r="E552" s="75">
        <v>1.69477162952E-4</v>
      </c>
    </row>
    <row r="553" spans="1:5" ht="15" customHeight="1">
      <c r="A553" s="35"/>
      <c r="B553" s="107"/>
      <c r="C553" s="73" t="s">
        <v>140</v>
      </c>
      <c r="D553" s="74">
        <v>1</v>
      </c>
      <c r="E553" s="75">
        <v>8.4738581476000001E-5</v>
      </c>
    </row>
    <row r="554" spans="1:5" ht="15" customHeight="1">
      <c r="A554" s="35"/>
      <c r="B554" s="108"/>
      <c r="C554" s="104" t="s">
        <v>284</v>
      </c>
      <c r="D554" s="103">
        <v>6</v>
      </c>
      <c r="E554" s="105">
        <v>5.0843148885699996E-4</v>
      </c>
    </row>
    <row r="555" spans="1:5" ht="15" customHeight="1">
      <c r="A555" s="35"/>
      <c r="B555" s="106" t="s">
        <v>208</v>
      </c>
      <c r="C555" s="73" t="s">
        <v>146</v>
      </c>
      <c r="D555" s="74">
        <v>2</v>
      </c>
      <c r="E555" s="75">
        <v>1.69477162952E-4</v>
      </c>
    </row>
    <row r="556" spans="1:5" ht="15" customHeight="1">
      <c r="A556" s="35"/>
      <c r="B556" s="107"/>
      <c r="C556" s="73" t="s">
        <v>133</v>
      </c>
      <c r="D556" s="74">
        <v>1</v>
      </c>
      <c r="E556" s="75">
        <v>8.4738581476000001E-5</v>
      </c>
    </row>
    <row r="557" spans="1:5" ht="15" customHeight="1">
      <c r="A557" s="35"/>
      <c r="B557" s="107"/>
      <c r="C557" s="73" t="s">
        <v>134</v>
      </c>
      <c r="D557" s="74">
        <v>1</v>
      </c>
      <c r="E557" s="75">
        <v>8.4738581476000001E-5</v>
      </c>
    </row>
    <row r="558" spans="1:5" ht="15" customHeight="1">
      <c r="A558" s="35"/>
      <c r="B558" s="107"/>
      <c r="C558" s="73" t="s">
        <v>137</v>
      </c>
      <c r="D558" s="74">
        <v>1</v>
      </c>
      <c r="E558" s="75">
        <v>8.4738581476000001E-5</v>
      </c>
    </row>
    <row r="559" spans="1:5" ht="15" customHeight="1">
      <c r="A559" s="35"/>
      <c r="B559" s="108"/>
      <c r="C559" s="104" t="s">
        <v>284</v>
      </c>
      <c r="D559" s="103">
        <v>5</v>
      </c>
      <c r="E559" s="105">
        <v>4.2369290738100002E-4</v>
      </c>
    </row>
    <row r="560" spans="1:5" ht="15" customHeight="1">
      <c r="A560" s="35"/>
      <c r="B560" s="106" t="s">
        <v>209</v>
      </c>
      <c r="C560" s="73" t="s">
        <v>133</v>
      </c>
      <c r="D560" s="74">
        <v>1</v>
      </c>
      <c r="E560" s="75">
        <v>8.4738581476000001E-5</v>
      </c>
    </row>
    <row r="561" spans="1:5" ht="15" customHeight="1">
      <c r="A561" s="35"/>
      <c r="B561" s="107"/>
      <c r="C561" s="73" t="s">
        <v>140</v>
      </c>
      <c r="D561" s="74">
        <v>1</v>
      </c>
      <c r="E561" s="75">
        <v>8.4738581476000001E-5</v>
      </c>
    </row>
    <row r="562" spans="1:5" ht="15" customHeight="1">
      <c r="A562" s="35"/>
      <c r="B562" s="107"/>
      <c r="C562" s="73" t="s">
        <v>144</v>
      </c>
      <c r="D562" s="74">
        <v>1</v>
      </c>
      <c r="E562" s="75">
        <v>8.4738581476000001E-5</v>
      </c>
    </row>
    <row r="563" spans="1:5" ht="15" customHeight="1">
      <c r="A563" s="35"/>
      <c r="B563" s="108"/>
      <c r="C563" s="104" t="s">
        <v>284</v>
      </c>
      <c r="D563" s="103">
        <v>3</v>
      </c>
      <c r="E563" s="105">
        <v>2.54215744428E-4</v>
      </c>
    </row>
    <row r="564" spans="1:5" ht="15" customHeight="1">
      <c r="A564" s="35"/>
      <c r="B564" s="106" t="s">
        <v>210</v>
      </c>
      <c r="C564" s="73" t="s">
        <v>146</v>
      </c>
      <c r="D564" s="74">
        <v>2</v>
      </c>
      <c r="E564" s="75">
        <v>1.69477162952E-4</v>
      </c>
    </row>
    <row r="565" spans="1:5" ht="15" customHeight="1">
      <c r="A565" s="35"/>
      <c r="B565" s="108"/>
      <c r="C565" s="104" t="s">
        <v>284</v>
      </c>
      <c r="D565" s="103">
        <v>2</v>
      </c>
      <c r="E565" s="105">
        <v>1.69477162952E-4</v>
      </c>
    </row>
    <row r="566" spans="1:5" ht="15" customHeight="1">
      <c r="A566" s="35"/>
      <c r="B566" s="106" t="s">
        <v>211</v>
      </c>
      <c r="C566" s="73" t="s">
        <v>137</v>
      </c>
      <c r="D566" s="74">
        <v>1</v>
      </c>
      <c r="E566" s="75">
        <v>8.4738581476000001E-5</v>
      </c>
    </row>
    <row r="567" spans="1:5" ht="15" customHeight="1">
      <c r="A567" s="35"/>
      <c r="B567" s="108"/>
      <c r="C567" s="104" t="s">
        <v>284</v>
      </c>
      <c r="D567" s="103">
        <v>1</v>
      </c>
      <c r="E567" s="105">
        <v>8.4738581476000001E-5</v>
      </c>
    </row>
    <row r="568" spans="1:5" ht="15" customHeight="1">
      <c r="A568" s="35"/>
      <c r="B568" s="106" t="s">
        <v>212</v>
      </c>
      <c r="C568" s="73" t="s">
        <v>138</v>
      </c>
      <c r="D568" s="74">
        <v>1</v>
      </c>
      <c r="E568" s="75">
        <v>8.4738581476000001E-5</v>
      </c>
    </row>
    <row r="569" spans="1:5" ht="15" customHeight="1">
      <c r="A569" s="35"/>
      <c r="B569" s="108"/>
      <c r="C569" s="104" t="s">
        <v>284</v>
      </c>
      <c r="D569" s="103">
        <v>1</v>
      </c>
      <c r="E569" s="105">
        <v>8.4738581476000001E-5</v>
      </c>
    </row>
    <row r="570" spans="1:5" ht="15" customHeight="1">
      <c r="A570" s="35"/>
      <c r="B570" s="106" t="s">
        <v>213</v>
      </c>
      <c r="C570" s="73" t="s">
        <v>144</v>
      </c>
      <c r="D570" s="74">
        <v>1</v>
      </c>
      <c r="E570" s="75">
        <v>8.4738581476000001E-5</v>
      </c>
    </row>
    <row r="571" spans="1:5" ht="15" customHeight="1">
      <c r="A571" s="35"/>
      <c r="B571" s="108"/>
      <c r="C571" s="104" t="s">
        <v>284</v>
      </c>
      <c r="D571" s="103">
        <v>1</v>
      </c>
      <c r="E571" s="105">
        <v>8.4738581476000001E-5</v>
      </c>
    </row>
    <row r="572" spans="1:5" ht="15" customHeight="1">
      <c r="A572" s="35"/>
      <c r="B572" s="106" t="s">
        <v>214</v>
      </c>
      <c r="C572" s="73" t="s">
        <v>139</v>
      </c>
      <c r="D572" s="74">
        <v>1</v>
      </c>
      <c r="E572" s="75">
        <v>8.4738581476000001E-5</v>
      </c>
    </row>
    <row r="573" spans="1:5" ht="15" customHeight="1">
      <c r="A573" s="35"/>
      <c r="B573" s="108"/>
      <c r="C573" s="104" t="s">
        <v>284</v>
      </c>
      <c r="D573" s="103">
        <v>1</v>
      </c>
      <c r="E573" s="105">
        <v>8.4738581476000001E-5</v>
      </c>
    </row>
    <row r="574" spans="1:5" ht="15" customHeight="1">
      <c r="A574" s="35"/>
      <c r="B574" s="109" t="s">
        <v>284</v>
      </c>
      <c r="C574" s="110"/>
      <c r="D574" s="96">
        <v>11801</v>
      </c>
      <c r="E574" s="97">
        <v>1</v>
      </c>
    </row>
    <row r="575" spans="1:5" ht="15" customHeight="1">
      <c r="A575" s="35"/>
      <c r="B575" s="39"/>
      <c r="C575" s="35"/>
      <c r="D575" s="35"/>
      <c r="E575" s="35"/>
    </row>
    <row r="576" spans="1:5" ht="15" customHeight="1">
      <c r="A576" s="35"/>
      <c r="B576" s="36" t="s">
        <v>130</v>
      </c>
      <c r="C576" s="37"/>
      <c r="D576" s="35"/>
      <c r="E576" s="35"/>
    </row>
    <row r="577" spans="1:5" ht="15" customHeight="1">
      <c r="A577" s="35"/>
      <c r="B577" s="38" t="s">
        <v>17</v>
      </c>
      <c r="C577" s="37"/>
      <c r="D577" s="35"/>
      <c r="E577" s="35"/>
    </row>
    <row r="578" spans="1:5" ht="15" customHeight="1">
      <c r="A578" s="35"/>
      <c r="B578" s="39" t="s">
        <v>95</v>
      </c>
      <c r="C578" s="37"/>
      <c r="D578" s="35"/>
      <c r="E578" s="35"/>
    </row>
    <row r="579" spans="1:5" ht="15" customHeight="1">
      <c r="A579" s="35"/>
      <c r="B579" s="36" t="s">
        <v>16</v>
      </c>
      <c r="C579" s="37"/>
      <c r="D579" s="35"/>
      <c r="E579" s="35"/>
    </row>
    <row r="580" spans="1:5" ht="15" customHeight="1">
      <c r="A580" s="35"/>
      <c r="B580" s="36" t="s">
        <v>285</v>
      </c>
      <c r="C580" s="37"/>
      <c r="D580" s="35"/>
      <c r="E580" s="35"/>
    </row>
  </sheetData>
  <mergeCells count="47">
    <mergeCell ref="B572:B573"/>
    <mergeCell ref="B574:C574"/>
    <mergeCell ref="B560:B563"/>
    <mergeCell ref="B564:B565"/>
    <mergeCell ref="B566:B567"/>
    <mergeCell ref="B568:B569"/>
    <mergeCell ref="B570:B571"/>
    <mergeCell ref="B537:B541"/>
    <mergeCell ref="B542:B546"/>
    <mergeCell ref="B547:B550"/>
    <mergeCell ref="B551:B554"/>
    <mergeCell ref="B555:B559"/>
    <mergeCell ref="B508:B513"/>
    <mergeCell ref="B514:B519"/>
    <mergeCell ref="B520:B524"/>
    <mergeCell ref="B525:B532"/>
    <mergeCell ref="B533:B536"/>
    <mergeCell ref="B454:B464"/>
    <mergeCell ref="B465:B474"/>
    <mergeCell ref="B475:B487"/>
    <mergeCell ref="B488:B495"/>
    <mergeCell ref="B496:B507"/>
    <mergeCell ref="B380:B393"/>
    <mergeCell ref="B394:B407"/>
    <mergeCell ref="B408:B426"/>
    <mergeCell ref="B427:B440"/>
    <mergeCell ref="B441:B453"/>
    <mergeCell ref="B309:B319"/>
    <mergeCell ref="B320:B331"/>
    <mergeCell ref="B332:B349"/>
    <mergeCell ref="B350:B362"/>
    <mergeCell ref="B363:B379"/>
    <mergeCell ref="B220:B241"/>
    <mergeCell ref="B242:B261"/>
    <mergeCell ref="B262:B278"/>
    <mergeCell ref="B279:B293"/>
    <mergeCell ref="B294:B308"/>
    <mergeCell ref="B125:B143"/>
    <mergeCell ref="B144:B162"/>
    <mergeCell ref="B163:B184"/>
    <mergeCell ref="B185:B203"/>
    <mergeCell ref="B204:B219"/>
    <mergeCell ref="B7:E8"/>
    <mergeCell ref="B10:B49"/>
    <mergeCell ref="B50:B70"/>
    <mergeCell ref="B71:B97"/>
    <mergeCell ref="B98:B12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807"/>
  <sheetViews>
    <sheetView showGridLines="0" view="pageBreakPreview" topLeftCell="A787" zoomScaleNormal="85" zoomScaleSheetLayoutView="100" workbookViewId="0">
      <selection activeCell="E807" sqref="E807"/>
    </sheetView>
  </sheetViews>
  <sheetFormatPr baseColWidth="10" defaultColWidth="35" defaultRowHeight="15" customHeight="1"/>
  <cols>
    <col min="1" max="1" width="1" style="19" customWidth="1"/>
    <col min="2" max="2" width="22.81640625" style="20" customWidth="1"/>
    <col min="3" max="3" width="32.54296875" style="20" customWidth="1"/>
    <col min="4" max="4" width="14.26953125" style="20" customWidth="1"/>
    <col min="5" max="5" width="16.8164062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30"/>
      <c r="C6" s="31"/>
      <c r="D6" s="31"/>
      <c r="E6" s="31"/>
    </row>
    <row r="7" spans="1:5" s="22" customFormat="1" ht="26.25" customHeight="1">
      <c r="A7" s="23"/>
      <c r="B7" s="86"/>
      <c r="C7" s="86"/>
      <c r="D7" s="86"/>
      <c r="E7" s="86"/>
    </row>
    <row r="8" spans="1:5" s="22" customFormat="1" ht="33" customHeight="1">
      <c r="A8" s="23"/>
      <c r="B8" s="86"/>
      <c r="C8" s="86"/>
      <c r="D8" s="86"/>
      <c r="E8" s="86"/>
    </row>
    <row r="9" spans="1:5" s="16" customFormat="1" ht="40.5" customHeight="1">
      <c r="B9" s="100" t="s">
        <v>21</v>
      </c>
      <c r="C9" s="101" t="s">
        <v>23</v>
      </c>
      <c r="D9" s="102" t="s">
        <v>19</v>
      </c>
      <c r="E9" s="100" t="s">
        <v>18</v>
      </c>
    </row>
    <row r="10" spans="1:5" ht="14.5" customHeight="1">
      <c r="B10" s="111" t="s">
        <v>61</v>
      </c>
      <c r="C10" s="61" t="s">
        <v>133</v>
      </c>
      <c r="D10" s="62">
        <v>7</v>
      </c>
      <c r="E10" s="63">
        <v>5.9317007033300002E-4</v>
      </c>
    </row>
    <row r="11" spans="1:5" ht="14.5" customHeight="1">
      <c r="B11" s="111"/>
      <c r="C11" s="61" t="s">
        <v>134</v>
      </c>
      <c r="D11" s="62">
        <v>8</v>
      </c>
      <c r="E11" s="63">
        <v>6.7790865180899996E-4</v>
      </c>
    </row>
    <row r="12" spans="1:5" ht="14.5" customHeight="1">
      <c r="B12" s="111"/>
      <c r="C12" s="61" t="s">
        <v>135</v>
      </c>
      <c r="D12" s="62">
        <v>1</v>
      </c>
      <c r="E12" s="63">
        <v>8.4738581476000001E-5</v>
      </c>
    </row>
    <row r="13" spans="1:5" ht="14.5" customHeight="1">
      <c r="B13" s="111"/>
      <c r="C13" s="61" t="s">
        <v>136</v>
      </c>
      <c r="D13" s="62">
        <v>4</v>
      </c>
      <c r="E13" s="63">
        <v>3.3895432590500002E-4</v>
      </c>
    </row>
    <row r="14" spans="1:5" ht="14.5" customHeight="1">
      <c r="B14" s="111"/>
      <c r="C14" s="61" t="s">
        <v>137</v>
      </c>
      <c r="D14" s="62">
        <v>2</v>
      </c>
      <c r="E14" s="63">
        <v>1.69477162952E-4</v>
      </c>
    </row>
    <row r="15" spans="1:5" ht="14.5" customHeight="1">
      <c r="B15" s="111"/>
      <c r="C15" s="61" t="s">
        <v>138</v>
      </c>
      <c r="D15" s="62">
        <v>1</v>
      </c>
      <c r="E15" s="63">
        <v>8.4738581476000001E-5</v>
      </c>
    </row>
    <row r="16" spans="1:5" ht="14.5" customHeight="1">
      <c r="B16" s="111"/>
      <c r="C16" s="61" t="s">
        <v>139</v>
      </c>
      <c r="D16" s="62">
        <v>1</v>
      </c>
      <c r="E16" s="63">
        <v>8.4738581476000001E-5</v>
      </c>
    </row>
    <row r="17" spans="2:5" ht="14.5" customHeight="1">
      <c r="B17" s="111"/>
      <c r="C17" s="61" t="s">
        <v>140</v>
      </c>
      <c r="D17" s="62">
        <v>13</v>
      </c>
      <c r="E17" s="63">
        <v>1.1016015591900001E-3</v>
      </c>
    </row>
    <row r="18" spans="2:5" ht="14.5" customHeight="1">
      <c r="B18" s="111"/>
      <c r="C18" s="61" t="s">
        <v>141</v>
      </c>
      <c r="D18" s="62">
        <v>6</v>
      </c>
      <c r="E18" s="63">
        <v>5.0843148885699996E-4</v>
      </c>
    </row>
    <row r="19" spans="2:5" ht="14.5" customHeight="1">
      <c r="B19" s="111"/>
      <c r="C19" s="61" t="s">
        <v>142</v>
      </c>
      <c r="D19" s="62">
        <v>1</v>
      </c>
      <c r="E19" s="63">
        <v>8.4738581476000001E-5</v>
      </c>
    </row>
    <row r="20" spans="2:5" ht="14.5" customHeight="1">
      <c r="B20" s="111"/>
      <c r="C20" s="61" t="s">
        <v>143</v>
      </c>
      <c r="D20" s="62">
        <v>1</v>
      </c>
      <c r="E20" s="63">
        <v>8.4738581476000001E-5</v>
      </c>
    </row>
    <row r="21" spans="2:5" ht="14.5" customHeight="1">
      <c r="B21" s="111"/>
      <c r="C21" s="61" t="s">
        <v>144</v>
      </c>
      <c r="D21" s="62">
        <v>7</v>
      </c>
      <c r="E21" s="63">
        <v>5.9317007033300002E-4</v>
      </c>
    </row>
    <row r="22" spans="2:5" ht="14.5" customHeight="1">
      <c r="B22" s="111"/>
      <c r="C22" s="61" t="s">
        <v>145</v>
      </c>
      <c r="D22" s="62">
        <v>1</v>
      </c>
      <c r="E22" s="63">
        <v>8.4738581476000001E-5</v>
      </c>
    </row>
    <row r="23" spans="2:5" ht="14.5" customHeight="1">
      <c r="B23" s="111"/>
      <c r="C23" s="61" t="s">
        <v>146</v>
      </c>
      <c r="D23" s="62">
        <v>60</v>
      </c>
      <c r="E23" s="63">
        <v>5.084314888569E-3</v>
      </c>
    </row>
    <row r="24" spans="2:5" ht="14.5" customHeight="1">
      <c r="B24" s="111"/>
      <c r="C24" s="61" t="s">
        <v>147</v>
      </c>
      <c r="D24" s="62">
        <v>5</v>
      </c>
      <c r="E24" s="63">
        <v>4.2369290738100002E-4</v>
      </c>
    </row>
    <row r="25" spans="2:5" ht="14.5" customHeight="1">
      <c r="B25" s="111"/>
      <c r="C25" s="61" t="s">
        <v>148</v>
      </c>
      <c r="D25" s="62">
        <v>2</v>
      </c>
      <c r="E25" s="63">
        <v>1.69477162952E-4</v>
      </c>
    </row>
    <row r="26" spans="2:5" ht="14.5" customHeight="1">
      <c r="B26" s="111"/>
      <c r="C26" s="66" t="s">
        <v>284</v>
      </c>
      <c r="D26" s="64">
        <v>120</v>
      </c>
      <c r="E26" s="67">
        <v>1.0168629777138E-2</v>
      </c>
    </row>
    <row r="27" spans="2:5" ht="14.5" customHeight="1">
      <c r="B27" s="89" t="s">
        <v>58</v>
      </c>
      <c r="C27" s="61" t="s">
        <v>133</v>
      </c>
      <c r="D27" s="62">
        <v>8</v>
      </c>
      <c r="E27" s="63">
        <v>6.7790865180899996E-4</v>
      </c>
    </row>
    <row r="28" spans="2:5" ht="14.5" customHeight="1">
      <c r="B28" s="90"/>
      <c r="C28" s="61" t="s">
        <v>149</v>
      </c>
      <c r="D28" s="62">
        <v>1</v>
      </c>
      <c r="E28" s="63">
        <v>8.4738581476000001E-5</v>
      </c>
    </row>
    <row r="29" spans="2:5" ht="14.5" customHeight="1">
      <c r="B29" s="90"/>
      <c r="C29" s="61" t="s">
        <v>150</v>
      </c>
      <c r="D29" s="62">
        <v>1</v>
      </c>
      <c r="E29" s="63">
        <v>8.4738581476000001E-5</v>
      </c>
    </row>
    <row r="30" spans="2:5" ht="14.5" customHeight="1">
      <c r="B30" s="90"/>
      <c r="C30" s="61" t="s">
        <v>151</v>
      </c>
      <c r="D30" s="62">
        <v>2</v>
      </c>
      <c r="E30" s="63">
        <v>1.69477162952E-4</v>
      </c>
    </row>
    <row r="31" spans="2:5" ht="14.5" customHeight="1">
      <c r="B31" s="90"/>
      <c r="C31" s="61" t="s">
        <v>152</v>
      </c>
      <c r="D31" s="62">
        <v>1</v>
      </c>
      <c r="E31" s="63">
        <v>8.4738581476000001E-5</v>
      </c>
    </row>
    <row r="32" spans="2:5" ht="14.5" customHeight="1">
      <c r="B32" s="90"/>
      <c r="C32" s="61" t="s">
        <v>153</v>
      </c>
      <c r="D32" s="62">
        <v>1</v>
      </c>
      <c r="E32" s="63">
        <v>8.4738581476000001E-5</v>
      </c>
    </row>
    <row r="33" spans="2:5" ht="14.5" customHeight="1">
      <c r="B33" s="90"/>
      <c r="C33" s="61" t="s">
        <v>134</v>
      </c>
      <c r="D33" s="62">
        <v>6</v>
      </c>
      <c r="E33" s="63">
        <v>5.0843148885699996E-4</v>
      </c>
    </row>
    <row r="34" spans="2:5" ht="14.5" customHeight="1">
      <c r="B34" s="90"/>
      <c r="C34" s="61" t="s">
        <v>154</v>
      </c>
      <c r="D34" s="62">
        <v>1</v>
      </c>
      <c r="E34" s="63">
        <v>8.4738581476000001E-5</v>
      </c>
    </row>
    <row r="35" spans="2:5" ht="14.5" customHeight="1">
      <c r="B35" s="90"/>
      <c r="C35" s="61" t="s">
        <v>155</v>
      </c>
      <c r="D35" s="62">
        <v>2</v>
      </c>
      <c r="E35" s="63">
        <v>1.69477162952E-4</v>
      </c>
    </row>
    <row r="36" spans="2:5" ht="14.5" customHeight="1">
      <c r="B36" s="90"/>
      <c r="C36" s="61" t="s">
        <v>156</v>
      </c>
      <c r="D36" s="62">
        <v>4</v>
      </c>
      <c r="E36" s="63">
        <v>3.3895432590500002E-4</v>
      </c>
    </row>
    <row r="37" spans="2:5" ht="14.5" customHeight="1">
      <c r="B37" s="90"/>
      <c r="C37" s="61" t="s">
        <v>157</v>
      </c>
      <c r="D37" s="62">
        <v>1</v>
      </c>
      <c r="E37" s="63">
        <v>8.4738581476000001E-5</v>
      </c>
    </row>
    <row r="38" spans="2:5" ht="14.5" customHeight="1">
      <c r="B38" s="90"/>
      <c r="C38" s="61" t="s">
        <v>136</v>
      </c>
      <c r="D38" s="62">
        <v>12</v>
      </c>
      <c r="E38" s="63">
        <v>1.0168629777139999E-3</v>
      </c>
    </row>
    <row r="39" spans="2:5" ht="14.5" customHeight="1">
      <c r="B39" s="90"/>
      <c r="C39" s="61" t="s">
        <v>137</v>
      </c>
      <c r="D39" s="62">
        <v>22</v>
      </c>
      <c r="E39" s="63">
        <v>1.8642487924749999E-3</v>
      </c>
    </row>
    <row r="40" spans="2:5" ht="14.5" customHeight="1">
      <c r="B40" s="90"/>
      <c r="C40" s="61" t="s">
        <v>138</v>
      </c>
      <c r="D40" s="62">
        <v>9</v>
      </c>
      <c r="E40" s="63">
        <v>7.6264723328500002E-4</v>
      </c>
    </row>
    <row r="41" spans="2:5" ht="14.5" customHeight="1">
      <c r="B41" s="90"/>
      <c r="C41" s="61" t="s">
        <v>158</v>
      </c>
      <c r="D41" s="62">
        <v>1</v>
      </c>
      <c r="E41" s="63">
        <v>8.4738581476000001E-5</v>
      </c>
    </row>
    <row r="42" spans="2:5" ht="14.5" customHeight="1">
      <c r="B42" s="90"/>
      <c r="C42" s="61" t="s">
        <v>139</v>
      </c>
      <c r="D42" s="62">
        <v>2</v>
      </c>
      <c r="E42" s="63">
        <v>1.69477162952E-4</v>
      </c>
    </row>
    <row r="43" spans="2:5" ht="14.5" customHeight="1">
      <c r="B43" s="90"/>
      <c r="C43" s="61" t="s">
        <v>140</v>
      </c>
      <c r="D43" s="62">
        <v>7</v>
      </c>
      <c r="E43" s="63">
        <v>5.9317007033300002E-4</v>
      </c>
    </row>
    <row r="44" spans="2:5" ht="14.5" customHeight="1">
      <c r="B44" s="90"/>
      <c r="C44" s="61" t="s">
        <v>159</v>
      </c>
      <c r="D44" s="62">
        <v>1</v>
      </c>
      <c r="E44" s="63">
        <v>8.4738581476000001E-5</v>
      </c>
    </row>
    <row r="45" spans="2:5" ht="14.5" customHeight="1">
      <c r="B45" s="90"/>
      <c r="C45" s="61" t="s">
        <v>160</v>
      </c>
      <c r="D45" s="62">
        <v>6</v>
      </c>
      <c r="E45" s="63">
        <v>5.0843148885699996E-4</v>
      </c>
    </row>
    <row r="46" spans="2:5" ht="14.5" customHeight="1">
      <c r="B46" s="90"/>
      <c r="C46" s="61" t="s">
        <v>141</v>
      </c>
      <c r="D46" s="62">
        <v>17</v>
      </c>
      <c r="E46" s="63">
        <v>1.4405558850940001E-3</v>
      </c>
    </row>
    <row r="47" spans="2:5" ht="14.5" customHeight="1">
      <c r="B47" s="90"/>
      <c r="C47" s="61" t="s">
        <v>142</v>
      </c>
      <c r="D47" s="62">
        <v>6</v>
      </c>
      <c r="E47" s="63">
        <v>5.0843148885699996E-4</v>
      </c>
    </row>
    <row r="48" spans="2:5" ht="14.5" customHeight="1">
      <c r="B48" s="90"/>
      <c r="C48" s="61" t="s">
        <v>143</v>
      </c>
      <c r="D48" s="62">
        <v>7</v>
      </c>
      <c r="E48" s="63">
        <v>5.9317007033300002E-4</v>
      </c>
    </row>
    <row r="49" spans="2:5" ht="14.5" customHeight="1">
      <c r="B49" s="90"/>
      <c r="C49" s="61" t="s">
        <v>144</v>
      </c>
      <c r="D49" s="62">
        <v>8</v>
      </c>
      <c r="E49" s="63">
        <v>6.7790865180899996E-4</v>
      </c>
    </row>
    <row r="50" spans="2:5" ht="14.5" customHeight="1">
      <c r="B50" s="90"/>
      <c r="C50" s="61" t="s">
        <v>146</v>
      </c>
      <c r="D50" s="62">
        <v>63</v>
      </c>
      <c r="E50" s="63">
        <v>5.3385306329969996E-3</v>
      </c>
    </row>
    <row r="51" spans="2:5" ht="14.5" customHeight="1">
      <c r="B51" s="90"/>
      <c r="C51" s="61" t="s">
        <v>147</v>
      </c>
      <c r="D51" s="62">
        <v>4</v>
      </c>
      <c r="E51" s="63">
        <v>3.3895432590500002E-4</v>
      </c>
    </row>
    <row r="52" spans="2:5" ht="14.5" customHeight="1">
      <c r="B52" s="91"/>
      <c r="C52" s="66" t="s">
        <v>284</v>
      </c>
      <c r="D52" s="64">
        <v>193</v>
      </c>
      <c r="E52" s="67">
        <v>1.6354546224895999E-2</v>
      </c>
    </row>
    <row r="53" spans="2:5" ht="14.5" customHeight="1">
      <c r="B53" s="89" t="s">
        <v>49</v>
      </c>
      <c r="C53" s="61" t="s">
        <v>161</v>
      </c>
      <c r="D53" s="62">
        <v>1</v>
      </c>
      <c r="E53" s="63">
        <v>8.4738581476000001E-5</v>
      </c>
    </row>
    <row r="54" spans="2:5" ht="14.5" customHeight="1">
      <c r="B54" s="90"/>
      <c r="C54" s="61" t="s">
        <v>133</v>
      </c>
      <c r="D54" s="62">
        <v>30</v>
      </c>
      <c r="E54" s="63">
        <v>2.542157444284E-3</v>
      </c>
    </row>
    <row r="55" spans="2:5" ht="14.5" customHeight="1">
      <c r="B55" s="90"/>
      <c r="C55" s="61" t="s">
        <v>149</v>
      </c>
      <c r="D55" s="62">
        <v>7</v>
      </c>
      <c r="E55" s="63">
        <v>5.9317007033300002E-4</v>
      </c>
    </row>
    <row r="56" spans="2:5" ht="14.5" customHeight="1">
      <c r="B56" s="90"/>
      <c r="C56" s="61" t="s">
        <v>162</v>
      </c>
      <c r="D56" s="62">
        <v>4</v>
      </c>
      <c r="E56" s="63">
        <v>3.3895432590500002E-4</v>
      </c>
    </row>
    <row r="57" spans="2:5" ht="14.5" customHeight="1">
      <c r="B57" s="90"/>
      <c r="C57" s="61" t="s">
        <v>152</v>
      </c>
      <c r="D57" s="62">
        <v>6</v>
      </c>
      <c r="E57" s="63">
        <v>5.0843148885699996E-4</v>
      </c>
    </row>
    <row r="58" spans="2:5" ht="14.5" customHeight="1">
      <c r="B58" s="90"/>
      <c r="C58" s="61" t="s">
        <v>163</v>
      </c>
      <c r="D58" s="62">
        <v>20</v>
      </c>
      <c r="E58" s="63">
        <v>1.694771629523E-3</v>
      </c>
    </row>
    <row r="59" spans="2:5" ht="14.5" customHeight="1">
      <c r="B59" s="90"/>
      <c r="C59" s="61" t="s">
        <v>153</v>
      </c>
      <c r="D59" s="62">
        <v>17</v>
      </c>
      <c r="E59" s="63">
        <v>1.4405558850940001E-3</v>
      </c>
    </row>
    <row r="60" spans="2:5" ht="14.5" customHeight="1">
      <c r="B60" s="90"/>
      <c r="C60" s="61" t="s">
        <v>134</v>
      </c>
      <c r="D60" s="62">
        <v>18</v>
      </c>
      <c r="E60" s="63">
        <v>1.5252944665710001E-3</v>
      </c>
    </row>
    <row r="61" spans="2:5" ht="14.5" customHeight="1">
      <c r="B61" s="90"/>
      <c r="C61" s="61" t="s">
        <v>154</v>
      </c>
      <c r="D61" s="62">
        <v>2</v>
      </c>
      <c r="E61" s="63">
        <v>1.69477162952E-4</v>
      </c>
    </row>
    <row r="62" spans="2:5" ht="14.5" customHeight="1">
      <c r="B62" s="90"/>
      <c r="C62" s="61" t="s">
        <v>135</v>
      </c>
      <c r="D62" s="62">
        <v>4</v>
      </c>
      <c r="E62" s="63">
        <v>3.3895432590500002E-4</v>
      </c>
    </row>
    <row r="63" spans="2:5" ht="14.5" customHeight="1">
      <c r="B63" s="90"/>
      <c r="C63" s="61" t="s">
        <v>136</v>
      </c>
      <c r="D63" s="62">
        <v>32</v>
      </c>
      <c r="E63" s="63">
        <v>2.7116346072369999E-3</v>
      </c>
    </row>
    <row r="64" spans="2:5" ht="14.5" customHeight="1">
      <c r="B64" s="90"/>
      <c r="C64" s="61" t="s">
        <v>137</v>
      </c>
      <c r="D64" s="62">
        <v>154</v>
      </c>
      <c r="E64" s="63">
        <v>1.3049741547326001E-2</v>
      </c>
    </row>
    <row r="65" spans="2:5" ht="14.5" customHeight="1">
      <c r="B65" s="90"/>
      <c r="C65" s="61" t="s">
        <v>164</v>
      </c>
      <c r="D65" s="62">
        <v>1</v>
      </c>
      <c r="E65" s="63">
        <v>8.4738581476000001E-5</v>
      </c>
    </row>
    <row r="66" spans="2:5" ht="14.5" customHeight="1">
      <c r="B66" s="90"/>
      <c r="C66" s="61" t="s">
        <v>138</v>
      </c>
      <c r="D66" s="62">
        <v>47</v>
      </c>
      <c r="E66" s="63">
        <v>3.9827133293790003E-3</v>
      </c>
    </row>
    <row r="67" spans="2:5" ht="14.5" customHeight="1">
      <c r="B67" s="90"/>
      <c r="C67" s="61" t="s">
        <v>165</v>
      </c>
      <c r="D67" s="62">
        <v>2</v>
      </c>
      <c r="E67" s="63">
        <v>1.69477162952E-4</v>
      </c>
    </row>
    <row r="68" spans="2:5" ht="14.5" customHeight="1">
      <c r="B68" s="90"/>
      <c r="C68" s="61" t="s">
        <v>158</v>
      </c>
      <c r="D68" s="62">
        <v>5</v>
      </c>
      <c r="E68" s="63">
        <v>4.2369290738100002E-4</v>
      </c>
    </row>
    <row r="69" spans="2:5" ht="14.5" customHeight="1">
      <c r="B69" s="90"/>
      <c r="C69" s="61" t="s">
        <v>139</v>
      </c>
      <c r="D69" s="62">
        <v>4</v>
      </c>
      <c r="E69" s="63">
        <v>3.3895432590500002E-4</v>
      </c>
    </row>
    <row r="70" spans="2:5" ht="14.5" customHeight="1">
      <c r="B70" s="90"/>
      <c r="C70" s="61" t="s">
        <v>140</v>
      </c>
      <c r="D70" s="62">
        <v>46</v>
      </c>
      <c r="E70" s="63">
        <v>3.8979747479030002E-3</v>
      </c>
    </row>
    <row r="71" spans="2:5" ht="14.5" customHeight="1">
      <c r="B71" s="90"/>
      <c r="C71" s="61" t="s">
        <v>166</v>
      </c>
      <c r="D71" s="62">
        <v>6</v>
      </c>
      <c r="E71" s="63">
        <v>5.0843148885699996E-4</v>
      </c>
    </row>
    <row r="72" spans="2:5" ht="14.5" customHeight="1">
      <c r="B72" s="90"/>
      <c r="C72" s="61" t="s">
        <v>159</v>
      </c>
      <c r="D72" s="62">
        <v>2</v>
      </c>
      <c r="E72" s="63">
        <v>1.69477162952E-4</v>
      </c>
    </row>
    <row r="73" spans="2:5" ht="14.5" customHeight="1">
      <c r="B73" s="90"/>
      <c r="C73" s="61" t="s">
        <v>160</v>
      </c>
      <c r="D73" s="62">
        <v>30</v>
      </c>
      <c r="E73" s="63">
        <v>2.542157444284E-3</v>
      </c>
    </row>
    <row r="74" spans="2:5" ht="14.5" customHeight="1">
      <c r="B74" s="90"/>
      <c r="C74" s="61" t="s">
        <v>141</v>
      </c>
      <c r="D74" s="62">
        <v>30</v>
      </c>
      <c r="E74" s="63">
        <v>2.542157444284E-3</v>
      </c>
    </row>
    <row r="75" spans="2:5" ht="14.5" customHeight="1">
      <c r="B75" s="90"/>
      <c r="C75" s="61" t="s">
        <v>142</v>
      </c>
      <c r="D75" s="62">
        <v>28</v>
      </c>
      <c r="E75" s="63">
        <v>2.3726802813320001E-3</v>
      </c>
    </row>
    <row r="76" spans="2:5" ht="14.5" customHeight="1">
      <c r="B76" s="90"/>
      <c r="C76" s="61" t="s">
        <v>143</v>
      </c>
      <c r="D76" s="62">
        <v>33</v>
      </c>
      <c r="E76" s="63">
        <v>2.7963731887130001E-3</v>
      </c>
    </row>
    <row r="77" spans="2:5" ht="14.5" customHeight="1">
      <c r="B77" s="90"/>
      <c r="C77" s="61" t="s">
        <v>144</v>
      </c>
      <c r="D77" s="62">
        <v>25</v>
      </c>
      <c r="E77" s="63">
        <v>2.118464536904E-3</v>
      </c>
    </row>
    <row r="78" spans="2:5" ht="14.5" customHeight="1">
      <c r="B78" s="90"/>
      <c r="C78" s="61" t="s">
        <v>146</v>
      </c>
      <c r="D78" s="62">
        <v>77</v>
      </c>
      <c r="E78" s="63">
        <v>6.5248707736630003E-3</v>
      </c>
    </row>
    <row r="79" spans="2:5" ht="14.5" customHeight="1">
      <c r="B79" s="90"/>
      <c r="C79" s="61" t="s">
        <v>147</v>
      </c>
      <c r="D79" s="62">
        <v>2</v>
      </c>
      <c r="E79" s="63">
        <v>1.69477162952E-4</v>
      </c>
    </row>
    <row r="80" spans="2:5" ht="14.5" customHeight="1">
      <c r="B80" s="90"/>
      <c r="C80" s="61" t="s">
        <v>167</v>
      </c>
      <c r="D80" s="62">
        <v>1</v>
      </c>
      <c r="E80" s="63">
        <v>8.4738581476000001E-5</v>
      </c>
    </row>
    <row r="81" spans="2:5" ht="14.5" customHeight="1">
      <c r="B81" s="90"/>
      <c r="C81" s="61" t="s">
        <v>148</v>
      </c>
      <c r="D81" s="62">
        <v>2</v>
      </c>
      <c r="E81" s="63">
        <v>1.69477162952E-4</v>
      </c>
    </row>
    <row r="82" spans="2:5" ht="14.5" customHeight="1">
      <c r="B82" s="91"/>
      <c r="C82" s="66" t="s">
        <v>284</v>
      </c>
      <c r="D82" s="64">
        <v>636</v>
      </c>
      <c r="E82" s="67">
        <v>5.3893737818829002E-2</v>
      </c>
    </row>
    <row r="83" spans="2:5" ht="14.5" customHeight="1">
      <c r="B83" s="89" t="s">
        <v>86</v>
      </c>
      <c r="C83" s="61" t="s">
        <v>133</v>
      </c>
      <c r="D83" s="62">
        <v>1</v>
      </c>
      <c r="E83" s="63">
        <v>8.4738581476000001E-5</v>
      </c>
    </row>
    <row r="84" spans="2:5" ht="14.5" customHeight="1">
      <c r="B84" s="90"/>
      <c r="C84" s="61" t="s">
        <v>162</v>
      </c>
      <c r="D84" s="62">
        <v>1</v>
      </c>
      <c r="E84" s="63">
        <v>8.4738581476000001E-5</v>
      </c>
    </row>
    <row r="85" spans="2:5" ht="14.5" customHeight="1">
      <c r="B85" s="90"/>
      <c r="C85" s="61" t="s">
        <v>137</v>
      </c>
      <c r="D85" s="62">
        <v>1</v>
      </c>
      <c r="E85" s="63">
        <v>8.4738581476000001E-5</v>
      </c>
    </row>
    <row r="86" spans="2:5" ht="14.5" customHeight="1">
      <c r="B86" s="90"/>
      <c r="C86" s="61" t="s">
        <v>140</v>
      </c>
      <c r="D86" s="62">
        <v>2</v>
      </c>
      <c r="E86" s="63">
        <v>1.69477162952E-4</v>
      </c>
    </row>
    <row r="87" spans="2:5" ht="14.5" customHeight="1">
      <c r="B87" s="90"/>
      <c r="C87" s="61" t="s">
        <v>141</v>
      </c>
      <c r="D87" s="62">
        <v>1</v>
      </c>
      <c r="E87" s="63">
        <v>8.4738581476000001E-5</v>
      </c>
    </row>
    <row r="88" spans="2:5" ht="14.5" customHeight="1">
      <c r="B88" s="90"/>
      <c r="C88" s="61" t="s">
        <v>144</v>
      </c>
      <c r="D88" s="62">
        <v>1</v>
      </c>
      <c r="E88" s="63">
        <v>8.4738581476000001E-5</v>
      </c>
    </row>
    <row r="89" spans="2:5" ht="14.5" customHeight="1">
      <c r="B89" s="90"/>
      <c r="C89" s="61" t="s">
        <v>146</v>
      </c>
      <c r="D89" s="62">
        <v>12</v>
      </c>
      <c r="E89" s="63">
        <v>1.0168629777139999E-3</v>
      </c>
    </row>
    <row r="90" spans="2:5" ht="14.5" customHeight="1">
      <c r="B90" s="91"/>
      <c r="C90" s="66" t="s">
        <v>284</v>
      </c>
      <c r="D90" s="64">
        <v>19</v>
      </c>
      <c r="E90" s="67">
        <v>1.6100330480470001E-3</v>
      </c>
    </row>
    <row r="91" spans="2:5" ht="14.5" customHeight="1">
      <c r="B91" s="89" t="s">
        <v>91</v>
      </c>
      <c r="C91" s="61" t="s">
        <v>144</v>
      </c>
      <c r="D91" s="62">
        <v>1</v>
      </c>
      <c r="E91" s="63">
        <v>8.4738581476000001E-5</v>
      </c>
    </row>
    <row r="92" spans="2:5" ht="14.5" customHeight="1">
      <c r="B92" s="90"/>
      <c r="C92" s="61" t="s">
        <v>146</v>
      </c>
      <c r="D92" s="62">
        <v>3</v>
      </c>
      <c r="E92" s="63">
        <v>2.54215744428E-4</v>
      </c>
    </row>
    <row r="93" spans="2:5" ht="14.5" customHeight="1">
      <c r="B93" s="91"/>
      <c r="C93" s="66" t="s">
        <v>284</v>
      </c>
      <c r="D93" s="64">
        <v>4</v>
      </c>
      <c r="E93" s="67">
        <v>3.3895432590500002E-4</v>
      </c>
    </row>
    <row r="94" spans="2:5" ht="14.5" customHeight="1">
      <c r="B94" s="89" t="s">
        <v>71</v>
      </c>
      <c r="C94" s="61" t="s">
        <v>133</v>
      </c>
      <c r="D94" s="62">
        <v>1</v>
      </c>
      <c r="E94" s="63">
        <v>8.4738581476000001E-5</v>
      </c>
    </row>
    <row r="95" spans="2:5" ht="14.5" customHeight="1">
      <c r="B95" s="90"/>
      <c r="C95" s="61" t="s">
        <v>149</v>
      </c>
      <c r="D95" s="62">
        <v>1</v>
      </c>
      <c r="E95" s="63">
        <v>8.4738581476000001E-5</v>
      </c>
    </row>
    <row r="96" spans="2:5" ht="14.5" customHeight="1">
      <c r="B96" s="90"/>
      <c r="C96" s="61" t="s">
        <v>134</v>
      </c>
      <c r="D96" s="62">
        <v>1</v>
      </c>
      <c r="E96" s="63">
        <v>8.4738581476000001E-5</v>
      </c>
    </row>
    <row r="97" spans="2:5" ht="14.5" customHeight="1">
      <c r="B97" s="90"/>
      <c r="C97" s="61" t="s">
        <v>155</v>
      </c>
      <c r="D97" s="62">
        <v>2</v>
      </c>
      <c r="E97" s="63">
        <v>1.69477162952E-4</v>
      </c>
    </row>
    <row r="98" spans="2:5" ht="14.5" customHeight="1">
      <c r="B98" s="90"/>
      <c r="C98" s="61" t="s">
        <v>136</v>
      </c>
      <c r="D98" s="62">
        <v>4</v>
      </c>
      <c r="E98" s="63">
        <v>3.3895432590500002E-4</v>
      </c>
    </row>
    <row r="99" spans="2:5" ht="14.5" customHeight="1">
      <c r="B99" s="90"/>
      <c r="C99" s="61" t="s">
        <v>137</v>
      </c>
      <c r="D99" s="62">
        <v>3</v>
      </c>
      <c r="E99" s="63">
        <v>2.54215744428E-4</v>
      </c>
    </row>
    <row r="100" spans="2:5" ht="14.5" customHeight="1">
      <c r="B100" s="90"/>
      <c r="C100" s="61" t="s">
        <v>140</v>
      </c>
      <c r="D100" s="62">
        <v>3</v>
      </c>
      <c r="E100" s="63">
        <v>2.54215744428E-4</v>
      </c>
    </row>
    <row r="101" spans="2:5" ht="14.5" customHeight="1">
      <c r="B101" s="90"/>
      <c r="C101" s="61" t="s">
        <v>159</v>
      </c>
      <c r="D101" s="62">
        <v>1</v>
      </c>
      <c r="E101" s="63">
        <v>8.4738581476000001E-5</v>
      </c>
    </row>
    <row r="102" spans="2:5" ht="14.5" customHeight="1">
      <c r="B102" s="90"/>
      <c r="C102" s="61" t="s">
        <v>141</v>
      </c>
      <c r="D102" s="62">
        <v>9</v>
      </c>
      <c r="E102" s="63">
        <v>7.6264723328500002E-4</v>
      </c>
    </row>
    <row r="103" spans="2:5" ht="14.5" customHeight="1">
      <c r="B103" s="90"/>
      <c r="C103" s="61" t="s">
        <v>143</v>
      </c>
      <c r="D103" s="62">
        <v>3</v>
      </c>
      <c r="E103" s="63">
        <v>2.54215744428E-4</v>
      </c>
    </row>
    <row r="104" spans="2:5" ht="14.5" customHeight="1">
      <c r="B104" s="90"/>
      <c r="C104" s="61" t="s">
        <v>144</v>
      </c>
      <c r="D104" s="62">
        <v>2</v>
      </c>
      <c r="E104" s="63">
        <v>1.69477162952E-4</v>
      </c>
    </row>
    <row r="105" spans="2:5" ht="14.5" customHeight="1">
      <c r="B105" s="90"/>
      <c r="C105" s="61" t="s">
        <v>146</v>
      </c>
      <c r="D105" s="62">
        <v>10</v>
      </c>
      <c r="E105" s="63">
        <v>8.4738581476099997E-4</v>
      </c>
    </row>
    <row r="106" spans="2:5" ht="14.5" customHeight="1">
      <c r="B106" s="90"/>
      <c r="C106" s="61" t="s">
        <v>147</v>
      </c>
      <c r="D106" s="62">
        <v>1</v>
      </c>
      <c r="E106" s="63">
        <v>8.4738581476000001E-5</v>
      </c>
    </row>
    <row r="107" spans="2:5" ht="14.5" customHeight="1">
      <c r="B107" s="91"/>
      <c r="C107" s="66" t="s">
        <v>284</v>
      </c>
      <c r="D107" s="64">
        <v>41</v>
      </c>
      <c r="E107" s="67">
        <v>3.4742818405220002E-3</v>
      </c>
    </row>
    <row r="108" spans="2:5" ht="14.5" customHeight="1">
      <c r="B108" s="89" t="s">
        <v>129</v>
      </c>
      <c r="C108" s="61" t="s">
        <v>146</v>
      </c>
      <c r="D108" s="62">
        <v>2</v>
      </c>
      <c r="E108" s="63">
        <v>1.69477162952E-4</v>
      </c>
    </row>
    <row r="109" spans="2:5" ht="14.5" customHeight="1">
      <c r="B109" s="91"/>
      <c r="C109" s="66" t="s">
        <v>284</v>
      </c>
      <c r="D109" s="64">
        <v>2</v>
      </c>
      <c r="E109" s="67">
        <v>1.69477162952E-4</v>
      </c>
    </row>
    <row r="110" spans="2:5" ht="14.5" customHeight="1">
      <c r="B110" s="89" t="s">
        <v>51</v>
      </c>
      <c r="C110" s="61" t="s">
        <v>133</v>
      </c>
      <c r="D110" s="62">
        <v>8</v>
      </c>
      <c r="E110" s="63">
        <v>6.7790865180899996E-4</v>
      </c>
    </row>
    <row r="111" spans="2:5" ht="14.5" customHeight="1">
      <c r="B111" s="90"/>
      <c r="C111" s="61" t="s">
        <v>149</v>
      </c>
      <c r="D111" s="62">
        <v>12</v>
      </c>
      <c r="E111" s="63">
        <v>1.0168629777139999E-3</v>
      </c>
    </row>
    <row r="112" spans="2:5" ht="14.5" customHeight="1">
      <c r="B112" s="90"/>
      <c r="C112" s="61" t="s">
        <v>151</v>
      </c>
      <c r="D112" s="62">
        <v>1</v>
      </c>
      <c r="E112" s="63">
        <v>8.4738581476000001E-5</v>
      </c>
    </row>
    <row r="113" spans="2:5" ht="14.5" customHeight="1">
      <c r="B113" s="90"/>
      <c r="C113" s="61" t="s">
        <v>162</v>
      </c>
      <c r="D113" s="62">
        <v>1</v>
      </c>
      <c r="E113" s="63">
        <v>8.4738581476000001E-5</v>
      </c>
    </row>
    <row r="114" spans="2:5" ht="14.5" customHeight="1">
      <c r="B114" s="90"/>
      <c r="C114" s="61" t="s">
        <v>153</v>
      </c>
      <c r="D114" s="62">
        <v>1</v>
      </c>
      <c r="E114" s="63">
        <v>8.4738581476000001E-5</v>
      </c>
    </row>
    <row r="115" spans="2:5" ht="14.5" customHeight="1">
      <c r="B115" s="90"/>
      <c r="C115" s="61" t="s">
        <v>134</v>
      </c>
      <c r="D115" s="62">
        <v>9</v>
      </c>
      <c r="E115" s="63">
        <v>7.6264723328500002E-4</v>
      </c>
    </row>
    <row r="116" spans="2:5" ht="14.5" customHeight="1">
      <c r="B116" s="90"/>
      <c r="C116" s="61" t="s">
        <v>154</v>
      </c>
      <c r="D116" s="62">
        <v>1</v>
      </c>
      <c r="E116" s="63">
        <v>8.4738581476000001E-5</v>
      </c>
    </row>
    <row r="117" spans="2:5" ht="14.5" customHeight="1">
      <c r="B117" s="90"/>
      <c r="C117" s="61" t="s">
        <v>168</v>
      </c>
      <c r="D117" s="62">
        <v>1</v>
      </c>
      <c r="E117" s="63">
        <v>8.4738581476000001E-5</v>
      </c>
    </row>
    <row r="118" spans="2:5" ht="14.5" customHeight="1">
      <c r="B118" s="90"/>
      <c r="C118" s="61" t="s">
        <v>156</v>
      </c>
      <c r="D118" s="62">
        <v>1</v>
      </c>
      <c r="E118" s="63">
        <v>8.4738581476000001E-5</v>
      </c>
    </row>
    <row r="119" spans="2:5" ht="14.5" customHeight="1">
      <c r="B119" s="90"/>
      <c r="C119" s="61" t="s">
        <v>136</v>
      </c>
      <c r="D119" s="62">
        <v>6</v>
      </c>
      <c r="E119" s="63">
        <v>5.0843148885699996E-4</v>
      </c>
    </row>
    <row r="120" spans="2:5" ht="14.5" customHeight="1">
      <c r="B120" s="90"/>
      <c r="C120" s="61" t="s">
        <v>137</v>
      </c>
      <c r="D120" s="62">
        <v>44</v>
      </c>
      <c r="E120" s="63">
        <v>3.7284975849499998E-3</v>
      </c>
    </row>
    <row r="121" spans="2:5" ht="14.5" customHeight="1">
      <c r="B121" s="90"/>
      <c r="C121" s="61" t="s">
        <v>164</v>
      </c>
      <c r="D121" s="62">
        <v>1</v>
      </c>
      <c r="E121" s="63">
        <v>8.4738581476000001E-5</v>
      </c>
    </row>
    <row r="122" spans="2:5" ht="14.5" customHeight="1">
      <c r="B122" s="90"/>
      <c r="C122" s="61" t="s">
        <v>138</v>
      </c>
      <c r="D122" s="62">
        <v>6</v>
      </c>
      <c r="E122" s="63">
        <v>5.0843148885699996E-4</v>
      </c>
    </row>
    <row r="123" spans="2:5" ht="14.5" customHeight="1">
      <c r="B123" s="90"/>
      <c r="C123" s="61" t="s">
        <v>165</v>
      </c>
      <c r="D123" s="62">
        <v>1</v>
      </c>
      <c r="E123" s="63">
        <v>8.4738581476000001E-5</v>
      </c>
    </row>
    <row r="124" spans="2:5" ht="14.5" customHeight="1">
      <c r="B124" s="90"/>
      <c r="C124" s="61" t="s">
        <v>158</v>
      </c>
      <c r="D124" s="62">
        <v>2</v>
      </c>
      <c r="E124" s="63">
        <v>1.69477162952E-4</v>
      </c>
    </row>
    <row r="125" spans="2:5" ht="14.5" customHeight="1">
      <c r="B125" s="90"/>
      <c r="C125" s="61" t="s">
        <v>139</v>
      </c>
      <c r="D125" s="62">
        <v>1</v>
      </c>
      <c r="E125" s="63">
        <v>8.4738581476000001E-5</v>
      </c>
    </row>
    <row r="126" spans="2:5" ht="14.5" customHeight="1">
      <c r="B126" s="90"/>
      <c r="C126" s="61" t="s">
        <v>140</v>
      </c>
      <c r="D126" s="62">
        <v>29</v>
      </c>
      <c r="E126" s="63">
        <v>2.4574188628079998E-3</v>
      </c>
    </row>
    <row r="127" spans="2:5" ht="14.5" customHeight="1">
      <c r="B127" s="90"/>
      <c r="C127" s="61" t="s">
        <v>159</v>
      </c>
      <c r="D127" s="62">
        <v>1</v>
      </c>
      <c r="E127" s="63">
        <v>8.4738581476000001E-5</v>
      </c>
    </row>
    <row r="128" spans="2:5" ht="14.5" customHeight="1">
      <c r="B128" s="90"/>
      <c r="C128" s="61" t="s">
        <v>160</v>
      </c>
      <c r="D128" s="62">
        <v>6</v>
      </c>
      <c r="E128" s="63">
        <v>5.0843148885699996E-4</v>
      </c>
    </row>
    <row r="129" spans="2:5" ht="14.5" customHeight="1">
      <c r="B129" s="90"/>
      <c r="C129" s="61" t="s">
        <v>141</v>
      </c>
      <c r="D129" s="62">
        <v>29</v>
      </c>
      <c r="E129" s="63">
        <v>2.4574188628079998E-3</v>
      </c>
    </row>
    <row r="130" spans="2:5" ht="14.5" customHeight="1">
      <c r="B130" s="90"/>
      <c r="C130" s="61" t="s">
        <v>142</v>
      </c>
      <c r="D130" s="62">
        <v>1</v>
      </c>
      <c r="E130" s="63">
        <v>8.4738581476000001E-5</v>
      </c>
    </row>
    <row r="131" spans="2:5" ht="14.5" customHeight="1">
      <c r="B131" s="90"/>
      <c r="C131" s="61" t="s">
        <v>143</v>
      </c>
      <c r="D131" s="62">
        <v>19</v>
      </c>
      <c r="E131" s="63">
        <v>1.6100330480470001E-3</v>
      </c>
    </row>
    <row r="132" spans="2:5" ht="14.5" customHeight="1">
      <c r="B132" s="90"/>
      <c r="C132" s="61" t="s">
        <v>144</v>
      </c>
      <c r="D132" s="62">
        <v>24</v>
      </c>
      <c r="E132" s="63">
        <v>2.0337259554279999E-3</v>
      </c>
    </row>
    <row r="133" spans="2:5" ht="14.5" customHeight="1">
      <c r="B133" s="90"/>
      <c r="C133" s="61" t="s">
        <v>146</v>
      </c>
      <c r="D133" s="62">
        <v>149</v>
      </c>
      <c r="E133" s="63">
        <v>1.2626048639946E-2</v>
      </c>
    </row>
    <row r="134" spans="2:5" ht="14.5" customHeight="1">
      <c r="B134" s="90"/>
      <c r="C134" s="61" t="s">
        <v>147</v>
      </c>
      <c r="D134" s="62">
        <v>6</v>
      </c>
      <c r="E134" s="63">
        <v>5.0843148885699996E-4</v>
      </c>
    </row>
    <row r="135" spans="2:5" ht="14.5" customHeight="1">
      <c r="B135" s="90"/>
      <c r="C135" s="61" t="s">
        <v>167</v>
      </c>
      <c r="D135" s="62">
        <v>1</v>
      </c>
      <c r="E135" s="63">
        <v>8.4738581476000001E-5</v>
      </c>
    </row>
    <row r="136" spans="2:5" ht="14.5" customHeight="1">
      <c r="B136" s="90"/>
      <c r="C136" s="61" t="s">
        <v>148</v>
      </c>
      <c r="D136" s="62">
        <v>2</v>
      </c>
      <c r="E136" s="63">
        <v>1.69477162952E-4</v>
      </c>
    </row>
    <row r="137" spans="2:5" ht="14.5" customHeight="1">
      <c r="B137" s="91"/>
      <c r="C137" s="66" t="s">
        <v>284</v>
      </c>
      <c r="D137" s="64">
        <v>363</v>
      </c>
      <c r="E137" s="67">
        <v>3.0760105075841E-2</v>
      </c>
    </row>
    <row r="138" spans="2:5" ht="14.5" customHeight="1">
      <c r="B138" s="89" t="s">
        <v>46</v>
      </c>
      <c r="C138" s="61" t="s">
        <v>161</v>
      </c>
      <c r="D138" s="62">
        <v>3</v>
      </c>
      <c r="E138" s="63">
        <v>2.54215744428E-4</v>
      </c>
    </row>
    <row r="139" spans="2:5" ht="14.5" customHeight="1">
      <c r="B139" s="90"/>
      <c r="C139" s="61" t="s">
        <v>133</v>
      </c>
      <c r="D139" s="62">
        <v>270</v>
      </c>
      <c r="E139" s="63">
        <v>2.2879416998558999E-2</v>
      </c>
    </row>
    <row r="140" spans="2:5" ht="14.5" customHeight="1">
      <c r="B140" s="90"/>
      <c r="C140" s="61" t="s">
        <v>149</v>
      </c>
      <c r="D140" s="62">
        <v>47</v>
      </c>
      <c r="E140" s="63">
        <v>3.9827133293790003E-3</v>
      </c>
    </row>
    <row r="141" spans="2:5" ht="14.5" customHeight="1">
      <c r="B141" s="90"/>
      <c r="C141" s="61" t="s">
        <v>150</v>
      </c>
      <c r="D141" s="62">
        <v>3</v>
      </c>
      <c r="E141" s="63">
        <v>2.54215744428E-4</v>
      </c>
    </row>
    <row r="142" spans="2:5" ht="14.5" customHeight="1">
      <c r="B142" s="90"/>
      <c r="C142" s="61" t="s">
        <v>151</v>
      </c>
      <c r="D142" s="62">
        <v>5</v>
      </c>
      <c r="E142" s="63">
        <v>4.2369290738100002E-4</v>
      </c>
    </row>
    <row r="143" spans="2:5" ht="14.5" customHeight="1">
      <c r="B143" s="90"/>
      <c r="C143" s="61" t="s">
        <v>162</v>
      </c>
      <c r="D143" s="62">
        <v>19</v>
      </c>
      <c r="E143" s="63">
        <v>1.6100330480470001E-3</v>
      </c>
    </row>
    <row r="144" spans="2:5" ht="14.5" customHeight="1">
      <c r="B144" s="90"/>
      <c r="C144" s="61" t="s">
        <v>152</v>
      </c>
      <c r="D144" s="62">
        <v>6</v>
      </c>
      <c r="E144" s="63">
        <v>5.0843148885699996E-4</v>
      </c>
    </row>
    <row r="145" spans="2:5" ht="14.5" customHeight="1">
      <c r="B145" s="90"/>
      <c r="C145" s="61" t="s">
        <v>163</v>
      </c>
      <c r="D145" s="62">
        <v>5</v>
      </c>
      <c r="E145" s="63">
        <v>4.2369290738100002E-4</v>
      </c>
    </row>
    <row r="146" spans="2:5" ht="14.5" customHeight="1">
      <c r="B146" s="90"/>
      <c r="C146" s="61" t="s">
        <v>153</v>
      </c>
      <c r="D146" s="62">
        <v>10</v>
      </c>
      <c r="E146" s="63">
        <v>8.4738581476099997E-4</v>
      </c>
    </row>
    <row r="147" spans="2:5" ht="14.5" customHeight="1">
      <c r="B147" s="90"/>
      <c r="C147" s="61" t="s">
        <v>134</v>
      </c>
      <c r="D147" s="62">
        <v>50</v>
      </c>
      <c r="E147" s="63">
        <v>4.236929073807E-3</v>
      </c>
    </row>
    <row r="148" spans="2:5" ht="14.5" customHeight="1">
      <c r="B148" s="90"/>
      <c r="C148" s="61" t="s">
        <v>154</v>
      </c>
      <c r="D148" s="62">
        <v>27</v>
      </c>
      <c r="E148" s="63">
        <v>2.2879416998559999E-3</v>
      </c>
    </row>
    <row r="149" spans="2:5" ht="14.5" customHeight="1">
      <c r="B149" s="90"/>
      <c r="C149" s="61" t="s">
        <v>155</v>
      </c>
      <c r="D149" s="62">
        <v>4</v>
      </c>
      <c r="E149" s="63">
        <v>3.3895432590500002E-4</v>
      </c>
    </row>
    <row r="150" spans="2:5" ht="14.5" customHeight="1">
      <c r="B150" s="90"/>
      <c r="C150" s="61" t="s">
        <v>168</v>
      </c>
      <c r="D150" s="62">
        <v>5</v>
      </c>
      <c r="E150" s="63">
        <v>4.2369290738100002E-4</v>
      </c>
    </row>
    <row r="151" spans="2:5" ht="14.5" customHeight="1">
      <c r="B151" s="90"/>
      <c r="C151" s="61" t="s">
        <v>169</v>
      </c>
      <c r="D151" s="62">
        <v>4</v>
      </c>
      <c r="E151" s="63">
        <v>3.3895432590500002E-4</v>
      </c>
    </row>
    <row r="152" spans="2:5" ht="14.5" customHeight="1">
      <c r="B152" s="90"/>
      <c r="C152" s="61" t="s">
        <v>135</v>
      </c>
      <c r="D152" s="62">
        <v>15</v>
      </c>
      <c r="E152" s="63">
        <v>1.271078722142E-3</v>
      </c>
    </row>
    <row r="153" spans="2:5" ht="14.5" customHeight="1">
      <c r="B153" s="90"/>
      <c r="C153" s="61" t="s">
        <v>156</v>
      </c>
      <c r="D153" s="62">
        <v>4</v>
      </c>
      <c r="E153" s="63">
        <v>3.3895432590500002E-4</v>
      </c>
    </row>
    <row r="154" spans="2:5" ht="14.5" customHeight="1">
      <c r="B154" s="90"/>
      <c r="C154" s="61" t="s">
        <v>157</v>
      </c>
      <c r="D154" s="62">
        <v>6</v>
      </c>
      <c r="E154" s="63">
        <v>5.0843148885699996E-4</v>
      </c>
    </row>
    <row r="155" spans="2:5" ht="14.5" customHeight="1">
      <c r="B155" s="90"/>
      <c r="C155" s="61" t="s">
        <v>136</v>
      </c>
      <c r="D155" s="62">
        <v>68</v>
      </c>
      <c r="E155" s="63">
        <v>5.7622235403779996E-3</v>
      </c>
    </row>
    <row r="156" spans="2:5" ht="14.5" customHeight="1">
      <c r="B156" s="90"/>
      <c r="C156" s="61" t="s">
        <v>137</v>
      </c>
      <c r="D156" s="62">
        <v>484</v>
      </c>
      <c r="E156" s="63">
        <v>4.1013473434455001E-2</v>
      </c>
    </row>
    <row r="157" spans="2:5" ht="14.5" customHeight="1">
      <c r="B157" s="90"/>
      <c r="C157" s="61" t="s">
        <v>164</v>
      </c>
      <c r="D157" s="62">
        <v>2</v>
      </c>
      <c r="E157" s="63">
        <v>1.69477162952E-4</v>
      </c>
    </row>
    <row r="158" spans="2:5" ht="14.5" customHeight="1">
      <c r="B158" s="90"/>
      <c r="C158" s="61" t="s">
        <v>138</v>
      </c>
      <c r="D158" s="62">
        <v>329</v>
      </c>
      <c r="E158" s="63">
        <v>2.7878993305652001E-2</v>
      </c>
    </row>
    <row r="159" spans="2:5" ht="14.5" customHeight="1">
      <c r="B159" s="90"/>
      <c r="C159" s="61" t="s">
        <v>165</v>
      </c>
      <c r="D159" s="62">
        <v>2</v>
      </c>
      <c r="E159" s="63">
        <v>1.69477162952E-4</v>
      </c>
    </row>
    <row r="160" spans="2:5" ht="14.5" customHeight="1">
      <c r="B160" s="90"/>
      <c r="C160" s="61" t="s">
        <v>170</v>
      </c>
      <c r="D160" s="62">
        <v>4</v>
      </c>
      <c r="E160" s="63">
        <v>3.3895432590500002E-4</v>
      </c>
    </row>
    <row r="161" spans="2:5" ht="14.5" customHeight="1">
      <c r="B161" s="90"/>
      <c r="C161" s="61" t="s">
        <v>158</v>
      </c>
      <c r="D161" s="62">
        <v>14</v>
      </c>
      <c r="E161" s="63">
        <v>1.186340140666E-3</v>
      </c>
    </row>
    <row r="162" spans="2:5" ht="14.5" customHeight="1">
      <c r="B162" s="90"/>
      <c r="C162" s="61" t="s">
        <v>139</v>
      </c>
      <c r="D162" s="62">
        <v>15</v>
      </c>
      <c r="E162" s="63">
        <v>1.271078722142E-3</v>
      </c>
    </row>
    <row r="163" spans="2:5" ht="14.5" customHeight="1">
      <c r="B163" s="90"/>
      <c r="C163" s="61" t="s">
        <v>140</v>
      </c>
      <c r="D163" s="62">
        <v>300</v>
      </c>
      <c r="E163" s="63">
        <v>2.5421574442844E-2</v>
      </c>
    </row>
    <row r="164" spans="2:5" ht="14.5" customHeight="1">
      <c r="B164" s="90"/>
      <c r="C164" s="61" t="s">
        <v>166</v>
      </c>
      <c r="D164" s="62">
        <v>10</v>
      </c>
      <c r="E164" s="63">
        <v>8.4738581476099997E-4</v>
      </c>
    </row>
    <row r="165" spans="2:5" ht="14.5" customHeight="1">
      <c r="B165" s="90"/>
      <c r="C165" s="61" t="s">
        <v>159</v>
      </c>
      <c r="D165" s="62">
        <v>14</v>
      </c>
      <c r="E165" s="63">
        <v>1.186340140666E-3</v>
      </c>
    </row>
    <row r="166" spans="2:5" ht="14.5" customHeight="1">
      <c r="B166" s="90"/>
      <c r="C166" s="61" t="s">
        <v>160</v>
      </c>
      <c r="D166" s="62">
        <v>95</v>
      </c>
      <c r="E166" s="63">
        <v>8.0501652402340008E-3</v>
      </c>
    </row>
    <row r="167" spans="2:5" ht="14.5" customHeight="1">
      <c r="B167" s="90"/>
      <c r="C167" s="61" t="s">
        <v>141</v>
      </c>
      <c r="D167" s="62">
        <v>141</v>
      </c>
      <c r="E167" s="63">
        <v>1.1948139988136999E-2</v>
      </c>
    </row>
    <row r="168" spans="2:5" ht="14.5" customHeight="1">
      <c r="B168" s="90"/>
      <c r="C168" s="61" t="s">
        <v>142</v>
      </c>
      <c r="D168" s="62">
        <v>53</v>
      </c>
      <c r="E168" s="63">
        <v>4.4911448182359997E-3</v>
      </c>
    </row>
    <row r="169" spans="2:5" ht="14.5" customHeight="1">
      <c r="B169" s="90"/>
      <c r="C169" s="61" t="s">
        <v>143</v>
      </c>
      <c r="D169" s="62">
        <v>218</v>
      </c>
      <c r="E169" s="63">
        <v>1.84730107618E-2</v>
      </c>
    </row>
    <row r="170" spans="2:5" ht="14.5" customHeight="1">
      <c r="B170" s="90"/>
      <c r="C170" s="61" t="s">
        <v>144</v>
      </c>
      <c r="D170" s="62">
        <v>109</v>
      </c>
      <c r="E170" s="63">
        <v>9.2365053808999998E-3</v>
      </c>
    </row>
    <row r="171" spans="2:5" ht="14.5" customHeight="1">
      <c r="B171" s="90"/>
      <c r="C171" s="61" t="s">
        <v>145</v>
      </c>
      <c r="D171" s="62">
        <v>6</v>
      </c>
      <c r="E171" s="63">
        <v>5.0843148885699996E-4</v>
      </c>
    </row>
    <row r="172" spans="2:5" ht="14.5" customHeight="1">
      <c r="B172" s="90"/>
      <c r="C172" s="61" t="s">
        <v>146</v>
      </c>
      <c r="D172" s="62">
        <v>525</v>
      </c>
      <c r="E172" s="63">
        <v>4.4487755274977003E-2</v>
      </c>
    </row>
    <row r="173" spans="2:5" ht="14.5" customHeight="1">
      <c r="B173" s="90"/>
      <c r="C173" s="61" t="s">
        <v>147</v>
      </c>
      <c r="D173" s="62">
        <v>28</v>
      </c>
      <c r="E173" s="63">
        <v>2.3726802813320001E-3</v>
      </c>
    </row>
    <row r="174" spans="2:5" ht="14.5" customHeight="1">
      <c r="B174" s="90"/>
      <c r="C174" s="61" t="s">
        <v>167</v>
      </c>
      <c r="D174" s="62">
        <v>4</v>
      </c>
      <c r="E174" s="63">
        <v>3.3895432590500002E-4</v>
      </c>
    </row>
    <row r="175" spans="2:5" ht="14.5" customHeight="1">
      <c r="B175" s="90"/>
      <c r="C175" s="61" t="s">
        <v>148</v>
      </c>
      <c r="D175" s="62">
        <v>28</v>
      </c>
      <c r="E175" s="63">
        <v>2.3726802813320001E-3</v>
      </c>
    </row>
    <row r="176" spans="2:5" ht="14.5" customHeight="1">
      <c r="B176" s="91"/>
      <c r="C176" s="66" t="s">
        <v>284</v>
      </c>
      <c r="D176" s="64">
        <v>2932</v>
      </c>
      <c r="E176" s="67">
        <v>0.24845352088806</v>
      </c>
    </row>
    <row r="177" spans="2:5" ht="14.5" customHeight="1">
      <c r="B177" s="89" t="s">
        <v>63</v>
      </c>
      <c r="C177" s="61" t="s">
        <v>161</v>
      </c>
      <c r="D177" s="62">
        <v>1</v>
      </c>
      <c r="E177" s="63">
        <v>8.4738581476000001E-5</v>
      </c>
    </row>
    <row r="178" spans="2:5" ht="14.5" customHeight="1">
      <c r="B178" s="90"/>
      <c r="C178" s="61" t="s">
        <v>133</v>
      </c>
      <c r="D178" s="62">
        <v>66</v>
      </c>
      <c r="E178" s="63">
        <v>5.5927463774260002E-3</v>
      </c>
    </row>
    <row r="179" spans="2:5" ht="14.5" customHeight="1">
      <c r="B179" s="90"/>
      <c r="C179" s="61" t="s">
        <v>149</v>
      </c>
      <c r="D179" s="62">
        <v>2</v>
      </c>
      <c r="E179" s="63">
        <v>1.69477162952E-4</v>
      </c>
    </row>
    <row r="180" spans="2:5" ht="14.5" customHeight="1">
      <c r="B180" s="90"/>
      <c r="C180" s="61" t="s">
        <v>152</v>
      </c>
      <c r="D180" s="62">
        <v>1</v>
      </c>
      <c r="E180" s="63">
        <v>8.4738581476000001E-5</v>
      </c>
    </row>
    <row r="181" spans="2:5" ht="14.5" customHeight="1">
      <c r="B181" s="90"/>
      <c r="C181" s="61" t="s">
        <v>134</v>
      </c>
      <c r="D181" s="62">
        <v>3</v>
      </c>
      <c r="E181" s="63">
        <v>2.54215744428E-4</v>
      </c>
    </row>
    <row r="182" spans="2:5" ht="14.5" customHeight="1">
      <c r="B182" s="90"/>
      <c r="C182" s="61" t="s">
        <v>154</v>
      </c>
      <c r="D182" s="62">
        <v>1</v>
      </c>
      <c r="E182" s="63">
        <v>8.4738581476000001E-5</v>
      </c>
    </row>
    <row r="183" spans="2:5" ht="14.5" customHeight="1">
      <c r="B183" s="90"/>
      <c r="C183" s="61" t="s">
        <v>135</v>
      </c>
      <c r="D183" s="62">
        <v>5</v>
      </c>
      <c r="E183" s="63">
        <v>4.2369290738100002E-4</v>
      </c>
    </row>
    <row r="184" spans="2:5" ht="14.5" customHeight="1">
      <c r="B184" s="90"/>
      <c r="C184" s="61" t="s">
        <v>137</v>
      </c>
      <c r="D184" s="62">
        <v>10</v>
      </c>
      <c r="E184" s="63">
        <v>8.4738581476099997E-4</v>
      </c>
    </row>
    <row r="185" spans="2:5" ht="14.5" customHeight="1">
      <c r="B185" s="90"/>
      <c r="C185" s="61" t="s">
        <v>164</v>
      </c>
      <c r="D185" s="62">
        <v>1</v>
      </c>
      <c r="E185" s="63">
        <v>8.4738581476000001E-5</v>
      </c>
    </row>
    <row r="186" spans="2:5" ht="14.5" customHeight="1">
      <c r="B186" s="90"/>
      <c r="C186" s="61" t="s">
        <v>138</v>
      </c>
      <c r="D186" s="62">
        <v>4</v>
      </c>
      <c r="E186" s="63">
        <v>3.3895432590500002E-4</v>
      </c>
    </row>
    <row r="187" spans="2:5" ht="14.5" customHeight="1">
      <c r="B187" s="90"/>
      <c r="C187" s="61" t="s">
        <v>158</v>
      </c>
      <c r="D187" s="62">
        <v>2</v>
      </c>
      <c r="E187" s="63">
        <v>1.69477162952E-4</v>
      </c>
    </row>
    <row r="188" spans="2:5" ht="14.5" customHeight="1">
      <c r="B188" s="90"/>
      <c r="C188" s="61" t="s">
        <v>140</v>
      </c>
      <c r="D188" s="62">
        <v>13</v>
      </c>
      <c r="E188" s="63">
        <v>1.1016015591900001E-3</v>
      </c>
    </row>
    <row r="189" spans="2:5" ht="14.5" customHeight="1">
      <c r="B189" s="90"/>
      <c r="C189" s="61" t="s">
        <v>166</v>
      </c>
      <c r="D189" s="62">
        <v>1</v>
      </c>
      <c r="E189" s="63">
        <v>8.4738581476000001E-5</v>
      </c>
    </row>
    <row r="190" spans="2:5" ht="14.5" customHeight="1">
      <c r="B190" s="90"/>
      <c r="C190" s="61" t="s">
        <v>141</v>
      </c>
      <c r="D190" s="62">
        <v>1</v>
      </c>
      <c r="E190" s="63">
        <v>8.4738581476000001E-5</v>
      </c>
    </row>
    <row r="191" spans="2:5" ht="14.5" customHeight="1">
      <c r="B191" s="90"/>
      <c r="C191" s="61" t="s">
        <v>142</v>
      </c>
      <c r="D191" s="62">
        <v>1</v>
      </c>
      <c r="E191" s="63">
        <v>8.4738581476000001E-5</v>
      </c>
    </row>
    <row r="192" spans="2:5" ht="14.5" customHeight="1">
      <c r="B192" s="90"/>
      <c r="C192" s="61" t="s">
        <v>143</v>
      </c>
      <c r="D192" s="62">
        <v>7</v>
      </c>
      <c r="E192" s="63">
        <v>5.9317007033300002E-4</v>
      </c>
    </row>
    <row r="193" spans="2:5" ht="14.5" customHeight="1">
      <c r="B193" s="90"/>
      <c r="C193" s="61" t="s">
        <v>144</v>
      </c>
      <c r="D193" s="62">
        <v>2</v>
      </c>
      <c r="E193" s="63">
        <v>1.69477162952E-4</v>
      </c>
    </row>
    <row r="194" spans="2:5" ht="14.5" customHeight="1">
      <c r="B194" s="90"/>
      <c r="C194" s="61" t="s">
        <v>146</v>
      </c>
      <c r="D194" s="62">
        <v>5</v>
      </c>
      <c r="E194" s="63">
        <v>4.2369290738100002E-4</v>
      </c>
    </row>
    <row r="195" spans="2:5" ht="14.5" customHeight="1">
      <c r="B195" s="90"/>
      <c r="C195" s="61" t="s">
        <v>148</v>
      </c>
      <c r="D195" s="62">
        <v>1</v>
      </c>
      <c r="E195" s="63">
        <v>8.4738581476000001E-5</v>
      </c>
    </row>
    <row r="196" spans="2:5" ht="14.5" customHeight="1">
      <c r="B196" s="91"/>
      <c r="C196" s="66" t="s">
        <v>284</v>
      </c>
      <c r="D196" s="64">
        <v>127</v>
      </c>
      <c r="E196" s="67">
        <v>1.0761799847471E-2</v>
      </c>
    </row>
    <row r="197" spans="2:5" ht="14.5" customHeight="1">
      <c r="B197" s="89" t="s">
        <v>55</v>
      </c>
      <c r="C197" s="61" t="s">
        <v>133</v>
      </c>
      <c r="D197" s="62">
        <v>6</v>
      </c>
      <c r="E197" s="63">
        <v>5.0843148885699996E-4</v>
      </c>
    </row>
    <row r="198" spans="2:5" ht="14.5" customHeight="1">
      <c r="B198" s="90"/>
      <c r="C198" s="61" t="s">
        <v>152</v>
      </c>
      <c r="D198" s="62">
        <v>2</v>
      </c>
      <c r="E198" s="63">
        <v>1.69477162952E-4</v>
      </c>
    </row>
    <row r="199" spans="2:5" ht="14.5" customHeight="1">
      <c r="B199" s="90"/>
      <c r="C199" s="61" t="s">
        <v>163</v>
      </c>
      <c r="D199" s="62">
        <v>7</v>
      </c>
      <c r="E199" s="63">
        <v>5.9317007033300002E-4</v>
      </c>
    </row>
    <row r="200" spans="2:5" ht="14.5" customHeight="1">
      <c r="B200" s="90"/>
      <c r="C200" s="61" t="s">
        <v>134</v>
      </c>
      <c r="D200" s="62">
        <v>16</v>
      </c>
      <c r="E200" s="63">
        <v>1.3558173036179999E-3</v>
      </c>
    </row>
    <row r="201" spans="2:5" ht="14.5" customHeight="1">
      <c r="B201" s="90"/>
      <c r="C201" s="61" t="s">
        <v>169</v>
      </c>
      <c r="D201" s="62">
        <v>1</v>
      </c>
      <c r="E201" s="63">
        <v>8.4738581476000001E-5</v>
      </c>
    </row>
    <row r="202" spans="2:5" ht="14.5" customHeight="1">
      <c r="B202" s="90"/>
      <c r="C202" s="61" t="s">
        <v>136</v>
      </c>
      <c r="D202" s="62">
        <v>11</v>
      </c>
      <c r="E202" s="63">
        <v>9.3212439623799998E-4</v>
      </c>
    </row>
    <row r="203" spans="2:5" ht="14.5" customHeight="1">
      <c r="B203" s="90"/>
      <c r="C203" s="61" t="s">
        <v>137</v>
      </c>
      <c r="D203" s="62">
        <v>5</v>
      </c>
      <c r="E203" s="63">
        <v>4.2369290738100002E-4</v>
      </c>
    </row>
    <row r="204" spans="2:5" ht="14.5" customHeight="1">
      <c r="B204" s="90"/>
      <c r="C204" s="61" t="s">
        <v>138</v>
      </c>
      <c r="D204" s="62">
        <v>2</v>
      </c>
      <c r="E204" s="63">
        <v>1.69477162952E-4</v>
      </c>
    </row>
    <row r="205" spans="2:5" ht="14.5" customHeight="1">
      <c r="B205" s="90"/>
      <c r="C205" s="61" t="s">
        <v>158</v>
      </c>
      <c r="D205" s="62">
        <v>3</v>
      </c>
      <c r="E205" s="63">
        <v>2.54215744428E-4</v>
      </c>
    </row>
    <row r="206" spans="2:5" ht="14.5" customHeight="1">
      <c r="B206" s="90"/>
      <c r="C206" s="61" t="s">
        <v>139</v>
      </c>
      <c r="D206" s="62">
        <v>1</v>
      </c>
      <c r="E206" s="63">
        <v>8.4738581476000001E-5</v>
      </c>
    </row>
    <row r="207" spans="2:5" ht="14.5" customHeight="1">
      <c r="B207" s="90"/>
      <c r="C207" s="61" t="s">
        <v>140</v>
      </c>
      <c r="D207" s="62">
        <v>3</v>
      </c>
      <c r="E207" s="63">
        <v>2.54215744428E-4</v>
      </c>
    </row>
    <row r="208" spans="2:5" ht="14.5" customHeight="1">
      <c r="B208" s="90"/>
      <c r="C208" s="61" t="s">
        <v>141</v>
      </c>
      <c r="D208" s="62">
        <v>5</v>
      </c>
      <c r="E208" s="63">
        <v>4.2369290738100002E-4</v>
      </c>
    </row>
    <row r="209" spans="2:5" ht="14.5" customHeight="1">
      <c r="B209" s="90"/>
      <c r="C209" s="61" t="s">
        <v>143</v>
      </c>
      <c r="D209" s="62">
        <v>1</v>
      </c>
      <c r="E209" s="63">
        <v>8.4738581476000001E-5</v>
      </c>
    </row>
    <row r="210" spans="2:5" ht="14.5" customHeight="1">
      <c r="B210" s="90"/>
      <c r="C210" s="61" t="s">
        <v>144</v>
      </c>
      <c r="D210" s="62">
        <v>8</v>
      </c>
      <c r="E210" s="63">
        <v>6.7790865180899996E-4</v>
      </c>
    </row>
    <row r="211" spans="2:5" ht="14.5" customHeight="1">
      <c r="B211" s="90"/>
      <c r="C211" s="61" t="s">
        <v>145</v>
      </c>
      <c r="D211" s="62">
        <v>3</v>
      </c>
      <c r="E211" s="63">
        <v>2.54215744428E-4</v>
      </c>
    </row>
    <row r="212" spans="2:5" ht="14.5" customHeight="1">
      <c r="B212" s="90"/>
      <c r="C212" s="61" t="s">
        <v>146</v>
      </c>
      <c r="D212" s="62">
        <v>141</v>
      </c>
      <c r="E212" s="63">
        <v>1.1948139988136999E-2</v>
      </c>
    </row>
    <row r="213" spans="2:5" ht="14.5" customHeight="1">
      <c r="B213" s="90"/>
      <c r="C213" s="61" t="s">
        <v>147</v>
      </c>
      <c r="D213" s="62">
        <v>1</v>
      </c>
      <c r="E213" s="63">
        <v>8.4738581476000001E-5</v>
      </c>
    </row>
    <row r="214" spans="2:5" ht="14.5" customHeight="1">
      <c r="B214" s="91"/>
      <c r="C214" s="66" t="s">
        <v>284</v>
      </c>
      <c r="D214" s="64">
        <v>216</v>
      </c>
      <c r="E214" s="67">
        <v>1.8303533598847999E-2</v>
      </c>
    </row>
    <row r="215" spans="2:5" ht="14.5" customHeight="1">
      <c r="B215" s="89" t="s">
        <v>76</v>
      </c>
      <c r="C215" s="61" t="s">
        <v>133</v>
      </c>
      <c r="D215" s="62">
        <v>2</v>
      </c>
      <c r="E215" s="63">
        <v>1.69477162952E-4</v>
      </c>
    </row>
    <row r="216" spans="2:5" ht="14.5" customHeight="1">
      <c r="B216" s="90"/>
      <c r="C216" s="61" t="s">
        <v>163</v>
      </c>
      <c r="D216" s="62">
        <v>1</v>
      </c>
      <c r="E216" s="63">
        <v>8.4738581476000001E-5</v>
      </c>
    </row>
    <row r="217" spans="2:5" ht="14.5" customHeight="1">
      <c r="B217" s="90"/>
      <c r="C217" s="61" t="s">
        <v>134</v>
      </c>
      <c r="D217" s="62">
        <v>1</v>
      </c>
      <c r="E217" s="63">
        <v>8.4738581476000001E-5</v>
      </c>
    </row>
    <row r="218" spans="2:5" ht="14.5" customHeight="1">
      <c r="B218" s="90"/>
      <c r="C218" s="61" t="s">
        <v>136</v>
      </c>
      <c r="D218" s="62">
        <v>5</v>
      </c>
      <c r="E218" s="63">
        <v>4.2369290738100002E-4</v>
      </c>
    </row>
    <row r="219" spans="2:5" ht="14.5" customHeight="1">
      <c r="B219" s="90"/>
      <c r="C219" s="61" t="s">
        <v>137</v>
      </c>
      <c r="D219" s="62">
        <v>7</v>
      </c>
      <c r="E219" s="63">
        <v>5.9317007033300002E-4</v>
      </c>
    </row>
    <row r="220" spans="2:5" ht="14.5" customHeight="1">
      <c r="B220" s="90"/>
      <c r="C220" s="61" t="s">
        <v>138</v>
      </c>
      <c r="D220" s="62">
        <v>1</v>
      </c>
      <c r="E220" s="63">
        <v>8.4738581476000001E-5</v>
      </c>
    </row>
    <row r="221" spans="2:5" ht="14.5" customHeight="1">
      <c r="B221" s="90"/>
      <c r="C221" s="61" t="s">
        <v>140</v>
      </c>
      <c r="D221" s="62">
        <v>3</v>
      </c>
      <c r="E221" s="63">
        <v>2.54215744428E-4</v>
      </c>
    </row>
    <row r="222" spans="2:5" ht="14.5" customHeight="1">
      <c r="B222" s="90"/>
      <c r="C222" s="61" t="s">
        <v>166</v>
      </c>
      <c r="D222" s="62">
        <v>1</v>
      </c>
      <c r="E222" s="63">
        <v>8.4738581476000001E-5</v>
      </c>
    </row>
    <row r="223" spans="2:5" ht="14.5" customHeight="1">
      <c r="B223" s="90"/>
      <c r="C223" s="61" t="s">
        <v>159</v>
      </c>
      <c r="D223" s="62">
        <v>2</v>
      </c>
      <c r="E223" s="63">
        <v>1.69477162952E-4</v>
      </c>
    </row>
    <row r="224" spans="2:5" ht="14.5" customHeight="1">
      <c r="B224" s="90"/>
      <c r="C224" s="61" t="s">
        <v>160</v>
      </c>
      <c r="D224" s="62">
        <v>5</v>
      </c>
      <c r="E224" s="63">
        <v>4.2369290738100002E-4</v>
      </c>
    </row>
    <row r="225" spans="2:5" ht="14.5" customHeight="1">
      <c r="B225" s="90"/>
      <c r="C225" s="61" t="s">
        <v>141</v>
      </c>
      <c r="D225" s="62">
        <v>6</v>
      </c>
      <c r="E225" s="63">
        <v>5.0843148885699996E-4</v>
      </c>
    </row>
    <row r="226" spans="2:5" ht="14.5" customHeight="1">
      <c r="B226" s="90"/>
      <c r="C226" s="61" t="s">
        <v>143</v>
      </c>
      <c r="D226" s="62">
        <v>3</v>
      </c>
      <c r="E226" s="63">
        <v>2.54215744428E-4</v>
      </c>
    </row>
    <row r="227" spans="2:5" ht="14.5" customHeight="1">
      <c r="B227" s="90"/>
      <c r="C227" s="61" t="s">
        <v>144</v>
      </c>
      <c r="D227" s="62">
        <v>3</v>
      </c>
      <c r="E227" s="63">
        <v>2.54215744428E-4</v>
      </c>
    </row>
    <row r="228" spans="2:5" ht="14.5" customHeight="1">
      <c r="B228" s="90"/>
      <c r="C228" s="61" t="s">
        <v>146</v>
      </c>
      <c r="D228" s="62">
        <v>36</v>
      </c>
      <c r="E228" s="63">
        <v>3.0505889331410001E-3</v>
      </c>
    </row>
    <row r="229" spans="2:5" ht="14.5" customHeight="1">
      <c r="B229" s="91"/>
      <c r="C229" s="66" t="s">
        <v>284</v>
      </c>
      <c r="D229" s="64">
        <v>76</v>
      </c>
      <c r="E229" s="67">
        <v>6.4401321921870001E-3</v>
      </c>
    </row>
    <row r="230" spans="2:5" ht="14.5" customHeight="1">
      <c r="B230" s="89" t="s">
        <v>77</v>
      </c>
      <c r="C230" s="61" t="s">
        <v>161</v>
      </c>
      <c r="D230" s="62">
        <v>1</v>
      </c>
      <c r="E230" s="63">
        <v>8.4738581476000001E-5</v>
      </c>
    </row>
    <row r="231" spans="2:5" ht="14.5" customHeight="1">
      <c r="B231" s="90"/>
      <c r="C231" s="61" t="s">
        <v>149</v>
      </c>
      <c r="D231" s="62">
        <v>7</v>
      </c>
      <c r="E231" s="63">
        <v>5.9317007033300002E-4</v>
      </c>
    </row>
    <row r="232" spans="2:5" ht="14.5" customHeight="1">
      <c r="B232" s="90"/>
      <c r="C232" s="61" t="s">
        <v>163</v>
      </c>
      <c r="D232" s="62">
        <v>2</v>
      </c>
      <c r="E232" s="63">
        <v>1.69477162952E-4</v>
      </c>
    </row>
    <row r="233" spans="2:5" ht="14.5" customHeight="1">
      <c r="B233" s="90"/>
      <c r="C233" s="61" t="s">
        <v>137</v>
      </c>
      <c r="D233" s="62">
        <v>2</v>
      </c>
      <c r="E233" s="63">
        <v>1.69477162952E-4</v>
      </c>
    </row>
    <row r="234" spans="2:5" ht="14.5" customHeight="1">
      <c r="B234" s="90"/>
      <c r="C234" s="61" t="s">
        <v>138</v>
      </c>
      <c r="D234" s="62">
        <v>4</v>
      </c>
      <c r="E234" s="63">
        <v>3.3895432590500002E-4</v>
      </c>
    </row>
    <row r="235" spans="2:5" ht="14.5" customHeight="1">
      <c r="B235" s="90"/>
      <c r="C235" s="61" t="s">
        <v>158</v>
      </c>
      <c r="D235" s="62">
        <v>1</v>
      </c>
      <c r="E235" s="63">
        <v>8.4738581476000001E-5</v>
      </c>
    </row>
    <row r="236" spans="2:5" ht="14.5" customHeight="1">
      <c r="B236" s="90"/>
      <c r="C236" s="61" t="s">
        <v>140</v>
      </c>
      <c r="D236" s="62">
        <v>23</v>
      </c>
      <c r="E236" s="63">
        <v>1.9489873739510001E-3</v>
      </c>
    </row>
    <row r="237" spans="2:5" ht="14.5" customHeight="1">
      <c r="B237" s="90"/>
      <c r="C237" s="61" t="s">
        <v>160</v>
      </c>
      <c r="D237" s="62">
        <v>1</v>
      </c>
      <c r="E237" s="63">
        <v>8.4738581476000001E-5</v>
      </c>
    </row>
    <row r="238" spans="2:5" ht="14.5" customHeight="1">
      <c r="B238" s="90"/>
      <c r="C238" s="61" t="s">
        <v>141</v>
      </c>
      <c r="D238" s="62">
        <v>7</v>
      </c>
      <c r="E238" s="63">
        <v>5.9317007033300002E-4</v>
      </c>
    </row>
    <row r="239" spans="2:5" ht="14.5" customHeight="1">
      <c r="B239" s="90"/>
      <c r="C239" s="61" t="s">
        <v>143</v>
      </c>
      <c r="D239" s="62">
        <v>7</v>
      </c>
      <c r="E239" s="63">
        <v>5.9317007033300002E-4</v>
      </c>
    </row>
    <row r="240" spans="2:5" ht="14.5" customHeight="1">
      <c r="B240" s="90"/>
      <c r="C240" s="61" t="s">
        <v>144</v>
      </c>
      <c r="D240" s="62">
        <v>2</v>
      </c>
      <c r="E240" s="63">
        <v>1.69477162952E-4</v>
      </c>
    </row>
    <row r="241" spans="2:5" ht="14.5" customHeight="1">
      <c r="B241" s="90"/>
      <c r="C241" s="61" t="s">
        <v>145</v>
      </c>
      <c r="D241" s="62">
        <v>1</v>
      </c>
      <c r="E241" s="63">
        <v>8.4738581476000001E-5</v>
      </c>
    </row>
    <row r="242" spans="2:5" ht="14.5" customHeight="1">
      <c r="B242" s="90"/>
      <c r="C242" s="61" t="s">
        <v>146</v>
      </c>
      <c r="D242" s="62">
        <v>2</v>
      </c>
      <c r="E242" s="63">
        <v>1.69477162952E-4</v>
      </c>
    </row>
    <row r="243" spans="2:5" ht="14.5" customHeight="1">
      <c r="B243" s="90"/>
      <c r="C243" s="61" t="s">
        <v>167</v>
      </c>
      <c r="D243" s="62">
        <v>1</v>
      </c>
      <c r="E243" s="63">
        <v>8.4738581476000001E-5</v>
      </c>
    </row>
    <row r="244" spans="2:5" ht="14.5" customHeight="1">
      <c r="B244" s="90"/>
      <c r="C244" s="61" t="s">
        <v>148</v>
      </c>
      <c r="D244" s="62">
        <v>1</v>
      </c>
      <c r="E244" s="63">
        <v>8.4738581476000001E-5</v>
      </c>
    </row>
    <row r="245" spans="2:5" ht="14.5" customHeight="1">
      <c r="B245" s="91"/>
      <c r="C245" s="66" t="s">
        <v>284</v>
      </c>
      <c r="D245" s="64">
        <v>62</v>
      </c>
      <c r="E245" s="67">
        <v>5.2537920515210003E-3</v>
      </c>
    </row>
    <row r="246" spans="2:5" ht="14.5" customHeight="1">
      <c r="B246" s="89" t="s">
        <v>54</v>
      </c>
      <c r="C246" s="61" t="s">
        <v>133</v>
      </c>
      <c r="D246" s="62">
        <v>2</v>
      </c>
      <c r="E246" s="63">
        <v>1.69477162952E-4</v>
      </c>
    </row>
    <row r="247" spans="2:5" ht="14.5" customHeight="1">
      <c r="B247" s="90"/>
      <c r="C247" s="61" t="s">
        <v>134</v>
      </c>
      <c r="D247" s="62">
        <v>10</v>
      </c>
      <c r="E247" s="63">
        <v>8.4738581476099997E-4</v>
      </c>
    </row>
    <row r="248" spans="2:5" ht="14.5" customHeight="1">
      <c r="B248" s="90"/>
      <c r="C248" s="61" t="s">
        <v>136</v>
      </c>
      <c r="D248" s="62">
        <v>23</v>
      </c>
      <c r="E248" s="63">
        <v>1.9489873739510001E-3</v>
      </c>
    </row>
    <row r="249" spans="2:5" ht="14.5" customHeight="1">
      <c r="B249" s="90"/>
      <c r="C249" s="61" t="s">
        <v>137</v>
      </c>
      <c r="D249" s="62">
        <v>3</v>
      </c>
      <c r="E249" s="63">
        <v>2.54215744428E-4</v>
      </c>
    </row>
    <row r="250" spans="2:5" ht="14.5" customHeight="1">
      <c r="B250" s="90"/>
      <c r="C250" s="61" t="s">
        <v>139</v>
      </c>
      <c r="D250" s="62">
        <v>1</v>
      </c>
      <c r="E250" s="63">
        <v>8.4738581476000001E-5</v>
      </c>
    </row>
    <row r="251" spans="2:5" ht="14.5" customHeight="1">
      <c r="B251" s="90"/>
      <c r="C251" s="61" t="s">
        <v>140</v>
      </c>
      <c r="D251" s="62">
        <v>2</v>
      </c>
      <c r="E251" s="63">
        <v>1.69477162952E-4</v>
      </c>
    </row>
    <row r="252" spans="2:5" ht="14.5" customHeight="1">
      <c r="B252" s="90"/>
      <c r="C252" s="61" t="s">
        <v>160</v>
      </c>
      <c r="D252" s="62">
        <v>2</v>
      </c>
      <c r="E252" s="63">
        <v>1.69477162952E-4</v>
      </c>
    </row>
    <row r="253" spans="2:5" ht="14.5" customHeight="1">
      <c r="B253" s="90"/>
      <c r="C253" s="61" t="s">
        <v>141</v>
      </c>
      <c r="D253" s="62">
        <v>2</v>
      </c>
      <c r="E253" s="63">
        <v>1.69477162952E-4</v>
      </c>
    </row>
    <row r="254" spans="2:5" ht="14.5" customHeight="1">
      <c r="B254" s="90"/>
      <c r="C254" s="61" t="s">
        <v>144</v>
      </c>
      <c r="D254" s="62">
        <v>17</v>
      </c>
      <c r="E254" s="63">
        <v>1.4405558850940001E-3</v>
      </c>
    </row>
    <row r="255" spans="2:5" ht="14.5" customHeight="1">
      <c r="B255" s="90"/>
      <c r="C255" s="61" t="s">
        <v>146</v>
      </c>
      <c r="D255" s="62">
        <v>114</v>
      </c>
      <c r="E255" s="63">
        <v>9.6601982882809998E-3</v>
      </c>
    </row>
    <row r="256" spans="2:5" ht="14.5" customHeight="1">
      <c r="B256" s="90"/>
      <c r="C256" s="61" t="s">
        <v>147</v>
      </c>
      <c r="D256" s="62">
        <v>3</v>
      </c>
      <c r="E256" s="63">
        <v>2.54215744428E-4</v>
      </c>
    </row>
    <row r="257" spans="2:5" ht="14.5" customHeight="1">
      <c r="B257" s="90"/>
      <c r="C257" s="61" t="s">
        <v>148</v>
      </c>
      <c r="D257" s="62">
        <v>1</v>
      </c>
      <c r="E257" s="63">
        <v>8.4738581476000001E-5</v>
      </c>
    </row>
    <row r="258" spans="2:5" ht="14.5" customHeight="1">
      <c r="B258" s="91"/>
      <c r="C258" s="66" t="s">
        <v>284</v>
      </c>
      <c r="D258" s="64">
        <v>180</v>
      </c>
      <c r="E258" s="67">
        <v>1.5252944665706E-2</v>
      </c>
    </row>
    <row r="259" spans="2:5" ht="14.5" customHeight="1">
      <c r="B259" s="89" t="s">
        <v>82</v>
      </c>
      <c r="C259" s="61" t="s">
        <v>134</v>
      </c>
      <c r="D259" s="62">
        <v>1</v>
      </c>
      <c r="E259" s="63">
        <v>8.4738581476000001E-5</v>
      </c>
    </row>
    <row r="260" spans="2:5" ht="14.5" customHeight="1">
      <c r="B260" s="90"/>
      <c r="C260" s="61" t="s">
        <v>137</v>
      </c>
      <c r="D260" s="62">
        <v>5</v>
      </c>
      <c r="E260" s="63">
        <v>4.2369290738100002E-4</v>
      </c>
    </row>
    <row r="261" spans="2:5" ht="14.5" customHeight="1">
      <c r="B261" s="90"/>
      <c r="C261" s="61" t="s">
        <v>139</v>
      </c>
      <c r="D261" s="62">
        <v>1</v>
      </c>
      <c r="E261" s="63">
        <v>8.4738581476000001E-5</v>
      </c>
    </row>
    <row r="262" spans="2:5" ht="14.5" customHeight="1">
      <c r="B262" s="90"/>
      <c r="C262" s="61" t="s">
        <v>160</v>
      </c>
      <c r="D262" s="62">
        <v>1</v>
      </c>
      <c r="E262" s="63">
        <v>8.4738581476000001E-5</v>
      </c>
    </row>
    <row r="263" spans="2:5" ht="14.5" customHeight="1">
      <c r="B263" s="90"/>
      <c r="C263" s="61" t="s">
        <v>141</v>
      </c>
      <c r="D263" s="62">
        <v>2</v>
      </c>
      <c r="E263" s="63">
        <v>1.69477162952E-4</v>
      </c>
    </row>
    <row r="264" spans="2:5" ht="14.5" customHeight="1">
      <c r="B264" s="90"/>
      <c r="C264" s="61" t="s">
        <v>143</v>
      </c>
      <c r="D264" s="62">
        <v>1</v>
      </c>
      <c r="E264" s="63">
        <v>8.4738581476000001E-5</v>
      </c>
    </row>
    <row r="265" spans="2:5" ht="14.5" customHeight="1">
      <c r="B265" s="90"/>
      <c r="C265" s="61" t="s">
        <v>146</v>
      </c>
      <c r="D265" s="62">
        <v>4</v>
      </c>
      <c r="E265" s="63">
        <v>3.3895432590500002E-4</v>
      </c>
    </row>
    <row r="266" spans="2:5" ht="14.5" customHeight="1">
      <c r="B266" s="91"/>
      <c r="C266" s="66" t="s">
        <v>284</v>
      </c>
      <c r="D266" s="64">
        <v>15</v>
      </c>
      <c r="E266" s="67">
        <v>1.271078722142E-3</v>
      </c>
    </row>
    <row r="267" spans="2:5" ht="14.5" customHeight="1">
      <c r="B267" s="89" t="s">
        <v>78</v>
      </c>
      <c r="C267" s="61" t="s">
        <v>133</v>
      </c>
      <c r="D267" s="62">
        <v>1</v>
      </c>
      <c r="E267" s="63">
        <v>8.4738581476000001E-5</v>
      </c>
    </row>
    <row r="268" spans="2:5" ht="14.5" customHeight="1">
      <c r="B268" s="90"/>
      <c r="C268" s="61" t="s">
        <v>134</v>
      </c>
      <c r="D268" s="62">
        <v>4</v>
      </c>
      <c r="E268" s="63">
        <v>3.3895432590500002E-4</v>
      </c>
    </row>
    <row r="269" spans="2:5" ht="14.5" customHeight="1">
      <c r="B269" s="90"/>
      <c r="C269" s="61" t="s">
        <v>155</v>
      </c>
      <c r="D269" s="62">
        <v>1</v>
      </c>
      <c r="E269" s="63">
        <v>8.4738581476000001E-5</v>
      </c>
    </row>
    <row r="270" spans="2:5" ht="14.5" customHeight="1">
      <c r="B270" s="90"/>
      <c r="C270" s="61" t="s">
        <v>136</v>
      </c>
      <c r="D270" s="62">
        <v>5</v>
      </c>
      <c r="E270" s="63">
        <v>4.2369290738100002E-4</v>
      </c>
    </row>
    <row r="271" spans="2:5" ht="14.5" customHeight="1">
      <c r="B271" s="90"/>
      <c r="C271" s="61" t="s">
        <v>137</v>
      </c>
      <c r="D271" s="62">
        <v>2</v>
      </c>
      <c r="E271" s="63">
        <v>1.69477162952E-4</v>
      </c>
    </row>
    <row r="272" spans="2:5" ht="14.5" customHeight="1">
      <c r="B272" s="90"/>
      <c r="C272" s="61" t="s">
        <v>140</v>
      </c>
      <c r="D272" s="62">
        <v>1</v>
      </c>
      <c r="E272" s="63">
        <v>8.4738581476000001E-5</v>
      </c>
    </row>
    <row r="273" spans="2:5" ht="14.5" customHeight="1">
      <c r="B273" s="90"/>
      <c r="C273" s="61" t="s">
        <v>159</v>
      </c>
      <c r="D273" s="62">
        <v>1</v>
      </c>
      <c r="E273" s="63">
        <v>8.4738581476000001E-5</v>
      </c>
    </row>
    <row r="274" spans="2:5" ht="14.5" customHeight="1">
      <c r="B274" s="90"/>
      <c r="C274" s="61" t="s">
        <v>141</v>
      </c>
      <c r="D274" s="62">
        <v>1</v>
      </c>
      <c r="E274" s="63">
        <v>8.4738581476000001E-5</v>
      </c>
    </row>
    <row r="275" spans="2:5" ht="14.5" customHeight="1">
      <c r="B275" s="90"/>
      <c r="C275" s="61" t="s">
        <v>144</v>
      </c>
      <c r="D275" s="62">
        <v>5</v>
      </c>
      <c r="E275" s="63">
        <v>4.2369290738100002E-4</v>
      </c>
    </row>
    <row r="276" spans="2:5" ht="14.5" customHeight="1">
      <c r="B276" s="90"/>
      <c r="C276" s="61" t="s">
        <v>146</v>
      </c>
      <c r="D276" s="62">
        <v>16</v>
      </c>
      <c r="E276" s="63">
        <v>1.3558173036179999E-3</v>
      </c>
    </row>
    <row r="277" spans="2:5" ht="14.5" customHeight="1">
      <c r="B277" s="90"/>
      <c r="C277" s="61" t="s">
        <v>148</v>
      </c>
      <c r="D277" s="62">
        <v>1</v>
      </c>
      <c r="E277" s="63">
        <v>8.4738581476000001E-5</v>
      </c>
    </row>
    <row r="278" spans="2:5" ht="14.5" customHeight="1">
      <c r="B278" s="91"/>
      <c r="C278" s="66" t="s">
        <v>284</v>
      </c>
      <c r="D278" s="64">
        <v>38</v>
      </c>
      <c r="E278" s="67">
        <v>3.2200660960940001E-3</v>
      </c>
    </row>
    <row r="279" spans="2:5" ht="14.5" customHeight="1">
      <c r="B279" s="89" t="s">
        <v>48</v>
      </c>
      <c r="C279" s="61" t="s">
        <v>161</v>
      </c>
      <c r="D279" s="62">
        <v>5</v>
      </c>
      <c r="E279" s="63">
        <v>4.2369290738100002E-4</v>
      </c>
    </row>
    <row r="280" spans="2:5" ht="14.5" customHeight="1">
      <c r="B280" s="90"/>
      <c r="C280" s="61" t="s">
        <v>133</v>
      </c>
      <c r="D280" s="62">
        <v>89</v>
      </c>
      <c r="E280" s="63">
        <v>7.5417337513769998E-3</v>
      </c>
    </row>
    <row r="281" spans="2:5" ht="14.5" customHeight="1">
      <c r="B281" s="90"/>
      <c r="C281" s="61" t="s">
        <v>149</v>
      </c>
      <c r="D281" s="62">
        <v>25</v>
      </c>
      <c r="E281" s="63">
        <v>2.118464536904E-3</v>
      </c>
    </row>
    <row r="282" spans="2:5" ht="14.5" customHeight="1">
      <c r="B282" s="90"/>
      <c r="C282" s="61" t="s">
        <v>150</v>
      </c>
      <c r="D282" s="62">
        <v>2</v>
      </c>
      <c r="E282" s="63">
        <v>1.69477162952E-4</v>
      </c>
    </row>
    <row r="283" spans="2:5" ht="14.5" customHeight="1">
      <c r="B283" s="90"/>
      <c r="C283" s="61" t="s">
        <v>151</v>
      </c>
      <c r="D283" s="62">
        <v>4</v>
      </c>
      <c r="E283" s="63">
        <v>3.3895432590500002E-4</v>
      </c>
    </row>
    <row r="284" spans="2:5" ht="14.5" customHeight="1">
      <c r="B284" s="90"/>
      <c r="C284" s="61" t="s">
        <v>162</v>
      </c>
      <c r="D284" s="62">
        <v>25</v>
      </c>
      <c r="E284" s="63">
        <v>2.118464536904E-3</v>
      </c>
    </row>
    <row r="285" spans="2:5" ht="14.5" customHeight="1">
      <c r="B285" s="90"/>
      <c r="C285" s="61" t="s">
        <v>152</v>
      </c>
      <c r="D285" s="62">
        <v>6</v>
      </c>
      <c r="E285" s="63">
        <v>5.0843148885699996E-4</v>
      </c>
    </row>
    <row r="286" spans="2:5" ht="14.5" customHeight="1">
      <c r="B286" s="90"/>
      <c r="C286" s="61" t="s">
        <v>153</v>
      </c>
      <c r="D286" s="62">
        <v>7</v>
      </c>
      <c r="E286" s="63">
        <v>5.9317007033300002E-4</v>
      </c>
    </row>
    <row r="287" spans="2:5" ht="14.5" customHeight="1">
      <c r="B287" s="90"/>
      <c r="C287" s="61" t="s">
        <v>134</v>
      </c>
      <c r="D287" s="62">
        <v>43</v>
      </c>
      <c r="E287" s="63">
        <v>3.6437590034740001E-3</v>
      </c>
    </row>
    <row r="288" spans="2:5" ht="14.5" customHeight="1">
      <c r="B288" s="90"/>
      <c r="C288" s="61" t="s">
        <v>154</v>
      </c>
      <c r="D288" s="62">
        <v>16</v>
      </c>
      <c r="E288" s="63">
        <v>1.3558173036179999E-3</v>
      </c>
    </row>
    <row r="289" spans="2:5" ht="14.5" customHeight="1">
      <c r="B289" s="90"/>
      <c r="C289" s="61" t="s">
        <v>155</v>
      </c>
      <c r="D289" s="62">
        <v>4</v>
      </c>
      <c r="E289" s="63">
        <v>3.3895432590500002E-4</v>
      </c>
    </row>
    <row r="290" spans="2:5" ht="14.5" customHeight="1">
      <c r="B290" s="90"/>
      <c r="C290" s="61" t="s">
        <v>168</v>
      </c>
      <c r="D290" s="62">
        <v>4</v>
      </c>
      <c r="E290" s="63">
        <v>3.3895432590500002E-4</v>
      </c>
    </row>
    <row r="291" spans="2:5" ht="14.5" customHeight="1">
      <c r="B291" s="90"/>
      <c r="C291" s="61" t="s">
        <v>135</v>
      </c>
      <c r="D291" s="62">
        <v>2</v>
      </c>
      <c r="E291" s="63">
        <v>1.69477162952E-4</v>
      </c>
    </row>
    <row r="292" spans="2:5" ht="14.5" customHeight="1">
      <c r="B292" s="90"/>
      <c r="C292" s="61" t="s">
        <v>156</v>
      </c>
      <c r="D292" s="62">
        <v>4</v>
      </c>
      <c r="E292" s="63">
        <v>3.3895432590500002E-4</v>
      </c>
    </row>
    <row r="293" spans="2:5" ht="14.5" customHeight="1">
      <c r="B293" s="90"/>
      <c r="C293" s="61" t="s">
        <v>136</v>
      </c>
      <c r="D293" s="62">
        <v>36</v>
      </c>
      <c r="E293" s="63">
        <v>3.0505889331410001E-3</v>
      </c>
    </row>
    <row r="294" spans="2:5" ht="14.5" customHeight="1">
      <c r="B294" s="90"/>
      <c r="C294" s="61" t="s">
        <v>137</v>
      </c>
      <c r="D294" s="62">
        <v>369</v>
      </c>
      <c r="E294" s="63">
        <v>3.1268536564698003E-2</v>
      </c>
    </row>
    <row r="295" spans="2:5" ht="14.5" customHeight="1">
      <c r="B295" s="90"/>
      <c r="C295" s="61" t="s">
        <v>164</v>
      </c>
      <c r="D295" s="62">
        <v>2</v>
      </c>
      <c r="E295" s="63">
        <v>1.69477162952E-4</v>
      </c>
    </row>
    <row r="296" spans="2:5" ht="14.5" customHeight="1">
      <c r="B296" s="90"/>
      <c r="C296" s="61" t="s">
        <v>138</v>
      </c>
      <c r="D296" s="62">
        <v>88</v>
      </c>
      <c r="E296" s="63">
        <v>7.4569951699009996E-3</v>
      </c>
    </row>
    <row r="297" spans="2:5" ht="14.5" customHeight="1">
      <c r="B297" s="90"/>
      <c r="C297" s="61" t="s">
        <v>165</v>
      </c>
      <c r="D297" s="62">
        <v>4</v>
      </c>
      <c r="E297" s="63">
        <v>3.3895432590500002E-4</v>
      </c>
    </row>
    <row r="298" spans="2:5" ht="14.5" customHeight="1">
      <c r="B298" s="90"/>
      <c r="C298" s="61" t="s">
        <v>170</v>
      </c>
      <c r="D298" s="62">
        <v>2</v>
      </c>
      <c r="E298" s="63">
        <v>1.69477162952E-4</v>
      </c>
    </row>
    <row r="299" spans="2:5" ht="14.5" customHeight="1">
      <c r="B299" s="90"/>
      <c r="C299" s="61" t="s">
        <v>158</v>
      </c>
      <c r="D299" s="62">
        <v>6</v>
      </c>
      <c r="E299" s="63">
        <v>5.0843148885699996E-4</v>
      </c>
    </row>
    <row r="300" spans="2:5" ht="14.5" customHeight="1">
      <c r="B300" s="90"/>
      <c r="C300" s="61" t="s">
        <v>139</v>
      </c>
      <c r="D300" s="62">
        <v>20</v>
      </c>
      <c r="E300" s="63">
        <v>1.694771629523E-3</v>
      </c>
    </row>
    <row r="301" spans="2:5" ht="14.5" customHeight="1">
      <c r="B301" s="90"/>
      <c r="C301" s="61" t="s">
        <v>140</v>
      </c>
      <c r="D301" s="62">
        <v>220</v>
      </c>
      <c r="E301" s="63">
        <v>1.8642487924752E-2</v>
      </c>
    </row>
    <row r="302" spans="2:5" ht="14.5" customHeight="1">
      <c r="B302" s="90"/>
      <c r="C302" s="61" t="s">
        <v>166</v>
      </c>
      <c r="D302" s="62">
        <v>2</v>
      </c>
      <c r="E302" s="63">
        <v>1.69477162952E-4</v>
      </c>
    </row>
    <row r="303" spans="2:5" ht="14.5" customHeight="1">
      <c r="B303" s="90"/>
      <c r="C303" s="61" t="s">
        <v>159</v>
      </c>
      <c r="D303" s="62">
        <v>13</v>
      </c>
      <c r="E303" s="63">
        <v>1.1016015591900001E-3</v>
      </c>
    </row>
    <row r="304" spans="2:5" ht="14.5" customHeight="1">
      <c r="B304" s="90"/>
      <c r="C304" s="61" t="s">
        <v>160</v>
      </c>
      <c r="D304" s="62">
        <v>47</v>
      </c>
      <c r="E304" s="63">
        <v>3.9827133293790003E-3</v>
      </c>
    </row>
    <row r="305" spans="2:5" ht="14.5" customHeight="1">
      <c r="B305" s="90"/>
      <c r="C305" s="61" t="s">
        <v>141</v>
      </c>
      <c r="D305" s="62">
        <v>156</v>
      </c>
      <c r="E305" s="63">
        <v>1.3219218710279E-2</v>
      </c>
    </row>
    <row r="306" spans="2:5" ht="14.5" customHeight="1">
      <c r="B306" s="90"/>
      <c r="C306" s="61" t="s">
        <v>142</v>
      </c>
      <c r="D306" s="62">
        <v>32</v>
      </c>
      <c r="E306" s="63">
        <v>2.7116346072369999E-3</v>
      </c>
    </row>
    <row r="307" spans="2:5" ht="14.5" customHeight="1">
      <c r="B307" s="90"/>
      <c r="C307" s="61" t="s">
        <v>143</v>
      </c>
      <c r="D307" s="62">
        <v>95</v>
      </c>
      <c r="E307" s="63">
        <v>8.0501652402340008E-3</v>
      </c>
    </row>
    <row r="308" spans="2:5" ht="14.5" customHeight="1">
      <c r="B308" s="90"/>
      <c r="C308" s="61" t="s">
        <v>144</v>
      </c>
      <c r="D308" s="62">
        <v>107</v>
      </c>
      <c r="E308" s="63">
        <v>9.0670282179479995E-3</v>
      </c>
    </row>
    <row r="309" spans="2:5" ht="14.5" customHeight="1">
      <c r="B309" s="90"/>
      <c r="C309" s="61" t="s">
        <v>145</v>
      </c>
      <c r="D309" s="62">
        <v>4</v>
      </c>
      <c r="E309" s="63">
        <v>3.3895432590500002E-4</v>
      </c>
    </row>
    <row r="310" spans="2:5" ht="14.5" customHeight="1">
      <c r="B310" s="90"/>
      <c r="C310" s="61" t="s">
        <v>146</v>
      </c>
      <c r="D310" s="62">
        <v>301</v>
      </c>
      <c r="E310" s="63">
        <v>2.550631302432E-2</v>
      </c>
    </row>
    <row r="311" spans="2:5" ht="14.5" customHeight="1">
      <c r="B311" s="90"/>
      <c r="C311" s="61" t="s">
        <v>147</v>
      </c>
      <c r="D311" s="62">
        <v>3</v>
      </c>
      <c r="E311" s="63">
        <v>2.54215744428E-4</v>
      </c>
    </row>
    <row r="312" spans="2:5" ht="14.5" customHeight="1">
      <c r="B312" s="90"/>
      <c r="C312" s="61" t="s">
        <v>167</v>
      </c>
      <c r="D312" s="62">
        <v>5</v>
      </c>
      <c r="E312" s="63">
        <v>4.2369290738100002E-4</v>
      </c>
    </row>
    <row r="313" spans="2:5" ht="14.5" customHeight="1">
      <c r="B313" s="90"/>
      <c r="C313" s="61" t="s">
        <v>148</v>
      </c>
      <c r="D313" s="62">
        <v>15</v>
      </c>
      <c r="E313" s="63">
        <v>1.271078722142E-3</v>
      </c>
    </row>
    <row r="314" spans="2:5" ht="14.5" customHeight="1">
      <c r="B314" s="91"/>
      <c r="C314" s="66" t="s">
        <v>284</v>
      </c>
      <c r="D314" s="64">
        <v>1763</v>
      </c>
      <c r="E314" s="67">
        <v>0.14939411914244599</v>
      </c>
    </row>
    <row r="315" spans="2:5" ht="14.5" customHeight="1">
      <c r="B315" s="89" t="s">
        <v>69</v>
      </c>
      <c r="C315" s="61" t="s">
        <v>133</v>
      </c>
      <c r="D315" s="62">
        <v>1</v>
      </c>
      <c r="E315" s="63">
        <v>8.4738581476000001E-5</v>
      </c>
    </row>
    <row r="316" spans="2:5" ht="14.5" customHeight="1">
      <c r="B316" s="90"/>
      <c r="C316" s="61" t="s">
        <v>162</v>
      </c>
      <c r="D316" s="62">
        <v>2</v>
      </c>
      <c r="E316" s="63">
        <v>1.69477162952E-4</v>
      </c>
    </row>
    <row r="317" spans="2:5" ht="14.5" customHeight="1">
      <c r="B317" s="90"/>
      <c r="C317" s="61" t="s">
        <v>134</v>
      </c>
      <c r="D317" s="62">
        <v>1</v>
      </c>
      <c r="E317" s="63">
        <v>8.4738581476000001E-5</v>
      </c>
    </row>
    <row r="318" spans="2:5" ht="14.5" customHeight="1">
      <c r="B318" s="90"/>
      <c r="C318" s="61" t="s">
        <v>156</v>
      </c>
      <c r="D318" s="62">
        <v>1</v>
      </c>
      <c r="E318" s="63">
        <v>8.4738581476000001E-5</v>
      </c>
    </row>
    <row r="319" spans="2:5" ht="14.5" customHeight="1">
      <c r="B319" s="90"/>
      <c r="C319" s="61" t="s">
        <v>137</v>
      </c>
      <c r="D319" s="62">
        <v>4</v>
      </c>
      <c r="E319" s="63">
        <v>3.3895432590500002E-4</v>
      </c>
    </row>
    <row r="320" spans="2:5" ht="14.5" customHeight="1">
      <c r="B320" s="90"/>
      <c r="C320" s="61" t="s">
        <v>140</v>
      </c>
      <c r="D320" s="62">
        <v>4</v>
      </c>
      <c r="E320" s="63">
        <v>3.3895432590500002E-4</v>
      </c>
    </row>
    <row r="321" spans="2:5" ht="14.5" customHeight="1">
      <c r="B321" s="90"/>
      <c r="C321" s="61" t="s">
        <v>166</v>
      </c>
      <c r="D321" s="62">
        <v>2</v>
      </c>
      <c r="E321" s="63">
        <v>1.69477162952E-4</v>
      </c>
    </row>
    <row r="322" spans="2:5" ht="14.5" customHeight="1">
      <c r="B322" s="90"/>
      <c r="C322" s="61" t="s">
        <v>160</v>
      </c>
      <c r="D322" s="62">
        <v>6</v>
      </c>
      <c r="E322" s="63">
        <v>5.0843148885699996E-4</v>
      </c>
    </row>
    <row r="323" spans="2:5" ht="14.5" customHeight="1">
      <c r="B323" s="90"/>
      <c r="C323" s="61" t="s">
        <v>141</v>
      </c>
      <c r="D323" s="62">
        <v>5</v>
      </c>
      <c r="E323" s="63">
        <v>4.2369290738100002E-4</v>
      </c>
    </row>
    <row r="324" spans="2:5" ht="14.5" customHeight="1">
      <c r="B324" s="90"/>
      <c r="C324" s="61" t="s">
        <v>142</v>
      </c>
      <c r="D324" s="62">
        <v>2</v>
      </c>
      <c r="E324" s="63">
        <v>1.69477162952E-4</v>
      </c>
    </row>
    <row r="325" spans="2:5" ht="14.5" customHeight="1">
      <c r="B325" s="90"/>
      <c r="C325" s="61" t="s">
        <v>143</v>
      </c>
      <c r="D325" s="62">
        <v>5</v>
      </c>
      <c r="E325" s="63">
        <v>4.2369290738100002E-4</v>
      </c>
    </row>
    <row r="326" spans="2:5" ht="14.5" customHeight="1">
      <c r="B326" s="90"/>
      <c r="C326" s="61" t="s">
        <v>144</v>
      </c>
      <c r="D326" s="62">
        <v>2</v>
      </c>
      <c r="E326" s="63">
        <v>1.69477162952E-4</v>
      </c>
    </row>
    <row r="327" spans="2:5" ht="14.5" customHeight="1">
      <c r="B327" s="90"/>
      <c r="C327" s="61" t="s">
        <v>146</v>
      </c>
      <c r="D327" s="62">
        <v>16</v>
      </c>
      <c r="E327" s="63">
        <v>1.3558173036179999E-3</v>
      </c>
    </row>
    <row r="328" spans="2:5" ht="14.5" customHeight="1">
      <c r="B328" s="90"/>
      <c r="C328" s="61" t="s">
        <v>147</v>
      </c>
      <c r="D328" s="62">
        <v>2</v>
      </c>
      <c r="E328" s="63">
        <v>1.69477162952E-4</v>
      </c>
    </row>
    <row r="329" spans="2:5" ht="14.5" customHeight="1">
      <c r="B329" s="91"/>
      <c r="C329" s="66" t="s">
        <v>284</v>
      </c>
      <c r="D329" s="64">
        <v>53</v>
      </c>
      <c r="E329" s="67">
        <v>4.4911448182359997E-3</v>
      </c>
    </row>
    <row r="330" spans="2:5" ht="14.5" customHeight="1">
      <c r="B330" s="89" t="s">
        <v>52</v>
      </c>
      <c r="C330" s="61" t="s">
        <v>133</v>
      </c>
      <c r="D330" s="62">
        <v>5</v>
      </c>
      <c r="E330" s="63">
        <v>4.2369290738100002E-4</v>
      </c>
    </row>
    <row r="331" spans="2:5" ht="14.5" customHeight="1">
      <c r="B331" s="90"/>
      <c r="C331" s="61" t="s">
        <v>149</v>
      </c>
      <c r="D331" s="62">
        <v>1</v>
      </c>
      <c r="E331" s="63">
        <v>8.4738581476000001E-5</v>
      </c>
    </row>
    <row r="332" spans="2:5" ht="14.5" customHeight="1">
      <c r="B332" s="90"/>
      <c r="C332" s="61" t="s">
        <v>151</v>
      </c>
      <c r="D332" s="62">
        <v>1</v>
      </c>
      <c r="E332" s="63">
        <v>8.4738581476000001E-5</v>
      </c>
    </row>
    <row r="333" spans="2:5" ht="14.5" customHeight="1">
      <c r="B333" s="90"/>
      <c r="C333" s="61" t="s">
        <v>163</v>
      </c>
      <c r="D333" s="62">
        <v>1</v>
      </c>
      <c r="E333" s="63">
        <v>8.4738581476000001E-5</v>
      </c>
    </row>
    <row r="334" spans="2:5" ht="14.5" customHeight="1">
      <c r="B334" s="90"/>
      <c r="C334" s="61" t="s">
        <v>134</v>
      </c>
      <c r="D334" s="62">
        <v>11</v>
      </c>
      <c r="E334" s="63">
        <v>9.3212439623799998E-4</v>
      </c>
    </row>
    <row r="335" spans="2:5" ht="14.5" customHeight="1">
      <c r="B335" s="90"/>
      <c r="C335" s="61" t="s">
        <v>154</v>
      </c>
      <c r="D335" s="62">
        <v>1</v>
      </c>
      <c r="E335" s="63">
        <v>8.4738581476000001E-5</v>
      </c>
    </row>
    <row r="336" spans="2:5" ht="14.5" customHeight="1">
      <c r="B336" s="90"/>
      <c r="C336" s="61" t="s">
        <v>136</v>
      </c>
      <c r="D336" s="62">
        <v>28</v>
      </c>
      <c r="E336" s="63">
        <v>2.3726802813320001E-3</v>
      </c>
    </row>
    <row r="337" spans="2:5" ht="14.5" customHeight="1">
      <c r="B337" s="90"/>
      <c r="C337" s="61" t="s">
        <v>137</v>
      </c>
      <c r="D337" s="62">
        <v>11</v>
      </c>
      <c r="E337" s="63">
        <v>9.3212439623799998E-4</v>
      </c>
    </row>
    <row r="338" spans="2:5" ht="14.5" customHeight="1">
      <c r="B338" s="90"/>
      <c r="C338" s="61" t="s">
        <v>138</v>
      </c>
      <c r="D338" s="62">
        <v>9</v>
      </c>
      <c r="E338" s="63">
        <v>7.6264723328500002E-4</v>
      </c>
    </row>
    <row r="339" spans="2:5" ht="14.5" customHeight="1">
      <c r="B339" s="90"/>
      <c r="C339" s="61" t="s">
        <v>170</v>
      </c>
      <c r="D339" s="62">
        <v>1</v>
      </c>
      <c r="E339" s="63">
        <v>8.4738581476000001E-5</v>
      </c>
    </row>
    <row r="340" spans="2:5" ht="14.5" customHeight="1">
      <c r="B340" s="90"/>
      <c r="C340" s="61" t="s">
        <v>140</v>
      </c>
      <c r="D340" s="62">
        <v>13</v>
      </c>
      <c r="E340" s="63">
        <v>1.1016015591900001E-3</v>
      </c>
    </row>
    <row r="341" spans="2:5" ht="14.5" customHeight="1">
      <c r="B341" s="90"/>
      <c r="C341" s="61" t="s">
        <v>159</v>
      </c>
      <c r="D341" s="62">
        <v>1</v>
      </c>
      <c r="E341" s="63">
        <v>8.4738581476000001E-5</v>
      </c>
    </row>
    <row r="342" spans="2:5" ht="14.5" customHeight="1">
      <c r="B342" s="90"/>
      <c r="C342" s="61" t="s">
        <v>160</v>
      </c>
      <c r="D342" s="62">
        <v>1</v>
      </c>
      <c r="E342" s="63">
        <v>8.4738581476000001E-5</v>
      </c>
    </row>
    <row r="343" spans="2:5" ht="14.5" customHeight="1">
      <c r="B343" s="90"/>
      <c r="C343" s="61" t="s">
        <v>141</v>
      </c>
      <c r="D343" s="62">
        <v>5</v>
      </c>
      <c r="E343" s="63">
        <v>4.2369290738100002E-4</v>
      </c>
    </row>
    <row r="344" spans="2:5" ht="14.5" customHeight="1">
      <c r="B344" s="90"/>
      <c r="C344" s="61" t="s">
        <v>143</v>
      </c>
      <c r="D344" s="62">
        <v>5</v>
      </c>
      <c r="E344" s="63">
        <v>4.2369290738100002E-4</v>
      </c>
    </row>
    <row r="345" spans="2:5" ht="14.5" customHeight="1">
      <c r="B345" s="90"/>
      <c r="C345" s="61" t="s">
        <v>144</v>
      </c>
      <c r="D345" s="62">
        <v>11</v>
      </c>
      <c r="E345" s="63">
        <v>9.3212439623799998E-4</v>
      </c>
    </row>
    <row r="346" spans="2:5" ht="14.5" customHeight="1">
      <c r="B346" s="90"/>
      <c r="C346" s="61" t="s">
        <v>145</v>
      </c>
      <c r="D346" s="62">
        <v>1</v>
      </c>
      <c r="E346" s="63">
        <v>8.4738581476000001E-5</v>
      </c>
    </row>
    <row r="347" spans="2:5" ht="14.5" customHeight="1">
      <c r="B347" s="90"/>
      <c r="C347" s="61" t="s">
        <v>146</v>
      </c>
      <c r="D347" s="62">
        <v>105</v>
      </c>
      <c r="E347" s="63">
        <v>8.8975510549949999E-3</v>
      </c>
    </row>
    <row r="348" spans="2:5" ht="14.5" customHeight="1">
      <c r="B348" s="90"/>
      <c r="C348" s="61" t="s">
        <v>147</v>
      </c>
      <c r="D348" s="62">
        <v>1</v>
      </c>
      <c r="E348" s="63">
        <v>8.4738581476000001E-5</v>
      </c>
    </row>
    <row r="349" spans="2:5" ht="14.5" customHeight="1">
      <c r="B349" s="90"/>
      <c r="C349" s="61" t="s">
        <v>148</v>
      </c>
      <c r="D349" s="62">
        <v>4</v>
      </c>
      <c r="E349" s="63">
        <v>3.3895432590500002E-4</v>
      </c>
    </row>
    <row r="350" spans="2:5" ht="14.5" customHeight="1">
      <c r="B350" s="91"/>
      <c r="C350" s="66" t="s">
        <v>284</v>
      </c>
      <c r="D350" s="64">
        <v>216</v>
      </c>
      <c r="E350" s="67">
        <v>1.8303533598847999E-2</v>
      </c>
    </row>
    <row r="351" spans="2:5" ht="14.5" customHeight="1">
      <c r="B351" s="89" t="s">
        <v>65</v>
      </c>
      <c r="C351" s="61" t="s">
        <v>133</v>
      </c>
      <c r="D351" s="62">
        <v>1</v>
      </c>
      <c r="E351" s="63">
        <v>8.4738581476000001E-5</v>
      </c>
    </row>
    <row r="352" spans="2:5" ht="14.5" customHeight="1">
      <c r="B352" s="90"/>
      <c r="C352" s="61" t="s">
        <v>149</v>
      </c>
      <c r="D352" s="62">
        <v>1</v>
      </c>
      <c r="E352" s="63">
        <v>8.4738581476000001E-5</v>
      </c>
    </row>
    <row r="353" spans="2:5" ht="14.5" customHeight="1">
      <c r="B353" s="90"/>
      <c r="C353" s="61" t="s">
        <v>150</v>
      </c>
      <c r="D353" s="62">
        <v>1</v>
      </c>
      <c r="E353" s="63">
        <v>8.4738581476000001E-5</v>
      </c>
    </row>
    <row r="354" spans="2:5" ht="14.5" customHeight="1">
      <c r="B354" s="90"/>
      <c r="C354" s="61" t="s">
        <v>151</v>
      </c>
      <c r="D354" s="62">
        <v>5</v>
      </c>
      <c r="E354" s="63">
        <v>4.2369290738100002E-4</v>
      </c>
    </row>
    <row r="355" spans="2:5" ht="14.5" customHeight="1">
      <c r="B355" s="90"/>
      <c r="C355" s="61" t="s">
        <v>153</v>
      </c>
      <c r="D355" s="62">
        <v>1</v>
      </c>
      <c r="E355" s="63">
        <v>8.4738581476000001E-5</v>
      </c>
    </row>
    <row r="356" spans="2:5" ht="14.5" customHeight="1">
      <c r="B356" s="90"/>
      <c r="C356" s="61" t="s">
        <v>134</v>
      </c>
      <c r="D356" s="62">
        <v>3</v>
      </c>
      <c r="E356" s="63">
        <v>2.54215744428E-4</v>
      </c>
    </row>
    <row r="357" spans="2:5" ht="14.5" customHeight="1">
      <c r="B357" s="90"/>
      <c r="C357" s="61" t="s">
        <v>155</v>
      </c>
      <c r="D357" s="62">
        <v>1</v>
      </c>
      <c r="E357" s="63">
        <v>8.4738581476000001E-5</v>
      </c>
    </row>
    <row r="358" spans="2:5" ht="14.5" customHeight="1">
      <c r="B358" s="90"/>
      <c r="C358" s="61" t="s">
        <v>169</v>
      </c>
      <c r="D358" s="62">
        <v>1</v>
      </c>
      <c r="E358" s="63">
        <v>8.4738581476000001E-5</v>
      </c>
    </row>
    <row r="359" spans="2:5" ht="14.5" customHeight="1">
      <c r="B359" s="90"/>
      <c r="C359" s="61" t="s">
        <v>137</v>
      </c>
      <c r="D359" s="62">
        <v>13</v>
      </c>
      <c r="E359" s="63">
        <v>1.1016015591900001E-3</v>
      </c>
    </row>
    <row r="360" spans="2:5" ht="14.5" customHeight="1">
      <c r="B360" s="90"/>
      <c r="C360" s="61" t="s">
        <v>138</v>
      </c>
      <c r="D360" s="62">
        <v>4</v>
      </c>
      <c r="E360" s="63">
        <v>3.3895432590500002E-4</v>
      </c>
    </row>
    <row r="361" spans="2:5" ht="14.5" customHeight="1">
      <c r="B361" s="90"/>
      <c r="C361" s="61" t="s">
        <v>170</v>
      </c>
      <c r="D361" s="62">
        <v>1</v>
      </c>
      <c r="E361" s="63">
        <v>8.4738581476000001E-5</v>
      </c>
    </row>
    <row r="362" spans="2:5" ht="14.5" customHeight="1">
      <c r="B362" s="90"/>
      <c r="C362" s="61" t="s">
        <v>139</v>
      </c>
      <c r="D362" s="62">
        <v>2</v>
      </c>
      <c r="E362" s="63">
        <v>1.69477162952E-4</v>
      </c>
    </row>
    <row r="363" spans="2:5" ht="14.5" customHeight="1">
      <c r="B363" s="90"/>
      <c r="C363" s="61" t="s">
        <v>140</v>
      </c>
      <c r="D363" s="62">
        <v>10</v>
      </c>
      <c r="E363" s="63">
        <v>8.4738581476099997E-4</v>
      </c>
    </row>
    <row r="364" spans="2:5" ht="14.5" customHeight="1">
      <c r="B364" s="90"/>
      <c r="C364" s="61" t="s">
        <v>160</v>
      </c>
      <c r="D364" s="62">
        <v>3</v>
      </c>
      <c r="E364" s="63">
        <v>2.54215744428E-4</v>
      </c>
    </row>
    <row r="365" spans="2:5" ht="14.5" customHeight="1">
      <c r="B365" s="90"/>
      <c r="C365" s="61" t="s">
        <v>141</v>
      </c>
      <c r="D365" s="62">
        <v>27</v>
      </c>
      <c r="E365" s="63">
        <v>2.2879416998559999E-3</v>
      </c>
    </row>
    <row r="366" spans="2:5" ht="14.5" customHeight="1">
      <c r="B366" s="90"/>
      <c r="C366" s="61" t="s">
        <v>142</v>
      </c>
      <c r="D366" s="62">
        <v>1</v>
      </c>
      <c r="E366" s="63">
        <v>8.4738581476000001E-5</v>
      </c>
    </row>
    <row r="367" spans="2:5" ht="14.5" customHeight="1">
      <c r="B367" s="90"/>
      <c r="C367" s="61" t="s">
        <v>143</v>
      </c>
      <c r="D367" s="62">
        <v>2</v>
      </c>
      <c r="E367" s="63">
        <v>1.69477162952E-4</v>
      </c>
    </row>
    <row r="368" spans="2:5" ht="14.5" customHeight="1">
      <c r="B368" s="90"/>
      <c r="C368" s="61" t="s">
        <v>144</v>
      </c>
      <c r="D368" s="62">
        <v>16</v>
      </c>
      <c r="E368" s="63">
        <v>1.3558173036179999E-3</v>
      </c>
    </row>
    <row r="369" spans="2:5" ht="14.5" customHeight="1">
      <c r="B369" s="90"/>
      <c r="C369" s="61" t="s">
        <v>146</v>
      </c>
      <c r="D369" s="62">
        <v>20</v>
      </c>
      <c r="E369" s="63">
        <v>1.694771629523E-3</v>
      </c>
    </row>
    <row r="370" spans="2:5" ht="14.5" customHeight="1">
      <c r="B370" s="90"/>
      <c r="C370" s="61" t="s">
        <v>147</v>
      </c>
      <c r="D370" s="62">
        <v>4</v>
      </c>
      <c r="E370" s="63">
        <v>3.3895432590500002E-4</v>
      </c>
    </row>
    <row r="371" spans="2:5" ht="14.5" customHeight="1">
      <c r="B371" s="91"/>
      <c r="C371" s="66" t="s">
        <v>284</v>
      </c>
      <c r="D371" s="64">
        <v>117</v>
      </c>
      <c r="E371" s="67">
        <v>9.9144140327090003E-3</v>
      </c>
    </row>
    <row r="372" spans="2:5" ht="14.5" customHeight="1">
      <c r="B372" s="89" t="s">
        <v>67</v>
      </c>
      <c r="C372" s="61" t="s">
        <v>133</v>
      </c>
      <c r="D372" s="62">
        <v>1</v>
      </c>
      <c r="E372" s="63">
        <v>8.4738581476000001E-5</v>
      </c>
    </row>
    <row r="373" spans="2:5" ht="14.5" customHeight="1">
      <c r="B373" s="90"/>
      <c r="C373" s="61" t="s">
        <v>152</v>
      </c>
      <c r="D373" s="62">
        <v>1</v>
      </c>
      <c r="E373" s="63">
        <v>8.4738581476000001E-5</v>
      </c>
    </row>
    <row r="374" spans="2:5" ht="14.5" customHeight="1">
      <c r="B374" s="90"/>
      <c r="C374" s="61" t="s">
        <v>163</v>
      </c>
      <c r="D374" s="62">
        <v>1</v>
      </c>
      <c r="E374" s="63">
        <v>8.4738581476000001E-5</v>
      </c>
    </row>
    <row r="375" spans="2:5" ht="14.5" customHeight="1">
      <c r="B375" s="90"/>
      <c r="C375" s="61" t="s">
        <v>134</v>
      </c>
      <c r="D375" s="62">
        <v>5</v>
      </c>
      <c r="E375" s="63">
        <v>4.2369290738100002E-4</v>
      </c>
    </row>
    <row r="376" spans="2:5" ht="14.5" customHeight="1">
      <c r="B376" s="90"/>
      <c r="C376" s="61" t="s">
        <v>155</v>
      </c>
      <c r="D376" s="62">
        <v>1</v>
      </c>
      <c r="E376" s="63">
        <v>8.4738581476000001E-5</v>
      </c>
    </row>
    <row r="377" spans="2:5" ht="14.5" customHeight="1">
      <c r="B377" s="90"/>
      <c r="C377" s="61" t="s">
        <v>136</v>
      </c>
      <c r="D377" s="62">
        <v>8</v>
      </c>
      <c r="E377" s="63">
        <v>6.7790865180899996E-4</v>
      </c>
    </row>
    <row r="378" spans="2:5" ht="14.5" customHeight="1">
      <c r="B378" s="90"/>
      <c r="C378" s="61" t="s">
        <v>137</v>
      </c>
      <c r="D378" s="62">
        <v>2</v>
      </c>
      <c r="E378" s="63">
        <v>1.69477162952E-4</v>
      </c>
    </row>
    <row r="379" spans="2:5" ht="14.5" customHeight="1">
      <c r="B379" s="90"/>
      <c r="C379" s="61" t="s">
        <v>138</v>
      </c>
      <c r="D379" s="62">
        <v>1</v>
      </c>
      <c r="E379" s="63">
        <v>8.4738581476000001E-5</v>
      </c>
    </row>
    <row r="380" spans="2:5" ht="14.5" customHeight="1">
      <c r="B380" s="90"/>
      <c r="C380" s="61" t="s">
        <v>158</v>
      </c>
      <c r="D380" s="62">
        <v>2</v>
      </c>
      <c r="E380" s="63">
        <v>1.69477162952E-4</v>
      </c>
    </row>
    <row r="381" spans="2:5" ht="14.5" customHeight="1">
      <c r="B381" s="90"/>
      <c r="C381" s="61" t="s">
        <v>140</v>
      </c>
      <c r="D381" s="62">
        <v>2</v>
      </c>
      <c r="E381" s="63">
        <v>1.69477162952E-4</v>
      </c>
    </row>
    <row r="382" spans="2:5" ht="14.5" customHeight="1">
      <c r="B382" s="90"/>
      <c r="C382" s="61" t="s">
        <v>166</v>
      </c>
      <c r="D382" s="62">
        <v>2</v>
      </c>
      <c r="E382" s="63">
        <v>1.69477162952E-4</v>
      </c>
    </row>
    <row r="383" spans="2:5" ht="14.5" customHeight="1">
      <c r="B383" s="90"/>
      <c r="C383" s="61" t="s">
        <v>141</v>
      </c>
      <c r="D383" s="62">
        <v>3</v>
      </c>
      <c r="E383" s="63">
        <v>2.54215744428E-4</v>
      </c>
    </row>
    <row r="384" spans="2:5" ht="14.5" customHeight="1">
      <c r="B384" s="90"/>
      <c r="C384" s="61" t="s">
        <v>143</v>
      </c>
      <c r="D384" s="62">
        <v>1</v>
      </c>
      <c r="E384" s="63">
        <v>8.4738581476000001E-5</v>
      </c>
    </row>
    <row r="385" spans="2:5" ht="14.5" customHeight="1">
      <c r="B385" s="90"/>
      <c r="C385" s="61" t="s">
        <v>146</v>
      </c>
      <c r="D385" s="62">
        <v>41</v>
      </c>
      <c r="E385" s="63">
        <v>3.4742818405220002E-3</v>
      </c>
    </row>
    <row r="386" spans="2:5" ht="14.5" customHeight="1">
      <c r="B386" s="90"/>
      <c r="C386" s="61" t="s">
        <v>148</v>
      </c>
      <c r="D386" s="62">
        <v>1</v>
      </c>
      <c r="E386" s="63">
        <v>8.4738581476000001E-5</v>
      </c>
    </row>
    <row r="387" spans="2:5" ht="14.5" customHeight="1">
      <c r="B387" s="91"/>
      <c r="C387" s="66" t="s">
        <v>284</v>
      </c>
      <c r="D387" s="64">
        <v>72</v>
      </c>
      <c r="E387" s="67">
        <v>6.1011778662830004E-3</v>
      </c>
    </row>
    <row r="388" spans="2:5" ht="14.5" customHeight="1">
      <c r="B388" s="89" t="s">
        <v>57</v>
      </c>
      <c r="C388" s="61" t="s">
        <v>133</v>
      </c>
      <c r="D388" s="62">
        <v>5</v>
      </c>
      <c r="E388" s="63">
        <v>4.2369290738100002E-4</v>
      </c>
    </row>
    <row r="389" spans="2:5" ht="14.5" customHeight="1">
      <c r="B389" s="90"/>
      <c r="C389" s="61" t="s">
        <v>149</v>
      </c>
      <c r="D389" s="62">
        <v>1</v>
      </c>
      <c r="E389" s="63">
        <v>8.4738581476000001E-5</v>
      </c>
    </row>
    <row r="390" spans="2:5" ht="14.5" customHeight="1">
      <c r="B390" s="90"/>
      <c r="C390" s="61" t="s">
        <v>162</v>
      </c>
      <c r="D390" s="62">
        <v>2</v>
      </c>
      <c r="E390" s="63">
        <v>1.69477162952E-4</v>
      </c>
    </row>
    <row r="391" spans="2:5" ht="14.5" customHeight="1">
      <c r="B391" s="90"/>
      <c r="C391" s="61" t="s">
        <v>134</v>
      </c>
      <c r="D391" s="62">
        <v>8</v>
      </c>
      <c r="E391" s="63">
        <v>6.7790865180899996E-4</v>
      </c>
    </row>
    <row r="392" spans="2:5" ht="14.5" customHeight="1">
      <c r="B392" s="90"/>
      <c r="C392" s="61" t="s">
        <v>155</v>
      </c>
      <c r="D392" s="62">
        <v>3</v>
      </c>
      <c r="E392" s="63">
        <v>2.54215744428E-4</v>
      </c>
    </row>
    <row r="393" spans="2:5" ht="14.5" customHeight="1">
      <c r="B393" s="90"/>
      <c r="C393" s="61" t="s">
        <v>136</v>
      </c>
      <c r="D393" s="62">
        <v>13</v>
      </c>
      <c r="E393" s="63">
        <v>1.1016015591900001E-3</v>
      </c>
    </row>
    <row r="394" spans="2:5" ht="14.5" customHeight="1">
      <c r="B394" s="90"/>
      <c r="C394" s="61" t="s">
        <v>137</v>
      </c>
      <c r="D394" s="62">
        <v>14</v>
      </c>
      <c r="E394" s="63">
        <v>1.186340140666E-3</v>
      </c>
    </row>
    <row r="395" spans="2:5" ht="14.5" customHeight="1">
      <c r="B395" s="90"/>
      <c r="C395" s="61" t="s">
        <v>138</v>
      </c>
      <c r="D395" s="62">
        <v>3</v>
      </c>
      <c r="E395" s="63">
        <v>2.54215744428E-4</v>
      </c>
    </row>
    <row r="396" spans="2:5" ht="14.5" customHeight="1">
      <c r="B396" s="90"/>
      <c r="C396" s="61" t="s">
        <v>158</v>
      </c>
      <c r="D396" s="62">
        <v>1</v>
      </c>
      <c r="E396" s="63">
        <v>8.4738581476000001E-5</v>
      </c>
    </row>
    <row r="397" spans="2:5" ht="14.5" customHeight="1">
      <c r="B397" s="90"/>
      <c r="C397" s="61" t="s">
        <v>140</v>
      </c>
      <c r="D397" s="62">
        <v>11</v>
      </c>
      <c r="E397" s="63">
        <v>9.3212439623799998E-4</v>
      </c>
    </row>
    <row r="398" spans="2:5" ht="14.5" customHeight="1">
      <c r="B398" s="90"/>
      <c r="C398" s="61" t="s">
        <v>159</v>
      </c>
      <c r="D398" s="62">
        <v>1</v>
      </c>
      <c r="E398" s="63">
        <v>8.4738581476000001E-5</v>
      </c>
    </row>
    <row r="399" spans="2:5" ht="14.5" customHeight="1">
      <c r="B399" s="90"/>
      <c r="C399" s="61" t="s">
        <v>160</v>
      </c>
      <c r="D399" s="62">
        <v>11</v>
      </c>
      <c r="E399" s="63">
        <v>9.3212439623799998E-4</v>
      </c>
    </row>
    <row r="400" spans="2:5" ht="14.5" customHeight="1">
      <c r="B400" s="90"/>
      <c r="C400" s="61" t="s">
        <v>141</v>
      </c>
      <c r="D400" s="62">
        <v>23</v>
      </c>
      <c r="E400" s="63">
        <v>1.9489873739510001E-3</v>
      </c>
    </row>
    <row r="401" spans="2:5" ht="14.5" customHeight="1">
      <c r="B401" s="90"/>
      <c r="C401" s="61" t="s">
        <v>143</v>
      </c>
      <c r="D401" s="62">
        <v>6</v>
      </c>
      <c r="E401" s="63">
        <v>5.0843148885699996E-4</v>
      </c>
    </row>
    <row r="402" spans="2:5" ht="14.5" customHeight="1">
      <c r="B402" s="90"/>
      <c r="C402" s="61" t="s">
        <v>144</v>
      </c>
      <c r="D402" s="62">
        <v>8</v>
      </c>
      <c r="E402" s="63">
        <v>6.7790865180899996E-4</v>
      </c>
    </row>
    <row r="403" spans="2:5" ht="14.5" customHeight="1">
      <c r="B403" s="90"/>
      <c r="C403" s="61" t="s">
        <v>146</v>
      </c>
      <c r="D403" s="62">
        <v>57</v>
      </c>
      <c r="E403" s="63">
        <v>4.8300991441400003E-3</v>
      </c>
    </row>
    <row r="404" spans="2:5" ht="14.5" customHeight="1">
      <c r="B404" s="90"/>
      <c r="C404" s="61" t="s">
        <v>147</v>
      </c>
      <c r="D404" s="62">
        <v>2</v>
      </c>
      <c r="E404" s="63">
        <v>1.69477162952E-4</v>
      </c>
    </row>
    <row r="405" spans="2:5" ht="14.5" customHeight="1">
      <c r="B405" s="90"/>
      <c r="C405" s="61" t="s">
        <v>148</v>
      </c>
      <c r="D405" s="62">
        <v>1</v>
      </c>
      <c r="E405" s="63">
        <v>8.4738581476000001E-5</v>
      </c>
    </row>
    <row r="406" spans="2:5" ht="14.5" customHeight="1">
      <c r="B406" s="91"/>
      <c r="C406" s="66" t="s">
        <v>284</v>
      </c>
      <c r="D406" s="64">
        <v>170</v>
      </c>
      <c r="E406" s="67">
        <v>1.4405558850945001E-2</v>
      </c>
    </row>
    <row r="407" spans="2:5" ht="14.5" customHeight="1">
      <c r="B407" s="89" t="s">
        <v>53</v>
      </c>
      <c r="C407" s="61" t="s">
        <v>133</v>
      </c>
      <c r="D407" s="62">
        <v>2</v>
      </c>
      <c r="E407" s="63">
        <v>1.69477162952E-4</v>
      </c>
    </row>
    <row r="408" spans="2:5" ht="14.5" customHeight="1">
      <c r="B408" s="90"/>
      <c r="C408" s="61" t="s">
        <v>150</v>
      </c>
      <c r="D408" s="62">
        <v>1</v>
      </c>
      <c r="E408" s="63">
        <v>8.4738581476000001E-5</v>
      </c>
    </row>
    <row r="409" spans="2:5" ht="14.5" customHeight="1">
      <c r="B409" s="90"/>
      <c r="C409" s="61" t="s">
        <v>134</v>
      </c>
      <c r="D409" s="62">
        <v>14</v>
      </c>
      <c r="E409" s="63">
        <v>1.186340140666E-3</v>
      </c>
    </row>
    <row r="410" spans="2:5" ht="14.5" customHeight="1">
      <c r="B410" s="90"/>
      <c r="C410" s="61" t="s">
        <v>136</v>
      </c>
      <c r="D410" s="62">
        <v>14</v>
      </c>
      <c r="E410" s="63">
        <v>1.186340140666E-3</v>
      </c>
    </row>
    <row r="411" spans="2:5" ht="14.5" customHeight="1">
      <c r="B411" s="90"/>
      <c r="C411" s="61" t="s">
        <v>137</v>
      </c>
      <c r="D411" s="62">
        <v>10</v>
      </c>
      <c r="E411" s="63">
        <v>8.4738581476099997E-4</v>
      </c>
    </row>
    <row r="412" spans="2:5" ht="14.5" customHeight="1">
      <c r="B412" s="90"/>
      <c r="C412" s="61" t="s">
        <v>138</v>
      </c>
      <c r="D412" s="62">
        <v>1</v>
      </c>
      <c r="E412" s="63">
        <v>8.4738581476000001E-5</v>
      </c>
    </row>
    <row r="413" spans="2:5" ht="14.5" customHeight="1">
      <c r="B413" s="90"/>
      <c r="C413" s="61" t="s">
        <v>139</v>
      </c>
      <c r="D413" s="62">
        <v>3</v>
      </c>
      <c r="E413" s="63">
        <v>2.54215744428E-4</v>
      </c>
    </row>
    <row r="414" spans="2:5" ht="14.5" customHeight="1">
      <c r="B414" s="90"/>
      <c r="C414" s="61" t="s">
        <v>140</v>
      </c>
      <c r="D414" s="62">
        <v>3</v>
      </c>
      <c r="E414" s="63">
        <v>2.54215744428E-4</v>
      </c>
    </row>
    <row r="415" spans="2:5" ht="14.5" customHeight="1">
      <c r="B415" s="90"/>
      <c r="C415" s="61" t="s">
        <v>159</v>
      </c>
      <c r="D415" s="62">
        <v>1</v>
      </c>
      <c r="E415" s="63">
        <v>8.4738581476000001E-5</v>
      </c>
    </row>
    <row r="416" spans="2:5" ht="14.5" customHeight="1">
      <c r="B416" s="90"/>
      <c r="C416" s="61" t="s">
        <v>160</v>
      </c>
      <c r="D416" s="62">
        <v>1</v>
      </c>
      <c r="E416" s="63">
        <v>8.4738581476000001E-5</v>
      </c>
    </row>
    <row r="417" spans="2:5" ht="14.5" customHeight="1">
      <c r="B417" s="90"/>
      <c r="C417" s="61" t="s">
        <v>141</v>
      </c>
      <c r="D417" s="62">
        <v>13</v>
      </c>
      <c r="E417" s="63">
        <v>1.1016015591900001E-3</v>
      </c>
    </row>
    <row r="418" spans="2:5" ht="14.5" customHeight="1">
      <c r="B418" s="90"/>
      <c r="C418" s="61" t="s">
        <v>143</v>
      </c>
      <c r="D418" s="62">
        <v>1</v>
      </c>
      <c r="E418" s="63">
        <v>8.4738581476000001E-5</v>
      </c>
    </row>
    <row r="419" spans="2:5" ht="14.5" customHeight="1">
      <c r="B419" s="90"/>
      <c r="C419" s="61" t="s">
        <v>144</v>
      </c>
      <c r="D419" s="62">
        <v>7</v>
      </c>
      <c r="E419" s="63">
        <v>5.9317007033300002E-4</v>
      </c>
    </row>
    <row r="420" spans="2:5" ht="14.5" customHeight="1">
      <c r="B420" s="90"/>
      <c r="C420" s="61" t="s">
        <v>146</v>
      </c>
      <c r="D420" s="62">
        <v>158</v>
      </c>
      <c r="E420" s="63">
        <v>1.3388695873231E-2</v>
      </c>
    </row>
    <row r="421" spans="2:5" ht="14.5" customHeight="1">
      <c r="B421" s="90"/>
      <c r="C421" s="61" t="s">
        <v>147</v>
      </c>
      <c r="D421" s="62">
        <v>2</v>
      </c>
      <c r="E421" s="63">
        <v>1.69477162952E-4</v>
      </c>
    </row>
    <row r="422" spans="2:5" ht="14.5" customHeight="1">
      <c r="B422" s="91"/>
      <c r="C422" s="66" t="s">
        <v>284</v>
      </c>
      <c r="D422" s="64">
        <v>231</v>
      </c>
      <c r="E422" s="67">
        <v>1.957461232099E-2</v>
      </c>
    </row>
    <row r="423" spans="2:5" ht="14.5" customHeight="1">
      <c r="B423" s="89" t="s">
        <v>56</v>
      </c>
      <c r="C423" s="61" t="s">
        <v>161</v>
      </c>
      <c r="D423" s="62">
        <v>1</v>
      </c>
      <c r="E423" s="63">
        <v>8.4738581476000001E-5</v>
      </c>
    </row>
    <row r="424" spans="2:5" ht="14.5" customHeight="1">
      <c r="B424" s="90"/>
      <c r="C424" s="61" t="s">
        <v>133</v>
      </c>
      <c r="D424" s="62">
        <v>5</v>
      </c>
      <c r="E424" s="63">
        <v>4.2369290738100002E-4</v>
      </c>
    </row>
    <row r="425" spans="2:5" ht="14.5" customHeight="1">
      <c r="B425" s="90"/>
      <c r="C425" s="61" t="s">
        <v>149</v>
      </c>
      <c r="D425" s="62">
        <v>4</v>
      </c>
      <c r="E425" s="63">
        <v>3.3895432590500002E-4</v>
      </c>
    </row>
    <row r="426" spans="2:5" ht="14.5" customHeight="1">
      <c r="B426" s="90"/>
      <c r="C426" s="61" t="s">
        <v>150</v>
      </c>
      <c r="D426" s="62">
        <v>3</v>
      </c>
      <c r="E426" s="63">
        <v>2.54215744428E-4</v>
      </c>
    </row>
    <row r="427" spans="2:5" ht="14.5" customHeight="1">
      <c r="B427" s="90"/>
      <c r="C427" s="61" t="s">
        <v>152</v>
      </c>
      <c r="D427" s="62">
        <v>2</v>
      </c>
      <c r="E427" s="63">
        <v>1.69477162952E-4</v>
      </c>
    </row>
    <row r="428" spans="2:5" ht="14.5" customHeight="1">
      <c r="B428" s="90"/>
      <c r="C428" s="61" t="s">
        <v>134</v>
      </c>
      <c r="D428" s="62">
        <v>9</v>
      </c>
      <c r="E428" s="63">
        <v>7.6264723328500002E-4</v>
      </c>
    </row>
    <row r="429" spans="2:5" ht="14.5" customHeight="1">
      <c r="B429" s="90"/>
      <c r="C429" s="61" t="s">
        <v>154</v>
      </c>
      <c r="D429" s="62">
        <v>1</v>
      </c>
      <c r="E429" s="63">
        <v>8.4738581476000001E-5</v>
      </c>
    </row>
    <row r="430" spans="2:5" ht="14.5" customHeight="1">
      <c r="B430" s="90"/>
      <c r="C430" s="61" t="s">
        <v>155</v>
      </c>
      <c r="D430" s="62">
        <v>3</v>
      </c>
      <c r="E430" s="63">
        <v>2.54215744428E-4</v>
      </c>
    </row>
    <row r="431" spans="2:5" ht="14.5" customHeight="1">
      <c r="B431" s="90"/>
      <c r="C431" s="61" t="s">
        <v>168</v>
      </c>
      <c r="D431" s="62">
        <v>2</v>
      </c>
      <c r="E431" s="63">
        <v>1.69477162952E-4</v>
      </c>
    </row>
    <row r="432" spans="2:5" ht="14.5" customHeight="1">
      <c r="B432" s="90"/>
      <c r="C432" s="61" t="s">
        <v>135</v>
      </c>
      <c r="D432" s="62">
        <v>2</v>
      </c>
      <c r="E432" s="63">
        <v>1.69477162952E-4</v>
      </c>
    </row>
    <row r="433" spans="2:5" ht="14.5" customHeight="1">
      <c r="B433" s="90"/>
      <c r="C433" s="61" t="s">
        <v>136</v>
      </c>
      <c r="D433" s="62">
        <v>15</v>
      </c>
      <c r="E433" s="63">
        <v>1.271078722142E-3</v>
      </c>
    </row>
    <row r="434" spans="2:5" ht="14.5" customHeight="1">
      <c r="B434" s="90"/>
      <c r="C434" s="61" t="s">
        <v>137</v>
      </c>
      <c r="D434" s="62">
        <v>16</v>
      </c>
      <c r="E434" s="63">
        <v>1.3558173036179999E-3</v>
      </c>
    </row>
    <row r="435" spans="2:5" ht="14.5" customHeight="1">
      <c r="B435" s="90"/>
      <c r="C435" s="61" t="s">
        <v>138</v>
      </c>
      <c r="D435" s="62">
        <v>3</v>
      </c>
      <c r="E435" s="63">
        <v>2.54215744428E-4</v>
      </c>
    </row>
    <row r="436" spans="2:5" ht="14.5" customHeight="1">
      <c r="B436" s="90"/>
      <c r="C436" s="61" t="s">
        <v>139</v>
      </c>
      <c r="D436" s="62">
        <v>5</v>
      </c>
      <c r="E436" s="63">
        <v>4.2369290738100002E-4</v>
      </c>
    </row>
    <row r="437" spans="2:5" ht="14.5" customHeight="1">
      <c r="B437" s="90"/>
      <c r="C437" s="61" t="s">
        <v>140</v>
      </c>
      <c r="D437" s="62">
        <v>10</v>
      </c>
      <c r="E437" s="63">
        <v>8.4738581476099997E-4</v>
      </c>
    </row>
    <row r="438" spans="2:5" ht="14.5" customHeight="1">
      <c r="B438" s="90"/>
      <c r="C438" s="61" t="s">
        <v>166</v>
      </c>
      <c r="D438" s="62">
        <v>1</v>
      </c>
      <c r="E438" s="63">
        <v>8.4738581476000001E-5</v>
      </c>
    </row>
    <row r="439" spans="2:5" ht="14.5" customHeight="1">
      <c r="B439" s="90"/>
      <c r="C439" s="61" t="s">
        <v>159</v>
      </c>
      <c r="D439" s="62">
        <v>1</v>
      </c>
      <c r="E439" s="63">
        <v>8.4738581476000001E-5</v>
      </c>
    </row>
    <row r="440" spans="2:5" ht="14.5" customHeight="1">
      <c r="B440" s="90"/>
      <c r="C440" s="61" t="s">
        <v>160</v>
      </c>
      <c r="D440" s="62">
        <v>3</v>
      </c>
      <c r="E440" s="63">
        <v>2.54215744428E-4</v>
      </c>
    </row>
    <row r="441" spans="2:5" ht="14.5" customHeight="1">
      <c r="B441" s="90"/>
      <c r="C441" s="61" t="s">
        <v>81</v>
      </c>
      <c r="D441" s="62">
        <v>1</v>
      </c>
      <c r="E441" s="63">
        <v>8.4738581476000001E-5</v>
      </c>
    </row>
    <row r="442" spans="2:5" ht="14.5" customHeight="1">
      <c r="B442" s="90"/>
      <c r="C442" s="61" t="s">
        <v>141</v>
      </c>
      <c r="D442" s="62">
        <v>30</v>
      </c>
      <c r="E442" s="63">
        <v>2.542157444284E-3</v>
      </c>
    </row>
    <row r="443" spans="2:5" ht="14.5" customHeight="1">
      <c r="B443" s="90"/>
      <c r="C443" s="61" t="s">
        <v>142</v>
      </c>
      <c r="D443" s="62">
        <v>1</v>
      </c>
      <c r="E443" s="63">
        <v>8.4738581476000001E-5</v>
      </c>
    </row>
    <row r="444" spans="2:5" ht="14.5" customHeight="1">
      <c r="B444" s="90"/>
      <c r="C444" s="61" t="s">
        <v>143</v>
      </c>
      <c r="D444" s="62">
        <v>6</v>
      </c>
      <c r="E444" s="63">
        <v>5.0843148885699996E-4</v>
      </c>
    </row>
    <row r="445" spans="2:5" ht="14.5" customHeight="1">
      <c r="B445" s="90"/>
      <c r="C445" s="61" t="s">
        <v>144</v>
      </c>
      <c r="D445" s="62">
        <v>30</v>
      </c>
      <c r="E445" s="63">
        <v>2.542157444284E-3</v>
      </c>
    </row>
    <row r="446" spans="2:5" ht="14.5" customHeight="1">
      <c r="B446" s="90"/>
      <c r="C446" s="61" t="s">
        <v>146</v>
      </c>
      <c r="D446" s="62">
        <v>47</v>
      </c>
      <c r="E446" s="63">
        <v>3.9827133293790003E-3</v>
      </c>
    </row>
    <row r="447" spans="2:5" ht="14.5" customHeight="1">
      <c r="B447" s="90"/>
      <c r="C447" s="61" t="s">
        <v>147</v>
      </c>
      <c r="D447" s="62">
        <v>4</v>
      </c>
      <c r="E447" s="63">
        <v>3.3895432590500002E-4</v>
      </c>
    </row>
    <row r="448" spans="2:5" ht="14.5" customHeight="1">
      <c r="B448" s="91"/>
      <c r="C448" s="66" t="s">
        <v>284</v>
      </c>
      <c r="D448" s="64">
        <v>205</v>
      </c>
      <c r="E448" s="67">
        <v>1.7371409202609999E-2</v>
      </c>
    </row>
    <row r="449" spans="2:5" ht="14.5" customHeight="1">
      <c r="B449" s="89" t="s">
        <v>74</v>
      </c>
      <c r="C449" s="61" t="s">
        <v>133</v>
      </c>
      <c r="D449" s="62">
        <v>2</v>
      </c>
      <c r="E449" s="63">
        <v>1.69477162952E-4</v>
      </c>
    </row>
    <row r="450" spans="2:5" ht="14.5" customHeight="1">
      <c r="B450" s="90"/>
      <c r="C450" s="61" t="s">
        <v>149</v>
      </c>
      <c r="D450" s="62">
        <v>1</v>
      </c>
      <c r="E450" s="63">
        <v>8.4738581476000001E-5</v>
      </c>
    </row>
    <row r="451" spans="2:5" ht="14.5" customHeight="1">
      <c r="B451" s="90"/>
      <c r="C451" s="61" t="s">
        <v>162</v>
      </c>
      <c r="D451" s="62">
        <v>1</v>
      </c>
      <c r="E451" s="63">
        <v>8.4738581476000001E-5</v>
      </c>
    </row>
    <row r="452" spans="2:5" ht="14.5" customHeight="1">
      <c r="B452" s="90"/>
      <c r="C452" s="61" t="s">
        <v>163</v>
      </c>
      <c r="D452" s="62">
        <v>2</v>
      </c>
      <c r="E452" s="63">
        <v>1.69477162952E-4</v>
      </c>
    </row>
    <row r="453" spans="2:5" ht="14.5" customHeight="1">
      <c r="B453" s="90"/>
      <c r="C453" s="61" t="s">
        <v>134</v>
      </c>
      <c r="D453" s="62">
        <v>1</v>
      </c>
      <c r="E453" s="63">
        <v>8.4738581476000001E-5</v>
      </c>
    </row>
    <row r="454" spans="2:5" ht="14.5" customHeight="1">
      <c r="B454" s="90"/>
      <c r="C454" s="61" t="s">
        <v>154</v>
      </c>
      <c r="D454" s="62">
        <v>1</v>
      </c>
      <c r="E454" s="63">
        <v>8.4738581476000001E-5</v>
      </c>
    </row>
    <row r="455" spans="2:5" ht="14.5" customHeight="1">
      <c r="B455" s="90"/>
      <c r="C455" s="61" t="s">
        <v>137</v>
      </c>
      <c r="D455" s="62">
        <v>3</v>
      </c>
      <c r="E455" s="63">
        <v>2.54215744428E-4</v>
      </c>
    </row>
    <row r="456" spans="2:5" ht="14.5" customHeight="1">
      <c r="B456" s="90"/>
      <c r="C456" s="61" t="s">
        <v>138</v>
      </c>
      <c r="D456" s="62">
        <v>7</v>
      </c>
      <c r="E456" s="63">
        <v>5.9317007033300002E-4</v>
      </c>
    </row>
    <row r="457" spans="2:5" ht="14.5" customHeight="1">
      <c r="B457" s="90"/>
      <c r="C457" s="61" t="s">
        <v>165</v>
      </c>
      <c r="D457" s="62">
        <v>1</v>
      </c>
      <c r="E457" s="63">
        <v>8.4738581476000001E-5</v>
      </c>
    </row>
    <row r="458" spans="2:5" ht="14.5" customHeight="1">
      <c r="B458" s="90"/>
      <c r="C458" s="61" t="s">
        <v>139</v>
      </c>
      <c r="D458" s="62">
        <v>2</v>
      </c>
      <c r="E458" s="63">
        <v>1.69477162952E-4</v>
      </c>
    </row>
    <row r="459" spans="2:5" ht="14.5" customHeight="1">
      <c r="B459" s="90"/>
      <c r="C459" s="61" t="s">
        <v>140</v>
      </c>
      <c r="D459" s="62">
        <v>4</v>
      </c>
      <c r="E459" s="63">
        <v>3.3895432590500002E-4</v>
      </c>
    </row>
    <row r="460" spans="2:5" ht="14.5" customHeight="1">
      <c r="B460" s="90"/>
      <c r="C460" s="61" t="s">
        <v>160</v>
      </c>
      <c r="D460" s="62">
        <v>3</v>
      </c>
      <c r="E460" s="63">
        <v>2.54215744428E-4</v>
      </c>
    </row>
    <row r="461" spans="2:5" ht="14.5" customHeight="1">
      <c r="B461" s="90"/>
      <c r="C461" s="61" t="s">
        <v>141</v>
      </c>
      <c r="D461" s="62">
        <v>1</v>
      </c>
      <c r="E461" s="63">
        <v>8.4738581476000001E-5</v>
      </c>
    </row>
    <row r="462" spans="2:5" ht="14.5" customHeight="1">
      <c r="B462" s="90"/>
      <c r="C462" s="61" t="s">
        <v>142</v>
      </c>
      <c r="D462" s="62">
        <v>1</v>
      </c>
      <c r="E462" s="63">
        <v>8.4738581476000001E-5</v>
      </c>
    </row>
    <row r="463" spans="2:5" ht="14.5" customHeight="1">
      <c r="B463" s="90"/>
      <c r="C463" s="61" t="s">
        <v>143</v>
      </c>
      <c r="D463" s="62">
        <v>4</v>
      </c>
      <c r="E463" s="63">
        <v>3.3895432590500002E-4</v>
      </c>
    </row>
    <row r="464" spans="2:5" ht="14.5" customHeight="1">
      <c r="B464" s="90"/>
      <c r="C464" s="61" t="s">
        <v>144</v>
      </c>
      <c r="D464" s="62">
        <v>5</v>
      </c>
      <c r="E464" s="63">
        <v>4.2369290738100002E-4</v>
      </c>
    </row>
    <row r="465" spans="2:5" ht="14.5" customHeight="1">
      <c r="B465" s="90"/>
      <c r="C465" s="61" t="s">
        <v>145</v>
      </c>
      <c r="D465" s="62">
        <v>1</v>
      </c>
      <c r="E465" s="63">
        <v>8.4738581476000001E-5</v>
      </c>
    </row>
    <row r="466" spans="2:5" ht="14.5" customHeight="1">
      <c r="B466" s="90"/>
      <c r="C466" s="61" t="s">
        <v>146</v>
      </c>
      <c r="D466" s="62">
        <v>14</v>
      </c>
      <c r="E466" s="63">
        <v>1.186340140666E-3</v>
      </c>
    </row>
    <row r="467" spans="2:5" ht="14.5" customHeight="1">
      <c r="B467" s="90"/>
      <c r="C467" s="61" t="s">
        <v>147</v>
      </c>
      <c r="D467" s="62">
        <v>1</v>
      </c>
      <c r="E467" s="63">
        <v>8.4738581476000001E-5</v>
      </c>
    </row>
    <row r="468" spans="2:5" ht="14.5" customHeight="1">
      <c r="B468" s="91"/>
      <c r="C468" s="66" t="s">
        <v>284</v>
      </c>
      <c r="D468" s="64">
        <v>55</v>
      </c>
      <c r="E468" s="67">
        <v>4.660621981188E-3</v>
      </c>
    </row>
    <row r="469" spans="2:5" ht="14.5" customHeight="1">
      <c r="B469" s="89" t="s">
        <v>66</v>
      </c>
      <c r="C469" s="61" t="s">
        <v>133</v>
      </c>
      <c r="D469" s="62">
        <v>1</v>
      </c>
      <c r="E469" s="63">
        <v>8.4738581476000001E-5</v>
      </c>
    </row>
    <row r="470" spans="2:5" ht="14.5" customHeight="1">
      <c r="B470" s="90"/>
      <c r="C470" s="61" t="s">
        <v>149</v>
      </c>
      <c r="D470" s="62">
        <v>1</v>
      </c>
      <c r="E470" s="63">
        <v>8.4738581476000001E-5</v>
      </c>
    </row>
    <row r="471" spans="2:5" ht="14.5" customHeight="1">
      <c r="B471" s="90"/>
      <c r="C471" s="61" t="s">
        <v>134</v>
      </c>
      <c r="D471" s="62">
        <v>4</v>
      </c>
      <c r="E471" s="63">
        <v>3.3895432590500002E-4</v>
      </c>
    </row>
    <row r="472" spans="2:5" ht="14.5" customHeight="1">
      <c r="B472" s="90"/>
      <c r="C472" s="61" t="s">
        <v>155</v>
      </c>
      <c r="D472" s="62">
        <v>1</v>
      </c>
      <c r="E472" s="63">
        <v>8.4738581476000001E-5</v>
      </c>
    </row>
    <row r="473" spans="2:5" ht="14.5" customHeight="1">
      <c r="B473" s="90"/>
      <c r="C473" s="61" t="s">
        <v>136</v>
      </c>
      <c r="D473" s="62">
        <v>9</v>
      </c>
      <c r="E473" s="63">
        <v>7.6264723328500002E-4</v>
      </c>
    </row>
    <row r="474" spans="2:5" ht="14.5" customHeight="1">
      <c r="B474" s="90"/>
      <c r="C474" s="61" t="s">
        <v>137</v>
      </c>
      <c r="D474" s="62">
        <v>2</v>
      </c>
      <c r="E474" s="63">
        <v>1.69477162952E-4</v>
      </c>
    </row>
    <row r="475" spans="2:5" ht="14.5" customHeight="1">
      <c r="B475" s="90"/>
      <c r="C475" s="61" t="s">
        <v>158</v>
      </c>
      <c r="D475" s="62">
        <v>1</v>
      </c>
      <c r="E475" s="63">
        <v>8.4738581476000001E-5</v>
      </c>
    </row>
    <row r="476" spans="2:5" ht="14.5" customHeight="1">
      <c r="B476" s="90"/>
      <c r="C476" s="61" t="s">
        <v>140</v>
      </c>
      <c r="D476" s="62">
        <v>4</v>
      </c>
      <c r="E476" s="63">
        <v>3.3895432590500002E-4</v>
      </c>
    </row>
    <row r="477" spans="2:5" ht="14.5" customHeight="1">
      <c r="B477" s="90"/>
      <c r="C477" s="61" t="s">
        <v>160</v>
      </c>
      <c r="D477" s="62">
        <v>2</v>
      </c>
      <c r="E477" s="63">
        <v>1.69477162952E-4</v>
      </c>
    </row>
    <row r="478" spans="2:5" ht="14.5" customHeight="1">
      <c r="B478" s="90"/>
      <c r="C478" s="61" t="s">
        <v>143</v>
      </c>
      <c r="D478" s="62">
        <v>4</v>
      </c>
      <c r="E478" s="63">
        <v>3.3895432590500002E-4</v>
      </c>
    </row>
    <row r="479" spans="2:5" ht="14.5" customHeight="1">
      <c r="B479" s="90"/>
      <c r="C479" s="61" t="s">
        <v>146</v>
      </c>
      <c r="D479" s="62">
        <v>29</v>
      </c>
      <c r="E479" s="63">
        <v>2.4574188628079998E-3</v>
      </c>
    </row>
    <row r="480" spans="2:5" ht="14.5" customHeight="1">
      <c r="B480" s="91"/>
      <c r="C480" s="66" t="s">
        <v>284</v>
      </c>
      <c r="D480" s="64">
        <v>58</v>
      </c>
      <c r="E480" s="67">
        <v>4.9148377256159996E-3</v>
      </c>
    </row>
    <row r="481" spans="2:5" ht="14.5" customHeight="1">
      <c r="B481" s="89" t="s">
        <v>128</v>
      </c>
      <c r="C481" s="61" t="s">
        <v>133</v>
      </c>
      <c r="D481" s="62">
        <v>1</v>
      </c>
      <c r="E481" s="63">
        <v>8.4738581476000001E-5</v>
      </c>
    </row>
    <row r="482" spans="2:5" ht="14.5" customHeight="1">
      <c r="B482" s="90"/>
      <c r="C482" s="61" t="s">
        <v>138</v>
      </c>
      <c r="D482" s="62">
        <v>1</v>
      </c>
      <c r="E482" s="63">
        <v>8.4738581476000001E-5</v>
      </c>
    </row>
    <row r="483" spans="2:5" ht="14.5" customHeight="1">
      <c r="B483" s="90"/>
      <c r="C483" s="61" t="s">
        <v>143</v>
      </c>
      <c r="D483" s="62">
        <v>1</v>
      </c>
      <c r="E483" s="63">
        <v>8.4738581476000001E-5</v>
      </c>
    </row>
    <row r="484" spans="2:5" ht="14.5" customHeight="1">
      <c r="B484" s="90"/>
      <c r="C484" s="61" t="s">
        <v>144</v>
      </c>
      <c r="D484" s="62">
        <v>1</v>
      </c>
      <c r="E484" s="63">
        <v>8.4738581476000001E-5</v>
      </c>
    </row>
    <row r="485" spans="2:5" ht="14.5" customHeight="1">
      <c r="B485" s="91"/>
      <c r="C485" s="66" t="s">
        <v>284</v>
      </c>
      <c r="D485" s="64">
        <v>4</v>
      </c>
      <c r="E485" s="67">
        <v>3.3895432590500002E-4</v>
      </c>
    </row>
    <row r="486" spans="2:5" ht="14.5" customHeight="1">
      <c r="B486" s="89" t="s">
        <v>93</v>
      </c>
      <c r="C486" s="61" t="s">
        <v>141</v>
      </c>
      <c r="D486" s="62">
        <v>1</v>
      </c>
      <c r="E486" s="63">
        <v>8.4738581476000001E-5</v>
      </c>
    </row>
    <row r="487" spans="2:5" ht="14.5" customHeight="1">
      <c r="B487" s="91"/>
      <c r="C487" s="66" t="s">
        <v>284</v>
      </c>
      <c r="D487" s="64">
        <v>1</v>
      </c>
      <c r="E487" s="67">
        <v>8.4738581476000001E-5</v>
      </c>
    </row>
    <row r="488" spans="2:5" ht="14.5" customHeight="1">
      <c r="B488" s="89" t="s">
        <v>73</v>
      </c>
      <c r="C488" s="61" t="s">
        <v>149</v>
      </c>
      <c r="D488" s="62">
        <v>1</v>
      </c>
      <c r="E488" s="63">
        <v>8.4738581476000001E-5</v>
      </c>
    </row>
    <row r="489" spans="2:5" ht="14.5" customHeight="1">
      <c r="B489" s="90"/>
      <c r="C489" s="61" t="s">
        <v>152</v>
      </c>
      <c r="D489" s="62">
        <v>3</v>
      </c>
      <c r="E489" s="63">
        <v>2.54215744428E-4</v>
      </c>
    </row>
    <row r="490" spans="2:5" ht="14.5" customHeight="1">
      <c r="B490" s="90"/>
      <c r="C490" s="61" t="s">
        <v>134</v>
      </c>
      <c r="D490" s="62">
        <v>3</v>
      </c>
      <c r="E490" s="63">
        <v>2.54215744428E-4</v>
      </c>
    </row>
    <row r="491" spans="2:5" ht="14.5" customHeight="1">
      <c r="B491" s="90"/>
      <c r="C491" s="61" t="s">
        <v>136</v>
      </c>
      <c r="D491" s="62">
        <v>2</v>
      </c>
      <c r="E491" s="63">
        <v>1.69477162952E-4</v>
      </c>
    </row>
    <row r="492" spans="2:5" ht="14.5" customHeight="1">
      <c r="B492" s="90"/>
      <c r="C492" s="61" t="s">
        <v>137</v>
      </c>
      <c r="D492" s="62">
        <v>26</v>
      </c>
      <c r="E492" s="63">
        <v>2.2032031183800002E-3</v>
      </c>
    </row>
    <row r="493" spans="2:5" ht="14.5" customHeight="1">
      <c r="B493" s="90"/>
      <c r="C493" s="61" t="s">
        <v>138</v>
      </c>
      <c r="D493" s="62">
        <v>2</v>
      </c>
      <c r="E493" s="63">
        <v>1.69477162952E-4</v>
      </c>
    </row>
    <row r="494" spans="2:5" ht="14.5" customHeight="1">
      <c r="B494" s="90"/>
      <c r="C494" s="61" t="s">
        <v>158</v>
      </c>
      <c r="D494" s="62">
        <v>2</v>
      </c>
      <c r="E494" s="63">
        <v>1.69477162952E-4</v>
      </c>
    </row>
    <row r="495" spans="2:5" ht="14.5" customHeight="1">
      <c r="B495" s="90"/>
      <c r="C495" s="61" t="s">
        <v>139</v>
      </c>
      <c r="D495" s="62">
        <v>3</v>
      </c>
      <c r="E495" s="63">
        <v>2.54215744428E-4</v>
      </c>
    </row>
    <row r="496" spans="2:5" ht="14.5" customHeight="1">
      <c r="B496" s="90"/>
      <c r="C496" s="61" t="s">
        <v>140</v>
      </c>
      <c r="D496" s="62">
        <v>4</v>
      </c>
      <c r="E496" s="63">
        <v>3.3895432590500002E-4</v>
      </c>
    </row>
    <row r="497" spans="2:5" ht="14.5" customHeight="1">
      <c r="B497" s="90"/>
      <c r="C497" s="61" t="s">
        <v>160</v>
      </c>
      <c r="D497" s="62">
        <v>3</v>
      </c>
      <c r="E497" s="63">
        <v>2.54215744428E-4</v>
      </c>
    </row>
    <row r="498" spans="2:5" ht="14.5" customHeight="1">
      <c r="B498" s="90"/>
      <c r="C498" s="61" t="s">
        <v>81</v>
      </c>
      <c r="D498" s="62">
        <v>1</v>
      </c>
      <c r="E498" s="63">
        <v>8.4738581476000001E-5</v>
      </c>
    </row>
    <row r="499" spans="2:5" ht="14.5" customHeight="1">
      <c r="B499" s="90"/>
      <c r="C499" s="61" t="s">
        <v>141</v>
      </c>
      <c r="D499" s="62">
        <v>7</v>
      </c>
      <c r="E499" s="63">
        <v>5.9317007033300002E-4</v>
      </c>
    </row>
    <row r="500" spans="2:5" ht="14.5" customHeight="1">
      <c r="B500" s="90"/>
      <c r="C500" s="61" t="s">
        <v>142</v>
      </c>
      <c r="D500" s="62">
        <v>2</v>
      </c>
      <c r="E500" s="63">
        <v>1.69477162952E-4</v>
      </c>
    </row>
    <row r="501" spans="2:5" ht="14.5" customHeight="1">
      <c r="B501" s="90"/>
      <c r="C501" s="61" t="s">
        <v>143</v>
      </c>
      <c r="D501" s="62">
        <v>2</v>
      </c>
      <c r="E501" s="63">
        <v>1.69477162952E-4</v>
      </c>
    </row>
    <row r="502" spans="2:5" ht="14.5" customHeight="1">
      <c r="B502" s="90"/>
      <c r="C502" s="61" t="s">
        <v>144</v>
      </c>
      <c r="D502" s="62">
        <v>8</v>
      </c>
      <c r="E502" s="63">
        <v>6.7790865180899996E-4</v>
      </c>
    </row>
    <row r="503" spans="2:5" ht="14.5" customHeight="1">
      <c r="B503" s="90"/>
      <c r="C503" s="61" t="s">
        <v>146</v>
      </c>
      <c r="D503" s="62">
        <v>15</v>
      </c>
      <c r="E503" s="63">
        <v>1.271078722142E-3</v>
      </c>
    </row>
    <row r="504" spans="2:5" ht="14.5" customHeight="1">
      <c r="B504" s="91"/>
      <c r="C504" s="66" t="s">
        <v>284</v>
      </c>
      <c r="D504" s="64">
        <v>84</v>
      </c>
      <c r="E504" s="67">
        <v>7.1180408439959998E-3</v>
      </c>
    </row>
    <row r="505" spans="2:5" ht="14.5" customHeight="1">
      <c r="B505" s="89" t="s">
        <v>79</v>
      </c>
      <c r="C505" s="61" t="s">
        <v>133</v>
      </c>
      <c r="D505" s="62">
        <v>1</v>
      </c>
      <c r="E505" s="63">
        <v>8.4738581476000001E-5</v>
      </c>
    </row>
    <row r="506" spans="2:5" ht="14.5" customHeight="1">
      <c r="B506" s="90"/>
      <c r="C506" s="61" t="s">
        <v>134</v>
      </c>
      <c r="D506" s="62">
        <v>2</v>
      </c>
      <c r="E506" s="63">
        <v>1.69477162952E-4</v>
      </c>
    </row>
    <row r="507" spans="2:5" ht="14.5" customHeight="1">
      <c r="B507" s="90"/>
      <c r="C507" s="61" t="s">
        <v>137</v>
      </c>
      <c r="D507" s="62">
        <v>1</v>
      </c>
      <c r="E507" s="63">
        <v>8.4738581476000001E-5</v>
      </c>
    </row>
    <row r="508" spans="2:5" ht="14.5" customHeight="1">
      <c r="B508" s="90"/>
      <c r="C508" s="61" t="s">
        <v>140</v>
      </c>
      <c r="D508" s="62">
        <v>4</v>
      </c>
      <c r="E508" s="63">
        <v>3.3895432590500002E-4</v>
      </c>
    </row>
    <row r="509" spans="2:5" ht="14.5" customHeight="1">
      <c r="B509" s="90"/>
      <c r="C509" s="61" t="s">
        <v>141</v>
      </c>
      <c r="D509" s="62">
        <v>3</v>
      </c>
      <c r="E509" s="63">
        <v>2.54215744428E-4</v>
      </c>
    </row>
    <row r="510" spans="2:5" ht="14.5" customHeight="1">
      <c r="B510" s="90"/>
      <c r="C510" s="61" t="s">
        <v>143</v>
      </c>
      <c r="D510" s="62">
        <v>1</v>
      </c>
      <c r="E510" s="63">
        <v>8.4738581476000001E-5</v>
      </c>
    </row>
    <row r="511" spans="2:5" ht="14.5" customHeight="1">
      <c r="B511" s="90"/>
      <c r="C511" s="61" t="s">
        <v>144</v>
      </c>
      <c r="D511" s="62">
        <v>1</v>
      </c>
      <c r="E511" s="63">
        <v>8.4738581476000001E-5</v>
      </c>
    </row>
    <row r="512" spans="2:5" ht="14.5" customHeight="1">
      <c r="B512" s="90"/>
      <c r="C512" s="61" t="s">
        <v>146</v>
      </c>
      <c r="D512" s="62">
        <v>8</v>
      </c>
      <c r="E512" s="63">
        <v>6.7790865180899996E-4</v>
      </c>
    </row>
    <row r="513" spans="2:5" ht="14.5" customHeight="1">
      <c r="B513" s="91"/>
      <c r="C513" s="66" t="s">
        <v>284</v>
      </c>
      <c r="D513" s="64">
        <v>21</v>
      </c>
      <c r="E513" s="67">
        <v>1.7795102109989999E-3</v>
      </c>
    </row>
    <row r="514" spans="2:5" ht="14.5" customHeight="1">
      <c r="B514" s="89" t="s">
        <v>50</v>
      </c>
      <c r="C514" s="61" t="s">
        <v>133</v>
      </c>
      <c r="D514" s="62">
        <v>31</v>
      </c>
      <c r="E514" s="63">
        <v>2.6268960257610002E-3</v>
      </c>
    </row>
    <row r="515" spans="2:5" ht="14.5" customHeight="1">
      <c r="B515" s="90"/>
      <c r="C515" s="61" t="s">
        <v>149</v>
      </c>
      <c r="D515" s="62">
        <v>8</v>
      </c>
      <c r="E515" s="63">
        <v>6.7790865180899996E-4</v>
      </c>
    </row>
    <row r="516" spans="2:5" ht="14.5" customHeight="1">
      <c r="B516" s="90"/>
      <c r="C516" s="61" t="s">
        <v>151</v>
      </c>
      <c r="D516" s="62">
        <v>1</v>
      </c>
      <c r="E516" s="63">
        <v>8.4738581476000001E-5</v>
      </c>
    </row>
    <row r="517" spans="2:5" ht="14.5" customHeight="1">
      <c r="B517" s="90"/>
      <c r="C517" s="61" t="s">
        <v>162</v>
      </c>
      <c r="D517" s="62">
        <v>1</v>
      </c>
      <c r="E517" s="63">
        <v>8.4738581476000001E-5</v>
      </c>
    </row>
    <row r="518" spans="2:5" ht="14.5" customHeight="1">
      <c r="B518" s="90"/>
      <c r="C518" s="61" t="s">
        <v>152</v>
      </c>
      <c r="D518" s="62">
        <v>1</v>
      </c>
      <c r="E518" s="63">
        <v>8.4738581476000001E-5</v>
      </c>
    </row>
    <row r="519" spans="2:5" ht="14.5" customHeight="1">
      <c r="B519" s="90"/>
      <c r="C519" s="61" t="s">
        <v>134</v>
      </c>
      <c r="D519" s="62">
        <v>44</v>
      </c>
      <c r="E519" s="63">
        <v>3.7284975849499998E-3</v>
      </c>
    </row>
    <row r="520" spans="2:5" ht="14.5" customHeight="1">
      <c r="B520" s="90"/>
      <c r="C520" s="61" t="s">
        <v>155</v>
      </c>
      <c r="D520" s="62">
        <v>2</v>
      </c>
      <c r="E520" s="63">
        <v>1.69477162952E-4</v>
      </c>
    </row>
    <row r="521" spans="2:5" ht="14.5" customHeight="1">
      <c r="B521" s="90"/>
      <c r="C521" s="61" t="s">
        <v>135</v>
      </c>
      <c r="D521" s="62">
        <v>2</v>
      </c>
      <c r="E521" s="63">
        <v>1.69477162952E-4</v>
      </c>
    </row>
    <row r="522" spans="2:5" ht="14.5" customHeight="1">
      <c r="B522" s="90"/>
      <c r="C522" s="61" t="s">
        <v>136</v>
      </c>
      <c r="D522" s="62">
        <v>40</v>
      </c>
      <c r="E522" s="63">
        <v>3.389543259046E-3</v>
      </c>
    </row>
    <row r="523" spans="2:5" ht="14.5" customHeight="1">
      <c r="B523" s="90"/>
      <c r="C523" s="61" t="s">
        <v>137</v>
      </c>
      <c r="D523" s="62">
        <v>40</v>
      </c>
      <c r="E523" s="63">
        <v>3.389543259046E-3</v>
      </c>
    </row>
    <row r="524" spans="2:5" ht="14.5" customHeight="1">
      <c r="B524" s="90"/>
      <c r="C524" s="61" t="s">
        <v>138</v>
      </c>
      <c r="D524" s="62">
        <v>21</v>
      </c>
      <c r="E524" s="63">
        <v>1.7795102109989999E-3</v>
      </c>
    </row>
    <row r="525" spans="2:5" ht="14.5" customHeight="1">
      <c r="B525" s="90"/>
      <c r="C525" s="61" t="s">
        <v>158</v>
      </c>
      <c r="D525" s="62">
        <v>2</v>
      </c>
      <c r="E525" s="63">
        <v>1.69477162952E-4</v>
      </c>
    </row>
    <row r="526" spans="2:5" ht="14.5" customHeight="1">
      <c r="B526" s="90"/>
      <c r="C526" s="61" t="s">
        <v>139</v>
      </c>
      <c r="D526" s="62">
        <v>4</v>
      </c>
      <c r="E526" s="63">
        <v>3.3895432590500002E-4</v>
      </c>
    </row>
    <row r="527" spans="2:5" ht="14.5" customHeight="1">
      <c r="B527" s="90"/>
      <c r="C527" s="61" t="s">
        <v>140</v>
      </c>
      <c r="D527" s="62">
        <v>27</v>
      </c>
      <c r="E527" s="63">
        <v>2.2879416998559999E-3</v>
      </c>
    </row>
    <row r="528" spans="2:5" ht="14.5" customHeight="1">
      <c r="B528" s="90"/>
      <c r="C528" s="61" t="s">
        <v>166</v>
      </c>
      <c r="D528" s="62">
        <v>1</v>
      </c>
      <c r="E528" s="63">
        <v>8.4738581476000001E-5</v>
      </c>
    </row>
    <row r="529" spans="2:5" ht="14.5" customHeight="1">
      <c r="B529" s="90"/>
      <c r="C529" s="61" t="s">
        <v>159</v>
      </c>
      <c r="D529" s="62">
        <v>6</v>
      </c>
      <c r="E529" s="63">
        <v>5.0843148885699996E-4</v>
      </c>
    </row>
    <row r="530" spans="2:5" ht="14.5" customHeight="1">
      <c r="B530" s="90"/>
      <c r="C530" s="61" t="s">
        <v>160</v>
      </c>
      <c r="D530" s="62">
        <v>4</v>
      </c>
      <c r="E530" s="63">
        <v>3.3895432590500002E-4</v>
      </c>
    </row>
    <row r="531" spans="2:5" ht="14.5" customHeight="1">
      <c r="B531" s="90"/>
      <c r="C531" s="61" t="s">
        <v>141</v>
      </c>
      <c r="D531" s="62">
        <v>13</v>
      </c>
      <c r="E531" s="63">
        <v>1.1016015591900001E-3</v>
      </c>
    </row>
    <row r="532" spans="2:5" ht="14.5" customHeight="1">
      <c r="B532" s="90"/>
      <c r="C532" s="61" t="s">
        <v>142</v>
      </c>
      <c r="D532" s="62">
        <v>7</v>
      </c>
      <c r="E532" s="63">
        <v>5.9317007033300002E-4</v>
      </c>
    </row>
    <row r="533" spans="2:5" ht="14.5" customHeight="1">
      <c r="B533" s="90"/>
      <c r="C533" s="61" t="s">
        <v>143</v>
      </c>
      <c r="D533" s="62">
        <v>14</v>
      </c>
      <c r="E533" s="63">
        <v>1.186340140666E-3</v>
      </c>
    </row>
    <row r="534" spans="2:5" ht="14.5" customHeight="1">
      <c r="B534" s="90"/>
      <c r="C534" s="61" t="s">
        <v>144</v>
      </c>
      <c r="D534" s="62">
        <v>38</v>
      </c>
      <c r="E534" s="63">
        <v>3.2200660960940001E-3</v>
      </c>
    </row>
    <row r="535" spans="2:5" ht="14.5" customHeight="1">
      <c r="B535" s="90"/>
      <c r="C535" s="61" t="s">
        <v>145</v>
      </c>
      <c r="D535" s="62">
        <v>1</v>
      </c>
      <c r="E535" s="63">
        <v>8.4738581476000001E-5</v>
      </c>
    </row>
    <row r="536" spans="2:5" ht="14.5" customHeight="1">
      <c r="B536" s="90"/>
      <c r="C536" s="61" t="s">
        <v>146</v>
      </c>
      <c r="D536" s="62">
        <v>173</v>
      </c>
      <c r="E536" s="63">
        <v>1.4659774595373E-2</v>
      </c>
    </row>
    <row r="537" spans="2:5" ht="14.5" customHeight="1">
      <c r="B537" s="90"/>
      <c r="C537" s="61" t="s">
        <v>147</v>
      </c>
      <c r="D537" s="62">
        <v>3</v>
      </c>
      <c r="E537" s="63">
        <v>2.54215744428E-4</v>
      </c>
    </row>
    <row r="538" spans="2:5" ht="14.5" customHeight="1">
      <c r="B538" s="90"/>
      <c r="C538" s="61" t="s">
        <v>167</v>
      </c>
      <c r="D538" s="62">
        <v>1</v>
      </c>
      <c r="E538" s="63">
        <v>8.4738581476000001E-5</v>
      </c>
    </row>
    <row r="539" spans="2:5" ht="14.5" customHeight="1">
      <c r="B539" s="90"/>
      <c r="C539" s="61" t="s">
        <v>148</v>
      </c>
      <c r="D539" s="62">
        <v>4</v>
      </c>
      <c r="E539" s="63">
        <v>3.3895432590500002E-4</v>
      </c>
    </row>
    <row r="540" spans="2:5" ht="14.5" customHeight="1">
      <c r="B540" s="91"/>
      <c r="C540" s="66" t="s">
        <v>284</v>
      </c>
      <c r="D540" s="64">
        <v>489</v>
      </c>
      <c r="E540" s="67">
        <v>4.1437166341835002E-2</v>
      </c>
    </row>
    <row r="541" spans="2:5" ht="14.5" customHeight="1">
      <c r="B541" s="89" t="s">
        <v>72</v>
      </c>
      <c r="C541" s="61" t="s">
        <v>161</v>
      </c>
      <c r="D541" s="62">
        <v>1</v>
      </c>
      <c r="E541" s="63">
        <v>8.4738581476000001E-5</v>
      </c>
    </row>
    <row r="542" spans="2:5" ht="14.5" customHeight="1">
      <c r="B542" s="90"/>
      <c r="C542" s="61" t="s">
        <v>133</v>
      </c>
      <c r="D542" s="62">
        <v>6</v>
      </c>
      <c r="E542" s="63">
        <v>5.0843148885699996E-4</v>
      </c>
    </row>
    <row r="543" spans="2:5" ht="14.5" customHeight="1">
      <c r="B543" s="90"/>
      <c r="C543" s="61" t="s">
        <v>134</v>
      </c>
      <c r="D543" s="62">
        <v>3</v>
      </c>
      <c r="E543" s="63">
        <v>2.54215744428E-4</v>
      </c>
    </row>
    <row r="544" spans="2:5" ht="14.5" customHeight="1">
      <c r="B544" s="90"/>
      <c r="C544" s="61" t="s">
        <v>136</v>
      </c>
      <c r="D544" s="62">
        <v>7</v>
      </c>
      <c r="E544" s="63">
        <v>5.9317007033300002E-4</v>
      </c>
    </row>
    <row r="545" spans="2:5" ht="14.5" customHeight="1">
      <c r="B545" s="90"/>
      <c r="C545" s="61" t="s">
        <v>137</v>
      </c>
      <c r="D545" s="62">
        <v>2</v>
      </c>
      <c r="E545" s="63">
        <v>1.69477162952E-4</v>
      </c>
    </row>
    <row r="546" spans="2:5" ht="14.5" customHeight="1">
      <c r="B546" s="90"/>
      <c r="C546" s="61" t="s">
        <v>138</v>
      </c>
      <c r="D546" s="62">
        <v>7</v>
      </c>
      <c r="E546" s="63">
        <v>5.9317007033300002E-4</v>
      </c>
    </row>
    <row r="547" spans="2:5" ht="14.5" customHeight="1">
      <c r="B547" s="90"/>
      <c r="C547" s="61" t="s">
        <v>158</v>
      </c>
      <c r="D547" s="62">
        <v>1</v>
      </c>
      <c r="E547" s="63">
        <v>8.4738581476000001E-5</v>
      </c>
    </row>
    <row r="548" spans="2:5" ht="14.5" customHeight="1">
      <c r="B548" s="90"/>
      <c r="C548" s="61" t="s">
        <v>140</v>
      </c>
      <c r="D548" s="62">
        <v>2</v>
      </c>
      <c r="E548" s="63">
        <v>1.69477162952E-4</v>
      </c>
    </row>
    <row r="549" spans="2:5" ht="14.5" customHeight="1">
      <c r="B549" s="90"/>
      <c r="C549" s="61" t="s">
        <v>160</v>
      </c>
      <c r="D549" s="62">
        <v>3</v>
      </c>
      <c r="E549" s="63">
        <v>2.54215744428E-4</v>
      </c>
    </row>
    <row r="550" spans="2:5" ht="14.5" customHeight="1">
      <c r="B550" s="90"/>
      <c r="C550" s="61" t="s">
        <v>141</v>
      </c>
      <c r="D550" s="62">
        <v>2</v>
      </c>
      <c r="E550" s="63">
        <v>1.69477162952E-4</v>
      </c>
    </row>
    <row r="551" spans="2:5" ht="14.5" customHeight="1">
      <c r="B551" s="90"/>
      <c r="C551" s="61" t="s">
        <v>142</v>
      </c>
      <c r="D551" s="62">
        <v>1</v>
      </c>
      <c r="E551" s="63">
        <v>8.4738581476000001E-5</v>
      </c>
    </row>
    <row r="552" spans="2:5" ht="14.5" customHeight="1">
      <c r="B552" s="90"/>
      <c r="C552" s="61" t="s">
        <v>143</v>
      </c>
      <c r="D552" s="62">
        <v>2</v>
      </c>
      <c r="E552" s="63">
        <v>1.69477162952E-4</v>
      </c>
    </row>
    <row r="553" spans="2:5" ht="14.5" customHeight="1">
      <c r="B553" s="90"/>
      <c r="C553" s="61" t="s">
        <v>144</v>
      </c>
      <c r="D553" s="62">
        <v>3</v>
      </c>
      <c r="E553" s="63">
        <v>2.54215744428E-4</v>
      </c>
    </row>
    <row r="554" spans="2:5" ht="14.5" customHeight="1">
      <c r="B554" s="90"/>
      <c r="C554" s="61" t="s">
        <v>146</v>
      </c>
      <c r="D554" s="62">
        <v>61</v>
      </c>
      <c r="E554" s="63">
        <v>5.1690534700450002E-3</v>
      </c>
    </row>
    <row r="555" spans="2:5" ht="14.5" customHeight="1">
      <c r="B555" s="90"/>
      <c r="C555" s="61" t="s">
        <v>148</v>
      </c>
      <c r="D555" s="62">
        <v>1</v>
      </c>
      <c r="E555" s="63">
        <v>8.4738581476000001E-5</v>
      </c>
    </row>
    <row r="556" spans="2:5" ht="14.5" customHeight="1">
      <c r="B556" s="91"/>
      <c r="C556" s="66" t="s">
        <v>284</v>
      </c>
      <c r="D556" s="64">
        <v>102</v>
      </c>
      <c r="E556" s="67">
        <v>8.6433353105669995E-3</v>
      </c>
    </row>
    <row r="557" spans="2:5" ht="14.5" customHeight="1">
      <c r="B557" s="89" t="s">
        <v>64</v>
      </c>
      <c r="C557" s="61" t="s">
        <v>133</v>
      </c>
      <c r="D557" s="62">
        <v>4</v>
      </c>
      <c r="E557" s="63">
        <v>3.3895432590500002E-4</v>
      </c>
    </row>
    <row r="558" spans="2:5" ht="14.5" customHeight="1">
      <c r="B558" s="90"/>
      <c r="C558" s="61" t="s">
        <v>149</v>
      </c>
      <c r="D558" s="62">
        <v>1</v>
      </c>
      <c r="E558" s="63">
        <v>8.4738581476000001E-5</v>
      </c>
    </row>
    <row r="559" spans="2:5" ht="14.5" customHeight="1">
      <c r="B559" s="90"/>
      <c r="C559" s="61" t="s">
        <v>162</v>
      </c>
      <c r="D559" s="62">
        <v>1</v>
      </c>
      <c r="E559" s="63">
        <v>8.4738581476000001E-5</v>
      </c>
    </row>
    <row r="560" spans="2:5" ht="14.5" customHeight="1">
      <c r="B560" s="90"/>
      <c r="C560" s="61" t="s">
        <v>134</v>
      </c>
      <c r="D560" s="62">
        <v>1</v>
      </c>
      <c r="E560" s="63">
        <v>8.4738581476000001E-5</v>
      </c>
    </row>
    <row r="561" spans="2:5" ht="14.5" customHeight="1">
      <c r="B561" s="90"/>
      <c r="C561" s="61" t="s">
        <v>136</v>
      </c>
      <c r="D561" s="62">
        <v>3</v>
      </c>
      <c r="E561" s="63">
        <v>2.54215744428E-4</v>
      </c>
    </row>
    <row r="562" spans="2:5" ht="14.5" customHeight="1">
      <c r="B562" s="90"/>
      <c r="C562" s="61" t="s">
        <v>137</v>
      </c>
      <c r="D562" s="62">
        <v>16</v>
      </c>
      <c r="E562" s="63">
        <v>1.3558173036179999E-3</v>
      </c>
    </row>
    <row r="563" spans="2:5" ht="14.5" customHeight="1">
      <c r="B563" s="90"/>
      <c r="C563" s="61" t="s">
        <v>138</v>
      </c>
      <c r="D563" s="62">
        <v>21</v>
      </c>
      <c r="E563" s="63">
        <v>1.7795102109989999E-3</v>
      </c>
    </row>
    <row r="564" spans="2:5" ht="14.5" customHeight="1">
      <c r="B564" s="90"/>
      <c r="C564" s="61" t="s">
        <v>158</v>
      </c>
      <c r="D564" s="62">
        <v>1</v>
      </c>
      <c r="E564" s="63">
        <v>8.4738581476000001E-5</v>
      </c>
    </row>
    <row r="565" spans="2:5" ht="14.5" customHeight="1">
      <c r="B565" s="90"/>
      <c r="C565" s="61" t="s">
        <v>140</v>
      </c>
      <c r="D565" s="62">
        <v>5</v>
      </c>
      <c r="E565" s="63">
        <v>4.2369290738100002E-4</v>
      </c>
    </row>
    <row r="566" spans="2:5" ht="14.5" customHeight="1">
      <c r="B566" s="90"/>
      <c r="C566" s="61" t="s">
        <v>160</v>
      </c>
      <c r="D566" s="62">
        <v>3</v>
      </c>
      <c r="E566" s="63">
        <v>2.54215744428E-4</v>
      </c>
    </row>
    <row r="567" spans="2:5" ht="14.5" customHeight="1">
      <c r="B567" s="90"/>
      <c r="C567" s="61" t="s">
        <v>141</v>
      </c>
      <c r="D567" s="62">
        <v>1</v>
      </c>
      <c r="E567" s="63">
        <v>8.4738581476000001E-5</v>
      </c>
    </row>
    <row r="568" spans="2:5" ht="14.5" customHeight="1">
      <c r="B568" s="90"/>
      <c r="C568" s="61" t="s">
        <v>143</v>
      </c>
      <c r="D568" s="62">
        <v>3</v>
      </c>
      <c r="E568" s="63">
        <v>2.54215744428E-4</v>
      </c>
    </row>
    <row r="569" spans="2:5" ht="14.5" customHeight="1">
      <c r="B569" s="90"/>
      <c r="C569" s="61" t="s">
        <v>144</v>
      </c>
      <c r="D569" s="62">
        <v>3</v>
      </c>
      <c r="E569" s="63">
        <v>2.54215744428E-4</v>
      </c>
    </row>
    <row r="570" spans="2:5" ht="14.5" customHeight="1">
      <c r="B570" s="90"/>
      <c r="C570" s="61" t="s">
        <v>146</v>
      </c>
      <c r="D570" s="62">
        <v>18</v>
      </c>
      <c r="E570" s="63">
        <v>1.5252944665710001E-3</v>
      </c>
    </row>
    <row r="571" spans="2:5" ht="14.5" customHeight="1">
      <c r="B571" s="91"/>
      <c r="C571" s="66" t="s">
        <v>284</v>
      </c>
      <c r="D571" s="64">
        <v>81</v>
      </c>
      <c r="E571" s="67">
        <v>6.8638250995680002E-3</v>
      </c>
    </row>
    <row r="572" spans="2:5" ht="14.5" customHeight="1">
      <c r="B572" s="89" t="s">
        <v>88</v>
      </c>
      <c r="C572" s="61" t="s">
        <v>151</v>
      </c>
      <c r="D572" s="62">
        <v>1</v>
      </c>
      <c r="E572" s="63">
        <v>8.4738581476000001E-5</v>
      </c>
    </row>
    <row r="573" spans="2:5" ht="14.5" customHeight="1">
      <c r="B573" s="90"/>
      <c r="C573" s="61" t="s">
        <v>134</v>
      </c>
      <c r="D573" s="62">
        <v>2</v>
      </c>
      <c r="E573" s="63">
        <v>1.69477162952E-4</v>
      </c>
    </row>
    <row r="574" spans="2:5" ht="14.5" customHeight="1">
      <c r="B574" s="90"/>
      <c r="C574" s="61" t="s">
        <v>136</v>
      </c>
      <c r="D574" s="62">
        <v>1</v>
      </c>
      <c r="E574" s="63">
        <v>8.4738581476000001E-5</v>
      </c>
    </row>
    <row r="575" spans="2:5" ht="14.5" customHeight="1">
      <c r="B575" s="90"/>
      <c r="C575" s="61" t="s">
        <v>138</v>
      </c>
      <c r="D575" s="62">
        <v>1</v>
      </c>
      <c r="E575" s="63">
        <v>8.4738581476000001E-5</v>
      </c>
    </row>
    <row r="576" spans="2:5" ht="14.5" customHeight="1">
      <c r="B576" s="90"/>
      <c r="C576" s="61" t="s">
        <v>141</v>
      </c>
      <c r="D576" s="62">
        <v>1</v>
      </c>
      <c r="E576" s="63">
        <v>8.4738581476000001E-5</v>
      </c>
    </row>
    <row r="577" spans="2:5" ht="14.5" customHeight="1">
      <c r="B577" s="90"/>
      <c r="C577" s="61" t="s">
        <v>143</v>
      </c>
      <c r="D577" s="62">
        <v>1</v>
      </c>
      <c r="E577" s="63">
        <v>8.4738581476000001E-5</v>
      </c>
    </row>
    <row r="578" spans="2:5" ht="14.5" customHeight="1">
      <c r="B578" s="90"/>
      <c r="C578" s="61" t="s">
        <v>144</v>
      </c>
      <c r="D578" s="62">
        <v>2</v>
      </c>
      <c r="E578" s="63">
        <v>1.69477162952E-4</v>
      </c>
    </row>
    <row r="579" spans="2:5" ht="14.5" customHeight="1">
      <c r="B579" s="90"/>
      <c r="C579" s="61" t="s">
        <v>146</v>
      </c>
      <c r="D579" s="62">
        <v>10</v>
      </c>
      <c r="E579" s="63">
        <v>8.4738581476099997E-4</v>
      </c>
    </row>
    <row r="580" spans="2:5" ht="14.5" customHeight="1">
      <c r="B580" s="90"/>
      <c r="C580" s="61" t="s">
        <v>147</v>
      </c>
      <c r="D580" s="62">
        <v>2</v>
      </c>
      <c r="E580" s="63">
        <v>1.69477162952E-4</v>
      </c>
    </row>
    <row r="581" spans="2:5" ht="14.5" customHeight="1">
      <c r="B581" s="91"/>
      <c r="C581" s="66" t="s">
        <v>284</v>
      </c>
      <c r="D581" s="64">
        <v>21</v>
      </c>
      <c r="E581" s="67">
        <v>1.7795102109989999E-3</v>
      </c>
    </row>
    <row r="582" spans="2:5" ht="14.5" customHeight="1">
      <c r="B582" s="89" t="s">
        <v>70</v>
      </c>
      <c r="C582" s="61" t="s">
        <v>134</v>
      </c>
      <c r="D582" s="62">
        <v>4</v>
      </c>
      <c r="E582" s="63">
        <v>3.3895432590500002E-4</v>
      </c>
    </row>
    <row r="583" spans="2:5" ht="14.5" customHeight="1">
      <c r="B583" s="90"/>
      <c r="C583" s="61" t="s">
        <v>155</v>
      </c>
      <c r="D583" s="62">
        <v>1</v>
      </c>
      <c r="E583" s="63">
        <v>8.4738581476000001E-5</v>
      </c>
    </row>
    <row r="584" spans="2:5" ht="14.5" customHeight="1">
      <c r="B584" s="90"/>
      <c r="C584" s="61" t="s">
        <v>136</v>
      </c>
      <c r="D584" s="62">
        <v>9</v>
      </c>
      <c r="E584" s="63">
        <v>7.6264723328500002E-4</v>
      </c>
    </row>
    <row r="585" spans="2:5" ht="14.5" customHeight="1">
      <c r="B585" s="90"/>
      <c r="C585" s="61" t="s">
        <v>137</v>
      </c>
      <c r="D585" s="62">
        <v>4</v>
      </c>
      <c r="E585" s="63">
        <v>3.3895432590500002E-4</v>
      </c>
    </row>
    <row r="586" spans="2:5" ht="14.5" customHeight="1">
      <c r="B586" s="90"/>
      <c r="C586" s="61" t="s">
        <v>138</v>
      </c>
      <c r="D586" s="62">
        <v>1</v>
      </c>
      <c r="E586" s="63">
        <v>8.4738581476000001E-5</v>
      </c>
    </row>
    <row r="587" spans="2:5" ht="14.5" customHeight="1">
      <c r="B587" s="90"/>
      <c r="C587" s="61" t="s">
        <v>140</v>
      </c>
      <c r="D587" s="62">
        <v>4</v>
      </c>
      <c r="E587" s="63">
        <v>3.3895432590500002E-4</v>
      </c>
    </row>
    <row r="588" spans="2:5" ht="14.5" customHeight="1">
      <c r="B588" s="90"/>
      <c r="C588" s="61" t="s">
        <v>141</v>
      </c>
      <c r="D588" s="62">
        <v>1</v>
      </c>
      <c r="E588" s="63">
        <v>8.4738581476000001E-5</v>
      </c>
    </row>
    <row r="589" spans="2:5" ht="14.5" customHeight="1">
      <c r="B589" s="90"/>
      <c r="C589" s="61" t="s">
        <v>143</v>
      </c>
      <c r="D589" s="62">
        <v>1</v>
      </c>
      <c r="E589" s="63">
        <v>8.4738581476000001E-5</v>
      </c>
    </row>
    <row r="590" spans="2:5" ht="14.5" customHeight="1">
      <c r="B590" s="90"/>
      <c r="C590" s="61" t="s">
        <v>144</v>
      </c>
      <c r="D590" s="62">
        <v>2</v>
      </c>
      <c r="E590" s="63">
        <v>1.69477162952E-4</v>
      </c>
    </row>
    <row r="591" spans="2:5" ht="14.5" customHeight="1">
      <c r="B591" s="90"/>
      <c r="C591" s="61" t="s">
        <v>146</v>
      </c>
      <c r="D591" s="62">
        <v>38</v>
      </c>
      <c r="E591" s="63">
        <v>3.2200660960940001E-3</v>
      </c>
    </row>
    <row r="592" spans="2:5" ht="14.5" customHeight="1">
      <c r="B592" s="90"/>
      <c r="C592" s="61" t="s">
        <v>147</v>
      </c>
      <c r="D592" s="62">
        <v>3</v>
      </c>
      <c r="E592" s="63">
        <v>2.54215744428E-4</v>
      </c>
    </row>
    <row r="593" spans="2:5" ht="14.5" customHeight="1">
      <c r="B593" s="90"/>
      <c r="C593" s="61" t="s">
        <v>148</v>
      </c>
      <c r="D593" s="62">
        <v>1</v>
      </c>
      <c r="E593" s="63">
        <v>8.4738581476000001E-5</v>
      </c>
    </row>
    <row r="594" spans="2:5" ht="14.5" customHeight="1">
      <c r="B594" s="91"/>
      <c r="C594" s="66" t="s">
        <v>284</v>
      </c>
      <c r="D594" s="64">
        <v>69</v>
      </c>
      <c r="E594" s="67">
        <v>5.8469621218539998E-3</v>
      </c>
    </row>
    <row r="595" spans="2:5" ht="14.5" customHeight="1">
      <c r="B595" s="89" t="s">
        <v>92</v>
      </c>
      <c r="C595" s="61" t="s">
        <v>134</v>
      </c>
      <c r="D595" s="62">
        <v>2</v>
      </c>
      <c r="E595" s="63">
        <v>1.69477162952E-4</v>
      </c>
    </row>
    <row r="596" spans="2:5" ht="14.5" customHeight="1">
      <c r="B596" s="90"/>
      <c r="C596" s="61" t="s">
        <v>137</v>
      </c>
      <c r="D596" s="62">
        <v>1</v>
      </c>
      <c r="E596" s="63">
        <v>8.4738581476000001E-5</v>
      </c>
    </row>
    <row r="597" spans="2:5" ht="14.5" customHeight="1">
      <c r="B597" s="90"/>
      <c r="C597" s="61" t="s">
        <v>146</v>
      </c>
      <c r="D597" s="62">
        <v>3</v>
      </c>
      <c r="E597" s="63">
        <v>2.54215744428E-4</v>
      </c>
    </row>
    <row r="598" spans="2:5" ht="14.5" customHeight="1">
      <c r="B598" s="91"/>
      <c r="C598" s="66" t="s">
        <v>284</v>
      </c>
      <c r="D598" s="64">
        <v>6</v>
      </c>
      <c r="E598" s="67">
        <v>5.0843148885699996E-4</v>
      </c>
    </row>
    <row r="599" spans="2:5" ht="14.5" customHeight="1">
      <c r="B599" s="89" t="s">
        <v>62</v>
      </c>
      <c r="C599" s="61" t="s">
        <v>133</v>
      </c>
      <c r="D599" s="62">
        <v>22</v>
      </c>
      <c r="E599" s="63">
        <v>1.8642487924749999E-3</v>
      </c>
    </row>
    <row r="600" spans="2:5" ht="14.5" customHeight="1">
      <c r="B600" s="90"/>
      <c r="C600" s="61" t="s">
        <v>149</v>
      </c>
      <c r="D600" s="62">
        <v>4</v>
      </c>
      <c r="E600" s="63">
        <v>3.3895432590500002E-4</v>
      </c>
    </row>
    <row r="601" spans="2:5" ht="14.5" customHeight="1">
      <c r="B601" s="90"/>
      <c r="C601" s="61" t="s">
        <v>162</v>
      </c>
      <c r="D601" s="62">
        <v>1</v>
      </c>
      <c r="E601" s="63">
        <v>8.4738581476000001E-5</v>
      </c>
    </row>
    <row r="602" spans="2:5" ht="14.5" customHeight="1">
      <c r="B602" s="90"/>
      <c r="C602" s="61" t="s">
        <v>152</v>
      </c>
      <c r="D602" s="62">
        <v>7</v>
      </c>
      <c r="E602" s="63">
        <v>5.9317007033300002E-4</v>
      </c>
    </row>
    <row r="603" spans="2:5" ht="14.5" customHeight="1">
      <c r="B603" s="90"/>
      <c r="C603" s="61" t="s">
        <v>163</v>
      </c>
      <c r="D603" s="62">
        <v>2</v>
      </c>
      <c r="E603" s="63">
        <v>1.69477162952E-4</v>
      </c>
    </row>
    <row r="604" spans="2:5" ht="14.5" customHeight="1">
      <c r="B604" s="90"/>
      <c r="C604" s="61" t="s">
        <v>134</v>
      </c>
      <c r="D604" s="62">
        <v>4</v>
      </c>
      <c r="E604" s="63">
        <v>3.3895432590500002E-4</v>
      </c>
    </row>
    <row r="605" spans="2:5" ht="14.5" customHeight="1">
      <c r="B605" s="90"/>
      <c r="C605" s="61" t="s">
        <v>154</v>
      </c>
      <c r="D605" s="62">
        <v>2</v>
      </c>
      <c r="E605" s="63">
        <v>1.69477162952E-4</v>
      </c>
    </row>
    <row r="606" spans="2:5" ht="14.5" customHeight="1">
      <c r="B606" s="90"/>
      <c r="C606" s="61" t="s">
        <v>135</v>
      </c>
      <c r="D606" s="62">
        <v>2</v>
      </c>
      <c r="E606" s="63">
        <v>1.69477162952E-4</v>
      </c>
    </row>
    <row r="607" spans="2:5" ht="14.5" customHeight="1">
      <c r="B607" s="90"/>
      <c r="C607" s="61" t="s">
        <v>136</v>
      </c>
      <c r="D607" s="62">
        <v>1</v>
      </c>
      <c r="E607" s="63">
        <v>8.4738581476000001E-5</v>
      </c>
    </row>
    <row r="608" spans="2:5" ht="14.5" customHeight="1">
      <c r="B608" s="90"/>
      <c r="C608" s="61" t="s">
        <v>137</v>
      </c>
      <c r="D608" s="62">
        <v>17</v>
      </c>
      <c r="E608" s="63">
        <v>1.4405558850940001E-3</v>
      </c>
    </row>
    <row r="609" spans="2:5" ht="14.5" customHeight="1">
      <c r="B609" s="90"/>
      <c r="C609" s="61" t="s">
        <v>138</v>
      </c>
      <c r="D609" s="62">
        <v>13</v>
      </c>
      <c r="E609" s="63">
        <v>1.1016015591900001E-3</v>
      </c>
    </row>
    <row r="610" spans="2:5" ht="14.5" customHeight="1">
      <c r="B610" s="90"/>
      <c r="C610" s="61" t="s">
        <v>158</v>
      </c>
      <c r="D610" s="62">
        <v>8</v>
      </c>
      <c r="E610" s="63">
        <v>6.7790865180899996E-4</v>
      </c>
    </row>
    <row r="611" spans="2:5" ht="14.5" customHeight="1">
      <c r="B611" s="90"/>
      <c r="C611" s="61" t="s">
        <v>139</v>
      </c>
      <c r="D611" s="62">
        <v>3</v>
      </c>
      <c r="E611" s="63">
        <v>2.54215744428E-4</v>
      </c>
    </row>
    <row r="612" spans="2:5" ht="14.5" customHeight="1">
      <c r="B612" s="90"/>
      <c r="C612" s="61" t="s">
        <v>140</v>
      </c>
      <c r="D612" s="62">
        <v>7</v>
      </c>
      <c r="E612" s="63">
        <v>5.9317007033300002E-4</v>
      </c>
    </row>
    <row r="613" spans="2:5" ht="14.5" customHeight="1">
      <c r="B613" s="90"/>
      <c r="C613" s="61" t="s">
        <v>160</v>
      </c>
      <c r="D613" s="62">
        <v>1</v>
      </c>
      <c r="E613" s="63">
        <v>8.4738581476000001E-5</v>
      </c>
    </row>
    <row r="614" spans="2:5" ht="14.5" customHeight="1">
      <c r="B614" s="90"/>
      <c r="C614" s="61" t="s">
        <v>141</v>
      </c>
      <c r="D614" s="62">
        <v>2</v>
      </c>
      <c r="E614" s="63">
        <v>1.69477162952E-4</v>
      </c>
    </row>
    <row r="615" spans="2:5" ht="14.5" customHeight="1">
      <c r="B615" s="90"/>
      <c r="C615" s="61" t="s">
        <v>142</v>
      </c>
      <c r="D615" s="62">
        <v>2</v>
      </c>
      <c r="E615" s="63">
        <v>1.69477162952E-4</v>
      </c>
    </row>
    <row r="616" spans="2:5" ht="14.5" customHeight="1">
      <c r="B616" s="90"/>
      <c r="C616" s="61" t="s">
        <v>143</v>
      </c>
      <c r="D616" s="62">
        <v>3</v>
      </c>
      <c r="E616" s="63">
        <v>2.54215744428E-4</v>
      </c>
    </row>
    <row r="617" spans="2:5" ht="14.5" customHeight="1">
      <c r="B617" s="90"/>
      <c r="C617" s="61" t="s">
        <v>144</v>
      </c>
      <c r="D617" s="62">
        <v>10</v>
      </c>
      <c r="E617" s="63">
        <v>8.4738581476099997E-4</v>
      </c>
    </row>
    <row r="618" spans="2:5" ht="14.5" customHeight="1">
      <c r="B618" s="90"/>
      <c r="C618" s="61" t="s">
        <v>145</v>
      </c>
      <c r="D618" s="62">
        <v>1</v>
      </c>
      <c r="E618" s="63">
        <v>8.4738581476000001E-5</v>
      </c>
    </row>
    <row r="619" spans="2:5" ht="14.5" customHeight="1">
      <c r="B619" s="90"/>
      <c r="C619" s="61" t="s">
        <v>146</v>
      </c>
      <c r="D619" s="62">
        <v>29</v>
      </c>
      <c r="E619" s="63">
        <v>2.4574188628079998E-3</v>
      </c>
    </row>
    <row r="620" spans="2:5" ht="14.5" customHeight="1">
      <c r="B620" s="91"/>
      <c r="C620" s="66" t="s">
        <v>284</v>
      </c>
      <c r="D620" s="64">
        <v>141</v>
      </c>
      <c r="E620" s="67">
        <v>1.1948139988136999E-2</v>
      </c>
    </row>
    <row r="621" spans="2:5" ht="14.5" customHeight="1">
      <c r="B621" s="89" t="s">
        <v>59</v>
      </c>
      <c r="C621" s="61" t="s">
        <v>133</v>
      </c>
      <c r="D621" s="62">
        <v>8</v>
      </c>
      <c r="E621" s="63">
        <v>6.7790865180899996E-4</v>
      </c>
    </row>
    <row r="622" spans="2:5" ht="14.5" customHeight="1">
      <c r="B622" s="90"/>
      <c r="C622" s="61" t="s">
        <v>149</v>
      </c>
      <c r="D622" s="62">
        <v>7</v>
      </c>
      <c r="E622" s="63">
        <v>5.9317007033300002E-4</v>
      </c>
    </row>
    <row r="623" spans="2:5" ht="14.5" customHeight="1">
      <c r="B623" s="90"/>
      <c r="C623" s="61" t="s">
        <v>150</v>
      </c>
      <c r="D623" s="62">
        <v>1</v>
      </c>
      <c r="E623" s="63">
        <v>8.4738581476000001E-5</v>
      </c>
    </row>
    <row r="624" spans="2:5" ht="14.5" customHeight="1">
      <c r="B624" s="90"/>
      <c r="C624" s="61" t="s">
        <v>151</v>
      </c>
      <c r="D624" s="62">
        <v>1</v>
      </c>
      <c r="E624" s="63">
        <v>8.4738581476000001E-5</v>
      </c>
    </row>
    <row r="625" spans="2:5" ht="14.5" customHeight="1">
      <c r="B625" s="90"/>
      <c r="C625" s="61" t="s">
        <v>152</v>
      </c>
      <c r="D625" s="62">
        <v>1</v>
      </c>
      <c r="E625" s="63">
        <v>8.4738581476000001E-5</v>
      </c>
    </row>
    <row r="626" spans="2:5" ht="14.5" customHeight="1">
      <c r="B626" s="90"/>
      <c r="C626" s="61" t="s">
        <v>153</v>
      </c>
      <c r="D626" s="62">
        <v>1</v>
      </c>
      <c r="E626" s="63">
        <v>8.4738581476000001E-5</v>
      </c>
    </row>
    <row r="627" spans="2:5" ht="14.5" customHeight="1">
      <c r="B627" s="90"/>
      <c r="C627" s="61" t="s">
        <v>134</v>
      </c>
      <c r="D627" s="62">
        <v>12</v>
      </c>
      <c r="E627" s="63">
        <v>1.0168629777139999E-3</v>
      </c>
    </row>
    <row r="628" spans="2:5" ht="14.5" customHeight="1">
      <c r="B628" s="90"/>
      <c r="C628" s="61" t="s">
        <v>154</v>
      </c>
      <c r="D628" s="62">
        <v>1</v>
      </c>
      <c r="E628" s="63">
        <v>8.4738581476000001E-5</v>
      </c>
    </row>
    <row r="629" spans="2:5" ht="14.5" customHeight="1">
      <c r="B629" s="90"/>
      <c r="C629" s="61" t="s">
        <v>155</v>
      </c>
      <c r="D629" s="62">
        <v>1</v>
      </c>
      <c r="E629" s="63">
        <v>8.4738581476000001E-5</v>
      </c>
    </row>
    <row r="630" spans="2:5" ht="14.5" customHeight="1">
      <c r="B630" s="90"/>
      <c r="C630" s="61" t="s">
        <v>168</v>
      </c>
      <c r="D630" s="62">
        <v>1</v>
      </c>
      <c r="E630" s="63">
        <v>8.4738581476000001E-5</v>
      </c>
    </row>
    <row r="631" spans="2:5" ht="14.5" customHeight="1">
      <c r="B631" s="90"/>
      <c r="C631" s="61" t="s">
        <v>135</v>
      </c>
      <c r="D631" s="62">
        <v>1</v>
      </c>
      <c r="E631" s="63">
        <v>8.4738581476000001E-5</v>
      </c>
    </row>
    <row r="632" spans="2:5" ht="14.5" customHeight="1">
      <c r="B632" s="90"/>
      <c r="C632" s="61" t="s">
        <v>136</v>
      </c>
      <c r="D632" s="62">
        <v>14</v>
      </c>
      <c r="E632" s="63">
        <v>1.186340140666E-3</v>
      </c>
    </row>
    <row r="633" spans="2:5" ht="14.5" customHeight="1">
      <c r="B633" s="90"/>
      <c r="C633" s="61" t="s">
        <v>137</v>
      </c>
      <c r="D633" s="62">
        <v>19</v>
      </c>
      <c r="E633" s="63">
        <v>1.6100330480470001E-3</v>
      </c>
    </row>
    <row r="634" spans="2:5" ht="14.5" customHeight="1">
      <c r="B634" s="90"/>
      <c r="C634" s="61" t="s">
        <v>138</v>
      </c>
      <c r="D634" s="62">
        <v>11</v>
      </c>
      <c r="E634" s="63">
        <v>9.3212439623799998E-4</v>
      </c>
    </row>
    <row r="635" spans="2:5" ht="14.5" customHeight="1">
      <c r="B635" s="90"/>
      <c r="C635" s="61" t="s">
        <v>170</v>
      </c>
      <c r="D635" s="62">
        <v>1</v>
      </c>
      <c r="E635" s="63">
        <v>8.4738581476000001E-5</v>
      </c>
    </row>
    <row r="636" spans="2:5" ht="14.5" customHeight="1">
      <c r="B636" s="90"/>
      <c r="C636" s="61" t="s">
        <v>139</v>
      </c>
      <c r="D636" s="62">
        <v>6</v>
      </c>
      <c r="E636" s="63">
        <v>5.0843148885699996E-4</v>
      </c>
    </row>
    <row r="637" spans="2:5" ht="14.5" customHeight="1">
      <c r="B637" s="90"/>
      <c r="C637" s="61" t="s">
        <v>140</v>
      </c>
      <c r="D637" s="62">
        <v>11</v>
      </c>
      <c r="E637" s="63">
        <v>9.3212439623799998E-4</v>
      </c>
    </row>
    <row r="638" spans="2:5" ht="14.5" customHeight="1">
      <c r="B638" s="90"/>
      <c r="C638" s="61" t="s">
        <v>159</v>
      </c>
      <c r="D638" s="62">
        <v>1</v>
      </c>
      <c r="E638" s="63">
        <v>8.4738581476000001E-5</v>
      </c>
    </row>
    <row r="639" spans="2:5" ht="14.5" customHeight="1">
      <c r="B639" s="90"/>
      <c r="C639" s="61" t="s">
        <v>160</v>
      </c>
      <c r="D639" s="62">
        <v>11</v>
      </c>
      <c r="E639" s="63">
        <v>9.3212439623799998E-4</v>
      </c>
    </row>
    <row r="640" spans="2:5" ht="14.5" customHeight="1">
      <c r="B640" s="90"/>
      <c r="C640" s="61" t="s">
        <v>141</v>
      </c>
      <c r="D640" s="62">
        <v>8</v>
      </c>
      <c r="E640" s="63">
        <v>6.7790865180899996E-4</v>
      </c>
    </row>
    <row r="641" spans="2:5" ht="14.5" customHeight="1">
      <c r="B641" s="90"/>
      <c r="C641" s="61" t="s">
        <v>142</v>
      </c>
      <c r="D641" s="62">
        <v>3</v>
      </c>
      <c r="E641" s="63">
        <v>2.54215744428E-4</v>
      </c>
    </row>
    <row r="642" spans="2:5" ht="14.5" customHeight="1">
      <c r="B642" s="90"/>
      <c r="C642" s="61" t="s">
        <v>143</v>
      </c>
      <c r="D642" s="62">
        <v>12</v>
      </c>
      <c r="E642" s="63">
        <v>1.0168629777139999E-3</v>
      </c>
    </row>
    <row r="643" spans="2:5" ht="14.5" customHeight="1">
      <c r="B643" s="90"/>
      <c r="C643" s="61" t="s">
        <v>144</v>
      </c>
      <c r="D643" s="62">
        <v>15</v>
      </c>
      <c r="E643" s="63">
        <v>1.271078722142E-3</v>
      </c>
    </row>
    <row r="644" spans="2:5" ht="14.5" customHeight="1">
      <c r="B644" s="90"/>
      <c r="C644" s="61" t="s">
        <v>146</v>
      </c>
      <c r="D644" s="62">
        <v>56</v>
      </c>
      <c r="E644" s="63">
        <v>4.7453605626640001E-3</v>
      </c>
    </row>
    <row r="645" spans="2:5" ht="14.5" customHeight="1">
      <c r="B645" s="90"/>
      <c r="C645" s="61" t="s">
        <v>147</v>
      </c>
      <c r="D645" s="62">
        <v>1</v>
      </c>
      <c r="E645" s="63">
        <v>8.4738581476000001E-5</v>
      </c>
    </row>
    <row r="646" spans="2:5" ht="14.5" customHeight="1">
      <c r="B646" s="91"/>
      <c r="C646" s="66" t="s">
        <v>284</v>
      </c>
      <c r="D646" s="64">
        <v>204</v>
      </c>
      <c r="E646" s="67">
        <v>1.7286670621133999E-2</v>
      </c>
    </row>
    <row r="647" spans="2:5" ht="14.5" customHeight="1">
      <c r="B647" s="89" t="s">
        <v>81</v>
      </c>
      <c r="C647" s="61" t="s">
        <v>136</v>
      </c>
      <c r="D647" s="62">
        <v>3</v>
      </c>
      <c r="E647" s="63">
        <v>2.54215744428E-4</v>
      </c>
    </row>
    <row r="648" spans="2:5" ht="14.5" customHeight="1">
      <c r="B648" s="90"/>
      <c r="C648" s="61" t="s">
        <v>137</v>
      </c>
      <c r="D648" s="62">
        <v>2</v>
      </c>
      <c r="E648" s="63">
        <v>1.69477162952E-4</v>
      </c>
    </row>
    <row r="649" spans="2:5" ht="14.5" customHeight="1">
      <c r="B649" s="90"/>
      <c r="C649" s="61" t="s">
        <v>140</v>
      </c>
      <c r="D649" s="62">
        <v>1</v>
      </c>
      <c r="E649" s="63">
        <v>8.4738581476000001E-5</v>
      </c>
    </row>
    <row r="650" spans="2:5" ht="14.5" customHeight="1">
      <c r="B650" s="90"/>
      <c r="C650" s="61" t="s">
        <v>141</v>
      </c>
      <c r="D650" s="62">
        <v>1</v>
      </c>
      <c r="E650" s="63">
        <v>8.4738581476000001E-5</v>
      </c>
    </row>
    <row r="651" spans="2:5" ht="14.5" customHeight="1">
      <c r="B651" s="90"/>
      <c r="C651" s="61" t="s">
        <v>144</v>
      </c>
      <c r="D651" s="62">
        <v>1</v>
      </c>
      <c r="E651" s="63">
        <v>8.4738581476000001E-5</v>
      </c>
    </row>
    <row r="652" spans="2:5" ht="14.5" customHeight="1">
      <c r="B652" s="90"/>
      <c r="C652" s="61" t="s">
        <v>146</v>
      </c>
      <c r="D652" s="62">
        <v>18</v>
      </c>
      <c r="E652" s="63">
        <v>1.5252944665710001E-3</v>
      </c>
    </row>
    <row r="653" spans="2:5" ht="14.5" customHeight="1">
      <c r="B653" s="91"/>
      <c r="C653" s="66" t="s">
        <v>284</v>
      </c>
      <c r="D653" s="64">
        <v>26</v>
      </c>
      <c r="E653" s="67">
        <v>2.2032031183800002E-3</v>
      </c>
    </row>
    <row r="654" spans="2:5" ht="14.5" customHeight="1">
      <c r="B654" s="89" t="s">
        <v>60</v>
      </c>
      <c r="C654" s="61" t="s">
        <v>161</v>
      </c>
      <c r="D654" s="62">
        <v>1</v>
      </c>
      <c r="E654" s="63">
        <v>8.4738581476000001E-5</v>
      </c>
    </row>
    <row r="655" spans="2:5" ht="14.5" customHeight="1">
      <c r="B655" s="90"/>
      <c r="C655" s="61" t="s">
        <v>133</v>
      </c>
      <c r="D655" s="62">
        <v>11</v>
      </c>
      <c r="E655" s="63">
        <v>9.3212439623799998E-4</v>
      </c>
    </row>
    <row r="656" spans="2:5" ht="14.5" customHeight="1">
      <c r="B656" s="90"/>
      <c r="C656" s="61" t="s">
        <v>152</v>
      </c>
      <c r="D656" s="62">
        <v>1</v>
      </c>
      <c r="E656" s="63">
        <v>8.4738581476000001E-5</v>
      </c>
    </row>
    <row r="657" spans="2:5" ht="14.5" customHeight="1">
      <c r="B657" s="90"/>
      <c r="C657" s="61" t="s">
        <v>134</v>
      </c>
      <c r="D657" s="62">
        <v>12</v>
      </c>
      <c r="E657" s="63">
        <v>1.0168629777139999E-3</v>
      </c>
    </row>
    <row r="658" spans="2:5" ht="14.5" customHeight="1">
      <c r="B658" s="90"/>
      <c r="C658" s="61" t="s">
        <v>155</v>
      </c>
      <c r="D658" s="62">
        <v>2</v>
      </c>
      <c r="E658" s="63">
        <v>1.69477162952E-4</v>
      </c>
    </row>
    <row r="659" spans="2:5" ht="14.5" customHeight="1">
      <c r="B659" s="90"/>
      <c r="C659" s="61" t="s">
        <v>136</v>
      </c>
      <c r="D659" s="62">
        <v>3</v>
      </c>
      <c r="E659" s="63">
        <v>2.54215744428E-4</v>
      </c>
    </row>
    <row r="660" spans="2:5" ht="14.5" customHeight="1">
      <c r="B660" s="90"/>
      <c r="C660" s="61" t="s">
        <v>137</v>
      </c>
      <c r="D660" s="62">
        <v>9</v>
      </c>
      <c r="E660" s="63">
        <v>7.6264723328500002E-4</v>
      </c>
    </row>
    <row r="661" spans="2:5" ht="14.5" customHeight="1">
      <c r="B661" s="90"/>
      <c r="C661" s="61" t="s">
        <v>138</v>
      </c>
      <c r="D661" s="62">
        <v>6</v>
      </c>
      <c r="E661" s="63">
        <v>5.0843148885699996E-4</v>
      </c>
    </row>
    <row r="662" spans="2:5" ht="14.5" customHeight="1">
      <c r="B662" s="90"/>
      <c r="C662" s="61" t="s">
        <v>140</v>
      </c>
      <c r="D662" s="62">
        <v>26</v>
      </c>
      <c r="E662" s="63">
        <v>2.2032031183800002E-3</v>
      </c>
    </row>
    <row r="663" spans="2:5" ht="14.5" customHeight="1">
      <c r="B663" s="90"/>
      <c r="C663" s="61" t="s">
        <v>160</v>
      </c>
      <c r="D663" s="62">
        <v>4</v>
      </c>
      <c r="E663" s="63">
        <v>3.3895432590500002E-4</v>
      </c>
    </row>
    <row r="664" spans="2:5" ht="14.5" customHeight="1">
      <c r="B664" s="90"/>
      <c r="C664" s="61" t="s">
        <v>141</v>
      </c>
      <c r="D664" s="62">
        <v>6</v>
      </c>
      <c r="E664" s="63">
        <v>5.0843148885699996E-4</v>
      </c>
    </row>
    <row r="665" spans="2:5" ht="14.5" customHeight="1">
      <c r="B665" s="90"/>
      <c r="C665" s="61" t="s">
        <v>142</v>
      </c>
      <c r="D665" s="62">
        <v>1</v>
      </c>
      <c r="E665" s="63">
        <v>8.4738581476000001E-5</v>
      </c>
    </row>
    <row r="666" spans="2:5" ht="14.5" customHeight="1">
      <c r="B666" s="90"/>
      <c r="C666" s="61" t="s">
        <v>143</v>
      </c>
      <c r="D666" s="62">
        <v>1</v>
      </c>
      <c r="E666" s="63">
        <v>8.4738581476000001E-5</v>
      </c>
    </row>
    <row r="667" spans="2:5" ht="14.5" customHeight="1">
      <c r="B667" s="90"/>
      <c r="C667" s="61" t="s">
        <v>144</v>
      </c>
      <c r="D667" s="62">
        <v>9</v>
      </c>
      <c r="E667" s="63">
        <v>7.6264723328500002E-4</v>
      </c>
    </row>
    <row r="668" spans="2:5" ht="14.5" customHeight="1">
      <c r="B668" s="90"/>
      <c r="C668" s="61" t="s">
        <v>145</v>
      </c>
      <c r="D668" s="62">
        <v>1</v>
      </c>
      <c r="E668" s="63">
        <v>8.4738581476000001E-5</v>
      </c>
    </row>
    <row r="669" spans="2:5" ht="14.5" customHeight="1">
      <c r="B669" s="90"/>
      <c r="C669" s="61" t="s">
        <v>146</v>
      </c>
      <c r="D669" s="62">
        <v>35</v>
      </c>
      <c r="E669" s="63">
        <v>2.965850351665E-3</v>
      </c>
    </row>
    <row r="670" spans="2:5" ht="14.5" customHeight="1">
      <c r="B670" s="91"/>
      <c r="C670" s="66" t="s">
        <v>284</v>
      </c>
      <c r="D670" s="64">
        <v>128</v>
      </c>
      <c r="E670" s="67">
        <v>1.0846538428947001E-2</v>
      </c>
    </row>
    <row r="671" spans="2:5" ht="14.5" customHeight="1">
      <c r="B671" s="89" t="s">
        <v>83</v>
      </c>
      <c r="C671" s="61" t="s">
        <v>133</v>
      </c>
      <c r="D671" s="62">
        <v>1</v>
      </c>
      <c r="E671" s="63">
        <v>8.4738581476000001E-5</v>
      </c>
    </row>
    <row r="672" spans="2:5" ht="14.5" customHeight="1">
      <c r="B672" s="90"/>
      <c r="C672" s="61" t="s">
        <v>134</v>
      </c>
      <c r="D672" s="62">
        <v>1</v>
      </c>
      <c r="E672" s="63">
        <v>8.4738581476000001E-5</v>
      </c>
    </row>
    <row r="673" spans="2:5" ht="14.5" customHeight="1">
      <c r="B673" s="90"/>
      <c r="C673" s="61" t="s">
        <v>137</v>
      </c>
      <c r="D673" s="62">
        <v>3</v>
      </c>
      <c r="E673" s="63">
        <v>2.54215744428E-4</v>
      </c>
    </row>
    <row r="674" spans="2:5" ht="14.5" customHeight="1">
      <c r="B674" s="90"/>
      <c r="C674" s="61" t="s">
        <v>139</v>
      </c>
      <c r="D674" s="62">
        <v>1</v>
      </c>
      <c r="E674" s="63">
        <v>8.4738581476000001E-5</v>
      </c>
    </row>
    <row r="675" spans="2:5" ht="14.5" customHeight="1">
      <c r="B675" s="90"/>
      <c r="C675" s="61" t="s">
        <v>140</v>
      </c>
      <c r="D675" s="62">
        <v>6</v>
      </c>
      <c r="E675" s="63">
        <v>5.0843148885699996E-4</v>
      </c>
    </row>
    <row r="676" spans="2:5" ht="14.5" customHeight="1">
      <c r="B676" s="90"/>
      <c r="C676" s="61" t="s">
        <v>160</v>
      </c>
      <c r="D676" s="62">
        <v>1</v>
      </c>
      <c r="E676" s="63">
        <v>8.4738581476000001E-5</v>
      </c>
    </row>
    <row r="677" spans="2:5" ht="14.5" customHeight="1">
      <c r="B677" s="90"/>
      <c r="C677" s="61" t="s">
        <v>141</v>
      </c>
      <c r="D677" s="62">
        <v>1</v>
      </c>
      <c r="E677" s="63">
        <v>8.4738581476000001E-5</v>
      </c>
    </row>
    <row r="678" spans="2:5" ht="14.5" customHeight="1">
      <c r="B678" s="90"/>
      <c r="C678" s="61" t="s">
        <v>142</v>
      </c>
      <c r="D678" s="62">
        <v>1</v>
      </c>
      <c r="E678" s="63">
        <v>8.4738581476000001E-5</v>
      </c>
    </row>
    <row r="679" spans="2:5" ht="14.5" customHeight="1">
      <c r="B679" s="90"/>
      <c r="C679" s="61" t="s">
        <v>144</v>
      </c>
      <c r="D679" s="62">
        <v>2</v>
      </c>
      <c r="E679" s="63">
        <v>1.69477162952E-4</v>
      </c>
    </row>
    <row r="680" spans="2:5" ht="14.5" customHeight="1">
      <c r="B680" s="90"/>
      <c r="C680" s="61" t="s">
        <v>146</v>
      </c>
      <c r="D680" s="62">
        <v>17</v>
      </c>
      <c r="E680" s="63">
        <v>1.4405558850940001E-3</v>
      </c>
    </row>
    <row r="681" spans="2:5" ht="14.5" customHeight="1">
      <c r="B681" s="90"/>
      <c r="C681" s="61" t="s">
        <v>147</v>
      </c>
      <c r="D681" s="62">
        <v>2</v>
      </c>
      <c r="E681" s="63">
        <v>1.69477162952E-4</v>
      </c>
    </row>
    <row r="682" spans="2:5" ht="14.5" customHeight="1">
      <c r="B682" s="91"/>
      <c r="C682" s="66" t="s">
        <v>284</v>
      </c>
      <c r="D682" s="64">
        <v>36</v>
      </c>
      <c r="E682" s="67">
        <v>3.0505889331410001E-3</v>
      </c>
    </row>
    <row r="683" spans="2:5" ht="14.5" customHeight="1">
      <c r="B683" s="89" t="s">
        <v>47</v>
      </c>
      <c r="C683" s="61" t="s">
        <v>161</v>
      </c>
      <c r="D683" s="62">
        <v>4</v>
      </c>
      <c r="E683" s="63">
        <v>3.3895432590500002E-4</v>
      </c>
    </row>
    <row r="684" spans="2:5" ht="14.5" customHeight="1">
      <c r="B684" s="90"/>
      <c r="C684" s="61" t="s">
        <v>133</v>
      </c>
      <c r="D684" s="62">
        <v>65</v>
      </c>
      <c r="E684" s="63">
        <v>5.5080077959489999E-3</v>
      </c>
    </row>
    <row r="685" spans="2:5" ht="14.5" customHeight="1">
      <c r="B685" s="90"/>
      <c r="C685" s="61" t="s">
        <v>149</v>
      </c>
      <c r="D685" s="62">
        <v>63</v>
      </c>
      <c r="E685" s="63">
        <v>5.3385306329969996E-3</v>
      </c>
    </row>
    <row r="686" spans="2:5" ht="14.5" customHeight="1">
      <c r="B686" s="90"/>
      <c r="C686" s="61" t="s">
        <v>150</v>
      </c>
      <c r="D686" s="62">
        <v>2</v>
      </c>
      <c r="E686" s="63">
        <v>1.69477162952E-4</v>
      </c>
    </row>
    <row r="687" spans="2:5" ht="14.5" customHeight="1">
      <c r="B687" s="90"/>
      <c r="C687" s="61" t="s">
        <v>151</v>
      </c>
      <c r="D687" s="62">
        <v>2</v>
      </c>
      <c r="E687" s="63">
        <v>1.69477162952E-4</v>
      </c>
    </row>
    <row r="688" spans="2:5" ht="14.5" customHeight="1">
      <c r="B688" s="90"/>
      <c r="C688" s="61" t="s">
        <v>162</v>
      </c>
      <c r="D688" s="62">
        <v>10</v>
      </c>
      <c r="E688" s="63">
        <v>8.4738581476099997E-4</v>
      </c>
    </row>
    <row r="689" spans="2:5" ht="14.5" customHeight="1">
      <c r="B689" s="90"/>
      <c r="C689" s="61" t="s">
        <v>152</v>
      </c>
      <c r="D689" s="62">
        <v>5</v>
      </c>
      <c r="E689" s="63">
        <v>4.2369290738100002E-4</v>
      </c>
    </row>
    <row r="690" spans="2:5" ht="14.5" customHeight="1">
      <c r="B690" s="90"/>
      <c r="C690" s="61" t="s">
        <v>163</v>
      </c>
      <c r="D690" s="62">
        <v>1</v>
      </c>
      <c r="E690" s="63">
        <v>8.4738581476000001E-5</v>
      </c>
    </row>
    <row r="691" spans="2:5" ht="14.5" customHeight="1">
      <c r="B691" s="90"/>
      <c r="C691" s="61" t="s">
        <v>153</v>
      </c>
      <c r="D691" s="62">
        <v>7</v>
      </c>
      <c r="E691" s="63">
        <v>5.9317007033300002E-4</v>
      </c>
    </row>
    <row r="692" spans="2:5" ht="14.5" customHeight="1">
      <c r="B692" s="90"/>
      <c r="C692" s="61" t="s">
        <v>134</v>
      </c>
      <c r="D692" s="62">
        <v>16</v>
      </c>
      <c r="E692" s="63">
        <v>1.3558173036179999E-3</v>
      </c>
    </row>
    <row r="693" spans="2:5" ht="14.5" customHeight="1">
      <c r="B693" s="90"/>
      <c r="C693" s="61" t="s">
        <v>154</v>
      </c>
      <c r="D693" s="62">
        <v>5</v>
      </c>
      <c r="E693" s="63">
        <v>4.2369290738100002E-4</v>
      </c>
    </row>
    <row r="694" spans="2:5" ht="14.5" customHeight="1">
      <c r="B694" s="90"/>
      <c r="C694" s="61" t="s">
        <v>155</v>
      </c>
      <c r="D694" s="62">
        <v>2</v>
      </c>
      <c r="E694" s="63">
        <v>1.69477162952E-4</v>
      </c>
    </row>
    <row r="695" spans="2:5" ht="14.5" customHeight="1">
      <c r="B695" s="90"/>
      <c r="C695" s="61" t="s">
        <v>168</v>
      </c>
      <c r="D695" s="62">
        <v>2</v>
      </c>
      <c r="E695" s="63">
        <v>1.69477162952E-4</v>
      </c>
    </row>
    <row r="696" spans="2:5" ht="14.5" customHeight="1">
      <c r="B696" s="90"/>
      <c r="C696" s="61" t="s">
        <v>169</v>
      </c>
      <c r="D696" s="62">
        <v>3</v>
      </c>
      <c r="E696" s="63">
        <v>2.54215744428E-4</v>
      </c>
    </row>
    <row r="697" spans="2:5" ht="14.5" customHeight="1">
      <c r="B697" s="90"/>
      <c r="C697" s="61" t="s">
        <v>135</v>
      </c>
      <c r="D697" s="62">
        <v>5</v>
      </c>
      <c r="E697" s="63">
        <v>4.2369290738100002E-4</v>
      </c>
    </row>
    <row r="698" spans="2:5" ht="14.5" customHeight="1">
      <c r="B698" s="90"/>
      <c r="C698" s="61" t="s">
        <v>156</v>
      </c>
      <c r="D698" s="62">
        <v>1</v>
      </c>
      <c r="E698" s="63">
        <v>8.4738581476000001E-5</v>
      </c>
    </row>
    <row r="699" spans="2:5" ht="14.5" customHeight="1">
      <c r="B699" s="90"/>
      <c r="C699" s="61" t="s">
        <v>157</v>
      </c>
      <c r="D699" s="62">
        <v>2</v>
      </c>
      <c r="E699" s="63">
        <v>1.69477162952E-4</v>
      </c>
    </row>
    <row r="700" spans="2:5" ht="14.5" customHeight="1">
      <c r="B700" s="90"/>
      <c r="C700" s="61" t="s">
        <v>136</v>
      </c>
      <c r="D700" s="62">
        <v>31</v>
      </c>
      <c r="E700" s="63">
        <v>2.6268960257610002E-3</v>
      </c>
    </row>
    <row r="701" spans="2:5" ht="14.5" customHeight="1">
      <c r="B701" s="90"/>
      <c r="C701" s="61" t="s">
        <v>137</v>
      </c>
      <c r="D701" s="62">
        <v>339</v>
      </c>
      <c r="E701" s="63">
        <v>2.8726379120414001E-2</v>
      </c>
    </row>
    <row r="702" spans="2:5" ht="14.5" customHeight="1">
      <c r="B702" s="90"/>
      <c r="C702" s="61" t="s">
        <v>164</v>
      </c>
      <c r="D702" s="62">
        <v>3</v>
      </c>
      <c r="E702" s="63">
        <v>2.54215744428E-4</v>
      </c>
    </row>
    <row r="703" spans="2:5" ht="14.5" customHeight="1">
      <c r="B703" s="90"/>
      <c r="C703" s="61" t="s">
        <v>138</v>
      </c>
      <c r="D703" s="62">
        <v>258</v>
      </c>
      <c r="E703" s="63">
        <v>2.1862554020846001E-2</v>
      </c>
    </row>
    <row r="704" spans="2:5" ht="14.5" customHeight="1">
      <c r="B704" s="90"/>
      <c r="C704" s="61" t="s">
        <v>165</v>
      </c>
      <c r="D704" s="62">
        <v>3</v>
      </c>
      <c r="E704" s="63">
        <v>2.54215744428E-4</v>
      </c>
    </row>
    <row r="705" spans="2:5" ht="14.5" customHeight="1">
      <c r="B705" s="90"/>
      <c r="C705" s="61" t="s">
        <v>170</v>
      </c>
      <c r="D705" s="62">
        <v>5</v>
      </c>
      <c r="E705" s="63">
        <v>4.2369290738100002E-4</v>
      </c>
    </row>
    <row r="706" spans="2:5" ht="14.5" customHeight="1">
      <c r="B706" s="90"/>
      <c r="C706" s="61" t="s">
        <v>158</v>
      </c>
      <c r="D706" s="62">
        <v>9</v>
      </c>
      <c r="E706" s="63">
        <v>7.6264723328500002E-4</v>
      </c>
    </row>
    <row r="707" spans="2:5" ht="14.5" customHeight="1">
      <c r="B707" s="90"/>
      <c r="C707" s="61" t="s">
        <v>139</v>
      </c>
      <c r="D707" s="62">
        <v>7</v>
      </c>
      <c r="E707" s="63">
        <v>5.9317007033300002E-4</v>
      </c>
    </row>
    <row r="708" spans="2:5" ht="14.5" customHeight="1">
      <c r="B708" s="90"/>
      <c r="C708" s="61" t="s">
        <v>140</v>
      </c>
      <c r="D708" s="62">
        <v>379</v>
      </c>
      <c r="E708" s="63">
        <v>3.2115922379458997E-2</v>
      </c>
    </row>
    <row r="709" spans="2:5" ht="14.5" customHeight="1">
      <c r="B709" s="90"/>
      <c r="C709" s="61" t="s">
        <v>166</v>
      </c>
      <c r="D709" s="62">
        <v>1</v>
      </c>
      <c r="E709" s="63">
        <v>8.4738581476000001E-5</v>
      </c>
    </row>
    <row r="710" spans="2:5" ht="14.5" customHeight="1">
      <c r="B710" s="90"/>
      <c r="C710" s="61" t="s">
        <v>159</v>
      </c>
      <c r="D710" s="62">
        <v>9</v>
      </c>
      <c r="E710" s="63">
        <v>7.6264723328500002E-4</v>
      </c>
    </row>
    <row r="711" spans="2:5" ht="14.5" customHeight="1">
      <c r="B711" s="90"/>
      <c r="C711" s="61" t="s">
        <v>160</v>
      </c>
      <c r="D711" s="62">
        <v>101</v>
      </c>
      <c r="E711" s="63">
        <v>8.5585967290909993E-3</v>
      </c>
    </row>
    <row r="712" spans="2:5" ht="14.5" customHeight="1">
      <c r="B712" s="90"/>
      <c r="C712" s="61" t="s">
        <v>141</v>
      </c>
      <c r="D712" s="62">
        <v>89</v>
      </c>
      <c r="E712" s="63">
        <v>7.5417337513769998E-3</v>
      </c>
    </row>
    <row r="713" spans="2:5" ht="14.5" customHeight="1">
      <c r="B713" s="90"/>
      <c r="C713" s="61" t="s">
        <v>142</v>
      </c>
      <c r="D713" s="62">
        <v>43</v>
      </c>
      <c r="E713" s="63">
        <v>3.6437590034740001E-3</v>
      </c>
    </row>
    <row r="714" spans="2:5" ht="14.5" customHeight="1">
      <c r="B714" s="90"/>
      <c r="C714" s="61" t="s">
        <v>143</v>
      </c>
      <c r="D714" s="62">
        <v>385</v>
      </c>
      <c r="E714" s="63">
        <v>3.2624353868315997E-2</v>
      </c>
    </row>
    <row r="715" spans="2:5" ht="14.5" customHeight="1">
      <c r="B715" s="90"/>
      <c r="C715" s="61" t="s">
        <v>144</v>
      </c>
      <c r="D715" s="62">
        <v>54</v>
      </c>
      <c r="E715" s="63">
        <v>4.5758833997119998E-3</v>
      </c>
    </row>
    <row r="716" spans="2:5" ht="14.5" customHeight="1">
      <c r="B716" s="90"/>
      <c r="C716" s="61" t="s">
        <v>145</v>
      </c>
      <c r="D716" s="62">
        <v>3</v>
      </c>
      <c r="E716" s="63">
        <v>2.54215744428E-4</v>
      </c>
    </row>
    <row r="717" spans="2:5" ht="14.5" customHeight="1">
      <c r="B717" s="90"/>
      <c r="C717" s="61" t="s">
        <v>146</v>
      </c>
      <c r="D717" s="62">
        <v>194</v>
      </c>
      <c r="E717" s="63">
        <v>1.6439284806371999E-2</v>
      </c>
    </row>
    <row r="718" spans="2:5" ht="14.5" customHeight="1">
      <c r="B718" s="90"/>
      <c r="C718" s="61" t="s">
        <v>147</v>
      </c>
      <c r="D718" s="62">
        <v>16</v>
      </c>
      <c r="E718" s="63">
        <v>1.3558173036179999E-3</v>
      </c>
    </row>
    <row r="719" spans="2:5" ht="14.5" customHeight="1">
      <c r="B719" s="90"/>
      <c r="C719" s="61" t="s">
        <v>167</v>
      </c>
      <c r="D719" s="62">
        <v>6</v>
      </c>
      <c r="E719" s="63">
        <v>5.0843148885699996E-4</v>
      </c>
    </row>
    <row r="720" spans="2:5" ht="14.5" customHeight="1">
      <c r="B720" s="90"/>
      <c r="C720" s="61" t="s">
        <v>148</v>
      </c>
      <c r="D720" s="62">
        <v>5</v>
      </c>
      <c r="E720" s="63">
        <v>4.2369290738100002E-4</v>
      </c>
    </row>
    <row r="721" spans="2:5" ht="14.5" customHeight="1">
      <c r="B721" s="91"/>
      <c r="C721" s="66" t="s">
        <v>284</v>
      </c>
      <c r="D721" s="64">
        <v>2135</v>
      </c>
      <c r="E721" s="67">
        <v>0.18091687145157201</v>
      </c>
    </row>
    <row r="722" spans="2:5" ht="14.5" customHeight="1">
      <c r="B722" s="89" t="s">
        <v>75</v>
      </c>
      <c r="C722" s="61" t="s">
        <v>134</v>
      </c>
      <c r="D722" s="62">
        <v>4</v>
      </c>
      <c r="E722" s="63">
        <v>3.3895432590500002E-4</v>
      </c>
    </row>
    <row r="723" spans="2:5" ht="14.5" customHeight="1">
      <c r="B723" s="90"/>
      <c r="C723" s="61" t="s">
        <v>136</v>
      </c>
      <c r="D723" s="62">
        <v>6</v>
      </c>
      <c r="E723" s="63">
        <v>5.0843148885699996E-4</v>
      </c>
    </row>
    <row r="724" spans="2:5" ht="14.5" customHeight="1">
      <c r="B724" s="90"/>
      <c r="C724" s="61" t="s">
        <v>137</v>
      </c>
      <c r="D724" s="62">
        <v>1</v>
      </c>
      <c r="E724" s="63">
        <v>8.4738581476000001E-5</v>
      </c>
    </row>
    <row r="725" spans="2:5" ht="14.5" customHeight="1">
      <c r="B725" s="90"/>
      <c r="C725" s="61" t="s">
        <v>139</v>
      </c>
      <c r="D725" s="62">
        <v>1</v>
      </c>
      <c r="E725" s="63">
        <v>8.4738581476000001E-5</v>
      </c>
    </row>
    <row r="726" spans="2:5" ht="14.5" customHeight="1">
      <c r="B726" s="90"/>
      <c r="C726" s="61" t="s">
        <v>140</v>
      </c>
      <c r="D726" s="62">
        <v>1</v>
      </c>
      <c r="E726" s="63">
        <v>8.4738581476000001E-5</v>
      </c>
    </row>
    <row r="727" spans="2:5" ht="14.5" customHeight="1">
      <c r="B727" s="90"/>
      <c r="C727" s="61" t="s">
        <v>141</v>
      </c>
      <c r="D727" s="62">
        <v>1</v>
      </c>
      <c r="E727" s="63">
        <v>8.4738581476000001E-5</v>
      </c>
    </row>
    <row r="728" spans="2:5" ht="14.5" customHeight="1">
      <c r="B728" s="90"/>
      <c r="C728" s="61" t="s">
        <v>144</v>
      </c>
      <c r="D728" s="62">
        <v>5</v>
      </c>
      <c r="E728" s="63">
        <v>4.2369290738100002E-4</v>
      </c>
    </row>
    <row r="729" spans="2:5" ht="14.5" customHeight="1">
      <c r="B729" s="90"/>
      <c r="C729" s="61" t="s">
        <v>146</v>
      </c>
      <c r="D729" s="62">
        <v>43</v>
      </c>
      <c r="E729" s="63">
        <v>3.6437590034740001E-3</v>
      </c>
    </row>
    <row r="730" spans="2:5" ht="14.5" customHeight="1">
      <c r="B730" s="90"/>
      <c r="C730" s="61" t="s">
        <v>147</v>
      </c>
      <c r="D730" s="62">
        <v>1</v>
      </c>
      <c r="E730" s="63">
        <v>8.4738581476000001E-5</v>
      </c>
    </row>
    <row r="731" spans="2:5" ht="14.5" customHeight="1">
      <c r="B731" s="91"/>
      <c r="C731" s="66" t="s">
        <v>284</v>
      </c>
      <c r="D731" s="64">
        <v>63</v>
      </c>
      <c r="E731" s="67">
        <v>5.3385306329969996E-3</v>
      </c>
    </row>
    <row r="732" spans="2:5" ht="14.5" customHeight="1">
      <c r="B732" s="89" t="s">
        <v>87</v>
      </c>
      <c r="C732" s="61" t="s">
        <v>133</v>
      </c>
      <c r="D732" s="62">
        <v>3</v>
      </c>
      <c r="E732" s="63">
        <v>2.54215744428E-4</v>
      </c>
    </row>
    <row r="733" spans="2:5" ht="14.5" customHeight="1">
      <c r="B733" s="90"/>
      <c r="C733" s="61" t="s">
        <v>151</v>
      </c>
      <c r="D733" s="62">
        <v>1</v>
      </c>
      <c r="E733" s="63">
        <v>8.4738581476000001E-5</v>
      </c>
    </row>
    <row r="734" spans="2:5" ht="14.5" customHeight="1">
      <c r="B734" s="90"/>
      <c r="C734" s="61" t="s">
        <v>134</v>
      </c>
      <c r="D734" s="62">
        <v>1</v>
      </c>
      <c r="E734" s="63">
        <v>8.4738581476000001E-5</v>
      </c>
    </row>
    <row r="735" spans="2:5" ht="14.5" customHeight="1">
      <c r="B735" s="90"/>
      <c r="C735" s="61" t="s">
        <v>137</v>
      </c>
      <c r="D735" s="62">
        <v>2</v>
      </c>
      <c r="E735" s="63">
        <v>1.69477162952E-4</v>
      </c>
    </row>
    <row r="736" spans="2:5" ht="14.5" customHeight="1">
      <c r="B736" s="90"/>
      <c r="C736" s="61" t="s">
        <v>138</v>
      </c>
      <c r="D736" s="62">
        <v>1</v>
      </c>
      <c r="E736" s="63">
        <v>8.4738581476000001E-5</v>
      </c>
    </row>
    <row r="737" spans="2:5" ht="14.5" customHeight="1">
      <c r="B737" s="90"/>
      <c r="C737" s="61" t="s">
        <v>141</v>
      </c>
      <c r="D737" s="62">
        <v>3</v>
      </c>
      <c r="E737" s="63">
        <v>2.54215744428E-4</v>
      </c>
    </row>
    <row r="738" spans="2:5" ht="14.5" customHeight="1">
      <c r="B738" s="90"/>
      <c r="C738" s="61" t="s">
        <v>144</v>
      </c>
      <c r="D738" s="62">
        <v>1</v>
      </c>
      <c r="E738" s="63">
        <v>8.4738581476000001E-5</v>
      </c>
    </row>
    <row r="739" spans="2:5" ht="14.5" customHeight="1">
      <c r="B739" s="90"/>
      <c r="C739" s="61" t="s">
        <v>146</v>
      </c>
      <c r="D739" s="62">
        <v>16</v>
      </c>
      <c r="E739" s="63">
        <v>1.3558173036179999E-3</v>
      </c>
    </row>
    <row r="740" spans="2:5" ht="14.5" customHeight="1">
      <c r="B740" s="90"/>
      <c r="C740" s="61" t="s">
        <v>148</v>
      </c>
      <c r="D740" s="62">
        <v>1</v>
      </c>
      <c r="E740" s="63">
        <v>8.4738581476000001E-5</v>
      </c>
    </row>
    <row r="741" spans="2:5" ht="14.5" customHeight="1">
      <c r="B741" s="91"/>
      <c r="C741" s="66" t="s">
        <v>284</v>
      </c>
      <c r="D741" s="64">
        <v>29</v>
      </c>
      <c r="E741" s="67">
        <v>2.4574188628079998E-3</v>
      </c>
    </row>
    <row r="742" spans="2:5" ht="14.5" customHeight="1">
      <c r="B742" s="89" t="s">
        <v>85</v>
      </c>
      <c r="C742" s="61" t="s">
        <v>163</v>
      </c>
      <c r="D742" s="62">
        <v>1</v>
      </c>
      <c r="E742" s="63">
        <v>8.4738581476000001E-5</v>
      </c>
    </row>
    <row r="743" spans="2:5" ht="14.5" customHeight="1">
      <c r="B743" s="90"/>
      <c r="C743" s="61" t="s">
        <v>136</v>
      </c>
      <c r="D743" s="62">
        <v>5</v>
      </c>
      <c r="E743" s="63">
        <v>4.2369290738100002E-4</v>
      </c>
    </row>
    <row r="744" spans="2:5" ht="14.5" customHeight="1">
      <c r="B744" s="90"/>
      <c r="C744" s="61" t="s">
        <v>137</v>
      </c>
      <c r="D744" s="62">
        <v>1</v>
      </c>
      <c r="E744" s="63">
        <v>8.4738581476000001E-5</v>
      </c>
    </row>
    <row r="745" spans="2:5" ht="14.5" customHeight="1">
      <c r="B745" s="90"/>
      <c r="C745" s="61" t="s">
        <v>138</v>
      </c>
      <c r="D745" s="62">
        <v>1</v>
      </c>
      <c r="E745" s="63">
        <v>8.4738581476000001E-5</v>
      </c>
    </row>
    <row r="746" spans="2:5" ht="14.5" customHeight="1">
      <c r="B746" s="90"/>
      <c r="C746" s="61" t="s">
        <v>141</v>
      </c>
      <c r="D746" s="62">
        <v>2</v>
      </c>
      <c r="E746" s="63">
        <v>1.69477162952E-4</v>
      </c>
    </row>
    <row r="747" spans="2:5" ht="14.5" customHeight="1">
      <c r="B747" s="90"/>
      <c r="C747" s="61" t="s">
        <v>144</v>
      </c>
      <c r="D747" s="62">
        <v>1</v>
      </c>
      <c r="E747" s="63">
        <v>8.4738581476000001E-5</v>
      </c>
    </row>
    <row r="748" spans="2:5" ht="14.5" customHeight="1">
      <c r="B748" s="90"/>
      <c r="C748" s="61" t="s">
        <v>146</v>
      </c>
      <c r="D748" s="62">
        <v>6</v>
      </c>
      <c r="E748" s="63">
        <v>5.0843148885699996E-4</v>
      </c>
    </row>
    <row r="749" spans="2:5" ht="14.5" customHeight="1">
      <c r="B749" s="91"/>
      <c r="C749" s="66" t="s">
        <v>284</v>
      </c>
      <c r="D749" s="64">
        <v>17</v>
      </c>
      <c r="E749" s="67">
        <v>1.4405558850940001E-3</v>
      </c>
    </row>
    <row r="750" spans="2:5" ht="14.5" customHeight="1">
      <c r="B750" s="89" t="s">
        <v>80</v>
      </c>
      <c r="C750" s="61" t="s">
        <v>163</v>
      </c>
      <c r="D750" s="62">
        <v>1</v>
      </c>
      <c r="E750" s="63">
        <v>8.4738581476000001E-5</v>
      </c>
    </row>
    <row r="751" spans="2:5" ht="14.5" customHeight="1">
      <c r="B751" s="90"/>
      <c r="C751" s="61" t="s">
        <v>134</v>
      </c>
      <c r="D751" s="62">
        <v>2</v>
      </c>
      <c r="E751" s="63">
        <v>1.69477162952E-4</v>
      </c>
    </row>
    <row r="752" spans="2:5" ht="14.5" customHeight="1">
      <c r="B752" s="90"/>
      <c r="C752" s="61" t="s">
        <v>154</v>
      </c>
      <c r="D752" s="62">
        <v>1</v>
      </c>
      <c r="E752" s="63">
        <v>8.4738581476000001E-5</v>
      </c>
    </row>
    <row r="753" spans="2:5" ht="14.5" customHeight="1">
      <c r="B753" s="90"/>
      <c r="C753" s="61" t="s">
        <v>137</v>
      </c>
      <c r="D753" s="62">
        <v>1</v>
      </c>
      <c r="E753" s="63">
        <v>8.4738581476000001E-5</v>
      </c>
    </row>
    <row r="754" spans="2:5" ht="14.5" customHeight="1">
      <c r="B754" s="90"/>
      <c r="C754" s="61" t="s">
        <v>138</v>
      </c>
      <c r="D754" s="62">
        <v>1</v>
      </c>
      <c r="E754" s="63">
        <v>8.4738581476000001E-5</v>
      </c>
    </row>
    <row r="755" spans="2:5" ht="14.5" customHeight="1">
      <c r="B755" s="90"/>
      <c r="C755" s="61" t="s">
        <v>140</v>
      </c>
      <c r="D755" s="62">
        <v>1</v>
      </c>
      <c r="E755" s="63">
        <v>8.4738581476000001E-5</v>
      </c>
    </row>
    <row r="756" spans="2:5" ht="14.5" customHeight="1">
      <c r="B756" s="90"/>
      <c r="C756" s="61" t="s">
        <v>160</v>
      </c>
      <c r="D756" s="62">
        <v>1</v>
      </c>
      <c r="E756" s="63">
        <v>8.4738581476000001E-5</v>
      </c>
    </row>
    <row r="757" spans="2:5" ht="14.5" customHeight="1">
      <c r="B757" s="90"/>
      <c r="C757" s="61" t="s">
        <v>141</v>
      </c>
      <c r="D757" s="62">
        <v>3</v>
      </c>
      <c r="E757" s="63">
        <v>2.54215744428E-4</v>
      </c>
    </row>
    <row r="758" spans="2:5" ht="14.5" customHeight="1">
      <c r="B758" s="90"/>
      <c r="C758" s="61" t="s">
        <v>143</v>
      </c>
      <c r="D758" s="62">
        <v>2</v>
      </c>
      <c r="E758" s="63">
        <v>1.69477162952E-4</v>
      </c>
    </row>
    <row r="759" spans="2:5" ht="14.5" customHeight="1">
      <c r="B759" s="90"/>
      <c r="C759" s="61" t="s">
        <v>144</v>
      </c>
      <c r="D759" s="62">
        <v>1</v>
      </c>
      <c r="E759" s="63">
        <v>8.4738581476000001E-5</v>
      </c>
    </row>
    <row r="760" spans="2:5" ht="14.5" customHeight="1">
      <c r="B760" s="90"/>
      <c r="C760" s="61" t="s">
        <v>146</v>
      </c>
      <c r="D760" s="62">
        <v>44</v>
      </c>
      <c r="E760" s="63">
        <v>3.7284975849499998E-3</v>
      </c>
    </row>
    <row r="761" spans="2:5" ht="14.5" customHeight="1">
      <c r="B761" s="90"/>
      <c r="C761" s="61" t="s">
        <v>147</v>
      </c>
      <c r="D761" s="62">
        <v>2</v>
      </c>
      <c r="E761" s="63">
        <v>1.69477162952E-4</v>
      </c>
    </row>
    <row r="762" spans="2:5" ht="14.5" customHeight="1">
      <c r="B762" s="91"/>
      <c r="C762" s="66" t="s">
        <v>284</v>
      </c>
      <c r="D762" s="64">
        <v>60</v>
      </c>
      <c r="E762" s="67">
        <v>5.084314888569E-3</v>
      </c>
    </row>
    <row r="763" spans="2:5" ht="14.5" customHeight="1">
      <c r="B763" s="89" t="s">
        <v>68</v>
      </c>
      <c r="C763" s="61" t="s">
        <v>133</v>
      </c>
      <c r="D763" s="62">
        <v>1</v>
      </c>
      <c r="E763" s="63">
        <v>8.4738581476000001E-5</v>
      </c>
    </row>
    <row r="764" spans="2:5" ht="14.5" customHeight="1">
      <c r="B764" s="90"/>
      <c r="C764" s="61" t="s">
        <v>134</v>
      </c>
      <c r="D764" s="62">
        <v>6</v>
      </c>
      <c r="E764" s="63">
        <v>5.0843148885699996E-4</v>
      </c>
    </row>
    <row r="765" spans="2:5" ht="14.5" customHeight="1">
      <c r="B765" s="90"/>
      <c r="C765" s="61" t="s">
        <v>136</v>
      </c>
      <c r="D765" s="62">
        <v>13</v>
      </c>
      <c r="E765" s="63">
        <v>1.1016015591900001E-3</v>
      </c>
    </row>
    <row r="766" spans="2:5" ht="14.5" customHeight="1">
      <c r="B766" s="90"/>
      <c r="C766" s="61" t="s">
        <v>137</v>
      </c>
      <c r="D766" s="62">
        <v>3</v>
      </c>
      <c r="E766" s="63">
        <v>2.54215744428E-4</v>
      </c>
    </row>
    <row r="767" spans="2:5" ht="14.5" customHeight="1">
      <c r="B767" s="90"/>
      <c r="C767" s="61" t="s">
        <v>138</v>
      </c>
      <c r="D767" s="62">
        <v>1</v>
      </c>
      <c r="E767" s="63">
        <v>8.4738581476000001E-5</v>
      </c>
    </row>
    <row r="768" spans="2:5" ht="14.5" customHeight="1">
      <c r="B768" s="90"/>
      <c r="C768" s="61" t="s">
        <v>140</v>
      </c>
      <c r="D768" s="62">
        <v>3</v>
      </c>
      <c r="E768" s="63">
        <v>2.54215744428E-4</v>
      </c>
    </row>
    <row r="769" spans="2:5" ht="14.5" customHeight="1">
      <c r="B769" s="90"/>
      <c r="C769" s="61" t="s">
        <v>141</v>
      </c>
      <c r="D769" s="62">
        <v>5</v>
      </c>
      <c r="E769" s="63">
        <v>4.2369290738100002E-4</v>
      </c>
    </row>
    <row r="770" spans="2:5" ht="14.5" customHeight="1">
      <c r="B770" s="90"/>
      <c r="C770" s="61" t="s">
        <v>143</v>
      </c>
      <c r="D770" s="62">
        <v>3</v>
      </c>
      <c r="E770" s="63">
        <v>2.54215744428E-4</v>
      </c>
    </row>
    <row r="771" spans="2:5" ht="14.5" customHeight="1">
      <c r="B771" s="90"/>
      <c r="C771" s="61" t="s">
        <v>144</v>
      </c>
      <c r="D771" s="62">
        <v>3</v>
      </c>
      <c r="E771" s="63">
        <v>2.54215744428E-4</v>
      </c>
    </row>
    <row r="772" spans="2:5" ht="14.5" customHeight="1">
      <c r="B772" s="90"/>
      <c r="C772" s="61" t="s">
        <v>145</v>
      </c>
      <c r="D772" s="62">
        <v>1</v>
      </c>
      <c r="E772" s="63">
        <v>8.4738581476000001E-5</v>
      </c>
    </row>
    <row r="773" spans="2:5" ht="14.5" customHeight="1">
      <c r="B773" s="90"/>
      <c r="C773" s="61" t="s">
        <v>146</v>
      </c>
      <c r="D773" s="62">
        <v>30</v>
      </c>
      <c r="E773" s="63">
        <v>2.542157444284E-3</v>
      </c>
    </row>
    <row r="774" spans="2:5" ht="14.5" customHeight="1">
      <c r="B774" s="91"/>
      <c r="C774" s="66" t="s">
        <v>284</v>
      </c>
      <c r="D774" s="64">
        <v>69</v>
      </c>
      <c r="E774" s="67">
        <v>5.8469621218539998E-3</v>
      </c>
    </row>
    <row r="775" spans="2:5" ht="14.5" customHeight="1">
      <c r="B775" s="89" t="s">
        <v>89</v>
      </c>
      <c r="C775" s="61" t="s">
        <v>134</v>
      </c>
      <c r="D775" s="62">
        <v>1</v>
      </c>
      <c r="E775" s="63">
        <v>8.4738581476000001E-5</v>
      </c>
    </row>
    <row r="776" spans="2:5" ht="14.5" customHeight="1">
      <c r="B776" s="90"/>
      <c r="C776" s="61" t="s">
        <v>160</v>
      </c>
      <c r="D776" s="62">
        <v>1</v>
      </c>
      <c r="E776" s="63">
        <v>8.4738581476000001E-5</v>
      </c>
    </row>
    <row r="777" spans="2:5" ht="14.5" customHeight="1">
      <c r="B777" s="90"/>
      <c r="C777" s="61" t="s">
        <v>146</v>
      </c>
      <c r="D777" s="62">
        <v>5</v>
      </c>
      <c r="E777" s="63">
        <v>4.2369290738100002E-4</v>
      </c>
    </row>
    <row r="778" spans="2:5" ht="14.5" customHeight="1">
      <c r="B778" s="91"/>
      <c r="C778" s="66" t="s">
        <v>284</v>
      </c>
      <c r="D778" s="64">
        <v>7</v>
      </c>
      <c r="E778" s="67">
        <v>5.9317007033300002E-4</v>
      </c>
    </row>
    <row r="779" spans="2:5" ht="14.5" customHeight="1">
      <c r="B779" s="89" t="s">
        <v>90</v>
      </c>
      <c r="C779" s="61" t="s">
        <v>162</v>
      </c>
      <c r="D779" s="62">
        <v>1</v>
      </c>
      <c r="E779" s="63">
        <v>8.4738581476000001E-5</v>
      </c>
    </row>
    <row r="780" spans="2:5" ht="14.5" customHeight="1">
      <c r="B780" s="90"/>
      <c r="C780" s="61" t="s">
        <v>134</v>
      </c>
      <c r="D780" s="62">
        <v>1</v>
      </c>
      <c r="E780" s="63">
        <v>8.4738581476000001E-5</v>
      </c>
    </row>
    <row r="781" spans="2:5" ht="14.5" customHeight="1">
      <c r="B781" s="90"/>
      <c r="C781" s="61" t="s">
        <v>137</v>
      </c>
      <c r="D781" s="62">
        <v>2</v>
      </c>
      <c r="E781" s="63">
        <v>1.69477162952E-4</v>
      </c>
    </row>
    <row r="782" spans="2:5" ht="14.5" customHeight="1">
      <c r="B782" s="90"/>
      <c r="C782" s="61" t="s">
        <v>138</v>
      </c>
      <c r="D782" s="62">
        <v>1</v>
      </c>
      <c r="E782" s="63">
        <v>8.4738581476000001E-5</v>
      </c>
    </row>
    <row r="783" spans="2:5" ht="14.5" customHeight="1">
      <c r="B783" s="90"/>
      <c r="C783" s="61" t="s">
        <v>141</v>
      </c>
      <c r="D783" s="62">
        <v>2</v>
      </c>
      <c r="E783" s="63">
        <v>1.69477162952E-4</v>
      </c>
    </row>
    <row r="784" spans="2:5" ht="14.5" customHeight="1">
      <c r="B784" s="90"/>
      <c r="C784" s="61" t="s">
        <v>146</v>
      </c>
      <c r="D784" s="62">
        <v>4</v>
      </c>
      <c r="E784" s="63">
        <v>3.3895432590500002E-4</v>
      </c>
    </row>
    <row r="785" spans="2:5" ht="14.5" customHeight="1">
      <c r="B785" s="91"/>
      <c r="C785" s="66" t="s">
        <v>284</v>
      </c>
      <c r="D785" s="64">
        <v>11</v>
      </c>
      <c r="E785" s="67">
        <v>9.3212439623799998E-4</v>
      </c>
    </row>
    <row r="786" spans="2:5" ht="14.5" customHeight="1">
      <c r="B786" s="89" t="s">
        <v>84</v>
      </c>
      <c r="C786" s="61" t="s">
        <v>133</v>
      </c>
      <c r="D786" s="62">
        <v>2</v>
      </c>
      <c r="E786" s="63">
        <v>1.69477162952E-4</v>
      </c>
    </row>
    <row r="787" spans="2:5" ht="14.5" customHeight="1">
      <c r="B787" s="90"/>
      <c r="C787" s="61" t="s">
        <v>149</v>
      </c>
      <c r="D787" s="62">
        <v>1</v>
      </c>
      <c r="E787" s="63">
        <v>8.4738581476000001E-5</v>
      </c>
    </row>
    <row r="788" spans="2:5" ht="14.5" customHeight="1">
      <c r="B788" s="90"/>
      <c r="C788" s="61" t="s">
        <v>134</v>
      </c>
      <c r="D788" s="62">
        <v>1</v>
      </c>
      <c r="E788" s="63">
        <v>8.4738581476000001E-5</v>
      </c>
    </row>
    <row r="789" spans="2:5" ht="14.5" customHeight="1">
      <c r="B789" s="90"/>
      <c r="C789" s="61" t="s">
        <v>156</v>
      </c>
      <c r="D789" s="62">
        <v>1</v>
      </c>
      <c r="E789" s="63">
        <v>8.4738581476000001E-5</v>
      </c>
    </row>
    <row r="790" spans="2:5" ht="14.5" customHeight="1">
      <c r="B790" s="90"/>
      <c r="C790" s="61" t="s">
        <v>136</v>
      </c>
      <c r="D790" s="62">
        <v>4</v>
      </c>
      <c r="E790" s="63">
        <v>3.3895432590500002E-4</v>
      </c>
    </row>
    <row r="791" spans="2:5" ht="14.5" customHeight="1">
      <c r="B791" s="90"/>
      <c r="C791" s="61" t="s">
        <v>137</v>
      </c>
      <c r="D791" s="62">
        <v>5</v>
      </c>
      <c r="E791" s="63">
        <v>4.2369290738100002E-4</v>
      </c>
    </row>
    <row r="792" spans="2:5" ht="14.5" customHeight="1">
      <c r="B792" s="90"/>
      <c r="C792" s="61" t="s">
        <v>140</v>
      </c>
      <c r="D792" s="62">
        <v>1</v>
      </c>
      <c r="E792" s="63">
        <v>8.4738581476000001E-5</v>
      </c>
    </row>
    <row r="793" spans="2:5" ht="14.5" customHeight="1">
      <c r="B793" s="90"/>
      <c r="C793" s="61" t="s">
        <v>166</v>
      </c>
      <c r="D793" s="62">
        <v>1</v>
      </c>
      <c r="E793" s="63">
        <v>8.4738581476000001E-5</v>
      </c>
    </row>
    <row r="794" spans="2:5" ht="14.5" customHeight="1">
      <c r="B794" s="90"/>
      <c r="C794" s="61" t="s">
        <v>141</v>
      </c>
      <c r="D794" s="62">
        <v>5</v>
      </c>
      <c r="E794" s="63">
        <v>4.2369290738100002E-4</v>
      </c>
    </row>
    <row r="795" spans="2:5" ht="14.5" customHeight="1">
      <c r="B795" s="90"/>
      <c r="C795" s="61" t="s">
        <v>143</v>
      </c>
      <c r="D795" s="62">
        <v>2</v>
      </c>
      <c r="E795" s="63">
        <v>1.69477162952E-4</v>
      </c>
    </row>
    <row r="796" spans="2:5" ht="14.5" customHeight="1">
      <c r="B796" s="90"/>
      <c r="C796" s="61" t="s">
        <v>146</v>
      </c>
      <c r="D796" s="62">
        <v>8</v>
      </c>
      <c r="E796" s="63">
        <v>6.7790865180899996E-4</v>
      </c>
    </row>
    <row r="797" spans="2:5" ht="14.5" customHeight="1">
      <c r="B797" s="90"/>
      <c r="C797" s="61" t="s">
        <v>147</v>
      </c>
      <c r="D797" s="62">
        <v>1</v>
      </c>
      <c r="E797" s="63">
        <v>8.4738581476000001E-5</v>
      </c>
    </row>
    <row r="798" spans="2:5" ht="14.5" customHeight="1">
      <c r="B798" s="91"/>
      <c r="C798" s="66" t="s">
        <v>284</v>
      </c>
      <c r="D798" s="64">
        <v>32</v>
      </c>
      <c r="E798" s="67">
        <v>2.7116346072369999E-3</v>
      </c>
    </row>
    <row r="799" spans="2:5" ht="14.5" customHeight="1">
      <c r="B799" s="89" t="s">
        <v>94</v>
      </c>
      <c r="C799" s="61" t="s">
        <v>146</v>
      </c>
      <c r="D799" s="62">
        <v>1</v>
      </c>
      <c r="E799" s="63">
        <v>8.4738581476000001E-5</v>
      </c>
    </row>
    <row r="800" spans="2:5" ht="14.5" customHeight="1">
      <c r="B800" s="91"/>
      <c r="C800" s="66" t="s">
        <v>284</v>
      </c>
      <c r="D800" s="64">
        <v>1</v>
      </c>
      <c r="E800" s="67">
        <v>8.4738581476000001E-5</v>
      </c>
    </row>
    <row r="801" spans="2:5" ht="14.5" customHeight="1">
      <c r="B801" s="87" t="s">
        <v>284</v>
      </c>
      <c r="C801" s="88"/>
      <c r="D801" s="69">
        <v>11801</v>
      </c>
      <c r="E801" s="70">
        <v>1</v>
      </c>
    </row>
    <row r="802" spans="2:5" ht="14.5" customHeight="1">
      <c r="B802" s="35"/>
      <c r="C802" s="35"/>
      <c r="D802" s="35"/>
      <c r="E802" s="35"/>
    </row>
    <row r="803" spans="2:5" ht="14.5" customHeight="1">
      <c r="B803" s="36" t="s">
        <v>130</v>
      </c>
      <c r="C803" s="37"/>
      <c r="D803" s="35"/>
      <c r="E803" s="35"/>
    </row>
    <row r="804" spans="2:5" ht="14.5" customHeight="1">
      <c r="B804" s="38" t="s">
        <v>17</v>
      </c>
      <c r="C804" s="37"/>
      <c r="D804" s="35"/>
      <c r="E804" s="35"/>
    </row>
    <row r="805" spans="2:5" ht="14.5" customHeight="1">
      <c r="B805" s="39" t="s">
        <v>95</v>
      </c>
      <c r="C805" s="37"/>
      <c r="D805" s="35"/>
      <c r="E805" s="35"/>
    </row>
    <row r="806" spans="2:5" ht="14.5" customHeight="1">
      <c r="B806" s="36" t="s">
        <v>16</v>
      </c>
      <c r="C806" s="37"/>
      <c r="D806" s="35"/>
      <c r="E806" s="35"/>
    </row>
    <row r="807" spans="2:5" ht="14.5" customHeight="1">
      <c r="B807" s="36" t="s">
        <v>285</v>
      </c>
      <c r="C807" s="37"/>
      <c r="D807" s="35"/>
      <c r="E807" s="35"/>
    </row>
  </sheetData>
  <mergeCells count="53">
    <mergeCell ref="B779:B785"/>
    <mergeCell ref="B786:B798"/>
    <mergeCell ref="B799:B800"/>
    <mergeCell ref="B801:C801"/>
    <mergeCell ref="B732:B741"/>
    <mergeCell ref="B742:B749"/>
    <mergeCell ref="B750:B762"/>
    <mergeCell ref="B763:B774"/>
    <mergeCell ref="B775:B778"/>
    <mergeCell ref="B647:B653"/>
    <mergeCell ref="B654:B670"/>
    <mergeCell ref="B671:B682"/>
    <mergeCell ref="B683:B721"/>
    <mergeCell ref="B722:B731"/>
    <mergeCell ref="B572:B581"/>
    <mergeCell ref="B582:B594"/>
    <mergeCell ref="B595:B598"/>
    <mergeCell ref="B599:B620"/>
    <mergeCell ref="B621:B646"/>
    <mergeCell ref="B488:B504"/>
    <mergeCell ref="B505:B513"/>
    <mergeCell ref="B514:B540"/>
    <mergeCell ref="B541:B556"/>
    <mergeCell ref="B557:B571"/>
    <mergeCell ref="B423:B448"/>
    <mergeCell ref="B449:B468"/>
    <mergeCell ref="B469:B480"/>
    <mergeCell ref="B481:B485"/>
    <mergeCell ref="B486:B487"/>
    <mergeCell ref="B330:B350"/>
    <mergeCell ref="B351:B371"/>
    <mergeCell ref="B372:B387"/>
    <mergeCell ref="B388:B406"/>
    <mergeCell ref="B407:B422"/>
    <mergeCell ref="B246:B258"/>
    <mergeCell ref="B259:B266"/>
    <mergeCell ref="B267:B278"/>
    <mergeCell ref="B279:B314"/>
    <mergeCell ref="B315:B329"/>
    <mergeCell ref="B138:B176"/>
    <mergeCell ref="B177:B196"/>
    <mergeCell ref="B197:B214"/>
    <mergeCell ref="B215:B229"/>
    <mergeCell ref="B230:B245"/>
    <mergeCell ref="B83:B90"/>
    <mergeCell ref="B91:B93"/>
    <mergeCell ref="B94:B107"/>
    <mergeCell ref="B108:B109"/>
    <mergeCell ref="B110:B137"/>
    <mergeCell ref="B7:E8"/>
    <mergeCell ref="B10:B26"/>
    <mergeCell ref="B27:B52"/>
    <mergeCell ref="B53:B8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2"/>
  <sheetViews>
    <sheetView showGridLines="0" view="pageBreakPreview" topLeftCell="A26" zoomScaleNormal="100" zoomScaleSheetLayoutView="100" workbookViewId="0">
      <selection activeCell="B44" sqref="B44"/>
    </sheetView>
  </sheetViews>
  <sheetFormatPr baseColWidth="10" defaultColWidth="11.453125" defaultRowHeight="14.5"/>
  <cols>
    <col min="1" max="1" width="9.26953125" style="13" customWidth="1"/>
    <col min="2" max="2" width="36.17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54296875" style="13" customWidth="1"/>
    <col min="7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40"/>
      <c r="B7" s="85" t="s">
        <v>38</v>
      </c>
      <c r="C7" s="85"/>
      <c r="D7" s="85"/>
      <c r="E7" s="40"/>
      <c r="F7" s="40"/>
    </row>
    <row r="8" spans="1:6" s="16" customFormat="1" ht="15" customHeight="1">
      <c r="A8" s="40"/>
      <c r="B8" s="85"/>
      <c r="C8" s="85"/>
      <c r="D8" s="85"/>
      <c r="E8" s="40"/>
      <c r="F8" s="40"/>
    </row>
    <row r="9" spans="1:6" s="16" customFormat="1" ht="33" customHeight="1">
      <c r="A9" s="40"/>
      <c r="B9" s="85"/>
      <c r="C9" s="85"/>
      <c r="D9" s="85"/>
      <c r="E9" s="40"/>
      <c r="F9" s="40"/>
    </row>
    <row r="10" spans="1:6" s="16" customFormat="1" ht="4.5" customHeight="1">
      <c r="A10" s="40"/>
      <c r="B10" s="43"/>
      <c r="C10" s="43"/>
      <c r="D10" s="43"/>
      <c r="E10" s="40"/>
      <c r="F10" s="40"/>
    </row>
    <row r="11" spans="1:6" s="16" customFormat="1" ht="33" customHeight="1">
      <c r="A11" s="40"/>
      <c r="B11" s="44" t="s">
        <v>26</v>
      </c>
      <c r="C11" s="45" t="s">
        <v>25</v>
      </c>
      <c r="D11" s="44" t="s">
        <v>18</v>
      </c>
      <c r="E11" s="40"/>
      <c r="F11" s="40"/>
    </row>
    <row r="12" spans="1:6" ht="14.5" customHeight="1">
      <c r="A12" s="46"/>
      <c r="B12" s="98" t="s">
        <v>96</v>
      </c>
      <c r="C12" s="74">
        <v>56</v>
      </c>
      <c r="D12" s="75">
        <v>4.7453605626640001E-3</v>
      </c>
      <c r="E12" s="46"/>
      <c r="F12" s="46"/>
    </row>
    <row r="13" spans="1:6" ht="14.5" customHeight="1">
      <c r="A13" s="46"/>
      <c r="B13" s="98" t="s">
        <v>131</v>
      </c>
      <c r="C13" s="74">
        <v>1</v>
      </c>
      <c r="D13" s="75">
        <v>8.4738581476000001E-5</v>
      </c>
      <c r="E13" s="46"/>
      <c r="F13" s="46"/>
    </row>
    <row r="14" spans="1:6" ht="14.5" customHeight="1">
      <c r="A14" s="46"/>
      <c r="B14" s="98" t="s">
        <v>97</v>
      </c>
      <c r="C14" s="74">
        <v>23</v>
      </c>
      <c r="D14" s="75">
        <v>1.9489873739510001E-3</v>
      </c>
      <c r="E14" s="46"/>
      <c r="F14" s="46"/>
    </row>
    <row r="15" spans="1:6" ht="14.5" customHeight="1">
      <c r="A15" s="46"/>
      <c r="B15" s="98" t="s">
        <v>98</v>
      </c>
      <c r="C15" s="74">
        <v>28</v>
      </c>
      <c r="D15" s="75">
        <v>2.3726802813320001E-3</v>
      </c>
      <c r="E15" s="46"/>
      <c r="F15" s="46"/>
    </row>
    <row r="16" spans="1:6" ht="14.5" customHeight="1">
      <c r="A16" s="46"/>
      <c r="B16" s="98" t="s">
        <v>99</v>
      </c>
      <c r="C16" s="74">
        <v>81</v>
      </c>
      <c r="D16" s="75">
        <v>6.8638250995680002E-3</v>
      </c>
      <c r="E16" s="46"/>
      <c r="F16" s="46"/>
    </row>
    <row r="17" spans="1:6" ht="14.5" customHeight="1">
      <c r="A17" s="46"/>
      <c r="B17" s="98" t="s">
        <v>100</v>
      </c>
      <c r="C17" s="74">
        <v>59</v>
      </c>
      <c r="D17" s="75">
        <v>4.9995763070929998E-3</v>
      </c>
      <c r="E17" s="46"/>
      <c r="F17" s="46"/>
    </row>
    <row r="18" spans="1:6" ht="14.5" customHeight="1">
      <c r="A18" s="46"/>
      <c r="B18" s="98" t="s">
        <v>101</v>
      </c>
      <c r="C18" s="74">
        <v>82</v>
      </c>
      <c r="D18" s="75">
        <v>6.9485636810440003E-3</v>
      </c>
      <c r="E18" s="46"/>
      <c r="F18" s="46"/>
    </row>
    <row r="19" spans="1:6" ht="14.5" customHeight="1">
      <c r="A19" s="46"/>
      <c r="B19" s="98" t="s">
        <v>102</v>
      </c>
      <c r="C19" s="74">
        <v>564</v>
      </c>
      <c r="D19" s="75">
        <v>4.7792559952545999E-2</v>
      </c>
      <c r="E19" s="46"/>
      <c r="F19" s="46"/>
    </row>
    <row r="20" spans="1:6" ht="14.5" customHeight="1">
      <c r="A20" s="46"/>
      <c r="B20" s="98" t="s">
        <v>103</v>
      </c>
      <c r="C20" s="74">
        <v>852</v>
      </c>
      <c r="D20" s="75">
        <v>7.2197271417675998E-2</v>
      </c>
      <c r="E20" s="46"/>
      <c r="F20" s="46"/>
    </row>
    <row r="21" spans="1:6" ht="14.5" customHeight="1">
      <c r="A21" s="46"/>
      <c r="B21" s="98" t="s">
        <v>104</v>
      </c>
      <c r="C21" s="74">
        <v>109</v>
      </c>
      <c r="D21" s="75">
        <v>9.2365053808999998E-3</v>
      </c>
      <c r="E21" s="46"/>
      <c r="F21" s="46"/>
    </row>
    <row r="22" spans="1:6" ht="14.5" customHeight="1">
      <c r="A22" s="46"/>
      <c r="B22" s="98" t="s">
        <v>105</v>
      </c>
      <c r="C22" s="74">
        <v>216</v>
      </c>
      <c r="D22" s="75">
        <v>1.8303533598847999E-2</v>
      </c>
      <c r="E22" s="46"/>
      <c r="F22" s="46"/>
    </row>
    <row r="23" spans="1:6" ht="14.5" customHeight="1">
      <c r="A23" s="46"/>
      <c r="B23" s="98" t="s">
        <v>106</v>
      </c>
      <c r="C23" s="74">
        <v>509</v>
      </c>
      <c r="D23" s="75">
        <v>4.3131937971358003E-2</v>
      </c>
      <c r="E23" s="46"/>
      <c r="F23" s="46"/>
    </row>
    <row r="24" spans="1:6" ht="14.5" customHeight="1">
      <c r="A24" s="46"/>
      <c r="B24" s="98" t="s">
        <v>107</v>
      </c>
      <c r="C24" s="74">
        <v>3547</v>
      </c>
      <c r="D24" s="75">
        <v>0.30056774849589002</v>
      </c>
      <c r="E24" s="46"/>
      <c r="F24" s="46"/>
    </row>
    <row r="25" spans="1:6" ht="14.5" customHeight="1">
      <c r="A25" s="46"/>
      <c r="B25" s="98" t="s">
        <v>108</v>
      </c>
      <c r="C25" s="74">
        <v>388</v>
      </c>
      <c r="D25" s="75">
        <v>3.2878569612744997E-2</v>
      </c>
      <c r="E25" s="46"/>
      <c r="F25" s="46"/>
    </row>
    <row r="26" spans="1:6" ht="14.5" customHeight="1">
      <c r="A26" s="46"/>
      <c r="B26" s="98" t="s">
        <v>109</v>
      </c>
      <c r="C26" s="74">
        <v>756</v>
      </c>
      <c r="D26" s="75">
        <v>6.4062367595965994E-2</v>
      </c>
      <c r="E26" s="46"/>
      <c r="F26" s="46"/>
    </row>
    <row r="27" spans="1:6" ht="14.5" customHeight="1">
      <c r="A27" s="46"/>
      <c r="B27" s="98" t="s">
        <v>110</v>
      </c>
      <c r="C27" s="74">
        <v>3193</v>
      </c>
      <c r="D27" s="75">
        <v>0.27057029065333499</v>
      </c>
      <c r="E27" s="46"/>
      <c r="F27" s="46"/>
    </row>
    <row r="28" spans="1:6" ht="14.5" customHeight="1">
      <c r="A28" s="46"/>
      <c r="B28" s="98" t="s">
        <v>111</v>
      </c>
      <c r="C28" s="74">
        <v>61</v>
      </c>
      <c r="D28" s="75">
        <v>5.1690534700450002E-3</v>
      </c>
      <c r="E28" s="46"/>
      <c r="F28" s="46"/>
    </row>
    <row r="29" spans="1:6" ht="14.5" customHeight="1">
      <c r="A29" s="46"/>
      <c r="B29" s="98" t="s">
        <v>112</v>
      </c>
      <c r="C29" s="74">
        <v>54</v>
      </c>
      <c r="D29" s="75">
        <v>4.5758833997119998E-3</v>
      </c>
      <c r="E29" s="46"/>
      <c r="F29" s="46"/>
    </row>
    <row r="30" spans="1:6" ht="14.5" customHeight="1">
      <c r="A30" s="46"/>
      <c r="B30" s="98" t="s">
        <v>113</v>
      </c>
      <c r="C30" s="74">
        <v>21</v>
      </c>
      <c r="D30" s="75">
        <v>1.7795102109989999E-3</v>
      </c>
      <c r="E30" s="46"/>
      <c r="F30" s="46"/>
    </row>
    <row r="31" spans="1:6" ht="14.5" customHeight="1">
      <c r="A31" s="46"/>
      <c r="B31" s="98" t="s">
        <v>114</v>
      </c>
      <c r="C31" s="74">
        <v>23</v>
      </c>
      <c r="D31" s="75">
        <v>1.9489873739510001E-3</v>
      </c>
      <c r="E31" s="46"/>
      <c r="F31" s="46"/>
    </row>
    <row r="32" spans="1:6" ht="14.5" customHeight="1">
      <c r="A32" s="46"/>
      <c r="B32" s="98" t="s">
        <v>115</v>
      </c>
      <c r="C32" s="74">
        <v>218</v>
      </c>
      <c r="D32" s="75">
        <v>1.84730107618E-2</v>
      </c>
      <c r="E32" s="46"/>
      <c r="F32" s="46"/>
    </row>
    <row r="33" spans="1:6" ht="14.5" customHeight="1">
      <c r="A33" s="46"/>
      <c r="B33" s="98" t="s">
        <v>116</v>
      </c>
      <c r="C33" s="74">
        <v>900</v>
      </c>
      <c r="D33" s="75">
        <v>7.6264723328531001E-2</v>
      </c>
      <c r="E33" s="46"/>
      <c r="F33" s="46"/>
    </row>
    <row r="34" spans="1:6" ht="14.5" customHeight="1">
      <c r="A34" s="46"/>
      <c r="B34" s="98" t="s">
        <v>117</v>
      </c>
      <c r="C34" s="74">
        <v>22</v>
      </c>
      <c r="D34" s="75">
        <v>1.8642487924749999E-3</v>
      </c>
      <c r="E34" s="46"/>
      <c r="F34" s="46"/>
    </row>
    <row r="35" spans="1:6" ht="14.5" customHeight="1">
      <c r="A35" s="46"/>
      <c r="B35" s="98" t="s">
        <v>118</v>
      </c>
      <c r="C35" s="74">
        <v>32</v>
      </c>
      <c r="D35" s="75">
        <v>2.7116346072369999E-3</v>
      </c>
      <c r="E35" s="46"/>
      <c r="F35" s="46"/>
    </row>
    <row r="36" spans="1:6" ht="14.5" customHeight="1">
      <c r="A36" s="46"/>
      <c r="B36" s="98" t="s">
        <v>119</v>
      </c>
      <c r="C36" s="74">
        <v>6</v>
      </c>
      <c r="D36" s="75">
        <v>5.0843148885699996E-4</v>
      </c>
      <c r="E36" s="46"/>
      <c r="F36" s="46"/>
    </row>
    <row r="37" spans="1:6" ht="14.5" customHeight="1">
      <c r="A37" s="46"/>
      <c r="B37" s="113" t="s">
        <v>286</v>
      </c>
      <c r="C37" s="96">
        <v>11801</v>
      </c>
      <c r="D37" s="97">
        <v>1</v>
      </c>
      <c r="E37" s="46"/>
      <c r="F37" s="46"/>
    </row>
    <row r="38" spans="1:6" ht="14.5" customHeight="1">
      <c r="A38" s="46"/>
      <c r="B38" s="36"/>
      <c r="C38" s="46"/>
      <c r="D38" s="46"/>
      <c r="E38" s="46"/>
      <c r="F38" s="46"/>
    </row>
    <row r="39" spans="1:6" ht="14.5" customHeight="1">
      <c r="B39" s="36" t="s">
        <v>130</v>
      </c>
      <c r="C39" s="46"/>
      <c r="D39" s="46"/>
      <c r="E39" s="46"/>
      <c r="F39" s="46"/>
    </row>
    <row r="40" spans="1:6" ht="14.5" customHeight="1">
      <c r="B40" s="38" t="s">
        <v>17</v>
      </c>
      <c r="C40" s="46"/>
      <c r="D40" s="46"/>
      <c r="E40" s="46"/>
      <c r="F40" s="46"/>
    </row>
    <row r="41" spans="1:6" ht="14.5" customHeight="1">
      <c r="B41" s="39" t="s">
        <v>95</v>
      </c>
      <c r="C41" s="46"/>
      <c r="D41" s="46"/>
      <c r="E41" s="46"/>
      <c r="F41" s="46"/>
    </row>
    <row r="42" spans="1:6" ht="14.5" customHeight="1">
      <c r="B42" s="36" t="s">
        <v>16</v>
      </c>
      <c r="C42" s="46"/>
      <c r="D42" s="46"/>
      <c r="E42" s="46"/>
      <c r="F42" s="46"/>
    </row>
    <row r="43" spans="1:6" ht="16.5">
      <c r="B43" s="36" t="s">
        <v>285</v>
      </c>
      <c r="C43" s="47"/>
      <c r="D43" s="46"/>
      <c r="E43" s="46"/>
      <c r="F43" s="46"/>
    </row>
    <row r="48" spans="1:6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497"/>
  <sheetViews>
    <sheetView showGridLines="0" view="pageBreakPreview" topLeftCell="A483" zoomScale="90" zoomScaleNormal="85" zoomScaleSheetLayoutView="90" workbookViewId="0">
      <selection activeCell="C489" sqref="C489"/>
    </sheetView>
  </sheetViews>
  <sheetFormatPr baseColWidth="10" defaultColWidth="35" defaultRowHeight="15" customHeight="1"/>
  <cols>
    <col min="1" max="1" width="1" style="19" customWidth="1"/>
    <col min="2" max="2" width="22.81640625" style="20" customWidth="1"/>
    <col min="3" max="3" width="31.453125" style="20" customWidth="1"/>
    <col min="4" max="4" width="14.26953125" style="20" customWidth="1"/>
    <col min="5" max="5" width="16.8164062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A6" s="31"/>
      <c r="B6" s="30"/>
      <c r="C6" s="31"/>
      <c r="D6" s="31"/>
      <c r="E6" s="31"/>
    </row>
    <row r="7" spans="1:5" s="22" customFormat="1" ht="26.25" customHeight="1">
      <c r="A7" s="54"/>
      <c r="B7" s="86"/>
      <c r="C7" s="86"/>
      <c r="D7" s="86"/>
      <c r="E7" s="86"/>
    </row>
    <row r="8" spans="1:5" s="22" customFormat="1" ht="33" customHeight="1">
      <c r="A8" s="54"/>
      <c r="B8" s="86"/>
      <c r="C8" s="86"/>
      <c r="D8" s="86"/>
      <c r="E8" s="86"/>
    </row>
    <row r="9" spans="1:5" s="16" customFormat="1" ht="40.5" customHeight="1">
      <c r="A9" s="40"/>
      <c r="B9" s="100" t="s">
        <v>27</v>
      </c>
      <c r="C9" s="101" t="s">
        <v>24</v>
      </c>
      <c r="D9" s="102" t="s">
        <v>19</v>
      </c>
      <c r="E9" s="100" t="s">
        <v>18</v>
      </c>
    </row>
    <row r="10" spans="1:5" ht="14.5" customHeight="1">
      <c r="A10" s="35"/>
      <c r="B10" s="89" t="s">
        <v>96</v>
      </c>
      <c r="C10" s="61" t="s">
        <v>172</v>
      </c>
      <c r="D10" s="62">
        <v>5</v>
      </c>
      <c r="E10" s="63">
        <v>4.2369290738100002E-4</v>
      </c>
    </row>
    <row r="11" spans="1:5" ht="14.5" customHeight="1">
      <c r="A11" s="35"/>
      <c r="B11" s="90"/>
      <c r="C11" s="61" t="s">
        <v>175</v>
      </c>
      <c r="D11" s="62">
        <v>1</v>
      </c>
      <c r="E11" s="63">
        <v>8.4738581476000001E-5</v>
      </c>
    </row>
    <row r="12" spans="1:5" ht="14.5" customHeight="1">
      <c r="A12" s="35"/>
      <c r="B12" s="90"/>
      <c r="C12" s="61" t="s">
        <v>207</v>
      </c>
      <c r="D12" s="62">
        <v>1</v>
      </c>
      <c r="E12" s="63">
        <v>8.4738581476000001E-5</v>
      </c>
    </row>
    <row r="13" spans="1:5" ht="14.5" customHeight="1">
      <c r="A13" s="35"/>
      <c r="B13" s="90"/>
      <c r="C13" s="61" t="s">
        <v>174</v>
      </c>
      <c r="D13" s="62">
        <v>2</v>
      </c>
      <c r="E13" s="63">
        <v>1.69477162952E-4</v>
      </c>
    </row>
    <row r="14" spans="1:5" ht="14.5" customHeight="1">
      <c r="A14" s="35"/>
      <c r="B14" s="90"/>
      <c r="C14" s="61" t="s">
        <v>196</v>
      </c>
      <c r="D14" s="62">
        <v>1</v>
      </c>
      <c r="E14" s="63">
        <v>8.4738581476000001E-5</v>
      </c>
    </row>
    <row r="15" spans="1:5" ht="14.5" customHeight="1">
      <c r="A15" s="35"/>
      <c r="B15" s="90"/>
      <c r="C15" s="61" t="s">
        <v>176</v>
      </c>
      <c r="D15" s="62">
        <v>2</v>
      </c>
      <c r="E15" s="63">
        <v>1.69477162952E-4</v>
      </c>
    </row>
    <row r="16" spans="1:5" ht="14.5" customHeight="1">
      <c r="A16" s="35"/>
      <c r="B16" s="90"/>
      <c r="C16" s="61" t="s">
        <v>182</v>
      </c>
      <c r="D16" s="62">
        <v>2</v>
      </c>
      <c r="E16" s="63">
        <v>1.69477162952E-4</v>
      </c>
    </row>
    <row r="17" spans="1:5" ht="14.5" customHeight="1">
      <c r="A17" s="35"/>
      <c r="B17" s="90"/>
      <c r="C17" s="61" t="s">
        <v>190</v>
      </c>
      <c r="D17" s="62">
        <v>1</v>
      </c>
      <c r="E17" s="63">
        <v>8.4738581476000001E-5</v>
      </c>
    </row>
    <row r="18" spans="1:5" ht="14.5" customHeight="1">
      <c r="A18" s="35"/>
      <c r="B18" s="90"/>
      <c r="C18" s="61" t="s">
        <v>179</v>
      </c>
      <c r="D18" s="62">
        <v>1</v>
      </c>
      <c r="E18" s="63">
        <v>8.4738581476000001E-5</v>
      </c>
    </row>
    <row r="19" spans="1:5" ht="14.5" customHeight="1">
      <c r="A19" s="35"/>
      <c r="B19" s="90"/>
      <c r="C19" s="61" t="s">
        <v>181</v>
      </c>
      <c r="D19" s="62">
        <v>1</v>
      </c>
      <c r="E19" s="63">
        <v>8.4738581476000001E-5</v>
      </c>
    </row>
    <row r="20" spans="1:5" ht="14.5" customHeight="1">
      <c r="A20" s="35"/>
      <c r="B20" s="90"/>
      <c r="C20" s="61" t="s">
        <v>192</v>
      </c>
      <c r="D20" s="62">
        <v>1</v>
      </c>
      <c r="E20" s="63">
        <v>8.4738581476000001E-5</v>
      </c>
    </row>
    <row r="21" spans="1:5" ht="14.5" customHeight="1">
      <c r="A21" s="35"/>
      <c r="B21" s="90"/>
      <c r="C21" s="61" t="s">
        <v>178</v>
      </c>
      <c r="D21" s="62">
        <v>2</v>
      </c>
      <c r="E21" s="63">
        <v>1.69477162952E-4</v>
      </c>
    </row>
    <row r="22" spans="1:5" ht="14.5" customHeight="1">
      <c r="A22" s="35"/>
      <c r="B22" s="90"/>
      <c r="C22" s="61" t="s">
        <v>171</v>
      </c>
      <c r="D22" s="62">
        <v>35</v>
      </c>
      <c r="E22" s="63">
        <v>2.965850351665E-3</v>
      </c>
    </row>
    <row r="23" spans="1:5" ht="14.5" customHeight="1">
      <c r="A23" s="35"/>
      <c r="B23" s="90"/>
      <c r="C23" s="61" t="s">
        <v>195</v>
      </c>
      <c r="D23" s="62">
        <v>1</v>
      </c>
      <c r="E23" s="63">
        <v>8.4738581476000001E-5</v>
      </c>
    </row>
    <row r="24" spans="1:5" ht="14.5" customHeight="1">
      <c r="A24" s="35"/>
      <c r="B24" s="91"/>
      <c r="C24" s="66" t="s">
        <v>284</v>
      </c>
      <c r="D24" s="64">
        <v>56</v>
      </c>
      <c r="E24" s="67">
        <v>4.7453605626640001E-3</v>
      </c>
    </row>
    <row r="25" spans="1:5" ht="14.5" customHeight="1">
      <c r="A25" s="35"/>
      <c r="B25" s="89" t="s">
        <v>131</v>
      </c>
      <c r="C25" s="61" t="s">
        <v>171</v>
      </c>
      <c r="D25" s="62">
        <v>1</v>
      </c>
      <c r="E25" s="63">
        <v>8.4738581476000001E-5</v>
      </c>
    </row>
    <row r="26" spans="1:5" ht="14.5" customHeight="1">
      <c r="A26" s="35"/>
      <c r="B26" s="91"/>
      <c r="C26" s="66" t="s">
        <v>284</v>
      </c>
      <c r="D26" s="64">
        <v>1</v>
      </c>
      <c r="E26" s="67">
        <v>8.4738581476000001E-5</v>
      </c>
    </row>
    <row r="27" spans="1:5" ht="14.5" customHeight="1">
      <c r="A27" s="35"/>
      <c r="B27" s="89" t="s">
        <v>215</v>
      </c>
      <c r="C27" s="61" t="s">
        <v>184</v>
      </c>
      <c r="D27" s="62">
        <v>1</v>
      </c>
      <c r="E27" s="63">
        <v>8.4738581476000001E-5</v>
      </c>
    </row>
    <row r="28" spans="1:5" ht="14.5" customHeight="1">
      <c r="A28" s="35"/>
      <c r="B28" s="90"/>
      <c r="C28" s="61" t="s">
        <v>172</v>
      </c>
      <c r="D28" s="62">
        <v>1</v>
      </c>
      <c r="E28" s="63">
        <v>8.4738581476000001E-5</v>
      </c>
    </row>
    <row r="29" spans="1:5" ht="14.5" customHeight="1">
      <c r="A29" s="35"/>
      <c r="B29" s="90"/>
      <c r="C29" s="61" t="s">
        <v>175</v>
      </c>
      <c r="D29" s="62">
        <v>1</v>
      </c>
      <c r="E29" s="63">
        <v>8.4738581476000001E-5</v>
      </c>
    </row>
    <row r="30" spans="1:5" ht="14.5" customHeight="1">
      <c r="A30" s="35"/>
      <c r="B30" s="90"/>
      <c r="C30" s="61" t="s">
        <v>174</v>
      </c>
      <c r="D30" s="62">
        <v>1</v>
      </c>
      <c r="E30" s="63">
        <v>8.4738581476000001E-5</v>
      </c>
    </row>
    <row r="31" spans="1:5" ht="14.5" customHeight="1">
      <c r="A31" s="35"/>
      <c r="B31" s="90"/>
      <c r="C31" s="61" t="s">
        <v>186</v>
      </c>
      <c r="D31" s="62">
        <v>1</v>
      </c>
      <c r="E31" s="63">
        <v>8.4738581476000001E-5</v>
      </c>
    </row>
    <row r="32" spans="1:5" ht="14.5" customHeight="1">
      <c r="A32" s="35"/>
      <c r="B32" s="90"/>
      <c r="C32" s="61" t="s">
        <v>173</v>
      </c>
      <c r="D32" s="62">
        <v>1</v>
      </c>
      <c r="E32" s="63">
        <v>8.4738581476000001E-5</v>
      </c>
    </row>
    <row r="33" spans="1:5" ht="14.5" customHeight="1">
      <c r="A33" s="35"/>
      <c r="B33" s="90"/>
      <c r="C33" s="61" t="s">
        <v>192</v>
      </c>
      <c r="D33" s="62">
        <v>2</v>
      </c>
      <c r="E33" s="63">
        <v>1.69477162952E-4</v>
      </c>
    </row>
    <row r="34" spans="1:5" ht="14.5" customHeight="1">
      <c r="A34" s="35"/>
      <c r="B34" s="90"/>
      <c r="C34" s="61" t="s">
        <v>171</v>
      </c>
      <c r="D34" s="62">
        <v>14</v>
      </c>
      <c r="E34" s="63">
        <v>1.186340140666E-3</v>
      </c>
    </row>
    <row r="35" spans="1:5" ht="14.5" customHeight="1">
      <c r="A35" s="35"/>
      <c r="B35" s="90"/>
      <c r="C35" s="61" t="s">
        <v>206</v>
      </c>
      <c r="D35" s="62">
        <v>1</v>
      </c>
      <c r="E35" s="63">
        <v>8.4738581476000001E-5</v>
      </c>
    </row>
    <row r="36" spans="1:5" ht="14.5" customHeight="1">
      <c r="A36" s="35"/>
      <c r="B36" s="91"/>
      <c r="C36" s="66" t="s">
        <v>284</v>
      </c>
      <c r="D36" s="64">
        <v>23</v>
      </c>
      <c r="E36" s="67">
        <v>1.9489873739510001E-3</v>
      </c>
    </row>
    <row r="37" spans="1:5" ht="14.5" customHeight="1">
      <c r="A37" s="35"/>
      <c r="B37" s="89" t="s">
        <v>216</v>
      </c>
      <c r="C37" s="61" t="s">
        <v>183</v>
      </c>
      <c r="D37" s="62">
        <v>1</v>
      </c>
      <c r="E37" s="63">
        <v>8.4738581476000001E-5</v>
      </c>
    </row>
    <row r="38" spans="1:5" ht="14.5" customHeight="1">
      <c r="A38" s="35"/>
      <c r="B38" s="90"/>
      <c r="C38" s="61" t="s">
        <v>177</v>
      </c>
      <c r="D38" s="62">
        <v>1</v>
      </c>
      <c r="E38" s="63">
        <v>8.4738581476000001E-5</v>
      </c>
    </row>
    <row r="39" spans="1:5" ht="14.5" customHeight="1">
      <c r="A39" s="35"/>
      <c r="B39" s="90"/>
      <c r="C39" s="61" t="s">
        <v>194</v>
      </c>
      <c r="D39" s="62">
        <v>1</v>
      </c>
      <c r="E39" s="63">
        <v>8.4738581476000001E-5</v>
      </c>
    </row>
    <row r="40" spans="1:5" ht="14.5" customHeight="1">
      <c r="A40" s="35"/>
      <c r="B40" s="90"/>
      <c r="C40" s="61" t="s">
        <v>173</v>
      </c>
      <c r="D40" s="62">
        <v>2</v>
      </c>
      <c r="E40" s="63">
        <v>1.69477162952E-4</v>
      </c>
    </row>
    <row r="41" spans="1:5" ht="14.5" customHeight="1">
      <c r="A41" s="35"/>
      <c r="B41" s="90"/>
      <c r="C41" s="61" t="s">
        <v>171</v>
      </c>
      <c r="D41" s="62">
        <v>22</v>
      </c>
      <c r="E41" s="63">
        <v>1.8642487924749999E-3</v>
      </c>
    </row>
    <row r="42" spans="1:5" ht="14.5" customHeight="1">
      <c r="A42" s="35"/>
      <c r="B42" s="90"/>
      <c r="C42" s="61" t="s">
        <v>185</v>
      </c>
      <c r="D42" s="62">
        <v>1</v>
      </c>
      <c r="E42" s="63">
        <v>8.4738581476000001E-5</v>
      </c>
    </row>
    <row r="43" spans="1:5" ht="14.5" customHeight="1">
      <c r="A43" s="35"/>
      <c r="B43" s="91"/>
      <c r="C43" s="66" t="s">
        <v>284</v>
      </c>
      <c r="D43" s="64">
        <v>28</v>
      </c>
      <c r="E43" s="67">
        <v>2.3726802813320001E-3</v>
      </c>
    </row>
    <row r="44" spans="1:5" ht="14.5" customHeight="1">
      <c r="A44" s="35"/>
      <c r="B44" s="89" t="s">
        <v>217</v>
      </c>
      <c r="C44" s="61" t="s">
        <v>184</v>
      </c>
      <c r="D44" s="62">
        <v>2</v>
      </c>
      <c r="E44" s="63">
        <v>1.69477162952E-4</v>
      </c>
    </row>
    <row r="45" spans="1:5" ht="14.5" customHeight="1">
      <c r="A45" s="35"/>
      <c r="B45" s="90"/>
      <c r="C45" s="61" t="s">
        <v>172</v>
      </c>
      <c r="D45" s="62">
        <v>5</v>
      </c>
      <c r="E45" s="63">
        <v>4.2369290738100002E-4</v>
      </c>
    </row>
    <row r="46" spans="1:5" ht="14.5" customHeight="1">
      <c r="A46" s="35"/>
      <c r="B46" s="90"/>
      <c r="C46" s="61" t="s">
        <v>175</v>
      </c>
      <c r="D46" s="62">
        <v>2</v>
      </c>
      <c r="E46" s="63">
        <v>1.69477162952E-4</v>
      </c>
    </row>
    <row r="47" spans="1:5" ht="14.5" customHeight="1">
      <c r="A47" s="35"/>
      <c r="B47" s="90"/>
      <c r="C47" s="61" t="s">
        <v>201</v>
      </c>
      <c r="D47" s="62">
        <v>1</v>
      </c>
      <c r="E47" s="63">
        <v>8.4738581476000001E-5</v>
      </c>
    </row>
    <row r="48" spans="1:5" ht="14.5" customHeight="1">
      <c r="A48" s="35"/>
      <c r="B48" s="90"/>
      <c r="C48" s="61" t="s">
        <v>174</v>
      </c>
      <c r="D48" s="62">
        <v>2</v>
      </c>
      <c r="E48" s="63">
        <v>1.69477162952E-4</v>
      </c>
    </row>
    <row r="49" spans="1:5" ht="14.5" customHeight="1">
      <c r="A49" s="35"/>
      <c r="B49" s="90"/>
      <c r="C49" s="61" t="s">
        <v>196</v>
      </c>
      <c r="D49" s="62">
        <v>1</v>
      </c>
      <c r="E49" s="63">
        <v>8.4738581476000001E-5</v>
      </c>
    </row>
    <row r="50" spans="1:5" ht="14.5" customHeight="1">
      <c r="A50" s="35"/>
      <c r="B50" s="90"/>
      <c r="C50" s="61" t="s">
        <v>176</v>
      </c>
      <c r="D50" s="62">
        <v>1</v>
      </c>
      <c r="E50" s="63">
        <v>8.4738581476000001E-5</v>
      </c>
    </row>
    <row r="51" spans="1:5" ht="14.5" customHeight="1">
      <c r="A51" s="35"/>
      <c r="B51" s="90"/>
      <c r="C51" s="61" t="s">
        <v>194</v>
      </c>
      <c r="D51" s="62">
        <v>1</v>
      </c>
      <c r="E51" s="63">
        <v>8.4738581476000001E-5</v>
      </c>
    </row>
    <row r="52" spans="1:5" ht="14.5" customHeight="1">
      <c r="A52" s="35"/>
      <c r="B52" s="90"/>
      <c r="C52" s="61" t="s">
        <v>187</v>
      </c>
      <c r="D52" s="62">
        <v>1</v>
      </c>
      <c r="E52" s="63">
        <v>8.4738581476000001E-5</v>
      </c>
    </row>
    <row r="53" spans="1:5" ht="14.5" customHeight="1">
      <c r="A53" s="35"/>
      <c r="B53" s="90"/>
      <c r="C53" s="61" t="s">
        <v>179</v>
      </c>
      <c r="D53" s="62">
        <v>1</v>
      </c>
      <c r="E53" s="63">
        <v>8.4738581476000001E-5</v>
      </c>
    </row>
    <row r="54" spans="1:5" ht="14.5" customHeight="1">
      <c r="A54" s="35"/>
      <c r="B54" s="90"/>
      <c r="C54" s="61" t="s">
        <v>200</v>
      </c>
      <c r="D54" s="62">
        <v>1</v>
      </c>
      <c r="E54" s="63">
        <v>8.4738581476000001E-5</v>
      </c>
    </row>
    <row r="55" spans="1:5" ht="14.5" customHeight="1">
      <c r="A55" s="35"/>
      <c r="B55" s="90"/>
      <c r="C55" s="61" t="s">
        <v>181</v>
      </c>
      <c r="D55" s="62">
        <v>1</v>
      </c>
      <c r="E55" s="63">
        <v>8.4738581476000001E-5</v>
      </c>
    </row>
    <row r="56" spans="1:5" ht="14.5" customHeight="1">
      <c r="A56" s="35"/>
      <c r="B56" s="90"/>
      <c r="C56" s="61" t="s">
        <v>173</v>
      </c>
      <c r="D56" s="62">
        <v>5</v>
      </c>
      <c r="E56" s="63">
        <v>4.2369290738100002E-4</v>
      </c>
    </row>
    <row r="57" spans="1:5" ht="14.5" customHeight="1">
      <c r="A57" s="35"/>
      <c r="B57" s="90"/>
      <c r="C57" s="61" t="s">
        <v>171</v>
      </c>
      <c r="D57" s="62">
        <v>57</v>
      </c>
      <c r="E57" s="63">
        <v>4.8300991441400003E-3</v>
      </c>
    </row>
    <row r="58" spans="1:5" ht="14.5" customHeight="1">
      <c r="A58" s="35"/>
      <c r="B58" s="91"/>
      <c r="C58" s="66" t="s">
        <v>284</v>
      </c>
      <c r="D58" s="64">
        <v>81</v>
      </c>
      <c r="E58" s="67">
        <v>6.8638250995680002E-3</v>
      </c>
    </row>
    <row r="59" spans="1:5" ht="14.5" customHeight="1">
      <c r="A59" s="35"/>
      <c r="B59" s="89" t="s">
        <v>218</v>
      </c>
      <c r="C59" s="61" t="s">
        <v>172</v>
      </c>
      <c r="D59" s="62">
        <v>2</v>
      </c>
      <c r="E59" s="63">
        <v>1.69477162952E-4</v>
      </c>
    </row>
    <row r="60" spans="1:5" ht="14.5" customHeight="1">
      <c r="A60" s="35"/>
      <c r="B60" s="90"/>
      <c r="C60" s="61" t="s">
        <v>175</v>
      </c>
      <c r="D60" s="62">
        <v>5</v>
      </c>
      <c r="E60" s="63">
        <v>4.2369290738100002E-4</v>
      </c>
    </row>
    <row r="61" spans="1:5" ht="14.5" customHeight="1">
      <c r="A61" s="35"/>
      <c r="B61" s="90"/>
      <c r="C61" s="61" t="s">
        <v>177</v>
      </c>
      <c r="D61" s="62">
        <v>2</v>
      </c>
      <c r="E61" s="63">
        <v>1.69477162952E-4</v>
      </c>
    </row>
    <row r="62" spans="1:5" ht="14.5" customHeight="1">
      <c r="A62" s="35"/>
      <c r="B62" s="90"/>
      <c r="C62" s="61" t="s">
        <v>180</v>
      </c>
      <c r="D62" s="62">
        <v>3</v>
      </c>
      <c r="E62" s="63">
        <v>2.54215744428E-4</v>
      </c>
    </row>
    <row r="63" spans="1:5" ht="14.5" customHeight="1">
      <c r="A63" s="35"/>
      <c r="B63" s="90"/>
      <c r="C63" s="61" t="s">
        <v>174</v>
      </c>
      <c r="D63" s="62">
        <v>2</v>
      </c>
      <c r="E63" s="63">
        <v>1.69477162952E-4</v>
      </c>
    </row>
    <row r="64" spans="1:5" ht="14.5" customHeight="1">
      <c r="A64" s="35"/>
      <c r="B64" s="90"/>
      <c r="C64" s="61" t="s">
        <v>190</v>
      </c>
      <c r="D64" s="62">
        <v>1</v>
      </c>
      <c r="E64" s="63">
        <v>8.4738581476000001E-5</v>
      </c>
    </row>
    <row r="65" spans="1:5" ht="14.5" customHeight="1">
      <c r="A65" s="35"/>
      <c r="B65" s="90"/>
      <c r="C65" s="61" t="s">
        <v>186</v>
      </c>
      <c r="D65" s="62">
        <v>1</v>
      </c>
      <c r="E65" s="63">
        <v>8.4738581476000001E-5</v>
      </c>
    </row>
    <row r="66" spans="1:5" ht="14.5" customHeight="1">
      <c r="A66" s="35"/>
      <c r="B66" s="90"/>
      <c r="C66" s="61" t="s">
        <v>179</v>
      </c>
      <c r="D66" s="62">
        <v>1</v>
      </c>
      <c r="E66" s="63">
        <v>8.4738581476000001E-5</v>
      </c>
    </row>
    <row r="67" spans="1:5" ht="14.5" customHeight="1">
      <c r="A67" s="35"/>
      <c r="B67" s="90"/>
      <c r="C67" s="61" t="s">
        <v>198</v>
      </c>
      <c r="D67" s="62">
        <v>1</v>
      </c>
      <c r="E67" s="63">
        <v>8.4738581476000001E-5</v>
      </c>
    </row>
    <row r="68" spans="1:5" ht="14.5" customHeight="1">
      <c r="A68" s="35"/>
      <c r="B68" s="90"/>
      <c r="C68" s="61" t="s">
        <v>173</v>
      </c>
      <c r="D68" s="62">
        <v>3</v>
      </c>
      <c r="E68" s="63">
        <v>2.54215744428E-4</v>
      </c>
    </row>
    <row r="69" spans="1:5" ht="14.5" customHeight="1">
      <c r="A69" s="35"/>
      <c r="B69" s="90"/>
      <c r="C69" s="61" t="s">
        <v>192</v>
      </c>
      <c r="D69" s="62">
        <v>2</v>
      </c>
      <c r="E69" s="63">
        <v>1.69477162952E-4</v>
      </c>
    </row>
    <row r="70" spans="1:5" ht="14.5" customHeight="1">
      <c r="A70" s="35"/>
      <c r="B70" s="90"/>
      <c r="C70" s="61" t="s">
        <v>178</v>
      </c>
      <c r="D70" s="62">
        <v>1</v>
      </c>
      <c r="E70" s="63">
        <v>8.4738581476000001E-5</v>
      </c>
    </row>
    <row r="71" spans="1:5" ht="14.5" customHeight="1">
      <c r="A71" s="35"/>
      <c r="B71" s="90"/>
      <c r="C71" s="61" t="s">
        <v>171</v>
      </c>
      <c r="D71" s="62">
        <v>34</v>
      </c>
      <c r="E71" s="63">
        <v>2.8811117701889998E-3</v>
      </c>
    </row>
    <row r="72" spans="1:5" ht="14.5" customHeight="1">
      <c r="A72" s="35"/>
      <c r="B72" s="90"/>
      <c r="C72" s="61" t="s">
        <v>199</v>
      </c>
      <c r="D72" s="62">
        <v>1</v>
      </c>
      <c r="E72" s="63">
        <v>8.4738581476000001E-5</v>
      </c>
    </row>
    <row r="73" spans="1:5" ht="14.5" customHeight="1">
      <c r="A73" s="35"/>
      <c r="B73" s="91"/>
      <c r="C73" s="66" t="s">
        <v>284</v>
      </c>
      <c r="D73" s="64">
        <v>59</v>
      </c>
      <c r="E73" s="67">
        <v>4.9995763070929998E-3</v>
      </c>
    </row>
    <row r="74" spans="1:5" ht="14.5" customHeight="1">
      <c r="A74" s="35"/>
      <c r="B74" s="89" t="s">
        <v>219</v>
      </c>
      <c r="C74" s="61" t="s">
        <v>189</v>
      </c>
      <c r="D74" s="62">
        <v>1</v>
      </c>
      <c r="E74" s="63">
        <v>8.4738581476000001E-5</v>
      </c>
    </row>
    <row r="75" spans="1:5" ht="14.5" customHeight="1">
      <c r="A75" s="35"/>
      <c r="B75" s="90"/>
      <c r="C75" s="61" t="s">
        <v>172</v>
      </c>
      <c r="D75" s="62">
        <v>6</v>
      </c>
      <c r="E75" s="63">
        <v>5.0843148885699996E-4</v>
      </c>
    </row>
    <row r="76" spans="1:5" ht="14.5" customHeight="1">
      <c r="A76" s="35"/>
      <c r="B76" s="90"/>
      <c r="C76" s="61" t="s">
        <v>175</v>
      </c>
      <c r="D76" s="62">
        <v>4</v>
      </c>
      <c r="E76" s="63">
        <v>3.3895432590500002E-4</v>
      </c>
    </row>
    <row r="77" spans="1:5" ht="14.5" customHeight="1">
      <c r="A77" s="35"/>
      <c r="B77" s="90"/>
      <c r="C77" s="61" t="s">
        <v>207</v>
      </c>
      <c r="D77" s="62">
        <v>1</v>
      </c>
      <c r="E77" s="63">
        <v>8.4738581476000001E-5</v>
      </c>
    </row>
    <row r="78" spans="1:5" ht="14.5" customHeight="1">
      <c r="A78" s="35"/>
      <c r="B78" s="90"/>
      <c r="C78" s="61" t="s">
        <v>180</v>
      </c>
      <c r="D78" s="62">
        <v>1</v>
      </c>
      <c r="E78" s="63">
        <v>8.4738581476000001E-5</v>
      </c>
    </row>
    <row r="79" spans="1:5" ht="14.5" customHeight="1">
      <c r="A79" s="35"/>
      <c r="B79" s="90"/>
      <c r="C79" s="61" t="s">
        <v>174</v>
      </c>
      <c r="D79" s="62">
        <v>2</v>
      </c>
      <c r="E79" s="63">
        <v>1.69477162952E-4</v>
      </c>
    </row>
    <row r="80" spans="1:5" ht="14.5" customHeight="1">
      <c r="A80" s="35"/>
      <c r="B80" s="90"/>
      <c r="C80" s="61" t="s">
        <v>176</v>
      </c>
      <c r="D80" s="62">
        <v>3</v>
      </c>
      <c r="E80" s="63">
        <v>2.54215744428E-4</v>
      </c>
    </row>
    <row r="81" spans="1:5" ht="14.5" customHeight="1">
      <c r="A81" s="35"/>
      <c r="B81" s="90"/>
      <c r="C81" s="61" t="s">
        <v>194</v>
      </c>
      <c r="D81" s="62">
        <v>2</v>
      </c>
      <c r="E81" s="63">
        <v>1.69477162952E-4</v>
      </c>
    </row>
    <row r="82" spans="1:5" ht="14.5" customHeight="1">
      <c r="A82" s="35"/>
      <c r="B82" s="90"/>
      <c r="C82" s="61" t="s">
        <v>182</v>
      </c>
      <c r="D82" s="62">
        <v>1</v>
      </c>
      <c r="E82" s="63">
        <v>8.4738581476000001E-5</v>
      </c>
    </row>
    <row r="83" spans="1:5" ht="14.5" customHeight="1">
      <c r="A83" s="35"/>
      <c r="B83" s="90"/>
      <c r="C83" s="61" t="s">
        <v>186</v>
      </c>
      <c r="D83" s="62">
        <v>2</v>
      </c>
      <c r="E83" s="63">
        <v>1.69477162952E-4</v>
      </c>
    </row>
    <row r="84" spans="1:5" ht="14.5" customHeight="1">
      <c r="A84" s="35"/>
      <c r="B84" s="90"/>
      <c r="C84" s="61" t="s">
        <v>187</v>
      </c>
      <c r="D84" s="62">
        <v>1</v>
      </c>
      <c r="E84" s="63">
        <v>8.4738581476000001E-5</v>
      </c>
    </row>
    <row r="85" spans="1:5" ht="14.5" customHeight="1">
      <c r="A85" s="35"/>
      <c r="B85" s="90"/>
      <c r="C85" s="61" t="s">
        <v>179</v>
      </c>
      <c r="D85" s="62">
        <v>1</v>
      </c>
      <c r="E85" s="63">
        <v>8.4738581476000001E-5</v>
      </c>
    </row>
    <row r="86" spans="1:5" ht="14.5" customHeight="1">
      <c r="A86" s="35"/>
      <c r="B86" s="90"/>
      <c r="C86" s="61" t="s">
        <v>173</v>
      </c>
      <c r="D86" s="62">
        <v>1</v>
      </c>
      <c r="E86" s="63">
        <v>8.4738581476000001E-5</v>
      </c>
    </row>
    <row r="87" spans="1:5" ht="14.5" customHeight="1">
      <c r="A87" s="35"/>
      <c r="B87" s="90"/>
      <c r="C87" s="61" t="s">
        <v>178</v>
      </c>
      <c r="D87" s="62">
        <v>1</v>
      </c>
      <c r="E87" s="63">
        <v>8.4738581476000001E-5</v>
      </c>
    </row>
    <row r="88" spans="1:5" ht="14.5" customHeight="1">
      <c r="A88" s="35"/>
      <c r="B88" s="90"/>
      <c r="C88" s="61" t="s">
        <v>171</v>
      </c>
      <c r="D88" s="62">
        <v>54</v>
      </c>
      <c r="E88" s="63">
        <v>4.5758833997119998E-3</v>
      </c>
    </row>
    <row r="89" spans="1:5" ht="14.5" customHeight="1">
      <c r="A89" s="35"/>
      <c r="B89" s="90"/>
      <c r="C89" s="61" t="s">
        <v>199</v>
      </c>
      <c r="D89" s="62">
        <v>1</v>
      </c>
      <c r="E89" s="63">
        <v>8.4738581476000001E-5</v>
      </c>
    </row>
    <row r="90" spans="1:5" ht="14.5" customHeight="1">
      <c r="A90" s="35"/>
      <c r="B90" s="91"/>
      <c r="C90" s="66" t="s">
        <v>284</v>
      </c>
      <c r="D90" s="64">
        <v>82</v>
      </c>
      <c r="E90" s="67">
        <v>6.9485636810440003E-3</v>
      </c>
    </row>
    <row r="91" spans="1:5" ht="14.5" customHeight="1">
      <c r="A91" s="35"/>
      <c r="B91" s="89" t="s">
        <v>220</v>
      </c>
      <c r="C91" s="61" t="s">
        <v>189</v>
      </c>
      <c r="D91" s="62">
        <v>3</v>
      </c>
      <c r="E91" s="63">
        <v>2.54215744428E-4</v>
      </c>
    </row>
    <row r="92" spans="1:5" ht="14.5" customHeight="1">
      <c r="A92" s="35"/>
      <c r="B92" s="90"/>
      <c r="C92" s="61" t="s">
        <v>184</v>
      </c>
      <c r="D92" s="62">
        <v>3</v>
      </c>
      <c r="E92" s="63">
        <v>2.54215744428E-4</v>
      </c>
    </row>
    <row r="93" spans="1:5" ht="14.5" customHeight="1">
      <c r="A93" s="35"/>
      <c r="B93" s="90"/>
      <c r="C93" s="61" t="s">
        <v>183</v>
      </c>
      <c r="D93" s="62">
        <v>3</v>
      </c>
      <c r="E93" s="63">
        <v>2.54215744428E-4</v>
      </c>
    </row>
    <row r="94" spans="1:5" ht="14.5" customHeight="1">
      <c r="A94" s="35"/>
      <c r="B94" s="90"/>
      <c r="C94" s="61" t="s">
        <v>172</v>
      </c>
      <c r="D94" s="62">
        <v>35</v>
      </c>
      <c r="E94" s="63">
        <v>2.965850351665E-3</v>
      </c>
    </row>
    <row r="95" spans="1:5" ht="14.5" customHeight="1">
      <c r="A95" s="35"/>
      <c r="B95" s="90"/>
      <c r="C95" s="61" t="s">
        <v>175</v>
      </c>
      <c r="D95" s="62">
        <v>8</v>
      </c>
      <c r="E95" s="63">
        <v>6.7790865180899996E-4</v>
      </c>
    </row>
    <row r="96" spans="1:5" ht="14.5" customHeight="1">
      <c r="A96" s="35"/>
      <c r="B96" s="90"/>
      <c r="C96" s="61" t="s">
        <v>177</v>
      </c>
      <c r="D96" s="62">
        <v>6</v>
      </c>
      <c r="E96" s="63">
        <v>5.0843148885699996E-4</v>
      </c>
    </row>
    <row r="97" spans="1:5" ht="14.5" customHeight="1">
      <c r="A97" s="35"/>
      <c r="B97" s="90"/>
      <c r="C97" s="61" t="s">
        <v>180</v>
      </c>
      <c r="D97" s="62">
        <v>3</v>
      </c>
      <c r="E97" s="63">
        <v>2.54215744428E-4</v>
      </c>
    </row>
    <row r="98" spans="1:5" ht="14.5" customHeight="1">
      <c r="A98" s="35"/>
      <c r="B98" s="90"/>
      <c r="C98" s="61" t="s">
        <v>174</v>
      </c>
      <c r="D98" s="62">
        <v>4</v>
      </c>
      <c r="E98" s="63">
        <v>3.3895432590500002E-4</v>
      </c>
    </row>
    <row r="99" spans="1:5" ht="14.5" customHeight="1">
      <c r="A99" s="35"/>
      <c r="B99" s="90"/>
      <c r="C99" s="61" t="s">
        <v>188</v>
      </c>
      <c r="D99" s="62">
        <v>3</v>
      </c>
      <c r="E99" s="63">
        <v>2.54215744428E-4</v>
      </c>
    </row>
    <row r="100" spans="1:5" ht="14.5" customHeight="1">
      <c r="A100" s="35"/>
      <c r="B100" s="90"/>
      <c r="C100" s="61" t="s">
        <v>196</v>
      </c>
      <c r="D100" s="62">
        <v>2</v>
      </c>
      <c r="E100" s="63">
        <v>1.69477162952E-4</v>
      </c>
    </row>
    <row r="101" spans="1:5" ht="14.5" customHeight="1">
      <c r="A101" s="35"/>
      <c r="B101" s="90"/>
      <c r="C101" s="61" t="s">
        <v>176</v>
      </c>
      <c r="D101" s="62">
        <v>7</v>
      </c>
      <c r="E101" s="63">
        <v>5.9317007033300002E-4</v>
      </c>
    </row>
    <row r="102" spans="1:5" ht="14.5" customHeight="1">
      <c r="A102" s="35"/>
      <c r="B102" s="90"/>
      <c r="C102" s="61" t="s">
        <v>194</v>
      </c>
      <c r="D102" s="62">
        <v>4</v>
      </c>
      <c r="E102" s="63">
        <v>3.3895432590500002E-4</v>
      </c>
    </row>
    <row r="103" spans="1:5" ht="14.5" customHeight="1">
      <c r="A103" s="35"/>
      <c r="B103" s="90"/>
      <c r="C103" s="61" t="s">
        <v>193</v>
      </c>
      <c r="D103" s="62">
        <v>1</v>
      </c>
      <c r="E103" s="63">
        <v>8.4738581476000001E-5</v>
      </c>
    </row>
    <row r="104" spans="1:5" ht="14.5" customHeight="1">
      <c r="A104" s="35"/>
      <c r="B104" s="90"/>
      <c r="C104" s="61" t="s">
        <v>191</v>
      </c>
      <c r="D104" s="62">
        <v>3</v>
      </c>
      <c r="E104" s="63">
        <v>2.54215744428E-4</v>
      </c>
    </row>
    <row r="105" spans="1:5" ht="14.5" customHeight="1">
      <c r="A105" s="35"/>
      <c r="B105" s="90"/>
      <c r="C105" s="61" t="s">
        <v>190</v>
      </c>
      <c r="D105" s="62">
        <v>3</v>
      </c>
      <c r="E105" s="63">
        <v>2.54215744428E-4</v>
      </c>
    </row>
    <row r="106" spans="1:5" ht="14.5" customHeight="1">
      <c r="A106" s="35"/>
      <c r="B106" s="90"/>
      <c r="C106" s="61" t="s">
        <v>186</v>
      </c>
      <c r="D106" s="62">
        <v>2</v>
      </c>
      <c r="E106" s="63">
        <v>1.69477162952E-4</v>
      </c>
    </row>
    <row r="107" spans="1:5" ht="14.5" customHeight="1">
      <c r="A107" s="35"/>
      <c r="B107" s="90"/>
      <c r="C107" s="61" t="s">
        <v>187</v>
      </c>
      <c r="D107" s="62">
        <v>4</v>
      </c>
      <c r="E107" s="63">
        <v>3.3895432590500002E-4</v>
      </c>
    </row>
    <row r="108" spans="1:5" ht="14.5" customHeight="1">
      <c r="A108" s="35"/>
      <c r="B108" s="90"/>
      <c r="C108" s="61" t="s">
        <v>179</v>
      </c>
      <c r="D108" s="62">
        <v>3</v>
      </c>
      <c r="E108" s="63">
        <v>2.54215744428E-4</v>
      </c>
    </row>
    <row r="109" spans="1:5" ht="14.5" customHeight="1">
      <c r="A109" s="35"/>
      <c r="B109" s="90"/>
      <c r="C109" s="61" t="s">
        <v>181</v>
      </c>
      <c r="D109" s="62">
        <v>3</v>
      </c>
      <c r="E109" s="63">
        <v>2.54215744428E-4</v>
      </c>
    </row>
    <row r="110" spans="1:5" ht="14.5" customHeight="1">
      <c r="A110" s="35"/>
      <c r="B110" s="90"/>
      <c r="C110" s="61" t="s">
        <v>198</v>
      </c>
      <c r="D110" s="62">
        <v>4</v>
      </c>
      <c r="E110" s="63">
        <v>3.3895432590500002E-4</v>
      </c>
    </row>
    <row r="111" spans="1:5" ht="14.5" customHeight="1">
      <c r="A111" s="35"/>
      <c r="B111" s="90"/>
      <c r="C111" s="61" t="s">
        <v>173</v>
      </c>
      <c r="D111" s="62">
        <v>16</v>
      </c>
      <c r="E111" s="63">
        <v>1.3558173036179999E-3</v>
      </c>
    </row>
    <row r="112" spans="1:5" ht="14.5" customHeight="1">
      <c r="A112" s="35"/>
      <c r="B112" s="90"/>
      <c r="C112" s="61" t="s">
        <v>192</v>
      </c>
      <c r="D112" s="62">
        <v>4</v>
      </c>
      <c r="E112" s="63">
        <v>3.3895432590500002E-4</v>
      </c>
    </row>
    <row r="113" spans="1:5" ht="14.5" customHeight="1">
      <c r="A113" s="35"/>
      <c r="B113" s="90"/>
      <c r="C113" s="61" t="s">
        <v>178</v>
      </c>
      <c r="D113" s="62">
        <v>8</v>
      </c>
      <c r="E113" s="63">
        <v>6.7790865180899996E-4</v>
      </c>
    </row>
    <row r="114" spans="1:5" ht="14.5" customHeight="1">
      <c r="A114" s="35"/>
      <c r="B114" s="90"/>
      <c r="C114" s="61" t="s">
        <v>171</v>
      </c>
      <c r="D114" s="62">
        <v>420</v>
      </c>
      <c r="E114" s="63">
        <v>3.5590204219980999E-2</v>
      </c>
    </row>
    <row r="115" spans="1:5" ht="14.5" customHeight="1">
      <c r="A115" s="35"/>
      <c r="B115" s="90"/>
      <c r="C115" s="61" t="s">
        <v>195</v>
      </c>
      <c r="D115" s="62">
        <v>4</v>
      </c>
      <c r="E115" s="63">
        <v>3.3895432590500002E-4</v>
      </c>
    </row>
    <row r="116" spans="1:5" ht="14.5" customHeight="1">
      <c r="A116" s="35"/>
      <c r="B116" s="90"/>
      <c r="C116" s="61" t="s">
        <v>199</v>
      </c>
      <c r="D116" s="62">
        <v>2</v>
      </c>
      <c r="E116" s="63">
        <v>1.69477162952E-4</v>
      </c>
    </row>
    <row r="117" spans="1:5" ht="14.5" customHeight="1">
      <c r="A117" s="35"/>
      <c r="B117" s="90"/>
      <c r="C117" s="61" t="s">
        <v>84</v>
      </c>
      <c r="D117" s="62">
        <v>1</v>
      </c>
      <c r="E117" s="63">
        <v>8.4738581476000001E-5</v>
      </c>
    </row>
    <row r="118" spans="1:5" ht="14.5" customHeight="1">
      <c r="A118" s="35"/>
      <c r="B118" s="90"/>
      <c r="C118" s="61" t="s">
        <v>185</v>
      </c>
      <c r="D118" s="62">
        <v>4</v>
      </c>
      <c r="E118" s="63">
        <v>3.3895432590500002E-4</v>
      </c>
    </row>
    <row r="119" spans="1:5" ht="14.5" customHeight="1">
      <c r="A119" s="35"/>
      <c r="B119" s="90"/>
      <c r="C119" s="61" t="s">
        <v>206</v>
      </c>
      <c r="D119" s="62">
        <v>1</v>
      </c>
      <c r="E119" s="63">
        <v>8.4738581476000001E-5</v>
      </c>
    </row>
    <row r="120" spans="1:5" ht="14.5" customHeight="1">
      <c r="A120" s="35"/>
      <c r="B120" s="91"/>
      <c r="C120" s="66" t="s">
        <v>284</v>
      </c>
      <c r="D120" s="64">
        <v>564</v>
      </c>
      <c r="E120" s="67">
        <v>4.7792559952545999E-2</v>
      </c>
    </row>
    <row r="121" spans="1:5" ht="14.5" customHeight="1">
      <c r="A121" s="35"/>
      <c r="B121" s="89" t="s">
        <v>103</v>
      </c>
      <c r="C121" s="61" t="s">
        <v>189</v>
      </c>
      <c r="D121" s="62">
        <v>7</v>
      </c>
      <c r="E121" s="63">
        <v>5.9317007033300002E-4</v>
      </c>
    </row>
    <row r="122" spans="1:5" ht="14.5" customHeight="1">
      <c r="A122" s="35"/>
      <c r="B122" s="90"/>
      <c r="C122" s="61" t="s">
        <v>184</v>
      </c>
      <c r="D122" s="62">
        <v>9</v>
      </c>
      <c r="E122" s="63">
        <v>7.6264723328500002E-4</v>
      </c>
    </row>
    <row r="123" spans="1:5" ht="14.5" customHeight="1">
      <c r="A123" s="35"/>
      <c r="B123" s="90"/>
      <c r="C123" s="61" t="s">
        <v>183</v>
      </c>
      <c r="D123" s="62">
        <v>8</v>
      </c>
      <c r="E123" s="63">
        <v>6.7790865180899996E-4</v>
      </c>
    </row>
    <row r="124" spans="1:5" ht="14.5" customHeight="1">
      <c r="A124" s="35"/>
      <c r="B124" s="90"/>
      <c r="C124" s="61" t="s">
        <v>172</v>
      </c>
      <c r="D124" s="62">
        <v>64</v>
      </c>
      <c r="E124" s="63">
        <v>5.4232692144729998E-3</v>
      </c>
    </row>
    <row r="125" spans="1:5" ht="14.5" customHeight="1">
      <c r="A125" s="35"/>
      <c r="B125" s="90"/>
      <c r="C125" s="61" t="s">
        <v>175</v>
      </c>
      <c r="D125" s="62">
        <v>24</v>
      </c>
      <c r="E125" s="63">
        <v>2.0337259554279999E-3</v>
      </c>
    </row>
    <row r="126" spans="1:5" ht="14.5" customHeight="1">
      <c r="A126" s="35"/>
      <c r="B126" s="90"/>
      <c r="C126" s="61" t="s">
        <v>177</v>
      </c>
      <c r="D126" s="62">
        <v>13</v>
      </c>
      <c r="E126" s="63">
        <v>1.1016015591900001E-3</v>
      </c>
    </row>
    <row r="127" spans="1:5" ht="14.5" customHeight="1">
      <c r="A127" s="35"/>
      <c r="B127" s="90"/>
      <c r="C127" s="61" t="s">
        <v>180</v>
      </c>
      <c r="D127" s="62">
        <v>17</v>
      </c>
      <c r="E127" s="63">
        <v>1.4405558850940001E-3</v>
      </c>
    </row>
    <row r="128" spans="1:5" ht="14.5" customHeight="1">
      <c r="A128" s="35"/>
      <c r="B128" s="90"/>
      <c r="C128" s="61" t="s">
        <v>201</v>
      </c>
      <c r="D128" s="62">
        <v>2</v>
      </c>
      <c r="E128" s="63">
        <v>1.69477162952E-4</v>
      </c>
    </row>
    <row r="129" spans="1:5" ht="14.5" customHeight="1">
      <c r="A129" s="35"/>
      <c r="B129" s="90"/>
      <c r="C129" s="61" t="s">
        <v>174</v>
      </c>
      <c r="D129" s="62">
        <v>27</v>
      </c>
      <c r="E129" s="63">
        <v>2.2879416998559999E-3</v>
      </c>
    </row>
    <row r="130" spans="1:5" ht="14.5" customHeight="1">
      <c r="A130" s="35"/>
      <c r="B130" s="90"/>
      <c r="C130" s="61" t="s">
        <v>188</v>
      </c>
      <c r="D130" s="62">
        <v>7</v>
      </c>
      <c r="E130" s="63">
        <v>5.9317007033300002E-4</v>
      </c>
    </row>
    <row r="131" spans="1:5" ht="14.5" customHeight="1">
      <c r="A131" s="35"/>
      <c r="B131" s="90"/>
      <c r="C131" s="61" t="s">
        <v>196</v>
      </c>
      <c r="D131" s="62">
        <v>3</v>
      </c>
      <c r="E131" s="63">
        <v>2.54215744428E-4</v>
      </c>
    </row>
    <row r="132" spans="1:5" ht="14.5" customHeight="1">
      <c r="A132" s="35"/>
      <c r="B132" s="90"/>
      <c r="C132" s="61" t="s">
        <v>176</v>
      </c>
      <c r="D132" s="62">
        <v>12</v>
      </c>
      <c r="E132" s="63">
        <v>1.0168629777139999E-3</v>
      </c>
    </row>
    <row r="133" spans="1:5" ht="14.5" customHeight="1">
      <c r="A133" s="35"/>
      <c r="B133" s="90"/>
      <c r="C133" s="61" t="s">
        <v>194</v>
      </c>
      <c r="D133" s="62">
        <v>4</v>
      </c>
      <c r="E133" s="63">
        <v>3.3895432590500002E-4</v>
      </c>
    </row>
    <row r="134" spans="1:5" ht="14.5" customHeight="1">
      <c r="A134" s="35"/>
      <c r="B134" s="90"/>
      <c r="C134" s="61" t="s">
        <v>193</v>
      </c>
      <c r="D134" s="62">
        <v>3</v>
      </c>
      <c r="E134" s="63">
        <v>2.54215744428E-4</v>
      </c>
    </row>
    <row r="135" spans="1:5" ht="14.5" customHeight="1">
      <c r="A135" s="35"/>
      <c r="B135" s="90"/>
      <c r="C135" s="61" t="s">
        <v>191</v>
      </c>
      <c r="D135" s="62">
        <v>4</v>
      </c>
      <c r="E135" s="63">
        <v>3.3895432590500002E-4</v>
      </c>
    </row>
    <row r="136" spans="1:5" ht="14.5" customHeight="1">
      <c r="A136" s="35"/>
      <c r="B136" s="90"/>
      <c r="C136" s="61" t="s">
        <v>182</v>
      </c>
      <c r="D136" s="62">
        <v>7</v>
      </c>
      <c r="E136" s="63">
        <v>5.9317007033300002E-4</v>
      </c>
    </row>
    <row r="137" spans="1:5" ht="14.5" customHeight="1">
      <c r="A137" s="35"/>
      <c r="B137" s="90"/>
      <c r="C137" s="61" t="s">
        <v>197</v>
      </c>
      <c r="D137" s="62">
        <v>1</v>
      </c>
      <c r="E137" s="63">
        <v>8.4738581476000001E-5</v>
      </c>
    </row>
    <row r="138" spans="1:5" ht="14.5" customHeight="1">
      <c r="A138" s="35"/>
      <c r="B138" s="90"/>
      <c r="C138" s="61" t="s">
        <v>190</v>
      </c>
      <c r="D138" s="62">
        <v>4</v>
      </c>
      <c r="E138" s="63">
        <v>3.3895432590500002E-4</v>
      </c>
    </row>
    <row r="139" spans="1:5" ht="14.5" customHeight="1">
      <c r="A139" s="35"/>
      <c r="B139" s="90"/>
      <c r="C139" s="61" t="s">
        <v>186</v>
      </c>
      <c r="D139" s="62">
        <v>5</v>
      </c>
      <c r="E139" s="63">
        <v>4.2369290738100002E-4</v>
      </c>
    </row>
    <row r="140" spans="1:5" ht="14.5" customHeight="1">
      <c r="A140" s="35"/>
      <c r="B140" s="90"/>
      <c r="C140" s="61" t="s">
        <v>187</v>
      </c>
      <c r="D140" s="62">
        <v>4</v>
      </c>
      <c r="E140" s="63">
        <v>3.3895432590500002E-4</v>
      </c>
    </row>
    <row r="141" spans="1:5" ht="14.5" customHeight="1">
      <c r="A141" s="35"/>
      <c r="B141" s="90"/>
      <c r="C141" s="61" t="s">
        <v>203</v>
      </c>
      <c r="D141" s="62">
        <v>1</v>
      </c>
      <c r="E141" s="63">
        <v>8.4738581476000001E-5</v>
      </c>
    </row>
    <row r="142" spans="1:5" ht="14.5" customHeight="1">
      <c r="A142" s="35"/>
      <c r="B142" s="90"/>
      <c r="C142" s="61" t="s">
        <v>179</v>
      </c>
      <c r="D142" s="62">
        <v>9</v>
      </c>
      <c r="E142" s="63">
        <v>7.6264723328500002E-4</v>
      </c>
    </row>
    <row r="143" spans="1:5" ht="14.5" customHeight="1">
      <c r="A143" s="35"/>
      <c r="B143" s="90"/>
      <c r="C143" s="61" t="s">
        <v>200</v>
      </c>
      <c r="D143" s="62">
        <v>2</v>
      </c>
      <c r="E143" s="63">
        <v>1.69477162952E-4</v>
      </c>
    </row>
    <row r="144" spans="1:5" ht="14.5" customHeight="1">
      <c r="A144" s="35"/>
      <c r="B144" s="90"/>
      <c r="C144" s="61" t="s">
        <v>181</v>
      </c>
      <c r="D144" s="62">
        <v>13</v>
      </c>
      <c r="E144" s="63">
        <v>1.1016015591900001E-3</v>
      </c>
    </row>
    <row r="145" spans="1:5" ht="14.5" customHeight="1">
      <c r="A145" s="35"/>
      <c r="B145" s="90"/>
      <c r="C145" s="61" t="s">
        <v>198</v>
      </c>
      <c r="D145" s="62">
        <v>3</v>
      </c>
      <c r="E145" s="63">
        <v>2.54215744428E-4</v>
      </c>
    </row>
    <row r="146" spans="1:5" ht="14.5" customHeight="1">
      <c r="A146" s="35"/>
      <c r="B146" s="90"/>
      <c r="C146" s="61" t="s">
        <v>173</v>
      </c>
      <c r="D146" s="62">
        <v>51</v>
      </c>
      <c r="E146" s="63">
        <v>4.3216676552830001E-3</v>
      </c>
    </row>
    <row r="147" spans="1:5" ht="14.5" customHeight="1">
      <c r="A147" s="35"/>
      <c r="B147" s="90"/>
      <c r="C147" s="61" t="s">
        <v>208</v>
      </c>
      <c r="D147" s="62">
        <v>1</v>
      </c>
      <c r="E147" s="63">
        <v>8.4738581476000001E-5</v>
      </c>
    </row>
    <row r="148" spans="1:5" ht="14.5" customHeight="1">
      <c r="A148" s="35"/>
      <c r="B148" s="90"/>
      <c r="C148" s="61" t="s">
        <v>192</v>
      </c>
      <c r="D148" s="62">
        <v>7</v>
      </c>
      <c r="E148" s="63">
        <v>5.9317007033300002E-4</v>
      </c>
    </row>
    <row r="149" spans="1:5" ht="14.5" customHeight="1">
      <c r="A149" s="35"/>
      <c r="B149" s="90"/>
      <c r="C149" s="61" t="s">
        <v>202</v>
      </c>
      <c r="D149" s="62">
        <v>2</v>
      </c>
      <c r="E149" s="63">
        <v>1.69477162952E-4</v>
      </c>
    </row>
    <row r="150" spans="1:5" ht="14.5" customHeight="1">
      <c r="A150" s="35"/>
      <c r="B150" s="90"/>
      <c r="C150" s="61" t="s">
        <v>178</v>
      </c>
      <c r="D150" s="62">
        <v>8</v>
      </c>
      <c r="E150" s="63">
        <v>6.7790865180899996E-4</v>
      </c>
    </row>
    <row r="151" spans="1:5" ht="14.5" customHeight="1">
      <c r="A151" s="35"/>
      <c r="B151" s="90"/>
      <c r="C151" s="61" t="s">
        <v>171</v>
      </c>
      <c r="D151" s="62">
        <v>518</v>
      </c>
      <c r="E151" s="63">
        <v>4.3894585204644003E-2</v>
      </c>
    </row>
    <row r="152" spans="1:5" ht="14.5" customHeight="1">
      <c r="A152" s="35"/>
      <c r="B152" s="90"/>
      <c r="C152" s="61" t="s">
        <v>195</v>
      </c>
      <c r="D152" s="62">
        <v>1</v>
      </c>
      <c r="E152" s="63">
        <v>8.4738581476000001E-5</v>
      </c>
    </row>
    <row r="153" spans="1:5" ht="14.5" customHeight="1">
      <c r="A153" s="35"/>
      <c r="B153" s="90"/>
      <c r="C153" s="61" t="s">
        <v>199</v>
      </c>
      <c r="D153" s="62">
        <v>1</v>
      </c>
      <c r="E153" s="63">
        <v>8.4738581476000001E-5</v>
      </c>
    </row>
    <row r="154" spans="1:5" ht="14.5" customHeight="1">
      <c r="A154" s="35"/>
      <c r="B154" s="90"/>
      <c r="C154" s="61" t="s">
        <v>185</v>
      </c>
      <c r="D154" s="62">
        <v>10</v>
      </c>
      <c r="E154" s="63">
        <v>8.4738581476099997E-4</v>
      </c>
    </row>
    <row r="155" spans="1:5" ht="14.5" customHeight="1">
      <c r="A155" s="35"/>
      <c r="B155" s="91"/>
      <c r="C155" s="66" t="s">
        <v>284</v>
      </c>
      <c r="D155" s="64">
        <v>852</v>
      </c>
      <c r="E155" s="67">
        <v>7.2197271417675998E-2</v>
      </c>
    </row>
    <row r="156" spans="1:5" ht="14.5" customHeight="1">
      <c r="A156" s="35"/>
      <c r="B156" s="89" t="s">
        <v>221</v>
      </c>
      <c r="C156" s="61" t="s">
        <v>184</v>
      </c>
      <c r="D156" s="62">
        <v>1</v>
      </c>
      <c r="E156" s="63">
        <v>8.4738581476000001E-5</v>
      </c>
    </row>
    <row r="157" spans="1:5" ht="14.5" customHeight="1">
      <c r="A157" s="35"/>
      <c r="B157" s="90"/>
      <c r="C157" s="61" t="s">
        <v>172</v>
      </c>
      <c r="D157" s="62">
        <v>5</v>
      </c>
      <c r="E157" s="63">
        <v>4.2369290738100002E-4</v>
      </c>
    </row>
    <row r="158" spans="1:5" ht="14.5" customHeight="1">
      <c r="A158" s="35"/>
      <c r="B158" s="90"/>
      <c r="C158" s="61" t="s">
        <v>175</v>
      </c>
      <c r="D158" s="62">
        <v>2</v>
      </c>
      <c r="E158" s="63">
        <v>1.69477162952E-4</v>
      </c>
    </row>
    <row r="159" spans="1:5" ht="14.5" customHeight="1">
      <c r="A159" s="35"/>
      <c r="B159" s="90"/>
      <c r="C159" s="61" t="s">
        <v>207</v>
      </c>
      <c r="D159" s="62">
        <v>1</v>
      </c>
      <c r="E159" s="63">
        <v>8.4738581476000001E-5</v>
      </c>
    </row>
    <row r="160" spans="1:5" ht="14.5" customHeight="1">
      <c r="A160" s="35"/>
      <c r="B160" s="90"/>
      <c r="C160" s="61" t="s">
        <v>180</v>
      </c>
      <c r="D160" s="62">
        <v>3</v>
      </c>
      <c r="E160" s="63">
        <v>2.54215744428E-4</v>
      </c>
    </row>
    <row r="161" spans="1:5" ht="14.5" customHeight="1">
      <c r="A161" s="35"/>
      <c r="B161" s="90"/>
      <c r="C161" s="61" t="s">
        <v>174</v>
      </c>
      <c r="D161" s="62">
        <v>1</v>
      </c>
      <c r="E161" s="63">
        <v>8.4738581476000001E-5</v>
      </c>
    </row>
    <row r="162" spans="1:5" ht="14.5" customHeight="1">
      <c r="A162" s="35"/>
      <c r="B162" s="90"/>
      <c r="C162" s="61" t="s">
        <v>196</v>
      </c>
      <c r="D162" s="62">
        <v>1</v>
      </c>
      <c r="E162" s="63">
        <v>8.4738581476000001E-5</v>
      </c>
    </row>
    <row r="163" spans="1:5" ht="14.5" customHeight="1">
      <c r="A163" s="35"/>
      <c r="B163" s="90"/>
      <c r="C163" s="61" t="s">
        <v>176</v>
      </c>
      <c r="D163" s="62">
        <v>2</v>
      </c>
      <c r="E163" s="63">
        <v>1.69477162952E-4</v>
      </c>
    </row>
    <row r="164" spans="1:5" ht="14.5" customHeight="1">
      <c r="A164" s="35"/>
      <c r="B164" s="90"/>
      <c r="C164" s="61" t="s">
        <v>191</v>
      </c>
      <c r="D164" s="62">
        <v>2</v>
      </c>
      <c r="E164" s="63">
        <v>1.69477162952E-4</v>
      </c>
    </row>
    <row r="165" spans="1:5" ht="14.5" customHeight="1">
      <c r="A165" s="35"/>
      <c r="B165" s="90"/>
      <c r="C165" s="61" t="s">
        <v>182</v>
      </c>
      <c r="D165" s="62">
        <v>2</v>
      </c>
      <c r="E165" s="63">
        <v>1.69477162952E-4</v>
      </c>
    </row>
    <row r="166" spans="1:5" ht="14.5" customHeight="1">
      <c r="A166" s="35"/>
      <c r="B166" s="90"/>
      <c r="C166" s="61" t="s">
        <v>190</v>
      </c>
      <c r="D166" s="62">
        <v>1</v>
      </c>
      <c r="E166" s="63">
        <v>8.4738581476000001E-5</v>
      </c>
    </row>
    <row r="167" spans="1:5" ht="14.5" customHeight="1">
      <c r="A167" s="35"/>
      <c r="B167" s="90"/>
      <c r="C167" s="61" t="s">
        <v>186</v>
      </c>
      <c r="D167" s="62">
        <v>1</v>
      </c>
      <c r="E167" s="63">
        <v>8.4738581476000001E-5</v>
      </c>
    </row>
    <row r="168" spans="1:5" ht="14.5" customHeight="1">
      <c r="A168" s="35"/>
      <c r="B168" s="90"/>
      <c r="C168" s="61" t="s">
        <v>187</v>
      </c>
      <c r="D168" s="62">
        <v>1</v>
      </c>
      <c r="E168" s="63">
        <v>8.4738581476000001E-5</v>
      </c>
    </row>
    <row r="169" spans="1:5" ht="14.5" customHeight="1">
      <c r="A169" s="35"/>
      <c r="B169" s="90"/>
      <c r="C169" s="61" t="s">
        <v>203</v>
      </c>
      <c r="D169" s="62">
        <v>1</v>
      </c>
      <c r="E169" s="63">
        <v>8.4738581476000001E-5</v>
      </c>
    </row>
    <row r="170" spans="1:5" ht="14.5" customHeight="1">
      <c r="A170" s="35"/>
      <c r="B170" s="90"/>
      <c r="C170" s="61" t="s">
        <v>181</v>
      </c>
      <c r="D170" s="62">
        <v>1</v>
      </c>
      <c r="E170" s="63">
        <v>8.4738581476000001E-5</v>
      </c>
    </row>
    <row r="171" spans="1:5" ht="14.5" customHeight="1">
      <c r="A171" s="35"/>
      <c r="B171" s="90"/>
      <c r="C171" s="61" t="s">
        <v>173</v>
      </c>
      <c r="D171" s="62">
        <v>6</v>
      </c>
      <c r="E171" s="63">
        <v>5.0843148885699996E-4</v>
      </c>
    </row>
    <row r="172" spans="1:5" ht="14.5" customHeight="1">
      <c r="A172" s="35"/>
      <c r="B172" s="90"/>
      <c r="C172" s="61" t="s">
        <v>192</v>
      </c>
      <c r="D172" s="62">
        <v>1</v>
      </c>
      <c r="E172" s="63">
        <v>8.4738581476000001E-5</v>
      </c>
    </row>
    <row r="173" spans="1:5" ht="14.5" customHeight="1">
      <c r="A173" s="35"/>
      <c r="B173" s="90"/>
      <c r="C173" s="61" t="s">
        <v>171</v>
      </c>
      <c r="D173" s="62">
        <v>76</v>
      </c>
      <c r="E173" s="63">
        <v>6.4401321921870001E-3</v>
      </c>
    </row>
    <row r="174" spans="1:5" ht="14.5" customHeight="1">
      <c r="A174" s="35"/>
      <c r="B174" s="90"/>
      <c r="C174" s="61" t="s">
        <v>185</v>
      </c>
      <c r="D174" s="62">
        <v>1</v>
      </c>
      <c r="E174" s="63">
        <v>8.4738581476000001E-5</v>
      </c>
    </row>
    <row r="175" spans="1:5" ht="14.5" customHeight="1">
      <c r="A175" s="35"/>
      <c r="B175" s="91"/>
      <c r="C175" s="66" t="s">
        <v>284</v>
      </c>
      <c r="D175" s="64">
        <v>109</v>
      </c>
      <c r="E175" s="67">
        <v>9.2365053808999998E-3</v>
      </c>
    </row>
    <row r="176" spans="1:5" ht="14.5" customHeight="1">
      <c r="A176" s="35"/>
      <c r="B176" s="89" t="s">
        <v>222</v>
      </c>
      <c r="C176" s="61" t="s">
        <v>189</v>
      </c>
      <c r="D176" s="62">
        <v>2</v>
      </c>
      <c r="E176" s="63">
        <v>1.69477162952E-4</v>
      </c>
    </row>
    <row r="177" spans="1:5" ht="14.5" customHeight="1">
      <c r="A177" s="35"/>
      <c r="B177" s="90"/>
      <c r="C177" s="61" t="s">
        <v>184</v>
      </c>
      <c r="D177" s="62">
        <v>1</v>
      </c>
      <c r="E177" s="63">
        <v>8.4738581476000001E-5</v>
      </c>
    </row>
    <row r="178" spans="1:5" ht="14.5" customHeight="1">
      <c r="A178" s="35"/>
      <c r="B178" s="90"/>
      <c r="C178" s="61" t="s">
        <v>183</v>
      </c>
      <c r="D178" s="62">
        <v>3</v>
      </c>
      <c r="E178" s="63">
        <v>2.54215744428E-4</v>
      </c>
    </row>
    <row r="179" spans="1:5" ht="14.5" customHeight="1">
      <c r="A179" s="35"/>
      <c r="B179" s="90"/>
      <c r="C179" s="61" t="s">
        <v>172</v>
      </c>
      <c r="D179" s="62">
        <v>14</v>
      </c>
      <c r="E179" s="63">
        <v>1.186340140666E-3</v>
      </c>
    </row>
    <row r="180" spans="1:5" ht="14.5" customHeight="1">
      <c r="A180" s="35"/>
      <c r="B180" s="90"/>
      <c r="C180" s="61" t="s">
        <v>175</v>
      </c>
      <c r="D180" s="62">
        <v>3</v>
      </c>
      <c r="E180" s="63">
        <v>2.54215744428E-4</v>
      </c>
    </row>
    <row r="181" spans="1:5" ht="14.5" customHeight="1">
      <c r="A181" s="35"/>
      <c r="B181" s="90"/>
      <c r="C181" s="61" t="s">
        <v>177</v>
      </c>
      <c r="D181" s="62">
        <v>2</v>
      </c>
      <c r="E181" s="63">
        <v>1.69477162952E-4</v>
      </c>
    </row>
    <row r="182" spans="1:5" ht="14.5" customHeight="1">
      <c r="A182" s="35"/>
      <c r="B182" s="90"/>
      <c r="C182" s="61" t="s">
        <v>180</v>
      </c>
      <c r="D182" s="62">
        <v>4</v>
      </c>
      <c r="E182" s="63">
        <v>3.3895432590500002E-4</v>
      </c>
    </row>
    <row r="183" spans="1:5" ht="14.5" customHeight="1">
      <c r="A183" s="35"/>
      <c r="B183" s="90"/>
      <c r="C183" s="61" t="s">
        <v>174</v>
      </c>
      <c r="D183" s="62">
        <v>2</v>
      </c>
      <c r="E183" s="63">
        <v>1.69477162952E-4</v>
      </c>
    </row>
    <row r="184" spans="1:5" ht="14.5" customHeight="1">
      <c r="A184" s="35"/>
      <c r="B184" s="90"/>
      <c r="C184" s="61" t="s">
        <v>196</v>
      </c>
      <c r="D184" s="62">
        <v>2</v>
      </c>
      <c r="E184" s="63">
        <v>1.69477162952E-4</v>
      </c>
    </row>
    <row r="185" spans="1:5" ht="14.5" customHeight="1">
      <c r="A185" s="35"/>
      <c r="B185" s="90"/>
      <c r="C185" s="61" t="s">
        <v>176</v>
      </c>
      <c r="D185" s="62">
        <v>8</v>
      </c>
      <c r="E185" s="63">
        <v>6.7790865180899996E-4</v>
      </c>
    </row>
    <row r="186" spans="1:5" ht="14.5" customHeight="1">
      <c r="A186" s="35"/>
      <c r="B186" s="90"/>
      <c r="C186" s="61" t="s">
        <v>194</v>
      </c>
      <c r="D186" s="62">
        <v>2</v>
      </c>
      <c r="E186" s="63">
        <v>1.69477162952E-4</v>
      </c>
    </row>
    <row r="187" spans="1:5" ht="14.5" customHeight="1">
      <c r="A187" s="35"/>
      <c r="B187" s="90"/>
      <c r="C187" s="61" t="s">
        <v>193</v>
      </c>
      <c r="D187" s="62">
        <v>1</v>
      </c>
      <c r="E187" s="63">
        <v>8.4738581476000001E-5</v>
      </c>
    </row>
    <row r="188" spans="1:5" ht="14.5" customHeight="1">
      <c r="A188" s="35"/>
      <c r="B188" s="90"/>
      <c r="C188" s="61" t="s">
        <v>204</v>
      </c>
      <c r="D188" s="62">
        <v>1</v>
      </c>
      <c r="E188" s="63">
        <v>8.4738581476000001E-5</v>
      </c>
    </row>
    <row r="189" spans="1:5" ht="14.5" customHeight="1">
      <c r="A189" s="35"/>
      <c r="B189" s="90"/>
      <c r="C189" s="61" t="s">
        <v>191</v>
      </c>
      <c r="D189" s="62">
        <v>3</v>
      </c>
      <c r="E189" s="63">
        <v>2.54215744428E-4</v>
      </c>
    </row>
    <row r="190" spans="1:5" ht="14.5" customHeight="1">
      <c r="A190" s="35"/>
      <c r="B190" s="90"/>
      <c r="C190" s="61" t="s">
        <v>182</v>
      </c>
      <c r="D190" s="62">
        <v>2</v>
      </c>
      <c r="E190" s="63">
        <v>1.69477162952E-4</v>
      </c>
    </row>
    <row r="191" spans="1:5" ht="14.5" customHeight="1">
      <c r="A191" s="35"/>
      <c r="B191" s="90"/>
      <c r="C191" s="61" t="s">
        <v>190</v>
      </c>
      <c r="D191" s="62">
        <v>1</v>
      </c>
      <c r="E191" s="63">
        <v>8.4738581476000001E-5</v>
      </c>
    </row>
    <row r="192" spans="1:5" ht="14.5" customHeight="1">
      <c r="A192" s="35"/>
      <c r="B192" s="90"/>
      <c r="C192" s="61" t="s">
        <v>186</v>
      </c>
      <c r="D192" s="62">
        <v>3</v>
      </c>
      <c r="E192" s="63">
        <v>2.54215744428E-4</v>
      </c>
    </row>
    <row r="193" spans="1:5" ht="14.5" customHeight="1">
      <c r="A193" s="35"/>
      <c r="B193" s="90"/>
      <c r="C193" s="61" t="s">
        <v>187</v>
      </c>
      <c r="D193" s="62">
        <v>2</v>
      </c>
      <c r="E193" s="63">
        <v>1.69477162952E-4</v>
      </c>
    </row>
    <row r="194" spans="1:5" ht="14.5" customHeight="1">
      <c r="A194" s="35"/>
      <c r="B194" s="90"/>
      <c r="C194" s="61" t="s">
        <v>179</v>
      </c>
      <c r="D194" s="62">
        <v>4</v>
      </c>
      <c r="E194" s="63">
        <v>3.3895432590500002E-4</v>
      </c>
    </row>
    <row r="195" spans="1:5" ht="14.5" customHeight="1">
      <c r="A195" s="35"/>
      <c r="B195" s="90"/>
      <c r="C195" s="61" t="s">
        <v>181</v>
      </c>
      <c r="D195" s="62">
        <v>4</v>
      </c>
      <c r="E195" s="63">
        <v>3.3895432590500002E-4</v>
      </c>
    </row>
    <row r="196" spans="1:5" ht="14.5" customHeight="1">
      <c r="A196" s="35"/>
      <c r="B196" s="90"/>
      <c r="C196" s="61" t="s">
        <v>173</v>
      </c>
      <c r="D196" s="62">
        <v>18</v>
      </c>
      <c r="E196" s="63">
        <v>1.5252944665710001E-3</v>
      </c>
    </row>
    <row r="197" spans="1:5" ht="14.5" customHeight="1">
      <c r="A197" s="35"/>
      <c r="B197" s="90"/>
      <c r="C197" s="61" t="s">
        <v>192</v>
      </c>
      <c r="D197" s="62">
        <v>1</v>
      </c>
      <c r="E197" s="63">
        <v>8.4738581476000001E-5</v>
      </c>
    </row>
    <row r="198" spans="1:5" ht="14.5" customHeight="1">
      <c r="A198" s="35"/>
      <c r="B198" s="90"/>
      <c r="C198" s="61" t="s">
        <v>178</v>
      </c>
      <c r="D198" s="62">
        <v>3</v>
      </c>
      <c r="E198" s="63">
        <v>2.54215744428E-4</v>
      </c>
    </row>
    <row r="199" spans="1:5" ht="14.5" customHeight="1">
      <c r="A199" s="35"/>
      <c r="B199" s="90"/>
      <c r="C199" s="61" t="s">
        <v>171</v>
      </c>
      <c r="D199" s="62">
        <v>126</v>
      </c>
      <c r="E199" s="63">
        <v>1.0677061265993999E-2</v>
      </c>
    </row>
    <row r="200" spans="1:5" ht="14.5" customHeight="1">
      <c r="A200" s="35"/>
      <c r="B200" s="90"/>
      <c r="C200" s="61" t="s">
        <v>84</v>
      </c>
      <c r="D200" s="62">
        <v>1</v>
      </c>
      <c r="E200" s="63">
        <v>8.4738581476000001E-5</v>
      </c>
    </row>
    <row r="201" spans="1:5" ht="14.5" customHeight="1">
      <c r="A201" s="35"/>
      <c r="B201" s="90"/>
      <c r="C201" s="61" t="s">
        <v>185</v>
      </c>
      <c r="D201" s="62">
        <v>3</v>
      </c>
      <c r="E201" s="63">
        <v>2.54215744428E-4</v>
      </c>
    </row>
    <row r="202" spans="1:5" ht="14.5" customHeight="1">
      <c r="A202" s="35"/>
      <c r="B202" s="91"/>
      <c r="C202" s="66" t="s">
        <v>284</v>
      </c>
      <c r="D202" s="64">
        <v>216</v>
      </c>
      <c r="E202" s="67">
        <v>1.8303533598847999E-2</v>
      </c>
    </row>
    <row r="203" spans="1:5" ht="14.5" customHeight="1">
      <c r="A203" s="35"/>
      <c r="B203" s="89" t="s">
        <v>223</v>
      </c>
      <c r="C203" s="61" t="s">
        <v>189</v>
      </c>
      <c r="D203" s="62">
        <v>1</v>
      </c>
      <c r="E203" s="63">
        <v>8.4738581476000001E-5</v>
      </c>
    </row>
    <row r="204" spans="1:5" ht="14.5" customHeight="1">
      <c r="A204" s="35"/>
      <c r="B204" s="90"/>
      <c r="C204" s="61" t="s">
        <v>184</v>
      </c>
      <c r="D204" s="62">
        <v>4</v>
      </c>
      <c r="E204" s="63">
        <v>3.3895432590500002E-4</v>
      </c>
    </row>
    <row r="205" spans="1:5" ht="14.5" customHeight="1">
      <c r="A205" s="35"/>
      <c r="B205" s="90"/>
      <c r="C205" s="61" t="s">
        <v>183</v>
      </c>
      <c r="D205" s="62">
        <v>7</v>
      </c>
      <c r="E205" s="63">
        <v>5.9317007033300002E-4</v>
      </c>
    </row>
    <row r="206" spans="1:5" ht="14.5" customHeight="1">
      <c r="A206" s="35"/>
      <c r="B206" s="90"/>
      <c r="C206" s="61" t="s">
        <v>172</v>
      </c>
      <c r="D206" s="62">
        <v>20</v>
      </c>
      <c r="E206" s="63">
        <v>1.694771629523E-3</v>
      </c>
    </row>
    <row r="207" spans="1:5" ht="14.5" customHeight="1">
      <c r="A207" s="35"/>
      <c r="B207" s="90"/>
      <c r="C207" s="61" t="s">
        <v>175</v>
      </c>
      <c r="D207" s="62">
        <v>10</v>
      </c>
      <c r="E207" s="63">
        <v>8.4738581476099997E-4</v>
      </c>
    </row>
    <row r="208" spans="1:5" ht="14.5" customHeight="1">
      <c r="A208" s="35"/>
      <c r="B208" s="90"/>
      <c r="C208" s="61" t="s">
        <v>207</v>
      </c>
      <c r="D208" s="62">
        <v>2</v>
      </c>
      <c r="E208" s="63">
        <v>1.69477162952E-4</v>
      </c>
    </row>
    <row r="209" spans="1:5" ht="14.5" customHeight="1">
      <c r="A209" s="35"/>
      <c r="B209" s="90"/>
      <c r="C209" s="61" t="s">
        <v>177</v>
      </c>
      <c r="D209" s="62">
        <v>9</v>
      </c>
      <c r="E209" s="63">
        <v>7.6264723328500002E-4</v>
      </c>
    </row>
    <row r="210" spans="1:5" ht="14.5" customHeight="1">
      <c r="A210" s="35"/>
      <c r="B210" s="90"/>
      <c r="C210" s="61" t="s">
        <v>180</v>
      </c>
      <c r="D210" s="62">
        <v>4</v>
      </c>
      <c r="E210" s="63">
        <v>3.3895432590500002E-4</v>
      </c>
    </row>
    <row r="211" spans="1:5" ht="14.5" customHeight="1">
      <c r="A211" s="35"/>
      <c r="B211" s="90"/>
      <c r="C211" s="61" t="s">
        <v>201</v>
      </c>
      <c r="D211" s="62">
        <v>1</v>
      </c>
      <c r="E211" s="63">
        <v>8.4738581476000001E-5</v>
      </c>
    </row>
    <row r="212" spans="1:5" ht="14.5" customHeight="1">
      <c r="A212" s="35"/>
      <c r="B212" s="90"/>
      <c r="C212" s="61" t="s">
        <v>174</v>
      </c>
      <c r="D212" s="62">
        <v>8</v>
      </c>
      <c r="E212" s="63">
        <v>6.7790865180899996E-4</v>
      </c>
    </row>
    <row r="213" spans="1:5" ht="14.5" customHeight="1">
      <c r="A213" s="35"/>
      <c r="B213" s="90"/>
      <c r="C213" s="61" t="s">
        <v>188</v>
      </c>
      <c r="D213" s="62">
        <v>3</v>
      </c>
      <c r="E213" s="63">
        <v>2.54215744428E-4</v>
      </c>
    </row>
    <row r="214" spans="1:5" ht="14.5" customHeight="1">
      <c r="A214" s="35"/>
      <c r="B214" s="90"/>
      <c r="C214" s="61" t="s">
        <v>196</v>
      </c>
      <c r="D214" s="62">
        <v>1</v>
      </c>
      <c r="E214" s="63">
        <v>8.4738581476000001E-5</v>
      </c>
    </row>
    <row r="215" spans="1:5" ht="14.5" customHeight="1">
      <c r="A215" s="35"/>
      <c r="B215" s="90"/>
      <c r="C215" s="61" t="s">
        <v>176</v>
      </c>
      <c r="D215" s="62">
        <v>11</v>
      </c>
      <c r="E215" s="63">
        <v>9.3212439623799998E-4</v>
      </c>
    </row>
    <row r="216" spans="1:5" ht="14.5" customHeight="1">
      <c r="A216" s="35"/>
      <c r="B216" s="90"/>
      <c r="C216" s="61" t="s">
        <v>194</v>
      </c>
      <c r="D216" s="62">
        <v>2</v>
      </c>
      <c r="E216" s="63">
        <v>1.69477162952E-4</v>
      </c>
    </row>
    <row r="217" spans="1:5" ht="14.5" customHeight="1">
      <c r="A217" s="35"/>
      <c r="B217" s="90"/>
      <c r="C217" s="61" t="s">
        <v>193</v>
      </c>
      <c r="D217" s="62">
        <v>2</v>
      </c>
      <c r="E217" s="63">
        <v>1.69477162952E-4</v>
      </c>
    </row>
    <row r="218" spans="1:5" ht="14.5" customHeight="1">
      <c r="A218" s="35"/>
      <c r="B218" s="90"/>
      <c r="C218" s="61" t="s">
        <v>191</v>
      </c>
      <c r="D218" s="62">
        <v>3</v>
      </c>
      <c r="E218" s="63">
        <v>2.54215744428E-4</v>
      </c>
    </row>
    <row r="219" spans="1:5" ht="14.5" customHeight="1">
      <c r="A219" s="35"/>
      <c r="B219" s="90"/>
      <c r="C219" s="61" t="s">
        <v>182</v>
      </c>
      <c r="D219" s="62">
        <v>7</v>
      </c>
      <c r="E219" s="63">
        <v>5.9317007033300002E-4</v>
      </c>
    </row>
    <row r="220" spans="1:5" ht="14.5" customHeight="1">
      <c r="A220" s="35"/>
      <c r="B220" s="90"/>
      <c r="C220" s="61" t="s">
        <v>190</v>
      </c>
      <c r="D220" s="62">
        <v>5</v>
      </c>
      <c r="E220" s="63">
        <v>4.2369290738100002E-4</v>
      </c>
    </row>
    <row r="221" spans="1:5" ht="14.5" customHeight="1">
      <c r="A221" s="35"/>
      <c r="B221" s="90"/>
      <c r="C221" s="61" t="s">
        <v>186</v>
      </c>
      <c r="D221" s="62">
        <v>5</v>
      </c>
      <c r="E221" s="63">
        <v>4.2369290738100002E-4</v>
      </c>
    </row>
    <row r="222" spans="1:5" ht="14.5" customHeight="1">
      <c r="A222" s="35"/>
      <c r="B222" s="90"/>
      <c r="C222" s="61" t="s">
        <v>187</v>
      </c>
      <c r="D222" s="62">
        <v>2</v>
      </c>
      <c r="E222" s="63">
        <v>1.69477162952E-4</v>
      </c>
    </row>
    <row r="223" spans="1:5" ht="14.5" customHeight="1">
      <c r="A223" s="35"/>
      <c r="B223" s="90"/>
      <c r="C223" s="61" t="s">
        <v>179</v>
      </c>
      <c r="D223" s="62">
        <v>6</v>
      </c>
      <c r="E223" s="63">
        <v>5.0843148885699996E-4</v>
      </c>
    </row>
    <row r="224" spans="1:5" ht="14.5" customHeight="1">
      <c r="A224" s="35"/>
      <c r="B224" s="90"/>
      <c r="C224" s="61" t="s">
        <v>200</v>
      </c>
      <c r="D224" s="62">
        <v>1</v>
      </c>
      <c r="E224" s="63">
        <v>8.4738581476000001E-5</v>
      </c>
    </row>
    <row r="225" spans="1:5" ht="14.5" customHeight="1">
      <c r="A225" s="35"/>
      <c r="B225" s="90"/>
      <c r="C225" s="61" t="s">
        <v>181</v>
      </c>
      <c r="D225" s="62">
        <v>11</v>
      </c>
      <c r="E225" s="63">
        <v>9.3212439623799998E-4</v>
      </c>
    </row>
    <row r="226" spans="1:5" ht="14.5" customHeight="1">
      <c r="A226" s="35"/>
      <c r="B226" s="90"/>
      <c r="C226" s="61" t="s">
        <v>209</v>
      </c>
      <c r="D226" s="62">
        <v>1</v>
      </c>
      <c r="E226" s="63">
        <v>8.4738581476000001E-5</v>
      </c>
    </row>
    <row r="227" spans="1:5" ht="14.5" customHeight="1">
      <c r="A227" s="35"/>
      <c r="B227" s="90"/>
      <c r="C227" s="61" t="s">
        <v>198</v>
      </c>
      <c r="D227" s="62">
        <v>2</v>
      </c>
      <c r="E227" s="63">
        <v>1.69477162952E-4</v>
      </c>
    </row>
    <row r="228" spans="1:5" ht="14.5" customHeight="1">
      <c r="A228" s="35"/>
      <c r="B228" s="90"/>
      <c r="C228" s="61" t="s">
        <v>173</v>
      </c>
      <c r="D228" s="62">
        <v>5</v>
      </c>
      <c r="E228" s="63">
        <v>4.2369290738100002E-4</v>
      </c>
    </row>
    <row r="229" spans="1:5" ht="14.5" customHeight="1">
      <c r="A229" s="35"/>
      <c r="B229" s="90"/>
      <c r="C229" s="61" t="s">
        <v>208</v>
      </c>
      <c r="D229" s="62">
        <v>1</v>
      </c>
      <c r="E229" s="63">
        <v>8.4738581476000001E-5</v>
      </c>
    </row>
    <row r="230" spans="1:5" ht="14.5" customHeight="1">
      <c r="A230" s="35"/>
      <c r="B230" s="90"/>
      <c r="C230" s="61" t="s">
        <v>192</v>
      </c>
      <c r="D230" s="62">
        <v>3</v>
      </c>
      <c r="E230" s="63">
        <v>2.54215744428E-4</v>
      </c>
    </row>
    <row r="231" spans="1:5" ht="14.5" customHeight="1">
      <c r="A231" s="35"/>
      <c r="B231" s="90"/>
      <c r="C231" s="61" t="s">
        <v>178</v>
      </c>
      <c r="D231" s="62">
        <v>3</v>
      </c>
      <c r="E231" s="63">
        <v>2.54215744428E-4</v>
      </c>
    </row>
    <row r="232" spans="1:5" ht="14.5" customHeight="1">
      <c r="A232" s="35"/>
      <c r="B232" s="90"/>
      <c r="C232" s="61" t="s">
        <v>171</v>
      </c>
      <c r="D232" s="62">
        <v>363</v>
      </c>
      <c r="E232" s="63">
        <v>3.0760105075841E-2</v>
      </c>
    </row>
    <row r="233" spans="1:5" ht="14.5" customHeight="1">
      <c r="A233" s="35"/>
      <c r="B233" s="90"/>
      <c r="C233" s="61" t="s">
        <v>195</v>
      </c>
      <c r="D233" s="62">
        <v>1</v>
      </c>
      <c r="E233" s="63">
        <v>8.4738581476000001E-5</v>
      </c>
    </row>
    <row r="234" spans="1:5" ht="14.5" customHeight="1">
      <c r="A234" s="35"/>
      <c r="B234" s="90"/>
      <c r="C234" s="61" t="s">
        <v>199</v>
      </c>
      <c r="D234" s="62">
        <v>2</v>
      </c>
      <c r="E234" s="63">
        <v>1.69477162952E-4</v>
      </c>
    </row>
    <row r="235" spans="1:5" ht="14.5" customHeight="1">
      <c r="A235" s="35"/>
      <c r="B235" s="90"/>
      <c r="C235" s="61" t="s">
        <v>185</v>
      </c>
      <c r="D235" s="62">
        <v>3</v>
      </c>
      <c r="E235" s="63">
        <v>2.54215744428E-4</v>
      </c>
    </row>
    <row r="236" spans="1:5" ht="14.5" customHeight="1">
      <c r="A236" s="35"/>
      <c r="B236" s="91"/>
      <c r="C236" s="66" t="s">
        <v>284</v>
      </c>
      <c r="D236" s="64">
        <v>509</v>
      </c>
      <c r="E236" s="67">
        <v>4.3131937971358003E-2</v>
      </c>
    </row>
    <row r="237" spans="1:5" ht="14.5" customHeight="1">
      <c r="A237" s="35"/>
      <c r="B237" s="89" t="s">
        <v>107</v>
      </c>
      <c r="C237" s="61" t="s">
        <v>189</v>
      </c>
      <c r="D237" s="62">
        <v>24</v>
      </c>
      <c r="E237" s="63">
        <v>2.0337259554279999E-3</v>
      </c>
    </row>
    <row r="238" spans="1:5" ht="14.5" customHeight="1">
      <c r="A238" s="35"/>
      <c r="B238" s="90"/>
      <c r="C238" s="61" t="s">
        <v>184</v>
      </c>
      <c r="D238" s="62">
        <v>16</v>
      </c>
      <c r="E238" s="63">
        <v>1.3558173036179999E-3</v>
      </c>
    </row>
    <row r="239" spans="1:5" ht="14.5" customHeight="1">
      <c r="A239" s="35"/>
      <c r="B239" s="90"/>
      <c r="C239" s="61" t="s">
        <v>183</v>
      </c>
      <c r="D239" s="62">
        <v>25</v>
      </c>
      <c r="E239" s="63">
        <v>2.118464536904E-3</v>
      </c>
    </row>
    <row r="240" spans="1:5" ht="14.5" customHeight="1">
      <c r="A240" s="35"/>
      <c r="B240" s="90"/>
      <c r="C240" s="61" t="s">
        <v>172</v>
      </c>
      <c r="D240" s="62">
        <v>134</v>
      </c>
      <c r="E240" s="63">
        <v>1.1354969917804001E-2</v>
      </c>
    </row>
    <row r="241" spans="1:5" ht="14.5" customHeight="1">
      <c r="A241" s="35"/>
      <c r="B241" s="90"/>
      <c r="C241" s="61" t="s">
        <v>175</v>
      </c>
      <c r="D241" s="62">
        <v>56</v>
      </c>
      <c r="E241" s="63">
        <v>4.7453605626640001E-3</v>
      </c>
    </row>
    <row r="242" spans="1:5" ht="14.5" customHeight="1">
      <c r="A242" s="35"/>
      <c r="B242" s="90"/>
      <c r="C242" s="61" t="s">
        <v>207</v>
      </c>
      <c r="D242" s="62">
        <v>1</v>
      </c>
      <c r="E242" s="63">
        <v>8.4738581476000001E-5</v>
      </c>
    </row>
    <row r="243" spans="1:5" ht="14.5" customHeight="1">
      <c r="A243" s="35"/>
      <c r="B243" s="90"/>
      <c r="C243" s="61" t="s">
        <v>211</v>
      </c>
      <c r="D243" s="62">
        <v>1</v>
      </c>
      <c r="E243" s="63">
        <v>8.4738581476000001E-5</v>
      </c>
    </row>
    <row r="244" spans="1:5" ht="14.5" customHeight="1">
      <c r="A244" s="35"/>
      <c r="B244" s="90"/>
      <c r="C244" s="61" t="s">
        <v>177</v>
      </c>
      <c r="D244" s="62">
        <v>33</v>
      </c>
      <c r="E244" s="63">
        <v>2.7963731887130001E-3</v>
      </c>
    </row>
    <row r="245" spans="1:5" ht="14.5" customHeight="1">
      <c r="A245" s="35"/>
      <c r="B245" s="90"/>
      <c r="C245" s="61" t="s">
        <v>180</v>
      </c>
      <c r="D245" s="62">
        <v>42</v>
      </c>
      <c r="E245" s="63">
        <v>3.5590204219979999E-3</v>
      </c>
    </row>
    <row r="246" spans="1:5" ht="14.5" customHeight="1">
      <c r="A246" s="35"/>
      <c r="B246" s="90"/>
      <c r="C246" s="61" t="s">
        <v>201</v>
      </c>
      <c r="D246" s="62">
        <v>4</v>
      </c>
      <c r="E246" s="63">
        <v>3.3895432590500002E-4</v>
      </c>
    </row>
    <row r="247" spans="1:5" ht="14.5" customHeight="1">
      <c r="A247" s="35"/>
      <c r="B247" s="90"/>
      <c r="C247" s="61" t="s">
        <v>174</v>
      </c>
      <c r="D247" s="62">
        <v>92</v>
      </c>
      <c r="E247" s="63">
        <v>7.7959494958050003E-3</v>
      </c>
    </row>
    <row r="248" spans="1:5" ht="14.5" customHeight="1">
      <c r="A248" s="35"/>
      <c r="B248" s="90"/>
      <c r="C248" s="61" t="s">
        <v>188</v>
      </c>
      <c r="D248" s="62">
        <v>21</v>
      </c>
      <c r="E248" s="63">
        <v>1.7795102109989999E-3</v>
      </c>
    </row>
    <row r="249" spans="1:5" ht="14.5" customHeight="1">
      <c r="A249" s="35"/>
      <c r="B249" s="90"/>
      <c r="C249" s="61" t="s">
        <v>196</v>
      </c>
      <c r="D249" s="62">
        <v>8</v>
      </c>
      <c r="E249" s="63">
        <v>6.7790865180899996E-4</v>
      </c>
    </row>
    <row r="250" spans="1:5" ht="14.5" customHeight="1">
      <c r="A250" s="35"/>
      <c r="B250" s="90"/>
      <c r="C250" s="61" t="s">
        <v>176</v>
      </c>
      <c r="D250" s="62">
        <v>45</v>
      </c>
      <c r="E250" s="63">
        <v>3.813236166427E-3</v>
      </c>
    </row>
    <row r="251" spans="1:5" ht="14.5" customHeight="1">
      <c r="A251" s="35"/>
      <c r="B251" s="90"/>
      <c r="C251" s="61" t="s">
        <v>194</v>
      </c>
      <c r="D251" s="62">
        <v>22</v>
      </c>
      <c r="E251" s="63">
        <v>1.8642487924749999E-3</v>
      </c>
    </row>
    <row r="252" spans="1:5" ht="14.5" customHeight="1">
      <c r="A252" s="35"/>
      <c r="B252" s="90"/>
      <c r="C252" s="61" t="s">
        <v>193</v>
      </c>
      <c r="D252" s="62">
        <v>28</v>
      </c>
      <c r="E252" s="63">
        <v>2.3726802813320001E-3</v>
      </c>
    </row>
    <row r="253" spans="1:5" ht="14.5" customHeight="1">
      <c r="A253" s="35"/>
      <c r="B253" s="90"/>
      <c r="C253" s="61" t="s">
        <v>204</v>
      </c>
      <c r="D253" s="62">
        <v>4</v>
      </c>
      <c r="E253" s="63">
        <v>3.3895432590500002E-4</v>
      </c>
    </row>
    <row r="254" spans="1:5" ht="14.5" customHeight="1">
      <c r="A254" s="35"/>
      <c r="B254" s="90"/>
      <c r="C254" s="61" t="s">
        <v>191</v>
      </c>
      <c r="D254" s="62">
        <v>24</v>
      </c>
      <c r="E254" s="63">
        <v>2.0337259554279999E-3</v>
      </c>
    </row>
    <row r="255" spans="1:5" ht="14.5" customHeight="1">
      <c r="A255" s="35"/>
      <c r="B255" s="90"/>
      <c r="C255" s="61" t="s">
        <v>182</v>
      </c>
      <c r="D255" s="62">
        <v>35</v>
      </c>
      <c r="E255" s="63">
        <v>2.965850351665E-3</v>
      </c>
    </row>
    <row r="256" spans="1:5" ht="14.5" customHeight="1">
      <c r="A256" s="35"/>
      <c r="B256" s="90"/>
      <c r="C256" s="61" t="s">
        <v>197</v>
      </c>
      <c r="D256" s="62">
        <v>9</v>
      </c>
      <c r="E256" s="63">
        <v>7.6264723328500002E-4</v>
      </c>
    </row>
    <row r="257" spans="1:5" ht="14.5" customHeight="1">
      <c r="A257" s="35"/>
      <c r="B257" s="90"/>
      <c r="C257" s="61" t="s">
        <v>190</v>
      </c>
      <c r="D257" s="62">
        <v>14</v>
      </c>
      <c r="E257" s="63">
        <v>1.186340140666E-3</v>
      </c>
    </row>
    <row r="258" spans="1:5" ht="14.5" customHeight="1">
      <c r="A258" s="35"/>
      <c r="B258" s="90"/>
      <c r="C258" s="61" t="s">
        <v>186</v>
      </c>
      <c r="D258" s="62">
        <v>24</v>
      </c>
      <c r="E258" s="63">
        <v>2.0337259554279999E-3</v>
      </c>
    </row>
    <row r="259" spans="1:5" ht="14.5" customHeight="1">
      <c r="A259" s="35"/>
      <c r="B259" s="90"/>
      <c r="C259" s="61" t="s">
        <v>187</v>
      </c>
      <c r="D259" s="62">
        <v>21</v>
      </c>
      <c r="E259" s="63">
        <v>1.7795102109989999E-3</v>
      </c>
    </row>
    <row r="260" spans="1:5" ht="14.5" customHeight="1">
      <c r="A260" s="35"/>
      <c r="B260" s="90"/>
      <c r="C260" s="61" t="s">
        <v>203</v>
      </c>
      <c r="D260" s="62">
        <v>4</v>
      </c>
      <c r="E260" s="63">
        <v>3.3895432590500002E-4</v>
      </c>
    </row>
    <row r="261" spans="1:5" ht="14.5" customHeight="1">
      <c r="A261" s="35"/>
      <c r="B261" s="90"/>
      <c r="C261" s="61" t="s">
        <v>179</v>
      </c>
      <c r="D261" s="62">
        <v>43</v>
      </c>
      <c r="E261" s="63">
        <v>3.6437590034740001E-3</v>
      </c>
    </row>
    <row r="262" spans="1:5" ht="14.5" customHeight="1">
      <c r="A262" s="35"/>
      <c r="B262" s="90"/>
      <c r="C262" s="61" t="s">
        <v>200</v>
      </c>
      <c r="D262" s="62">
        <v>4</v>
      </c>
      <c r="E262" s="63">
        <v>3.3895432590500002E-4</v>
      </c>
    </row>
    <row r="263" spans="1:5" ht="14.5" customHeight="1">
      <c r="A263" s="35"/>
      <c r="B263" s="90"/>
      <c r="C263" s="61" t="s">
        <v>181</v>
      </c>
      <c r="D263" s="62">
        <v>39</v>
      </c>
      <c r="E263" s="63">
        <v>3.3048046775699998E-3</v>
      </c>
    </row>
    <row r="264" spans="1:5" ht="14.5" customHeight="1">
      <c r="A264" s="35"/>
      <c r="B264" s="90"/>
      <c r="C264" s="61" t="s">
        <v>209</v>
      </c>
      <c r="D264" s="62">
        <v>1</v>
      </c>
      <c r="E264" s="63">
        <v>8.4738581476000001E-5</v>
      </c>
    </row>
    <row r="265" spans="1:5" ht="14.5" customHeight="1">
      <c r="A265" s="35"/>
      <c r="B265" s="90"/>
      <c r="C265" s="61" t="s">
        <v>198</v>
      </c>
      <c r="D265" s="62">
        <v>10</v>
      </c>
      <c r="E265" s="63">
        <v>8.4738581476099997E-4</v>
      </c>
    </row>
    <row r="266" spans="1:5" ht="14.5" customHeight="1">
      <c r="A266" s="35"/>
      <c r="B266" s="90"/>
      <c r="C266" s="61" t="s">
        <v>173</v>
      </c>
      <c r="D266" s="62">
        <v>135</v>
      </c>
      <c r="E266" s="63">
        <v>1.1439708499280001E-2</v>
      </c>
    </row>
    <row r="267" spans="1:5" ht="14.5" customHeight="1">
      <c r="A267" s="35"/>
      <c r="B267" s="90"/>
      <c r="C267" s="61" t="s">
        <v>205</v>
      </c>
      <c r="D267" s="62">
        <v>2</v>
      </c>
      <c r="E267" s="63">
        <v>1.69477162952E-4</v>
      </c>
    </row>
    <row r="268" spans="1:5" ht="14.5" customHeight="1">
      <c r="A268" s="35"/>
      <c r="B268" s="90"/>
      <c r="C268" s="61" t="s">
        <v>192</v>
      </c>
      <c r="D268" s="62">
        <v>17</v>
      </c>
      <c r="E268" s="63">
        <v>1.4405558850940001E-3</v>
      </c>
    </row>
    <row r="269" spans="1:5" ht="14.5" customHeight="1">
      <c r="A269" s="35"/>
      <c r="B269" s="90"/>
      <c r="C269" s="61" t="s">
        <v>202</v>
      </c>
      <c r="D269" s="62">
        <v>4</v>
      </c>
      <c r="E269" s="63">
        <v>3.3895432590500002E-4</v>
      </c>
    </row>
    <row r="270" spans="1:5" ht="14.5" customHeight="1">
      <c r="A270" s="35"/>
      <c r="B270" s="90"/>
      <c r="C270" s="61" t="s">
        <v>178</v>
      </c>
      <c r="D270" s="62">
        <v>54</v>
      </c>
      <c r="E270" s="63">
        <v>4.5758833997119998E-3</v>
      </c>
    </row>
    <row r="271" spans="1:5" ht="14.5" customHeight="1">
      <c r="A271" s="35"/>
      <c r="B271" s="90"/>
      <c r="C271" s="61" t="s">
        <v>171</v>
      </c>
      <c r="D271" s="62">
        <v>2495</v>
      </c>
      <c r="E271" s="63">
        <v>0.211422760782985</v>
      </c>
    </row>
    <row r="272" spans="1:5" ht="14.5" customHeight="1">
      <c r="A272" s="35"/>
      <c r="B272" s="90"/>
      <c r="C272" s="61" t="s">
        <v>195</v>
      </c>
      <c r="D272" s="62">
        <v>14</v>
      </c>
      <c r="E272" s="63">
        <v>1.186340140666E-3</v>
      </c>
    </row>
    <row r="273" spans="1:5" ht="14.5" customHeight="1">
      <c r="A273" s="35"/>
      <c r="B273" s="90"/>
      <c r="C273" s="61" t="s">
        <v>199</v>
      </c>
      <c r="D273" s="62">
        <v>13</v>
      </c>
      <c r="E273" s="63">
        <v>1.1016015591900001E-3</v>
      </c>
    </row>
    <row r="274" spans="1:5" ht="14.5" customHeight="1">
      <c r="A274" s="35"/>
      <c r="B274" s="90"/>
      <c r="C274" s="61" t="s">
        <v>84</v>
      </c>
      <c r="D274" s="62">
        <v>1</v>
      </c>
      <c r="E274" s="63">
        <v>8.4738581476000001E-5</v>
      </c>
    </row>
    <row r="275" spans="1:5" ht="14.5" customHeight="1">
      <c r="A275" s="35"/>
      <c r="B275" s="90"/>
      <c r="C275" s="61" t="s">
        <v>214</v>
      </c>
      <c r="D275" s="62">
        <v>1</v>
      </c>
      <c r="E275" s="63">
        <v>8.4738581476000001E-5</v>
      </c>
    </row>
    <row r="276" spans="1:5" ht="14.5" customHeight="1">
      <c r="A276" s="35"/>
      <c r="B276" s="90"/>
      <c r="C276" s="61" t="s">
        <v>185</v>
      </c>
      <c r="D276" s="62">
        <v>24</v>
      </c>
      <c r="E276" s="63">
        <v>2.0337259554279999E-3</v>
      </c>
    </row>
    <row r="277" spans="1:5" ht="14.5" customHeight="1">
      <c r="A277" s="35"/>
      <c r="B277" s="90"/>
      <c r="C277" s="61" t="s">
        <v>206</v>
      </c>
      <c r="D277" s="62">
        <v>3</v>
      </c>
      <c r="E277" s="63">
        <v>2.54215744428E-4</v>
      </c>
    </row>
    <row r="278" spans="1:5" ht="14.5" customHeight="1">
      <c r="A278" s="35"/>
      <c r="B278" s="91"/>
      <c r="C278" s="66" t="s">
        <v>284</v>
      </c>
      <c r="D278" s="64">
        <v>3547</v>
      </c>
      <c r="E278" s="67">
        <v>0.30056774849589002</v>
      </c>
    </row>
    <row r="279" spans="1:5" ht="14.5" customHeight="1">
      <c r="A279" s="35"/>
      <c r="B279" s="89" t="s">
        <v>108</v>
      </c>
      <c r="C279" s="61" t="s">
        <v>189</v>
      </c>
      <c r="D279" s="62">
        <v>2</v>
      </c>
      <c r="E279" s="63">
        <v>1.69477162952E-4</v>
      </c>
    </row>
    <row r="280" spans="1:5" ht="14.5" customHeight="1">
      <c r="A280" s="35"/>
      <c r="B280" s="90"/>
      <c r="C280" s="61" t="s">
        <v>172</v>
      </c>
      <c r="D280" s="62">
        <v>22</v>
      </c>
      <c r="E280" s="63">
        <v>1.8642487924749999E-3</v>
      </c>
    </row>
    <row r="281" spans="1:5" ht="14.5" customHeight="1">
      <c r="A281" s="35"/>
      <c r="B281" s="90"/>
      <c r="C281" s="61" t="s">
        <v>175</v>
      </c>
      <c r="D281" s="62">
        <v>5</v>
      </c>
      <c r="E281" s="63">
        <v>4.2369290738100002E-4</v>
      </c>
    </row>
    <row r="282" spans="1:5" ht="14.5" customHeight="1">
      <c r="A282" s="35"/>
      <c r="B282" s="90"/>
      <c r="C282" s="61" t="s">
        <v>177</v>
      </c>
      <c r="D282" s="62">
        <v>3</v>
      </c>
      <c r="E282" s="63">
        <v>2.54215744428E-4</v>
      </c>
    </row>
    <row r="283" spans="1:5" ht="14.5" customHeight="1">
      <c r="A283" s="35"/>
      <c r="B283" s="90"/>
      <c r="C283" s="61" t="s">
        <v>180</v>
      </c>
      <c r="D283" s="62">
        <v>2</v>
      </c>
      <c r="E283" s="63">
        <v>1.69477162952E-4</v>
      </c>
    </row>
    <row r="284" spans="1:5" ht="14.5" customHeight="1">
      <c r="A284" s="35"/>
      <c r="B284" s="90"/>
      <c r="C284" s="61" t="s">
        <v>174</v>
      </c>
      <c r="D284" s="62">
        <v>9</v>
      </c>
      <c r="E284" s="63">
        <v>7.6264723328500002E-4</v>
      </c>
    </row>
    <row r="285" spans="1:5" ht="14.5" customHeight="1">
      <c r="A285" s="35"/>
      <c r="B285" s="90"/>
      <c r="C285" s="61" t="s">
        <v>188</v>
      </c>
      <c r="D285" s="62">
        <v>3</v>
      </c>
      <c r="E285" s="63">
        <v>2.54215744428E-4</v>
      </c>
    </row>
    <row r="286" spans="1:5" ht="14.5" customHeight="1">
      <c r="A286" s="35"/>
      <c r="B286" s="90"/>
      <c r="C286" s="61" t="s">
        <v>176</v>
      </c>
      <c r="D286" s="62">
        <v>4</v>
      </c>
      <c r="E286" s="63">
        <v>3.3895432590500002E-4</v>
      </c>
    </row>
    <row r="287" spans="1:5" ht="14.5" customHeight="1">
      <c r="A287" s="35"/>
      <c r="B287" s="90"/>
      <c r="C287" s="61" t="s">
        <v>193</v>
      </c>
      <c r="D287" s="62">
        <v>1</v>
      </c>
      <c r="E287" s="63">
        <v>8.4738581476000001E-5</v>
      </c>
    </row>
    <row r="288" spans="1:5" ht="14.5" customHeight="1">
      <c r="A288" s="35"/>
      <c r="B288" s="90"/>
      <c r="C288" s="61" t="s">
        <v>182</v>
      </c>
      <c r="D288" s="62">
        <v>3</v>
      </c>
      <c r="E288" s="63">
        <v>2.54215744428E-4</v>
      </c>
    </row>
    <row r="289" spans="1:5" ht="14.5" customHeight="1">
      <c r="A289" s="35"/>
      <c r="B289" s="90"/>
      <c r="C289" s="61" t="s">
        <v>197</v>
      </c>
      <c r="D289" s="62">
        <v>2</v>
      </c>
      <c r="E289" s="63">
        <v>1.69477162952E-4</v>
      </c>
    </row>
    <row r="290" spans="1:5" ht="14.5" customHeight="1">
      <c r="A290" s="35"/>
      <c r="B290" s="90"/>
      <c r="C290" s="61" t="s">
        <v>190</v>
      </c>
      <c r="D290" s="62">
        <v>3</v>
      </c>
      <c r="E290" s="63">
        <v>2.54215744428E-4</v>
      </c>
    </row>
    <row r="291" spans="1:5" ht="14.5" customHeight="1">
      <c r="A291" s="35"/>
      <c r="B291" s="90"/>
      <c r="C291" s="61" t="s">
        <v>186</v>
      </c>
      <c r="D291" s="62">
        <v>3</v>
      </c>
      <c r="E291" s="63">
        <v>2.54215744428E-4</v>
      </c>
    </row>
    <row r="292" spans="1:5" ht="14.5" customHeight="1">
      <c r="A292" s="35"/>
      <c r="B292" s="90"/>
      <c r="C292" s="61" t="s">
        <v>187</v>
      </c>
      <c r="D292" s="62">
        <v>3</v>
      </c>
      <c r="E292" s="63">
        <v>2.54215744428E-4</v>
      </c>
    </row>
    <row r="293" spans="1:5" ht="14.5" customHeight="1">
      <c r="A293" s="35"/>
      <c r="B293" s="90"/>
      <c r="C293" s="61" t="s">
        <v>179</v>
      </c>
      <c r="D293" s="62">
        <v>6</v>
      </c>
      <c r="E293" s="63">
        <v>5.0843148885699996E-4</v>
      </c>
    </row>
    <row r="294" spans="1:5" ht="14.5" customHeight="1">
      <c r="A294" s="35"/>
      <c r="B294" s="90"/>
      <c r="C294" s="61" t="s">
        <v>181</v>
      </c>
      <c r="D294" s="62">
        <v>3</v>
      </c>
      <c r="E294" s="63">
        <v>2.54215744428E-4</v>
      </c>
    </row>
    <row r="295" spans="1:5" ht="14.5" customHeight="1">
      <c r="A295" s="35"/>
      <c r="B295" s="90"/>
      <c r="C295" s="61" t="s">
        <v>173</v>
      </c>
      <c r="D295" s="62">
        <v>12</v>
      </c>
      <c r="E295" s="63">
        <v>1.0168629777139999E-3</v>
      </c>
    </row>
    <row r="296" spans="1:5" ht="14.5" customHeight="1">
      <c r="A296" s="35"/>
      <c r="B296" s="90"/>
      <c r="C296" s="61" t="s">
        <v>192</v>
      </c>
      <c r="D296" s="62">
        <v>3</v>
      </c>
      <c r="E296" s="63">
        <v>2.54215744428E-4</v>
      </c>
    </row>
    <row r="297" spans="1:5" ht="14.5" customHeight="1">
      <c r="A297" s="35"/>
      <c r="B297" s="90"/>
      <c r="C297" s="61" t="s">
        <v>178</v>
      </c>
      <c r="D297" s="62">
        <v>2</v>
      </c>
      <c r="E297" s="63">
        <v>1.69477162952E-4</v>
      </c>
    </row>
    <row r="298" spans="1:5" ht="14.5" customHeight="1">
      <c r="A298" s="35"/>
      <c r="B298" s="90"/>
      <c r="C298" s="61" t="s">
        <v>171</v>
      </c>
      <c r="D298" s="62">
        <v>295</v>
      </c>
      <c r="E298" s="63">
        <v>2.4997881535463E-2</v>
      </c>
    </row>
    <row r="299" spans="1:5" ht="14.5" customHeight="1">
      <c r="A299" s="35"/>
      <c r="B299" s="90"/>
      <c r="C299" s="61" t="s">
        <v>185</v>
      </c>
      <c r="D299" s="62">
        <v>2</v>
      </c>
      <c r="E299" s="63">
        <v>1.69477162952E-4</v>
      </c>
    </row>
    <row r="300" spans="1:5" ht="14.5" customHeight="1">
      <c r="A300" s="35"/>
      <c r="B300" s="91"/>
      <c r="C300" s="66" t="s">
        <v>284</v>
      </c>
      <c r="D300" s="64">
        <v>388</v>
      </c>
      <c r="E300" s="67">
        <v>3.2878569612744997E-2</v>
      </c>
    </row>
    <row r="301" spans="1:5" ht="14.5" customHeight="1">
      <c r="A301" s="35"/>
      <c r="B301" s="89" t="s">
        <v>109</v>
      </c>
      <c r="C301" s="61" t="s">
        <v>189</v>
      </c>
      <c r="D301" s="62">
        <v>3</v>
      </c>
      <c r="E301" s="63">
        <v>2.54215744428E-4</v>
      </c>
    </row>
    <row r="302" spans="1:5" ht="14.5" customHeight="1">
      <c r="A302" s="35"/>
      <c r="B302" s="90"/>
      <c r="C302" s="61" t="s">
        <v>184</v>
      </c>
      <c r="D302" s="62">
        <v>7</v>
      </c>
      <c r="E302" s="63">
        <v>5.9317007033300002E-4</v>
      </c>
    </row>
    <row r="303" spans="1:5" ht="14.5" customHeight="1">
      <c r="A303" s="35"/>
      <c r="B303" s="90"/>
      <c r="C303" s="61" t="s">
        <v>183</v>
      </c>
      <c r="D303" s="62">
        <v>2</v>
      </c>
      <c r="E303" s="63">
        <v>1.69477162952E-4</v>
      </c>
    </row>
    <row r="304" spans="1:5" ht="14.5" customHeight="1">
      <c r="A304" s="35"/>
      <c r="B304" s="90"/>
      <c r="C304" s="61" t="s">
        <v>172</v>
      </c>
      <c r="D304" s="62">
        <v>32</v>
      </c>
      <c r="E304" s="63">
        <v>2.7116346072369999E-3</v>
      </c>
    </row>
    <row r="305" spans="1:5" ht="14.5" customHeight="1">
      <c r="A305" s="35"/>
      <c r="B305" s="90"/>
      <c r="C305" s="61" t="s">
        <v>175</v>
      </c>
      <c r="D305" s="62">
        <v>15</v>
      </c>
      <c r="E305" s="63">
        <v>1.271078722142E-3</v>
      </c>
    </row>
    <row r="306" spans="1:5" ht="14.5" customHeight="1">
      <c r="A306" s="35"/>
      <c r="B306" s="90"/>
      <c r="C306" s="61" t="s">
        <v>177</v>
      </c>
      <c r="D306" s="62">
        <v>14</v>
      </c>
      <c r="E306" s="63">
        <v>1.186340140666E-3</v>
      </c>
    </row>
    <row r="307" spans="1:5" ht="14.5" customHeight="1">
      <c r="A307" s="35"/>
      <c r="B307" s="90"/>
      <c r="C307" s="61" t="s">
        <v>180</v>
      </c>
      <c r="D307" s="62">
        <v>11</v>
      </c>
      <c r="E307" s="63">
        <v>9.3212439623799998E-4</v>
      </c>
    </row>
    <row r="308" spans="1:5" ht="14.5" customHeight="1">
      <c r="A308" s="35"/>
      <c r="B308" s="90"/>
      <c r="C308" s="61" t="s">
        <v>174</v>
      </c>
      <c r="D308" s="62">
        <v>22</v>
      </c>
      <c r="E308" s="63">
        <v>1.8642487924749999E-3</v>
      </c>
    </row>
    <row r="309" spans="1:5" ht="14.5" customHeight="1">
      <c r="A309" s="35"/>
      <c r="B309" s="90"/>
      <c r="C309" s="61" t="s">
        <v>188</v>
      </c>
      <c r="D309" s="62">
        <v>6</v>
      </c>
      <c r="E309" s="63">
        <v>5.0843148885699996E-4</v>
      </c>
    </row>
    <row r="310" spans="1:5" ht="14.5" customHeight="1">
      <c r="A310" s="35"/>
      <c r="B310" s="90"/>
      <c r="C310" s="61" t="s">
        <v>196</v>
      </c>
      <c r="D310" s="62">
        <v>4</v>
      </c>
      <c r="E310" s="63">
        <v>3.3895432590500002E-4</v>
      </c>
    </row>
    <row r="311" spans="1:5" ht="14.5" customHeight="1">
      <c r="A311" s="35"/>
      <c r="B311" s="90"/>
      <c r="C311" s="61" t="s">
        <v>176</v>
      </c>
      <c r="D311" s="62">
        <v>14</v>
      </c>
      <c r="E311" s="63">
        <v>1.186340140666E-3</v>
      </c>
    </row>
    <row r="312" spans="1:5" ht="14.5" customHeight="1">
      <c r="A312" s="35"/>
      <c r="B312" s="90"/>
      <c r="C312" s="61" t="s">
        <v>194</v>
      </c>
      <c r="D312" s="62">
        <v>2</v>
      </c>
      <c r="E312" s="63">
        <v>1.69477162952E-4</v>
      </c>
    </row>
    <row r="313" spans="1:5" ht="14.5" customHeight="1">
      <c r="A313" s="35"/>
      <c r="B313" s="90"/>
      <c r="C313" s="61" t="s">
        <v>193</v>
      </c>
      <c r="D313" s="62">
        <v>1</v>
      </c>
      <c r="E313" s="63">
        <v>8.4738581476000001E-5</v>
      </c>
    </row>
    <row r="314" spans="1:5" ht="14.5" customHeight="1">
      <c r="A314" s="35"/>
      <c r="B314" s="90"/>
      <c r="C314" s="61" t="s">
        <v>204</v>
      </c>
      <c r="D314" s="62">
        <v>1</v>
      </c>
      <c r="E314" s="63">
        <v>8.4738581476000001E-5</v>
      </c>
    </row>
    <row r="315" spans="1:5" ht="14.5" customHeight="1">
      <c r="A315" s="35"/>
      <c r="B315" s="90"/>
      <c r="C315" s="61" t="s">
        <v>191</v>
      </c>
      <c r="D315" s="62">
        <v>2</v>
      </c>
      <c r="E315" s="63">
        <v>1.69477162952E-4</v>
      </c>
    </row>
    <row r="316" spans="1:5" ht="14.5" customHeight="1">
      <c r="A316" s="35"/>
      <c r="B316" s="90"/>
      <c r="C316" s="61" t="s">
        <v>182</v>
      </c>
      <c r="D316" s="62">
        <v>9</v>
      </c>
      <c r="E316" s="63">
        <v>7.6264723328500002E-4</v>
      </c>
    </row>
    <row r="317" spans="1:5" ht="14.5" customHeight="1">
      <c r="A317" s="35"/>
      <c r="B317" s="90"/>
      <c r="C317" s="61" t="s">
        <v>197</v>
      </c>
      <c r="D317" s="62">
        <v>2</v>
      </c>
      <c r="E317" s="63">
        <v>1.69477162952E-4</v>
      </c>
    </row>
    <row r="318" spans="1:5" ht="14.5" customHeight="1">
      <c r="A318" s="35"/>
      <c r="B318" s="90"/>
      <c r="C318" s="61" t="s">
        <v>190</v>
      </c>
      <c r="D318" s="62">
        <v>4</v>
      </c>
      <c r="E318" s="63">
        <v>3.3895432590500002E-4</v>
      </c>
    </row>
    <row r="319" spans="1:5" ht="14.5" customHeight="1">
      <c r="A319" s="35"/>
      <c r="B319" s="90"/>
      <c r="C319" s="61" t="s">
        <v>186</v>
      </c>
      <c r="D319" s="62">
        <v>6</v>
      </c>
      <c r="E319" s="63">
        <v>5.0843148885699996E-4</v>
      </c>
    </row>
    <row r="320" spans="1:5" ht="14.5" customHeight="1">
      <c r="A320" s="35"/>
      <c r="B320" s="90"/>
      <c r="C320" s="61" t="s">
        <v>187</v>
      </c>
      <c r="D320" s="62">
        <v>4</v>
      </c>
      <c r="E320" s="63">
        <v>3.3895432590500002E-4</v>
      </c>
    </row>
    <row r="321" spans="1:5" ht="14.5" customHeight="1">
      <c r="A321" s="35"/>
      <c r="B321" s="90"/>
      <c r="C321" s="61" t="s">
        <v>203</v>
      </c>
      <c r="D321" s="62">
        <v>1</v>
      </c>
      <c r="E321" s="63">
        <v>8.4738581476000001E-5</v>
      </c>
    </row>
    <row r="322" spans="1:5" ht="14.5" customHeight="1">
      <c r="A322" s="35"/>
      <c r="B322" s="90"/>
      <c r="C322" s="61" t="s">
        <v>179</v>
      </c>
      <c r="D322" s="62">
        <v>7</v>
      </c>
      <c r="E322" s="63">
        <v>5.9317007033300002E-4</v>
      </c>
    </row>
    <row r="323" spans="1:5" ht="14.5" customHeight="1">
      <c r="A323" s="35"/>
      <c r="B323" s="90"/>
      <c r="C323" s="61" t="s">
        <v>200</v>
      </c>
      <c r="D323" s="62">
        <v>2</v>
      </c>
      <c r="E323" s="63">
        <v>1.69477162952E-4</v>
      </c>
    </row>
    <row r="324" spans="1:5" ht="14.5" customHeight="1">
      <c r="A324" s="35"/>
      <c r="B324" s="90"/>
      <c r="C324" s="61" t="s">
        <v>181</v>
      </c>
      <c r="D324" s="62">
        <v>11</v>
      </c>
      <c r="E324" s="63">
        <v>9.3212439623799998E-4</v>
      </c>
    </row>
    <row r="325" spans="1:5" ht="14.5" customHeight="1">
      <c r="A325" s="35"/>
      <c r="B325" s="90"/>
      <c r="C325" s="61" t="s">
        <v>173</v>
      </c>
      <c r="D325" s="62">
        <v>36</v>
      </c>
      <c r="E325" s="63">
        <v>3.0505889331410001E-3</v>
      </c>
    </row>
    <row r="326" spans="1:5" ht="14.5" customHeight="1">
      <c r="A326" s="35"/>
      <c r="B326" s="90"/>
      <c r="C326" s="61" t="s">
        <v>208</v>
      </c>
      <c r="D326" s="62">
        <v>2</v>
      </c>
      <c r="E326" s="63">
        <v>1.69477162952E-4</v>
      </c>
    </row>
    <row r="327" spans="1:5" ht="14.5" customHeight="1">
      <c r="A327" s="35"/>
      <c r="B327" s="90"/>
      <c r="C327" s="61" t="s">
        <v>192</v>
      </c>
      <c r="D327" s="62">
        <v>2</v>
      </c>
      <c r="E327" s="63">
        <v>1.69477162952E-4</v>
      </c>
    </row>
    <row r="328" spans="1:5" ht="14.5" customHeight="1">
      <c r="A328" s="35"/>
      <c r="B328" s="90"/>
      <c r="C328" s="61" t="s">
        <v>202</v>
      </c>
      <c r="D328" s="62">
        <v>3</v>
      </c>
      <c r="E328" s="63">
        <v>2.54215744428E-4</v>
      </c>
    </row>
    <row r="329" spans="1:5" ht="14.5" customHeight="1">
      <c r="A329" s="35"/>
      <c r="B329" s="90"/>
      <c r="C329" s="61" t="s">
        <v>178</v>
      </c>
      <c r="D329" s="62">
        <v>8</v>
      </c>
      <c r="E329" s="63">
        <v>6.7790865180899996E-4</v>
      </c>
    </row>
    <row r="330" spans="1:5" ht="14.5" customHeight="1">
      <c r="A330" s="35"/>
      <c r="B330" s="90"/>
      <c r="C330" s="61" t="s">
        <v>171</v>
      </c>
      <c r="D330" s="62">
        <v>515</v>
      </c>
      <c r="E330" s="63">
        <v>4.3640369460215003E-2</v>
      </c>
    </row>
    <row r="331" spans="1:5" ht="14.5" customHeight="1">
      <c r="A331" s="35"/>
      <c r="B331" s="90"/>
      <c r="C331" s="61" t="s">
        <v>199</v>
      </c>
      <c r="D331" s="62">
        <v>2</v>
      </c>
      <c r="E331" s="63">
        <v>1.69477162952E-4</v>
      </c>
    </row>
    <row r="332" spans="1:5" ht="14.5" customHeight="1">
      <c r="A332" s="35"/>
      <c r="B332" s="90"/>
      <c r="C332" s="61" t="s">
        <v>84</v>
      </c>
      <c r="D332" s="62">
        <v>2</v>
      </c>
      <c r="E332" s="63">
        <v>1.69477162952E-4</v>
      </c>
    </row>
    <row r="333" spans="1:5" ht="14.5" customHeight="1">
      <c r="A333" s="35"/>
      <c r="B333" s="90"/>
      <c r="C333" s="61" t="s">
        <v>185</v>
      </c>
      <c r="D333" s="62">
        <v>4</v>
      </c>
      <c r="E333" s="63">
        <v>3.3895432590500002E-4</v>
      </c>
    </row>
    <row r="334" spans="1:5" ht="14.5" customHeight="1">
      <c r="A334" s="35"/>
      <c r="B334" s="91"/>
      <c r="C334" s="66" t="s">
        <v>284</v>
      </c>
      <c r="D334" s="64">
        <v>756</v>
      </c>
      <c r="E334" s="67">
        <v>6.4062367595965994E-2</v>
      </c>
    </row>
    <row r="335" spans="1:5" ht="14.5" customHeight="1">
      <c r="A335" s="35"/>
      <c r="B335" s="89" t="s">
        <v>110</v>
      </c>
      <c r="C335" s="61" t="s">
        <v>189</v>
      </c>
      <c r="D335" s="62">
        <v>19</v>
      </c>
      <c r="E335" s="63">
        <v>1.6100330480470001E-3</v>
      </c>
    </row>
    <row r="336" spans="1:5" ht="14.5" customHeight="1">
      <c r="A336" s="35"/>
      <c r="B336" s="90"/>
      <c r="C336" s="61" t="s">
        <v>184</v>
      </c>
      <c r="D336" s="62">
        <v>17</v>
      </c>
      <c r="E336" s="63">
        <v>1.4405558850940001E-3</v>
      </c>
    </row>
    <row r="337" spans="1:5" ht="14.5" customHeight="1">
      <c r="A337" s="35"/>
      <c r="B337" s="90"/>
      <c r="C337" s="61" t="s">
        <v>183</v>
      </c>
      <c r="D337" s="62">
        <v>27</v>
      </c>
      <c r="E337" s="63">
        <v>2.2879416998559999E-3</v>
      </c>
    </row>
    <row r="338" spans="1:5" ht="14.5" customHeight="1">
      <c r="A338" s="35"/>
      <c r="B338" s="90"/>
      <c r="C338" s="61" t="s">
        <v>172</v>
      </c>
      <c r="D338" s="62">
        <v>131</v>
      </c>
      <c r="E338" s="63">
        <v>1.1100754173374999E-2</v>
      </c>
    </row>
    <row r="339" spans="1:5" ht="14.5" customHeight="1">
      <c r="A339" s="35"/>
      <c r="B339" s="90"/>
      <c r="C339" s="61" t="s">
        <v>175</v>
      </c>
      <c r="D339" s="62">
        <v>66</v>
      </c>
      <c r="E339" s="63">
        <v>5.5927463774260002E-3</v>
      </c>
    </row>
    <row r="340" spans="1:5" ht="14.5" customHeight="1">
      <c r="A340" s="35"/>
      <c r="B340" s="90"/>
      <c r="C340" s="61" t="s">
        <v>177</v>
      </c>
      <c r="D340" s="62">
        <v>34</v>
      </c>
      <c r="E340" s="63">
        <v>2.8811117701889998E-3</v>
      </c>
    </row>
    <row r="341" spans="1:5" ht="14.5" customHeight="1">
      <c r="A341" s="35"/>
      <c r="B341" s="90"/>
      <c r="C341" s="61" t="s">
        <v>180</v>
      </c>
      <c r="D341" s="62">
        <v>21</v>
      </c>
      <c r="E341" s="63">
        <v>1.7795102109989999E-3</v>
      </c>
    </row>
    <row r="342" spans="1:5" ht="14.5" customHeight="1">
      <c r="A342" s="35"/>
      <c r="B342" s="90"/>
      <c r="C342" s="61" t="s">
        <v>201</v>
      </c>
      <c r="D342" s="62">
        <v>4</v>
      </c>
      <c r="E342" s="63">
        <v>3.3895432590500002E-4</v>
      </c>
    </row>
    <row r="343" spans="1:5" ht="14.5" customHeight="1">
      <c r="A343" s="35"/>
      <c r="B343" s="90"/>
      <c r="C343" s="61" t="s">
        <v>174</v>
      </c>
      <c r="D343" s="62">
        <v>63</v>
      </c>
      <c r="E343" s="63">
        <v>5.3385306329969996E-3</v>
      </c>
    </row>
    <row r="344" spans="1:5" ht="14.5" customHeight="1">
      <c r="A344" s="35"/>
      <c r="B344" s="90"/>
      <c r="C344" s="61" t="s">
        <v>188</v>
      </c>
      <c r="D344" s="62">
        <v>22</v>
      </c>
      <c r="E344" s="63">
        <v>1.8642487924749999E-3</v>
      </c>
    </row>
    <row r="345" spans="1:5" ht="14.5" customHeight="1">
      <c r="A345" s="35"/>
      <c r="B345" s="90"/>
      <c r="C345" s="61" t="s">
        <v>196</v>
      </c>
      <c r="D345" s="62">
        <v>8</v>
      </c>
      <c r="E345" s="63">
        <v>6.7790865180899996E-4</v>
      </c>
    </row>
    <row r="346" spans="1:5" ht="14.5" customHeight="1">
      <c r="A346" s="35"/>
      <c r="B346" s="90"/>
      <c r="C346" s="61" t="s">
        <v>176</v>
      </c>
      <c r="D346" s="62">
        <v>35</v>
      </c>
      <c r="E346" s="63">
        <v>2.965850351665E-3</v>
      </c>
    </row>
    <row r="347" spans="1:5" ht="14.5" customHeight="1">
      <c r="A347" s="35"/>
      <c r="B347" s="90"/>
      <c r="C347" s="61" t="s">
        <v>194</v>
      </c>
      <c r="D347" s="62">
        <v>10</v>
      </c>
      <c r="E347" s="63">
        <v>8.4738581476099997E-4</v>
      </c>
    </row>
    <row r="348" spans="1:5" ht="14.5" customHeight="1">
      <c r="A348" s="35"/>
      <c r="B348" s="90"/>
      <c r="C348" s="61" t="s">
        <v>193</v>
      </c>
      <c r="D348" s="62">
        <v>11</v>
      </c>
      <c r="E348" s="63">
        <v>9.3212439623799998E-4</v>
      </c>
    </row>
    <row r="349" spans="1:5" ht="14.5" customHeight="1">
      <c r="A349" s="35"/>
      <c r="B349" s="90"/>
      <c r="C349" s="61" t="s">
        <v>204</v>
      </c>
      <c r="D349" s="62">
        <v>2</v>
      </c>
      <c r="E349" s="63">
        <v>1.69477162952E-4</v>
      </c>
    </row>
    <row r="350" spans="1:5" ht="14.5" customHeight="1">
      <c r="A350" s="35"/>
      <c r="B350" s="90"/>
      <c r="C350" s="61" t="s">
        <v>191</v>
      </c>
      <c r="D350" s="62">
        <v>6</v>
      </c>
      <c r="E350" s="63">
        <v>5.0843148885699996E-4</v>
      </c>
    </row>
    <row r="351" spans="1:5" ht="14.5" customHeight="1">
      <c r="A351" s="35"/>
      <c r="B351" s="90"/>
      <c r="C351" s="61" t="s">
        <v>182</v>
      </c>
      <c r="D351" s="62">
        <v>15</v>
      </c>
      <c r="E351" s="63">
        <v>1.271078722142E-3</v>
      </c>
    </row>
    <row r="352" spans="1:5" ht="14.5" customHeight="1">
      <c r="A352" s="35"/>
      <c r="B352" s="90"/>
      <c r="C352" s="61" t="s">
        <v>197</v>
      </c>
      <c r="D352" s="62">
        <v>11</v>
      </c>
      <c r="E352" s="63">
        <v>9.3212439623799998E-4</v>
      </c>
    </row>
    <row r="353" spans="1:5" ht="14.5" customHeight="1">
      <c r="A353" s="35"/>
      <c r="B353" s="90"/>
      <c r="C353" s="61" t="s">
        <v>190</v>
      </c>
      <c r="D353" s="62">
        <v>18</v>
      </c>
      <c r="E353" s="63">
        <v>1.5252944665710001E-3</v>
      </c>
    </row>
    <row r="354" spans="1:5" ht="14.5" customHeight="1">
      <c r="A354" s="35"/>
      <c r="B354" s="90"/>
      <c r="C354" s="61" t="s">
        <v>186</v>
      </c>
      <c r="D354" s="62">
        <v>21</v>
      </c>
      <c r="E354" s="63">
        <v>1.7795102109989999E-3</v>
      </c>
    </row>
    <row r="355" spans="1:5" ht="14.5" customHeight="1">
      <c r="A355" s="35"/>
      <c r="B355" s="90"/>
      <c r="C355" s="61" t="s">
        <v>187</v>
      </c>
      <c r="D355" s="62">
        <v>20</v>
      </c>
      <c r="E355" s="63">
        <v>1.694771629523E-3</v>
      </c>
    </row>
    <row r="356" spans="1:5" ht="14.5" customHeight="1">
      <c r="A356" s="35"/>
      <c r="B356" s="90"/>
      <c r="C356" s="61" t="s">
        <v>179</v>
      </c>
      <c r="D356" s="62">
        <v>22</v>
      </c>
      <c r="E356" s="63">
        <v>1.8642487924749999E-3</v>
      </c>
    </row>
    <row r="357" spans="1:5" ht="14.5" customHeight="1">
      <c r="A357" s="35"/>
      <c r="B357" s="90"/>
      <c r="C357" s="61" t="s">
        <v>200</v>
      </c>
      <c r="D357" s="62">
        <v>2</v>
      </c>
      <c r="E357" s="63">
        <v>1.69477162952E-4</v>
      </c>
    </row>
    <row r="358" spans="1:5" ht="14.5" customHeight="1">
      <c r="A358" s="35"/>
      <c r="B358" s="90"/>
      <c r="C358" s="61" t="s">
        <v>181</v>
      </c>
      <c r="D358" s="62">
        <v>19</v>
      </c>
      <c r="E358" s="63">
        <v>1.6100330480470001E-3</v>
      </c>
    </row>
    <row r="359" spans="1:5" ht="14.5" customHeight="1">
      <c r="A359" s="35"/>
      <c r="B359" s="90"/>
      <c r="C359" s="61" t="s">
        <v>209</v>
      </c>
      <c r="D359" s="62">
        <v>1</v>
      </c>
      <c r="E359" s="63">
        <v>8.4738581476000001E-5</v>
      </c>
    </row>
    <row r="360" spans="1:5" ht="14.5" customHeight="1">
      <c r="A360" s="35"/>
      <c r="B360" s="90"/>
      <c r="C360" s="61" t="s">
        <v>198</v>
      </c>
      <c r="D360" s="62">
        <v>7</v>
      </c>
      <c r="E360" s="63">
        <v>5.9317007033300002E-4</v>
      </c>
    </row>
    <row r="361" spans="1:5" ht="14.5" customHeight="1">
      <c r="A361" s="35"/>
      <c r="B361" s="90"/>
      <c r="C361" s="61" t="s">
        <v>173</v>
      </c>
      <c r="D361" s="62">
        <v>122</v>
      </c>
      <c r="E361" s="63">
        <v>1.033810694009E-2</v>
      </c>
    </row>
    <row r="362" spans="1:5" ht="14.5" customHeight="1">
      <c r="A362" s="35"/>
      <c r="B362" s="90"/>
      <c r="C362" s="61" t="s">
        <v>208</v>
      </c>
      <c r="D362" s="62">
        <v>1</v>
      </c>
      <c r="E362" s="63">
        <v>8.4738581476000001E-5</v>
      </c>
    </row>
    <row r="363" spans="1:5" ht="14.5" customHeight="1">
      <c r="A363" s="35"/>
      <c r="B363" s="90"/>
      <c r="C363" s="61" t="s">
        <v>205</v>
      </c>
      <c r="D363" s="62">
        <v>2</v>
      </c>
      <c r="E363" s="63">
        <v>1.69477162952E-4</v>
      </c>
    </row>
    <row r="364" spans="1:5" ht="14.5" customHeight="1">
      <c r="A364" s="35"/>
      <c r="B364" s="90"/>
      <c r="C364" s="61" t="s">
        <v>192</v>
      </c>
      <c r="D364" s="62">
        <v>10</v>
      </c>
      <c r="E364" s="63">
        <v>8.4738581476099997E-4</v>
      </c>
    </row>
    <row r="365" spans="1:5" ht="14.5" customHeight="1">
      <c r="A365" s="35"/>
      <c r="B365" s="90"/>
      <c r="C365" s="61" t="s">
        <v>202</v>
      </c>
      <c r="D365" s="62">
        <v>2</v>
      </c>
      <c r="E365" s="63">
        <v>1.69477162952E-4</v>
      </c>
    </row>
    <row r="366" spans="1:5" ht="14.5" customHeight="1">
      <c r="A366" s="35"/>
      <c r="B366" s="90"/>
      <c r="C366" s="61" t="s">
        <v>178</v>
      </c>
      <c r="D366" s="62">
        <v>31</v>
      </c>
      <c r="E366" s="63">
        <v>2.6268960257610002E-3</v>
      </c>
    </row>
    <row r="367" spans="1:5" ht="14.5" customHeight="1">
      <c r="A367" s="35"/>
      <c r="B367" s="90"/>
      <c r="C367" s="61" t="s">
        <v>171</v>
      </c>
      <c r="D367" s="62">
        <v>2377</v>
      </c>
      <c r="E367" s="63">
        <v>0.20142360816879901</v>
      </c>
    </row>
    <row r="368" spans="1:5" ht="14.5" customHeight="1">
      <c r="A368" s="35"/>
      <c r="B368" s="90"/>
      <c r="C368" s="61" t="s">
        <v>195</v>
      </c>
      <c r="D368" s="62">
        <v>11</v>
      </c>
      <c r="E368" s="63">
        <v>9.3212439623799998E-4</v>
      </c>
    </row>
    <row r="369" spans="1:5" ht="14.5" customHeight="1">
      <c r="A369" s="35"/>
      <c r="B369" s="90"/>
      <c r="C369" s="61" t="s">
        <v>199</v>
      </c>
      <c r="D369" s="62">
        <v>3</v>
      </c>
      <c r="E369" s="63">
        <v>2.54215744428E-4</v>
      </c>
    </row>
    <row r="370" spans="1:5" ht="14.5" customHeight="1">
      <c r="A370" s="35"/>
      <c r="B370" s="90"/>
      <c r="C370" s="61" t="s">
        <v>84</v>
      </c>
      <c r="D370" s="62">
        <v>2</v>
      </c>
      <c r="E370" s="63">
        <v>1.69477162952E-4</v>
      </c>
    </row>
    <row r="371" spans="1:5" ht="14.5" customHeight="1">
      <c r="A371" s="35"/>
      <c r="B371" s="90"/>
      <c r="C371" s="61" t="s">
        <v>185</v>
      </c>
      <c r="D371" s="62">
        <v>20</v>
      </c>
      <c r="E371" s="63">
        <v>1.694771629523E-3</v>
      </c>
    </row>
    <row r="372" spans="1:5" ht="14.5" customHeight="1">
      <c r="A372" s="35"/>
      <c r="B372" s="91"/>
      <c r="C372" s="66" t="s">
        <v>284</v>
      </c>
      <c r="D372" s="64">
        <v>3193</v>
      </c>
      <c r="E372" s="67">
        <v>0.27057029065333499</v>
      </c>
    </row>
    <row r="373" spans="1:5" ht="14.5" customHeight="1">
      <c r="A373" s="35"/>
      <c r="B373" s="89" t="s">
        <v>224</v>
      </c>
      <c r="C373" s="61" t="s">
        <v>172</v>
      </c>
      <c r="D373" s="62">
        <v>5</v>
      </c>
      <c r="E373" s="63">
        <v>4.2369290738100002E-4</v>
      </c>
    </row>
    <row r="374" spans="1:5" ht="14.5" customHeight="1">
      <c r="A374" s="35"/>
      <c r="B374" s="90"/>
      <c r="C374" s="61" t="s">
        <v>177</v>
      </c>
      <c r="D374" s="62">
        <v>1</v>
      </c>
      <c r="E374" s="63">
        <v>8.4738581476000001E-5</v>
      </c>
    </row>
    <row r="375" spans="1:5" ht="14.5" customHeight="1">
      <c r="A375" s="35"/>
      <c r="B375" s="90"/>
      <c r="C375" s="61" t="s">
        <v>174</v>
      </c>
      <c r="D375" s="62">
        <v>2</v>
      </c>
      <c r="E375" s="63">
        <v>1.69477162952E-4</v>
      </c>
    </row>
    <row r="376" spans="1:5" ht="14.5" customHeight="1">
      <c r="A376" s="35"/>
      <c r="B376" s="90"/>
      <c r="C376" s="61" t="s">
        <v>188</v>
      </c>
      <c r="D376" s="62">
        <v>1</v>
      </c>
      <c r="E376" s="63">
        <v>8.4738581476000001E-5</v>
      </c>
    </row>
    <row r="377" spans="1:5" ht="14.5" customHeight="1">
      <c r="A377" s="35"/>
      <c r="B377" s="90"/>
      <c r="C377" s="61" t="s">
        <v>176</v>
      </c>
      <c r="D377" s="62">
        <v>2</v>
      </c>
      <c r="E377" s="63">
        <v>1.69477162952E-4</v>
      </c>
    </row>
    <row r="378" spans="1:5" ht="14.5" customHeight="1">
      <c r="A378" s="35"/>
      <c r="B378" s="90"/>
      <c r="C378" s="61" t="s">
        <v>182</v>
      </c>
      <c r="D378" s="62">
        <v>1</v>
      </c>
      <c r="E378" s="63">
        <v>8.4738581476000001E-5</v>
      </c>
    </row>
    <row r="379" spans="1:5" ht="14.5" customHeight="1">
      <c r="A379" s="35"/>
      <c r="B379" s="90"/>
      <c r="C379" s="61" t="s">
        <v>190</v>
      </c>
      <c r="D379" s="62">
        <v>1</v>
      </c>
      <c r="E379" s="63">
        <v>8.4738581476000001E-5</v>
      </c>
    </row>
    <row r="380" spans="1:5" ht="14.5" customHeight="1">
      <c r="A380" s="35"/>
      <c r="B380" s="90"/>
      <c r="C380" s="61" t="s">
        <v>179</v>
      </c>
      <c r="D380" s="62">
        <v>2</v>
      </c>
      <c r="E380" s="63">
        <v>1.69477162952E-4</v>
      </c>
    </row>
    <row r="381" spans="1:5" ht="14.5" customHeight="1">
      <c r="A381" s="35"/>
      <c r="B381" s="90"/>
      <c r="C381" s="61" t="s">
        <v>173</v>
      </c>
      <c r="D381" s="62">
        <v>1</v>
      </c>
      <c r="E381" s="63">
        <v>8.4738581476000001E-5</v>
      </c>
    </row>
    <row r="382" spans="1:5" ht="14.5" customHeight="1">
      <c r="A382" s="35"/>
      <c r="B382" s="90"/>
      <c r="C382" s="61" t="s">
        <v>171</v>
      </c>
      <c r="D382" s="62">
        <v>44</v>
      </c>
      <c r="E382" s="63">
        <v>3.7284975849499998E-3</v>
      </c>
    </row>
    <row r="383" spans="1:5" ht="14.5" customHeight="1">
      <c r="A383" s="35"/>
      <c r="B383" s="90"/>
      <c r="C383" s="61" t="s">
        <v>195</v>
      </c>
      <c r="D383" s="62">
        <v>1</v>
      </c>
      <c r="E383" s="63">
        <v>8.4738581476000001E-5</v>
      </c>
    </row>
    <row r="384" spans="1:5" ht="14.5" customHeight="1">
      <c r="A384" s="35"/>
      <c r="B384" s="91"/>
      <c r="C384" s="66" t="s">
        <v>284</v>
      </c>
      <c r="D384" s="64">
        <v>61</v>
      </c>
      <c r="E384" s="67">
        <v>5.1690534700450002E-3</v>
      </c>
    </row>
    <row r="385" spans="1:5" ht="14.5" customHeight="1">
      <c r="A385" s="35"/>
      <c r="B385" s="89" t="s">
        <v>225</v>
      </c>
      <c r="C385" s="61" t="s">
        <v>189</v>
      </c>
      <c r="D385" s="62">
        <v>2</v>
      </c>
      <c r="E385" s="63">
        <v>1.69477162952E-4</v>
      </c>
    </row>
    <row r="386" spans="1:5" ht="14.5" customHeight="1">
      <c r="A386" s="35"/>
      <c r="B386" s="90"/>
      <c r="C386" s="61" t="s">
        <v>183</v>
      </c>
      <c r="D386" s="62">
        <v>1</v>
      </c>
      <c r="E386" s="63">
        <v>8.4738581476000001E-5</v>
      </c>
    </row>
    <row r="387" spans="1:5" ht="14.5" customHeight="1">
      <c r="A387" s="35"/>
      <c r="B387" s="90"/>
      <c r="C387" s="61" t="s">
        <v>172</v>
      </c>
      <c r="D387" s="62">
        <v>7</v>
      </c>
      <c r="E387" s="63">
        <v>5.9317007033300002E-4</v>
      </c>
    </row>
    <row r="388" spans="1:5" ht="14.5" customHeight="1">
      <c r="A388" s="35"/>
      <c r="B388" s="90"/>
      <c r="C388" s="61" t="s">
        <v>188</v>
      </c>
      <c r="D388" s="62">
        <v>1</v>
      </c>
      <c r="E388" s="63">
        <v>8.4738581476000001E-5</v>
      </c>
    </row>
    <row r="389" spans="1:5" ht="14.5" customHeight="1">
      <c r="A389" s="35"/>
      <c r="B389" s="90"/>
      <c r="C389" s="61" t="s">
        <v>196</v>
      </c>
      <c r="D389" s="62">
        <v>1</v>
      </c>
      <c r="E389" s="63">
        <v>8.4738581476000001E-5</v>
      </c>
    </row>
    <row r="390" spans="1:5" ht="14.5" customHeight="1">
      <c r="A390" s="35"/>
      <c r="B390" s="90"/>
      <c r="C390" s="61" t="s">
        <v>176</v>
      </c>
      <c r="D390" s="62">
        <v>1</v>
      </c>
      <c r="E390" s="63">
        <v>8.4738581476000001E-5</v>
      </c>
    </row>
    <row r="391" spans="1:5" ht="14.5" customHeight="1">
      <c r="A391" s="35"/>
      <c r="B391" s="90"/>
      <c r="C391" s="61" t="s">
        <v>182</v>
      </c>
      <c r="D391" s="62">
        <v>2</v>
      </c>
      <c r="E391" s="63">
        <v>1.69477162952E-4</v>
      </c>
    </row>
    <row r="392" spans="1:5" ht="14.5" customHeight="1">
      <c r="A392" s="35"/>
      <c r="B392" s="90"/>
      <c r="C392" s="61" t="s">
        <v>190</v>
      </c>
      <c r="D392" s="62">
        <v>1</v>
      </c>
      <c r="E392" s="63">
        <v>8.4738581476000001E-5</v>
      </c>
    </row>
    <row r="393" spans="1:5" ht="14.5" customHeight="1">
      <c r="A393" s="35"/>
      <c r="B393" s="90"/>
      <c r="C393" s="61" t="s">
        <v>173</v>
      </c>
      <c r="D393" s="62">
        <v>4</v>
      </c>
      <c r="E393" s="63">
        <v>3.3895432590500002E-4</v>
      </c>
    </row>
    <row r="394" spans="1:5" ht="14.5" customHeight="1">
      <c r="A394" s="35"/>
      <c r="B394" s="90"/>
      <c r="C394" s="61" t="s">
        <v>171</v>
      </c>
      <c r="D394" s="62">
        <v>34</v>
      </c>
      <c r="E394" s="63">
        <v>2.8811117701889998E-3</v>
      </c>
    </row>
    <row r="395" spans="1:5" ht="14.5" customHeight="1">
      <c r="A395" s="35"/>
      <c r="B395" s="91"/>
      <c r="C395" s="66" t="s">
        <v>284</v>
      </c>
      <c r="D395" s="64">
        <v>54</v>
      </c>
      <c r="E395" s="67">
        <v>4.5758833997119998E-3</v>
      </c>
    </row>
    <row r="396" spans="1:5" ht="14.5" customHeight="1">
      <c r="A396" s="35"/>
      <c r="B396" s="89" t="s">
        <v>226</v>
      </c>
      <c r="C396" s="61" t="s">
        <v>172</v>
      </c>
      <c r="D396" s="62">
        <v>3</v>
      </c>
      <c r="E396" s="63">
        <v>2.54215744428E-4</v>
      </c>
    </row>
    <row r="397" spans="1:5" ht="14.5" customHeight="1">
      <c r="A397" s="35"/>
      <c r="B397" s="90"/>
      <c r="C397" s="61" t="s">
        <v>175</v>
      </c>
      <c r="D397" s="62">
        <v>1</v>
      </c>
      <c r="E397" s="63">
        <v>8.4738581476000001E-5</v>
      </c>
    </row>
    <row r="398" spans="1:5" ht="14.5" customHeight="1">
      <c r="A398" s="35"/>
      <c r="B398" s="90"/>
      <c r="C398" s="61" t="s">
        <v>190</v>
      </c>
      <c r="D398" s="62">
        <v>1</v>
      </c>
      <c r="E398" s="63">
        <v>8.4738581476000001E-5</v>
      </c>
    </row>
    <row r="399" spans="1:5" ht="14.5" customHeight="1">
      <c r="A399" s="35"/>
      <c r="B399" s="90"/>
      <c r="C399" s="61" t="s">
        <v>173</v>
      </c>
      <c r="D399" s="62">
        <v>1</v>
      </c>
      <c r="E399" s="63">
        <v>8.4738581476000001E-5</v>
      </c>
    </row>
    <row r="400" spans="1:5" ht="14.5" customHeight="1">
      <c r="A400" s="35"/>
      <c r="B400" s="90"/>
      <c r="C400" s="61" t="s">
        <v>171</v>
      </c>
      <c r="D400" s="62">
        <v>15</v>
      </c>
      <c r="E400" s="63">
        <v>1.271078722142E-3</v>
      </c>
    </row>
    <row r="401" spans="1:5" ht="14.5" customHeight="1">
      <c r="A401" s="35"/>
      <c r="B401" s="91"/>
      <c r="C401" s="66" t="s">
        <v>284</v>
      </c>
      <c r="D401" s="64">
        <v>21</v>
      </c>
      <c r="E401" s="67">
        <v>1.7795102109989999E-3</v>
      </c>
    </row>
    <row r="402" spans="1:5" ht="14.5" customHeight="1">
      <c r="A402" s="35"/>
      <c r="B402" s="89" t="s">
        <v>227</v>
      </c>
      <c r="C402" s="61" t="s">
        <v>184</v>
      </c>
      <c r="D402" s="62">
        <v>2</v>
      </c>
      <c r="E402" s="63">
        <v>1.69477162952E-4</v>
      </c>
    </row>
    <row r="403" spans="1:5" ht="14.5" customHeight="1">
      <c r="A403" s="35"/>
      <c r="B403" s="90"/>
      <c r="C403" s="61" t="s">
        <v>172</v>
      </c>
      <c r="D403" s="62">
        <v>4</v>
      </c>
      <c r="E403" s="63">
        <v>3.3895432590500002E-4</v>
      </c>
    </row>
    <row r="404" spans="1:5" ht="14.5" customHeight="1">
      <c r="A404" s="35"/>
      <c r="B404" s="90"/>
      <c r="C404" s="61" t="s">
        <v>194</v>
      </c>
      <c r="D404" s="62">
        <v>1</v>
      </c>
      <c r="E404" s="63">
        <v>8.4738581476000001E-5</v>
      </c>
    </row>
    <row r="405" spans="1:5" ht="14.5" customHeight="1">
      <c r="A405" s="35"/>
      <c r="B405" s="90"/>
      <c r="C405" s="61" t="s">
        <v>193</v>
      </c>
      <c r="D405" s="62">
        <v>1</v>
      </c>
      <c r="E405" s="63">
        <v>8.4738581476000001E-5</v>
      </c>
    </row>
    <row r="406" spans="1:5" ht="14.5" customHeight="1">
      <c r="A406" s="35"/>
      <c r="B406" s="90"/>
      <c r="C406" s="61" t="s">
        <v>171</v>
      </c>
      <c r="D406" s="62">
        <v>15</v>
      </c>
      <c r="E406" s="63">
        <v>1.271078722142E-3</v>
      </c>
    </row>
    <row r="407" spans="1:5" ht="14.5" customHeight="1">
      <c r="A407" s="35"/>
      <c r="B407" s="91"/>
      <c r="C407" s="66" t="s">
        <v>284</v>
      </c>
      <c r="D407" s="64">
        <v>23</v>
      </c>
      <c r="E407" s="67">
        <v>1.9489873739510001E-3</v>
      </c>
    </row>
    <row r="408" spans="1:5" ht="14.5" customHeight="1">
      <c r="A408" s="35"/>
      <c r="B408" s="89" t="s">
        <v>115</v>
      </c>
      <c r="C408" s="61" t="s">
        <v>210</v>
      </c>
      <c r="D408" s="62">
        <v>1</v>
      </c>
      <c r="E408" s="63">
        <v>8.4738581476000001E-5</v>
      </c>
    </row>
    <row r="409" spans="1:5" ht="14.5" customHeight="1">
      <c r="A409" s="35"/>
      <c r="B409" s="90"/>
      <c r="C409" s="61" t="s">
        <v>184</v>
      </c>
      <c r="D409" s="62">
        <v>3</v>
      </c>
      <c r="E409" s="63">
        <v>2.54215744428E-4</v>
      </c>
    </row>
    <row r="410" spans="1:5" ht="14.5" customHeight="1">
      <c r="A410" s="35"/>
      <c r="B410" s="90"/>
      <c r="C410" s="61" t="s">
        <v>172</v>
      </c>
      <c r="D410" s="62">
        <v>16</v>
      </c>
      <c r="E410" s="63">
        <v>1.3558173036179999E-3</v>
      </c>
    </row>
    <row r="411" spans="1:5" ht="14.5" customHeight="1">
      <c r="A411" s="35"/>
      <c r="B411" s="90"/>
      <c r="C411" s="61" t="s">
        <v>175</v>
      </c>
      <c r="D411" s="62">
        <v>10</v>
      </c>
      <c r="E411" s="63">
        <v>8.4738581476099997E-4</v>
      </c>
    </row>
    <row r="412" spans="1:5" ht="14.5" customHeight="1">
      <c r="A412" s="35"/>
      <c r="B412" s="90"/>
      <c r="C412" s="61" t="s">
        <v>177</v>
      </c>
      <c r="D412" s="62">
        <v>2</v>
      </c>
      <c r="E412" s="63">
        <v>1.69477162952E-4</v>
      </c>
    </row>
    <row r="413" spans="1:5" ht="14.5" customHeight="1">
      <c r="A413" s="35"/>
      <c r="B413" s="90"/>
      <c r="C413" s="61" t="s">
        <v>180</v>
      </c>
      <c r="D413" s="62">
        <v>1</v>
      </c>
      <c r="E413" s="63">
        <v>8.4738581476000001E-5</v>
      </c>
    </row>
    <row r="414" spans="1:5" ht="14.5" customHeight="1">
      <c r="A414" s="35"/>
      <c r="B414" s="90"/>
      <c r="C414" s="61" t="s">
        <v>174</v>
      </c>
      <c r="D414" s="62">
        <v>1</v>
      </c>
      <c r="E414" s="63">
        <v>8.4738581476000001E-5</v>
      </c>
    </row>
    <row r="415" spans="1:5" ht="14.5" customHeight="1">
      <c r="A415" s="35"/>
      <c r="B415" s="90"/>
      <c r="C415" s="61" t="s">
        <v>188</v>
      </c>
      <c r="D415" s="62">
        <v>1</v>
      </c>
      <c r="E415" s="63">
        <v>8.4738581476000001E-5</v>
      </c>
    </row>
    <row r="416" spans="1:5" ht="14.5" customHeight="1">
      <c r="A416" s="35"/>
      <c r="B416" s="90"/>
      <c r="C416" s="61" t="s">
        <v>196</v>
      </c>
      <c r="D416" s="62">
        <v>1</v>
      </c>
      <c r="E416" s="63">
        <v>8.4738581476000001E-5</v>
      </c>
    </row>
    <row r="417" spans="1:5" ht="14.5" customHeight="1">
      <c r="A417" s="35"/>
      <c r="B417" s="90"/>
      <c r="C417" s="61" t="s">
        <v>191</v>
      </c>
      <c r="D417" s="62">
        <v>2</v>
      </c>
      <c r="E417" s="63">
        <v>1.69477162952E-4</v>
      </c>
    </row>
    <row r="418" spans="1:5" ht="14.5" customHeight="1">
      <c r="A418" s="35"/>
      <c r="B418" s="90"/>
      <c r="C418" s="61" t="s">
        <v>182</v>
      </c>
      <c r="D418" s="62">
        <v>3</v>
      </c>
      <c r="E418" s="63">
        <v>2.54215744428E-4</v>
      </c>
    </row>
    <row r="419" spans="1:5" ht="14.5" customHeight="1">
      <c r="A419" s="35"/>
      <c r="B419" s="90"/>
      <c r="C419" s="61" t="s">
        <v>197</v>
      </c>
      <c r="D419" s="62">
        <v>2</v>
      </c>
      <c r="E419" s="63">
        <v>1.69477162952E-4</v>
      </c>
    </row>
    <row r="420" spans="1:5" ht="14.5" customHeight="1">
      <c r="A420" s="35"/>
      <c r="B420" s="90"/>
      <c r="C420" s="61" t="s">
        <v>190</v>
      </c>
      <c r="D420" s="62">
        <v>3</v>
      </c>
      <c r="E420" s="63">
        <v>2.54215744428E-4</v>
      </c>
    </row>
    <row r="421" spans="1:5" ht="14.5" customHeight="1">
      <c r="A421" s="35"/>
      <c r="B421" s="90"/>
      <c r="C421" s="61" t="s">
        <v>187</v>
      </c>
      <c r="D421" s="62">
        <v>2</v>
      </c>
      <c r="E421" s="63">
        <v>1.69477162952E-4</v>
      </c>
    </row>
    <row r="422" spans="1:5" ht="14.5" customHeight="1">
      <c r="A422" s="35"/>
      <c r="B422" s="90"/>
      <c r="C422" s="61" t="s">
        <v>203</v>
      </c>
      <c r="D422" s="62">
        <v>1</v>
      </c>
      <c r="E422" s="63">
        <v>8.4738581476000001E-5</v>
      </c>
    </row>
    <row r="423" spans="1:5" ht="14.5" customHeight="1">
      <c r="A423" s="35"/>
      <c r="B423" s="90"/>
      <c r="C423" s="61" t="s">
        <v>179</v>
      </c>
      <c r="D423" s="62">
        <v>5</v>
      </c>
      <c r="E423" s="63">
        <v>4.2369290738100002E-4</v>
      </c>
    </row>
    <row r="424" spans="1:5" ht="14.5" customHeight="1">
      <c r="A424" s="35"/>
      <c r="B424" s="90"/>
      <c r="C424" s="61" t="s">
        <v>200</v>
      </c>
      <c r="D424" s="62">
        <v>1</v>
      </c>
      <c r="E424" s="63">
        <v>8.4738581476000001E-5</v>
      </c>
    </row>
    <row r="425" spans="1:5" ht="14.5" customHeight="1">
      <c r="A425" s="35"/>
      <c r="B425" s="90"/>
      <c r="C425" s="61" t="s">
        <v>181</v>
      </c>
      <c r="D425" s="62">
        <v>4</v>
      </c>
      <c r="E425" s="63">
        <v>3.3895432590500002E-4</v>
      </c>
    </row>
    <row r="426" spans="1:5" ht="14.5" customHeight="1">
      <c r="A426" s="35"/>
      <c r="B426" s="90"/>
      <c r="C426" s="61" t="s">
        <v>198</v>
      </c>
      <c r="D426" s="62">
        <v>1</v>
      </c>
      <c r="E426" s="63">
        <v>8.4738581476000001E-5</v>
      </c>
    </row>
    <row r="427" spans="1:5" ht="14.5" customHeight="1">
      <c r="A427" s="35"/>
      <c r="B427" s="90"/>
      <c r="C427" s="61" t="s">
        <v>173</v>
      </c>
      <c r="D427" s="62">
        <v>8</v>
      </c>
      <c r="E427" s="63">
        <v>6.7790865180899996E-4</v>
      </c>
    </row>
    <row r="428" spans="1:5" ht="14.5" customHeight="1">
      <c r="A428" s="35"/>
      <c r="B428" s="90"/>
      <c r="C428" s="61" t="s">
        <v>192</v>
      </c>
      <c r="D428" s="62">
        <v>1</v>
      </c>
      <c r="E428" s="63">
        <v>8.4738581476000001E-5</v>
      </c>
    </row>
    <row r="429" spans="1:5" ht="14.5" customHeight="1">
      <c r="A429" s="35"/>
      <c r="B429" s="90"/>
      <c r="C429" s="61" t="s">
        <v>171</v>
      </c>
      <c r="D429" s="62">
        <v>141</v>
      </c>
      <c r="E429" s="63">
        <v>1.1948139988136999E-2</v>
      </c>
    </row>
    <row r="430" spans="1:5" ht="14.5" customHeight="1">
      <c r="A430" s="35"/>
      <c r="B430" s="90"/>
      <c r="C430" s="61" t="s">
        <v>195</v>
      </c>
      <c r="D430" s="62">
        <v>4</v>
      </c>
      <c r="E430" s="63">
        <v>3.3895432590500002E-4</v>
      </c>
    </row>
    <row r="431" spans="1:5" ht="14.5" customHeight="1">
      <c r="A431" s="35"/>
      <c r="B431" s="90"/>
      <c r="C431" s="61" t="s">
        <v>84</v>
      </c>
      <c r="D431" s="62">
        <v>1</v>
      </c>
      <c r="E431" s="63">
        <v>8.4738581476000001E-5</v>
      </c>
    </row>
    <row r="432" spans="1:5" ht="14.5" customHeight="1">
      <c r="A432" s="35"/>
      <c r="B432" s="90"/>
      <c r="C432" s="61" t="s">
        <v>185</v>
      </c>
      <c r="D432" s="62">
        <v>2</v>
      </c>
      <c r="E432" s="63">
        <v>1.69477162952E-4</v>
      </c>
    </row>
    <row r="433" spans="1:5" ht="14.5" customHeight="1">
      <c r="A433" s="35"/>
      <c r="B433" s="90"/>
      <c r="C433" s="61" t="s">
        <v>206</v>
      </c>
      <c r="D433" s="62">
        <v>1</v>
      </c>
      <c r="E433" s="63">
        <v>8.4738581476000001E-5</v>
      </c>
    </row>
    <row r="434" spans="1:5" ht="14.5" customHeight="1">
      <c r="A434" s="35"/>
      <c r="B434" s="91"/>
      <c r="C434" s="66" t="s">
        <v>284</v>
      </c>
      <c r="D434" s="64">
        <v>218</v>
      </c>
      <c r="E434" s="67">
        <v>1.84730107618E-2</v>
      </c>
    </row>
    <row r="435" spans="1:5" ht="14.5" customHeight="1">
      <c r="A435" s="35"/>
      <c r="B435" s="89" t="s">
        <v>116</v>
      </c>
      <c r="C435" s="61" t="s">
        <v>189</v>
      </c>
      <c r="D435" s="62">
        <v>4</v>
      </c>
      <c r="E435" s="63">
        <v>3.3895432590500002E-4</v>
      </c>
    </row>
    <row r="436" spans="1:5" ht="14.5" customHeight="1">
      <c r="A436" s="35"/>
      <c r="B436" s="90"/>
      <c r="C436" s="61" t="s">
        <v>210</v>
      </c>
      <c r="D436" s="62">
        <v>1</v>
      </c>
      <c r="E436" s="63">
        <v>8.4738581476000001E-5</v>
      </c>
    </row>
    <row r="437" spans="1:5" ht="14.5" customHeight="1">
      <c r="A437" s="35"/>
      <c r="B437" s="90"/>
      <c r="C437" s="61" t="s">
        <v>184</v>
      </c>
      <c r="D437" s="62">
        <v>14</v>
      </c>
      <c r="E437" s="63">
        <v>1.186340140666E-3</v>
      </c>
    </row>
    <row r="438" spans="1:5" ht="14.5" customHeight="1">
      <c r="A438" s="35"/>
      <c r="B438" s="90"/>
      <c r="C438" s="61" t="s">
        <v>183</v>
      </c>
      <c r="D438" s="62">
        <v>4</v>
      </c>
      <c r="E438" s="63">
        <v>3.3895432590500002E-4</v>
      </c>
    </row>
    <row r="439" spans="1:5" ht="14.5" customHeight="1">
      <c r="A439" s="35"/>
      <c r="B439" s="90"/>
      <c r="C439" s="61" t="s">
        <v>172</v>
      </c>
      <c r="D439" s="62">
        <v>39</v>
      </c>
      <c r="E439" s="63">
        <v>3.3048046775699998E-3</v>
      </c>
    </row>
    <row r="440" spans="1:5" ht="14.5" customHeight="1">
      <c r="A440" s="35"/>
      <c r="B440" s="90"/>
      <c r="C440" s="61" t="s">
        <v>175</v>
      </c>
      <c r="D440" s="62">
        <v>7</v>
      </c>
      <c r="E440" s="63">
        <v>5.9317007033300002E-4</v>
      </c>
    </row>
    <row r="441" spans="1:5" ht="14.5" customHeight="1">
      <c r="A441" s="35"/>
      <c r="B441" s="90"/>
      <c r="C441" s="61" t="s">
        <v>177</v>
      </c>
      <c r="D441" s="62">
        <v>9</v>
      </c>
      <c r="E441" s="63">
        <v>7.6264723328500002E-4</v>
      </c>
    </row>
    <row r="442" spans="1:5" ht="14.5" customHeight="1">
      <c r="A442" s="35"/>
      <c r="B442" s="90"/>
      <c r="C442" s="61" t="s">
        <v>180</v>
      </c>
      <c r="D442" s="62">
        <v>6</v>
      </c>
      <c r="E442" s="63">
        <v>5.0843148885699996E-4</v>
      </c>
    </row>
    <row r="443" spans="1:5" ht="14.5" customHeight="1">
      <c r="A443" s="35"/>
      <c r="B443" s="90"/>
      <c r="C443" s="61" t="s">
        <v>212</v>
      </c>
      <c r="D443" s="62">
        <v>1</v>
      </c>
      <c r="E443" s="63">
        <v>8.4738581476000001E-5</v>
      </c>
    </row>
    <row r="444" spans="1:5" ht="14.5" customHeight="1">
      <c r="A444" s="35"/>
      <c r="B444" s="90"/>
      <c r="C444" s="61" t="s">
        <v>201</v>
      </c>
      <c r="D444" s="62">
        <v>2</v>
      </c>
      <c r="E444" s="63">
        <v>1.69477162952E-4</v>
      </c>
    </row>
    <row r="445" spans="1:5" ht="14.5" customHeight="1">
      <c r="A445" s="35"/>
      <c r="B445" s="90"/>
      <c r="C445" s="61" t="s">
        <v>174</v>
      </c>
      <c r="D445" s="62">
        <v>38</v>
      </c>
      <c r="E445" s="63">
        <v>3.2200660960940001E-3</v>
      </c>
    </row>
    <row r="446" spans="1:5" ht="14.5" customHeight="1">
      <c r="A446" s="35"/>
      <c r="B446" s="90"/>
      <c r="C446" s="61" t="s">
        <v>188</v>
      </c>
      <c r="D446" s="62">
        <v>3</v>
      </c>
      <c r="E446" s="63">
        <v>2.54215744428E-4</v>
      </c>
    </row>
    <row r="447" spans="1:5" ht="14.5" customHeight="1">
      <c r="A447" s="35"/>
      <c r="B447" s="90"/>
      <c r="C447" s="61" t="s">
        <v>196</v>
      </c>
      <c r="D447" s="62">
        <v>4</v>
      </c>
      <c r="E447" s="63">
        <v>3.3895432590500002E-4</v>
      </c>
    </row>
    <row r="448" spans="1:5" ht="14.5" customHeight="1">
      <c r="A448" s="35"/>
      <c r="B448" s="90"/>
      <c r="C448" s="61" t="s">
        <v>176</v>
      </c>
      <c r="D448" s="62">
        <v>11</v>
      </c>
      <c r="E448" s="63">
        <v>9.3212439623799998E-4</v>
      </c>
    </row>
    <row r="449" spans="1:5" ht="14.5" customHeight="1">
      <c r="A449" s="35"/>
      <c r="B449" s="90"/>
      <c r="C449" s="61" t="s">
        <v>194</v>
      </c>
      <c r="D449" s="62">
        <v>2</v>
      </c>
      <c r="E449" s="63">
        <v>1.69477162952E-4</v>
      </c>
    </row>
    <row r="450" spans="1:5" ht="14.5" customHeight="1">
      <c r="A450" s="35"/>
      <c r="B450" s="90"/>
      <c r="C450" s="61" t="s">
        <v>193</v>
      </c>
      <c r="D450" s="62">
        <v>4</v>
      </c>
      <c r="E450" s="63">
        <v>3.3895432590500002E-4</v>
      </c>
    </row>
    <row r="451" spans="1:5" ht="14.5" customHeight="1">
      <c r="A451" s="35"/>
      <c r="B451" s="90"/>
      <c r="C451" s="61" t="s">
        <v>213</v>
      </c>
      <c r="D451" s="62">
        <v>1</v>
      </c>
      <c r="E451" s="63">
        <v>8.4738581476000001E-5</v>
      </c>
    </row>
    <row r="452" spans="1:5" ht="14.5" customHeight="1">
      <c r="A452" s="35"/>
      <c r="B452" s="90"/>
      <c r="C452" s="61" t="s">
        <v>191</v>
      </c>
      <c r="D452" s="62">
        <v>9</v>
      </c>
      <c r="E452" s="63">
        <v>7.6264723328500002E-4</v>
      </c>
    </row>
    <row r="453" spans="1:5" ht="14.5" customHeight="1">
      <c r="A453" s="35"/>
      <c r="B453" s="90"/>
      <c r="C453" s="61" t="s">
        <v>182</v>
      </c>
      <c r="D453" s="62">
        <v>7</v>
      </c>
      <c r="E453" s="63">
        <v>5.9317007033300002E-4</v>
      </c>
    </row>
    <row r="454" spans="1:5" ht="14.5" customHeight="1">
      <c r="A454" s="35"/>
      <c r="B454" s="90"/>
      <c r="C454" s="61" t="s">
        <v>197</v>
      </c>
      <c r="D454" s="62">
        <v>3</v>
      </c>
      <c r="E454" s="63">
        <v>2.54215744428E-4</v>
      </c>
    </row>
    <row r="455" spans="1:5" ht="14.5" customHeight="1">
      <c r="A455" s="35"/>
      <c r="B455" s="90"/>
      <c r="C455" s="61" t="s">
        <v>190</v>
      </c>
      <c r="D455" s="62">
        <v>4</v>
      </c>
      <c r="E455" s="63">
        <v>3.3895432590500002E-4</v>
      </c>
    </row>
    <row r="456" spans="1:5" ht="14.5" customHeight="1">
      <c r="A456" s="35"/>
      <c r="B456" s="90"/>
      <c r="C456" s="61" t="s">
        <v>186</v>
      </c>
      <c r="D456" s="62">
        <v>6</v>
      </c>
      <c r="E456" s="63">
        <v>5.0843148885699996E-4</v>
      </c>
    </row>
    <row r="457" spans="1:5" ht="14.5" customHeight="1">
      <c r="A457" s="35"/>
      <c r="B457" s="90"/>
      <c r="C457" s="61" t="s">
        <v>187</v>
      </c>
      <c r="D457" s="62">
        <v>10</v>
      </c>
      <c r="E457" s="63">
        <v>8.4738581476099997E-4</v>
      </c>
    </row>
    <row r="458" spans="1:5" ht="14.5" customHeight="1">
      <c r="A458" s="35"/>
      <c r="B458" s="90"/>
      <c r="C458" s="61" t="s">
        <v>203</v>
      </c>
      <c r="D458" s="62">
        <v>2</v>
      </c>
      <c r="E458" s="63">
        <v>1.69477162952E-4</v>
      </c>
    </row>
    <row r="459" spans="1:5" ht="14.5" customHeight="1">
      <c r="A459" s="35"/>
      <c r="B459" s="90"/>
      <c r="C459" s="61" t="s">
        <v>179</v>
      </c>
      <c r="D459" s="62">
        <v>7</v>
      </c>
      <c r="E459" s="63">
        <v>5.9317007033300002E-4</v>
      </c>
    </row>
    <row r="460" spans="1:5" ht="14.5" customHeight="1">
      <c r="A460" s="35"/>
      <c r="B460" s="90"/>
      <c r="C460" s="61" t="s">
        <v>200</v>
      </c>
      <c r="D460" s="62">
        <v>2</v>
      </c>
      <c r="E460" s="63">
        <v>1.69477162952E-4</v>
      </c>
    </row>
    <row r="461" spans="1:5" ht="14.5" customHeight="1">
      <c r="A461" s="35"/>
      <c r="B461" s="90"/>
      <c r="C461" s="61" t="s">
        <v>181</v>
      </c>
      <c r="D461" s="62">
        <v>8</v>
      </c>
      <c r="E461" s="63">
        <v>6.7790865180899996E-4</v>
      </c>
    </row>
    <row r="462" spans="1:5" ht="14.5" customHeight="1">
      <c r="A462" s="35"/>
      <c r="B462" s="90"/>
      <c r="C462" s="61" t="s">
        <v>198</v>
      </c>
      <c r="D462" s="62">
        <v>1</v>
      </c>
      <c r="E462" s="63">
        <v>8.4738581476000001E-5</v>
      </c>
    </row>
    <row r="463" spans="1:5" ht="14.5" customHeight="1">
      <c r="A463" s="35"/>
      <c r="B463" s="90"/>
      <c r="C463" s="61" t="s">
        <v>173</v>
      </c>
      <c r="D463" s="62">
        <v>26</v>
      </c>
      <c r="E463" s="63">
        <v>2.2032031183800002E-3</v>
      </c>
    </row>
    <row r="464" spans="1:5" ht="14.5" customHeight="1">
      <c r="A464" s="35"/>
      <c r="B464" s="90"/>
      <c r="C464" s="61" t="s">
        <v>205</v>
      </c>
      <c r="D464" s="62">
        <v>3</v>
      </c>
      <c r="E464" s="63">
        <v>2.54215744428E-4</v>
      </c>
    </row>
    <row r="465" spans="1:5" ht="14.5" customHeight="1">
      <c r="A465" s="35"/>
      <c r="B465" s="90"/>
      <c r="C465" s="61" t="s">
        <v>192</v>
      </c>
      <c r="D465" s="62">
        <v>2</v>
      </c>
      <c r="E465" s="63">
        <v>1.69477162952E-4</v>
      </c>
    </row>
    <row r="466" spans="1:5" ht="14.5" customHeight="1">
      <c r="A466" s="35"/>
      <c r="B466" s="90"/>
      <c r="C466" s="61" t="s">
        <v>202</v>
      </c>
      <c r="D466" s="62">
        <v>1</v>
      </c>
      <c r="E466" s="63">
        <v>8.4738581476000001E-5</v>
      </c>
    </row>
    <row r="467" spans="1:5" ht="14.5" customHeight="1">
      <c r="A467" s="35"/>
      <c r="B467" s="90"/>
      <c r="C467" s="61" t="s">
        <v>178</v>
      </c>
      <c r="D467" s="62">
        <v>5</v>
      </c>
      <c r="E467" s="63">
        <v>4.2369290738100002E-4</v>
      </c>
    </row>
    <row r="468" spans="1:5" ht="14.5" customHeight="1">
      <c r="A468" s="35"/>
      <c r="B468" s="90"/>
      <c r="C468" s="61" t="s">
        <v>171</v>
      </c>
      <c r="D468" s="62">
        <v>644</v>
      </c>
      <c r="E468" s="63">
        <v>5.4571646470638002E-2</v>
      </c>
    </row>
    <row r="469" spans="1:5" ht="14.5" customHeight="1">
      <c r="A469" s="35"/>
      <c r="B469" s="90"/>
      <c r="C469" s="61" t="s">
        <v>195</v>
      </c>
      <c r="D469" s="62">
        <v>1</v>
      </c>
      <c r="E469" s="63">
        <v>8.4738581476000001E-5</v>
      </c>
    </row>
    <row r="470" spans="1:5" ht="14.5" customHeight="1">
      <c r="A470" s="35"/>
      <c r="B470" s="90"/>
      <c r="C470" s="61" t="s">
        <v>199</v>
      </c>
      <c r="D470" s="62">
        <v>1</v>
      </c>
      <c r="E470" s="63">
        <v>8.4738581476000001E-5</v>
      </c>
    </row>
    <row r="471" spans="1:5" ht="14.5" customHeight="1">
      <c r="A471" s="35"/>
      <c r="B471" s="90"/>
      <c r="C471" s="61" t="s">
        <v>185</v>
      </c>
      <c r="D471" s="62">
        <v>7</v>
      </c>
      <c r="E471" s="63">
        <v>5.9317007033300002E-4</v>
      </c>
    </row>
    <row r="472" spans="1:5" ht="14.5" customHeight="1">
      <c r="A472" s="35"/>
      <c r="B472" s="90"/>
      <c r="C472" s="61" t="s">
        <v>206</v>
      </c>
      <c r="D472" s="62">
        <v>1</v>
      </c>
      <c r="E472" s="63">
        <v>8.4738581476000001E-5</v>
      </c>
    </row>
    <row r="473" spans="1:5" ht="14.5" customHeight="1">
      <c r="A473" s="35"/>
      <c r="B473" s="91"/>
      <c r="C473" s="66" t="s">
        <v>284</v>
      </c>
      <c r="D473" s="64">
        <v>900</v>
      </c>
      <c r="E473" s="67">
        <v>7.6264723328531001E-2</v>
      </c>
    </row>
    <row r="474" spans="1:5" ht="14.5" customHeight="1">
      <c r="A474" s="35"/>
      <c r="B474" s="89" t="s">
        <v>117</v>
      </c>
      <c r="C474" s="61" t="s">
        <v>183</v>
      </c>
      <c r="D474" s="62">
        <v>1</v>
      </c>
      <c r="E474" s="63">
        <v>8.4738581476000001E-5</v>
      </c>
    </row>
    <row r="475" spans="1:5" ht="14.5" customHeight="1">
      <c r="A475" s="35"/>
      <c r="B475" s="90"/>
      <c r="C475" s="61" t="s">
        <v>172</v>
      </c>
      <c r="D475" s="62">
        <v>1</v>
      </c>
      <c r="E475" s="63">
        <v>8.4738581476000001E-5</v>
      </c>
    </row>
    <row r="476" spans="1:5" ht="14.5" customHeight="1">
      <c r="A476" s="35"/>
      <c r="B476" s="90"/>
      <c r="C476" s="61" t="s">
        <v>179</v>
      </c>
      <c r="D476" s="62">
        <v>2</v>
      </c>
      <c r="E476" s="63">
        <v>1.69477162952E-4</v>
      </c>
    </row>
    <row r="477" spans="1:5" ht="14.5" customHeight="1">
      <c r="A477" s="35"/>
      <c r="B477" s="90"/>
      <c r="C477" s="61" t="s">
        <v>171</v>
      </c>
      <c r="D477" s="62">
        <v>18</v>
      </c>
      <c r="E477" s="63">
        <v>1.5252944665710001E-3</v>
      </c>
    </row>
    <row r="478" spans="1:5" ht="14.5" customHeight="1">
      <c r="A478" s="35"/>
      <c r="B478" s="91"/>
      <c r="C478" s="66" t="s">
        <v>284</v>
      </c>
      <c r="D478" s="64">
        <v>22</v>
      </c>
      <c r="E478" s="67">
        <v>1.8642487924749999E-3</v>
      </c>
    </row>
    <row r="479" spans="1:5" ht="14.5" customHeight="1">
      <c r="A479" s="35"/>
      <c r="B479" s="89" t="s">
        <v>118</v>
      </c>
      <c r="C479" s="61" t="s">
        <v>184</v>
      </c>
      <c r="D479" s="62">
        <v>2</v>
      </c>
      <c r="E479" s="63">
        <v>1.69477162952E-4</v>
      </c>
    </row>
    <row r="480" spans="1:5" ht="14.5" customHeight="1">
      <c r="A480" s="35"/>
      <c r="B480" s="90"/>
      <c r="C480" s="61" t="s">
        <v>183</v>
      </c>
      <c r="D480" s="62">
        <v>1</v>
      </c>
      <c r="E480" s="63">
        <v>8.4738581476000001E-5</v>
      </c>
    </row>
    <row r="481" spans="1:5" ht="14.5" customHeight="1">
      <c r="A481" s="35"/>
      <c r="B481" s="90"/>
      <c r="C481" s="61" t="s">
        <v>175</v>
      </c>
      <c r="D481" s="62">
        <v>1</v>
      </c>
      <c r="E481" s="63">
        <v>8.4738581476000001E-5</v>
      </c>
    </row>
    <row r="482" spans="1:5" ht="14.5" customHeight="1">
      <c r="A482" s="35"/>
      <c r="B482" s="90"/>
      <c r="C482" s="61" t="s">
        <v>179</v>
      </c>
      <c r="D482" s="62">
        <v>1</v>
      </c>
      <c r="E482" s="63">
        <v>8.4738581476000001E-5</v>
      </c>
    </row>
    <row r="483" spans="1:5" ht="14.5" customHeight="1">
      <c r="A483" s="35"/>
      <c r="B483" s="90"/>
      <c r="C483" s="61" t="s">
        <v>205</v>
      </c>
      <c r="D483" s="62">
        <v>1</v>
      </c>
      <c r="E483" s="63">
        <v>8.4738581476000001E-5</v>
      </c>
    </row>
    <row r="484" spans="1:5" ht="14.5" customHeight="1">
      <c r="A484" s="35"/>
      <c r="B484" s="90"/>
      <c r="C484" s="61" t="s">
        <v>171</v>
      </c>
      <c r="D484" s="62">
        <v>25</v>
      </c>
      <c r="E484" s="63">
        <v>2.118464536904E-3</v>
      </c>
    </row>
    <row r="485" spans="1:5" ht="14.5" customHeight="1">
      <c r="A485" s="35"/>
      <c r="B485" s="90"/>
      <c r="C485" s="61" t="s">
        <v>185</v>
      </c>
      <c r="D485" s="62">
        <v>1</v>
      </c>
      <c r="E485" s="63">
        <v>8.4738581476000001E-5</v>
      </c>
    </row>
    <row r="486" spans="1:5" ht="14.5" customHeight="1">
      <c r="A486" s="35"/>
      <c r="B486" s="91"/>
      <c r="C486" s="66" t="s">
        <v>284</v>
      </c>
      <c r="D486" s="64">
        <v>32</v>
      </c>
      <c r="E486" s="67">
        <v>2.7116346072369999E-3</v>
      </c>
    </row>
    <row r="487" spans="1:5" ht="14.5" customHeight="1">
      <c r="A487" s="35"/>
      <c r="B487" s="89" t="s">
        <v>119</v>
      </c>
      <c r="C487" s="61" t="s">
        <v>193</v>
      </c>
      <c r="D487" s="62">
        <v>1</v>
      </c>
      <c r="E487" s="63">
        <v>8.4738581476000001E-5</v>
      </c>
    </row>
    <row r="488" spans="1:5" ht="14.5" customHeight="1">
      <c r="A488" s="35"/>
      <c r="B488" s="90"/>
      <c r="C488" s="61" t="s">
        <v>171</v>
      </c>
      <c r="D488" s="62">
        <v>4</v>
      </c>
      <c r="E488" s="63">
        <v>3.3895432590500002E-4</v>
      </c>
    </row>
    <row r="489" spans="1:5" ht="14.5" customHeight="1">
      <c r="A489" s="35"/>
      <c r="B489" s="90"/>
      <c r="C489" s="61" t="s">
        <v>199</v>
      </c>
      <c r="D489" s="62">
        <v>1</v>
      </c>
      <c r="E489" s="63">
        <v>8.4738581476000001E-5</v>
      </c>
    </row>
    <row r="490" spans="1:5" ht="14.5" customHeight="1">
      <c r="A490" s="35"/>
      <c r="B490" s="91"/>
      <c r="C490" s="66" t="s">
        <v>284</v>
      </c>
      <c r="D490" s="64">
        <v>6</v>
      </c>
      <c r="E490" s="67">
        <v>5.0843148885699996E-4</v>
      </c>
    </row>
    <row r="491" spans="1:5" ht="14.5" customHeight="1">
      <c r="A491" s="35"/>
      <c r="B491" s="87" t="s">
        <v>288</v>
      </c>
      <c r="C491" s="88"/>
      <c r="D491" s="69">
        <v>11801</v>
      </c>
      <c r="E491" s="70">
        <v>1</v>
      </c>
    </row>
    <row r="492" spans="1:5" ht="14.5" customHeight="1">
      <c r="A492" s="35"/>
      <c r="B492" s="35"/>
      <c r="C492" s="35"/>
      <c r="D492" s="35"/>
      <c r="E492" s="35"/>
    </row>
    <row r="493" spans="1:5" ht="14.5" customHeight="1">
      <c r="A493" s="35"/>
      <c r="B493" s="36" t="s">
        <v>130</v>
      </c>
      <c r="C493" s="37"/>
      <c r="D493" s="35"/>
      <c r="E493" s="35"/>
    </row>
    <row r="494" spans="1:5" ht="14.5" customHeight="1">
      <c r="A494" s="35"/>
      <c r="B494" s="38" t="s">
        <v>17</v>
      </c>
      <c r="C494" s="37"/>
      <c r="D494" s="35"/>
      <c r="E494" s="35"/>
    </row>
    <row r="495" spans="1:5" ht="14.5" customHeight="1">
      <c r="A495" s="35"/>
      <c r="B495" s="39" t="s">
        <v>95</v>
      </c>
      <c r="C495" s="37"/>
      <c r="D495" s="35"/>
      <c r="E495" s="35"/>
    </row>
    <row r="496" spans="1:5" ht="14.5" customHeight="1">
      <c r="A496" s="35"/>
      <c r="B496" s="36" t="s">
        <v>16</v>
      </c>
      <c r="C496" s="37"/>
      <c r="D496" s="35"/>
      <c r="E496" s="35"/>
    </row>
    <row r="497" spans="1:5" ht="14.5" customHeight="1">
      <c r="A497" s="35"/>
      <c r="B497" s="36" t="s">
        <v>285</v>
      </c>
      <c r="C497" s="37"/>
      <c r="D497" s="35"/>
      <c r="E497" s="35"/>
    </row>
  </sheetData>
  <mergeCells count="27">
    <mergeCell ref="B487:B490"/>
    <mergeCell ref="B491:C491"/>
    <mergeCell ref="B402:B407"/>
    <mergeCell ref="B408:B434"/>
    <mergeCell ref="B435:B473"/>
    <mergeCell ref="B474:B478"/>
    <mergeCell ref="B479:B486"/>
    <mergeCell ref="B301:B334"/>
    <mergeCell ref="B335:B372"/>
    <mergeCell ref="B373:B384"/>
    <mergeCell ref="B385:B395"/>
    <mergeCell ref="B396:B401"/>
    <mergeCell ref="B156:B175"/>
    <mergeCell ref="B176:B202"/>
    <mergeCell ref="B203:B236"/>
    <mergeCell ref="B237:B278"/>
    <mergeCell ref="B279:B300"/>
    <mergeCell ref="B44:B58"/>
    <mergeCell ref="B59:B73"/>
    <mergeCell ref="B74:B90"/>
    <mergeCell ref="B91:B120"/>
    <mergeCell ref="B121:B155"/>
    <mergeCell ref="B7:E8"/>
    <mergeCell ref="B10:B24"/>
    <mergeCell ref="B25:B26"/>
    <mergeCell ref="B27:B36"/>
    <mergeCell ref="B37:B4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707"/>
  <sheetViews>
    <sheetView showGridLines="0" view="pageBreakPreview" topLeftCell="A687" zoomScale="85" zoomScaleNormal="100" zoomScaleSheetLayoutView="85" workbookViewId="0">
      <selection activeCell="B708" sqref="B708"/>
    </sheetView>
  </sheetViews>
  <sheetFormatPr baseColWidth="10" defaultColWidth="35" defaultRowHeight="15" customHeight="1"/>
  <cols>
    <col min="1" max="1" width="1" style="19" customWidth="1"/>
    <col min="2" max="2" width="22.81640625" style="20" customWidth="1"/>
    <col min="3" max="3" width="38.1796875" style="20" customWidth="1"/>
    <col min="4" max="4" width="14.26953125" style="20" customWidth="1"/>
    <col min="5" max="5" width="16.8164062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A6" s="31"/>
      <c r="B6" s="30"/>
      <c r="C6" s="31"/>
      <c r="D6" s="31"/>
      <c r="E6" s="31"/>
    </row>
    <row r="7" spans="1:5" s="22" customFormat="1" ht="26.25" customHeight="1">
      <c r="A7" s="54"/>
      <c r="B7" s="86"/>
      <c r="C7" s="86"/>
      <c r="D7" s="86"/>
      <c r="E7" s="86"/>
    </row>
    <row r="8" spans="1:5" s="22" customFormat="1" ht="33" customHeight="1">
      <c r="A8" s="54"/>
      <c r="B8" s="86"/>
      <c r="C8" s="86"/>
      <c r="D8" s="86"/>
      <c r="E8" s="86"/>
    </row>
    <row r="9" spans="1:5" s="16" customFormat="1" ht="40.5" customHeight="1">
      <c r="A9" s="40"/>
      <c r="B9" s="100" t="s">
        <v>21</v>
      </c>
      <c r="C9" s="101" t="s">
        <v>26</v>
      </c>
      <c r="D9" s="102" t="s">
        <v>19</v>
      </c>
      <c r="E9" s="100" t="s">
        <v>18</v>
      </c>
    </row>
    <row r="10" spans="1:5" ht="14.5" customHeight="1">
      <c r="A10" s="35"/>
      <c r="B10" s="111" t="s">
        <v>61</v>
      </c>
      <c r="C10" s="71" t="s">
        <v>101</v>
      </c>
      <c r="D10" s="62">
        <v>1</v>
      </c>
      <c r="E10" s="63">
        <v>8.4738581476000001E-5</v>
      </c>
    </row>
    <row r="11" spans="1:5" ht="14.5" customHeight="1">
      <c r="A11" s="35"/>
      <c r="B11" s="111"/>
      <c r="C11" s="71" t="s">
        <v>102</v>
      </c>
      <c r="D11" s="62">
        <v>3</v>
      </c>
      <c r="E11" s="63">
        <v>2.54215744428E-4</v>
      </c>
    </row>
    <row r="12" spans="1:5" ht="14.5" customHeight="1">
      <c r="A12" s="35"/>
      <c r="B12" s="111"/>
      <c r="C12" s="71" t="s">
        <v>103</v>
      </c>
      <c r="D12" s="62">
        <v>7</v>
      </c>
      <c r="E12" s="63">
        <v>5.9317007033300002E-4</v>
      </c>
    </row>
    <row r="13" spans="1:5" ht="14.5" customHeight="1">
      <c r="A13" s="35"/>
      <c r="B13" s="111"/>
      <c r="C13" s="71" t="s">
        <v>104</v>
      </c>
      <c r="D13" s="62">
        <v>4</v>
      </c>
      <c r="E13" s="63">
        <v>3.3895432590500002E-4</v>
      </c>
    </row>
    <row r="14" spans="1:5" ht="14.5" customHeight="1">
      <c r="A14" s="35"/>
      <c r="B14" s="111"/>
      <c r="C14" s="71" t="s">
        <v>105</v>
      </c>
      <c r="D14" s="62">
        <v>4</v>
      </c>
      <c r="E14" s="63">
        <v>3.3895432590500002E-4</v>
      </c>
    </row>
    <row r="15" spans="1:5" ht="14.5" customHeight="1">
      <c r="A15" s="35"/>
      <c r="B15" s="111"/>
      <c r="C15" s="71" t="s">
        <v>106</v>
      </c>
      <c r="D15" s="62">
        <v>3</v>
      </c>
      <c r="E15" s="63">
        <v>2.54215744428E-4</v>
      </c>
    </row>
    <row r="16" spans="1:5" ht="14.5" customHeight="1">
      <c r="A16" s="35"/>
      <c r="B16" s="111"/>
      <c r="C16" s="71" t="s">
        <v>107</v>
      </c>
      <c r="D16" s="62">
        <v>38</v>
      </c>
      <c r="E16" s="63">
        <v>3.2200660960940001E-3</v>
      </c>
    </row>
    <row r="17" spans="1:5" ht="14.5" customHeight="1">
      <c r="A17" s="35"/>
      <c r="B17" s="111"/>
      <c r="C17" s="71" t="s">
        <v>108</v>
      </c>
      <c r="D17" s="62">
        <v>7</v>
      </c>
      <c r="E17" s="63">
        <v>5.9317007033300002E-4</v>
      </c>
    </row>
    <row r="18" spans="1:5" ht="14.5" customHeight="1">
      <c r="A18" s="35"/>
      <c r="B18" s="111"/>
      <c r="C18" s="71" t="s">
        <v>109</v>
      </c>
      <c r="D18" s="62">
        <v>5</v>
      </c>
      <c r="E18" s="63">
        <v>4.2369290738100002E-4</v>
      </c>
    </row>
    <row r="19" spans="1:5" ht="14.5" customHeight="1">
      <c r="A19" s="35"/>
      <c r="B19" s="111"/>
      <c r="C19" s="71" t="s">
        <v>110</v>
      </c>
      <c r="D19" s="62">
        <v>36</v>
      </c>
      <c r="E19" s="63">
        <v>3.0505889331410001E-3</v>
      </c>
    </row>
    <row r="20" spans="1:5" ht="14.5" customHeight="1">
      <c r="A20" s="35"/>
      <c r="B20" s="111"/>
      <c r="C20" s="71" t="s">
        <v>111</v>
      </c>
      <c r="D20" s="62">
        <v>2</v>
      </c>
      <c r="E20" s="63">
        <v>1.69477162952E-4</v>
      </c>
    </row>
    <row r="21" spans="1:5" ht="14.5" customHeight="1">
      <c r="A21" s="35"/>
      <c r="B21" s="111"/>
      <c r="C21" s="71" t="s">
        <v>115</v>
      </c>
      <c r="D21" s="62">
        <v>4</v>
      </c>
      <c r="E21" s="63">
        <v>3.3895432590500002E-4</v>
      </c>
    </row>
    <row r="22" spans="1:5" ht="14.5" customHeight="1">
      <c r="A22" s="35"/>
      <c r="B22" s="111"/>
      <c r="C22" s="71" t="s">
        <v>116</v>
      </c>
      <c r="D22" s="62">
        <v>6</v>
      </c>
      <c r="E22" s="63">
        <v>5.0843148885699996E-4</v>
      </c>
    </row>
    <row r="23" spans="1:5" ht="14.5" customHeight="1">
      <c r="A23" s="35"/>
      <c r="B23" s="111"/>
      <c r="C23" s="72" t="s">
        <v>284</v>
      </c>
      <c r="D23" s="64">
        <v>120</v>
      </c>
      <c r="E23" s="67">
        <v>1.0168629777138E-2</v>
      </c>
    </row>
    <row r="24" spans="1:5" ht="14.5" customHeight="1">
      <c r="A24" s="35"/>
      <c r="B24" s="111" t="s">
        <v>58</v>
      </c>
      <c r="C24" s="71" t="s">
        <v>100</v>
      </c>
      <c r="D24" s="62">
        <v>3</v>
      </c>
      <c r="E24" s="63">
        <v>2.54215744428E-4</v>
      </c>
    </row>
    <row r="25" spans="1:5" ht="14.5" customHeight="1">
      <c r="A25" s="35"/>
      <c r="B25" s="111"/>
      <c r="C25" s="71" t="s">
        <v>101</v>
      </c>
      <c r="D25" s="62">
        <v>2</v>
      </c>
      <c r="E25" s="63">
        <v>1.69477162952E-4</v>
      </c>
    </row>
    <row r="26" spans="1:5" ht="14.5" customHeight="1">
      <c r="A26" s="35"/>
      <c r="B26" s="111"/>
      <c r="C26" s="71" t="s">
        <v>102</v>
      </c>
      <c r="D26" s="62">
        <v>9</v>
      </c>
      <c r="E26" s="63">
        <v>7.6264723328500002E-4</v>
      </c>
    </row>
    <row r="27" spans="1:5" ht="14.5" customHeight="1">
      <c r="A27" s="35"/>
      <c r="B27" s="111"/>
      <c r="C27" s="71" t="s">
        <v>103</v>
      </c>
      <c r="D27" s="62">
        <v>20</v>
      </c>
      <c r="E27" s="63">
        <v>1.694771629523E-3</v>
      </c>
    </row>
    <row r="28" spans="1:5" ht="14.5" customHeight="1">
      <c r="A28" s="35"/>
      <c r="B28" s="111"/>
      <c r="C28" s="71" t="s">
        <v>104</v>
      </c>
      <c r="D28" s="62">
        <v>3</v>
      </c>
      <c r="E28" s="63">
        <v>2.54215744428E-4</v>
      </c>
    </row>
    <row r="29" spans="1:5" ht="14.5" customHeight="1">
      <c r="A29" s="35"/>
      <c r="B29" s="111"/>
      <c r="C29" s="71" t="s">
        <v>105</v>
      </c>
      <c r="D29" s="62">
        <v>9</v>
      </c>
      <c r="E29" s="63">
        <v>7.6264723328500002E-4</v>
      </c>
    </row>
    <row r="30" spans="1:5" ht="14.5" customHeight="1">
      <c r="A30" s="35"/>
      <c r="B30" s="111"/>
      <c r="C30" s="71" t="s">
        <v>106</v>
      </c>
      <c r="D30" s="62">
        <v>4</v>
      </c>
      <c r="E30" s="63">
        <v>3.3895432590500002E-4</v>
      </c>
    </row>
    <row r="31" spans="1:5" ht="14.5" customHeight="1">
      <c r="A31" s="35"/>
      <c r="B31" s="111"/>
      <c r="C31" s="71" t="s">
        <v>107</v>
      </c>
      <c r="D31" s="62">
        <v>72</v>
      </c>
      <c r="E31" s="63">
        <v>6.1011778662830004E-3</v>
      </c>
    </row>
    <row r="32" spans="1:5" ht="14.5" customHeight="1">
      <c r="A32" s="35"/>
      <c r="B32" s="111"/>
      <c r="C32" s="71" t="s">
        <v>108</v>
      </c>
      <c r="D32" s="62">
        <v>5</v>
      </c>
      <c r="E32" s="63">
        <v>4.2369290738100002E-4</v>
      </c>
    </row>
    <row r="33" spans="1:5" ht="14.5" customHeight="1">
      <c r="A33" s="35"/>
      <c r="B33" s="111"/>
      <c r="C33" s="71" t="s">
        <v>109</v>
      </c>
      <c r="D33" s="62">
        <v>13</v>
      </c>
      <c r="E33" s="63">
        <v>1.1016015591900001E-3</v>
      </c>
    </row>
    <row r="34" spans="1:5" ht="14.5" customHeight="1">
      <c r="A34" s="35"/>
      <c r="B34" s="111"/>
      <c r="C34" s="71" t="s">
        <v>110</v>
      </c>
      <c r="D34" s="62">
        <v>41</v>
      </c>
      <c r="E34" s="63">
        <v>3.4742818405220002E-3</v>
      </c>
    </row>
    <row r="35" spans="1:5" ht="14.5" customHeight="1">
      <c r="A35" s="35"/>
      <c r="B35" s="111"/>
      <c r="C35" s="71" t="s">
        <v>112</v>
      </c>
      <c r="D35" s="62">
        <v>2</v>
      </c>
      <c r="E35" s="63">
        <v>1.69477162952E-4</v>
      </c>
    </row>
    <row r="36" spans="1:5" ht="14.5" customHeight="1">
      <c r="A36" s="35"/>
      <c r="B36" s="111"/>
      <c r="C36" s="71" t="s">
        <v>115</v>
      </c>
      <c r="D36" s="62">
        <v>1</v>
      </c>
      <c r="E36" s="63">
        <v>8.4738581476000001E-5</v>
      </c>
    </row>
    <row r="37" spans="1:5" ht="14.5" customHeight="1">
      <c r="A37" s="35"/>
      <c r="B37" s="111"/>
      <c r="C37" s="71" t="s">
        <v>116</v>
      </c>
      <c r="D37" s="62">
        <v>9</v>
      </c>
      <c r="E37" s="63">
        <v>7.6264723328500002E-4</v>
      </c>
    </row>
    <row r="38" spans="1:5" ht="14.5" customHeight="1">
      <c r="A38" s="35"/>
      <c r="B38" s="111"/>
      <c r="C38" s="72" t="s">
        <v>284</v>
      </c>
      <c r="D38" s="64">
        <v>193</v>
      </c>
      <c r="E38" s="67">
        <v>1.6354546224895999E-2</v>
      </c>
    </row>
    <row r="39" spans="1:5" ht="14.5" customHeight="1">
      <c r="A39" s="35"/>
      <c r="B39" s="111" t="s">
        <v>49</v>
      </c>
      <c r="C39" s="71" t="s">
        <v>96</v>
      </c>
      <c r="D39" s="62">
        <v>1</v>
      </c>
      <c r="E39" s="63">
        <v>8.4738581476000001E-5</v>
      </c>
    </row>
    <row r="40" spans="1:5" ht="14.5" customHeight="1">
      <c r="A40" s="35"/>
      <c r="B40" s="111"/>
      <c r="C40" s="71" t="s">
        <v>97</v>
      </c>
      <c r="D40" s="62">
        <v>3</v>
      </c>
      <c r="E40" s="63">
        <v>2.54215744428E-4</v>
      </c>
    </row>
    <row r="41" spans="1:5" ht="14.5" customHeight="1">
      <c r="A41" s="35"/>
      <c r="B41" s="111"/>
      <c r="C41" s="71" t="s">
        <v>98</v>
      </c>
      <c r="D41" s="62">
        <v>3</v>
      </c>
      <c r="E41" s="63">
        <v>2.54215744428E-4</v>
      </c>
    </row>
    <row r="42" spans="1:5" ht="14.5" customHeight="1">
      <c r="A42" s="35"/>
      <c r="B42" s="111"/>
      <c r="C42" s="71" t="s">
        <v>99</v>
      </c>
      <c r="D42" s="62">
        <v>3</v>
      </c>
      <c r="E42" s="63">
        <v>2.54215744428E-4</v>
      </c>
    </row>
    <row r="43" spans="1:5" ht="14.5" customHeight="1">
      <c r="A43" s="35"/>
      <c r="B43" s="111"/>
      <c r="C43" s="71" t="s">
        <v>100</v>
      </c>
      <c r="D43" s="62">
        <v>2</v>
      </c>
      <c r="E43" s="63">
        <v>1.69477162952E-4</v>
      </c>
    </row>
    <row r="44" spans="1:5" ht="14.5" customHeight="1">
      <c r="A44" s="35"/>
      <c r="B44" s="111"/>
      <c r="C44" s="71" t="s">
        <v>101</v>
      </c>
      <c r="D44" s="62">
        <v>5</v>
      </c>
      <c r="E44" s="63">
        <v>4.2369290738100002E-4</v>
      </c>
    </row>
    <row r="45" spans="1:5" ht="14.5" customHeight="1">
      <c r="A45" s="35"/>
      <c r="B45" s="111"/>
      <c r="C45" s="71" t="s">
        <v>102</v>
      </c>
      <c r="D45" s="62">
        <v>34</v>
      </c>
      <c r="E45" s="63">
        <v>2.8811117701889998E-3</v>
      </c>
    </row>
    <row r="46" spans="1:5" ht="14.5" customHeight="1">
      <c r="A46" s="35"/>
      <c r="B46" s="111"/>
      <c r="C46" s="71" t="s">
        <v>103</v>
      </c>
      <c r="D46" s="62">
        <v>43</v>
      </c>
      <c r="E46" s="63">
        <v>3.6437590034740001E-3</v>
      </c>
    </row>
    <row r="47" spans="1:5" ht="14.5" customHeight="1">
      <c r="A47" s="35"/>
      <c r="B47" s="111"/>
      <c r="C47" s="71" t="s">
        <v>104</v>
      </c>
      <c r="D47" s="62">
        <v>7</v>
      </c>
      <c r="E47" s="63">
        <v>5.9317007033300002E-4</v>
      </c>
    </row>
    <row r="48" spans="1:5" ht="14.5" customHeight="1">
      <c r="A48" s="35"/>
      <c r="B48" s="111"/>
      <c r="C48" s="71" t="s">
        <v>105</v>
      </c>
      <c r="D48" s="62">
        <v>10</v>
      </c>
      <c r="E48" s="63">
        <v>8.4738581476099997E-4</v>
      </c>
    </row>
    <row r="49" spans="1:5" ht="14.5" customHeight="1">
      <c r="A49" s="35"/>
      <c r="B49" s="111"/>
      <c r="C49" s="71" t="s">
        <v>106</v>
      </c>
      <c r="D49" s="62">
        <v>23</v>
      </c>
      <c r="E49" s="63">
        <v>1.9489873739510001E-3</v>
      </c>
    </row>
    <row r="50" spans="1:5" ht="14.5" customHeight="1">
      <c r="A50" s="35"/>
      <c r="B50" s="111"/>
      <c r="C50" s="71" t="s">
        <v>107</v>
      </c>
      <c r="D50" s="62">
        <v>212</v>
      </c>
      <c r="E50" s="63">
        <v>1.7964579272942999E-2</v>
      </c>
    </row>
    <row r="51" spans="1:5" ht="14.5" customHeight="1">
      <c r="A51" s="35"/>
      <c r="B51" s="111"/>
      <c r="C51" s="71" t="s">
        <v>108</v>
      </c>
      <c r="D51" s="62">
        <v>17</v>
      </c>
      <c r="E51" s="63">
        <v>1.4405558850940001E-3</v>
      </c>
    </row>
    <row r="52" spans="1:5" ht="14.5" customHeight="1">
      <c r="A52" s="35"/>
      <c r="B52" s="111"/>
      <c r="C52" s="71" t="s">
        <v>109</v>
      </c>
      <c r="D52" s="62">
        <v>39</v>
      </c>
      <c r="E52" s="63">
        <v>3.3048046775699998E-3</v>
      </c>
    </row>
    <row r="53" spans="1:5" ht="14.5" customHeight="1">
      <c r="A53" s="35"/>
      <c r="B53" s="111"/>
      <c r="C53" s="71" t="s">
        <v>110</v>
      </c>
      <c r="D53" s="62">
        <v>170</v>
      </c>
      <c r="E53" s="63">
        <v>1.4405558850945001E-2</v>
      </c>
    </row>
    <row r="54" spans="1:5" ht="14.5" customHeight="1">
      <c r="A54" s="35"/>
      <c r="B54" s="111"/>
      <c r="C54" s="71" t="s">
        <v>111</v>
      </c>
      <c r="D54" s="62">
        <v>3</v>
      </c>
      <c r="E54" s="63">
        <v>2.54215744428E-4</v>
      </c>
    </row>
    <row r="55" spans="1:5" ht="14.5" customHeight="1">
      <c r="A55" s="35"/>
      <c r="B55" s="111"/>
      <c r="C55" s="71" t="s">
        <v>112</v>
      </c>
      <c r="D55" s="62">
        <v>3</v>
      </c>
      <c r="E55" s="63">
        <v>2.54215744428E-4</v>
      </c>
    </row>
    <row r="56" spans="1:5" ht="14.5" customHeight="1">
      <c r="A56" s="35"/>
      <c r="B56" s="111"/>
      <c r="C56" s="71" t="s">
        <v>113</v>
      </c>
      <c r="D56" s="62">
        <v>2</v>
      </c>
      <c r="E56" s="63">
        <v>1.69477162952E-4</v>
      </c>
    </row>
    <row r="57" spans="1:5" ht="14.5" customHeight="1">
      <c r="A57" s="35"/>
      <c r="B57" s="111"/>
      <c r="C57" s="71" t="s">
        <v>115</v>
      </c>
      <c r="D57" s="62">
        <v>6</v>
      </c>
      <c r="E57" s="63">
        <v>5.0843148885699996E-4</v>
      </c>
    </row>
    <row r="58" spans="1:5" ht="14.5" customHeight="1">
      <c r="A58" s="35"/>
      <c r="B58" s="111"/>
      <c r="C58" s="71" t="s">
        <v>116</v>
      </c>
      <c r="D58" s="62">
        <v>45</v>
      </c>
      <c r="E58" s="63">
        <v>3.813236166427E-3</v>
      </c>
    </row>
    <row r="59" spans="1:5" ht="14.5" customHeight="1">
      <c r="A59" s="35"/>
      <c r="B59" s="111"/>
      <c r="C59" s="71" t="s">
        <v>117</v>
      </c>
      <c r="D59" s="62">
        <v>4</v>
      </c>
      <c r="E59" s="63">
        <v>3.3895432590500002E-4</v>
      </c>
    </row>
    <row r="60" spans="1:5" ht="14.5" customHeight="1">
      <c r="A60" s="35"/>
      <c r="B60" s="111"/>
      <c r="C60" s="71" t="s">
        <v>118</v>
      </c>
      <c r="D60" s="62">
        <v>1</v>
      </c>
      <c r="E60" s="63">
        <v>8.4738581476000001E-5</v>
      </c>
    </row>
    <row r="61" spans="1:5" ht="14.5" customHeight="1">
      <c r="A61" s="35"/>
      <c r="B61" s="111"/>
      <c r="C61" s="72" t="s">
        <v>284</v>
      </c>
      <c r="D61" s="64">
        <v>636</v>
      </c>
      <c r="E61" s="67">
        <v>5.3893737818829002E-2</v>
      </c>
    </row>
    <row r="62" spans="1:5" ht="14.5" customHeight="1">
      <c r="A62" s="35"/>
      <c r="B62" s="111" t="s">
        <v>86</v>
      </c>
      <c r="C62" s="71" t="s">
        <v>99</v>
      </c>
      <c r="D62" s="62">
        <v>1</v>
      </c>
      <c r="E62" s="63">
        <v>8.4738581476000001E-5</v>
      </c>
    </row>
    <row r="63" spans="1:5" ht="14.5" customHeight="1">
      <c r="A63" s="35"/>
      <c r="B63" s="111"/>
      <c r="C63" s="71" t="s">
        <v>102</v>
      </c>
      <c r="D63" s="62">
        <v>2</v>
      </c>
      <c r="E63" s="63">
        <v>1.69477162952E-4</v>
      </c>
    </row>
    <row r="64" spans="1:5" ht="14.5" customHeight="1">
      <c r="A64" s="35"/>
      <c r="B64" s="111"/>
      <c r="C64" s="71" t="s">
        <v>103</v>
      </c>
      <c r="D64" s="62">
        <v>3</v>
      </c>
      <c r="E64" s="63">
        <v>2.54215744428E-4</v>
      </c>
    </row>
    <row r="65" spans="1:5" ht="14.5" customHeight="1">
      <c r="A65" s="35"/>
      <c r="B65" s="111"/>
      <c r="C65" s="71" t="s">
        <v>106</v>
      </c>
      <c r="D65" s="62">
        <v>1</v>
      </c>
      <c r="E65" s="63">
        <v>8.4738581476000001E-5</v>
      </c>
    </row>
    <row r="66" spans="1:5" ht="14.5" customHeight="1">
      <c r="A66" s="35"/>
      <c r="B66" s="111"/>
      <c r="C66" s="71" t="s">
        <v>107</v>
      </c>
      <c r="D66" s="62">
        <v>4</v>
      </c>
      <c r="E66" s="63">
        <v>3.3895432590500002E-4</v>
      </c>
    </row>
    <row r="67" spans="1:5" ht="14.5" customHeight="1">
      <c r="A67" s="35"/>
      <c r="B67" s="111"/>
      <c r="C67" s="71" t="s">
        <v>110</v>
      </c>
      <c r="D67" s="62">
        <v>5</v>
      </c>
      <c r="E67" s="63">
        <v>4.2369290738100002E-4</v>
      </c>
    </row>
    <row r="68" spans="1:5" ht="14.5" customHeight="1">
      <c r="A68" s="35"/>
      <c r="B68" s="111"/>
      <c r="C68" s="71" t="s">
        <v>115</v>
      </c>
      <c r="D68" s="62">
        <v>1</v>
      </c>
      <c r="E68" s="63">
        <v>8.4738581476000001E-5</v>
      </c>
    </row>
    <row r="69" spans="1:5" ht="14.5" customHeight="1">
      <c r="A69" s="35"/>
      <c r="B69" s="111"/>
      <c r="C69" s="71" t="s">
        <v>116</v>
      </c>
      <c r="D69" s="62">
        <v>2</v>
      </c>
      <c r="E69" s="63">
        <v>1.69477162952E-4</v>
      </c>
    </row>
    <row r="70" spans="1:5" ht="14.5" customHeight="1">
      <c r="A70" s="35"/>
      <c r="B70" s="111"/>
      <c r="C70" s="72" t="s">
        <v>284</v>
      </c>
      <c r="D70" s="64">
        <v>19</v>
      </c>
      <c r="E70" s="67">
        <v>1.6100330480470001E-3</v>
      </c>
    </row>
    <row r="71" spans="1:5" ht="14.5" customHeight="1">
      <c r="A71" s="35"/>
      <c r="B71" s="111" t="s">
        <v>91</v>
      </c>
      <c r="C71" s="71" t="s">
        <v>96</v>
      </c>
      <c r="D71" s="62">
        <v>1</v>
      </c>
      <c r="E71" s="63">
        <v>8.4738581476000001E-5</v>
      </c>
    </row>
    <row r="72" spans="1:5" ht="14.5" customHeight="1">
      <c r="A72" s="35"/>
      <c r="B72" s="111"/>
      <c r="C72" s="71" t="s">
        <v>101</v>
      </c>
      <c r="D72" s="62">
        <v>1</v>
      </c>
      <c r="E72" s="63">
        <v>8.4738581476000001E-5</v>
      </c>
    </row>
    <row r="73" spans="1:5" ht="14.5" customHeight="1">
      <c r="A73" s="35"/>
      <c r="B73" s="111"/>
      <c r="C73" s="71" t="s">
        <v>104</v>
      </c>
      <c r="D73" s="62">
        <v>1</v>
      </c>
      <c r="E73" s="63">
        <v>8.4738581476000001E-5</v>
      </c>
    </row>
    <row r="74" spans="1:5" ht="14.5" customHeight="1">
      <c r="A74" s="35"/>
      <c r="B74" s="111"/>
      <c r="C74" s="71" t="s">
        <v>116</v>
      </c>
      <c r="D74" s="62">
        <v>1</v>
      </c>
      <c r="E74" s="63">
        <v>8.4738581476000001E-5</v>
      </c>
    </row>
    <row r="75" spans="1:5" ht="14.5" customHeight="1">
      <c r="A75" s="35"/>
      <c r="B75" s="111"/>
      <c r="C75" s="72" t="s">
        <v>284</v>
      </c>
      <c r="D75" s="64">
        <v>4</v>
      </c>
      <c r="E75" s="67">
        <v>3.3895432590500002E-4</v>
      </c>
    </row>
    <row r="76" spans="1:5" ht="14.5" customHeight="1">
      <c r="A76" s="35"/>
      <c r="B76" s="111" t="s">
        <v>71</v>
      </c>
      <c r="C76" s="71" t="s">
        <v>96</v>
      </c>
      <c r="D76" s="62">
        <v>1</v>
      </c>
      <c r="E76" s="63">
        <v>8.4738581476000001E-5</v>
      </c>
    </row>
    <row r="77" spans="1:5" ht="14.5" customHeight="1">
      <c r="A77" s="35"/>
      <c r="B77" s="111"/>
      <c r="C77" s="71" t="s">
        <v>99</v>
      </c>
      <c r="D77" s="62">
        <v>1</v>
      </c>
      <c r="E77" s="63">
        <v>8.4738581476000001E-5</v>
      </c>
    </row>
    <row r="78" spans="1:5" ht="14.5" customHeight="1">
      <c r="A78" s="35"/>
      <c r="B78" s="111"/>
      <c r="C78" s="71" t="s">
        <v>100</v>
      </c>
      <c r="D78" s="62">
        <v>1</v>
      </c>
      <c r="E78" s="63">
        <v>8.4738581476000001E-5</v>
      </c>
    </row>
    <row r="79" spans="1:5" ht="14.5" customHeight="1">
      <c r="A79" s="35"/>
      <c r="B79" s="111"/>
      <c r="C79" s="71" t="s">
        <v>102</v>
      </c>
      <c r="D79" s="62">
        <v>2</v>
      </c>
      <c r="E79" s="63">
        <v>1.69477162952E-4</v>
      </c>
    </row>
    <row r="80" spans="1:5" ht="14.5" customHeight="1">
      <c r="A80" s="35"/>
      <c r="B80" s="111"/>
      <c r="C80" s="71" t="s">
        <v>103</v>
      </c>
      <c r="D80" s="62">
        <v>1</v>
      </c>
      <c r="E80" s="63">
        <v>8.4738581476000001E-5</v>
      </c>
    </row>
    <row r="81" spans="1:5" ht="14.5" customHeight="1">
      <c r="A81" s="35"/>
      <c r="B81" s="111"/>
      <c r="C81" s="71" t="s">
        <v>104</v>
      </c>
      <c r="D81" s="62">
        <v>1</v>
      </c>
      <c r="E81" s="63">
        <v>8.4738581476000001E-5</v>
      </c>
    </row>
    <row r="82" spans="1:5" ht="14.5" customHeight="1">
      <c r="A82" s="35"/>
      <c r="B82" s="111"/>
      <c r="C82" s="71" t="s">
        <v>105</v>
      </c>
      <c r="D82" s="62">
        <v>1</v>
      </c>
      <c r="E82" s="63">
        <v>8.4738581476000001E-5</v>
      </c>
    </row>
    <row r="83" spans="1:5" ht="14.5" customHeight="1">
      <c r="A83" s="35"/>
      <c r="B83" s="111"/>
      <c r="C83" s="71" t="s">
        <v>106</v>
      </c>
      <c r="D83" s="62">
        <v>3</v>
      </c>
      <c r="E83" s="63">
        <v>2.54215744428E-4</v>
      </c>
    </row>
    <row r="84" spans="1:5" ht="14.5" customHeight="1">
      <c r="A84" s="35"/>
      <c r="B84" s="111"/>
      <c r="C84" s="71" t="s">
        <v>107</v>
      </c>
      <c r="D84" s="62">
        <v>7</v>
      </c>
      <c r="E84" s="63">
        <v>5.9317007033300002E-4</v>
      </c>
    </row>
    <row r="85" spans="1:5" ht="14.5" customHeight="1">
      <c r="A85" s="35"/>
      <c r="B85" s="111"/>
      <c r="C85" s="71" t="s">
        <v>108</v>
      </c>
      <c r="D85" s="62">
        <v>1</v>
      </c>
      <c r="E85" s="63">
        <v>8.4738581476000001E-5</v>
      </c>
    </row>
    <row r="86" spans="1:5" ht="14.5" customHeight="1">
      <c r="A86" s="35"/>
      <c r="B86" s="111"/>
      <c r="C86" s="71" t="s">
        <v>109</v>
      </c>
      <c r="D86" s="62">
        <v>2</v>
      </c>
      <c r="E86" s="63">
        <v>1.69477162952E-4</v>
      </c>
    </row>
    <row r="87" spans="1:5" ht="14.5" customHeight="1">
      <c r="A87" s="35"/>
      <c r="B87" s="111"/>
      <c r="C87" s="71" t="s">
        <v>110</v>
      </c>
      <c r="D87" s="62">
        <v>9</v>
      </c>
      <c r="E87" s="63">
        <v>7.6264723328500002E-4</v>
      </c>
    </row>
    <row r="88" spans="1:5" ht="14.5" customHeight="1">
      <c r="A88" s="35"/>
      <c r="B88" s="111"/>
      <c r="C88" s="71" t="s">
        <v>115</v>
      </c>
      <c r="D88" s="62">
        <v>1</v>
      </c>
      <c r="E88" s="63">
        <v>8.4738581476000001E-5</v>
      </c>
    </row>
    <row r="89" spans="1:5" ht="14.5" customHeight="1">
      <c r="A89" s="35"/>
      <c r="B89" s="111"/>
      <c r="C89" s="71" t="s">
        <v>116</v>
      </c>
      <c r="D89" s="62">
        <v>10</v>
      </c>
      <c r="E89" s="63">
        <v>8.4738581476099997E-4</v>
      </c>
    </row>
    <row r="90" spans="1:5" ht="14.5" customHeight="1">
      <c r="A90" s="35"/>
      <c r="B90" s="111"/>
      <c r="C90" s="72" t="s">
        <v>284</v>
      </c>
      <c r="D90" s="64">
        <v>41</v>
      </c>
      <c r="E90" s="67">
        <v>3.4742818405220002E-3</v>
      </c>
    </row>
    <row r="91" spans="1:5" ht="14.5" customHeight="1">
      <c r="A91" s="35"/>
      <c r="B91" s="111" t="s">
        <v>129</v>
      </c>
      <c r="C91" s="71" t="s">
        <v>110</v>
      </c>
      <c r="D91" s="62">
        <v>1</v>
      </c>
      <c r="E91" s="63">
        <v>8.4738581476000001E-5</v>
      </c>
    </row>
    <row r="92" spans="1:5" ht="14.5" customHeight="1">
      <c r="A92" s="35"/>
      <c r="B92" s="111"/>
      <c r="C92" s="71" t="s">
        <v>116</v>
      </c>
      <c r="D92" s="62">
        <v>1</v>
      </c>
      <c r="E92" s="63">
        <v>8.4738581476000001E-5</v>
      </c>
    </row>
    <row r="93" spans="1:5" ht="14.5" customHeight="1">
      <c r="A93" s="35"/>
      <c r="B93" s="111"/>
      <c r="C93" s="72" t="s">
        <v>284</v>
      </c>
      <c r="D93" s="64">
        <v>2</v>
      </c>
      <c r="E93" s="67">
        <v>1.69477162952E-4</v>
      </c>
    </row>
    <row r="94" spans="1:5" ht="14.5" customHeight="1">
      <c r="A94" s="35"/>
      <c r="B94" s="111" t="s">
        <v>51</v>
      </c>
      <c r="C94" s="71" t="s">
        <v>96</v>
      </c>
      <c r="D94" s="62">
        <v>2</v>
      </c>
      <c r="E94" s="63">
        <v>1.69477162952E-4</v>
      </c>
    </row>
    <row r="95" spans="1:5" ht="14.5" customHeight="1">
      <c r="A95" s="35"/>
      <c r="B95" s="111"/>
      <c r="C95" s="71" t="s">
        <v>97</v>
      </c>
      <c r="D95" s="62">
        <v>1</v>
      </c>
      <c r="E95" s="63">
        <v>8.4738581476000001E-5</v>
      </c>
    </row>
    <row r="96" spans="1:5" ht="14.5" customHeight="1">
      <c r="A96" s="35"/>
      <c r="B96" s="111"/>
      <c r="C96" s="71" t="s">
        <v>99</v>
      </c>
      <c r="D96" s="62">
        <v>2</v>
      </c>
      <c r="E96" s="63">
        <v>1.69477162952E-4</v>
      </c>
    </row>
    <row r="97" spans="1:5" ht="14.5" customHeight="1">
      <c r="A97" s="35"/>
      <c r="B97" s="111"/>
      <c r="C97" s="71" t="s">
        <v>100</v>
      </c>
      <c r="D97" s="62">
        <v>2</v>
      </c>
      <c r="E97" s="63">
        <v>1.69477162952E-4</v>
      </c>
    </row>
    <row r="98" spans="1:5" ht="14.5" customHeight="1">
      <c r="A98" s="35"/>
      <c r="B98" s="111"/>
      <c r="C98" s="71" t="s">
        <v>101</v>
      </c>
      <c r="D98" s="62">
        <v>4</v>
      </c>
      <c r="E98" s="63">
        <v>3.3895432590500002E-4</v>
      </c>
    </row>
    <row r="99" spans="1:5" ht="14.5" customHeight="1">
      <c r="A99" s="35"/>
      <c r="B99" s="111"/>
      <c r="C99" s="71" t="s">
        <v>102</v>
      </c>
      <c r="D99" s="62">
        <v>8</v>
      </c>
      <c r="E99" s="63">
        <v>6.7790865180899996E-4</v>
      </c>
    </row>
    <row r="100" spans="1:5" ht="14.5" customHeight="1">
      <c r="A100" s="35"/>
      <c r="B100" s="111"/>
      <c r="C100" s="71" t="s">
        <v>103</v>
      </c>
      <c r="D100" s="62">
        <v>34</v>
      </c>
      <c r="E100" s="63">
        <v>2.8811117701889998E-3</v>
      </c>
    </row>
    <row r="101" spans="1:5" ht="14.5" customHeight="1">
      <c r="A101" s="35"/>
      <c r="B101" s="111"/>
      <c r="C101" s="71" t="s">
        <v>104</v>
      </c>
      <c r="D101" s="62">
        <v>2</v>
      </c>
      <c r="E101" s="63">
        <v>1.69477162952E-4</v>
      </c>
    </row>
    <row r="102" spans="1:5" ht="14.5" customHeight="1">
      <c r="A102" s="35"/>
      <c r="B102" s="111"/>
      <c r="C102" s="71" t="s">
        <v>105</v>
      </c>
      <c r="D102" s="62">
        <v>3</v>
      </c>
      <c r="E102" s="63">
        <v>2.54215744428E-4</v>
      </c>
    </row>
    <row r="103" spans="1:5" ht="14.5" customHeight="1">
      <c r="A103" s="35"/>
      <c r="B103" s="111"/>
      <c r="C103" s="71" t="s">
        <v>106</v>
      </c>
      <c r="D103" s="62">
        <v>12</v>
      </c>
      <c r="E103" s="63">
        <v>1.0168629777139999E-3</v>
      </c>
    </row>
    <row r="104" spans="1:5" ht="14.5" customHeight="1">
      <c r="A104" s="35"/>
      <c r="B104" s="111"/>
      <c r="C104" s="71" t="s">
        <v>107</v>
      </c>
      <c r="D104" s="62">
        <v>117</v>
      </c>
      <c r="E104" s="63">
        <v>9.9144140327090003E-3</v>
      </c>
    </row>
    <row r="105" spans="1:5" ht="14.5" customHeight="1">
      <c r="A105" s="35"/>
      <c r="B105" s="111"/>
      <c r="C105" s="71" t="s">
        <v>108</v>
      </c>
      <c r="D105" s="62">
        <v>12</v>
      </c>
      <c r="E105" s="63">
        <v>1.0168629777139999E-3</v>
      </c>
    </row>
    <row r="106" spans="1:5" ht="14.5" customHeight="1">
      <c r="A106" s="35"/>
      <c r="B106" s="111"/>
      <c r="C106" s="71" t="s">
        <v>109</v>
      </c>
      <c r="D106" s="62">
        <v>29</v>
      </c>
      <c r="E106" s="63">
        <v>2.4574188628079998E-3</v>
      </c>
    </row>
    <row r="107" spans="1:5" ht="14.5" customHeight="1">
      <c r="A107" s="35"/>
      <c r="B107" s="111"/>
      <c r="C107" s="71" t="s">
        <v>110</v>
      </c>
      <c r="D107" s="62">
        <v>88</v>
      </c>
      <c r="E107" s="63">
        <v>7.4569951699009996E-3</v>
      </c>
    </row>
    <row r="108" spans="1:5" ht="14.5" customHeight="1">
      <c r="A108" s="35"/>
      <c r="B108" s="111"/>
      <c r="C108" s="71" t="s">
        <v>111</v>
      </c>
      <c r="D108" s="62">
        <v>2</v>
      </c>
      <c r="E108" s="63">
        <v>1.69477162952E-4</v>
      </c>
    </row>
    <row r="109" spans="1:5" ht="14.5" customHeight="1">
      <c r="A109" s="35"/>
      <c r="B109" s="111"/>
      <c r="C109" s="71" t="s">
        <v>115</v>
      </c>
      <c r="D109" s="62">
        <v>1</v>
      </c>
      <c r="E109" s="63">
        <v>8.4738581476000001E-5</v>
      </c>
    </row>
    <row r="110" spans="1:5" ht="14.5" customHeight="1">
      <c r="A110" s="35"/>
      <c r="B110" s="111"/>
      <c r="C110" s="71" t="s">
        <v>116</v>
      </c>
      <c r="D110" s="62">
        <v>44</v>
      </c>
      <c r="E110" s="63">
        <v>3.7284975849499998E-3</v>
      </c>
    </row>
    <row r="111" spans="1:5" ht="14.5" customHeight="1">
      <c r="A111" s="35"/>
      <c r="B111" s="111"/>
      <c r="C111" s="72" t="s">
        <v>284</v>
      </c>
      <c r="D111" s="64">
        <v>363</v>
      </c>
      <c r="E111" s="67">
        <v>3.0760105075841E-2</v>
      </c>
    </row>
    <row r="112" spans="1:5" ht="14.5" customHeight="1">
      <c r="A112" s="35"/>
      <c r="B112" s="111" t="s">
        <v>46</v>
      </c>
      <c r="C112" s="71" t="s">
        <v>96</v>
      </c>
      <c r="D112" s="62">
        <v>6</v>
      </c>
      <c r="E112" s="63">
        <v>5.0843148885699996E-4</v>
      </c>
    </row>
    <row r="113" spans="1:5" ht="14.5" customHeight="1">
      <c r="A113" s="35"/>
      <c r="B113" s="111"/>
      <c r="C113" s="71" t="s">
        <v>97</v>
      </c>
      <c r="D113" s="62">
        <v>6</v>
      </c>
      <c r="E113" s="63">
        <v>5.0843148885699996E-4</v>
      </c>
    </row>
    <row r="114" spans="1:5" ht="14.5" customHeight="1">
      <c r="A114" s="35"/>
      <c r="B114" s="111"/>
      <c r="C114" s="71" t="s">
        <v>98</v>
      </c>
      <c r="D114" s="62">
        <v>12</v>
      </c>
      <c r="E114" s="63">
        <v>1.0168629777139999E-3</v>
      </c>
    </row>
    <row r="115" spans="1:5" ht="14.5" customHeight="1">
      <c r="A115" s="35"/>
      <c r="B115" s="111"/>
      <c r="C115" s="71" t="s">
        <v>99</v>
      </c>
      <c r="D115" s="62">
        <v>19</v>
      </c>
      <c r="E115" s="63">
        <v>1.6100330480470001E-3</v>
      </c>
    </row>
    <row r="116" spans="1:5" ht="14.5" customHeight="1">
      <c r="A116" s="35"/>
      <c r="B116" s="111"/>
      <c r="C116" s="71" t="s">
        <v>100</v>
      </c>
      <c r="D116" s="62">
        <v>11</v>
      </c>
      <c r="E116" s="63">
        <v>9.3212439623799998E-4</v>
      </c>
    </row>
    <row r="117" spans="1:5" ht="14.5" customHeight="1">
      <c r="A117" s="35"/>
      <c r="B117" s="111"/>
      <c r="C117" s="71" t="s">
        <v>101</v>
      </c>
      <c r="D117" s="62">
        <v>22</v>
      </c>
      <c r="E117" s="63">
        <v>1.8642487924749999E-3</v>
      </c>
    </row>
    <row r="118" spans="1:5" ht="14.5" customHeight="1">
      <c r="A118" s="35"/>
      <c r="B118" s="111"/>
      <c r="C118" s="71" t="s">
        <v>102</v>
      </c>
      <c r="D118" s="62">
        <v>140</v>
      </c>
      <c r="E118" s="63">
        <v>1.186340140666E-2</v>
      </c>
    </row>
    <row r="119" spans="1:5" ht="14.5" customHeight="1">
      <c r="A119" s="35"/>
      <c r="B119" s="111"/>
      <c r="C119" s="71" t="s">
        <v>103</v>
      </c>
      <c r="D119" s="62">
        <v>194</v>
      </c>
      <c r="E119" s="63">
        <v>1.6439284806371999E-2</v>
      </c>
    </row>
    <row r="120" spans="1:5" ht="14.5" customHeight="1">
      <c r="A120" s="35"/>
      <c r="B120" s="111"/>
      <c r="C120" s="71" t="s">
        <v>104</v>
      </c>
      <c r="D120" s="62">
        <v>22</v>
      </c>
      <c r="E120" s="63">
        <v>1.8642487924749999E-3</v>
      </c>
    </row>
    <row r="121" spans="1:5" ht="14.5" customHeight="1">
      <c r="A121" s="35"/>
      <c r="B121" s="111"/>
      <c r="C121" s="71" t="s">
        <v>105</v>
      </c>
      <c r="D121" s="62">
        <v>42</v>
      </c>
      <c r="E121" s="63">
        <v>3.5590204219979999E-3</v>
      </c>
    </row>
    <row r="122" spans="1:5" ht="14.5" customHeight="1">
      <c r="A122" s="35"/>
      <c r="B122" s="111"/>
      <c r="C122" s="71" t="s">
        <v>106</v>
      </c>
      <c r="D122" s="62">
        <v>113</v>
      </c>
      <c r="E122" s="63">
        <v>9.5754597068049997E-3</v>
      </c>
    </row>
    <row r="123" spans="1:5" ht="14.5" customHeight="1">
      <c r="A123" s="35"/>
      <c r="B123" s="111"/>
      <c r="C123" s="71" t="s">
        <v>107</v>
      </c>
      <c r="D123" s="62">
        <v>941</v>
      </c>
      <c r="E123" s="63">
        <v>7.9739005169052996E-2</v>
      </c>
    </row>
    <row r="124" spans="1:5" ht="14.5" customHeight="1">
      <c r="A124" s="35"/>
      <c r="B124" s="111"/>
      <c r="C124" s="71" t="s">
        <v>108</v>
      </c>
      <c r="D124" s="62">
        <v>94</v>
      </c>
      <c r="E124" s="63">
        <v>7.9654266587580007E-3</v>
      </c>
    </row>
    <row r="125" spans="1:5" ht="14.5" customHeight="1">
      <c r="A125" s="35"/>
      <c r="B125" s="111"/>
      <c r="C125" s="71" t="s">
        <v>109</v>
      </c>
      <c r="D125" s="62">
        <v>181</v>
      </c>
      <c r="E125" s="63">
        <v>1.5337683247182E-2</v>
      </c>
    </row>
    <row r="126" spans="1:5" ht="14.5" customHeight="1">
      <c r="A126" s="35"/>
      <c r="B126" s="111"/>
      <c r="C126" s="71" t="s">
        <v>110</v>
      </c>
      <c r="D126" s="62">
        <v>839</v>
      </c>
      <c r="E126" s="63">
        <v>7.1095669858487004E-2</v>
      </c>
    </row>
    <row r="127" spans="1:5" ht="14.5" customHeight="1">
      <c r="A127" s="35"/>
      <c r="B127" s="111"/>
      <c r="C127" s="71" t="s">
        <v>111</v>
      </c>
      <c r="D127" s="62">
        <v>17</v>
      </c>
      <c r="E127" s="63">
        <v>1.4405558850940001E-3</v>
      </c>
    </row>
    <row r="128" spans="1:5" ht="14.5" customHeight="1">
      <c r="A128" s="35"/>
      <c r="B128" s="111"/>
      <c r="C128" s="71" t="s">
        <v>112</v>
      </c>
      <c r="D128" s="62">
        <v>12</v>
      </c>
      <c r="E128" s="63">
        <v>1.0168629777139999E-3</v>
      </c>
    </row>
    <row r="129" spans="1:5" ht="14.5" customHeight="1">
      <c r="A129" s="35"/>
      <c r="B129" s="111"/>
      <c r="C129" s="71" t="s">
        <v>113</v>
      </c>
      <c r="D129" s="62">
        <v>8</v>
      </c>
      <c r="E129" s="63">
        <v>6.7790865180899996E-4</v>
      </c>
    </row>
    <row r="130" spans="1:5" ht="14.5" customHeight="1">
      <c r="A130" s="35"/>
      <c r="B130" s="111"/>
      <c r="C130" s="71" t="s">
        <v>114</v>
      </c>
      <c r="D130" s="62">
        <v>7</v>
      </c>
      <c r="E130" s="63">
        <v>5.9317007033300002E-4</v>
      </c>
    </row>
    <row r="131" spans="1:5" ht="14.5" customHeight="1">
      <c r="A131" s="35"/>
      <c r="B131" s="111"/>
      <c r="C131" s="71" t="s">
        <v>115</v>
      </c>
      <c r="D131" s="62">
        <v>55</v>
      </c>
      <c r="E131" s="63">
        <v>4.660621981188E-3</v>
      </c>
    </row>
    <row r="132" spans="1:5" ht="14.5" customHeight="1">
      <c r="A132" s="35"/>
      <c r="B132" s="111"/>
      <c r="C132" s="71" t="s">
        <v>116</v>
      </c>
      <c r="D132" s="62">
        <v>181</v>
      </c>
      <c r="E132" s="63">
        <v>1.5337683247182E-2</v>
      </c>
    </row>
    <row r="133" spans="1:5" ht="14.5" customHeight="1">
      <c r="A133" s="35"/>
      <c r="B133" s="111"/>
      <c r="C133" s="71" t="s">
        <v>117</v>
      </c>
      <c r="D133" s="62">
        <v>5</v>
      </c>
      <c r="E133" s="63">
        <v>4.2369290738100002E-4</v>
      </c>
    </row>
    <row r="134" spans="1:5" ht="14.5" customHeight="1">
      <c r="A134" s="35"/>
      <c r="B134" s="111"/>
      <c r="C134" s="71" t="s">
        <v>118</v>
      </c>
      <c r="D134" s="62">
        <v>4</v>
      </c>
      <c r="E134" s="63">
        <v>3.3895432590500002E-4</v>
      </c>
    </row>
    <row r="135" spans="1:5" ht="14.5" customHeight="1">
      <c r="A135" s="35"/>
      <c r="B135" s="111"/>
      <c r="C135" s="71" t="s">
        <v>119</v>
      </c>
      <c r="D135" s="62">
        <v>1</v>
      </c>
      <c r="E135" s="63">
        <v>8.4738581476000001E-5</v>
      </c>
    </row>
    <row r="136" spans="1:5" ht="14.5" customHeight="1">
      <c r="A136" s="35"/>
      <c r="B136" s="111"/>
      <c r="C136" s="72" t="s">
        <v>284</v>
      </c>
      <c r="D136" s="64">
        <v>2932</v>
      </c>
      <c r="E136" s="67">
        <v>0.24845352088806</v>
      </c>
    </row>
    <row r="137" spans="1:5" ht="14.5" customHeight="1">
      <c r="A137" s="35"/>
      <c r="B137" s="111" t="s">
        <v>63</v>
      </c>
      <c r="C137" s="71" t="s">
        <v>96</v>
      </c>
      <c r="D137" s="62">
        <v>2</v>
      </c>
      <c r="E137" s="63">
        <v>1.69477162952E-4</v>
      </c>
    </row>
    <row r="138" spans="1:5" ht="14.5" customHeight="1">
      <c r="A138" s="35"/>
      <c r="B138" s="111"/>
      <c r="C138" s="71" t="s">
        <v>99</v>
      </c>
      <c r="D138" s="62">
        <v>4</v>
      </c>
      <c r="E138" s="63">
        <v>3.3895432590500002E-4</v>
      </c>
    </row>
    <row r="139" spans="1:5" ht="14.5" customHeight="1">
      <c r="A139" s="35"/>
      <c r="B139" s="111"/>
      <c r="C139" s="71" t="s">
        <v>100</v>
      </c>
      <c r="D139" s="62">
        <v>1</v>
      </c>
      <c r="E139" s="63">
        <v>8.4738581476000001E-5</v>
      </c>
    </row>
    <row r="140" spans="1:5" ht="14.5" customHeight="1">
      <c r="A140" s="35"/>
      <c r="B140" s="111"/>
      <c r="C140" s="71" t="s">
        <v>103</v>
      </c>
      <c r="D140" s="62">
        <v>24</v>
      </c>
      <c r="E140" s="63">
        <v>2.0337259554279999E-3</v>
      </c>
    </row>
    <row r="141" spans="1:5" ht="14.5" customHeight="1">
      <c r="A141" s="35"/>
      <c r="B141" s="111"/>
      <c r="C141" s="71" t="s">
        <v>104</v>
      </c>
      <c r="D141" s="62">
        <v>1</v>
      </c>
      <c r="E141" s="63">
        <v>8.4738581476000001E-5</v>
      </c>
    </row>
    <row r="142" spans="1:5" ht="14.5" customHeight="1">
      <c r="A142" s="35"/>
      <c r="B142" s="111"/>
      <c r="C142" s="71" t="s">
        <v>105</v>
      </c>
      <c r="D142" s="62">
        <v>3</v>
      </c>
      <c r="E142" s="63">
        <v>2.54215744428E-4</v>
      </c>
    </row>
    <row r="143" spans="1:5" ht="14.5" customHeight="1">
      <c r="A143" s="35"/>
      <c r="B143" s="111"/>
      <c r="C143" s="71" t="s">
        <v>106</v>
      </c>
      <c r="D143" s="62">
        <v>4</v>
      </c>
      <c r="E143" s="63">
        <v>3.3895432590500002E-4</v>
      </c>
    </row>
    <row r="144" spans="1:5" ht="14.5" customHeight="1">
      <c r="A144" s="35"/>
      <c r="B144" s="111"/>
      <c r="C144" s="71" t="s">
        <v>107</v>
      </c>
      <c r="D144" s="62">
        <v>30</v>
      </c>
      <c r="E144" s="63">
        <v>2.542157444284E-3</v>
      </c>
    </row>
    <row r="145" spans="1:5" ht="14.5" customHeight="1">
      <c r="A145" s="35"/>
      <c r="B145" s="111"/>
      <c r="C145" s="71" t="s">
        <v>108</v>
      </c>
      <c r="D145" s="62">
        <v>5</v>
      </c>
      <c r="E145" s="63">
        <v>4.2369290738100002E-4</v>
      </c>
    </row>
    <row r="146" spans="1:5" ht="14.5" customHeight="1">
      <c r="A146" s="35"/>
      <c r="B146" s="111"/>
      <c r="C146" s="71" t="s">
        <v>109</v>
      </c>
      <c r="D146" s="62">
        <v>3</v>
      </c>
      <c r="E146" s="63">
        <v>2.54215744428E-4</v>
      </c>
    </row>
    <row r="147" spans="1:5" ht="14.5" customHeight="1">
      <c r="A147" s="35"/>
      <c r="B147" s="111"/>
      <c r="C147" s="71" t="s">
        <v>110</v>
      </c>
      <c r="D147" s="62">
        <v>31</v>
      </c>
      <c r="E147" s="63">
        <v>2.6268960257610002E-3</v>
      </c>
    </row>
    <row r="148" spans="1:5" ht="14.5" customHeight="1">
      <c r="A148" s="35"/>
      <c r="B148" s="111"/>
      <c r="C148" s="71" t="s">
        <v>112</v>
      </c>
      <c r="D148" s="62">
        <v>1</v>
      </c>
      <c r="E148" s="63">
        <v>8.4738581476000001E-5</v>
      </c>
    </row>
    <row r="149" spans="1:5" ht="14.5" customHeight="1">
      <c r="A149" s="35"/>
      <c r="B149" s="111"/>
      <c r="C149" s="71" t="s">
        <v>113</v>
      </c>
      <c r="D149" s="62">
        <v>1</v>
      </c>
      <c r="E149" s="63">
        <v>8.4738581476000001E-5</v>
      </c>
    </row>
    <row r="150" spans="1:5" ht="14.5" customHeight="1">
      <c r="A150" s="35"/>
      <c r="B150" s="111"/>
      <c r="C150" s="71" t="s">
        <v>115</v>
      </c>
      <c r="D150" s="62">
        <v>1</v>
      </c>
      <c r="E150" s="63">
        <v>8.4738581476000001E-5</v>
      </c>
    </row>
    <row r="151" spans="1:5" ht="14.5" customHeight="1">
      <c r="A151" s="35"/>
      <c r="B151" s="111"/>
      <c r="C151" s="71" t="s">
        <v>116</v>
      </c>
      <c r="D151" s="62">
        <v>15</v>
      </c>
      <c r="E151" s="63">
        <v>1.271078722142E-3</v>
      </c>
    </row>
    <row r="152" spans="1:5" ht="14.5" customHeight="1">
      <c r="A152" s="35"/>
      <c r="B152" s="111"/>
      <c r="C152" s="71" t="s">
        <v>118</v>
      </c>
      <c r="D152" s="62">
        <v>1</v>
      </c>
      <c r="E152" s="63">
        <v>8.4738581476000001E-5</v>
      </c>
    </row>
    <row r="153" spans="1:5" ht="14.5" customHeight="1">
      <c r="A153" s="35"/>
      <c r="B153" s="111"/>
      <c r="C153" s="72" t="s">
        <v>284</v>
      </c>
      <c r="D153" s="64">
        <v>127</v>
      </c>
      <c r="E153" s="67">
        <v>1.0761799847471E-2</v>
      </c>
    </row>
    <row r="154" spans="1:5" ht="14.5" customHeight="1">
      <c r="A154" s="35"/>
      <c r="B154" s="111" t="s">
        <v>55</v>
      </c>
      <c r="C154" s="71" t="s">
        <v>96</v>
      </c>
      <c r="D154" s="62">
        <v>1</v>
      </c>
      <c r="E154" s="63">
        <v>8.4738581476000001E-5</v>
      </c>
    </row>
    <row r="155" spans="1:5" ht="14.5" customHeight="1">
      <c r="A155" s="35"/>
      <c r="B155" s="111"/>
      <c r="C155" s="71" t="s">
        <v>97</v>
      </c>
      <c r="D155" s="62">
        <v>1</v>
      </c>
      <c r="E155" s="63">
        <v>8.4738581476000001E-5</v>
      </c>
    </row>
    <row r="156" spans="1:5" ht="14.5" customHeight="1">
      <c r="A156" s="35"/>
      <c r="B156" s="111"/>
      <c r="C156" s="71" t="s">
        <v>99</v>
      </c>
      <c r="D156" s="62">
        <v>2</v>
      </c>
      <c r="E156" s="63">
        <v>1.69477162952E-4</v>
      </c>
    </row>
    <row r="157" spans="1:5" ht="14.5" customHeight="1">
      <c r="A157" s="35"/>
      <c r="B157" s="111"/>
      <c r="C157" s="71" t="s">
        <v>100</v>
      </c>
      <c r="D157" s="62">
        <v>5</v>
      </c>
      <c r="E157" s="63">
        <v>4.2369290738100002E-4</v>
      </c>
    </row>
    <row r="158" spans="1:5" ht="14.5" customHeight="1">
      <c r="A158" s="35"/>
      <c r="B158" s="111"/>
      <c r="C158" s="71" t="s">
        <v>101</v>
      </c>
      <c r="D158" s="62">
        <v>4</v>
      </c>
      <c r="E158" s="63">
        <v>3.3895432590500002E-4</v>
      </c>
    </row>
    <row r="159" spans="1:5" ht="14.5" customHeight="1">
      <c r="A159" s="35"/>
      <c r="B159" s="111"/>
      <c r="C159" s="71" t="s">
        <v>102</v>
      </c>
      <c r="D159" s="62">
        <v>8</v>
      </c>
      <c r="E159" s="63">
        <v>6.7790865180899996E-4</v>
      </c>
    </row>
    <row r="160" spans="1:5" ht="14.5" customHeight="1">
      <c r="A160" s="35"/>
      <c r="B160" s="111"/>
      <c r="C160" s="71" t="s">
        <v>103</v>
      </c>
      <c r="D160" s="62">
        <v>23</v>
      </c>
      <c r="E160" s="63">
        <v>1.9489873739510001E-3</v>
      </c>
    </row>
    <row r="161" spans="1:5" ht="14.5" customHeight="1">
      <c r="A161" s="35"/>
      <c r="B161" s="111"/>
      <c r="C161" s="71" t="s">
        <v>104</v>
      </c>
      <c r="D161" s="62">
        <v>1</v>
      </c>
      <c r="E161" s="63">
        <v>8.4738581476000001E-5</v>
      </c>
    </row>
    <row r="162" spans="1:5" ht="14.5" customHeight="1">
      <c r="A162" s="35"/>
      <c r="B162" s="111"/>
      <c r="C162" s="71" t="s">
        <v>105</v>
      </c>
      <c r="D162" s="62">
        <v>3</v>
      </c>
      <c r="E162" s="63">
        <v>2.54215744428E-4</v>
      </c>
    </row>
    <row r="163" spans="1:5" ht="14.5" customHeight="1">
      <c r="A163" s="35"/>
      <c r="B163" s="111"/>
      <c r="C163" s="71" t="s">
        <v>106</v>
      </c>
      <c r="D163" s="62">
        <v>9</v>
      </c>
      <c r="E163" s="63">
        <v>7.6264723328500002E-4</v>
      </c>
    </row>
    <row r="164" spans="1:5" ht="14.5" customHeight="1">
      <c r="A164" s="35"/>
      <c r="B164" s="111"/>
      <c r="C164" s="71" t="s">
        <v>107</v>
      </c>
      <c r="D164" s="62">
        <v>57</v>
      </c>
      <c r="E164" s="63">
        <v>4.8300991441400003E-3</v>
      </c>
    </row>
    <row r="165" spans="1:5" ht="14.5" customHeight="1">
      <c r="A165" s="35"/>
      <c r="B165" s="111"/>
      <c r="C165" s="71" t="s">
        <v>108</v>
      </c>
      <c r="D165" s="62">
        <v>5</v>
      </c>
      <c r="E165" s="63">
        <v>4.2369290738100002E-4</v>
      </c>
    </row>
    <row r="166" spans="1:5" ht="14.5" customHeight="1">
      <c r="A166" s="35"/>
      <c r="B166" s="111"/>
      <c r="C166" s="71" t="s">
        <v>109</v>
      </c>
      <c r="D166" s="62">
        <v>15</v>
      </c>
      <c r="E166" s="63">
        <v>1.271078722142E-3</v>
      </c>
    </row>
    <row r="167" spans="1:5" ht="14.5" customHeight="1">
      <c r="A167" s="35"/>
      <c r="B167" s="111"/>
      <c r="C167" s="71" t="s">
        <v>110</v>
      </c>
      <c r="D167" s="62">
        <v>62</v>
      </c>
      <c r="E167" s="63">
        <v>5.2537920515210003E-3</v>
      </c>
    </row>
    <row r="168" spans="1:5" ht="14.5" customHeight="1">
      <c r="A168" s="35"/>
      <c r="B168" s="111"/>
      <c r="C168" s="71" t="s">
        <v>113</v>
      </c>
      <c r="D168" s="62">
        <v>1</v>
      </c>
      <c r="E168" s="63">
        <v>8.4738581476000001E-5</v>
      </c>
    </row>
    <row r="169" spans="1:5" ht="14.5" customHeight="1">
      <c r="A169" s="35"/>
      <c r="B169" s="111"/>
      <c r="C169" s="71" t="s">
        <v>115</v>
      </c>
      <c r="D169" s="62">
        <v>10</v>
      </c>
      <c r="E169" s="63">
        <v>8.4738581476099997E-4</v>
      </c>
    </row>
    <row r="170" spans="1:5" ht="14.5" customHeight="1">
      <c r="A170" s="35"/>
      <c r="B170" s="111"/>
      <c r="C170" s="71" t="s">
        <v>116</v>
      </c>
      <c r="D170" s="62">
        <v>8</v>
      </c>
      <c r="E170" s="63">
        <v>6.7790865180899996E-4</v>
      </c>
    </row>
    <row r="171" spans="1:5" ht="14.5" customHeight="1">
      <c r="A171" s="35"/>
      <c r="B171" s="111"/>
      <c r="C171" s="71" t="s">
        <v>118</v>
      </c>
      <c r="D171" s="62">
        <v>1</v>
      </c>
      <c r="E171" s="63">
        <v>8.4738581476000001E-5</v>
      </c>
    </row>
    <row r="172" spans="1:5" ht="14.5" customHeight="1">
      <c r="A172" s="35"/>
      <c r="B172" s="111"/>
      <c r="C172" s="72" t="s">
        <v>284</v>
      </c>
      <c r="D172" s="64">
        <v>216</v>
      </c>
      <c r="E172" s="67">
        <v>1.8303533598847999E-2</v>
      </c>
    </row>
    <row r="173" spans="1:5" ht="14.5" customHeight="1">
      <c r="A173" s="35"/>
      <c r="B173" s="111" t="s">
        <v>76</v>
      </c>
      <c r="C173" s="71" t="s">
        <v>100</v>
      </c>
      <c r="D173" s="62">
        <v>1</v>
      </c>
      <c r="E173" s="63">
        <v>8.4738581476000001E-5</v>
      </c>
    </row>
    <row r="174" spans="1:5" ht="14.5" customHeight="1">
      <c r="A174" s="35"/>
      <c r="B174" s="111"/>
      <c r="C174" s="71" t="s">
        <v>102</v>
      </c>
      <c r="D174" s="62">
        <v>4</v>
      </c>
      <c r="E174" s="63">
        <v>3.3895432590500002E-4</v>
      </c>
    </row>
    <row r="175" spans="1:5" ht="14.5" customHeight="1">
      <c r="A175" s="35"/>
      <c r="B175" s="111"/>
      <c r="C175" s="71" t="s">
        <v>103</v>
      </c>
      <c r="D175" s="62">
        <v>7</v>
      </c>
      <c r="E175" s="63">
        <v>5.9317007033300002E-4</v>
      </c>
    </row>
    <row r="176" spans="1:5" ht="14.5" customHeight="1">
      <c r="A176" s="35"/>
      <c r="B176" s="111"/>
      <c r="C176" s="71" t="s">
        <v>104</v>
      </c>
      <c r="D176" s="62">
        <v>2</v>
      </c>
      <c r="E176" s="63">
        <v>1.69477162952E-4</v>
      </c>
    </row>
    <row r="177" spans="1:5" ht="14.5" customHeight="1">
      <c r="A177" s="35"/>
      <c r="B177" s="111"/>
      <c r="C177" s="71" t="s">
        <v>105</v>
      </c>
      <c r="D177" s="62">
        <v>3</v>
      </c>
      <c r="E177" s="63">
        <v>2.54215744428E-4</v>
      </c>
    </row>
    <row r="178" spans="1:5" ht="14.5" customHeight="1">
      <c r="A178" s="35"/>
      <c r="B178" s="111"/>
      <c r="C178" s="71" t="s">
        <v>106</v>
      </c>
      <c r="D178" s="62">
        <v>4</v>
      </c>
      <c r="E178" s="63">
        <v>3.3895432590500002E-4</v>
      </c>
    </row>
    <row r="179" spans="1:5" ht="14.5" customHeight="1">
      <c r="A179" s="35"/>
      <c r="B179" s="111"/>
      <c r="C179" s="71" t="s">
        <v>107</v>
      </c>
      <c r="D179" s="62">
        <v>31</v>
      </c>
      <c r="E179" s="63">
        <v>2.6268960257610002E-3</v>
      </c>
    </row>
    <row r="180" spans="1:5" ht="14.5" customHeight="1">
      <c r="A180" s="35"/>
      <c r="B180" s="111"/>
      <c r="C180" s="71" t="s">
        <v>109</v>
      </c>
      <c r="D180" s="62">
        <v>2</v>
      </c>
      <c r="E180" s="63">
        <v>1.69477162952E-4</v>
      </c>
    </row>
    <row r="181" spans="1:5" ht="14.5" customHeight="1">
      <c r="A181" s="35"/>
      <c r="B181" s="111"/>
      <c r="C181" s="71" t="s">
        <v>110</v>
      </c>
      <c r="D181" s="62">
        <v>9</v>
      </c>
      <c r="E181" s="63">
        <v>7.6264723328500002E-4</v>
      </c>
    </row>
    <row r="182" spans="1:5" ht="14.5" customHeight="1">
      <c r="A182" s="35"/>
      <c r="B182" s="111"/>
      <c r="C182" s="71" t="s">
        <v>112</v>
      </c>
      <c r="D182" s="62">
        <v>1</v>
      </c>
      <c r="E182" s="63">
        <v>8.4738581476000001E-5</v>
      </c>
    </row>
    <row r="183" spans="1:5" ht="14.5" customHeight="1">
      <c r="A183" s="35"/>
      <c r="B183" s="111"/>
      <c r="C183" s="71" t="s">
        <v>115</v>
      </c>
      <c r="D183" s="62">
        <v>3</v>
      </c>
      <c r="E183" s="63">
        <v>2.54215744428E-4</v>
      </c>
    </row>
    <row r="184" spans="1:5" ht="14.5" customHeight="1">
      <c r="A184" s="35"/>
      <c r="B184" s="111"/>
      <c r="C184" s="71" t="s">
        <v>116</v>
      </c>
      <c r="D184" s="62">
        <v>9</v>
      </c>
      <c r="E184" s="63">
        <v>7.6264723328500002E-4</v>
      </c>
    </row>
    <row r="185" spans="1:5" ht="14.5" customHeight="1">
      <c r="A185" s="35"/>
      <c r="B185" s="111"/>
      <c r="C185" s="72" t="s">
        <v>284</v>
      </c>
      <c r="D185" s="64">
        <v>76</v>
      </c>
      <c r="E185" s="67">
        <v>6.4401321921870001E-3</v>
      </c>
    </row>
    <row r="186" spans="1:5" ht="14.5" customHeight="1">
      <c r="A186" s="35"/>
      <c r="B186" s="111" t="s">
        <v>77</v>
      </c>
      <c r="C186" s="71" t="s">
        <v>100</v>
      </c>
      <c r="D186" s="62">
        <v>1</v>
      </c>
      <c r="E186" s="63">
        <v>8.4738581476000001E-5</v>
      </c>
    </row>
    <row r="187" spans="1:5" ht="14.5" customHeight="1">
      <c r="A187" s="35"/>
      <c r="B187" s="111"/>
      <c r="C187" s="71" t="s">
        <v>102</v>
      </c>
      <c r="D187" s="62">
        <v>3</v>
      </c>
      <c r="E187" s="63">
        <v>2.54215744428E-4</v>
      </c>
    </row>
    <row r="188" spans="1:5" ht="14.5" customHeight="1">
      <c r="A188" s="35"/>
      <c r="B188" s="111"/>
      <c r="C188" s="71" t="s">
        <v>103</v>
      </c>
      <c r="D188" s="62">
        <v>5</v>
      </c>
      <c r="E188" s="63">
        <v>4.2369290738100002E-4</v>
      </c>
    </row>
    <row r="189" spans="1:5" ht="14.5" customHeight="1">
      <c r="A189" s="35"/>
      <c r="B189" s="111"/>
      <c r="C189" s="71" t="s">
        <v>104</v>
      </c>
      <c r="D189" s="62">
        <v>3</v>
      </c>
      <c r="E189" s="63">
        <v>2.54215744428E-4</v>
      </c>
    </row>
    <row r="190" spans="1:5" ht="14.5" customHeight="1">
      <c r="A190" s="35"/>
      <c r="B190" s="111"/>
      <c r="C190" s="71" t="s">
        <v>106</v>
      </c>
      <c r="D190" s="62">
        <v>3</v>
      </c>
      <c r="E190" s="63">
        <v>2.54215744428E-4</v>
      </c>
    </row>
    <row r="191" spans="1:5" ht="14.5" customHeight="1">
      <c r="A191" s="35"/>
      <c r="B191" s="111"/>
      <c r="C191" s="71" t="s">
        <v>107</v>
      </c>
      <c r="D191" s="62">
        <v>8</v>
      </c>
      <c r="E191" s="63">
        <v>6.7790865180899996E-4</v>
      </c>
    </row>
    <row r="192" spans="1:5" ht="14.5" customHeight="1">
      <c r="A192" s="35"/>
      <c r="B192" s="111"/>
      <c r="C192" s="71" t="s">
        <v>108</v>
      </c>
      <c r="D192" s="62">
        <v>4</v>
      </c>
      <c r="E192" s="63">
        <v>3.3895432590500002E-4</v>
      </c>
    </row>
    <row r="193" spans="1:5" ht="14.5" customHeight="1">
      <c r="A193" s="35"/>
      <c r="B193" s="111"/>
      <c r="C193" s="71" t="s">
        <v>109</v>
      </c>
      <c r="D193" s="62">
        <v>3</v>
      </c>
      <c r="E193" s="63">
        <v>2.54215744428E-4</v>
      </c>
    </row>
    <row r="194" spans="1:5" ht="14.5" customHeight="1">
      <c r="A194" s="35"/>
      <c r="B194" s="111"/>
      <c r="C194" s="71" t="s">
        <v>110</v>
      </c>
      <c r="D194" s="62">
        <v>14</v>
      </c>
      <c r="E194" s="63">
        <v>1.186340140666E-3</v>
      </c>
    </row>
    <row r="195" spans="1:5" ht="14.5" customHeight="1">
      <c r="A195" s="35"/>
      <c r="B195" s="111"/>
      <c r="C195" s="71" t="s">
        <v>111</v>
      </c>
      <c r="D195" s="62">
        <v>1</v>
      </c>
      <c r="E195" s="63">
        <v>8.4738581476000001E-5</v>
      </c>
    </row>
    <row r="196" spans="1:5" ht="14.5" customHeight="1">
      <c r="A196" s="35"/>
      <c r="B196" s="111"/>
      <c r="C196" s="71" t="s">
        <v>112</v>
      </c>
      <c r="D196" s="62">
        <v>1</v>
      </c>
      <c r="E196" s="63">
        <v>8.4738581476000001E-5</v>
      </c>
    </row>
    <row r="197" spans="1:5" ht="14.5" customHeight="1">
      <c r="A197" s="35"/>
      <c r="B197" s="111"/>
      <c r="C197" s="71" t="s">
        <v>114</v>
      </c>
      <c r="D197" s="62">
        <v>1</v>
      </c>
      <c r="E197" s="63">
        <v>8.4738581476000001E-5</v>
      </c>
    </row>
    <row r="198" spans="1:5" ht="14.5" customHeight="1">
      <c r="A198" s="35"/>
      <c r="B198" s="111"/>
      <c r="C198" s="71" t="s">
        <v>115</v>
      </c>
      <c r="D198" s="62">
        <v>1</v>
      </c>
      <c r="E198" s="63">
        <v>8.4738581476000001E-5</v>
      </c>
    </row>
    <row r="199" spans="1:5" ht="14.5" customHeight="1">
      <c r="A199" s="35"/>
      <c r="B199" s="111"/>
      <c r="C199" s="71" t="s">
        <v>116</v>
      </c>
      <c r="D199" s="62">
        <v>14</v>
      </c>
      <c r="E199" s="63">
        <v>1.186340140666E-3</v>
      </c>
    </row>
    <row r="200" spans="1:5" ht="14.5" customHeight="1">
      <c r="A200" s="35"/>
      <c r="B200" s="111"/>
      <c r="C200" s="72" t="s">
        <v>284</v>
      </c>
      <c r="D200" s="64">
        <v>62</v>
      </c>
      <c r="E200" s="67">
        <v>5.2537920515210003E-3</v>
      </c>
    </row>
    <row r="201" spans="1:5" ht="14.5" customHeight="1">
      <c r="A201" s="35"/>
      <c r="B201" s="111" t="s">
        <v>54</v>
      </c>
      <c r="C201" s="71" t="s">
        <v>96</v>
      </c>
      <c r="D201" s="62">
        <v>1</v>
      </c>
      <c r="E201" s="63">
        <v>8.4738581476000001E-5</v>
      </c>
    </row>
    <row r="202" spans="1:5" ht="14.5" customHeight="1">
      <c r="A202" s="35"/>
      <c r="B202" s="111"/>
      <c r="C202" s="71" t="s">
        <v>97</v>
      </c>
      <c r="D202" s="62">
        <v>1</v>
      </c>
      <c r="E202" s="63">
        <v>8.4738581476000001E-5</v>
      </c>
    </row>
    <row r="203" spans="1:5" ht="14.5" customHeight="1">
      <c r="A203" s="35"/>
      <c r="B203" s="111"/>
      <c r="C203" s="71" t="s">
        <v>98</v>
      </c>
      <c r="D203" s="62">
        <v>1</v>
      </c>
      <c r="E203" s="63">
        <v>8.4738581476000001E-5</v>
      </c>
    </row>
    <row r="204" spans="1:5" ht="14.5" customHeight="1">
      <c r="A204" s="35"/>
      <c r="B204" s="111"/>
      <c r="C204" s="71" t="s">
        <v>100</v>
      </c>
      <c r="D204" s="62">
        <v>2</v>
      </c>
      <c r="E204" s="63">
        <v>1.69477162952E-4</v>
      </c>
    </row>
    <row r="205" spans="1:5" ht="14.5" customHeight="1">
      <c r="A205" s="35"/>
      <c r="B205" s="111"/>
      <c r="C205" s="71" t="s">
        <v>101</v>
      </c>
      <c r="D205" s="62">
        <v>2</v>
      </c>
      <c r="E205" s="63">
        <v>1.69477162952E-4</v>
      </c>
    </row>
    <row r="206" spans="1:5" ht="14.5" customHeight="1">
      <c r="A206" s="35"/>
      <c r="B206" s="111"/>
      <c r="C206" s="71" t="s">
        <v>102</v>
      </c>
      <c r="D206" s="62">
        <v>12</v>
      </c>
      <c r="E206" s="63">
        <v>1.0168629777139999E-3</v>
      </c>
    </row>
    <row r="207" spans="1:5" ht="14.5" customHeight="1">
      <c r="A207" s="35"/>
      <c r="B207" s="111"/>
      <c r="C207" s="71" t="s">
        <v>103</v>
      </c>
      <c r="D207" s="62">
        <v>13</v>
      </c>
      <c r="E207" s="63">
        <v>1.1016015591900001E-3</v>
      </c>
    </row>
    <row r="208" spans="1:5" ht="14.5" customHeight="1">
      <c r="A208" s="35"/>
      <c r="B208" s="111"/>
      <c r="C208" s="71" t="s">
        <v>104</v>
      </c>
      <c r="D208" s="62">
        <v>1</v>
      </c>
      <c r="E208" s="63">
        <v>8.4738581476000001E-5</v>
      </c>
    </row>
    <row r="209" spans="1:5" ht="14.5" customHeight="1">
      <c r="A209" s="35"/>
      <c r="B209" s="111"/>
      <c r="C209" s="71" t="s">
        <v>105</v>
      </c>
      <c r="D209" s="62">
        <v>3</v>
      </c>
      <c r="E209" s="63">
        <v>2.54215744428E-4</v>
      </c>
    </row>
    <row r="210" spans="1:5" ht="14.5" customHeight="1">
      <c r="A210" s="35"/>
      <c r="B210" s="111"/>
      <c r="C210" s="71" t="s">
        <v>106</v>
      </c>
      <c r="D210" s="62">
        <v>8</v>
      </c>
      <c r="E210" s="63">
        <v>6.7790865180899996E-4</v>
      </c>
    </row>
    <row r="211" spans="1:5" ht="14.5" customHeight="1">
      <c r="A211" s="35"/>
      <c r="B211" s="111"/>
      <c r="C211" s="71" t="s">
        <v>107</v>
      </c>
      <c r="D211" s="62">
        <v>71</v>
      </c>
      <c r="E211" s="63">
        <v>6.0164392848060001E-3</v>
      </c>
    </row>
    <row r="212" spans="1:5" ht="14.5" customHeight="1">
      <c r="A212" s="35"/>
      <c r="B212" s="111"/>
      <c r="C212" s="71" t="s">
        <v>108</v>
      </c>
      <c r="D212" s="62">
        <v>3</v>
      </c>
      <c r="E212" s="63">
        <v>2.54215744428E-4</v>
      </c>
    </row>
    <row r="213" spans="1:5" ht="14.5" customHeight="1">
      <c r="A213" s="35"/>
      <c r="B213" s="111"/>
      <c r="C213" s="71" t="s">
        <v>109</v>
      </c>
      <c r="D213" s="62">
        <v>6</v>
      </c>
      <c r="E213" s="63">
        <v>5.0843148885699996E-4</v>
      </c>
    </row>
    <row r="214" spans="1:5" ht="14.5" customHeight="1">
      <c r="A214" s="35"/>
      <c r="B214" s="111"/>
      <c r="C214" s="71" t="s">
        <v>110</v>
      </c>
      <c r="D214" s="62">
        <v>30</v>
      </c>
      <c r="E214" s="63">
        <v>2.542157444284E-3</v>
      </c>
    </row>
    <row r="215" spans="1:5" ht="14.5" customHeight="1">
      <c r="A215" s="35"/>
      <c r="B215" s="111"/>
      <c r="C215" s="71" t="s">
        <v>113</v>
      </c>
      <c r="D215" s="62">
        <v>1</v>
      </c>
      <c r="E215" s="63">
        <v>8.4738581476000001E-5</v>
      </c>
    </row>
    <row r="216" spans="1:5" ht="14.5" customHeight="1">
      <c r="A216" s="35"/>
      <c r="B216" s="111"/>
      <c r="C216" s="71" t="s">
        <v>115</v>
      </c>
      <c r="D216" s="62">
        <v>4</v>
      </c>
      <c r="E216" s="63">
        <v>3.3895432590500002E-4</v>
      </c>
    </row>
    <row r="217" spans="1:5" ht="14.5" customHeight="1">
      <c r="A217" s="35"/>
      <c r="B217" s="111"/>
      <c r="C217" s="71" t="s">
        <v>116</v>
      </c>
      <c r="D217" s="62">
        <v>15</v>
      </c>
      <c r="E217" s="63">
        <v>1.271078722142E-3</v>
      </c>
    </row>
    <row r="218" spans="1:5" ht="14.5" customHeight="1">
      <c r="A218" s="35"/>
      <c r="B218" s="111"/>
      <c r="C218" s="71" t="s">
        <v>117</v>
      </c>
      <c r="D218" s="62">
        <v>3</v>
      </c>
      <c r="E218" s="63">
        <v>2.54215744428E-4</v>
      </c>
    </row>
    <row r="219" spans="1:5" ht="14.5" customHeight="1">
      <c r="A219" s="35"/>
      <c r="B219" s="111"/>
      <c r="C219" s="71" t="s">
        <v>118</v>
      </c>
      <c r="D219" s="62">
        <v>3</v>
      </c>
      <c r="E219" s="63">
        <v>2.54215744428E-4</v>
      </c>
    </row>
    <row r="220" spans="1:5" ht="14.5" customHeight="1">
      <c r="A220" s="35"/>
      <c r="B220" s="111"/>
      <c r="C220" s="72" t="s">
        <v>284</v>
      </c>
      <c r="D220" s="64">
        <v>180</v>
      </c>
      <c r="E220" s="67">
        <v>1.5252944665706E-2</v>
      </c>
    </row>
    <row r="221" spans="1:5" ht="14.5" customHeight="1">
      <c r="A221" s="35"/>
      <c r="B221" s="111" t="s">
        <v>82</v>
      </c>
      <c r="C221" s="71" t="s">
        <v>104</v>
      </c>
      <c r="D221" s="62">
        <v>1</v>
      </c>
      <c r="E221" s="63">
        <v>8.4738581476000001E-5</v>
      </c>
    </row>
    <row r="222" spans="1:5" ht="14.5" customHeight="1">
      <c r="A222" s="35"/>
      <c r="B222" s="111"/>
      <c r="C222" s="71" t="s">
        <v>107</v>
      </c>
      <c r="D222" s="62">
        <v>5</v>
      </c>
      <c r="E222" s="63">
        <v>4.2369290738100002E-4</v>
      </c>
    </row>
    <row r="223" spans="1:5" ht="14.5" customHeight="1">
      <c r="A223" s="35"/>
      <c r="B223" s="111"/>
      <c r="C223" s="71" t="s">
        <v>109</v>
      </c>
      <c r="D223" s="62">
        <v>2</v>
      </c>
      <c r="E223" s="63">
        <v>1.69477162952E-4</v>
      </c>
    </row>
    <row r="224" spans="1:5" ht="14.5" customHeight="1">
      <c r="A224" s="35"/>
      <c r="B224" s="111"/>
      <c r="C224" s="71" t="s">
        <v>110</v>
      </c>
      <c r="D224" s="62">
        <v>2</v>
      </c>
      <c r="E224" s="63">
        <v>1.69477162952E-4</v>
      </c>
    </row>
    <row r="225" spans="1:5" ht="14.5" customHeight="1">
      <c r="A225" s="35"/>
      <c r="B225" s="111"/>
      <c r="C225" s="71" t="s">
        <v>116</v>
      </c>
      <c r="D225" s="62">
        <v>4</v>
      </c>
      <c r="E225" s="63">
        <v>3.3895432590500002E-4</v>
      </c>
    </row>
    <row r="226" spans="1:5" ht="14.5" customHeight="1">
      <c r="A226" s="35"/>
      <c r="B226" s="111"/>
      <c r="C226" s="71" t="s">
        <v>118</v>
      </c>
      <c r="D226" s="62">
        <v>1</v>
      </c>
      <c r="E226" s="63">
        <v>8.4738581476000001E-5</v>
      </c>
    </row>
    <row r="227" spans="1:5" ht="14.5" customHeight="1">
      <c r="A227" s="35"/>
      <c r="B227" s="111"/>
      <c r="C227" s="72" t="s">
        <v>284</v>
      </c>
      <c r="D227" s="64">
        <v>15</v>
      </c>
      <c r="E227" s="67">
        <v>1.271078722142E-3</v>
      </c>
    </row>
    <row r="228" spans="1:5" ht="14.5" customHeight="1">
      <c r="A228" s="35"/>
      <c r="B228" s="111" t="s">
        <v>78</v>
      </c>
      <c r="C228" s="71" t="s">
        <v>99</v>
      </c>
      <c r="D228" s="62">
        <v>1</v>
      </c>
      <c r="E228" s="63">
        <v>8.4738581476000001E-5</v>
      </c>
    </row>
    <row r="229" spans="1:5" ht="14.5" customHeight="1">
      <c r="A229" s="35"/>
      <c r="B229" s="111"/>
      <c r="C229" s="71" t="s">
        <v>101</v>
      </c>
      <c r="D229" s="62">
        <v>3</v>
      </c>
      <c r="E229" s="63">
        <v>2.54215744428E-4</v>
      </c>
    </row>
    <row r="230" spans="1:5" ht="14.5" customHeight="1">
      <c r="A230" s="35"/>
      <c r="B230" s="111"/>
      <c r="C230" s="71" t="s">
        <v>102</v>
      </c>
      <c r="D230" s="62">
        <v>2</v>
      </c>
      <c r="E230" s="63">
        <v>1.69477162952E-4</v>
      </c>
    </row>
    <row r="231" spans="1:5" ht="14.5" customHeight="1">
      <c r="A231" s="35"/>
      <c r="B231" s="111"/>
      <c r="C231" s="71" t="s">
        <v>103</v>
      </c>
      <c r="D231" s="62">
        <v>6</v>
      </c>
      <c r="E231" s="63">
        <v>5.0843148885699996E-4</v>
      </c>
    </row>
    <row r="232" spans="1:5" ht="14.5" customHeight="1">
      <c r="A232" s="35"/>
      <c r="B232" s="111"/>
      <c r="C232" s="71" t="s">
        <v>104</v>
      </c>
      <c r="D232" s="62">
        <v>1</v>
      </c>
      <c r="E232" s="63">
        <v>8.4738581476000001E-5</v>
      </c>
    </row>
    <row r="233" spans="1:5" ht="14.5" customHeight="1">
      <c r="A233" s="35"/>
      <c r="B233" s="111"/>
      <c r="C233" s="71" t="s">
        <v>105</v>
      </c>
      <c r="D233" s="62">
        <v>4</v>
      </c>
      <c r="E233" s="63">
        <v>3.3895432590500002E-4</v>
      </c>
    </row>
    <row r="234" spans="1:5" ht="14.5" customHeight="1">
      <c r="A234" s="35"/>
      <c r="B234" s="111"/>
      <c r="C234" s="71" t="s">
        <v>107</v>
      </c>
      <c r="D234" s="62">
        <v>5</v>
      </c>
      <c r="E234" s="63">
        <v>4.2369290738100002E-4</v>
      </c>
    </row>
    <row r="235" spans="1:5" ht="14.5" customHeight="1">
      <c r="A235" s="35"/>
      <c r="B235" s="111"/>
      <c r="C235" s="71" t="s">
        <v>109</v>
      </c>
      <c r="D235" s="62">
        <v>1</v>
      </c>
      <c r="E235" s="63">
        <v>8.4738581476000001E-5</v>
      </c>
    </row>
    <row r="236" spans="1:5" ht="14.5" customHeight="1">
      <c r="A236" s="35"/>
      <c r="B236" s="111"/>
      <c r="C236" s="71" t="s">
        <v>110</v>
      </c>
      <c r="D236" s="62">
        <v>8</v>
      </c>
      <c r="E236" s="63">
        <v>6.7790865180899996E-4</v>
      </c>
    </row>
    <row r="237" spans="1:5" ht="14.5" customHeight="1">
      <c r="A237" s="35"/>
      <c r="B237" s="111"/>
      <c r="C237" s="71" t="s">
        <v>111</v>
      </c>
      <c r="D237" s="62">
        <v>1</v>
      </c>
      <c r="E237" s="63">
        <v>8.4738581476000001E-5</v>
      </c>
    </row>
    <row r="238" spans="1:5" ht="14.5" customHeight="1">
      <c r="A238" s="35"/>
      <c r="B238" s="111"/>
      <c r="C238" s="71" t="s">
        <v>114</v>
      </c>
      <c r="D238" s="62">
        <v>1</v>
      </c>
      <c r="E238" s="63">
        <v>8.4738581476000001E-5</v>
      </c>
    </row>
    <row r="239" spans="1:5" ht="14.5" customHeight="1">
      <c r="A239" s="35"/>
      <c r="B239" s="111"/>
      <c r="C239" s="71" t="s">
        <v>115</v>
      </c>
      <c r="D239" s="62">
        <v>3</v>
      </c>
      <c r="E239" s="63">
        <v>2.54215744428E-4</v>
      </c>
    </row>
    <row r="240" spans="1:5" ht="14.5" customHeight="1">
      <c r="A240" s="35"/>
      <c r="B240" s="111"/>
      <c r="C240" s="71" t="s">
        <v>116</v>
      </c>
      <c r="D240" s="62">
        <v>2</v>
      </c>
      <c r="E240" s="63">
        <v>1.69477162952E-4</v>
      </c>
    </row>
    <row r="241" spans="1:5" ht="14.5" customHeight="1">
      <c r="A241" s="35"/>
      <c r="B241" s="111"/>
      <c r="C241" s="72" t="s">
        <v>284</v>
      </c>
      <c r="D241" s="64">
        <v>38</v>
      </c>
      <c r="E241" s="67">
        <v>3.2200660960940001E-3</v>
      </c>
    </row>
    <row r="242" spans="1:5" ht="14.5" customHeight="1">
      <c r="A242" s="35"/>
      <c r="B242" s="111" t="s">
        <v>48</v>
      </c>
      <c r="C242" s="71" t="s">
        <v>96</v>
      </c>
      <c r="D242" s="62">
        <v>11</v>
      </c>
      <c r="E242" s="63">
        <v>9.3212439623799998E-4</v>
      </c>
    </row>
    <row r="243" spans="1:5" ht="14.5" customHeight="1">
      <c r="A243" s="35"/>
      <c r="B243" s="111"/>
      <c r="C243" s="71" t="s">
        <v>131</v>
      </c>
      <c r="D243" s="62">
        <v>1</v>
      </c>
      <c r="E243" s="63">
        <v>8.4738581476000001E-5</v>
      </c>
    </row>
    <row r="244" spans="1:5" ht="14.5" customHeight="1">
      <c r="A244" s="35"/>
      <c r="B244" s="111"/>
      <c r="C244" s="71" t="s">
        <v>97</v>
      </c>
      <c r="D244" s="62">
        <v>2</v>
      </c>
      <c r="E244" s="63">
        <v>1.69477162952E-4</v>
      </c>
    </row>
    <row r="245" spans="1:5" ht="14.5" customHeight="1">
      <c r="A245" s="35"/>
      <c r="B245" s="111"/>
      <c r="C245" s="71" t="s">
        <v>98</v>
      </c>
      <c r="D245" s="62">
        <v>3</v>
      </c>
      <c r="E245" s="63">
        <v>2.54215744428E-4</v>
      </c>
    </row>
    <row r="246" spans="1:5" ht="14.5" customHeight="1">
      <c r="A246" s="35"/>
      <c r="B246" s="111"/>
      <c r="C246" s="71" t="s">
        <v>99</v>
      </c>
      <c r="D246" s="62">
        <v>9</v>
      </c>
      <c r="E246" s="63">
        <v>7.6264723328500002E-4</v>
      </c>
    </row>
    <row r="247" spans="1:5" ht="14.5" customHeight="1">
      <c r="A247" s="35"/>
      <c r="B247" s="111"/>
      <c r="C247" s="71" t="s">
        <v>100</v>
      </c>
      <c r="D247" s="62">
        <v>5</v>
      </c>
      <c r="E247" s="63">
        <v>4.2369290738100002E-4</v>
      </c>
    </row>
    <row r="248" spans="1:5" ht="14.5" customHeight="1">
      <c r="A248" s="35"/>
      <c r="B248" s="111"/>
      <c r="C248" s="71" t="s">
        <v>101</v>
      </c>
      <c r="D248" s="62">
        <v>7</v>
      </c>
      <c r="E248" s="63">
        <v>5.9317007033300002E-4</v>
      </c>
    </row>
    <row r="249" spans="1:5" ht="14.5" customHeight="1">
      <c r="A249" s="35"/>
      <c r="B249" s="111"/>
      <c r="C249" s="71" t="s">
        <v>102</v>
      </c>
      <c r="D249" s="62">
        <v>76</v>
      </c>
      <c r="E249" s="63">
        <v>6.4401321921870001E-3</v>
      </c>
    </row>
    <row r="250" spans="1:5" ht="14.5" customHeight="1">
      <c r="A250" s="35"/>
      <c r="B250" s="111"/>
      <c r="C250" s="71" t="s">
        <v>103</v>
      </c>
      <c r="D250" s="62">
        <v>108</v>
      </c>
      <c r="E250" s="63">
        <v>9.1517667994239996E-3</v>
      </c>
    </row>
    <row r="251" spans="1:5" ht="14.5" customHeight="1">
      <c r="A251" s="35"/>
      <c r="B251" s="111"/>
      <c r="C251" s="71" t="s">
        <v>104</v>
      </c>
      <c r="D251" s="62">
        <v>18</v>
      </c>
      <c r="E251" s="63">
        <v>1.5252944665710001E-3</v>
      </c>
    </row>
    <row r="252" spans="1:5" ht="14.5" customHeight="1">
      <c r="A252" s="35"/>
      <c r="B252" s="111"/>
      <c r="C252" s="71" t="s">
        <v>105</v>
      </c>
      <c r="D252" s="62">
        <v>29</v>
      </c>
      <c r="E252" s="63">
        <v>2.4574188628079998E-3</v>
      </c>
    </row>
    <row r="253" spans="1:5" ht="14.5" customHeight="1">
      <c r="A253" s="35"/>
      <c r="B253" s="111"/>
      <c r="C253" s="71" t="s">
        <v>106</v>
      </c>
      <c r="D253" s="62">
        <v>74</v>
      </c>
      <c r="E253" s="63">
        <v>6.2706550292349998E-3</v>
      </c>
    </row>
    <row r="254" spans="1:5" ht="14.5" customHeight="1">
      <c r="A254" s="35"/>
      <c r="B254" s="111"/>
      <c r="C254" s="71" t="s">
        <v>107</v>
      </c>
      <c r="D254" s="62">
        <v>475</v>
      </c>
      <c r="E254" s="63">
        <v>4.0250826201169002E-2</v>
      </c>
    </row>
    <row r="255" spans="1:5" ht="14.5" customHeight="1">
      <c r="A255" s="35"/>
      <c r="B255" s="111"/>
      <c r="C255" s="71" t="s">
        <v>108</v>
      </c>
      <c r="D255" s="62">
        <v>63</v>
      </c>
      <c r="E255" s="63">
        <v>5.3385306329969996E-3</v>
      </c>
    </row>
    <row r="256" spans="1:5" ht="14.5" customHeight="1">
      <c r="A256" s="35"/>
      <c r="B256" s="111"/>
      <c r="C256" s="71" t="s">
        <v>109</v>
      </c>
      <c r="D256" s="62">
        <v>149</v>
      </c>
      <c r="E256" s="63">
        <v>1.2626048639946E-2</v>
      </c>
    </row>
    <row r="257" spans="1:5" ht="14.5" customHeight="1">
      <c r="A257" s="35"/>
      <c r="B257" s="111"/>
      <c r="C257" s="71" t="s">
        <v>110</v>
      </c>
      <c r="D257" s="62">
        <v>524</v>
      </c>
      <c r="E257" s="63">
        <v>4.4403016693501003E-2</v>
      </c>
    </row>
    <row r="258" spans="1:5" ht="14.5" customHeight="1">
      <c r="A258" s="35"/>
      <c r="B258" s="111"/>
      <c r="C258" s="71" t="s">
        <v>111</v>
      </c>
      <c r="D258" s="62">
        <v>7</v>
      </c>
      <c r="E258" s="63">
        <v>5.9317007033300002E-4</v>
      </c>
    </row>
    <row r="259" spans="1:5" ht="14.5" customHeight="1">
      <c r="A259" s="35"/>
      <c r="B259" s="111"/>
      <c r="C259" s="71" t="s">
        <v>112</v>
      </c>
      <c r="D259" s="62">
        <v>11</v>
      </c>
      <c r="E259" s="63">
        <v>9.3212439623799998E-4</v>
      </c>
    </row>
    <row r="260" spans="1:5" ht="14.5" customHeight="1">
      <c r="A260" s="35"/>
      <c r="B260" s="111"/>
      <c r="C260" s="71" t="s">
        <v>113</v>
      </c>
      <c r="D260" s="62">
        <v>1</v>
      </c>
      <c r="E260" s="63">
        <v>8.4738581476000001E-5</v>
      </c>
    </row>
    <row r="261" spans="1:5" ht="14.5" customHeight="1">
      <c r="A261" s="35"/>
      <c r="B261" s="111"/>
      <c r="C261" s="71" t="s">
        <v>114</v>
      </c>
      <c r="D261" s="62">
        <v>4</v>
      </c>
      <c r="E261" s="63">
        <v>3.3895432590500002E-4</v>
      </c>
    </row>
    <row r="262" spans="1:5" ht="14.5" customHeight="1">
      <c r="A262" s="35"/>
      <c r="B262" s="111"/>
      <c r="C262" s="71" t="s">
        <v>115</v>
      </c>
      <c r="D262" s="62">
        <v>32</v>
      </c>
      <c r="E262" s="63">
        <v>2.7116346072369999E-3</v>
      </c>
    </row>
    <row r="263" spans="1:5" ht="14.5" customHeight="1">
      <c r="A263" s="35"/>
      <c r="B263" s="111"/>
      <c r="C263" s="71" t="s">
        <v>116</v>
      </c>
      <c r="D263" s="62">
        <v>136</v>
      </c>
      <c r="E263" s="63">
        <v>1.1524447080755999E-2</v>
      </c>
    </row>
    <row r="264" spans="1:5" ht="14.5" customHeight="1">
      <c r="A264" s="35"/>
      <c r="B264" s="111"/>
      <c r="C264" s="71" t="s">
        <v>117</v>
      </c>
      <c r="D264" s="62">
        <v>8</v>
      </c>
      <c r="E264" s="63">
        <v>6.7790865180899996E-4</v>
      </c>
    </row>
    <row r="265" spans="1:5" ht="14.5" customHeight="1">
      <c r="A265" s="35"/>
      <c r="B265" s="111"/>
      <c r="C265" s="71" t="s">
        <v>118</v>
      </c>
      <c r="D265" s="62">
        <v>7</v>
      </c>
      <c r="E265" s="63">
        <v>5.9317007033300002E-4</v>
      </c>
    </row>
    <row r="266" spans="1:5" ht="14.5" customHeight="1">
      <c r="A266" s="35"/>
      <c r="B266" s="111"/>
      <c r="C266" s="71" t="s">
        <v>119</v>
      </c>
      <c r="D266" s="62">
        <v>3</v>
      </c>
      <c r="E266" s="63">
        <v>2.54215744428E-4</v>
      </c>
    </row>
    <row r="267" spans="1:5" ht="14.5" customHeight="1">
      <c r="A267" s="35"/>
      <c r="B267" s="111"/>
      <c r="C267" s="72" t="s">
        <v>284</v>
      </c>
      <c r="D267" s="64">
        <v>1763</v>
      </c>
      <c r="E267" s="67">
        <v>0.14939411914244599</v>
      </c>
    </row>
    <row r="268" spans="1:5" ht="14.5" customHeight="1">
      <c r="A268" s="35"/>
      <c r="B268" s="111" t="s">
        <v>69</v>
      </c>
      <c r="C268" s="71" t="s">
        <v>98</v>
      </c>
      <c r="D268" s="62">
        <v>1</v>
      </c>
      <c r="E268" s="63">
        <v>8.4738581476000001E-5</v>
      </c>
    </row>
    <row r="269" spans="1:5" ht="14.5" customHeight="1">
      <c r="A269" s="35"/>
      <c r="B269" s="111"/>
      <c r="C269" s="71" t="s">
        <v>99</v>
      </c>
      <c r="D269" s="62">
        <v>1</v>
      </c>
      <c r="E269" s="63">
        <v>8.4738581476000001E-5</v>
      </c>
    </row>
    <row r="270" spans="1:5" ht="14.5" customHeight="1">
      <c r="A270" s="35"/>
      <c r="B270" s="111"/>
      <c r="C270" s="71" t="s">
        <v>102</v>
      </c>
      <c r="D270" s="62">
        <v>5</v>
      </c>
      <c r="E270" s="63">
        <v>4.2369290738100002E-4</v>
      </c>
    </row>
    <row r="271" spans="1:5" ht="14.5" customHeight="1">
      <c r="A271" s="35"/>
      <c r="B271" s="111"/>
      <c r="C271" s="71" t="s">
        <v>103</v>
      </c>
      <c r="D271" s="62">
        <v>4</v>
      </c>
      <c r="E271" s="63">
        <v>3.3895432590500002E-4</v>
      </c>
    </row>
    <row r="272" spans="1:5" ht="14.5" customHeight="1">
      <c r="A272" s="35"/>
      <c r="B272" s="111"/>
      <c r="C272" s="71" t="s">
        <v>105</v>
      </c>
      <c r="D272" s="62">
        <v>1</v>
      </c>
      <c r="E272" s="63">
        <v>8.4738581476000001E-5</v>
      </c>
    </row>
    <row r="273" spans="1:5" ht="14.5" customHeight="1">
      <c r="A273" s="35"/>
      <c r="B273" s="111"/>
      <c r="C273" s="71" t="s">
        <v>106</v>
      </c>
      <c r="D273" s="62">
        <v>2</v>
      </c>
      <c r="E273" s="63">
        <v>1.69477162952E-4</v>
      </c>
    </row>
    <row r="274" spans="1:5" ht="14.5" customHeight="1">
      <c r="A274" s="35"/>
      <c r="B274" s="111"/>
      <c r="C274" s="71" t="s">
        <v>107</v>
      </c>
      <c r="D274" s="62">
        <v>23</v>
      </c>
      <c r="E274" s="63">
        <v>1.9489873739510001E-3</v>
      </c>
    </row>
    <row r="275" spans="1:5" ht="14.5" customHeight="1">
      <c r="A275" s="35"/>
      <c r="B275" s="111"/>
      <c r="C275" s="71" t="s">
        <v>109</v>
      </c>
      <c r="D275" s="62">
        <v>2</v>
      </c>
      <c r="E275" s="63">
        <v>1.69477162952E-4</v>
      </c>
    </row>
    <row r="276" spans="1:5" ht="14.5" customHeight="1">
      <c r="A276" s="35"/>
      <c r="B276" s="111"/>
      <c r="C276" s="71" t="s">
        <v>110</v>
      </c>
      <c r="D276" s="62">
        <v>12</v>
      </c>
      <c r="E276" s="63">
        <v>1.0168629777139999E-3</v>
      </c>
    </row>
    <row r="277" spans="1:5" ht="14.5" customHeight="1">
      <c r="A277" s="35"/>
      <c r="B277" s="111"/>
      <c r="C277" s="71" t="s">
        <v>111</v>
      </c>
      <c r="D277" s="62">
        <v>1</v>
      </c>
      <c r="E277" s="63">
        <v>8.4738581476000001E-5</v>
      </c>
    </row>
    <row r="278" spans="1:5" ht="14.5" customHeight="1">
      <c r="A278" s="35"/>
      <c r="B278" s="111"/>
      <c r="C278" s="71" t="s">
        <v>115</v>
      </c>
      <c r="D278" s="62">
        <v>1</v>
      </c>
      <c r="E278" s="63">
        <v>8.4738581476000001E-5</v>
      </c>
    </row>
    <row r="279" spans="1:5" ht="14.5" customHeight="1">
      <c r="A279" s="35"/>
      <c r="B279" s="111"/>
      <c r="C279" s="72" t="s">
        <v>284</v>
      </c>
      <c r="D279" s="64">
        <v>53</v>
      </c>
      <c r="E279" s="67">
        <v>4.4911448182359997E-3</v>
      </c>
    </row>
    <row r="280" spans="1:5" ht="14.5" customHeight="1">
      <c r="A280" s="35"/>
      <c r="B280" s="111" t="s">
        <v>52</v>
      </c>
      <c r="C280" s="71" t="s">
        <v>96</v>
      </c>
      <c r="D280" s="62">
        <v>3</v>
      </c>
      <c r="E280" s="63">
        <v>2.54215744428E-4</v>
      </c>
    </row>
    <row r="281" spans="1:5" ht="14.5" customHeight="1">
      <c r="A281" s="35"/>
      <c r="B281" s="111"/>
      <c r="C281" s="71" t="s">
        <v>99</v>
      </c>
      <c r="D281" s="62">
        <v>1</v>
      </c>
      <c r="E281" s="63">
        <v>8.4738581476000001E-5</v>
      </c>
    </row>
    <row r="282" spans="1:5" ht="14.5" customHeight="1">
      <c r="A282" s="35"/>
      <c r="B282" s="111"/>
      <c r="C282" s="71" t="s">
        <v>100</v>
      </c>
      <c r="D282" s="62">
        <v>1</v>
      </c>
      <c r="E282" s="63">
        <v>8.4738581476000001E-5</v>
      </c>
    </row>
    <row r="283" spans="1:5" ht="14.5" customHeight="1">
      <c r="A283" s="35"/>
      <c r="B283" s="111"/>
      <c r="C283" s="71" t="s">
        <v>101</v>
      </c>
      <c r="D283" s="62">
        <v>3</v>
      </c>
      <c r="E283" s="63">
        <v>2.54215744428E-4</v>
      </c>
    </row>
    <row r="284" spans="1:5" ht="14.5" customHeight="1">
      <c r="A284" s="35"/>
      <c r="B284" s="111"/>
      <c r="C284" s="71" t="s">
        <v>102</v>
      </c>
      <c r="D284" s="62">
        <v>8</v>
      </c>
      <c r="E284" s="63">
        <v>6.7790865180899996E-4</v>
      </c>
    </row>
    <row r="285" spans="1:5" ht="14.5" customHeight="1">
      <c r="A285" s="35"/>
      <c r="B285" s="111"/>
      <c r="C285" s="71" t="s">
        <v>103</v>
      </c>
      <c r="D285" s="62">
        <v>15</v>
      </c>
      <c r="E285" s="63">
        <v>1.271078722142E-3</v>
      </c>
    </row>
    <row r="286" spans="1:5" ht="14.5" customHeight="1">
      <c r="A286" s="35"/>
      <c r="B286" s="111"/>
      <c r="C286" s="71" t="s">
        <v>104</v>
      </c>
      <c r="D286" s="62">
        <v>3</v>
      </c>
      <c r="E286" s="63">
        <v>2.54215744428E-4</v>
      </c>
    </row>
    <row r="287" spans="1:5" ht="14.5" customHeight="1">
      <c r="A287" s="35"/>
      <c r="B287" s="111"/>
      <c r="C287" s="71" t="s">
        <v>105</v>
      </c>
      <c r="D287" s="62">
        <v>9</v>
      </c>
      <c r="E287" s="63">
        <v>7.6264723328500002E-4</v>
      </c>
    </row>
    <row r="288" spans="1:5" ht="14.5" customHeight="1">
      <c r="A288" s="35"/>
      <c r="B288" s="111"/>
      <c r="C288" s="71" t="s">
        <v>106</v>
      </c>
      <c r="D288" s="62">
        <v>15</v>
      </c>
      <c r="E288" s="63">
        <v>1.271078722142E-3</v>
      </c>
    </row>
    <row r="289" spans="1:5" ht="14.5" customHeight="1">
      <c r="A289" s="35"/>
      <c r="B289" s="111"/>
      <c r="C289" s="71" t="s">
        <v>107</v>
      </c>
      <c r="D289" s="62">
        <v>57</v>
      </c>
      <c r="E289" s="63">
        <v>4.8300991441400003E-3</v>
      </c>
    </row>
    <row r="290" spans="1:5" ht="14.5" customHeight="1">
      <c r="A290" s="35"/>
      <c r="B290" s="111"/>
      <c r="C290" s="71" t="s">
        <v>108</v>
      </c>
      <c r="D290" s="62">
        <v>8</v>
      </c>
      <c r="E290" s="63">
        <v>6.7790865180899996E-4</v>
      </c>
    </row>
    <row r="291" spans="1:5" ht="14.5" customHeight="1">
      <c r="A291" s="35"/>
      <c r="B291" s="111"/>
      <c r="C291" s="71" t="s">
        <v>109</v>
      </c>
      <c r="D291" s="62">
        <v>18</v>
      </c>
      <c r="E291" s="63">
        <v>1.5252944665710001E-3</v>
      </c>
    </row>
    <row r="292" spans="1:5" ht="14.5" customHeight="1">
      <c r="A292" s="35"/>
      <c r="B292" s="111"/>
      <c r="C292" s="71" t="s">
        <v>110</v>
      </c>
      <c r="D292" s="62">
        <v>51</v>
      </c>
      <c r="E292" s="63">
        <v>4.3216676552830001E-3</v>
      </c>
    </row>
    <row r="293" spans="1:5" ht="14.5" customHeight="1">
      <c r="A293" s="35"/>
      <c r="B293" s="111"/>
      <c r="C293" s="71" t="s">
        <v>111</v>
      </c>
      <c r="D293" s="62">
        <v>3</v>
      </c>
      <c r="E293" s="63">
        <v>2.54215744428E-4</v>
      </c>
    </row>
    <row r="294" spans="1:5" ht="14.5" customHeight="1">
      <c r="A294" s="35"/>
      <c r="B294" s="111"/>
      <c r="C294" s="71" t="s">
        <v>112</v>
      </c>
      <c r="D294" s="62">
        <v>2</v>
      </c>
      <c r="E294" s="63">
        <v>1.69477162952E-4</v>
      </c>
    </row>
    <row r="295" spans="1:5" ht="14.5" customHeight="1">
      <c r="A295" s="35"/>
      <c r="B295" s="111"/>
      <c r="C295" s="71" t="s">
        <v>113</v>
      </c>
      <c r="D295" s="62">
        <v>1</v>
      </c>
      <c r="E295" s="63">
        <v>8.4738581476000001E-5</v>
      </c>
    </row>
    <row r="296" spans="1:5" ht="14.5" customHeight="1">
      <c r="A296" s="35"/>
      <c r="B296" s="111"/>
      <c r="C296" s="71" t="s">
        <v>115</v>
      </c>
      <c r="D296" s="62">
        <v>3</v>
      </c>
      <c r="E296" s="63">
        <v>2.54215744428E-4</v>
      </c>
    </row>
    <row r="297" spans="1:5" ht="14.5" customHeight="1">
      <c r="A297" s="35"/>
      <c r="B297" s="111"/>
      <c r="C297" s="71" t="s">
        <v>116</v>
      </c>
      <c r="D297" s="62">
        <v>15</v>
      </c>
      <c r="E297" s="63">
        <v>1.271078722142E-3</v>
      </c>
    </row>
    <row r="298" spans="1:5" ht="14.5" customHeight="1">
      <c r="A298" s="35"/>
      <c r="B298" s="111"/>
      <c r="C298" s="72" t="s">
        <v>284</v>
      </c>
      <c r="D298" s="64">
        <v>216</v>
      </c>
      <c r="E298" s="67">
        <v>1.8303533598847999E-2</v>
      </c>
    </row>
    <row r="299" spans="1:5" ht="14.5" customHeight="1">
      <c r="A299" s="35"/>
      <c r="B299" s="111" t="s">
        <v>65</v>
      </c>
      <c r="C299" s="71" t="s">
        <v>97</v>
      </c>
      <c r="D299" s="62">
        <v>1</v>
      </c>
      <c r="E299" s="63">
        <v>8.4738581476000001E-5</v>
      </c>
    </row>
    <row r="300" spans="1:5" ht="14.5" customHeight="1">
      <c r="A300" s="35"/>
      <c r="B300" s="111"/>
      <c r="C300" s="71" t="s">
        <v>98</v>
      </c>
      <c r="D300" s="62">
        <v>1</v>
      </c>
      <c r="E300" s="63">
        <v>8.4738581476000001E-5</v>
      </c>
    </row>
    <row r="301" spans="1:5" ht="14.5" customHeight="1">
      <c r="A301" s="35"/>
      <c r="B301" s="111"/>
      <c r="C301" s="71" t="s">
        <v>99</v>
      </c>
      <c r="D301" s="62">
        <v>3</v>
      </c>
      <c r="E301" s="63">
        <v>2.54215744428E-4</v>
      </c>
    </row>
    <row r="302" spans="1:5" ht="14.5" customHeight="1">
      <c r="A302" s="35"/>
      <c r="B302" s="111"/>
      <c r="C302" s="71" t="s">
        <v>100</v>
      </c>
      <c r="D302" s="62">
        <v>4</v>
      </c>
      <c r="E302" s="63">
        <v>3.3895432590500002E-4</v>
      </c>
    </row>
    <row r="303" spans="1:5" ht="14.5" customHeight="1">
      <c r="A303" s="35"/>
      <c r="B303" s="111"/>
      <c r="C303" s="71" t="s">
        <v>101</v>
      </c>
      <c r="D303" s="62">
        <v>1</v>
      </c>
      <c r="E303" s="63">
        <v>8.4738581476000001E-5</v>
      </c>
    </row>
    <row r="304" spans="1:5" ht="14.5" customHeight="1">
      <c r="A304" s="35"/>
      <c r="B304" s="111"/>
      <c r="C304" s="71" t="s">
        <v>102</v>
      </c>
      <c r="D304" s="62">
        <v>12</v>
      </c>
      <c r="E304" s="63">
        <v>1.0168629777139999E-3</v>
      </c>
    </row>
    <row r="305" spans="1:5" ht="14.5" customHeight="1">
      <c r="A305" s="35"/>
      <c r="B305" s="111"/>
      <c r="C305" s="71" t="s">
        <v>103</v>
      </c>
      <c r="D305" s="62">
        <v>6</v>
      </c>
      <c r="E305" s="63">
        <v>5.0843148885699996E-4</v>
      </c>
    </row>
    <row r="306" spans="1:5" ht="14.5" customHeight="1">
      <c r="A306" s="35"/>
      <c r="B306" s="111"/>
      <c r="C306" s="71" t="s">
        <v>104</v>
      </c>
      <c r="D306" s="62">
        <v>2</v>
      </c>
      <c r="E306" s="63">
        <v>1.69477162952E-4</v>
      </c>
    </row>
    <row r="307" spans="1:5" ht="14.5" customHeight="1">
      <c r="A307" s="35"/>
      <c r="B307" s="111"/>
      <c r="C307" s="71" t="s">
        <v>105</v>
      </c>
      <c r="D307" s="62">
        <v>1</v>
      </c>
      <c r="E307" s="63">
        <v>8.4738581476000001E-5</v>
      </c>
    </row>
    <row r="308" spans="1:5" ht="14.5" customHeight="1">
      <c r="A308" s="35"/>
      <c r="B308" s="111"/>
      <c r="C308" s="71" t="s">
        <v>106</v>
      </c>
      <c r="D308" s="62">
        <v>7</v>
      </c>
      <c r="E308" s="63">
        <v>5.9317007033300002E-4</v>
      </c>
    </row>
    <row r="309" spans="1:5" ht="14.5" customHeight="1">
      <c r="A309" s="35"/>
      <c r="B309" s="111"/>
      <c r="C309" s="71" t="s">
        <v>107</v>
      </c>
      <c r="D309" s="62">
        <v>21</v>
      </c>
      <c r="E309" s="63">
        <v>1.7795102109989999E-3</v>
      </c>
    </row>
    <row r="310" spans="1:5" ht="14.5" customHeight="1">
      <c r="A310" s="35"/>
      <c r="B310" s="111"/>
      <c r="C310" s="71" t="s">
        <v>108</v>
      </c>
      <c r="D310" s="62">
        <v>11</v>
      </c>
      <c r="E310" s="63">
        <v>9.3212439623799998E-4</v>
      </c>
    </row>
    <row r="311" spans="1:5" ht="14.5" customHeight="1">
      <c r="A311" s="35"/>
      <c r="B311" s="111"/>
      <c r="C311" s="71" t="s">
        <v>109</v>
      </c>
      <c r="D311" s="62">
        <v>6</v>
      </c>
      <c r="E311" s="63">
        <v>5.0843148885699996E-4</v>
      </c>
    </row>
    <row r="312" spans="1:5" ht="14.5" customHeight="1">
      <c r="A312" s="35"/>
      <c r="B312" s="111"/>
      <c r="C312" s="71" t="s">
        <v>110</v>
      </c>
      <c r="D312" s="62">
        <v>25</v>
      </c>
      <c r="E312" s="63">
        <v>2.118464536904E-3</v>
      </c>
    </row>
    <row r="313" spans="1:5" ht="14.5" customHeight="1">
      <c r="A313" s="35"/>
      <c r="B313" s="111"/>
      <c r="C313" s="71" t="s">
        <v>112</v>
      </c>
      <c r="D313" s="62">
        <v>1</v>
      </c>
      <c r="E313" s="63">
        <v>8.4738581476000001E-5</v>
      </c>
    </row>
    <row r="314" spans="1:5" ht="14.5" customHeight="1">
      <c r="A314" s="35"/>
      <c r="B314" s="111"/>
      <c r="C314" s="71" t="s">
        <v>116</v>
      </c>
      <c r="D314" s="62">
        <v>14</v>
      </c>
      <c r="E314" s="63">
        <v>1.186340140666E-3</v>
      </c>
    </row>
    <row r="315" spans="1:5" ht="14.5" customHeight="1">
      <c r="A315" s="35"/>
      <c r="B315" s="111"/>
      <c r="C315" s="71" t="s">
        <v>118</v>
      </c>
      <c r="D315" s="62">
        <v>1</v>
      </c>
      <c r="E315" s="63">
        <v>8.4738581476000001E-5</v>
      </c>
    </row>
    <row r="316" spans="1:5" ht="14.5" customHeight="1">
      <c r="A316" s="35"/>
      <c r="B316" s="111"/>
      <c r="C316" s="72" t="s">
        <v>284</v>
      </c>
      <c r="D316" s="64">
        <v>117</v>
      </c>
      <c r="E316" s="67">
        <v>9.9144140327090003E-3</v>
      </c>
    </row>
    <row r="317" spans="1:5" ht="14.5" customHeight="1">
      <c r="A317" s="35"/>
      <c r="B317" s="111" t="s">
        <v>67</v>
      </c>
      <c r="C317" s="71" t="s">
        <v>99</v>
      </c>
      <c r="D317" s="62">
        <v>1</v>
      </c>
      <c r="E317" s="63">
        <v>8.4738581476000001E-5</v>
      </c>
    </row>
    <row r="318" spans="1:5" ht="14.5" customHeight="1">
      <c r="A318" s="35"/>
      <c r="B318" s="111"/>
      <c r="C318" s="71" t="s">
        <v>101</v>
      </c>
      <c r="D318" s="62">
        <v>1</v>
      </c>
      <c r="E318" s="63">
        <v>8.4738581476000001E-5</v>
      </c>
    </row>
    <row r="319" spans="1:5" ht="14.5" customHeight="1">
      <c r="A319" s="35"/>
      <c r="B319" s="111"/>
      <c r="C319" s="71" t="s">
        <v>102</v>
      </c>
      <c r="D319" s="62">
        <v>4</v>
      </c>
      <c r="E319" s="63">
        <v>3.3895432590500002E-4</v>
      </c>
    </row>
    <row r="320" spans="1:5" ht="14.5" customHeight="1">
      <c r="A320" s="35"/>
      <c r="B320" s="111"/>
      <c r="C320" s="71" t="s">
        <v>103</v>
      </c>
      <c r="D320" s="62">
        <v>4</v>
      </c>
      <c r="E320" s="63">
        <v>3.3895432590500002E-4</v>
      </c>
    </row>
    <row r="321" spans="1:5" ht="14.5" customHeight="1">
      <c r="A321" s="35"/>
      <c r="B321" s="111"/>
      <c r="C321" s="71" t="s">
        <v>104</v>
      </c>
      <c r="D321" s="62">
        <v>1</v>
      </c>
      <c r="E321" s="63">
        <v>8.4738581476000001E-5</v>
      </c>
    </row>
    <row r="322" spans="1:5" ht="14.5" customHeight="1">
      <c r="A322" s="35"/>
      <c r="B322" s="111"/>
      <c r="C322" s="71" t="s">
        <v>105</v>
      </c>
      <c r="D322" s="62">
        <v>2</v>
      </c>
      <c r="E322" s="63">
        <v>1.69477162952E-4</v>
      </c>
    </row>
    <row r="323" spans="1:5" ht="14.5" customHeight="1">
      <c r="A323" s="35"/>
      <c r="B323" s="111"/>
      <c r="C323" s="71" t="s">
        <v>106</v>
      </c>
      <c r="D323" s="62">
        <v>2</v>
      </c>
      <c r="E323" s="63">
        <v>1.69477162952E-4</v>
      </c>
    </row>
    <row r="324" spans="1:5" ht="14.5" customHeight="1">
      <c r="A324" s="35"/>
      <c r="B324" s="111"/>
      <c r="C324" s="71" t="s">
        <v>107</v>
      </c>
      <c r="D324" s="62">
        <v>18</v>
      </c>
      <c r="E324" s="63">
        <v>1.5252944665710001E-3</v>
      </c>
    </row>
    <row r="325" spans="1:5" ht="14.5" customHeight="1">
      <c r="A325" s="35"/>
      <c r="B325" s="111"/>
      <c r="C325" s="71" t="s">
        <v>108</v>
      </c>
      <c r="D325" s="62">
        <v>3</v>
      </c>
      <c r="E325" s="63">
        <v>2.54215744428E-4</v>
      </c>
    </row>
    <row r="326" spans="1:5" ht="14.5" customHeight="1">
      <c r="A326" s="35"/>
      <c r="B326" s="111"/>
      <c r="C326" s="71" t="s">
        <v>109</v>
      </c>
      <c r="D326" s="62">
        <v>4</v>
      </c>
      <c r="E326" s="63">
        <v>3.3895432590500002E-4</v>
      </c>
    </row>
    <row r="327" spans="1:5" ht="14.5" customHeight="1">
      <c r="A327" s="35"/>
      <c r="B327" s="111"/>
      <c r="C327" s="71" t="s">
        <v>110</v>
      </c>
      <c r="D327" s="62">
        <v>20</v>
      </c>
      <c r="E327" s="63">
        <v>1.694771629523E-3</v>
      </c>
    </row>
    <row r="328" spans="1:5" ht="14.5" customHeight="1">
      <c r="A328" s="35"/>
      <c r="B328" s="111"/>
      <c r="C328" s="71" t="s">
        <v>115</v>
      </c>
      <c r="D328" s="62">
        <v>2</v>
      </c>
      <c r="E328" s="63">
        <v>1.69477162952E-4</v>
      </c>
    </row>
    <row r="329" spans="1:5" ht="14.5" customHeight="1">
      <c r="A329" s="35"/>
      <c r="B329" s="111"/>
      <c r="C329" s="71" t="s">
        <v>116</v>
      </c>
      <c r="D329" s="62">
        <v>10</v>
      </c>
      <c r="E329" s="63">
        <v>8.4738581476099997E-4</v>
      </c>
    </row>
    <row r="330" spans="1:5" ht="14.5" customHeight="1">
      <c r="A330" s="35"/>
      <c r="B330" s="111"/>
      <c r="C330" s="72" t="s">
        <v>284</v>
      </c>
      <c r="D330" s="64">
        <v>72</v>
      </c>
      <c r="E330" s="67">
        <v>6.1011778662830004E-3</v>
      </c>
    </row>
    <row r="331" spans="1:5" ht="14.5" customHeight="1">
      <c r="A331" s="35"/>
      <c r="B331" s="111" t="s">
        <v>57</v>
      </c>
      <c r="C331" s="71" t="s">
        <v>96</v>
      </c>
      <c r="D331" s="62">
        <v>2</v>
      </c>
      <c r="E331" s="63">
        <v>1.69477162952E-4</v>
      </c>
    </row>
    <row r="332" spans="1:5" ht="14.5" customHeight="1">
      <c r="A332" s="35"/>
      <c r="B332" s="111"/>
      <c r="C332" s="71" t="s">
        <v>98</v>
      </c>
      <c r="D332" s="62">
        <v>1</v>
      </c>
      <c r="E332" s="63">
        <v>8.4738581476000001E-5</v>
      </c>
    </row>
    <row r="333" spans="1:5" ht="14.5" customHeight="1">
      <c r="A333" s="35"/>
      <c r="B333" s="111"/>
      <c r="C333" s="71" t="s">
        <v>100</v>
      </c>
      <c r="D333" s="62">
        <v>1</v>
      </c>
      <c r="E333" s="63">
        <v>8.4738581476000001E-5</v>
      </c>
    </row>
    <row r="334" spans="1:5" ht="14.5" customHeight="1">
      <c r="A334" s="35"/>
      <c r="B334" s="111"/>
      <c r="C334" s="71" t="s">
        <v>101</v>
      </c>
      <c r="D334" s="62">
        <v>1</v>
      </c>
      <c r="E334" s="63">
        <v>8.4738581476000001E-5</v>
      </c>
    </row>
    <row r="335" spans="1:5" ht="14.5" customHeight="1">
      <c r="A335" s="35"/>
      <c r="B335" s="111"/>
      <c r="C335" s="71" t="s">
        <v>102</v>
      </c>
      <c r="D335" s="62">
        <v>6</v>
      </c>
      <c r="E335" s="63">
        <v>5.0843148885699996E-4</v>
      </c>
    </row>
    <row r="336" spans="1:5" ht="14.5" customHeight="1">
      <c r="A336" s="35"/>
      <c r="B336" s="111"/>
      <c r="C336" s="71" t="s">
        <v>103</v>
      </c>
      <c r="D336" s="62">
        <v>14</v>
      </c>
      <c r="E336" s="63">
        <v>1.186340140666E-3</v>
      </c>
    </row>
    <row r="337" spans="1:5" ht="14.5" customHeight="1">
      <c r="A337" s="35"/>
      <c r="B337" s="111"/>
      <c r="C337" s="71" t="s">
        <v>105</v>
      </c>
      <c r="D337" s="62">
        <v>3</v>
      </c>
      <c r="E337" s="63">
        <v>2.54215744428E-4</v>
      </c>
    </row>
    <row r="338" spans="1:5" ht="14.5" customHeight="1">
      <c r="A338" s="35"/>
      <c r="B338" s="111"/>
      <c r="C338" s="71" t="s">
        <v>106</v>
      </c>
      <c r="D338" s="62">
        <v>10</v>
      </c>
      <c r="E338" s="63">
        <v>8.4738581476099997E-4</v>
      </c>
    </row>
    <row r="339" spans="1:5" ht="14.5" customHeight="1">
      <c r="A339" s="35"/>
      <c r="B339" s="111"/>
      <c r="C339" s="71" t="s">
        <v>107</v>
      </c>
      <c r="D339" s="62">
        <v>63</v>
      </c>
      <c r="E339" s="63">
        <v>5.3385306329969996E-3</v>
      </c>
    </row>
    <row r="340" spans="1:5" ht="14.5" customHeight="1">
      <c r="A340" s="35"/>
      <c r="B340" s="111"/>
      <c r="C340" s="71" t="s">
        <v>108</v>
      </c>
      <c r="D340" s="62">
        <v>2</v>
      </c>
      <c r="E340" s="63">
        <v>1.69477162952E-4</v>
      </c>
    </row>
    <row r="341" spans="1:5" ht="14.5" customHeight="1">
      <c r="A341" s="35"/>
      <c r="B341" s="111"/>
      <c r="C341" s="71" t="s">
        <v>109</v>
      </c>
      <c r="D341" s="62">
        <v>4</v>
      </c>
      <c r="E341" s="63">
        <v>3.3895432590500002E-4</v>
      </c>
    </row>
    <row r="342" spans="1:5" ht="14.5" customHeight="1">
      <c r="A342" s="35"/>
      <c r="B342" s="111"/>
      <c r="C342" s="71" t="s">
        <v>110</v>
      </c>
      <c r="D342" s="62">
        <v>52</v>
      </c>
      <c r="E342" s="63">
        <v>4.4064062367600004E-3</v>
      </c>
    </row>
    <row r="343" spans="1:5" ht="14.5" customHeight="1">
      <c r="A343" s="35"/>
      <c r="B343" s="111"/>
      <c r="C343" s="71" t="s">
        <v>112</v>
      </c>
      <c r="D343" s="62">
        <v>1</v>
      </c>
      <c r="E343" s="63">
        <v>8.4738581476000001E-5</v>
      </c>
    </row>
    <row r="344" spans="1:5" ht="14.5" customHeight="1">
      <c r="A344" s="35"/>
      <c r="B344" s="111"/>
      <c r="C344" s="71" t="s">
        <v>114</v>
      </c>
      <c r="D344" s="62">
        <v>1</v>
      </c>
      <c r="E344" s="63">
        <v>8.4738581476000001E-5</v>
      </c>
    </row>
    <row r="345" spans="1:5" ht="14.5" customHeight="1">
      <c r="A345" s="35"/>
      <c r="B345" s="111"/>
      <c r="C345" s="71" t="s">
        <v>115</v>
      </c>
      <c r="D345" s="62">
        <v>1</v>
      </c>
      <c r="E345" s="63">
        <v>8.4738581476000001E-5</v>
      </c>
    </row>
    <row r="346" spans="1:5" ht="14.5" customHeight="1">
      <c r="A346" s="35"/>
      <c r="B346" s="111"/>
      <c r="C346" s="71" t="s">
        <v>116</v>
      </c>
      <c r="D346" s="62">
        <v>6</v>
      </c>
      <c r="E346" s="63">
        <v>5.0843148885699996E-4</v>
      </c>
    </row>
    <row r="347" spans="1:5" ht="14.5" customHeight="1">
      <c r="A347" s="35"/>
      <c r="B347" s="111"/>
      <c r="C347" s="71" t="s">
        <v>117</v>
      </c>
      <c r="D347" s="62">
        <v>1</v>
      </c>
      <c r="E347" s="63">
        <v>8.4738581476000001E-5</v>
      </c>
    </row>
    <row r="348" spans="1:5" ht="14.5" customHeight="1">
      <c r="A348" s="35"/>
      <c r="B348" s="111"/>
      <c r="C348" s="71" t="s">
        <v>118</v>
      </c>
      <c r="D348" s="62">
        <v>1</v>
      </c>
      <c r="E348" s="63">
        <v>8.4738581476000001E-5</v>
      </c>
    </row>
    <row r="349" spans="1:5" ht="14.5" customHeight="1">
      <c r="A349" s="35"/>
      <c r="B349" s="111"/>
      <c r="C349" s="72" t="s">
        <v>284</v>
      </c>
      <c r="D349" s="64">
        <v>170</v>
      </c>
      <c r="E349" s="67">
        <v>1.4405558850945001E-2</v>
      </c>
    </row>
    <row r="350" spans="1:5" ht="14.5" customHeight="1">
      <c r="A350" s="35"/>
      <c r="B350" s="111" t="s">
        <v>53</v>
      </c>
      <c r="C350" s="71" t="s">
        <v>96</v>
      </c>
      <c r="D350" s="62">
        <v>4</v>
      </c>
      <c r="E350" s="63">
        <v>3.3895432590500002E-4</v>
      </c>
    </row>
    <row r="351" spans="1:5" ht="14.5" customHeight="1">
      <c r="A351" s="35"/>
      <c r="B351" s="111"/>
      <c r="C351" s="71" t="s">
        <v>97</v>
      </c>
      <c r="D351" s="62">
        <v>1</v>
      </c>
      <c r="E351" s="63">
        <v>8.4738581476000001E-5</v>
      </c>
    </row>
    <row r="352" spans="1:5" ht="14.5" customHeight="1">
      <c r="A352" s="35"/>
      <c r="B352" s="111"/>
      <c r="C352" s="71" t="s">
        <v>99</v>
      </c>
      <c r="D352" s="62">
        <v>1</v>
      </c>
      <c r="E352" s="63">
        <v>8.4738581476000001E-5</v>
      </c>
    </row>
    <row r="353" spans="1:5" ht="14.5" customHeight="1">
      <c r="A353" s="35"/>
      <c r="B353" s="111"/>
      <c r="C353" s="71" t="s">
        <v>100</v>
      </c>
      <c r="D353" s="62">
        <v>2</v>
      </c>
      <c r="E353" s="63">
        <v>1.69477162952E-4</v>
      </c>
    </row>
    <row r="354" spans="1:5" ht="14.5" customHeight="1">
      <c r="A354" s="35"/>
      <c r="B354" s="111"/>
      <c r="C354" s="71" t="s">
        <v>101</v>
      </c>
      <c r="D354" s="62">
        <v>1</v>
      </c>
      <c r="E354" s="63">
        <v>8.4738581476000001E-5</v>
      </c>
    </row>
    <row r="355" spans="1:5" ht="14.5" customHeight="1">
      <c r="A355" s="35"/>
      <c r="B355" s="111"/>
      <c r="C355" s="71" t="s">
        <v>102</v>
      </c>
      <c r="D355" s="62">
        <v>15</v>
      </c>
      <c r="E355" s="63">
        <v>1.271078722142E-3</v>
      </c>
    </row>
    <row r="356" spans="1:5" ht="14.5" customHeight="1">
      <c r="A356" s="35"/>
      <c r="B356" s="111"/>
      <c r="C356" s="71" t="s">
        <v>103</v>
      </c>
      <c r="D356" s="62">
        <v>33</v>
      </c>
      <c r="E356" s="63">
        <v>2.7963731887130001E-3</v>
      </c>
    </row>
    <row r="357" spans="1:5" ht="14.5" customHeight="1">
      <c r="A357" s="35"/>
      <c r="B357" s="111"/>
      <c r="C357" s="71" t="s">
        <v>104</v>
      </c>
      <c r="D357" s="62">
        <v>1</v>
      </c>
      <c r="E357" s="63">
        <v>8.4738581476000001E-5</v>
      </c>
    </row>
    <row r="358" spans="1:5" ht="14.5" customHeight="1">
      <c r="A358" s="35"/>
      <c r="B358" s="111"/>
      <c r="C358" s="71" t="s">
        <v>105</v>
      </c>
      <c r="D358" s="62">
        <v>3</v>
      </c>
      <c r="E358" s="63">
        <v>2.54215744428E-4</v>
      </c>
    </row>
    <row r="359" spans="1:5" ht="14.5" customHeight="1">
      <c r="A359" s="35"/>
      <c r="B359" s="111"/>
      <c r="C359" s="71" t="s">
        <v>106</v>
      </c>
      <c r="D359" s="62">
        <v>9</v>
      </c>
      <c r="E359" s="63">
        <v>7.6264723328500002E-4</v>
      </c>
    </row>
    <row r="360" spans="1:5" ht="14.5" customHeight="1">
      <c r="A360" s="35"/>
      <c r="B360" s="111"/>
      <c r="C360" s="71" t="s">
        <v>107</v>
      </c>
      <c r="D360" s="62">
        <v>52</v>
      </c>
      <c r="E360" s="63">
        <v>4.4064062367600004E-3</v>
      </c>
    </row>
    <row r="361" spans="1:5" ht="14.5" customHeight="1">
      <c r="A361" s="35"/>
      <c r="B361" s="111"/>
      <c r="C361" s="71" t="s">
        <v>108</v>
      </c>
      <c r="D361" s="62">
        <v>5</v>
      </c>
      <c r="E361" s="63">
        <v>4.2369290738100002E-4</v>
      </c>
    </row>
    <row r="362" spans="1:5" ht="14.5" customHeight="1">
      <c r="A362" s="35"/>
      <c r="B362" s="111"/>
      <c r="C362" s="71" t="s">
        <v>109</v>
      </c>
      <c r="D362" s="62">
        <v>10</v>
      </c>
      <c r="E362" s="63">
        <v>8.4738581476099997E-4</v>
      </c>
    </row>
    <row r="363" spans="1:5" ht="14.5" customHeight="1">
      <c r="A363" s="35"/>
      <c r="B363" s="111"/>
      <c r="C363" s="71" t="s">
        <v>110</v>
      </c>
      <c r="D363" s="62">
        <v>56</v>
      </c>
      <c r="E363" s="63">
        <v>4.7453605626640001E-3</v>
      </c>
    </row>
    <row r="364" spans="1:5" ht="14.5" customHeight="1">
      <c r="A364" s="35"/>
      <c r="B364" s="111"/>
      <c r="C364" s="71" t="s">
        <v>111</v>
      </c>
      <c r="D364" s="62">
        <v>1</v>
      </c>
      <c r="E364" s="63">
        <v>8.4738581476000001E-5</v>
      </c>
    </row>
    <row r="365" spans="1:5" ht="14.5" customHeight="1">
      <c r="A365" s="35"/>
      <c r="B365" s="111"/>
      <c r="C365" s="71" t="s">
        <v>112</v>
      </c>
      <c r="D365" s="62">
        <v>3</v>
      </c>
      <c r="E365" s="63">
        <v>2.54215744428E-4</v>
      </c>
    </row>
    <row r="366" spans="1:5" ht="14.5" customHeight="1">
      <c r="A366" s="35"/>
      <c r="B366" s="111"/>
      <c r="C366" s="71" t="s">
        <v>113</v>
      </c>
      <c r="D366" s="62">
        <v>1</v>
      </c>
      <c r="E366" s="63">
        <v>8.4738581476000001E-5</v>
      </c>
    </row>
    <row r="367" spans="1:5" ht="14.5" customHeight="1">
      <c r="A367" s="35"/>
      <c r="B367" s="111"/>
      <c r="C367" s="71" t="s">
        <v>114</v>
      </c>
      <c r="D367" s="62">
        <v>1</v>
      </c>
      <c r="E367" s="63">
        <v>8.4738581476000001E-5</v>
      </c>
    </row>
    <row r="368" spans="1:5" ht="14.5" customHeight="1">
      <c r="A368" s="35"/>
      <c r="B368" s="111"/>
      <c r="C368" s="71" t="s">
        <v>115</v>
      </c>
      <c r="D368" s="62">
        <v>9</v>
      </c>
      <c r="E368" s="63">
        <v>7.6264723328500002E-4</v>
      </c>
    </row>
    <row r="369" spans="1:5" ht="14.5" customHeight="1">
      <c r="A369" s="35"/>
      <c r="B369" s="111"/>
      <c r="C369" s="71" t="s">
        <v>116</v>
      </c>
      <c r="D369" s="62">
        <v>22</v>
      </c>
      <c r="E369" s="63">
        <v>1.8642487924749999E-3</v>
      </c>
    </row>
    <row r="370" spans="1:5" ht="14.5" customHeight="1">
      <c r="A370" s="35"/>
      <c r="B370" s="111"/>
      <c r="C370" s="71" t="s">
        <v>117</v>
      </c>
      <c r="D370" s="62">
        <v>1</v>
      </c>
      <c r="E370" s="63">
        <v>8.4738581476000001E-5</v>
      </c>
    </row>
    <row r="371" spans="1:5" ht="14.5" customHeight="1">
      <c r="A371" s="35"/>
      <c r="B371" s="111"/>
      <c r="C371" s="72" t="s">
        <v>284</v>
      </c>
      <c r="D371" s="64">
        <v>231</v>
      </c>
      <c r="E371" s="67">
        <v>1.957461232099E-2</v>
      </c>
    </row>
    <row r="372" spans="1:5" ht="14.5" customHeight="1">
      <c r="A372" s="35"/>
      <c r="B372" s="111" t="s">
        <v>56</v>
      </c>
      <c r="C372" s="71" t="s">
        <v>96</v>
      </c>
      <c r="D372" s="62">
        <v>3</v>
      </c>
      <c r="E372" s="63">
        <v>2.54215744428E-4</v>
      </c>
    </row>
    <row r="373" spans="1:5" ht="14.5" customHeight="1">
      <c r="A373" s="35"/>
      <c r="B373" s="111"/>
      <c r="C373" s="71" t="s">
        <v>98</v>
      </c>
      <c r="D373" s="62">
        <v>1</v>
      </c>
      <c r="E373" s="63">
        <v>8.4738581476000001E-5</v>
      </c>
    </row>
    <row r="374" spans="1:5" ht="14.5" customHeight="1">
      <c r="A374" s="35"/>
      <c r="B374" s="111"/>
      <c r="C374" s="71" t="s">
        <v>99</v>
      </c>
      <c r="D374" s="62">
        <v>4</v>
      </c>
      <c r="E374" s="63">
        <v>3.3895432590500002E-4</v>
      </c>
    </row>
    <row r="375" spans="1:5" ht="14.5" customHeight="1">
      <c r="A375" s="35"/>
      <c r="B375" s="111"/>
      <c r="C375" s="71" t="s">
        <v>100</v>
      </c>
      <c r="D375" s="62">
        <v>1</v>
      </c>
      <c r="E375" s="63">
        <v>8.4738581476000001E-5</v>
      </c>
    </row>
    <row r="376" spans="1:5" ht="14.5" customHeight="1">
      <c r="A376" s="35"/>
      <c r="B376" s="111"/>
      <c r="C376" s="71" t="s">
        <v>101</v>
      </c>
      <c r="D376" s="62">
        <v>3</v>
      </c>
      <c r="E376" s="63">
        <v>2.54215744428E-4</v>
      </c>
    </row>
    <row r="377" spans="1:5" ht="14.5" customHeight="1">
      <c r="A377" s="35"/>
      <c r="B377" s="111"/>
      <c r="C377" s="71" t="s">
        <v>102</v>
      </c>
      <c r="D377" s="62">
        <v>26</v>
      </c>
      <c r="E377" s="63">
        <v>2.2032031183800002E-3</v>
      </c>
    </row>
    <row r="378" spans="1:5" ht="14.5" customHeight="1">
      <c r="A378" s="35"/>
      <c r="B378" s="111"/>
      <c r="C378" s="71" t="s">
        <v>103</v>
      </c>
      <c r="D378" s="62">
        <v>16</v>
      </c>
      <c r="E378" s="63">
        <v>1.3558173036179999E-3</v>
      </c>
    </row>
    <row r="379" spans="1:5" ht="14.5" customHeight="1">
      <c r="A379" s="35"/>
      <c r="B379" s="111"/>
      <c r="C379" s="71" t="s">
        <v>104</v>
      </c>
      <c r="D379" s="62">
        <v>2</v>
      </c>
      <c r="E379" s="63">
        <v>1.69477162952E-4</v>
      </c>
    </row>
    <row r="380" spans="1:5" ht="14.5" customHeight="1">
      <c r="A380" s="35"/>
      <c r="B380" s="111"/>
      <c r="C380" s="71" t="s">
        <v>105</v>
      </c>
      <c r="D380" s="62">
        <v>4</v>
      </c>
      <c r="E380" s="63">
        <v>3.3895432590500002E-4</v>
      </c>
    </row>
    <row r="381" spans="1:5" ht="14.5" customHeight="1">
      <c r="A381" s="35"/>
      <c r="B381" s="111"/>
      <c r="C381" s="71" t="s">
        <v>106</v>
      </c>
      <c r="D381" s="62">
        <v>11</v>
      </c>
      <c r="E381" s="63">
        <v>9.3212439623799998E-4</v>
      </c>
    </row>
    <row r="382" spans="1:5" ht="14.5" customHeight="1">
      <c r="A382" s="35"/>
      <c r="B382" s="111"/>
      <c r="C382" s="71" t="s">
        <v>107</v>
      </c>
      <c r="D382" s="62">
        <v>45</v>
      </c>
      <c r="E382" s="63">
        <v>3.813236166427E-3</v>
      </c>
    </row>
    <row r="383" spans="1:5" ht="14.5" customHeight="1">
      <c r="A383" s="35"/>
      <c r="B383" s="111"/>
      <c r="C383" s="71" t="s">
        <v>108</v>
      </c>
      <c r="D383" s="62">
        <v>8</v>
      </c>
      <c r="E383" s="63">
        <v>6.7790865180899996E-4</v>
      </c>
    </row>
    <row r="384" spans="1:5" ht="14.5" customHeight="1">
      <c r="A384" s="35"/>
      <c r="B384" s="111"/>
      <c r="C384" s="71" t="s">
        <v>109</v>
      </c>
      <c r="D384" s="62">
        <v>17</v>
      </c>
      <c r="E384" s="63">
        <v>1.4405558850940001E-3</v>
      </c>
    </row>
    <row r="385" spans="1:5" ht="14.5" customHeight="1">
      <c r="A385" s="35"/>
      <c r="B385" s="111"/>
      <c r="C385" s="71" t="s">
        <v>110</v>
      </c>
      <c r="D385" s="62">
        <v>36</v>
      </c>
      <c r="E385" s="63">
        <v>3.0505889331410001E-3</v>
      </c>
    </row>
    <row r="386" spans="1:5" ht="14.5" customHeight="1">
      <c r="A386" s="35"/>
      <c r="B386" s="111"/>
      <c r="C386" s="71" t="s">
        <v>111</v>
      </c>
      <c r="D386" s="62">
        <v>6</v>
      </c>
      <c r="E386" s="63">
        <v>5.0843148885699996E-4</v>
      </c>
    </row>
    <row r="387" spans="1:5" ht="14.5" customHeight="1">
      <c r="A387" s="35"/>
      <c r="B387" s="111"/>
      <c r="C387" s="71" t="s">
        <v>114</v>
      </c>
      <c r="D387" s="62">
        <v>1</v>
      </c>
      <c r="E387" s="63">
        <v>8.4738581476000001E-5</v>
      </c>
    </row>
    <row r="388" spans="1:5" ht="14.5" customHeight="1">
      <c r="A388" s="35"/>
      <c r="B388" s="111"/>
      <c r="C388" s="71" t="s">
        <v>115</v>
      </c>
      <c r="D388" s="62">
        <v>3</v>
      </c>
      <c r="E388" s="63">
        <v>2.54215744428E-4</v>
      </c>
    </row>
    <row r="389" spans="1:5" ht="14.5" customHeight="1">
      <c r="A389" s="35"/>
      <c r="B389" s="111"/>
      <c r="C389" s="71" t="s">
        <v>116</v>
      </c>
      <c r="D389" s="62">
        <v>16</v>
      </c>
      <c r="E389" s="63">
        <v>1.3558173036179999E-3</v>
      </c>
    </row>
    <row r="390" spans="1:5" ht="14.5" customHeight="1">
      <c r="A390" s="35"/>
      <c r="B390" s="111"/>
      <c r="C390" s="71" t="s">
        <v>118</v>
      </c>
      <c r="D390" s="62">
        <v>2</v>
      </c>
      <c r="E390" s="63">
        <v>1.69477162952E-4</v>
      </c>
    </row>
    <row r="391" spans="1:5" ht="14.5" customHeight="1">
      <c r="A391" s="35"/>
      <c r="B391" s="111"/>
      <c r="C391" s="72" t="s">
        <v>284</v>
      </c>
      <c r="D391" s="64">
        <v>205</v>
      </c>
      <c r="E391" s="67">
        <v>1.7371409202609999E-2</v>
      </c>
    </row>
    <row r="392" spans="1:5" ht="14.5" customHeight="1">
      <c r="A392" s="35"/>
      <c r="B392" s="111" t="s">
        <v>74</v>
      </c>
      <c r="C392" s="71" t="s">
        <v>100</v>
      </c>
      <c r="D392" s="62">
        <v>2</v>
      </c>
      <c r="E392" s="63">
        <v>1.69477162952E-4</v>
      </c>
    </row>
    <row r="393" spans="1:5" ht="14.5" customHeight="1">
      <c r="A393" s="35"/>
      <c r="B393" s="111"/>
      <c r="C393" s="71" t="s">
        <v>102</v>
      </c>
      <c r="D393" s="62">
        <v>2</v>
      </c>
      <c r="E393" s="63">
        <v>1.69477162952E-4</v>
      </c>
    </row>
    <row r="394" spans="1:5" ht="14.5" customHeight="1">
      <c r="A394" s="35"/>
      <c r="B394" s="111"/>
      <c r="C394" s="71" t="s">
        <v>103</v>
      </c>
      <c r="D394" s="62">
        <v>7</v>
      </c>
      <c r="E394" s="63">
        <v>5.9317007033300002E-4</v>
      </c>
    </row>
    <row r="395" spans="1:5" ht="14.5" customHeight="1">
      <c r="A395" s="35"/>
      <c r="B395" s="111"/>
      <c r="C395" s="71" t="s">
        <v>105</v>
      </c>
      <c r="D395" s="62">
        <v>2</v>
      </c>
      <c r="E395" s="63">
        <v>1.69477162952E-4</v>
      </c>
    </row>
    <row r="396" spans="1:5" ht="14.5" customHeight="1">
      <c r="A396" s="35"/>
      <c r="B396" s="111"/>
      <c r="C396" s="71" t="s">
        <v>106</v>
      </c>
      <c r="D396" s="62">
        <v>6</v>
      </c>
      <c r="E396" s="63">
        <v>5.0843148885699996E-4</v>
      </c>
    </row>
    <row r="397" spans="1:5" ht="14.5" customHeight="1">
      <c r="A397" s="35"/>
      <c r="B397" s="111"/>
      <c r="C397" s="71" t="s">
        <v>107</v>
      </c>
      <c r="D397" s="62">
        <v>10</v>
      </c>
      <c r="E397" s="63">
        <v>8.4738581476099997E-4</v>
      </c>
    </row>
    <row r="398" spans="1:5" ht="14.5" customHeight="1">
      <c r="A398" s="35"/>
      <c r="B398" s="111"/>
      <c r="C398" s="71" t="s">
        <v>109</v>
      </c>
      <c r="D398" s="62">
        <v>6</v>
      </c>
      <c r="E398" s="63">
        <v>5.0843148885699996E-4</v>
      </c>
    </row>
    <row r="399" spans="1:5" ht="14.5" customHeight="1">
      <c r="A399" s="35"/>
      <c r="B399" s="111"/>
      <c r="C399" s="71" t="s">
        <v>110</v>
      </c>
      <c r="D399" s="62">
        <v>11</v>
      </c>
      <c r="E399" s="63">
        <v>9.3212439623799998E-4</v>
      </c>
    </row>
    <row r="400" spans="1:5" ht="14.5" customHeight="1">
      <c r="A400" s="35"/>
      <c r="B400" s="111"/>
      <c r="C400" s="71" t="s">
        <v>111</v>
      </c>
      <c r="D400" s="62">
        <v>1</v>
      </c>
      <c r="E400" s="63">
        <v>8.4738581476000001E-5</v>
      </c>
    </row>
    <row r="401" spans="1:5" ht="14.5" customHeight="1">
      <c r="A401" s="35"/>
      <c r="B401" s="111"/>
      <c r="C401" s="71" t="s">
        <v>115</v>
      </c>
      <c r="D401" s="62">
        <v>2</v>
      </c>
      <c r="E401" s="63">
        <v>1.69477162952E-4</v>
      </c>
    </row>
    <row r="402" spans="1:5" ht="14.5" customHeight="1">
      <c r="A402" s="35"/>
      <c r="B402" s="111"/>
      <c r="C402" s="71" t="s">
        <v>116</v>
      </c>
      <c r="D402" s="62">
        <v>6</v>
      </c>
      <c r="E402" s="63">
        <v>5.0843148885699996E-4</v>
      </c>
    </row>
    <row r="403" spans="1:5" ht="14.5" customHeight="1">
      <c r="A403" s="35"/>
      <c r="B403" s="111"/>
      <c r="C403" s="72" t="s">
        <v>284</v>
      </c>
      <c r="D403" s="64">
        <v>55</v>
      </c>
      <c r="E403" s="67">
        <v>4.660621981188E-3</v>
      </c>
    </row>
    <row r="404" spans="1:5" ht="14.5" customHeight="1">
      <c r="A404" s="35"/>
      <c r="B404" s="111" t="s">
        <v>66</v>
      </c>
      <c r="C404" s="71" t="s">
        <v>98</v>
      </c>
      <c r="D404" s="62">
        <v>1</v>
      </c>
      <c r="E404" s="63">
        <v>8.4738581476000001E-5</v>
      </c>
    </row>
    <row r="405" spans="1:5" ht="14.5" customHeight="1">
      <c r="A405" s="35"/>
      <c r="B405" s="111"/>
      <c r="C405" s="71" t="s">
        <v>102</v>
      </c>
      <c r="D405" s="62">
        <v>3</v>
      </c>
      <c r="E405" s="63">
        <v>2.54215744428E-4</v>
      </c>
    </row>
    <row r="406" spans="1:5" ht="14.5" customHeight="1">
      <c r="A406" s="35"/>
      <c r="B406" s="111"/>
      <c r="C406" s="71" t="s">
        <v>103</v>
      </c>
      <c r="D406" s="62">
        <v>6</v>
      </c>
      <c r="E406" s="63">
        <v>5.0843148885699996E-4</v>
      </c>
    </row>
    <row r="407" spans="1:5" ht="14.5" customHeight="1">
      <c r="A407" s="35"/>
      <c r="B407" s="111"/>
      <c r="C407" s="71" t="s">
        <v>104</v>
      </c>
      <c r="D407" s="62">
        <v>1</v>
      </c>
      <c r="E407" s="63">
        <v>8.4738581476000001E-5</v>
      </c>
    </row>
    <row r="408" spans="1:5" ht="14.5" customHeight="1">
      <c r="A408" s="35"/>
      <c r="B408" s="111"/>
      <c r="C408" s="71" t="s">
        <v>105</v>
      </c>
      <c r="D408" s="62">
        <v>2</v>
      </c>
      <c r="E408" s="63">
        <v>1.69477162952E-4</v>
      </c>
    </row>
    <row r="409" spans="1:5" ht="14.5" customHeight="1">
      <c r="A409" s="35"/>
      <c r="B409" s="111"/>
      <c r="C409" s="71" t="s">
        <v>106</v>
      </c>
      <c r="D409" s="62">
        <v>2</v>
      </c>
      <c r="E409" s="63">
        <v>1.69477162952E-4</v>
      </c>
    </row>
    <row r="410" spans="1:5" ht="14.5" customHeight="1">
      <c r="A410" s="35"/>
      <c r="B410" s="111"/>
      <c r="C410" s="71" t="s">
        <v>107</v>
      </c>
      <c r="D410" s="62">
        <v>8</v>
      </c>
      <c r="E410" s="63">
        <v>6.7790865180899996E-4</v>
      </c>
    </row>
    <row r="411" spans="1:5" ht="14.5" customHeight="1">
      <c r="A411" s="35"/>
      <c r="B411" s="111"/>
      <c r="C411" s="71" t="s">
        <v>108</v>
      </c>
      <c r="D411" s="62">
        <v>3</v>
      </c>
      <c r="E411" s="63">
        <v>2.54215744428E-4</v>
      </c>
    </row>
    <row r="412" spans="1:5" ht="14.5" customHeight="1">
      <c r="A412" s="35"/>
      <c r="B412" s="111"/>
      <c r="C412" s="71" t="s">
        <v>109</v>
      </c>
      <c r="D412" s="62">
        <v>4</v>
      </c>
      <c r="E412" s="63">
        <v>3.3895432590500002E-4</v>
      </c>
    </row>
    <row r="413" spans="1:5" ht="14.5" customHeight="1">
      <c r="A413" s="35"/>
      <c r="B413" s="111"/>
      <c r="C413" s="71" t="s">
        <v>110</v>
      </c>
      <c r="D413" s="62">
        <v>16</v>
      </c>
      <c r="E413" s="63">
        <v>1.3558173036179999E-3</v>
      </c>
    </row>
    <row r="414" spans="1:5" ht="14.5" customHeight="1">
      <c r="A414" s="35"/>
      <c r="B414" s="111"/>
      <c r="C414" s="71" t="s">
        <v>115</v>
      </c>
      <c r="D414" s="62">
        <v>2</v>
      </c>
      <c r="E414" s="63">
        <v>1.69477162952E-4</v>
      </c>
    </row>
    <row r="415" spans="1:5" ht="14.5" customHeight="1">
      <c r="A415" s="35"/>
      <c r="B415" s="111"/>
      <c r="C415" s="71" t="s">
        <v>116</v>
      </c>
      <c r="D415" s="62">
        <v>9</v>
      </c>
      <c r="E415" s="63">
        <v>7.6264723328500002E-4</v>
      </c>
    </row>
    <row r="416" spans="1:5" ht="14.5" customHeight="1">
      <c r="A416" s="35"/>
      <c r="B416" s="111"/>
      <c r="C416" s="71" t="s">
        <v>118</v>
      </c>
      <c r="D416" s="62">
        <v>1</v>
      </c>
      <c r="E416" s="63">
        <v>8.4738581476000001E-5</v>
      </c>
    </row>
    <row r="417" spans="1:5" ht="14.5" customHeight="1">
      <c r="A417" s="35"/>
      <c r="B417" s="111"/>
      <c r="C417" s="72" t="s">
        <v>284</v>
      </c>
      <c r="D417" s="64">
        <v>58</v>
      </c>
      <c r="E417" s="67">
        <v>4.9148377256159996E-3</v>
      </c>
    </row>
    <row r="418" spans="1:5" ht="14.5" customHeight="1">
      <c r="A418" s="35"/>
      <c r="B418" s="111" t="s">
        <v>128</v>
      </c>
      <c r="C418" s="71" t="s">
        <v>103</v>
      </c>
      <c r="D418" s="62">
        <v>1</v>
      </c>
      <c r="E418" s="63">
        <v>8.4738581476000001E-5</v>
      </c>
    </row>
    <row r="419" spans="1:5" ht="14.5" customHeight="1">
      <c r="A419" s="35"/>
      <c r="B419" s="111"/>
      <c r="C419" s="71" t="s">
        <v>107</v>
      </c>
      <c r="D419" s="62">
        <v>1</v>
      </c>
      <c r="E419" s="63">
        <v>8.4738581476000001E-5</v>
      </c>
    </row>
    <row r="420" spans="1:5" ht="14.5" customHeight="1">
      <c r="A420" s="35"/>
      <c r="B420" s="111"/>
      <c r="C420" s="71" t="s">
        <v>115</v>
      </c>
      <c r="D420" s="62">
        <v>1</v>
      </c>
      <c r="E420" s="63">
        <v>8.4738581476000001E-5</v>
      </c>
    </row>
    <row r="421" spans="1:5" ht="14.5" customHeight="1">
      <c r="A421" s="35"/>
      <c r="B421" s="111"/>
      <c r="C421" s="71" t="s">
        <v>116</v>
      </c>
      <c r="D421" s="62">
        <v>1</v>
      </c>
      <c r="E421" s="63">
        <v>8.4738581476000001E-5</v>
      </c>
    </row>
    <row r="422" spans="1:5" ht="14.5" customHeight="1">
      <c r="A422" s="35"/>
      <c r="B422" s="111"/>
      <c r="C422" s="72" t="s">
        <v>284</v>
      </c>
      <c r="D422" s="64">
        <v>4</v>
      </c>
      <c r="E422" s="67">
        <v>3.3895432590500002E-4</v>
      </c>
    </row>
    <row r="423" spans="1:5" ht="14.5" customHeight="1">
      <c r="A423" s="35"/>
      <c r="B423" s="111" t="s">
        <v>93</v>
      </c>
      <c r="C423" s="71" t="s">
        <v>118</v>
      </c>
      <c r="D423" s="62">
        <v>1</v>
      </c>
      <c r="E423" s="63">
        <v>8.4738581476000001E-5</v>
      </c>
    </row>
    <row r="424" spans="1:5" ht="14.5" customHeight="1">
      <c r="A424" s="35"/>
      <c r="B424" s="111"/>
      <c r="C424" s="72" t="s">
        <v>284</v>
      </c>
      <c r="D424" s="64">
        <v>1</v>
      </c>
      <c r="E424" s="67">
        <v>8.4738581476000001E-5</v>
      </c>
    </row>
    <row r="425" spans="1:5" ht="14.5" customHeight="1">
      <c r="A425" s="35"/>
      <c r="B425" s="111" t="s">
        <v>73</v>
      </c>
      <c r="C425" s="71" t="s">
        <v>102</v>
      </c>
      <c r="D425" s="62">
        <v>1</v>
      </c>
      <c r="E425" s="63">
        <v>8.4738581476000001E-5</v>
      </c>
    </row>
    <row r="426" spans="1:5" ht="14.5" customHeight="1">
      <c r="A426" s="35"/>
      <c r="B426" s="111"/>
      <c r="C426" s="71" t="s">
        <v>103</v>
      </c>
      <c r="D426" s="62">
        <v>7</v>
      </c>
      <c r="E426" s="63">
        <v>5.9317007033300002E-4</v>
      </c>
    </row>
    <row r="427" spans="1:5" ht="14.5" customHeight="1">
      <c r="A427" s="35"/>
      <c r="B427" s="111"/>
      <c r="C427" s="71" t="s">
        <v>105</v>
      </c>
      <c r="D427" s="62">
        <v>1</v>
      </c>
      <c r="E427" s="63">
        <v>8.4738581476000001E-5</v>
      </c>
    </row>
    <row r="428" spans="1:5" ht="14.5" customHeight="1">
      <c r="A428" s="35"/>
      <c r="B428" s="111"/>
      <c r="C428" s="71" t="s">
        <v>106</v>
      </c>
      <c r="D428" s="62">
        <v>3</v>
      </c>
      <c r="E428" s="63">
        <v>2.54215744428E-4</v>
      </c>
    </row>
    <row r="429" spans="1:5" ht="14.5" customHeight="1">
      <c r="A429" s="35"/>
      <c r="B429" s="111"/>
      <c r="C429" s="71" t="s">
        <v>107</v>
      </c>
      <c r="D429" s="62">
        <v>35</v>
      </c>
      <c r="E429" s="63">
        <v>2.965850351665E-3</v>
      </c>
    </row>
    <row r="430" spans="1:5" ht="14.5" customHeight="1">
      <c r="A430" s="35"/>
      <c r="B430" s="111"/>
      <c r="C430" s="71" t="s">
        <v>108</v>
      </c>
      <c r="D430" s="62">
        <v>2</v>
      </c>
      <c r="E430" s="63">
        <v>1.69477162952E-4</v>
      </c>
    </row>
    <row r="431" spans="1:5" ht="14.5" customHeight="1">
      <c r="A431" s="35"/>
      <c r="B431" s="111"/>
      <c r="C431" s="71" t="s">
        <v>109</v>
      </c>
      <c r="D431" s="62">
        <v>3</v>
      </c>
      <c r="E431" s="63">
        <v>2.54215744428E-4</v>
      </c>
    </row>
    <row r="432" spans="1:5" ht="14.5" customHeight="1">
      <c r="A432" s="35"/>
      <c r="B432" s="111"/>
      <c r="C432" s="71" t="s">
        <v>110</v>
      </c>
      <c r="D432" s="62">
        <v>19</v>
      </c>
      <c r="E432" s="63">
        <v>1.6100330480470001E-3</v>
      </c>
    </row>
    <row r="433" spans="1:5" ht="14.5" customHeight="1">
      <c r="A433" s="35"/>
      <c r="B433" s="111"/>
      <c r="C433" s="71" t="s">
        <v>114</v>
      </c>
      <c r="D433" s="62">
        <v>2</v>
      </c>
      <c r="E433" s="63">
        <v>1.69477162952E-4</v>
      </c>
    </row>
    <row r="434" spans="1:5" ht="14.5" customHeight="1">
      <c r="A434" s="35"/>
      <c r="B434" s="111"/>
      <c r="C434" s="71" t="s">
        <v>115</v>
      </c>
      <c r="D434" s="62">
        <v>2</v>
      </c>
      <c r="E434" s="63">
        <v>1.69477162952E-4</v>
      </c>
    </row>
    <row r="435" spans="1:5" ht="14.5" customHeight="1">
      <c r="A435" s="35"/>
      <c r="B435" s="111"/>
      <c r="C435" s="71" t="s">
        <v>116</v>
      </c>
      <c r="D435" s="62">
        <v>9</v>
      </c>
      <c r="E435" s="63">
        <v>7.6264723328500002E-4</v>
      </c>
    </row>
    <row r="436" spans="1:5" ht="14.5" customHeight="1">
      <c r="A436" s="35"/>
      <c r="B436" s="111"/>
      <c r="C436" s="72" t="s">
        <v>284</v>
      </c>
      <c r="D436" s="64">
        <v>84</v>
      </c>
      <c r="E436" s="67">
        <v>7.1180408439959998E-3</v>
      </c>
    </row>
    <row r="437" spans="1:5" ht="14.5" customHeight="1">
      <c r="A437" s="35"/>
      <c r="B437" s="111" t="s">
        <v>79</v>
      </c>
      <c r="C437" s="71" t="s">
        <v>99</v>
      </c>
      <c r="D437" s="62">
        <v>1</v>
      </c>
      <c r="E437" s="63">
        <v>8.4738581476000001E-5</v>
      </c>
    </row>
    <row r="438" spans="1:5" ht="14.5" customHeight="1">
      <c r="A438" s="35"/>
      <c r="B438" s="111"/>
      <c r="C438" s="71" t="s">
        <v>103</v>
      </c>
      <c r="D438" s="62">
        <v>2</v>
      </c>
      <c r="E438" s="63">
        <v>1.69477162952E-4</v>
      </c>
    </row>
    <row r="439" spans="1:5" ht="14.5" customHeight="1">
      <c r="A439" s="35"/>
      <c r="B439" s="111"/>
      <c r="C439" s="71" t="s">
        <v>106</v>
      </c>
      <c r="D439" s="62">
        <v>3</v>
      </c>
      <c r="E439" s="63">
        <v>2.54215744428E-4</v>
      </c>
    </row>
    <row r="440" spans="1:5" ht="14.5" customHeight="1">
      <c r="A440" s="35"/>
      <c r="B440" s="111"/>
      <c r="C440" s="71" t="s">
        <v>107</v>
      </c>
      <c r="D440" s="62">
        <v>6</v>
      </c>
      <c r="E440" s="63">
        <v>5.0843148885699996E-4</v>
      </c>
    </row>
    <row r="441" spans="1:5" ht="14.5" customHeight="1">
      <c r="A441" s="35"/>
      <c r="B441" s="111"/>
      <c r="C441" s="71" t="s">
        <v>109</v>
      </c>
      <c r="D441" s="62">
        <v>2</v>
      </c>
      <c r="E441" s="63">
        <v>1.69477162952E-4</v>
      </c>
    </row>
    <row r="442" spans="1:5" ht="14.5" customHeight="1">
      <c r="A442" s="35"/>
      <c r="B442" s="111"/>
      <c r="C442" s="71" t="s">
        <v>110</v>
      </c>
      <c r="D442" s="62">
        <v>4</v>
      </c>
      <c r="E442" s="63">
        <v>3.3895432590500002E-4</v>
      </c>
    </row>
    <row r="443" spans="1:5" ht="14.5" customHeight="1">
      <c r="A443" s="35"/>
      <c r="B443" s="111"/>
      <c r="C443" s="71" t="s">
        <v>115</v>
      </c>
      <c r="D443" s="62">
        <v>1</v>
      </c>
      <c r="E443" s="63">
        <v>8.4738581476000001E-5</v>
      </c>
    </row>
    <row r="444" spans="1:5" ht="14.5" customHeight="1">
      <c r="A444" s="35"/>
      <c r="B444" s="111"/>
      <c r="C444" s="71" t="s">
        <v>116</v>
      </c>
      <c r="D444" s="62">
        <v>2</v>
      </c>
      <c r="E444" s="63">
        <v>1.69477162952E-4</v>
      </c>
    </row>
    <row r="445" spans="1:5" ht="14.5" customHeight="1">
      <c r="A445" s="35"/>
      <c r="B445" s="111"/>
      <c r="C445" s="72" t="s">
        <v>284</v>
      </c>
      <c r="D445" s="64">
        <v>21</v>
      </c>
      <c r="E445" s="67">
        <v>1.7795102109989999E-3</v>
      </c>
    </row>
    <row r="446" spans="1:5" ht="14.5" customHeight="1">
      <c r="A446" s="35"/>
      <c r="B446" s="111" t="s">
        <v>50</v>
      </c>
      <c r="C446" s="71" t="s">
        <v>97</v>
      </c>
      <c r="D446" s="62">
        <v>1</v>
      </c>
      <c r="E446" s="63">
        <v>8.4738581476000001E-5</v>
      </c>
    </row>
    <row r="447" spans="1:5" ht="14.5" customHeight="1">
      <c r="A447" s="35"/>
      <c r="B447" s="111"/>
      <c r="C447" s="71" t="s">
        <v>98</v>
      </c>
      <c r="D447" s="62">
        <v>1</v>
      </c>
      <c r="E447" s="63">
        <v>8.4738581476000001E-5</v>
      </c>
    </row>
    <row r="448" spans="1:5" ht="14.5" customHeight="1">
      <c r="A448" s="35"/>
      <c r="B448" s="111"/>
      <c r="C448" s="71" t="s">
        <v>99</v>
      </c>
      <c r="D448" s="62">
        <v>5</v>
      </c>
      <c r="E448" s="63">
        <v>4.2369290738100002E-4</v>
      </c>
    </row>
    <row r="449" spans="1:5" ht="14.5" customHeight="1">
      <c r="A449" s="35"/>
      <c r="B449" s="111"/>
      <c r="C449" s="71" t="s">
        <v>100</v>
      </c>
      <c r="D449" s="62">
        <v>3</v>
      </c>
      <c r="E449" s="63">
        <v>2.54215744428E-4</v>
      </c>
    </row>
    <row r="450" spans="1:5" ht="14.5" customHeight="1">
      <c r="A450" s="35"/>
      <c r="B450" s="111"/>
      <c r="C450" s="71" t="s">
        <v>101</v>
      </c>
      <c r="D450" s="62">
        <v>3</v>
      </c>
      <c r="E450" s="63">
        <v>2.54215744428E-4</v>
      </c>
    </row>
    <row r="451" spans="1:5" ht="14.5" customHeight="1">
      <c r="A451" s="35"/>
      <c r="B451" s="111"/>
      <c r="C451" s="71" t="s">
        <v>102</v>
      </c>
      <c r="D451" s="62">
        <v>18</v>
      </c>
      <c r="E451" s="63">
        <v>1.5252944665710001E-3</v>
      </c>
    </row>
    <row r="452" spans="1:5" ht="14.5" customHeight="1">
      <c r="A452" s="35"/>
      <c r="B452" s="111"/>
      <c r="C452" s="71" t="s">
        <v>103</v>
      </c>
      <c r="D452" s="62">
        <v>51</v>
      </c>
      <c r="E452" s="63">
        <v>4.3216676552830001E-3</v>
      </c>
    </row>
    <row r="453" spans="1:5" ht="14.5" customHeight="1">
      <c r="A453" s="35"/>
      <c r="B453" s="111"/>
      <c r="C453" s="71" t="s">
        <v>104</v>
      </c>
      <c r="D453" s="62">
        <v>9</v>
      </c>
      <c r="E453" s="63">
        <v>7.6264723328500002E-4</v>
      </c>
    </row>
    <row r="454" spans="1:5" ht="14.5" customHeight="1">
      <c r="A454" s="35"/>
      <c r="B454" s="111"/>
      <c r="C454" s="71" t="s">
        <v>105</v>
      </c>
      <c r="D454" s="62">
        <v>18</v>
      </c>
      <c r="E454" s="63">
        <v>1.5252944665710001E-3</v>
      </c>
    </row>
    <row r="455" spans="1:5" ht="14.5" customHeight="1">
      <c r="A455" s="35"/>
      <c r="B455" s="111"/>
      <c r="C455" s="71" t="s">
        <v>106</v>
      </c>
      <c r="D455" s="62">
        <v>8</v>
      </c>
      <c r="E455" s="63">
        <v>6.7790865180899996E-4</v>
      </c>
    </row>
    <row r="456" spans="1:5" ht="14.5" customHeight="1">
      <c r="A456" s="35"/>
      <c r="B456" s="111"/>
      <c r="C456" s="71" t="s">
        <v>107</v>
      </c>
      <c r="D456" s="62">
        <v>145</v>
      </c>
      <c r="E456" s="63">
        <v>1.2287094314041E-2</v>
      </c>
    </row>
    <row r="457" spans="1:5" ht="14.5" customHeight="1">
      <c r="A457" s="35"/>
      <c r="B457" s="111"/>
      <c r="C457" s="71" t="s">
        <v>108</v>
      </c>
      <c r="D457" s="62">
        <v>12</v>
      </c>
      <c r="E457" s="63">
        <v>1.0168629777139999E-3</v>
      </c>
    </row>
    <row r="458" spans="1:5" ht="14.5" customHeight="1">
      <c r="A458" s="35"/>
      <c r="B458" s="111"/>
      <c r="C458" s="71" t="s">
        <v>109</v>
      </c>
      <c r="D458" s="62">
        <v>42</v>
      </c>
      <c r="E458" s="63">
        <v>3.5590204219979999E-3</v>
      </c>
    </row>
    <row r="459" spans="1:5" ht="14.5" customHeight="1">
      <c r="A459" s="35"/>
      <c r="B459" s="111"/>
      <c r="C459" s="71" t="s">
        <v>110</v>
      </c>
      <c r="D459" s="62">
        <v>132</v>
      </c>
      <c r="E459" s="63">
        <v>1.1185492754850999E-2</v>
      </c>
    </row>
    <row r="460" spans="1:5" ht="14.5" customHeight="1">
      <c r="A460" s="35"/>
      <c r="B460" s="111"/>
      <c r="C460" s="71" t="s">
        <v>111</v>
      </c>
      <c r="D460" s="62">
        <v>1</v>
      </c>
      <c r="E460" s="63">
        <v>8.4738581476000001E-5</v>
      </c>
    </row>
    <row r="461" spans="1:5" ht="14.5" customHeight="1">
      <c r="A461" s="35"/>
      <c r="B461" s="111"/>
      <c r="C461" s="71" t="s">
        <v>112</v>
      </c>
      <c r="D461" s="62">
        <v>4</v>
      </c>
      <c r="E461" s="63">
        <v>3.3895432590500002E-4</v>
      </c>
    </row>
    <row r="462" spans="1:5" ht="14.5" customHeight="1">
      <c r="A462" s="35"/>
      <c r="B462" s="111"/>
      <c r="C462" s="71" t="s">
        <v>113</v>
      </c>
      <c r="D462" s="62">
        <v>1</v>
      </c>
      <c r="E462" s="63">
        <v>8.4738581476000001E-5</v>
      </c>
    </row>
    <row r="463" spans="1:5" ht="14.5" customHeight="1">
      <c r="A463" s="35"/>
      <c r="B463" s="111"/>
      <c r="C463" s="71" t="s">
        <v>115</v>
      </c>
      <c r="D463" s="62">
        <v>7</v>
      </c>
      <c r="E463" s="63">
        <v>5.9317007033300002E-4</v>
      </c>
    </row>
    <row r="464" spans="1:5" ht="14.5" customHeight="1">
      <c r="A464" s="35"/>
      <c r="B464" s="111"/>
      <c r="C464" s="71" t="s">
        <v>116</v>
      </c>
      <c r="D464" s="62">
        <v>28</v>
      </c>
      <c r="E464" s="63">
        <v>2.3726802813320001E-3</v>
      </c>
    </row>
    <row r="465" spans="1:5" ht="14.5" customHeight="1">
      <c r="A465" s="35"/>
      <c r="B465" s="111"/>
      <c r="C465" s="72" t="s">
        <v>284</v>
      </c>
      <c r="D465" s="64">
        <v>489</v>
      </c>
      <c r="E465" s="67">
        <v>4.1437166341835002E-2</v>
      </c>
    </row>
    <row r="466" spans="1:5" ht="14.5" customHeight="1">
      <c r="A466" s="35"/>
      <c r="B466" s="111" t="s">
        <v>72</v>
      </c>
      <c r="C466" s="71" t="s">
        <v>96</v>
      </c>
      <c r="D466" s="62">
        <v>1</v>
      </c>
      <c r="E466" s="63">
        <v>8.4738581476000001E-5</v>
      </c>
    </row>
    <row r="467" spans="1:5" ht="14.5" customHeight="1">
      <c r="A467" s="35"/>
      <c r="B467" s="111"/>
      <c r="C467" s="71" t="s">
        <v>97</v>
      </c>
      <c r="D467" s="62">
        <v>1</v>
      </c>
      <c r="E467" s="63">
        <v>8.4738581476000001E-5</v>
      </c>
    </row>
    <row r="468" spans="1:5" ht="14.5" customHeight="1">
      <c r="A468" s="35"/>
      <c r="B468" s="111"/>
      <c r="C468" s="71" t="s">
        <v>99</v>
      </c>
      <c r="D468" s="62">
        <v>1</v>
      </c>
      <c r="E468" s="63">
        <v>8.4738581476000001E-5</v>
      </c>
    </row>
    <row r="469" spans="1:5" ht="14.5" customHeight="1">
      <c r="A469" s="35"/>
      <c r="B469" s="111"/>
      <c r="C469" s="71" t="s">
        <v>100</v>
      </c>
      <c r="D469" s="62">
        <v>1</v>
      </c>
      <c r="E469" s="63">
        <v>8.4738581476000001E-5</v>
      </c>
    </row>
    <row r="470" spans="1:5" ht="14.5" customHeight="1">
      <c r="A470" s="35"/>
      <c r="B470" s="111"/>
      <c r="C470" s="71" t="s">
        <v>101</v>
      </c>
      <c r="D470" s="62">
        <v>2</v>
      </c>
      <c r="E470" s="63">
        <v>1.69477162952E-4</v>
      </c>
    </row>
    <row r="471" spans="1:5" ht="14.5" customHeight="1">
      <c r="A471" s="35"/>
      <c r="B471" s="111"/>
      <c r="C471" s="71" t="s">
        <v>102</v>
      </c>
      <c r="D471" s="62">
        <v>3</v>
      </c>
      <c r="E471" s="63">
        <v>2.54215744428E-4</v>
      </c>
    </row>
    <row r="472" spans="1:5" ht="14.5" customHeight="1">
      <c r="A472" s="35"/>
      <c r="B472" s="111"/>
      <c r="C472" s="71" t="s">
        <v>103</v>
      </c>
      <c r="D472" s="62">
        <v>7</v>
      </c>
      <c r="E472" s="63">
        <v>5.9317007033300002E-4</v>
      </c>
    </row>
    <row r="473" spans="1:5" ht="14.5" customHeight="1">
      <c r="A473" s="35"/>
      <c r="B473" s="111"/>
      <c r="C473" s="71" t="s">
        <v>104</v>
      </c>
      <c r="D473" s="62">
        <v>1</v>
      </c>
      <c r="E473" s="63">
        <v>8.4738581476000001E-5</v>
      </c>
    </row>
    <row r="474" spans="1:5" ht="14.5" customHeight="1">
      <c r="A474" s="35"/>
      <c r="B474" s="111"/>
      <c r="C474" s="71" t="s">
        <v>105</v>
      </c>
      <c r="D474" s="62">
        <v>5</v>
      </c>
      <c r="E474" s="63">
        <v>4.2369290738100002E-4</v>
      </c>
    </row>
    <row r="475" spans="1:5" ht="14.5" customHeight="1">
      <c r="A475" s="35"/>
      <c r="B475" s="111"/>
      <c r="C475" s="71" t="s">
        <v>106</v>
      </c>
      <c r="D475" s="62">
        <v>6</v>
      </c>
      <c r="E475" s="63">
        <v>5.0843148885699996E-4</v>
      </c>
    </row>
    <row r="476" spans="1:5" ht="14.5" customHeight="1">
      <c r="A476" s="35"/>
      <c r="B476" s="111"/>
      <c r="C476" s="71" t="s">
        <v>107</v>
      </c>
      <c r="D476" s="62">
        <v>31</v>
      </c>
      <c r="E476" s="63">
        <v>2.6268960257610002E-3</v>
      </c>
    </row>
    <row r="477" spans="1:5" ht="14.5" customHeight="1">
      <c r="A477" s="35"/>
      <c r="B477" s="111"/>
      <c r="C477" s="71" t="s">
        <v>108</v>
      </c>
      <c r="D477" s="62">
        <v>2</v>
      </c>
      <c r="E477" s="63">
        <v>1.69477162952E-4</v>
      </c>
    </row>
    <row r="478" spans="1:5" ht="14.5" customHeight="1">
      <c r="A478" s="35"/>
      <c r="B478" s="111"/>
      <c r="C478" s="71" t="s">
        <v>109</v>
      </c>
      <c r="D478" s="62">
        <v>8</v>
      </c>
      <c r="E478" s="63">
        <v>6.7790865180899996E-4</v>
      </c>
    </row>
    <row r="479" spans="1:5" ht="14.5" customHeight="1">
      <c r="A479" s="35"/>
      <c r="B479" s="111"/>
      <c r="C479" s="71" t="s">
        <v>110</v>
      </c>
      <c r="D479" s="62">
        <v>26</v>
      </c>
      <c r="E479" s="63">
        <v>2.2032031183800002E-3</v>
      </c>
    </row>
    <row r="480" spans="1:5" ht="14.5" customHeight="1">
      <c r="A480" s="35"/>
      <c r="B480" s="111"/>
      <c r="C480" s="71" t="s">
        <v>115</v>
      </c>
      <c r="D480" s="62">
        <v>1</v>
      </c>
      <c r="E480" s="63">
        <v>8.4738581476000001E-5</v>
      </c>
    </row>
    <row r="481" spans="1:5" ht="14.5" customHeight="1">
      <c r="A481" s="35"/>
      <c r="B481" s="111"/>
      <c r="C481" s="71" t="s">
        <v>116</v>
      </c>
      <c r="D481" s="62">
        <v>6</v>
      </c>
      <c r="E481" s="63">
        <v>5.0843148885699996E-4</v>
      </c>
    </row>
    <row r="482" spans="1:5" ht="14.5" customHeight="1">
      <c r="A482" s="35"/>
      <c r="B482" s="111"/>
      <c r="C482" s="72" t="s">
        <v>284</v>
      </c>
      <c r="D482" s="64">
        <v>102</v>
      </c>
      <c r="E482" s="67">
        <v>8.6433353105669995E-3</v>
      </c>
    </row>
    <row r="483" spans="1:5" ht="14.5" customHeight="1">
      <c r="A483" s="35"/>
      <c r="B483" s="111" t="s">
        <v>64</v>
      </c>
      <c r="C483" s="71" t="s">
        <v>98</v>
      </c>
      <c r="D483" s="62">
        <v>1</v>
      </c>
      <c r="E483" s="63">
        <v>8.4738581476000001E-5</v>
      </c>
    </row>
    <row r="484" spans="1:5" ht="14.5" customHeight="1">
      <c r="A484" s="35"/>
      <c r="B484" s="111"/>
      <c r="C484" s="71" t="s">
        <v>102</v>
      </c>
      <c r="D484" s="62">
        <v>5</v>
      </c>
      <c r="E484" s="63">
        <v>4.2369290738100002E-4</v>
      </c>
    </row>
    <row r="485" spans="1:5" ht="14.5" customHeight="1">
      <c r="A485" s="35"/>
      <c r="B485" s="111"/>
      <c r="C485" s="71" t="s">
        <v>103</v>
      </c>
      <c r="D485" s="62">
        <v>9</v>
      </c>
      <c r="E485" s="63">
        <v>7.6264723328500002E-4</v>
      </c>
    </row>
    <row r="486" spans="1:5" ht="14.5" customHeight="1">
      <c r="A486" s="35"/>
      <c r="B486" s="111"/>
      <c r="C486" s="71" t="s">
        <v>106</v>
      </c>
      <c r="D486" s="62">
        <v>3</v>
      </c>
      <c r="E486" s="63">
        <v>2.54215744428E-4</v>
      </c>
    </row>
    <row r="487" spans="1:5" ht="14.5" customHeight="1">
      <c r="A487" s="35"/>
      <c r="B487" s="111"/>
      <c r="C487" s="71" t="s">
        <v>107</v>
      </c>
      <c r="D487" s="62">
        <v>22</v>
      </c>
      <c r="E487" s="63">
        <v>1.8642487924749999E-3</v>
      </c>
    </row>
    <row r="488" spans="1:5" ht="14.5" customHeight="1">
      <c r="A488" s="35"/>
      <c r="B488" s="111"/>
      <c r="C488" s="71" t="s">
        <v>108</v>
      </c>
      <c r="D488" s="62">
        <v>3</v>
      </c>
      <c r="E488" s="63">
        <v>2.54215744428E-4</v>
      </c>
    </row>
    <row r="489" spans="1:5" ht="14.5" customHeight="1">
      <c r="A489" s="35"/>
      <c r="B489" s="111"/>
      <c r="C489" s="71" t="s">
        <v>109</v>
      </c>
      <c r="D489" s="62">
        <v>9</v>
      </c>
      <c r="E489" s="63">
        <v>7.6264723328500002E-4</v>
      </c>
    </row>
    <row r="490" spans="1:5" ht="14.5" customHeight="1">
      <c r="A490" s="35"/>
      <c r="B490" s="111"/>
      <c r="C490" s="71" t="s">
        <v>110</v>
      </c>
      <c r="D490" s="62">
        <v>25</v>
      </c>
      <c r="E490" s="63">
        <v>2.118464536904E-3</v>
      </c>
    </row>
    <row r="491" spans="1:5" ht="14.5" customHeight="1">
      <c r="A491" s="35"/>
      <c r="B491" s="111"/>
      <c r="C491" s="71" t="s">
        <v>116</v>
      </c>
      <c r="D491" s="62">
        <v>4</v>
      </c>
      <c r="E491" s="63">
        <v>3.3895432590500002E-4</v>
      </c>
    </row>
    <row r="492" spans="1:5" ht="14.5" customHeight="1">
      <c r="A492" s="35"/>
      <c r="B492" s="111"/>
      <c r="C492" s="72" t="s">
        <v>284</v>
      </c>
      <c r="D492" s="64">
        <v>81</v>
      </c>
      <c r="E492" s="67">
        <v>6.8638250995680002E-3</v>
      </c>
    </row>
    <row r="493" spans="1:5" ht="14.5" customHeight="1">
      <c r="A493" s="35"/>
      <c r="B493" s="111" t="s">
        <v>88</v>
      </c>
      <c r="C493" s="71" t="s">
        <v>101</v>
      </c>
      <c r="D493" s="62">
        <v>1</v>
      </c>
      <c r="E493" s="63">
        <v>8.4738581476000001E-5</v>
      </c>
    </row>
    <row r="494" spans="1:5" ht="14.5" customHeight="1">
      <c r="A494" s="35"/>
      <c r="B494" s="111"/>
      <c r="C494" s="71" t="s">
        <v>102</v>
      </c>
      <c r="D494" s="62">
        <v>3</v>
      </c>
      <c r="E494" s="63">
        <v>2.54215744428E-4</v>
      </c>
    </row>
    <row r="495" spans="1:5" ht="14.5" customHeight="1">
      <c r="A495" s="35"/>
      <c r="B495" s="111"/>
      <c r="C495" s="71" t="s">
        <v>103</v>
      </c>
      <c r="D495" s="62">
        <v>2</v>
      </c>
      <c r="E495" s="63">
        <v>1.69477162952E-4</v>
      </c>
    </row>
    <row r="496" spans="1:5" ht="14.5" customHeight="1">
      <c r="A496" s="35"/>
      <c r="B496" s="111"/>
      <c r="C496" s="71" t="s">
        <v>104</v>
      </c>
      <c r="D496" s="62">
        <v>2</v>
      </c>
      <c r="E496" s="63">
        <v>1.69477162952E-4</v>
      </c>
    </row>
    <row r="497" spans="1:5" ht="14.5" customHeight="1">
      <c r="A497" s="35"/>
      <c r="B497" s="111"/>
      <c r="C497" s="71" t="s">
        <v>106</v>
      </c>
      <c r="D497" s="62">
        <v>2</v>
      </c>
      <c r="E497" s="63">
        <v>1.69477162952E-4</v>
      </c>
    </row>
    <row r="498" spans="1:5" ht="14.5" customHeight="1">
      <c r="A498" s="35"/>
      <c r="B498" s="111"/>
      <c r="C498" s="71" t="s">
        <v>107</v>
      </c>
      <c r="D498" s="62">
        <v>5</v>
      </c>
      <c r="E498" s="63">
        <v>4.2369290738100002E-4</v>
      </c>
    </row>
    <row r="499" spans="1:5" ht="14.5" customHeight="1">
      <c r="A499" s="35"/>
      <c r="B499" s="111"/>
      <c r="C499" s="71" t="s">
        <v>110</v>
      </c>
      <c r="D499" s="62">
        <v>4</v>
      </c>
      <c r="E499" s="63">
        <v>3.3895432590500002E-4</v>
      </c>
    </row>
    <row r="500" spans="1:5" ht="14.5" customHeight="1">
      <c r="A500" s="35"/>
      <c r="B500" s="111"/>
      <c r="C500" s="71" t="s">
        <v>113</v>
      </c>
      <c r="D500" s="62">
        <v>1</v>
      </c>
      <c r="E500" s="63">
        <v>8.4738581476000001E-5</v>
      </c>
    </row>
    <row r="501" spans="1:5" ht="14.5" customHeight="1">
      <c r="A501" s="35"/>
      <c r="B501" s="111"/>
      <c r="C501" s="71" t="s">
        <v>114</v>
      </c>
      <c r="D501" s="62">
        <v>1</v>
      </c>
      <c r="E501" s="63">
        <v>8.4738581476000001E-5</v>
      </c>
    </row>
    <row r="502" spans="1:5" ht="14.5" customHeight="1">
      <c r="A502" s="35"/>
      <c r="B502" s="111"/>
      <c r="C502" s="72" t="s">
        <v>284</v>
      </c>
      <c r="D502" s="64">
        <v>21</v>
      </c>
      <c r="E502" s="67">
        <v>1.7795102109989999E-3</v>
      </c>
    </row>
    <row r="503" spans="1:5" ht="14.5" customHeight="1">
      <c r="A503" s="35"/>
      <c r="B503" s="111" t="s">
        <v>70</v>
      </c>
      <c r="C503" s="71" t="s">
        <v>97</v>
      </c>
      <c r="D503" s="62">
        <v>1</v>
      </c>
      <c r="E503" s="63">
        <v>8.4738581476000001E-5</v>
      </c>
    </row>
    <row r="504" spans="1:5" ht="14.5" customHeight="1">
      <c r="A504" s="35"/>
      <c r="B504" s="111"/>
      <c r="C504" s="71" t="s">
        <v>99</v>
      </c>
      <c r="D504" s="62">
        <v>2</v>
      </c>
      <c r="E504" s="63">
        <v>1.69477162952E-4</v>
      </c>
    </row>
    <row r="505" spans="1:5" ht="14.5" customHeight="1">
      <c r="A505" s="35"/>
      <c r="B505" s="111"/>
      <c r="C505" s="71" t="s">
        <v>102</v>
      </c>
      <c r="D505" s="62">
        <v>2</v>
      </c>
      <c r="E505" s="63">
        <v>1.69477162952E-4</v>
      </c>
    </row>
    <row r="506" spans="1:5" ht="14.5" customHeight="1">
      <c r="A506" s="35"/>
      <c r="B506" s="111"/>
      <c r="C506" s="71" t="s">
        <v>103</v>
      </c>
      <c r="D506" s="62">
        <v>9</v>
      </c>
      <c r="E506" s="63">
        <v>7.6264723328500002E-4</v>
      </c>
    </row>
    <row r="507" spans="1:5" ht="14.5" customHeight="1">
      <c r="A507" s="35"/>
      <c r="B507" s="111"/>
      <c r="C507" s="71" t="s">
        <v>104</v>
      </c>
      <c r="D507" s="62">
        <v>1</v>
      </c>
      <c r="E507" s="63">
        <v>8.4738581476000001E-5</v>
      </c>
    </row>
    <row r="508" spans="1:5" ht="14.5" customHeight="1">
      <c r="A508" s="35"/>
      <c r="B508" s="111"/>
      <c r="C508" s="71" t="s">
        <v>106</v>
      </c>
      <c r="D508" s="62">
        <v>3</v>
      </c>
      <c r="E508" s="63">
        <v>2.54215744428E-4</v>
      </c>
    </row>
    <row r="509" spans="1:5" ht="14.5" customHeight="1">
      <c r="A509" s="35"/>
      <c r="B509" s="111"/>
      <c r="C509" s="71" t="s">
        <v>107</v>
      </c>
      <c r="D509" s="62">
        <v>13</v>
      </c>
      <c r="E509" s="63">
        <v>1.1016015591900001E-3</v>
      </c>
    </row>
    <row r="510" spans="1:5" ht="14.5" customHeight="1">
      <c r="A510" s="35"/>
      <c r="B510" s="111"/>
      <c r="C510" s="71" t="s">
        <v>109</v>
      </c>
      <c r="D510" s="62">
        <v>7</v>
      </c>
      <c r="E510" s="63">
        <v>5.9317007033300002E-4</v>
      </c>
    </row>
    <row r="511" spans="1:5" ht="14.5" customHeight="1">
      <c r="A511" s="35"/>
      <c r="B511" s="111"/>
      <c r="C511" s="71" t="s">
        <v>110</v>
      </c>
      <c r="D511" s="62">
        <v>14</v>
      </c>
      <c r="E511" s="63">
        <v>1.186340140666E-3</v>
      </c>
    </row>
    <row r="512" spans="1:5" ht="14.5" customHeight="1">
      <c r="A512" s="35"/>
      <c r="B512" s="111"/>
      <c r="C512" s="71" t="s">
        <v>114</v>
      </c>
      <c r="D512" s="62">
        <v>2</v>
      </c>
      <c r="E512" s="63">
        <v>1.69477162952E-4</v>
      </c>
    </row>
    <row r="513" spans="1:5" ht="14.5" customHeight="1">
      <c r="A513" s="35"/>
      <c r="B513" s="111"/>
      <c r="C513" s="71" t="s">
        <v>115</v>
      </c>
      <c r="D513" s="62">
        <v>2</v>
      </c>
      <c r="E513" s="63">
        <v>1.69477162952E-4</v>
      </c>
    </row>
    <row r="514" spans="1:5" ht="14.5" customHeight="1">
      <c r="A514" s="35"/>
      <c r="B514" s="111"/>
      <c r="C514" s="71" t="s">
        <v>116</v>
      </c>
      <c r="D514" s="62">
        <v>12</v>
      </c>
      <c r="E514" s="63">
        <v>1.0168629777139999E-3</v>
      </c>
    </row>
    <row r="515" spans="1:5" ht="14.5" customHeight="1">
      <c r="A515" s="35"/>
      <c r="B515" s="111"/>
      <c r="C515" s="71" t="s">
        <v>118</v>
      </c>
      <c r="D515" s="62">
        <v>1</v>
      </c>
      <c r="E515" s="63">
        <v>8.4738581476000001E-5</v>
      </c>
    </row>
    <row r="516" spans="1:5" ht="14.5" customHeight="1">
      <c r="A516" s="35"/>
      <c r="B516" s="111"/>
      <c r="C516" s="72" t="s">
        <v>284</v>
      </c>
      <c r="D516" s="64">
        <v>69</v>
      </c>
      <c r="E516" s="67">
        <v>5.8469621218539998E-3</v>
      </c>
    </row>
    <row r="517" spans="1:5" ht="14.5" customHeight="1">
      <c r="A517" s="35"/>
      <c r="B517" s="111" t="s">
        <v>92</v>
      </c>
      <c r="C517" s="71" t="s">
        <v>106</v>
      </c>
      <c r="D517" s="62">
        <v>1</v>
      </c>
      <c r="E517" s="63">
        <v>8.4738581476000001E-5</v>
      </c>
    </row>
    <row r="518" spans="1:5" ht="14.5" customHeight="1">
      <c r="A518" s="35"/>
      <c r="B518" s="111"/>
      <c r="C518" s="71" t="s">
        <v>109</v>
      </c>
      <c r="D518" s="62">
        <v>2</v>
      </c>
      <c r="E518" s="63">
        <v>1.69477162952E-4</v>
      </c>
    </row>
    <row r="519" spans="1:5" ht="14.5" customHeight="1">
      <c r="A519" s="35"/>
      <c r="B519" s="111"/>
      <c r="C519" s="71" t="s">
        <v>110</v>
      </c>
      <c r="D519" s="62">
        <v>2</v>
      </c>
      <c r="E519" s="63">
        <v>1.69477162952E-4</v>
      </c>
    </row>
    <row r="520" spans="1:5" ht="14.5" customHeight="1">
      <c r="A520" s="35"/>
      <c r="B520" s="111"/>
      <c r="C520" s="71" t="s">
        <v>115</v>
      </c>
      <c r="D520" s="62">
        <v>1</v>
      </c>
      <c r="E520" s="63">
        <v>8.4738581476000001E-5</v>
      </c>
    </row>
    <row r="521" spans="1:5" ht="14.5" customHeight="1">
      <c r="A521" s="35"/>
      <c r="B521" s="111"/>
      <c r="C521" s="72" t="s">
        <v>284</v>
      </c>
      <c r="D521" s="64">
        <v>6</v>
      </c>
      <c r="E521" s="67">
        <v>5.0843148885699996E-4</v>
      </c>
    </row>
    <row r="522" spans="1:5" ht="14.5" customHeight="1">
      <c r="A522" s="35"/>
      <c r="B522" s="111" t="s">
        <v>62</v>
      </c>
      <c r="C522" s="71" t="s">
        <v>96</v>
      </c>
      <c r="D522" s="62">
        <v>1</v>
      </c>
      <c r="E522" s="63">
        <v>8.4738581476000001E-5</v>
      </c>
    </row>
    <row r="523" spans="1:5" ht="14.5" customHeight="1">
      <c r="A523" s="35"/>
      <c r="B523" s="111"/>
      <c r="C523" s="71" t="s">
        <v>99</v>
      </c>
      <c r="D523" s="62">
        <v>2</v>
      </c>
      <c r="E523" s="63">
        <v>1.69477162952E-4</v>
      </c>
    </row>
    <row r="524" spans="1:5" ht="14.5" customHeight="1">
      <c r="A524" s="35"/>
      <c r="B524" s="111"/>
      <c r="C524" s="71" t="s">
        <v>100</v>
      </c>
      <c r="D524" s="62">
        <v>3</v>
      </c>
      <c r="E524" s="63">
        <v>2.54215744428E-4</v>
      </c>
    </row>
    <row r="525" spans="1:5" ht="14.5" customHeight="1">
      <c r="A525" s="35"/>
      <c r="B525" s="111"/>
      <c r="C525" s="71" t="s">
        <v>101</v>
      </c>
      <c r="D525" s="62">
        <v>1</v>
      </c>
      <c r="E525" s="63">
        <v>8.4738581476000001E-5</v>
      </c>
    </row>
    <row r="526" spans="1:5" ht="14.5" customHeight="1">
      <c r="A526" s="35"/>
      <c r="B526" s="111"/>
      <c r="C526" s="71" t="s">
        <v>102</v>
      </c>
      <c r="D526" s="62">
        <v>11</v>
      </c>
      <c r="E526" s="63">
        <v>9.3212439623799998E-4</v>
      </c>
    </row>
    <row r="527" spans="1:5" ht="14.5" customHeight="1">
      <c r="A527" s="35"/>
      <c r="B527" s="111"/>
      <c r="C527" s="71" t="s">
        <v>103</v>
      </c>
      <c r="D527" s="62">
        <v>10</v>
      </c>
      <c r="E527" s="63">
        <v>8.4738581476099997E-4</v>
      </c>
    </row>
    <row r="528" spans="1:5" ht="14.5" customHeight="1">
      <c r="A528" s="35"/>
      <c r="B528" s="111"/>
      <c r="C528" s="71" t="s">
        <v>105</v>
      </c>
      <c r="D528" s="62">
        <v>1</v>
      </c>
      <c r="E528" s="63">
        <v>8.4738581476000001E-5</v>
      </c>
    </row>
    <row r="529" spans="1:5" ht="14.5" customHeight="1">
      <c r="A529" s="35"/>
      <c r="B529" s="111"/>
      <c r="C529" s="71" t="s">
        <v>106</v>
      </c>
      <c r="D529" s="62">
        <v>13</v>
      </c>
      <c r="E529" s="63">
        <v>1.1016015591900001E-3</v>
      </c>
    </row>
    <row r="530" spans="1:5" ht="14.5" customHeight="1">
      <c r="A530" s="35"/>
      <c r="B530" s="111"/>
      <c r="C530" s="71" t="s">
        <v>107</v>
      </c>
      <c r="D530" s="62">
        <v>43</v>
      </c>
      <c r="E530" s="63">
        <v>3.6437590034740001E-3</v>
      </c>
    </row>
    <row r="531" spans="1:5" ht="14.5" customHeight="1">
      <c r="A531" s="35"/>
      <c r="B531" s="111"/>
      <c r="C531" s="71" t="s">
        <v>108</v>
      </c>
      <c r="D531" s="62">
        <v>4</v>
      </c>
      <c r="E531" s="63">
        <v>3.3895432590500002E-4</v>
      </c>
    </row>
    <row r="532" spans="1:5" ht="14.5" customHeight="1">
      <c r="A532" s="35"/>
      <c r="B532" s="111"/>
      <c r="C532" s="71" t="s">
        <v>109</v>
      </c>
      <c r="D532" s="62">
        <v>9</v>
      </c>
      <c r="E532" s="63">
        <v>7.6264723328500002E-4</v>
      </c>
    </row>
    <row r="533" spans="1:5" ht="14.5" customHeight="1">
      <c r="A533" s="35"/>
      <c r="B533" s="111"/>
      <c r="C533" s="71" t="s">
        <v>110</v>
      </c>
      <c r="D533" s="62">
        <v>29</v>
      </c>
      <c r="E533" s="63">
        <v>2.4574188628079998E-3</v>
      </c>
    </row>
    <row r="534" spans="1:5" ht="14.5" customHeight="1">
      <c r="A534" s="35"/>
      <c r="B534" s="111"/>
      <c r="C534" s="71" t="s">
        <v>111</v>
      </c>
      <c r="D534" s="62">
        <v>1</v>
      </c>
      <c r="E534" s="63">
        <v>8.4738581476000001E-5</v>
      </c>
    </row>
    <row r="535" spans="1:5" ht="14.5" customHeight="1">
      <c r="A535" s="35"/>
      <c r="B535" s="111"/>
      <c r="C535" s="71" t="s">
        <v>112</v>
      </c>
      <c r="D535" s="62">
        <v>1</v>
      </c>
      <c r="E535" s="63">
        <v>8.4738581476000001E-5</v>
      </c>
    </row>
    <row r="536" spans="1:5" ht="14.5" customHeight="1">
      <c r="A536" s="35"/>
      <c r="B536" s="111"/>
      <c r="C536" s="71" t="s">
        <v>113</v>
      </c>
      <c r="D536" s="62">
        <v>1</v>
      </c>
      <c r="E536" s="63">
        <v>8.4738581476000001E-5</v>
      </c>
    </row>
    <row r="537" spans="1:5" ht="14.5" customHeight="1">
      <c r="A537" s="35"/>
      <c r="B537" s="111"/>
      <c r="C537" s="71" t="s">
        <v>115</v>
      </c>
      <c r="D537" s="62">
        <v>2</v>
      </c>
      <c r="E537" s="63">
        <v>1.69477162952E-4</v>
      </c>
    </row>
    <row r="538" spans="1:5" ht="14.5" customHeight="1">
      <c r="A538" s="35"/>
      <c r="B538" s="111"/>
      <c r="C538" s="71" t="s">
        <v>116</v>
      </c>
      <c r="D538" s="62">
        <v>9</v>
      </c>
      <c r="E538" s="63">
        <v>7.6264723328500002E-4</v>
      </c>
    </row>
    <row r="539" spans="1:5" ht="14.5" customHeight="1">
      <c r="A539" s="35"/>
      <c r="B539" s="111"/>
      <c r="C539" s="72" t="s">
        <v>284</v>
      </c>
      <c r="D539" s="64">
        <v>141</v>
      </c>
      <c r="E539" s="67">
        <v>1.1948139988136999E-2</v>
      </c>
    </row>
    <row r="540" spans="1:5" ht="14.5" customHeight="1">
      <c r="A540" s="35"/>
      <c r="B540" s="111" t="s">
        <v>59</v>
      </c>
      <c r="C540" s="71" t="s">
        <v>96</v>
      </c>
      <c r="D540" s="62">
        <v>2</v>
      </c>
      <c r="E540" s="63">
        <v>1.69477162952E-4</v>
      </c>
    </row>
    <row r="541" spans="1:5" ht="14.5" customHeight="1">
      <c r="A541" s="35"/>
      <c r="B541" s="111"/>
      <c r="C541" s="71" t="s">
        <v>97</v>
      </c>
      <c r="D541" s="62">
        <v>2</v>
      </c>
      <c r="E541" s="63">
        <v>1.69477162952E-4</v>
      </c>
    </row>
    <row r="542" spans="1:5" ht="14.5" customHeight="1">
      <c r="A542" s="35"/>
      <c r="B542" s="111"/>
      <c r="C542" s="71" t="s">
        <v>99</v>
      </c>
      <c r="D542" s="62">
        <v>1</v>
      </c>
      <c r="E542" s="63">
        <v>8.4738581476000001E-5</v>
      </c>
    </row>
    <row r="543" spans="1:5" ht="14.5" customHeight="1">
      <c r="A543" s="35"/>
      <c r="B543" s="111"/>
      <c r="C543" s="71" t="s">
        <v>100</v>
      </c>
      <c r="D543" s="62">
        <v>2</v>
      </c>
      <c r="E543" s="63">
        <v>1.69477162952E-4</v>
      </c>
    </row>
    <row r="544" spans="1:5" ht="14.5" customHeight="1">
      <c r="A544" s="35"/>
      <c r="B544" s="111"/>
      <c r="C544" s="71" t="s">
        <v>102</v>
      </c>
      <c r="D544" s="62">
        <v>7</v>
      </c>
      <c r="E544" s="63">
        <v>5.9317007033300002E-4</v>
      </c>
    </row>
    <row r="545" spans="1:5" ht="14.5" customHeight="1">
      <c r="A545" s="35"/>
      <c r="B545" s="111"/>
      <c r="C545" s="71" t="s">
        <v>103</v>
      </c>
      <c r="D545" s="62">
        <v>21</v>
      </c>
      <c r="E545" s="63">
        <v>1.7795102109989999E-3</v>
      </c>
    </row>
    <row r="546" spans="1:5" ht="14.5" customHeight="1">
      <c r="A546" s="35"/>
      <c r="B546" s="111"/>
      <c r="C546" s="71" t="s">
        <v>104</v>
      </c>
      <c r="D546" s="62">
        <v>2</v>
      </c>
      <c r="E546" s="63">
        <v>1.69477162952E-4</v>
      </c>
    </row>
    <row r="547" spans="1:5" ht="14.5" customHeight="1">
      <c r="A547" s="35"/>
      <c r="B547" s="111"/>
      <c r="C547" s="71" t="s">
        <v>105</v>
      </c>
      <c r="D547" s="62">
        <v>5</v>
      </c>
      <c r="E547" s="63">
        <v>4.2369290738100002E-4</v>
      </c>
    </row>
    <row r="548" spans="1:5" ht="14.5" customHeight="1">
      <c r="A548" s="35"/>
      <c r="B548" s="111"/>
      <c r="C548" s="71" t="s">
        <v>106</v>
      </c>
      <c r="D548" s="62">
        <v>14</v>
      </c>
      <c r="E548" s="63">
        <v>1.186340140666E-3</v>
      </c>
    </row>
    <row r="549" spans="1:5" ht="14.5" customHeight="1">
      <c r="A549" s="35"/>
      <c r="B549" s="111"/>
      <c r="C549" s="71" t="s">
        <v>107</v>
      </c>
      <c r="D549" s="62">
        <v>73</v>
      </c>
      <c r="E549" s="63">
        <v>6.1859164477589997E-3</v>
      </c>
    </row>
    <row r="550" spans="1:5" ht="14.5" customHeight="1">
      <c r="A550" s="35"/>
      <c r="B550" s="111"/>
      <c r="C550" s="71" t="s">
        <v>108</v>
      </c>
      <c r="D550" s="62">
        <v>6</v>
      </c>
      <c r="E550" s="63">
        <v>5.0843148885699996E-4</v>
      </c>
    </row>
    <row r="551" spans="1:5" ht="14.5" customHeight="1">
      <c r="A551" s="35"/>
      <c r="B551" s="111"/>
      <c r="C551" s="71" t="s">
        <v>109</v>
      </c>
      <c r="D551" s="62">
        <v>19</v>
      </c>
      <c r="E551" s="63">
        <v>1.6100330480470001E-3</v>
      </c>
    </row>
    <row r="552" spans="1:5" ht="14.5" customHeight="1">
      <c r="A552" s="35"/>
      <c r="B552" s="111"/>
      <c r="C552" s="71" t="s">
        <v>110</v>
      </c>
      <c r="D552" s="62">
        <v>33</v>
      </c>
      <c r="E552" s="63">
        <v>2.7963731887130001E-3</v>
      </c>
    </row>
    <row r="553" spans="1:5" ht="14.5" customHeight="1">
      <c r="A553" s="35"/>
      <c r="B553" s="111"/>
      <c r="C553" s="71" t="s">
        <v>115</v>
      </c>
      <c r="D553" s="62">
        <v>5</v>
      </c>
      <c r="E553" s="63">
        <v>4.2369290738100002E-4</v>
      </c>
    </row>
    <row r="554" spans="1:5" ht="14.5" customHeight="1">
      <c r="A554" s="35"/>
      <c r="B554" s="111"/>
      <c r="C554" s="71" t="s">
        <v>116</v>
      </c>
      <c r="D554" s="62">
        <v>12</v>
      </c>
      <c r="E554" s="63">
        <v>1.0168629777139999E-3</v>
      </c>
    </row>
    <row r="555" spans="1:5" ht="14.5" customHeight="1">
      <c r="A555" s="35"/>
      <c r="B555" s="111"/>
      <c r="C555" s="72" t="s">
        <v>284</v>
      </c>
      <c r="D555" s="64">
        <v>204</v>
      </c>
      <c r="E555" s="67">
        <v>1.7286670621133999E-2</v>
      </c>
    </row>
    <row r="556" spans="1:5" ht="14.5" customHeight="1">
      <c r="A556" s="35"/>
      <c r="B556" s="111" t="s">
        <v>81</v>
      </c>
      <c r="C556" s="71" t="s">
        <v>96</v>
      </c>
      <c r="D556" s="62">
        <v>1</v>
      </c>
      <c r="E556" s="63">
        <v>8.4738581476000001E-5</v>
      </c>
    </row>
    <row r="557" spans="1:5" ht="14.5" customHeight="1">
      <c r="A557" s="35"/>
      <c r="B557" s="111"/>
      <c r="C557" s="71" t="s">
        <v>102</v>
      </c>
      <c r="D557" s="62">
        <v>1</v>
      </c>
      <c r="E557" s="63">
        <v>8.4738581476000001E-5</v>
      </c>
    </row>
    <row r="558" spans="1:5" ht="14.5" customHeight="1">
      <c r="A558" s="35"/>
      <c r="B558" s="111"/>
      <c r="C558" s="71" t="s">
        <v>103</v>
      </c>
      <c r="D558" s="62">
        <v>3</v>
      </c>
      <c r="E558" s="63">
        <v>2.54215744428E-4</v>
      </c>
    </row>
    <row r="559" spans="1:5" ht="14.5" customHeight="1">
      <c r="A559" s="35"/>
      <c r="B559" s="111"/>
      <c r="C559" s="71" t="s">
        <v>104</v>
      </c>
      <c r="D559" s="62">
        <v>1</v>
      </c>
      <c r="E559" s="63">
        <v>8.4738581476000001E-5</v>
      </c>
    </row>
    <row r="560" spans="1:5" ht="14.5" customHeight="1">
      <c r="A560" s="35"/>
      <c r="B560" s="111"/>
      <c r="C560" s="71" t="s">
        <v>105</v>
      </c>
      <c r="D560" s="62">
        <v>1</v>
      </c>
      <c r="E560" s="63">
        <v>8.4738581476000001E-5</v>
      </c>
    </row>
    <row r="561" spans="1:5" ht="14.5" customHeight="1">
      <c r="A561" s="35"/>
      <c r="B561" s="111"/>
      <c r="C561" s="71" t="s">
        <v>107</v>
      </c>
      <c r="D561" s="62">
        <v>7</v>
      </c>
      <c r="E561" s="63">
        <v>5.9317007033300002E-4</v>
      </c>
    </row>
    <row r="562" spans="1:5" ht="14.5" customHeight="1">
      <c r="A562" s="35"/>
      <c r="B562" s="111"/>
      <c r="C562" s="71" t="s">
        <v>108</v>
      </c>
      <c r="D562" s="62">
        <v>3</v>
      </c>
      <c r="E562" s="63">
        <v>2.54215744428E-4</v>
      </c>
    </row>
    <row r="563" spans="1:5" ht="14.5" customHeight="1">
      <c r="A563" s="35"/>
      <c r="B563" s="111"/>
      <c r="C563" s="71" t="s">
        <v>109</v>
      </c>
      <c r="D563" s="62">
        <v>1</v>
      </c>
      <c r="E563" s="63">
        <v>8.4738581476000001E-5</v>
      </c>
    </row>
    <row r="564" spans="1:5" ht="14.5" customHeight="1">
      <c r="A564" s="35"/>
      <c r="B564" s="111"/>
      <c r="C564" s="71" t="s">
        <v>110</v>
      </c>
      <c r="D564" s="62">
        <v>8</v>
      </c>
      <c r="E564" s="63">
        <v>6.7790865180899996E-4</v>
      </c>
    </row>
    <row r="565" spans="1:5" ht="14.5" customHeight="1">
      <c r="A565" s="35"/>
      <c r="B565" s="111"/>
      <c r="C565" s="72" t="s">
        <v>284</v>
      </c>
      <c r="D565" s="64">
        <v>26</v>
      </c>
      <c r="E565" s="67">
        <v>2.2032031183800002E-3</v>
      </c>
    </row>
    <row r="566" spans="1:5" ht="14.5" customHeight="1">
      <c r="A566" s="35"/>
      <c r="B566" s="111" t="s">
        <v>60</v>
      </c>
      <c r="C566" s="71" t="s">
        <v>96</v>
      </c>
      <c r="D566" s="62">
        <v>1</v>
      </c>
      <c r="E566" s="63">
        <v>8.4738581476000001E-5</v>
      </c>
    </row>
    <row r="567" spans="1:5" ht="14.5" customHeight="1">
      <c r="A567" s="35"/>
      <c r="B567" s="111"/>
      <c r="C567" s="71" t="s">
        <v>101</v>
      </c>
      <c r="D567" s="62">
        <v>1</v>
      </c>
      <c r="E567" s="63">
        <v>8.4738581476000001E-5</v>
      </c>
    </row>
    <row r="568" spans="1:5" ht="14.5" customHeight="1">
      <c r="A568" s="35"/>
      <c r="B568" s="111"/>
      <c r="C568" s="71" t="s">
        <v>102</v>
      </c>
      <c r="D568" s="62">
        <v>2</v>
      </c>
      <c r="E568" s="63">
        <v>1.69477162952E-4</v>
      </c>
    </row>
    <row r="569" spans="1:5" ht="14.5" customHeight="1">
      <c r="A569" s="35"/>
      <c r="B569" s="111"/>
      <c r="C569" s="71" t="s">
        <v>103</v>
      </c>
      <c r="D569" s="62">
        <v>14</v>
      </c>
      <c r="E569" s="63">
        <v>1.186340140666E-3</v>
      </c>
    </row>
    <row r="570" spans="1:5" ht="14.5" customHeight="1">
      <c r="A570" s="35"/>
      <c r="B570" s="111"/>
      <c r="C570" s="71" t="s">
        <v>104</v>
      </c>
      <c r="D570" s="62">
        <v>2</v>
      </c>
      <c r="E570" s="63">
        <v>1.69477162952E-4</v>
      </c>
    </row>
    <row r="571" spans="1:5" ht="14.5" customHeight="1">
      <c r="A571" s="35"/>
      <c r="B571" s="111"/>
      <c r="C571" s="71" t="s">
        <v>105</v>
      </c>
      <c r="D571" s="62">
        <v>3</v>
      </c>
      <c r="E571" s="63">
        <v>2.54215744428E-4</v>
      </c>
    </row>
    <row r="572" spans="1:5" ht="14.5" customHeight="1">
      <c r="A572" s="35"/>
      <c r="B572" s="111"/>
      <c r="C572" s="71" t="s">
        <v>106</v>
      </c>
      <c r="D572" s="62">
        <v>8</v>
      </c>
      <c r="E572" s="63">
        <v>6.7790865180899996E-4</v>
      </c>
    </row>
    <row r="573" spans="1:5" ht="14.5" customHeight="1">
      <c r="A573" s="35"/>
      <c r="B573" s="111"/>
      <c r="C573" s="71" t="s">
        <v>107</v>
      </c>
      <c r="D573" s="62">
        <v>50</v>
      </c>
      <c r="E573" s="63">
        <v>4.236929073807E-3</v>
      </c>
    </row>
    <row r="574" spans="1:5" ht="14.5" customHeight="1">
      <c r="A574" s="35"/>
      <c r="B574" s="111"/>
      <c r="C574" s="71" t="s">
        <v>108</v>
      </c>
      <c r="D574" s="62">
        <v>2</v>
      </c>
      <c r="E574" s="63">
        <v>1.69477162952E-4</v>
      </c>
    </row>
    <row r="575" spans="1:5" ht="14.5" customHeight="1">
      <c r="A575" s="35"/>
      <c r="B575" s="111"/>
      <c r="C575" s="71" t="s">
        <v>109</v>
      </c>
      <c r="D575" s="62">
        <v>12</v>
      </c>
      <c r="E575" s="63">
        <v>1.0168629777139999E-3</v>
      </c>
    </row>
    <row r="576" spans="1:5" ht="14.5" customHeight="1">
      <c r="A576" s="35"/>
      <c r="B576" s="111"/>
      <c r="C576" s="71" t="s">
        <v>110</v>
      </c>
      <c r="D576" s="62">
        <v>18</v>
      </c>
      <c r="E576" s="63">
        <v>1.5252944665710001E-3</v>
      </c>
    </row>
    <row r="577" spans="1:5" ht="14.5" customHeight="1">
      <c r="A577" s="35"/>
      <c r="B577" s="111"/>
      <c r="C577" s="71" t="s">
        <v>111</v>
      </c>
      <c r="D577" s="62">
        <v>1</v>
      </c>
      <c r="E577" s="63">
        <v>8.4738581476000001E-5</v>
      </c>
    </row>
    <row r="578" spans="1:5" ht="14.5" customHeight="1">
      <c r="A578" s="35"/>
      <c r="B578" s="111"/>
      <c r="C578" s="71" t="s">
        <v>112</v>
      </c>
      <c r="D578" s="62">
        <v>3</v>
      </c>
      <c r="E578" s="63">
        <v>2.54215744428E-4</v>
      </c>
    </row>
    <row r="579" spans="1:5" ht="14.5" customHeight="1">
      <c r="A579" s="35"/>
      <c r="B579" s="111"/>
      <c r="C579" s="71" t="s">
        <v>115</v>
      </c>
      <c r="D579" s="62">
        <v>3</v>
      </c>
      <c r="E579" s="63">
        <v>2.54215744428E-4</v>
      </c>
    </row>
    <row r="580" spans="1:5" ht="14.5" customHeight="1">
      <c r="A580" s="35"/>
      <c r="B580" s="111"/>
      <c r="C580" s="71" t="s">
        <v>116</v>
      </c>
      <c r="D580" s="62">
        <v>8</v>
      </c>
      <c r="E580" s="63">
        <v>6.7790865180899996E-4</v>
      </c>
    </row>
    <row r="581" spans="1:5" ht="14.5" customHeight="1">
      <c r="A581" s="35"/>
      <c r="B581" s="111"/>
      <c r="C581" s="72" t="s">
        <v>284</v>
      </c>
      <c r="D581" s="64">
        <v>128</v>
      </c>
      <c r="E581" s="67">
        <v>1.0846538428947001E-2</v>
      </c>
    </row>
    <row r="582" spans="1:5" ht="14.5" customHeight="1">
      <c r="A582" s="35"/>
      <c r="B582" s="111" t="s">
        <v>83</v>
      </c>
      <c r="C582" s="71" t="s">
        <v>96</v>
      </c>
      <c r="D582" s="62">
        <v>1</v>
      </c>
      <c r="E582" s="63">
        <v>8.4738581476000001E-5</v>
      </c>
    </row>
    <row r="583" spans="1:5" ht="14.5" customHeight="1">
      <c r="A583" s="35"/>
      <c r="B583" s="111"/>
      <c r="C583" s="71" t="s">
        <v>97</v>
      </c>
      <c r="D583" s="62">
        <v>1</v>
      </c>
      <c r="E583" s="63">
        <v>8.4738581476000001E-5</v>
      </c>
    </row>
    <row r="584" spans="1:5" ht="14.5" customHeight="1">
      <c r="A584" s="35"/>
      <c r="B584" s="111"/>
      <c r="C584" s="71" t="s">
        <v>102</v>
      </c>
      <c r="D584" s="62">
        <v>4</v>
      </c>
      <c r="E584" s="63">
        <v>3.3895432590500002E-4</v>
      </c>
    </row>
    <row r="585" spans="1:5" ht="14.5" customHeight="1">
      <c r="A585" s="35"/>
      <c r="B585" s="111"/>
      <c r="C585" s="71" t="s">
        <v>103</v>
      </c>
      <c r="D585" s="62">
        <v>1</v>
      </c>
      <c r="E585" s="63">
        <v>8.4738581476000001E-5</v>
      </c>
    </row>
    <row r="586" spans="1:5" ht="14.5" customHeight="1">
      <c r="A586" s="35"/>
      <c r="B586" s="111"/>
      <c r="C586" s="71" t="s">
        <v>106</v>
      </c>
      <c r="D586" s="62">
        <v>1</v>
      </c>
      <c r="E586" s="63">
        <v>8.4738581476000001E-5</v>
      </c>
    </row>
    <row r="587" spans="1:5" ht="14.5" customHeight="1">
      <c r="A587" s="35"/>
      <c r="B587" s="111"/>
      <c r="C587" s="71" t="s">
        <v>107</v>
      </c>
      <c r="D587" s="62">
        <v>13</v>
      </c>
      <c r="E587" s="63">
        <v>1.1016015591900001E-3</v>
      </c>
    </row>
    <row r="588" spans="1:5" ht="14.5" customHeight="1">
      <c r="A588" s="35"/>
      <c r="B588" s="111"/>
      <c r="C588" s="71" t="s">
        <v>110</v>
      </c>
      <c r="D588" s="62">
        <v>9</v>
      </c>
      <c r="E588" s="63">
        <v>7.6264723328500002E-4</v>
      </c>
    </row>
    <row r="589" spans="1:5" ht="14.5" customHeight="1">
      <c r="A589" s="35"/>
      <c r="B589" s="111"/>
      <c r="C589" s="71" t="s">
        <v>111</v>
      </c>
      <c r="D589" s="62">
        <v>1</v>
      </c>
      <c r="E589" s="63">
        <v>8.4738581476000001E-5</v>
      </c>
    </row>
    <row r="590" spans="1:5" ht="14.5" customHeight="1">
      <c r="A590" s="35"/>
      <c r="B590" s="111"/>
      <c r="C590" s="71" t="s">
        <v>115</v>
      </c>
      <c r="D590" s="62">
        <v>4</v>
      </c>
      <c r="E590" s="63">
        <v>3.3895432590500002E-4</v>
      </c>
    </row>
    <row r="591" spans="1:5" ht="14.5" customHeight="1">
      <c r="A591" s="35"/>
      <c r="B591" s="111"/>
      <c r="C591" s="71" t="s">
        <v>116</v>
      </c>
      <c r="D591" s="62">
        <v>1</v>
      </c>
      <c r="E591" s="63">
        <v>8.4738581476000001E-5</v>
      </c>
    </row>
    <row r="592" spans="1:5" ht="14.5" customHeight="1">
      <c r="A592" s="35"/>
      <c r="B592" s="111"/>
      <c r="C592" s="72" t="s">
        <v>284</v>
      </c>
      <c r="D592" s="64">
        <v>36</v>
      </c>
      <c r="E592" s="67">
        <v>3.0505889331410001E-3</v>
      </c>
    </row>
    <row r="593" spans="1:5" ht="14.5" customHeight="1">
      <c r="A593" s="35"/>
      <c r="B593" s="111" t="s">
        <v>47</v>
      </c>
      <c r="C593" s="71" t="s">
        <v>96</v>
      </c>
      <c r="D593" s="62">
        <v>11</v>
      </c>
      <c r="E593" s="63">
        <v>9.3212439623799998E-4</v>
      </c>
    </row>
    <row r="594" spans="1:5" ht="14.5" customHeight="1">
      <c r="A594" s="35"/>
      <c r="B594" s="111"/>
      <c r="C594" s="71" t="s">
        <v>97</v>
      </c>
      <c r="D594" s="62">
        <v>1</v>
      </c>
      <c r="E594" s="63">
        <v>8.4738581476000001E-5</v>
      </c>
    </row>
    <row r="595" spans="1:5" ht="14.5" customHeight="1">
      <c r="A595" s="35"/>
      <c r="B595" s="111"/>
      <c r="C595" s="71" t="s">
        <v>98</v>
      </c>
      <c r="D595" s="62">
        <v>2</v>
      </c>
      <c r="E595" s="63">
        <v>1.69477162952E-4</v>
      </c>
    </row>
    <row r="596" spans="1:5" ht="14.5" customHeight="1">
      <c r="A596" s="35"/>
      <c r="B596" s="111"/>
      <c r="C596" s="71" t="s">
        <v>99</v>
      </c>
      <c r="D596" s="62">
        <v>13</v>
      </c>
      <c r="E596" s="63">
        <v>1.1016015591900001E-3</v>
      </c>
    </row>
    <row r="597" spans="1:5" ht="14.5" customHeight="1">
      <c r="A597" s="35"/>
      <c r="B597" s="111"/>
      <c r="C597" s="71" t="s">
        <v>100</v>
      </c>
      <c r="D597" s="62">
        <v>4</v>
      </c>
      <c r="E597" s="63">
        <v>3.3895432590500002E-4</v>
      </c>
    </row>
    <row r="598" spans="1:5" ht="14.5" customHeight="1">
      <c r="A598" s="35"/>
      <c r="B598" s="111"/>
      <c r="C598" s="71" t="s">
        <v>101</v>
      </c>
      <c r="D598" s="62">
        <v>11</v>
      </c>
      <c r="E598" s="63">
        <v>9.3212439623799998E-4</v>
      </c>
    </row>
    <row r="599" spans="1:5" ht="14.5" customHeight="1">
      <c r="A599" s="35"/>
      <c r="B599" s="111"/>
      <c r="C599" s="71" t="s">
        <v>102</v>
      </c>
      <c r="D599" s="62">
        <v>106</v>
      </c>
      <c r="E599" s="63">
        <v>8.9822896364710001E-3</v>
      </c>
    </row>
    <row r="600" spans="1:5" ht="14.5" customHeight="1">
      <c r="A600" s="35"/>
      <c r="B600" s="111"/>
      <c r="C600" s="71" t="s">
        <v>103</v>
      </c>
      <c r="D600" s="62">
        <v>101</v>
      </c>
      <c r="E600" s="63">
        <v>8.5585967290909993E-3</v>
      </c>
    </row>
    <row r="601" spans="1:5" ht="14.5" customHeight="1">
      <c r="A601" s="35"/>
      <c r="B601" s="111"/>
      <c r="C601" s="71" t="s">
        <v>104</v>
      </c>
      <c r="D601" s="62">
        <v>13</v>
      </c>
      <c r="E601" s="63">
        <v>1.1016015591900001E-3</v>
      </c>
    </row>
    <row r="602" spans="1:5" ht="14.5" customHeight="1">
      <c r="A602" s="35"/>
      <c r="B602" s="111"/>
      <c r="C602" s="71" t="s">
        <v>105</v>
      </c>
      <c r="D602" s="62">
        <v>32</v>
      </c>
      <c r="E602" s="63">
        <v>2.7116346072369999E-3</v>
      </c>
    </row>
    <row r="603" spans="1:5" ht="14.5" customHeight="1">
      <c r="A603" s="35"/>
      <c r="B603" s="111"/>
      <c r="C603" s="71" t="s">
        <v>106</v>
      </c>
      <c r="D603" s="62">
        <v>107</v>
      </c>
      <c r="E603" s="63">
        <v>9.0670282179479995E-3</v>
      </c>
    </row>
    <row r="604" spans="1:5" ht="14.5" customHeight="1">
      <c r="A604" s="35"/>
      <c r="B604" s="111"/>
      <c r="C604" s="71" t="s">
        <v>107</v>
      </c>
      <c r="D604" s="62">
        <v>644</v>
      </c>
      <c r="E604" s="63">
        <v>5.4571646470638002E-2</v>
      </c>
    </row>
    <row r="605" spans="1:5" ht="14.5" customHeight="1">
      <c r="A605" s="35"/>
      <c r="B605" s="111"/>
      <c r="C605" s="71" t="s">
        <v>108</v>
      </c>
      <c r="D605" s="62">
        <v>84</v>
      </c>
      <c r="E605" s="63">
        <v>7.1180408439959998E-3</v>
      </c>
    </row>
    <row r="606" spans="1:5" ht="14.5" customHeight="1">
      <c r="A606" s="35"/>
      <c r="B606" s="111"/>
      <c r="C606" s="71" t="s">
        <v>109</v>
      </c>
      <c r="D606" s="62">
        <v>98</v>
      </c>
      <c r="E606" s="63">
        <v>8.3043809846619996E-3</v>
      </c>
    </row>
    <row r="607" spans="1:5" ht="14.5" customHeight="1">
      <c r="A607" s="35"/>
      <c r="B607" s="111"/>
      <c r="C607" s="71" t="s">
        <v>110</v>
      </c>
      <c r="D607" s="62">
        <v>657</v>
      </c>
      <c r="E607" s="63">
        <v>5.5673248029828003E-2</v>
      </c>
    </row>
    <row r="608" spans="1:5" ht="14.5" customHeight="1">
      <c r="A608" s="35"/>
      <c r="B608" s="111"/>
      <c r="C608" s="71" t="s">
        <v>111</v>
      </c>
      <c r="D608" s="62">
        <v>9</v>
      </c>
      <c r="E608" s="63">
        <v>7.6264723328500002E-4</v>
      </c>
    </row>
    <row r="609" spans="1:5" ht="14.5" customHeight="1">
      <c r="A609" s="35"/>
      <c r="B609" s="111"/>
      <c r="C609" s="71" t="s">
        <v>112</v>
      </c>
      <c r="D609" s="62">
        <v>4</v>
      </c>
      <c r="E609" s="63">
        <v>3.3895432590500002E-4</v>
      </c>
    </row>
    <row r="610" spans="1:5" ht="14.5" customHeight="1">
      <c r="A610" s="35"/>
      <c r="B610" s="111"/>
      <c r="C610" s="71" t="s">
        <v>113</v>
      </c>
      <c r="D610" s="62">
        <v>1</v>
      </c>
      <c r="E610" s="63">
        <v>8.4738581476000001E-5</v>
      </c>
    </row>
    <row r="611" spans="1:5" ht="14.5" customHeight="1">
      <c r="A611" s="35"/>
      <c r="B611" s="111"/>
      <c r="C611" s="71" t="s">
        <v>114</v>
      </c>
      <c r="D611" s="62">
        <v>1</v>
      </c>
      <c r="E611" s="63">
        <v>8.4738581476000001E-5</v>
      </c>
    </row>
    <row r="612" spans="1:5" ht="14.5" customHeight="1">
      <c r="A612" s="35"/>
      <c r="B612" s="111"/>
      <c r="C612" s="71" t="s">
        <v>115</v>
      </c>
      <c r="D612" s="62">
        <v>37</v>
      </c>
      <c r="E612" s="63">
        <v>3.1353275146169999E-3</v>
      </c>
    </row>
    <row r="613" spans="1:5" ht="14.5" customHeight="1">
      <c r="A613" s="35"/>
      <c r="B613" s="111"/>
      <c r="C613" s="71" t="s">
        <v>116</v>
      </c>
      <c r="D613" s="62">
        <v>191</v>
      </c>
      <c r="E613" s="63">
        <v>1.6185069061943998E-2</v>
      </c>
    </row>
    <row r="614" spans="1:5" ht="14.5" customHeight="1">
      <c r="A614" s="35"/>
      <c r="B614" s="111"/>
      <c r="C614" s="71" t="s">
        <v>118</v>
      </c>
      <c r="D614" s="62">
        <v>7</v>
      </c>
      <c r="E614" s="63">
        <v>5.9317007033300002E-4</v>
      </c>
    </row>
    <row r="615" spans="1:5" ht="14.5" customHeight="1">
      <c r="A615" s="35"/>
      <c r="B615" s="111"/>
      <c r="C615" s="71" t="s">
        <v>119</v>
      </c>
      <c r="D615" s="62">
        <v>1</v>
      </c>
      <c r="E615" s="63">
        <v>8.4738581476000001E-5</v>
      </c>
    </row>
    <row r="616" spans="1:5" ht="14.5" customHeight="1">
      <c r="A616" s="35"/>
      <c r="B616" s="111"/>
      <c r="C616" s="72" t="s">
        <v>284</v>
      </c>
      <c r="D616" s="64">
        <v>2135</v>
      </c>
      <c r="E616" s="67">
        <v>0.18091687145157201</v>
      </c>
    </row>
    <row r="617" spans="1:5" ht="14.5" customHeight="1">
      <c r="A617" s="35"/>
      <c r="B617" s="111" t="s">
        <v>75</v>
      </c>
      <c r="C617" s="71" t="s">
        <v>99</v>
      </c>
      <c r="D617" s="62">
        <v>1</v>
      </c>
      <c r="E617" s="63">
        <v>8.4738581476000001E-5</v>
      </c>
    </row>
    <row r="618" spans="1:5" ht="14.5" customHeight="1">
      <c r="A618" s="35"/>
      <c r="B618" s="111"/>
      <c r="C618" s="71" t="s">
        <v>102</v>
      </c>
      <c r="D618" s="62">
        <v>7</v>
      </c>
      <c r="E618" s="63">
        <v>5.9317007033300002E-4</v>
      </c>
    </row>
    <row r="619" spans="1:5" ht="14.5" customHeight="1">
      <c r="A619" s="35"/>
      <c r="B619" s="111"/>
      <c r="C619" s="71" t="s">
        <v>103</v>
      </c>
      <c r="D619" s="62">
        <v>3</v>
      </c>
      <c r="E619" s="63">
        <v>2.54215744428E-4</v>
      </c>
    </row>
    <row r="620" spans="1:5" ht="14.5" customHeight="1">
      <c r="A620" s="35"/>
      <c r="B620" s="111"/>
      <c r="C620" s="71" t="s">
        <v>105</v>
      </c>
      <c r="D620" s="62">
        <v>3</v>
      </c>
      <c r="E620" s="63">
        <v>2.54215744428E-4</v>
      </c>
    </row>
    <row r="621" spans="1:5" ht="14.5" customHeight="1">
      <c r="A621" s="35"/>
      <c r="B621" s="111"/>
      <c r="C621" s="71" t="s">
        <v>106</v>
      </c>
      <c r="D621" s="62">
        <v>3</v>
      </c>
      <c r="E621" s="63">
        <v>2.54215744428E-4</v>
      </c>
    </row>
    <row r="622" spans="1:5" ht="14.5" customHeight="1">
      <c r="A622" s="35"/>
      <c r="B622" s="111"/>
      <c r="C622" s="71" t="s">
        <v>107</v>
      </c>
      <c r="D622" s="62">
        <v>16</v>
      </c>
      <c r="E622" s="63">
        <v>1.3558173036179999E-3</v>
      </c>
    </row>
    <row r="623" spans="1:5" ht="14.5" customHeight="1">
      <c r="A623" s="35"/>
      <c r="B623" s="111"/>
      <c r="C623" s="71" t="s">
        <v>108</v>
      </c>
      <c r="D623" s="62">
        <v>4</v>
      </c>
      <c r="E623" s="63">
        <v>3.3895432590500002E-4</v>
      </c>
    </row>
    <row r="624" spans="1:5" ht="14.5" customHeight="1">
      <c r="A624" s="35"/>
      <c r="B624" s="111"/>
      <c r="C624" s="71" t="s">
        <v>109</v>
      </c>
      <c r="D624" s="62">
        <v>6</v>
      </c>
      <c r="E624" s="63">
        <v>5.0843148885699996E-4</v>
      </c>
    </row>
    <row r="625" spans="1:5" ht="14.5" customHeight="1">
      <c r="A625" s="35"/>
      <c r="B625" s="111"/>
      <c r="C625" s="71" t="s">
        <v>110</v>
      </c>
      <c r="D625" s="62">
        <v>17</v>
      </c>
      <c r="E625" s="63">
        <v>1.4405558850940001E-3</v>
      </c>
    </row>
    <row r="626" spans="1:5" ht="14.5" customHeight="1">
      <c r="A626" s="35"/>
      <c r="B626" s="111"/>
      <c r="C626" s="71" t="s">
        <v>111</v>
      </c>
      <c r="D626" s="62">
        <v>2</v>
      </c>
      <c r="E626" s="63">
        <v>1.69477162952E-4</v>
      </c>
    </row>
    <row r="627" spans="1:5" ht="14.5" customHeight="1">
      <c r="A627" s="35"/>
      <c r="B627" s="111"/>
      <c r="C627" s="71" t="s">
        <v>115</v>
      </c>
      <c r="D627" s="62">
        <v>1</v>
      </c>
      <c r="E627" s="63">
        <v>8.4738581476000001E-5</v>
      </c>
    </row>
    <row r="628" spans="1:5" ht="14.5" customHeight="1">
      <c r="A628" s="35"/>
      <c r="B628" s="111"/>
      <c r="C628" s="72" t="s">
        <v>284</v>
      </c>
      <c r="D628" s="64">
        <v>63</v>
      </c>
      <c r="E628" s="67">
        <v>5.3385306329969996E-3</v>
      </c>
    </row>
    <row r="629" spans="1:5" ht="14.5" customHeight="1">
      <c r="A629" s="35"/>
      <c r="B629" s="111" t="s">
        <v>87</v>
      </c>
      <c r="C629" s="71" t="s">
        <v>102</v>
      </c>
      <c r="D629" s="62">
        <v>1</v>
      </c>
      <c r="E629" s="63">
        <v>8.4738581476000001E-5</v>
      </c>
    </row>
    <row r="630" spans="1:5" ht="14.5" customHeight="1">
      <c r="A630" s="35"/>
      <c r="B630" s="111"/>
      <c r="C630" s="71" t="s">
        <v>103</v>
      </c>
      <c r="D630" s="62">
        <v>3</v>
      </c>
      <c r="E630" s="63">
        <v>2.54215744428E-4</v>
      </c>
    </row>
    <row r="631" spans="1:5" ht="14.5" customHeight="1">
      <c r="A631" s="35"/>
      <c r="B631" s="111"/>
      <c r="C631" s="71" t="s">
        <v>107</v>
      </c>
      <c r="D631" s="62">
        <v>5</v>
      </c>
      <c r="E631" s="63">
        <v>4.2369290738100002E-4</v>
      </c>
    </row>
    <row r="632" spans="1:5" ht="14.5" customHeight="1">
      <c r="A632" s="35"/>
      <c r="B632" s="111"/>
      <c r="C632" s="71" t="s">
        <v>108</v>
      </c>
      <c r="D632" s="62">
        <v>2</v>
      </c>
      <c r="E632" s="63">
        <v>1.69477162952E-4</v>
      </c>
    </row>
    <row r="633" spans="1:5" ht="14.5" customHeight="1">
      <c r="A633" s="35"/>
      <c r="B633" s="111"/>
      <c r="C633" s="71" t="s">
        <v>109</v>
      </c>
      <c r="D633" s="62">
        <v>1</v>
      </c>
      <c r="E633" s="63">
        <v>8.4738581476000001E-5</v>
      </c>
    </row>
    <row r="634" spans="1:5" ht="14.5" customHeight="1">
      <c r="A634" s="35"/>
      <c r="B634" s="111"/>
      <c r="C634" s="71" t="s">
        <v>110</v>
      </c>
      <c r="D634" s="62">
        <v>12</v>
      </c>
      <c r="E634" s="63">
        <v>1.0168629777139999E-3</v>
      </c>
    </row>
    <row r="635" spans="1:5" ht="14.5" customHeight="1">
      <c r="A635" s="35"/>
      <c r="B635" s="111"/>
      <c r="C635" s="71" t="s">
        <v>111</v>
      </c>
      <c r="D635" s="62">
        <v>1</v>
      </c>
      <c r="E635" s="63">
        <v>8.4738581476000001E-5</v>
      </c>
    </row>
    <row r="636" spans="1:5" ht="14.5" customHeight="1">
      <c r="A636" s="35"/>
      <c r="B636" s="111"/>
      <c r="C636" s="71" t="s">
        <v>116</v>
      </c>
      <c r="D636" s="62">
        <v>4</v>
      </c>
      <c r="E636" s="63">
        <v>3.3895432590500002E-4</v>
      </c>
    </row>
    <row r="637" spans="1:5" ht="14.5" customHeight="1">
      <c r="A637" s="35"/>
      <c r="B637" s="111"/>
      <c r="C637" s="72" t="s">
        <v>284</v>
      </c>
      <c r="D637" s="64">
        <v>29</v>
      </c>
      <c r="E637" s="67">
        <v>2.4574188628079998E-3</v>
      </c>
    </row>
    <row r="638" spans="1:5" ht="14.5" customHeight="1">
      <c r="A638" s="35"/>
      <c r="B638" s="111" t="s">
        <v>85</v>
      </c>
      <c r="C638" s="71" t="s">
        <v>103</v>
      </c>
      <c r="D638" s="62">
        <v>1</v>
      </c>
      <c r="E638" s="63">
        <v>8.4738581476000001E-5</v>
      </c>
    </row>
    <row r="639" spans="1:5" ht="14.5" customHeight="1">
      <c r="A639" s="35"/>
      <c r="B639" s="111"/>
      <c r="C639" s="71" t="s">
        <v>106</v>
      </c>
      <c r="D639" s="62">
        <v>1</v>
      </c>
      <c r="E639" s="63">
        <v>8.4738581476000001E-5</v>
      </c>
    </row>
    <row r="640" spans="1:5" ht="14.5" customHeight="1">
      <c r="A640" s="35"/>
      <c r="B640" s="111"/>
      <c r="C640" s="71" t="s">
        <v>107</v>
      </c>
      <c r="D640" s="62">
        <v>7</v>
      </c>
      <c r="E640" s="63">
        <v>5.9317007033300002E-4</v>
      </c>
    </row>
    <row r="641" spans="1:5" ht="14.5" customHeight="1">
      <c r="A641" s="35"/>
      <c r="B641" s="111"/>
      <c r="C641" s="71" t="s">
        <v>108</v>
      </c>
      <c r="D641" s="62">
        <v>1</v>
      </c>
      <c r="E641" s="63">
        <v>8.4738581476000001E-5</v>
      </c>
    </row>
    <row r="642" spans="1:5" ht="14.5" customHeight="1">
      <c r="A642" s="35"/>
      <c r="B642" s="111"/>
      <c r="C642" s="71" t="s">
        <v>109</v>
      </c>
      <c r="D642" s="62">
        <v>2</v>
      </c>
      <c r="E642" s="63">
        <v>1.69477162952E-4</v>
      </c>
    </row>
    <row r="643" spans="1:5" ht="14.5" customHeight="1">
      <c r="A643" s="35"/>
      <c r="B643" s="111"/>
      <c r="C643" s="71" t="s">
        <v>110</v>
      </c>
      <c r="D643" s="62">
        <v>3</v>
      </c>
      <c r="E643" s="63">
        <v>2.54215744428E-4</v>
      </c>
    </row>
    <row r="644" spans="1:5" ht="14.5" customHeight="1">
      <c r="A644" s="35"/>
      <c r="B644" s="111"/>
      <c r="C644" s="71" t="s">
        <v>116</v>
      </c>
      <c r="D644" s="62">
        <v>2</v>
      </c>
      <c r="E644" s="63">
        <v>1.69477162952E-4</v>
      </c>
    </row>
    <row r="645" spans="1:5" ht="14.5" customHeight="1">
      <c r="A645" s="35"/>
      <c r="B645" s="111"/>
      <c r="C645" s="72" t="s">
        <v>284</v>
      </c>
      <c r="D645" s="64">
        <v>17</v>
      </c>
      <c r="E645" s="67">
        <v>1.4405558850940001E-3</v>
      </c>
    </row>
    <row r="646" spans="1:5" ht="14.5" customHeight="1">
      <c r="A646" s="35"/>
      <c r="B646" s="111" t="s">
        <v>80</v>
      </c>
      <c r="C646" s="71" t="s">
        <v>99</v>
      </c>
      <c r="D646" s="62">
        <v>1</v>
      </c>
      <c r="E646" s="63">
        <v>8.4738581476000001E-5</v>
      </c>
    </row>
    <row r="647" spans="1:5" ht="14.5" customHeight="1">
      <c r="A647" s="35"/>
      <c r="B647" s="111"/>
      <c r="C647" s="71" t="s">
        <v>101</v>
      </c>
      <c r="D647" s="62">
        <v>1</v>
      </c>
      <c r="E647" s="63">
        <v>8.4738581476000001E-5</v>
      </c>
    </row>
    <row r="648" spans="1:5" ht="14.5" customHeight="1">
      <c r="A648" s="35"/>
      <c r="B648" s="111"/>
      <c r="C648" s="71" t="s">
        <v>102</v>
      </c>
      <c r="D648" s="62">
        <v>3</v>
      </c>
      <c r="E648" s="63">
        <v>2.54215744428E-4</v>
      </c>
    </row>
    <row r="649" spans="1:5" ht="14.5" customHeight="1">
      <c r="A649" s="35"/>
      <c r="B649" s="111"/>
      <c r="C649" s="71" t="s">
        <v>103</v>
      </c>
      <c r="D649" s="62">
        <v>6</v>
      </c>
      <c r="E649" s="63">
        <v>5.0843148885699996E-4</v>
      </c>
    </row>
    <row r="650" spans="1:5" ht="14.5" customHeight="1">
      <c r="A650" s="35"/>
      <c r="B650" s="111"/>
      <c r="C650" s="71" t="s">
        <v>105</v>
      </c>
      <c r="D650" s="62">
        <v>3</v>
      </c>
      <c r="E650" s="63">
        <v>2.54215744428E-4</v>
      </c>
    </row>
    <row r="651" spans="1:5" ht="14.5" customHeight="1">
      <c r="A651" s="35"/>
      <c r="B651" s="111"/>
      <c r="C651" s="71" t="s">
        <v>106</v>
      </c>
      <c r="D651" s="62">
        <v>1</v>
      </c>
      <c r="E651" s="63">
        <v>8.4738581476000001E-5</v>
      </c>
    </row>
    <row r="652" spans="1:5" ht="14.5" customHeight="1">
      <c r="A652" s="35"/>
      <c r="B652" s="111"/>
      <c r="C652" s="71" t="s">
        <v>107</v>
      </c>
      <c r="D652" s="62">
        <v>14</v>
      </c>
      <c r="E652" s="63">
        <v>1.186340140666E-3</v>
      </c>
    </row>
    <row r="653" spans="1:5" ht="14.5" customHeight="1">
      <c r="A653" s="35"/>
      <c r="B653" s="111"/>
      <c r="C653" s="71" t="s">
        <v>108</v>
      </c>
      <c r="D653" s="62">
        <v>3</v>
      </c>
      <c r="E653" s="63">
        <v>2.54215744428E-4</v>
      </c>
    </row>
    <row r="654" spans="1:5" ht="14.5" customHeight="1">
      <c r="A654" s="35"/>
      <c r="B654" s="111"/>
      <c r="C654" s="71" t="s">
        <v>109</v>
      </c>
      <c r="D654" s="62">
        <v>5</v>
      </c>
      <c r="E654" s="63">
        <v>4.2369290738100002E-4</v>
      </c>
    </row>
    <row r="655" spans="1:5" ht="14.5" customHeight="1">
      <c r="A655" s="35"/>
      <c r="B655" s="111"/>
      <c r="C655" s="71" t="s">
        <v>110</v>
      </c>
      <c r="D655" s="62">
        <v>13</v>
      </c>
      <c r="E655" s="63">
        <v>1.1016015591900001E-3</v>
      </c>
    </row>
    <row r="656" spans="1:5" ht="14.5" customHeight="1">
      <c r="A656" s="35"/>
      <c r="B656" s="111"/>
      <c r="C656" s="71" t="s">
        <v>112</v>
      </c>
      <c r="D656" s="62">
        <v>3</v>
      </c>
      <c r="E656" s="63">
        <v>2.54215744428E-4</v>
      </c>
    </row>
    <row r="657" spans="1:5" ht="14.5" customHeight="1">
      <c r="A657" s="35"/>
      <c r="B657" s="111"/>
      <c r="C657" s="71" t="s">
        <v>113</v>
      </c>
      <c r="D657" s="62">
        <v>1</v>
      </c>
      <c r="E657" s="63">
        <v>8.4738581476000001E-5</v>
      </c>
    </row>
    <row r="658" spans="1:5" ht="14.5" customHeight="1">
      <c r="A658" s="35"/>
      <c r="B658" s="111"/>
      <c r="C658" s="71" t="s">
        <v>114</v>
      </c>
      <c r="D658" s="62">
        <v>1</v>
      </c>
      <c r="E658" s="63">
        <v>8.4738581476000001E-5</v>
      </c>
    </row>
    <row r="659" spans="1:5" ht="14.5" customHeight="1">
      <c r="A659" s="35"/>
      <c r="B659" s="111"/>
      <c r="C659" s="71" t="s">
        <v>115</v>
      </c>
      <c r="D659" s="62">
        <v>1</v>
      </c>
      <c r="E659" s="63">
        <v>8.4738581476000001E-5</v>
      </c>
    </row>
    <row r="660" spans="1:5" ht="14.5" customHeight="1">
      <c r="A660" s="35"/>
      <c r="B660" s="111"/>
      <c r="C660" s="71" t="s">
        <v>116</v>
      </c>
      <c r="D660" s="62">
        <v>4</v>
      </c>
      <c r="E660" s="63">
        <v>3.3895432590500002E-4</v>
      </c>
    </row>
    <row r="661" spans="1:5" ht="14.5" customHeight="1">
      <c r="A661" s="35"/>
      <c r="B661" s="111"/>
      <c r="C661" s="72" t="s">
        <v>284</v>
      </c>
      <c r="D661" s="64">
        <v>60</v>
      </c>
      <c r="E661" s="67">
        <v>5.084314888569E-3</v>
      </c>
    </row>
    <row r="662" spans="1:5" ht="14.5" customHeight="1">
      <c r="A662" s="35"/>
      <c r="B662" s="111" t="s">
        <v>68</v>
      </c>
      <c r="C662" s="71" t="s">
        <v>99</v>
      </c>
      <c r="D662" s="62">
        <v>1</v>
      </c>
      <c r="E662" s="63">
        <v>8.4738581476000001E-5</v>
      </c>
    </row>
    <row r="663" spans="1:5" ht="14.5" customHeight="1">
      <c r="A663" s="35"/>
      <c r="B663" s="111"/>
      <c r="C663" s="71" t="s">
        <v>102</v>
      </c>
      <c r="D663" s="62">
        <v>3</v>
      </c>
      <c r="E663" s="63">
        <v>2.54215744428E-4</v>
      </c>
    </row>
    <row r="664" spans="1:5" ht="14.5" customHeight="1">
      <c r="A664" s="35"/>
      <c r="B664" s="111"/>
      <c r="C664" s="71" t="s">
        <v>103</v>
      </c>
      <c r="D664" s="62">
        <v>7</v>
      </c>
      <c r="E664" s="63">
        <v>5.9317007033300002E-4</v>
      </c>
    </row>
    <row r="665" spans="1:5" ht="14.5" customHeight="1">
      <c r="A665" s="35"/>
      <c r="B665" s="111"/>
      <c r="C665" s="71" t="s">
        <v>106</v>
      </c>
      <c r="D665" s="62">
        <v>4</v>
      </c>
      <c r="E665" s="63">
        <v>3.3895432590500002E-4</v>
      </c>
    </row>
    <row r="666" spans="1:5" ht="14.5" customHeight="1">
      <c r="A666" s="35"/>
      <c r="B666" s="111"/>
      <c r="C666" s="71" t="s">
        <v>107</v>
      </c>
      <c r="D666" s="62">
        <v>26</v>
      </c>
      <c r="E666" s="63">
        <v>2.2032031183800002E-3</v>
      </c>
    </row>
    <row r="667" spans="1:5" ht="14.5" customHeight="1">
      <c r="A667" s="35"/>
      <c r="B667" s="111"/>
      <c r="C667" s="71" t="s">
        <v>108</v>
      </c>
      <c r="D667" s="62">
        <v>4</v>
      </c>
      <c r="E667" s="63">
        <v>3.3895432590500002E-4</v>
      </c>
    </row>
    <row r="668" spans="1:5" ht="14.5" customHeight="1">
      <c r="A668" s="35"/>
      <c r="B668" s="111"/>
      <c r="C668" s="71" t="s">
        <v>109</v>
      </c>
      <c r="D668" s="62">
        <v>6</v>
      </c>
      <c r="E668" s="63">
        <v>5.0843148885699996E-4</v>
      </c>
    </row>
    <row r="669" spans="1:5" ht="14.5" customHeight="1">
      <c r="A669" s="35"/>
      <c r="B669" s="111"/>
      <c r="C669" s="71" t="s">
        <v>110</v>
      </c>
      <c r="D669" s="62">
        <v>11</v>
      </c>
      <c r="E669" s="63">
        <v>9.3212439623799998E-4</v>
      </c>
    </row>
    <row r="670" spans="1:5" ht="14.5" customHeight="1">
      <c r="A670" s="35"/>
      <c r="B670" s="111"/>
      <c r="C670" s="71" t="s">
        <v>112</v>
      </c>
      <c r="D670" s="62">
        <v>1</v>
      </c>
      <c r="E670" s="63">
        <v>8.4738581476000001E-5</v>
      </c>
    </row>
    <row r="671" spans="1:5" ht="14.5" customHeight="1">
      <c r="A671" s="35"/>
      <c r="B671" s="111"/>
      <c r="C671" s="71" t="s">
        <v>115</v>
      </c>
      <c r="D671" s="62">
        <v>2</v>
      </c>
      <c r="E671" s="63">
        <v>1.69477162952E-4</v>
      </c>
    </row>
    <row r="672" spans="1:5" ht="14.5" customHeight="1">
      <c r="A672" s="35"/>
      <c r="B672" s="111"/>
      <c r="C672" s="71" t="s">
        <v>116</v>
      </c>
      <c r="D672" s="62">
        <v>4</v>
      </c>
      <c r="E672" s="63">
        <v>3.3895432590500002E-4</v>
      </c>
    </row>
    <row r="673" spans="1:5" ht="14.5" customHeight="1">
      <c r="A673" s="35"/>
      <c r="B673" s="111"/>
      <c r="C673" s="72" t="s">
        <v>284</v>
      </c>
      <c r="D673" s="64">
        <v>69</v>
      </c>
      <c r="E673" s="67">
        <v>5.8469621218539998E-3</v>
      </c>
    </row>
    <row r="674" spans="1:5" ht="14.5" customHeight="1">
      <c r="A674" s="35"/>
      <c r="B674" s="111" t="s">
        <v>89</v>
      </c>
      <c r="C674" s="71" t="s">
        <v>105</v>
      </c>
      <c r="D674" s="62">
        <v>1</v>
      </c>
      <c r="E674" s="63">
        <v>8.4738581476000001E-5</v>
      </c>
    </row>
    <row r="675" spans="1:5" ht="14.5" customHeight="1">
      <c r="A675" s="35"/>
      <c r="B675" s="111"/>
      <c r="C675" s="71" t="s">
        <v>107</v>
      </c>
      <c r="D675" s="62">
        <v>1</v>
      </c>
      <c r="E675" s="63">
        <v>8.4738581476000001E-5</v>
      </c>
    </row>
    <row r="676" spans="1:5" ht="14.5" customHeight="1">
      <c r="A676" s="35"/>
      <c r="B676" s="111"/>
      <c r="C676" s="71" t="s">
        <v>109</v>
      </c>
      <c r="D676" s="62">
        <v>2</v>
      </c>
      <c r="E676" s="63">
        <v>1.69477162952E-4</v>
      </c>
    </row>
    <row r="677" spans="1:5" ht="14.5" customHeight="1">
      <c r="A677" s="35"/>
      <c r="B677" s="111"/>
      <c r="C677" s="71" t="s">
        <v>110</v>
      </c>
      <c r="D677" s="62">
        <v>1</v>
      </c>
      <c r="E677" s="63">
        <v>8.4738581476000001E-5</v>
      </c>
    </row>
    <row r="678" spans="1:5" ht="14.5" customHeight="1">
      <c r="A678" s="35"/>
      <c r="B678" s="111"/>
      <c r="C678" s="71" t="s">
        <v>115</v>
      </c>
      <c r="D678" s="62">
        <v>1</v>
      </c>
      <c r="E678" s="63">
        <v>8.4738581476000001E-5</v>
      </c>
    </row>
    <row r="679" spans="1:5" ht="14.5" customHeight="1">
      <c r="A679" s="35"/>
      <c r="B679" s="111"/>
      <c r="C679" s="71" t="s">
        <v>116</v>
      </c>
      <c r="D679" s="62">
        <v>1</v>
      </c>
      <c r="E679" s="63">
        <v>8.4738581476000001E-5</v>
      </c>
    </row>
    <row r="680" spans="1:5" ht="14.5" customHeight="1">
      <c r="A680" s="35"/>
      <c r="B680" s="111"/>
      <c r="C680" s="72" t="s">
        <v>284</v>
      </c>
      <c r="D680" s="64">
        <v>7</v>
      </c>
      <c r="E680" s="67">
        <v>5.9317007033300002E-4</v>
      </c>
    </row>
    <row r="681" spans="1:5" ht="14.5" customHeight="1">
      <c r="A681" s="35"/>
      <c r="B681" s="111" t="s">
        <v>90</v>
      </c>
      <c r="C681" s="71" t="s">
        <v>105</v>
      </c>
      <c r="D681" s="62">
        <v>1</v>
      </c>
      <c r="E681" s="63">
        <v>8.4738581476000001E-5</v>
      </c>
    </row>
    <row r="682" spans="1:5" ht="14.5" customHeight="1">
      <c r="A682" s="35"/>
      <c r="B682" s="111"/>
      <c r="C682" s="71" t="s">
        <v>106</v>
      </c>
      <c r="D682" s="62">
        <v>1</v>
      </c>
      <c r="E682" s="63">
        <v>8.4738581476000001E-5</v>
      </c>
    </row>
    <row r="683" spans="1:5" ht="14.5" customHeight="1">
      <c r="A683" s="35"/>
      <c r="B683" s="111"/>
      <c r="C683" s="71" t="s">
        <v>107</v>
      </c>
      <c r="D683" s="62">
        <v>3</v>
      </c>
      <c r="E683" s="63">
        <v>2.54215744428E-4</v>
      </c>
    </row>
    <row r="684" spans="1:5" ht="14.5" customHeight="1">
      <c r="A684" s="35"/>
      <c r="B684" s="111"/>
      <c r="C684" s="71" t="s">
        <v>110</v>
      </c>
      <c r="D684" s="62">
        <v>3</v>
      </c>
      <c r="E684" s="63">
        <v>2.54215744428E-4</v>
      </c>
    </row>
    <row r="685" spans="1:5" ht="14.5" customHeight="1">
      <c r="A685" s="35"/>
      <c r="B685" s="111"/>
      <c r="C685" s="71" t="s">
        <v>115</v>
      </c>
      <c r="D685" s="62">
        <v>1</v>
      </c>
      <c r="E685" s="63">
        <v>8.4738581476000001E-5</v>
      </c>
    </row>
    <row r="686" spans="1:5" ht="14.5" customHeight="1">
      <c r="A686" s="35"/>
      <c r="B686" s="111"/>
      <c r="C686" s="71" t="s">
        <v>116</v>
      </c>
      <c r="D686" s="62">
        <v>2</v>
      </c>
      <c r="E686" s="63">
        <v>1.69477162952E-4</v>
      </c>
    </row>
    <row r="687" spans="1:5" ht="14.5" customHeight="1">
      <c r="A687" s="35"/>
      <c r="B687" s="111"/>
      <c r="C687" s="72" t="s">
        <v>284</v>
      </c>
      <c r="D687" s="64">
        <v>11</v>
      </c>
      <c r="E687" s="67">
        <v>9.3212439623799998E-4</v>
      </c>
    </row>
    <row r="688" spans="1:5" ht="14.5" customHeight="1">
      <c r="A688" s="35"/>
      <c r="B688" s="111" t="s">
        <v>84</v>
      </c>
      <c r="C688" s="71" t="s">
        <v>100</v>
      </c>
      <c r="D688" s="62">
        <v>1</v>
      </c>
      <c r="E688" s="63">
        <v>8.4738581476000001E-5</v>
      </c>
    </row>
    <row r="689" spans="1:5" ht="14.5" customHeight="1">
      <c r="A689" s="35"/>
      <c r="B689" s="111"/>
      <c r="C689" s="71" t="s">
        <v>101</v>
      </c>
      <c r="D689" s="62">
        <v>1</v>
      </c>
      <c r="E689" s="63">
        <v>8.4738581476000001E-5</v>
      </c>
    </row>
    <row r="690" spans="1:5" ht="14.5" customHeight="1">
      <c r="A690" s="35"/>
      <c r="B690" s="111"/>
      <c r="C690" s="71" t="s">
        <v>102</v>
      </c>
      <c r="D690" s="62">
        <v>2</v>
      </c>
      <c r="E690" s="63">
        <v>1.69477162952E-4</v>
      </c>
    </row>
    <row r="691" spans="1:5" ht="14.5" customHeight="1">
      <c r="A691" s="35"/>
      <c r="B691" s="111"/>
      <c r="C691" s="71" t="s">
        <v>103</v>
      </c>
      <c r="D691" s="62">
        <v>1</v>
      </c>
      <c r="E691" s="63">
        <v>8.4738581476000001E-5</v>
      </c>
    </row>
    <row r="692" spans="1:5" ht="14.5" customHeight="1">
      <c r="A692" s="35"/>
      <c r="B692" s="111"/>
      <c r="C692" s="71" t="s">
        <v>105</v>
      </c>
      <c r="D692" s="62">
        <v>1</v>
      </c>
      <c r="E692" s="63">
        <v>8.4738581476000001E-5</v>
      </c>
    </row>
    <row r="693" spans="1:5" ht="14.5" customHeight="1">
      <c r="A693" s="35"/>
      <c r="B693" s="111"/>
      <c r="C693" s="71" t="s">
        <v>106</v>
      </c>
      <c r="D693" s="62">
        <v>2</v>
      </c>
      <c r="E693" s="63">
        <v>1.69477162952E-4</v>
      </c>
    </row>
    <row r="694" spans="1:5" ht="14.5" customHeight="1">
      <c r="A694" s="35"/>
      <c r="B694" s="111"/>
      <c r="C694" s="71" t="s">
        <v>107</v>
      </c>
      <c r="D694" s="62">
        <v>17</v>
      </c>
      <c r="E694" s="63">
        <v>1.4405558850940001E-3</v>
      </c>
    </row>
    <row r="695" spans="1:5" ht="14.5" customHeight="1">
      <c r="A695" s="35"/>
      <c r="B695" s="111"/>
      <c r="C695" s="71" t="s">
        <v>109</v>
      </c>
      <c r="D695" s="62">
        <v>1</v>
      </c>
      <c r="E695" s="63">
        <v>8.4738581476000001E-5</v>
      </c>
    </row>
    <row r="696" spans="1:5" ht="14.5" customHeight="1">
      <c r="A696" s="35"/>
      <c r="B696" s="111"/>
      <c r="C696" s="71" t="s">
        <v>110</v>
      </c>
      <c r="D696" s="62">
        <v>5</v>
      </c>
      <c r="E696" s="63">
        <v>4.2369290738100002E-4</v>
      </c>
    </row>
    <row r="697" spans="1:5" ht="14.5" customHeight="1">
      <c r="A697" s="35"/>
      <c r="B697" s="111"/>
      <c r="C697" s="71" t="s">
        <v>119</v>
      </c>
      <c r="D697" s="62">
        <v>1</v>
      </c>
      <c r="E697" s="63">
        <v>8.4738581476000001E-5</v>
      </c>
    </row>
    <row r="698" spans="1:5" ht="14.5" customHeight="1">
      <c r="A698" s="35"/>
      <c r="B698" s="111"/>
      <c r="C698" s="72" t="s">
        <v>284</v>
      </c>
      <c r="D698" s="64">
        <v>32</v>
      </c>
      <c r="E698" s="67">
        <v>2.7116346072369999E-3</v>
      </c>
    </row>
    <row r="699" spans="1:5" ht="14.5" customHeight="1">
      <c r="A699" s="35"/>
      <c r="B699" s="111" t="s">
        <v>94</v>
      </c>
      <c r="C699" s="71" t="s">
        <v>102</v>
      </c>
      <c r="D699" s="62">
        <v>1</v>
      </c>
      <c r="E699" s="63">
        <v>8.4738581476000001E-5</v>
      </c>
    </row>
    <row r="700" spans="1:5" ht="14.5" customHeight="1">
      <c r="A700" s="35"/>
      <c r="B700" s="111"/>
      <c r="C700" s="72" t="s">
        <v>284</v>
      </c>
      <c r="D700" s="64">
        <v>1</v>
      </c>
      <c r="E700" s="67">
        <v>8.4738581476000001E-5</v>
      </c>
    </row>
    <row r="701" spans="1:5" ht="14.5" customHeight="1">
      <c r="A701" s="35"/>
      <c r="B701" s="112" t="s">
        <v>288</v>
      </c>
      <c r="C701" s="112"/>
      <c r="D701" s="69">
        <v>11801</v>
      </c>
      <c r="E701" s="70">
        <v>1</v>
      </c>
    </row>
    <row r="702" spans="1:5" ht="14.5" customHeight="1">
      <c r="A702" s="35"/>
      <c r="B702" s="35"/>
      <c r="C702" s="35"/>
      <c r="D702" s="35"/>
      <c r="E702" s="35"/>
    </row>
    <row r="703" spans="1:5" ht="14.5" customHeight="1">
      <c r="A703" s="35"/>
      <c r="B703" s="36" t="s">
        <v>130</v>
      </c>
      <c r="C703" s="36"/>
      <c r="D703" s="35"/>
      <c r="E703" s="35"/>
    </row>
    <row r="704" spans="1:5" ht="14.5" customHeight="1">
      <c r="A704" s="35"/>
      <c r="B704" s="38" t="s">
        <v>17</v>
      </c>
      <c r="C704" s="38"/>
      <c r="D704" s="35"/>
      <c r="E704" s="35"/>
    </row>
    <row r="705" spans="1:5" ht="14.5" customHeight="1">
      <c r="A705" s="35"/>
      <c r="B705" s="39" t="s">
        <v>95</v>
      </c>
      <c r="C705" s="39"/>
      <c r="D705" s="35"/>
      <c r="E705" s="35"/>
    </row>
    <row r="706" spans="1:5" ht="14.5" customHeight="1">
      <c r="A706" s="35"/>
      <c r="B706" s="36" t="s">
        <v>16</v>
      </c>
      <c r="C706" s="36"/>
      <c r="D706" s="35"/>
      <c r="E706" s="35"/>
    </row>
    <row r="707" spans="1:5" ht="14.5" customHeight="1">
      <c r="A707" s="35"/>
      <c r="B707" s="36" t="s">
        <v>285</v>
      </c>
      <c r="C707" s="36"/>
      <c r="D707" s="35"/>
      <c r="E707" s="35"/>
    </row>
  </sheetData>
  <mergeCells count="53">
    <mergeCell ref="B688:B698"/>
    <mergeCell ref="B699:B700"/>
    <mergeCell ref="B701:C701"/>
    <mergeCell ref="B638:B645"/>
    <mergeCell ref="B646:B661"/>
    <mergeCell ref="B662:B673"/>
    <mergeCell ref="B674:B680"/>
    <mergeCell ref="B681:B687"/>
    <mergeCell ref="B566:B581"/>
    <mergeCell ref="B582:B592"/>
    <mergeCell ref="B593:B616"/>
    <mergeCell ref="B617:B628"/>
    <mergeCell ref="B629:B637"/>
    <mergeCell ref="B503:B516"/>
    <mergeCell ref="B517:B521"/>
    <mergeCell ref="B522:B539"/>
    <mergeCell ref="B540:B555"/>
    <mergeCell ref="B556:B565"/>
    <mergeCell ref="B437:B445"/>
    <mergeCell ref="B446:B465"/>
    <mergeCell ref="B466:B482"/>
    <mergeCell ref="B483:B492"/>
    <mergeCell ref="B493:B502"/>
    <mergeCell ref="B392:B403"/>
    <mergeCell ref="B404:B417"/>
    <mergeCell ref="B418:B422"/>
    <mergeCell ref="B423:B424"/>
    <mergeCell ref="B425:B436"/>
    <mergeCell ref="B299:B316"/>
    <mergeCell ref="B317:B330"/>
    <mergeCell ref="B331:B349"/>
    <mergeCell ref="B350:B371"/>
    <mergeCell ref="B372:B391"/>
    <mergeCell ref="B221:B227"/>
    <mergeCell ref="B228:B241"/>
    <mergeCell ref="B242:B267"/>
    <mergeCell ref="B268:B279"/>
    <mergeCell ref="B280:B298"/>
    <mergeCell ref="B137:B153"/>
    <mergeCell ref="B154:B172"/>
    <mergeCell ref="B173:B185"/>
    <mergeCell ref="B186:B200"/>
    <mergeCell ref="B201:B220"/>
    <mergeCell ref="B71:B75"/>
    <mergeCell ref="B76:B90"/>
    <mergeCell ref="B91:B93"/>
    <mergeCell ref="B94:B111"/>
    <mergeCell ref="B112:B136"/>
    <mergeCell ref="B7:E8"/>
    <mergeCell ref="B10:B23"/>
    <mergeCell ref="B24:B38"/>
    <mergeCell ref="B39:B61"/>
    <mergeCell ref="B62:B7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1"/>
  <sheetViews>
    <sheetView showGridLines="0" view="pageBreakPreview" topLeftCell="A5" zoomScaleNormal="100" zoomScaleSheetLayoutView="100" workbookViewId="0">
      <selection activeCell="B21" sqref="B2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40"/>
      <c r="B7" s="85" t="s">
        <v>37</v>
      </c>
      <c r="C7" s="85"/>
      <c r="D7" s="85"/>
      <c r="E7" s="40"/>
      <c r="F7" s="40"/>
    </row>
    <row r="8" spans="1:6" s="16" customFormat="1" ht="15" customHeight="1">
      <c r="A8" s="40"/>
      <c r="B8" s="85"/>
      <c r="C8" s="85"/>
      <c r="D8" s="85"/>
      <c r="E8" s="40"/>
      <c r="F8" s="40"/>
    </row>
    <row r="9" spans="1:6" s="16" customFormat="1" ht="33" customHeight="1">
      <c r="A9" s="40"/>
      <c r="B9" s="85"/>
      <c r="C9" s="85"/>
      <c r="D9" s="85"/>
      <c r="E9" s="40"/>
      <c r="F9" s="40"/>
    </row>
    <row r="10" spans="1:6" s="16" customFormat="1" ht="4.5" customHeight="1">
      <c r="A10" s="40"/>
      <c r="B10" s="43"/>
      <c r="C10" s="43"/>
      <c r="D10" s="43"/>
      <c r="E10" s="40"/>
      <c r="F10" s="40"/>
    </row>
    <row r="11" spans="1:6" s="16" customFormat="1" ht="33" customHeight="1">
      <c r="A11" s="40"/>
      <c r="B11" s="44" t="s">
        <v>28</v>
      </c>
      <c r="C11" s="45" t="s">
        <v>19</v>
      </c>
      <c r="D11" s="44" t="s">
        <v>18</v>
      </c>
      <c r="E11" s="40"/>
      <c r="F11" s="40"/>
    </row>
    <row r="12" spans="1:6" ht="14.5" customHeight="1">
      <c r="A12" s="46"/>
      <c r="B12" s="98" t="s">
        <v>228</v>
      </c>
      <c r="C12" s="74">
        <v>5367</v>
      </c>
      <c r="D12" s="75">
        <v>0.45479196678247602</v>
      </c>
      <c r="E12" s="46"/>
      <c r="F12" s="46"/>
    </row>
    <row r="13" spans="1:6" ht="14.5" customHeight="1">
      <c r="A13" s="46"/>
      <c r="B13" s="98" t="s">
        <v>229</v>
      </c>
      <c r="C13" s="74">
        <v>6433</v>
      </c>
      <c r="D13" s="75">
        <v>0.54512329463604803</v>
      </c>
      <c r="E13" s="46"/>
      <c r="F13" s="46"/>
    </row>
    <row r="14" spans="1:6" ht="14.5" customHeight="1">
      <c r="A14" s="46"/>
      <c r="B14" s="98" t="s">
        <v>230</v>
      </c>
      <c r="C14" s="74">
        <v>1</v>
      </c>
      <c r="D14" s="75">
        <v>8.4738581476000001E-5</v>
      </c>
      <c r="E14" s="46"/>
      <c r="F14" s="46"/>
    </row>
    <row r="15" spans="1:6" s="15" customFormat="1" ht="14.5" customHeight="1">
      <c r="A15" s="46"/>
      <c r="B15" s="113" t="s">
        <v>286</v>
      </c>
      <c r="C15" s="96">
        <v>11801</v>
      </c>
      <c r="D15" s="97">
        <v>1</v>
      </c>
      <c r="E15" s="46"/>
      <c r="F15" s="46"/>
    </row>
    <row r="16" spans="1:6" s="15" customFormat="1" ht="14.5" customHeight="1">
      <c r="A16" s="46"/>
      <c r="C16" s="37"/>
      <c r="D16" s="47"/>
      <c r="E16" s="46"/>
      <c r="F16" s="46"/>
    </row>
    <row r="17" spans="1:6" ht="14.5" customHeight="1">
      <c r="A17" s="46"/>
      <c r="B17" s="36" t="s">
        <v>130</v>
      </c>
      <c r="C17" s="37"/>
      <c r="D17" s="55"/>
      <c r="E17" s="46"/>
      <c r="F17" s="46"/>
    </row>
    <row r="18" spans="1:6" ht="14.5" customHeight="1">
      <c r="A18" s="46"/>
      <c r="B18" s="38" t="s">
        <v>17</v>
      </c>
      <c r="C18" s="37"/>
      <c r="D18" s="56"/>
      <c r="E18" s="46"/>
      <c r="F18" s="46"/>
    </row>
    <row r="19" spans="1:6" ht="14.5" customHeight="1">
      <c r="A19" s="46"/>
      <c r="B19" s="39" t="s">
        <v>95</v>
      </c>
      <c r="C19" s="37"/>
      <c r="D19" s="46"/>
      <c r="E19" s="46"/>
      <c r="F19" s="46"/>
    </row>
    <row r="20" spans="1:6" ht="14.5" customHeight="1">
      <c r="A20" s="46"/>
      <c r="B20" s="36" t="s">
        <v>16</v>
      </c>
      <c r="C20" s="37"/>
      <c r="D20" s="46"/>
      <c r="E20" s="46"/>
      <c r="F20" s="46"/>
    </row>
    <row r="21" spans="1:6">
      <c r="B21" s="36" t="s">
        <v>285</v>
      </c>
      <c r="C21" s="2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F170"/>
  <sheetViews>
    <sheetView showGridLines="0" view="pageBreakPreview" topLeftCell="A154" zoomScaleNormal="100" zoomScaleSheetLayoutView="100" workbookViewId="0">
      <selection activeCell="B171" sqref="B171"/>
    </sheetView>
  </sheetViews>
  <sheetFormatPr baseColWidth="10" defaultColWidth="11.453125" defaultRowHeight="10"/>
  <cols>
    <col min="1" max="1" width="5.7265625" style="16" customWidth="1"/>
    <col min="2" max="2" width="24" style="22" customWidth="1"/>
    <col min="3" max="3" width="19.26953125" style="22" customWidth="1"/>
    <col min="4" max="4" width="15.7265625" style="25" customWidth="1"/>
    <col min="5" max="5" width="15.7265625" style="22" customWidth="1"/>
    <col min="6" max="6" width="5.7265625" style="16" customWidth="1"/>
    <col min="7" max="7" width="5" style="16" customWidth="1"/>
    <col min="8" max="16384" width="11.453125" style="16"/>
  </cols>
  <sheetData>
    <row r="1" spans="1:6" s="13" customFormat="1" ht="14.5">
      <c r="B1" s="22"/>
      <c r="C1" s="22"/>
    </row>
    <row r="2" spans="1:6" s="22" customFormat="1">
      <c r="B2" s="27"/>
    </row>
    <row r="3" spans="1:6" ht="15" customHeight="1">
      <c r="B3" s="28"/>
      <c r="C3" s="18"/>
      <c r="D3" s="16"/>
      <c r="F3" s="22"/>
    </row>
    <row r="4" spans="1:6" ht="30" customHeight="1">
      <c r="B4" s="28"/>
      <c r="C4" s="18"/>
      <c r="D4" s="16"/>
      <c r="F4" s="22"/>
    </row>
    <row r="5" spans="1:6" ht="15" customHeight="1">
      <c r="B5" s="28"/>
      <c r="C5" s="18"/>
      <c r="D5" s="16"/>
      <c r="F5" s="22"/>
    </row>
    <row r="6" spans="1:6" s="22" customFormat="1" ht="10.5">
      <c r="B6" s="24"/>
      <c r="C6" s="21"/>
    </row>
    <row r="7" spans="1:6" s="22" customFormat="1" ht="12">
      <c r="A7" s="31"/>
      <c r="B7" s="30"/>
      <c r="C7" s="31"/>
      <c r="D7" s="31"/>
      <c r="E7" s="31"/>
      <c r="F7" s="31"/>
    </row>
    <row r="8" spans="1:6" s="13" customFormat="1" ht="15" customHeight="1">
      <c r="A8" s="46"/>
      <c r="B8" s="85" t="s">
        <v>39</v>
      </c>
      <c r="C8" s="85"/>
      <c r="D8" s="85"/>
      <c r="E8" s="85"/>
      <c r="F8" s="46"/>
    </row>
    <row r="9" spans="1:6" s="13" customFormat="1" ht="15" customHeight="1">
      <c r="A9" s="46"/>
      <c r="B9" s="85"/>
      <c r="C9" s="85"/>
      <c r="D9" s="85"/>
      <c r="E9" s="85"/>
      <c r="F9" s="57"/>
    </row>
    <row r="10" spans="1:6" s="13" customFormat="1" ht="15" customHeight="1">
      <c r="A10" s="46"/>
      <c r="B10" s="85"/>
      <c r="C10" s="85"/>
      <c r="D10" s="85"/>
      <c r="E10" s="85"/>
      <c r="F10" s="46"/>
    </row>
    <row r="11" spans="1:6" s="13" customFormat="1" ht="9.75" customHeight="1">
      <c r="A11" s="46"/>
      <c r="B11" s="58"/>
      <c r="C11" s="58"/>
      <c r="D11" s="58"/>
      <c r="E11" s="58"/>
      <c r="F11" s="46"/>
    </row>
    <row r="12" spans="1:6" s="13" customFormat="1" ht="37" customHeight="1">
      <c r="A12" s="46"/>
      <c r="B12" s="59" t="s">
        <v>21</v>
      </c>
      <c r="C12" s="59" t="s">
        <v>28</v>
      </c>
      <c r="D12" s="59" t="s">
        <v>19</v>
      </c>
      <c r="E12" s="59" t="s">
        <v>18</v>
      </c>
      <c r="F12" s="46"/>
    </row>
    <row r="13" spans="1:6" ht="14.5" customHeight="1">
      <c r="A13" s="40"/>
      <c r="B13" s="89" t="s">
        <v>61</v>
      </c>
      <c r="C13" s="61" t="s">
        <v>228</v>
      </c>
      <c r="D13" s="62">
        <v>48</v>
      </c>
      <c r="E13" s="63">
        <v>4.0674519108549996E-3</v>
      </c>
      <c r="F13" s="40"/>
    </row>
    <row r="14" spans="1:6" ht="14.5" customHeight="1">
      <c r="A14" s="40"/>
      <c r="B14" s="90"/>
      <c r="C14" s="61" t="s">
        <v>229</v>
      </c>
      <c r="D14" s="62">
        <v>72</v>
      </c>
      <c r="E14" s="63">
        <v>6.1011778662830004E-3</v>
      </c>
      <c r="F14" s="40"/>
    </row>
    <row r="15" spans="1:6" ht="14.5" customHeight="1">
      <c r="A15" s="40"/>
      <c r="B15" s="91"/>
      <c r="C15" s="66" t="s">
        <v>284</v>
      </c>
      <c r="D15" s="64">
        <v>120</v>
      </c>
      <c r="E15" s="67">
        <v>1.0168629777138E-2</v>
      </c>
      <c r="F15" s="40"/>
    </row>
    <row r="16" spans="1:6" ht="14.5" customHeight="1">
      <c r="A16" s="40"/>
      <c r="B16" s="89" t="s">
        <v>58</v>
      </c>
      <c r="C16" s="61" t="s">
        <v>228</v>
      </c>
      <c r="D16" s="62">
        <v>82</v>
      </c>
      <c r="E16" s="63">
        <v>6.9485636810440003E-3</v>
      </c>
      <c r="F16" s="40"/>
    </row>
    <row r="17" spans="1:6" ht="14.5" customHeight="1">
      <c r="A17" s="40"/>
      <c r="B17" s="90"/>
      <c r="C17" s="61" t="s">
        <v>229</v>
      </c>
      <c r="D17" s="62">
        <v>111</v>
      </c>
      <c r="E17" s="63">
        <v>9.4059825438520001E-3</v>
      </c>
      <c r="F17" s="40"/>
    </row>
    <row r="18" spans="1:6" ht="14.5" customHeight="1">
      <c r="A18" s="40"/>
      <c r="B18" s="91"/>
      <c r="C18" s="66" t="s">
        <v>284</v>
      </c>
      <c r="D18" s="64">
        <v>193</v>
      </c>
      <c r="E18" s="67">
        <v>1.6354546224895999E-2</v>
      </c>
      <c r="F18" s="40"/>
    </row>
    <row r="19" spans="1:6" ht="14.5" customHeight="1">
      <c r="A19" s="40"/>
      <c r="B19" s="89" t="s">
        <v>49</v>
      </c>
      <c r="C19" s="61" t="s">
        <v>228</v>
      </c>
      <c r="D19" s="62">
        <v>286</v>
      </c>
      <c r="E19" s="63">
        <v>2.4235234302177999E-2</v>
      </c>
      <c r="F19" s="40"/>
    </row>
    <row r="20" spans="1:6" ht="14.5" customHeight="1">
      <c r="A20" s="40"/>
      <c r="B20" s="90"/>
      <c r="C20" s="61" t="s">
        <v>229</v>
      </c>
      <c r="D20" s="62">
        <v>350</v>
      </c>
      <c r="E20" s="63">
        <v>2.9658503516650999E-2</v>
      </c>
      <c r="F20" s="40"/>
    </row>
    <row r="21" spans="1:6" ht="14.5" customHeight="1">
      <c r="A21" s="40"/>
      <c r="B21" s="91"/>
      <c r="C21" s="66" t="s">
        <v>284</v>
      </c>
      <c r="D21" s="64">
        <v>636</v>
      </c>
      <c r="E21" s="67">
        <v>5.3893737818829002E-2</v>
      </c>
      <c r="F21" s="40"/>
    </row>
    <row r="22" spans="1:6" ht="14.5" customHeight="1">
      <c r="A22" s="40"/>
      <c r="B22" s="89" t="s">
        <v>86</v>
      </c>
      <c r="C22" s="61" t="s">
        <v>228</v>
      </c>
      <c r="D22" s="62">
        <v>6</v>
      </c>
      <c r="E22" s="63">
        <v>5.0843148885699996E-4</v>
      </c>
      <c r="F22" s="40"/>
    </row>
    <row r="23" spans="1:6" ht="14.5" customHeight="1">
      <c r="A23" s="40"/>
      <c r="B23" s="90"/>
      <c r="C23" s="61" t="s">
        <v>229</v>
      </c>
      <c r="D23" s="62">
        <v>13</v>
      </c>
      <c r="E23" s="63">
        <v>1.1016015591900001E-3</v>
      </c>
      <c r="F23" s="40"/>
    </row>
    <row r="24" spans="1:6" ht="14.5" customHeight="1">
      <c r="A24" s="40"/>
      <c r="B24" s="91"/>
      <c r="C24" s="66" t="s">
        <v>284</v>
      </c>
      <c r="D24" s="64">
        <v>19</v>
      </c>
      <c r="E24" s="67">
        <v>1.6100330480470001E-3</v>
      </c>
      <c r="F24" s="40"/>
    </row>
    <row r="25" spans="1:6" ht="14.5" customHeight="1">
      <c r="A25" s="40"/>
      <c r="B25" s="89" t="s">
        <v>91</v>
      </c>
      <c r="C25" s="61" t="s">
        <v>228</v>
      </c>
      <c r="D25" s="62">
        <v>2</v>
      </c>
      <c r="E25" s="63">
        <v>1.69477162952E-4</v>
      </c>
      <c r="F25" s="40"/>
    </row>
    <row r="26" spans="1:6" ht="14.5" customHeight="1">
      <c r="A26" s="40"/>
      <c r="B26" s="90"/>
      <c r="C26" s="61" t="s">
        <v>229</v>
      </c>
      <c r="D26" s="62">
        <v>2</v>
      </c>
      <c r="E26" s="63">
        <v>1.69477162952E-4</v>
      </c>
      <c r="F26" s="40"/>
    </row>
    <row r="27" spans="1:6" ht="14.5" customHeight="1">
      <c r="A27" s="40"/>
      <c r="B27" s="91"/>
      <c r="C27" s="66" t="s">
        <v>284</v>
      </c>
      <c r="D27" s="64">
        <v>4</v>
      </c>
      <c r="E27" s="67">
        <v>3.3895432590500002E-4</v>
      </c>
      <c r="F27" s="40"/>
    </row>
    <row r="28" spans="1:6" ht="14.5" customHeight="1">
      <c r="A28" s="40"/>
      <c r="B28" s="89" t="s">
        <v>71</v>
      </c>
      <c r="C28" s="61" t="s">
        <v>228</v>
      </c>
      <c r="D28" s="62">
        <v>19</v>
      </c>
      <c r="E28" s="63">
        <v>1.6100330480470001E-3</v>
      </c>
      <c r="F28" s="40"/>
    </row>
    <row r="29" spans="1:6" ht="14.5" customHeight="1">
      <c r="A29" s="40"/>
      <c r="B29" s="90"/>
      <c r="C29" s="61" t="s">
        <v>229</v>
      </c>
      <c r="D29" s="62">
        <v>22</v>
      </c>
      <c r="E29" s="63">
        <v>1.8642487924749999E-3</v>
      </c>
      <c r="F29" s="40"/>
    </row>
    <row r="30" spans="1:6" ht="14.5" customHeight="1">
      <c r="A30" s="40"/>
      <c r="B30" s="91"/>
      <c r="C30" s="66" t="s">
        <v>284</v>
      </c>
      <c r="D30" s="64">
        <v>41</v>
      </c>
      <c r="E30" s="67">
        <v>3.4742818405220002E-3</v>
      </c>
      <c r="F30" s="40"/>
    </row>
    <row r="31" spans="1:6" ht="14.5" customHeight="1">
      <c r="A31" s="40"/>
      <c r="B31" s="89" t="s">
        <v>129</v>
      </c>
      <c r="C31" s="61" t="s">
        <v>228</v>
      </c>
      <c r="D31" s="62">
        <v>2</v>
      </c>
      <c r="E31" s="63">
        <v>1.69477162952E-4</v>
      </c>
      <c r="F31" s="40"/>
    </row>
    <row r="32" spans="1:6" ht="14.5" customHeight="1">
      <c r="A32" s="40"/>
      <c r="B32" s="91"/>
      <c r="C32" s="66" t="s">
        <v>284</v>
      </c>
      <c r="D32" s="64">
        <v>2</v>
      </c>
      <c r="E32" s="67">
        <v>1.69477162952E-4</v>
      </c>
      <c r="F32" s="40"/>
    </row>
    <row r="33" spans="1:6" ht="14.5" customHeight="1">
      <c r="A33" s="40"/>
      <c r="B33" s="89" t="s">
        <v>51</v>
      </c>
      <c r="C33" s="61" t="s">
        <v>228</v>
      </c>
      <c r="D33" s="62">
        <v>152</v>
      </c>
      <c r="E33" s="63">
        <v>1.2880264384374E-2</v>
      </c>
      <c r="F33" s="40"/>
    </row>
    <row r="34" spans="1:6" ht="14.5" customHeight="1">
      <c r="A34" s="40"/>
      <c r="B34" s="90"/>
      <c r="C34" s="61" t="s">
        <v>229</v>
      </c>
      <c r="D34" s="62">
        <v>211</v>
      </c>
      <c r="E34" s="63">
        <v>1.7879840691466999E-2</v>
      </c>
      <c r="F34" s="40"/>
    </row>
    <row r="35" spans="1:6" ht="14.5" customHeight="1">
      <c r="A35" s="40"/>
      <c r="B35" s="91"/>
      <c r="C35" s="66" t="s">
        <v>284</v>
      </c>
      <c r="D35" s="64">
        <v>363</v>
      </c>
      <c r="E35" s="67">
        <v>3.0760105075841E-2</v>
      </c>
      <c r="F35" s="40"/>
    </row>
    <row r="36" spans="1:6" ht="14.5" customHeight="1">
      <c r="A36" s="40"/>
      <c r="B36" s="89" t="s">
        <v>46</v>
      </c>
      <c r="C36" s="61" t="s">
        <v>228</v>
      </c>
      <c r="D36" s="62">
        <v>1335</v>
      </c>
      <c r="E36" s="63">
        <v>0.113126006270655</v>
      </c>
      <c r="F36" s="40"/>
    </row>
    <row r="37" spans="1:6" ht="14.5" customHeight="1">
      <c r="A37" s="40"/>
      <c r="B37" s="90"/>
      <c r="C37" s="61" t="s">
        <v>229</v>
      </c>
      <c r="D37" s="62">
        <v>1597</v>
      </c>
      <c r="E37" s="63">
        <v>0.135327514617405</v>
      </c>
      <c r="F37" s="40"/>
    </row>
    <row r="38" spans="1:6" ht="14.5" customHeight="1">
      <c r="A38" s="40"/>
      <c r="B38" s="91"/>
      <c r="C38" s="66" t="s">
        <v>284</v>
      </c>
      <c r="D38" s="64">
        <v>2932</v>
      </c>
      <c r="E38" s="67">
        <v>0.24845352088806</v>
      </c>
      <c r="F38" s="40"/>
    </row>
    <row r="39" spans="1:6" ht="14.5" customHeight="1">
      <c r="A39" s="40"/>
      <c r="B39" s="89" t="s">
        <v>63</v>
      </c>
      <c r="C39" s="61" t="s">
        <v>228</v>
      </c>
      <c r="D39" s="62">
        <v>57</v>
      </c>
      <c r="E39" s="63">
        <v>4.8300991441400003E-3</v>
      </c>
      <c r="F39" s="40"/>
    </row>
    <row r="40" spans="1:6" ht="14.5" customHeight="1">
      <c r="A40" s="40"/>
      <c r="B40" s="90"/>
      <c r="C40" s="61" t="s">
        <v>229</v>
      </c>
      <c r="D40" s="62">
        <v>70</v>
      </c>
      <c r="E40" s="63">
        <v>5.93170070333E-3</v>
      </c>
      <c r="F40" s="40"/>
    </row>
    <row r="41" spans="1:6" ht="14.5" customHeight="1">
      <c r="A41" s="40"/>
      <c r="B41" s="91"/>
      <c r="C41" s="66" t="s">
        <v>284</v>
      </c>
      <c r="D41" s="64">
        <v>127</v>
      </c>
      <c r="E41" s="67">
        <v>1.0761799847471E-2</v>
      </c>
      <c r="F41" s="40"/>
    </row>
    <row r="42" spans="1:6" ht="14.5" customHeight="1">
      <c r="A42" s="40"/>
      <c r="B42" s="89" t="s">
        <v>55</v>
      </c>
      <c r="C42" s="61" t="s">
        <v>228</v>
      </c>
      <c r="D42" s="62">
        <v>88</v>
      </c>
      <c r="E42" s="63">
        <v>7.4569951699009996E-3</v>
      </c>
      <c r="F42" s="40"/>
    </row>
    <row r="43" spans="1:6" ht="14.5" customHeight="1">
      <c r="A43" s="40"/>
      <c r="B43" s="90"/>
      <c r="C43" s="61" t="s">
        <v>229</v>
      </c>
      <c r="D43" s="62">
        <v>128</v>
      </c>
      <c r="E43" s="63">
        <v>1.0846538428947001E-2</v>
      </c>
      <c r="F43" s="40"/>
    </row>
    <row r="44" spans="1:6" ht="14.5" customHeight="1">
      <c r="A44" s="40"/>
      <c r="B44" s="91"/>
      <c r="C44" s="66" t="s">
        <v>284</v>
      </c>
      <c r="D44" s="64">
        <v>216</v>
      </c>
      <c r="E44" s="67">
        <v>1.8303533598847999E-2</v>
      </c>
      <c r="F44" s="40"/>
    </row>
    <row r="45" spans="1:6" ht="14.5" customHeight="1">
      <c r="A45" s="40"/>
      <c r="B45" s="89" t="s">
        <v>76</v>
      </c>
      <c r="C45" s="61" t="s">
        <v>228</v>
      </c>
      <c r="D45" s="62">
        <v>31</v>
      </c>
      <c r="E45" s="63">
        <v>2.6268960257610002E-3</v>
      </c>
      <c r="F45" s="40"/>
    </row>
    <row r="46" spans="1:6" ht="14.5" customHeight="1">
      <c r="A46" s="40"/>
      <c r="B46" s="90"/>
      <c r="C46" s="61" t="s">
        <v>229</v>
      </c>
      <c r="D46" s="62">
        <v>45</v>
      </c>
      <c r="E46" s="63">
        <v>3.813236166427E-3</v>
      </c>
      <c r="F46" s="40"/>
    </row>
    <row r="47" spans="1:6" ht="14.5" customHeight="1">
      <c r="A47" s="40"/>
      <c r="B47" s="91"/>
      <c r="C47" s="66" t="s">
        <v>284</v>
      </c>
      <c r="D47" s="64">
        <v>76</v>
      </c>
      <c r="E47" s="67">
        <v>6.4401321921870001E-3</v>
      </c>
      <c r="F47" s="40"/>
    </row>
    <row r="48" spans="1:6" ht="14.5" customHeight="1">
      <c r="A48" s="40"/>
      <c r="B48" s="89" t="s">
        <v>77</v>
      </c>
      <c r="C48" s="61" t="s">
        <v>228</v>
      </c>
      <c r="D48" s="62">
        <v>27</v>
      </c>
      <c r="E48" s="63">
        <v>2.2879416998559999E-3</v>
      </c>
      <c r="F48" s="40"/>
    </row>
    <row r="49" spans="1:6" ht="14.5" customHeight="1">
      <c r="A49" s="40"/>
      <c r="B49" s="90"/>
      <c r="C49" s="61" t="s">
        <v>229</v>
      </c>
      <c r="D49" s="62">
        <v>35</v>
      </c>
      <c r="E49" s="63">
        <v>2.965850351665E-3</v>
      </c>
      <c r="F49" s="40"/>
    </row>
    <row r="50" spans="1:6" ht="14.5" customHeight="1">
      <c r="A50" s="40"/>
      <c r="B50" s="91"/>
      <c r="C50" s="66" t="s">
        <v>284</v>
      </c>
      <c r="D50" s="64">
        <v>62</v>
      </c>
      <c r="E50" s="67">
        <v>5.2537920515210003E-3</v>
      </c>
      <c r="F50" s="40"/>
    </row>
    <row r="51" spans="1:6" ht="14.5" customHeight="1">
      <c r="A51" s="40"/>
      <c r="B51" s="89" t="s">
        <v>54</v>
      </c>
      <c r="C51" s="61" t="s">
        <v>228</v>
      </c>
      <c r="D51" s="62">
        <v>81</v>
      </c>
      <c r="E51" s="63">
        <v>6.8638250995680002E-3</v>
      </c>
      <c r="F51" s="40"/>
    </row>
    <row r="52" spans="1:6" ht="14.5" customHeight="1">
      <c r="A52" s="40"/>
      <c r="B52" s="90"/>
      <c r="C52" s="61" t="s">
        <v>229</v>
      </c>
      <c r="D52" s="62">
        <v>99</v>
      </c>
      <c r="E52" s="63">
        <v>8.3891195661379998E-3</v>
      </c>
      <c r="F52" s="40"/>
    </row>
    <row r="53" spans="1:6" ht="14.5" customHeight="1">
      <c r="A53" s="40"/>
      <c r="B53" s="91"/>
      <c r="C53" s="66" t="s">
        <v>284</v>
      </c>
      <c r="D53" s="64">
        <v>180</v>
      </c>
      <c r="E53" s="67">
        <v>1.5252944665706E-2</v>
      </c>
      <c r="F53" s="40"/>
    </row>
    <row r="54" spans="1:6" ht="14.5" customHeight="1">
      <c r="A54" s="40"/>
      <c r="B54" s="89" t="s">
        <v>82</v>
      </c>
      <c r="C54" s="61" t="s">
        <v>228</v>
      </c>
      <c r="D54" s="62">
        <v>8</v>
      </c>
      <c r="E54" s="63">
        <v>6.7790865180899996E-4</v>
      </c>
      <c r="F54" s="40"/>
    </row>
    <row r="55" spans="1:6" ht="14.5" customHeight="1">
      <c r="A55" s="40"/>
      <c r="B55" s="90"/>
      <c r="C55" s="61" t="s">
        <v>229</v>
      </c>
      <c r="D55" s="62">
        <v>7</v>
      </c>
      <c r="E55" s="63">
        <v>5.9317007033300002E-4</v>
      </c>
      <c r="F55" s="40"/>
    </row>
    <row r="56" spans="1:6" ht="14.5" customHeight="1">
      <c r="A56" s="40"/>
      <c r="B56" s="91"/>
      <c r="C56" s="66" t="s">
        <v>284</v>
      </c>
      <c r="D56" s="64">
        <v>15</v>
      </c>
      <c r="E56" s="67">
        <v>1.271078722142E-3</v>
      </c>
      <c r="F56" s="40"/>
    </row>
    <row r="57" spans="1:6" ht="14.5" customHeight="1">
      <c r="A57" s="40"/>
      <c r="B57" s="89" t="s">
        <v>78</v>
      </c>
      <c r="C57" s="61" t="s">
        <v>228</v>
      </c>
      <c r="D57" s="62">
        <v>15</v>
      </c>
      <c r="E57" s="63">
        <v>1.271078722142E-3</v>
      </c>
      <c r="F57" s="40"/>
    </row>
    <row r="58" spans="1:6" ht="14.5" customHeight="1">
      <c r="A58" s="40"/>
      <c r="B58" s="90"/>
      <c r="C58" s="61" t="s">
        <v>229</v>
      </c>
      <c r="D58" s="62">
        <v>23</v>
      </c>
      <c r="E58" s="63">
        <v>1.9489873739510001E-3</v>
      </c>
      <c r="F58" s="40"/>
    </row>
    <row r="59" spans="1:6" ht="14.5" customHeight="1">
      <c r="A59" s="40"/>
      <c r="B59" s="91"/>
      <c r="C59" s="66" t="s">
        <v>284</v>
      </c>
      <c r="D59" s="64">
        <v>38</v>
      </c>
      <c r="E59" s="67">
        <v>3.2200660960940001E-3</v>
      </c>
      <c r="F59" s="40"/>
    </row>
    <row r="60" spans="1:6" ht="14.5" customHeight="1">
      <c r="A60" s="40"/>
      <c r="B60" s="89" t="s">
        <v>48</v>
      </c>
      <c r="C60" s="61" t="s">
        <v>228</v>
      </c>
      <c r="D60" s="62">
        <v>824</v>
      </c>
      <c r="E60" s="63">
        <v>6.9824591136343997E-2</v>
      </c>
      <c r="F60" s="40"/>
    </row>
    <row r="61" spans="1:6" ht="14.5" customHeight="1">
      <c r="A61" s="40"/>
      <c r="B61" s="90"/>
      <c r="C61" s="61" t="s">
        <v>229</v>
      </c>
      <c r="D61" s="62">
        <v>938</v>
      </c>
      <c r="E61" s="63">
        <v>7.9484789424625002E-2</v>
      </c>
      <c r="F61" s="40"/>
    </row>
    <row r="62" spans="1:6" ht="14.5" customHeight="1">
      <c r="A62" s="40"/>
      <c r="B62" s="90"/>
      <c r="C62" s="61" t="s">
        <v>230</v>
      </c>
      <c r="D62" s="62">
        <v>1</v>
      </c>
      <c r="E62" s="63">
        <v>8.4738581476000001E-5</v>
      </c>
      <c r="F62" s="40"/>
    </row>
    <row r="63" spans="1:6" ht="14.5" customHeight="1">
      <c r="A63" s="40"/>
      <c r="B63" s="91"/>
      <c r="C63" s="66" t="s">
        <v>284</v>
      </c>
      <c r="D63" s="64">
        <v>1763</v>
      </c>
      <c r="E63" s="67">
        <v>0.14939411914244599</v>
      </c>
      <c r="F63" s="40"/>
    </row>
    <row r="64" spans="1:6" ht="14.5" customHeight="1">
      <c r="A64" s="40"/>
      <c r="B64" s="89" t="s">
        <v>69</v>
      </c>
      <c r="C64" s="61" t="s">
        <v>228</v>
      </c>
      <c r="D64" s="62">
        <v>17</v>
      </c>
      <c r="E64" s="63">
        <v>1.4405558850940001E-3</v>
      </c>
      <c r="F64" s="40"/>
    </row>
    <row r="65" spans="1:6" ht="14.5" customHeight="1">
      <c r="A65" s="40"/>
      <c r="B65" s="90"/>
      <c r="C65" s="61" t="s">
        <v>229</v>
      </c>
      <c r="D65" s="62">
        <v>36</v>
      </c>
      <c r="E65" s="63">
        <v>3.0505889331410001E-3</v>
      </c>
      <c r="F65" s="40"/>
    </row>
    <row r="66" spans="1:6" ht="14.5" customHeight="1">
      <c r="A66" s="40"/>
      <c r="B66" s="91"/>
      <c r="C66" s="66" t="s">
        <v>284</v>
      </c>
      <c r="D66" s="64">
        <v>53</v>
      </c>
      <c r="E66" s="67">
        <v>4.4911448182359997E-3</v>
      </c>
      <c r="F66" s="40"/>
    </row>
    <row r="67" spans="1:6" ht="14.5" customHeight="1">
      <c r="A67" s="40"/>
      <c r="B67" s="89" t="s">
        <v>52</v>
      </c>
      <c r="C67" s="61" t="s">
        <v>228</v>
      </c>
      <c r="D67" s="62">
        <v>94</v>
      </c>
      <c r="E67" s="63">
        <v>7.9654266587580007E-3</v>
      </c>
      <c r="F67" s="40"/>
    </row>
    <row r="68" spans="1:6" ht="14.5" customHeight="1">
      <c r="A68" s="40"/>
      <c r="B68" s="90"/>
      <c r="C68" s="61" t="s">
        <v>229</v>
      </c>
      <c r="D68" s="62">
        <v>122</v>
      </c>
      <c r="E68" s="63">
        <v>1.033810694009E-2</v>
      </c>
      <c r="F68" s="40"/>
    </row>
    <row r="69" spans="1:6" ht="14.5" customHeight="1">
      <c r="A69" s="40"/>
      <c r="B69" s="91"/>
      <c r="C69" s="66" t="s">
        <v>284</v>
      </c>
      <c r="D69" s="64">
        <v>216</v>
      </c>
      <c r="E69" s="67">
        <v>1.8303533598847999E-2</v>
      </c>
      <c r="F69" s="40"/>
    </row>
    <row r="70" spans="1:6" ht="14.5" customHeight="1">
      <c r="A70" s="40"/>
      <c r="B70" s="89" t="s">
        <v>65</v>
      </c>
      <c r="C70" s="61" t="s">
        <v>228</v>
      </c>
      <c r="D70" s="62">
        <v>68</v>
      </c>
      <c r="E70" s="63">
        <v>5.7622235403779996E-3</v>
      </c>
      <c r="F70" s="40"/>
    </row>
    <row r="71" spans="1:6" ht="14.5" customHeight="1">
      <c r="A71" s="40"/>
      <c r="B71" s="90"/>
      <c r="C71" s="61" t="s">
        <v>229</v>
      </c>
      <c r="D71" s="62">
        <v>49</v>
      </c>
      <c r="E71" s="63">
        <v>4.1521904923309998E-3</v>
      </c>
      <c r="F71" s="40"/>
    </row>
    <row r="72" spans="1:6" ht="14.5" customHeight="1">
      <c r="A72" s="40"/>
      <c r="B72" s="91"/>
      <c r="C72" s="66" t="s">
        <v>284</v>
      </c>
      <c r="D72" s="64">
        <v>117</v>
      </c>
      <c r="E72" s="67">
        <v>9.9144140327090003E-3</v>
      </c>
      <c r="F72" s="40"/>
    </row>
    <row r="73" spans="1:6" ht="14.5" customHeight="1">
      <c r="A73" s="40"/>
      <c r="B73" s="89" t="s">
        <v>67</v>
      </c>
      <c r="C73" s="61" t="s">
        <v>228</v>
      </c>
      <c r="D73" s="62">
        <v>38</v>
      </c>
      <c r="E73" s="63">
        <v>3.2200660960940001E-3</v>
      </c>
      <c r="F73" s="40"/>
    </row>
    <row r="74" spans="1:6" ht="14.5" customHeight="1">
      <c r="A74" s="40"/>
      <c r="B74" s="90"/>
      <c r="C74" s="61" t="s">
        <v>229</v>
      </c>
      <c r="D74" s="62">
        <v>34</v>
      </c>
      <c r="E74" s="63">
        <v>2.8811117701889998E-3</v>
      </c>
      <c r="F74" s="40"/>
    </row>
    <row r="75" spans="1:6" ht="14.5" customHeight="1">
      <c r="A75" s="40"/>
      <c r="B75" s="91"/>
      <c r="C75" s="66" t="s">
        <v>284</v>
      </c>
      <c r="D75" s="64">
        <v>72</v>
      </c>
      <c r="E75" s="67">
        <v>6.1011778662830004E-3</v>
      </c>
      <c r="F75" s="40"/>
    </row>
    <row r="76" spans="1:6" ht="14.5" customHeight="1">
      <c r="A76" s="40"/>
      <c r="B76" s="89" t="s">
        <v>57</v>
      </c>
      <c r="C76" s="61" t="s">
        <v>228</v>
      </c>
      <c r="D76" s="62">
        <v>65</v>
      </c>
      <c r="E76" s="63">
        <v>5.5080077959489999E-3</v>
      </c>
      <c r="F76" s="40"/>
    </row>
    <row r="77" spans="1:6" ht="14.5" customHeight="1">
      <c r="A77" s="40"/>
      <c r="B77" s="90"/>
      <c r="C77" s="61" t="s">
        <v>229</v>
      </c>
      <c r="D77" s="62">
        <v>105</v>
      </c>
      <c r="E77" s="63">
        <v>8.8975510549949999E-3</v>
      </c>
      <c r="F77" s="40"/>
    </row>
    <row r="78" spans="1:6" ht="14.5" customHeight="1">
      <c r="A78" s="40"/>
      <c r="B78" s="91"/>
      <c r="C78" s="66" t="s">
        <v>284</v>
      </c>
      <c r="D78" s="64">
        <v>170</v>
      </c>
      <c r="E78" s="67">
        <v>1.4405558850945001E-2</v>
      </c>
      <c r="F78" s="40"/>
    </row>
    <row r="79" spans="1:6" ht="14.5" customHeight="1">
      <c r="A79" s="40"/>
      <c r="B79" s="89" t="s">
        <v>53</v>
      </c>
      <c r="C79" s="61" t="s">
        <v>228</v>
      </c>
      <c r="D79" s="62">
        <v>131</v>
      </c>
      <c r="E79" s="63">
        <v>1.1100754173374999E-2</v>
      </c>
      <c r="F79" s="40"/>
    </row>
    <row r="80" spans="1:6" ht="14.5" customHeight="1">
      <c r="A80" s="40"/>
      <c r="B80" s="90"/>
      <c r="C80" s="61" t="s">
        <v>229</v>
      </c>
      <c r="D80" s="62">
        <v>100</v>
      </c>
      <c r="E80" s="63">
        <v>8.4738581476150009E-3</v>
      </c>
      <c r="F80" s="40"/>
    </row>
    <row r="81" spans="1:6" ht="14.5" customHeight="1">
      <c r="A81" s="40"/>
      <c r="B81" s="91"/>
      <c r="C81" s="66" t="s">
        <v>284</v>
      </c>
      <c r="D81" s="64">
        <v>231</v>
      </c>
      <c r="E81" s="67">
        <v>1.957461232099E-2</v>
      </c>
      <c r="F81" s="40"/>
    </row>
    <row r="82" spans="1:6" ht="14.5" customHeight="1">
      <c r="A82" s="40"/>
      <c r="B82" s="89" t="s">
        <v>56</v>
      </c>
      <c r="C82" s="61" t="s">
        <v>228</v>
      </c>
      <c r="D82" s="62">
        <v>103</v>
      </c>
      <c r="E82" s="63">
        <v>8.7280738920429996E-3</v>
      </c>
      <c r="F82" s="40"/>
    </row>
    <row r="83" spans="1:6" ht="14.5" customHeight="1">
      <c r="A83" s="40"/>
      <c r="B83" s="90"/>
      <c r="C83" s="61" t="s">
        <v>229</v>
      </c>
      <c r="D83" s="62">
        <v>102</v>
      </c>
      <c r="E83" s="63">
        <v>8.6433353105669995E-3</v>
      </c>
      <c r="F83" s="40"/>
    </row>
    <row r="84" spans="1:6" ht="14.5" customHeight="1">
      <c r="A84" s="40"/>
      <c r="B84" s="91"/>
      <c r="C84" s="66" t="s">
        <v>284</v>
      </c>
      <c r="D84" s="64">
        <v>205</v>
      </c>
      <c r="E84" s="67">
        <v>1.7371409202609999E-2</v>
      </c>
      <c r="F84" s="40"/>
    </row>
    <row r="85" spans="1:6" ht="14.5" customHeight="1">
      <c r="A85" s="40"/>
      <c r="B85" s="89" t="s">
        <v>74</v>
      </c>
      <c r="C85" s="61" t="s">
        <v>228</v>
      </c>
      <c r="D85" s="62">
        <v>25</v>
      </c>
      <c r="E85" s="63">
        <v>2.118464536904E-3</v>
      </c>
      <c r="F85" s="40"/>
    </row>
    <row r="86" spans="1:6" ht="14.5" customHeight="1">
      <c r="A86" s="40"/>
      <c r="B86" s="90"/>
      <c r="C86" s="61" t="s">
        <v>229</v>
      </c>
      <c r="D86" s="62">
        <v>30</v>
      </c>
      <c r="E86" s="63">
        <v>2.542157444284E-3</v>
      </c>
      <c r="F86" s="40"/>
    </row>
    <row r="87" spans="1:6" ht="14.5" customHeight="1">
      <c r="A87" s="40"/>
      <c r="B87" s="91"/>
      <c r="C87" s="66" t="s">
        <v>284</v>
      </c>
      <c r="D87" s="64">
        <v>55</v>
      </c>
      <c r="E87" s="67">
        <v>4.660621981188E-3</v>
      </c>
      <c r="F87" s="40"/>
    </row>
    <row r="88" spans="1:6" ht="14.5" customHeight="1">
      <c r="A88" s="40"/>
      <c r="B88" s="89" t="s">
        <v>66</v>
      </c>
      <c r="C88" s="61" t="s">
        <v>228</v>
      </c>
      <c r="D88" s="62">
        <v>28</v>
      </c>
      <c r="E88" s="63">
        <v>2.3726802813320001E-3</v>
      </c>
      <c r="F88" s="40"/>
    </row>
    <row r="89" spans="1:6" ht="14.5" customHeight="1">
      <c r="A89" s="40"/>
      <c r="B89" s="90"/>
      <c r="C89" s="61" t="s">
        <v>229</v>
      </c>
      <c r="D89" s="62">
        <v>30</v>
      </c>
      <c r="E89" s="63">
        <v>2.542157444284E-3</v>
      </c>
      <c r="F89" s="40"/>
    </row>
    <row r="90" spans="1:6" ht="14.5" customHeight="1">
      <c r="A90" s="40"/>
      <c r="B90" s="91"/>
      <c r="C90" s="66" t="s">
        <v>284</v>
      </c>
      <c r="D90" s="64">
        <v>58</v>
      </c>
      <c r="E90" s="67">
        <v>4.9148377256159996E-3</v>
      </c>
      <c r="F90" s="40"/>
    </row>
    <row r="91" spans="1:6" ht="14.5" customHeight="1">
      <c r="A91" s="40"/>
      <c r="B91" s="89" t="s">
        <v>128</v>
      </c>
      <c r="C91" s="61" t="s">
        <v>228</v>
      </c>
      <c r="D91" s="62">
        <v>3</v>
      </c>
      <c r="E91" s="63">
        <v>2.54215744428E-4</v>
      </c>
      <c r="F91" s="40"/>
    </row>
    <row r="92" spans="1:6" ht="14.5" customHeight="1">
      <c r="A92" s="40"/>
      <c r="B92" s="90"/>
      <c r="C92" s="61" t="s">
        <v>229</v>
      </c>
      <c r="D92" s="62">
        <v>1</v>
      </c>
      <c r="E92" s="63">
        <v>8.4738581476000001E-5</v>
      </c>
      <c r="F92" s="40"/>
    </row>
    <row r="93" spans="1:6" ht="14.5" customHeight="1">
      <c r="A93" s="40"/>
      <c r="B93" s="91"/>
      <c r="C93" s="66" t="s">
        <v>284</v>
      </c>
      <c r="D93" s="64">
        <v>4</v>
      </c>
      <c r="E93" s="67">
        <v>3.3895432590500002E-4</v>
      </c>
      <c r="F93" s="40"/>
    </row>
    <row r="94" spans="1:6" ht="14.5" customHeight="1">
      <c r="A94" s="40"/>
      <c r="B94" s="89" t="s">
        <v>93</v>
      </c>
      <c r="C94" s="61" t="s">
        <v>228</v>
      </c>
      <c r="D94" s="62">
        <v>1</v>
      </c>
      <c r="E94" s="63">
        <v>8.4738581476000001E-5</v>
      </c>
      <c r="F94" s="40"/>
    </row>
    <row r="95" spans="1:6" ht="14.5" customHeight="1">
      <c r="A95" s="40"/>
      <c r="B95" s="91"/>
      <c r="C95" s="66" t="s">
        <v>284</v>
      </c>
      <c r="D95" s="64">
        <v>1</v>
      </c>
      <c r="E95" s="67">
        <v>8.4738581476000001E-5</v>
      </c>
      <c r="F95" s="40"/>
    </row>
    <row r="96" spans="1:6" ht="14.5" customHeight="1">
      <c r="A96" s="40"/>
      <c r="B96" s="89" t="s">
        <v>73</v>
      </c>
      <c r="C96" s="61" t="s">
        <v>228</v>
      </c>
      <c r="D96" s="62">
        <v>27</v>
      </c>
      <c r="E96" s="63">
        <v>2.2879416998559999E-3</v>
      </c>
      <c r="F96" s="40"/>
    </row>
    <row r="97" spans="1:6" ht="14.5" customHeight="1">
      <c r="A97" s="40"/>
      <c r="B97" s="90"/>
      <c r="C97" s="61" t="s">
        <v>229</v>
      </c>
      <c r="D97" s="62">
        <v>57</v>
      </c>
      <c r="E97" s="63">
        <v>4.8300991441400003E-3</v>
      </c>
      <c r="F97" s="40"/>
    </row>
    <row r="98" spans="1:6" ht="14.5" customHeight="1">
      <c r="A98" s="40"/>
      <c r="B98" s="91"/>
      <c r="C98" s="66" t="s">
        <v>284</v>
      </c>
      <c r="D98" s="64">
        <v>84</v>
      </c>
      <c r="E98" s="67">
        <v>7.1180408439959998E-3</v>
      </c>
      <c r="F98" s="40"/>
    </row>
    <row r="99" spans="1:6" ht="14.5" customHeight="1">
      <c r="A99" s="40"/>
      <c r="B99" s="89" t="s">
        <v>79</v>
      </c>
      <c r="C99" s="61" t="s">
        <v>228</v>
      </c>
      <c r="D99" s="62">
        <v>7</v>
      </c>
      <c r="E99" s="63">
        <v>5.9317007033300002E-4</v>
      </c>
      <c r="F99" s="40"/>
    </row>
    <row r="100" spans="1:6" ht="14.5" customHeight="1">
      <c r="A100" s="40"/>
      <c r="B100" s="90"/>
      <c r="C100" s="61" t="s">
        <v>229</v>
      </c>
      <c r="D100" s="62">
        <v>14</v>
      </c>
      <c r="E100" s="63">
        <v>1.186340140666E-3</v>
      </c>
      <c r="F100" s="40"/>
    </row>
    <row r="101" spans="1:6" ht="14.5" customHeight="1">
      <c r="A101" s="40"/>
      <c r="B101" s="91"/>
      <c r="C101" s="66" t="s">
        <v>284</v>
      </c>
      <c r="D101" s="64">
        <v>21</v>
      </c>
      <c r="E101" s="67">
        <v>1.7795102109989999E-3</v>
      </c>
      <c r="F101" s="40"/>
    </row>
    <row r="102" spans="1:6" ht="14.5" customHeight="1">
      <c r="A102" s="40"/>
      <c r="B102" s="89" t="s">
        <v>50</v>
      </c>
      <c r="C102" s="61" t="s">
        <v>228</v>
      </c>
      <c r="D102" s="62">
        <v>210</v>
      </c>
      <c r="E102" s="63">
        <v>1.7795102109990999E-2</v>
      </c>
      <c r="F102" s="40"/>
    </row>
    <row r="103" spans="1:6" ht="14.5" customHeight="1">
      <c r="A103" s="40"/>
      <c r="B103" s="90"/>
      <c r="C103" s="61" t="s">
        <v>229</v>
      </c>
      <c r="D103" s="62">
        <v>279</v>
      </c>
      <c r="E103" s="63">
        <v>2.3642064231844999E-2</v>
      </c>
      <c r="F103" s="40"/>
    </row>
    <row r="104" spans="1:6" ht="14.5" customHeight="1">
      <c r="A104" s="40"/>
      <c r="B104" s="91"/>
      <c r="C104" s="66" t="s">
        <v>284</v>
      </c>
      <c r="D104" s="64">
        <v>489</v>
      </c>
      <c r="E104" s="67">
        <v>4.1437166341835002E-2</v>
      </c>
      <c r="F104" s="40"/>
    </row>
    <row r="105" spans="1:6" ht="14.5" customHeight="1">
      <c r="A105" s="40"/>
      <c r="B105" s="89" t="s">
        <v>72</v>
      </c>
      <c r="C105" s="61" t="s">
        <v>228</v>
      </c>
      <c r="D105" s="62">
        <v>40</v>
      </c>
      <c r="E105" s="63">
        <v>3.389543259046E-3</v>
      </c>
      <c r="F105" s="40"/>
    </row>
    <row r="106" spans="1:6" ht="14.5" customHeight="1">
      <c r="A106" s="40"/>
      <c r="B106" s="90"/>
      <c r="C106" s="61" t="s">
        <v>229</v>
      </c>
      <c r="D106" s="62">
        <v>62</v>
      </c>
      <c r="E106" s="63">
        <v>5.2537920515210003E-3</v>
      </c>
      <c r="F106" s="40"/>
    </row>
    <row r="107" spans="1:6" ht="14.5" customHeight="1">
      <c r="A107" s="40"/>
      <c r="B107" s="91"/>
      <c r="C107" s="66" t="s">
        <v>284</v>
      </c>
      <c r="D107" s="64">
        <v>102</v>
      </c>
      <c r="E107" s="67">
        <v>8.6433353105669995E-3</v>
      </c>
      <c r="F107" s="40"/>
    </row>
    <row r="108" spans="1:6" ht="14.5" customHeight="1">
      <c r="A108" s="40"/>
      <c r="B108" s="89" t="s">
        <v>64</v>
      </c>
      <c r="C108" s="61" t="s">
        <v>228</v>
      </c>
      <c r="D108" s="62">
        <v>33</v>
      </c>
      <c r="E108" s="63">
        <v>2.7963731887130001E-3</v>
      </c>
      <c r="F108" s="40"/>
    </row>
    <row r="109" spans="1:6" ht="14.5" customHeight="1">
      <c r="A109" s="40"/>
      <c r="B109" s="90"/>
      <c r="C109" s="61" t="s">
        <v>229</v>
      </c>
      <c r="D109" s="62">
        <v>48</v>
      </c>
      <c r="E109" s="63">
        <v>4.0674519108549996E-3</v>
      </c>
      <c r="F109" s="40"/>
    </row>
    <row r="110" spans="1:6" ht="14.5" customHeight="1">
      <c r="A110" s="40"/>
      <c r="B110" s="91"/>
      <c r="C110" s="66" t="s">
        <v>284</v>
      </c>
      <c r="D110" s="64">
        <v>81</v>
      </c>
      <c r="E110" s="67">
        <v>6.8638250995680002E-3</v>
      </c>
      <c r="F110" s="40"/>
    </row>
    <row r="111" spans="1:6" ht="14.5" customHeight="1">
      <c r="A111" s="40"/>
      <c r="B111" s="89" t="s">
        <v>88</v>
      </c>
      <c r="C111" s="61" t="s">
        <v>228</v>
      </c>
      <c r="D111" s="62">
        <v>14</v>
      </c>
      <c r="E111" s="63">
        <v>1.186340140666E-3</v>
      </c>
      <c r="F111" s="40"/>
    </row>
    <row r="112" spans="1:6" ht="14.5" customHeight="1">
      <c r="A112" s="40"/>
      <c r="B112" s="90"/>
      <c r="C112" s="61" t="s">
        <v>229</v>
      </c>
      <c r="D112" s="62">
        <v>7</v>
      </c>
      <c r="E112" s="63">
        <v>5.9317007033300002E-4</v>
      </c>
      <c r="F112" s="40"/>
    </row>
    <row r="113" spans="1:6" ht="14.5" customHeight="1">
      <c r="A113" s="40"/>
      <c r="B113" s="91"/>
      <c r="C113" s="66" t="s">
        <v>284</v>
      </c>
      <c r="D113" s="64">
        <v>21</v>
      </c>
      <c r="E113" s="67">
        <v>1.7795102109989999E-3</v>
      </c>
      <c r="F113" s="40"/>
    </row>
    <row r="114" spans="1:6" ht="14.5" customHeight="1">
      <c r="A114" s="40"/>
      <c r="B114" s="89" t="s">
        <v>70</v>
      </c>
      <c r="C114" s="61" t="s">
        <v>228</v>
      </c>
      <c r="D114" s="62">
        <v>33</v>
      </c>
      <c r="E114" s="63">
        <v>2.7963731887130001E-3</v>
      </c>
      <c r="F114" s="40"/>
    </row>
    <row r="115" spans="1:6" ht="14.5" customHeight="1">
      <c r="A115" s="40"/>
      <c r="B115" s="90"/>
      <c r="C115" s="61" t="s">
        <v>229</v>
      </c>
      <c r="D115" s="62">
        <v>36</v>
      </c>
      <c r="E115" s="63">
        <v>3.0505889331410001E-3</v>
      </c>
      <c r="F115" s="40"/>
    </row>
    <row r="116" spans="1:6" ht="14.5" customHeight="1">
      <c r="A116" s="40"/>
      <c r="B116" s="91"/>
      <c r="C116" s="66" t="s">
        <v>284</v>
      </c>
      <c r="D116" s="64">
        <v>69</v>
      </c>
      <c r="E116" s="67">
        <v>5.8469621218539998E-3</v>
      </c>
      <c r="F116" s="40"/>
    </row>
    <row r="117" spans="1:6" ht="14.5" customHeight="1">
      <c r="A117" s="40"/>
      <c r="B117" s="89" t="s">
        <v>92</v>
      </c>
      <c r="C117" s="61" t="s">
        <v>228</v>
      </c>
      <c r="D117" s="62">
        <v>1</v>
      </c>
      <c r="E117" s="63">
        <v>8.4738581476000001E-5</v>
      </c>
      <c r="F117" s="40"/>
    </row>
    <row r="118" spans="1:6" ht="14.5" customHeight="1">
      <c r="A118" s="40"/>
      <c r="B118" s="90"/>
      <c r="C118" s="61" t="s">
        <v>229</v>
      </c>
      <c r="D118" s="62">
        <v>5</v>
      </c>
      <c r="E118" s="63">
        <v>4.2369290738100002E-4</v>
      </c>
      <c r="F118" s="40"/>
    </row>
    <row r="119" spans="1:6" ht="14.5" customHeight="1">
      <c r="A119" s="40"/>
      <c r="B119" s="91"/>
      <c r="C119" s="66" t="s">
        <v>284</v>
      </c>
      <c r="D119" s="64">
        <v>6</v>
      </c>
      <c r="E119" s="67">
        <v>5.0843148885699996E-4</v>
      </c>
      <c r="F119" s="40"/>
    </row>
    <row r="120" spans="1:6" ht="14.5" customHeight="1">
      <c r="A120" s="40"/>
      <c r="B120" s="89" t="s">
        <v>62</v>
      </c>
      <c r="C120" s="61" t="s">
        <v>228</v>
      </c>
      <c r="D120" s="62">
        <v>46</v>
      </c>
      <c r="E120" s="63">
        <v>3.8979747479030002E-3</v>
      </c>
      <c r="F120" s="40"/>
    </row>
    <row r="121" spans="1:6" ht="14.5" customHeight="1">
      <c r="A121" s="40"/>
      <c r="B121" s="90"/>
      <c r="C121" s="61" t="s">
        <v>229</v>
      </c>
      <c r="D121" s="62">
        <v>95</v>
      </c>
      <c r="E121" s="63">
        <v>8.0501652402340008E-3</v>
      </c>
      <c r="F121" s="40"/>
    </row>
    <row r="122" spans="1:6" ht="14.5" customHeight="1">
      <c r="A122" s="40"/>
      <c r="B122" s="91"/>
      <c r="C122" s="66" t="s">
        <v>284</v>
      </c>
      <c r="D122" s="64">
        <v>141</v>
      </c>
      <c r="E122" s="67">
        <v>1.1948139988136999E-2</v>
      </c>
      <c r="F122" s="40"/>
    </row>
    <row r="123" spans="1:6" ht="14.5" customHeight="1">
      <c r="A123" s="40"/>
      <c r="B123" s="89" t="s">
        <v>59</v>
      </c>
      <c r="C123" s="61" t="s">
        <v>228</v>
      </c>
      <c r="D123" s="62">
        <v>87</v>
      </c>
      <c r="E123" s="63">
        <v>7.3722565884250003E-3</v>
      </c>
      <c r="F123" s="40"/>
    </row>
    <row r="124" spans="1:6" ht="14.5" customHeight="1">
      <c r="A124" s="40"/>
      <c r="B124" s="90"/>
      <c r="C124" s="61" t="s">
        <v>229</v>
      </c>
      <c r="D124" s="62">
        <v>117</v>
      </c>
      <c r="E124" s="63">
        <v>9.9144140327090003E-3</v>
      </c>
      <c r="F124" s="40"/>
    </row>
    <row r="125" spans="1:6" ht="14.5" customHeight="1">
      <c r="A125" s="40"/>
      <c r="B125" s="91"/>
      <c r="C125" s="66" t="s">
        <v>284</v>
      </c>
      <c r="D125" s="64">
        <v>204</v>
      </c>
      <c r="E125" s="67">
        <v>1.7286670621133999E-2</v>
      </c>
      <c r="F125" s="40"/>
    </row>
    <row r="126" spans="1:6" ht="14.5" customHeight="1">
      <c r="A126" s="40"/>
      <c r="B126" s="89" t="s">
        <v>81</v>
      </c>
      <c r="C126" s="61" t="s">
        <v>228</v>
      </c>
      <c r="D126" s="62">
        <v>11</v>
      </c>
      <c r="E126" s="63">
        <v>9.3212439623799998E-4</v>
      </c>
      <c r="F126" s="40"/>
    </row>
    <row r="127" spans="1:6" ht="14.5" customHeight="1">
      <c r="A127" s="40"/>
      <c r="B127" s="90"/>
      <c r="C127" s="61" t="s">
        <v>229</v>
      </c>
      <c r="D127" s="62">
        <v>15</v>
      </c>
      <c r="E127" s="63">
        <v>1.271078722142E-3</v>
      </c>
      <c r="F127" s="40"/>
    </row>
    <row r="128" spans="1:6" ht="14.5" customHeight="1">
      <c r="A128" s="40"/>
      <c r="B128" s="91"/>
      <c r="C128" s="66" t="s">
        <v>284</v>
      </c>
      <c r="D128" s="64">
        <v>26</v>
      </c>
      <c r="E128" s="67">
        <v>2.2032031183800002E-3</v>
      </c>
      <c r="F128" s="40"/>
    </row>
    <row r="129" spans="1:6" ht="14.5" customHeight="1">
      <c r="A129" s="40"/>
      <c r="B129" s="89" t="s">
        <v>60</v>
      </c>
      <c r="C129" s="61" t="s">
        <v>228</v>
      </c>
      <c r="D129" s="62">
        <v>54</v>
      </c>
      <c r="E129" s="63">
        <v>4.5758833997119998E-3</v>
      </c>
      <c r="F129" s="40"/>
    </row>
    <row r="130" spans="1:6" ht="14.5" customHeight="1">
      <c r="A130" s="40"/>
      <c r="B130" s="90"/>
      <c r="C130" s="61" t="s">
        <v>229</v>
      </c>
      <c r="D130" s="62">
        <v>74</v>
      </c>
      <c r="E130" s="63">
        <v>6.2706550292349998E-3</v>
      </c>
      <c r="F130" s="40"/>
    </row>
    <row r="131" spans="1:6" ht="14.5" customHeight="1">
      <c r="A131" s="40"/>
      <c r="B131" s="91"/>
      <c r="C131" s="66" t="s">
        <v>284</v>
      </c>
      <c r="D131" s="64">
        <v>128</v>
      </c>
      <c r="E131" s="67">
        <v>1.0846538428947001E-2</v>
      </c>
      <c r="F131" s="40"/>
    </row>
    <row r="132" spans="1:6" ht="14.5" customHeight="1">
      <c r="A132" s="40"/>
      <c r="B132" s="89" t="s">
        <v>83</v>
      </c>
      <c r="C132" s="61" t="s">
        <v>228</v>
      </c>
      <c r="D132" s="62">
        <v>14</v>
      </c>
      <c r="E132" s="63">
        <v>1.186340140666E-3</v>
      </c>
      <c r="F132" s="40"/>
    </row>
    <row r="133" spans="1:6" ht="14.5" customHeight="1">
      <c r="A133" s="40"/>
      <c r="B133" s="90"/>
      <c r="C133" s="61" t="s">
        <v>229</v>
      </c>
      <c r="D133" s="62">
        <v>22</v>
      </c>
      <c r="E133" s="63">
        <v>1.8642487924749999E-3</v>
      </c>
      <c r="F133" s="40"/>
    </row>
    <row r="134" spans="1:6" ht="14.5" customHeight="1">
      <c r="A134" s="40"/>
      <c r="B134" s="91"/>
      <c r="C134" s="66" t="s">
        <v>284</v>
      </c>
      <c r="D134" s="64">
        <v>36</v>
      </c>
      <c r="E134" s="67">
        <v>3.0505889331410001E-3</v>
      </c>
      <c r="F134" s="40"/>
    </row>
    <row r="135" spans="1:6" ht="14.5" customHeight="1">
      <c r="A135" s="40"/>
      <c r="B135" s="89" t="s">
        <v>47</v>
      </c>
      <c r="C135" s="61" t="s">
        <v>228</v>
      </c>
      <c r="D135" s="62">
        <v>1024</v>
      </c>
      <c r="E135" s="63">
        <v>8.6772307431574006E-2</v>
      </c>
      <c r="F135" s="40"/>
    </row>
    <row r="136" spans="1:6" ht="14.5" customHeight="1">
      <c r="A136" s="40"/>
      <c r="B136" s="90"/>
      <c r="C136" s="61" t="s">
        <v>229</v>
      </c>
      <c r="D136" s="62">
        <v>1111</v>
      </c>
      <c r="E136" s="63">
        <v>9.4144564019998003E-2</v>
      </c>
      <c r="F136" s="40"/>
    </row>
    <row r="137" spans="1:6" ht="14.5" customHeight="1">
      <c r="A137" s="40"/>
      <c r="B137" s="91"/>
      <c r="C137" s="66" t="s">
        <v>284</v>
      </c>
      <c r="D137" s="64">
        <v>2135</v>
      </c>
      <c r="E137" s="67">
        <v>0.18091687145157201</v>
      </c>
      <c r="F137" s="40"/>
    </row>
    <row r="138" spans="1:6" ht="14.5" customHeight="1">
      <c r="A138" s="40"/>
      <c r="B138" s="89" t="s">
        <v>75</v>
      </c>
      <c r="C138" s="61" t="s">
        <v>228</v>
      </c>
      <c r="D138" s="62">
        <v>35</v>
      </c>
      <c r="E138" s="63">
        <v>2.965850351665E-3</v>
      </c>
      <c r="F138" s="40"/>
    </row>
    <row r="139" spans="1:6" ht="14.5" customHeight="1">
      <c r="A139" s="40"/>
      <c r="B139" s="90"/>
      <c r="C139" s="61" t="s">
        <v>229</v>
      </c>
      <c r="D139" s="62">
        <v>28</v>
      </c>
      <c r="E139" s="63">
        <v>2.3726802813320001E-3</v>
      </c>
      <c r="F139" s="40"/>
    </row>
    <row r="140" spans="1:6" ht="14.5" customHeight="1">
      <c r="A140" s="40"/>
      <c r="B140" s="91"/>
      <c r="C140" s="66" t="s">
        <v>284</v>
      </c>
      <c r="D140" s="64">
        <v>63</v>
      </c>
      <c r="E140" s="67">
        <v>5.3385306329969996E-3</v>
      </c>
      <c r="F140" s="40"/>
    </row>
    <row r="141" spans="1:6" ht="14.5" customHeight="1">
      <c r="A141" s="40"/>
      <c r="B141" s="89" t="s">
        <v>87</v>
      </c>
      <c r="C141" s="61" t="s">
        <v>228</v>
      </c>
      <c r="D141" s="62">
        <v>11</v>
      </c>
      <c r="E141" s="63">
        <v>9.3212439623799998E-4</v>
      </c>
      <c r="F141" s="40"/>
    </row>
    <row r="142" spans="1:6" ht="14.5" customHeight="1">
      <c r="A142" s="40"/>
      <c r="B142" s="90"/>
      <c r="C142" s="61" t="s">
        <v>229</v>
      </c>
      <c r="D142" s="62">
        <v>18</v>
      </c>
      <c r="E142" s="63">
        <v>1.5252944665710001E-3</v>
      </c>
      <c r="F142" s="40"/>
    </row>
    <row r="143" spans="1:6" ht="14.5" customHeight="1">
      <c r="A143" s="40"/>
      <c r="B143" s="91"/>
      <c r="C143" s="66" t="s">
        <v>284</v>
      </c>
      <c r="D143" s="64">
        <v>29</v>
      </c>
      <c r="E143" s="67">
        <v>2.4574188628079998E-3</v>
      </c>
      <c r="F143" s="40"/>
    </row>
    <row r="144" spans="1:6" ht="14.5" customHeight="1">
      <c r="A144" s="40"/>
      <c r="B144" s="89" t="s">
        <v>85</v>
      </c>
      <c r="C144" s="61" t="s">
        <v>228</v>
      </c>
      <c r="D144" s="62">
        <v>8</v>
      </c>
      <c r="E144" s="63">
        <v>6.7790865180899996E-4</v>
      </c>
      <c r="F144" s="40"/>
    </row>
    <row r="145" spans="1:6" ht="14.5" customHeight="1">
      <c r="A145" s="40"/>
      <c r="B145" s="90"/>
      <c r="C145" s="61" t="s">
        <v>229</v>
      </c>
      <c r="D145" s="62">
        <v>9</v>
      </c>
      <c r="E145" s="63">
        <v>7.6264723328500002E-4</v>
      </c>
      <c r="F145" s="40"/>
    </row>
    <row r="146" spans="1:6" ht="14.5" customHeight="1">
      <c r="A146" s="40"/>
      <c r="B146" s="91"/>
      <c r="C146" s="66" t="s">
        <v>284</v>
      </c>
      <c r="D146" s="64">
        <v>17</v>
      </c>
      <c r="E146" s="67">
        <v>1.4405558850940001E-3</v>
      </c>
      <c r="F146" s="40"/>
    </row>
    <row r="147" spans="1:6" ht="14.5" customHeight="1">
      <c r="A147" s="40"/>
      <c r="B147" s="89" t="s">
        <v>80</v>
      </c>
      <c r="C147" s="61" t="s">
        <v>228</v>
      </c>
      <c r="D147" s="62">
        <v>31</v>
      </c>
      <c r="E147" s="63">
        <v>2.6268960257610002E-3</v>
      </c>
      <c r="F147" s="40"/>
    </row>
    <row r="148" spans="1:6" ht="14.5" customHeight="1">
      <c r="A148" s="40"/>
      <c r="B148" s="90"/>
      <c r="C148" s="61" t="s">
        <v>229</v>
      </c>
      <c r="D148" s="62">
        <v>29</v>
      </c>
      <c r="E148" s="63">
        <v>2.4574188628079998E-3</v>
      </c>
      <c r="F148" s="40"/>
    </row>
    <row r="149" spans="1:6" ht="14.5" customHeight="1">
      <c r="A149" s="40"/>
      <c r="B149" s="91"/>
      <c r="C149" s="66" t="s">
        <v>284</v>
      </c>
      <c r="D149" s="64">
        <v>60</v>
      </c>
      <c r="E149" s="67">
        <v>5.084314888569E-3</v>
      </c>
      <c r="F149" s="40"/>
    </row>
    <row r="150" spans="1:6" ht="14.5" customHeight="1">
      <c r="A150" s="40"/>
      <c r="B150" s="89" t="s">
        <v>68</v>
      </c>
      <c r="C150" s="61" t="s">
        <v>228</v>
      </c>
      <c r="D150" s="62">
        <v>34</v>
      </c>
      <c r="E150" s="63">
        <v>2.8811117701889998E-3</v>
      </c>
      <c r="F150" s="40"/>
    </row>
    <row r="151" spans="1:6" ht="14.5" customHeight="1">
      <c r="A151" s="40"/>
      <c r="B151" s="90"/>
      <c r="C151" s="61" t="s">
        <v>229</v>
      </c>
      <c r="D151" s="62">
        <v>35</v>
      </c>
      <c r="E151" s="63">
        <v>2.965850351665E-3</v>
      </c>
      <c r="F151" s="40"/>
    </row>
    <row r="152" spans="1:6" ht="14.5" customHeight="1">
      <c r="A152" s="40"/>
      <c r="B152" s="91"/>
      <c r="C152" s="66" t="s">
        <v>284</v>
      </c>
      <c r="D152" s="64">
        <v>69</v>
      </c>
      <c r="E152" s="67">
        <v>5.8469621218539998E-3</v>
      </c>
      <c r="F152" s="40"/>
    </row>
    <row r="153" spans="1:6" ht="14.5" customHeight="1">
      <c r="A153" s="40"/>
      <c r="B153" s="89" t="s">
        <v>89</v>
      </c>
      <c r="C153" s="61" t="s">
        <v>228</v>
      </c>
      <c r="D153" s="62">
        <v>1</v>
      </c>
      <c r="E153" s="63">
        <v>8.4738581476000001E-5</v>
      </c>
      <c r="F153" s="40"/>
    </row>
    <row r="154" spans="1:6" ht="14.5" customHeight="1">
      <c r="A154" s="40"/>
      <c r="B154" s="90"/>
      <c r="C154" s="61" t="s">
        <v>229</v>
      </c>
      <c r="D154" s="62">
        <v>6</v>
      </c>
      <c r="E154" s="63">
        <v>5.0843148885699996E-4</v>
      </c>
      <c r="F154" s="40"/>
    </row>
    <row r="155" spans="1:6" ht="14.5" customHeight="1">
      <c r="A155" s="40"/>
      <c r="B155" s="91"/>
      <c r="C155" s="66" t="s">
        <v>284</v>
      </c>
      <c r="D155" s="64">
        <v>7</v>
      </c>
      <c r="E155" s="67">
        <v>5.9317007033300002E-4</v>
      </c>
      <c r="F155" s="40"/>
    </row>
    <row r="156" spans="1:6" ht="14.5" customHeight="1">
      <c r="A156" s="40"/>
      <c r="B156" s="89" t="s">
        <v>90</v>
      </c>
      <c r="C156" s="61" t="s">
        <v>228</v>
      </c>
      <c r="D156" s="62">
        <v>5</v>
      </c>
      <c r="E156" s="63">
        <v>4.2369290738100002E-4</v>
      </c>
      <c r="F156" s="40"/>
    </row>
    <row r="157" spans="1:6" ht="14.5" customHeight="1">
      <c r="A157" s="40"/>
      <c r="B157" s="90"/>
      <c r="C157" s="61" t="s">
        <v>229</v>
      </c>
      <c r="D157" s="62">
        <v>6</v>
      </c>
      <c r="E157" s="63">
        <v>5.0843148885699996E-4</v>
      </c>
      <c r="F157" s="40"/>
    </row>
    <row r="158" spans="1:6" ht="14.5" customHeight="1">
      <c r="A158" s="40"/>
      <c r="B158" s="91"/>
      <c r="C158" s="66" t="s">
        <v>284</v>
      </c>
      <c r="D158" s="64">
        <v>11</v>
      </c>
      <c r="E158" s="67">
        <v>9.3212439623799998E-4</v>
      </c>
      <c r="F158" s="40"/>
    </row>
    <row r="159" spans="1:6" ht="14.5" customHeight="1">
      <c r="A159" s="40"/>
      <c r="B159" s="89" t="s">
        <v>84</v>
      </c>
      <c r="C159" s="61" t="s">
        <v>228</v>
      </c>
      <c r="D159" s="62">
        <v>5</v>
      </c>
      <c r="E159" s="63">
        <v>4.2369290738100002E-4</v>
      </c>
      <c r="F159" s="40"/>
    </row>
    <row r="160" spans="1:6" ht="14.5" customHeight="1">
      <c r="A160" s="40"/>
      <c r="B160" s="90"/>
      <c r="C160" s="61" t="s">
        <v>229</v>
      </c>
      <c r="D160" s="62">
        <v>27</v>
      </c>
      <c r="E160" s="63">
        <v>2.2879416998559999E-3</v>
      </c>
      <c r="F160" s="40"/>
    </row>
    <row r="161" spans="1:6" ht="14.5" customHeight="1">
      <c r="A161" s="40"/>
      <c r="B161" s="91"/>
      <c r="C161" s="66" t="s">
        <v>284</v>
      </c>
      <c r="D161" s="64">
        <v>32</v>
      </c>
      <c r="E161" s="67">
        <v>2.7116346072369999E-3</v>
      </c>
      <c r="F161" s="40"/>
    </row>
    <row r="162" spans="1:6" ht="14.5" customHeight="1">
      <c r="A162" s="40"/>
      <c r="B162" s="89" t="s">
        <v>94</v>
      </c>
      <c r="C162" s="61" t="s">
        <v>229</v>
      </c>
      <c r="D162" s="62">
        <v>1</v>
      </c>
      <c r="E162" s="63">
        <v>8.4738581476000001E-5</v>
      </c>
      <c r="F162" s="40"/>
    </row>
    <row r="163" spans="1:6" ht="14.5" customHeight="1">
      <c r="A163" s="40"/>
      <c r="B163" s="91"/>
      <c r="C163" s="66" t="s">
        <v>284</v>
      </c>
      <c r="D163" s="64">
        <v>1</v>
      </c>
      <c r="E163" s="67">
        <v>8.4738581476000001E-5</v>
      </c>
      <c r="F163" s="40"/>
    </row>
    <row r="164" spans="1:6" ht="14.5" customHeight="1">
      <c r="A164" s="40"/>
      <c r="B164" s="87" t="s">
        <v>288</v>
      </c>
      <c r="C164" s="88"/>
      <c r="D164" s="69">
        <v>11801</v>
      </c>
      <c r="E164" s="70">
        <v>1</v>
      </c>
      <c r="F164" s="40"/>
    </row>
    <row r="165" spans="1:6" ht="14.5" customHeight="1">
      <c r="A165" s="40"/>
      <c r="B165" s="36"/>
      <c r="C165" s="31"/>
      <c r="D165" s="37"/>
      <c r="E165" s="31"/>
      <c r="F165" s="40"/>
    </row>
    <row r="166" spans="1:6" ht="12">
      <c r="A166" s="40"/>
      <c r="B166" s="36" t="s">
        <v>130</v>
      </c>
      <c r="C166" s="37"/>
      <c r="D166" s="37"/>
      <c r="E166" s="31"/>
      <c r="F166" s="40"/>
    </row>
    <row r="167" spans="1:6" ht="12">
      <c r="A167" s="40"/>
      <c r="B167" s="38" t="s">
        <v>17</v>
      </c>
      <c r="C167" s="37"/>
      <c r="D167" s="37"/>
      <c r="E167" s="31"/>
      <c r="F167" s="40"/>
    </row>
    <row r="168" spans="1:6" ht="12">
      <c r="A168" s="40"/>
      <c r="B168" s="39" t="s">
        <v>95</v>
      </c>
      <c r="C168" s="37"/>
      <c r="D168" s="37"/>
      <c r="E168" s="31"/>
      <c r="F168" s="40"/>
    </row>
    <row r="169" spans="1:6" ht="12">
      <c r="A169" s="40"/>
      <c r="B169" s="36" t="s">
        <v>16</v>
      </c>
      <c r="C169" s="37"/>
      <c r="D169" s="37"/>
      <c r="E169" s="31"/>
      <c r="F169" s="40"/>
    </row>
    <row r="170" spans="1:6" ht="12">
      <c r="A170" s="40"/>
      <c r="B170" s="36" t="s">
        <v>285</v>
      </c>
      <c r="C170" s="37"/>
      <c r="D170" s="37"/>
      <c r="E170" s="31"/>
      <c r="F170" s="40"/>
    </row>
  </sheetData>
  <mergeCells count="53">
    <mergeCell ref="B159:B161"/>
    <mergeCell ref="B162:B163"/>
    <mergeCell ref="B164:C164"/>
    <mergeCell ref="B144:B146"/>
    <mergeCell ref="B147:B149"/>
    <mergeCell ref="B150:B152"/>
    <mergeCell ref="B153:B155"/>
    <mergeCell ref="B156:B158"/>
    <mergeCell ref="B129:B131"/>
    <mergeCell ref="B132:B134"/>
    <mergeCell ref="B135:B137"/>
    <mergeCell ref="B138:B140"/>
    <mergeCell ref="B141:B143"/>
    <mergeCell ref="B114:B116"/>
    <mergeCell ref="B117:B119"/>
    <mergeCell ref="B120:B122"/>
    <mergeCell ref="B123:B125"/>
    <mergeCell ref="B126:B128"/>
    <mergeCell ref="B99:B101"/>
    <mergeCell ref="B102:B104"/>
    <mergeCell ref="B105:B107"/>
    <mergeCell ref="B108:B110"/>
    <mergeCell ref="B111:B113"/>
    <mergeCell ref="B85:B87"/>
    <mergeCell ref="B88:B90"/>
    <mergeCell ref="B91:B93"/>
    <mergeCell ref="B94:B95"/>
    <mergeCell ref="B96:B98"/>
    <mergeCell ref="B70:B72"/>
    <mergeCell ref="B73:B75"/>
    <mergeCell ref="B76:B78"/>
    <mergeCell ref="B79:B81"/>
    <mergeCell ref="B82:B84"/>
    <mergeCell ref="B54:B56"/>
    <mergeCell ref="B57:B59"/>
    <mergeCell ref="B60:B63"/>
    <mergeCell ref="B64:B66"/>
    <mergeCell ref="B67:B69"/>
    <mergeCell ref="B39:B41"/>
    <mergeCell ref="B42:B44"/>
    <mergeCell ref="B45:B47"/>
    <mergeCell ref="B48:B50"/>
    <mergeCell ref="B51:B53"/>
    <mergeCell ref="B25:B27"/>
    <mergeCell ref="B28:B30"/>
    <mergeCell ref="B31:B32"/>
    <mergeCell ref="B33:B35"/>
    <mergeCell ref="B36:B38"/>
    <mergeCell ref="B8:E10"/>
    <mergeCell ref="B13:B15"/>
    <mergeCell ref="B16:B18"/>
    <mergeCell ref="B19:B21"/>
    <mergeCell ref="B22:B24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G150"/>
  <sheetViews>
    <sheetView showGridLines="0" view="pageBreakPreview" zoomScaleNormal="100" zoomScaleSheetLayoutView="100" workbookViewId="0"/>
  </sheetViews>
  <sheetFormatPr baseColWidth="10" defaultColWidth="11.453125" defaultRowHeight="10"/>
  <cols>
    <col min="1" max="1" width="5.7265625" style="16" customWidth="1"/>
    <col min="2" max="2" width="20.7265625" style="22" customWidth="1"/>
    <col min="3" max="3" width="21.26953125" style="22" customWidth="1"/>
    <col min="4" max="4" width="15.7265625" style="25" customWidth="1"/>
    <col min="5" max="5" width="15.7265625" style="22" customWidth="1"/>
    <col min="6" max="6" width="5.7265625" style="16" customWidth="1"/>
    <col min="7" max="7" width="4.54296875" style="16" customWidth="1"/>
    <col min="8" max="16384" width="11.453125" style="16"/>
  </cols>
  <sheetData>
    <row r="1" spans="1:7" s="13" customFormat="1" ht="14.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F3" s="22"/>
    </row>
    <row r="4" spans="1:7" ht="30" customHeight="1">
      <c r="B4" s="28"/>
      <c r="C4" s="18"/>
      <c r="D4" s="16"/>
      <c r="F4" s="22"/>
    </row>
    <row r="5" spans="1:7" ht="15" customHeight="1">
      <c r="B5" s="28"/>
      <c r="C5" s="18"/>
      <c r="D5" s="16"/>
      <c r="F5" s="22"/>
    </row>
    <row r="6" spans="1:7" s="22" customFormat="1" ht="10.5">
      <c r="B6" s="24"/>
      <c r="C6" s="21"/>
    </row>
    <row r="7" spans="1:7" s="22" customFormat="1">
      <c r="B7" s="27"/>
    </row>
    <row r="8" spans="1:7" s="13" customFormat="1" ht="15" customHeight="1">
      <c r="A8" s="46"/>
      <c r="B8" s="85" t="s">
        <v>40</v>
      </c>
      <c r="C8" s="85"/>
      <c r="D8" s="85"/>
      <c r="E8" s="85"/>
      <c r="F8" s="46"/>
      <c r="G8" s="46"/>
    </row>
    <row r="9" spans="1:7" s="13" customFormat="1" ht="15" customHeight="1">
      <c r="A9" s="46"/>
      <c r="B9" s="85"/>
      <c r="C9" s="85"/>
      <c r="D9" s="85"/>
      <c r="E9" s="85"/>
      <c r="F9" s="57"/>
      <c r="G9" s="46"/>
    </row>
    <row r="10" spans="1:7" s="13" customFormat="1" ht="15" customHeight="1">
      <c r="A10" s="46"/>
      <c r="B10" s="85"/>
      <c r="C10" s="85"/>
      <c r="D10" s="85"/>
      <c r="E10" s="85"/>
      <c r="F10" s="46"/>
      <c r="G10" s="46"/>
    </row>
    <row r="11" spans="1:7" s="13" customFormat="1" ht="9.75" customHeight="1">
      <c r="A11" s="46"/>
      <c r="B11" s="58"/>
      <c r="C11" s="58"/>
      <c r="D11" s="58"/>
      <c r="E11" s="58"/>
      <c r="F11" s="46"/>
      <c r="G11" s="46"/>
    </row>
    <row r="12" spans="1:7" s="13" customFormat="1" ht="37" customHeight="1">
      <c r="A12" s="46"/>
      <c r="B12" s="59" t="s">
        <v>24</v>
      </c>
      <c r="C12" s="59" t="s">
        <v>28</v>
      </c>
      <c r="D12" s="59" t="s">
        <v>19</v>
      </c>
      <c r="E12" s="59" t="s">
        <v>18</v>
      </c>
      <c r="F12" s="46"/>
      <c r="G12" s="46"/>
    </row>
    <row r="13" spans="1:7" ht="14.5" customHeight="1">
      <c r="A13" s="40"/>
      <c r="B13" s="111" t="s">
        <v>189</v>
      </c>
      <c r="C13" s="61" t="s">
        <v>228</v>
      </c>
      <c r="D13" s="62">
        <v>31</v>
      </c>
      <c r="E13" s="63">
        <v>2.6268960257610002E-3</v>
      </c>
      <c r="F13" s="40"/>
      <c r="G13" s="40"/>
    </row>
    <row r="14" spans="1:7" ht="14.5" customHeight="1">
      <c r="A14" s="40"/>
      <c r="B14" s="111"/>
      <c r="C14" s="61" t="s">
        <v>229</v>
      </c>
      <c r="D14" s="62">
        <v>37</v>
      </c>
      <c r="E14" s="63">
        <v>3.1353275146169999E-3</v>
      </c>
      <c r="F14" s="40"/>
      <c r="G14" s="40"/>
    </row>
    <row r="15" spans="1:7" ht="14.5" customHeight="1">
      <c r="A15" s="40"/>
      <c r="B15" s="111"/>
      <c r="C15" s="66" t="s">
        <v>284</v>
      </c>
      <c r="D15" s="64">
        <v>68</v>
      </c>
      <c r="E15" s="67">
        <v>5.7622235403779996E-3</v>
      </c>
      <c r="F15" s="40"/>
      <c r="G15" s="40"/>
    </row>
    <row r="16" spans="1:7" ht="14.5" customHeight="1">
      <c r="A16" s="40"/>
      <c r="B16" s="111" t="s">
        <v>210</v>
      </c>
      <c r="C16" s="61" t="s">
        <v>228</v>
      </c>
      <c r="D16" s="62">
        <v>1</v>
      </c>
      <c r="E16" s="63">
        <v>8.4738581476000001E-5</v>
      </c>
      <c r="F16" s="40"/>
      <c r="G16" s="40"/>
    </row>
    <row r="17" spans="1:7" ht="14.5" customHeight="1">
      <c r="A17" s="40"/>
      <c r="B17" s="111"/>
      <c r="C17" s="61" t="s">
        <v>229</v>
      </c>
      <c r="D17" s="62">
        <v>1</v>
      </c>
      <c r="E17" s="63">
        <v>8.4738581476000001E-5</v>
      </c>
      <c r="F17" s="40"/>
      <c r="G17" s="40"/>
    </row>
    <row r="18" spans="1:7" ht="14.5" customHeight="1">
      <c r="A18" s="40"/>
      <c r="B18" s="111"/>
      <c r="C18" s="66" t="s">
        <v>284</v>
      </c>
      <c r="D18" s="64">
        <v>2</v>
      </c>
      <c r="E18" s="67">
        <v>1.69477162952E-4</v>
      </c>
      <c r="F18" s="40"/>
      <c r="G18" s="40"/>
    </row>
    <row r="19" spans="1:7" ht="14.5" customHeight="1">
      <c r="A19" s="40"/>
      <c r="B19" s="111" t="s">
        <v>184</v>
      </c>
      <c r="C19" s="61" t="s">
        <v>228</v>
      </c>
      <c r="D19" s="62">
        <v>39</v>
      </c>
      <c r="E19" s="63">
        <v>3.3048046775699998E-3</v>
      </c>
      <c r="F19" s="40"/>
      <c r="G19" s="40"/>
    </row>
    <row r="20" spans="1:7" ht="14.5" customHeight="1">
      <c r="A20" s="40"/>
      <c r="B20" s="111"/>
      <c r="C20" s="61" t="s">
        <v>229</v>
      </c>
      <c r="D20" s="62">
        <v>43</v>
      </c>
      <c r="E20" s="63">
        <v>3.6437590034740001E-3</v>
      </c>
      <c r="F20" s="40"/>
      <c r="G20" s="40"/>
    </row>
    <row r="21" spans="1:7" ht="14.5" customHeight="1">
      <c r="A21" s="40"/>
      <c r="B21" s="111"/>
      <c r="C21" s="66" t="s">
        <v>284</v>
      </c>
      <c r="D21" s="64">
        <v>82</v>
      </c>
      <c r="E21" s="67">
        <v>6.9485636810440003E-3</v>
      </c>
      <c r="F21" s="40"/>
      <c r="G21" s="40"/>
    </row>
    <row r="22" spans="1:7" ht="14.5" customHeight="1">
      <c r="A22" s="40"/>
      <c r="B22" s="111" t="s">
        <v>183</v>
      </c>
      <c r="C22" s="61" t="s">
        <v>228</v>
      </c>
      <c r="D22" s="62">
        <v>31</v>
      </c>
      <c r="E22" s="63">
        <v>2.6268960257610002E-3</v>
      </c>
      <c r="F22" s="40"/>
      <c r="G22" s="40"/>
    </row>
    <row r="23" spans="1:7" ht="14.5" customHeight="1">
      <c r="A23" s="40"/>
      <c r="B23" s="111"/>
      <c r="C23" s="61" t="s">
        <v>229</v>
      </c>
      <c r="D23" s="62">
        <v>52</v>
      </c>
      <c r="E23" s="63">
        <v>4.4064062367600004E-3</v>
      </c>
      <c r="F23" s="40"/>
      <c r="G23" s="40"/>
    </row>
    <row r="24" spans="1:7" ht="14.5" customHeight="1">
      <c r="A24" s="40"/>
      <c r="B24" s="111"/>
      <c r="C24" s="66" t="s">
        <v>284</v>
      </c>
      <c r="D24" s="64">
        <v>83</v>
      </c>
      <c r="E24" s="67">
        <v>7.0333022625199996E-3</v>
      </c>
      <c r="F24" s="40"/>
      <c r="G24" s="40"/>
    </row>
    <row r="25" spans="1:7" ht="14.5" customHeight="1">
      <c r="A25" s="40"/>
      <c r="B25" s="111" t="s">
        <v>172</v>
      </c>
      <c r="C25" s="61" t="s">
        <v>228</v>
      </c>
      <c r="D25" s="62">
        <v>290</v>
      </c>
      <c r="E25" s="63">
        <v>2.4574188628082E-2</v>
      </c>
      <c r="F25" s="40"/>
      <c r="G25" s="40"/>
    </row>
    <row r="26" spans="1:7" ht="14.5" customHeight="1">
      <c r="A26" s="40"/>
      <c r="B26" s="111"/>
      <c r="C26" s="61" t="s">
        <v>229</v>
      </c>
      <c r="D26" s="62">
        <v>261</v>
      </c>
      <c r="E26" s="63">
        <v>2.2116769765273998E-2</v>
      </c>
      <c r="F26" s="40"/>
      <c r="G26" s="40"/>
    </row>
    <row r="27" spans="1:7" ht="14.5" customHeight="1">
      <c r="A27" s="40"/>
      <c r="B27" s="111"/>
      <c r="C27" s="66" t="s">
        <v>284</v>
      </c>
      <c r="D27" s="64">
        <v>551</v>
      </c>
      <c r="E27" s="67">
        <v>4.6690958393356997E-2</v>
      </c>
      <c r="F27" s="40"/>
      <c r="G27" s="40"/>
    </row>
    <row r="28" spans="1:7" ht="14.5" customHeight="1">
      <c r="A28" s="40"/>
      <c r="B28" s="111" t="s">
        <v>175</v>
      </c>
      <c r="C28" s="61" t="s">
        <v>228</v>
      </c>
      <c r="D28" s="62">
        <v>86</v>
      </c>
      <c r="E28" s="63">
        <v>7.2875180069490002E-3</v>
      </c>
      <c r="F28" s="40"/>
      <c r="G28" s="40"/>
    </row>
    <row r="29" spans="1:7" ht="14.5" customHeight="1">
      <c r="A29" s="40"/>
      <c r="B29" s="111"/>
      <c r="C29" s="61" t="s">
        <v>229</v>
      </c>
      <c r="D29" s="62">
        <v>135</v>
      </c>
      <c r="E29" s="63">
        <v>1.1439708499280001E-2</v>
      </c>
      <c r="F29" s="40"/>
      <c r="G29" s="40"/>
    </row>
    <row r="30" spans="1:7" ht="14.5" customHeight="1">
      <c r="A30" s="40"/>
      <c r="B30" s="111"/>
      <c r="C30" s="66" t="s">
        <v>284</v>
      </c>
      <c r="D30" s="64">
        <v>221</v>
      </c>
      <c r="E30" s="67">
        <v>1.8727226506228E-2</v>
      </c>
      <c r="F30" s="40"/>
      <c r="G30" s="40"/>
    </row>
    <row r="31" spans="1:7" ht="14.5" customHeight="1">
      <c r="A31" s="40"/>
      <c r="B31" s="111" t="s">
        <v>207</v>
      </c>
      <c r="C31" s="61" t="s">
        <v>228</v>
      </c>
      <c r="D31" s="62">
        <v>3</v>
      </c>
      <c r="E31" s="63">
        <v>2.54215744428E-4</v>
      </c>
      <c r="F31" s="40"/>
      <c r="G31" s="40"/>
    </row>
    <row r="32" spans="1:7" ht="14.5" customHeight="1">
      <c r="A32" s="40"/>
      <c r="B32" s="111"/>
      <c r="C32" s="61" t="s">
        <v>229</v>
      </c>
      <c r="D32" s="62">
        <v>3</v>
      </c>
      <c r="E32" s="63">
        <v>2.54215744428E-4</v>
      </c>
      <c r="F32" s="40"/>
      <c r="G32" s="40"/>
    </row>
    <row r="33" spans="1:7" ht="14.5" customHeight="1">
      <c r="A33" s="40"/>
      <c r="B33" s="111"/>
      <c r="C33" s="66" t="s">
        <v>284</v>
      </c>
      <c r="D33" s="64">
        <v>6</v>
      </c>
      <c r="E33" s="67">
        <v>5.0843148885699996E-4</v>
      </c>
      <c r="F33" s="40"/>
      <c r="G33" s="40"/>
    </row>
    <row r="34" spans="1:7" ht="14.5" customHeight="1">
      <c r="A34" s="40"/>
      <c r="B34" s="111" t="s">
        <v>211</v>
      </c>
      <c r="C34" s="61" t="s">
        <v>229</v>
      </c>
      <c r="D34" s="62">
        <v>1</v>
      </c>
      <c r="E34" s="63">
        <v>8.4738581476000001E-5</v>
      </c>
      <c r="F34" s="40"/>
      <c r="G34" s="40"/>
    </row>
    <row r="35" spans="1:7" ht="14.5" customHeight="1">
      <c r="A35" s="40"/>
      <c r="B35" s="111"/>
      <c r="C35" s="66" t="s">
        <v>284</v>
      </c>
      <c r="D35" s="64">
        <v>1</v>
      </c>
      <c r="E35" s="67">
        <v>8.4738581476000001E-5</v>
      </c>
      <c r="F35" s="40"/>
      <c r="G35" s="40"/>
    </row>
    <row r="36" spans="1:7" ht="14.5" customHeight="1">
      <c r="A36" s="40"/>
      <c r="B36" s="111" t="s">
        <v>177</v>
      </c>
      <c r="C36" s="61" t="s">
        <v>228</v>
      </c>
      <c r="D36" s="62">
        <v>55</v>
      </c>
      <c r="E36" s="63">
        <v>4.660621981188E-3</v>
      </c>
      <c r="F36" s="40"/>
      <c r="G36" s="40"/>
    </row>
    <row r="37" spans="1:7" ht="14.5" customHeight="1">
      <c r="A37" s="40"/>
      <c r="B37" s="111"/>
      <c r="C37" s="61" t="s">
        <v>229</v>
      </c>
      <c r="D37" s="62">
        <v>74</v>
      </c>
      <c r="E37" s="63">
        <v>6.2706550292349998E-3</v>
      </c>
      <c r="F37" s="40"/>
      <c r="G37" s="40"/>
    </row>
    <row r="38" spans="1:7" ht="14.5" customHeight="1">
      <c r="A38" s="40"/>
      <c r="B38" s="111"/>
      <c r="C38" s="66" t="s">
        <v>284</v>
      </c>
      <c r="D38" s="64">
        <v>129</v>
      </c>
      <c r="E38" s="67">
        <v>1.0931277010423001E-2</v>
      </c>
      <c r="F38" s="40"/>
      <c r="G38" s="40"/>
    </row>
    <row r="39" spans="1:7" ht="14.5" customHeight="1">
      <c r="A39" s="40"/>
      <c r="B39" s="111" t="s">
        <v>180</v>
      </c>
      <c r="C39" s="61" t="s">
        <v>228</v>
      </c>
      <c r="D39" s="62">
        <v>48</v>
      </c>
      <c r="E39" s="63">
        <v>4.0674519108549996E-3</v>
      </c>
      <c r="F39" s="40"/>
      <c r="G39" s="40"/>
    </row>
    <row r="40" spans="1:7" ht="14.5" customHeight="1">
      <c r="A40" s="40"/>
      <c r="B40" s="111"/>
      <c r="C40" s="61" t="s">
        <v>229</v>
      </c>
      <c r="D40" s="62">
        <v>70</v>
      </c>
      <c r="E40" s="63">
        <v>5.93170070333E-3</v>
      </c>
      <c r="F40" s="40"/>
      <c r="G40" s="40"/>
    </row>
    <row r="41" spans="1:7" ht="14.5" customHeight="1">
      <c r="A41" s="40"/>
      <c r="B41" s="111"/>
      <c r="C41" s="66" t="s">
        <v>284</v>
      </c>
      <c r="D41" s="64">
        <v>118</v>
      </c>
      <c r="E41" s="67">
        <v>9.9991526141850005E-3</v>
      </c>
      <c r="F41" s="40"/>
      <c r="G41" s="40"/>
    </row>
    <row r="42" spans="1:7" ht="14.5" customHeight="1">
      <c r="A42" s="40"/>
      <c r="B42" s="111" t="s">
        <v>212</v>
      </c>
      <c r="C42" s="61" t="s">
        <v>228</v>
      </c>
      <c r="D42" s="62">
        <v>1</v>
      </c>
      <c r="E42" s="63">
        <v>8.4738581476000001E-5</v>
      </c>
      <c r="F42" s="40"/>
      <c r="G42" s="40"/>
    </row>
    <row r="43" spans="1:7" ht="14.5" customHeight="1">
      <c r="A43" s="40"/>
      <c r="B43" s="111"/>
      <c r="C43" s="66" t="s">
        <v>284</v>
      </c>
      <c r="D43" s="64">
        <v>1</v>
      </c>
      <c r="E43" s="67">
        <v>8.4738581476000001E-5</v>
      </c>
      <c r="F43" s="40"/>
      <c r="G43" s="40"/>
    </row>
    <row r="44" spans="1:7" ht="14.5" customHeight="1">
      <c r="A44" s="40"/>
      <c r="B44" s="111" t="s">
        <v>201</v>
      </c>
      <c r="C44" s="61" t="s">
        <v>228</v>
      </c>
      <c r="D44" s="62">
        <v>3</v>
      </c>
      <c r="E44" s="63">
        <v>2.54215744428E-4</v>
      </c>
      <c r="F44" s="40"/>
      <c r="G44" s="40"/>
    </row>
    <row r="45" spans="1:7" ht="14.5" customHeight="1">
      <c r="A45" s="40"/>
      <c r="B45" s="111"/>
      <c r="C45" s="61" t="s">
        <v>229</v>
      </c>
      <c r="D45" s="62">
        <v>11</v>
      </c>
      <c r="E45" s="63">
        <v>9.3212439623799998E-4</v>
      </c>
      <c r="F45" s="40"/>
      <c r="G45" s="40"/>
    </row>
    <row r="46" spans="1:7" ht="14.5" customHeight="1">
      <c r="A46" s="40"/>
      <c r="B46" s="111"/>
      <c r="C46" s="66" t="s">
        <v>284</v>
      </c>
      <c r="D46" s="64">
        <v>14</v>
      </c>
      <c r="E46" s="67">
        <v>1.186340140666E-3</v>
      </c>
      <c r="F46" s="40"/>
      <c r="G46" s="40"/>
    </row>
    <row r="47" spans="1:7" ht="14.5" customHeight="1">
      <c r="A47" s="40"/>
      <c r="B47" s="111" t="s">
        <v>174</v>
      </c>
      <c r="C47" s="61" t="s">
        <v>228</v>
      </c>
      <c r="D47" s="62">
        <v>122</v>
      </c>
      <c r="E47" s="63">
        <v>1.033810694009E-2</v>
      </c>
      <c r="F47" s="40"/>
      <c r="G47" s="40"/>
    </row>
    <row r="48" spans="1:7" ht="14.5" customHeight="1">
      <c r="A48" s="40"/>
      <c r="B48" s="111"/>
      <c r="C48" s="61" t="s">
        <v>229</v>
      </c>
      <c r="D48" s="62">
        <v>156</v>
      </c>
      <c r="E48" s="63">
        <v>1.3219218710279E-2</v>
      </c>
      <c r="F48" s="40"/>
      <c r="G48" s="40"/>
    </row>
    <row r="49" spans="1:7" ht="14.5" customHeight="1">
      <c r="A49" s="40"/>
      <c r="B49" s="111"/>
      <c r="C49" s="66" t="s">
        <v>284</v>
      </c>
      <c r="D49" s="64">
        <v>278</v>
      </c>
      <c r="E49" s="67">
        <v>2.3557325650368999E-2</v>
      </c>
      <c r="F49" s="40"/>
      <c r="G49" s="40"/>
    </row>
    <row r="50" spans="1:7" ht="14.5" customHeight="1">
      <c r="A50" s="40"/>
      <c r="B50" s="111" t="s">
        <v>188</v>
      </c>
      <c r="C50" s="61" t="s">
        <v>228</v>
      </c>
      <c r="D50" s="62">
        <v>27</v>
      </c>
      <c r="E50" s="63">
        <v>2.2879416998559999E-3</v>
      </c>
      <c r="F50" s="40"/>
      <c r="G50" s="40"/>
    </row>
    <row r="51" spans="1:7" ht="14.5" customHeight="1">
      <c r="A51" s="40"/>
      <c r="B51" s="111"/>
      <c r="C51" s="61" t="s">
        <v>229</v>
      </c>
      <c r="D51" s="62">
        <v>44</v>
      </c>
      <c r="E51" s="63">
        <v>3.7284975849499998E-3</v>
      </c>
      <c r="F51" s="40"/>
      <c r="G51" s="40"/>
    </row>
    <row r="52" spans="1:7" ht="14.5" customHeight="1">
      <c r="A52" s="40"/>
      <c r="B52" s="111"/>
      <c r="C52" s="66" t="s">
        <v>284</v>
      </c>
      <c r="D52" s="64">
        <v>71</v>
      </c>
      <c r="E52" s="67">
        <v>6.0164392848060001E-3</v>
      </c>
      <c r="F52" s="40"/>
      <c r="G52" s="40"/>
    </row>
    <row r="53" spans="1:7" ht="14.5" customHeight="1">
      <c r="A53" s="40"/>
      <c r="B53" s="111" t="s">
        <v>196</v>
      </c>
      <c r="C53" s="61" t="s">
        <v>228</v>
      </c>
      <c r="D53" s="62">
        <v>14</v>
      </c>
      <c r="E53" s="63">
        <v>1.186340140666E-3</v>
      </c>
      <c r="F53" s="40"/>
      <c r="G53" s="40"/>
    </row>
    <row r="54" spans="1:7" ht="14.5" customHeight="1">
      <c r="A54" s="40"/>
      <c r="B54" s="111"/>
      <c r="C54" s="61" t="s">
        <v>229</v>
      </c>
      <c r="D54" s="62">
        <v>23</v>
      </c>
      <c r="E54" s="63">
        <v>1.9489873739510001E-3</v>
      </c>
      <c r="F54" s="40"/>
      <c r="G54" s="40"/>
    </row>
    <row r="55" spans="1:7" ht="14.5" customHeight="1">
      <c r="A55" s="40"/>
      <c r="B55" s="111"/>
      <c r="C55" s="66" t="s">
        <v>284</v>
      </c>
      <c r="D55" s="64">
        <v>37</v>
      </c>
      <c r="E55" s="67">
        <v>3.1353275146169999E-3</v>
      </c>
      <c r="F55" s="40"/>
      <c r="G55" s="40"/>
    </row>
    <row r="56" spans="1:7" ht="14.5" customHeight="1">
      <c r="A56" s="40"/>
      <c r="B56" s="111" t="s">
        <v>176</v>
      </c>
      <c r="C56" s="61" t="s">
        <v>228</v>
      </c>
      <c r="D56" s="62">
        <v>61</v>
      </c>
      <c r="E56" s="63">
        <v>5.1690534700450002E-3</v>
      </c>
      <c r="F56" s="40"/>
      <c r="G56" s="40"/>
    </row>
    <row r="57" spans="1:7" ht="14.5" customHeight="1">
      <c r="A57" s="40"/>
      <c r="B57" s="111"/>
      <c r="C57" s="61" t="s">
        <v>229</v>
      </c>
      <c r="D57" s="62">
        <v>97</v>
      </c>
      <c r="E57" s="63">
        <v>8.2196424031859994E-3</v>
      </c>
      <c r="F57" s="40"/>
      <c r="G57" s="40"/>
    </row>
    <row r="58" spans="1:7" ht="14.5" customHeight="1">
      <c r="A58" s="40"/>
      <c r="B58" s="111"/>
      <c r="C58" s="66" t="s">
        <v>284</v>
      </c>
      <c r="D58" s="64">
        <v>158</v>
      </c>
      <c r="E58" s="67">
        <v>1.3388695873231E-2</v>
      </c>
      <c r="F58" s="40"/>
      <c r="G58" s="40"/>
    </row>
    <row r="59" spans="1:7" ht="14.5" customHeight="1">
      <c r="A59" s="40"/>
      <c r="B59" s="111" t="s">
        <v>194</v>
      </c>
      <c r="C59" s="61" t="s">
        <v>228</v>
      </c>
      <c r="D59" s="62">
        <v>18</v>
      </c>
      <c r="E59" s="63">
        <v>1.5252944665710001E-3</v>
      </c>
      <c r="F59" s="40"/>
      <c r="G59" s="40"/>
    </row>
    <row r="60" spans="1:7" ht="14.5" customHeight="1">
      <c r="A60" s="40"/>
      <c r="B60" s="111"/>
      <c r="C60" s="61" t="s">
        <v>229</v>
      </c>
      <c r="D60" s="62">
        <v>35</v>
      </c>
      <c r="E60" s="63">
        <v>2.965850351665E-3</v>
      </c>
      <c r="F60" s="40"/>
      <c r="G60" s="40"/>
    </row>
    <row r="61" spans="1:7" ht="14.5" customHeight="1">
      <c r="A61" s="40"/>
      <c r="B61" s="111"/>
      <c r="C61" s="66" t="s">
        <v>284</v>
      </c>
      <c r="D61" s="64">
        <v>53</v>
      </c>
      <c r="E61" s="67">
        <v>4.4911448182359997E-3</v>
      </c>
      <c r="F61" s="40"/>
      <c r="G61" s="40"/>
    </row>
    <row r="62" spans="1:7" ht="14.5" customHeight="1">
      <c r="A62" s="40"/>
      <c r="B62" s="111" t="s">
        <v>193</v>
      </c>
      <c r="C62" s="61" t="s">
        <v>228</v>
      </c>
      <c r="D62" s="62">
        <v>13</v>
      </c>
      <c r="E62" s="63">
        <v>1.1016015591900001E-3</v>
      </c>
      <c r="F62" s="40"/>
      <c r="G62" s="40"/>
    </row>
    <row r="63" spans="1:7" ht="14.5" customHeight="1">
      <c r="A63" s="40"/>
      <c r="B63" s="111"/>
      <c r="C63" s="61" t="s">
        <v>229</v>
      </c>
      <c r="D63" s="62">
        <v>41</v>
      </c>
      <c r="E63" s="63">
        <v>3.4742818405220002E-3</v>
      </c>
      <c r="F63" s="40"/>
      <c r="G63" s="40"/>
    </row>
    <row r="64" spans="1:7" ht="14.5" customHeight="1">
      <c r="A64" s="40"/>
      <c r="B64" s="111"/>
      <c r="C64" s="66" t="s">
        <v>284</v>
      </c>
      <c r="D64" s="64">
        <v>54</v>
      </c>
      <c r="E64" s="67">
        <v>4.5758833997119998E-3</v>
      </c>
      <c r="F64" s="40"/>
      <c r="G64" s="40"/>
    </row>
    <row r="65" spans="1:7" ht="14.5" customHeight="1">
      <c r="A65" s="40"/>
      <c r="B65" s="111" t="s">
        <v>204</v>
      </c>
      <c r="C65" s="61" t="s">
        <v>228</v>
      </c>
      <c r="D65" s="62">
        <v>3</v>
      </c>
      <c r="E65" s="63">
        <v>2.54215744428E-4</v>
      </c>
      <c r="F65" s="40"/>
      <c r="G65" s="40"/>
    </row>
    <row r="66" spans="1:7" ht="14.5" customHeight="1">
      <c r="A66" s="40"/>
      <c r="B66" s="111"/>
      <c r="C66" s="61" t="s">
        <v>229</v>
      </c>
      <c r="D66" s="62">
        <v>5</v>
      </c>
      <c r="E66" s="63">
        <v>4.2369290738100002E-4</v>
      </c>
      <c r="F66" s="40"/>
      <c r="G66" s="40"/>
    </row>
    <row r="67" spans="1:7" ht="14.5" customHeight="1">
      <c r="A67" s="40"/>
      <c r="B67" s="111"/>
      <c r="C67" s="66" t="s">
        <v>284</v>
      </c>
      <c r="D67" s="64">
        <v>8</v>
      </c>
      <c r="E67" s="67">
        <v>6.7790865180899996E-4</v>
      </c>
      <c r="F67" s="40"/>
      <c r="G67" s="40"/>
    </row>
    <row r="68" spans="1:7" ht="14.5" customHeight="1">
      <c r="A68" s="40"/>
      <c r="B68" s="111" t="s">
        <v>213</v>
      </c>
      <c r="C68" s="61" t="s">
        <v>228</v>
      </c>
      <c r="D68" s="62">
        <v>1</v>
      </c>
      <c r="E68" s="63">
        <v>8.4738581476000001E-5</v>
      </c>
      <c r="F68" s="40"/>
      <c r="G68" s="40"/>
    </row>
    <row r="69" spans="1:7" ht="14.5" customHeight="1">
      <c r="A69" s="40"/>
      <c r="B69" s="111"/>
      <c r="C69" s="66" t="s">
        <v>284</v>
      </c>
      <c r="D69" s="64">
        <v>1</v>
      </c>
      <c r="E69" s="67">
        <v>8.4738581476000001E-5</v>
      </c>
      <c r="F69" s="40"/>
      <c r="G69" s="40"/>
    </row>
    <row r="70" spans="1:7" ht="14.5" customHeight="1">
      <c r="A70" s="40"/>
      <c r="B70" s="114" t="s">
        <v>191</v>
      </c>
      <c r="C70" s="61" t="s">
        <v>228</v>
      </c>
      <c r="D70" s="62">
        <v>28</v>
      </c>
      <c r="E70" s="63">
        <v>2.3726802813320001E-3</v>
      </c>
      <c r="F70" s="40"/>
      <c r="G70" s="40"/>
    </row>
    <row r="71" spans="1:7" ht="14.5" customHeight="1">
      <c r="A71" s="40"/>
      <c r="B71" s="114"/>
      <c r="C71" s="61" t="s">
        <v>229</v>
      </c>
      <c r="D71" s="62">
        <v>30</v>
      </c>
      <c r="E71" s="63">
        <v>2.542157444284E-3</v>
      </c>
      <c r="F71" s="40"/>
      <c r="G71" s="40"/>
    </row>
    <row r="72" spans="1:7" ht="14.5" customHeight="1">
      <c r="A72" s="40"/>
      <c r="B72" s="114"/>
      <c r="C72" s="66" t="s">
        <v>284</v>
      </c>
      <c r="D72" s="64">
        <v>58</v>
      </c>
      <c r="E72" s="67">
        <v>4.9148377256159996E-3</v>
      </c>
      <c r="F72" s="40"/>
      <c r="G72" s="40"/>
    </row>
    <row r="73" spans="1:7" ht="14.5" customHeight="1">
      <c r="A73" s="40"/>
      <c r="B73" s="111" t="s">
        <v>182</v>
      </c>
      <c r="C73" s="61" t="s">
        <v>228</v>
      </c>
      <c r="D73" s="62">
        <v>44</v>
      </c>
      <c r="E73" s="63">
        <v>3.7284975849499998E-3</v>
      </c>
      <c r="F73" s="40"/>
      <c r="G73" s="40"/>
    </row>
    <row r="74" spans="1:7" ht="14.5" customHeight="1">
      <c r="A74" s="40"/>
      <c r="B74" s="111"/>
      <c r="C74" s="61" t="s">
        <v>229</v>
      </c>
      <c r="D74" s="62">
        <v>52</v>
      </c>
      <c r="E74" s="63">
        <v>4.4064062367600004E-3</v>
      </c>
      <c r="F74" s="40"/>
      <c r="G74" s="40"/>
    </row>
    <row r="75" spans="1:7" ht="14.5" customHeight="1">
      <c r="A75" s="40"/>
      <c r="B75" s="111"/>
      <c r="C75" s="66" t="s">
        <v>284</v>
      </c>
      <c r="D75" s="64">
        <v>96</v>
      </c>
      <c r="E75" s="67">
        <v>8.1349038217099993E-3</v>
      </c>
      <c r="F75" s="40"/>
      <c r="G75" s="40"/>
    </row>
    <row r="76" spans="1:7" ht="14.5" customHeight="1">
      <c r="A76" s="40"/>
      <c r="B76" s="111" t="s">
        <v>197</v>
      </c>
      <c r="C76" s="61" t="s">
        <v>228</v>
      </c>
      <c r="D76" s="62">
        <v>14</v>
      </c>
      <c r="E76" s="63">
        <v>1.186340140666E-3</v>
      </c>
      <c r="F76" s="40"/>
      <c r="G76" s="40"/>
    </row>
    <row r="77" spans="1:7" ht="14.5" customHeight="1">
      <c r="A77" s="40"/>
      <c r="B77" s="111"/>
      <c r="C77" s="61" t="s">
        <v>229</v>
      </c>
      <c r="D77" s="62">
        <v>16</v>
      </c>
      <c r="E77" s="63">
        <v>1.3558173036179999E-3</v>
      </c>
      <c r="F77" s="40"/>
      <c r="G77" s="40"/>
    </row>
    <row r="78" spans="1:7" ht="14.5" customHeight="1">
      <c r="A78" s="40"/>
      <c r="B78" s="111"/>
      <c r="C78" s="66" t="s">
        <v>284</v>
      </c>
      <c r="D78" s="64">
        <v>30</v>
      </c>
      <c r="E78" s="67">
        <v>2.542157444284E-3</v>
      </c>
      <c r="F78" s="40"/>
      <c r="G78" s="40"/>
    </row>
    <row r="79" spans="1:7" ht="14.5" customHeight="1">
      <c r="A79" s="40"/>
      <c r="B79" s="111" t="s">
        <v>190</v>
      </c>
      <c r="C79" s="61" t="s">
        <v>228</v>
      </c>
      <c r="D79" s="62">
        <v>35</v>
      </c>
      <c r="E79" s="63">
        <v>2.965850351665E-3</v>
      </c>
      <c r="F79" s="40"/>
      <c r="G79" s="40"/>
    </row>
    <row r="80" spans="1:7" ht="14.5" customHeight="1">
      <c r="A80" s="40"/>
      <c r="B80" s="111"/>
      <c r="C80" s="61" t="s">
        <v>229</v>
      </c>
      <c r="D80" s="62">
        <v>30</v>
      </c>
      <c r="E80" s="63">
        <v>2.542157444284E-3</v>
      </c>
      <c r="F80" s="40"/>
      <c r="G80" s="40"/>
    </row>
    <row r="81" spans="1:7" ht="14.5" customHeight="1">
      <c r="A81" s="40"/>
      <c r="B81" s="111"/>
      <c r="C81" s="66" t="s">
        <v>284</v>
      </c>
      <c r="D81" s="64">
        <v>65</v>
      </c>
      <c r="E81" s="67">
        <v>5.5080077959489999E-3</v>
      </c>
      <c r="F81" s="40"/>
      <c r="G81" s="40"/>
    </row>
    <row r="82" spans="1:7" ht="14.5" customHeight="1">
      <c r="A82" s="40"/>
      <c r="B82" s="111" t="s">
        <v>186</v>
      </c>
      <c r="C82" s="61" t="s">
        <v>228</v>
      </c>
      <c r="D82" s="62">
        <v>32</v>
      </c>
      <c r="E82" s="63">
        <v>2.7116346072369999E-3</v>
      </c>
      <c r="F82" s="40"/>
      <c r="G82" s="40"/>
    </row>
    <row r="83" spans="1:7" ht="14.5" customHeight="1">
      <c r="A83" s="40"/>
      <c r="B83" s="111"/>
      <c r="C83" s="61" t="s">
        <v>229</v>
      </c>
      <c r="D83" s="62">
        <v>48</v>
      </c>
      <c r="E83" s="63">
        <v>4.0674519108549996E-3</v>
      </c>
      <c r="F83" s="40"/>
      <c r="G83" s="40"/>
    </row>
    <row r="84" spans="1:7" ht="14.5" customHeight="1">
      <c r="A84" s="40"/>
      <c r="B84" s="111"/>
      <c r="C84" s="66" t="s">
        <v>284</v>
      </c>
      <c r="D84" s="64">
        <v>80</v>
      </c>
      <c r="E84" s="67">
        <v>6.779086518092E-3</v>
      </c>
      <c r="F84" s="40"/>
      <c r="G84" s="40"/>
    </row>
    <row r="85" spans="1:7" ht="14.5" customHeight="1">
      <c r="A85" s="40"/>
      <c r="B85" s="111" t="s">
        <v>187</v>
      </c>
      <c r="C85" s="61" t="s">
        <v>228</v>
      </c>
      <c r="D85" s="62">
        <v>39</v>
      </c>
      <c r="E85" s="63">
        <v>3.3048046775699998E-3</v>
      </c>
      <c r="F85" s="40"/>
      <c r="G85" s="40"/>
    </row>
    <row r="86" spans="1:7" ht="14.5" customHeight="1">
      <c r="A86" s="40"/>
      <c r="B86" s="111"/>
      <c r="C86" s="61" t="s">
        <v>229</v>
      </c>
      <c r="D86" s="62">
        <v>36</v>
      </c>
      <c r="E86" s="63">
        <v>3.0505889331410001E-3</v>
      </c>
      <c r="F86" s="40"/>
      <c r="G86" s="40"/>
    </row>
    <row r="87" spans="1:7" ht="14.5" customHeight="1">
      <c r="A87" s="40"/>
      <c r="B87" s="111"/>
      <c r="C87" s="66" t="s">
        <v>284</v>
      </c>
      <c r="D87" s="64">
        <v>75</v>
      </c>
      <c r="E87" s="67">
        <v>6.355393610711E-3</v>
      </c>
      <c r="F87" s="40"/>
      <c r="G87" s="40"/>
    </row>
    <row r="88" spans="1:7" ht="14.5" customHeight="1">
      <c r="A88" s="40"/>
      <c r="B88" s="111" t="s">
        <v>203</v>
      </c>
      <c r="C88" s="61" t="s">
        <v>228</v>
      </c>
      <c r="D88" s="62">
        <v>4</v>
      </c>
      <c r="E88" s="63">
        <v>3.3895432590500002E-4</v>
      </c>
      <c r="F88" s="40"/>
      <c r="G88" s="40"/>
    </row>
    <row r="89" spans="1:7" ht="14.5" customHeight="1">
      <c r="A89" s="40"/>
      <c r="B89" s="111"/>
      <c r="C89" s="61" t="s">
        <v>229</v>
      </c>
      <c r="D89" s="62">
        <v>6</v>
      </c>
      <c r="E89" s="63">
        <v>5.0843148885699996E-4</v>
      </c>
      <c r="F89" s="40"/>
      <c r="G89" s="40"/>
    </row>
    <row r="90" spans="1:7" ht="14.5" customHeight="1">
      <c r="A90" s="40"/>
      <c r="B90" s="111"/>
      <c r="C90" s="66" t="s">
        <v>284</v>
      </c>
      <c r="D90" s="64">
        <v>10</v>
      </c>
      <c r="E90" s="67">
        <v>8.4738581476099997E-4</v>
      </c>
      <c r="F90" s="40"/>
      <c r="G90" s="40"/>
    </row>
    <row r="91" spans="1:7" ht="14.5" customHeight="1">
      <c r="A91" s="40"/>
      <c r="B91" s="111" t="s">
        <v>179</v>
      </c>
      <c r="C91" s="61" t="s">
        <v>228</v>
      </c>
      <c r="D91" s="62">
        <v>41</v>
      </c>
      <c r="E91" s="63">
        <v>3.4742818405220002E-3</v>
      </c>
      <c r="F91" s="40"/>
      <c r="G91" s="40"/>
    </row>
    <row r="92" spans="1:7" ht="14.5" customHeight="1">
      <c r="A92" s="40"/>
      <c r="B92" s="111"/>
      <c r="C92" s="61" t="s">
        <v>229</v>
      </c>
      <c r="D92" s="62">
        <v>80</v>
      </c>
      <c r="E92" s="63">
        <v>6.779086518092E-3</v>
      </c>
      <c r="F92" s="40"/>
      <c r="G92" s="40"/>
    </row>
    <row r="93" spans="1:7" ht="14.5" customHeight="1">
      <c r="A93" s="40"/>
      <c r="B93" s="111"/>
      <c r="C93" s="66" t="s">
        <v>284</v>
      </c>
      <c r="D93" s="64">
        <v>121</v>
      </c>
      <c r="E93" s="67">
        <v>1.0253368358614E-2</v>
      </c>
      <c r="F93" s="40"/>
      <c r="G93" s="40"/>
    </row>
    <row r="94" spans="1:7" ht="14.5" customHeight="1">
      <c r="A94" s="40"/>
      <c r="B94" s="111" t="s">
        <v>200</v>
      </c>
      <c r="C94" s="61" t="s">
        <v>228</v>
      </c>
      <c r="D94" s="62">
        <v>4</v>
      </c>
      <c r="E94" s="63">
        <v>3.3895432590500002E-4</v>
      </c>
      <c r="F94" s="40"/>
      <c r="G94" s="40"/>
    </row>
    <row r="95" spans="1:7" ht="14.5" customHeight="1">
      <c r="A95" s="40"/>
      <c r="B95" s="111"/>
      <c r="C95" s="61" t="s">
        <v>229</v>
      </c>
      <c r="D95" s="62">
        <v>11</v>
      </c>
      <c r="E95" s="63">
        <v>9.3212439623799998E-4</v>
      </c>
      <c r="F95" s="40"/>
      <c r="G95" s="40"/>
    </row>
    <row r="96" spans="1:7" ht="14.5" customHeight="1">
      <c r="A96" s="40"/>
      <c r="B96" s="111"/>
      <c r="C96" s="66" t="s">
        <v>284</v>
      </c>
      <c r="D96" s="64">
        <v>15</v>
      </c>
      <c r="E96" s="67">
        <v>1.271078722142E-3</v>
      </c>
      <c r="F96" s="40"/>
      <c r="G96" s="40"/>
    </row>
    <row r="97" spans="1:7" ht="14.5" customHeight="1">
      <c r="A97" s="40"/>
      <c r="B97" s="111" t="s">
        <v>181</v>
      </c>
      <c r="C97" s="61" t="s">
        <v>228</v>
      </c>
      <c r="D97" s="62">
        <v>50</v>
      </c>
      <c r="E97" s="63">
        <v>4.236929073807E-3</v>
      </c>
      <c r="F97" s="40"/>
      <c r="G97" s="40"/>
    </row>
    <row r="98" spans="1:7" ht="14.5" customHeight="1">
      <c r="A98" s="40"/>
      <c r="B98" s="111"/>
      <c r="C98" s="61" t="s">
        <v>229</v>
      </c>
      <c r="D98" s="62">
        <v>68</v>
      </c>
      <c r="E98" s="63">
        <v>5.7622235403779996E-3</v>
      </c>
      <c r="F98" s="40"/>
      <c r="G98" s="40"/>
    </row>
    <row r="99" spans="1:7" ht="14.5" customHeight="1">
      <c r="A99" s="40"/>
      <c r="B99" s="111"/>
      <c r="C99" s="66" t="s">
        <v>284</v>
      </c>
      <c r="D99" s="64">
        <v>118</v>
      </c>
      <c r="E99" s="67">
        <v>9.9991526141850005E-3</v>
      </c>
      <c r="F99" s="40"/>
      <c r="G99" s="40"/>
    </row>
    <row r="100" spans="1:7" ht="14.5" customHeight="1">
      <c r="A100" s="40"/>
      <c r="B100" s="111" t="s">
        <v>209</v>
      </c>
      <c r="C100" s="61" t="s">
        <v>229</v>
      </c>
      <c r="D100" s="62">
        <v>3</v>
      </c>
      <c r="E100" s="63">
        <v>2.54215744428E-4</v>
      </c>
      <c r="F100" s="40"/>
      <c r="G100" s="40"/>
    </row>
    <row r="101" spans="1:7" ht="14.5" customHeight="1">
      <c r="A101" s="40"/>
      <c r="B101" s="111"/>
      <c r="C101" s="66" t="s">
        <v>284</v>
      </c>
      <c r="D101" s="64">
        <v>3</v>
      </c>
      <c r="E101" s="67">
        <v>2.54215744428E-4</v>
      </c>
      <c r="F101" s="40"/>
      <c r="G101" s="40"/>
    </row>
    <row r="102" spans="1:7" ht="14.5" customHeight="1">
      <c r="A102" s="40"/>
      <c r="B102" s="111" t="s">
        <v>198</v>
      </c>
      <c r="C102" s="61" t="s">
        <v>228</v>
      </c>
      <c r="D102" s="62">
        <v>8</v>
      </c>
      <c r="E102" s="63">
        <v>6.7790865180899996E-4</v>
      </c>
      <c r="F102" s="40"/>
      <c r="G102" s="40"/>
    </row>
    <row r="103" spans="1:7" ht="14.5" customHeight="1">
      <c r="A103" s="40"/>
      <c r="B103" s="111"/>
      <c r="C103" s="61" t="s">
        <v>229</v>
      </c>
      <c r="D103" s="62">
        <v>21</v>
      </c>
      <c r="E103" s="63">
        <v>1.7795102109989999E-3</v>
      </c>
      <c r="F103" s="40"/>
      <c r="G103" s="40"/>
    </row>
    <row r="104" spans="1:7" ht="14.5" customHeight="1">
      <c r="A104" s="40"/>
      <c r="B104" s="111"/>
      <c r="C104" s="66" t="s">
        <v>284</v>
      </c>
      <c r="D104" s="64">
        <v>29</v>
      </c>
      <c r="E104" s="67">
        <v>2.4574188628079998E-3</v>
      </c>
      <c r="F104" s="40"/>
      <c r="G104" s="40"/>
    </row>
    <row r="105" spans="1:7" ht="14.5" customHeight="1">
      <c r="A105" s="40"/>
      <c r="B105" s="111" t="s">
        <v>173</v>
      </c>
      <c r="C105" s="61" t="s">
        <v>228</v>
      </c>
      <c r="D105" s="62">
        <v>197</v>
      </c>
      <c r="E105" s="63">
        <v>1.6693500550800999E-2</v>
      </c>
      <c r="F105" s="40"/>
      <c r="G105" s="40"/>
    </row>
    <row r="106" spans="1:7" ht="14.5" customHeight="1">
      <c r="A106" s="40"/>
      <c r="B106" s="111"/>
      <c r="C106" s="61" t="s">
        <v>229</v>
      </c>
      <c r="D106" s="62">
        <v>256</v>
      </c>
      <c r="E106" s="63">
        <v>2.1693076857892998E-2</v>
      </c>
      <c r="F106" s="40"/>
      <c r="G106" s="40"/>
    </row>
    <row r="107" spans="1:7" ht="14.5" customHeight="1">
      <c r="A107" s="40"/>
      <c r="B107" s="111"/>
      <c r="C107" s="66" t="s">
        <v>284</v>
      </c>
      <c r="D107" s="64">
        <v>453</v>
      </c>
      <c r="E107" s="67">
        <v>3.8386577408694E-2</v>
      </c>
      <c r="F107" s="40"/>
      <c r="G107" s="40"/>
    </row>
    <row r="108" spans="1:7" ht="14.5" customHeight="1">
      <c r="A108" s="40"/>
      <c r="B108" s="111" t="s">
        <v>208</v>
      </c>
      <c r="C108" s="61" t="s">
        <v>228</v>
      </c>
      <c r="D108" s="62">
        <v>2</v>
      </c>
      <c r="E108" s="63">
        <v>1.69477162952E-4</v>
      </c>
      <c r="F108" s="40"/>
      <c r="G108" s="40"/>
    </row>
    <row r="109" spans="1:7" ht="14.5" customHeight="1">
      <c r="A109" s="40"/>
      <c r="B109" s="111"/>
      <c r="C109" s="61" t="s">
        <v>229</v>
      </c>
      <c r="D109" s="62">
        <v>3</v>
      </c>
      <c r="E109" s="63">
        <v>2.54215744428E-4</v>
      </c>
      <c r="F109" s="40"/>
      <c r="G109" s="40"/>
    </row>
    <row r="110" spans="1:7" ht="14.5" customHeight="1">
      <c r="A110" s="40"/>
      <c r="B110" s="111"/>
      <c r="C110" s="66" t="s">
        <v>284</v>
      </c>
      <c r="D110" s="64">
        <v>5</v>
      </c>
      <c r="E110" s="67">
        <v>4.2369290738100002E-4</v>
      </c>
      <c r="F110" s="40"/>
      <c r="G110" s="40"/>
    </row>
    <row r="111" spans="1:7" ht="14.5" customHeight="1">
      <c r="A111" s="40"/>
      <c r="B111" s="111" t="s">
        <v>205</v>
      </c>
      <c r="C111" s="61" t="s">
        <v>228</v>
      </c>
      <c r="D111" s="62">
        <v>6</v>
      </c>
      <c r="E111" s="63">
        <v>5.0843148885699996E-4</v>
      </c>
      <c r="F111" s="40"/>
      <c r="G111" s="40"/>
    </row>
    <row r="112" spans="1:7" ht="14.5" customHeight="1">
      <c r="A112" s="40"/>
      <c r="B112" s="111"/>
      <c r="C112" s="61" t="s">
        <v>229</v>
      </c>
      <c r="D112" s="62">
        <v>2</v>
      </c>
      <c r="E112" s="63">
        <v>1.69477162952E-4</v>
      </c>
      <c r="F112" s="40"/>
      <c r="G112" s="40"/>
    </row>
    <row r="113" spans="1:7" ht="14.5" customHeight="1">
      <c r="A113" s="40"/>
      <c r="B113" s="111"/>
      <c r="C113" s="66" t="s">
        <v>284</v>
      </c>
      <c r="D113" s="64">
        <v>8</v>
      </c>
      <c r="E113" s="67">
        <v>6.7790865180899996E-4</v>
      </c>
      <c r="F113" s="40"/>
      <c r="G113" s="40"/>
    </row>
    <row r="114" spans="1:7" ht="14.5" customHeight="1">
      <c r="A114" s="40"/>
      <c r="B114" s="111" t="s">
        <v>192</v>
      </c>
      <c r="C114" s="61" t="s">
        <v>228</v>
      </c>
      <c r="D114" s="62">
        <v>24</v>
      </c>
      <c r="E114" s="63">
        <v>2.0337259554279999E-3</v>
      </c>
      <c r="F114" s="40"/>
      <c r="G114" s="40"/>
    </row>
    <row r="115" spans="1:7" ht="14.5" customHeight="1">
      <c r="A115" s="40"/>
      <c r="B115" s="111"/>
      <c r="C115" s="61" t="s">
        <v>229</v>
      </c>
      <c r="D115" s="62">
        <v>32</v>
      </c>
      <c r="E115" s="63">
        <v>2.7116346072369999E-3</v>
      </c>
      <c r="F115" s="40"/>
      <c r="G115" s="40"/>
    </row>
    <row r="116" spans="1:7" ht="14.5" customHeight="1">
      <c r="A116" s="40"/>
      <c r="B116" s="111"/>
      <c r="C116" s="66" t="s">
        <v>284</v>
      </c>
      <c r="D116" s="64">
        <v>56</v>
      </c>
      <c r="E116" s="67">
        <v>4.7453605626640001E-3</v>
      </c>
      <c r="F116" s="40"/>
      <c r="G116" s="40"/>
    </row>
    <row r="117" spans="1:7" ht="14.5" customHeight="1">
      <c r="A117" s="40"/>
      <c r="B117" s="111" t="s">
        <v>202</v>
      </c>
      <c r="C117" s="61" t="s">
        <v>228</v>
      </c>
      <c r="D117" s="62">
        <v>5</v>
      </c>
      <c r="E117" s="63">
        <v>4.2369290738100002E-4</v>
      </c>
      <c r="F117" s="40"/>
      <c r="G117" s="40"/>
    </row>
    <row r="118" spans="1:7" ht="14.5" customHeight="1">
      <c r="A118" s="40"/>
      <c r="B118" s="111"/>
      <c r="C118" s="61" t="s">
        <v>229</v>
      </c>
      <c r="D118" s="62">
        <v>7</v>
      </c>
      <c r="E118" s="63">
        <v>5.9317007033300002E-4</v>
      </c>
      <c r="F118" s="40"/>
      <c r="G118" s="40"/>
    </row>
    <row r="119" spans="1:7" ht="14.5" customHeight="1">
      <c r="A119" s="40"/>
      <c r="B119" s="111"/>
      <c r="C119" s="66" t="s">
        <v>284</v>
      </c>
      <c r="D119" s="64">
        <v>12</v>
      </c>
      <c r="E119" s="67">
        <v>1.0168629777139999E-3</v>
      </c>
      <c r="F119" s="40"/>
      <c r="G119" s="40"/>
    </row>
    <row r="120" spans="1:7" ht="14.5" customHeight="1">
      <c r="A120" s="40"/>
      <c r="B120" s="111" t="s">
        <v>178</v>
      </c>
      <c r="C120" s="61" t="s">
        <v>228</v>
      </c>
      <c r="D120" s="62">
        <v>53</v>
      </c>
      <c r="E120" s="63">
        <v>4.4911448182359997E-3</v>
      </c>
      <c r="F120" s="40"/>
      <c r="G120" s="40"/>
    </row>
    <row r="121" spans="1:7" ht="14.5" customHeight="1">
      <c r="A121" s="40"/>
      <c r="B121" s="111"/>
      <c r="C121" s="61" t="s">
        <v>229</v>
      </c>
      <c r="D121" s="62">
        <v>73</v>
      </c>
      <c r="E121" s="63">
        <v>6.1859164477589997E-3</v>
      </c>
      <c r="F121" s="40"/>
      <c r="G121" s="40"/>
    </row>
    <row r="122" spans="1:7" ht="14.5" customHeight="1">
      <c r="A122" s="40"/>
      <c r="B122" s="111"/>
      <c r="C122" s="66" t="s">
        <v>284</v>
      </c>
      <c r="D122" s="64">
        <v>126</v>
      </c>
      <c r="E122" s="67">
        <v>1.0677061265993999E-2</v>
      </c>
      <c r="F122" s="40"/>
      <c r="G122" s="40"/>
    </row>
    <row r="123" spans="1:7" ht="14.5" customHeight="1">
      <c r="A123" s="40"/>
      <c r="B123" s="111" t="s">
        <v>171</v>
      </c>
      <c r="C123" s="61" t="s">
        <v>228</v>
      </c>
      <c r="D123" s="62">
        <v>3878</v>
      </c>
      <c r="E123" s="63">
        <v>0.328616218964495</v>
      </c>
      <c r="F123" s="40"/>
      <c r="G123" s="40"/>
    </row>
    <row r="124" spans="1:7" ht="14.5" customHeight="1">
      <c r="A124" s="40"/>
      <c r="B124" s="111"/>
      <c r="C124" s="61" t="s">
        <v>229</v>
      </c>
      <c r="D124" s="62">
        <v>4463</v>
      </c>
      <c r="E124" s="63">
        <v>0.37818828912803998</v>
      </c>
      <c r="F124" s="40"/>
      <c r="G124" s="40"/>
    </row>
    <row r="125" spans="1:7" ht="14.5" customHeight="1">
      <c r="A125" s="40"/>
      <c r="B125" s="111"/>
      <c r="C125" s="61" t="s">
        <v>230</v>
      </c>
      <c r="D125" s="62">
        <v>1</v>
      </c>
      <c r="E125" s="63">
        <v>8.4738581476000001E-5</v>
      </c>
      <c r="F125" s="40"/>
      <c r="G125" s="40"/>
    </row>
    <row r="126" spans="1:7" ht="14.5" customHeight="1">
      <c r="A126" s="40"/>
      <c r="B126" s="111"/>
      <c r="C126" s="66" t="s">
        <v>284</v>
      </c>
      <c r="D126" s="64">
        <v>8342</v>
      </c>
      <c r="E126" s="67">
        <v>0.70688924667401098</v>
      </c>
      <c r="F126" s="40"/>
      <c r="G126" s="40"/>
    </row>
    <row r="127" spans="1:7" ht="14.5" customHeight="1">
      <c r="A127" s="40"/>
      <c r="B127" s="111" t="s">
        <v>195</v>
      </c>
      <c r="C127" s="61" t="s">
        <v>228</v>
      </c>
      <c r="D127" s="62">
        <v>14</v>
      </c>
      <c r="E127" s="63">
        <v>1.186340140666E-3</v>
      </c>
      <c r="F127" s="40"/>
      <c r="G127" s="40"/>
    </row>
    <row r="128" spans="1:7" ht="14.5" customHeight="1">
      <c r="A128" s="40"/>
      <c r="B128" s="111"/>
      <c r="C128" s="61" t="s">
        <v>229</v>
      </c>
      <c r="D128" s="62">
        <v>24</v>
      </c>
      <c r="E128" s="63">
        <v>2.0337259554279999E-3</v>
      </c>
      <c r="F128" s="40"/>
      <c r="G128" s="40"/>
    </row>
    <row r="129" spans="1:7" ht="14.5" customHeight="1">
      <c r="A129" s="40"/>
      <c r="B129" s="111"/>
      <c r="C129" s="66" t="s">
        <v>284</v>
      </c>
      <c r="D129" s="64">
        <v>38</v>
      </c>
      <c r="E129" s="67">
        <v>3.2200660960940001E-3</v>
      </c>
      <c r="F129" s="40"/>
      <c r="G129" s="40"/>
    </row>
    <row r="130" spans="1:7" ht="14.5" customHeight="1">
      <c r="A130" s="40"/>
      <c r="B130" s="111" t="s">
        <v>199</v>
      </c>
      <c r="C130" s="61" t="s">
        <v>228</v>
      </c>
      <c r="D130" s="62">
        <v>5</v>
      </c>
      <c r="E130" s="63">
        <v>4.2369290738100002E-4</v>
      </c>
      <c r="F130" s="40"/>
      <c r="G130" s="40"/>
    </row>
    <row r="131" spans="1:7" ht="14.5" customHeight="1">
      <c r="A131" s="40"/>
      <c r="B131" s="111"/>
      <c r="C131" s="61" t="s">
        <v>229</v>
      </c>
      <c r="D131" s="62">
        <v>22</v>
      </c>
      <c r="E131" s="63">
        <v>1.8642487924749999E-3</v>
      </c>
      <c r="F131" s="40"/>
      <c r="G131" s="40"/>
    </row>
    <row r="132" spans="1:7" ht="14.5" customHeight="1">
      <c r="A132" s="40"/>
      <c r="B132" s="111"/>
      <c r="C132" s="66" t="s">
        <v>284</v>
      </c>
      <c r="D132" s="64">
        <v>27</v>
      </c>
      <c r="E132" s="67">
        <v>2.2879416998559999E-3</v>
      </c>
      <c r="F132" s="40"/>
      <c r="G132" s="40"/>
    </row>
    <row r="133" spans="1:7" ht="14.5" customHeight="1">
      <c r="A133" s="40"/>
      <c r="B133" s="111" t="s">
        <v>84</v>
      </c>
      <c r="C133" s="61" t="s">
        <v>228</v>
      </c>
      <c r="D133" s="62">
        <v>1</v>
      </c>
      <c r="E133" s="63">
        <v>8.4738581476000001E-5</v>
      </c>
      <c r="F133" s="40"/>
      <c r="G133" s="40"/>
    </row>
    <row r="134" spans="1:7" ht="14.5" customHeight="1">
      <c r="A134" s="40"/>
      <c r="B134" s="111"/>
      <c r="C134" s="61" t="s">
        <v>229</v>
      </c>
      <c r="D134" s="62">
        <v>7</v>
      </c>
      <c r="E134" s="63">
        <v>5.9317007033300002E-4</v>
      </c>
      <c r="F134" s="40"/>
      <c r="G134" s="40"/>
    </row>
    <row r="135" spans="1:7" ht="14.5" customHeight="1">
      <c r="A135" s="40"/>
      <c r="B135" s="111"/>
      <c r="C135" s="66" t="s">
        <v>284</v>
      </c>
      <c r="D135" s="64">
        <v>8</v>
      </c>
      <c r="E135" s="67">
        <v>6.7790865180899996E-4</v>
      </c>
      <c r="F135" s="40"/>
      <c r="G135" s="40"/>
    </row>
    <row r="136" spans="1:7" ht="14.5" customHeight="1">
      <c r="A136" s="40"/>
      <c r="B136" s="111" t="s">
        <v>214</v>
      </c>
      <c r="C136" s="61" t="s">
        <v>229</v>
      </c>
      <c r="D136" s="62">
        <v>1</v>
      </c>
      <c r="E136" s="63">
        <v>8.4738581476000001E-5</v>
      </c>
      <c r="F136" s="40"/>
      <c r="G136" s="40"/>
    </row>
    <row r="137" spans="1:7" ht="14.5" customHeight="1">
      <c r="A137" s="40"/>
      <c r="B137" s="111"/>
      <c r="C137" s="66" t="s">
        <v>284</v>
      </c>
      <c r="D137" s="64">
        <v>1</v>
      </c>
      <c r="E137" s="67">
        <v>8.4738581476000001E-5</v>
      </c>
      <c r="F137" s="40"/>
      <c r="G137" s="40"/>
    </row>
    <row r="138" spans="1:7" ht="14.5" customHeight="1">
      <c r="A138" s="40"/>
      <c r="B138" s="111" t="s">
        <v>185</v>
      </c>
      <c r="C138" s="61" t="s">
        <v>228</v>
      </c>
      <c r="D138" s="62">
        <v>31</v>
      </c>
      <c r="E138" s="63">
        <v>2.6268960257610002E-3</v>
      </c>
      <c r="F138" s="40"/>
      <c r="G138" s="40"/>
    </row>
    <row r="139" spans="1:7" ht="14.5" customHeight="1">
      <c r="A139" s="40"/>
      <c r="B139" s="111"/>
      <c r="C139" s="61" t="s">
        <v>229</v>
      </c>
      <c r="D139" s="62">
        <v>51</v>
      </c>
      <c r="E139" s="63">
        <v>4.3216676552830001E-3</v>
      </c>
      <c r="F139" s="40"/>
      <c r="G139" s="40"/>
    </row>
    <row r="140" spans="1:7" ht="14.5" customHeight="1">
      <c r="A140" s="40"/>
      <c r="B140" s="111"/>
      <c r="C140" s="66" t="s">
        <v>284</v>
      </c>
      <c r="D140" s="64">
        <v>82</v>
      </c>
      <c r="E140" s="67">
        <v>6.9485636810440003E-3</v>
      </c>
      <c r="F140" s="40"/>
      <c r="G140" s="40"/>
    </row>
    <row r="141" spans="1:7" ht="14.5" customHeight="1">
      <c r="A141" s="40"/>
      <c r="B141" s="111" t="s">
        <v>206</v>
      </c>
      <c r="C141" s="61" t="s">
        <v>228</v>
      </c>
      <c r="D141" s="62">
        <v>5</v>
      </c>
      <c r="E141" s="63">
        <v>4.2369290738100002E-4</v>
      </c>
      <c r="F141" s="40"/>
      <c r="G141" s="40"/>
    </row>
    <row r="142" spans="1:7" ht="14.5" customHeight="1">
      <c r="A142" s="40"/>
      <c r="B142" s="111"/>
      <c r="C142" s="61" t="s">
        <v>229</v>
      </c>
      <c r="D142" s="62">
        <v>2</v>
      </c>
      <c r="E142" s="63">
        <v>1.69477162952E-4</v>
      </c>
      <c r="F142" s="40"/>
      <c r="G142" s="40"/>
    </row>
    <row r="143" spans="1:7" ht="14.5" customHeight="1">
      <c r="A143" s="40"/>
      <c r="B143" s="111"/>
      <c r="C143" s="66" t="s">
        <v>284</v>
      </c>
      <c r="D143" s="64">
        <v>7</v>
      </c>
      <c r="E143" s="67">
        <v>5.9317007033300002E-4</v>
      </c>
      <c r="F143" s="40"/>
      <c r="G143" s="40"/>
    </row>
    <row r="144" spans="1:7" ht="14.5" customHeight="1">
      <c r="A144" s="40"/>
      <c r="B144" s="112" t="s">
        <v>284</v>
      </c>
      <c r="C144" s="112"/>
      <c r="D144" s="69">
        <v>11801</v>
      </c>
      <c r="E144" s="70">
        <v>1</v>
      </c>
      <c r="F144" s="40"/>
      <c r="G144" s="40"/>
    </row>
    <row r="145" spans="1:7" ht="14.5" customHeight="1">
      <c r="A145" s="40"/>
      <c r="B145" s="38"/>
      <c r="C145" s="31"/>
      <c r="D145" s="37"/>
      <c r="E145" s="31"/>
      <c r="F145" s="40"/>
      <c r="G145" s="40"/>
    </row>
    <row r="146" spans="1:7" ht="14.5" customHeight="1">
      <c r="B146" s="36" t="s">
        <v>130</v>
      </c>
      <c r="C146" s="31"/>
      <c r="D146" s="37"/>
      <c r="E146" s="31"/>
      <c r="F146" s="40"/>
      <c r="G146" s="40"/>
    </row>
    <row r="147" spans="1:7" ht="14.5" customHeight="1">
      <c r="B147" s="38" t="s">
        <v>17</v>
      </c>
      <c r="C147" s="31"/>
      <c r="D147" s="37"/>
      <c r="E147" s="31"/>
      <c r="F147" s="40"/>
      <c r="G147" s="40"/>
    </row>
    <row r="148" spans="1:7" ht="14.5" customHeight="1">
      <c r="B148" s="39" t="s">
        <v>95</v>
      </c>
      <c r="C148" s="31"/>
      <c r="D148" s="37"/>
      <c r="E148" s="31"/>
      <c r="F148" s="40"/>
      <c r="G148" s="40"/>
    </row>
    <row r="149" spans="1:7" ht="14.5" customHeight="1">
      <c r="B149" s="36" t="s">
        <v>16</v>
      </c>
      <c r="C149" s="31"/>
      <c r="D149" s="37"/>
      <c r="E149" s="31"/>
      <c r="F149" s="40"/>
      <c r="G149" s="40"/>
    </row>
    <row r="150" spans="1:7" ht="12">
      <c r="B150" s="36" t="s">
        <v>285</v>
      </c>
      <c r="C150" s="31"/>
      <c r="D150" s="37"/>
      <c r="E150" s="31"/>
      <c r="F150" s="40"/>
      <c r="G150" s="40"/>
    </row>
  </sheetData>
  <mergeCells count="47">
    <mergeCell ref="B141:B143"/>
    <mergeCell ref="B127:B129"/>
    <mergeCell ref="B130:B132"/>
    <mergeCell ref="B133:B135"/>
    <mergeCell ref="B136:B137"/>
    <mergeCell ref="B138:B140"/>
    <mergeCell ref="B111:B113"/>
    <mergeCell ref="B114:B116"/>
    <mergeCell ref="B117:B119"/>
    <mergeCell ref="B120:B122"/>
    <mergeCell ref="B123:B126"/>
    <mergeCell ref="B97:B99"/>
    <mergeCell ref="B100:B101"/>
    <mergeCell ref="B102:B104"/>
    <mergeCell ref="B105:B107"/>
    <mergeCell ref="B108:B110"/>
    <mergeCell ref="B82:B84"/>
    <mergeCell ref="B85:B87"/>
    <mergeCell ref="B88:B90"/>
    <mergeCell ref="B91:B93"/>
    <mergeCell ref="B94:B96"/>
    <mergeCell ref="B68:B69"/>
    <mergeCell ref="B70:B72"/>
    <mergeCell ref="B73:B75"/>
    <mergeCell ref="B76:B78"/>
    <mergeCell ref="B79:B81"/>
    <mergeCell ref="B53:B55"/>
    <mergeCell ref="B56:B58"/>
    <mergeCell ref="B59:B61"/>
    <mergeCell ref="B62:B64"/>
    <mergeCell ref="B65:B67"/>
    <mergeCell ref="B144:C144"/>
    <mergeCell ref="B8:E10"/>
    <mergeCell ref="B13:B15"/>
    <mergeCell ref="B16:B18"/>
    <mergeCell ref="B19:B21"/>
    <mergeCell ref="B22:B24"/>
    <mergeCell ref="B25:B27"/>
    <mergeCell ref="B28:B30"/>
    <mergeCell ref="B31:B33"/>
    <mergeCell ref="B34:B35"/>
    <mergeCell ref="B36:B38"/>
    <mergeCell ref="B39:B41"/>
    <mergeCell ref="B42:B43"/>
    <mergeCell ref="B44:B46"/>
    <mergeCell ref="B47:B49"/>
    <mergeCell ref="B50:B52"/>
  </mergeCells>
  <printOptions horizontalCentered="1"/>
  <pageMargins left="0.74803149606299213" right="0.74803149606299213" top="0.98425196850393704" bottom="0.98425196850393704" header="0.51181102362204722" footer="0.51181102362204722"/>
  <pageSetup scale="53" orientation="portrait" r:id="rId1"/>
  <headerFooter>
    <oddFooter>&amp;C&amp;P de &amp;N</oddFooter>
  </headerFooter>
  <rowBreaks count="1" manualBreakCount="1">
    <brk id="77" max="6" man="1"/>
  </row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39"/>
  <sheetViews>
    <sheetView showGridLines="0" view="pageBreakPreview" topLeftCell="A23" zoomScaleNormal="96" zoomScaleSheetLayoutView="100" workbookViewId="0">
      <selection activeCell="B33" sqref="B33:C33"/>
    </sheetView>
  </sheetViews>
  <sheetFormatPr baseColWidth="10" defaultColWidth="11.453125" defaultRowHeight="10"/>
  <cols>
    <col min="1" max="1" width="5.7265625" style="16" customWidth="1"/>
    <col min="2" max="2" width="19" style="22" customWidth="1"/>
    <col min="3" max="3" width="25.1796875" style="22" customWidth="1"/>
    <col min="4" max="4" width="17.1796875" style="25" customWidth="1"/>
    <col min="5" max="5" width="16.54296875" style="25" customWidth="1"/>
    <col min="6" max="6" width="16.54296875" style="22" customWidth="1"/>
    <col min="7" max="7" width="3.54296875" style="16" customWidth="1"/>
    <col min="8" max="16384" width="11.453125" style="16"/>
  </cols>
  <sheetData>
    <row r="1" spans="1:7" s="13" customFormat="1" ht="14.5">
      <c r="B1" s="22"/>
      <c r="C1" s="22"/>
    </row>
    <row r="2" spans="1:7" s="22" customFormat="1">
      <c r="B2" s="27"/>
    </row>
    <row r="3" spans="1:7" ht="15" customHeight="1">
      <c r="B3" s="28"/>
      <c r="C3" s="18"/>
      <c r="D3" s="16"/>
      <c r="E3" s="16"/>
      <c r="G3" s="22"/>
    </row>
    <row r="4" spans="1:7" ht="30" customHeight="1">
      <c r="B4" s="28"/>
      <c r="C4" s="18"/>
      <c r="D4" s="16"/>
      <c r="E4" s="16"/>
      <c r="G4" s="22"/>
    </row>
    <row r="5" spans="1:7" ht="15" customHeight="1">
      <c r="B5" s="28"/>
      <c r="C5" s="18"/>
      <c r="D5" s="16"/>
      <c r="E5" s="16"/>
      <c r="G5" s="22"/>
    </row>
    <row r="6" spans="1:7" s="22" customFormat="1" ht="10.5">
      <c r="B6" s="24"/>
      <c r="C6" s="21"/>
    </row>
    <row r="7" spans="1:7" s="22" customFormat="1">
      <c r="B7" s="27"/>
    </row>
    <row r="8" spans="1:7" s="13" customFormat="1" ht="15" customHeight="1">
      <c r="A8" s="46"/>
      <c r="B8" s="85" t="s">
        <v>32</v>
      </c>
      <c r="C8" s="85"/>
      <c r="D8" s="85"/>
      <c r="E8" s="85"/>
      <c r="F8" s="85"/>
      <c r="G8" s="46"/>
    </row>
    <row r="9" spans="1:7" s="13" customFormat="1" ht="15" customHeight="1">
      <c r="A9" s="46"/>
      <c r="B9" s="85"/>
      <c r="C9" s="85"/>
      <c r="D9" s="85"/>
      <c r="E9" s="85"/>
      <c r="F9" s="85"/>
      <c r="G9" s="57"/>
    </row>
    <row r="10" spans="1:7" s="13" customFormat="1" ht="15" customHeight="1">
      <c r="A10" s="46"/>
      <c r="B10" s="85"/>
      <c r="C10" s="85"/>
      <c r="D10" s="85"/>
      <c r="E10" s="85"/>
      <c r="F10" s="85"/>
      <c r="G10" s="46"/>
    </row>
    <row r="11" spans="1:7" s="13" customFormat="1" ht="15" customHeight="1">
      <c r="A11" s="46"/>
      <c r="B11" s="58"/>
      <c r="C11" s="58"/>
      <c r="D11" s="58"/>
      <c r="E11" s="58"/>
      <c r="F11" s="58"/>
      <c r="G11" s="46"/>
    </row>
    <row r="12" spans="1:7" s="13" customFormat="1" ht="37" customHeight="1">
      <c r="A12" s="46"/>
      <c r="B12" s="60" t="s">
        <v>28</v>
      </c>
      <c r="C12" s="60" t="s">
        <v>31</v>
      </c>
      <c r="D12" s="60" t="s">
        <v>19</v>
      </c>
      <c r="E12" s="60" t="s">
        <v>30</v>
      </c>
      <c r="F12" s="60" t="s">
        <v>29</v>
      </c>
      <c r="G12" s="46"/>
    </row>
    <row r="13" spans="1:7" ht="14.5" customHeight="1">
      <c r="A13" s="40"/>
      <c r="B13" s="92" t="s">
        <v>231</v>
      </c>
      <c r="C13" s="71" t="s">
        <v>132</v>
      </c>
      <c r="D13" s="62">
        <v>7</v>
      </c>
      <c r="E13" s="63">
        <f>D13/$D$21</f>
        <v>1.3042668157257314E-3</v>
      </c>
      <c r="F13" s="63">
        <f>D13/$D$33</f>
        <v>5.9317007033302268E-4</v>
      </c>
      <c r="G13" s="40"/>
    </row>
    <row r="14" spans="1:7" ht="14.5" customHeight="1">
      <c r="A14" s="40"/>
      <c r="B14" s="93"/>
      <c r="C14" s="71" t="s">
        <v>120</v>
      </c>
      <c r="D14" s="62">
        <v>32</v>
      </c>
      <c r="E14" s="63">
        <f t="shared" ref="E14:E20" si="0">D14/$D$21</f>
        <v>5.9623625861747716E-3</v>
      </c>
      <c r="F14" s="63">
        <f t="shared" ref="F14:F33" si="1">D14/$D$33</f>
        <v>2.7116346072366747E-3</v>
      </c>
      <c r="G14" s="40"/>
    </row>
    <row r="15" spans="1:7" ht="14.5" customHeight="1">
      <c r="A15" s="40"/>
      <c r="B15" s="93"/>
      <c r="C15" s="71" t="s">
        <v>121</v>
      </c>
      <c r="D15" s="62">
        <v>775</v>
      </c>
      <c r="E15" s="63">
        <f t="shared" si="0"/>
        <v>0.14440096888392026</v>
      </c>
      <c r="F15" s="63">
        <f t="shared" si="1"/>
        <v>6.5672400644013224E-2</v>
      </c>
      <c r="G15" s="40"/>
    </row>
    <row r="16" spans="1:7" ht="14.5" customHeight="1">
      <c r="A16" s="40"/>
      <c r="B16" s="93"/>
      <c r="C16" s="71" t="s">
        <v>122</v>
      </c>
      <c r="D16" s="62">
        <v>1353</v>
      </c>
      <c r="E16" s="63">
        <f t="shared" si="0"/>
        <v>0.25209614309670209</v>
      </c>
      <c r="F16" s="63">
        <f t="shared" si="1"/>
        <v>0.11465130073722565</v>
      </c>
      <c r="G16" s="40"/>
    </row>
    <row r="17" spans="1:7" ht="14.5" customHeight="1">
      <c r="A17" s="40"/>
      <c r="B17" s="93"/>
      <c r="C17" s="71" t="s">
        <v>123</v>
      </c>
      <c r="D17" s="62">
        <v>1543</v>
      </c>
      <c r="E17" s="63">
        <f t="shared" si="0"/>
        <v>0.28749767095211476</v>
      </c>
      <c r="F17" s="63">
        <f t="shared" si="1"/>
        <v>0.13075163121769343</v>
      </c>
      <c r="G17" s="40"/>
    </row>
    <row r="18" spans="1:7" ht="14.5" customHeight="1">
      <c r="A18" s="40"/>
      <c r="B18" s="93"/>
      <c r="C18" s="71" t="s">
        <v>124</v>
      </c>
      <c r="D18" s="62">
        <v>1385</v>
      </c>
      <c r="E18" s="63">
        <f t="shared" si="0"/>
        <v>0.25805850568287686</v>
      </c>
      <c r="F18" s="63">
        <f t="shared" si="1"/>
        <v>0.11736293534446234</v>
      </c>
      <c r="G18" s="40"/>
    </row>
    <row r="19" spans="1:7" ht="14.5" customHeight="1">
      <c r="A19" s="40"/>
      <c r="B19" s="93"/>
      <c r="C19" s="71" t="s">
        <v>125</v>
      </c>
      <c r="D19" s="62">
        <v>227</v>
      </c>
      <c r="E19" s="63">
        <f t="shared" si="0"/>
        <v>4.2295509595677287E-2</v>
      </c>
      <c r="F19" s="63">
        <f t="shared" si="1"/>
        <v>1.9235657995085163E-2</v>
      </c>
      <c r="G19" s="40"/>
    </row>
    <row r="20" spans="1:7" ht="14.5" customHeight="1">
      <c r="A20" s="40"/>
      <c r="B20" s="93"/>
      <c r="C20" s="71" t="s">
        <v>126</v>
      </c>
      <c r="D20" s="62">
        <v>45</v>
      </c>
      <c r="E20" s="63">
        <f t="shared" si="0"/>
        <v>8.3845723868082728E-3</v>
      </c>
      <c r="F20" s="63">
        <f t="shared" si="1"/>
        <v>3.8132361664265741E-3</v>
      </c>
      <c r="G20" s="40"/>
    </row>
    <row r="21" spans="1:7" ht="14.5" customHeight="1">
      <c r="A21" s="40"/>
      <c r="B21" s="94"/>
      <c r="C21" s="72" t="s">
        <v>284</v>
      </c>
      <c r="D21" s="64">
        <v>5367</v>
      </c>
      <c r="E21" s="65"/>
      <c r="F21" s="65">
        <f t="shared" si="1"/>
        <v>0.45479196678247608</v>
      </c>
      <c r="G21" s="40"/>
    </row>
    <row r="22" spans="1:7" ht="14.5" customHeight="1">
      <c r="A22" s="40"/>
      <c r="B22" s="92" t="s">
        <v>232</v>
      </c>
      <c r="C22" s="71" t="s">
        <v>132</v>
      </c>
      <c r="D22" s="62">
        <v>10</v>
      </c>
      <c r="E22" s="63">
        <f>D22/$D$30</f>
        <v>1.55448468832582E-3</v>
      </c>
      <c r="F22" s="63">
        <f t="shared" si="1"/>
        <v>8.4738581476146086E-4</v>
      </c>
      <c r="G22" s="40"/>
    </row>
    <row r="23" spans="1:7" ht="14.5" customHeight="1">
      <c r="A23" s="40"/>
      <c r="B23" s="93"/>
      <c r="C23" s="71" t="s">
        <v>120</v>
      </c>
      <c r="D23" s="62">
        <v>41</v>
      </c>
      <c r="E23" s="63">
        <f t="shared" ref="E23:E29" si="2">D23/$D$30</f>
        <v>6.3733872221358621E-3</v>
      </c>
      <c r="F23" s="63">
        <f t="shared" si="1"/>
        <v>3.4742818405219898E-3</v>
      </c>
      <c r="G23" s="40"/>
    </row>
    <row r="24" spans="1:7" ht="14.5" customHeight="1">
      <c r="A24" s="40"/>
      <c r="B24" s="93"/>
      <c r="C24" s="71" t="s">
        <v>121</v>
      </c>
      <c r="D24" s="62">
        <v>1065</v>
      </c>
      <c r="E24" s="63">
        <f t="shared" si="2"/>
        <v>0.16555261930669982</v>
      </c>
      <c r="F24" s="63">
        <f t="shared" si="1"/>
        <v>9.0246589272095584E-2</v>
      </c>
      <c r="G24" s="40"/>
    </row>
    <row r="25" spans="1:7" ht="14.5" customHeight="1">
      <c r="A25" s="40"/>
      <c r="B25" s="93"/>
      <c r="C25" s="71" t="s">
        <v>122</v>
      </c>
      <c r="D25" s="62">
        <v>1601</v>
      </c>
      <c r="E25" s="63">
        <f t="shared" si="2"/>
        <v>0.24887299860096379</v>
      </c>
      <c r="F25" s="63">
        <f t="shared" si="1"/>
        <v>0.13566646894330989</v>
      </c>
      <c r="G25" s="40"/>
    </row>
    <row r="26" spans="1:7" ht="14.5" customHeight="1">
      <c r="A26" s="40"/>
      <c r="B26" s="93"/>
      <c r="C26" s="71" t="s">
        <v>123</v>
      </c>
      <c r="D26" s="62">
        <v>1778</v>
      </c>
      <c r="E26" s="63">
        <f t="shared" si="2"/>
        <v>0.2763873775843308</v>
      </c>
      <c r="F26" s="63">
        <f t="shared" si="1"/>
        <v>0.15066519786458774</v>
      </c>
      <c r="G26" s="40"/>
    </row>
    <row r="27" spans="1:7" ht="14.5" customHeight="1">
      <c r="A27" s="40"/>
      <c r="B27" s="93"/>
      <c r="C27" s="71" t="s">
        <v>124</v>
      </c>
      <c r="D27" s="62">
        <v>1654</v>
      </c>
      <c r="E27" s="63">
        <f t="shared" si="2"/>
        <v>0.25711176744909064</v>
      </c>
      <c r="F27" s="63">
        <f t="shared" si="1"/>
        <v>0.14015761376154562</v>
      </c>
      <c r="G27" s="40"/>
    </row>
    <row r="28" spans="1:7" ht="14.5" customHeight="1">
      <c r="A28" s="40"/>
      <c r="B28" s="93"/>
      <c r="C28" s="71" t="s">
        <v>125</v>
      </c>
      <c r="D28" s="62">
        <v>227</v>
      </c>
      <c r="E28" s="63">
        <f t="shared" si="2"/>
        <v>3.5286802424996114E-2</v>
      </c>
      <c r="F28" s="63">
        <f t="shared" si="1"/>
        <v>1.9235657995085163E-2</v>
      </c>
      <c r="G28" s="40"/>
    </row>
    <row r="29" spans="1:7" ht="14.5" customHeight="1">
      <c r="A29" s="40"/>
      <c r="B29" s="93"/>
      <c r="C29" s="71" t="s">
        <v>126</v>
      </c>
      <c r="D29" s="62">
        <v>57</v>
      </c>
      <c r="E29" s="63">
        <f t="shared" si="2"/>
        <v>8.8605627234571733E-3</v>
      </c>
      <c r="F29" s="63">
        <f t="shared" si="1"/>
        <v>4.8300991441403273E-3</v>
      </c>
      <c r="G29" s="40"/>
    </row>
    <row r="30" spans="1:7" ht="14.5" customHeight="1">
      <c r="A30" s="40"/>
      <c r="B30" s="94"/>
      <c r="C30" s="72" t="s">
        <v>284</v>
      </c>
      <c r="D30" s="64">
        <v>6433</v>
      </c>
      <c r="E30" s="65"/>
      <c r="F30" s="65">
        <f t="shared" si="1"/>
        <v>0.54512329463604781</v>
      </c>
      <c r="G30" s="40"/>
    </row>
    <row r="31" spans="1:7" ht="14.5" customHeight="1">
      <c r="A31" s="40"/>
      <c r="B31" s="92" t="s">
        <v>233</v>
      </c>
      <c r="C31" s="71" t="s">
        <v>122</v>
      </c>
      <c r="D31" s="62">
        <v>1</v>
      </c>
      <c r="E31" s="63">
        <v>1</v>
      </c>
      <c r="F31" s="63">
        <f t="shared" si="1"/>
        <v>8.4738581476146083E-5</v>
      </c>
      <c r="G31" s="40"/>
    </row>
    <row r="32" spans="1:7" ht="14.5" customHeight="1">
      <c r="A32" s="40"/>
      <c r="B32" s="94"/>
      <c r="C32" s="72" t="s">
        <v>284</v>
      </c>
      <c r="D32" s="64">
        <v>1</v>
      </c>
      <c r="E32" s="65"/>
      <c r="F32" s="65">
        <f t="shared" si="1"/>
        <v>8.4738581476146083E-5</v>
      </c>
      <c r="G32" s="40"/>
    </row>
    <row r="33" spans="1:7" ht="14.5" customHeight="1">
      <c r="A33" s="40"/>
      <c r="B33" s="115" t="s">
        <v>286</v>
      </c>
      <c r="C33" s="116"/>
      <c r="D33" s="69">
        <v>11801</v>
      </c>
      <c r="E33" s="70">
        <v>1</v>
      </c>
      <c r="F33" s="70">
        <f t="shared" si="1"/>
        <v>1</v>
      </c>
      <c r="G33" s="40"/>
    </row>
    <row r="34" spans="1:7" ht="14.5" customHeight="1">
      <c r="A34" s="40"/>
      <c r="B34" s="36"/>
      <c r="C34" s="31"/>
      <c r="D34" s="37"/>
      <c r="E34" s="37"/>
      <c r="F34" s="31"/>
      <c r="G34" s="40"/>
    </row>
    <row r="35" spans="1:7" ht="12">
      <c r="A35" s="40"/>
      <c r="B35" s="36" t="s">
        <v>130</v>
      </c>
      <c r="C35" s="37"/>
      <c r="D35" s="37"/>
      <c r="E35" s="37"/>
      <c r="F35" s="31"/>
      <c r="G35" s="40"/>
    </row>
    <row r="36" spans="1:7" ht="12">
      <c r="A36" s="40"/>
      <c r="B36" s="38" t="s">
        <v>17</v>
      </c>
      <c r="C36" s="37"/>
      <c r="D36" s="37"/>
      <c r="E36" s="37"/>
      <c r="F36" s="31"/>
      <c r="G36" s="40"/>
    </row>
    <row r="37" spans="1:7" ht="12">
      <c r="A37" s="40"/>
      <c r="B37" s="39" t="s">
        <v>95</v>
      </c>
      <c r="C37" s="37"/>
      <c r="D37" s="37"/>
      <c r="E37" s="37"/>
      <c r="F37" s="31"/>
      <c r="G37" s="40"/>
    </row>
    <row r="38" spans="1:7" ht="12">
      <c r="A38" s="40"/>
      <c r="B38" s="36" t="s">
        <v>16</v>
      </c>
      <c r="C38" s="37"/>
      <c r="D38" s="37"/>
      <c r="E38" s="37"/>
      <c r="F38" s="31"/>
      <c r="G38" s="40"/>
    </row>
    <row r="39" spans="1:7" ht="12">
      <c r="A39" s="40"/>
      <c r="B39" s="36" t="s">
        <v>285</v>
      </c>
      <c r="C39" s="37"/>
      <c r="D39" s="37"/>
      <c r="E39" s="37"/>
      <c r="F39" s="31"/>
      <c r="G39" s="40"/>
    </row>
  </sheetData>
  <mergeCells count="5">
    <mergeCell ref="B8:F10"/>
    <mergeCell ref="B13:B21"/>
    <mergeCell ref="B22:B30"/>
    <mergeCell ref="B31:B32"/>
    <mergeCell ref="B33:C33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F69"/>
  <sheetViews>
    <sheetView showGridLines="0" tabSelected="1" view="pageBreakPreview" topLeftCell="A52" zoomScaleNormal="85" zoomScaleSheetLayoutView="100" workbookViewId="0">
      <selection activeCell="B58" sqref="B58"/>
    </sheetView>
  </sheetViews>
  <sheetFormatPr baseColWidth="10" defaultColWidth="11.453125" defaultRowHeight="14.5"/>
  <cols>
    <col min="1" max="1" width="9.26953125" style="13" customWidth="1"/>
    <col min="2" max="2" width="45.269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1.453125" style="13" customWidth="1"/>
    <col min="7" max="16384" width="11.453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40"/>
      <c r="B7" s="85" t="s">
        <v>127</v>
      </c>
      <c r="C7" s="85"/>
      <c r="D7" s="85"/>
      <c r="E7" s="40"/>
      <c r="F7" s="40"/>
    </row>
    <row r="8" spans="1:6" s="16" customFormat="1" ht="15" customHeight="1">
      <c r="A8" s="40"/>
      <c r="B8" s="85"/>
      <c r="C8" s="85"/>
      <c r="D8" s="85"/>
      <c r="E8" s="40"/>
      <c r="F8" s="40"/>
    </row>
    <row r="9" spans="1:6" s="16" customFormat="1" ht="33" customHeight="1">
      <c r="A9" s="40"/>
      <c r="B9" s="85"/>
      <c r="C9" s="85"/>
      <c r="D9" s="85"/>
      <c r="E9" s="40"/>
      <c r="F9" s="40"/>
    </row>
    <row r="10" spans="1:6" s="16" customFormat="1" ht="4.5" customHeight="1">
      <c r="A10" s="40"/>
      <c r="B10" s="43"/>
      <c r="C10" s="43"/>
      <c r="D10" s="43"/>
      <c r="E10" s="40"/>
      <c r="F10" s="40"/>
    </row>
    <row r="11" spans="1:6" s="16" customFormat="1" ht="33" customHeight="1">
      <c r="A11" s="40"/>
      <c r="B11" s="48" t="s">
        <v>33</v>
      </c>
      <c r="C11" s="49" t="s">
        <v>19</v>
      </c>
      <c r="D11" s="50" t="s">
        <v>18</v>
      </c>
      <c r="E11" s="40"/>
      <c r="F11" s="40"/>
    </row>
    <row r="12" spans="1:6" ht="16.5">
      <c r="A12" s="46"/>
      <c r="B12" s="61" t="s">
        <v>234</v>
      </c>
      <c r="C12" s="62">
        <v>6205</v>
      </c>
      <c r="D12" s="63">
        <v>0.52580289805948599</v>
      </c>
      <c r="E12" s="46"/>
      <c r="F12" s="46"/>
    </row>
    <row r="13" spans="1:6" ht="16.5">
      <c r="A13" s="46"/>
      <c r="B13" s="61" t="s">
        <v>235</v>
      </c>
      <c r="C13" s="62">
        <v>2841</v>
      </c>
      <c r="D13" s="63">
        <v>0.240742309973731</v>
      </c>
      <c r="E13" s="46"/>
      <c r="F13" s="46"/>
    </row>
    <row r="14" spans="1:6" ht="16.5">
      <c r="A14" s="46"/>
      <c r="B14" s="61" t="s">
        <v>236</v>
      </c>
      <c r="C14" s="62">
        <v>614</v>
      </c>
      <c r="D14" s="63">
        <v>5.2029489026354001E-2</v>
      </c>
      <c r="E14" s="46"/>
      <c r="F14" s="46"/>
    </row>
    <row r="15" spans="1:6" ht="16.5">
      <c r="A15" s="46"/>
      <c r="B15" s="61" t="s">
        <v>237</v>
      </c>
      <c r="C15" s="62">
        <v>474</v>
      </c>
      <c r="D15" s="63">
        <v>4.0166087619693001E-2</v>
      </c>
      <c r="E15" s="46"/>
      <c r="F15" s="46"/>
    </row>
    <row r="16" spans="1:6" ht="15" customHeight="1">
      <c r="A16" s="46"/>
      <c r="B16" s="61" t="s">
        <v>238</v>
      </c>
      <c r="C16" s="62">
        <v>424</v>
      </c>
      <c r="D16" s="63">
        <v>3.5929158545885999E-2</v>
      </c>
      <c r="E16" s="46"/>
      <c r="F16" s="46"/>
    </row>
    <row r="17" spans="1:6" ht="16.5">
      <c r="A17" s="46"/>
      <c r="B17" s="61" t="s">
        <v>239</v>
      </c>
      <c r="C17" s="62">
        <v>145</v>
      </c>
      <c r="D17" s="63">
        <v>1.2287094314041E-2</v>
      </c>
      <c r="E17" s="46"/>
      <c r="F17" s="46"/>
    </row>
    <row r="18" spans="1:6" ht="16.5">
      <c r="A18" s="46"/>
      <c r="B18" s="61" t="s">
        <v>240</v>
      </c>
      <c r="C18" s="62">
        <v>126</v>
      </c>
      <c r="D18" s="63">
        <v>1.0677061265993999E-2</v>
      </c>
      <c r="E18" s="46"/>
      <c r="F18" s="46"/>
    </row>
    <row r="19" spans="1:6" ht="16.5">
      <c r="A19" s="46"/>
      <c r="B19" s="61" t="s">
        <v>241</v>
      </c>
      <c r="C19" s="62">
        <v>116</v>
      </c>
      <c r="D19" s="63">
        <v>9.8296754512330001E-3</v>
      </c>
      <c r="E19" s="46"/>
      <c r="F19" s="46"/>
    </row>
    <row r="20" spans="1:6" ht="16.5">
      <c r="A20" s="46"/>
      <c r="B20" s="61" t="s">
        <v>242</v>
      </c>
      <c r="C20" s="62">
        <v>90</v>
      </c>
      <c r="D20" s="63">
        <v>7.626472332853E-3</v>
      </c>
      <c r="E20" s="46"/>
      <c r="F20" s="46"/>
    </row>
    <row r="21" spans="1:6" ht="16.5">
      <c r="A21" s="46"/>
      <c r="B21" s="61" t="s">
        <v>243</v>
      </c>
      <c r="C21" s="62">
        <v>80</v>
      </c>
      <c r="D21" s="63">
        <v>6.779086518092E-3</v>
      </c>
      <c r="E21" s="46"/>
      <c r="F21" s="46"/>
    </row>
    <row r="22" spans="1:6" ht="16.5">
      <c r="A22" s="46"/>
      <c r="B22" s="61" t="s">
        <v>244</v>
      </c>
      <c r="C22" s="62">
        <v>63</v>
      </c>
      <c r="D22" s="63">
        <v>5.3385306329969996E-3</v>
      </c>
      <c r="E22" s="46"/>
      <c r="F22" s="46"/>
    </row>
    <row r="23" spans="1:6" ht="16.5">
      <c r="A23" s="46"/>
      <c r="B23" s="61" t="s">
        <v>245</v>
      </c>
      <c r="C23" s="62">
        <v>62</v>
      </c>
      <c r="D23" s="63">
        <v>5.2537920515210003E-3</v>
      </c>
      <c r="E23" s="46"/>
      <c r="F23" s="46"/>
    </row>
    <row r="24" spans="1:6" ht="16.5">
      <c r="A24" s="46"/>
      <c r="B24" s="61" t="s">
        <v>246</v>
      </c>
      <c r="C24" s="62">
        <v>61</v>
      </c>
      <c r="D24" s="63">
        <v>5.1690534700450002E-3</v>
      </c>
      <c r="E24" s="46"/>
      <c r="F24" s="46"/>
    </row>
    <row r="25" spans="1:6" ht="16.5">
      <c r="A25" s="46"/>
      <c r="B25" s="61" t="s">
        <v>247</v>
      </c>
      <c r="C25" s="62">
        <v>55</v>
      </c>
      <c r="D25" s="63">
        <v>4.660621981188E-3</v>
      </c>
      <c r="E25" s="46"/>
      <c r="F25" s="46"/>
    </row>
    <row r="26" spans="1:6" ht="16.5">
      <c r="A26" s="46"/>
      <c r="B26" s="61" t="s">
        <v>248</v>
      </c>
      <c r="C26" s="62">
        <v>39</v>
      </c>
      <c r="D26" s="63">
        <v>3.3048046775699998E-3</v>
      </c>
      <c r="E26" s="46"/>
      <c r="F26" s="46"/>
    </row>
    <row r="27" spans="1:6" ht="16.5">
      <c r="A27" s="46"/>
      <c r="B27" s="61" t="s">
        <v>249</v>
      </c>
      <c r="C27" s="62">
        <v>37</v>
      </c>
      <c r="D27" s="63">
        <v>3.1353275146169999E-3</v>
      </c>
      <c r="E27" s="46"/>
      <c r="F27" s="46"/>
    </row>
    <row r="28" spans="1:6" ht="16.5">
      <c r="A28" s="46"/>
      <c r="B28" s="61" t="s">
        <v>250</v>
      </c>
      <c r="C28" s="62">
        <v>35</v>
      </c>
      <c r="D28" s="63">
        <v>2.965850351665E-3</v>
      </c>
      <c r="E28" s="46"/>
      <c r="F28" s="46"/>
    </row>
    <row r="29" spans="1:6" ht="16.5">
      <c r="A29" s="46"/>
      <c r="B29" s="61" t="s">
        <v>251</v>
      </c>
      <c r="C29" s="62">
        <v>33</v>
      </c>
      <c r="D29" s="63">
        <v>2.7963731887130001E-3</v>
      </c>
      <c r="E29" s="46"/>
      <c r="F29" s="46"/>
    </row>
    <row r="30" spans="1:6" ht="16.5">
      <c r="A30" s="46"/>
      <c r="B30" s="61" t="s">
        <v>252</v>
      </c>
      <c r="C30" s="62">
        <v>33</v>
      </c>
      <c r="D30" s="63">
        <v>2.7963731887130001E-3</v>
      </c>
      <c r="E30" s="46"/>
      <c r="F30" s="46"/>
    </row>
    <row r="31" spans="1:6" ht="16.5">
      <c r="A31" s="46"/>
      <c r="B31" s="61" t="s">
        <v>253</v>
      </c>
      <c r="C31" s="62">
        <v>29</v>
      </c>
      <c r="D31" s="63">
        <v>2.4574188628079998E-3</v>
      </c>
      <c r="E31" s="46"/>
      <c r="F31" s="46"/>
    </row>
    <row r="32" spans="1:6" ht="16.5">
      <c r="A32" s="46"/>
      <c r="B32" s="61" t="s">
        <v>254</v>
      </c>
      <c r="C32" s="62">
        <v>29</v>
      </c>
      <c r="D32" s="63">
        <v>2.4574188628079998E-3</v>
      </c>
      <c r="E32" s="46"/>
      <c r="F32" s="46"/>
    </row>
    <row r="33" spans="1:6" ht="16.5">
      <c r="A33" s="46"/>
      <c r="B33" s="61" t="s">
        <v>255</v>
      </c>
      <c r="C33" s="62">
        <v>28</v>
      </c>
      <c r="D33" s="63">
        <v>2.3726802813320001E-3</v>
      </c>
      <c r="E33" s="46"/>
      <c r="F33" s="46"/>
    </row>
    <row r="34" spans="1:6" ht="16.5">
      <c r="A34" s="46"/>
      <c r="B34" s="61" t="s">
        <v>256</v>
      </c>
      <c r="C34" s="62">
        <v>27</v>
      </c>
      <c r="D34" s="63">
        <v>2.2879416998559999E-3</v>
      </c>
      <c r="E34" s="46"/>
      <c r="F34" s="46"/>
    </row>
    <row r="35" spans="1:6" ht="16.5">
      <c r="A35" s="46"/>
      <c r="B35" s="61" t="s">
        <v>257</v>
      </c>
      <c r="C35" s="62">
        <v>25</v>
      </c>
      <c r="D35" s="63">
        <v>2.118464536904E-3</v>
      </c>
      <c r="E35" s="46"/>
      <c r="F35" s="46"/>
    </row>
    <row r="36" spans="1:6" ht="16.5">
      <c r="A36" s="46"/>
      <c r="B36" s="61" t="s">
        <v>258</v>
      </c>
      <c r="C36" s="62">
        <v>25</v>
      </c>
      <c r="D36" s="63">
        <v>2.118464536904E-3</v>
      </c>
      <c r="E36" s="46"/>
      <c r="F36" s="46"/>
    </row>
    <row r="37" spans="1:6" ht="16.5">
      <c r="A37" s="46"/>
      <c r="B37" s="61" t="s">
        <v>259</v>
      </c>
      <c r="C37" s="62">
        <v>16</v>
      </c>
      <c r="D37" s="63">
        <v>1.3558173036179999E-3</v>
      </c>
      <c r="E37" s="46"/>
      <c r="F37" s="46"/>
    </row>
    <row r="38" spans="1:6" ht="16.5">
      <c r="A38" s="46"/>
      <c r="B38" s="61" t="s">
        <v>260</v>
      </c>
      <c r="C38" s="62">
        <v>14</v>
      </c>
      <c r="D38" s="63">
        <v>1.186340140666E-3</v>
      </c>
      <c r="E38" s="46"/>
      <c r="F38" s="46"/>
    </row>
    <row r="39" spans="1:6" ht="16.5">
      <c r="A39" s="46"/>
      <c r="B39" s="61" t="s">
        <v>261</v>
      </c>
      <c r="C39" s="62">
        <v>10</v>
      </c>
      <c r="D39" s="63">
        <v>8.4738581476099997E-4</v>
      </c>
      <c r="E39" s="46"/>
      <c r="F39" s="46"/>
    </row>
    <row r="40" spans="1:6" ht="16.5">
      <c r="A40" s="46"/>
      <c r="B40" s="61" t="s">
        <v>262</v>
      </c>
      <c r="C40" s="62">
        <v>7</v>
      </c>
      <c r="D40" s="63">
        <v>5.9317007033300002E-4</v>
      </c>
      <c r="E40" s="46"/>
      <c r="F40" s="46"/>
    </row>
    <row r="41" spans="1:6" ht="16.5">
      <c r="A41" s="46"/>
      <c r="B41" s="61" t="s">
        <v>117</v>
      </c>
      <c r="C41" s="62">
        <v>6</v>
      </c>
      <c r="D41" s="63">
        <v>5.0843148885699996E-4</v>
      </c>
      <c r="E41" s="46"/>
      <c r="F41" s="46"/>
    </row>
    <row r="42" spans="1:6" ht="16.5">
      <c r="A42" s="46"/>
      <c r="B42" s="61" t="s">
        <v>263</v>
      </c>
      <c r="C42" s="62">
        <v>6</v>
      </c>
      <c r="D42" s="63">
        <v>5.0843148885699996E-4</v>
      </c>
      <c r="E42" s="46"/>
      <c r="F42" s="46"/>
    </row>
    <row r="43" spans="1:6" ht="16.5">
      <c r="A43" s="46"/>
      <c r="B43" s="61" t="s">
        <v>264</v>
      </c>
      <c r="C43" s="62">
        <v>6</v>
      </c>
      <c r="D43" s="63">
        <v>5.0843148885699996E-4</v>
      </c>
      <c r="E43" s="46"/>
      <c r="F43" s="46"/>
    </row>
    <row r="44" spans="1:6" ht="16.5">
      <c r="A44" s="46"/>
      <c r="B44" s="61" t="s">
        <v>265</v>
      </c>
      <c r="C44" s="62">
        <v>5</v>
      </c>
      <c r="D44" s="63">
        <v>4.2369290738100002E-4</v>
      </c>
      <c r="E44" s="46"/>
      <c r="F44" s="46"/>
    </row>
    <row r="45" spans="1:6" ht="16.5">
      <c r="A45" s="46"/>
      <c r="B45" s="61" t="s">
        <v>266</v>
      </c>
      <c r="C45" s="62">
        <v>4</v>
      </c>
      <c r="D45" s="63">
        <v>3.3895432590500002E-4</v>
      </c>
      <c r="E45" s="46"/>
      <c r="F45" s="46"/>
    </row>
    <row r="46" spans="1:6" ht="16.5">
      <c r="A46" s="46"/>
      <c r="B46" s="61" t="s">
        <v>267</v>
      </c>
      <c r="C46" s="62">
        <v>4</v>
      </c>
      <c r="D46" s="63">
        <v>3.3895432590500002E-4</v>
      </c>
      <c r="E46" s="46"/>
      <c r="F46" s="46"/>
    </row>
    <row r="47" spans="1:6" ht="16.5">
      <c r="A47" s="46"/>
      <c r="B47" s="61" t="s">
        <v>268</v>
      </c>
      <c r="C47" s="62">
        <v>4</v>
      </c>
      <c r="D47" s="63">
        <v>3.3895432590500002E-4</v>
      </c>
      <c r="E47" s="46"/>
      <c r="F47" s="46"/>
    </row>
    <row r="48" spans="1:6" ht="16.5">
      <c r="A48" s="46"/>
      <c r="B48" s="61" t="s">
        <v>269</v>
      </c>
      <c r="C48" s="62">
        <v>3</v>
      </c>
      <c r="D48" s="63">
        <v>2.54215744428E-4</v>
      </c>
      <c r="E48" s="46"/>
      <c r="F48" s="46"/>
    </row>
    <row r="49" spans="1:6" ht="16.5">
      <c r="A49" s="46"/>
      <c r="B49" s="61" t="s">
        <v>270</v>
      </c>
      <c r="C49" s="62">
        <v>3</v>
      </c>
      <c r="D49" s="63">
        <v>2.54215744428E-4</v>
      </c>
      <c r="E49" s="46"/>
      <c r="F49" s="46"/>
    </row>
    <row r="50" spans="1:6" ht="16.5">
      <c r="A50" s="46"/>
      <c r="B50" s="61" t="s">
        <v>271</v>
      </c>
      <c r="C50" s="62">
        <v>3</v>
      </c>
      <c r="D50" s="63">
        <v>2.54215744428E-4</v>
      </c>
      <c r="E50" s="46"/>
      <c r="F50" s="46"/>
    </row>
    <row r="51" spans="1:6" ht="16.5">
      <c r="A51" s="46"/>
      <c r="B51" s="61" t="s">
        <v>272</v>
      </c>
      <c r="C51" s="62">
        <v>2</v>
      </c>
      <c r="D51" s="63">
        <v>1.69477162952E-4</v>
      </c>
      <c r="E51" s="46"/>
      <c r="F51" s="46"/>
    </row>
    <row r="52" spans="1:6" ht="16.5">
      <c r="A52" s="46"/>
      <c r="B52" s="61" t="s">
        <v>273</v>
      </c>
      <c r="C52" s="62">
        <v>2</v>
      </c>
      <c r="D52" s="63">
        <v>1.69477162952E-4</v>
      </c>
      <c r="E52" s="46"/>
      <c r="F52" s="46"/>
    </row>
    <row r="53" spans="1:6" ht="16.5">
      <c r="A53" s="46"/>
      <c r="B53" s="61" t="s">
        <v>274</v>
      </c>
      <c r="C53" s="62">
        <v>1</v>
      </c>
      <c r="D53" s="63">
        <v>8.4738581476000001E-5</v>
      </c>
      <c r="E53" s="46"/>
      <c r="F53" s="46"/>
    </row>
    <row r="54" spans="1:6" ht="16.5">
      <c r="A54" s="46"/>
      <c r="B54" s="61" t="s">
        <v>275</v>
      </c>
      <c r="C54" s="62">
        <v>1</v>
      </c>
      <c r="D54" s="63">
        <v>8.4738581476000001E-5</v>
      </c>
      <c r="E54" s="46"/>
      <c r="F54" s="46"/>
    </row>
    <row r="55" spans="1:6" ht="16.5">
      <c r="A55" s="46"/>
      <c r="B55" s="61" t="s">
        <v>276</v>
      </c>
      <c r="C55" s="62">
        <v>1</v>
      </c>
      <c r="D55" s="63">
        <v>8.4738581476000001E-5</v>
      </c>
      <c r="E55" s="46"/>
      <c r="F55" s="46"/>
    </row>
    <row r="56" spans="1:6" ht="16.5">
      <c r="A56" s="46"/>
      <c r="B56" s="61" t="s">
        <v>277</v>
      </c>
      <c r="C56" s="62">
        <v>1</v>
      </c>
      <c r="D56" s="63">
        <v>8.4738581476000001E-5</v>
      </c>
      <c r="E56" s="46"/>
      <c r="F56" s="46"/>
    </row>
    <row r="57" spans="1:6" ht="16.5">
      <c r="A57" s="46"/>
      <c r="B57" s="61" t="s">
        <v>278</v>
      </c>
      <c r="C57" s="62">
        <v>1</v>
      </c>
      <c r="D57" s="63">
        <v>8.4738581476000001E-5</v>
      </c>
      <c r="E57" s="46"/>
      <c r="F57" s="46"/>
    </row>
    <row r="58" spans="1:6" ht="16.5">
      <c r="A58" s="46"/>
      <c r="B58" s="61" t="s">
        <v>279</v>
      </c>
      <c r="C58" s="62">
        <v>1</v>
      </c>
      <c r="D58" s="63">
        <v>8.4738581476000001E-5</v>
      </c>
      <c r="E58" s="46"/>
      <c r="F58" s="46"/>
    </row>
    <row r="59" spans="1:6" ht="16.5">
      <c r="A59" s="46"/>
      <c r="B59" s="61" t="s">
        <v>280</v>
      </c>
      <c r="C59" s="62">
        <v>1</v>
      </c>
      <c r="D59" s="63">
        <v>8.4738581476000001E-5</v>
      </c>
      <c r="E59" s="46"/>
      <c r="F59" s="46"/>
    </row>
    <row r="60" spans="1:6" ht="16.5">
      <c r="A60" s="46"/>
      <c r="B60" s="61" t="s">
        <v>281</v>
      </c>
      <c r="C60" s="62">
        <v>1</v>
      </c>
      <c r="D60" s="63">
        <v>8.4738581476000001E-5</v>
      </c>
      <c r="E60" s="46"/>
      <c r="F60" s="46"/>
    </row>
    <row r="61" spans="1:6" ht="16.5">
      <c r="A61" s="46"/>
      <c r="B61" s="61" t="s">
        <v>282</v>
      </c>
      <c r="C61" s="62">
        <v>1</v>
      </c>
      <c r="D61" s="63">
        <v>8.4738581476000001E-5</v>
      </c>
      <c r="E61" s="46"/>
      <c r="F61" s="46"/>
    </row>
    <row r="62" spans="1:6" ht="16.5">
      <c r="A62" s="46"/>
      <c r="B62" s="61" t="s">
        <v>283</v>
      </c>
      <c r="C62" s="62">
        <v>1</v>
      </c>
      <c r="D62" s="63">
        <v>8.4738581476000001E-5</v>
      </c>
      <c r="E62" s="46"/>
      <c r="F62" s="46"/>
    </row>
    <row r="63" spans="1:6" ht="16.5">
      <c r="A63" s="46"/>
      <c r="B63" s="68" t="s">
        <v>284</v>
      </c>
      <c r="C63" s="69">
        <v>11801</v>
      </c>
      <c r="D63" s="70">
        <v>1</v>
      </c>
      <c r="E63" s="46"/>
      <c r="F63" s="46"/>
    </row>
    <row r="64" spans="1:6" ht="16.5">
      <c r="A64" s="46"/>
      <c r="C64" s="37"/>
      <c r="D64" s="46"/>
      <c r="E64" s="46"/>
      <c r="F64" s="46"/>
    </row>
    <row r="65" spans="1:6" ht="16.5">
      <c r="A65" s="46"/>
      <c r="B65" s="36" t="s">
        <v>130</v>
      </c>
      <c r="C65" s="37"/>
      <c r="D65" s="46"/>
      <c r="E65" s="46"/>
      <c r="F65" s="46"/>
    </row>
    <row r="66" spans="1:6" ht="16.5">
      <c r="A66" s="46"/>
      <c r="B66" s="38" t="s">
        <v>17</v>
      </c>
      <c r="C66" s="37"/>
      <c r="D66" s="46"/>
      <c r="E66" s="46"/>
      <c r="F66" s="46"/>
    </row>
    <row r="67" spans="1:6" ht="16.5">
      <c r="A67" s="46"/>
      <c r="B67" s="39" t="s">
        <v>95</v>
      </c>
      <c r="C67" s="37"/>
      <c r="D67" s="46"/>
      <c r="E67" s="46"/>
      <c r="F67" s="46"/>
    </row>
    <row r="68" spans="1:6" ht="16.5">
      <c r="A68" s="46"/>
      <c r="B68" s="36" t="s">
        <v>16</v>
      </c>
      <c r="C68" s="37"/>
      <c r="D68" s="46"/>
      <c r="E68" s="46"/>
      <c r="F68" s="46"/>
    </row>
    <row r="69" spans="1:6">
      <c r="B69" s="36" t="s">
        <v>285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9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26</vt:i4>
      </vt:variant>
    </vt:vector>
  </HeadingPairs>
  <TitlesOfParts>
    <vt:vector size="41" baseType="lpstr">
      <vt:lpstr>Índice</vt:lpstr>
      <vt:lpstr>Coahuila_EdoUsa</vt:lpstr>
      <vt:lpstr>Coahuila_Cons</vt:lpstr>
      <vt:lpstr>CoahuilaXCons</vt:lpstr>
      <vt:lpstr>Coahuila_EdoMun</vt:lpstr>
      <vt:lpstr>Coahuila_USAMuni</vt:lpstr>
      <vt:lpstr>Coahuila_MUNICIPIO</vt:lpstr>
      <vt:lpstr>Coahuila_educ_gral</vt:lpstr>
      <vt:lpstr>Coahuila_NivelE_Cons</vt:lpstr>
      <vt:lpstr>Coahuila_EducCons</vt:lpstr>
      <vt:lpstr>Coahuila_GenGral</vt:lpstr>
      <vt:lpstr>Coahuila_GENERO</vt:lpstr>
      <vt:lpstr>Coahuila_GENERO_EUA</vt:lpstr>
      <vt:lpstr>Coahuila_Gen_Edad</vt:lpstr>
      <vt:lpstr>Coahuila_ocup_gral</vt:lpstr>
      <vt:lpstr>Coahuila_Cons!Área_de_impresión</vt:lpstr>
      <vt:lpstr>Coahuila_educ_gral!Área_de_impresión</vt:lpstr>
      <vt:lpstr>Coahuila_EducCons!Área_de_impresión</vt:lpstr>
      <vt:lpstr>Coahuila_Gen_Edad!Área_de_impresión</vt:lpstr>
      <vt:lpstr>Coahuila_GENERO!Área_de_impresión</vt:lpstr>
      <vt:lpstr>Coahuila_GENERO_EUA!Área_de_impresión</vt:lpstr>
      <vt:lpstr>Coahuila_GenGral!Área_de_impresión</vt:lpstr>
      <vt:lpstr>Coahuila_MUNICIPIO!Área_de_impresión</vt:lpstr>
      <vt:lpstr>Coahuila_NivelE_Cons!Área_de_impresión</vt:lpstr>
      <vt:lpstr>Coahuila_ocup_gral!Área_de_impresión</vt:lpstr>
      <vt:lpstr>Coahuila_USAMuni!Área_de_impresión</vt:lpstr>
      <vt:lpstr>CoahuilaXCons!Área_de_impresión</vt:lpstr>
      <vt:lpstr>Coahuila_Cons!Títulos_a_imprimir</vt:lpstr>
      <vt:lpstr>Coahuila_EdoMun!Títulos_a_imprimir</vt:lpstr>
      <vt:lpstr>Coahuila_EdoUsa!Títulos_a_imprimir</vt:lpstr>
      <vt:lpstr>Coahuila_educ_gral!Títulos_a_imprimir</vt:lpstr>
      <vt:lpstr>Coahuila_EducCons!Títulos_a_imprimir</vt:lpstr>
      <vt:lpstr>Coahuila_Gen_Edad!Títulos_a_imprimir</vt:lpstr>
      <vt:lpstr>Coahuila_GENERO!Títulos_a_imprimir</vt:lpstr>
      <vt:lpstr>Coahuila_GENERO_EUA!Títulos_a_imprimir</vt:lpstr>
      <vt:lpstr>Coahuila_GenGral!Títulos_a_imprimir</vt:lpstr>
      <vt:lpstr>Coahuila_MUNICIPIO!Títulos_a_imprimir</vt:lpstr>
      <vt:lpstr>Coahuila_NivelE_Cons!Títulos_a_imprimir</vt:lpstr>
      <vt:lpstr>Coahuila_ocup_gral!Títulos_a_imprimir</vt:lpstr>
      <vt:lpstr>Coahuila_USAMuni!Títulos_a_imprimir</vt:lpstr>
      <vt:lpstr>CoahuilaXCons!Títulos_a_imprimir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cp:lastPrinted>2025-02-18T15:37:58Z</cp:lastPrinted>
  <dcterms:created xsi:type="dcterms:W3CDTF">2020-06-02T22:46:57Z</dcterms:created>
  <dcterms:modified xsi:type="dcterms:W3CDTF">2025-08-21T18:40:13Z</dcterms:modified>
</cp:coreProperties>
</file>