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21932E25-F14A-4D83-98C5-49C707DFB8E4}" xr6:coauthVersionLast="47" xr6:coauthVersionMax="47" xr10:uidLastSave="{00000000-0000-0000-0000-000000000000}"/>
  <bookViews>
    <workbookView xWindow="-120" yWindow="-120" windowWidth="29040" windowHeight="15840" tabRatio="728" xr2:uid="{00000000-000D-0000-FFFF-FFFF00000000}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ERO_EUA" sheetId="17" r:id="rId13"/>
    <sheet name="Quintana Roo_Gen_Edad" sheetId="13" r:id="rId14"/>
    <sheet name="Quintana Roo_ocup_gral" sheetId="14" r:id="rId15"/>
  </sheets>
  <definedNames>
    <definedName name="_xlnm._FilterDatabase" localSheetId="2" hidden="1">'Quintana Roo_Cons'!$B$11:$D$11</definedName>
    <definedName name="_xlnm._FilterDatabase" localSheetId="4" hidden="1">'Quintana Roo_EdoMun'!$B$11:$D$11</definedName>
    <definedName name="_xlnm._FilterDatabase" localSheetId="1" hidden="1">'Quintana Roo_EdoUsa'!$B$11:$D$11</definedName>
    <definedName name="_xlnm._FilterDatabase" localSheetId="7" hidden="1">'Quintana Roo_educ_gral'!$B$11:$D$11</definedName>
    <definedName name="_xlnm._FilterDatabase" localSheetId="9" hidden="1">'Quintana Roo_EducCons'!$B$9:$E$325</definedName>
    <definedName name="_xlnm._FilterDatabase" localSheetId="11" hidden="1">'Quintana Roo_GENERO'!$B$12:$E$140</definedName>
    <definedName name="_xlnm._FilterDatabase" localSheetId="12" hidden="1">'Quintana Roo_GENERO_EUA'!$B$12:$E$126</definedName>
    <definedName name="_xlnm._FilterDatabase" localSheetId="10" hidden="1">'Quintana Roo_GenGral'!$B$11:$D$11</definedName>
    <definedName name="_xlnm._FilterDatabase" localSheetId="6" hidden="1">'Quintana Roo_MUNICIPIO'!$B$9:$E$216</definedName>
    <definedName name="_xlnm._FilterDatabase" localSheetId="8" hidden="1">'Quintana Roo_NivelE_Cons'!$B$9:$E$262</definedName>
    <definedName name="_xlnm._FilterDatabase" localSheetId="14" hidden="1">'Quintana Roo_ocup_gral'!$B$11:$D$11</definedName>
    <definedName name="_xlnm._FilterDatabase" localSheetId="5" hidden="1">'Quintana Roo_USAMuni'!$B$9:$E$187</definedName>
    <definedName name="_xlnm._FilterDatabase" localSheetId="3" hidden="1">'Quintana RooXCons'!$B$11:$D$11</definedName>
    <definedName name="_xlnm.Print_Area" localSheetId="4">'Quintana Roo_EdoMun'!$A$1:$F$30</definedName>
    <definedName name="_xlnm.Print_Area" localSheetId="1">'Quintana Roo_EdoUsa'!$A$1:$F$58</definedName>
    <definedName name="_xlnm.Print_Area" localSheetId="7">'Quintana Roo_educ_gral'!$A$1:$F$41</definedName>
    <definedName name="_xlnm.Print_Area" localSheetId="9">'Quintana Roo_EducCons'!$A$1:$E$331</definedName>
    <definedName name="_xlnm.Print_Area" localSheetId="11">'Quintana Roo_GENERO'!$A$1:$F$146</definedName>
    <definedName name="_xlnm.Print_Area" localSheetId="12">'Quintana Roo_GENERO_EUA'!$A$1:$F$132</definedName>
    <definedName name="_xlnm.Print_Area" localSheetId="6">'Quintana Roo_MUNICIPIO'!$A$1:$E$222</definedName>
    <definedName name="_xlnm.Print_Area" localSheetId="8">'Quintana Roo_NivelE_Cons'!$A$1:$E$268</definedName>
    <definedName name="_xlnm.Print_Area" localSheetId="14">'Quintana Roo_ocup_gral'!$A$1:$E$48</definedName>
    <definedName name="_xlnm.Print_Area" localSheetId="5">'Quintana Roo_USAMuni'!$A$1:$E$193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3">'Quintana Roo_Gen_Edad'!$1:$12</definedName>
    <definedName name="_xlnm.Print_Titles" localSheetId="11">'Quintana Roo_GENERO'!$1:$12</definedName>
    <definedName name="_xlnm.Print_Titles" localSheetId="12">'Quintana Roo_GENERO_EUA'!$1:$12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4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3" l="1"/>
  <c r="E24" i="13"/>
  <c r="E23" i="13"/>
  <c r="E22" i="13"/>
  <c r="E21" i="13"/>
  <c r="E20" i="13"/>
  <c r="E18" i="13"/>
  <c r="E17" i="13"/>
  <c r="E16" i="13"/>
  <c r="E15" i="13"/>
  <c r="E14" i="13"/>
  <c r="E13" i="13"/>
  <c r="D21" i="16"/>
  <c r="D20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<sst xmlns="http://schemas.openxmlformats.org/spreadsheetml/2006/main" count="1772" uniqueCount="233">
  <si>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</si>
  <si>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</si>
  <si>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</si>
  <si>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</si>
  <si>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</si>
  <si>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</si>
  <si>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</si>
  <si>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</si>
  <si>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</si>
  <si>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</si>
  <si>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</si>
  <si>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</si>
  <si>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</si>
  <si>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</si>
  <si>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</si>
  <si>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</si>
  <si>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</si>
  <si>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</si>
  <si>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</si>
  <si>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</si>
  <si>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</si>
  <si>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</si>
  <si>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</si>
  <si>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</si>
  <si>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</si>
  <si>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</si>
  <si>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</si>
  <si>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</si>
  <si>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</si>
  <si>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</si>
  <si>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</si>
  <si>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</si>
  <si>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</si>
  <si>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</si>
  <si>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Ocupación</t>
  </si>
  <si>
    <t>5.3 Por Estado de la Unión Americana</t>
  </si>
  <si>
    <t>MATRÍCULAS CONSULARES DE ALTA SEGURIDAD EXPEDIDAS A ORIGINARIOS DE QUINTANA ROO EN LOS CONSULADOS DE MÉXICO EN EE.UU.</t>
  </si>
  <si>
    <t xml:space="preserve">MATRÍCULAS CONSULARES EXPEDIDAS A ORIGINARIOS DE QUINTANA ROO POR GÉNERO EN EE.UU </t>
  </si>
  <si>
    <t>MATRÍCULAS CONSULARES EXPEDIDAS EN EE.UU. A ORIGINARIOS DE QUINTANA ROO POR NIVEL DE EDUCACIÓN</t>
  </si>
  <si>
    <t>MATRÍCULAS CONSULARES EXPEDIDAS A ORIGINARIOS DE QUINTANA ROO POR GÉNERO Y CONSULADO</t>
  </si>
  <si>
    <t>MATRÍCULAS CONSULARES EXPEDIDAS A ORIGINARIOS DE QUINTANA ROO POR GÉNERO Y POR ESTADO DE LA UNIÓN AMERICANA</t>
  </si>
  <si>
    <t xml:space="preserve">MATRÍCULAS CONSULARES DE ALTA SEGURIDAD EXPEDIDAS POR MUNICIPIO A ORIGINARIOS DEL ESTADO DE QUINTANA ROO EN LOS CONSULADOS DE MÉXICO EN EE.UU. </t>
  </si>
  <si>
    <t>MATRÍCULAS CONSULARES DE ALTA SEGURIDAD EXPEDIDAS A ORIGINARIOS DE QUINTANA ROO POR ESTADO DE LA UNIÓN AMERICANA</t>
  </si>
  <si>
    <t>LOS 10 CONSULADOS  DE MÉXICO EN EE.UU., CON MAYOR NÚMERO DE EXPEDICIÓN DE  MATRÍCULAS CONSULARES DE ALTA SEGURIDAD A ORIGINARIOS DE QUINTANA ROO</t>
  </si>
  <si>
    <t>TOTAL TOP 10</t>
  </si>
  <si>
    <t>TOTAL GENERAL</t>
  </si>
  <si>
    <t>Elaborado por: Análisis de Información, Instituto de Mexicanas y Mexicanos en el Exterior</t>
  </si>
  <si>
    <t>ATLANTA</t>
  </si>
  <si>
    <t>SAN FRANCISCO</t>
  </si>
  <si>
    <t>RALEIGH</t>
  </si>
  <si>
    <t>DALLAS</t>
  </si>
  <si>
    <t>HOUSTON</t>
  </si>
  <si>
    <t>CHICAGO</t>
  </si>
  <si>
    <t>WASHINGTON</t>
  </si>
  <si>
    <t>LOS ANGELES</t>
  </si>
  <si>
    <t>LITTLE ROCK</t>
  </si>
  <si>
    <t>SAINT PAUL</t>
  </si>
  <si>
    <t>NUEVA ORLEANS</t>
  </si>
  <si>
    <t>ORLANDO</t>
  </si>
  <si>
    <t>SAN JOSE</t>
  </si>
  <si>
    <t>NUEVA YORK</t>
  </si>
  <si>
    <t>SACRAMENTO</t>
  </si>
  <si>
    <t>AUSTIN</t>
  </si>
  <si>
    <t>INDIANAPOLIS</t>
  </si>
  <si>
    <t>KANSAS CITY</t>
  </si>
  <si>
    <t>MIAMI</t>
  </si>
  <si>
    <t>FRESNO</t>
  </si>
  <si>
    <t>FILADELFIA</t>
  </si>
  <si>
    <t>SANTA ANA</t>
  </si>
  <si>
    <t>MCALLEN</t>
  </si>
  <si>
    <t>OKLAHOMA CITY</t>
  </si>
  <si>
    <t>DETROIT</t>
  </si>
  <si>
    <t>PHOENIX</t>
  </si>
  <si>
    <t>DENVER</t>
  </si>
  <si>
    <t>SAN BERNARDINO</t>
  </si>
  <si>
    <t>SAN ANTONIO</t>
  </si>
  <si>
    <t>LAS VEGAS</t>
  </si>
  <si>
    <t>OMAHA</t>
  </si>
  <si>
    <t>PORTLAND</t>
  </si>
  <si>
    <t>ALBUQUERQUE</t>
  </si>
  <si>
    <t>BROWNSVILLE</t>
  </si>
  <si>
    <t>OXNARD</t>
  </si>
  <si>
    <t>SEATTLE</t>
  </si>
  <si>
    <t>MILWAUKEE</t>
  </si>
  <si>
    <t>SALT LAKE CITY</t>
  </si>
  <si>
    <t>SAN DIEGO</t>
  </si>
  <si>
    <t>BOSTON</t>
  </si>
  <si>
    <t>BOISE</t>
  </si>
  <si>
    <t>EL PASO</t>
  </si>
  <si>
    <t>ALABAMA</t>
  </si>
  <si>
    <t>ARIZONA</t>
  </si>
  <si>
    <t>ARKANSAS</t>
  </si>
  <si>
    <t>CALIFORNIA</t>
  </si>
  <si>
    <t>COLORADO</t>
  </si>
  <si>
    <t>CONNECTICUT</t>
  </si>
  <si>
    <t>DISTRICT OF COLUMBIA</t>
  </si>
  <si>
    <t>FLORIDA</t>
  </si>
  <si>
    <t>GEORGIA</t>
  </si>
  <si>
    <t>ILLINOIS</t>
  </si>
  <si>
    <t>INDIANA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</si>
  <si>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</si>
  <si>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</si>
  <si>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</si>
  <si>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</si>
  <si>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</si>
  <si>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</si>
  <si>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</si>
  <si>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</si>
  <si>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</si>
  <si>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</si>
  <si>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</si>
  <si>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</si>
  <si>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</si>
  <si>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</si>
  <si>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</si>
  <si>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</si>
  <si>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</si>
  <si>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</si>
  <si>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</si>
  <si>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</si>
  <si>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</si>
  <si>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</si>
  <si>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</si>
  <si>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</si>
  <si>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VIRGINIA</t>
  </si>
  <si>
    <t>WEST VIRGINIA</t>
  </si>
  <si>
    <t>WISCONSIN</t>
  </si>
  <si>
    <t>FEMENINO</t>
  </si>
  <si>
    <t>MASCULINO</t>
  </si>
  <si>
    <t>BENITO JUÁREZ</t>
  </si>
  <si>
    <t>FELIPE CARRILLO PUERTO</t>
  </si>
  <si>
    <t>OTHÓN P. BLANCO</t>
  </si>
  <si>
    <t>COZUMEL</t>
  </si>
  <si>
    <t>BACALAR</t>
  </si>
  <si>
    <t>ISLA MUJERES</t>
  </si>
  <si>
    <t>JOSÉ MARÍA MORELOS</t>
  </si>
  <si>
    <t>LÁZARO CÁRDENAS</t>
  </si>
  <si>
    <t>SOLIDARIDAD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</si>
  <si>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</si>
  <si>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</si>
  <si>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</si>
  <si>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</si>
  <si>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</si>
  <si>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</si>
  <si>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</si>
  <si>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</si>
  <si>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</si>
  <si>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</si>
  <si>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</si>
  <si>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</si>
  <si>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</si>
  <si>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</si>
  <si>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</si>
  <si>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</si>
  <si>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</si>
  <si>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</si>
  <si>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</si>
  <si>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</si>
  <si>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</si>
  <si>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</si>
  <si>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</si>
  <si>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</si>
  <si>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</si>
  <si>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</si>
  <si>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</si>
  <si>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</si>
  <si>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</si>
  <si>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</si>
  <si>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</si>
  <si>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</si>
  <si>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ESTUDIANTE</t>
  </si>
  <si>
    <t>ALIMENTOS Y BEBIDAS, ESP. EN PREPARACIÓN DE</t>
  </si>
  <si>
    <t>OBRERO(A)</t>
  </si>
  <si>
    <t>AGROPECUARIA, TRAB. DE LA INDUSTRIA</t>
  </si>
  <si>
    <t>JARDINERO(A)</t>
  </si>
  <si>
    <t>LIMPIEZA, EMPLEADO DE</t>
  </si>
  <si>
    <t>MESERO(A)</t>
  </si>
  <si>
    <t>PINTOR(A)</t>
  </si>
  <si>
    <t>CARPINTERO/TAPICERO</t>
  </si>
  <si>
    <t>MECÁNICO(A)</t>
  </si>
  <si>
    <t>EMPRESARIO(A)</t>
  </si>
  <si>
    <t>TÉCNICO(A) EN MANTENIMIENTO</t>
  </si>
  <si>
    <t>CAJERO(A)/COBRADOR(A)</t>
  </si>
  <si>
    <t>SIN ESPECIFICAR</t>
  </si>
  <si>
    <t>SOLDADOR</t>
  </si>
  <si>
    <t>VENDEDOR(A)</t>
  </si>
  <si>
    <t>MATRÍCULAS CONSULARES EXPEDIDAS EN EE.UU.  ORIGINARIOS DE QUINTANA ROO POR PERFIL OCUPACIONAL</t>
  </si>
  <si>
    <t>PRESIDIO</t>
  </si>
  <si>
    <t>NEW BRUNSWICK</t>
  </si>
  <si>
    <t>Tamaño de la muestra: 808,027</t>
  </si>
  <si>
    <t>IOWA</t>
  </si>
  <si>
    <t>DESCONOCIDO</t>
  </si>
  <si>
    <t>TULUM</t>
  </si>
  <si>
    <t>PUERTO MORELOS</t>
  </si>
  <si>
    <t>1O. PRIMARIA</t>
  </si>
  <si>
    <t>1O. PRIMARIA TOTAL</t>
  </si>
  <si>
    <t>2O. PRIMARIA</t>
  </si>
  <si>
    <t>2O. PRIMARIA TOTAL</t>
  </si>
  <si>
    <t>3O. PRIMARIA</t>
  </si>
  <si>
    <t>3O. PRIMARIA TOTAL</t>
  </si>
  <si>
    <t>4O. PRIMARIA</t>
  </si>
  <si>
    <t>4O. PRIMARIA TOTAL</t>
  </si>
  <si>
    <t>5O. PRIMARIA</t>
  </si>
  <si>
    <t>5O. PRIMARIA TOTAL</t>
  </si>
  <si>
    <t>6O. PRIMARIA</t>
  </si>
  <si>
    <t>1O. SECUNDARIA</t>
  </si>
  <si>
    <t>1O. SECUNDARIA TOTAL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</si>
  <si>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</si>
  <si>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</si>
  <si>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</si>
  <si>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</si>
  <si>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</si>
  <si>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</si>
  <si>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MENORES DE EDAD</t>
  </si>
  <si>
    <t>ENTRE 00 Y 10 AÑOS</t>
  </si>
  <si>
    <t xml:space="preserve">FEMENINO  </t>
  </si>
  <si>
    <t xml:space="preserve">MASCULINO  </t>
  </si>
  <si>
    <t>DESEMPLEADO</t>
  </si>
  <si>
    <t>PROFESIONISTA</t>
  </si>
  <si>
    <t>CARNICERO(A)</t>
  </si>
  <si>
    <t>CHOFER</t>
  </si>
  <si>
    <t>GERENTE/DIRECTOR(A)</t>
  </si>
  <si>
    <t>HERRERO(A)/CERRAJERO(A)/JOYERO(A)</t>
  </si>
  <si>
    <t>JUBILADO(A)/PENSIONADO(A)</t>
  </si>
  <si>
    <t>MÉDICO(A) /ESP. EN SALUD</t>
  </si>
  <si>
    <t>PROFESIONAL TÉCNICO</t>
  </si>
  <si>
    <t>SUPERVISOR(A)</t>
  </si>
  <si>
    <t>TOTAL</t>
  </si>
  <si>
    <t>Junio de 2025</t>
  </si>
  <si>
    <t xml:space="preserve">TOTAL </t>
  </si>
  <si>
    <t xml:space="preserve"> TOTAL</t>
  </si>
  <si>
    <t xml:space="preserve"> TOTAL </t>
  </si>
  <si>
    <t xml:space="preserve">  Matrículas consulares expedidas a originarios de Quintana Roo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</si>
</sst>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1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9"/>
      <color theme="1"/>
      <name val="Montserrat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1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7"/>
      <color theme="1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7"/>
      <color rgb="FF00000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0" fontId="11" fillId="3" borderId="0" xfId="0" applyFont="1" applyFill="1"/>
    <xf numFmtId="0" fontId="6" fillId="3" borderId="0" xfId="0" applyFont="1" applyFill="1"/>
    <xf numFmtId="0" fontId="12" fillId="3" borderId="0" xfId="0" applyFont="1" applyFill="1"/>
    <xf numFmtId="0" fontId="11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4" fillId="0" borderId="4" xfId="0" applyFont="1" applyBorder="1"/>
    <xf numFmtId="0" fontId="1" fillId="3" borderId="0" xfId="0" applyFont="1" applyFill="1"/>
    <xf numFmtId="0" fontId="16" fillId="3" borderId="0" xfId="0" applyFont="1" applyFill="1"/>
    <xf numFmtId="0" fontId="5" fillId="3" borderId="0" xfId="0" applyFont="1" applyFill="1"/>
    <xf numFmtId="0" fontId="17" fillId="0" borderId="0" xfId="0" applyFont="1"/>
    <xf numFmtId="1" fontId="17" fillId="0" borderId="0" xfId="0" applyNumberFormat="1" applyFont="1"/>
    <xf numFmtId="3" fontId="17" fillId="0" borderId="0" xfId="0" applyNumberFormat="1" applyFont="1"/>
    <xf numFmtId="0" fontId="19" fillId="0" borderId="0" xfId="0" applyFont="1" applyAlignment="1">
      <alignment horizontal="center" vertical="center" wrapText="1"/>
    </xf>
    <xf numFmtId="0" fontId="19" fillId="3" borderId="0" xfId="0" applyFont="1" applyFill="1"/>
    <xf numFmtId="0" fontId="21" fillId="3" borderId="0" xfId="0" applyFont="1" applyFill="1"/>
    <xf numFmtId="3" fontId="19" fillId="3" borderId="0" xfId="0" applyNumberFormat="1" applyFont="1" applyFill="1"/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vertical="top"/>
    </xf>
    <xf numFmtId="49" fontId="20" fillId="4" borderId="9" xfId="0" applyNumberFormat="1" applyFont="1" applyFill="1" applyBorder="1" applyAlignment="1">
      <alignment vertical="center" wrapText="1"/>
    </xf>
    <xf numFmtId="3" fontId="20" fillId="4" borderId="9" xfId="0" applyNumberFormat="1" applyFont="1" applyFill="1" applyBorder="1" applyAlignment="1">
      <alignment horizontal="right" vertical="center" wrapText="1"/>
    </xf>
    <xf numFmtId="0" fontId="20" fillId="2" borderId="11" xfId="0" applyFont="1" applyFill="1" applyBorder="1" applyAlignment="1">
      <alignment horizontal="center" vertical="center" wrapText="1"/>
    </xf>
    <xf numFmtId="1" fontId="20" fillId="2" borderId="10" xfId="0" applyNumberFormat="1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vertical="center"/>
    </xf>
    <xf numFmtId="0" fontId="17" fillId="3" borderId="0" xfId="0" applyFont="1" applyFill="1"/>
    <xf numFmtId="0" fontId="23" fillId="3" borderId="0" xfId="0" applyFont="1" applyFill="1"/>
    <xf numFmtId="0" fontId="22" fillId="2" borderId="10" xfId="3" applyFont="1" applyFill="1" applyBorder="1" applyAlignment="1">
      <alignment horizontal="center" vertical="center" wrapText="1"/>
    </xf>
    <xf numFmtId="0" fontId="20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0" fontId="25" fillId="3" borderId="0" xfId="0" applyFont="1" applyFill="1"/>
    <xf numFmtId="0" fontId="25" fillId="3" borderId="14" xfId="0" applyFont="1" applyFill="1" applyBorder="1" applyAlignment="1">
      <alignment horizontal="center" vertical="distributed"/>
    </xf>
    <xf numFmtId="3" fontId="17" fillId="3" borderId="0" xfId="0" applyNumberFormat="1" applyFont="1" applyFill="1"/>
    <xf numFmtId="0" fontId="27" fillId="3" borderId="0" xfId="0" applyFont="1" applyFill="1"/>
    <xf numFmtId="0" fontId="26" fillId="5" borderId="10" xfId="3" applyFont="1" applyFill="1" applyBorder="1" applyAlignment="1">
      <alignment horizontal="center" vertical="center" wrapText="1"/>
    </xf>
    <xf numFmtId="0" fontId="28" fillId="0" borderId="9" xfId="0" applyFont="1" applyBorder="1" applyAlignment="1">
      <alignment vertical="center" wrapText="1"/>
    </xf>
    <xf numFmtId="0" fontId="28" fillId="6" borderId="9" xfId="0" applyFont="1" applyFill="1" applyBorder="1" applyAlignment="1">
      <alignment horizontal="right" vertical="center" wrapText="1"/>
    </xf>
    <xf numFmtId="10" fontId="28" fillId="6" borderId="9" xfId="0" applyNumberFormat="1" applyFont="1" applyFill="1" applyBorder="1" applyAlignment="1">
      <alignment horizontal="right" vertical="center" wrapText="1"/>
    </xf>
    <xf numFmtId="0" fontId="20" fillId="4" borderId="9" xfId="0" applyFont="1" applyFill="1" applyBorder="1" applyAlignment="1">
      <alignment vertical="center" wrapText="1"/>
    </xf>
    <xf numFmtId="0" fontId="20" fillId="4" borderId="9" xfId="0" applyFont="1" applyFill="1" applyBorder="1" applyAlignment="1">
      <alignment horizontal="right" vertical="center" wrapText="1"/>
    </xf>
    <xf numFmtId="10" fontId="20" fillId="4" borderId="9" xfId="0" applyNumberFormat="1" applyFont="1" applyFill="1" applyBorder="1" applyAlignment="1">
      <alignment horizontal="right" vertical="center" wrapText="1"/>
    </xf>
    <xf numFmtId="49" fontId="29" fillId="0" borderId="9" xfId="0" applyNumberFormat="1" applyFont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165" fontId="20" fillId="4" borderId="9" xfId="0" applyNumberFormat="1" applyFont="1" applyFill="1" applyBorder="1" applyAlignment="1">
      <alignment horizontal="left" vertical="top" wrapText="1"/>
    </xf>
    <xf numFmtId="165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0" fontId="29" fillId="3" borderId="9" xfId="0" applyFont="1" applyFill="1" applyBorder="1"/>
    <xf numFmtId="49" fontId="20" fillId="7" borderId="9" xfId="0" applyNumberFormat="1" applyFont="1" applyFill="1" applyBorder="1" applyAlignment="1">
      <alignment vertical="center" wrapText="1"/>
    </xf>
    <xf numFmtId="3" fontId="20" fillId="7" borderId="9" xfId="0" applyNumberFormat="1" applyFont="1" applyFill="1" applyBorder="1" applyAlignment="1">
      <alignment horizontal="right" vertical="center" wrapText="1"/>
    </xf>
    <xf numFmtId="164" fontId="20" fillId="7" borderId="9" xfId="0" applyNumberFormat="1" applyFont="1" applyFill="1" applyBorder="1" applyAlignment="1">
      <alignment horizontal="right" vertical="center" wrapText="1"/>
    </xf>
    <xf numFmtId="0" fontId="20" fillId="7" borderId="9" xfId="0" applyFont="1" applyFill="1" applyBorder="1" applyAlignment="1">
      <alignment horizontal="right" vertical="center" wrapText="1"/>
    </xf>
    <xf numFmtId="10" fontId="20" fillId="7" borderId="9" xfId="0" applyNumberFormat="1" applyFont="1" applyFill="1" applyBorder="1" applyAlignment="1">
      <alignment horizontal="right" vertical="center" wrapText="1"/>
    </xf>
    <xf numFmtId="0" fontId="20" fillId="7" borderId="9" xfId="0" applyFont="1" applyFill="1" applyBorder="1" applyAlignment="1">
      <alignment vertical="center" wrapText="1"/>
    </xf>
    <xf numFmtId="49" fontId="20" fillId="4" borderId="9" xfId="0" applyNumberFormat="1" applyFont="1" applyFill="1" applyBorder="1" applyAlignment="1">
      <alignment vertical="top" wrapText="1"/>
    </xf>
    <xf numFmtId="165" fontId="20" fillId="7" borderId="9" xfId="0" applyNumberFormat="1" applyFont="1" applyFill="1" applyBorder="1" applyAlignment="1">
      <alignment horizontal="right" vertical="top" wrapText="1"/>
    </xf>
    <xf numFmtId="49" fontId="20" fillId="7" borderId="9" xfId="0" applyNumberFormat="1" applyFont="1" applyFill="1" applyBorder="1" applyAlignment="1">
      <alignment vertical="top" wrapText="1"/>
    </xf>
    <xf numFmtId="164" fontId="20" fillId="7" borderId="9" xfId="0" applyNumberFormat="1" applyFont="1" applyFill="1" applyBorder="1" applyAlignment="1">
      <alignment horizontal="right" vertical="top" wrapText="1"/>
    </xf>
    <xf numFmtId="0" fontId="30" fillId="3" borderId="0" xfId="0" applyFont="1" applyFill="1"/>
    <xf numFmtId="0" fontId="30" fillId="3" borderId="0" xfId="0" applyFont="1" applyFill="1" applyAlignment="1">
      <alignment vertical="center"/>
    </xf>
    <xf numFmtId="0" fontId="20" fillId="2" borderId="9" xfId="0" applyFont="1" applyFill="1" applyBorder="1" applyAlignment="1">
      <alignment horizontal="center" vertical="center" wrapText="1"/>
    </xf>
    <xf numFmtId="1" fontId="20" fillId="2" borderId="9" xfId="0" applyNumberFormat="1" applyFont="1" applyFill="1" applyBorder="1" applyAlignment="1">
      <alignment horizontal="center" vertical="center" wrapText="1"/>
    </xf>
    <xf numFmtId="0" fontId="15" fillId="0" borderId="4" xfId="1" applyFont="1" applyBorder="1" applyAlignment="1">
      <alignment horizontal="left"/>
    </xf>
    <xf numFmtId="0" fontId="15" fillId="0" borderId="0" xfId="1" applyFont="1" applyBorder="1" applyAlignment="1">
      <alignment horizontal="left"/>
    </xf>
    <xf numFmtId="0" fontId="15" fillId="0" borderId="5" xfId="1" applyFont="1" applyBorder="1" applyAlignment="1">
      <alignment horizontal="left"/>
    </xf>
    <xf numFmtId="0" fontId="13" fillId="2" borderId="1" xfId="0" applyFont="1" applyFill="1" applyBorder="1" applyAlignment="1">
      <alignment horizontal="center" wrapText="1"/>
    </xf>
    <xf numFmtId="0" fontId="13" fillId="2" borderId="2" xfId="0" applyFont="1" applyFill="1" applyBorder="1" applyAlignment="1">
      <alignment horizontal="center" wrapText="1"/>
    </xf>
    <xf numFmtId="0" fontId="13" fillId="2" borderId="3" xfId="0" applyFont="1" applyFill="1" applyBorder="1" applyAlignment="1">
      <alignment horizontal="center" wrapText="1"/>
    </xf>
    <xf numFmtId="0" fontId="14" fillId="0" borderId="4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0" fontId="14" fillId="0" borderId="5" xfId="0" applyFont="1" applyBorder="1" applyAlignment="1">
      <alignment horizontal="left" wrapText="1"/>
    </xf>
    <xf numFmtId="0" fontId="18" fillId="0" borderId="0" xfId="0" applyFont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 wrapText="1"/>
    </xf>
    <xf numFmtId="0" fontId="28" fillId="0" borderId="16" xfId="0" applyFont="1" applyBorder="1" applyAlignment="1">
      <alignment horizontal="center" vertical="center" wrapText="1"/>
    </xf>
    <xf numFmtId="0" fontId="19" fillId="3" borderId="0" xfId="0" applyFont="1" applyFill="1" applyAlignment="1">
      <alignment horizontal="center" wrapText="1"/>
    </xf>
    <xf numFmtId="0" fontId="20" fillId="4" borderId="9" xfId="0" applyFont="1" applyFill="1" applyBorder="1" applyAlignment="1">
      <alignment vertical="center" wrapText="1"/>
    </xf>
    <xf numFmtId="0" fontId="20" fillId="4" borderId="13" xfId="0" applyFont="1" applyFill="1" applyBorder="1" applyAlignment="1">
      <alignment vertical="center" wrapText="1"/>
    </xf>
    <xf numFmtId="0" fontId="20" fillId="4" borderId="12" xfId="0" applyFont="1" applyFill="1" applyBorder="1" applyAlignment="1">
      <alignment vertical="center" wrapText="1"/>
    </xf>
    <xf numFmtId="49" fontId="29" fillId="0" borderId="10" xfId="0" applyNumberFormat="1" applyFont="1" applyBorder="1" applyAlignment="1">
      <alignment horizontal="center" vertical="center" wrapText="1"/>
    </xf>
    <xf numFmtId="49" fontId="29" fillId="0" borderId="15" xfId="0" applyNumberFormat="1" applyFont="1" applyBorder="1" applyAlignment="1">
      <alignment horizontal="center" vertical="center" wrapText="1"/>
    </xf>
    <xf numFmtId="49" fontId="29" fillId="0" borderId="16" xfId="0" applyNumberFormat="1" applyFont="1" applyBorder="1" applyAlignment="1">
      <alignment horizontal="center" vertical="center" wrapText="1"/>
    </xf>
    <xf numFmtId="49" fontId="20" fillId="4" borderId="13" xfId="0" applyNumberFormat="1" applyFont="1" applyFill="1" applyBorder="1" applyAlignment="1">
      <alignment horizontal="left" vertical="top" wrapText="1"/>
    </xf>
    <xf numFmtId="49" fontId="20" fillId="4" borderId="12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2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375366</xdr:colOff>
      <xdr:row>1</xdr:row>
      <xdr:rowOff>193367</xdr:rowOff>
    </xdr:from>
    <xdr:to>
      <xdr:col>3</xdr:col>
      <xdr:colOff>887463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1516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134457</xdr:colOff>
      <xdr:row>1</xdr:row>
      <xdr:rowOff>91109</xdr:rowOff>
    </xdr:from>
    <xdr:to>
      <xdr:col>1</xdr:col>
      <xdr:colOff>1134582</xdr:colOff>
      <xdr:row>2</xdr:row>
      <xdr:rowOff>122486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40E5C84-017E-4D79-AF99-8CD5ADFFB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457" y="284370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457478</xdr:colOff>
      <xdr:row>1</xdr:row>
      <xdr:rowOff>88348</xdr:rowOff>
    </xdr:from>
    <xdr:to>
      <xdr:col>5</xdr:col>
      <xdr:colOff>276502</xdr:colOff>
      <xdr:row>3</xdr:row>
      <xdr:rowOff>178544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082DD34-296B-43F0-AB7F-A907A5E44C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5739" y="281609"/>
          <a:ext cx="465067" cy="476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255935</xdr:colOff>
      <xdr:row>2</xdr:row>
      <xdr:rowOff>1</xdr:rowOff>
    </xdr:from>
    <xdr:to>
      <xdr:col>1</xdr:col>
      <xdr:colOff>1256060</xdr:colOff>
      <xdr:row>3</xdr:row>
      <xdr:rowOff>31378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822FE28-8130-4FFE-A97A-BA4600AD5B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35" y="38100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413303</xdr:colOff>
      <xdr:row>1</xdr:row>
      <xdr:rowOff>24848</xdr:rowOff>
    </xdr:from>
    <xdr:to>
      <xdr:col>5</xdr:col>
      <xdr:colOff>232327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3EEE6E1-0514-415E-B39A-243D50728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2781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292928</xdr:colOff>
      <xdr:row>7</xdr:row>
      <xdr:rowOff>160130</xdr:rowOff>
    </xdr:from>
    <xdr:to>
      <xdr:col>5</xdr:col>
      <xdr:colOff>185900</xdr:colOff>
      <xdr:row>8</xdr:row>
      <xdr:rowOff>151224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931189" y="1700695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176008</xdr:colOff>
      <xdr:row>2</xdr:row>
      <xdr:rowOff>16566</xdr:rowOff>
    </xdr:from>
    <xdr:to>
      <xdr:col>1</xdr:col>
      <xdr:colOff>1176133</xdr:colOff>
      <xdr:row>3</xdr:row>
      <xdr:rowOff>47943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4A9AF0A-C615-4520-99FB-792A92BBF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008" y="39756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395082</xdr:colOff>
      <xdr:row>1</xdr:row>
      <xdr:rowOff>135835</xdr:rowOff>
    </xdr:from>
    <xdr:to>
      <xdr:col>5</xdr:col>
      <xdr:colOff>214106</xdr:colOff>
      <xdr:row>3</xdr:row>
      <xdr:rowOff>223270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22C3AE0-6F7A-4E42-A243-51AE0DBDE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4207" y="326335"/>
          <a:ext cx="438149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265043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038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231087</xdr:colOff>
      <xdr:row>1</xdr:row>
      <xdr:rowOff>160131</xdr:rowOff>
    </xdr:from>
    <xdr:to>
      <xdr:col>1</xdr:col>
      <xdr:colOff>1231212</xdr:colOff>
      <xdr:row>3</xdr:row>
      <xdr:rowOff>1008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C32AE37-3D3D-482E-AC3C-FCDC27D5E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087" y="35063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391215</xdr:colOff>
      <xdr:row>1</xdr:row>
      <xdr:rowOff>113195</xdr:rowOff>
    </xdr:from>
    <xdr:to>
      <xdr:col>5</xdr:col>
      <xdr:colOff>210240</xdr:colOff>
      <xdr:row>3</xdr:row>
      <xdr:rowOff>200630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7E1000C-E417-457E-9600-0D486BD125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6128" y="306456"/>
          <a:ext cx="465069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QUINTANA ROO POR ESTADO EN EE.UU.</a:t>
          </a:r>
        </a:p>
      </xdr:txBody>
    </xdr:sp>
    <xdr:clientData/>
  </xdr:two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75452</xdr:colOff>
      <xdr:row>1</xdr:row>
      <xdr:rowOff>151790</xdr:rowOff>
    </xdr:from>
    <xdr:to>
      <xdr:col>2</xdr:col>
      <xdr:colOff>172773</xdr:colOff>
      <xdr:row>2</xdr:row>
      <xdr:rowOff>183167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29E96B5-1EA0-4D68-9EAD-62E10612F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302" y="304190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548340</xdr:colOff>
      <xdr:row>1</xdr:row>
      <xdr:rowOff>105472</xdr:rowOff>
    </xdr:from>
    <xdr:to>
      <xdr:col>4</xdr:col>
      <xdr:colOff>988560</xdr:colOff>
      <xdr:row>3</xdr:row>
      <xdr:rowOff>192907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23B84CA-2FF2-4A1D-99E7-3B6B29035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5490" y="25787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QUINTANA ROO EN LOS CONSULADOS DE MÉXICO EN EE.UU.</a:t>
          </a:r>
        </a:p>
      </xdr:txBody>
    </xdr:sp>
    <xdr:clientData/>
  </xdr:two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137295</xdr:colOff>
      <xdr:row>1</xdr:row>
      <xdr:rowOff>184368</xdr:rowOff>
    </xdr:from>
    <xdr:to>
      <xdr:col>2</xdr:col>
      <xdr:colOff>234616</xdr:colOff>
      <xdr:row>3</xdr:row>
      <xdr:rowOff>25245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368BCE2-DB11-4219-9377-E6E987F81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556" y="33345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459797</xdr:colOff>
      <xdr:row>1</xdr:row>
      <xdr:rowOff>78887</xdr:rowOff>
    </xdr:from>
    <xdr:to>
      <xdr:col>4</xdr:col>
      <xdr:colOff>900017</xdr:colOff>
      <xdr:row>3</xdr:row>
      <xdr:rowOff>161840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EAF0816-DB1A-4E01-B330-63C8BAE33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9058" y="227974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033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192436</xdr:colOff>
      <xdr:row>1</xdr:row>
      <xdr:rowOff>140805</xdr:rowOff>
    </xdr:from>
    <xdr:to>
      <xdr:col>1</xdr:col>
      <xdr:colOff>1192561</xdr:colOff>
      <xdr:row>2</xdr:row>
      <xdr:rowOff>172182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CCE950-29FD-4609-B0C1-10210E7C26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36" y="33130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239368</xdr:colOff>
      <xdr:row>1</xdr:row>
      <xdr:rowOff>66260</xdr:rowOff>
    </xdr:from>
    <xdr:to>
      <xdr:col>5</xdr:col>
      <xdr:colOff>58393</xdr:colOff>
      <xdr:row>3</xdr:row>
      <xdr:rowOff>156456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93C726E-5E14-464C-92A3-3460F8553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2064" y="256760"/>
          <a:ext cx="440220" cy="4711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QUINTANA ROO POR NIVEL DE EDUCACIÓN Y ESTADO EN EE.UU. </a:t>
          </a:r>
        </a:p>
      </xdr:txBody>
    </xdr:sp>
    <xdr:clientData/>
  </xdr:two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112432</xdr:colOff>
      <xdr:row>1</xdr:row>
      <xdr:rowOff>134234</xdr:rowOff>
    </xdr:from>
    <xdr:to>
      <xdr:col>2</xdr:col>
      <xdr:colOff>209753</xdr:colOff>
      <xdr:row>2</xdr:row>
      <xdr:rowOff>165611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54C421E-9D2F-412A-B1C1-6753C51FF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282" y="286634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508559</xdr:colOff>
      <xdr:row>1</xdr:row>
      <xdr:rowOff>100616</xdr:rowOff>
    </xdr:from>
    <xdr:to>
      <xdr:col>4</xdr:col>
      <xdr:colOff>948779</xdr:colOff>
      <xdr:row>3</xdr:row>
      <xdr:rowOff>188051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618BCB8-F85C-410B-A748-5EDC0E2526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4409" y="2530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QUINTANA ROO POR CONSULADO Y NIVEL DE EDUCACIÓN EN EE.UU.</a:t>
          </a:r>
        </a:p>
      </xdr:txBody>
    </xdr:sp>
    <xdr:clientData/>
  </xdr:two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94876</xdr:colOff>
      <xdr:row>1</xdr:row>
      <xdr:rowOff>158140</xdr:rowOff>
    </xdr:from>
    <xdr:to>
      <xdr:col>2</xdr:col>
      <xdr:colOff>192197</xdr:colOff>
      <xdr:row>2</xdr:row>
      <xdr:rowOff>189517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8A61AC2-24EB-45C2-8A6D-6B50131BE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726" y="310540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553943</xdr:colOff>
      <xdr:row>1</xdr:row>
      <xdr:rowOff>94266</xdr:rowOff>
    </xdr:from>
    <xdr:to>
      <xdr:col>4</xdr:col>
      <xdr:colOff>994163</xdr:colOff>
      <xdr:row>3</xdr:row>
      <xdr:rowOff>181701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513C3C9-D947-4B49-B131-4CA2E6F960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7043" y="24666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225034</xdr:colOff>
      <xdr:row>1</xdr:row>
      <xdr:rowOff>166396</xdr:rowOff>
    </xdr:from>
    <xdr:to>
      <xdr:col>1</xdr:col>
      <xdr:colOff>1225159</xdr:colOff>
      <xdr:row>3</xdr:row>
      <xdr:rowOff>7273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3382777-85ED-4CB8-938C-E1A9CDA0B0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034" y="356896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405020</xdr:colOff>
      <xdr:row>1</xdr:row>
      <xdr:rowOff>96631</xdr:rowOff>
    </xdr:from>
    <xdr:to>
      <xdr:col>5</xdr:col>
      <xdr:colOff>224044</xdr:colOff>
      <xdr:row>3</xdr:row>
      <xdr:rowOff>184066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13A5082-BA0B-4A31-A1AC-131534EB3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3281" y="289892"/>
          <a:ext cx="465067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769328</xdr:colOff>
      <xdr:row>8</xdr:row>
      <xdr:rowOff>142214</xdr:rowOff>
    </xdr:from>
    <xdr:to>
      <xdr:col>5</xdr:col>
      <xdr:colOff>280588</xdr:colOff>
      <xdr:row>9</xdr:row>
      <xdr:rowOff>142214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627078" y="1724829"/>
          <a:ext cx="55901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203200</xdr:colOff>
      <xdr:row>2</xdr:row>
      <xdr:rowOff>17879</xdr:rowOff>
    </xdr:from>
    <xdr:to>
      <xdr:col>2</xdr:col>
      <xdr:colOff>110021</xdr:colOff>
      <xdr:row>3</xdr:row>
      <xdr:rowOff>42906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78468D1-7730-4EE0-94F8-C68C4D00F5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200" y="351254"/>
          <a:ext cx="1621321" cy="2155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485775</xdr:colOff>
      <xdr:row>1</xdr:row>
      <xdr:rowOff>30579</xdr:rowOff>
    </xdr:from>
    <xdr:to>
      <xdr:col>4</xdr:col>
      <xdr:colOff>925995</xdr:colOff>
      <xdr:row>3</xdr:row>
      <xdr:rowOff>159289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AFEFEA1-DB0D-4700-99DA-DF3F5CB614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3525" y="221079"/>
          <a:ext cx="440220" cy="4620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893764</xdr:colOff>
      <xdr:row>8</xdr:row>
      <xdr:rowOff>181372</xdr:rowOff>
    </xdr:from>
    <xdr:to>
      <xdr:col>5</xdr:col>
      <xdr:colOff>330329</xdr:colOff>
      <xdr:row>9</xdr:row>
      <xdr:rowOff>181372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986464" y="1705372"/>
          <a:ext cx="5351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1</xdr:row>
      <xdr:rowOff>122654</xdr:rowOff>
    </xdr:from>
    <xdr:to>
      <xdr:col>2</xdr:col>
      <xdr:colOff>49696</xdr:colOff>
      <xdr:row>3</xdr:row>
      <xdr:rowOff>4806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87FB833-F2C4-457E-8598-2C282D101A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13154"/>
          <a:ext cx="1621321" cy="2155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542925</xdr:colOff>
      <xdr:row>1</xdr:row>
      <xdr:rowOff>11529</xdr:rowOff>
    </xdr:from>
    <xdr:to>
      <xdr:col>4</xdr:col>
      <xdr:colOff>983145</xdr:colOff>
      <xdr:row>3</xdr:row>
      <xdr:rowOff>146589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449302D-903A-4EC2-832E-6AA20DBF0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20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958850</xdr:colOff>
      <xdr:row>8</xdr:row>
      <xdr:rowOff>158750</xdr:rowOff>
    </xdr:from>
    <xdr:to>
      <xdr:col>6</xdr:col>
      <xdr:colOff>330016</xdr:colOff>
      <xdr:row>9</xdr:row>
      <xdr:rowOff>160890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16750" y="1682750"/>
          <a:ext cx="526866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5</xdr:col>
      <xdr:colOff>536575</xdr:colOff>
      <xdr:row>0</xdr:row>
      <xdr:rowOff>186154</xdr:rowOff>
    </xdr:from>
    <xdr:to>
      <xdr:col>5</xdr:col>
      <xdr:colOff>976795</xdr:colOff>
      <xdr:row>3</xdr:row>
      <xdr:rowOff>124364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3AEE780-53E2-4975-A675-E07D8613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186154"/>
          <a:ext cx="440220" cy="4620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177800</xdr:colOff>
      <xdr:row>2</xdr:row>
      <xdr:rowOff>21054</xdr:rowOff>
    </xdr:from>
    <xdr:to>
      <xdr:col>2</xdr:col>
      <xdr:colOff>532296</xdr:colOff>
      <xdr:row>3</xdr:row>
      <xdr:rowOff>46081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CEA63D4-55BC-4A39-8C31-FD8988C8A6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" y="354429"/>
          <a:ext cx="1621321" cy="2155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552174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47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QUINTANA ROO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1742</xdr:colOff>
      <xdr:row>8</xdr:row>
      <xdr:rowOff>94146</xdr:rowOff>
    </xdr:from>
    <xdr:to>
      <xdr:col>4</xdr:col>
      <xdr:colOff>542192</xdr:colOff>
      <xdr:row>8</xdr:row>
      <xdr:rowOff>287407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606838" y="1808646"/>
          <a:ext cx="540450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178631</xdr:colOff>
      <xdr:row>2</xdr:row>
      <xdr:rowOff>44175</xdr:rowOff>
    </xdr:from>
    <xdr:to>
      <xdr:col>1</xdr:col>
      <xdr:colOff>1485213</xdr:colOff>
      <xdr:row>3</xdr:row>
      <xdr:rowOff>75552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B5DFDFE-31CC-495A-8368-BB98A66B7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631" y="42517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1182343</xdr:colOff>
      <xdr:row>1</xdr:row>
      <xdr:rowOff>113196</xdr:rowOff>
    </xdr:from>
    <xdr:to>
      <xdr:col>4</xdr:col>
      <xdr:colOff>447675</xdr:colOff>
      <xdr:row>3</xdr:row>
      <xdr:rowOff>200631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3FE360A-45F6-4F76-B1DD-276BCD91B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3539" y="303696"/>
          <a:ext cx="44974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H10" sqref="H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0" t="s">
        <v>232</v>
      </c>
      <c r="B1" s="91"/>
      <c r="C1" s="91"/>
      <c r="D1" s="92"/>
    </row>
    <row r="2" spans="1:4">
      <c r="A2" s="2"/>
      <c r="B2" s="3"/>
      <c r="C2" s="3"/>
      <c r="D2" s="4"/>
    </row>
    <row r="3" spans="1:4">
      <c r="A3" s="93" t="s">
        <v>0</v>
      </c>
      <c r="B3" s="94"/>
      <c r="C3" s="94"/>
      <c r="D3" s="95"/>
    </row>
    <row r="4" spans="1:4">
      <c r="A4" s="93"/>
      <c r="B4" s="94"/>
      <c r="C4" s="94"/>
      <c r="D4" s="95"/>
    </row>
    <row r="5" spans="1:4">
      <c r="A5" s="5"/>
      <c r="B5" s="6"/>
      <c r="C5" s="6"/>
      <c r="D5" s="7"/>
    </row>
    <row r="6" spans="1:4" ht="18.75">
      <c r="A6" s="87" t="s">
        <v>1</v>
      </c>
      <c r="B6" s="88"/>
      <c r="C6" s="88"/>
      <c r="D6" s="89"/>
    </row>
    <row r="7" spans="1:4">
      <c r="A7" s="8"/>
      <c r="D7" s="9"/>
    </row>
    <row r="8" spans="1:4" ht="18.75">
      <c r="A8" s="87" t="s">
        <v>2</v>
      </c>
      <c r="B8" s="88"/>
      <c r="C8" s="88"/>
      <c r="D8" s="89"/>
    </row>
    <row r="9" spans="1:4" ht="18.75">
      <c r="A9" s="8"/>
      <c r="B9" s="87" t="s">
        <v>3</v>
      </c>
      <c r="C9" s="88"/>
      <c r="D9" s="88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87" t="s">
        <v>5</v>
      </c>
      <c r="C12" s="88"/>
      <c r="D12" s="88"/>
    </row>
    <row r="13" spans="1:4" ht="18.75">
      <c r="A13" s="8"/>
      <c r="B13" s="87" t="s">
        <v>6</v>
      </c>
      <c r="C13" s="88"/>
      <c r="D13" s="88"/>
    </row>
    <row r="14" spans="1:4" ht="18.75">
      <c r="A14" s="8"/>
      <c r="B14" s="87" t="s">
        <v>7</v>
      </c>
      <c r="C14" s="88"/>
      <c r="D14" s="88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87" t="s">
        <v>9</v>
      </c>
      <c r="C17" s="88"/>
      <c r="D17" s="88"/>
    </row>
    <row r="18" spans="1:4" ht="18.75">
      <c r="A18" s="8"/>
      <c r="B18" s="87" t="s">
        <v>10</v>
      </c>
      <c r="C18" s="88"/>
      <c r="D18" s="88"/>
    </row>
    <row r="19" spans="1:4" ht="18.75">
      <c r="A19" s="8"/>
      <c r="B19" s="87" t="s">
        <v>11</v>
      </c>
      <c r="C19" s="88"/>
      <c r="D19" s="88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87" t="s">
        <v>13</v>
      </c>
      <c r="C22" s="88"/>
      <c r="D22" s="88"/>
    </row>
    <row r="23" spans="1:4" ht="18.75">
      <c r="A23" s="8"/>
      <c r="B23" s="87" t="s">
        <v>14</v>
      </c>
      <c r="C23" s="88"/>
      <c r="D23" s="88"/>
    </row>
    <row r="24" spans="1:4" ht="18.75">
      <c r="A24" s="8"/>
      <c r="B24" s="87" t="s">
        <v>35</v>
      </c>
      <c r="C24" s="88"/>
      <c r="D24" s="88"/>
    </row>
    <row r="25" spans="1:4">
      <c r="A25" s="8"/>
      <c r="D25" s="9"/>
    </row>
    <row r="26" spans="1:4" ht="18.75">
      <c r="A26" s="87" t="s">
        <v>15</v>
      </c>
      <c r="B26" s="88"/>
      <c r="C26" s="88"/>
      <c r="D26" s="89"/>
    </row>
    <row r="27" spans="1:4">
      <c r="A27" s="8"/>
      <c r="D27" s="9"/>
    </row>
    <row r="28" spans="1:4" ht="18.75">
      <c r="A28" s="87" t="s">
        <v>16</v>
      </c>
      <c r="B28" s="88"/>
      <c r="C28" s="88"/>
      <c r="D28" s="89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Quintana Roo_USAMuni'!A1" display="3.2 Por Estado de USA" xr:uid="{00000000-0004-0000-0000-00000D000000}"/>
    <hyperlink ref="A8:D8" location="'Quintana Roo_Cons'!A1" display="2. Por Circunscripción Consular" xr:uid="{00000000-0004-0000-0000-00000E000000}"/>
    <hyperlink ref="B9:D9" location="'Quintana RooXCons'!A1" display="2.1 Top ten por circunscripción consular" xr:uid="{00000000-0004-0000-0000-00000F000000}"/>
    <hyperlink ref="A6:D6" location="'Quintana Roo_EdoUsa'!A1" display="1. Por Estados de USA" xr:uid="{00000000-0004-0000-0000-000010000000}"/>
    <hyperlink ref="B12:D12" location="'Quintana Roo_EdoMun'!A1" display="3.1 Municipio general" xr:uid="{00000000-0004-0000-0000-000011000000}"/>
    <hyperlink ref="B14:D14" location="'Quintana Roo_MUNICIPIO'!A1" display="3.3 Por Circunscripción Consular" xr:uid="{00000000-0004-0000-0000-000012000000}"/>
    <hyperlink ref="B17:D17" location="'Quintana Roo_educ_gral'!A1" display="4.1 Educación general" xr:uid="{00000000-0004-0000-0000-000013000000}"/>
    <hyperlink ref="B18:D18" location="'Quintana Roo_NivelE_Cons'!A1" display="4.2 Por Estado de USA" xr:uid="{00000000-0004-0000-0000-000014000000}"/>
    <hyperlink ref="B19:D19" location="'Quintana Roo_EducCons'!A1" display="4.3 Por Circunscripción Consular" xr:uid="{00000000-0004-0000-0000-000015000000}"/>
    <hyperlink ref="B22:D22" location="'Quintana Roo_GenGral'!A1" display="5.1 Género General" xr:uid="{00000000-0004-0000-0000-000016000000}"/>
    <hyperlink ref="B23:D23" location="'Quintana Roo_GENERO'!A1" display="5.2 Por Circunscripción Consular" xr:uid="{00000000-0004-0000-0000-000017000000}"/>
    <hyperlink ref="A26:D26" location="'Quintana Roo_Gen_Edad'!A1" display="6. Por estructura de Edad" xr:uid="{00000000-0004-0000-0000-000018000000}"/>
    <hyperlink ref="A28:D28" location="'Quintana Roo_ocup_gral'!A1" display="7. Por Ocupación" xr:uid="{00000000-0004-0000-0000-000019000000}"/>
    <hyperlink ref="B24" location="'Quintana Roo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58"/>
  <sheetViews>
    <sheetView showGridLines="0" view="pageBreakPreview" topLeftCell="A30" zoomScale="115" zoomScaleNormal="100" zoomScaleSheetLayoutView="115" workbookViewId="0">
      <selection activeCell="C39" sqref="C3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A6" s="33"/>
      <c r="B6" s="33"/>
      <c r="C6" s="34"/>
      <c r="D6" s="35"/>
      <c r="E6" s="33"/>
      <c r="F6" s="33"/>
    </row>
    <row r="7" spans="1:6" s="15" customFormat="1" ht="15" customHeight="1">
      <c r="A7" s="33"/>
      <c r="B7" s="96" t="s">
        <v>42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46" t="s">
        <v>21</v>
      </c>
      <c r="C11" s="45" t="s">
        <v>20</v>
      </c>
      <c r="D11" s="46" t="s">
        <v>19</v>
      </c>
      <c r="E11" s="33"/>
      <c r="F11" s="33"/>
    </row>
    <row r="12" spans="1:6" ht="14.45" customHeight="1">
      <c r="A12" s="37"/>
      <c r="B12" s="60" t="s">
        <v>92</v>
      </c>
      <c r="C12" s="61">
        <v>189</v>
      </c>
      <c r="D12" s="62">
        <v>0.22</v>
      </c>
      <c r="E12" s="37"/>
      <c r="F12" s="37"/>
    </row>
    <row r="13" spans="1:6" ht="14.45" customHeight="1">
      <c r="A13" s="37"/>
      <c r="B13" s="60" t="s">
        <v>122</v>
      </c>
      <c r="C13" s="61">
        <v>119</v>
      </c>
      <c r="D13" s="62">
        <v>0.13800000000000001</v>
      </c>
      <c r="E13" s="37"/>
      <c r="F13" s="37"/>
    </row>
    <row r="14" spans="1:6" ht="14.45" customHeight="1">
      <c r="A14" s="37"/>
      <c r="B14" s="60" t="s">
        <v>89</v>
      </c>
      <c r="C14" s="61">
        <v>60</v>
      </c>
      <c r="D14" s="62">
        <v>7.0000000000000007E-2</v>
      </c>
      <c r="E14" s="37"/>
      <c r="F14" s="37"/>
    </row>
    <row r="15" spans="1:6" ht="14.45" customHeight="1">
      <c r="A15" s="37"/>
      <c r="B15" s="60" t="s">
        <v>124</v>
      </c>
      <c r="C15" s="61">
        <v>42</v>
      </c>
      <c r="D15" s="62">
        <v>4.9000000000000002E-2</v>
      </c>
      <c r="E15" s="37"/>
      <c r="F15" s="37"/>
    </row>
    <row r="16" spans="1:6" ht="14.45" customHeight="1">
      <c r="A16" s="37"/>
      <c r="B16" s="60" t="s">
        <v>96</v>
      </c>
      <c r="C16" s="61">
        <v>37</v>
      </c>
      <c r="D16" s="62">
        <v>4.2999999999999997E-2</v>
      </c>
      <c r="E16" s="37"/>
      <c r="F16" s="37"/>
    </row>
    <row r="17" spans="1:6" ht="14.45" customHeight="1">
      <c r="A17" s="37"/>
      <c r="B17" s="60" t="s">
        <v>115</v>
      </c>
      <c r="C17" s="61">
        <v>36</v>
      </c>
      <c r="D17" s="62">
        <v>4.2000000000000003E-2</v>
      </c>
      <c r="E17" s="37"/>
      <c r="F17" s="37"/>
    </row>
    <row r="18" spans="1:6" ht="14.45" customHeight="1">
      <c r="A18" s="37"/>
      <c r="B18" s="60" t="s">
        <v>121</v>
      </c>
      <c r="C18" s="61">
        <v>35</v>
      </c>
      <c r="D18" s="62">
        <v>4.1000000000000002E-2</v>
      </c>
      <c r="E18" s="37"/>
      <c r="F18" s="37"/>
    </row>
    <row r="19" spans="1:6" ht="14.45" customHeight="1">
      <c r="A19" s="37"/>
      <c r="B19" s="60" t="s">
        <v>98</v>
      </c>
      <c r="C19" s="61">
        <v>33</v>
      </c>
      <c r="D19" s="62">
        <v>3.7999999999999999E-2</v>
      </c>
      <c r="E19" s="37"/>
      <c r="F19" s="37"/>
    </row>
    <row r="20" spans="1:6" ht="14.45" customHeight="1">
      <c r="A20" s="37"/>
      <c r="B20" s="60" t="s">
        <v>97</v>
      </c>
      <c r="C20" s="61">
        <v>26</v>
      </c>
      <c r="D20" s="62">
        <v>0.03</v>
      </c>
      <c r="E20" s="37"/>
      <c r="F20" s="37"/>
    </row>
    <row r="21" spans="1:6" ht="14.45" customHeight="1">
      <c r="A21" s="37"/>
      <c r="B21" s="60" t="s">
        <v>99</v>
      </c>
      <c r="C21" s="61">
        <v>18</v>
      </c>
      <c r="D21" s="62">
        <v>2.1000000000000001E-2</v>
      </c>
      <c r="E21" s="37"/>
      <c r="F21" s="37"/>
    </row>
    <row r="22" spans="1:6" ht="14.45" customHeight="1">
      <c r="A22" s="37"/>
      <c r="B22" s="60" t="s">
        <v>120</v>
      </c>
      <c r="C22" s="61">
        <v>17</v>
      </c>
      <c r="D22" s="62">
        <v>0.02</v>
      </c>
      <c r="E22" s="37"/>
      <c r="F22" s="37"/>
    </row>
    <row r="23" spans="1:6" ht="14.45" customHeight="1">
      <c r="A23" s="37"/>
      <c r="B23" s="60" t="s">
        <v>105</v>
      </c>
      <c r="C23" s="61">
        <v>16</v>
      </c>
      <c r="D23" s="62">
        <v>1.9E-2</v>
      </c>
      <c r="E23" s="37"/>
      <c r="F23" s="37"/>
    </row>
    <row r="24" spans="1:6" ht="14.45" customHeight="1">
      <c r="A24" s="37"/>
      <c r="B24" s="60" t="s">
        <v>107</v>
      </c>
      <c r="C24" s="61">
        <v>16</v>
      </c>
      <c r="D24" s="62">
        <v>1.9E-2</v>
      </c>
      <c r="E24" s="37"/>
      <c r="F24" s="37"/>
    </row>
    <row r="25" spans="1:6" ht="14.45" customHeight="1">
      <c r="A25" s="37"/>
      <c r="B25" s="60" t="s">
        <v>106</v>
      </c>
      <c r="C25" s="61">
        <v>15</v>
      </c>
      <c r="D25" s="62">
        <v>1.7000000000000001E-2</v>
      </c>
      <c r="E25" s="37"/>
      <c r="F25" s="37"/>
    </row>
    <row r="26" spans="1:6" ht="14.45" customHeight="1">
      <c r="A26" s="37"/>
      <c r="B26" s="60" t="s">
        <v>91</v>
      </c>
      <c r="C26" s="61">
        <v>14</v>
      </c>
      <c r="D26" s="62">
        <v>1.6E-2</v>
      </c>
      <c r="E26" s="37"/>
      <c r="F26" s="37"/>
    </row>
    <row r="27" spans="1:6" ht="14.45" customHeight="1">
      <c r="A27" s="37"/>
      <c r="B27" s="60" t="s">
        <v>109</v>
      </c>
      <c r="C27" s="61">
        <v>14</v>
      </c>
      <c r="D27" s="62">
        <v>1.6E-2</v>
      </c>
      <c r="E27" s="37"/>
      <c r="F27" s="37"/>
    </row>
    <row r="28" spans="1:6" ht="14.45" customHeight="1">
      <c r="A28" s="37"/>
      <c r="B28" s="60" t="s">
        <v>118</v>
      </c>
      <c r="C28" s="61">
        <v>14</v>
      </c>
      <c r="D28" s="62">
        <v>1.6E-2</v>
      </c>
      <c r="E28" s="37"/>
      <c r="F28" s="37"/>
    </row>
    <row r="29" spans="1:6" ht="14.45" customHeight="1">
      <c r="A29" s="37"/>
      <c r="B29" s="60" t="s">
        <v>101</v>
      </c>
      <c r="C29" s="61">
        <v>13</v>
      </c>
      <c r="D29" s="62">
        <v>1.4999999999999999E-2</v>
      </c>
      <c r="E29" s="37"/>
      <c r="F29" s="37"/>
    </row>
    <row r="30" spans="1:6" ht="14.45" customHeight="1">
      <c r="A30" s="37"/>
      <c r="B30" s="60" t="s">
        <v>112</v>
      </c>
      <c r="C30" s="61">
        <v>13</v>
      </c>
      <c r="D30" s="62">
        <v>1.4999999999999999E-2</v>
      </c>
      <c r="E30" s="37"/>
      <c r="F30" s="37"/>
    </row>
    <row r="31" spans="1:6" ht="14.45" customHeight="1">
      <c r="A31" s="37"/>
      <c r="B31" s="60" t="s">
        <v>53</v>
      </c>
      <c r="C31" s="61">
        <v>13</v>
      </c>
      <c r="D31" s="62">
        <v>1.4999999999999999E-2</v>
      </c>
      <c r="E31" s="37"/>
      <c r="F31" s="37"/>
    </row>
    <row r="32" spans="1:6" ht="14.45" customHeight="1">
      <c r="A32" s="37"/>
      <c r="B32" s="60" t="s">
        <v>117</v>
      </c>
      <c r="C32" s="61">
        <v>12</v>
      </c>
      <c r="D32" s="62">
        <v>1.4E-2</v>
      </c>
      <c r="E32" s="37"/>
      <c r="F32" s="37"/>
    </row>
    <row r="33" spans="1:6" ht="14.45" customHeight="1">
      <c r="A33" s="37"/>
      <c r="B33" s="60" t="s">
        <v>93</v>
      </c>
      <c r="C33" s="61">
        <v>11</v>
      </c>
      <c r="D33" s="62">
        <v>1.2999999999999999E-2</v>
      </c>
      <c r="E33" s="37"/>
      <c r="F33" s="37"/>
    </row>
    <row r="34" spans="1:6" ht="14.45" customHeight="1">
      <c r="A34" s="37"/>
      <c r="B34" s="60" t="s">
        <v>116</v>
      </c>
      <c r="C34" s="61">
        <v>11</v>
      </c>
      <c r="D34" s="62">
        <v>1.2999999999999999E-2</v>
      </c>
      <c r="E34" s="37"/>
      <c r="F34" s="37"/>
    </row>
    <row r="35" spans="1:6" ht="14.45" customHeight="1">
      <c r="A35" s="37"/>
      <c r="B35" s="60" t="s">
        <v>100</v>
      </c>
      <c r="C35" s="61">
        <v>10</v>
      </c>
      <c r="D35" s="62">
        <v>1.2E-2</v>
      </c>
      <c r="E35" s="37"/>
      <c r="F35" s="37"/>
    </row>
    <row r="36" spans="1:6" ht="14.45" customHeight="1">
      <c r="A36" s="37"/>
      <c r="B36" s="60" t="s">
        <v>108</v>
      </c>
      <c r="C36" s="61">
        <v>9</v>
      </c>
      <c r="D36" s="62">
        <v>0.01</v>
      </c>
      <c r="E36" s="37"/>
      <c r="F36" s="37"/>
    </row>
    <row r="37" spans="1:6" ht="14.45" customHeight="1">
      <c r="A37" s="37"/>
      <c r="B37" s="60" t="s">
        <v>123</v>
      </c>
      <c r="C37" s="61">
        <v>9</v>
      </c>
      <c r="D37" s="62">
        <v>0.01</v>
      </c>
      <c r="E37" s="37"/>
      <c r="F37" s="37"/>
    </row>
    <row r="38" spans="1:6" ht="14.45" customHeight="1">
      <c r="A38" s="37"/>
      <c r="B38" s="60" t="s">
        <v>102</v>
      </c>
      <c r="C38" s="61">
        <v>8</v>
      </c>
      <c r="D38" s="62">
        <v>8.9999999999999993E-3</v>
      </c>
      <c r="E38" s="37"/>
      <c r="F38" s="37"/>
    </row>
    <row r="39" spans="1:6" ht="14.45" customHeight="1">
      <c r="A39" s="37"/>
      <c r="B39" s="60" t="s">
        <v>110</v>
      </c>
      <c r="C39" s="61">
        <v>8</v>
      </c>
      <c r="D39" s="62">
        <v>8.9999999999999993E-3</v>
      </c>
      <c r="E39" s="37"/>
      <c r="F39" s="37"/>
    </row>
    <row r="40" spans="1:6" ht="14.45" customHeight="1">
      <c r="A40" s="37"/>
      <c r="B40" s="60" t="s">
        <v>114</v>
      </c>
      <c r="C40" s="61">
        <v>8</v>
      </c>
      <c r="D40" s="62">
        <v>8.9999999999999993E-3</v>
      </c>
      <c r="E40" s="37"/>
      <c r="F40" s="37"/>
    </row>
    <row r="41" spans="1:6" ht="14.45" customHeight="1">
      <c r="A41" s="37"/>
      <c r="B41" s="60" t="s">
        <v>126</v>
      </c>
      <c r="C41" s="61">
        <v>8</v>
      </c>
      <c r="D41" s="62">
        <v>8.9999999999999993E-3</v>
      </c>
      <c r="E41" s="37"/>
      <c r="F41" s="37"/>
    </row>
    <row r="42" spans="1:6" ht="14.45" customHeight="1">
      <c r="A42" s="37"/>
      <c r="B42" s="60" t="s">
        <v>90</v>
      </c>
      <c r="C42" s="61">
        <v>6</v>
      </c>
      <c r="D42" s="62">
        <v>7.0000000000000001E-3</v>
      </c>
      <c r="E42" s="37"/>
      <c r="F42" s="37"/>
    </row>
    <row r="43" spans="1:6" ht="14.45" customHeight="1">
      <c r="A43" s="37"/>
      <c r="B43" s="60" t="s">
        <v>119</v>
      </c>
      <c r="C43" s="61">
        <v>5</v>
      </c>
      <c r="D43" s="62">
        <v>6.0000000000000001E-3</v>
      </c>
      <c r="E43" s="37"/>
      <c r="F43" s="37"/>
    </row>
    <row r="44" spans="1:6" ht="14.45" customHeight="1">
      <c r="A44" s="37"/>
      <c r="B44" s="60" t="s">
        <v>190</v>
      </c>
      <c r="C44" s="61">
        <v>4</v>
      </c>
      <c r="D44" s="62">
        <v>5.0000000000000001E-3</v>
      </c>
      <c r="E44" s="37"/>
      <c r="F44" s="37"/>
    </row>
    <row r="45" spans="1:6" ht="14.45" customHeight="1">
      <c r="A45" s="37"/>
      <c r="B45" s="60" t="s">
        <v>103</v>
      </c>
      <c r="C45" s="61">
        <v>4</v>
      </c>
      <c r="D45" s="62">
        <v>5.0000000000000001E-3</v>
      </c>
      <c r="E45" s="37"/>
      <c r="F45" s="37"/>
    </row>
    <row r="46" spans="1:6" ht="14.45" customHeight="1">
      <c r="A46" s="37"/>
      <c r="B46" s="60" t="s">
        <v>113</v>
      </c>
      <c r="C46" s="61">
        <v>2</v>
      </c>
      <c r="D46" s="62">
        <v>2E-3</v>
      </c>
      <c r="E46" s="37"/>
      <c r="F46" s="37"/>
    </row>
    <row r="47" spans="1:6" ht="14.45" customHeight="1">
      <c r="A47" s="37"/>
      <c r="B47" s="60" t="s">
        <v>94</v>
      </c>
      <c r="C47" s="61">
        <v>1</v>
      </c>
      <c r="D47" s="62">
        <v>1E-3</v>
      </c>
      <c r="E47" s="37"/>
      <c r="F47" s="37"/>
    </row>
    <row r="48" spans="1:6" ht="14.45" customHeight="1">
      <c r="A48" s="37"/>
      <c r="B48" s="60" t="s">
        <v>95</v>
      </c>
      <c r="C48" s="61">
        <v>1</v>
      </c>
      <c r="D48" s="62">
        <v>1E-3</v>
      </c>
      <c r="E48" s="37"/>
      <c r="F48" s="37"/>
    </row>
    <row r="49" spans="1:6" ht="14.45" customHeight="1">
      <c r="A49" s="37"/>
      <c r="B49" s="60" t="s">
        <v>104</v>
      </c>
      <c r="C49" s="61">
        <v>1</v>
      </c>
      <c r="D49" s="62">
        <v>1E-3</v>
      </c>
      <c r="E49" s="37"/>
      <c r="F49" s="37"/>
    </row>
    <row r="50" spans="1:6" ht="14.45" customHeight="1">
      <c r="A50" s="37"/>
      <c r="B50" s="60" t="s">
        <v>111</v>
      </c>
      <c r="C50" s="61">
        <v>1</v>
      </c>
      <c r="D50" s="62">
        <v>1E-3</v>
      </c>
      <c r="E50" s="37"/>
      <c r="F50" s="37"/>
    </row>
    <row r="51" spans="1:6" ht="14.45" customHeight="1">
      <c r="A51" s="37"/>
      <c r="B51" s="60" t="s">
        <v>125</v>
      </c>
      <c r="C51" s="61">
        <v>1</v>
      </c>
      <c r="D51" s="62">
        <v>1E-3</v>
      </c>
      <c r="E51" s="37"/>
      <c r="F51" s="37"/>
    </row>
    <row r="52" spans="1:6" ht="14.45" customHeight="1">
      <c r="A52" s="37"/>
      <c r="B52" s="63" t="s">
        <v>227</v>
      </c>
      <c r="C52" s="64">
        <v>860</v>
      </c>
      <c r="D52" s="65">
        <v>1</v>
      </c>
      <c r="E52" s="37"/>
      <c r="F52" s="37"/>
    </row>
    <row r="53" spans="1:6" ht="14.45" customHeight="1">
      <c r="A53" s="37"/>
      <c r="B53" s="38"/>
      <c r="C53" s="39"/>
      <c r="D53" s="37"/>
      <c r="E53" s="37"/>
      <c r="F53" s="37"/>
    </row>
    <row r="54" spans="1:6" ht="14.45" customHeight="1">
      <c r="A54" s="37"/>
      <c r="B54" s="38" t="s">
        <v>189</v>
      </c>
      <c r="C54" s="39"/>
      <c r="D54" s="37"/>
      <c r="E54" s="37"/>
      <c r="F54" s="37"/>
    </row>
    <row r="55" spans="1:6" ht="14.45" customHeight="1">
      <c r="A55" s="37"/>
      <c r="B55" s="40" t="s">
        <v>18</v>
      </c>
      <c r="C55" s="39"/>
      <c r="D55" s="37"/>
      <c r="E55" s="37"/>
      <c r="F55" s="37"/>
    </row>
    <row r="56" spans="1:6" ht="14.45" customHeight="1">
      <c r="A56" s="37"/>
      <c r="B56" s="41" t="s">
        <v>46</v>
      </c>
      <c r="C56" s="39"/>
      <c r="D56" s="37"/>
      <c r="E56" s="37"/>
      <c r="F56" s="37"/>
    </row>
    <row r="57" spans="1:6" ht="14.45" customHeight="1">
      <c r="A57" s="37"/>
      <c r="B57" s="38" t="s">
        <v>17</v>
      </c>
      <c r="C57" s="39"/>
      <c r="D57" s="37"/>
      <c r="E57" s="37"/>
      <c r="F57" s="37"/>
    </row>
    <row r="58" spans="1:6" ht="14.45" customHeight="1">
      <c r="A58" s="37"/>
      <c r="B58" s="38" t="s">
        <v>228</v>
      </c>
      <c r="C58" s="39"/>
      <c r="D58" s="37"/>
      <c r="E58" s="37"/>
      <c r="F58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2"/>
  <sheetViews>
    <sheetView showGridLines="0" view="pageBreakPreview" zoomScale="115" zoomScaleNormal="100" zoomScaleSheetLayoutView="115" workbookViewId="0">
      <selection activeCell="D31" sqref="D3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33"/>
      <c r="B7" s="96" t="s">
        <v>36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46" t="s">
        <v>22</v>
      </c>
      <c r="C11" s="45" t="s">
        <v>20</v>
      </c>
      <c r="D11" s="46" t="s">
        <v>19</v>
      </c>
      <c r="E11" s="33"/>
      <c r="F11" s="33"/>
    </row>
    <row r="12" spans="1:6" ht="14.45" customHeight="1">
      <c r="A12" s="37"/>
      <c r="B12" s="66" t="s">
        <v>48</v>
      </c>
      <c r="C12" s="67">
        <v>80</v>
      </c>
      <c r="D12" s="68">
        <v>9.3023255813953001E-2</v>
      </c>
      <c r="E12" s="37"/>
      <c r="F12" s="37"/>
    </row>
    <row r="13" spans="1:6" ht="14.45" customHeight="1">
      <c r="A13" s="37"/>
      <c r="B13" s="66" t="s">
        <v>47</v>
      </c>
      <c r="C13" s="67">
        <v>72</v>
      </c>
      <c r="D13" s="68">
        <v>8.3720930232558E-2</v>
      </c>
      <c r="E13" s="37"/>
      <c r="F13" s="37"/>
    </row>
    <row r="14" spans="1:6" ht="14.45" customHeight="1">
      <c r="A14" s="37"/>
      <c r="B14" s="66" t="s">
        <v>49</v>
      </c>
      <c r="C14" s="67">
        <v>64</v>
      </c>
      <c r="D14" s="68">
        <v>7.4418604651162998E-2</v>
      </c>
      <c r="E14" s="37"/>
      <c r="F14" s="37"/>
    </row>
    <row r="15" spans="1:6" ht="14.45" customHeight="1">
      <c r="A15" s="37"/>
      <c r="B15" s="66" t="s">
        <v>52</v>
      </c>
      <c r="C15" s="67">
        <v>51</v>
      </c>
      <c r="D15" s="68">
        <v>5.9302325581394998E-2</v>
      </c>
      <c r="E15" s="37"/>
      <c r="F15" s="37"/>
    </row>
    <row r="16" spans="1:6" ht="14.45" customHeight="1">
      <c r="A16" s="37"/>
      <c r="B16" s="66" t="s">
        <v>53</v>
      </c>
      <c r="C16" s="67">
        <v>43</v>
      </c>
      <c r="D16" s="68">
        <v>0.05</v>
      </c>
      <c r="E16" s="37"/>
      <c r="F16" s="37"/>
    </row>
    <row r="17" spans="1:6" ht="14.45" customHeight="1">
      <c r="A17" s="37"/>
      <c r="B17" s="66" t="s">
        <v>51</v>
      </c>
      <c r="C17" s="67">
        <v>41</v>
      </c>
      <c r="D17" s="68">
        <v>4.7674418604650999E-2</v>
      </c>
      <c r="E17" s="37"/>
      <c r="F17" s="37"/>
    </row>
    <row r="18" spans="1:6" ht="14.45" customHeight="1">
      <c r="A18" s="37"/>
      <c r="B18" s="66" t="s">
        <v>57</v>
      </c>
      <c r="C18" s="67">
        <v>41</v>
      </c>
      <c r="D18" s="68">
        <v>4.7674418604650999E-2</v>
      </c>
      <c r="E18" s="37"/>
      <c r="F18" s="37"/>
    </row>
    <row r="19" spans="1:6" ht="14.45" customHeight="1">
      <c r="A19" s="37"/>
      <c r="B19" s="66" t="s">
        <v>55</v>
      </c>
      <c r="C19" s="67">
        <v>39</v>
      </c>
      <c r="D19" s="68">
        <v>4.5348837209302002E-2</v>
      </c>
      <c r="E19" s="37"/>
      <c r="F19" s="37"/>
    </row>
    <row r="20" spans="1:6" ht="14.45" customHeight="1">
      <c r="A20" s="37"/>
      <c r="B20" s="66" t="s">
        <v>50</v>
      </c>
      <c r="C20" s="67">
        <v>35</v>
      </c>
      <c r="D20" s="68">
        <v>4.0697674418605001E-2</v>
      </c>
      <c r="E20" s="37"/>
      <c r="F20" s="37"/>
    </row>
    <row r="21" spans="1:6" ht="14.45" customHeight="1">
      <c r="A21" s="37"/>
      <c r="B21" s="66" t="s">
        <v>54</v>
      </c>
      <c r="C21" s="67">
        <v>32</v>
      </c>
      <c r="D21" s="68">
        <v>3.7209302325580999E-2</v>
      </c>
      <c r="E21" s="37"/>
      <c r="F21" s="37"/>
    </row>
    <row r="22" spans="1:6" ht="14.45" customHeight="1">
      <c r="A22" s="37"/>
      <c r="B22" s="66" t="s">
        <v>71</v>
      </c>
      <c r="C22" s="67">
        <v>29</v>
      </c>
      <c r="D22" s="68">
        <v>3.3720930232557997E-2</v>
      </c>
      <c r="E22" s="37"/>
      <c r="F22" s="37"/>
    </row>
    <row r="23" spans="1:6" ht="14.45" customHeight="1">
      <c r="A23" s="37"/>
      <c r="B23" s="66" t="s">
        <v>59</v>
      </c>
      <c r="C23" s="67">
        <v>28</v>
      </c>
      <c r="D23" s="68">
        <v>3.2558139534883998E-2</v>
      </c>
      <c r="E23" s="37"/>
      <c r="F23" s="37"/>
    </row>
    <row r="24" spans="1:6" ht="14.45" customHeight="1">
      <c r="A24" s="37"/>
      <c r="B24" s="66" t="s">
        <v>58</v>
      </c>
      <c r="C24" s="67">
        <v>19</v>
      </c>
      <c r="D24" s="68">
        <v>2.2093023255813998E-2</v>
      </c>
      <c r="E24" s="37"/>
      <c r="F24" s="37"/>
    </row>
    <row r="25" spans="1:6" ht="14.45" customHeight="1">
      <c r="A25" s="37"/>
      <c r="B25" s="66" t="s">
        <v>61</v>
      </c>
      <c r="C25" s="67">
        <v>19</v>
      </c>
      <c r="D25" s="68">
        <v>2.2093023255813998E-2</v>
      </c>
      <c r="E25" s="37"/>
      <c r="F25" s="37"/>
    </row>
    <row r="26" spans="1:6" ht="14.45" customHeight="1">
      <c r="A26" s="37"/>
      <c r="B26" s="66" t="s">
        <v>65</v>
      </c>
      <c r="C26" s="67">
        <v>18</v>
      </c>
      <c r="D26" s="68">
        <v>2.0930232558139999E-2</v>
      </c>
      <c r="E26" s="37"/>
      <c r="F26" s="37"/>
    </row>
    <row r="27" spans="1:6" ht="14.45" customHeight="1">
      <c r="A27" s="37"/>
      <c r="B27" s="66" t="s">
        <v>78</v>
      </c>
      <c r="C27" s="67">
        <v>18</v>
      </c>
      <c r="D27" s="68">
        <v>2.0930232558139999E-2</v>
      </c>
      <c r="E27" s="37"/>
      <c r="F27" s="37"/>
    </row>
    <row r="28" spans="1:6" ht="14.45" customHeight="1">
      <c r="A28" s="37"/>
      <c r="B28" s="66" t="s">
        <v>56</v>
      </c>
      <c r="C28" s="67">
        <v>18</v>
      </c>
      <c r="D28" s="68">
        <v>2.0930232558139999E-2</v>
      </c>
      <c r="E28" s="37"/>
      <c r="F28" s="37"/>
    </row>
    <row r="29" spans="1:6" ht="14.45" customHeight="1">
      <c r="A29" s="37"/>
      <c r="B29" s="66" t="s">
        <v>64</v>
      </c>
      <c r="C29" s="67">
        <v>17</v>
      </c>
      <c r="D29" s="68">
        <v>1.9767441860465002E-2</v>
      </c>
      <c r="E29" s="37"/>
      <c r="F29" s="37"/>
    </row>
    <row r="30" spans="1:6" ht="14.45" customHeight="1">
      <c r="A30" s="37"/>
      <c r="B30" s="66" t="s">
        <v>62</v>
      </c>
      <c r="C30" s="67">
        <v>16</v>
      </c>
      <c r="D30" s="68">
        <v>1.8604651162790999E-2</v>
      </c>
      <c r="E30" s="37"/>
      <c r="F30" s="37"/>
    </row>
    <row r="31" spans="1:6" ht="14.45" customHeight="1">
      <c r="A31" s="37"/>
      <c r="B31" s="66" t="s">
        <v>70</v>
      </c>
      <c r="C31" s="67">
        <v>16</v>
      </c>
      <c r="D31" s="68">
        <v>1.8604651162790999E-2</v>
      </c>
      <c r="E31" s="37"/>
      <c r="F31" s="37"/>
    </row>
    <row r="32" spans="1:6" ht="14.45" customHeight="1">
      <c r="A32" s="37"/>
      <c r="B32" s="66" t="s">
        <v>77</v>
      </c>
      <c r="C32" s="67">
        <v>16</v>
      </c>
      <c r="D32" s="68">
        <v>1.8604651162790999E-2</v>
      </c>
      <c r="E32" s="37"/>
      <c r="F32" s="37"/>
    </row>
    <row r="33" spans="1:6" ht="14.45" customHeight="1">
      <c r="A33" s="37"/>
      <c r="B33" s="66" t="s">
        <v>69</v>
      </c>
      <c r="C33" s="67">
        <v>14</v>
      </c>
      <c r="D33" s="68">
        <v>1.6279069767441999E-2</v>
      </c>
      <c r="E33" s="37"/>
      <c r="F33" s="37"/>
    </row>
    <row r="34" spans="1:6" ht="14.45" customHeight="1">
      <c r="A34" s="37"/>
      <c r="B34" s="66" t="s">
        <v>63</v>
      </c>
      <c r="C34" s="67">
        <v>13</v>
      </c>
      <c r="D34" s="68">
        <v>1.5116279069766999E-2</v>
      </c>
      <c r="E34" s="37"/>
      <c r="F34" s="37"/>
    </row>
    <row r="35" spans="1:6" ht="14.45" customHeight="1">
      <c r="A35" s="37"/>
      <c r="B35" s="66" t="s">
        <v>67</v>
      </c>
      <c r="C35" s="67">
        <v>12</v>
      </c>
      <c r="D35" s="68">
        <v>1.3953488372093001E-2</v>
      </c>
      <c r="E35" s="37"/>
      <c r="F35" s="37"/>
    </row>
    <row r="36" spans="1:6" ht="14.45" customHeight="1">
      <c r="A36" s="37"/>
      <c r="B36" s="66" t="s">
        <v>60</v>
      </c>
      <c r="C36" s="67">
        <v>12</v>
      </c>
      <c r="D36" s="68">
        <v>1.3953488372093001E-2</v>
      </c>
      <c r="E36" s="37"/>
      <c r="F36" s="37"/>
    </row>
    <row r="37" spans="1:6" ht="14.45" customHeight="1">
      <c r="A37" s="37"/>
      <c r="B37" s="66" t="s">
        <v>73</v>
      </c>
      <c r="C37" s="67">
        <v>9</v>
      </c>
      <c r="D37" s="68">
        <v>1.046511627907E-2</v>
      </c>
      <c r="E37" s="37"/>
      <c r="F37" s="37"/>
    </row>
    <row r="38" spans="1:6" ht="14.45" customHeight="1">
      <c r="A38" s="37"/>
      <c r="B38" s="66" t="s">
        <v>68</v>
      </c>
      <c r="C38" s="67">
        <v>9</v>
      </c>
      <c r="D38" s="68">
        <v>1.046511627907E-2</v>
      </c>
      <c r="E38" s="37"/>
      <c r="F38" s="37"/>
    </row>
    <row r="39" spans="1:6" ht="14.45" customHeight="1">
      <c r="A39" s="37"/>
      <c r="B39" s="66" t="s">
        <v>76</v>
      </c>
      <c r="C39" s="67">
        <v>8</v>
      </c>
      <c r="D39" s="68">
        <v>9.302325581395E-3</v>
      </c>
      <c r="E39" s="37"/>
      <c r="F39" s="37"/>
    </row>
    <row r="40" spans="1:6" ht="14.45" customHeight="1">
      <c r="A40" s="37"/>
      <c r="B40" s="66" t="s">
        <v>82</v>
      </c>
      <c r="C40" s="67">
        <v>7</v>
      </c>
      <c r="D40" s="68">
        <v>8.1395348837209995E-3</v>
      </c>
      <c r="E40" s="37"/>
      <c r="F40" s="37"/>
    </row>
    <row r="41" spans="1:6" ht="14.45" customHeight="1">
      <c r="A41" s="37"/>
      <c r="B41" s="66" t="s">
        <v>79</v>
      </c>
      <c r="C41" s="67">
        <v>6</v>
      </c>
      <c r="D41" s="68">
        <v>6.9767441860469999E-3</v>
      </c>
      <c r="E41" s="37"/>
      <c r="F41" s="37"/>
    </row>
    <row r="42" spans="1:6" ht="14.45" customHeight="1">
      <c r="A42" s="37"/>
      <c r="B42" s="66" t="s">
        <v>72</v>
      </c>
      <c r="C42" s="67">
        <v>6</v>
      </c>
      <c r="D42" s="68">
        <v>6.9767441860469999E-3</v>
      </c>
      <c r="E42" s="37"/>
      <c r="F42" s="37"/>
    </row>
    <row r="43" spans="1:6" ht="14.45" customHeight="1">
      <c r="A43" s="37"/>
      <c r="B43" s="66" t="s">
        <v>84</v>
      </c>
      <c r="C43" s="67">
        <v>6</v>
      </c>
      <c r="D43" s="68">
        <v>6.9767441860469999E-3</v>
      </c>
      <c r="E43" s="37"/>
      <c r="F43" s="37"/>
    </row>
    <row r="44" spans="1:6" ht="14.45" customHeight="1">
      <c r="A44" s="37"/>
      <c r="B44" s="66" t="s">
        <v>85</v>
      </c>
      <c r="C44" s="67">
        <v>6</v>
      </c>
      <c r="D44" s="68">
        <v>6.9767441860469999E-3</v>
      </c>
      <c r="E44" s="37"/>
      <c r="F44" s="37"/>
    </row>
    <row r="45" spans="1:6" ht="14.45" customHeight="1">
      <c r="A45" s="37"/>
      <c r="B45" s="66" t="s">
        <v>66</v>
      </c>
      <c r="C45" s="67">
        <v>5</v>
      </c>
      <c r="D45" s="68">
        <v>5.8139534883720001E-3</v>
      </c>
      <c r="E45" s="37"/>
      <c r="F45" s="37"/>
    </row>
    <row r="46" spans="1:6" ht="14.45" customHeight="1">
      <c r="A46" s="37"/>
      <c r="B46" s="66" t="s">
        <v>83</v>
      </c>
      <c r="C46" s="67">
        <v>5</v>
      </c>
      <c r="D46" s="68">
        <v>5.8139534883720001E-3</v>
      </c>
      <c r="E46" s="37"/>
      <c r="F46" s="37"/>
    </row>
    <row r="47" spans="1:6" ht="14.45" customHeight="1">
      <c r="A47" s="37"/>
      <c r="B47" s="66" t="s">
        <v>81</v>
      </c>
      <c r="C47" s="67">
        <v>5</v>
      </c>
      <c r="D47" s="68">
        <v>5.8139534883720001E-3</v>
      </c>
      <c r="E47" s="37"/>
      <c r="F47" s="37"/>
    </row>
    <row r="48" spans="1:6" ht="14.45" customHeight="1">
      <c r="A48" s="37"/>
      <c r="B48" s="66" t="s">
        <v>74</v>
      </c>
      <c r="C48" s="67">
        <v>5</v>
      </c>
      <c r="D48" s="68">
        <v>5.8139534883720001E-3</v>
      </c>
      <c r="E48" s="37"/>
      <c r="F48" s="37"/>
    </row>
    <row r="49" spans="1:6" ht="14.45" customHeight="1">
      <c r="A49" s="37"/>
      <c r="B49" s="66" t="s">
        <v>187</v>
      </c>
      <c r="C49" s="67">
        <v>4</v>
      </c>
      <c r="D49" s="68">
        <v>4.6511627906979996E-3</v>
      </c>
      <c r="E49" s="37"/>
      <c r="F49" s="37"/>
    </row>
    <row r="50" spans="1:6" ht="14.45" customHeight="1">
      <c r="A50" s="37"/>
      <c r="B50" s="66" t="s">
        <v>87</v>
      </c>
      <c r="C50" s="67">
        <v>3</v>
      </c>
      <c r="D50" s="68">
        <v>3.4883720930229999E-3</v>
      </c>
      <c r="E50" s="37"/>
      <c r="F50" s="37"/>
    </row>
    <row r="51" spans="1:6" ht="14.45" customHeight="1">
      <c r="A51" s="37"/>
      <c r="B51" s="66" t="s">
        <v>86</v>
      </c>
      <c r="C51" s="67">
        <v>3</v>
      </c>
      <c r="D51" s="68">
        <v>3.4883720930229999E-3</v>
      </c>
      <c r="E51" s="37"/>
      <c r="F51" s="37"/>
    </row>
    <row r="52" spans="1:6" ht="14.45" customHeight="1">
      <c r="A52" s="37"/>
      <c r="B52" s="66" t="s">
        <v>80</v>
      </c>
      <c r="C52" s="67">
        <v>3</v>
      </c>
      <c r="D52" s="68">
        <v>3.4883720930229999E-3</v>
      </c>
      <c r="E52" s="37"/>
      <c r="F52" s="37"/>
    </row>
    <row r="53" spans="1:6" ht="14.45" customHeight="1">
      <c r="A53" s="37"/>
      <c r="B53" s="66" t="s">
        <v>188</v>
      </c>
      <c r="C53" s="67">
        <v>3</v>
      </c>
      <c r="D53" s="68">
        <v>3.4883720930229999E-3</v>
      </c>
      <c r="E53" s="37"/>
      <c r="F53" s="37"/>
    </row>
    <row r="54" spans="1:6" ht="14.45" customHeight="1">
      <c r="A54" s="37"/>
      <c r="B54" s="66" t="s">
        <v>75</v>
      </c>
      <c r="C54" s="67">
        <v>3</v>
      </c>
      <c r="D54" s="68">
        <v>3.4883720930229999E-3</v>
      </c>
      <c r="E54" s="37"/>
      <c r="F54" s="37"/>
    </row>
    <row r="55" spans="1:6" ht="14.45" customHeight="1">
      <c r="A55" s="37"/>
      <c r="B55" s="66" t="s">
        <v>88</v>
      </c>
      <c r="C55" s="67">
        <v>1</v>
      </c>
      <c r="D55" s="68">
        <v>1.1627906976740001E-3</v>
      </c>
      <c r="E55" s="37"/>
      <c r="F55" s="37"/>
    </row>
    <row r="56" spans="1:6" ht="14.45" customHeight="1">
      <c r="A56" s="37"/>
      <c r="B56" s="69" t="s">
        <v>229</v>
      </c>
      <c r="C56" s="70">
        <v>860</v>
      </c>
      <c r="D56" s="71">
        <v>1</v>
      </c>
      <c r="E56" s="37"/>
      <c r="F56" s="37"/>
    </row>
    <row r="57" spans="1:6" ht="14.45" customHeight="1">
      <c r="A57" s="37"/>
      <c r="B57" s="40"/>
      <c r="C57" s="39"/>
      <c r="D57" s="37"/>
      <c r="E57" s="37"/>
      <c r="F57" s="37"/>
    </row>
    <row r="58" spans="1:6" ht="14.45" customHeight="1">
      <c r="A58" s="37"/>
      <c r="B58" s="38" t="s">
        <v>189</v>
      </c>
      <c r="C58" s="39"/>
      <c r="D58" s="37"/>
      <c r="E58" s="37"/>
      <c r="F58" s="37"/>
    </row>
    <row r="59" spans="1:6" ht="14.45" customHeight="1">
      <c r="A59" s="37"/>
      <c r="B59" s="40" t="s">
        <v>18</v>
      </c>
      <c r="C59" s="39"/>
      <c r="D59" s="37"/>
      <c r="E59" s="37"/>
      <c r="F59" s="37"/>
    </row>
    <row r="60" spans="1:6" ht="14.45" customHeight="1">
      <c r="A60" s="37"/>
      <c r="B60" s="41" t="s">
        <v>46</v>
      </c>
      <c r="C60" s="39"/>
      <c r="D60" s="37"/>
      <c r="E60" s="37"/>
      <c r="F60" s="37"/>
    </row>
    <row r="61" spans="1:6" ht="14.45" customHeight="1">
      <c r="A61" s="37"/>
      <c r="B61" s="38" t="s">
        <v>17</v>
      </c>
      <c r="C61" s="39"/>
      <c r="D61" s="37"/>
      <c r="E61" s="37"/>
      <c r="F61" s="37"/>
    </row>
    <row r="62" spans="1:6" ht="14.45" customHeight="1">
      <c r="A62" s="37"/>
      <c r="B62" s="38" t="s">
        <v>228</v>
      </c>
      <c r="C62" s="39"/>
      <c r="D62" s="37"/>
      <c r="E62" s="37"/>
      <c r="F62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Normal="100" zoomScaleSheetLayoutView="100" workbookViewId="0">
      <selection activeCell="H34" sqref="H3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33"/>
      <c r="B7" s="96" t="s">
        <v>43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46" t="s">
        <v>22</v>
      </c>
      <c r="C11" s="45" t="s">
        <v>20</v>
      </c>
      <c r="D11" s="46" t="s">
        <v>19</v>
      </c>
      <c r="E11" s="33"/>
      <c r="F11" s="33"/>
    </row>
    <row r="12" spans="1:6" ht="16.5">
      <c r="A12" s="37"/>
      <c r="B12" s="66" t="s">
        <v>48</v>
      </c>
      <c r="C12" s="67">
        <v>80</v>
      </c>
      <c r="D12" s="68">
        <f>C12/$C$22</f>
        <v>0.1606425702811245</v>
      </c>
      <c r="E12" s="37"/>
      <c r="F12" s="37"/>
    </row>
    <row r="13" spans="1:6" ht="16.5">
      <c r="A13" s="37"/>
      <c r="B13" s="66" t="s">
        <v>47</v>
      </c>
      <c r="C13" s="67">
        <v>72</v>
      </c>
      <c r="D13" s="68">
        <f t="shared" ref="D13:D21" si="0">C13/$C$22</f>
        <v>0.14457831325301204</v>
      </c>
      <c r="E13" s="37"/>
      <c r="F13" s="37"/>
    </row>
    <row r="14" spans="1:6" ht="16.5">
      <c r="A14" s="37"/>
      <c r="B14" s="66" t="s">
        <v>49</v>
      </c>
      <c r="C14" s="67">
        <v>64</v>
      </c>
      <c r="D14" s="68">
        <f t="shared" si="0"/>
        <v>0.12851405622489959</v>
      </c>
      <c r="E14" s="37"/>
      <c r="F14" s="37"/>
    </row>
    <row r="15" spans="1:6" ht="16.5">
      <c r="A15" s="37"/>
      <c r="B15" s="66" t="s">
        <v>52</v>
      </c>
      <c r="C15" s="67">
        <v>51</v>
      </c>
      <c r="D15" s="68">
        <f t="shared" si="0"/>
        <v>0.10240963855421686</v>
      </c>
      <c r="E15" s="37"/>
      <c r="F15" s="37"/>
    </row>
    <row r="16" spans="1:6" ht="16.5">
      <c r="A16" s="37"/>
      <c r="B16" s="66" t="s">
        <v>53</v>
      </c>
      <c r="C16" s="67">
        <v>43</v>
      </c>
      <c r="D16" s="68">
        <f t="shared" si="0"/>
        <v>8.6345381526104423E-2</v>
      </c>
      <c r="E16" s="37"/>
      <c r="F16" s="37"/>
    </row>
    <row r="17" spans="1:6" ht="16.5">
      <c r="A17" s="37"/>
      <c r="B17" s="66" t="s">
        <v>51</v>
      </c>
      <c r="C17" s="67">
        <v>41</v>
      </c>
      <c r="D17" s="68">
        <f t="shared" si="0"/>
        <v>8.2329317269076302E-2</v>
      </c>
      <c r="E17" s="37"/>
      <c r="F17" s="37"/>
    </row>
    <row r="18" spans="1:6" ht="16.5">
      <c r="A18" s="37"/>
      <c r="B18" s="66" t="s">
        <v>57</v>
      </c>
      <c r="C18" s="67">
        <v>41</v>
      </c>
      <c r="D18" s="68">
        <f t="shared" si="0"/>
        <v>8.2329317269076302E-2</v>
      </c>
      <c r="E18" s="37"/>
      <c r="F18" s="37"/>
    </row>
    <row r="19" spans="1:6" ht="16.5">
      <c r="A19" s="37"/>
      <c r="B19" s="66" t="s">
        <v>55</v>
      </c>
      <c r="C19" s="67">
        <v>39</v>
      </c>
      <c r="D19" s="68">
        <f t="shared" si="0"/>
        <v>7.8313253012048195E-2</v>
      </c>
      <c r="E19" s="37"/>
      <c r="F19" s="37"/>
    </row>
    <row r="20" spans="1:6" ht="16.5">
      <c r="A20" s="37"/>
      <c r="B20" s="66" t="s">
        <v>50</v>
      </c>
      <c r="C20" s="67">
        <v>35</v>
      </c>
      <c r="D20" s="68">
        <f t="shared" si="0"/>
        <v>7.0281124497991967E-2</v>
      </c>
      <c r="E20" s="37"/>
      <c r="F20" s="37"/>
    </row>
    <row r="21" spans="1:6" ht="16.5">
      <c r="A21" s="37"/>
      <c r="B21" s="66" t="s">
        <v>54</v>
      </c>
      <c r="C21" s="67">
        <v>32</v>
      </c>
      <c r="D21" s="68">
        <f t="shared" si="0"/>
        <v>6.4257028112449793E-2</v>
      </c>
      <c r="E21" s="37"/>
      <c r="F21" s="37"/>
    </row>
    <row r="22" spans="1:6" ht="16.5">
      <c r="A22" s="37"/>
      <c r="B22" s="73" t="s">
        <v>44</v>
      </c>
      <c r="C22" s="74">
        <f>SUM(C12:C21)</f>
        <v>498</v>
      </c>
      <c r="D22" s="75">
        <f t="shared" ref="D22" si="1">C22/$C$22</f>
        <v>1</v>
      </c>
      <c r="E22" s="37"/>
      <c r="F22" s="37"/>
    </row>
    <row r="23" spans="1:6" ht="16.5">
      <c r="A23" s="37"/>
      <c r="B23" s="42" t="s">
        <v>45</v>
      </c>
      <c r="C23" s="43">
        <v>860</v>
      </c>
      <c r="D23" s="72"/>
      <c r="E23" s="37"/>
      <c r="F23" s="37"/>
    </row>
    <row r="24" spans="1:6" ht="16.5">
      <c r="A24" s="37"/>
      <c r="B24" s="38"/>
      <c r="C24" s="39"/>
      <c r="D24" s="37"/>
      <c r="E24" s="37"/>
      <c r="F24" s="37"/>
    </row>
    <row r="25" spans="1:6" ht="16.5">
      <c r="A25" s="37"/>
      <c r="B25" s="38" t="s">
        <v>189</v>
      </c>
      <c r="C25" s="39"/>
      <c r="D25" s="37"/>
      <c r="E25" s="37"/>
      <c r="F25" s="37"/>
    </row>
    <row r="26" spans="1:6" ht="16.5">
      <c r="A26" s="37"/>
      <c r="B26" s="40" t="s">
        <v>18</v>
      </c>
      <c r="C26" s="39"/>
      <c r="D26" s="37"/>
      <c r="E26" s="37"/>
      <c r="F26" s="37"/>
    </row>
    <row r="27" spans="1:6" ht="16.5">
      <c r="A27" s="37"/>
      <c r="B27" s="41" t="s">
        <v>46</v>
      </c>
      <c r="C27" s="39"/>
      <c r="D27" s="37"/>
      <c r="E27" s="37"/>
      <c r="F27" s="37"/>
    </row>
    <row r="28" spans="1:6" ht="16.5">
      <c r="A28" s="37"/>
      <c r="B28" s="38" t="s">
        <v>17</v>
      </c>
      <c r="C28" s="39"/>
      <c r="D28" s="37"/>
      <c r="E28" s="37"/>
      <c r="F28" s="37"/>
    </row>
    <row r="29" spans="1:6" ht="16.5">
      <c r="A29" s="37"/>
      <c r="B29" s="38" t="s">
        <v>228</v>
      </c>
      <c r="C29" s="39"/>
      <c r="D29" s="37"/>
      <c r="E29" s="37"/>
      <c r="F29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30"/>
  <sheetViews>
    <sheetView showGridLines="0" view="pageBreakPreview" topLeftCell="A11" zoomScale="115" zoomScaleNormal="100" zoomScaleSheetLayoutView="115" workbookViewId="0">
      <selection activeCell="D24" sqref="D24"/>
    </sheetView>
  </sheetViews>
  <sheetFormatPr baseColWidth="10" defaultColWidth="11.42578125" defaultRowHeight="15"/>
  <cols>
    <col min="1" max="1" width="9.28515625" style="13" customWidth="1"/>
    <col min="2" max="2" width="29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570312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33"/>
      <c r="B7" s="96" t="s">
        <v>41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44" t="s">
        <v>23</v>
      </c>
      <c r="C11" s="45" t="s">
        <v>20</v>
      </c>
      <c r="D11" s="46" t="s">
        <v>19</v>
      </c>
      <c r="E11" s="33"/>
      <c r="F11" s="33"/>
    </row>
    <row r="12" spans="1:6" s="30" customFormat="1" ht="14.45" customHeight="1">
      <c r="A12" s="37"/>
      <c r="B12" s="60" t="s">
        <v>131</v>
      </c>
      <c r="C12" s="61">
        <v>523</v>
      </c>
      <c r="D12" s="62">
        <v>0.60799999999999998</v>
      </c>
      <c r="E12" s="37"/>
      <c r="F12" s="37"/>
    </row>
    <row r="13" spans="1:6" s="30" customFormat="1" ht="14.45" customHeight="1">
      <c r="A13" s="37"/>
      <c r="B13" s="60" t="s">
        <v>129</v>
      </c>
      <c r="C13" s="61">
        <v>172</v>
      </c>
      <c r="D13" s="62">
        <v>0.2</v>
      </c>
      <c r="E13" s="37"/>
      <c r="F13" s="37"/>
    </row>
    <row r="14" spans="1:6" s="30" customFormat="1" ht="14.45" customHeight="1">
      <c r="A14" s="37"/>
      <c r="B14" s="60" t="s">
        <v>135</v>
      </c>
      <c r="C14" s="61">
        <v>67</v>
      </c>
      <c r="D14" s="62">
        <v>7.8E-2</v>
      </c>
      <c r="E14" s="37"/>
      <c r="F14" s="37"/>
    </row>
    <row r="15" spans="1:6" s="30" customFormat="1" ht="14.45" customHeight="1">
      <c r="A15" s="37"/>
      <c r="B15" s="60" t="s">
        <v>130</v>
      </c>
      <c r="C15" s="61">
        <v>32</v>
      </c>
      <c r="D15" s="62">
        <v>3.6999999999999998E-2</v>
      </c>
      <c r="E15" s="37"/>
      <c r="F15" s="37"/>
    </row>
    <row r="16" spans="1:6" s="30" customFormat="1" ht="14.45" customHeight="1">
      <c r="A16" s="37"/>
      <c r="B16" s="60" t="s">
        <v>191</v>
      </c>
      <c r="C16" s="61">
        <v>21</v>
      </c>
      <c r="D16" s="62">
        <v>2.4E-2</v>
      </c>
      <c r="E16" s="37"/>
      <c r="F16" s="37"/>
    </row>
    <row r="17" spans="1:6" s="30" customFormat="1" ht="14.45" customHeight="1">
      <c r="A17" s="37"/>
      <c r="B17" s="60" t="s">
        <v>132</v>
      </c>
      <c r="C17" s="61">
        <v>17</v>
      </c>
      <c r="D17" s="62">
        <v>0.02</v>
      </c>
      <c r="E17" s="37"/>
      <c r="F17" s="37"/>
    </row>
    <row r="18" spans="1:6" s="30" customFormat="1" ht="14.45" customHeight="1">
      <c r="A18" s="37"/>
      <c r="B18" s="60" t="s">
        <v>137</v>
      </c>
      <c r="C18" s="61">
        <v>10</v>
      </c>
      <c r="D18" s="62">
        <v>1.2E-2</v>
      </c>
      <c r="E18" s="37"/>
      <c r="F18" s="37"/>
    </row>
    <row r="19" spans="1:6" s="30" customFormat="1" ht="14.45" customHeight="1">
      <c r="A19" s="37"/>
      <c r="B19" s="60" t="s">
        <v>133</v>
      </c>
      <c r="C19" s="61">
        <v>6</v>
      </c>
      <c r="D19" s="62">
        <v>7.0000000000000001E-3</v>
      </c>
      <c r="E19" s="37"/>
      <c r="F19" s="37"/>
    </row>
    <row r="20" spans="1:6" s="30" customFormat="1" ht="14.45" customHeight="1">
      <c r="A20" s="37"/>
      <c r="B20" s="60" t="s">
        <v>136</v>
      </c>
      <c r="C20" s="61">
        <v>6</v>
      </c>
      <c r="D20" s="62">
        <v>7.0000000000000001E-3</v>
      </c>
      <c r="E20" s="37"/>
      <c r="F20" s="37"/>
    </row>
    <row r="21" spans="1:6" s="30" customFormat="1" ht="14.45" customHeight="1">
      <c r="A21" s="37"/>
      <c r="B21" s="60" t="s">
        <v>134</v>
      </c>
      <c r="C21" s="61">
        <v>4</v>
      </c>
      <c r="D21" s="62">
        <v>5.0000000000000001E-3</v>
      </c>
      <c r="E21" s="37"/>
      <c r="F21" s="37"/>
    </row>
    <row r="22" spans="1:6" s="30" customFormat="1" ht="14.45" customHeight="1">
      <c r="A22" s="37"/>
      <c r="B22" s="60" t="s">
        <v>193</v>
      </c>
      <c r="C22" s="61">
        <v>1</v>
      </c>
      <c r="D22" s="62">
        <v>1E-3</v>
      </c>
      <c r="E22" s="37"/>
      <c r="F22" s="37"/>
    </row>
    <row r="23" spans="1:6" s="30" customFormat="1" ht="14.45" customHeight="1">
      <c r="A23" s="37"/>
      <c r="B23" s="60" t="s">
        <v>192</v>
      </c>
      <c r="C23" s="61">
        <v>1</v>
      </c>
      <c r="D23" s="62">
        <v>1E-3</v>
      </c>
      <c r="E23" s="37"/>
      <c r="F23" s="37"/>
    </row>
    <row r="24" spans="1:6" s="30" customFormat="1" ht="14.45" customHeight="1">
      <c r="A24" s="37"/>
      <c r="B24" s="63" t="s">
        <v>230</v>
      </c>
      <c r="C24" s="64">
        <v>860</v>
      </c>
      <c r="D24" s="65">
        <v>1</v>
      </c>
      <c r="E24" s="37"/>
      <c r="F24" s="37"/>
    </row>
    <row r="25" spans="1:6" s="30" customFormat="1" ht="14.45" customHeight="1">
      <c r="A25" s="37"/>
      <c r="B25" s="40"/>
      <c r="C25" s="39"/>
      <c r="D25" s="37"/>
      <c r="E25" s="37"/>
      <c r="F25" s="37"/>
    </row>
    <row r="26" spans="1:6" s="30" customFormat="1" ht="14.45" customHeight="1">
      <c r="A26" s="37"/>
      <c r="B26" s="38" t="s">
        <v>189</v>
      </c>
      <c r="C26" s="39"/>
      <c r="D26" s="37"/>
      <c r="E26" s="37"/>
      <c r="F26" s="37"/>
    </row>
    <row r="27" spans="1:6" s="30" customFormat="1" ht="14.45" customHeight="1">
      <c r="A27" s="37"/>
      <c r="B27" s="40" t="s">
        <v>18</v>
      </c>
      <c r="C27" s="39"/>
      <c r="D27" s="37"/>
      <c r="E27" s="37"/>
      <c r="F27" s="37"/>
    </row>
    <row r="28" spans="1:6" s="30" customFormat="1" ht="14.45" customHeight="1">
      <c r="A28" s="37"/>
      <c r="B28" s="41" t="s">
        <v>46</v>
      </c>
      <c r="C28" s="39"/>
      <c r="D28" s="37"/>
      <c r="E28" s="37"/>
      <c r="F28" s="37"/>
    </row>
    <row r="29" spans="1:6" ht="16.5">
      <c r="A29" s="37"/>
      <c r="B29" s="38" t="s">
        <v>17</v>
      </c>
      <c r="C29" s="39"/>
      <c r="D29" s="37"/>
      <c r="E29" s="37"/>
      <c r="F29" s="37"/>
    </row>
    <row r="30" spans="1:6" ht="16.5">
      <c r="A30" s="37"/>
      <c r="B30" s="38" t="s">
        <v>228</v>
      </c>
      <c r="C30" s="39"/>
      <c r="D30" s="37"/>
      <c r="E30" s="37"/>
      <c r="F30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93"/>
  <sheetViews>
    <sheetView showGridLines="0" view="pageBreakPreview" zoomScale="115" zoomScaleNormal="100" zoomScaleSheetLayoutView="115" workbookViewId="0">
      <selection activeCell="F29" sqref="F2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0"/>
      <c r="C7" s="100"/>
      <c r="D7" s="100"/>
      <c r="E7" s="100"/>
    </row>
    <row r="8" spans="1:5" s="22" customFormat="1" ht="33" customHeight="1">
      <c r="A8" s="23"/>
      <c r="B8" s="100"/>
      <c r="C8" s="100"/>
      <c r="D8" s="100"/>
      <c r="E8" s="100"/>
    </row>
    <row r="9" spans="1:5" s="15" customFormat="1" ht="40.5" customHeight="1">
      <c r="B9" s="50" t="s">
        <v>25</v>
      </c>
      <c r="C9" s="51" t="s">
        <v>24</v>
      </c>
      <c r="D9" s="52" t="s">
        <v>20</v>
      </c>
      <c r="E9" s="50" t="s">
        <v>19</v>
      </c>
    </row>
    <row r="10" spans="1:5" s="31" customFormat="1" ht="14.45" customHeight="1">
      <c r="B10" s="97" t="s">
        <v>92</v>
      </c>
      <c r="C10" s="60" t="s">
        <v>131</v>
      </c>
      <c r="D10" s="61">
        <v>72</v>
      </c>
      <c r="E10" s="62">
        <v>8.4000000000000005E-2</v>
      </c>
    </row>
    <row r="11" spans="1:5" s="31" customFormat="1" ht="14.45" customHeight="1">
      <c r="B11" s="98"/>
      <c r="C11" s="60" t="s">
        <v>135</v>
      </c>
      <c r="D11" s="61">
        <v>52</v>
      </c>
      <c r="E11" s="62">
        <v>0.06</v>
      </c>
    </row>
    <row r="12" spans="1:5" s="31" customFormat="1" ht="14.45" customHeight="1">
      <c r="B12" s="98"/>
      <c r="C12" s="60" t="s">
        <v>129</v>
      </c>
      <c r="D12" s="61">
        <v>27</v>
      </c>
      <c r="E12" s="62">
        <v>3.1E-2</v>
      </c>
    </row>
    <row r="13" spans="1:5" s="31" customFormat="1" ht="14.45" customHeight="1">
      <c r="B13" s="98"/>
      <c r="C13" s="60" t="s">
        <v>130</v>
      </c>
      <c r="D13" s="61">
        <v>20</v>
      </c>
      <c r="E13" s="62">
        <v>2.3E-2</v>
      </c>
    </row>
    <row r="14" spans="1:5" s="31" customFormat="1" ht="14.45" customHeight="1">
      <c r="B14" s="98"/>
      <c r="C14" s="60" t="s">
        <v>132</v>
      </c>
      <c r="D14" s="61">
        <v>8</v>
      </c>
      <c r="E14" s="62">
        <v>8.9999999999999993E-3</v>
      </c>
    </row>
    <row r="15" spans="1:5" s="31" customFormat="1" ht="14.45" customHeight="1">
      <c r="B15" s="98"/>
      <c r="C15" s="60" t="s">
        <v>191</v>
      </c>
      <c r="D15" s="61">
        <v>7</v>
      </c>
      <c r="E15" s="62">
        <v>8.0000000000000002E-3</v>
      </c>
    </row>
    <row r="16" spans="1:5" s="31" customFormat="1" ht="14.45" customHeight="1">
      <c r="B16" s="98"/>
      <c r="C16" s="60" t="s">
        <v>137</v>
      </c>
      <c r="D16" s="61">
        <v>2</v>
      </c>
      <c r="E16" s="62">
        <v>2E-3</v>
      </c>
    </row>
    <row r="17" spans="2:5" s="31" customFormat="1" ht="14.45" customHeight="1">
      <c r="B17" s="98"/>
      <c r="C17" s="60" t="s">
        <v>133</v>
      </c>
      <c r="D17" s="61">
        <v>1</v>
      </c>
      <c r="E17" s="62">
        <v>1E-3</v>
      </c>
    </row>
    <row r="18" spans="2:5" s="31" customFormat="1" ht="14.45" customHeight="1">
      <c r="B18" s="99"/>
      <c r="C18" s="78" t="s">
        <v>227</v>
      </c>
      <c r="D18" s="76">
        <v>189</v>
      </c>
      <c r="E18" s="77">
        <v>0.22</v>
      </c>
    </row>
    <row r="19" spans="2:5" s="31" customFormat="1" ht="14.45" customHeight="1">
      <c r="B19" s="97" t="s">
        <v>122</v>
      </c>
      <c r="C19" s="60" t="s">
        <v>131</v>
      </c>
      <c r="D19" s="61">
        <v>77</v>
      </c>
      <c r="E19" s="62">
        <v>0.09</v>
      </c>
    </row>
    <row r="20" spans="2:5" s="31" customFormat="1" ht="14.45" customHeight="1">
      <c r="B20" s="98"/>
      <c r="C20" s="60" t="s">
        <v>129</v>
      </c>
      <c r="D20" s="61">
        <v>29</v>
      </c>
      <c r="E20" s="62">
        <v>3.4000000000000002E-2</v>
      </c>
    </row>
    <row r="21" spans="2:5" s="31" customFormat="1" ht="14.45" customHeight="1">
      <c r="B21" s="98"/>
      <c r="C21" s="60" t="s">
        <v>136</v>
      </c>
      <c r="D21" s="61">
        <v>4</v>
      </c>
      <c r="E21" s="62">
        <v>5.0000000000000001E-3</v>
      </c>
    </row>
    <row r="22" spans="2:5" s="31" customFormat="1" ht="14.45" customHeight="1">
      <c r="B22" s="98"/>
      <c r="C22" s="60" t="s">
        <v>132</v>
      </c>
      <c r="D22" s="61">
        <v>2</v>
      </c>
      <c r="E22" s="62">
        <v>2E-3</v>
      </c>
    </row>
    <row r="23" spans="2:5" s="31" customFormat="1" ht="14.45" customHeight="1">
      <c r="B23" s="98"/>
      <c r="C23" s="60" t="s">
        <v>191</v>
      </c>
      <c r="D23" s="61">
        <v>2</v>
      </c>
      <c r="E23" s="62">
        <v>2E-3</v>
      </c>
    </row>
    <row r="24" spans="2:5" s="31" customFormat="1" ht="14.45" customHeight="1">
      <c r="B24" s="98"/>
      <c r="C24" s="60" t="s">
        <v>135</v>
      </c>
      <c r="D24" s="61">
        <v>2</v>
      </c>
      <c r="E24" s="62">
        <v>2E-3</v>
      </c>
    </row>
    <row r="25" spans="2:5" s="31" customFormat="1" ht="14.45" customHeight="1">
      <c r="B25" s="98"/>
      <c r="C25" s="60" t="s">
        <v>130</v>
      </c>
      <c r="D25" s="61">
        <v>1</v>
      </c>
      <c r="E25" s="62">
        <v>1E-3</v>
      </c>
    </row>
    <row r="26" spans="2:5" s="31" customFormat="1" ht="14.45" customHeight="1">
      <c r="B26" s="98"/>
      <c r="C26" s="60" t="s">
        <v>134</v>
      </c>
      <c r="D26" s="61">
        <v>1</v>
      </c>
      <c r="E26" s="62">
        <v>1E-3</v>
      </c>
    </row>
    <row r="27" spans="2:5" s="31" customFormat="1" ht="14.45" customHeight="1">
      <c r="B27" s="98"/>
      <c r="C27" s="60" t="s">
        <v>192</v>
      </c>
      <c r="D27" s="61">
        <v>1</v>
      </c>
      <c r="E27" s="62">
        <v>1E-3</v>
      </c>
    </row>
    <row r="28" spans="2:5" s="31" customFormat="1" ht="14.45" customHeight="1">
      <c r="B28" s="99"/>
      <c r="C28" s="78" t="s">
        <v>227</v>
      </c>
      <c r="D28" s="76">
        <v>119</v>
      </c>
      <c r="E28" s="77">
        <v>0.13800000000000001</v>
      </c>
    </row>
    <row r="29" spans="2:5" s="31" customFormat="1" ht="14.45" customHeight="1">
      <c r="B29" s="97" t="s">
        <v>89</v>
      </c>
      <c r="C29" s="60" t="s">
        <v>131</v>
      </c>
      <c r="D29" s="61">
        <v>56</v>
      </c>
      <c r="E29" s="62">
        <v>6.5000000000000002E-2</v>
      </c>
    </row>
    <row r="30" spans="2:5" s="31" customFormat="1" ht="14.45" customHeight="1">
      <c r="B30" s="98"/>
      <c r="C30" s="60" t="s">
        <v>133</v>
      </c>
      <c r="D30" s="61">
        <v>1</v>
      </c>
      <c r="E30" s="62">
        <v>1E-3</v>
      </c>
    </row>
    <row r="31" spans="2:5" s="31" customFormat="1" ht="14.45" customHeight="1">
      <c r="B31" s="98"/>
      <c r="C31" s="60" t="s">
        <v>129</v>
      </c>
      <c r="D31" s="61">
        <v>1</v>
      </c>
      <c r="E31" s="62">
        <v>1E-3</v>
      </c>
    </row>
    <row r="32" spans="2:5" s="31" customFormat="1" ht="14.45" customHeight="1">
      <c r="B32" s="98"/>
      <c r="C32" s="60" t="s">
        <v>135</v>
      </c>
      <c r="D32" s="61">
        <v>1</v>
      </c>
      <c r="E32" s="62">
        <v>1E-3</v>
      </c>
    </row>
    <row r="33" spans="2:5" s="31" customFormat="1" ht="14.45" customHeight="1">
      <c r="B33" s="98"/>
      <c r="C33" s="60" t="s">
        <v>137</v>
      </c>
      <c r="D33" s="61">
        <v>1</v>
      </c>
      <c r="E33" s="62">
        <v>1E-3</v>
      </c>
    </row>
    <row r="34" spans="2:5" s="31" customFormat="1" ht="14.45" customHeight="1">
      <c r="B34" s="99"/>
      <c r="C34" s="78" t="s">
        <v>227</v>
      </c>
      <c r="D34" s="76">
        <v>60</v>
      </c>
      <c r="E34" s="77">
        <v>7.0000000000000007E-2</v>
      </c>
    </row>
    <row r="35" spans="2:5" s="31" customFormat="1" ht="14.45" customHeight="1">
      <c r="B35" s="97" t="s">
        <v>124</v>
      </c>
      <c r="C35" s="60" t="s">
        <v>131</v>
      </c>
      <c r="D35" s="61">
        <v>35</v>
      </c>
      <c r="E35" s="62">
        <v>4.1000000000000002E-2</v>
      </c>
    </row>
    <row r="36" spans="2:5" s="31" customFormat="1" ht="14.45" customHeight="1">
      <c r="B36" s="98"/>
      <c r="C36" s="60" t="s">
        <v>129</v>
      </c>
      <c r="D36" s="61">
        <v>2</v>
      </c>
      <c r="E36" s="62">
        <v>2E-3</v>
      </c>
    </row>
    <row r="37" spans="2:5" s="31" customFormat="1" ht="14.45" customHeight="1">
      <c r="B37" s="98"/>
      <c r="C37" s="60" t="s">
        <v>191</v>
      </c>
      <c r="D37" s="61">
        <v>2</v>
      </c>
      <c r="E37" s="62">
        <v>2E-3</v>
      </c>
    </row>
    <row r="38" spans="2:5" s="31" customFormat="1" ht="14.45" customHeight="1">
      <c r="B38" s="98"/>
      <c r="C38" s="60" t="s">
        <v>134</v>
      </c>
      <c r="D38" s="61">
        <v>1</v>
      </c>
      <c r="E38" s="62">
        <v>1E-3</v>
      </c>
    </row>
    <row r="39" spans="2:5" s="31" customFormat="1" ht="14.45" customHeight="1">
      <c r="B39" s="98"/>
      <c r="C39" s="60" t="s">
        <v>135</v>
      </c>
      <c r="D39" s="61">
        <v>1</v>
      </c>
      <c r="E39" s="62">
        <v>1E-3</v>
      </c>
    </row>
    <row r="40" spans="2:5" s="31" customFormat="1" ht="14.45" customHeight="1">
      <c r="B40" s="98"/>
      <c r="C40" s="60" t="s">
        <v>137</v>
      </c>
      <c r="D40" s="61">
        <v>1</v>
      </c>
      <c r="E40" s="62">
        <v>1E-3</v>
      </c>
    </row>
    <row r="41" spans="2:5" s="31" customFormat="1" ht="14.45" customHeight="1">
      <c r="B41" s="99"/>
      <c r="C41" s="78" t="s">
        <v>227</v>
      </c>
      <c r="D41" s="76">
        <v>42</v>
      </c>
      <c r="E41" s="77">
        <v>4.9000000000000002E-2</v>
      </c>
    </row>
    <row r="42" spans="2:5" s="31" customFormat="1" ht="14.45" customHeight="1">
      <c r="B42" s="97" t="s">
        <v>96</v>
      </c>
      <c r="C42" s="60" t="s">
        <v>131</v>
      </c>
      <c r="D42" s="61">
        <v>25</v>
      </c>
      <c r="E42" s="62">
        <v>2.9000000000000001E-2</v>
      </c>
    </row>
    <row r="43" spans="2:5" s="31" customFormat="1" ht="14.45" customHeight="1">
      <c r="B43" s="98"/>
      <c r="C43" s="60" t="s">
        <v>129</v>
      </c>
      <c r="D43" s="61">
        <v>9</v>
      </c>
      <c r="E43" s="62">
        <v>0.01</v>
      </c>
    </row>
    <row r="44" spans="2:5" s="31" customFormat="1" ht="14.45" customHeight="1">
      <c r="B44" s="98"/>
      <c r="C44" s="60" t="s">
        <v>132</v>
      </c>
      <c r="D44" s="61">
        <v>1</v>
      </c>
      <c r="E44" s="62">
        <v>1E-3</v>
      </c>
    </row>
    <row r="45" spans="2:5" s="31" customFormat="1" ht="14.45" customHeight="1">
      <c r="B45" s="98"/>
      <c r="C45" s="60" t="s">
        <v>191</v>
      </c>
      <c r="D45" s="61">
        <v>1</v>
      </c>
      <c r="E45" s="62">
        <v>1E-3</v>
      </c>
    </row>
    <row r="46" spans="2:5" s="31" customFormat="1" ht="14.45" customHeight="1">
      <c r="B46" s="98"/>
      <c r="C46" s="60" t="s">
        <v>135</v>
      </c>
      <c r="D46" s="61">
        <v>1</v>
      </c>
      <c r="E46" s="62">
        <v>1E-3</v>
      </c>
    </row>
    <row r="47" spans="2:5" s="31" customFormat="1" ht="14.45" customHeight="1">
      <c r="B47" s="99"/>
      <c r="C47" s="78" t="s">
        <v>227</v>
      </c>
      <c r="D47" s="76">
        <v>37</v>
      </c>
      <c r="E47" s="77">
        <v>4.2999999999999997E-2</v>
      </c>
    </row>
    <row r="48" spans="2:5" s="31" customFormat="1" ht="14.45" customHeight="1">
      <c r="B48" s="97" t="s">
        <v>115</v>
      </c>
      <c r="C48" s="60" t="s">
        <v>131</v>
      </c>
      <c r="D48" s="61">
        <v>23</v>
      </c>
      <c r="E48" s="62">
        <v>2.7E-2</v>
      </c>
    </row>
    <row r="49" spans="2:5" s="31" customFormat="1" ht="14.45" customHeight="1">
      <c r="B49" s="98"/>
      <c r="C49" s="60" t="s">
        <v>129</v>
      </c>
      <c r="D49" s="61">
        <v>9</v>
      </c>
      <c r="E49" s="62">
        <v>0.01</v>
      </c>
    </row>
    <row r="50" spans="2:5" s="31" customFormat="1" ht="14.45" customHeight="1">
      <c r="B50" s="98"/>
      <c r="C50" s="60" t="s">
        <v>132</v>
      </c>
      <c r="D50" s="61">
        <v>1</v>
      </c>
      <c r="E50" s="62">
        <v>1E-3</v>
      </c>
    </row>
    <row r="51" spans="2:5" s="31" customFormat="1" ht="14.45" customHeight="1">
      <c r="B51" s="98"/>
      <c r="C51" s="60" t="s">
        <v>191</v>
      </c>
      <c r="D51" s="61">
        <v>1</v>
      </c>
      <c r="E51" s="62">
        <v>1E-3</v>
      </c>
    </row>
    <row r="52" spans="2:5" s="31" customFormat="1" ht="14.45" customHeight="1">
      <c r="B52" s="98"/>
      <c r="C52" s="60" t="s">
        <v>136</v>
      </c>
      <c r="D52" s="61">
        <v>1</v>
      </c>
      <c r="E52" s="62">
        <v>1E-3</v>
      </c>
    </row>
    <row r="53" spans="2:5" s="31" customFormat="1" ht="14.45" customHeight="1">
      <c r="B53" s="98"/>
      <c r="C53" s="60" t="s">
        <v>137</v>
      </c>
      <c r="D53" s="61">
        <v>1</v>
      </c>
      <c r="E53" s="62">
        <v>1E-3</v>
      </c>
    </row>
    <row r="54" spans="2:5" s="31" customFormat="1" ht="14.45" customHeight="1">
      <c r="B54" s="99"/>
      <c r="C54" s="78" t="s">
        <v>227</v>
      </c>
      <c r="D54" s="76">
        <v>36</v>
      </c>
      <c r="E54" s="77">
        <v>4.2000000000000003E-2</v>
      </c>
    </row>
    <row r="55" spans="2:5" s="31" customFormat="1" ht="14.45" customHeight="1">
      <c r="B55" s="97" t="s">
        <v>121</v>
      </c>
      <c r="C55" s="60" t="s">
        <v>131</v>
      </c>
      <c r="D55" s="61">
        <v>27</v>
      </c>
      <c r="E55" s="62">
        <v>3.1E-2</v>
      </c>
    </row>
    <row r="56" spans="2:5" s="31" customFormat="1" ht="14.45" customHeight="1">
      <c r="B56" s="98"/>
      <c r="C56" s="60" t="s">
        <v>129</v>
      </c>
      <c r="D56" s="61">
        <v>5</v>
      </c>
      <c r="E56" s="62">
        <v>6.0000000000000001E-3</v>
      </c>
    </row>
    <row r="57" spans="2:5" s="31" customFormat="1" ht="14.45" customHeight="1">
      <c r="B57" s="98"/>
      <c r="C57" s="60" t="s">
        <v>136</v>
      </c>
      <c r="D57" s="61">
        <v>1</v>
      </c>
      <c r="E57" s="62">
        <v>1E-3</v>
      </c>
    </row>
    <row r="58" spans="2:5" s="31" customFormat="1" ht="14.45" customHeight="1">
      <c r="B58" s="98"/>
      <c r="C58" s="60" t="s">
        <v>193</v>
      </c>
      <c r="D58" s="61">
        <v>1</v>
      </c>
      <c r="E58" s="62">
        <v>1E-3</v>
      </c>
    </row>
    <row r="59" spans="2:5" s="31" customFormat="1" ht="14.45" customHeight="1">
      <c r="B59" s="98"/>
      <c r="C59" s="60" t="s">
        <v>137</v>
      </c>
      <c r="D59" s="61">
        <v>1</v>
      </c>
      <c r="E59" s="62">
        <v>1E-3</v>
      </c>
    </row>
    <row r="60" spans="2:5" s="31" customFormat="1" ht="14.45" customHeight="1">
      <c r="B60" s="99"/>
      <c r="C60" s="78" t="s">
        <v>227</v>
      </c>
      <c r="D60" s="76">
        <v>35</v>
      </c>
      <c r="E60" s="77">
        <v>4.1000000000000002E-2</v>
      </c>
    </row>
    <row r="61" spans="2:5" s="31" customFormat="1" ht="14.45" customHeight="1">
      <c r="B61" s="97" t="s">
        <v>98</v>
      </c>
      <c r="C61" s="60" t="s">
        <v>131</v>
      </c>
      <c r="D61" s="61">
        <v>18</v>
      </c>
      <c r="E61" s="62">
        <v>2.1000000000000001E-2</v>
      </c>
    </row>
    <row r="62" spans="2:5" s="31" customFormat="1" ht="14.45" customHeight="1">
      <c r="B62" s="98"/>
      <c r="C62" s="60" t="s">
        <v>129</v>
      </c>
      <c r="D62" s="61">
        <v>12</v>
      </c>
      <c r="E62" s="62">
        <v>1.4E-2</v>
      </c>
    </row>
    <row r="63" spans="2:5" s="31" customFormat="1" ht="14.45" customHeight="1">
      <c r="B63" s="98"/>
      <c r="C63" s="60" t="s">
        <v>135</v>
      </c>
      <c r="D63" s="61">
        <v>2</v>
      </c>
      <c r="E63" s="62">
        <v>2E-3</v>
      </c>
    </row>
    <row r="64" spans="2:5" s="31" customFormat="1" ht="14.45" customHeight="1">
      <c r="B64" s="98"/>
      <c r="C64" s="60" t="s">
        <v>134</v>
      </c>
      <c r="D64" s="61">
        <v>1</v>
      </c>
      <c r="E64" s="62">
        <v>1E-3</v>
      </c>
    </row>
    <row r="65" spans="2:5" s="31" customFormat="1" ht="14.45" customHeight="1">
      <c r="B65" s="99"/>
      <c r="C65" s="78" t="s">
        <v>227</v>
      </c>
      <c r="D65" s="76">
        <v>33</v>
      </c>
      <c r="E65" s="77">
        <v>3.7999999999999999E-2</v>
      </c>
    </row>
    <row r="66" spans="2:5" s="31" customFormat="1" ht="14.45" customHeight="1">
      <c r="B66" s="97" t="s">
        <v>97</v>
      </c>
      <c r="C66" s="60" t="s">
        <v>131</v>
      </c>
      <c r="D66" s="61">
        <v>15</v>
      </c>
      <c r="E66" s="62">
        <v>1.7000000000000001E-2</v>
      </c>
    </row>
    <row r="67" spans="2:5" s="31" customFormat="1" ht="14.45" customHeight="1">
      <c r="B67" s="98"/>
      <c r="C67" s="60" t="s">
        <v>129</v>
      </c>
      <c r="D67" s="61">
        <v>7</v>
      </c>
      <c r="E67" s="62">
        <v>8.0000000000000002E-3</v>
      </c>
    </row>
    <row r="68" spans="2:5" s="31" customFormat="1" ht="14.45" customHeight="1">
      <c r="B68" s="98"/>
      <c r="C68" s="60" t="s">
        <v>130</v>
      </c>
      <c r="D68" s="61">
        <v>2</v>
      </c>
      <c r="E68" s="62">
        <v>2E-3</v>
      </c>
    </row>
    <row r="69" spans="2:5" s="31" customFormat="1" ht="14.45" customHeight="1">
      <c r="B69" s="98"/>
      <c r="C69" s="60" t="s">
        <v>135</v>
      </c>
      <c r="D69" s="61">
        <v>1</v>
      </c>
      <c r="E69" s="62">
        <v>1E-3</v>
      </c>
    </row>
    <row r="70" spans="2:5" s="31" customFormat="1" ht="14.45" customHeight="1">
      <c r="B70" s="98"/>
      <c r="C70" s="60" t="s">
        <v>137</v>
      </c>
      <c r="D70" s="61">
        <v>1</v>
      </c>
      <c r="E70" s="62">
        <v>1E-3</v>
      </c>
    </row>
    <row r="71" spans="2:5" s="31" customFormat="1" ht="14.45" customHeight="1">
      <c r="B71" s="99"/>
      <c r="C71" s="78" t="s">
        <v>227</v>
      </c>
      <c r="D71" s="76">
        <v>26</v>
      </c>
      <c r="E71" s="77">
        <v>0.03</v>
      </c>
    </row>
    <row r="72" spans="2:5" s="31" customFormat="1" ht="14.45" customHeight="1">
      <c r="B72" s="97" t="s">
        <v>99</v>
      </c>
      <c r="C72" s="60" t="s">
        <v>131</v>
      </c>
      <c r="D72" s="61">
        <v>11</v>
      </c>
      <c r="E72" s="62">
        <v>1.2999999999999999E-2</v>
      </c>
    </row>
    <row r="73" spans="2:5" s="31" customFormat="1" ht="14.45" customHeight="1">
      <c r="B73" s="98"/>
      <c r="C73" s="60" t="s">
        <v>129</v>
      </c>
      <c r="D73" s="61">
        <v>6</v>
      </c>
      <c r="E73" s="62">
        <v>7.0000000000000001E-3</v>
      </c>
    </row>
    <row r="74" spans="2:5" s="31" customFormat="1" ht="14.45" customHeight="1">
      <c r="B74" s="98"/>
      <c r="C74" s="60" t="s">
        <v>132</v>
      </c>
      <c r="D74" s="61">
        <v>1</v>
      </c>
      <c r="E74" s="62">
        <v>1E-3</v>
      </c>
    </row>
    <row r="75" spans="2:5" s="31" customFormat="1" ht="14.45" customHeight="1">
      <c r="B75" s="99"/>
      <c r="C75" s="78" t="s">
        <v>227</v>
      </c>
      <c r="D75" s="76">
        <v>18</v>
      </c>
      <c r="E75" s="77">
        <v>2.1000000000000001E-2</v>
      </c>
    </row>
    <row r="76" spans="2:5" s="31" customFormat="1" ht="14.45" customHeight="1">
      <c r="B76" s="97" t="s">
        <v>120</v>
      </c>
      <c r="C76" s="60" t="s">
        <v>131</v>
      </c>
      <c r="D76" s="61">
        <v>11</v>
      </c>
      <c r="E76" s="62">
        <v>1.2999999999999999E-2</v>
      </c>
    </row>
    <row r="77" spans="2:5" s="31" customFormat="1" ht="14.45" customHeight="1">
      <c r="B77" s="98"/>
      <c r="C77" s="60" t="s">
        <v>129</v>
      </c>
      <c r="D77" s="61">
        <v>5</v>
      </c>
      <c r="E77" s="62">
        <v>6.0000000000000001E-3</v>
      </c>
    </row>
    <row r="78" spans="2:5" s="31" customFormat="1" ht="14.45" customHeight="1">
      <c r="B78" s="98"/>
      <c r="C78" s="60" t="s">
        <v>137</v>
      </c>
      <c r="D78" s="61">
        <v>1</v>
      </c>
      <c r="E78" s="62">
        <v>1E-3</v>
      </c>
    </row>
    <row r="79" spans="2:5" s="31" customFormat="1" ht="14.45" customHeight="1">
      <c r="B79" s="99"/>
      <c r="C79" s="78" t="s">
        <v>227</v>
      </c>
      <c r="D79" s="76">
        <v>17</v>
      </c>
      <c r="E79" s="77">
        <v>0.02</v>
      </c>
    </row>
    <row r="80" spans="2:5" s="31" customFormat="1" ht="14.45" customHeight="1">
      <c r="B80" s="97" t="s">
        <v>105</v>
      </c>
      <c r="C80" s="60" t="s">
        <v>131</v>
      </c>
      <c r="D80" s="61">
        <v>12</v>
      </c>
      <c r="E80" s="62">
        <v>1.4E-2</v>
      </c>
    </row>
    <row r="81" spans="2:5" s="31" customFormat="1" ht="14.45" customHeight="1">
      <c r="B81" s="98"/>
      <c r="C81" s="60" t="s">
        <v>191</v>
      </c>
      <c r="D81" s="61">
        <v>2</v>
      </c>
      <c r="E81" s="62">
        <v>2E-3</v>
      </c>
    </row>
    <row r="82" spans="2:5" s="31" customFormat="1" ht="14.45" customHeight="1">
      <c r="B82" s="98"/>
      <c r="C82" s="60" t="s">
        <v>129</v>
      </c>
      <c r="D82" s="61">
        <v>1</v>
      </c>
      <c r="E82" s="62">
        <v>1E-3</v>
      </c>
    </row>
    <row r="83" spans="2:5" s="31" customFormat="1" ht="14.45" customHeight="1">
      <c r="B83" s="98"/>
      <c r="C83" s="60" t="s">
        <v>137</v>
      </c>
      <c r="D83" s="61">
        <v>1</v>
      </c>
      <c r="E83" s="62">
        <v>1E-3</v>
      </c>
    </row>
    <row r="84" spans="2:5" s="31" customFormat="1" ht="14.45" customHeight="1">
      <c r="B84" s="99"/>
      <c r="C84" s="78" t="s">
        <v>227</v>
      </c>
      <c r="D84" s="76">
        <v>16</v>
      </c>
      <c r="E84" s="77">
        <v>1.9E-2</v>
      </c>
    </row>
    <row r="85" spans="2:5" s="31" customFormat="1" ht="14.45" customHeight="1">
      <c r="B85" s="97" t="s">
        <v>107</v>
      </c>
      <c r="C85" s="60" t="s">
        <v>131</v>
      </c>
      <c r="D85" s="61">
        <v>14</v>
      </c>
      <c r="E85" s="62">
        <v>1.6E-2</v>
      </c>
    </row>
    <row r="86" spans="2:5" s="31" customFormat="1" ht="14.45" customHeight="1">
      <c r="B86" s="98"/>
      <c r="C86" s="60" t="s">
        <v>133</v>
      </c>
      <c r="D86" s="61">
        <v>1</v>
      </c>
      <c r="E86" s="62">
        <v>1E-3</v>
      </c>
    </row>
    <row r="87" spans="2:5" s="31" customFormat="1" ht="14.45" customHeight="1">
      <c r="B87" s="98"/>
      <c r="C87" s="60" t="s">
        <v>129</v>
      </c>
      <c r="D87" s="61">
        <v>1</v>
      </c>
      <c r="E87" s="62">
        <v>1E-3</v>
      </c>
    </row>
    <row r="88" spans="2:5" s="31" customFormat="1" ht="14.45" customHeight="1">
      <c r="B88" s="99"/>
      <c r="C88" s="78" t="s">
        <v>227</v>
      </c>
      <c r="D88" s="76">
        <v>16</v>
      </c>
      <c r="E88" s="77">
        <v>1.9E-2</v>
      </c>
    </row>
    <row r="89" spans="2:5" s="31" customFormat="1" ht="14.45" customHeight="1">
      <c r="B89" s="97" t="s">
        <v>106</v>
      </c>
      <c r="C89" s="60" t="s">
        <v>131</v>
      </c>
      <c r="D89" s="61">
        <v>12</v>
      </c>
      <c r="E89" s="62">
        <v>1.4E-2</v>
      </c>
    </row>
    <row r="90" spans="2:5" s="31" customFormat="1" ht="14.45" customHeight="1">
      <c r="B90" s="98"/>
      <c r="C90" s="60" t="s">
        <v>129</v>
      </c>
      <c r="D90" s="61">
        <v>2</v>
      </c>
      <c r="E90" s="62">
        <v>2E-3</v>
      </c>
    </row>
    <row r="91" spans="2:5" s="31" customFormat="1" ht="14.45" customHeight="1">
      <c r="B91" s="98"/>
      <c r="C91" s="60" t="s">
        <v>134</v>
      </c>
      <c r="D91" s="61">
        <v>1</v>
      </c>
      <c r="E91" s="62">
        <v>1E-3</v>
      </c>
    </row>
    <row r="92" spans="2:5" s="31" customFormat="1" ht="14.45" customHeight="1">
      <c r="B92" s="99"/>
      <c r="C92" s="78" t="s">
        <v>227</v>
      </c>
      <c r="D92" s="76">
        <v>15</v>
      </c>
      <c r="E92" s="77">
        <v>1.7000000000000001E-2</v>
      </c>
    </row>
    <row r="93" spans="2:5" s="31" customFormat="1" ht="14.45" customHeight="1">
      <c r="B93" s="97" t="s">
        <v>91</v>
      </c>
      <c r="C93" s="60" t="s">
        <v>131</v>
      </c>
      <c r="D93" s="61">
        <v>10</v>
      </c>
      <c r="E93" s="62">
        <v>1.2E-2</v>
      </c>
    </row>
    <row r="94" spans="2:5" s="31" customFormat="1" ht="14.45" customHeight="1">
      <c r="B94" s="98"/>
      <c r="C94" s="60" t="s">
        <v>129</v>
      </c>
      <c r="D94" s="61">
        <v>3</v>
      </c>
      <c r="E94" s="62">
        <v>3.0000000000000001E-3</v>
      </c>
    </row>
    <row r="95" spans="2:5" s="31" customFormat="1" ht="14.45" customHeight="1">
      <c r="B95" s="98"/>
      <c r="C95" s="60" t="s">
        <v>132</v>
      </c>
      <c r="D95" s="61">
        <v>1</v>
      </c>
      <c r="E95" s="62">
        <v>1E-3</v>
      </c>
    </row>
    <row r="96" spans="2:5" s="31" customFormat="1" ht="14.45" customHeight="1">
      <c r="B96" s="99"/>
      <c r="C96" s="78" t="s">
        <v>227</v>
      </c>
      <c r="D96" s="76">
        <v>14</v>
      </c>
      <c r="E96" s="77">
        <v>1.6E-2</v>
      </c>
    </row>
    <row r="97" spans="2:5" s="31" customFormat="1" ht="14.45" customHeight="1">
      <c r="B97" s="97" t="s">
        <v>109</v>
      </c>
      <c r="C97" s="60" t="s">
        <v>131</v>
      </c>
      <c r="D97" s="61">
        <v>12</v>
      </c>
      <c r="E97" s="62">
        <v>1.4E-2</v>
      </c>
    </row>
    <row r="98" spans="2:5" s="31" customFormat="1" ht="14.45" customHeight="1">
      <c r="B98" s="98"/>
      <c r="C98" s="60" t="s">
        <v>129</v>
      </c>
      <c r="D98" s="61">
        <v>1</v>
      </c>
      <c r="E98" s="62">
        <v>1E-3</v>
      </c>
    </row>
    <row r="99" spans="2:5" s="31" customFormat="1" ht="14.45" customHeight="1">
      <c r="B99" s="98"/>
      <c r="C99" s="60" t="s">
        <v>130</v>
      </c>
      <c r="D99" s="61">
        <v>1</v>
      </c>
      <c r="E99" s="62">
        <v>1E-3</v>
      </c>
    </row>
    <row r="100" spans="2:5" s="31" customFormat="1" ht="14.45" customHeight="1">
      <c r="B100" s="99"/>
      <c r="C100" s="78" t="s">
        <v>227</v>
      </c>
      <c r="D100" s="76">
        <v>14</v>
      </c>
      <c r="E100" s="77">
        <v>1.6E-2</v>
      </c>
    </row>
    <row r="101" spans="2:5" s="31" customFormat="1" ht="14.45" customHeight="1">
      <c r="B101" s="97" t="s">
        <v>118</v>
      </c>
      <c r="C101" s="60" t="s">
        <v>131</v>
      </c>
      <c r="D101" s="61">
        <v>9</v>
      </c>
      <c r="E101" s="62">
        <v>0.01</v>
      </c>
    </row>
    <row r="102" spans="2:5" s="31" customFormat="1" ht="14.45" customHeight="1">
      <c r="B102" s="98"/>
      <c r="C102" s="60" t="s">
        <v>129</v>
      </c>
      <c r="D102" s="61">
        <v>3</v>
      </c>
      <c r="E102" s="62">
        <v>3.0000000000000001E-3</v>
      </c>
    </row>
    <row r="103" spans="2:5" s="31" customFormat="1" ht="14.45" customHeight="1">
      <c r="B103" s="98"/>
      <c r="C103" s="60" t="s">
        <v>132</v>
      </c>
      <c r="D103" s="61">
        <v>1</v>
      </c>
      <c r="E103" s="62">
        <v>1E-3</v>
      </c>
    </row>
    <row r="104" spans="2:5" s="31" customFormat="1" ht="14.45" customHeight="1">
      <c r="B104" s="98"/>
      <c r="C104" s="60" t="s">
        <v>130</v>
      </c>
      <c r="D104" s="61">
        <v>1</v>
      </c>
      <c r="E104" s="62">
        <v>1E-3</v>
      </c>
    </row>
    <row r="105" spans="2:5" s="31" customFormat="1" ht="14.45" customHeight="1">
      <c r="B105" s="99"/>
      <c r="C105" s="78" t="s">
        <v>227</v>
      </c>
      <c r="D105" s="76">
        <v>14</v>
      </c>
      <c r="E105" s="77">
        <v>1.6E-2</v>
      </c>
    </row>
    <row r="106" spans="2:5" s="31" customFormat="1" ht="14.45" customHeight="1">
      <c r="B106" s="97" t="s">
        <v>101</v>
      </c>
      <c r="C106" s="60" t="s">
        <v>131</v>
      </c>
      <c r="D106" s="61">
        <v>8</v>
      </c>
      <c r="E106" s="62">
        <v>8.9999999999999993E-3</v>
      </c>
    </row>
    <row r="107" spans="2:5" s="31" customFormat="1" ht="14.45" customHeight="1">
      <c r="B107" s="98"/>
      <c r="C107" s="60" t="s">
        <v>129</v>
      </c>
      <c r="D107" s="61">
        <v>4</v>
      </c>
      <c r="E107" s="62">
        <v>5.0000000000000001E-3</v>
      </c>
    </row>
    <row r="108" spans="2:5" s="31" customFormat="1" ht="14.45" customHeight="1">
      <c r="B108" s="98"/>
      <c r="C108" s="60" t="s">
        <v>191</v>
      </c>
      <c r="D108" s="61">
        <v>1</v>
      </c>
      <c r="E108" s="62">
        <v>1E-3</v>
      </c>
    </row>
    <row r="109" spans="2:5" s="31" customFormat="1" ht="14.45" customHeight="1">
      <c r="B109" s="99"/>
      <c r="C109" s="78" t="s">
        <v>227</v>
      </c>
      <c r="D109" s="76">
        <v>13</v>
      </c>
      <c r="E109" s="77">
        <v>1.4999999999999999E-2</v>
      </c>
    </row>
    <row r="110" spans="2:5" s="31" customFormat="1" ht="14.45" customHeight="1">
      <c r="B110" s="97" t="s">
        <v>112</v>
      </c>
      <c r="C110" s="60" t="s">
        <v>131</v>
      </c>
      <c r="D110" s="61">
        <v>7</v>
      </c>
      <c r="E110" s="62">
        <v>8.0000000000000002E-3</v>
      </c>
    </row>
    <row r="111" spans="2:5" s="31" customFormat="1" ht="14.45" customHeight="1">
      <c r="B111" s="98"/>
      <c r="C111" s="60" t="s">
        <v>129</v>
      </c>
      <c r="D111" s="61">
        <v>6</v>
      </c>
      <c r="E111" s="62">
        <v>7.0000000000000001E-3</v>
      </c>
    </row>
    <row r="112" spans="2:5" s="31" customFormat="1" ht="14.45" customHeight="1">
      <c r="B112" s="99"/>
      <c r="C112" s="78" t="s">
        <v>227</v>
      </c>
      <c r="D112" s="76">
        <v>13</v>
      </c>
      <c r="E112" s="77">
        <v>1.4999999999999999E-2</v>
      </c>
    </row>
    <row r="113" spans="2:5" s="31" customFormat="1" ht="14.45" customHeight="1">
      <c r="B113" s="97" t="s">
        <v>53</v>
      </c>
      <c r="C113" s="60" t="s">
        <v>131</v>
      </c>
      <c r="D113" s="61">
        <v>10</v>
      </c>
      <c r="E113" s="62">
        <v>1.2E-2</v>
      </c>
    </row>
    <row r="114" spans="2:5" s="31" customFormat="1" ht="14.45" customHeight="1">
      <c r="B114" s="98"/>
      <c r="C114" s="60" t="s">
        <v>133</v>
      </c>
      <c r="D114" s="61">
        <v>1</v>
      </c>
      <c r="E114" s="62">
        <v>1E-3</v>
      </c>
    </row>
    <row r="115" spans="2:5" s="31" customFormat="1" ht="14.45" customHeight="1">
      <c r="B115" s="98"/>
      <c r="C115" s="60" t="s">
        <v>129</v>
      </c>
      <c r="D115" s="61">
        <v>1</v>
      </c>
      <c r="E115" s="62">
        <v>1E-3</v>
      </c>
    </row>
    <row r="116" spans="2:5" s="31" customFormat="1" ht="14.45" customHeight="1">
      <c r="B116" s="98"/>
      <c r="C116" s="60" t="s">
        <v>135</v>
      </c>
      <c r="D116" s="61">
        <v>1</v>
      </c>
      <c r="E116" s="62">
        <v>1E-3</v>
      </c>
    </row>
    <row r="117" spans="2:5" s="31" customFormat="1" ht="14.45" customHeight="1">
      <c r="B117" s="99"/>
      <c r="C117" s="78" t="s">
        <v>227</v>
      </c>
      <c r="D117" s="76">
        <v>13</v>
      </c>
      <c r="E117" s="77">
        <v>1.4999999999999999E-2</v>
      </c>
    </row>
    <row r="118" spans="2:5" s="31" customFormat="1" ht="14.45" customHeight="1">
      <c r="B118" s="97" t="s">
        <v>117</v>
      </c>
      <c r="C118" s="60" t="s">
        <v>131</v>
      </c>
      <c r="D118" s="61">
        <v>9</v>
      </c>
      <c r="E118" s="62">
        <v>0.01</v>
      </c>
    </row>
    <row r="119" spans="2:5" s="31" customFormat="1" ht="14.45" customHeight="1">
      <c r="B119" s="98"/>
      <c r="C119" s="60" t="s">
        <v>129</v>
      </c>
      <c r="D119" s="61">
        <v>2</v>
      </c>
      <c r="E119" s="62">
        <v>2E-3</v>
      </c>
    </row>
    <row r="120" spans="2:5" s="31" customFormat="1" ht="14.45" customHeight="1">
      <c r="B120" s="98"/>
      <c r="C120" s="60" t="s">
        <v>135</v>
      </c>
      <c r="D120" s="61">
        <v>1</v>
      </c>
      <c r="E120" s="62">
        <v>1E-3</v>
      </c>
    </row>
    <row r="121" spans="2:5" s="31" customFormat="1" ht="14.45" customHeight="1">
      <c r="B121" s="99"/>
      <c r="C121" s="78" t="s">
        <v>227</v>
      </c>
      <c r="D121" s="76">
        <v>12</v>
      </c>
      <c r="E121" s="77">
        <v>1.4E-2</v>
      </c>
    </row>
    <row r="122" spans="2:5" s="31" customFormat="1" ht="14.45" customHeight="1">
      <c r="B122" s="97" t="s">
        <v>93</v>
      </c>
      <c r="C122" s="60" t="s">
        <v>131</v>
      </c>
      <c r="D122" s="61">
        <v>6</v>
      </c>
      <c r="E122" s="62">
        <v>7.0000000000000001E-3</v>
      </c>
    </row>
    <row r="123" spans="2:5" s="31" customFormat="1" ht="14.45" customHeight="1">
      <c r="B123" s="98"/>
      <c r="C123" s="60" t="s">
        <v>129</v>
      </c>
      <c r="D123" s="61">
        <v>4</v>
      </c>
      <c r="E123" s="62">
        <v>5.0000000000000001E-3</v>
      </c>
    </row>
    <row r="124" spans="2:5" s="31" customFormat="1" ht="14.45" customHeight="1">
      <c r="B124" s="98"/>
      <c r="C124" s="60" t="s">
        <v>191</v>
      </c>
      <c r="D124" s="61">
        <v>1</v>
      </c>
      <c r="E124" s="62">
        <v>1E-3</v>
      </c>
    </row>
    <row r="125" spans="2:5" s="31" customFormat="1" ht="14.45" customHeight="1">
      <c r="B125" s="99"/>
      <c r="C125" s="78" t="s">
        <v>227</v>
      </c>
      <c r="D125" s="76">
        <v>11</v>
      </c>
      <c r="E125" s="77">
        <v>1.2999999999999999E-2</v>
      </c>
    </row>
    <row r="126" spans="2:5" s="31" customFormat="1" ht="14.45" customHeight="1">
      <c r="B126" s="97" t="s">
        <v>116</v>
      </c>
      <c r="C126" s="60" t="s">
        <v>131</v>
      </c>
      <c r="D126" s="61">
        <v>7</v>
      </c>
      <c r="E126" s="62">
        <v>8.0000000000000002E-3</v>
      </c>
    </row>
    <row r="127" spans="2:5" s="31" customFormat="1" ht="14.45" customHeight="1">
      <c r="B127" s="98"/>
      <c r="C127" s="60" t="s">
        <v>130</v>
      </c>
      <c r="D127" s="61">
        <v>2</v>
      </c>
      <c r="E127" s="62">
        <v>2E-3</v>
      </c>
    </row>
    <row r="128" spans="2:5" s="31" customFormat="1" ht="14.45" customHeight="1">
      <c r="B128" s="98"/>
      <c r="C128" s="60" t="s">
        <v>129</v>
      </c>
      <c r="D128" s="61">
        <v>1</v>
      </c>
      <c r="E128" s="62">
        <v>1E-3</v>
      </c>
    </row>
    <row r="129" spans="2:5" s="31" customFormat="1" ht="14.45" customHeight="1">
      <c r="B129" s="98"/>
      <c r="C129" s="60" t="s">
        <v>191</v>
      </c>
      <c r="D129" s="61">
        <v>1</v>
      </c>
      <c r="E129" s="62">
        <v>1E-3</v>
      </c>
    </row>
    <row r="130" spans="2:5" s="31" customFormat="1" ht="14.45" customHeight="1">
      <c r="B130" s="99"/>
      <c r="C130" s="78" t="s">
        <v>227</v>
      </c>
      <c r="D130" s="76">
        <v>11</v>
      </c>
      <c r="E130" s="77">
        <v>1.2999999999999999E-2</v>
      </c>
    </row>
    <row r="131" spans="2:5" s="31" customFormat="1" ht="14.45" customHeight="1">
      <c r="B131" s="97" t="s">
        <v>100</v>
      </c>
      <c r="C131" s="60" t="s">
        <v>129</v>
      </c>
      <c r="D131" s="61">
        <v>3</v>
      </c>
      <c r="E131" s="62">
        <v>3.0000000000000001E-3</v>
      </c>
    </row>
    <row r="132" spans="2:5" s="31" customFormat="1" ht="14.45" customHeight="1">
      <c r="B132" s="98"/>
      <c r="C132" s="60" t="s">
        <v>135</v>
      </c>
      <c r="D132" s="61">
        <v>3</v>
      </c>
      <c r="E132" s="62">
        <v>3.0000000000000001E-3</v>
      </c>
    </row>
    <row r="133" spans="2:5" s="31" customFormat="1" ht="14.45" customHeight="1">
      <c r="B133" s="98"/>
      <c r="C133" s="60" t="s">
        <v>131</v>
      </c>
      <c r="D133" s="61">
        <v>3</v>
      </c>
      <c r="E133" s="62">
        <v>3.0000000000000001E-3</v>
      </c>
    </row>
    <row r="134" spans="2:5" s="31" customFormat="1" ht="14.45" customHeight="1">
      <c r="B134" s="98"/>
      <c r="C134" s="60" t="s">
        <v>133</v>
      </c>
      <c r="D134" s="61">
        <v>1</v>
      </c>
      <c r="E134" s="62">
        <v>1E-3</v>
      </c>
    </row>
    <row r="135" spans="2:5" s="31" customFormat="1" ht="14.45" customHeight="1">
      <c r="B135" s="99"/>
      <c r="C135" s="78" t="s">
        <v>227</v>
      </c>
      <c r="D135" s="76">
        <v>10</v>
      </c>
      <c r="E135" s="77">
        <v>1.2E-2</v>
      </c>
    </row>
    <row r="136" spans="2:5" s="31" customFormat="1" ht="14.45" customHeight="1">
      <c r="B136" s="97" t="s">
        <v>108</v>
      </c>
      <c r="C136" s="60" t="s">
        <v>131</v>
      </c>
      <c r="D136" s="61">
        <v>7</v>
      </c>
      <c r="E136" s="62">
        <v>8.0000000000000002E-3</v>
      </c>
    </row>
    <row r="137" spans="2:5" s="31" customFormat="1" ht="14.45" customHeight="1">
      <c r="B137" s="98"/>
      <c r="C137" s="60" t="s">
        <v>191</v>
      </c>
      <c r="D137" s="61">
        <v>1</v>
      </c>
      <c r="E137" s="62">
        <v>1E-3</v>
      </c>
    </row>
    <row r="138" spans="2:5" s="31" customFormat="1" ht="14.45" customHeight="1">
      <c r="B138" s="98"/>
      <c r="C138" s="60" t="s">
        <v>135</v>
      </c>
      <c r="D138" s="61">
        <v>1</v>
      </c>
      <c r="E138" s="62">
        <v>1E-3</v>
      </c>
    </row>
    <row r="139" spans="2:5" s="31" customFormat="1" ht="14.45" customHeight="1">
      <c r="B139" s="99"/>
      <c r="C139" s="78" t="s">
        <v>227</v>
      </c>
      <c r="D139" s="76">
        <v>9</v>
      </c>
      <c r="E139" s="77">
        <v>0.01</v>
      </c>
    </row>
    <row r="140" spans="2:5" s="31" customFormat="1" ht="14.45" customHeight="1">
      <c r="B140" s="97" t="s">
        <v>123</v>
      </c>
      <c r="C140" s="60" t="s">
        <v>129</v>
      </c>
      <c r="D140" s="61">
        <v>8</v>
      </c>
      <c r="E140" s="62">
        <v>8.9999999999999993E-3</v>
      </c>
    </row>
    <row r="141" spans="2:5" s="31" customFormat="1" ht="14.45" customHeight="1">
      <c r="B141" s="98"/>
      <c r="C141" s="60" t="s">
        <v>133</v>
      </c>
      <c r="D141" s="61">
        <v>1</v>
      </c>
      <c r="E141" s="62">
        <v>1E-3</v>
      </c>
    </row>
    <row r="142" spans="2:5" s="31" customFormat="1" ht="14.45" customHeight="1">
      <c r="B142" s="99"/>
      <c r="C142" s="78" t="s">
        <v>227</v>
      </c>
      <c r="D142" s="76">
        <v>9</v>
      </c>
      <c r="E142" s="77">
        <v>0.01</v>
      </c>
    </row>
    <row r="143" spans="2:5" s="31" customFormat="1" ht="14.45" customHeight="1">
      <c r="B143" s="97" t="s">
        <v>102</v>
      </c>
      <c r="C143" s="60" t="s">
        <v>129</v>
      </c>
      <c r="D143" s="61">
        <v>3</v>
      </c>
      <c r="E143" s="62">
        <v>3.0000000000000001E-3</v>
      </c>
    </row>
    <row r="144" spans="2:5" s="31" customFormat="1" ht="14.45" customHeight="1">
      <c r="B144" s="98"/>
      <c r="C144" s="60" t="s">
        <v>131</v>
      </c>
      <c r="D144" s="61">
        <v>2</v>
      </c>
      <c r="E144" s="62">
        <v>2E-3</v>
      </c>
    </row>
    <row r="145" spans="2:5" s="31" customFormat="1" ht="14.45" customHeight="1">
      <c r="B145" s="98"/>
      <c r="C145" s="60" t="s">
        <v>130</v>
      </c>
      <c r="D145" s="61">
        <v>1</v>
      </c>
      <c r="E145" s="62">
        <v>1E-3</v>
      </c>
    </row>
    <row r="146" spans="2:5" s="31" customFormat="1" ht="14.45" customHeight="1">
      <c r="B146" s="98"/>
      <c r="C146" s="60" t="s">
        <v>135</v>
      </c>
      <c r="D146" s="61">
        <v>1</v>
      </c>
      <c r="E146" s="62">
        <v>1E-3</v>
      </c>
    </row>
    <row r="147" spans="2:5" s="31" customFormat="1" ht="14.45" customHeight="1">
      <c r="B147" s="98"/>
      <c r="C147" s="60" t="s">
        <v>137</v>
      </c>
      <c r="D147" s="61">
        <v>1</v>
      </c>
      <c r="E147" s="62">
        <v>1E-3</v>
      </c>
    </row>
    <row r="148" spans="2:5" s="31" customFormat="1" ht="14.45" customHeight="1">
      <c r="B148" s="99"/>
      <c r="C148" s="78" t="s">
        <v>227</v>
      </c>
      <c r="D148" s="76">
        <v>8</v>
      </c>
      <c r="E148" s="77">
        <v>8.9999999999999993E-3</v>
      </c>
    </row>
    <row r="149" spans="2:5" s="31" customFormat="1" ht="14.45" customHeight="1">
      <c r="B149" s="97" t="s">
        <v>110</v>
      </c>
      <c r="C149" s="60" t="s">
        <v>131</v>
      </c>
      <c r="D149" s="61">
        <v>6</v>
      </c>
      <c r="E149" s="62">
        <v>7.0000000000000001E-3</v>
      </c>
    </row>
    <row r="150" spans="2:5" s="31" customFormat="1" ht="14.45" customHeight="1">
      <c r="B150" s="98"/>
      <c r="C150" s="60" t="s">
        <v>129</v>
      </c>
      <c r="D150" s="61">
        <v>2</v>
      </c>
      <c r="E150" s="62">
        <v>2E-3</v>
      </c>
    </row>
    <row r="151" spans="2:5" s="31" customFormat="1" ht="14.45" customHeight="1">
      <c r="B151" s="99"/>
      <c r="C151" s="78" t="s">
        <v>227</v>
      </c>
      <c r="D151" s="76">
        <v>8</v>
      </c>
      <c r="E151" s="77">
        <v>8.9999999999999993E-3</v>
      </c>
    </row>
    <row r="152" spans="2:5" s="31" customFormat="1" ht="14.45" customHeight="1">
      <c r="B152" s="97" t="s">
        <v>114</v>
      </c>
      <c r="C152" s="60" t="s">
        <v>129</v>
      </c>
      <c r="D152" s="61">
        <v>3</v>
      </c>
      <c r="E152" s="62">
        <v>3.0000000000000001E-3</v>
      </c>
    </row>
    <row r="153" spans="2:5" s="31" customFormat="1" ht="14.45" customHeight="1">
      <c r="B153" s="98"/>
      <c r="C153" s="60" t="s">
        <v>130</v>
      </c>
      <c r="D153" s="61">
        <v>2</v>
      </c>
      <c r="E153" s="62">
        <v>2E-3</v>
      </c>
    </row>
    <row r="154" spans="2:5" s="31" customFormat="1" ht="14.45" customHeight="1">
      <c r="B154" s="98"/>
      <c r="C154" s="60" t="s">
        <v>131</v>
      </c>
      <c r="D154" s="61">
        <v>2</v>
      </c>
      <c r="E154" s="62">
        <v>2E-3</v>
      </c>
    </row>
    <row r="155" spans="2:5" s="31" customFormat="1" ht="14.45" customHeight="1">
      <c r="B155" s="98"/>
      <c r="C155" s="60" t="s">
        <v>132</v>
      </c>
      <c r="D155" s="61">
        <v>1</v>
      </c>
      <c r="E155" s="62">
        <v>1E-3</v>
      </c>
    </row>
    <row r="156" spans="2:5" s="31" customFormat="1" ht="14.45" customHeight="1">
      <c r="B156" s="99"/>
      <c r="C156" s="78" t="s">
        <v>227</v>
      </c>
      <c r="D156" s="76">
        <v>8</v>
      </c>
      <c r="E156" s="77">
        <v>8.9999999999999993E-3</v>
      </c>
    </row>
    <row r="157" spans="2:5" s="31" customFormat="1" ht="14.45" customHeight="1">
      <c r="B157" s="97" t="s">
        <v>126</v>
      </c>
      <c r="C157" s="60" t="s">
        <v>129</v>
      </c>
      <c r="D157" s="61">
        <v>4</v>
      </c>
      <c r="E157" s="62">
        <v>5.0000000000000001E-3</v>
      </c>
    </row>
    <row r="158" spans="2:5" s="31" customFormat="1" ht="14.45" customHeight="1">
      <c r="B158" s="98"/>
      <c r="C158" s="60" t="s">
        <v>131</v>
      </c>
      <c r="D158" s="61">
        <v>3</v>
      </c>
      <c r="E158" s="62">
        <v>3.0000000000000001E-3</v>
      </c>
    </row>
    <row r="159" spans="2:5" s="31" customFormat="1" ht="14.45" customHeight="1">
      <c r="B159" s="98"/>
      <c r="C159" s="60" t="s">
        <v>130</v>
      </c>
      <c r="D159" s="61">
        <v>1</v>
      </c>
      <c r="E159" s="62">
        <v>1E-3</v>
      </c>
    </row>
    <row r="160" spans="2:5" s="31" customFormat="1" ht="14.45" customHeight="1">
      <c r="B160" s="99"/>
      <c r="C160" s="78" t="s">
        <v>227</v>
      </c>
      <c r="D160" s="76">
        <v>8</v>
      </c>
      <c r="E160" s="77">
        <v>8.9999999999999993E-3</v>
      </c>
    </row>
    <row r="161" spans="2:5" s="31" customFormat="1" ht="14.45" customHeight="1">
      <c r="B161" s="97" t="s">
        <v>90</v>
      </c>
      <c r="C161" s="60" t="s">
        <v>129</v>
      </c>
      <c r="D161" s="61">
        <v>3</v>
      </c>
      <c r="E161" s="62">
        <v>3.0000000000000001E-3</v>
      </c>
    </row>
    <row r="162" spans="2:5" s="31" customFormat="1" ht="14.45" customHeight="1">
      <c r="B162" s="98"/>
      <c r="C162" s="60" t="s">
        <v>131</v>
      </c>
      <c r="D162" s="61">
        <v>3</v>
      </c>
      <c r="E162" s="62">
        <v>3.0000000000000001E-3</v>
      </c>
    </row>
    <row r="163" spans="2:5" s="31" customFormat="1" ht="14.45" customHeight="1">
      <c r="B163" s="99"/>
      <c r="C163" s="78" t="s">
        <v>227</v>
      </c>
      <c r="D163" s="76">
        <v>6</v>
      </c>
      <c r="E163" s="77">
        <v>7.0000000000000001E-3</v>
      </c>
    </row>
    <row r="164" spans="2:5" s="31" customFormat="1" ht="14.45" customHeight="1">
      <c r="B164" s="97" t="s">
        <v>119</v>
      </c>
      <c r="C164" s="60" t="s">
        <v>129</v>
      </c>
      <c r="D164" s="61">
        <v>2</v>
      </c>
      <c r="E164" s="62">
        <v>2E-3</v>
      </c>
    </row>
    <row r="165" spans="2:5" s="31" customFormat="1" ht="14.45" customHeight="1">
      <c r="B165" s="98"/>
      <c r="C165" s="60" t="s">
        <v>191</v>
      </c>
      <c r="D165" s="61">
        <v>1</v>
      </c>
      <c r="E165" s="62">
        <v>1E-3</v>
      </c>
    </row>
    <row r="166" spans="2:5" s="31" customFormat="1" ht="14.45" customHeight="1">
      <c r="B166" s="98"/>
      <c r="C166" s="60" t="s">
        <v>130</v>
      </c>
      <c r="D166" s="61">
        <v>1</v>
      </c>
      <c r="E166" s="62">
        <v>1E-3</v>
      </c>
    </row>
    <row r="167" spans="2:5" s="31" customFormat="1" ht="14.45" customHeight="1">
      <c r="B167" s="98"/>
      <c r="C167" s="60" t="s">
        <v>131</v>
      </c>
      <c r="D167" s="61">
        <v>1</v>
      </c>
      <c r="E167" s="62">
        <v>1E-3</v>
      </c>
    </row>
    <row r="168" spans="2:5" s="31" customFormat="1" ht="14.45" customHeight="1">
      <c r="B168" s="99"/>
      <c r="C168" s="78" t="s">
        <v>227</v>
      </c>
      <c r="D168" s="76">
        <v>5</v>
      </c>
      <c r="E168" s="77">
        <v>6.0000000000000001E-3</v>
      </c>
    </row>
    <row r="169" spans="2:5" s="31" customFormat="1" ht="14.45" customHeight="1">
      <c r="B169" s="97" t="s">
        <v>190</v>
      </c>
      <c r="C169" s="60" t="s">
        <v>131</v>
      </c>
      <c r="D169" s="61">
        <v>3</v>
      </c>
      <c r="E169" s="62">
        <v>3.0000000000000001E-3</v>
      </c>
    </row>
    <row r="170" spans="2:5" s="31" customFormat="1" ht="14.45" customHeight="1">
      <c r="B170" s="98"/>
      <c r="C170" s="60" t="s">
        <v>129</v>
      </c>
      <c r="D170" s="61">
        <v>1</v>
      </c>
      <c r="E170" s="62">
        <v>1E-3</v>
      </c>
    </row>
    <row r="171" spans="2:5" s="31" customFormat="1" ht="14.45" customHeight="1">
      <c r="B171" s="99"/>
      <c r="C171" s="78" t="s">
        <v>227</v>
      </c>
      <c r="D171" s="76">
        <v>4</v>
      </c>
      <c r="E171" s="77">
        <v>5.0000000000000001E-3</v>
      </c>
    </row>
    <row r="172" spans="2:5" s="31" customFormat="1" ht="14.45" customHeight="1">
      <c r="B172" s="97" t="s">
        <v>103</v>
      </c>
      <c r="C172" s="60" t="s">
        <v>131</v>
      </c>
      <c r="D172" s="61">
        <v>3</v>
      </c>
      <c r="E172" s="62">
        <v>3.0000000000000001E-3</v>
      </c>
    </row>
    <row r="173" spans="2:5" s="31" customFormat="1" ht="14.45" customHeight="1">
      <c r="B173" s="98"/>
      <c r="C173" s="60" t="s">
        <v>132</v>
      </c>
      <c r="D173" s="61">
        <v>1</v>
      </c>
      <c r="E173" s="62">
        <v>1E-3</v>
      </c>
    </row>
    <row r="174" spans="2:5" s="31" customFormat="1" ht="14.45" customHeight="1">
      <c r="B174" s="99"/>
      <c r="C174" s="78" t="s">
        <v>227</v>
      </c>
      <c r="D174" s="76">
        <v>4</v>
      </c>
      <c r="E174" s="77">
        <v>5.0000000000000001E-3</v>
      </c>
    </row>
    <row r="175" spans="2:5" s="31" customFormat="1" ht="14.45" customHeight="1">
      <c r="B175" s="97" t="s">
        <v>113</v>
      </c>
      <c r="C175" s="60" t="s">
        <v>131</v>
      </c>
      <c r="D175" s="61">
        <v>2</v>
      </c>
      <c r="E175" s="62">
        <v>2E-3</v>
      </c>
    </row>
    <row r="176" spans="2:5" s="31" customFormat="1" ht="14.45" customHeight="1">
      <c r="B176" s="99"/>
      <c r="C176" s="78" t="s">
        <v>227</v>
      </c>
      <c r="D176" s="76">
        <v>2</v>
      </c>
      <c r="E176" s="77">
        <v>2E-3</v>
      </c>
    </row>
    <row r="177" spans="2:5" s="31" customFormat="1" ht="14.45" customHeight="1">
      <c r="B177" s="97" t="s">
        <v>94</v>
      </c>
      <c r="C177" s="60" t="s">
        <v>131</v>
      </c>
      <c r="D177" s="61">
        <v>1</v>
      </c>
      <c r="E177" s="62">
        <v>1E-3</v>
      </c>
    </row>
    <row r="178" spans="2:5" s="31" customFormat="1" ht="14.45" customHeight="1">
      <c r="B178" s="99"/>
      <c r="C178" s="78" t="s">
        <v>227</v>
      </c>
      <c r="D178" s="76">
        <v>1</v>
      </c>
      <c r="E178" s="77">
        <v>1E-3</v>
      </c>
    </row>
    <row r="179" spans="2:5" s="31" customFormat="1" ht="14.45" customHeight="1">
      <c r="B179" s="97" t="s">
        <v>95</v>
      </c>
      <c r="C179" s="60" t="s">
        <v>129</v>
      </c>
      <c r="D179" s="61">
        <v>1</v>
      </c>
      <c r="E179" s="62">
        <v>1E-3</v>
      </c>
    </row>
    <row r="180" spans="2:5" s="31" customFormat="1" ht="14.45" customHeight="1">
      <c r="B180" s="99"/>
      <c r="C180" s="78" t="s">
        <v>227</v>
      </c>
      <c r="D180" s="76">
        <v>1</v>
      </c>
      <c r="E180" s="77">
        <v>1E-3</v>
      </c>
    </row>
    <row r="181" spans="2:5" s="31" customFormat="1" ht="14.45" customHeight="1">
      <c r="B181" s="97" t="s">
        <v>104</v>
      </c>
      <c r="C181" s="60" t="s">
        <v>131</v>
      </c>
      <c r="D181" s="61">
        <v>1</v>
      </c>
      <c r="E181" s="62">
        <v>1E-3</v>
      </c>
    </row>
    <row r="182" spans="2:5" ht="15" customHeight="1">
      <c r="B182" s="99"/>
      <c r="C182" s="78" t="s">
        <v>227</v>
      </c>
      <c r="D182" s="76">
        <v>1</v>
      </c>
      <c r="E182" s="77">
        <v>1E-3</v>
      </c>
    </row>
    <row r="183" spans="2:5" ht="15" customHeight="1">
      <c r="B183" s="97" t="s">
        <v>111</v>
      </c>
      <c r="C183" s="60" t="s">
        <v>129</v>
      </c>
      <c r="D183" s="61">
        <v>1</v>
      </c>
      <c r="E183" s="62">
        <v>1E-3</v>
      </c>
    </row>
    <row r="184" spans="2:5" ht="15" customHeight="1">
      <c r="B184" s="99"/>
      <c r="C184" s="78" t="s">
        <v>227</v>
      </c>
      <c r="D184" s="76">
        <v>1</v>
      </c>
      <c r="E184" s="77">
        <v>1E-3</v>
      </c>
    </row>
    <row r="185" spans="2:5" ht="15" customHeight="1">
      <c r="B185" s="97" t="s">
        <v>125</v>
      </c>
      <c r="C185" s="60" t="s">
        <v>191</v>
      </c>
      <c r="D185" s="61">
        <v>1</v>
      </c>
      <c r="E185" s="62">
        <v>1E-3</v>
      </c>
    </row>
    <row r="186" spans="2:5" ht="15" customHeight="1">
      <c r="B186" s="99"/>
      <c r="C186" s="78" t="s">
        <v>227</v>
      </c>
      <c r="D186" s="76">
        <v>1</v>
      </c>
      <c r="E186" s="77">
        <v>1E-3</v>
      </c>
    </row>
    <row r="187" spans="2:5" ht="15" customHeight="1">
      <c r="B187" s="101" t="s">
        <v>227</v>
      </c>
      <c r="C187" s="101"/>
      <c r="D187" s="64">
        <v>860</v>
      </c>
      <c r="E187" s="65">
        <v>1</v>
      </c>
    </row>
    <row r="188" spans="2:5" ht="15" customHeight="1">
      <c r="B188" s="49"/>
      <c r="C188" s="49"/>
      <c r="D188" s="49"/>
      <c r="E188" s="49"/>
    </row>
    <row r="189" spans="2:5" ht="15" customHeight="1">
      <c r="B189" s="38" t="s">
        <v>189</v>
      </c>
      <c r="C189" s="49"/>
      <c r="D189" s="49"/>
      <c r="E189" s="49"/>
    </row>
    <row r="190" spans="2:5" ht="15" customHeight="1">
      <c r="B190" s="40" t="s">
        <v>18</v>
      </c>
      <c r="C190" s="49"/>
      <c r="D190" s="49"/>
      <c r="E190" s="49"/>
    </row>
    <row r="191" spans="2:5" ht="15" customHeight="1">
      <c r="B191" s="41" t="s">
        <v>46</v>
      </c>
      <c r="C191" s="49"/>
      <c r="D191" s="49"/>
      <c r="E191" s="49"/>
    </row>
    <row r="192" spans="2:5" ht="15" customHeight="1">
      <c r="B192" s="38" t="s">
        <v>17</v>
      </c>
      <c r="C192" s="49"/>
      <c r="D192" s="49"/>
      <c r="E192" s="49"/>
    </row>
    <row r="193" spans="2:5" ht="15" customHeight="1">
      <c r="B193" s="38" t="s">
        <v>228</v>
      </c>
      <c r="C193" s="49"/>
      <c r="D193" s="49"/>
      <c r="E193" s="49"/>
    </row>
  </sheetData>
  <mergeCells count="42">
    <mergeCell ref="B7:E8"/>
    <mergeCell ref="B187:C187"/>
    <mergeCell ref="B143:B148"/>
    <mergeCell ref="B149:B151"/>
    <mergeCell ref="B152:B156"/>
    <mergeCell ref="B76:B79"/>
    <mergeCell ref="B80:B84"/>
    <mergeCell ref="B140:B142"/>
    <mergeCell ref="B157:B160"/>
    <mergeCell ref="B161:B163"/>
    <mergeCell ref="B164:B168"/>
    <mergeCell ref="B169:B171"/>
    <mergeCell ref="B172:B174"/>
    <mergeCell ref="B175:B176"/>
    <mergeCell ref="B85:B88"/>
    <mergeCell ref="B89:B92"/>
    <mergeCell ref="B93:B96"/>
    <mergeCell ref="B110:B112"/>
    <mergeCell ref="B113:B117"/>
    <mergeCell ref="B48:B54"/>
    <mergeCell ref="B55:B60"/>
    <mergeCell ref="B61:B65"/>
    <mergeCell ref="B66:B71"/>
    <mergeCell ref="B72:B75"/>
    <mergeCell ref="B10:B18"/>
    <mergeCell ref="B19:B28"/>
    <mergeCell ref="B29:B34"/>
    <mergeCell ref="B35:B41"/>
    <mergeCell ref="B42:B47"/>
    <mergeCell ref="B97:B100"/>
    <mergeCell ref="B101:B105"/>
    <mergeCell ref="B181:B182"/>
    <mergeCell ref="B183:B184"/>
    <mergeCell ref="B185:B186"/>
    <mergeCell ref="B118:B121"/>
    <mergeCell ref="B122:B125"/>
    <mergeCell ref="B126:B130"/>
    <mergeCell ref="B131:B135"/>
    <mergeCell ref="B136:B139"/>
    <mergeCell ref="B177:B178"/>
    <mergeCell ref="B179:B180"/>
    <mergeCell ref="B106:B1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22"/>
  <sheetViews>
    <sheetView showGridLines="0" view="pageBreakPreview" topLeftCell="A193" zoomScale="115" zoomScaleNormal="100" zoomScaleSheetLayoutView="115" workbookViewId="0">
      <selection activeCell="E216" sqref="E216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7.140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0"/>
      <c r="C7" s="100"/>
      <c r="D7" s="100"/>
      <c r="E7" s="100"/>
    </row>
    <row r="8" spans="1:5" s="22" customFormat="1" ht="33" customHeight="1">
      <c r="A8" s="23"/>
      <c r="B8" s="100"/>
      <c r="C8" s="100"/>
      <c r="D8" s="100"/>
      <c r="E8" s="100"/>
    </row>
    <row r="9" spans="1:5" s="15" customFormat="1" ht="40.5" customHeight="1">
      <c r="B9" s="50" t="s">
        <v>22</v>
      </c>
      <c r="C9" s="51" t="s">
        <v>24</v>
      </c>
      <c r="D9" s="52" t="s">
        <v>20</v>
      </c>
      <c r="E9" s="50" t="s">
        <v>19</v>
      </c>
    </row>
    <row r="10" spans="1:5" ht="15" customHeight="1">
      <c r="B10" s="97" t="s">
        <v>79</v>
      </c>
      <c r="C10" s="60" t="s">
        <v>129</v>
      </c>
      <c r="D10" s="61">
        <v>2</v>
      </c>
      <c r="E10" s="62">
        <v>2E-3</v>
      </c>
    </row>
    <row r="11" spans="1:5" ht="15" customHeight="1">
      <c r="B11" s="98"/>
      <c r="C11" s="60" t="s">
        <v>131</v>
      </c>
      <c r="D11" s="61">
        <v>4</v>
      </c>
      <c r="E11" s="62">
        <v>5.0000000000000001E-3</v>
      </c>
    </row>
    <row r="12" spans="1:5" ht="15" customHeight="1">
      <c r="B12" s="99"/>
      <c r="C12" s="78" t="s">
        <v>227</v>
      </c>
      <c r="D12" s="76">
        <v>6</v>
      </c>
      <c r="E12" s="77">
        <v>7.0000000000000001E-3</v>
      </c>
    </row>
    <row r="13" spans="1:5" ht="15" customHeight="1">
      <c r="B13" s="97" t="s">
        <v>47</v>
      </c>
      <c r="C13" s="60" t="s">
        <v>133</v>
      </c>
      <c r="D13" s="61">
        <v>1</v>
      </c>
      <c r="E13" s="62">
        <v>1E-3</v>
      </c>
    </row>
    <row r="14" spans="1:5" ht="15" customHeight="1">
      <c r="B14" s="98"/>
      <c r="C14" s="60" t="s">
        <v>129</v>
      </c>
      <c r="D14" s="61">
        <v>8</v>
      </c>
      <c r="E14" s="62">
        <v>8.9999999999999993E-3</v>
      </c>
    </row>
    <row r="15" spans="1:5" ht="15" customHeight="1">
      <c r="B15" s="98"/>
      <c r="C15" s="60" t="s">
        <v>130</v>
      </c>
      <c r="D15" s="61">
        <v>2</v>
      </c>
      <c r="E15" s="62">
        <v>2E-3</v>
      </c>
    </row>
    <row r="16" spans="1:5" ht="15" customHeight="1">
      <c r="B16" s="98"/>
      <c r="C16" s="60" t="s">
        <v>135</v>
      </c>
      <c r="D16" s="61">
        <v>1</v>
      </c>
      <c r="E16" s="62">
        <v>1E-3</v>
      </c>
    </row>
    <row r="17" spans="2:5" ht="15" customHeight="1">
      <c r="B17" s="98"/>
      <c r="C17" s="60" t="s">
        <v>131</v>
      </c>
      <c r="D17" s="61">
        <v>58</v>
      </c>
      <c r="E17" s="62">
        <v>6.7000000000000004E-2</v>
      </c>
    </row>
    <row r="18" spans="2:5" ht="15" customHeight="1">
      <c r="B18" s="98"/>
      <c r="C18" s="60" t="s">
        <v>193</v>
      </c>
      <c r="D18" s="61">
        <v>1</v>
      </c>
      <c r="E18" s="62">
        <v>1E-3</v>
      </c>
    </row>
    <row r="19" spans="2:5" ht="15" customHeight="1">
      <c r="B19" s="98"/>
      <c r="C19" s="60" t="s">
        <v>137</v>
      </c>
      <c r="D19" s="61">
        <v>1</v>
      </c>
      <c r="E19" s="62">
        <v>1E-3</v>
      </c>
    </row>
    <row r="20" spans="2:5" ht="15" customHeight="1">
      <c r="B20" s="99"/>
      <c r="C20" s="78" t="s">
        <v>227</v>
      </c>
      <c r="D20" s="76">
        <v>72</v>
      </c>
      <c r="E20" s="77">
        <v>8.4000000000000005E-2</v>
      </c>
    </row>
    <row r="21" spans="2:5" ht="15" customHeight="1">
      <c r="B21" s="97" t="s">
        <v>62</v>
      </c>
      <c r="C21" s="60" t="s">
        <v>129</v>
      </c>
      <c r="D21" s="61">
        <v>5</v>
      </c>
      <c r="E21" s="62">
        <v>6.0000000000000001E-3</v>
      </c>
    </row>
    <row r="22" spans="2:5" ht="15" customHeight="1">
      <c r="B22" s="98"/>
      <c r="C22" s="60" t="s">
        <v>191</v>
      </c>
      <c r="D22" s="61">
        <v>1</v>
      </c>
      <c r="E22" s="62">
        <v>1E-3</v>
      </c>
    </row>
    <row r="23" spans="2:5" ht="15" customHeight="1">
      <c r="B23" s="98"/>
      <c r="C23" s="60" t="s">
        <v>131</v>
      </c>
      <c r="D23" s="61">
        <v>9</v>
      </c>
      <c r="E23" s="62">
        <v>0.01</v>
      </c>
    </row>
    <row r="24" spans="2:5" ht="15" customHeight="1">
      <c r="B24" s="98"/>
      <c r="C24" s="60" t="s">
        <v>137</v>
      </c>
      <c r="D24" s="61">
        <v>1</v>
      </c>
      <c r="E24" s="62">
        <v>1E-3</v>
      </c>
    </row>
    <row r="25" spans="2:5" ht="15" customHeight="1">
      <c r="B25" s="99"/>
      <c r="C25" s="78" t="s">
        <v>227</v>
      </c>
      <c r="D25" s="76">
        <v>16</v>
      </c>
      <c r="E25" s="77">
        <v>1.9E-2</v>
      </c>
    </row>
    <row r="26" spans="2:5" ht="15" customHeight="1">
      <c r="B26" s="97" t="s">
        <v>87</v>
      </c>
      <c r="C26" s="60" t="s">
        <v>129</v>
      </c>
      <c r="D26" s="61">
        <v>2</v>
      </c>
      <c r="E26" s="62">
        <v>2E-3</v>
      </c>
    </row>
    <row r="27" spans="2:5" ht="15" customHeight="1">
      <c r="B27" s="98"/>
      <c r="C27" s="60" t="s">
        <v>131</v>
      </c>
      <c r="D27" s="61">
        <v>1</v>
      </c>
      <c r="E27" s="62">
        <v>1E-3</v>
      </c>
    </row>
    <row r="28" spans="2:5" ht="15" customHeight="1">
      <c r="B28" s="99"/>
      <c r="C28" s="78" t="s">
        <v>227</v>
      </c>
      <c r="D28" s="76">
        <v>3</v>
      </c>
      <c r="E28" s="77">
        <v>3.0000000000000001E-3</v>
      </c>
    </row>
    <row r="29" spans="2:5" ht="15" customHeight="1">
      <c r="B29" s="97" t="s">
        <v>86</v>
      </c>
      <c r="C29" s="60" t="s">
        <v>129</v>
      </c>
      <c r="D29" s="61">
        <v>1</v>
      </c>
      <c r="E29" s="62">
        <v>1E-3</v>
      </c>
    </row>
    <row r="30" spans="2:5" ht="15" customHeight="1">
      <c r="B30" s="98"/>
      <c r="C30" s="60" t="s">
        <v>135</v>
      </c>
      <c r="D30" s="61">
        <v>1</v>
      </c>
      <c r="E30" s="62">
        <v>1E-3</v>
      </c>
    </row>
    <row r="31" spans="2:5" ht="15" customHeight="1">
      <c r="B31" s="98"/>
      <c r="C31" s="60" t="s">
        <v>131</v>
      </c>
      <c r="D31" s="61">
        <v>1</v>
      </c>
      <c r="E31" s="62">
        <v>1E-3</v>
      </c>
    </row>
    <row r="32" spans="2:5" ht="15" customHeight="1">
      <c r="B32" s="99"/>
      <c r="C32" s="78" t="s">
        <v>227</v>
      </c>
      <c r="D32" s="76">
        <v>3</v>
      </c>
      <c r="E32" s="77">
        <v>3.0000000000000001E-3</v>
      </c>
    </row>
    <row r="33" spans="2:5" ht="15" customHeight="1">
      <c r="B33" s="97" t="s">
        <v>80</v>
      </c>
      <c r="C33" s="60" t="s">
        <v>131</v>
      </c>
      <c r="D33" s="61">
        <v>3</v>
      </c>
      <c r="E33" s="62">
        <v>3.0000000000000001E-3</v>
      </c>
    </row>
    <row r="34" spans="2:5" ht="15" customHeight="1">
      <c r="B34" s="99"/>
      <c r="C34" s="78" t="s">
        <v>227</v>
      </c>
      <c r="D34" s="76">
        <v>3</v>
      </c>
      <c r="E34" s="77">
        <v>3.0000000000000001E-3</v>
      </c>
    </row>
    <row r="35" spans="2:5" ht="15" customHeight="1">
      <c r="B35" s="97" t="s">
        <v>52</v>
      </c>
      <c r="C35" s="60" t="s">
        <v>129</v>
      </c>
      <c r="D35" s="61">
        <v>19</v>
      </c>
      <c r="E35" s="62">
        <v>2.1999999999999999E-2</v>
      </c>
    </row>
    <row r="36" spans="2:5" ht="15" customHeight="1">
      <c r="B36" s="98"/>
      <c r="C36" s="60" t="s">
        <v>132</v>
      </c>
      <c r="D36" s="61">
        <v>1</v>
      </c>
      <c r="E36" s="62">
        <v>1E-3</v>
      </c>
    </row>
    <row r="37" spans="2:5" ht="15" customHeight="1">
      <c r="B37" s="98"/>
      <c r="C37" s="60" t="s">
        <v>134</v>
      </c>
      <c r="D37" s="61">
        <v>1</v>
      </c>
      <c r="E37" s="62">
        <v>1E-3</v>
      </c>
    </row>
    <row r="38" spans="2:5" ht="15" customHeight="1">
      <c r="B38" s="98"/>
      <c r="C38" s="60" t="s">
        <v>135</v>
      </c>
      <c r="D38" s="61">
        <v>2</v>
      </c>
      <c r="E38" s="62">
        <v>2E-3</v>
      </c>
    </row>
    <row r="39" spans="2:5" ht="15" customHeight="1">
      <c r="B39" s="98"/>
      <c r="C39" s="60" t="s">
        <v>131</v>
      </c>
      <c r="D39" s="61">
        <v>28</v>
      </c>
      <c r="E39" s="62">
        <v>3.3000000000000002E-2</v>
      </c>
    </row>
    <row r="40" spans="2:5" ht="15" customHeight="1">
      <c r="B40" s="99"/>
      <c r="C40" s="78" t="s">
        <v>227</v>
      </c>
      <c r="D40" s="76">
        <v>51</v>
      </c>
      <c r="E40" s="77">
        <v>5.8999999999999997E-2</v>
      </c>
    </row>
    <row r="41" spans="2:5" ht="15" customHeight="1">
      <c r="B41" s="97" t="s">
        <v>50</v>
      </c>
      <c r="C41" s="60" t="s">
        <v>129</v>
      </c>
      <c r="D41" s="61">
        <v>10</v>
      </c>
      <c r="E41" s="62">
        <v>1.2E-2</v>
      </c>
    </row>
    <row r="42" spans="2:5" ht="15" customHeight="1">
      <c r="B42" s="98"/>
      <c r="C42" s="60" t="s">
        <v>132</v>
      </c>
      <c r="D42" s="61">
        <v>1</v>
      </c>
      <c r="E42" s="62">
        <v>1E-3</v>
      </c>
    </row>
    <row r="43" spans="2:5" ht="15" customHeight="1">
      <c r="B43" s="98"/>
      <c r="C43" s="60" t="s">
        <v>191</v>
      </c>
      <c r="D43" s="61">
        <v>1</v>
      </c>
      <c r="E43" s="62">
        <v>1E-3</v>
      </c>
    </row>
    <row r="44" spans="2:5" ht="15" customHeight="1">
      <c r="B44" s="98"/>
      <c r="C44" s="60" t="s">
        <v>136</v>
      </c>
      <c r="D44" s="61">
        <v>2</v>
      </c>
      <c r="E44" s="62">
        <v>2E-3</v>
      </c>
    </row>
    <row r="45" spans="2:5" ht="15" customHeight="1">
      <c r="B45" s="98"/>
      <c r="C45" s="60" t="s">
        <v>131</v>
      </c>
      <c r="D45" s="61">
        <v>21</v>
      </c>
      <c r="E45" s="62">
        <v>2.4E-2</v>
      </c>
    </row>
    <row r="46" spans="2:5" ht="15" customHeight="1">
      <c r="B46" s="99"/>
      <c r="C46" s="78" t="s">
        <v>227</v>
      </c>
      <c r="D46" s="76">
        <v>35</v>
      </c>
      <c r="E46" s="77">
        <v>4.1000000000000002E-2</v>
      </c>
    </row>
    <row r="47" spans="2:5" ht="15" customHeight="1">
      <c r="B47" s="97" t="s">
        <v>73</v>
      </c>
      <c r="C47" s="60" t="s">
        <v>129</v>
      </c>
      <c r="D47" s="61">
        <v>2</v>
      </c>
      <c r="E47" s="62">
        <v>2E-3</v>
      </c>
    </row>
    <row r="48" spans="2:5" ht="15" customHeight="1">
      <c r="B48" s="98"/>
      <c r="C48" s="60" t="s">
        <v>191</v>
      </c>
      <c r="D48" s="61">
        <v>1</v>
      </c>
      <c r="E48" s="62">
        <v>1E-3</v>
      </c>
    </row>
    <row r="49" spans="2:5" ht="15" customHeight="1">
      <c r="B49" s="98"/>
      <c r="C49" s="60" t="s">
        <v>131</v>
      </c>
      <c r="D49" s="61">
        <v>6</v>
      </c>
      <c r="E49" s="62">
        <v>7.0000000000000001E-3</v>
      </c>
    </row>
    <row r="50" spans="2:5" ht="15" customHeight="1">
      <c r="B50" s="99"/>
      <c r="C50" s="78" t="s">
        <v>227</v>
      </c>
      <c r="D50" s="76">
        <v>9</v>
      </c>
      <c r="E50" s="77">
        <v>0.01</v>
      </c>
    </row>
    <row r="51" spans="2:5" ht="15" customHeight="1">
      <c r="B51" s="97" t="s">
        <v>71</v>
      </c>
      <c r="C51" s="60" t="s">
        <v>129</v>
      </c>
      <c r="D51" s="61">
        <v>1</v>
      </c>
      <c r="E51" s="62">
        <v>1E-3</v>
      </c>
    </row>
    <row r="52" spans="2:5" ht="15" customHeight="1">
      <c r="B52" s="98"/>
      <c r="C52" s="60" t="s">
        <v>191</v>
      </c>
      <c r="D52" s="61">
        <v>4</v>
      </c>
      <c r="E52" s="62">
        <v>5.0000000000000001E-3</v>
      </c>
    </row>
    <row r="53" spans="2:5" ht="15" customHeight="1">
      <c r="B53" s="98"/>
      <c r="C53" s="60" t="s">
        <v>130</v>
      </c>
      <c r="D53" s="61">
        <v>2</v>
      </c>
      <c r="E53" s="62">
        <v>2E-3</v>
      </c>
    </row>
    <row r="54" spans="2:5" ht="15" customHeight="1">
      <c r="B54" s="98"/>
      <c r="C54" s="60" t="s">
        <v>131</v>
      </c>
      <c r="D54" s="61">
        <v>21</v>
      </c>
      <c r="E54" s="62">
        <v>2.4E-2</v>
      </c>
    </row>
    <row r="55" spans="2:5" ht="15" customHeight="1">
      <c r="B55" s="98"/>
      <c r="C55" s="60" t="s">
        <v>137</v>
      </c>
      <c r="D55" s="61">
        <v>1</v>
      </c>
      <c r="E55" s="62">
        <v>1E-3</v>
      </c>
    </row>
    <row r="56" spans="2:5" ht="15" customHeight="1">
      <c r="B56" s="99"/>
      <c r="C56" s="78" t="s">
        <v>227</v>
      </c>
      <c r="D56" s="76">
        <v>29</v>
      </c>
      <c r="E56" s="77">
        <v>3.4000000000000002E-2</v>
      </c>
    </row>
    <row r="57" spans="2:5" ht="15" customHeight="1">
      <c r="B57" s="97" t="s">
        <v>88</v>
      </c>
      <c r="C57" s="60" t="s">
        <v>131</v>
      </c>
      <c r="D57" s="61">
        <v>1</v>
      </c>
      <c r="E57" s="62">
        <v>1E-3</v>
      </c>
    </row>
    <row r="58" spans="2:5" ht="15" customHeight="1">
      <c r="B58" s="99"/>
      <c r="C58" s="78" t="s">
        <v>227</v>
      </c>
      <c r="D58" s="76">
        <v>1</v>
      </c>
      <c r="E58" s="77">
        <v>1E-3</v>
      </c>
    </row>
    <row r="59" spans="2:5" ht="15" customHeight="1">
      <c r="B59" s="97" t="s">
        <v>67</v>
      </c>
      <c r="C59" s="60" t="s">
        <v>129</v>
      </c>
      <c r="D59" s="61">
        <v>4</v>
      </c>
      <c r="E59" s="62">
        <v>5.0000000000000001E-3</v>
      </c>
    </row>
    <row r="60" spans="2:5" ht="15" customHeight="1">
      <c r="B60" s="98"/>
      <c r="C60" s="60" t="s">
        <v>191</v>
      </c>
      <c r="D60" s="61">
        <v>1</v>
      </c>
      <c r="E60" s="62">
        <v>1E-3</v>
      </c>
    </row>
    <row r="61" spans="2:5" ht="15" customHeight="1">
      <c r="B61" s="98"/>
      <c r="C61" s="60" t="s">
        <v>130</v>
      </c>
      <c r="D61" s="61">
        <v>1</v>
      </c>
      <c r="E61" s="62">
        <v>1E-3</v>
      </c>
    </row>
    <row r="62" spans="2:5" ht="15" customHeight="1">
      <c r="B62" s="98"/>
      <c r="C62" s="60" t="s">
        <v>131</v>
      </c>
      <c r="D62" s="61">
        <v>6</v>
      </c>
      <c r="E62" s="62">
        <v>7.0000000000000001E-3</v>
      </c>
    </row>
    <row r="63" spans="2:5" ht="15" customHeight="1">
      <c r="B63" s="99"/>
      <c r="C63" s="78" t="s">
        <v>227</v>
      </c>
      <c r="D63" s="76">
        <v>12</v>
      </c>
      <c r="E63" s="77">
        <v>1.4E-2</v>
      </c>
    </row>
    <row r="64" spans="2:5" ht="15" customHeight="1">
      <c r="B64" s="97" t="s">
        <v>66</v>
      </c>
      <c r="C64" s="60" t="s">
        <v>133</v>
      </c>
      <c r="D64" s="61">
        <v>1</v>
      </c>
      <c r="E64" s="62">
        <v>1E-3</v>
      </c>
    </row>
    <row r="65" spans="2:5" ht="15" customHeight="1">
      <c r="B65" s="98"/>
      <c r="C65" s="60" t="s">
        <v>129</v>
      </c>
      <c r="D65" s="61">
        <v>1</v>
      </c>
      <c r="E65" s="62">
        <v>1E-3</v>
      </c>
    </row>
    <row r="66" spans="2:5" ht="15" customHeight="1">
      <c r="B66" s="98"/>
      <c r="C66" s="60" t="s">
        <v>131</v>
      </c>
      <c r="D66" s="61">
        <v>3</v>
      </c>
      <c r="E66" s="62">
        <v>3.0000000000000001E-3</v>
      </c>
    </row>
    <row r="67" spans="2:5" ht="15" customHeight="1">
      <c r="B67" s="99"/>
      <c r="C67" s="78" t="s">
        <v>227</v>
      </c>
      <c r="D67" s="76">
        <v>5</v>
      </c>
      <c r="E67" s="77">
        <v>6.0000000000000001E-3</v>
      </c>
    </row>
    <row r="68" spans="2:5" ht="15" customHeight="1">
      <c r="B68" s="97" t="s">
        <v>51</v>
      </c>
      <c r="C68" s="60" t="s">
        <v>129</v>
      </c>
      <c r="D68" s="61">
        <v>8</v>
      </c>
      <c r="E68" s="62">
        <v>8.9999999999999993E-3</v>
      </c>
    </row>
    <row r="69" spans="2:5" ht="15" customHeight="1">
      <c r="B69" s="98"/>
      <c r="C69" s="60" t="s">
        <v>130</v>
      </c>
      <c r="D69" s="61">
        <v>1</v>
      </c>
      <c r="E69" s="62">
        <v>1E-3</v>
      </c>
    </row>
    <row r="70" spans="2:5" ht="15" customHeight="1">
      <c r="B70" s="98"/>
      <c r="C70" s="60" t="s">
        <v>134</v>
      </c>
      <c r="D70" s="61">
        <v>1</v>
      </c>
      <c r="E70" s="62">
        <v>1E-3</v>
      </c>
    </row>
    <row r="71" spans="2:5" ht="15" customHeight="1">
      <c r="B71" s="98"/>
      <c r="C71" s="60" t="s">
        <v>136</v>
      </c>
      <c r="D71" s="61">
        <v>2</v>
      </c>
      <c r="E71" s="62">
        <v>2E-3</v>
      </c>
    </row>
    <row r="72" spans="2:5" ht="15" customHeight="1">
      <c r="B72" s="98"/>
      <c r="C72" s="60" t="s">
        <v>131</v>
      </c>
      <c r="D72" s="61">
        <v>28</v>
      </c>
      <c r="E72" s="62">
        <v>3.3000000000000002E-2</v>
      </c>
    </row>
    <row r="73" spans="2:5" ht="15" customHeight="1">
      <c r="B73" s="98"/>
      <c r="C73" s="60" t="s">
        <v>192</v>
      </c>
      <c r="D73" s="61">
        <v>1</v>
      </c>
      <c r="E73" s="62">
        <v>1E-3</v>
      </c>
    </row>
    <row r="74" spans="2:5" ht="15" customHeight="1">
      <c r="B74" s="99"/>
      <c r="C74" s="78" t="s">
        <v>227</v>
      </c>
      <c r="D74" s="76">
        <v>41</v>
      </c>
      <c r="E74" s="77">
        <v>4.8000000000000001E-2</v>
      </c>
    </row>
    <row r="75" spans="2:5" ht="15" customHeight="1">
      <c r="B75" s="97" t="s">
        <v>63</v>
      </c>
      <c r="C75" s="60" t="s">
        <v>129</v>
      </c>
      <c r="D75" s="61">
        <v>4</v>
      </c>
      <c r="E75" s="62">
        <v>5.0000000000000001E-3</v>
      </c>
    </row>
    <row r="76" spans="2:5" ht="15" customHeight="1">
      <c r="B76" s="98"/>
      <c r="C76" s="60" t="s">
        <v>131</v>
      </c>
      <c r="D76" s="61">
        <v>9</v>
      </c>
      <c r="E76" s="62">
        <v>0.01</v>
      </c>
    </row>
    <row r="77" spans="2:5" ht="15" customHeight="1">
      <c r="B77" s="99"/>
      <c r="C77" s="78" t="s">
        <v>227</v>
      </c>
      <c r="D77" s="76">
        <v>13</v>
      </c>
      <c r="E77" s="77">
        <v>1.4999999999999999E-2</v>
      </c>
    </row>
    <row r="78" spans="2:5" ht="15" customHeight="1">
      <c r="B78" s="97" t="s">
        <v>64</v>
      </c>
      <c r="C78" s="60" t="s">
        <v>133</v>
      </c>
      <c r="D78" s="61">
        <v>1</v>
      </c>
      <c r="E78" s="62">
        <v>1E-3</v>
      </c>
    </row>
    <row r="79" spans="2:5" ht="15" customHeight="1">
      <c r="B79" s="98"/>
      <c r="C79" s="60" t="s">
        <v>129</v>
      </c>
      <c r="D79" s="61">
        <v>3</v>
      </c>
      <c r="E79" s="62">
        <v>3.0000000000000001E-3</v>
      </c>
    </row>
    <row r="80" spans="2:5" ht="15" customHeight="1">
      <c r="B80" s="98"/>
      <c r="C80" s="60" t="s">
        <v>191</v>
      </c>
      <c r="D80" s="61">
        <v>1</v>
      </c>
      <c r="E80" s="62">
        <v>1E-3</v>
      </c>
    </row>
    <row r="81" spans="2:5" ht="15" customHeight="1">
      <c r="B81" s="98"/>
      <c r="C81" s="60" t="s">
        <v>135</v>
      </c>
      <c r="D81" s="61">
        <v>4</v>
      </c>
      <c r="E81" s="62">
        <v>5.0000000000000001E-3</v>
      </c>
    </row>
    <row r="82" spans="2:5" ht="15" customHeight="1">
      <c r="B82" s="98"/>
      <c r="C82" s="60" t="s">
        <v>131</v>
      </c>
      <c r="D82" s="61">
        <v>8</v>
      </c>
      <c r="E82" s="62">
        <v>8.9999999999999993E-3</v>
      </c>
    </row>
    <row r="83" spans="2:5" ht="15" customHeight="1">
      <c r="B83" s="99"/>
      <c r="C83" s="78" t="s">
        <v>227</v>
      </c>
      <c r="D83" s="76">
        <v>17</v>
      </c>
      <c r="E83" s="77">
        <v>0.02</v>
      </c>
    </row>
    <row r="84" spans="2:5" ht="15" customHeight="1">
      <c r="B84" s="97" t="s">
        <v>76</v>
      </c>
      <c r="C84" s="60" t="s">
        <v>129</v>
      </c>
      <c r="D84" s="61">
        <v>2</v>
      </c>
      <c r="E84" s="62">
        <v>2E-3</v>
      </c>
    </row>
    <row r="85" spans="2:5" ht="15" customHeight="1">
      <c r="B85" s="98"/>
      <c r="C85" s="60" t="s">
        <v>131</v>
      </c>
      <c r="D85" s="61">
        <v>6</v>
      </c>
      <c r="E85" s="62">
        <v>7.0000000000000001E-3</v>
      </c>
    </row>
    <row r="86" spans="2:5" ht="15" customHeight="1">
      <c r="B86" s="99"/>
      <c r="C86" s="78" t="s">
        <v>227</v>
      </c>
      <c r="D86" s="76">
        <v>8</v>
      </c>
      <c r="E86" s="77">
        <v>8.9999999999999993E-3</v>
      </c>
    </row>
    <row r="87" spans="2:5" ht="15" customHeight="1">
      <c r="B87" s="97" t="s">
        <v>55</v>
      </c>
      <c r="C87" s="60" t="s">
        <v>129</v>
      </c>
      <c r="D87" s="61">
        <v>8</v>
      </c>
      <c r="E87" s="62">
        <v>8.9999999999999993E-3</v>
      </c>
    </row>
    <row r="88" spans="2:5" ht="15" customHeight="1">
      <c r="B88" s="98"/>
      <c r="C88" s="60" t="s">
        <v>132</v>
      </c>
      <c r="D88" s="61">
        <v>1</v>
      </c>
      <c r="E88" s="62">
        <v>1E-3</v>
      </c>
    </row>
    <row r="89" spans="2:5" ht="15" customHeight="1">
      <c r="B89" s="98"/>
      <c r="C89" s="60" t="s">
        <v>136</v>
      </c>
      <c r="D89" s="61">
        <v>1</v>
      </c>
      <c r="E89" s="62">
        <v>1E-3</v>
      </c>
    </row>
    <row r="90" spans="2:5" ht="15" customHeight="1">
      <c r="B90" s="98"/>
      <c r="C90" s="60" t="s">
        <v>131</v>
      </c>
      <c r="D90" s="61">
        <v>28</v>
      </c>
      <c r="E90" s="62">
        <v>3.3000000000000002E-2</v>
      </c>
    </row>
    <row r="91" spans="2:5" ht="15" customHeight="1">
      <c r="B91" s="98"/>
      <c r="C91" s="60" t="s">
        <v>137</v>
      </c>
      <c r="D91" s="61">
        <v>1</v>
      </c>
      <c r="E91" s="62">
        <v>1E-3</v>
      </c>
    </row>
    <row r="92" spans="2:5" ht="15" customHeight="1">
      <c r="B92" s="99"/>
      <c r="C92" s="78" t="s">
        <v>227</v>
      </c>
      <c r="D92" s="76">
        <v>39</v>
      </c>
      <c r="E92" s="77">
        <v>4.4999999999999998E-2</v>
      </c>
    </row>
    <row r="93" spans="2:5" ht="15" customHeight="1">
      <c r="B93" s="97" t="s">
        <v>54</v>
      </c>
      <c r="C93" s="60" t="s">
        <v>129</v>
      </c>
      <c r="D93" s="61">
        <v>10</v>
      </c>
      <c r="E93" s="62">
        <v>1.2E-2</v>
      </c>
    </row>
    <row r="94" spans="2:5" ht="15" customHeight="1">
      <c r="B94" s="98"/>
      <c r="C94" s="60" t="s">
        <v>132</v>
      </c>
      <c r="D94" s="61">
        <v>3</v>
      </c>
      <c r="E94" s="62">
        <v>3.0000000000000001E-3</v>
      </c>
    </row>
    <row r="95" spans="2:5" ht="15" customHeight="1">
      <c r="B95" s="98"/>
      <c r="C95" s="60" t="s">
        <v>130</v>
      </c>
      <c r="D95" s="61">
        <v>4</v>
      </c>
      <c r="E95" s="62">
        <v>5.0000000000000001E-3</v>
      </c>
    </row>
    <row r="96" spans="2:5" ht="15" customHeight="1">
      <c r="B96" s="98"/>
      <c r="C96" s="60" t="s">
        <v>135</v>
      </c>
      <c r="D96" s="61">
        <v>3</v>
      </c>
      <c r="E96" s="62">
        <v>3.0000000000000001E-3</v>
      </c>
    </row>
    <row r="97" spans="2:5" ht="15" customHeight="1">
      <c r="B97" s="98"/>
      <c r="C97" s="60" t="s">
        <v>131</v>
      </c>
      <c r="D97" s="61">
        <v>12</v>
      </c>
      <c r="E97" s="62">
        <v>1.4E-2</v>
      </c>
    </row>
    <row r="98" spans="2:5" ht="15" customHeight="1">
      <c r="B98" s="99"/>
      <c r="C98" s="78" t="s">
        <v>227</v>
      </c>
      <c r="D98" s="76">
        <v>32</v>
      </c>
      <c r="E98" s="77">
        <v>3.6999999999999998E-2</v>
      </c>
    </row>
    <row r="99" spans="2:5" ht="15" customHeight="1">
      <c r="B99" s="97" t="s">
        <v>69</v>
      </c>
      <c r="C99" s="60" t="s">
        <v>129</v>
      </c>
      <c r="D99" s="61">
        <v>3</v>
      </c>
      <c r="E99" s="62">
        <v>3.0000000000000001E-3</v>
      </c>
    </row>
    <row r="100" spans="2:5" ht="15" customHeight="1">
      <c r="B100" s="98"/>
      <c r="C100" s="60" t="s">
        <v>132</v>
      </c>
      <c r="D100" s="61">
        <v>1</v>
      </c>
      <c r="E100" s="62">
        <v>1E-3</v>
      </c>
    </row>
    <row r="101" spans="2:5" ht="15" customHeight="1">
      <c r="B101" s="98"/>
      <c r="C101" s="60" t="s">
        <v>135</v>
      </c>
      <c r="D101" s="61">
        <v>1</v>
      </c>
      <c r="E101" s="62">
        <v>1E-3</v>
      </c>
    </row>
    <row r="102" spans="2:5" ht="15" customHeight="1">
      <c r="B102" s="98"/>
      <c r="C102" s="60" t="s">
        <v>131</v>
      </c>
      <c r="D102" s="61">
        <v>9</v>
      </c>
      <c r="E102" s="62">
        <v>0.01</v>
      </c>
    </row>
    <row r="103" spans="2:5" ht="15" customHeight="1">
      <c r="B103" s="99"/>
      <c r="C103" s="78" t="s">
        <v>227</v>
      </c>
      <c r="D103" s="76">
        <v>14</v>
      </c>
      <c r="E103" s="77">
        <v>1.6E-2</v>
      </c>
    </row>
    <row r="104" spans="2:5" ht="15" customHeight="1">
      <c r="B104" s="97" t="s">
        <v>65</v>
      </c>
      <c r="C104" s="60" t="s">
        <v>129</v>
      </c>
      <c r="D104" s="61">
        <v>4</v>
      </c>
      <c r="E104" s="62">
        <v>5.0000000000000001E-3</v>
      </c>
    </row>
    <row r="105" spans="2:5" ht="15" customHeight="1">
      <c r="B105" s="98"/>
      <c r="C105" s="60" t="s">
        <v>132</v>
      </c>
      <c r="D105" s="61">
        <v>1</v>
      </c>
      <c r="E105" s="62">
        <v>1E-3</v>
      </c>
    </row>
    <row r="106" spans="2:5" ht="15" customHeight="1">
      <c r="B106" s="98"/>
      <c r="C106" s="60" t="s">
        <v>191</v>
      </c>
      <c r="D106" s="61">
        <v>1</v>
      </c>
      <c r="E106" s="62">
        <v>1E-3</v>
      </c>
    </row>
    <row r="107" spans="2:5" ht="15" customHeight="1">
      <c r="B107" s="98"/>
      <c r="C107" s="60" t="s">
        <v>131</v>
      </c>
      <c r="D107" s="61">
        <v>12</v>
      </c>
      <c r="E107" s="62">
        <v>1.4E-2</v>
      </c>
    </row>
    <row r="108" spans="2:5" ht="15" customHeight="1">
      <c r="B108" s="99"/>
      <c r="C108" s="78" t="s">
        <v>227</v>
      </c>
      <c r="D108" s="76">
        <v>18</v>
      </c>
      <c r="E108" s="77">
        <v>2.1000000000000001E-2</v>
      </c>
    </row>
    <row r="109" spans="2:5" ht="15" customHeight="1">
      <c r="B109" s="97" t="s">
        <v>83</v>
      </c>
      <c r="C109" s="60" t="s">
        <v>129</v>
      </c>
      <c r="D109" s="61">
        <v>1</v>
      </c>
      <c r="E109" s="62">
        <v>1E-3</v>
      </c>
    </row>
    <row r="110" spans="2:5" ht="15" customHeight="1">
      <c r="B110" s="98"/>
      <c r="C110" s="60" t="s">
        <v>130</v>
      </c>
      <c r="D110" s="61">
        <v>1</v>
      </c>
      <c r="E110" s="62">
        <v>1E-3</v>
      </c>
    </row>
    <row r="111" spans="2:5" ht="15" customHeight="1">
      <c r="B111" s="98"/>
      <c r="C111" s="60" t="s">
        <v>131</v>
      </c>
      <c r="D111" s="61">
        <v>3</v>
      </c>
      <c r="E111" s="62">
        <v>3.0000000000000001E-3</v>
      </c>
    </row>
    <row r="112" spans="2:5" ht="15" customHeight="1">
      <c r="B112" s="99"/>
      <c r="C112" s="78" t="s">
        <v>227</v>
      </c>
      <c r="D112" s="76">
        <v>5</v>
      </c>
      <c r="E112" s="77">
        <v>6.0000000000000001E-3</v>
      </c>
    </row>
    <row r="113" spans="2:5" ht="15" customHeight="1">
      <c r="B113" s="97" t="s">
        <v>188</v>
      </c>
      <c r="C113" s="60" t="s">
        <v>129</v>
      </c>
      <c r="D113" s="61">
        <v>1</v>
      </c>
      <c r="E113" s="62">
        <v>1E-3</v>
      </c>
    </row>
    <row r="114" spans="2:5" ht="15" customHeight="1">
      <c r="B114" s="98"/>
      <c r="C114" s="60" t="s">
        <v>131</v>
      </c>
      <c r="D114" s="61">
        <v>2</v>
      </c>
      <c r="E114" s="62">
        <v>2E-3</v>
      </c>
    </row>
    <row r="115" spans="2:5" ht="15" customHeight="1">
      <c r="B115" s="99"/>
      <c r="C115" s="78" t="s">
        <v>227</v>
      </c>
      <c r="D115" s="76">
        <v>3</v>
      </c>
      <c r="E115" s="77">
        <v>3.0000000000000001E-3</v>
      </c>
    </row>
    <row r="116" spans="2:5" ht="15" customHeight="1">
      <c r="B116" s="97" t="s">
        <v>57</v>
      </c>
      <c r="C116" s="60" t="s">
        <v>133</v>
      </c>
      <c r="D116" s="61">
        <v>1</v>
      </c>
      <c r="E116" s="62">
        <v>1E-3</v>
      </c>
    </row>
    <row r="117" spans="2:5" ht="15" customHeight="1">
      <c r="B117" s="98"/>
      <c r="C117" s="60" t="s">
        <v>129</v>
      </c>
      <c r="D117" s="61">
        <v>4</v>
      </c>
      <c r="E117" s="62">
        <v>5.0000000000000001E-3</v>
      </c>
    </row>
    <row r="118" spans="2:5" ht="15" customHeight="1">
      <c r="B118" s="98"/>
      <c r="C118" s="60" t="s">
        <v>130</v>
      </c>
      <c r="D118" s="61">
        <v>1</v>
      </c>
      <c r="E118" s="62">
        <v>1E-3</v>
      </c>
    </row>
    <row r="119" spans="2:5" ht="15" customHeight="1">
      <c r="B119" s="98"/>
      <c r="C119" s="60" t="s">
        <v>135</v>
      </c>
      <c r="D119" s="61">
        <v>2</v>
      </c>
      <c r="E119" s="62">
        <v>2E-3</v>
      </c>
    </row>
    <row r="120" spans="2:5" ht="15" customHeight="1">
      <c r="B120" s="98"/>
      <c r="C120" s="60" t="s">
        <v>131</v>
      </c>
      <c r="D120" s="61">
        <v>32</v>
      </c>
      <c r="E120" s="62">
        <v>3.6999999999999998E-2</v>
      </c>
    </row>
    <row r="121" spans="2:5" ht="15" customHeight="1">
      <c r="B121" s="98"/>
      <c r="C121" s="60" t="s">
        <v>137</v>
      </c>
      <c r="D121" s="61">
        <v>1</v>
      </c>
      <c r="E121" s="62">
        <v>1E-3</v>
      </c>
    </row>
    <row r="122" spans="2:5" ht="15" customHeight="1">
      <c r="B122" s="99"/>
      <c r="C122" s="78" t="s">
        <v>227</v>
      </c>
      <c r="D122" s="76">
        <v>41</v>
      </c>
      <c r="E122" s="77">
        <v>4.8000000000000001E-2</v>
      </c>
    </row>
    <row r="123" spans="2:5" ht="15" customHeight="1">
      <c r="B123" s="97" t="s">
        <v>60</v>
      </c>
      <c r="C123" s="60" t="s">
        <v>129</v>
      </c>
      <c r="D123" s="61">
        <v>6</v>
      </c>
      <c r="E123" s="62">
        <v>7.0000000000000001E-3</v>
      </c>
    </row>
    <row r="124" spans="2:5" ht="15" customHeight="1">
      <c r="B124" s="98"/>
      <c r="C124" s="60" t="s">
        <v>132</v>
      </c>
      <c r="D124" s="61">
        <v>1</v>
      </c>
      <c r="E124" s="62">
        <v>1E-3</v>
      </c>
    </row>
    <row r="125" spans="2:5" ht="15" customHeight="1">
      <c r="B125" s="98"/>
      <c r="C125" s="60" t="s">
        <v>130</v>
      </c>
      <c r="D125" s="61">
        <v>2</v>
      </c>
      <c r="E125" s="62">
        <v>2E-3</v>
      </c>
    </row>
    <row r="126" spans="2:5" ht="15" customHeight="1">
      <c r="B126" s="98"/>
      <c r="C126" s="60" t="s">
        <v>131</v>
      </c>
      <c r="D126" s="61">
        <v>3</v>
      </c>
      <c r="E126" s="62">
        <v>3.0000000000000001E-3</v>
      </c>
    </row>
    <row r="127" spans="2:5" ht="15" customHeight="1">
      <c r="B127" s="99"/>
      <c r="C127" s="78" t="s">
        <v>227</v>
      </c>
      <c r="D127" s="76">
        <v>12</v>
      </c>
      <c r="E127" s="77">
        <v>1.4E-2</v>
      </c>
    </row>
    <row r="128" spans="2:5" ht="15" customHeight="1">
      <c r="B128" s="97" t="s">
        <v>70</v>
      </c>
      <c r="C128" s="60" t="s">
        <v>129</v>
      </c>
      <c r="D128" s="61">
        <v>2</v>
      </c>
      <c r="E128" s="62">
        <v>2E-3</v>
      </c>
    </row>
    <row r="129" spans="2:5" ht="15" customHeight="1">
      <c r="B129" s="98"/>
      <c r="C129" s="60" t="s">
        <v>135</v>
      </c>
      <c r="D129" s="61">
        <v>1</v>
      </c>
      <c r="E129" s="62">
        <v>1E-3</v>
      </c>
    </row>
    <row r="130" spans="2:5" ht="15" customHeight="1">
      <c r="B130" s="98"/>
      <c r="C130" s="60" t="s">
        <v>131</v>
      </c>
      <c r="D130" s="61">
        <v>13</v>
      </c>
      <c r="E130" s="62">
        <v>1.4999999999999999E-2</v>
      </c>
    </row>
    <row r="131" spans="2:5" ht="15" customHeight="1">
      <c r="B131" s="99"/>
      <c r="C131" s="78" t="s">
        <v>227</v>
      </c>
      <c r="D131" s="76">
        <v>16</v>
      </c>
      <c r="E131" s="77">
        <v>1.9E-2</v>
      </c>
    </row>
    <row r="132" spans="2:5" ht="15" customHeight="1">
      <c r="B132" s="97" t="s">
        <v>77</v>
      </c>
      <c r="C132" s="60" t="s">
        <v>129</v>
      </c>
      <c r="D132" s="61">
        <v>1</v>
      </c>
      <c r="E132" s="62">
        <v>1E-3</v>
      </c>
    </row>
    <row r="133" spans="2:5" ht="15" customHeight="1">
      <c r="B133" s="98"/>
      <c r="C133" s="60" t="s">
        <v>130</v>
      </c>
      <c r="D133" s="61">
        <v>1</v>
      </c>
      <c r="E133" s="62">
        <v>1E-3</v>
      </c>
    </row>
    <row r="134" spans="2:5" ht="15" customHeight="1">
      <c r="B134" s="98"/>
      <c r="C134" s="60" t="s">
        <v>131</v>
      </c>
      <c r="D134" s="61">
        <v>14</v>
      </c>
      <c r="E134" s="62">
        <v>1.6E-2</v>
      </c>
    </row>
    <row r="135" spans="2:5" ht="15" customHeight="1">
      <c r="B135" s="99"/>
      <c r="C135" s="78" t="s">
        <v>227</v>
      </c>
      <c r="D135" s="76">
        <v>16</v>
      </c>
      <c r="E135" s="77">
        <v>1.9E-2</v>
      </c>
    </row>
    <row r="136" spans="2:5" ht="15" customHeight="1">
      <c r="B136" s="97" t="s">
        <v>58</v>
      </c>
      <c r="C136" s="60" t="s">
        <v>129</v>
      </c>
      <c r="D136" s="61">
        <v>5</v>
      </c>
      <c r="E136" s="62">
        <v>6.0000000000000001E-3</v>
      </c>
    </row>
    <row r="137" spans="2:5" ht="15" customHeight="1">
      <c r="B137" s="98"/>
      <c r="C137" s="60" t="s">
        <v>135</v>
      </c>
      <c r="D137" s="61">
        <v>1</v>
      </c>
      <c r="E137" s="62">
        <v>1E-3</v>
      </c>
    </row>
    <row r="138" spans="2:5" ht="15" customHeight="1">
      <c r="B138" s="98"/>
      <c r="C138" s="60" t="s">
        <v>131</v>
      </c>
      <c r="D138" s="61">
        <v>13</v>
      </c>
      <c r="E138" s="62">
        <v>1.4999999999999999E-2</v>
      </c>
    </row>
    <row r="139" spans="2:5" ht="15" customHeight="1">
      <c r="B139" s="99"/>
      <c r="C139" s="78" t="s">
        <v>227</v>
      </c>
      <c r="D139" s="76">
        <v>19</v>
      </c>
      <c r="E139" s="77">
        <v>2.1999999999999999E-2</v>
      </c>
    </row>
    <row r="140" spans="2:5" ht="15" customHeight="1">
      <c r="B140" s="97" t="s">
        <v>81</v>
      </c>
      <c r="C140" s="60" t="s">
        <v>129</v>
      </c>
      <c r="D140" s="61">
        <v>1</v>
      </c>
      <c r="E140" s="62">
        <v>1E-3</v>
      </c>
    </row>
    <row r="141" spans="2:5" ht="15" customHeight="1">
      <c r="B141" s="98"/>
      <c r="C141" s="60" t="s">
        <v>131</v>
      </c>
      <c r="D141" s="61">
        <v>4</v>
      </c>
      <c r="E141" s="62">
        <v>5.0000000000000001E-3</v>
      </c>
    </row>
    <row r="142" spans="2:5" ht="15" customHeight="1">
      <c r="B142" s="99"/>
      <c r="C142" s="78" t="s">
        <v>227</v>
      </c>
      <c r="D142" s="76">
        <v>5</v>
      </c>
      <c r="E142" s="77">
        <v>6.0000000000000001E-3</v>
      </c>
    </row>
    <row r="143" spans="2:5" ht="15" customHeight="1">
      <c r="B143" s="97" t="s">
        <v>72</v>
      </c>
      <c r="C143" s="60" t="s">
        <v>129</v>
      </c>
      <c r="D143" s="61">
        <v>3</v>
      </c>
      <c r="E143" s="62">
        <v>3.0000000000000001E-3</v>
      </c>
    </row>
    <row r="144" spans="2:5" ht="15" customHeight="1">
      <c r="B144" s="98"/>
      <c r="C144" s="60" t="s">
        <v>131</v>
      </c>
      <c r="D144" s="61">
        <v>3</v>
      </c>
      <c r="E144" s="62">
        <v>3.0000000000000001E-3</v>
      </c>
    </row>
    <row r="145" spans="2:5" ht="15" customHeight="1">
      <c r="B145" s="99"/>
      <c r="C145" s="78" t="s">
        <v>227</v>
      </c>
      <c r="D145" s="76">
        <v>6</v>
      </c>
      <c r="E145" s="77">
        <v>7.0000000000000001E-3</v>
      </c>
    </row>
    <row r="146" spans="2:5" ht="15" customHeight="1">
      <c r="B146" s="97" t="s">
        <v>78</v>
      </c>
      <c r="C146" s="60" t="s">
        <v>133</v>
      </c>
      <c r="D146" s="61">
        <v>1</v>
      </c>
      <c r="E146" s="62">
        <v>1E-3</v>
      </c>
    </row>
    <row r="147" spans="2:5" ht="15" customHeight="1">
      <c r="B147" s="98"/>
      <c r="C147" s="60" t="s">
        <v>129</v>
      </c>
      <c r="D147" s="61">
        <v>3</v>
      </c>
      <c r="E147" s="62">
        <v>3.0000000000000001E-3</v>
      </c>
    </row>
    <row r="148" spans="2:5" ht="15" customHeight="1">
      <c r="B148" s="98"/>
      <c r="C148" s="60" t="s">
        <v>132</v>
      </c>
      <c r="D148" s="61">
        <v>1</v>
      </c>
      <c r="E148" s="62">
        <v>1E-3</v>
      </c>
    </row>
    <row r="149" spans="2:5" ht="15" customHeight="1">
      <c r="B149" s="98"/>
      <c r="C149" s="60" t="s">
        <v>130</v>
      </c>
      <c r="D149" s="61">
        <v>1</v>
      </c>
      <c r="E149" s="62">
        <v>1E-3</v>
      </c>
    </row>
    <row r="150" spans="2:5" ht="15" customHeight="1">
      <c r="B150" s="98"/>
      <c r="C150" s="60" t="s">
        <v>131</v>
      </c>
      <c r="D150" s="61">
        <v>12</v>
      </c>
      <c r="E150" s="62">
        <v>1.4E-2</v>
      </c>
    </row>
    <row r="151" spans="2:5" ht="15" customHeight="1">
      <c r="B151" s="99"/>
      <c r="C151" s="78" t="s">
        <v>227</v>
      </c>
      <c r="D151" s="76">
        <v>18</v>
      </c>
      <c r="E151" s="77">
        <v>2.1000000000000001E-2</v>
      </c>
    </row>
    <row r="152" spans="2:5" ht="15" customHeight="1">
      <c r="B152" s="97" t="s">
        <v>187</v>
      </c>
      <c r="C152" s="60" t="s">
        <v>129</v>
      </c>
      <c r="D152" s="61">
        <v>3</v>
      </c>
      <c r="E152" s="62">
        <v>3.0000000000000001E-3</v>
      </c>
    </row>
    <row r="153" spans="2:5" ht="15" customHeight="1">
      <c r="B153" s="98"/>
      <c r="C153" s="60" t="s">
        <v>131</v>
      </c>
      <c r="D153" s="61">
        <v>1</v>
      </c>
      <c r="E153" s="62">
        <v>1E-3</v>
      </c>
    </row>
    <row r="154" spans="2:5" ht="15" customHeight="1">
      <c r="B154" s="99"/>
      <c r="C154" s="78" t="s">
        <v>227</v>
      </c>
      <c r="D154" s="76">
        <v>4</v>
      </c>
      <c r="E154" s="77">
        <v>5.0000000000000001E-3</v>
      </c>
    </row>
    <row r="155" spans="2:5" ht="15" customHeight="1">
      <c r="B155" s="97" t="s">
        <v>49</v>
      </c>
      <c r="C155" s="60" t="s">
        <v>129</v>
      </c>
      <c r="D155" s="61">
        <v>16</v>
      </c>
      <c r="E155" s="62">
        <v>1.9E-2</v>
      </c>
    </row>
    <row r="156" spans="2:5" ht="15" customHeight="1">
      <c r="B156" s="98"/>
      <c r="C156" s="60" t="s">
        <v>132</v>
      </c>
      <c r="D156" s="61">
        <v>1</v>
      </c>
      <c r="E156" s="62">
        <v>1E-3</v>
      </c>
    </row>
    <row r="157" spans="2:5" ht="15" customHeight="1">
      <c r="B157" s="98"/>
      <c r="C157" s="60" t="s">
        <v>191</v>
      </c>
      <c r="D157" s="61">
        <v>1</v>
      </c>
      <c r="E157" s="62">
        <v>1E-3</v>
      </c>
    </row>
    <row r="158" spans="2:5" ht="15" customHeight="1">
      <c r="B158" s="98"/>
      <c r="C158" s="60" t="s">
        <v>136</v>
      </c>
      <c r="D158" s="61">
        <v>1</v>
      </c>
      <c r="E158" s="62">
        <v>1E-3</v>
      </c>
    </row>
    <row r="159" spans="2:5" ht="15" customHeight="1">
      <c r="B159" s="98"/>
      <c r="C159" s="60" t="s">
        <v>131</v>
      </c>
      <c r="D159" s="61">
        <v>43</v>
      </c>
      <c r="E159" s="62">
        <v>0.05</v>
      </c>
    </row>
    <row r="160" spans="2:5" ht="15" customHeight="1">
      <c r="B160" s="98"/>
      <c r="C160" s="60" t="s">
        <v>137</v>
      </c>
      <c r="D160" s="61">
        <v>2</v>
      </c>
      <c r="E160" s="62">
        <v>2E-3</v>
      </c>
    </row>
    <row r="161" spans="2:5" ht="15" customHeight="1">
      <c r="B161" s="99"/>
      <c r="C161" s="78" t="s">
        <v>227</v>
      </c>
      <c r="D161" s="76">
        <v>64</v>
      </c>
      <c r="E161" s="77">
        <v>7.3999999999999996E-2</v>
      </c>
    </row>
    <row r="162" spans="2:5" ht="15" customHeight="1">
      <c r="B162" s="97" t="s">
        <v>61</v>
      </c>
      <c r="C162" s="60" t="s">
        <v>129</v>
      </c>
      <c r="D162" s="61">
        <v>1</v>
      </c>
      <c r="E162" s="62">
        <v>1E-3</v>
      </c>
    </row>
    <row r="163" spans="2:5" ht="15" customHeight="1">
      <c r="B163" s="98"/>
      <c r="C163" s="60" t="s">
        <v>130</v>
      </c>
      <c r="D163" s="61">
        <v>2</v>
      </c>
      <c r="E163" s="62">
        <v>2E-3</v>
      </c>
    </row>
    <row r="164" spans="2:5" ht="15" customHeight="1">
      <c r="B164" s="98"/>
      <c r="C164" s="60" t="s">
        <v>135</v>
      </c>
      <c r="D164" s="61">
        <v>6</v>
      </c>
      <c r="E164" s="62">
        <v>7.0000000000000001E-3</v>
      </c>
    </row>
    <row r="165" spans="2:5" ht="15" customHeight="1">
      <c r="B165" s="98"/>
      <c r="C165" s="60" t="s">
        <v>131</v>
      </c>
      <c r="D165" s="61">
        <v>10</v>
      </c>
      <c r="E165" s="62">
        <v>1.2E-2</v>
      </c>
    </row>
    <row r="166" spans="2:5" ht="15" customHeight="1">
      <c r="B166" s="99"/>
      <c r="C166" s="78" t="s">
        <v>227</v>
      </c>
      <c r="D166" s="76">
        <v>19</v>
      </c>
      <c r="E166" s="77">
        <v>2.1999999999999999E-2</v>
      </c>
    </row>
    <row r="167" spans="2:5" ht="15" customHeight="1">
      <c r="B167" s="97" t="s">
        <v>56</v>
      </c>
      <c r="C167" s="60" t="s">
        <v>129</v>
      </c>
      <c r="D167" s="61">
        <v>5</v>
      </c>
      <c r="E167" s="62">
        <v>6.0000000000000001E-3</v>
      </c>
    </row>
    <row r="168" spans="2:5" ht="15" customHeight="1">
      <c r="B168" s="98"/>
      <c r="C168" s="60" t="s">
        <v>134</v>
      </c>
      <c r="D168" s="61">
        <v>1</v>
      </c>
      <c r="E168" s="62">
        <v>1E-3</v>
      </c>
    </row>
    <row r="169" spans="2:5" ht="15" customHeight="1">
      <c r="B169" s="98"/>
      <c r="C169" s="60" t="s">
        <v>131</v>
      </c>
      <c r="D169" s="61">
        <v>12</v>
      </c>
      <c r="E169" s="62">
        <v>1.4E-2</v>
      </c>
    </row>
    <row r="170" spans="2:5" ht="15" customHeight="1">
      <c r="B170" s="99"/>
      <c r="C170" s="78" t="s">
        <v>227</v>
      </c>
      <c r="D170" s="76">
        <v>18</v>
      </c>
      <c r="E170" s="77">
        <v>2.1000000000000001E-2</v>
      </c>
    </row>
    <row r="171" spans="2:5" ht="15" customHeight="1">
      <c r="B171" s="97" t="s">
        <v>84</v>
      </c>
      <c r="C171" s="60" t="s">
        <v>133</v>
      </c>
      <c r="D171" s="61">
        <v>1</v>
      </c>
      <c r="E171" s="62">
        <v>1E-3</v>
      </c>
    </row>
    <row r="172" spans="2:5" ht="15" customHeight="1">
      <c r="B172" s="98"/>
      <c r="C172" s="60" t="s">
        <v>129</v>
      </c>
      <c r="D172" s="61">
        <v>5</v>
      </c>
      <c r="E172" s="62">
        <v>6.0000000000000001E-3</v>
      </c>
    </row>
    <row r="173" spans="2:5" ht="15" customHeight="1">
      <c r="B173" s="99"/>
      <c r="C173" s="78" t="s">
        <v>227</v>
      </c>
      <c r="D173" s="76">
        <v>6</v>
      </c>
      <c r="E173" s="77">
        <v>7.0000000000000001E-3</v>
      </c>
    </row>
    <row r="174" spans="2:5" ht="15" customHeight="1">
      <c r="B174" s="97" t="s">
        <v>75</v>
      </c>
      <c r="C174" s="60" t="s">
        <v>129</v>
      </c>
      <c r="D174" s="61">
        <v>1</v>
      </c>
      <c r="E174" s="62">
        <v>1E-3</v>
      </c>
    </row>
    <row r="175" spans="2:5" ht="15" customHeight="1">
      <c r="B175" s="98"/>
      <c r="C175" s="60" t="s">
        <v>131</v>
      </c>
      <c r="D175" s="61">
        <v>2</v>
      </c>
      <c r="E175" s="62">
        <v>2E-3</v>
      </c>
    </row>
    <row r="176" spans="2:5" ht="15" customHeight="1">
      <c r="B176" s="99"/>
      <c r="C176" s="78" t="s">
        <v>227</v>
      </c>
      <c r="D176" s="76">
        <v>3</v>
      </c>
      <c r="E176" s="77">
        <v>3.0000000000000001E-3</v>
      </c>
    </row>
    <row r="177" spans="2:5" ht="15" customHeight="1">
      <c r="B177" s="97" t="s">
        <v>74</v>
      </c>
      <c r="C177" s="60" t="s">
        <v>129</v>
      </c>
      <c r="D177" s="61">
        <v>2</v>
      </c>
      <c r="E177" s="62">
        <v>2E-3</v>
      </c>
    </row>
    <row r="178" spans="2:5" ht="15" customHeight="1">
      <c r="B178" s="98"/>
      <c r="C178" s="60" t="s">
        <v>135</v>
      </c>
      <c r="D178" s="61">
        <v>1</v>
      </c>
      <c r="E178" s="62">
        <v>1E-3</v>
      </c>
    </row>
    <row r="179" spans="2:5" ht="15" customHeight="1">
      <c r="B179" s="98"/>
      <c r="C179" s="60" t="s">
        <v>131</v>
      </c>
      <c r="D179" s="61">
        <v>2</v>
      </c>
      <c r="E179" s="62">
        <v>2E-3</v>
      </c>
    </row>
    <row r="180" spans="2:5" ht="15" customHeight="1">
      <c r="B180" s="99"/>
      <c r="C180" s="78" t="s">
        <v>227</v>
      </c>
      <c r="D180" s="76">
        <v>5</v>
      </c>
      <c r="E180" s="77">
        <v>6.0000000000000001E-3</v>
      </c>
    </row>
    <row r="181" spans="2:5" ht="15" customHeight="1">
      <c r="B181" s="97" t="s">
        <v>85</v>
      </c>
      <c r="C181" s="60" t="s">
        <v>129</v>
      </c>
      <c r="D181" s="61">
        <v>3</v>
      </c>
      <c r="E181" s="62">
        <v>3.0000000000000001E-3</v>
      </c>
    </row>
    <row r="182" spans="2:5" ht="15" customHeight="1">
      <c r="B182" s="98"/>
      <c r="C182" s="60" t="s">
        <v>135</v>
      </c>
      <c r="D182" s="61">
        <v>1</v>
      </c>
      <c r="E182" s="62">
        <v>1E-3</v>
      </c>
    </row>
    <row r="183" spans="2:5" ht="15" customHeight="1">
      <c r="B183" s="98"/>
      <c r="C183" s="60" t="s">
        <v>131</v>
      </c>
      <c r="D183" s="61">
        <v>2</v>
      </c>
      <c r="E183" s="62">
        <v>2E-3</v>
      </c>
    </row>
    <row r="184" spans="2:5" ht="15" customHeight="1">
      <c r="B184" s="99"/>
      <c r="C184" s="78" t="s">
        <v>227</v>
      </c>
      <c r="D184" s="76">
        <v>6</v>
      </c>
      <c r="E184" s="77">
        <v>7.0000000000000001E-3</v>
      </c>
    </row>
    <row r="185" spans="2:5" ht="15" customHeight="1">
      <c r="B185" s="97" t="s">
        <v>48</v>
      </c>
      <c r="C185" s="60" t="s">
        <v>129</v>
      </c>
      <c r="D185" s="61">
        <v>1</v>
      </c>
      <c r="E185" s="62">
        <v>1E-3</v>
      </c>
    </row>
    <row r="186" spans="2:5" ht="15" customHeight="1">
      <c r="B186" s="98"/>
      <c r="C186" s="60" t="s">
        <v>132</v>
      </c>
      <c r="D186" s="61">
        <v>4</v>
      </c>
      <c r="E186" s="62">
        <v>5.0000000000000001E-3</v>
      </c>
    </row>
    <row r="187" spans="2:5" ht="15" customHeight="1">
      <c r="B187" s="98"/>
      <c r="C187" s="60" t="s">
        <v>191</v>
      </c>
      <c r="D187" s="61">
        <v>7</v>
      </c>
      <c r="E187" s="62">
        <v>8.0000000000000002E-3</v>
      </c>
    </row>
    <row r="188" spans="2:5" ht="15" customHeight="1">
      <c r="B188" s="98"/>
      <c r="C188" s="60" t="s">
        <v>130</v>
      </c>
      <c r="D188" s="61">
        <v>11</v>
      </c>
      <c r="E188" s="62">
        <v>1.2999999999999999E-2</v>
      </c>
    </row>
    <row r="189" spans="2:5" ht="15" customHeight="1">
      <c r="B189" s="98"/>
      <c r="C189" s="60" t="s">
        <v>135</v>
      </c>
      <c r="D189" s="61">
        <v>30</v>
      </c>
      <c r="E189" s="62">
        <v>3.5000000000000003E-2</v>
      </c>
    </row>
    <row r="190" spans="2:5" ht="15" customHeight="1">
      <c r="B190" s="98"/>
      <c r="C190" s="60" t="s">
        <v>131</v>
      </c>
      <c r="D190" s="61">
        <v>26</v>
      </c>
      <c r="E190" s="62">
        <v>0.03</v>
      </c>
    </row>
    <row r="191" spans="2:5" ht="15" customHeight="1">
      <c r="B191" s="98"/>
      <c r="C191" s="60" t="s">
        <v>137</v>
      </c>
      <c r="D191" s="61">
        <v>1</v>
      </c>
      <c r="E191" s="62">
        <v>1E-3</v>
      </c>
    </row>
    <row r="192" spans="2:5" ht="15" customHeight="1">
      <c r="B192" s="99"/>
      <c r="C192" s="78" t="s">
        <v>227</v>
      </c>
      <c r="D192" s="76">
        <v>80</v>
      </c>
      <c r="E192" s="77">
        <v>9.2999999999999999E-2</v>
      </c>
    </row>
    <row r="193" spans="2:5" ht="15" customHeight="1">
      <c r="B193" s="97" t="s">
        <v>59</v>
      </c>
      <c r="C193" s="60" t="s">
        <v>129</v>
      </c>
      <c r="D193" s="61">
        <v>5</v>
      </c>
      <c r="E193" s="62">
        <v>6.0000000000000001E-3</v>
      </c>
    </row>
    <row r="194" spans="2:5" ht="15" customHeight="1">
      <c r="B194" s="98"/>
      <c r="C194" s="60" t="s">
        <v>130</v>
      </c>
      <c r="D194" s="61">
        <v>3</v>
      </c>
      <c r="E194" s="62">
        <v>3.0000000000000001E-3</v>
      </c>
    </row>
    <row r="195" spans="2:5" ht="15" customHeight="1">
      <c r="B195" s="98"/>
      <c r="C195" s="60" t="s">
        <v>135</v>
      </c>
      <c r="D195" s="61">
        <v>10</v>
      </c>
      <c r="E195" s="62">
        <v>1.2E-2</v>
      </c>
    </row>
    <row r="196" spans="2:5" ht="15" customHeight="1">
      <c r="B196" s="98"/>
      <c r="C196" s="60" t="s">
        <v>131</v>
      </c>
      <c r="D196" s="61">
        <v>10</v>
      </c>
      <c r="E196" s="62">
        <v>1.2E-2</v>
      </c>
    </row>
    <row r="197" spans="2:5" ht="15" customHeight="1">
      <c r="B197" s="99"/>
      <c r="C197" s="78" t="s">
        <v>227</v>
      </c>
      <c r="D197" s="76">
        <v>28</v>
      </c>
      <c r="E197" s="77">
        <v>3.3000000000000002E-2</v>
      </c>
    </row>
    <row r="198" spans="2:5" ht="15" customHeight="1">
      <c r="B198" s="97" t="s">
        <v>68</v>
      </c>
      <c r="C198" s="60" t="s">
        <v>129</v>
      </c>
      <c r="D198" s="61">
        <v>3</v>
      </c>
      <c r="E198" s="62">
        <v>3.0000000000000001E-3</v>
      </c>
    </row>
    <row r="199" spans="2:5" ht="15" customHeight="1">
      <c r="B199" s="98"/>
      <c r="C199" s="60" t="s">
        <v>132</v>
      </c>
      <c r="D199" s="61">
        <v>1</v>
      </c>
      <c r="E199" s="62">
        <v>1E-3</v>
      </c>
    </row>
    <row r="200" spans="2:5" ht="15" customHeight="1">
      <c r="B200" s="98"/>
      <c r="C200" s="60" t="s">
        <v>135</v>
      </c>
      <c r="D200" s="61">
        <v>1</v>
      </c>
      <c r="E200" s="62">
        <v>1E-3</v>
      </c>
    </row>
    <row r="201" spans="2:5" ht="15" customHeight="1">
      <c r="B201" s="98"/>
      <c r="C201" s="60" t="s">
        <v>131</v>
      </c>
      <c r="D201" s="61">
        <v>3</v>
      </c>
      <c r="E201" s="62">
        <v>3.0000000000000001E-3</v>
      </c>
    </row>
    <row r="202" spans="2:5" ht="15" customHeight="1">
      <c r="B202" s="98"/>
      <c r="C202" s="60" t="s">
        <v>137</v>
      </c>
      <c r="D202" s="61">
        <v>1</v>
      </c>
      <c r="E202" s="62">
        <v>1E-3</v>
      </c>
    </row>
    <row r="203" spans="2:5" ht="15" customHeight="1">
      <c r="B203" s="99"/>
      <c r="C203" s="78" t="s">
        <v>227</v>
      </c>
      <c r="D203" s="76">
        <v>9</v>
      </c>
      <c r="E203" s="77">
        <v>0.01</v>
      </c>
    </row>
    <row r="204" spans="2:5" ht="15" customHeight="1">
      <c r="B204" s="97" t="s">
        <v>82</v>
      </c>
      <c r="C204" s="60" t="s">
        <v>129</v>
      </c>
      <c r="D204" s="61">
        <v>1</v>
      </c>
      <c r="E204" s="62">
        <v>1E-3</v>
      </c>
    </row>
    <row r="205" spans="2:5" ht="15" customHeight="1">
      <c r="B205" s="98"/>
      <c r="C205" s="60" t="s">
        <v>135</v>
      </c>
      <c r="D205" s="61">
        <v>1</v>
      </c>
      <c r="E205" s="62">
        <v>1E-3</v>
      </c>
    </row>
    <row r="206" spans="2:5" ht="15" customHeight="1">
      <c r="B206" s="98"/>
      <c r="C206" s="60" t="s">
        <v>131</v>
      </c>
      <c r="D206" s="61">
        <v>5</v>
      </c>
      <c r="E206" s="62">
        <v>6.0000000000000001E-3</v>
      </c>
    </row>
    <row r="207" spans="2:5" ht="15" customHeight="1">
      <c r="B207" s="99"/>
      <c r="C207" s="78" t="s">
        <v>227</v>
      </c>
      <c r="D207" s="76">
        <v>7</v>
      </c>
      <c r="E207" s="77">
        <v>8.0000000000000002E-3</v>
      </c>
    </row>
    <row r="208" spans="2:5" ht="15" customHeight="1">
      <c r="B208" s="97" t="s">
        <v>53</v>
      </c>
      <c r="C208" s="60" t="s">
        <v>129</v>
      </c>
      <c r="D208" s="61">
        <v>2</v>
      </c>
      <c r="E208" s="62">
        <v>2E-3</v>
      </c>
    </row>
    <row r="209" spans="2:5" ht="15" customHeight="1">
      <c r="B209" s="98"/>
      <c r="C209" s="60" t="s">
        <v>132</v>
      </c>
      <c r="D209" s="61">
        <v>1</v>
      </c>
      <c r="E209" s="62">
        <v>1E-3</v>
      </c>
    </row>
    <row r="210" spans="2:5" ht="15" customHeight="1">
      <c r="B210" s="98"/>
      <c r="C210" s="60" t="s">
        <v>191</v>
      </c>
      <c r="D210" s="61">
        <v>3</v>
      </c>
      <c r="E210" s="62">
        <v>3.0000000000000001E-3</v>
      </c>
    </row>
    <row r="211" spans="2:5" ht="15" customHeight="1">
      <c r="B211" s="98"/>
      <c r="C211" s="60" t="s">
        <v>134</v>
      </c>
      <c r="D211" s="61">
        <v>1</v>
      </c>
      <c r="E211" s="62">
        <v>1E-3</v>
      </c>
    </row>
    <row r="212" spans="2:5" ht="15" customHeight="1">
      <c r="B212" s="98"/>
      <c r="C212" s="60" t="s">
        <v>135</v>
      </c>
      <c r="D212" s="61">
        <v>1</v>
      </c>
      <c r="E212" s="62">
        <v>1E-3</v>
      </c>
    </row>
    <row r="213" spans="2:5" ht="15" customHeight="1">
      <c r="B213" s="98"/>
      <c r="C213" s="60" t="s">
        <v>131</v>
      </c>
      <c r="D213" s="61">
        <v>34</v>
      </c>
      <c r="E213" s="62">
        <v>0.04</v>
      </c>
    </row>
    <row r="214" spans="2:5" ht="15" customHeight="1">
      <c r="B214" s="98"/>
      <c r="C214" s="60" t="s">
        <v>137</v>
      </c>
      <c r="D214" s="61">
        <v>1</v>
      </c>
      <c r="E214" s="62">
        <v>1E-3</v>
      </c>
    </row>
    <row r="215" spans="2:5" ht="15" customHeight="1">
      <c r="B215" s="99"/>
      <c r="C215" s="78" t="s">
        <v>227</v>
      </c>
      <c r="D215" s="76">
        <v>43</v>
      </c>
      <c r="E215" s="77">
        <v>0.05</v>
      </c>
    </row>
    <row r="216" spans="2:5" ht="15" customHeight="1">
      <c r="B216" s="101" t="s">
        <v>227</v>
      </c>
      <c r="C216" s="101"/>
      <c r="D216" s="64">
        <v>860</v>
      </c>
      <c r="E216" s="65">
        <v>1</v>
      </c>
    </row>
    <row r="217" spans="2:5" ht="15" customHeight="1">
      <c r="B217" s="49"/>
      <c r="C217" s="49"/>
      <c r="D217" s="49"/>
      <c r="E217" s="49"/>
    </row>
    <row r="218" spans="2:5" ht="15" customHeight="1">
      <c r="B218" s="38" t="s">
        <v>189</v>
      </c>
      <c r="C218" s="49"/>
      <c r="D218" s="49"/>
      <c r="E218" s="49"/>
    </row>
    <row r="219" spans="2:5" ht="15" customHeight="1">
      <c r="B219" s="40" t="s">
        <v>18</v>
      </c>
      <c r="C219" s="49"/>
      <c r="D219" s="49"/>
      <c r="E219" s="49"/>
    </row>
    <row r="220" spans="2:5" ht="15" customHeight="1">
      <c r="B220" s="41" t="s">
        <v>46</v>
      </c>
      <c r="C220" s="49"/>
      <c r="D220" s="49"/>
      <c r="E220" s="49"/>
    </row>
    <row r="221" spans="2:5" ht="15" customHeight="1">
      <c r="B221" s="38" t="s">
        <v>17</v>
      </c>
      <c r="C221" s="49"/>
      <c r="D221" s="49"/>
      <c r="E221" s="49"/>
    </row>
    <row r="222" spans="2:5" ht="15" customHeight="1">
      <c r="B222" s="38" t="s">
        <v>228</v>
      </c>
      <c r="C222" s="49"/>
      <c r="D222" s="49"/>
      <c r="E222" s="49"/>
    </row>
  </sheetData>
  <mergeCells count="46">
    <mergeCell ref="B51:B56"/>
    <mergeCell ref="B68:B74"/>
    <mergeCell ref="B75:B77"/>
    <mergeCell ref="B78:B83"/>
    <mergeCell ref="B143:B145"/>
    <mergeCell ref="B84:B86"/>
    <mergeCell ref="B87:B92"/>
    <mergeCell ref="B93:B98"/>
    <mergeCell ref="B57:B58"/>
    <mergeCell ref="B59:B63"/>
    <mergeCell ref="B64:B67"/>
    <mergeCell ref="B109:B112"/>
    <mergeCell ref="B113:B115"/>
    <mergeCell ref="B116:B122"/>
    <mergeCell ref="B99:B103"/>
    <mergeCell ref="B104:B108"/>
    <mergeCell ref="B29:B32"/>
    <mergeCell ref="B33:B34"/>
    <mergeCell ref="B35:B40"/>
    <mergeCell ref="B41:B46"/>
    <mergeCell ref="B47:B50"/>
    <mergeCell ref="B7:E8"/>
    <mergeCell ref="B10:B12"/>
    <mergeCell ref="B13:B20"/>
    <mergeCell ref="B21:B25"/>
    <mergeCell ref="B26:B28"/>
    <mergeCell ref="B171:B173"/>
    <mergeCell ref="B174:B176"/>
    <mergeCell ref="B177:B180"/>
    <mergeCell ref="B181:B184"/>
    <mergeCell ref="B185:B192"/>
    <mergeCell ref="B146:B151"/>
    <mergeCell ref="B152:B154"/>
    <mergeCell ref="B155:B161"/>
    <mergeCell ref="B162:B166"/>
    <mergeCell ref="B167:B170"/>
    <mergeCell ref="B132:B135"/>
    <mergeCell ref="B136:B139"/>
    <mergeCell ref="B140:B142"/>
    <mergeCell ref="B123:B127"/>
    <mergeCell ref="B128:B131"/>
    <mergeCell ref="B193:B197"/>
    <mergeCell ref="B198:B203"/>
    <mergeCell ref="B204:B207"/>
    <mergeCell ref="B208:B215"/>
    <mergeCell ref="B216:C2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67"/>
  <sheetViews>
    <sheetView showGridLines="0" view="pageBreakPreview" zoomScale="115" zoomScaleNormal="100" zoomScaleSheetLayoutView="115" workbookViewId="0">
      <selection activeCell="G1" sqref="G1"/>
    </sheetView>
  </sheetViews>
  <sheetFormatPr baseColWidth="10" defaultColWidth="11.42578125" defaultRowHeight="15"/>
  <cols>
    <col min="1" max="1" width="9.28515625" style="13" customWidth="1"/>
    <col min="2" max="2" width="30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33"/>
      <c r="B7" s="96" t="s">
        <v>38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46" t="s">
        <v>27</v>
      </c>
      <c r="C11" s="45" t="s">
        <v>26</v>
      </c>
      <c r="D11" s="46" t="s">
        <v>19</v>
      </c>
      <c r="E11" s="33"/>
      <c r="F11" s="33"/>
    </row>
    <row r="12" spans="1:6" ht="16.5">
      <c r="A12" s="37"/>
      <c r="B12" s="66" t="s">
        <v>138</v>
      </c>
      <c r="C12" s="67">
        <v>8</v>
      </c>
      <c r="D12" s="68">
        <v>9.302325581395E-3</v>
      </c>
      <c r="E12" s="37"/>
      <c r="F12" s="37"/>
    </row>
    <row r="13" spans="1:6" ht="16.5">
      <c r="A13" s="37"/>
      <c r="B13" s="66" t="s">
        <v>139</v>
      </c>
      <c r="C13" s="67">
        <v>5</v>
      </c>
      <c r="D13" s="68">
        <v>5.8139534883720001E-3</v>
      </c>
      <c r="E13" s="37"/>
      <c r="F13" s="37"/>
    </row>
    <row r="14" spans="1:6" ht="16.5">
      <c r="A14" s="37"/>
      <c r="B14" s="66" t="s">
        <v>140</v>
      </c>
      <c r="C14" s="67">
        <v>2</v>
      </c>
      <c r="D14" s="68">
        <v>2.3255813953489998E-3</v>
      </c>
      <c r="E14" s="37"/>
      <c r="F14" s="37"/>
    </row>
    <row r="15" spans="1:6" ht="16.5">
      <c r="A15" s="37"/>
      <c r="B15" s="66" t="s">
        <v>141</v>
      </c>
      <c r="C15" s="67">
        <v>3</v>
      </c>
      <c r="D15" s="68">
        <v>3.4883720930229999E-3</v>
      </c>
      <c r="E15" s="37"/>
      <c r="F15" s="37"/>
    </row>
    <row r="16" spans="1:6" ht="16.5">
      <c r="A16" s="37"/>
      <c r="B16" s="66" t="s">
        <v>142</v>
      </c>
      <c r="C16" s="67">
        <v>5</v>
      </c>
      <c r="D16" s="68">
        <v>5.8139534883720001E-3</v>
      </c>
      <c r="E16" s="37"/>
      <c r="F16" s="37"/>
    </row>
    <row r="17" spans="1:6" ht="16.5">
      <c r="A17" s="37"/>
      <c r="B17" s="66" t="s">
        <v>143</v>
      </c>
      <c r="C17" s="67">
        <v>7</v>
      </c>
      <c r="D17" s="68">
        <v>8.1395348837209995E-3</v>
      </c>
      <c r="E17" s="37"/>
      <c r="F17" s="37"/>
    </row>
    <row r="18" spans="1:6" ht="16.5">
      <c r="A18" s="37"/>
      <c r="B18" s="66" t="s">
        <v>144</v>
      </c>
      <c r="C18" s="67">
        <v>45</v>
      </c>
      <c r="D18" s="68">
        <v>5.2325581395349E-2</v>
      </c>
      <c r="E18" s="37"/>
      <c r="F18" s="37"/>
    </row>
    <row r="19" spans="1:6" ht="16.5">
      <c r="A19" s="37"/>
      <c r="B19" s="66" t="s">
        <v>145</v>
      </c>
      <c r="C19" s="67">
        <v>63</v>
      </c>
      <c r="D19" s="68">
        <v>7.3255813953488E-2</v>
      </c>
      <c r="E19" s="37"/>
      <c r="F19" s="37"/>
    </row>
    <row r="20" spans="1:6" ht="16.5">
      <c r="A20" s="37"/>
      <c r="B20" s="66" t="s">
        <v>146</v>
      </c>
      <c r="C20" s="67">
        <v>1</v>
      </c>
      <c r="D20" s="68">
        <v>1.1627906976740001E-3</v>
      </c>
      <c r="E20" s="37"/>
      <c r="F20" s="37"/>
    </row>
    <row r="21" spans="1:6" ht="16.5">
      <c r="A21" s="37"/>
      <c r="B21" s="66" t="s">
        <v>147</v>
      </c>
      <c r="C21" s="67">
        <v>10</v>
      </c>
      <c r="D21" s="68">
        <v>1.1627906976744E-2</v>
      </c>
      <c r="E21" s="37"/>
      <c r="F21" s="37"/>
    </row>
    <row r="22" spans="1:6" ht="16.5">
      <c r="A22" s="37"/>
      <c r="B22" s="66" t="s">
        <v>148</v>
      </c>
      <c r="C22" s="67">
        <v>31</v>
      </c>
      <c r="D22" s="68">
        <v>3.6046511627907001E-2</v>
      </c>
      <c r="E22" s="37"/>
      <c r="F22" s="37"/>
    </row>
    <row r="23" spans="1:6" ht="16.5">
      <c r="A23" s="37"/>
      <c r="B23" s="66" t="s">
        <v>149</v>
      </c>
      <c r="C23" s="67">
        <v>286</v>
      </c>
      <c r="D23" s="68">
        <v>0.332558139534884</v>
      </c>
      <c r="E23" s="37"/>
      <c r="F23" s="37"/>
    </row>
    <row r="24" spans="1:6" ht="16.5">
      <c r="A24" s="37"/>
      <c r="B24" s="66" t="s">
        <v>150</v>
      </c>
      <c r="C24" s="67">
        <v>10</v>
      </c>
      <c r="D24" s="68">
        <v>1.1627906976744E-2</v>
      </c>
      <c r="E24" s="37"/>
      <c r="F24" s="37"/>
    </row>
    <row r="25" spans="1:6" ht="16.5">
      <c r="A25" s="37"/>
      <c r="B25" s="66" t="s">
        <v>151</v>
      </c>
      <c r="C25" s="67">
        <v>72</v>
      </c>
      <c r="D25" s="68">
        <v>8.3720930232558E-2</v>
      </c>
      <c r="E25" s="37"/>
      <c r="F25" s="37"/>
    </row>
    <row r="26" spans="1:6" ht="15" customHeight="1">
      <c r="A26" s="37"/>
      <c r="B26" s="66" t="s">
        <v>152</v>
      </c>
      <c r="C26" s="67">
        <v>238</v>
      </c>
      <c r="D26" s="68">
        <v>0.27674418604651202</v>
      </c>
      <c r="E26" s="37"/>
      <c r="F26" s="37"/>
    </row>
    <row r="27" spans="1:6" ht="16.5">
      <c r="A27" s="37"/>
      <c r="B27" s="66" t="s">
        <v>153</v>
      </c>
      <c r="C27" s="67">
        <v>1</v>
      </c>
      <c r="D27" s="68">
        <v>1.1627906976740001E-3</v>
      </c>
      <c r="E27" s="37"/>
      <c r="F27" s="37"/>
    </row>
    <row r="28" spans="1:6" ht="16.5">
      <c r="A28" s="37"/>
      <c r="B28" s="66" t="s">
        <v>154</v>
      </c>
      <c r="C28" s="67">
        <v>6</v>
      </c>
      <c r="D28" s="68">
        <v>6.9767441860469999E-3</v>
      </c>
      <c r="E28" s="37"/>
      <c r="F28" s="37"/>
    </row>
    <row r="29" spans="1:6" ht="16.5">
      <c r="A29" s="37"/>
      <c r="B29" s="66" t="s">
        <v>155</v>
      </c>
      <c r="C29" s="67">
        <v>1</v>
      </c>
      <c r="D29" s="68">
        <v>1.1627906976740001E-3</v>
      </c>
      <c r="E29" s="37"/>
      <c r="F29" s="37"/>
    </row>
    <row r="30" spans="1:6" ht="16.5">
      <c r="A30" s="37"/>
      <c r="B30" s="66" t="s">
        <v>156</v>
      </c>
      <c r="C30" s="67">
        <v>1</v>
      </c>
      <c r="D30" s="68">
        <v>1.1627906976740001E-3</v>
      </c>
      <c r="E30" s="37"/>
      <c r="F30" s="37"/>
    </row>
    <row r="31" spans="1:6" ht="16.5">
      <c r="A31" s="37"/>
      <c r="B31" s="66" t="s">
        <v>157</v>
      </c>
      <c r="C31" s="67">
        <v>13</v>
      </c>
      <c r="D31" s="68">
        <v>1.5116279069766999E-2</v>
      </c>
      <c r="E31" s="37"/>
      <c r="F31" s="37"/>
    </row>
    <row r="32" spans="1:6" ht="16.5">
      <c r="A32" s="37"/>
      <c r="B32" s="66" t="s">
        <v>158</v>
      </c>
      <c r="C32" s="67">
        <v>49</v>
      </c>
      <c r="D32" s="68">
        <v>5.6976744186047E-2</v>
      </c>
      <c r="E32" s="37"/>
      <c r="F32" s="37"/>
    </row>
    <row r="33" spans="1:6" ht="16.5">
      <c r="A33" s="37"/>
      <c r="B33" s="66" t="s">
        <v>213</v>
      </c>
      <c r="C33" s="67">
        <v>1</v>
      </c>
      <c r="D33" s="68">
        <v>1.1627906976740001E-3</v>
      </c>
      <c r="E33" s="37"/>
      <c r="F33" s="37"/>
    </row>
    <row r="34" spans="1:6" ht="16.5">
      <c r="A34" s="37"/>
      <c r="B34" s="66" t="s">
        <v>159</v>
      </c>
      <c r="C34" s="67">
        <v>2</v>
      </c>
      <c r="D34" s="68">
        <v>2.3255813953489998E-3</v>
      </c>
      <c r="E34" s="37"/>
      <c r="F34" s="37"/>
    </row>
    <row r="35" spans="1:6" ht="16.5">
      <c r="A35" s="37"/>
      <c r="B35" s="79" t="s">
        <v>231</v>
      </c>
      <c r="C35" s="70">
        <v>860</v>
      </c>
      <c r="D35" s="71">
        <v>1</v>
      </c>
      <c r="E35" s="37"/>
      <c r="F35" s="37"/>
    </row>
    <row r="36" spans="1:6" ht="16.5">
      <c r="A36" s="37"/>
      <c r="B36" s="48"/>
      <c r="C36" s="39"/>
      <c r="D36" s="37"/>
      <c r="E36" s="37"/>
      <c r="F36" s="37"/>
    </row>
    <row r="37" spans="1:6" ht="16.5">
      <c r="A37" s="37"/>
      <c r="B37" s="38" t="s">
        <v>189</v>
      </c>
      <c r="C37" s="39"/>
      <c r="D37" s="37"/>
      <c r="E37" s="37"/>
      <c r="F37" s="37"/>
    </row>
    <row r="38" spans="1:6" ht="16.5">
      <c r="A38" s="37"/>
      <c r="B38" s="40" t="s">
        <v>18</v>
      </c>
      <c r="C38" s="39"/>
      <c r="D38" s="37"/>
      <c r="E38" s="37"/>
      <c r="F38" s="37"/>
    </row>
    <row r="39" spans="1:6" ht="16.5">
      <c r="A39" s="37"/>
      <c r="B39" s="41" t="s">
        <v>46</v>
      </c>
      <c r="C39" s="39"/>
      <c r="D39" s="37"/>
      <c r="E39" s="37"/>
      <c r="F39" s="37"/>
    </row>
    <row r="40" spans="1:6" ht="16.5">
      <c r="A40" s="48"/>
      <c r="B40" s="38" t="s">
        <v>17</v>
      </c>
      <c r="C40" s="39"/>
      <c r="D40" s="37"/>
      <c r="E40" s="37"/>
      <c r="F40" s="37"/>
    </row>
    <row r="41" spans="1:6" ht="16.5">
      <c r="A41" s="37"/>
      <c r="B41" s="38" t="s">
        <v>228</v>
      </c>
      <c r="C41" s="39"/>
      <c r="D41" s="37"/>
      <c r="E41" s="37"/>
      <c r="F41" s="37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268"/>
  <sheetViews>
    <sheetView showGridLines="0" view="pageBreakPreview" topLeftCell="A239" zoomScaleNormal="100" zoomScaleSheetLayoutView="100" workbookViewId="0">
      <selection activeCell="E262" sqref="E262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.28515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0"/>
      <c r="C7" s="100"/>
      <c r="D7" s="100"/>
      <c r="E7" s="100"/>
    </row>
    <row r="8" spans="1:5" s="22" customFormat="1" ht="33" customHeight="1">
      <c r="A8" s="23"/>
      <c r="B8" s="100"/>
      <c r="C8" s="100"/>
      <c r="D8" s="100"/>
      <c r="E8" s="100"/>
    </row>
    <row r="9" spans="1:5" s="15" customFormat="1" ht="40.5" customHeight="1">
      <c r="B9" s="50" t="s">
        <v>28</v>
      </c>
      <c r="C9" s="51" t="s">
        <v>25</v>
      </c>
      <c r="D9" s="52" t="s">
        <v>20</v>
      </c>
      <c r="E9" s="50" t="s">
        <v>19</v>
      </c>
    </row>
    <row r="10" spans="1:5" ht="14.45" customHeight="1">
      <c r="B10" s="97" t="s">
        <v>138</v>
      </c>
      <c r="C10" s="60" t="s">
        <v>92</v>
      </c>
      <c r="D10" s="61">
        <v>2</v>
      </c>
      <c r="E10" s="62">
        <v>2E-3</v>
      </c>
    </row>
    <row r="11" spans="1:5" ht="14.45" customHeight="1">
      <c r="B11" s="98"/>
      <c r="C11" s="60" t="s">
        <v>96</v>
      </c>
      <c r="D11" s="61">
        <v>2</v>
      </c>
      <c r="E11" s="62">
        <v>2E-3</v>
      </c>
    </row>
    <row r="12" spans="1:5" ht="14.45" customHeight="1">
      <c r="B12" s="98"/>
      <c r="C12" s="60" t="s">
        <v>97</v>
      </c>
      <c r="D12" s="61">
        <v>1</v>
      </c>
      <c r="E12" s="62">
        <v>1E-3</v>
      </c>
    </row>
    <row r="13" spans="1:5" ht="14.45" customHeight="1">
      <c r="B13" s="98"/>
      <c r="C13" s="60" t="s">
        <v>99</v>
      </c>
      <c r="D13" s="61">
        <v>1</v>
      </c>
      <c r="E13" s="62">
        <v>1E-3</v>
      </c>
    </row>
    <row r="14" spans="1:5" ht="14.45" customHeight="1">
      <c r="B14" s="98"/>
      <c r="C14" s="60" t="s">
        <v>103</v>
      </c>
      <c r="D14" s="61">
        <v>1</v>
      </c>
      <c r="E14" s="62">
        <v>1E-3</v>
      </c>
    </row>
    <row r="15" spans="1:5" ht="14.45" customHeight="1">
      <c r="B15" s="98"/>
      <c r="C15" s="60" t="s">
        <v>112</v>
      </c>
      <c r="D15" s="61">
        <v>1</v>
      </c>
      <c r="E15" s="62">
        <v>1E-3</v>
      </c>
    </row>
    <row r="16" spans="1:5" ht="14.45" customHeight="1">
      <c r="B16" s="99"/>
      <c r="C16" s="78" t="s">
        <v>227</v>
      </c>
      <c r="D16" s="76">
        <v>8</v>
      </c>
      <c r="E16" s="77">
        <v>8.9999999999999993E-3</v>
      </c>
    </row>
    <row r="17" spans="2:5" ht="14.45" customHeight="1">
      <c r="B17" s="97" t="s">
        <v>194</v>
      </c>
      <c r="C17" s="60" t="s">
        <v>96</v>
      </c>
      <c r="D17" s="61">
        <v>1</v>
      </c>
      <c r="E17" s="62">
        <v>1E-3</v>
      </c>
    </row>
    <row r="18" spans="2:5" ht="14.45" customHeight="1">
      <c r="B18" s="98"/>
      <c r="C18" s="60" t="s">
        <v>105</v>
      </c>
      <c r="D18" s="61">
        <v>1</v>
      </c>
      <c r="E18" s="62">
        <v>1E-3</v>
      </c>
    </row>
    <row r="19" spans="2:5" ht="14.45" customHeight="1">
      <c r="B19" s="98"/>
      <c r="C19" s="60" t="s">
        <v>115</v>
      </c>
      <c r="D19" s="61">
        <v>1</v>
      </c>
      <c r="E19" s="62">
        <v>1E-3</v>
      </c>
    </row>
    <row r="20" spans="2:5" ht="14.45" customHeight="1">
      <c r="B20" s="98"/>
      <c r="C20" s="60" t="s">
        <v>118</v>
      </c>
      <c r="D20" s="61">
        <v>1</v>
      </c>
      <c r="E20" s="62">
        <v>1E-3</v>
      </c>
    </row>
    <row r="21" spans="2:5" ht="14.45" customHeight="1">
      <c r="B21" s="98"/>
      <c r="C21" s="60" t="s">
        <v>122</v>
      </c>
      <c r="D21" s="61">
        <v>1</v>
      </c>
      <c r="E21" s="62">
        <v>1E-3</v>
      </c>
    </row>
    <row r="22" spans="2:5" ht="14.45" customHeight="1">
      <c r="B22" s="98" t="s">
        <v>195</v>
      </c>
      <c r="C22" s="78" t="s">
        <v>227</v>
      </c>
      <c r="D22" s="76">
        <v>5</v>
      </c>
      <c r="E22" s="77">
        <v>6.0000000000000001E-3</v>
      </c>
    </row>
    <row r="23" spans="2:5" ht="14.45" customHeight="1">
      <c r="B23" s="97" t="s">
        <v>196</v>
      </c>
      <c r="C23" s="60" t="s">
        <v>89</v>
      </c>
      <c r="D23" s="61">
        <v>1</v>
      </c>
      <c r="E23" s="62">
        <v>1E-3</v>
      </c>
    </row>
    <row r="24" spans="2:5" ht="14.45" customHeight="1">
      <c r="B24" s="98"/>
      <c r="C24" s="60" t="s">
        <v>92</v>
      </c>
      <c r="D24" s="61">
        <v>1</v>
      </c>
      <c r="E24" s="62">
        <v>1E-3</v>
      </c>
    </row>
    <row r="25" spans="2:5" ht="14.45" customHeight="1">
      <c r="B25" s="98" t="s">
        <v>197</v>
      </c>
      <c r="C25" s="78" t="s">
        <v>227</v>
      </c>
      <c r="D25" s="76">
        <v>2</v>
      </c>
      <c r="E25" s="77">
        <v>2E-3</v>
      </c>
    </row>
    <row r="26" spans="2:5" ht="14.45" customHeight="1">
      <c r="B26" s="97" t="s">
        <v>198</v>
      </c>
      <c r="C26" s="60" t="s">
        <v>89</v>
      </c>
      <c r="D26" s="61">
        <v>1</v>
      </c>
      <c r="E26" s="62">
        <v>1E-3</v>
      </c>
    </row>
    <row r="27" spans="2:5" ht="14.45" customHeight="1">
      <c r="B27" s="98"/>
      <c r="C27" s="60" t="s">
        <v>96</v>
      </c>
      <c r="D27" s="61">
        <v>1</v>
      </c>
      <c r="E27" s="62">
        <v>1E-3</v>
      </c>
    </row>
    <row r="28" spans="2:5" ht="14.45" customHeight="1">
      <c r="B28" s="98"/>
      <c r="C28" s="60" t="s">
        <v>122</v>
      </c>
      <c r="D28" s="61">
        <v>1</v>
      </c>
      <c r="E28" s="62">
        <v>1E-3</v>
      </c>
    </row>
    <row r="29" spans="2:5" ht="14.45" customHeight="1">
      <c r="B29" s="98" t="s">
        <v>199</v>
      </c>
      <c r="C29" s="78" t="s">
        <v>227</v>
      </c>
      <c r="D29" s="76">
        <v>3</v>
      </c>
      <c r="E29" s="77">
        <v>3.0000000000000001E-3</v>
      </c>
    </row>
    <row r="30" spans="2:5" ht="14.45" customHeight="1">
      <c r="B30" s="97" t="s">
        <v>200</v>
      </c>
      <c r="C30" s="60" t="s">
        <v>92</v>
      </c>
      <c r="D30" s="61">
        <v>1</v>
      </c>
      <c r="E30" s="62">
        <v>1E-3</v>
      </c>
    </row>
    <row r="31" spans="2:5" ht="14.45" customHeight="1">
      <c r="B31" s="98"/>
      <c r="C31" s="60" t="s">
        <v>120</v>
      </c>
      <c r="D31" s="61">
        <v>1</v>
      </c>
      <c r="E31" s="62">
        <v>1E-3</v>
      </c>
    </row>
    <row r="32" spans="2:5" ht="14.45" customHeight="1">
      <c r="B32" s="98"/>
      <c r="C32" s="60" t="s">
        <v>124</v>
      </c>
      <c r="D32" s="61">
        <v>1</v>
      </c>
      <c r="E32" s="62">
        <v>1E-3</v>
      </c>
    </row>
    <row r="33" spans="2:5" ht="14.45" customHeight="1">
      <c r="B33" s="98"/>
      <c r="C33" s="60" t="s">
        <v>53</v>
      </c>
      <c r="D33" s="61">
        <v>1</v>
      </c>
      <c r="E33" s="62">
        <v>1E-3</v>
      </c>
    </row>
    <row r="34" spans="2:5" ht="14.45" customHeight="1">
      <c r="B34" s="98"/>
      <c r="C34" s="60" t="s">
        <v>126</v>
      </c>
      <c r="D34" s="61">
        <v>1</v>
      </c>
      <c r="E34" s="62">
        <v>1E-3</v>
      </c>
    </row>
    <row r="35" spans="2:5" ht="14.45" customHeight="1">
      <c r="B35" s="98" t="s">
        <v>201</v>
      </c>
      <c r="C35" s="78" t="s">
        <v>227</v>
      </c>
      <c r="D35" s="76">
        <v>5</v>
      </c>
      <c r="E35" s="77">
        <v>6.0000000000000001E-3</v>
      </c>
    </row>
    <row r="36" spans="2:5" ht="14.45" customHeight="1">
      <c r="B36" s="97" t="s">
        <v>202</v>
      </c>
      <c r="C36" s="60" t="s">
        <v>91</v>
      </c>
      <c r="D36" s="61">
        <v>1</v>
      </c>
      <c r="E36" s="62">
        <v>1E-3</v>
      </c>
    </row>
    <row r="37" spans="2:5" ht="14.45" customHeight="1">
      <c r="B37" s="98"/>
      <c r="C37" s="60" t="s">
        <v>92</v>
      </c>
      <c r="D37" s="61">
        <v>3</v>
      </c>
      <c r="E37" s="62">
        <v>3.0000000000000001E-3</v>
      </c>
    </row>
    <row r="38" spans="2:5" ht="14.45" customHeight="1">
      <c r="B38" s="98"/>
      <c r="C38" s="60" t="s">
        <v>96</v>
      </c>
      <c r="D38" s="61">
        <v>1</v>
      </c>
      <c r="E38" s="62">
        <v>1E-3</v>
      </c>
    </row>
    <row r="39" spans="2:5" ht="14.45" customHeight="1">
      <c r="B39" s="98"/>
      <c r="C39" s="60" t="s">
        <v>122</v>
      </c>
      <c r="D39" s="61">
        <v>1</v>
      </c>
      <c r="E39" s="62">
        <v>1E-3</v>
      </c>
    </row>
    <row r="40" spans="2:5" ht="14.45" customHeight="1">
      <c r="B40" s="98"/>
      <c r="C40" s="60" t="s">
        <v>124</v>
      </c>
      <c r="D40" s="61">
        <v>1</v>
      </c>
      <c r="E40" s="62">
        <v>1E-3</v>
      </c>
    </row>
    <row r="41" spans="2:5" ht="14.45" customHeight="1">
      <c r="B41" s="98" t="s">
        <v>203</v>
      </c>
      <c r="C41" s="78" t="s">
        <v>227</v>
      </c>
      <c r="D41" s="76">
        <v>7</v>
      </c>
      <c r="E41" s="77">
        <v>8.0000000000000002E-3</v>
      </c>
    </row>
    <row r="42" spans="2:5" ht="14.45" customHeight="1">
      <c r="B42" s="97" t="s">
        <v>204</v>
      </c>
      <c r="C42" s="60" t="s">
        <v>89</v>
      </c>
      <c r="D42" s="61">
        <v>2</v>
      </c>
      <c r="E42" s="62">
        <v>2E-3</v>
      </c>
    </row>
    <row r="43" spans="2:5" ht="14.45" customHeight="1">
      <c r="B43" s="98"/>
      <c r="C43" s="60" t="s">
        <v>91</v>
      </c>
      <c r="D43" s="61">
        <v>2</v>
      </c>
      <c r="E43" s="62">
        <v>2E-3</v>
      </c>
    </row>
    <row r="44" spans="2:5" ht="14.45" customHeight="1">
      <c r="B44" s="98"/>
      <c r="C44" s="60" t="s">
        <v>92</v>
      </c>
      <c r="D44" s="61">
        <v>9</v>
      </c>
      <c r="E44" s="62">
        <v>0.01</v>
      </c>
    </row>
    <row r="45" spans="2:5" ht="14.45" customHeight="1">
      <c r="B45" s="98"/>
      <c r="C45" s="60" t="s">
        <v>96</v>
      </c>
      <c r="D45" s="61">
        <v>4</v>
      </c>
      <c r="E45" s="62">
        <v>5.0000000000000001E-3</v>
      </c>
    </row>
    <row r="46" spans="2:5" ht="14.45" customHeight="1">
      <c r="B46" s="98"/>
      <c r="C46" s="60" t="s">
        <v>98</v>
      </c>
      <c r="D46" s="61">
        <v>2</v>
      </c>
      <c r="E46" s="62">
        <v>2E-3</v>
      </c>
    </row>
    <row r="47" spans="2:5" ht="14.45" customHeight="1">
      <c r="B47" s="98"/>
      <c r="C47" s="60" t="s">
        <v>106</v>
      </c>
      <c r="D47" s="61">
        <v>1</v>
      </c>
      <c r="E47" s="62">
        <v>1E-3</v>
      </c>
    </row>
    <row r="48" spans="2:5" ht="14.45" customHeight="1">
      <c r="B48" s="98"/>
      <c r="C48" s="60" t="s">
        <v>107</v>
      </c>
      <c r="D48" s="61">
        <v>1</v>
      </c>
      <c r="E48" s="62">
        <v>1E-3</v>
      </c>
    </row>
    <row r="49" spans="2:5" ht="14.45" customHeight="1">
      <c r="B49" s="98"/>
      <c r="C49" s="60" t="s">
        <v>108</v>
      </c>
      <c r="D49" s="61">
        <v>1</v>
      </c>
      <c r="E49" s="62">
        <v>1E-3</v>
      </c>
    </row>
    <row r="50" spans="2:5" ht="14.45" customHeight="1">
      <c r="B50" s="98"/>
      <c r="C50" s="60" t="s">
        <v>112</v>
      </c>
      <c r="D50" s="61">
        <v>1</v>
      </c>
      <c r="E50" s="62">
        <v>1E-3</v>
      </c>
    </row>
    <row r="51" spans="2:5" ht="14.45" customHeight="1">
      <c r="B51" s="98"/>
      <c r="C51" s="60" t="s">
        <v>115</v>
      </c>
      <c r="D51" s="61">
        <v>2</v>
      </c>
      <c r="E51" s="62">
        <v>2E-3</v>
      </c>
    </row>
    <row r="52" spans="2:5" ht="14.45" customHeight="1">
      <c r="B52" s="98"/>
      <c r="C52" s="60" t="s">
        <v>116</v>
      </c>
      <c r="D52" s="61">
        <v>2</v>
      </c>
      <c r="E52" s="62">
        <v>2E-3</v>
      </c>
    </row>
    <row r="53" spans="2:5" ht="14.45" customHeight="1">
      <c r="B53" s="98"/>
      <c r="C53" s="60" t="s">
        <v>118</v>
      </c>
      <c r="D53" s="61">
        <v>2</v>
      </c>
      <c r="E53" s="62">
        <v>2E-3</v>
      </c>
    </row>
    <row r="54" spans="2:5" ht="14.45" customHeight="1">
      <c r="B54" s="98"/>
      <c r="C54" s="60" t="s">
        <v>120</v>
      </c>
      <c r="D54" s="61">
        <v>1</v>
      </c>
      <c r="E54" s="62">
        <v>1E-3</v>
      </c>
    </row>
    <row r="55" spans="2:5" ht="14.45" customHeight="1">
      <c r="B55" s="98"/>
      <c r="C55" s="60" t="s">
        <v>121</v>
      </c>
      <c r="D55" s="61">
        <v>3</v>
      </c>
      <c r="E55" s="62">
        <v>3.0000000000000001E-3</v>
      </c>
    </row>
    <row r="56" spans="2:5" ht="14.45" customHeight="1">
      <c r="B56" s="98"/>
      <c r="C56" s="60" t="s">
        <v>122</v>
      </c>
      <c r="D56" s="61">
        <v>7</v>
      </c>
      <c r="E56" s="62">
        <v>8.0000000000000002E-3</v>
      </c>
    </row>
    <row r="57" spans="2:5" ht="14.45" customHeight="1">
      <c r="B57" s="98"/>
      <c r="C57" s="60" t="s">
        <v>124</v>
      </c>
      <c r="D57" s="61">
        <v>4</v>
      </c>
      <c r="E57" s="62">
        <v>5.0000000000000001E-3</v>
      </c>
    </row>
    <row r="58" spans="2:5" ht="14.45" customHeight="1">
      <c r="B58" s="98"/>
      <c r="C58" s="60" t="s">
        <v>53</v>
      </c>
      <c r="D58" s="61">
        <v>1</v>
      </c>
      <c r="E58" s="62">
        <v>1E-3</v>
      </c>
    </row>
    <row r="59" spans="2:5" ht="14.45" customHeight="1">
      <c r="B59" s="99"/>
      <c r="C59" s="78" t="s">
        <v>227</v>
      </c>
      <c r="D59" s="76">
        <v>45</v>
      </c>
      <c r="E59" s="77">
        <v>5.1999999999999998E-2</v>
      </c>
    </row>
    <row r="60" spans="2:5" ht="14.45" customHeight="1">
      <c r="B60" s="97" t="s">
        <v>145</v>
      </c>
      <c r="C60" s="60" t="s">
        <v>89</v>
      </c>
      <c r="D60" s="61">
        <v>8</v>
      </c>
      <c r="E60" s="62">
        <v>8.9999999999999993E-3</v>
      </c>
    </row>
    <row r="61" spans="2:5" ht="14.45" customHeight="1">
      <c r="B61" s="98"/>
      <c r="C61" s="60" t="s">
        <v>91</v>
      </c>
      <c r="D61" s="61">
        <v>1</v>
      </c>
      <c r="E61" s="62">
        <v>1E-3</v>
      </c>
    </row>
    <row r="62" spans="2:5" ht="14.45" customHeight="1">
      <c r="B62" s="98"/>
      <c r="C62" s="60" t="s">
        <v>92</v>
      </c>
      <c r="D62" s="61">
        <v>15</v>
      </c>
      <c r="E62" s="62">
        <v>1.7000000000000001E-2</v>
      </c>
    </row>
    <row r="63" spans="2:5" ht="14.45" customHeight="1">
      <c r="B63" s="98"/>
      <c r="C63" s="60" t="s">
        <v>93</v>
      </c>
      <c r="D63" s="61">
        <v>2</v>
      </c>
      <c r="E63" s="62">
        <v>2E-3</v>
      </c>
    </row>
    <row r="64" spans="2:5" ht="14.45" customHeight="1">
      <c r="B64" s="98"/>
      <c r="C64" s="60" t="s">
        <v>96</v>
      </c>
      <c r="D64" s="61">
        <v>4</v>
      </c>
      <c r="E64" s="62">
        <v>5.0000000000000001E-3</v>
      </c>
    </row>
    <row r="65" spans="2:5" ht="14.45" customHeight="1">
      <c r="B65" s="98"/>
      <c r="C65" s="60" t="s">
        <v>97</v>
      </c>
      <c r="D65" s="61">
        <v>2</v>
      </c>
      <c r="E65" s="62">
        <v>2E-3</v>
      </c>
    </row>
    <row r="66" spans="2:5" ht="14.45" customHeight="1">
      <c r="B66" s="98"/>
      <c r="C66" s="60" t="s">
        <v>98</v>
      </c>
      <c r="D66" s="61">
        <v>3</v>
      </c>
      <c r="E66" s="62">
        <v>3.0000000000000001E-3</v>
      </c>
    </row>
    <row r="67" spans="2:5" ht="14.45" customHeight="1">
      <c r="B67" s="98"/>
      <c r="C67" s="60" t="s">
        <v>107</v>
      </c>
      <c r="D67" s="61">
        <v>2</v>
      </c>
      <c r="E67" s="62">
        <v>2E-3</v>
      </c>
    </row>
    <row r="68" spans="2:5" ht="14.45" customHeight="1">
      <c r="B68" s="98"/>
      <c r="C68" s="60" t="s">
        <v>110</v>
      </c>
      <c r="D68" s="61">
        <v>1</v>
      </c>
      <c r="E68" s="62">
        <v>1E-3</v>
      </c>
    </row>
    <row r="69" spans="2:5" ht="14.45" customHeight="1">
      <c r="B69" s="98"/>
      <c r="C69" s="60" t="s">
        <v>115</v>
      </c>
      <c r="D69" s="61">
        <v>4</v>
      </c>
      <c r="E69" s="62">
        <v>5.0000000000000001E-3</v>
      </c>
    </row>
    <row r="70" spans="2:5" ht="14.45" customHeight="1">
      <c r="B70" s="98"/>
      <c r="C70" s="60" t="s">
        <v>117</v>
      </c>
      <c r="D70" s="61">
        <v>2</v>
      </c>
      <c r="E70" s="62">
        <v>2E-3</v>
      </c>
    </row>
    <row r="71" spans="2:5" ht="14.45" customHeight="1">
      <c r="B71" s="98"/>
      <c r="C71" s="60" t="s">
        <v>118</v>
      </c>
      <c r="D71" s="61">
        <v>1</v>
      </c>
      <c r="E71" s="62">
        <v>1E-3</v>
      </c>
    </row>
    <row r="72" spans="2:5" ht="14.45" customHeight="1">
      <c r="B72" s="98"/>
      <c r="C72" s="60" t="s">
        <v>119</v>
      </c>
      <c r="D72" s="61">
        <v>3</v>
      </c>
      <c r="E72" s="62">
        <v>3.0000000000000001E-3</v>
      </c>
    </row>
    <row r="73" spans="2:5" ht="14.45" customHeight="1">
      <c r="B73" s="98"/>
      <c r="C73" s="60" t="s">
        <v>120</v>
      </c>
      <c r="D73" s="61">
        <v>1</v>
      </c>
      <c r="E73" s="62">
        <v>1E-3</v>
      </c>
    </row>
    <row r="74" spans="2:5" ht="14.45" customHeight="1">
      <c r="B74" s="98"/>
      <c r="C74" s="60" t="s">
        <v>121</v>
      </c>
      <c r="D74" s="61">
        <v>6</v>
      </c>
      <c r="E74" s="62">
        <v>7.0000000000000001E-3</v>
      </c>
    </row>
    <row r="75" spans="2:5" ht="14.45" customHeight="1">
      <c r="B75" s="98"/>
      <c r="C75" s="60" t="s">
        <v>122</v>
      </c>
      <c r="D75" s="61">
        <v>5</v>
      </c>
      <c r="E75" s="62">
        <v>6.0000000000000001E-3</v>
      </c>
    </row>
    <row r="76" spans="2:5" ht="14.45" customHeight="1">
      <c r="B76" s="98"/>
      <c r="C76" s="60" t="s">
        <v>124</v>
      </c>
      <c r="D76" s="61">
        <v>2</v>
      </c>
      <c r="E76" s="62">
        <v>2E-3</v>
      </c>
    </row>
    <row r="77" spans="2:5" ht="14.45" customHeight="1">
      <c r="B77" s="98"/>
      <c r="C77" s="60" t="s">
        <v>126</v>
      </c>
      <c r="D77" s="61">
        <v>1</v>
      </c>
      <c r="E77" s="62">
        <v>1E-3</v>
      </c>
    </row>
    <row r="78" spans="2:5" ht="14.45" customHeight="1">
      <c r="B78" s="99"/>
      <c r="C78" s="78" t="s">
        <v>227</v>
      </c>
      <c r="D78" s="76">
        <v>63</v>
      </c>
      <c r="E78" s="77">
        <v>7.2999999999999995E-2</v>
      </c>
    </row>
    <row r="79" spans="2:5" ht="14.45" customHeight="1">
      <c r="B79" s="97" t="s">
        <v>205</v>
      </c>
      <c r="C79" s="60" t="s">
        <v>124</v>
      </c>
      <c r="D79" s="61">
        <v>1</v>
      </c>
      <c r="E79" s="62">
        <v>1E-3</v>
      </c>
    </row>
    <row r="80" spans="2:5" ht="14.45" customHeight="1">
      <c r="B80" s="98" t="s">
        <v>206</v>
      </c>
      <c r="C80" s="78" t="s">
        <v>227</v>
      </c>
      <c r="D80" s="76">
        <v>1</v>
      </c>
      <c r="E80" s="77">
        <v>1E-3</v>
      </c>
    </row>
    <row r="81" spans="2:5" ht="14.45" customHeight="1">
      <c r="B81" s="97" t="s">
        <v>207</v>
      </c>
      <c r="C81" s="60" t="s">
        <v>89</v>
      </c>
      <c r="D81" s="61">
        <v>1</v>
      </c>
      <c r="E81" s="62">
        <v>1E-3</v>
      </c>
    </row>
    <row r="82" spans="2:5" ht="14.45" customHeight="1">
      <c r="B82" s="98"/>
      <c r="C82" s="60" t="s">
        <v>92</v>
      </c>
      <c r="D82" s="61">
        <v>1</v>
      </c>
      <c r="E82" s="62">
        <v>1E-3</v>
      </c>
    </row>
    <row r="83" spans="2:5" ht="14.45" customHeight="1">
      <c r="B83" s="98"/>
      <c r="C83" s="60" t="s">
        <v>101</v>
      </c>
      <c r="D83" s="61">
        <v>1</v>
      </c>
      <c r="E83" s="62">
        <v>1E-3</v>
      </c>
    </row>
    <row r="84" spans="2:5" ht="14.45" customHeight="1">
      <c r="B84" s="98"/>
      <c r="C84" s="60" t="s">
        <v>106</v>
      </c>
      <c r="D84" s="61">
        <v>1</v>
      </c>
      <c r="E84" s="62">
        <v>1E-3</v>
      </c>
    </row>
    <row r="85" spans="2:5" ht="14.45" customHeight="1">
      <c r="B85" s="98"/>
      <c r="C85" s="60" t="s">
        <v>108</v>
      </c>
      <c r="D85" s="61">
        <v>1</v>
      </c>
      <c r="E85" s="62">
        <v>1E-3</v>
      </c>
    </row>
    <row r="86" spans="2:5" ht="14.45" customHeight="1">
      <c r="B86" s="98"/>
      <c r="C86" s="60" t="s">
        <v>121</v>
      </c>
      <c r="D86" s="61">
        <v>1</v>
      </c>
      <c r="E86" s="62">
        <v>1E-3</v>
      </c>
    </row>
    <row r="87" spans="2:5" ht="14.45" customHeight="1">
      <c r="B87" s="98"/>
      <c r="C87" s="60" t="s">
        <v>122</v>
      </c>
      <c r="D87" s="61">
        <v>3</v>
      </c>
      <c r="E87" s="62">
        <v>3.0000000000000001E-3</v>
      </c>
    </row>
    <row r="88" spans="2:5" ht="14.45" customHeight="1">
      <c r="B88" s="98"/>
      <c r="C88" s="60" t="s">
        <v>53</v>
      </c>
      <c r="D88" s="61">
        <v>1</v>
      </c>
      <c r="E88" s="62">
        <v>1E-3</v>
      </c>
    </row>
    <row r="89" spans="2:5" ht="14.45" customHeight="1">
      <c r="B89" s="99"/>
      <c r="C89" s="78" t="s">
        <v>227</v>
      </c>
      <c r="D89" s="76">
        <v>10</v>
      </c>
      <c r="E89" s="77">
        <v>1.2E-2</v>
      </c>
    </row>
    <row r="90" spans="2:5" ht="14.45" customHeight="1">
      <c r="B90" s="97" t="s">
        <v>208</v>
      </c>
      <c r="C90" s="60" t="s">
        <v>89</v>
      </c>
      <c r="D90" s="61">
        <v>2</v>
      </c>
      <c r="E90" s="62">
        <v>2E-3</v>
      </c>
    </row>
    <row r="91" spans="2:5" ht="14.45" customHeight="1">
      <c r="B91" s="98"/>
      <c r="C91" s="60" t="s">
        <v>91</v>
      </c>
      <c r="D91" s="61">
        <v>1</v>
      </c>
      <c r="E91" s="62">
        <v>1E-3</v>
      </c>
    </row>
    <row r="92" spans="2:5" ht="14.45" customHeight="1">
      <c r="B92" s="98"/>
      <c r="C92" s="60" t="s">
        <v>92</v>
      </c>
      <c r="D92" s="61">
        <v>8</v>
      </c>
      <c r="E92" s="62">
        <v>8.9999999999999993E-3</v>
      </c>
    </row>
    <row r="93" spans="2:5" ht="14.45" customHeight="1">
      <c r="B93" s="98"/>
      <c r="C93" s="60" t="s">
        <v>93</v>
      </c>
      <c r="D93" s="61">
        <v>1</v>
      </c>
      <c r="E93" s="62">
        <v>1E-3</v>
      </c>
    </row>
    <row r="94" spans="2:5" ht="14.45" customHeight="1">
      <c r="B94" s="98"/>
      <c r="C94" s="60" t="s">
        <v>96</v>
      </c>
      <c r="D94" s="61">
        <v>2</v>
      </c>
      <c r="E94" s="62">
        <v>2E-3</v>
      </c>
    </row>
    <row r="95" spans="2:5" ht="14.45" customHeight="1">
      <c r="B95" s="98"/>
      <c r="C95" s="60" t="s">
        <v>98</v>
      </c>
      <c r="D95" s="61">
        <v>1</v>
      </c>
      <c r="E95" s="62">
        <v>1E-3</v>
      </c>
    </row>
    <row r="96" spans="2:5" ht="14.45" customHeight="1">
      <c r="B96" s="98"/>
      <c r="C96" s="60" t="s">
        <v>99</v>
      </c>
      <c r="D96" s="61">
        <v>1</v>
      </c>
      <c r="E96" s="62">
        <v>1E-3</v>
      </c>
    </row>
    <row r="97" spans="2:5" ht="14.45" customHeight="1">
      <c r="B97" s="98"/>
      <c r="C97" s="60" t="s">
        <v>190</v>
      </c>
      <c r="D97" s="61">
        <v>1</v>
      </c>
      <c r="E97" s="62">
        <v>1E-3</v>
      </c>
    </row>
    <row r="98" spans="2:5" ht="14.45" customHeight="1">
      <c r="B98" s="98"/>
      <c r="C98" s="60" t="s">
        <v>105</v>
      </c>
      <c r="D98" s="61">
        <v>1</v>
      </c>
      <c r="E98" s="62">
        <v>1E-3</v>
      </c>
    </row>
    <row r="99" spans="2:5" ht="14.45" customHeight="1">
      <c r="B99" s="98"/>
      <c r="C99" s="60" t="s">
        <v>110</v>
      </c>
      <c r="D99" s="61">
        <v>1</v>
      </c>
      <c r="E99" s="62">
        <v>1E-3</v>
      </c>
    </row>
    <row r="100" spans="2:5" ht="14.45" customHeight="1">
      <c r="B100" s="98"/>
      <c r="C100" s="60" t="s">
        <v>112</v>
      </c>
      <c r="D100" s="61">
        <v>1</v>
      </c>
      <c r="E100" s="62">
        <v>1E-3</v>
      </c>
    </row>
    <row r="101" spans="2:5" ht="14.45" customHeight="1">
      <c r="B101" s="98"/>
      <c r="C101" s="60" t="s">
        <v>114</v>
      </c>
      <c r="D101" s="61">
        <v>2</v>
      </c>
      <c r="E101" s="62">
        <v>2E-3</v>
      </c>
    </row>
    <row r="102" spans="2:5" ht="14.45" customHeight="1">
      <c r="B102" s="98"/>
      <c r="C102" s="60" t="s">
        <v>115</v>
      </c>
      <c r="D102" s="61">
        <v>1</v>
      </c>
      <c r="E102" s="62">
        <v>1E-3</v>
      </c>
    </row>
    <row r="103" spans="2:5" ht="14.45" customHeight="1">
      <c r="B103" s="98"/>
      <c r="C103" s="60" t="s">
        <v>121</v>
      </c>
      <c r="D103" s="61">
        <v>1</v>
      </c>
      <c r="E103" s="62">
        <v>1E-3</v>
      </c>
    </row>
    <row r="104" spans="2:5" ht="14.45" customHeight="1">
      <c r="B104" s="98"/>
      <c r="C104" s="60" t="s">
        <v>122</v>
      </c>
      <c r="D104" s="61">
        <v>3</v>
      </c>
      <c r="E104" s="62">
        <v>3.0000000000000001E-3</v>
      </c>
    </row>
    <row r="105" spans="2:5" ht="14.45" customHeight="1">
      <c r="B105" s="98"/>
      <c r="C105" s="60" t="s">
        <v>124</v>
      </c>
      <c r="D105" s="61">
        <v>4</v>
      </c>
      <c r="E105" s="62">
        <v>5.0000000000000001E-3</v>
      </c>
    </row>
    <row r="106" spans="2:5" ht="14.45" customHeight="1">
      <c r="B106" s="99"/>
      <c r="C106" s="78" t="s">
        <v>227</v>
      </c>
      <c r="D106" s="76">
        <v>31</v>
      </c>
      <c r="E106" s="77">
        <v>3.5999999999999997E-2</v>
      </c>
    </row>
    <row r="107" spans="2:5" ht="14.45" customHeight="1">
      <c r="B107" s="97" t="s">
        <v>149</v>
      </c>
      <c r="C107" s="60" t="s">
        <v>89</v>
      </c>
      <c r="D107" s="61">
        <v>22</v>
      </c>
      <c r="E107" s="62">
        <v>2.5999999999999999E-2</v>
      </c>
    </row>
    <row r="108" spans="2:5" ht="14.45" customHeight="1">
      <c r="B108" s="98"/>
      <c r="C108" s="60" t="s">
        <v>90</v>
      </c>
      <c r="D108" s="61">
        <v>1</v>
      </c>
      <c r="E108" s="62">
        <v>1E-3</v>
      </c>
    </row>
    <row r="109" spans="2:5" ht="14.45" customHeight="1">
      <c r="B109" s="98"/>
      <c r="C109" s="60" t="s">
        <v>91</v>
      </c>
      <c r="D109" s="61">
        <v>3</v>
      </c>
      <c r="E109" s="62">
        <v>3.0000000000000001E-3</v>
      </c>
    </row>
    <row r="110" spans="2:5" ht="14.45" customHeight="1">
      <c r="B110" s="98"/>
      <c r="C110" s="60" t="s">
        <v>92</v>
      </c>
      <c r="D110" s="61">
        <v>72</v>
      </c>
      <c r="E110" s="62">
        <v>8.4000000000000005E-2</v>
      </c>
    </row>
    <row r="111" spans="2:5" ht="14.45" customHeight="1">
      <c r="B111" s="98"/>
      <c r="C111" s="60" t="s">
        <v>93</v>
      </c>
      <c r="D111" s="61">
        <v>3</v>
      </c>
      <c r="E111" s="62">
        <v>3.0000000000000001E-3</v>
      </c>
    </row>
    <row r="112" spans="2:5" ht="14.45" customHeight="1">
      <c r="B112" s="98"/>
      <c r="C112" s="60" t="s">
        <v>95</v>
      </c>
      <c r="D112" s="61">
        <v>1</v>
      </c>
      <c r="E112" s="62">
        <v>1E-3</v>
      </c>
    </row>
    <row r="113" spans="2:5" ht="14.45" customHeight="1">
      <c r="B113" s="98"/>
      <c r="C113" s="60" t="s">
        <v>96</v>
      </c>
      <c r="D113" s="61">
        <v>9</v>
      </c>
      <c r="E113" s="62">
        <v>0.01</v>
      </c>
    </row>
    <row r="114" spans="2:5" ht="14.45" customHeight="1">
      <c r="B114" s="98"/>
      <c r="C114" s="60" t="s">
        <v>97</v>
      </c>
      <c r="D114" s="61">
        <v>9</v>
      </c>
      <c r="E114" s="62">
        <v>0.01</v>
      </c>
    </row>
    <row r="115" spans="2:5" ht="14.45" customHeight="1">
      <c r="B115" s="98"/>
      <c r="C115" s="60" t="s">
        <v>98</v>
      </c>
      <c r="D115" s="61">
        <v>13</v>
      </c>
      <c r="E115" s="62">
        <v>1.4999999999999999E-2</v>
      </c>
    </row>
    <row r="116" spans="2:5" ht="14.45" customHeight="1">
      <c r="B116" s="98"/>
      <c r="C116" s="60" t="s">
        <v>99</v>
      </c>
      <c r="D116" s="61">
        <v>8</v>
      </c>
      <c r="E116" s="62">
        <v>8.9999999999999993E-3</v>
      </c>
    </row>
    <row r="117" spans="2:5" ht="14.45" customHeight="1">
      <c r="B117" s="98"/>
      <c r="C117" s="60" t="s">
        <v>190</v>
      </c>
      <c r="D117" s="61">
        <v>2</v>
      </c>
      <c r="E117" s="62">
        <v>2E-3</v>
      </c>
    </row>
    <row r="118" spans="2:5" ht="14.45" customHeight="1">
      <c r="B118" s="98"/>
      <c r="C118" s="60" t="s">
        <v>100</v>
      </c>
      <c r="D118" s="61">
        <v>2</v>
      </c>
      <c r="E118" s="62">
        <v>2E-3</v>
      </c>
    </row>
    <row r="119" spans="2:5" ht="14.45" customHeight="1">
      <c r="B119" s="98"/>
      <c r="C119" s="60" t="s">
        <v>101</v>
      </c>
      <c r="D119" s="61">
        <v>6</v>
      </c>
      <c r="E119" s="62">
        <v>7.0000000000000001E-3</v>
      </c>
    </row>
    <row r="120" spans="2:5" ht="14.45" customHeight="1">
      <c r="B120" s="98"/>
      <c r="C120" s="60" t="s">
        <v>102</v>
      </c>
      <c r="D120" s="61">
        <v>4</v>
      </c>
      <c r="E120" s="62">
        <v>5.0000000000000001E-3</v>
      </c>
    </row>
    <row r="121" spans="2:5" ht="14.45" customHeight="1">
      <c r="B121" s="98"/>
      <c r="C121" s="60" t="s">
        <v>103</v>
      </c>
      <c r="D121" s="61">
        <v>1</v>
      </c>
      <c r="E121" s="62">
        <v>1E-3</v>
      </c>
    </row>
    <row r="122" spans="2:5" ht="14.45" customHeight="1">
      <c r="B122" s="98"/>
      <c r="C122" s="60" t="s">
        <v>105</v>
      </c>
      <c r="D122" s="61">
        <v>3</v>
      </c>
      <c r="E122" s="62">
        <v>3.0000000000000001E-3</v>
      </c>
    </row>
    <row r="123" spans="2:5" ht="14.45" customHeight="1">
      <c r="B123" s="98"/>
      <c r="C123" s="60" t="s">
        <v>106</v>
      </c>
      <c r="D123" s="61">
        <v>4</v>
      </c>
      <c r="E123" s="62">
        <v>5.0000000000000001E-3</v>
      </c>
    </row>
    <row r="124" spans="2:5" ht="14.45" customHeight="1">
      <c r="B124" s="98"/>
      <c r="C124" s="60" t="s">
        <v>107</v>
      </c>
      <c r="D124" s="61">
        <v>5</v>
      </c>
      <c r="E124" s="62">
        <v>6.0000000000000001E-3</v>
      </c>
    </row>
    <row r="125" spans="2:5" ht="14.45" customHeight="1">
      <c r="B125" s="98"/>
      <c r="C125" s="60" t="s">
        <v>108</v>
      </c>
      <c r="D125" s="61">
        <v>4</v>
      </c>
      <c r="E125" s="62">
        <v>5.0000000000000001E-3</v>
      </c>
    </row>
    <row r="126" spans="2:5" ht="14.45" customHeight="1">
      <c r="B126" s="98"/>
      <c r="C126" s="60" t="s">
        <v>109</v>
      </c>
      <c r="D126" s="61">
        <v>7</v>
      </c>
      <c r="E126" s="62">
        <v>8.0000000000000002E-3</v>
      </c>
    </row>
    <row r="127" spans="2:5" ht="14.45" customHeight="1">
      <c r="B127" s="98"/>
      <c r="C127" s="60" t="s">
        <v>111</v>
      </c>
      <c r="D127" s="61">
        <v>1</v>
      </c>
      <c r="E127" s="62">
        <v>1E-3</v>
      </c>
    </row>
    <row r="128" spans="2:5" ht="14.45" customHeight="1">
      <c r="B128" s="98"/>
      <c r="C128" s="60" t="s">
        <v>112</v>
      </c>
      <c r="D128" s="61">
        <v>3</v>
      </c>
      <c r="E128" s="62">
        <v>3.0000000000000001E-3</v>
      </c>
    </row>
    <row r="129" spans="2:5" ht="14.45" customHeight="1">
      <c r="B129" s="98"/>
      <c r="C129" s="60" t="s">
        <v>113</v>
      </c>
      <c r="D129" s="61">
        <v>1</v>
      </c>
      <c r="E129" s="62">
        <v>1E-3</v>
      </c>
    </row>
    <row r="130" spans="2:5" ht="14.45" customHeight="1">
      <c r="B130" s="98"/>
      <c r="C130" s="60" t="s">
        <v>114</v>
      </c>
      <c r="D130" s="61">
        <v>2</v>
      </c>
      <c r="E130" s="62">
        <v>2E-3</v>
      </c>
    </row>
    <row r="131" spans="2:5" ht="14.45" customHeight="1">
      <c r="B131" s="98"/>
      <c r="C131" s="60" t="s">
        <v>115</v>
      </c>
      <c r="D131" s="61">
        <v>12</v>
      </c>
      <c r="E131" s="62">
        <v>1.4E-2</v>
      </c>
    </row>
    <row r="132" spans="2:5" ht="14.45" customHeight="1">
      <c r="B132" s="98"/>
      <c r="C132" s="60" t="s">
        <v>116</v>
      </c>
      <c r="D132" s="61">
        <v>1</v>
      </c>
      <c r="E132" s="62">
        <v>1E-3</v>
      </c>
    </row>
    <row r="133" spans="2:5" ht="14.45" customHeight="1">
      <c r="B133" s="98"/>
      <c r="C133" s="60" t="s">
        <v>117</v>
      </c>
      <c r="D133" s="61">
        <v>3</v>
      </c>
      <c r="E133" s="62">
        <v>3.0000000000000001E-3</v>
      </c>
    </row>
    <row r="134" spans="2:5" ht="14.45" customHeight="1">
      <c r="B134" s="98"/>
      <c r="C134" s="60" t="s">
        <v>118</v>
      </c>
      <c r="D134" s="61">
        <v>3</v>
      </c>
      <c r="E134" s="62">
        <v>3.0000000000000001E-3</v>
      </c>
    </row>
    <row r="135" spans="2:5" ht="14.45" customHeight="1">
      <c r="B135" s="98"/>
      <c r="C135" s="60" t="s">
        <v>120</v>
      </c>
      <c r="D135" s="61">
        <v>8</v>
      </c>
      <c r="E135" s="62">
        <v>8.9999999999999993E-3</v>
      </c>
    </row>
    <row r="136" spans="2:5" ht="14.45" customHeight="1">
      <c r="B136" s="98"/>
      <c r="C136" s="60" t="s">
        <v>121</v>
      </c>
      <c r="D136" s="61">
        <v>13</v>
      </c>
      <c r="E136" s="62">
        <v>1.4999999999999999E-2</v>
      </c>
    </row>
    <row r="137" spans="2:5" ht="14.45" customHeight="1">
      <c r="B137" s="98"/>
      <c r="C137" s="60" t="s">
        <v>122</v>
      </c>
      <c r="D137" s="61">
        <v>39</v>
      </c>
      <c r="E137" s="62">
        <v>4.4999999999999998E-2</v>
      </c>
    </row>
    <row r="138" spans="2:5" ht="14.45" customHeight="1">
      <c r="B138" s="98"/>
      <c r="C138" s="60" t="s">
        <v>123</v>
      </c>
      <c r="D138" s="61">
        <v>2</v>
      </c>
      <c r="E138" s="62">
        <v>2E-3</v>
      </c>
    </row>
    <row r="139" spans="2:5" ht="14.45" customHeight="1">
      <c r="B139" s="98"/>
      <c r="C139" s="60" t="s">
        <v>124</v>
      </c>
      <c r="D139" s="61">
        <v>13</v>
      </c>
      <c r="E139" s="62">
        <v>1.4999999999999999E-2</v>
      </c>
    </row>
    <row r="140" spans="2:5" ht="14.45" customHeight="1">
      <c r="B140" s="98"/>
      <c r="C140" s="60" t="s">
        <v>53</v>
      </c>
      <c r="D140" s="61">
        <v>5</v>
      </c>
      <c r="E140" s="62">
        <v>6.0000000000000001E-3</v>
      </c>
    </row>
    <row r="141" spans="2:5" ht="14.45" customHeight="1">
      <c r="B141" s="98"/>
      <c r="C141" s="60" t="s">
        <v>126</v>
      </c>
      <c r="D141" s="61">
        <v>1</v>
      </c>
      <c r="E141" s="62">
        <v>1E-3</v>
      </c>
    </row>
    <row r="142" spans="2:5" ht="14.45" customHeight="1">
      <c r="B142" s="99"/>
      <c r="C142" s="78" t="s">
        <v>227</v>
      </c>
      <c r="D142" s="76">
        <v>286</v>
      </c>
      <c r="E142" s="77">
        <v>0.33300000000000002</v>
      </c>
    </row>
    <row r="143" spans="2:5" ht="14.45" customHeight="1">
      <c r="B143" s="97" t="s">
        <v>150</v>
      </c>
      <c r="C143" s="60" t="s">
        <v>90</v>
      </c>
      <c r="D143" s="61">
        <v>1</v>
      </c>
      <c r="E143" s="62">
        <v>1E-3</v>
      </c>
    </row>
    <row r="144" spans="2:5" ht="14.45" customHeight="1">
      <c r="B144" s="98"/>
      <c r="C144" s="60" t="s">
        <v>92</v>
      </c>
      <c r="D144" s="61">
        <v>4</v>
      </c>
      <c r="E144" s="62">
        <v>5.0000000000000001E-3</v>
      </c>
    </row>
    <row r="145" spans="2:5" ht="14.45" customHeight="1">
      <c r="B145" s="98"/>
      <c r="C145" s="60" t="s">
        <v>93</v>
      </c>
      <c r="D145" s="61">
        <v>1</v>
      </c>
      <c r="E145" s="62">
        <v>1E-3</v>
      </c>
    </row>
    <row r="146" spans="2:5" ht="14.45" customHeight="1">
      <c r="B146" s="98"/>
      <c r="C146" s="60" t="s">
        <v>96</v>
      </c>
      <c r="D146" s="61">
        <v>1</v>
      </c>
      <c r="E146" s="62">
        <v>1E-3</v>
      </c>
    </row>
    <row r="147" spans="2:5" ht="14.45" customHeight="1">
      <c r="B147" s="98"/>
      <c r="C147" s="60" t="s">
        <v>97</v>
      </c>
      <c r="D147" s="61">
        <v>1</v>
      </c>
      <c r="E147" s="62">
        <v>1E-3</v>
      </c>
    </row>
    <row r="148" spans="2:5" ht="14.45" customHeight="1">
      <c r="B148" s="98"/>
      <c r="C148" s="60" t="s">
        <v>100</v>
      </c>
      <c r="D148" s="61">
        <v>1</v>
      </c>
      <c r="E148" s="62">
        <v>1E-3</v>
      </c>
    </row>
    <row r="149" spans="2:5" ht="14.45" customHeight="1">
      <c r="B149" s="98"/>
      <c r="C149" s="60" t="s">
        <v>105</v>
      </c>
      <c r="D149" s="61">
        <v>1</v>
      </c>
      <c r="E149" s="62">
        <v>1E-3</v>
      </c>
    </row>
    <row r="150" spans="2:5" ht="14.45" customHeight="1">
      <c r="B150" s="99"/>
      <c r="C150" s="78" t="s">
        <v>227</v>
      </c>
      <c r="D150" s="76">
        <v>10</v>
      </c>
      <c r="E150" s="77">
        <v>1.2E-2</v>
      </c>
    </row>
    <row r="151" spans="2:5" ht="14.45" customHeight="1">
      <c r="B151" s="97" t="s">
        <v>151</v>
      </c>
      <c r="C151" s="60" t="s">
        <v>89</v>
      </c>
      <c r="D151" s="61">
        <v>7</v>
      </c>
      <c r="E151" s="62">
        <v>8.0000000000000002E-3</v>
      </c>
    </row>
    <row r="152" spans="2:5" ht="14.45" customHeight="1">
      <c r="B152" s="98"/>
      <c r="C152" s="60" t="s">
        <v>90</v>
      </c>
      <c r="D152" s="61">
        <v>1</v>
      </c>
      <c r="E152" s="62">
        <v>1E-3</v>
      </c>
    </row>
    <row r="153" spans="2:5" ht="14.45" customHeight="1">
      <c r="B153" s="98"/>
      <c r="C153" s="60" t="s">
        <v>91</v>
      </c>
      <c r="D153" s="61">
        <v>1</v>
      </c>
      <c r="E153" s="62">
        <v>1E-3</v>
      </c>
    </row>
    <row r="154" spans="2:5" ht="14.45" customHeight="1">
      <c r="B154" s="98"/>
      <c r="C154" s="60" t="s">
        <v>92</v>
      </c>
      <c r="D154" s="61">
        <v>16</v>
      </c>
      <c r="E154" s="62">
        <v>1.9E-2</v>
      </c>
    </row>
    <row r="155" spans="2:5" ht="14.45" customHeight="1">
      <c r="B155" s="98"/>
      <c r="C155" s="60" t="s">
        <v>96</v>
      </c>
      <c r="D155" s="61">
        <v>3</v>
      </c>
      <c r="E155" s="62">
        <v>3.0000000000000001E-3</v>
      </c>
    </row>
    <row r="156" spans="2:5" ht="14.45" customHeight="1">
      <c r="B156" s="98"/>
      <c r="C156" s="60" t="s">
        <v>97</v>
      </c>
      <c r="D156" s="61">
        <v>1</v>
      </c>
      <c r="E156" s="62">
        <v>1E-3</v>
      </c>
    </row>
    <row r="157" spans="2:5" ht="14.45" customHeight="1">
      <c r="B157" s="98"/>
      <c r="C157" s="60" t="s">
        <v>98</v>
      </c>
      <c r="D157" s="61">
        <v>4</v>
      </c>
      <c r="E157" s="62">
        <v>5.0000000000000001E-3</v>
      </c>
    </row>
    <row r="158" spans="2:5" ht="14.45" customHeight="1">
      <c r="B158" s="98"/>
      <c r="C158" s="60" t="s">
        <v>99</v>
      </c>
      <c r="D158" s="61">
        <v>4</v>
      </c>
      <c r="E158" s="62">
        <v>5.0000000000000001E-3</v>
      </c>
    </row>
    <row r="159" spans="2:5" ht="14.45" customHeight="1">
      <c r="B159" s="98"/>
      <c r="C159" s="60" t="s">
        <v>100</v>
      </c>
      <c r="D159" s="61">
        <v>1</v>
      </c>
      <c r="E159" s="62">
        <v>1E-3</v>
      </c>
    </row>
    <row r="160" spans="2:5" ht="14.45" customHeight="1">
      <c r="B160" s="98"/>
      <c r="C160" s="60" t="s">
        <v>101</v>
      </c>
      <c r="D160" s="61">
        <v>2</v>
      </c>
      <c r="E160" s="62">
        <v>2E-3</v>
      </c>
    </row>
    <row r="161" spans="2:5" ht="14.45" customHeight="1">
      <c r="B161" s="98"/>
      <c r="C161" s="60" t="s">
        <v>102</v>
      </c>
      <c r="D161" s="61">
        <v>1</v>
      </c>
      <c r="E161" s="62">
        <v>1E-3</v>
      </c>
    </row>
    <row r="162" spans="2:5" ht="14.45" customHeight="1">
      <c r="B162" s="98"/>
      <c r="C162" s="60" t="s">
        <v>105</v>
      </c>
      <c r="D162" s="61">
        <v>3</v>
      </c>
      <c r="E162" s="62">
        <v>3.0000000000000001E-3</v>
      </c>
    </row>
    <row r="163" spans="2:5" ht="14.45" customHeight="1">
      <c r="B163" s="98"/>
      <c r="C163" s="60" t="s">
        <v>107</v>
      </c>
      <c r="D163" s="61">
        <v>1</v>
      </c>
      <c r="E163" s="62">
        <v>1E-3</v>
      </c>
    </row>
    <row r="164" spans="2:5" ht="14.45" customHeight="1">
      <c r="B164" s="98"/>
      <c r="C164" s="60" t="s">
        <v>109</v>
      </c>
      <c r="D164" s="61">
        <v>1</v>
      </c>
      <c r="E164" s="62">
        <v>1E-3</v>
      </c>
    </row>
    <row r="165" spans="2:5" ht="14.45" customHeight="1">
      <c r="B165" s="98"/>
      <c r="C165" s="60" t="s">
        <v>113</v>
      </c>
      <c r="D165" s="61">
        <v>1</v>
      </c>
      <c r="E165" s="62">
        <v>1E-3</v>
      </c>
    </row>
    <row r="166" spans="2:5" ht="14.45" customHeight="1">
      <c r="B166" s="98"/>
      <c r="C166" s="60" t="s">
        <v>115</v>
      </c>
      <c r="D166" s="61">
        <v>3</v>
      </c>
      <c r="E166" s="62">
        <v>3.0000000000000001E-3</v>
      </c>
    </row>
    <row r="167" spans="2:5" ht="14.45" customHeight="1">
      <c r="B167" s="98"/>
      <c r="C167" s="60" t="s">
        <v>117</v>
      </c>
      <c r="D167" s="61">
        <v>1</v>
      </c>
      <c r="E167" s="62">
        <v>1E-3</v>
      </c>
    </row>
    <row r="168" spans="2:5" ht="14.45" customHeight="1">
      <c r="B168" s="98"/>
      <c r="C168" s="60" t="s">
        <v>118</v>
      </c>
      <c r="D168" s="61">
        <v>1</v>
      </c>
      <c r="E168" s="62">
        <v>1E-3</v>
      </c>
    </row>
    <row r="169" spans="2:5" ht="14.45" customHeight="1">
      <c r="B169" s="98"/>
      <c r="C169" s="60" t="s">
        <v>119</v>
      </c>
      <c r="D169" s="61">
        <v>1</v>
      </c>
      <c r="E169" s="62">
        <v>1E-3</v>
      </c>
    </row>
    <row r="170" spans="2:5" ht="14.45" customHeight="1">
      <c r="B170" s="98"/>
      <c r="C170" s="60" t="s">
        <v>120</v>
      </c>
      <c r="D170" s="61">
        <v>3</v>
      </c>
      <c r="E170" s="62">
        <v>3.0000000000000001E-3</v>
      </c>
    </row>
    <row r="171" spans="2:5" ht="14.45" customHeight="1">
      <c r="B171" s="98"/>
      <c r="C171" s="60" t="s">
        <v>121</v>
      </c>
      <c r="D171" s="61">
        <v>3</v>
      </c>
      <c r="E171" s="62">
        <v>3.0000000000000001E-3</v>
      </c>
    </row>
    <row r="172" spans="2:5" ht="14.45" customHeight="1">
      <c r="B172" s="98"/>
      <c r="C172" s="60" t="s">
        <v>122</v>
      </c>
      <c r="D172" s="61">
        <v>10</v>
      </c>
      <c r="E172" s="62">
        <v>1.2E-2</v>
      </c>
    </row>
    <row r="173" spans="2:5" ht="14.45" customHeight="1">
      <c r="B173" s="98"/>
      <c r="C173" s="60" t="s">
        <v>124</v>
      </c>
      <c r="D173" s="61">
        <v>2</v>
      </c>
      <c r="E173" s="62">
        <v>2E-3</v>
      </c>
    </row>
    <row r="174" spans="2:5" ht="14.45" customHeight="1">
      <c r="B174" s="98"/>
      <c r="C174" s="60" t="s">
        <v>53</v>
      </c>
      <c r="D174" s="61">
        <v>1</v>
      </c>
      <c r="E174" s="62">
        <v>1E-3</v>
      </c>
    </row>
    <row r="175" spans="2:5" ht="14.45" customHeight="1">
      <c r="B175" s="99"/>
      <c r="C175" s="78" t="s">
        <v>227</v>
      </c>
      <c r="D175" s="76">
        <v>72</v>
      </c>
      <c r="E175" s="77">
        <v>8.4000000000000005E-2</v>
      </c>
    </row>
    <row r="176" spans="2:5" ht="14.45" customHeight="1">
      <c r="B176" s="97" t="s">
        <v>152</v>
      </c>
      <c r="C176" s="60" t="s">
        <v>89</v>
      </c>
      <c r="D176" s="61">
        <v>9</v>
      </c>
      <c r="E176" s="62">
        <v>0.01</v>
      </c>
    </row>
    <row r="177" spans="2:5" ht="14.45" customHeight="1">
      <c r="B177" s="98"/>
      <c r="C177" s="60" t="s">
        <v>90</v>
      </c>
      <c r="D177" s="61">
        <v>3</v>
      </c>
      <c r="E177" s="62">
        <v>3.0000000000000001E-3</v>
      </c>
    </row>
    <row r="178" spans="2:5" ht="14.45" customHeight="1">
      <c r="B178" s="98"/>
      <c r="C178" s="60" t="s">
        <v>91</v>
      </c>
      <c r="D178" s="61">
        <v>4</v>
      </c>
      <c r="E178" s="62">
        <v>5.0000000000000001E-3</v>
      </c>
    </row>
    <row r="179" spans="2:5" ht="14.45" customHeight="1">
      <c r="B179" s="98"/>
      <c r="C179" s="60" t="s">
        <v>92</v>
      </c>
      <c r="D179" s="61">
        <v>44</v>
      </c>
      <c r="E179" s="62">
        <v>5.0999999999999997E-2</v>
      </c>
    </row>
    <row r="180" spans="2:5" ht="14.45" customHeight="1">
      <c r="B180" s="98"/>
      <c r="C180" s="60" t="s">
        <v>93</v>
      </c>
      <c r="D180" s="61">
        <v>3</v>
      </c>
      <c r="E180" s="62">
        <v>3.0000000000000001E-3</v>
      </c>
    </row>
    <row r="181" spans="2:5" ht="14.45" customHeight="1">
      <c r="B181" s="98"/>
      <c r="C181" s="60" t="s">
        <v>94</v>
      </c>
      <c r="D181" s="61">
        <v>1</v>
      </c>
      <c r="E181" s="62">
        <v>1E-3</v>
      </c>
    </row>
    <row r="182" spans="2:5" ht="14.45" customHeight="1">
      <c r="B182" s="98"/>
      <c r="C182" s="60" t="s">
        <v>96</v>
      </c>
      <c r="D182" s="61">
        <v>7</v>
      </c>
      <c r="E182" s="62">
        <v>8.0000000000000002E-3</v>
      </c>
    </row>
    <row r="183" spans="2:5" ht="14.45" customHeight="1">
      <c r="B183" s="98"/>
      <c r="C183" s="60" t="s">
        <v>97</v>
      </c>
      <c r="D183" s="61">
        <v>9</v>
      </c>
      <c r="E183" s="62">
        <v>0.01</v>
      </c>
    </row>
    <row r="184" spans="2:5" ht="14.45" customHeight="1">
      <c r="B184" s="98"/>
      <c r="C184" s="60" t="s">
        <v>98</v>
      </c>
      <c r="D184" s="61">
        <v>7</v>
      </c>
      <c r="E184" s="62">
        <v>8.0000000000000002E-3</v>
      </c>
    </row>
    <row r="185" spans="2:5" ht="14.45" customHeight="1">
      <c r="B185" s="98"/>
      <c r="C185" s="60" t="s">
        <v>99</v>
      </c>
      <c r="D185" s="61">
        <v>2</v>
      </c>
      <c r="E185" s="62">
        <v>2E-3</v>
      </c>
    </row>
    <row r="186" spans="2:5" ht="14.45" customHeight="1">
      <c r="B186" s="98"/>
      <c r="C186" s="60" t="s">
        <v>190</v>
      </c>
      <c r="D186" s="61">
        <v>1</v>
      </c>
      <c r="E186" s="62">
        <v>1E-3</v>
      </c>
    </row>
    <row r="187" spans="2:5" ht="14.45" customHeight="1">
      <c r="B187" s="98"/>
      <c r="C187" s="60" t="s">
        <v>100</v>
      </c>
      <c r="D187" s="61">
        <v>5</v>
      </c>
      <c r="E187" s="62">
        <v>6.0000000000000001E-3</v>
      </c>
    </row>
    <row r="188" spans="2:5" ht="14.45" customHeight="1">
      <c r="B188" s="98"/>
      <c r="C188" s="60" t="s">
        <v>101</v>
      </c>
      <c r="D188" s="61">
        <v>2</v>
      </c>
      <c r="E188" s="62">
        <v>2E-3</v>
      </c>
    </row>
    <row r="189" spans="2:5" ht="14.45" customHeight="1">
      <c r="B189" s="98"/>
      <c r="C189" s="60" t="s">
        <v>102</v>
      </c>
      <c r="D189" s="61">
        <v>3</v>
      </c>
      <c r="E189" s="62">
        <v>3.0000000000000001E-3</v>
      </c>
    </row>
    <row r="190" spans="2:5" ht="14.45" customHeight="1">
      <c r="B190" s="98"/>
      <c r="C190" s="60" t="s">
        <v>103</v>
      </c>
      <c r="D190" s="61">
        <v>1</v>
      </c>
      <c r="E190" s="62">
        <v>1E-3</v>
      </c>
    </row>
    <row r="191" spans="2:5" ht="14.45" customHeight="1">
      <c r="B191" s="98"/>
      <c r="C191" s="60" t="s">
        <v>104</v>
      </c>
      <c r="D191" s="61">
        <v>1</v>
      </c>
      <c r="E191" s="62">
        <v>1E-3</v>
      </c>
    </row>
    <row r="192" spans="2:5" ht="14.45" customHeight="1">
      <c r="B192" s="98"/>
      <c r="C192" s="60" t="s">
        <v>105</v>
      </c>
      <c r="D192" s="61">
        <v>7</v>
      </c>
      <c r="E192" s="62">
        <v>8.0000000000000002E-3</v>
      </c>
    </row>
    <row r="193" spans="2:5" ht="14.45" customHeight="1">
      <c r="B193" s="98"/>
      <c r="C193" s="60" t="s">
        <v>106</v>
      </c>
      <c r="D193" s="61">
        <v>7</v>
      </c>
      <c r="E193" s="62">
        <v>8.0000000000000002E-3</v>
      </c>
    </row>
    <row r="194" spans="2:5" ht="14.45" customHeight="1">
      <c r="B194" s="98"/>
      <c r="C194" s="60" t="s">
        <v>107</v>
      </c>
      <c r="D194" s="61">
        <v>6</v>
      </c>
      <c r="E194" s="62">
        <v>7.0000000000000001E-3</v>
      </c>
    </row>
    <row r="195" spans="2:5" ht="14.45" customHeight="1">
      <c r="B195" s="98"/>
      <c r="C195" s="60" t="s">
        <v>108</v>
      </c>
      <c r="D195" s="61">
        <v>2</v>
      </c>
      <c r="E195" s="62">
        <v>2E-3</v>
      </c>
    </row>
    <row r="196" spans="2:5" ht="14.45" customHeight="1">
      <c r="B196" s="98"/>
      <c r="C196" s="60" t="s">
        <v>109</v>
      </c>
      <c r="D196" s="61">
        <v>5</v>
      </c>
      <c r="E196" s="62">
        <v>6.0000000000000001E-3</v>
      </c>
    </row>
    <row r="197" spans="2:5" ht="14.45" customHeight="1">
      <c r="B197" s="98"/>
      <c r="C197" s="60" t="s">
        <v>110</v>
      </c>
      <c r="D197" s="61">
        <v>4</v>
      </c>
      <c r="E197" s="62">
        <v>5.0000000000000001E-3</v>
      </c>
    </row>
    <row r="198" spans="2:5" ht="14.45" customHeight="1">
      <c r="B198" s="98"/>
      <c r="C198" s="60" t="s">
        <v>112</v>
      </c>
      <c r="D198" s="61">
        <v>3</v>
      </c>
      <c r="E198" s="62">
        <v>3.0000000000000001E-3</v>
      </c>
    </row>
    <row r="199" spans="2:5" ht="14.45" customHeight="1">
      <c r="B199" s="98"/>
      <c r="C199" s="60" t="s">
        <v>114</v>
      </c>
      <c r="D199" s="61">
        <v>1</v>
      </c>
      <c r="E199" s="62">
        <v>1E-3</v>
      </c>
    </row>
    <row r="200" spans="2:5" ht="14.45" customHeight="1">
      <c r="B200" s="98"/>
      <c r="C200" s="60" t="s">
        <v>115</v>
      </c>
      <c r="D200" s="61">
        <v>11</v>
      </c>
      <c r="E200" s="62">
        <v>1.2999999999999999E-2</v>
      </c>
    </row>
    <row r="201" spans="2:5" ht="14.45" customHeight="1">
      <c r="B201" s="98"/>
      <c r="C201" s="60" t="s">
        <v>116</v>
      </c>
      <c r="D201" s="61">
        <v>8</v>
      </c>
      <c r="E201" s="62">
        <v>8.9999999999999993E-3</v>
      </c>
    </row>
    <row r="202" spans="2:5" ht="14.45" customHeight="1">
      <c r="B202" s="98"/>
      <c r="C202" s="60" t="s">
        <v>117</v>
      </c>
      <c r="D202" s="61">
        <v>3</v>
      </c>
      <c r="E202" s="62">
        <v>3.0000000000000001E-3</v>
      </c>
    </row>
    <row r="203" spans="2:5" ht="14.45" customHeight="1">
      <c r="B203" s="98"/>
      <c r="C203" s="60" t="s">
        <v>118</v>
      </c>
      <c r="D203" s="61">
        <v>5</v>
      </c>
      <c r="E203" s="62">
        <v>6.0000000000000001E-3</v>
      </c>
    </row>
    <row r="204" spans="2:5" ht="14.45" customHeight="1">
      <c r="B204" s="98"/>
      <c r="C204" s="60" t="s">
        <v>119</v>
      </c>
      <c r="D204" s="61">
        <v>1</v>
      </c>
      <c r="E204" s="62">
        <v>1E-3</v>
      </c>
    </row>
    <row r="205" spans="2:5" ht="14.45" customHeight="1">
      <c r="B205" s="98"/>
      <c r="C205" s="60" t="s">
        <v>120</v>
      </c>
      <c r="D205" s="61">
        <v>2</v>
      </c>
      <c r="E205" s="62">
        <v>2E-3</v>
      </c>
    </row>
    <row r="206" spans="2:5" ht="14.45" customHeight="1">
      <c r="B206" s="98"/>
      <c r="C206" s="60" t="s">
        <v>121</v>
      </c>
      <c r="D206" s="61">
        <v>8</v>
      </c>
      <c r="E206" s="62">
        <v>8.9999999999999993E-3</v>
      </c>
    </row>
    <row r="207" spans="2:5" ht="14.45" customHeight="1">
      <c r="B207" s="98"/>
      <c r="C207" s="60" t="s">
        <v>122</v>
      </c>
      <c r="D207" s="61">
        <v>39</v>
      </c>
      <c r="E207" s="62">
        <v>4.4999999999999998E-2</v>
      </c>
    </row>
    <row r="208" spans="2:5" ht="14.45" customHeight="1">
      <c r="B208" s="98"/>
      <c r="C208" s="60" t="s">
        <v>123</v>
      </c>
      <c r="D208" s="61">
        <v>4</v>
      </c>
      <c r="E208" s="62">
        <v>5.0000000000000001E-3</v>
      </c>
    </row>
    <row r="209" spans="2:5" ht="14.45" customHeight="1">
      <c r="B209" s="98"/>
      <c r="C209" s="60" t="s">
        <v>124</v>
      </c>
      <c r="D209" s="61">
        <v>13</v>
      </c>
      <c r="E209" s="62">
        <v>1.4999999999999999E-2</v>
      </c>
    </row>
    <row r="210" spans="2:5" ht="14.45" customHeight="1">
      <c r="B210" s="98"/>
      <c r="C210" s="60" t="s">
        <v>53</v>
      </c>
      <c r="D210" s="61">
        <v>4</v>
      </c>
      <c r="E210" s="62">
        <v>5.0000000000000001E-3</v>
      </c>
    </row>
    <row r="211" spans="2:5" ht="14.45" customHeight="1">
      <c r="B211" s="98"/>
      <c r="C211" s="60" t="s">
        <v>125</v>
      </c>
      <c r="D211" s="61">
        <v>1</v>
      </c>
      <c r="E211" s="62">
        <v>1E-3</v>
      </c>
    </row>
    <row r="212" spans="2:5" ht="14.45" customHeight="1">
      <c r="B212" s="98"/>
      <c r="C212" s="60" t="s">
        <v>126</v>
      </c>
      <c r="D212" s="61">
        <v>2</v>
      </c>
      <c r="E212" s="62">
        <v>2E-3</v>
      </c>
    </row>
    <row r="213" spans="2:5" ht="14.45" customHeight="1">
      <c r="B213" s="99"/>
      <c r="C213" s="78" t="s">
        <v>227</v>
      </c>
      <c r="D213" s="76">
        <v>238</v>
      </c>
      <c r="E213" s="77">
        <v>0.27700000000000002</v>
      </c>
    </row>
    <row r="214" spans="2:5" ht="14.45" customHeight="1">
      <c r="B214" s="97" t="s">
        <v>209</v>
      </c>
      <c r="C214" s="60" t="s">
        <v>101</v>
      </c>
      <c r="D214" s="61">
        <v>1</v>
      </c>
      <c r="E214" s="62">
        <v>1E-3</v>
      </c>
    </row>
    <row r="215" spans="2:5" ht="14.45" customHeight="1">
      <c r="B215" s="99"/>
      <c r="C215" s="78" t="s">
        <v>227</v>
      </c>
      <c r="D215" s="76">
        <v>1</v>
      </c>
      <c r="E215" s="77">
        <v>1E-3</v>
      </c>
    </row>
    <row r="216" spans="2:5" ht="14.45" customHeight="1">
      <c r="B216" s="97" t="s">
        <v>210</v>
      </c>
      <c r="C216" s="60" t="s">
        <v>93</v>
      </c>
      <c r="D216" s="61">
        <v>1</v>
      </c>
      <c r="E216" s="62">
        <v>1E-3</v>
      </c>
    </row>
    <row r="217" spans="2:5" ht="14.45" customHeight="1">
      <c r="B217" s="98"/>
      <c r="C217" s="60" t="s">
        <v>98</v>
      </c>
      <c r="D217" s="61">
        <v>1</v>
      </c>
      <c r="E217" s="62">
        <v>1E-3</v>
      </c>
    </row>
    <row r="218" spans="2:5" ht="14.45" customHeight="1">
      <c r="B218" s="98"/>
      <c r="C218" s="60" t="s">
        <v>100</v>
      </c>
      <c r="D218" s="61">
        <v>1</v>
      </c>
      <c r="E218" s="62">
        <v>1E-3</v>
      </c>
    </row>
    <row r="219" spans="2:5" ht="14.45" customHeight="1">
      <c r="B219" s="98"/>
      <c r="C219" s="60" t="s">
        <v>115</v>
      </c>
      <c r="D219" s="61">
        <v>1</v>
      </c>
      <c r="E219" s="62">
        <v>1E-3</v>
      </c>
    </row>
    <row r="220" spans="2:5" ht="14.45" customHeight="1">
      <c r="B220" s="98"/>
      <c r="C220" s="60" t="s">
        <v>126</v>
      </c>
      <c r="D220" s="61">
        <v>2</v>
      </c>
      <c r="E220" s="62">
        <v>2E-3</v>
      </c>
    </row>
    <row r="221" spans="2:5" ht="14.45" customHeight="1">
      <c r="B221" s="99"/>
      <c r="C221" s="78" t="s">
        <v>227</v>
      </c>
      <c r="D221" s="76">
        <v>6</v>
      </c>
      <c r="E221" s="77">
        <v>7.0000000000000001E-3</v>
      </c>
    </row>
    <row r="222" spans="2:5" ht="14.45" customHeight="1">
      <c r="B222" s="97" t="s">
        <v>211</v>
      </c>
      <c r="C222" s="60" t="s">
        <v>97</v>
      </c>
      <c r="D222" s="61">
        <v>1</v>
      </c>
      <c r="E222" s="62">
        <v>1E-3</v>
      </c>
    </row>
    <row r="223" spans="2:5" ht="14.45" customHeight="1">
      <c r="B223" s="99"/>
      <c r="C223" s="78" t="s">
        <v>227</v>
      </c>
      <c r="D223" s="76">
        <v>1</v>
      </c>
      <c r="E223" s="77">
        <v>1E-3</v>
      </c>
    </row>
    <row r="224" spans="2:5" ht="14.45" customHeight="1">
      <c r="B224" s="97" t="s">
        <v>212</v>
      </c>
      <c r="C224" s="60" t="s">
        <v>89</v>
      </c>
      <c r="D224" s="61">
        <v>1</v>
      </c>
      <c r="E224" s="62">
        <v>1E-3</v>
      </c>
    </row>
    <row r="225" spans="2:5" ht="14.45" customHeight="1">
      <c r="B225" s="99"/>
      <c r="C225" s="78" t="s">
        <v>227</v>
      </c>
      <c r="D225" s="76">
        <v>1</v>
      </c>
      <c r="E225" s="77">
        <v>1E-3</v>
      </c>
    </row>
    <row r="226" spans="2:5" ht="14.45" customHeight="1">
      <c r="B226" s="97" t="s">
        <v>157</v>
      </c>
      <c r="C226" s="60" t="s">
        <v>92</v>
      </c>
      <c r="D226" s="61">
        <v>5</v>
      </c>
      <c r="E226" s="62">
        <v>6.0000000000000001E-3</v>
      </c>
    </row>
    <row r="227" spans="2:5" ht="14.45" customHeight="1">
      <c r="B227" s="98"/>
      <c r="C227" s="60" t="s">
        <v>98</v>
      </c>
      <c r="D227" s="61">
        <v>1</v>
      </c>
      <c r="E227" s="62">
        <v>1E-3</v>
      </c>
    </row>
    <row r="228" spans="2:5" ht="14.45" customHeight="1">
      <c r="B228" s="98"/>
      <c r="C228" s="60" t="s">
        <v>107</v>
      </c>
      <c r="D228" s="61">
        <v>1</v>
      </c>
      <c r="E228" s="62">
        <v>1E-3</v>
      </c>
    </row>
    <row r="229" spans="2:5" ht="14.45" customHeight="1">
      <c r="B229" s="98"/>
      <c r="C229" s="60" t="s">
        <v>114</v>
      </c>
      <c r="D229" s="61">
        <v>1</v>
      </c>
      <c r="E229" s="62">
        <v>1E-3</v>
      </c>
    </row>
    <row r="230" spans="2:5" ht="14.45" customHeight="1">
      <c r="B230" s="98"/>
      <c r="C230" s="60" t="s">
        <v>117</v>
      </c>
      <c r="D230" s="61">
        <v>1</v>
      </c>
      <c r="E230" s="62">
        <v>1E-3</v>
      </c>
    </row>
    <row r="231" spans="2:5" ht="14.45" customHeight="1">
      <c r="B231" s="98"/>
      <c r="C231" s="60" t="s">
        <v>122</v>
      </c>
      <c r="D231" s="61">
        <v>3</v>
      </c>
      <c r="E231" s="62">
        <v>3.0000000000000001E-3</v>
      </c>
    </row>
    <row r="232" spans="2:5" ht="14.45" customHeight="1">
      <c r="B232" s="98"/>
      <c r="C232" s="60" t="s">
        <v>124</v>
      </c>
      <c r="D232" s="61">
        <v>1</v>
      </c>
      <c r="E232" s="62">
        <v>1E-3</v>
      </c>
    </row>
    <row r="233" spans="2:5" ht="14.45" customHeight="1">
      <c r="B233" s="99"/>
      <c r="C233" s="78" t="s">
        <v>227</v>
      </c>
      <c r="D233" s="76">
        <v>13</v>
      </c>
      <c r="E233" s="77">
        <v>1.4999999999999999E-2</v>
      </c>
    </row>
    <row r="234" spans="2:5" ht="14.45" customHeight="1">
      <c r="B234" s="97" t="s">
        <v>158</v>
      </c>
      <c r="C234" s="60" t="s">
        <v>89</v>
      </c>
      <c r="D234" s="61">
        <v>5</v>
      </c>
      <c r="E234" s="62">
        <v>6.0000000000000001E-3</v>
      </c>
    </row>
    <row r="235" spans="2:5" ht="14.45" customHeight="1">
      <c r="B235" s="98"/>
      <c r="C235" s="60" t="s">
        <v>91</v>
      </c>
      <c r="D235" s="61">
        <v>1</v>
      </c>
      <c r="E235" s="62">
        <v>1E-3</v>
      </c>
    </row>
    <row r="236" spans="2:5" ht="14.45" customHeight="1">
      <c r="B236" s="98"/>
      <c r="C236" s="60" t="s">
        <v>92</v>
      </c>
      <c r="D236" s="61">
        <v>8</v>
      </c>
      <c r="E236" s="62">
        <v>8.9999999999999993E-3</v>
      </c>
    </row>
    <row r="237" spans="2:5" ht="14.45" customHeight="1">
      <c r="B237" s="98"/>
      <c r="C237" s="60" t="s">
        <v>96</v>
      </c>
      <c r="D237" s="61">
        <v>2</v>
      </c>
      <c r="E237" s="62">
        <v>2E-3</v>
      </c>
    </row>
    <row r="238" spans="2:5" ht="14.45" customHeight="1">
      <c r="B238" s="98"/>
      <c r="C238" s="60" t="s">
        <v>97</v>
      </c>
      <c r="D238" s="61">
        <v>2</v>
      </c>
      <c r="E238" s="62">
        <v>2E-3</v>
      </c>
    </row>
    <row r="239" spans="2:5" ht="14.45" customHeight="1">
      <c r="B239" s="98"/>
      <c r="C239" s="60" t="s">
        <v>98</v>
      </c>
      <c r="D239" s="61">
        <v>1</v>
      </c>
      <c r="E239" s="62">
        <v>1E-3</v>
      </c>
    </row>
    <row r="240" spans="2:5" ht="15" customHeight="1">
      <c r="B240" s="98"/>
      <c r="C240" s="60" t="s">
        <v>99</v>
      </c>
      <c r="D240" s="61">
        <v>2</v>
      </c>
      <c r="E240" s="62">
        <v>2E-3</v>
      </c>
    </row>
    <row r="241" spans="2:5" ht="15" customHeight="1">
      <c r="B241" s="98"/>
      <c r="C241" s="60" t="s">
        <v>101</v>
      </c>
      <c r="D241" s="61">
        <v>1</v>
      </c>
      <c r="E241" s="62">
        <v>1E-3</v>
      </c>
    </row>
    <row r="242" spans="2:5" ht="15" customHeight="1">
      <c r="B242" s="98"/>
      <c r="C242" s="60" t="s">
        <v>103</v>
      </c>
      <c r="D242" s="61">
        <v>1</v>
      </c>
      <c r="E242" s="62">
        <v>1E-3</v>
      </c>
    </row>
    <row r="243" spans="2:5" ht="15" customHeight="1">
      <c r="B243" s="98"/>
      <c r="C243" s="60" t="s">
        <v>106</v>
      </c>
      <c r="D243" s="61">
        <v>2</v>
      </c>
      <c r="E243" s="62">
        <v>2E-3</v>
      </c>
    </row>
    <row r="244" spans="2:5" ht="15" customHeight="1">
      <c r="B244" s="98"/>
      <c r="C244" s="60" t="s">
        <v>108</v>
      </c>
      <c r="D244" s="61">
        <v>1</v>
      </c>
      <c r="E244" s="62">
        <v>1E-3</v>
      </c>
    </row>
    <row r="245" spans="2:5" ht="15" customHeight="1">
      <c r="B245" s="98"/>
      <c r="C245" s="60" t="s">
        <v>109</v>
      </c>
      <c r="D245" s="61">
        <v>1</v>
      </c>
      <c r="E245" s="62">
        <v>1E-3</v>
      </c>
    </row>
    <row r="246" spans="2:5" ht="15" customHeight="1">
      <c r="B246" s="98"/>
      <c r="C246" s="60" t="s">
        <v>110</v>
      </c>
      <c r="D246" s="61">
        <v>2</v>
      </c>
      <c r="E246" s="62">
        <v>2E-3</v>
      </c>
    </row>
    <row r="247" spans="2:5" ht="15" customHeight="1">
      <c r="B247" s="98"/>
      <c r="C247" s="60" t="s">
        <v>112</v>
      </c>
      <c r="D247" s="61">
        <v>3</v>
      </c>
      <c r="E247" s="62">
        <v>3.0000000000000001E-3</v>
      </c>
    </row>
    <row r="248" spans="2:5" ht="15" customHeight="1">
      <c r="B248" s="98"/>
      <c r="C248" s="60" t="s">
        <v>114</v>
      </c>
      <c r="D248" s="61">
        <v>2</v>
      </c>
      <c r="E248" s="62">
        <v>2E-3</v>
      </c>
    </row>
    <row r="249" spans="2:5" ht="15" customHeight="1">
      <c r="B249" s="98"/>
      <c r="C249" s="60" t="s">
        <v>115</v>
      </c>
      <c r="D249" s="61">
        <v>1</v>
      </c>
      <c r="E249" s="62">
        <v>1E-3</v>
      </c>
    </row>
    <row r="250" spans="2:5" ht="15" customHeight="1">
      <c r="B250" s="98"/>
      <c r="C250" s="60" t="s">
        <v>117</v>
      </c>
      <c r="D250" s="61">
        <v>2</v>
      </c>
      <c r="E250" s="62">
        <v>2E-3</v>
      </c>
    </row>
    <row r="251" spans="2:5" ht="15" customHeight="1">
      <c r="B251" s="98"/>
      <c r="C251" s="60" t="s">
        <v>118</v>
      </c>
      <c r="D251" s="61">
        <v>1</v>
      </c>
      <c r="E251" s="62">
        <v>1E-3</v>
      </c>
    </row>
    <row r="252" spans="2:5" ht="15" customHeight="1">
      <c r="B252" s="98"/>
      <c r="C252" s="60" t="s">
        <v>120</v>
      </c>
      <c r="D252" s="61">
        <v>1</v>
      </c>
      <c r="E252" s="62">
        <v>1E-3</v>
      </c>
    </row>
    <row r="253" spans="2:5" ht="15" customHeight="1">
      <c r="B253" s="98"/>
      <c r="C253" s="60" t="s">
        <v>122</v>
      </c>
      <c r="D253" s="61">
        <v>6</v>
      </c>
      <c r="E253" s="62">
        <v>7.0000000000000001E-3</v>
      </c>
    </row>
    <row r="254" spans="2:5" ht="15" customHeight="1">
      <c r="B254" s="98"/>
      <c r="C254" s="60" t="s">
        <v>123</v>
      </c>
      <c r="D254" s="61">
        <v>3</v>
      </c>
      <c r="E254" s="62">
        <v>3.0000000000000001E-3</v>
      </c>
    </row>
    <row r="255" spans="2:5" ht="15" customHeight="1">
      <c r="B255" s="98"/>
      <c r="C255" s="60" t="s">
        <v>126</v>
      </c>
      <c r="D255" s="61">
        <v>1</v>
      </c>
      <c r="E255" s="62">
        <v>1E-3</v>
      </c>
    </row>
    <row r="256" spans="2:5" ht="15" customHeight="1">
      <c r="B256" s="99"/>
      <c r="C256" s="78" t="s">
        <v>227</v>
      </c>
      <c r="D256" s="76">
        <v>49</v>
      </c>
      <c r="E256" s="77">
        <v>5.7000000000000002E-2</v>
      </c>
    </row>
    <row r="257" spans="2:5" ht="15" customHeight="1">
      <c r="B257" s="97" t="s">
        <v>213</v>
      </c>
      <c r="C257" s="60" t="s">
        <v>122</v>
      </c>
      <c r="D257" s="61">
        <v>1</v>
      </c>
      <c r="E257" s="62">
        <v>1E-3</v>
      </c>
    </row>
    <row r="258" spans="2:5" ht="15" customHeight="1">
      <c r="B258" s="99"/>
      <c r="C258" s="78" t="s">
        <v>227</v>
      </c>
      <c r="D258" s="76">
        <v>1</v>
      </c>
      <c r="E258" s="77">
        <v>1E-3</v>
      </c>
    </row>
    <row r="259" spans="2:5" ht="15" customHeight="1">
      <c r="B259" s="97" t="s">
        <v>159</v>
      </c>
      <c r="C259" s="60" t="s">
        <v>89</v>
      </c>
      <c r="D259" s="61">
        <v>1</v>
      </c>
      <c r="E259" s="62">
        <v>1E-3</v>
      </c>
    </row>
    <row r="260" spans="2:5" ht="15" customHeight="1">
      <c r="B260" s="98"/>
      <c r="C260" s="60" t="s">
        <v>112</v>
      </c>
      <c r="D260" s="61">
        <v>1</v>
      </c>
      <c r="E260" s="62">
        <v>1E-3</v>
      </c>
    </row>
    <row r="261" spans="2:5" ht="15" customHeight="1">
      <c r="B261" s="99"/>
      <c r="C261" s="78" t="s">
        <v>227</v>
      </c>
      <c r="D261" s="76">
        <v>2</v>
      </c>
      <c r="E261" s="77">
        <v>2E-3</v>
      </c>
    </row>
    <row r="262" spans="2:5" ht="15" customHeight="1">
      <c r="B262" s="101" t="s">
        <v>227</v>
      </c>
      <c r="C262" s="101"/>
      <c r="D262" s="64">
        <v>860</v>
      </c>
      <c r="E262" s="65">
        <v>1</v>
      </c>
    </row>
    <row r="263" spans="2:5" ht="15" customHeight="1">
      <c r="B263" s="49"/>
      <c r="C263" s="49"/>
      <c r="D263" s="49"/>
      <c r="E263" s="49"/>
    </row>
    <row r="264" spans="2:5" ht="15" customHeight="1">
      <c r="B264" s="38" t="s">
        <v>189</v>
      </c>
      <c r="C264" s="49"/>
      <c r="D264" s="49"/>
      <c r="E264" s="49"/>
    </row>
    <row r="265" spans="2:5" ht="15" customHeight="1">
      <c r="B265" s="40" t="s">
        <v>18</v>
      </c>
      <c r="C265" s="49"/>
      <c r="D265" s="49"/>
      <c r="E265" s="49"/>
    </row>
    <row r="266" spans="2:5" ht="15" customHeight="1">
      <c r="B266" s="41" t="s">
        <v>46</v>
      </c>
      <c r="C266" s="49"/>
      <c r="D266" s="49"/>
      <c r="E266" s="49"/>
    </row>
    <row r="267" spans="2:5" ht="15" customHeight="1">
      <c r="B267" s="38" t="s">
        <v>17</v>
      </c>
      <c r="C267" s="49"/>
      <c r="D267" s="49"/>
      <c r="E267" s="49"/>
    </row>
    <row r="268" spans="2:5" ht="15" customHeight="1">
      <c r="B268" s="38" t="s">
        <v>228</v>
      </c>
      <c r="C268" s="49"/>
      <c r="D268" s="49"/>
      <c r="E268" s="49"/>
    </row>
  </sheetData>
  <mergeCells count="25">
    <mergeCell ref="B7:E8"/>
    <mergeCell ref="B36:B41"/>
    <mergeCell ref="B79:B80"/>
    <mergeCell ref="B216:B221"/>
    <mergeCell ref="B222:B223"/>
    <mergeCell ref="B42:B59"/>
    <mergeCell ref="B10:B16"/>
    <mergeCell ref="B17:B22"/>
    <mergeCell ref="B23:B25"/>
    <mergeCell ref="B26:B29"/>
    <mergeCell ref="B30:B35"/>
    <mergeCell ref="B60:B78"/>
    <mergeCell ref="B81:B89"/>
    <mergeCell ref="B90:B106"/>
    <mergeCell ref="B107:B142"/>
    <mergeCell ref="B224:B225"/>
    <mergeCell ref="B143:B150"/>
    <mergeCell ref="B151:B175"/>
    <mergeCell ref="B176:B213"/>
    <mergeCell ref="B214:B215"/>
    <mergeCell ref="B262:C262"/>
    <mergeCell ref="B226:B233"/>
    <mergeCell ref="B234:B256"/>
    <mergeCell ref="B257:B258"/>
    <mergeCell ref="B259:B2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331"/>
  <sheetViews>
    <sheetView showGridLines="0" view="pageBreakPreview" zoomScale="115" zoomScaleNormal="100" zoomScaleSheetLayoutView="115" workbookViewId="0">
      <selection activeCell="E9" sqref="E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4.28515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0"/>
      <c r="C7" s="100"/>
      <c r="D7" s="100"/>
      <c r="E7" s="100"/>
    </row>
    <row r="8" spans="1:5" s="22" customFormat="1" ht="33" customHeight="1">
      <c r="A8" s="23"/>
      <c r="B8" s="100"/>
      <c r="C8" s="100"/>
      <c r="D8" s="100"/>
      <c r="E8" s="100"/>
    </row>
    <row r="9" spans="1:5" s="15" customFormat="1" ht="40.5" customHeight="1">
      <c r="B9" s="50" t="s">
        <v>22</v>
      </c>
      <c r="C9" s="51" t="s">
        <v>27</v>
      </c>
      <c r="D9" s="52" t="s">
        <v>20</v>
      </c>
      <c r="E9" s="50" t="s">
        <v>19</v>
      </c>
    </row>
    <row r="10" spans="1:5">
      <c r="B10" s="97" t="s">
        <v>79</v>
      </c>
      <c r="C10" s="60" t="s">
        <v>145</v>
      </c>
      <c r="D10" s="61">
        <v>1</v>
      </c>
      <c r="E10" s="62">
        <v>1E-3</v>
      </c>
    </row>
    <row r="11" spans="1:5">
      <c r="B11" s="98"/>
      <c r="C11" s="60" t="s">
        <v>149</v>
      </c>
      <c r="D11" s="61">
        <v>2</v>
      </c>
      <c r="E11" s="62">
        <v>2E-3</v>
      </c>
    </row>
    <row r="12" spans="1:5">
      <c r="B12" s="98"/>
      <c r="C12" s="60" t="s">
        <v>151</v>
      </c>
      <c r="D12" s="61">
        <v>1</v>
      </c>
      <c r="E12" s="62">
        <v>1E-3</v>
      </c>
    </row>
    <row r="13" spans="1:5">
      <c r="B13" s="98"/>
      <c r="C13" s="60" t="s">
        <v>152</v>
      </c>
      <c r="D13" s="61">
        <v>2</v>
      </c>
      <c r="E13" s="62">
        <v>2E-3</v>
      </c>
    </row>
    <row r="14" spans="1:5">
      <c r="B14" s="99"/>
      <c r="C14" s="78" t="s">
        <v>227</v>
      </c>
      <c r="D14" s="76">
        <v>6</v>
      </c>
      <c r="E14" s="77">
        <v>7.0000000000000001E-3</v>
      </c>
    </row>
    <row r="15" spans="1:5">
      <c r="B15" s="97" t="s">
        <v>47</v>
      </c>
      <c r="C15" s="60" t="s">
        <v>138</v>
      </c>
      <c r="D15" s="61">
        <v>1</v>
      </c>
      <c r="E15" s="62">
        <v>1E-3</v>
      </c>
    </row>
    <row r="16" spans="1:5">
      <c r="B16" s="98"/>
      <c r="C16" s="60" t="s">
        <v>204</v>
      </c>
      <c r="D16" s="61">
        <v>1</v>
      </c>
      <c r="E16" s="62">
        <v>1E-3</v>
      </c>
    </row>
    <row r="17" spans="2:5">
      <c r="B17" s="98"/>
      <c r="C17" s="60" t="s">
        <v>145</v>
      </c>
      <c r="D17" s="61">
        <v>9</v>
      </c>
      <c r="E17" s="62">
        <v>0.01</v>
      </c>
    </row>
    <row r="18" spans="2:5">
      <c r="B18" s="98"/>
      <c r="C18" s="60" t="s">
        <v>207</v>
      </c>
      <c r="D18" s="61">
        <v>1</v>
      </c>
      <c r="E18" s="62">
        <v>1E-3</v>
      </c>
    </row>
    <row r="19" spans="2:5">
      <c r="B19" s="98"/>
      <c r="C19" s="60" t="s">
        <v>208</v>
      </c>
      <c r="D19" s="61">
        <v>4</v>
      </c>
      <c r="E19" s="62">
        <v>5.0000000000000001E-3</v>
      </c>
    </row>
    <row r="20" spans="2:5">
      <c r="B20" s="98"/>
      <c r="C20" s="60" t="s">
        <v>149</v>
      </c>
      <c r="D20" s="61">
        <v>27</v>
      </c>
      <c r="E20" s="62">
        <v>3.1E-2</v>
      </c>
    </row>
    <row r="21" spans="2:5">
      <c r="B21" s="98"/>
      <c r="C21" s="60" t="s">
        <v>150</v>
      </c>
      <c r="D21" s="61">
        <v>1</v>
      </c>
      <c r="E21" s="62">
        <v>1E-3</v>
      </c>
    </row>
    <row r="22" spans="2:5">
      <c r="B22" s="98"/>
      <c r="C22" s="60" t="s">
        <v>151</v>
      </c>
      <c r="D22" s="61">
        <v>6</v>
      </c>
      <c r="E22" s="62">
        <v>7.0000000000000001E-3</v>
      </c>
    </row>
    <row r="23" spans="2:5">
      <c r="B23" s="98"/>
      <c r="C23" s="60" t="s">
        <v>152</v>
      </c>
      <c r="D23" s="61">
        <v>15</v>
      </c>
      <c r="E23" s="62">
        <v>1.7000000000000001E-2</v>
      </c>
    </row>
    <row r="24" spans="2:5">
      <c r="B24" s="98"/>
      <c r="C24" s="60" t="s">
        <v>211</v>
      </c>
      <c r="D24" s="61">
        <v>1</v>
      </c>
      <c r="E24" s="62">
        <v>1E-3</v>
      </c>
    </row>
    <row r="25" spans="2:5">
      <c r="B25" s="98"/>
      <c r="C25" s="60" t="s">
        <v>158</v>
      </c>
      <c r="D25" s="61">
        <v>5</v>
      </c>
      <c r="E25" s="62">
        <v>6.0000000000000001E-3</v>
      </c>
    </row>
    <row r="26" spans="2:5">
      <c r="B26" s="98"/>
      <c r="C26" s="60" t="s">
        <v>159</v>
      </c>
      <c r="D26" s="61">
        <v>1</v>
      </c>
      <c r="E26" s="62">
        <v>1E-3</v>
      </c>
    </row>
    <row r="27" spans="2:5">
      <c r="B27" s="99"/>
      <c r="C27" s="78" t="s">
        <v>227</v>
      </c>
      <c r="D27" s="76">
        <v>72</v>
      </c>
      <c r="E27" s="77">
        <v>8.4000000000000005E-2</v>
      </c>
    </row>
    <row r="28" spans="2:5">
      <c r="B28" s="97" t="s">
        <v>62</v>
      </c>
      <c r="C28" s="60" t="s">
        <v>204</v>
      </c>
      <c r="D28" s="61">
        <v>2</v>
      </c>
      <c r="E28" s="62">
        <v>2E-3</v>
      </c>
    </row>
    <row r="29" spans="2:5">
      <c r="B29" s="98"/>
      <c r="C29" s="60" t="s">
        <v>149</v>
      </c>
      <c r="D29" s="61">
        <v>5</v>
      </c>
      <c r="E29" s="62">
        <v>6.0000000000000001E-3</v>
      </c>
    </row>
    <row r="30" spans="2:5">
      <c r="B30" s="98"/>
      <c r="C30" s="60" t="s">
        <v>151</v>
      </c>
      <c r="D30" s="61">
        <v>1</v>
      </c>
      <c r="E30" s="62">
        <v>1E-3</v>
      </c>
    </row>
    <row r="31" spans="2:5">
      <c r="B31" s="98"/>
      <c r="C31" s="60" t="s">
        <v>152</v>
      </c>
      <c r="D31" s="61">
        <v>5</v>
      </c>
      <c r="E31" s="62">
        <v>6.0000000000000001E-3</v>
      </c>
    </row>
    <row r="32" spans="2:5">
      <c r="B32" s="98"/>
      <c r="C32" s="60" t="s">
        <v>157</v>
      </c>
      <c r="D32" s="61">
        <v>1</v>
      </c>
      <c r="E32" s="62">
        <v>1E-3</v>
      </c>
    </row>
    <row r="33" spans="2:5">
      <c r="B33" s="98"/>
      <c r="C33" s="60" t="s">
        <v>158</v>
      </c>
      <c r="D33" s="61">
        <v>2</v>
      </c>
      <c r="E33" s="62">
        <v>2E-3</v>
      </c>
    </row>
    <row r="34" spans="2:5">
      <c r="B34" s="99"/>
      <c r="C34" s="78" t="s">
        <v>227</v>
      </c>
      <c r="D34" s="76">
        <v>16</v>
      </c>
      <c r="E34" s="77">
        <v>1.9E-2</v>
      </c>
    </row>
    <row r="35" spans="2:5">
      <c r="B35" s="97" t="s">
        <v>87</v>
      </c>
      <c r="C35" s="60" t="s">
        <v>204</v>
      </c>
      <c r="D35" s="61">
        <v>1</v>
      </c>
      <c r="E35" s="62">
        <v>1E-3</v>
      </c>
    </row>
    <row r="36" spans="2:5">
      <c r="B36" s="98"/>
      <c r="C36" s="60" t="s">
        <v>152</v>
      </c>
      <c r="D36" s="61">
        <v>1</v>
      </c>
      <c r="E36" s="62">
        <v>1E-3</v>
      </c>
    </row>
    <row r="37" spans="2:5">
      <c r="B37" s="98"/>
      <c r="C37" s="60" t="s">
        <v>158</v>
      </c>
      <c r="D37" s="61">
        <v>1</v>
      </c>
      <c r="E37" s="62">
        <v>1E-3</v>
      </c>
    </row>
    <row r="38" spans="2:5">
      <c r="B38" s="99"/>
      <c r="C38" s="78" t="s">
        <v>227</v>
      </c>
      <c r="D38" s="76">
        <v>3</v>
      </c>
      <c r="E38" s="77">
        <v>3.0000000000000001E-3</v>
      </c>
    </row>
    <row r="39" spans="2:5">
      <c r="B39" s="97" t="s">
        <v>86</v>
      </c>
      <c r="C39" s="60" t="s">
        <v>149</v>
      </c>
      <c r="D39" s="61">
        <v>1</v>
      </c>
      <c r="E39" s="62">
        <v>1E-3</v>
      </c>
    </row>
    <row r="40" spans="2:5">
      <c r="B40" s="98"/>
      <c r="C40" s="60" t="s">
        <v>151</v>
      </c>
      <c r="D40" s="61">
        <v>1</v>
      </c>
      <c r="E40" s="62">
        <v>1E-3</v>
      </c>
    </row>
    <row r="41" spans="2:5">
      <c r="B41" s="98"/>
      <c r="C41" s="60" t="s">
        <v>152</v>
      </c>
      <c r="D41" s="61">
        <v>1</v>
      </c>
      <c r="E41" s="62">
        <v>1E-3</v>
      </c>
    </row>
    <row r="42" spans="2:5">
      <c r="B42" s="99"/>
      <c r="C42" s="78" t="s">
        <v>227</v>
      </c>
      <c r="D42" s="76">
        <v>3</v>
      </c>
      <c r="E42" s="77">
        <v>3.0000000000000001E-3</v>
      </c>
    </row>
    <row r="43" spans="2:5">
      <c r="B43" s="97" t="s">
        <v>80</v>
      </c>
      <c r="C43" s="60" t="s">
        <v>149</v>
      </c>
      <c r="D43" s="61">
        <v>2</v>
      </c>
      <c r="E43" s="62">
        <v>2E-3</v>
      </c>
    </row>
    <row r="44" spans="2:5">
      <c r="B44" s="98"/>
      <c r="C44" s="60" t="s">
        <v>152</v>
      </c>
      <c r="D44" s="61">
        <v>1</v>
      </c>
      <c r="E44" s="62">
        <v>1E-3</v>
      </c>
    </row>
    <row r="45" spans="2:5">
      <c r="B45" s="99"/>
      <c r="C45" s="78" t="s">
        <v>227</v>
      </c>
      <c r="D45" s="76">
        <v>3</v>
      </c>
      <c r="E45" s="77">
        <v>3.0000000000000001E-3</v>
      </c>
    </row>
    <row r="46" spans="2:5">
      <c r="B46" s="97" t="s">
        <v>52</v>
      </c>
      <c r="C46" s="60" t="s">
        <v>138</v>
      </c>
      <c r="D46" s="61">
        <v>1</v>
      </c>
      <c r="E46" s="62">
        <v>1E-3</v>
      </c>
    </row>
    <row r="47" spans="2:5">
      <c r="B47" s="98"/>
      <c r="C47" s="60" t="s">
        <v>204</v>
      </c>
      <c r="D47" s="61">
        <v>3</v>
      </c>
      <c r="E47" s="62">
        <v>3.0000000000000001E-3</v>
      </c>
    </row>
    <row r="48" spans="2:5">
      <c r="B48" s="98"/>
      <c r="C48" s="60" t="s">
        <v>145</v>
      </c>
      <c r="D48" s="61">
        <v>3</v>
      </c>
      <c r="E48" s="62">
        <v>3.0000000000000001E-3</v>
      </c>
    </row>
    <row r="49" spans="2:5">
      <c r="B49" s="98"/>
      <c r="C49" s="60" t="s">
        <v>208</v>
      </c>
      <c r="D49" s="61">
        <v>2</v>
      </c>
      <c r="E49" s="62">
        <v>2E-3</v>
      </c>
    </row>
    <row r="50" spans="2:5">
      <c r="B50" s="98"/>
      <c r="C50" s="60" t="s">
        <v>149</v>
      </c>
      <c r="D50" s="61">
        <v>21</v>
      </c>
      <c r="E50" s="62">
        <v>2.4E-2</v>
      </c>
    </row>
    <row r="51" spans="2:5">
      <c r="B51" s="98"/>
      <c r="C51" s="60" t="s">
        <v>151</v>
      </c>
      <c r="D51" s="61">
        <v>7</v>
      </c>
      <c r="E51" s="62">
        <v>8.0000000000000002E-3</v>
      </c>
    </row>
    <row r="52" spans="2:5">
      <c r="B52" s="98"/>
      <c r="C52" s="60" t="s">
        <v>152</v>
      </c>
      <c r="D52" s="61">
        <v>10</v>
      </c>
      <c r="E52" s="62">
        <v>1.2E-2</v>
      </c>
    </row>
    <row r="53" spans="2:5">
      <c r="B53" s="98"/>
      <c r="C53" s="60" t="s">
        <v>209</v>
      </c>
      <c r="D53" s="61">
        <v>1</v>
      </c>
      <c r="E53" s="62">
        <v>1E-3</v>
      </c>
    </row>
    <row r="54" spans="2:5">
      <c r="B54" s="98"/>
      <c r="C54" s="60" t="s">
        <v>210</v>
      </c>
      <c r="D54" s="61">
        <v>1</v>
      </c>
      <c r="E54" s="62">
        <v>1E-3</v>
      </c>
    </row>
    <row r="55" spans="2:5">
      <c r="B55" s="98"/>
      <c r="C55" s="60" t="s">
        <v>157</v>
      </c>
      <c r="D55" s="61">
        <v>1</v>
      </c>
      <c r="E55" s="62">
        <v>1E-3</v>
      </c>
    </row>
    <row r="56" spans="2:5">
      <c r="B56" s="98"/>
      <c r="C56" s="60" t="s">
        <v>158</v>
      </c>
      <c r="D56" s="61">
        <v>1</v>
      </c>
      <c r="E56" s="62">
        <v>1E-3</v>
      </c>
    </row>
    <row r="57" spans="2:5">
      <c r="B57" s="99"/>
      <c r="C57" s="78" t="s">
        <v>227</v>
      </c>
      <c r="D57" s="76">
        <v>51</v>
      </c>
      <c r="E57" s="77">
        <v>5.8999999999999997E-2</v>
      </c>
    </row>
    <row r="58" spans="2:5">
      <c r="B58" s="97" t="s">
        <v>50</v>
      </c>
      <c r="C58" s="60" t="s">
        <v>204</v>
      </c>
      <c r="D58" s="61">
        <v>2</v>
      </c>
      <c r="E58" s="62">
        <v>2E-3</v>
      </c>
    </row>
    <row r="59" spans="2:5">
      <c r="B59" s="98"/>
      <c r="C59" s="60" t="s">
        <v>145</v>
      </c>
      <c r="D59" s="61">
        <v>1</v>
      </c>
      <c r="E59" s="62">
        <v>1E-3</v>
      </c>
    </row>
    <row r="60" spans="2:5">
      <c r="B60" s="98"/>
      <c r="C60" s="60" t="s">
        <v>208</v>
      </c>
      <c r="D60" s="61">
        <v>1</v>
      </c>
      <c r="E60" s="62">
        <v>1E-3</v>
      </c>
    </row>
    <row r="61" spans="2:5">
      <c r="B61" s="98"/>
      <c r="C61" s="60" t="s">
        <v>149</v>
      </c>
      <c r="D61" s="61">
        <v>12</v>
      </c>
      <c r="E61" s="62">
        <v>1.4E-2</v>
      </c>
    </row>
    <row r="62" spans="2:5">
      <c r="B62" s="98"/>
      <c r="C62" s="60" t="s">
        <v>151</v>
      </c>
      <c r="D62" s="61">
        <v>6</v>
      </c>
      <c r="E62" s="62">
        <v>7.0000000000000001E-3</v>
      </c>
    </row>
    <row r="63" spans="2:5">
      <c r="B63" s="98"/>
      <c r="C63" s="60" t="s">
        <v>152</v>
      </c>
      <c r="D63" s="61">
        <v>11</v>
      </c>
      <c r="E63" s="62">
        <v>1.2999999999999999E-2</v>
      </c>
    </row>
    <row r="64" spans="2:5">
      <c r="B64" s="98"/>
      <c r="C64" s="60" t="s">
        <v>210</v>
      </c>
      <c r="D64" s="61">
        <v>1</v>
      </c>
      <c r="E64" s="62">
        <v>1E-3</v>
      </c>
    </row>
    <row r="65" spans="2:5">
      <c r="B65" s="98"/>
      <c r="C65" s="60" t="s">
        <v>158</v>
      </c>
      <c r="D65" s="61">
        <v>1</v>
      </c>
      <c r="E65" s="62">
        <v>1E-3</v>
      </c>
    </row>
    <row r="66" spans="2:5">
      <c r="B66" s="99"/>
      <c r="C66" s="78" t="s">
        <v>227</v>
      </c>
      <c r="D66" s="76">
        <v>35</v>
      </c>
      <c r="E66" s="77">
        <v>4.1000000000000002E-2</v>
      </c>
    </row>
    <row r="67" spans="2:5">
      <c r="B67" s="97" t="s">
        <v>73</v>
      </c>
      <c r="C67" s="60" t="s">
        <v>145</v>
      </c>
      <c r="D67" s="61">
        <v>1</v>
      </c>
      <c r="E67" s="62">
        <v>1E-3</v>
      </c>
    </row>
    <row r="68" spans="2:5">
      <c r="B68" s="98"/>
      <c r="C68" s="60" t="s">
        <v>208</v>
      </c>
      <c r="D68" s="61">
        <v>1</v>
      </c>
      <c r="E68" s="62">
        <v>1E-3</v>
      </c>
    </row>
    <row r="69" spans="2:5">
      <c r="B69" s="98"/>
      <c r="C69" s="60" t="s">
        <v>149</v>
      </c>
      <c r="D69" s="61">
        <v>3</v>
      </c>
      <c r="E69" s="62">
        <v>3.0000000000000001E-3</v>
      </c>
    </row>
    <row r="70" spans="2:5">
      <c r="B70" s="98"/>
      <c r="C70" s="60" t="s">
        <v>150</v>
      </c>
      <c r="D70" s="61">
        <v>1</v>
      </c>
      <c r="E70" s="62">
        <v>1E-3</v>
      </c>
    </row>
    <row r="71" spans="2:5">
      <c r="B71" s="98"/>
      <c r="C71" s="60" t="s">
        <v>152</v>
      </c>
      <c r="D71" s="61">
        <v>3</v>
      </c>
      <c r="E71" s="62">
        <v>3.0000000000000001E-3</v>
      </c>
    </row>
    <row r="72" spans="2:5">
      <c r="B72" s="99"/>
      <c r="C72" s="78" t="s">
        <v>227</v>
      </c>
      <c r="D72" s="76">
        <v>9</v>
      </c>
      <c r="E72" s="77">
        <v>0.01</v>
      </c>
    </row>
    <row r="73" spans="2:5">
      <c r="B73" s="97" t="s">
        <v>71</v>
      </c>
      <c r="C73" s="60" t="s">
        <v>194</v>
      </c>
      <c r="D73" s="61">
        <v>1</v>
      </c>
      <c r="E73" s="62">
        <v>1E-3</v>
      </c>
    </row>
    <row r="74" spans="2:5">
      <c r="B74" s="98"/>
      <c r="C74" s="60" t="s">
        <v>204</v>
      </c>
      <c r="D74" s="61">
        <v>2</v>
      </c>
      <c r="E74" s="62">
        <v>2E-3</v>
      </c>
    </row>
    <row r="75" spans="2:5">
      <c r="B75" s="98"/>
      <c r="C75" s="60" t="s">
        <v>208</v>
      </c>
      <c r="D75" s="61">
        <v>1</v>
      </c>
      <c r="E75" s="62">
        <v>1E-3</v>
      </c>
    </row>
    <row r="76" spans="2:5">
      <c r="B76" s="98"/>
      <c r="C76" s="60" t="s">
        <v>149</v>
      </c>
      <c r="D76" s="61">
        <v>8</v>
      </c>
      <c r="E76" s="62">
        <v>8.9999999999999993E-3</v>
      </c>
    </row>
    <row r="77" spans="2:5">
      <c r="B77" s="98"/>
      <c r="C77" s="60" t="s">
        <v>150</v>
      </c>
      <c r="D77" s="61">
        <v>1</v>
      </c>
      <c r="E77" s="62">
        <v>1E-3</v>
      </c>
    </row>
    <row r="78" spans="2:5">
      <c r="B78" s="98"/>
      <c r="C78" s="60" t="s">
        <v>151</v>
      </c>
      <c r="D78" s="61">
        <v>3</v>
      </c>
      <c r="E78" s="62">
        <v>3.0000000000000001E-3</v>
      </c>
    </row>
    <row r="79" spans="2:5">
      <c r="B79" s="98"/>
      <c r="C79" s="60" t="s">
        <v>152</v>
      </c>
      <c r="D79" s="61">
        <v>13</v>
      </c>
      <c r="E79" s="62">
        <v>1.4999999999999999E-2</v>
      </c>
    </row>
    <row r="80" spans="2:5">
      <c r="B80" s="99"/>
      <c r="C80" s="78" t="s">
        <v>227</v>
      </c>
      <c r="D80" s="76">
        <v>29</v>
      </c>
      <c r="E80" s="77">
        <v>3.4000000000000002E-2</v>
      </c>
    </row>
    <row r="81" spans="2:5">
      <c r="B81" s="97" t="s">
        <v>88</v>
      </c>
      <c r="C81" s="60" t="s">
        <v>207</v>
      </c>
      <c r="D81" s="61">
        <v>1</v>
      </c>
      <c r="E81" s="62">
        <v>1E-3</v>
      </c>
    </row>
    <row r="82" spans="2:5">
      <c r="B82" s="99"/>
      <c r="C82" s="78" t="s">
        <v>227</v>
      </c>
      <c r="D82" s="76">
        <v>1</v>
      </c>
      <c r="E82" s="77">
        <v>1E-3</v>
      </c>
    </row>
    <row r="83" spans="2:5">
      <c r="B83" s="97" t="s">
        <v>67</v>
      </c>
      <c r="C83" s="60" t="s">
        <v>138</v>
      </c>
      <c r="D83" s="61">
        <v>1</v>
      </c>
      <c r="E83" s="62">
        <v>1E-3</v>
      </c>
    </row>
    <row r="84" spans="2:5">
      <c r="B84" s="98"/>
      <c r="C84" s="60" t="s">
        <v>204</v>
      </c>
      <c r="D84" s="61">
        <v>1</v>
      </c>
      <c r="E84" s="62">
        <v>1E-3</v>
      </c>
    </row>
    <row r="85" spans="2:5">
      <c r="B85" s="98"/>
      <c r="C85" s="60" t="s">
        <v>145</v>
      </c>
      <c r="D85" s="61">
        <v>3</v>
      </c>
      <c r="E85" s="62">
        <v>3.0000000000000001E-3</v>
      </c>
    </row>
    <row r="86" spans="2:5">
      <c r="B86" s="98"/>
      <c r="C86" s="60" t="s">
        <v>208</v>
      </c>
      <c r="D86" s="61">
        <v>1</v>
      </c>
      <c r="E86" s="62">
        <v>1E-3</v>
      </c>
    </row>
    <row r="87" spans="2:5">
      <c r="B87" s="98"/>
      <c r="C87" s="60" t="s">
        <v>149</v>
      </c>
      <c r="D87" s="61">
        <v>2</v>
      </c>
      <c r="E87" s="62">
        <v>2E-3</v>
      </c>
    </row>
    <row r="88" spans="2:5">
      <c r="B88" s="98"/>
      <c r="C88" s="60" t="s">
        <v>151</v>
      </c>
      <c r="D88" s="61">
        <v>1</v>
      </c>
      <c r="E88" s="62">
        <v>1E-3</v>
      </c>
    </row>
    <row r="89" spans="2:5">
      <c r="B89" s="98"/>
      <c r="C89" s="60" t="s">
        <v>152</v>
      </c>
      <c r="D89" s="61">
        <v>2</v>
      </c>
      <c r="E89" s="62">
        <v>2E-3</v>
      </c>
    </row>
    <row r="90" spans="2:5">
      <c r="B90" s="98"/>
      <c r="C90" s="60" t="s">
        <v>158</v>
      </c>
      <c r="D90" s="61">
        <v>1</v>
      </c>
      <c r="E90" s="62">
        <v>1E-3</v>
      </c>
    </row>
    <row r="91" spans="2:5">
      <c r="B91" s="99"/>
      <c r="C91" s="78" t="s">
        <v>227</v>
      </c>
      <c r="D91" s="76">
        <v>12</v>
      </c>
      <c r="E91" s="77">
        <v>1.4E-2</v>
      </c>
    </row>
    <row r="92" spans="2:5">
      <c r="B92" s="97" t="s">
        <v>66</v>
      </c>
      <c r="C92" s="60" t="s">
        <v>149</v>
      </c>
      <c r="D92" s="61">
        <v>2</v>
      </c>
      <c r="E92" s="62">
        <v>2E-3</v>
      </c>
    </row>
    <row r="93" spans="2:5">
      <c r="B93" s="98"/>
      <c r="C93" s="60" t="s">
        <v>152</v>
      </c>
      <c r="D93" s="61">
        <v>2</v>
      </c>
      <c r="E93" s="62">
        <v>2E-3</v>
      </c>
    </row>
    <row r="94" spans="2:5">
      <c r="B94" s="98"/>
      <c r="C94" s="60" t="s">
        <v>157</v>
      </c>
      <c r="D94" s="61">
        <v>1</v>
      </c>
      <c r="E94" s="62">
        <v>1E-3</v>
      </c>
    </row>
    <row r="95" spans="2:5">
      <c r="B95" s="99"/>
      <c r="C95" s="78" t="s">
        <v>227</v>
      </c>
      <c r="D95" s="76">
        <v>5</v>
      </c>
      <c r="E95" s="77">
        <v>6.0000000000000001E-3</v>
      </c>
    </row>
    <row r="96" spans="2:5">
      <c r="B96" s="97" t="s">
        <v>51</v>
      </c>
      <c r="C96" s="60" t="s">
        <v>194</v>
      </c>
      <c r="D96" s="61">
        <v>1</v>
      </c>
      <c r="E96" s="62">
        <v>1E-3</v>
      </c>
    </row>
    <row r="97" spans="2:5">
      <c r="B97" s="98"/>
      <c r="C97" s="60" t="s">
        <v>198</v>
      </c>
      <c r="D97" s="61">
        <v>1</v>
      </c>
      <c r="E97" s="62">
        <v>1E-3</v>
      </c>
    </row>
    <row r="98" spans="2:5">
      <c r="B98" s="98"/>
      <c r="C98" s="60" t="s">
        <v>202</v>
      </c>
      <c r="D98" s="61">
        <v>1</v>
      </c>
      <c r="E98" s="62">
        <v>1E-3</v>
      </c>
    </row>
    <row r="99" spans="2:5">
      <c r="B99" s="98"/>
      <c r="C99" s="60" t="s">
        <v>204</v>
      </c>
      <c r="D99" s="61">
        <v>1</v>
      </c>
      <c r="E99" s="62">
        <v>1E-3</v>
      </c>
    </row>
    <row r="100" spans="2:5">
      <c r="B100" s="98"/>
      <c r="C100" s="60" t="s">
        <v>145</v>
      </c>
      <c r="D100" s="61">
        <v>3</v>
      </c>
      <c r="E100" s="62">
        <v>3.0000000000000001E-3</v>
      </c>
    </row>
    <row r="101" spans="2:5">
      <c r="B101" s="98"/>
      <c r="C101" s="60" t="s">
        <v>207</v>
      </c>
      <c r="D101" s="61">
        <v>1</v>
      </c>
      <c r="E101" s="62">
        <v>1E-3</v>
      </c>
    </row>
    <row r="102" spans="2:5">
      <c r="B102" s="98"/>
      <c r="C102" s="60" t="s">
        <v>149</v>
      </c>
      <c r="D102" s="61">
        <v>14</v>
      </c>
      <c r="E102" s="62">
        <v>1.6E-2</v>
      </c>
    </row>
    <row r="103" spans="2:5">
      <c r="B103" s="98"/>
      <c r="C103" s="60" t="s">
        <v>151</v>
      </c>
      <c r="D103" s="61">
        <v>1</v>
      </c>
      <c r="E103" s="62">
        <v>1E-3</v>
      </c>
    </row>
    <row r="104" spans="2:5">
      <c r="B104" s="98"/>
      <c r="C104" s="60" t="s">
        <v>152</v>
      </c>
      <c r="D104" s="61">
        <v>14</v>
      </c>
      <c r="E104" s="62">
        <v>1.6E-2</v>
      </c>
    </row>
    <row r="105" spans="2:5">
      <c r="B105" s="98"/>
      <c r="C105" s="60" t="s">
        <v>157</v>
      </c>
      <c r="D105" s="61">
        <v>1</v>
      </c>
      <c r="E105" s="62">
        <v>1E-3</v>
      </c>
    </row>
    <row r="106" spans="2:5">
      <c r="B106" s="98"/>
      <c r="C106" s="60" t="s">
        <v>158</v>
      </c>
      <c r="D106" s="61">
        <v>2</v>
      </c>
      <c r="E106" s="62">
        <v>2E-3</v>
      </c>
    </row>
    <row r="107" spans="2:5">
      <c r="B107" s="98"/>
      <c r="C107" s="60" t="s">
        <v>213</v>
      </c>
      <c r="D107" s="61">
        <v>1</v>
      </c>
      <c r="E107" s="62">
        <v>1E-3</v>
      </c>
    </row>
    <row r="108" spans="2:5">
      <c r="B108" s="99"/>
      <c r="C108" s="78" t="s">
        <v>227</v>
      </c>
      <c r="D108" s="76">
        <v>41</v>
      </c>
      <c r="E108" s="77">
        <v>4.8000000000000001E-2</v>
      </c>
    </row>
    <row r="109" spans="2:5">
      <c r="B109" s="97" t="s">
        <v>63</v>
      </c>
      <c r="C109" s="60" t="s">
        <v>207</v>
      </c>
      <c r="D109" s="61">
        <v>1</v>
      </c>
      <c r="E109" s="62">
        <v>1E-3</v>
      </c>
    </row>
    <row r="110" spans="2:5">
      <c r="B110" s="98"/>
      <c r="C110" s="60" t="s">
        <v>149</v>
      </c>
      <c r="D110" s="61">
        <v>3</v>
      </c>
      <c r="E110" s="62">
        <v>3.0000000000000001E-3</v>
      </c>
    </row>
    <row r="111" spans="2:5">
      <c r="B111" s="98"/>
      <c r="C111" s="60" t="s">
        <v>151</v>
      </c>
      <c r="D111" s="61">
        <v>3</v>
      </c>
      <c r="E111" s="62">
        <v>3.0000000000000001E-3</v>
      </c>
    </row>
    <row r="112" spans="2:5">
      <c r="B112" s="98"/>
      <c r="C112" s="60" t="s">
        <v>152</v>
      </c>
      <c r="D112" s="61">
        <v>4</v>
      </c>
      <c r="E112" s="62">
        <v>5.0000000000000001E-3</v>
      </c>
    </row>
    <row r="113" spans="2:5">
      <c r="B113" s="98"/>
      <c r="C113" s="60" t="s">
        <v>158</v>
      </c>
      <c r="D113" s="61">
        <v>2</v>
      </c>
      <c r="E113" s="62">
        <v>2E-3</v>
      </c>
    </row>
    <row r="114" spans="2:5">
      <c r="B114" s="99"/>
      <c r="C114" s="78" t="s">
        <v>227</v>
      </c>
      <c r="D114" s="76">
        <v>13</v>
      </c>
      <c r="E114" s="77">
        <v>1.4999999999999999E-2</v>
      </c>
    </row>
    <row r="115" spans="2:5">
      <c r="B115" s="97" t="s">
        <v>64</v>
      </c>
      <c r="C115" s="60" t="s">
        <v>207</v>
      </c>
      <c r="D115" s="61">
        <v>1</v>
      </c>
      <c r="E115" s="62">
        <v>1E-3</v>
      </c>
    </row>
    <row r="116" spans="2:5">
      <c r="B116" s="98"/>
      <c r="C116" s="60" t="s">
        <v>149</v>
      </c>
      <c r="D116" s="61">
        <v>5</v>
      </c>
      <c r="E116" s="62">
        <v>6.0000000000000001E-3</v>
      </c>
    </row>
    <row r="117" spans="2:5">
      <c r="B117" s="98"/>
      <c r="C117" s="60" t="s">
        <v>150</v>
      </c>
      <c r="D117" s="61">
        <v>1</v>
      </c>
      <c r="E117" s="62">
        <v>1E-3</v>
      </c>
    </row>
    <row r="118" spans="2:5">
      <c r="B118" s="98"/>
      <c r="C118" s="60" t="s">
        <v>151</v>
      </c>
      <c r="D118" s="61">
        <v>1</v>
      </c>
      <c r="E118" s="62">
        <v>1E-3</v>
      </c>
    </row>
    <row r="119" spans="2:5">
      <c r="B119" s="98"/>
      <c r="C119" s="60" t="s">
        <v>152</v>
      </c>
      <c r="D119" s="61">
        <v>7</v>
      </c>
      <c r="E119" s="62">
        <v>8.0000000000000002E-3</v>
      </c>
    </row>
    <row r="120" spans="2:5">
      <c r="B120" s="98"/>
      <c r="C120" s="60" t="s">
        <v>210</v>
      </c>
      <c r="D120" s="61">
        <v>1</v>
      </c>
      <c r="E120" s="62">
        <v>1E-3</v>
      </c>
    </row>
    <row r="121" spans="2:5">
      <c r="B121" s="98"/>
      <c r="C121" s="60" t="s">
        <v>158</v>
      </c>
      <c r="D121" s="61">
        <v>1</v>
      </c>
      <c r="E121" s="62">
        <v>1E-3</v>
      </c>
    </row>
    <row r="122" spans="2:5">
      <c r="B122" s="99"/>
      <c r="C122" s="78" t="s">
        <v>227</v>
      </c>
      <c r="D122" s="76">
        <v>17</v>
      </c>
      <c r="E122" s="77">
        <v>0.02</v>
      </c>
    </row>
    <row r="123" spans="2:5">
      <c r="B123" s="97" t="s">
        <v>76</v>
      </c>
      <c r="C123" s="60" t="s">
        <v>145</v>
      </c>
      <c r="D123" s="61">
        <v>1</v>
      </c>
      <c r="E123" s="62">
        <v>1E-3</v>
      </c>
    </row>
    <row r="124" spans="2:5">
      <c r="B124" s="98"/>
      <c r="C124" s="60" t="s">
        <v>208</v>
      </c>
      <c r="D124" s="61">
        <v>1</v>
      </c>
      <c r="E124" s="62">
        <v>1E-3</v>
      </c>
    </row>
    <row r="125" spans="2:5">
      <c r="B125" s="98"/>
      <c r="C125" s="60" t="s">
        <v>152</v>
      </c>
      <c r="D125" s="61">
        <v>4</v>
      </c>
      <c r="E125" s="62">
        <v>5.0000000000000001E-3</v>
      </c>
    </row>
    <row r="126" spans="2:5">
      <c r="B126" s="98"/>
      <c r="C126" s="60" t="s">
        <v>158</v>
      </c>
      <c r="D126" s="61">
        <v>2</v>
      </c>
      <c r="E126" s="62">
        <v>2E-3</v>
      </c>
    </row>
    <row r="127" spans="2:5">
      <c r="B127" s="99"/>
      <c r="C127" s="78" t="s">
        <v>227</v>
      </c>
      <c r="D127" s="76">
        <v>8</v>
      </c>
      <c r="E127" s="77">
        <v>8.9999999999999993E-3</v>
      </c>
    </row>
    <row r="128" spans="2:5">
      <c r="B128" s="97" t="s">
        <v>55</v>
      </c>
      <c r="C128" s="60" t="s">
        <v>202</v>
      </c>
      <c r="D128" s="61">
        <v>1</v>
      </c>
      <c r="E128" s="62">
        <v>1E-3</v>
      </c>
    </row>
    <row r="129" spans="2:5">
      <c r="B129" s="98"/>
      <c r="C129" s="60" t="s">
        <v>204</v>
      </c>
      <c r="D129" s="61">
        <v>3</v>
      </c>
      <c r="E129" s="62">
        <v>3.0000000000000001E-3</v>
      </c>
    </row>
    <row r="130" spans="2:5">
      <c r="B130" s="98"/>
      <c r="C130" s="60" t="s">
        <v>145</v>
      </c>
      <c r="D130" s="61">
        <v>4</v>
      </c>
      <c r="E130" s="62">
        <v>5.0000000000000001E-3</v>
      </c>
    </row>
    <row r="131" spans="2:5">
      <c r="B131" s="98"/>
      <c r="C131" s="60" t="s">
        <v>207</v>
      </c>
      <c r="D131" s="61">
        <v>1</v>
      </c>
      <c r="E131" s="62">
        <v>1E-3</v>
      </c>
    </row>
    <row r="132" spans="2:5">
      <c r="B132" s="98"/>
      <c r="C132" s="60" t="s">
        <v>208</v>
      </c>
      <c r="D132" s="61">
        <v>1</v>
      </c>
      <c r="E132" s="62">
        <v>1E-3</v>
      </c>
    </row>
    <row r="133" spans="2:5">
      <c r="B133" s="98"/>
      <c r="C133" s="60" t="s">
        <v>149</v>
      </c>
      <c r="D133" s="61">
        <v>12</v>
      </c>
      <c r="E133" s="62">
        <v>1.4E-2</v>
      </c>
    </row>
    <row r="134" spans="2:5">
      <c r="B134" s="98"/>
      <c r="C134" s="60" t="s">
        <v>151</v>
      </c>
      <c r="D134" s="61">
        <v>3</v>
      </c>
      <c r="E134" s="62">
        <v>3.0000000000000001E-3</v>
      </c>
    </row>
    <row r="135" spans="2:5">
      <c r="B135" s="98"/>
      <c r="C135" s="60" t="s">
        <v>152</v>
      </c>
      <c r="D135" s="61">
        <v>11</v>
      </c>
      <c r="E135" s="62">
        <v>1.2999999999999999E-2</v>
      </c>
    </row>
    <row r="136" spans="2:5">
      <c r="B136" s="98"/>
      <c r="C136" s="60" t="s">
        <v>158</v>
      </c>
      <c r="D136" s="61">
        <v>3</v>
      </c>
      <c r="E136" s="62">
        <v>3.0000000000000001E-3</v>
      </c>
    </row>
    <row r="137" spans="2:5">
      <c r="B137" s="99"/>
      <c r="C137" s="78" t="s">
        <v>227</v>
      </c>
      <c r="D137" s="76">
        <v>39</v>
      </c>
      <c r="E137" s="77">
        <v>4.4999999999999998E-2</v>
      </c>
    </row>
    <row r="138" spans="2:5">
      <c r="B138" s="97" t="s">
        <v>54</v>
      </c>
      <c r="C138" s="60" t="s">
        <v>202</v>
      </c>
      <c r="D138" s="61">
        <v>1</v>
      </c>
      <c r="E138" s="62">
        <v>1E-3</v>
      </c>
    </row>
    <row r="139" spans="2:5">
      <c r="B139" s="98"/>
      <c r="C139" s="60" t="s">
        <v>204</v>
      </c>
      <c r="D139" s="61">
        <v>2</v>
      </c>
      <c r="E139" s="62">
        <v>2E-3</v>
      </c>
    </row>
    <row r="140" spans="2:5">
      <c r="B140" s="98"/>
      <c r="C140" s="60" t="s">
        <v>145</v>
      </c>
      <c r="D140" s="61">
        <v>4</v>
      </c>
      <c r="E140" s="62">
        <v>5.0000000000000001E-3</v>
      </c>
    </row>
    <row r="141" spans="2:5">
      <c r="B141" s="98"/>
      <c r="C141" s="60" t="s">
        <v>149</v>
      </c>
      <c r="D141" s="61">
        <v>11</v>
      </c>
      <c r="E141" s="62">
        <v>1.2999999999999999E-2</v>
      </c>
    </row>
    <row r="142" spans="2:5">
      <c r="B142" s="98"/>
      <c r="C142" s="60" t="s">
        <v>151</v>
      </c>
      <c r="D142" s="61">
        <v>5</v>
      </c>
      <c r="E142" s="62">
        <v>6.0000000000000001E-3</v>
      </c>
    </row>
    <row r="143" spans="2:5">
      <c r="B143" s="98"/>
      <c r="C143" s="60" t="s">
        <v>152</v>
      </c>
      <c r="D143" s="61">
        <v>7</v>
      </c>
      <c r="E143" s="62">
        <v>8.0000000000000002E-3</v>
      </c>
    </row>
    <row r="144" spans="2:5">
      <c r="B144" s="98"/>
      <c r="C144" s="60" t="s">
        <v>158</v>
      </c>
      <c r="D144" s="61">
        <v>2</v>
      </c>
      <c r="E144" s="62">
        <v>2E-3</v>
      </c>
    </row>
    <row r="145" spans="2:5">
      <c r="B145" s="99"/>
      <c r="C145" s="78" t="s">
        <v>227</v>
      </c>
      <c r="D145" s="76">
        <v>32</v>
      </c>
      <c r="E145" s="77">
        <v>3.6999999999999998E-2</v>
      </c>
    </row>
    <row r="146" spans="2:5">
      <c r="B146" s="97" t="s">
        <v>69</v>
      </c>
      <c r="C146" s="60" t="s">
        <v>145</v>
      </c>
      <c r="D146" s="61">
        <v>1</v>
      </c>
      <c r="E146" s="62">
        <v>1E-3</v>
      </c>
    </row>
    <row r="147" spans="2:5">
      <c r="B147" s="98"/>
      <c r="C147" s="60" t="s">
        <v>207</v>
      </c>
      <c r="D147" s="61">
        <v>1</v>
      </c>
      <c r="E147" s="62">
        <v>1E-3</v>
      </c>
    </row>
    <row r="148" spans="2:5">
      <c r="B148" s="98"/>
      <c r="C148" s="60" t="s">
        <v>208</v>
      </c>
      <c r="D148" s="61">
        <v>1</v>
      </c>
      <c r="E148" s="62">
        <v>1E-3</v>
      </c>
    </row>
    <row r="149" spans="2:5">
      <c r="B149" s="98"/>
      <c r="C149" s="60" t="s">
        <v>149</v>
      </c>
      <c r="D149" s="61">
        <v>2</v>
      </c>
      <c r="E149" s="62">
        <v>2E-3</v>
      </c>
    </row>
    <row r="150" spans="2:5">
      <c r="B150" s="98"/>
      <c r="C150" s="60" t="s">
        <v>152</v>
      </c>
      <c r="D150" s="61">
        <v>6</v>
      </c>
      <c r="E150" s="62">
        <v>7.0000000000000001E-3</v>
      </c>
    </row>
    <row r="151" spans="2:5">
      <c r="B151" s="98"/>
      <c r="C151" s="60" t="s">
        <v>157</v>
      </c>
      <c r="D151" s="61">
        <v>1</v>
      </c>
      <c r="E151" s="62">
        <v>1E-3</v>
      </c>
    </row>
    <row r="152" spans="2:5">
      <c r="B152" s="98"/>
      <c r="C152" s="60" t="s">
        <v>158</v>
      </c>
      <c r="D152" s="61">
        <v>2</v>
      </c>
      <c r="E152" s="62">
        <v>2E-3</v>
      </c>
    </row>
    <row r="153" spans="2:5">
      <c r="B153" s="99"/>
      <c r="C153" s="78" t="s">
        <v>227</v>
      </c>
      <c r="D153" s="76">
        <v>14</v>
      </c>
      <c r="E153" s="77">
        <v>1.6E-2</v>
      </c>
    </row>
    <row r="154" spans="2:5">
      <c r="B154" s="97" t="s">
        <v>65</v>
      </c>
      <c r="C154" s="60" t="s">
        <v>138</v>
      </c>
      <c r="D154" s="61">
        <v>2</v>
      </c>
      <c r="E154" s="62">
        <v>2E-3</v>
      </c>
    </row>
    <row r="155" spans="2:5">
      <c r="B155" s="98"/>
      <c r="C155" s="60" t="s">
        <v>194</v>
      </c>
      <c r="D155" s="61">
        <v>1</v>
      </c>
      <c r="E155" s="62">
        <v>1E-3</v>
      </c>
    </row>
    <row r="156" spans="2:5">
      <c r="B156" s="98"/>
      <c r="C156" s="60" t="s">
        <v>202</v>
      </c>
      <c r="D156" s="61">
        <v>1</v>
      </c>
      <c r="E156" s="62">
        <v>1E-3</v>
      </c>
    </row>
    <row r="157" spans="2:5">
      <c r="B157" s="98"/>
      <c r="C157" s="60" t="s">
        <v>204</v>
      </c>
      <c r="D157" s="61">
        <v>3</v>
      </c>
      <c r="E157" s="62">
        <v>3.0000000000000001E-3</v>
      </c>
    </row>
    <row r="158" spans="2:5">
      <c r="B158" s="98"/>
      <c r="C158" s="60" t="s">
        <v>145</v>
      </c>
      <c r="D158" s="61">
        <v>1</v>
      </c>
      <c r="E158" s="62">
        <v>1E-3</v>
      </c>
    </row>
    <row r="159" spans="2:5">
      <c r="B159" s="98"/>
      <c r="C159" s="60" t="s">
        <v>208</v>
      </c>
      <c r="D159" s="61">
        <v>1</v>
      </c>
      <c r="E159" s="62">
        <v>1E-3</v>
      </c>
    </row>
    <row r="160" spans="2:5">
      <c r="B160" s="98"/>
      <c r="C160" s="60" t="s">
        <v>149</v>
      </c>
      <c r="D160" s="61">
        <v>3</v>
      </c>
      <c r="E160" s="62">
        <v>3.0000000000000001E-3</v>
      </c>
    </row>
    <row r="161" spans="2:5">
      <c r="B161" s="98"/>
      <c r="C161" s="60" t="s">
        <v>152</v>
      </c>
      <c r="D161" s="61">
        <v>5</v>
      </c>
      <c r="E161" s="62">
        <v>6.0000000000000001E-3</v>
      </c>
    </row>
    <row r="162" spans="2:5">
      <c r="B162" s="98"/>
      <c r="C162" s="60" t="s">
        <v>158</v>
      </c>
      <c r="D162" s="61">
        <v>1</v>
      </c>
      <c r="E162" s="62">
        <v>1E-3</v>
      </c>
    </row>
    <row r="163" spans="2:5">
      <c r="B163" s="99"/>
      <c r="C163" s="78" t="s">
        <v>227</v>
      </c>
      <c r="D163" s="76">
        <v>18</v>
      </c>
      <c r="E163" s="77">
        <v>2.1000000000000001E-2</v>
      </c>
    </row>
    <row r="164" spans="2:5">
      <c r="B164" s="97" t="s">
        <v>83</v>
      </c>
      <c r="C164" s="60" t="s">
        <v>200</v>
      </c>
      <c r="D164" s="61">
        <v>1</v>
      </c>
      <c r="E164" s="62">
        <v>1E-3</v>
      </c>
    </row>
    <row r="165" spans="2:5">
      <c r="B165" s="98"/>
      <c r="C165" s="60" t="s">
        <v>145</v>
      </c>
      <c r="D165" s="61">
        <v>1</v>
      </c>
      <c r="E165" s="62">
        <v>1E-3</v>
      </c>
    </row>
    <row r="166" spans="2:5">
      <c r="B166" s="98"/>
      <c r="C166" s="60" t="s">
        <v>149</v>
      </c>
      <c r="D166" s="61">
        <v>1</v>
      </c>
      <c r="E166" s="62">
        <v>1E-3</v>
      </c>
    </row>
    <row r="167" spans="2:5">
      <c r="B167" s="98"/>
      <c r="C167" s="60" t="s">
        <v>152</v>
      </c>
      <c r="D167" s="61">
        <v>1</v>
      </c>
      <c r="E167" s="62">
        <v>1E-3</v>
      </c>
    </row>
    <row r="168" spans="2:5">
      <c r="B168" s="98"/>
      <c r="C168" s="60" t="s">
        <v>210</v>
      </c>
      <c r="D168" s="61">
        <v>1</v>
      </c>
      <c r="E168" s="62">
        <v>1E-3</v>
      </c>
    </row>
    <row r="169" spans="2:5">
      <c r="B169" s="99"/>
      <c r="C169" s="78" t="s">
        <v>227</v>
      </c>
      <c r="D169" s="76">
        <v>5</v>
      </c>
      <c r="E169" s="77">
        <v>6.0000000000000001E-3</v>
      </c>
    </row>
    <row r="170" spans="2:5">
      <c r="B170" s="97" t="s">
        <v>188</v>
      </c>
      <c r="C170" s="60" t="s">
        <v>149</v>
      </c>
      <c r="D170" s="61">
        <v>1</v>
      </c>
      <c r="E170" s="62">
        <v>1E-3</v>
      </c>
    </row>
    <row r="171" spans="2:5">
      <c r="B171" s="98"/>
      <c r="C171" s="60" t="s">
        <v>152</v>
      </c>
      <c r="D171" s="61">
        <v>1</v>
      </c>
      <c r="E171" s="62">
        <v>1E-3</v>
      </c>
    </row>
    <row r="172" spans="2:5">
      <c r="B172" s="98"/>
      <c r="C172" s="60" t="s">
        <v>158</v>
      </c>
      <c r="D172" s="61">
        <v>1</v>
      </c>
      <c r="E172" s="62">
        <v>1E-3</v>
      </c>
    </row>
    <row r="173" spans="2:5">
      <c r="B173" s="99"/>
      <c r="C173" s="78" t="s">
        <v>227</v>
      </c>
      <c r="D173" s="76">
        <v>3</v>
      </c>
      <c r="E173" s="77">
        <v>3.0000000000000001E-3</v>
      </c>
    </row>
    <row r="174" spans="2:5">
      <c r="B174" s="97" t="s">
        <v>57</v>
      </c>
      <c r="C174" s="60" t="s">
        <v>196</v>
      </c>
      <c r="D174" s="61">
        <v>1</v>
      </c>
      <c r="E174" s="62">
        <v>1E-3</v>
      </c>
    </row>
    <row r="175" spans="2:5">
      <c r="B175" s="98"/>
      <c r="C175" s="60" t="s">
        <v>198</v>
      </c>
      <c r="D175" s="61">
        <v>1</v>
      </c>
      <c r="E175" s="62">
        <v>1E-3</v>
      </c>
    </row>
    <row r="176" spans="2:5">
      <c r="B176" s="98"/>
      <c r="C176" s="60" t="s">
        <v>204</v>
      </c>
      <c r="D176" s="61">
        <v>3</v>
      </c>
      <c r="E176" s="62">
        <v>3.0000000000000001E-3</v>
      </c>
    </row>
    <row r="177" spans="2:5">
      <c r="B177" s="98"/>
      <c r="C177" s="60" t="s">
        <v>145</v>
      </c>
      <c r="D177" s="61">
        <v>4</v>
      </c>
      <c r="E177" s="62">
        <v>5.0000000000000001E-3</v>
      </c>
    </row>
    <row r="178" spans="2:5">
      <c r="B178" s="98"/>
      <c r="C178" s="60" t="s">
        <v>149</v>
      </c>
      <c r="D178" s="61">
        <v>16</v>
      </c>
      <c r="E178" s="62">
        <v>1.9E-2</v>
      </c>
    </row>
    <row r="179" spans="2:5">
      <c r="B179" s="98"/>
      <c r="C179" s="60" t="s">
        <v>151</v>
      </c>
      <c r="D179" s="61">
        <v>4</v>
      </c>
      <c r="E179" s="62">
        <v>5.0000000000000001E-3</v>
      </c>
    </row>
    <row r="180" spans="2:5">
      <c r="B180" s="98"/>
      <c r="C180" s="60" t="s">
        <v>152</v>
      </c>
      <c r="D180" s="61">
        <v>10</v>
      </c>
      <c r="E180" s="62">
        <v>1.2E-2</v>
      </c>
    </row>
    <row r="181" spans="2:5">
      <c r="B181" s="98"/>
      <c r="C181" s="60" t="s">
        <v>212</v>
      </c>
      <c r="D181" s="61">
        <v>1</v>
      </c>
      <c r="E181" s="62">
        <v>1E-3</v>
      </c>
    </row>
    <row r="182" spans="2:5">
      <c r="B182" s="98"/>
      <c r="C182" s="60" t="s">
        <v>157</v>
      </c>
      <c r="D182" s="61">
        <v>1</v>
      </c>
      <c r="E182" s="62">
        <v>1E-3</v>
      </c>
    </row>
    <row r="183" spans="2:5">
      <c r="B183" s="99"/>
      <c r="C183" s="78" t="s">
        <v>227</v>
      </c>
      <c r="D183" s="76">
        <v>41</v>
      </c>
      <c r="E183" s="77">
        <v>4.8000000000000001E-2</v>
      </c>
    </row>
    <row r="184" spans="2:5">
      <c r="B184" s="97" t="s">
        <v>60</v>
      </c>
      <c r="C184" s="60" t="s">
        <v>208</v>
      </c>
      <c r="D184" s="61">
        <v>2</v>
      </c>
      <c r="E184" s="62">
        <v>2E-3</v>
      </c>
    </row>
    <row r="185" spans="2:5">
      <c r="B185" s="98"/>
      <c r="C185" s="60" t="s">
        <v>149</v>
      </c>
      <c r="D185" s="61">
        <v>2</v>
      </c>
      <c r="E185" s="62">
        <v>2E-3</v>
      </c>
    </row>
    <row r="186" spans="2:5">
      <c r="B186" s="98"/>
      <c r="C186" s="60" t="s">
        <v>152</v>
      </c>
      <c r="D186" s="61">
        <v>3</v>
      </c>
      <c r="E186" s="62">
        <v>3.0000000000000001E-3</v>
      </c>
    </row>
    <row r="187" spans="2:5">
      <c r="B187" s="98"/>
      <c r="C187" s="60" t="s">
        <v>157</v>
      </c>
      <c r="D187" s="61">
        <v>1</v>
      </c>
      <c r="E187" s="62">
        <v>1E-3</v>
      </c>
    </row>
    <row r="188" spans="2:5">
      <c r="B188" s="98"/>
      <c r="C188" s="60" t="s">
        <v>158</v>
      </c>
      <c r="D188" s="61">
        <v>3</v>
      </c>
      <c r="E188" s="62">
        <v>3.0000000000000001E-3</v>
      </c>
    </row>
    <row r="189" spans="2:5">
      <c r="B189" s="98"/>
      <c r="C189" s="60" t="s">
        <v>159</v>
      </c>
      <c r="D189" s="61">
        <v>1</v>
      </c>
      <c r="E189" s="62">
        <v>1E-3</v>
      </c>
    </row>
    <row r="190" spans="2:5">
      <c r="B190" s="99"/>
      <c r="C190" s="78" t="s">
        <v>227</v>
      </c>
      <c r="D190" s="76">
        <v>12</v>
      </c>
      <c r="E190" s="77">
        <v>1.4E-2</v>
      </c>
    </row>
    <row r="191" spans="2:5">
      <c r="B191" s="97" t="s">
        <v>70</v>
      </c>
      <c r="C191" s="60" t="s">
        <v>145</v>
      </c>
      <c r="D191" s="61">
        <v>2</v>
      </c>
      <c r="E191" s="62">
        <v>2E-3</v>
      </c>
    </row>
    <row r="192" spans="2:5">
      <c r="B192" s="98"/>
      <c r="C192" s="60" t="s">
        <v>149</v>
      </c>
      <c r="D192" s="61">
        <v>6</v>
      </c>
      <c r="E192" s="62">
        <v>7.0000000000000001E-3</v>
      </c>
    </row>
    <row r="193" spans="2:5">
      <c r="B193" s="98"/>
      <c r="C193" s="60" t="s">
        <v>151</v>
      </c>
      <c r="D193" s="61">
        <v>1</v>
      </c>
      <c r="E193" s="62">
        <v>1E-3</v>
      </c>
    </row>
    <row r="194" spans="2:5">
      <c r="B194" s="98"/>
      <c r="C194" s="60" t="s">
        <v>152</v>
      </c>
      <c r="D194" s="61">
        <v>4</v>
      </c>
      <c r="E194" s="62">
        <v>5.0000000000000001E-3</v>
      </c>
    </row>
    <row r="195" spans="2:5">
      <c r="B195" s="98"/>
      <c r="C195" s="60" t="s">
        <v>157</v>
      </c>
      <c r="D195" s="61">
        <v>1</v>
      </c>
      <c r="E195" s="62">
        <v>1E-3</v>
      </c>
    </row>
    <row r="196" spans="2:5">
      <c r="B196" s="98"/>
      <c r="C196" s="60" t="s">
        <v>158</v>
      </c>
      <c r="D196" s="61">
        <v>2</v>
      </c>
      <c r="E196" s="62">
        <v>2E-3</v>
      </c>
    </row>
    <row r="197" spans="2:5">
      <c r="B197" s="99"/>
      <c r="C197" s="78" t="s">
        <v>227</v>
      </c>
      <c r="D197" s="76">
        <v>16</v>
      </c>
      <c r="E197" s="77">
        <v>1.9E-2</v>
      </c>
    </row>
    <row r="198" spans="2:5">
      <c r="B198" s="97" t="s">
        <v>77</v>
      </c>
      <c r="C198" s="60" t="s">
        <v>208</v>
      </c>
      <c r="D198" s="61">
        <v>1</v>
      </c>
      <c r="E198" s="62">
        <v>1E-3</v>
      </c>
    </row>
    <row r="199" spans="2:5">
      <c r="B199" s="98"/>
      <c r="C199" s="60" t="s">
        <v>149</v>
      </c>
      <c r="D199" s="61">
        <v>8</v>
      </c>
      <c r="E199" s="62">
        <v>8.9999999999999993E-3</v>
      </c>
    </row>
    <row r="200" spans="2:5">
      <c r="B200" s="98"/>
      <c r="C200" s="60" t="s">
        <v>151</v>
      </c>
      <c r="D200" s="61">
        <v>1</v>
      </c>
      <c r="E200" s="62">
        <v>1E-3</v>
      </c>
    </row>
    <row r="201" spans="2:5">
      <c r="B201" s="98"/>
      <c r="C201" s="60" t="s">
        <v>152</v>
      </c>
      <c r="D201" s="61">
        <v>5</v>
      </c>
      <c r="E201" s="62">
        <v>6.0000000000000001E-3</v>
      </c>
    </row>
    <row r="202" spans="2:5">
      <c r="B202" s="98"/>
      <c r="C202" s="60" t="s">
        <v>158</v>
      </c>
      <c r="D202" s="61">
        <v>1</v>
      </c>
      <c r="E202" s="62">
        <v>1E-3</v>
      </c>
    </row>
    <row r="203" spans="2:5">
      <c r="B203" s="99"/>
      <c r="C203" s="78" t="s">
        <v>227</v>
      </c>
      <c r="D203" s="76">
        <v>16</v>
      </c>
      <c r="E203" s="77">
        <v>1.9E-2</v>
      </c>
    </row>
    <row r="204" spans="2:5">
      <c r="B204" s="97" t="s">
        <v>58</v>
      </c>
      <c r="C204" s="60" t="s">
        <v>198</v>
      </c>
      <c r="D204" s="61">
        <v>1</v>
      </c>
      <c r="E204" s="62">
        <v>1E-3</v>
      </c>
    </row>
    <row r="205" spans="2:5">
      <c r="B205" s="98"/>
      <c r="C205" s="60" t="s">
        <v>204</v>
      </c>
      <c r="D205" s="61">
        <v>1</v>
      </c>
      <c r="E205" s="62">
        <v>1E-3</v>
      </c>
    </row>
    <row r="206" spans="2:5">
      <c r="B206" s="98"/>
      <c r="C206" s="60" t="s">
        <v>145</v>
      </c>
      <c r="D206" s="61">
        <v>4</v>
      </c>
      <c r="E206" s="62">
        <v>5.0000000000000001E-3</v>
      </c>
    </row>
    <row r="207" spans="2:5">
      <c r="B207" s="98"/>
      <c r="C207" s="60" t="s">
        <v>208</v>
      </c>
      <c r="D207" s="61">
        <v>1</v>
      </c>
      <c r="E207" s="62">
        <v>1E-3</v>
      </c>
    </row>
    <row r="208" spans="2:5">
      <c r="B208" s="98"/>
      <c r="C208" s="60" t="s">
        <v>149</v>
      </c>
      <c r="D208" s="61">
        <v>5</v>
      </c>
      <c r="E208" s="62">
        <v>6.0000000000000001E-3</v>
      </c>
    </row>
    <row r="209" spans="2:5">
      <c r="B209" s="98"/>
      <c r="C209" s="60" t="s">
        <v>150</v>
      </c>
      <c r="D209" s="61">
        <v>1</v>
      </c>
      <c r="E209" s="62">
        <v>1E-3</v>
      </c>
    </row>
    <row r="210" spans="2:5">
      <c r="B210" s="98"/>
      <c r="C210" s="60" t="s">
        <v>151</v>
      </c>
      <c r="D210" s="61">
        <v>3</v>
      </c>
      <c r="E210" s="62">
        <v>3.0000000000000001E-3</v>
      </c>
    </row>
    <row r="211" spans="2:5">
      <c r="B211" s="98"/>
      <c r="C211" s="60" t="s">
        <v>152</v>
      </c>
      <c r="D211" s="61">
        <v>2</v>
      </c>
      <c r="E211" s="62">
        <v>2E-3</v>
      </c>
    </row>
    <row r="212" spans="2:5">
      <c r="B212" s="98"/>
      <c r="C212" s="60" t="s">
        <v>158</v>
      </c>
      <c r="D212" s="61">
        <v>1</v>
      </c>
      <c r="E212" s="62">
        <v>1E-3</v>
      </c>
    </row>
    <row r="213" spans="2:5">
      <c r="B213" s="99"/>
      <c r="C213" s="78" t="s">
        <v>227</v>
      </c>
      <c r="D213" s="76">
        <v>19</v>
      </c>
      <c r="E213" s="77">
        <v>2.1999999999999999E-2</v>
      </c>
    </row>
    <row r="214" spans="2:5">
      <c r="B214" s="97" t="s">
        <v>81</v>
      </c>
      <c r="C214" s="60" t="s">
        <v>149</v>
      </c>
      <c r="D214" s="61">
        <v>3</v>
      </c>
      <c r="E214" s="62">
        <v>3.0000000000000001E-3</v>
      </c>
    </row>
    <row r="215" spans="2:5">
      <c r="B215" s="98"/>
      <c r="C215" s="60" t="s">
        <v>151</v>
      </c>
      <c r="D215" s="61">
        <v>1</v>
      </c>
      <c r="E215" s="62">
        <v>1E-3</v>
      </c>
    </row>
    <row r="216" spans="2:5">
      <c r="B216" s="98"/>
      <c r="C216" s="60" t="s">
        <v>152</v>
      </c>
      <c r="D216" s="61">
        <v>1</v>
      </c>
      <c r="E216" s="62">
        <v>1E-3</v>
      </c>
    </row>
    <row r="217" spans="2:5">
      <c r="B217" s="99"/>
      <c r="C217" s="78" t="s">
        <v>227</v>
      </c>
      <c r="D217" s="76">
        <v>5</v>
      </c>
      <c r="E217" s="77">
        <v>6.0000000000000001E-3</v>
      </c>
    </row>
    <row r="218" spans="2:5">
      <c r="B218" s="97" t="s">
        <v>72</v>
      </c>
      <c r="C218" s="60" t="s">
        <v>149</v>
      </c>
      <c r="D218" s="61">
        <v>1</v>
      </c>
      <c r="E218" s="62">
        <v>1E-3</v>
      </c>
    </row>
    <row r="219" spans="2:5">
      <c r="B219" s="98"/>
      <c r="C219" s="60" t="s">
        <v>150</v>
      </c>
      <c r="D219" s="61">
        <v>1</v>
      </c>
      <c r="E219" s="62">
        <v>1E-3</v>
      </c>
    </row>
    <row r="220" spans="2:5">
      <c r="B220" s="98"/>
      <c r="C220" s="60" t="s">
        <v>151</v>
      </c>
      <c r="D220" s="61">
        <v>1</v>
      </c>
      <c r="E220" s="62">
        <v>1E-3</v>
      </c>
    </row>
    <row r="221" spans="2:5">
      <c r="B221" s="98"/>
      <c r="C221" s="60" t="s">
        <v>152</v>
      </c>
      <c r="D221" s="61">
        <v>3</v>
      </c>
      <c r="E221" s="62">
        <v>3.0000000000000001E-3</v>
      </c>
    </row>
    <row r="222" spans="2:5">
      <c r="B222" s="99"/>
      <c r="C222" s="78" t="s">
        <v>227</v>
      </c>
      <c r="D222" s="76">
        <v>6</v>
      </c>
      <c r="E222" s="77">
        <v>7.0000000000000001E-3</v>
      </c>
    </row>
    <row r="223" spans="2:5">
      <c r="B223" s="97" t="s">
        <v>78</v>
      </c>
      <c r="C223" s="60" t="s">
        <v>194</v>
      </c>
      <c r="D223" s="61">
        <v>1</v>
      </c>
      <c r="E223" s="62">
        <v>1E-3</v>
      </c>
    </row>
    <row r="224" spans="2:5">
      <c r="B224" s="98"/>
      <c r="C224" s="60" t="s">
        <v>200</v>
      </c>
      <c r="D224" s="61">
        <v>1</v>
      </c>
      <c r="E224" s="62">
        <v>1E-3</v>
      </c>
    </row>
    <row r="225" spans="2:5">
      <c r="B225" s="98"/>
      <c r="C225" s="60" t="s">
        <v>204</v>
      </c>
      <c r="D225" s="61">
        <v>2</v>
      </c>
      <c r="E225" s="62">
        <v>2E-3</v>
      </c>
    </row>
    <row r="226" spans="2:5">
      <c r="B226" s="98"/>
      <c r="C226" s="60" t="s">
        <v>145</v>
      </c>
      <c r="D226" s="61">
        <v>1</v>
      </c>
      <c r="E226" s="62">
        <v>1E-3</v>
      </c>
    </row>
    <row r="227" spans="2:5">
      <c r="B227" s="98"/>
      <c r="C227" s="60" t="s">
        <v>149</v>
      </c>
      <c r="D227" s="61">
        <v>5</v>
      </c>
      <c r="E227" s="62">
        <v>6.0000000000000001E-3</v>
      </c>
    </row>
    <row r="228" spans="2:5">
      <c r="B228" s="98"/>
      <c r="C228" s="60" t="s">
        <v>151</v>
      </c>
      <c r="D228" s="61">
        <v>1</v>
      </c>
      <c r="E228" s="62">
        <v>1E-3</v>
      </c>
    </row>
    <row r="229" spans="2:5">
      <c r="B229" s="98"/>
      <c r="C229" s="60" t="s">
        <v>152</v>
      </c>
      <c r="D229" s="61">
        <v>6</v>
      </c>
      <c r="E229" s="62">
        <v>7.0000000000000001E-3</v>
      </c>
    </row>
    <row r="230" spans="2:5">
      <c r="B230" s="98"/>
      <c r="C230" s="60" t="s">
        <v>158</v>
      </c>
      <c r="D230" s="61">
        <v>1</v>
      </c>
      <c r="E230" s="62">
        <v>1E-3</v>
      </c>
    </row>
    <row r="231" spans="2:5">
      <c r="B231" s="99"/>
      <c r="C231" s="78" t="s">
        <v>227</v>
      </c>
      <c r="D231" s="76">
        <v>18</v>
      </c>
      <c r="E231" s="77">
        <v>2.1000000000000001E-2</v>
      </c>
    </row>
    <row r="232" spans="2:5">
      <c r="B232" s="97" t="s">
        <v>187</v>
      </c>
      <c r="C232" s="60" t="s">
        <v>204</v>
      </c>
      <c r="D232" s="61">
        <v>2</v>
      </c>
      <c r="E232" s="62">
        <v>2E-3</v>
      </c>
    </row>
    <row r="233" spans="2:5">
      <c r="B233" s="98"/>
      <c r="C233" s="60" t="s">
        <v>151</v>
      </c>
      <c r="D233" s="61">
        <v>1</v>
      </c>
      <c r="E233" s="62">
        <v>1E-3</v>
      </c>
    </row>
    <row r="234" spans="2:5">
      <c r="B234" s="98"/>
      <c r="C234" s="60" t="s">
        <v>152</v>
      </c>
      <c r="D234" s="61">
        <v>1</v>
      </c>
      <c r="E234" s="62">
        <v>1E-3</v>
      </c>
    </row>
    <row r="235" spans="2:5">
      <c r="B235" s="99"/>
      <c r="C235" s="78" t="s">
        <v>227</v>
      </c>
      <c r="D235" s="76">
        <v>4</v>
      </c>
      <c r="E235" s="77">
        <v>5.0000000000000001E-3</v>
      </c>
    </row>
    <row r="236" spans="2:5">
      <c r="B236" s="97" t="s">
        <v>49</v>
      </c>
      <c r="C236" s="60" t="s">
        <v>194</v>
      </c>
      <c r="D236" s="61">
        <v>1</v>
      </c>
      <c r="E236" s="62">
        <v>1E-3</v>
      </c>
    </row>
    <row r="237" spans="2:5">
      <c r="B237" s="98"/>
      <c r="C237" s="60" t="s">
        <v>200</v>
      </c>
      <c r="D237" s="61">
        <v>1</v>
      </c>
      <c r="E237" s="62">
        <v>1E-3</v>
      </c>
    </row>
    <row r="238" spans="2:5">
      <c r="B238" s="98"/>
      <c r="C238" s="60" t="s">
        <v>204</v>
      </c>
      <c r="D238" s="61">
        <v>4</v>
      </c>
      <c r="E238" s="62">
        <v>5.0000000000000001E-3</v>
      </c>
    </row>
    <row r="239" spans="2:5">
      <c r="B239" s="98"/>
      <c r="C239" s="60" t="s">
        <v>145</v>
      </c>
      <c r="D239" s="61">
        <v>7</v>
      </c>
      <c r="E239" s="62">
        <v>8.0000000000000002E-3</v>
      </c>
    </row>
    <row r="240" spans="2:5">
      <c r="B240" s="98"/>
      <c r="C240" s="60" t="s">
        <v>208</v>
      </c>
      <c r="D240" s="61">
        <v>1</v>
      </c>
      <c r="E240" s="62">
        <v>1E-3</v>
      </c>
    </row>
    <row r="241" spans="2:5">
      <c r="B241" s="98"/>
      <c r="C241" s="60" t="s">
        <v>149</v>
      </c>
      <c r="D241" s="61">
        <v>24</v>
      </c>
      <c r="E241" s="62">
        <v>2.8000000000000001E-2</v>
      </c>
    </row>
    <row r="242" spans="2:5">
      <c r="B242" s="98"/>
      <c r="C242" s="60" t="s">
        <v>151</v>
      </c>
      <c r="D242" s="61">
        <v>7</v>
      </c>
      <c r="E242" s="62">
        <v>8.0000000000000002E-3</v>
      </c>
    </row>
    <row r="243" spans="2:5">
      <c r="B243" s="98"/>
      <c r="C243" s="60" t="s">
        <v>152</v>
      </c>
      <c r="D243" s="61">
        <v>16</v>
      </c>
      <c r="E243" s="62">
        <v>1.9E-2</v>
      </c>
    </row>
    <row r="244" spans="2:5">
      <c r="B244" s="98"/>
      <c r="C244" s="60" t="s">
        <v>210</v>
      </c>
      <c r="D244" s="61">
        <v>1</v>
      </c>
      <c r="E244" s="62">
        <v>1E-3</v>
      </c>
    </row>
    <row r="245" spans="2:5">
      <c r="B245" s="98"/>
      <c r="C245" s="60" t="s">
        <v>158</v>
      </c>
      <c r="D245" s="61">
        <v>2</v>
      </c>
      <c r="E245" s="62">
        <v>2E-3</v>
      </c>
    </row>
    <row r="246" spans="2:5">
      <c r="B246" s="99"/>
      <c r="C246" s="78" t="s">
        <v>227</v>
      </c>
      <c r="D246" s="76">
        <v>64</v>
      </c>
      <c r="E246" s="77">
        <v>7.3999999999999996E-2</v>
      </c>
    </row>
    <row r="247" spans="2:5">
      <c r="B247" s="97" t="s">
        <v>61</v>
      </c>
      <c r="C247" s="60" t="s">
        <v>196</v>
      </c>
      <c r="D247" s="61">
        <v>1</v>
      </c>
      <c r="E247" s="62">
        <v>1E-3</v>
      </c>
    </row>
    <row r="248" spans="2:5">
      <c r="B248" s="98"/>
      <c r="C248" s="60" t="s">
        <v>204</v>
      </c>
      <c r="D248" s="61">
        <v>1</v>
      </c>
      <c r="E248" s="62">
        <v>1E-3</v>
      </c>
    </row>
    <row r="249" spans="2:5">
      <c r="B249" s="98"/>
      <c r="C249" s="60" t="s">
        <v>145</v>
      </c>
      <c r="D249" s="61">
        <v>1</v>
      </c>
      <c r="E249" s="62">
        <v>1E-3</v>
      </c>
    </row>
    <row r="250" spans="2:5">
      <c r="B250" s="98"/>
      <c r="C250" s="60" t="s">
        <v>207</v>
      </c>
      <c r="D250" s="61">
        <v>1</v>
      </c>
      <c r="E250" s="62">
        <v>1E-3</v>
      </c>
    </row>
    <row r="251" spans="2:5">
      <c r="B251" s="98"/>
      <c r="C251" s="60" t="s">
        <v>208</v>
      </c>
      <c r="D251" s="61">
        <v>1</v>
      </c>
      <c r="E251" s="62">
        <v>1E-3</v>
      </c>
    </row>
    <row r="252" spans="2:5">
      <c r="B252" s="98"/>
      <c r="C252" s="60" t="s">
        <v>149</v>
      </c>
      <c r="D252" s="61">
        <v>5</v>
      </c>
      <c r="E252" s="62">
        <v>6.0000000000000001E-3</v>
      </c>
    </row>
    <row r="253" spans="2:5">
      <c r="B253" s="98"/>
      <c r="C253" s="60" t="s">
        <v>151</v>
      </c>
      <c r="D253" s="61">
        <v>1</v>
      </c>
      <c r="E253" s="62">
        <v>1E-3</v>
      </c>
    </row>
    <row r="254" spans="2:5">
      <c r="B254" s="98"/>
      <c r="C254" s="60" t="s">
        <v>152</v>
      </c>
      <c r="D254" s="61">
        <v>7</v>
      </c>
      <c r="E254" s="62">
        <v>8.0000000000000002E-3</v>
      </c>
    </row>
    <row r="255" spans="2:5">
      <c r="B255" s="98"/>
      <c r="C255" s="60" t="s">
        <v>157</v>
      </c>
      <c r="D255" s="61">
        <v>1</v>
      </c>
      <c r="E255" s="62">
        <v>1E-3</v>
      </c>
    </row>
    <row r="256" spans="2:5">
      <c r="B256" s="99"/>
      <c r="C256" s="78" t="s">
        <v>227</v>
      </c>
      <c r="D256" s="76">
        <v>19</v>
      </c>
      <c r="E256" s="77">
        <v>2.1999999999999999E-2</v>
      </c>
    </row>
    <row r="257" spans="2:5">
      <c r="B257" s="97" t="s">
        <v>56</v>
      </c>
      <c r="C257" s="60" t="s">
        <v>204</v>
      </c>
      <c r="D257" s="61">
        <v>1</v>
      </c>
      <c r="E257" s="62">
        <v>1E-3</v>
      </c>
    </row>
    <row r="258" spans="2:5">
      <c r="B258" s="98"/>
      <c r="C258" s="60" t="s">
        <v>207</v>
      </c>
      <c r="D258" s="61">
        <v>1</v>
      </c>
      <c r="E258" s="62">
        <v>1E-3</v>
      </c>
    </row>
    <row r="259" spans="2:5">
      <c r="B259" s="98"/>
      <c r="C259" s="60" t="s">
        <v>149</v>
      </c>
      <c r="D259" s="61">
        <v>4</v>
      </c>
      <c r="E259" s="62">
        <v>5.0000000000000001E-3</v>
      </c>
    </row>
    <row r="260" spans="2:5">
      <c r="B260" s="98"/>
      <c r="C260" s="60" t="s">
        <v>152</v>
      </c>
      <c r="D260" s="61">
        <v>8</v>
      </c>
      <c r="E260" s="62">
        <v>8.9999999999999993E-3</v>
      </c>
    </row>
    <row r="261" spans="2:5">
      <c r="B261" s="98"/>
      <c r="C261" s="60" t="s">
        <v>210</v>
      </c>
      <c r="D261" s="61">
        <v>1</v>
      </c>
      <c r="E261" s="62">
        <v>1E-3</v>
      </c>
    </row>
    <row r="262" spans="2:5">
      <c r="B262" s="98"/>
      <c r="C262" s="60" t="s">
        <v>158</v>
      </c>
      <c r="D262" s="61">
        <v>3</v>
      </c>
      <c r="E262" s="62">
        <v>3.0000000000000001E-3</v>
      </c>
    </row>
    <row r="263" spans="2:5">
      <c r="B263" s="99"/>
      <c r="C263" s="78" t="s">
        <v>227</v>
      </c>
      <c r="D263" s="76">
        <v>18</v>
      </c>
      <c r="E263" s="77">
        <v>2.1000000000000001E-2</v>
      </c>
    </row>
    <row r="264" spans="2:5">
      <c r="B264" s="97" t="s">
        <v>84</v>
      </c>
      <c r="C264" s="60" t="s">
        <v>149</v>
      </c>
      <c r="D264" s="61">
        <v>2</v>
      </c>
      <c r="E264" s="62">
        <v>2E-3</v>
      </c>
    </row>
    <row r="265" spans="2:5">
      <c r="B265" s="98"/>
      <c r="C265" s="60" t="s">
        <v>152</v>
      </c>
      <c r="D265" s="61">
        <v>2</v>
      </c>
      <c r="E265" s="62">
        <v>2E-3</v>
      </c>
    </row>
    <row r="266" spans="2:5">
      <c r="B266" s="98"/>
      <c r="C266" s="60" t="s">
        <v>158</v>
      </c>
      <c r="D266" s="61">
        <v>2</v>
      </c>
      <c r="E266" s="62">
        <v>2E-3</v>
      </c>
    </row>
    <row r="267" spans="2:5">
      <c r="B267" s="99"/>
      <c r="C267" s="78" t="s">
        <v>227</v>
      </c>
      <c r="D267" s="76">
        <v>6</v>
      </c>
      <c r="E267" s="77">
        <v>7.0000000000000001E-3</v>
      </c>
    </row>
    <row r="268" spans="2:5">
      <c r="B268" s="97" t="s">
        <v>75</v>
      </c>
      <c r="C268" s="60" t="s">
        <v>208</v>
      </c>
      <c r="D268" s="61">
        <v>1</v>
      </c>
      <c r="E268" s="62">
        <v>1E-3</v>
      </c>
    </row>
    <row r="269" spans="2:5">
      <c r="B269" s="98"/>
      <c r="C269" s="60" t="s">
        <v>149</v>
      </c>
      <c r="D269" s="61">
        <v>2</v>
      </c>
      <c r="E269" s="62">
        <v>2E-3</v>
      </c>
    </row>
    <row r="270" spans="2:5">
      <c r="B270" s="99"/>
      <c r="C270" s="78" t="s">
        <v>227</v>
      </c>
      <c r="D270" s="76">
        <v>3</v>
      </c>
      <c r="E270" s="77">
        <v>3.0000000000000001E-3</v>
      </c>
    </row>
    <row r="271" spans="2:5">
      <c r="B271" s="97" t="s">
        <v>74</v>
      </c>
      <c r="C271" s="60" t="s">
        <v>204</v>
      </c>
      <c r="D271" s="61">
        <v>1</v>
      </c>
      <c r="E271" s="62">
        <v>1E-3</v>
      </c>
    </row>
    <row r="272" spans="2:5">
      <c r="B272" s="98"/>
      <c r="C272" s="60" t="s">
        <v>149</v>
      </c>
      <c r="D272" s="61">
        <v>2</v>
      </c>
      <c r="E272" s="62">
        <v>2E-3</v>
      </c>
    </row>
    <row r="273" spans="2:5">
      <c r="B273" s="98"/>
      <c r="C273" s="60" t="s">
        <v>150</v>
      </c>
      <c r="D273" s="61">
        <v>1</v>
      </c>
      <c r="E273" s="62">
        <v>1E-3</v>
      </c>
    </row>
    <row r="274" spans="2:5">
      <c r="B274" s="98"/>
      <c r="C274" s="60" t="s">
        <v>152</v>
      </c>
      <c r="D274" s="61">
        <v>1</v>
      </c>
      <c r="E274" s="62">
        <v>1E-3</v>
      </c>
    </row>
    <row r="275" spans="2:5">
      <c r="B275" s="99"/>
      <c r="C275" s="78" t="s">
        <v>227</v>
      </c>
      <c r="D275" s="76">
        <v>5</v>
      </c>
      <c r="E275" s="77">
        <v>6.0000000000000001E-3</v>
      </c>
    </row>
    <row r="276" spans="2:5">
      <c r="B276" s="97" t="s">
        <v>85</v>
      </c>
      <c r="C276" s="60" t="s">
        <v>204</v>
      </c>
      <c r="D276" s="61">
        <v>1</v>
      </c>
      <c r="E276" s="62">
        <v>1E-3</v>
      </c>
    </row>
    <row r="277" spans="2:5">
      <c r="B277" s="98"/>
      <c r="C277" s="60" t="s">
        <v>149</v>
      </c>
      <c r="D277" s="61">
        <v>3</v>
      </c>
      <c r="E277" s="62">
        <v>3.0000000000000001E-3</v>
      </c>
    </row>
    <row r="278" spans="2:5">
      <c r="B278" s="98"/>
      <c r="C278" s="60" t="s">
        <v>151</v>
      </c>
      <c r="D278" s="61">
        <v>1</v>
      </c>
      <c r="E278" s="62">
        <v>1E-3</v>
      </c>
    </row>
    <row r="279" spans="2:5">
      <c r="B279" s="98"/>
      <c r="C279" s="60" t="s">
        <v>158</v>
      </c>
      <c r="D279" s="61">
        <v>1</v>
      </c>
      <c r="E279" s="62">
        <v>1E-3</v>
      </c>
    </row>
    <row r="280" spans="2:5">
      <c r="B280" s="99"/>
      <c r="C280" s="78" t="s">
        <v>227</v>
      </c>
      <c r="D280" s="76">
        <v>6</v>
      </c>
      <c r="E280" s="77">
        <v>7.0000000000000001E-3</v>
      </c>
    </row>
    <row r="281" spans="2:5">
      <c r="B281" s="97" t="s">
        <v>48</v>
      </c>
      <c r="C281" s="60" t="s">
        <v>138</v>
      </c>
      <c r="D281" s="61">
        <v>2</v>
      </c>
      <c r="E281" s="62">
        <v>2E-3</v>
      </c>
    </row>
    <row r="282" spans="2:5">
      <c r="B282" s="98"/>
      <c r="C282" s="60" t="s">
        <v>200</v>
      </c>
      <c r="D282" s="61">
        <v>1</v>
      </c>
      <c r="E282" s="62">
        <v>1E-3</v>
      </c>
    </row>
    <row r="283" spans="2:5">
      <c r="B283" s="98"/>
      <c r="C283" s="60" t="s">
        <v>202</v>
      </c>
      <c r="D283" s="61">
        <v>1</v>
      </c>
      <c r="E283" s="62">
        <v>1E-3</v>
      </c>
    </row>
    <row r="284" spans="2:5">
      <c r="B284" s="98"/>
      <c r="C284" s="60" t="s">
        <v>204</v>
      </c>
      <c r="D284" s="61">
        <v>4</v>
      </c>
      <c r="E284" s="62">
        <v>5.0000000000000001E-3</v>
      </c>
    </row>
    <row r="285" spans="2:5">
      <c r="B285" s="98"/>
      <c r="C285" s="60" t="s">
        <v>145</v>
      </c>
      <c r="D285" s="61">
        <v>5</v>
      </c>
      <c r="E285" s="62">
        <v>6.0000000000000001E-3</v>
      </c>
    </row>
    <row r="286" spans="2:5">
      <c r="B286" s="98"/>
      <c r="C286" s="60" t="s">
        <v>208</v>
      </c>
      <c r="D286" s="61">
        <v>7</v>
      </c>
      <c r="E286" s="62">
        <v>8.0000000000000002E-3</v>
      </c>
    </row>
    <row r="287" spans="2:5">
      <c r="B287" s="98"/>
      <c r="C287" s="60" t="s">
        <v>149</v>
      </c>
      <c r="D287" s="61">
        <v>33</v>
      </c>
      <c r="E287" s="62">
        <v>3.7999999999999999E-2</v>
      </c>
    </row>
    <row r="288" spans="2:5">
      <c r="B288" s="98"/>
      <c r="C288" s="60" t="s">
        <v>150</v>
      </c>
      <c r="D288" s="61">
        <v>3</v>
      </c>
      <c r="E288" s="62">
        <v>3.0000000000000001E-3</v>
      </c>
    </row>
    <row r="289" spans="2:5">
      <c r="B289" s="98"/>
      <c r="C289" s="60" t="s">
        <v>151</v>
      </c>
      <c r="D289" s="61">
        <v>3</v>
      </c>
      <c r="E289" s="62">
        <v>3.0000000000000001E-3</v>
      </c>
    </row>
    <row r="290" spans="2:5">
      <c r="B290" s="98"/>
      <c r="C290" s="60" t="s">
        <v>152</v>
      </c>
      <c r="D290" s="61">
        <v>16</v>
      </c>
      <c r="E290" s="62">
        <v>1.9E-2</v>
      </c>
    </row>
    <row r="291" spans="2:5">
      <c r="B291" s="98"/>
      <c r="C291" s="60" t="s">
        <v>157</v>
      </c>
      <c r="D291" s="61">
        <v>2</v>
      </c>
      <c r="E291" s="62">
        <v>2E-3</v>
      </c>
    </row>
    <row r="292" spans="2:5">
      <c r="B292" s="98"/>
      <c r="C292" s="60" t="s">
        <v>158</v>
      </c>
      <c r="D292" s="61">
        <v>3</v>
      </c>
      <c r="E292" s="62">
        <v>3.0000000000000001E-3</v>
      </c>
    </row>
    <row r="293" spans="2:5">
      <c r="B293" s="99"/>
      <c r="C293" s="78" t="s">
        <v>227</v>
      </c>
      <c r="D293" s="76">
        <v>80</v>
      </c>
      <c r="E293" s="77">
        <v>9.2999999999999999E-2</v>
      </c>
    </row>
    <row r="294" spans="2:5">
      <c r="B294" s="97" t="s">
        <v>59</v>
      </c>
      <c r="C294" s="60" t="s">
        <v>202</v>
      </c>
      <c r="D294" s="61">
        <v>1</v>
      </c>
      <c r="E294" s="62">
        <v>1E-3</v>
      </c>
    </row>
    <row r="295" spans="2:5">
      <c r="B295" s="98"/>
      <c r="C295" s="60" t="s">
        <v>145</v>
      </c>
      <c r="D295" s="61">
        <v>3</v>
      </c>
      <c r="E295" s="62">
        <v>3.0000000000000001E-3</v>
      </c>
    </row>
    <row r="296" spans="2:5">
      <c r="B296" s="98"/>
      <c r="C296" s="60" t="s">
        <v>149</v>
      </c>
      <c r="D296" s="61">
        <v>11</v>
      </c>
      <c r="E296" s="62">
        <v>1.2999999999999999E-2</v>
      </c>
    </row>
    <row r="297" spans="2:5">
      <c r="B297" s="98"/>
      <c r="C297" s="60" t="s">
        <v>151</v>
      </c>
      <c r="D297" s="61">
        <v>3</v>
      </c>
      <c r="E297" s="62">
        <v>3.0000000000000001E-3</v>
      </c>
    </row>
    <row r="298" spans="2:5">
      <c r="B298" s="98"/>
      <c r="C298" s="60" t="s">
        <v>152</v>
      </c>
      <c r="D298" s="61">
        <v>7</v>
      </c>
      <c r="E298" s="62">
        <v>8.0000000000000002E-3</v>
      </c>
    </row>
    <row r="299" spans="2:5">
      <c r="B299" s="98"/>
      <c r="C299" s="60" t="s">
        <v>157</v>
      </c>
      <c r="D299" s="61">
        <v>1</v>
      </c>
      <c r="E299" s="62">
        <v>1E-3</v>
      </c>
    </row>
    <row r="300" spans="2:5">
      <c r="B300" s="98"/>
      <c r="C300" s="60" t="s">
        <v>158</v>
      </c>
      <c r="D300" s="61">
        <v>2</v>
      </c>
      <c r="E300" s="62">
        <v>2E-3</v>
      </c>
    </row>
    <row r="301" spans="2:5">
      <c r="B301" s="99"/>
      <c r="C301" s="78" t="s">
        <v>227</v>
      </c>
      <c r="D301" s="76">
        <v>28</v>
      </c>
      <c r="E301" s="77">
        <v>3.3000000000000002E-2</v>
      </c>
    </row>
    <row r="302" spans="2:5">
      <c r="B302" s="97" t="s">
        <v>68</v>
      </c>
      <c r="C302" s="60" t="s">
        <v>145</v>
      </c>
      <c r="D302" s="61">
        <v>2</v>
      </c>
      <c r="E302" s="62">
        <v>2E-3</v>
      </c>
    </row>
    <row r="303" spans="2:5">
      <c r="B303" s="98"/>
      <c r="C303" s="60" t="s">
        <v>149</v>
      </c>
      <c r="D303" s="61">
        <v>2</v>
      </c>
      <c r="E303" s="62">
        <v>2E-3</v>
      </c>
    </row>
    <row r="304" spans="2:5">
      <c r="B304" s="98"/>
      <c r="C304" s="60" t="s">
        <v>151</v>
      </c>
      <c r="D304" s="61">
        <v>2</v>
      </c>
      <c r="E304" s="62">
        <v>2E-3</v>
      </c>
    </row>
    <row r="305" spans="2:5">
      <c r="B305" s="98"/>
      <c r="C305" s="60" t="s">
        <v>152</v>
      </c>
      <c r="D305" s="61">
        <v>3</v>
      </c>
      <c r="E305" s="62">
        <v>3.0000000000000001E-3</v>
      </c>
    </row>
    <row r="306" spans="2:5">
      <c r="B306" s="99"/>
      <c r="C306" s="78" t="s">
        <v>227</v>
      </c>
      <c r="D306" s="76">
        <v>9</v>
      </c>
      <c r="E306" s="77">
        <v>0.01</v>
      </c>
    </row>
    <row r="307" spans="2:5">
      <c r="B307" s="97" t="s">
        <v>82</v>
      </c>
      <c r="C307" s="60" t="s">
        <v>207</v>
      </c>
      <c r="D307" s="61">
        <v>1</v>
      </c>
      <c r="E307" s="62">
        <v>1E-3</v>
      </c>
    </row>
    <row r="308" spans="2:5">
      <c r="B308" s="98"/>
      <c r="C308" s="60" t="s">
        <v>149</v>
      </c>
      <c r="D308" s="61">
        <v>2</v>
      </c>
      <c r="E308" s="62">
        <v>2E-3</v>
      </c>
    </row>
    <row r="309" spans="2:5">
      <c r="B309" s="98"/>
      <c r="C309" s="60" t="s">
        <v>151</v>
      </c>
      <c r="D309" s="61">
        <v>1</v>
      </c>
      <c r="E309" s="62">
        <v>1E-3</v>
      </c>
    </row>
    <row r="310" spans="2:5">
      <c r="B310" s="98"/>
      <c r="C310" s="60" t="s">
        <v>152</v>
      </c>
      <c r="D310" s="61">
        <v>3</v>
      </c>
      <c r="E310" s="62">
        <v>3.0000000000000001E-3</v>
      </c>
    </row>
    <row r="311" spans="2:5">
      <c r="B311" s="99"/>
      <c r="C311" s="78" t="s">
        <v>227</v>
      </c>
      <c r="D311" s="76">
        <v>7</v>
      </c>
      <c r="E311" s="77">
        <v>8.0000000000000002E-3</v>
      </c>
    </row>
    <row r="312" spans="2:5">
      <c r="B312" s="97" t="s">
        <v>53</v>
      </c>
      <c r="C312" s="60" t="s">
        <v>138</v>
      </c>
      <c r="D312" s="61">
        <v>1</v>
      </c>
      <c r="E312" s="62">
        <v>1E-3</v>
      </c>
    </row>
    <row r="313" spans="2:5">
      <c r="B313" s="98"/>
      <c r="C313" s="60" t="s">
        <v>200</v>
      </c>
      <c r="D313" s="61">
        <v>1</v>
      </c>
      <c r="E313" s="62">
        <v>1E-3</v>
      </c>
    </row>
    <row r="314" spans="2:5">
      <c r="B314" s="98"/>
      <c r="C314" s="60" t="s">
        <v>202</v>
      </c>
      <c r="D314" s="61">
        <v>1</v>
      </c>
      <c r="E314" s="62">
        <v>1E-3</v>
      </c>
    </row>
    <row r="315" spans="2:5">
      <c r="B315" s="98"/>
      <c r="C315" s="60" t="s">
        <v>204</v>
      </c>
      <c r="D315" s="61">
        <v>4</v>
      </c>
      <c r="E315" s="62">
        <v>5.0000000000000001E-3</v>
      </c>
    </row>
    <row r="316" spans="2:5">
      <c r="B316" s="98"/>
      <c r="C316" s="60" t="s">
        <v>145</v>
      </c>
      <c r="D316" s="61">
        <v>1</v>
      </c>
      <c r="E316" s="62">
        <v>1E-3</v>
      </c>
    </row>
    <row r="317" spans="2:5">
      <c r="B317" s="98"/>
      <c r="C317" s="60" t="s">
        <v>205</v>
      </c>
      <c r="D317" s="61">
        <v>1</v>
      </c>
      <c r="E317" s="62">
        <v>1E-3</v>
      </c>
    </row>
    <row r="318" spans="2:5">
      <c r="B318" s="98"/>
      <c r="C318" s="60" t="s">
        <v>208</v>
      </c>
      <c r="D318" s="61">
        <v>3</v>
      </c>
      <c r="E318" s="62">
        <v>3.0000000000000001E-3</v>
      </c>
    </row>
    <row r="319" spans="2:5">
      <c r="B319" s="98"/>
      <c r="C319" s="60" t="s">
        <v>149</v>
      </c>
      <c r="D319" s="61">
        <v>13</v>
      </c>
      <c r="E319" s="62">
        <v>1.4999999999999999E-2</v>
      </c>
    </row>
    <row r="320" spans="2:5">
      <c r="B320" s="98"/>
      <c r="C320" s="60" t="s">
        <v>151</v>
      </c>
      <c r="D320" s="61">
        <v>2</v>
      </c>
      <c r="E320" s="62">
        <v>2E-3</v>
      </c>
    </row>
    <row r="321" spans="2:5">
      <c r="B321" s="98"/>
      <c r="C321" s="60" t="s">
        <v>152</v>
      </c>
      <c r="D321" s="61">
        <v>14</v>
      </c>
      <c r="E321" s="62">
        <v>1.6E-2</v>
      </c>
    </row>
    <row r="322" spans="2:5">
      <c r="B322" s="98"/>
      <c r="C322" s="60" t="s">
        <v>157</v>
      </c>
      <c r="D322" s="61">
        <v>1</v>
      </c>
      <c r="E322" s="62">
        <v>1E-3</v>
      </c>
    </row>
    <row r="323" spans="2:5">
      <c r="B323" s="98"/>
      <c r="C323" s="60" t="s">
        <v>158</v>
      </c>
      <c r="D323" s="61">
        <v>1</v>
      </c>
      <c r="E323" s="62">
        <v>1E-3</v>
      </c>
    </row>
    <row r="324" spans="2:5">
      <c r="B324" s="99"/>
      <c r="C324" s="78" t="s">
        <v>227</v>
      </c>
      <c r="D324" s="76">
        <v>43</v>
      </c>
      <c r="E324" s="77">
        <v>0.05</v>
      </c>
    </row>
    <row r="325" spans="2:5">
      <c r="B325" s="101" t="s">
        <v>230</v>
      </c>
      <c r="C325" s="101"/>
      <c r="D325" s="64">
        <v>860</v>
      </c>
      <c r="E325" s="65">
        <v>1</v>
      </c>
    </row>
    <row r="326" spans="2:5" ht="15" customHeight="1">
      <c r="B326" s="49"/>
      <c r="C326" s="49"/>
      <c r="D326" s="49"/>
      <c r="E326" s="49"/>
    </row>
    <row r="327" spans="2:5" ht="15" customHeight="1">
      <c r="B327" s="38" t="s">
        <v>189</v>
      </c>
      <c r="C327" s="49"/>
      <c r="D327" s="49"/>
      <c r="E327" s="49"/>
    </row>
    <row r="328" spans="2:5" ht="15" customHeight="1">
      <c r="B328" s="40" t="s">
        <v>18</v>
      </c>
      <c r="C328" s="49"/>
      <c r="D328" s="49"/>
      <c r="E328" s="49"/>
    </row>
    <row r="329" spans="2:5" ht="15" customHeight="1">
      <c r="B329" s="41" t="s">
        <v>46</v>
      </c>
      <c r="C329" s="49"/>
      <c r="D329" s="49"/>
      <c r="E329" s="49"/>
    </row>
    <row r="330" spans="2:5" ht="15" customHeight="1">
      <c r="B330" s="38" t="s">
        <v>17</v>
      </c>
      <c r="C330" s="49"/>
      <c r="D330" s="49"/>
      <c r="E330" s="49"/>
    </row>
    <row r="331" spans="2:5" ht="15" customHeight="1">
      <c r="B331" s="38" t="s">
        <v>228</v>
      </c>
      <c r="C331" s="49"/>
      <c r="D331" s="49"/>
      <c r="E331" s="49"/>
    </row>
  </sheetData>
  <mergeCells count="46">
    <mergeCell ref="B7:E8"/>
    <mergeCell ref="B223:B231"/>
    <mergeCell ref="B232:B235"/>
    <mergeCell ref="B236:B246"/>
    <mergeCell ref="B247:B256"/>
    <mergeCell ref="B154:B163"/>
    <mergeCell ref="B164:B169"/>
    <mergeCell ref="B170:B173"/>
    <mergeCell ref="B174:B183"/>
    <mergeCell ref="B184:B190"/>
    <mergeCell ref="B115:B122"/>
    <mergeCell ref="B123:B127"/>
    <mergeCell ref="B128:B137"/>
    <mergeCell ref="B138:B145"/>
    <mergeCell ref="B146:B153"/>
    <mergeCell ref="B325:C325"/>
    <mergeCell ref="B10:B14"/>
    <mergeCell ref="B15:B27"/>
    <mergeCell ref="B28:B34"/>
    <mergeCell ref="B35:B38"/>
    <mergeCell ref="B39:B42"/>
    <mergeCell ref="B43:B45"/>
    <mergeCell ref="B46:B57"/>
    <mergeCell ref="B58:B66"/>
    <mergeCell ref="B67:B72"/>
    <mergeCell ref="B73:B80"/>
    <mergeCell ref="B81:B82"/>
    <mergeCell ref="B83:B91"/>
    <mergeCell ref="B92:B95"/>
    <mergeCell ref="B96:B108"/>
    <mergeCell ref="B109:B114"/>
    <mergeCell ref="B294:B301"/>
    <mergeCell ref="B302:B306"/>
    <mergeCell ref="B307:B311"/>
    <mergeCell ref="B312:B324"/>
    <mergeCell ref="B191:B197"/>
    <mergeCell ref="B198:B203"/>
    <mergeCell ref="B204:B213"/>
    <mergeCell ref="B214:B217"/>
    <mergeCell ref="B218:B222"/>
    <mergeCell ref="B257:B263"/>
    <mergeCell ref="B264:B267"/>
    <mergeCell ref="B268:B270"/>
    <mergeCell ref="B271:B275"/>
    <mergeCell ref="B276:B280"/>
    <mergeCell ref="B281:B2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30" zoomScaleNormal="100" zoomScaleSheetLayoutView="130" workbookViewId="0">
      <selection activeCell="C12" sqref="C1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8"/>
    </row>
    <row r="2" spans="1:6" s="15" customFormat="1" ht="15" customHeight="1">
      <c r="C2" s="18"/>
    </row>
    <row r="3" spans="1:6" s="15" customFormat="1" ht="15" customHeight="1">
      <c r="C3" s="18"/>
    </row>
    <row r="4" spans="1:6" s="15" customFormat="1" ht="30" customHeight="1">
      <c r="C4" s="18"/>
      <c r="D4" s="17"/>
    </row>
    <row r="5" spans="1:6" s="15" customFormat="1" ht="15" customHeight="1">
      <c r="C5" s="18"/>
      <c r="D5" s="17"/>
    </row>
    <row r="6" spans="1:6" s="15" customFormat="1" ht="15" customHeight="1">
      <c r="C6" s="18"/>
      <c r="D6" s="17"/>
    </row>
    <row r="7" spans="1:6" s="15" customFormat="1" ht="15" customHeight="1">
      <c r="A7" s="33"/>
      <c r="B7" s="96" t="s">
        <v>37</v>
      </c>
      <c r="C7" s="96"/>
      <c r="D7" s="96"/>
      <c r="E7" s="33"/>
      <c r="F7" s="33"/>
    </row>
    <row r="8" spans="1:6" s="15" customFormat="1" ht="15" customHeight="1">
      <c r="A8" s="33"/>
      <c r="B8" s="96"/>
      <c r="C8" s="96"/>
      <c r="D8" s="96"/>
      <c r="E8" s="33"/>
      <c r="F8" s="33"/>
    </row>
    <row r="9" spans="1:6" s="15" customFormat="1" ht="33" customHeight="1">
      <c r="A9" s="33"/>
      <c r="B9" s="96"/>
      <c r="C9" s="96"/>
      <c r="D9" s="96"/>
      <c r="E9" s="33"/>
      <c r="F9" s="33"/>
    </row>
    <row r="10" spans="1:6" s="15" customFormat="1" ht="4.5" customHeight="1">
      <c r="A10" s="33"/>
      <c r="B10" s="36"/>
      <c r="C10" s="36"/>
      <c r="D10" s="36"/>
      <c r="E10" s="33"/>
      <c r="F10" s="33"/>
    </row>
    <row r="11" spans="1:6" s="15" customFormat="1" ht="33" customHeight="1">
      <c r="A11" s="33"/>
      <c r="B11" s="85" t="s">
        <v>29</v>
      </c>
      <c r="C11" s="86" t="s">
        <v>20</v>
      </c>
      <c r="D11" s="85" t="s">
        <v>19</v>
      </c>
      <c r="E11" s="33"/>
      <c r="F11" s="33"/>
    </row>
    <row r="12" spans="1:6" ht="16.5">
      <c r="A12" s="37"/>
      <c r="B12" s="66" t="s">
        <v>127</v>
      </c>
      <c r="C12" s="67">
        <v>297</v>
      </c>
      <c r="D12" s="68">
        <v>0.34534883720930198</v>
      </c>
      <c r="E12" s="37"/>
      <c r="F12" s="37"/>
    </row>
    <row r="13" spans="1:6" ht="16.5">
      <c r="A13" s="37"/>
      <c r="B13" s="66" t="s">
        <v>128</v>
      </c>
      <c r="C13" s="67">
        <v>563</v>
      </c>
      <c r="D13" s="68">
        <v>0.65465116279069802</v>
      </c>
      <c r="E13" s="37"/>
      <c r="F13" s="37"/>
    </row>
    <row r="14" spans="1:6" ht="16.5">
      <c r="A14" s="37"/>
      <c r="B14" s="79" t="s">
        <v>229</v>
      </c>
      <c r="C14" s="70">
        <v>860</v>
      </c>
      <c r="D14" s="71">
        <v>1</v>
      </c>
      <c r="E14" s="37"/>
      <c r="F14" s="37"/>
    </row>
    <row r="15" spans="1:6" ht="16.5">
      <c r="A15" s="37"/>
      <c r="B15" s="38"/>
      <c r="C15" s="39"/>
      <c r="D15" s="39"/>
      <c r="E15" s="37"/>
      <c r="F15" s="37"/>
    </row>
    <row r="16" spans="1:6" ht="16.5">
      <c r="A16" s="37"/>
      <c r="B16" s="38" t="s">
        <v>189</v>
      </c>
      <c r="C16" s="53"/>
      <c r="D16" s="53"/>
      <c r="E16" s="37"/>
      <c r="F16" s="37"/>
    </row>
    <row r="17" spans="1:6" ht="16.5">
      <c r="A17" s="37"/>
      <c r="B17" s="40" t="s">
        <v>18</v>
      </c>
      <c r="C17" s="54"/>
      <c r="D17" s="54"/>
      <c r="E17" s="37"/>
      <c r="F17" s="37"/>
    </row>
    <row r="18" spans="1:6" ht="16.5">
      <c r="A18" s="37"/>
      <c r="B18" s="41" t="s">
        <v>46</v>
      </c>
      <c r="C18" s="39"/>
      <c r="D18" s="37"/>
      <c r="E18" s="37"/>
      <c r="F18" s="37"/>
    </row>
    <row r="19" spans="1:6" ht="16.5">
      <c r="A19" s="37"/>
      <c r="B19" s="38" t="s">
        <v>17</v>
      </c>
      <c r="C19" s="39"/>
      <c r="D19" s="37"/>
      <c r="E19" s="37"/>
      <c r="F19" s="37"/>
    </row>
    <row r="20" spans="1:6" ht="16.5">
      <c r="A20" s="37"/>
      <c r="B20" s="38" t="s">
        <v>228</v>
      </c>
      <c r="C20" s="39"/>
      <c r="D20" s="37"/>
      <c r="E20" s="37"/>
      <c r="F20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46"/>
  <sheetViews>
    <sheetView showGridLines="0" view="pageBreakPreview" zoomScale="115" zoomScaleNormal="96" zoomScaleSheetLayoutView="115" workbookViewId="0">
      <selection activeCell="I1" sqref="I1"/>
    </sheetView>
  </sheetViews>
  <sheetFormatPr baseColWidth="10" defaultColWidth="11.42578125" defaultRowHeight="11.25"/>
  <cols>
    <col min="1" max="1" width="5.7109375" style="15" customWidth="1"/>
    <col min="2" max="3" width="25.7109375" style="22" customWidth="1"/>
    <col min="4" max="4" width="15.7109375" style="25" customWidth="1"/>
    <col min="5" max="5" width="15.7109375" style="22" customWidth="1"/>
    <col min="6" max="6" width="5.140625" style="15" customWidth="1"/>
    <col min="7" max="16384" width="11.42578125" style="15"/>
  </cols>
  <sheetData>
    <row r="1" spans="1:6" s="13" customFormat="1" ht="15">
      <c r="B1" s="22"/>
      <c r="C1" s="22"/>
    </row>
    <row r="2" spans="1:6" s="22" customFormat="1">
      <c r="B2" s="27"/>
    </row>
    <row r="3" spans="1:6" ht="15" customHeight="1">
      <c r="B3" s="28"/>
      <c r="C3" s="18"/>
      <c r="D3" s="15"/>
      <c r="F3" s="22"/>
    </row>
    <row r="4" spans="1:6" ht="30" customHeight="1">
      <c r="B4" s="28"/>
      <c r="C4" s="18"/>
      <c r="D4" s="15"/>
      <c r="F4" s="22"/>
    </row>
    <row r="5" spans="1:6" ht="15" customHeight="1">
      <c r="B5" s="28"/>
      <c r="C5" s="18"/>
      <c r="D5" s="15"/>
      <c r="F5" s="22"/>
    </row>
    <row r="6" spans="1:6" s="22" customFormat="1">
      <c r="B6" s="24"/>
      <c r="C6" s="21"/>
    </row>
    <row r="7" spans="1:6" s="22" customFormat="1">
      <c r="B7" s="27"/>
    </row>
    <row r="8" spans="1:6" s="13" customFormat="1" ht="15" customHeight="1">
      <c r="A8" s="37"/>
      <c r="B8" s="96" t="s">
        <v>39</v>
      </c>
      <c r="C8" s="96"/>
      <c r="D8" s="96"/>
      <c r="E8" s="96"/>
      <c r="F8" s="37"/>
    </row>
    <row r="9" spans="1:6" s="13" customFormat="1" ht="15" customHeight="1">
      <c r="A9" s="37"/>
      <c r="B9" s="96"/>
      <c r="C9" s="96"/>
      <c r="D9" s="96"/>
      <c r="E9" s="96"/>
      <c r="F9" s="55"/>
    </row>
    <row r="10" spans="1:6" s="13" customFormat="1" ht="15" customHeight="1">
      <c r="A10" s="37"/>
      <c r="B10" s="96"/>
      <c r="C10" s="96"/>
      <c r="D10" s="96"/>
      <c r="E10" s="96"/>
      <c r="F10" s="37"/>
    </row>
    <row r="11" spans="1:6" s="13" customFormat="1" ht="15" customHeight="1">
      <c r="A11" s="37"/>
      <c r="B11" s="56"/>
      <c r="C11" s="56"/>
      <c r="D11" s="56"/>
      <c r="E11" s="56"/>
      <c r="F11" s="37"/>
    </row>
    <row r="12" spans="1:6" s="13" customFormat="1" ht="36.950000000000003" customHeight="1">
      <c r="A12" s="37"/>
      <c r="B12" s="59" t="s">
        <v>22</v>
      </c>
      <c r="C12" s="59" t="s">
        <v>29</v>
      </c>
      <c r="D12" s="59" t="s">
        <v>20</v>
      </c>
      <c r="E12" s="59" t="s">
        <v>19</v>
      </c>
      <c r="F12" s="37"/>
    </row>
    <row r="13" spans="1:6" ht="14.45" customHeight="1">
      <c r="A13" s="33"/>
      <c r="B13" s="97" t="s">
        <v>79</v>
      </c>
      <c r="C13" s="60" t="s">
        <v>127</v>
      </c>
      <c r="D13" s="61">
        <v>1</v>
      </c>
      <c r="E13" s="62">
        <v>1E-3</v>
      </c>
      <c r="F13" s="33"/>
    </row>
    <row r="14" spans="1:6" ht="14.45" customHeight="1">
      <c r="A14" s="33"/>
      <c r="B14" s="98"/>
      <c r="C14" s="60" t="s">
        <v>128</v>
      </c>
      <c r="D14" s="61">
        <v>5</v>
      </c>
      <c r="E14" s="62">
        <v>6.0000000000000001E-3</v>
      </c>
      <c r="F14" s="33"/>
    </row>
    <row r="15" spans="1:6" ht="14.45" customHeight="1">
      <c r="A15" s="33"/>
      <c r="B15" s="99"/>
      <c r="C15" s="78" t="s">
        <v>227</v>
      </c>
      <c r="D15" s="76">
        <v>6</v>
      </c>
      <c r="E15" s="77">
        <v>7.0000000000000001E-3</v>
      </c>
      <c r="F15" s="33"/>
    </row>
    <row r="16" spans="1:6" ht="14.45" customHeight="1">
      <c r="A16" s="33"/>
      <c r="B16" s="97" t="s">
        <v>47</v>
      </c>
      <c r="C16" s="60" t="s">
        <v>127</v>
      </c>
      <c r="D16" s="61">
        <v>28</v>
      </c>
      <c r="E16" s="62">
        <v>3.3000000000000002E-2</v>
      </c>
      <c r="F16" s="33"/>
    </row>
    <row r="17" spans="1:6" ht="14.45" customHeight="1">
      <c r="A17" s="33"/>
      <c r="B17" s="98"/>
      <c r="C17" s="60" t="s">
        <v>128</v>
      </c>
      <c r="D17" s="61">
        <v>44</v>
      </c>
      <c r="E17" s="62">
        <v>5.0999999999999997E-2</v>
      </c>
      <c r="F17" s="33"/>
    </row>
    <row r="18" spans="1:6" ht="14.45" customHeight="1">
      <c r="A18" s="33"/>
      <c r="B18" s="99"/>
      <c r="C18" s="78" t="s">
        <v>227</v>
      </c>
      <c r="D18" s="76">
        <v>72</v>
      </c>
      <c r="E18" s="77">
        <v>8.4000000000000005E-2</v>
      </c>
      <c r="F18" s="33"/>
    </row>
    <row r="19" spans="1:6" ht="14.45" customHeight="1">
      <c r="A19" s="33"/>
      <c r="B19" s="97" t="s">
        <v>62</v>
      </c>
      <c r="C19" s="60" t="s">
        <v>127</v>
      </c>
      <c r="D19" s="61">
        <v>7</v>
      </c>
      <c r="E19" s="62">
        <v>8.0000000000000002E-3</v>
      </c>
      <c r="F19" s="33"/>
    </row>
    <row r="20" spans="1:6" ht="14.45" customHeight="1">
      <c r="A20" s="33"/>
      <c r="B20" s="98"/>
      <c r="C20" s="60" t="s">
        <v>128</v>
      </c>
      <c r="D20" s="61">
        <v>9</v>
      </c>
      <c r="E20" s="62">
        <v>0.01</v>
      </c>
      <c r="F20" s="33"/>
    </row>
    <row r="21" spans="1:6" ht="14.45" customHeight="1">
      <c r="A21" s="33"/>
      <c r="B21" s="99"/>
      <c r="C21" s="78" t="s">
        <v>227</v>
      </c>
      <c r="D21" s="76">
        <v>16</v>
      </c>
      <c r="E21" s="77">
        <v>1.9E-2</v>
      </c>
      <c r="F21" s="33"/>
    </row>
    <row r="22" spans="1:6" ht="14.45" customHeight="1">
      <c r="A22" s="33"/>
      <c r="B22" s="97" t="s">
        <v>87</v>
      </c>
      <c r="C22" s="60" t="s">
        <v>127</v>
      </c>
      <c r="D22" s="61">
        <v>2</v>
      </c>
      <c r="E22" s="62">
        <v>2E-3</v>
      </c>
      <c r="F22" s="33"/>
    </row>
    <row r="23" spans="1:6" ht="14.45" customHeight="1">
      <c r="A23" s="33"/>
      <c r="B23" s="98"/>
      <c r="C23" s="60" t="s">
        <v>128</v>
      </c>
      <c r="D23" s="61">
        <v>1</v>
      </c>
      <c r="E23" s="62">
        <v>1E-3</v>
      </c>
      <c r="F23" s="33"/>
    </row>
    <row r="24" spans="1:6" ht="14.45" customHeight="1">
      <c r="A24" s="33"/>
      <c r="B24" s="99"/>
      <c r="C24" s="78" t="s">
        <v>227</v>
      </c>
      <c r="D24" s="76">
        <v>3</v>
      </c>
      <c r="E24" s="77">
        <v>3.0000000000000001E-3</v>
      </c>
      <c r="F24" s="33"/>
    </row>
    <row r="25" spans="1:6" ht="14.45" customHeight="1">
      <c r="A25" s="33"/>
      <c r="B25" s="97" t="s">
        <v>86</v>
      </c>
      <c r="C25" s="60" t="s">
        <v>128</v>
      </c>
      <c r="D25" s="61">
        <v>3</v>
      </c>
      <c r="E25" s="62">
        <v>3.0000000000000001E-3</v>
      </c>
      <c r="F25" s="33"/>
    </row>
    <row r="26" spans="1:6" ht="14.45" customHeight="1">
      <c r="A26" s="33"/>
      <c r="B26" s="99"/>
      <c r="C26" s="78" t="s">
        <v>227</v>
      </c>
      <c r="D26" s="76">
        <v>3</v>
      </c>
      <c r="E26" s="77">
        <v>3.0000000000000001E-3</v>
      </c>
      <c r="F26" s="33"/>
    </row>
    <row r="27" spans="1:6" ht="14.45" customHeight="1">
      <c r="A27" s="33"/>
      <c r="B27" s="97" t="s">
        <v>80</v>
      </c>
      <c r="C27" s="60" t="s">
        <v>127</v>
      </c>
      <c r="D27" s="61">
        <v>2</v>
      </c>
      <c r="E27" s="62">
        <v>2E-3</v>
      </c>
      <c r="F27" s="33"/>
    </row>
    <row r="28" spans="1:6" ht="14.45" customHeight="1">
      <c r="A28" s="33"/>
      <c r="B28" s="98"/>
      <c r="C28" s="60" t="s">
        <v>128</v>
      </c>
      <c r="D28" s="61">
        <v>1</v>
      </c>
      <c r="E28" s="62">
        <v>1E-3</v>
      </c>
      <c r="F28" s="33"/>
    </row>
    <row r="29" spans="1:6" ht="14.45" customHeight="1">
      <c r="A29" s="33"/>
      <c r="B29" s="99"/>
      <c r="C29" s="78" t="s">
        <v>227</v>
      </c>
      <c r="D29" s="76">
        <v>3</v>
      </c>
      <c r="E29" s="77">
        <v>3.0000000000000001E-3</v>
      </c>
      <c r="F29" s="33"/>
    </row>
    <row r="30" spans="1:6" ht="14.45" customHeight="1">
      <c r="A30" s="33"/>
      <c r="B30" s="97" t="s">
        <v>52</v>
      </c>
      <c r="C30" s="60" t="s">
        <v>127</v>
      </c>
      <c r="D30" s="61">
        <v>19</v>
      </c>
      <c r="E30" s="62">
        <v>2.1999999999999999E-2</v>
      </c>
      <c r="F30" s="33"/>
    </row>
    <row r="31" spans="1:6" ht="14.45" customHeight="1">
      <c r="A31" s="33"/>
      <c r="B31" s="98"/>
      <c r="C31" s="60" t="s">
        <v>128</v>
      </c>
      <c r="D31" s="61">
        <v>32</v>
      </c>
      <c r="E31" s="62">
        <v>3.6999999999999998E-2</v>
      </c>
      <c r="F31" s="33"/>
    </row>
    <row r="32" spans="1:6" ht="14.45" customHeight="1">
      <c r="A32" s="33"/>
      <c r="B32" s="99"/>
      <c r="C32" s="78" t="s">
        <v>227</v>
      </c>
      <c r="D32" s="76">
        <v>51</v>
      </c>
      <c r="E32" s="77">
        <v>5.8999999999999997E-2</v>
      </c>
      <c r="F32" s="33"/>
    </row>
    <row r="33" spans="1:6" ht="14.45" customHeight="1">
      <c r="A33" s="33"/>
      <c r="B33" s="97" t="s">
        <v>50</v>
      </c>
      <c r="C33" s="60" t="s">
        <v>127</v>
      </c>
      <c r="D33" s="61">
        <v>14</v>
      </c>
      <c r="E33" s="62">
        <v>1.6E-2</v>
      </c>
      <c r="F33" s="33"/>
    </row>
    <row r="34" spans="1:6" ht="14.45" customHeight="1">
      <c r="A34" s="33"/>
      <c r="B34" s="98"/>
      <c r="C34" s="60" t="s">
        <v>128</v>
      </c>
      <c r="D34" s="61">
        <v>21</v>
      </c>
      <c r="E34" s="62">
        <v>2.4E-2</v>
      </c>
      <c r="F34" s="33"/>
    </row>
    <row r="35" spans="1:6" ht="14.45" customHeight="1">
      <c r="A35" s="33"/>
      <c r="B35" s="99"/>
      <c r="C35" s="78" t="s">
        <v>227</v>
      </c>
      <c r="D35" s="76">
        <v>35</v>
      </c>
      <c r="E35" s="77">
        <v>4.1000000000000002E-2</v>
      </c>
      <c r="F35" s="33"/>
    </row>
    <row r="36" spans="1:6" ht="14.45" customHeight="1">
      <c r="A36" s="33"/>
      <c r="B36" s="97" t="s">
        <v>73</v>
      </c>
      <c r="C36" s="60" t="s">
        <v>127</v>
      </c>
      <c r="D36" s="61">
        <v>3</v>
      </c>
      <c r="E36" s="62">
        <v>3.0000000000000001E-3</v>
      </c>
      <c r="F36" s="33"/>
    </row>
    <row r="37" spans="1:6" ht="14.45" customHeight="1">
      <c r="A37" s="33"/>
      <c r="B37" s="98"/>
      <c r="C37" s="60" t="s">
        <v>128</v>
      </c>
      <c r="D37" s="61">
        <v>6</v>
      </c>
      <c r="E37" s="62">
        <v>7.0000000000000001E-3</v>
      </c>
      <c r="F37" s="33"/>
    </row>
    <row r="38" spans="1:6" ht="14.45" customHeight="1">
      <c r="A38" s="33"/>
      <c r="B38" s="99"/>
      <c r="C38" s="78" t="s">
        <v>227</v>
      </c>
      <c r="D38" s="76">
        <v>9</v>
      </c>
      <c r="E38" s="77">
        <v>0.01</v>
      </c>
      <c r="F38" s="33"/>
    </row>
    <row r="39" spans="1:6" ht="14.45" customHeight="1">
      <c r="A39" s="33"/>
      <c r="B39" s="97" t="s">
        <v>71</v>
      </c>
      <c r="C39" s="60" t="s">
        <v>127</v>
      </c>
      <c r="D39" s="61">
        <v>12</v>
      </c>
      <c r="E39" s="62">
        <v>1.4E-2</v>
      </c>
      <c r="F39" s="33"/>
    </row>
    <row r="40" spans="1:6" ht="14.45" customHeight="1">
      <c r="A40" s="33"/>
      <c r="B40" s="98"/>
      <c r="C40" s="60" t="s">
        <v>128</v>
      </c>
      <c r="D40" s="61">
        <v>17</v>
      </c>
      <c r="E40" s="62">
        <v>0.02</v>
      </c>
      <c r="F40" s="33"/>
    </row>
    <row r="41" spans="1:6" ht="14.45" customHeight="1">
      <c r="A41" s="33"/>
      <c r="B41" s="99"/>
      <c r="C41" s="78" t="s">
        <v>227</v>
      </c>
      <c r="D41" s="76">
        <v>29</v>
      </c>
      <c r="E41" s="77">
        <v>3.4000000000000002E-2</v>
      </c>
      <c r="F41" s="33"/>
    </row>
    <row r="42" spans="1:6" ht="14.45" customHeight="1">
      <c r="A42" s="33"/>
      <c r="B42" s="97" t="s">
        <v>88</v>
      </c>
      <c r="C42" s="60" t="s">
        <v>128</v>
      </c>
      <c r="D42" s="61">
        <v>1</v>
      </c>
      <c r="E42" s="62">
        <v>1E-3</v>
      </c>
      <c r="F42" s="33"/>
    </row>
    <row r="43" spans="1:6" ht="14.45" customHeight="1">
      <c r="A43" s="33"/>
      <c r="B43" s="99"/>
      <c r="C43" s="78" t="s">
        <v>227</v>
      </c>
      <c r="D43" s="76">
        <v>1</v>
      </c>
      <c r="E43" s="77">
        <v>1E-3</v>
      </c>
      <c r="F43" s="33"/>
    </row>
    <row r="44" spans="1:6" ht="14.45" customHeight="1">
      <c r="A44" s="33"/>
      <c r="B44" s="97" t="s">
        <v>67</v>
      </c>
      <c r="C44" s="60" t="s">
        <v>127</v>
      </c>
      <c r="D44" s="61">
        <v>1</v>
      </c>
      <c r="E44" s="62">
        <v>1E-3</v>
      </c>
      <c r="F44" s="33"/>
    </row>
    <row r="45" spans="1:6" ht="14.45" customHeight="1">
      <c r="A45" s="33"/>
      <c r="B45" s="98"/>
      <c r="C45" s="60" t="s">
        <v>128</v>
      </c>
      <c r="D45" s="61">
        <v>11</v>
      </c>
      <c r="E45" s="62">
        <v>1.2999999999999999E-2</v>
      </c>
      <c r="F45" s="33"/>
    </row>
    <row r="46" spans="1:6" ht="14.45" customHeight="1">
      <c r="A46" s="33"/>
      <c r="B46" s="99"/>
      <c r="C46" s="78" t="s">
        <v>227</v>
      </c>
      <c r="D46" s="76">
        <v>12</v>
      </c>
      <c r="E46" s="77">
        <v>1.4E-2</v>
      </c>
      <c r="F46" s="33"/>
    </row>
    <row r="47" spans="1:6" ht="14.45" customHeight="1">
      <c r="A47" s="33"/>
      <c r="B47" s="97" t="s">
        <v>66</v>
      </c>
      <c r="C47" s="60" t="s">
        <v>127</v>
      </c>
      <c r="D47" s="61">
        <v>4</v>
      </c>
      <c r="E47" s="62">
        <v>5.0000000000000001E-3</v>
      </c>
      <c r="F47" s="33"/>
    </row>
    <row r="48" spans="1:6" ht="14.45" customHeight="1">
      <c r="A48" s="33"/>
      <c r="B48" s="98"/>
      <c r="C48" s="60" t="s">
        <v>128</v>
      </c>
      <c r="D48" s="61">
        <v>1</v>
      </c>
      <c r="E48" s="62">
        <v>1E-3</v>
      </c>
      <c r="F48" s="33"/>
    </row>
    <row r="49" spans="1:6" ht="14.45" customHeight="1">
      <c r="A49" s="33"/>
      <c r="B49" s="99"/>
      <c r="C49" s="78" t="s">
        <v>227</v>
      </c>
      <c r="D49" s="76">
        <v>5</v>
      </c>
      <c r="E49" s="77">
        <v>6.0000000000000001E-3</v>
      </c>
      <c r="F49" s="33"/>
    </row>
    <row r="50" spans="1:6" ht="14.45" customHeight="1">
      <c r="A50" s="33"/>
      <c r="B50" s="97" t="s">
        <v>51</v>
      </c>
      <c r="C50" s="60" t="s">
        <v>127</v>
      </c>
      <c r="D50" s="61">
        <v>13</v>
      </c>
      <c r="E50" s="62">
        <v>1.4999999999999999E-2</v>
      </c>
      <c r="F50" s="33"/>
    </row>
    <row r="51" spans="1:6" ht="14.45" customHeight="1">
      <c r="A51" s="33"/>
      <c r="B51" s="98"/>
      <c r="C51" s="60" t="s">
        <v>128</v>
      </c>
      <c r="D51" s="61">
        <v>28</v>
      </c>
      <c r="E51" s="62">
        <v>3.3000000000000002E-2</v>
      </c>
      <c r="F51" s="33"/>
    </row>
    <row r="52" spans="1:6" ht="14.45" customHeight="1">
      <c r="A52" s="33"/>
      <c r="B52" s="99"/>
      <c r="C52" s="78" t="s">
        <v>227</v>
      </c>
      <c r="D52" s="76">
        <v>41</v>
      </c>
      <c r="E52" s="77">
        <v>4.8000000000000001E-2</v>
      </c>
      <c r="F52" s="33"/>
    </row>
    <row r="53" spans="1:6" ht="14.45" customHeight="1">
      <c r="A53" s="33"/>
      <c r="B53" s="97" t="s">
        <v>63</v>
      </c>
      <c r="C53" s="60" t="s">
        <v>127</v>
      </c>
      <c r="D53" s="61">
        <v>5</v>
      </c>
      <c r="E53" s="62">
        <v>6.0000000000000001E-3</v>
      </c>
      <c r="F53" s="33"/>
    </row>
    <row r="54" spans="1:6" ht="14.45" customHeight="1">
      <c r="A54" s="33"/>
      <c r="B54" s="98"/>
      <c r="C54" s="60" t="s">
        <v>128</v>
      </c>
      <c r="D54" s="61">
        <v>8</v>
      </c>
      <c r="E54" s="62">
        <v>8.9999999999999993E-3</v>
      </c>
      <c r="F54" s="33"/>
    </row>
    <row r="55" spans="1:6" ht="14.45" customHeight="1">
      <c r="A55" s="33"/>
      <c r="B55" s="99"/>
      <c r="C55" s="78" t="s">
        <v>227</v>
      </c>
      <c r="D55" s="76">
        <v>13</v>
      </c>
      <c r="E55" s="77">
        <v>1.4999999999999999E-2</v>
      </c>
      <c r="F55" s="33"/>
    </row>
    <row r="56" spans="1:6" ht="14.45" customHeight="1">
      <c r="A56" s="33"/>
      <c r="B56" s="97" t="s">
        <v>64</v>
      </c>
      <c r="C56" s="60" t="s">
        <v>127</v>
      </c>
      <c r="D56" s="61">
        <v>9</v>
      </c>
      <c r="E56" s="62">
        <v>0.01</v>
      </c>
      <c r="F56" s="33"/>
    </row>
    <row r="57" spans="1:6" ht="14.45" customHeight="1">
      <c r="A57" s="33"/>
      <c r="B57" s="98"/>
      <c r="C57" s="60" t="s">
        <v>128</v>
      </c>
      <c r="D57" s="61">
        <v>8</v>
      </c>
      <c r="E57" s="62">
        <v>8.9999999999999993E-3</v>
      </c>
      <c r="F57" s="33"/>
    </row>
    <row r="58" spans="1:6" ht="14.45" customHeight="1">
      <c r="A58" s="33"/>
      <c r="B58" s="99"/>
      <c r="C58" s="78" t="s">
        <v>227</v>
      </c>
      <c r="D58" s="76">
        <v>17</v>
      </c>
      <c r="E58" s="77">
        <v>0.02</v>
      </c>
      <c r="F58" s="33"/>
    </row>
    <row r="59" spans="1:6" ht="14.45" customHeight="1">
      <c r="A59" s="33"/>
      <c r="B59" s="97" t="s">
        <v>76</v>
      </c>
      <c r="C59" s="60" t="s">
        <v>127</v>
      </c>
      <c r="D59" s="61">
        <v>4</v>
      </c>
      <c r="E59" s="62">
        <v>5.0000000000000001E-3</v>
      </c>
      <c r="F59" s="33"/>
    </row>
    <row r="60" spans="1:6" ht="14.45" customHeight="1">
      <c r="A60" s="33"/>
      <c r="B60" s="98"/>
      <c r="C60" s="60" t="s">
        <v>128</v>
      </c>
      <c r="D60" s="61">
        <v>4</v>
      </c>
      <c r="E60" s="62">
        <v>5.0000000000000001E-3</v>
      </c>
      <c r="F60" s="33"/>
    </row>
    <row r="61" spans="1:6" ht="14.45" customHeight="1">
      <c r="A61" s="33"/>
      <c r="B61" s="99"/>
      <c r="C61" s="78" t="s">
        <v>227</v>
      </c>
      <c r="D61" s="76">
        <v>8</v>
      </c>
      <c r="E61" s="77">
        <v>8.9999999999999993E-3</v>
      </c>
      <c r="F61" s="33"/>
    </row>
    <row r="62" spans="1:6" ht="14.45" customHeight="1">
      <c r="A62" s="33"/>
      <c r="B62" s="97" t="s">
        <v>55</v>
      </c>
      <c r="C62" s="60" t="s">
        <v>127</v>
      </c>
      <c r="D62" s="61">
        <v>11</v>
      </c>
      <c r="E62" s="62">
        <v>1.2999999999999999E-2</v>
      </c>
      <c r="F62" s="33"/>
    </row>
    <row r="63" spans="1:6" ht="14.45" customHeight="1">
      <c r="A63" s="33"/>
      <c r="B63" s="98"/>
      <c r="C63" s="60" t="s">
        <v>128</v>
      </c>
      <c r="D63" s="61">
        <v>28</v>
      </c>
      <c r="E63" s="62">
        <v>3.3000000000000002E-2</v>
      </c>
      <c r="F63" s="33"/>
    </row>
    <row r="64" spans="1:6" ht="14.45" customHeight="1">
      <c r="A64" s="33"/>
      <c r="B64" s="99"/>
      <c r="C64" s="78" t="s">
        <v>227</v>
      </c>
      <c r="D64" s="76">
        <v>39</v>
      </c>
      <c r="E64" s="77">
        <v>4.4999999999999998E-2</v>
      </c>
      <c r="F64" s="33"/>
    </row>
    <row r="65" spans="1:6" ht="14.45" customHeight="1">
      <c r="A65" s="33"/>
      <c r="B65" s="97" t="s">
        <v>54</v>
      </c>
      <c r="C65" s="60" t="s">
        <v>127</v>
      </c>
      <c r="D65" s="61">
        <v>8</v>
      </c>
      <c r="E65" s="62">
        <v>8.9999999999999993E-3</v>
      </c>
      <c r="F65" s="33"/>
    </row>
    <row r="66" spans="1:6" ht="14.45" customHeight="1">
      <c r="A66" s="33"/>
      <c r="B66" s="98"/>
      <c r="C66" s="60" t="s">
        <v>128</v>
      </c>
      <c r="D66" s="61">
        <v>24</v>
      </c>
      <c r="E66" s="62">
        <v>2.8000000000000001E-2</v>
      </c>
      <c r="F66" s="33"/>
    </row>
    <row r="67" spans="1:6" ht="14.45" customHeight="1">
      <c r="A67" s="33"/>
      <c r="B67" s="99"/>
      <c r="C67" s="78" t="s">
        <v>227</v>
      </c>
      <c r="D67" s="76">
        <v>32</v>
      </c>
      <c r="E67" s="77">
        <v>3.6999999999999998E-2</v>
      </c>
      <c r="F67" s="33"/>
    </row>
    <row r="68" spans="1:6" ht="14.45" customHeight="1">
      <c r="A68" s="33"/>
      <c r="B68" s="97" t="s">
        <v>69</v>
      </c>
      <c r="C68" s="60" t="s">
        <v>127</v>
      </c>
      <c r="D68" s="61">
        <v>8</v>
      </c>
      <c r="E68" s="62">
        <v>8.9999999999999993E-3</v>
      </c>
      <c r="F68" s="33"/>
    </row>
    <row r="69" spans="1:6" ht="14.45" customHeight="1">
      <c r="A69" s="33"/>
      <c r="B69" s="98"/>
      <c r="C69" s="60" t="s">
        <v>128</v>
      </c>
      <c r="D69" s="61">
        <v>6</v>
      </c>
      <c r="E69" s="62">
        <v>7.0000000000000001E-3</v>
      </c>
      <c r="F69" s="33"/>
    </row>
    <row r="70" spans="1:6" ht="14.45" customHeight="1">
      <c r="A70" s="33"/>
      <c r="B70" s="99"/>
      <c r="C70" s="78" t="s">
        <v>227</v>
      </c>
      <c r="D70" s="76">
        <v>14</v>
      </c>
      <c r="E70" s="77">
        <v>1.6E-2</v>
      </c>
      <c r="F70" s="33"/>
    </row>
    <row r="71" spans="1:6" ht="14.45" customHeight="1">
      <c r="A71" s="33"/>
      <c r="B71" s="97" t="s">
        <v>65</v>
      </c>
      <c r="C71" s="60" t="s">
        <v>127</v>
      </c>
      <c r="D71" s="61">
        <v>6</v>
      </c>
      <c r="E71" s="62">
        <v>7.0000000000000001E-3</v>
      </c>
      <c r="F71" s="33"/>
    </row>
    <row r="72" spans="1:6" ht="14.45" customHeight="1">
      <c r="A72" s="33"/>
      <c r="B72" s="98"/>
      <c r="C72" s="60" t="s">
        <v>128</v>
      </c>
      <c r="D72" s="61">
        <v>12</v>
      </c>
      <c r="E72" s="62">
        <v>1.4E-2</v>
      </c>
      <c r="F72" s="33"/>
    </row>
    <row r="73" spans="1:6" ht="14.45" customHeight="1">
      <c r="A73" s="33"/>
      <c r="B73" s="99"/>
      <c r="C73" s="78" t="s">
        <v>227</v>
      </c>
      <c r="D73" s="76">
        <v>18</v>
      </c>
      <c r="E73" s="77">
        <v>2.1000000000000001E-2</v>
      </c>
      <c r="F73" s="33"/>
    </row>
    <row r="74" spans="1:6" ht="14.45" customHeight="1">
      <c r="A74" s="33"/>
      <c r="B74" s="97" t="s">
        <v>83</v>
      </c>
      <c r="C74" s="60" t="s">
        <v>127</v>
      </c>
      <c r="D74" s="61">
        <v>1</v>
      </c>
      <c r="E74" s="62">
        <v>1E-3</v>
      </c>
      <c r="F74" s="33"/>
    </row>
    <row r="75" spans="1:6" ht="14.45" customHeight="1">
      <c r="A75" s="33"/>
      <c r="B75" s="98"/>
      <c r="C75" s="60" t="s">
        <v>128</v>
      </c>
      <c r="D75" s="61">
        <v>4</v>
      </c>
      <c r="E75" s="62">
        <v>5.0000000000000001E-3</v>
      </c>
      <c r="F75" s="33"/>
    </row>
    <row r="76" spans="1:6" ht="14.45" customHeight="1">
      <c r="A76" s="33"/>
      <c r="B76" s="99"/>
      <c r="C76" s="78" t="s">
        <v>227</v>
      </c>
      <c r="D76" s="76">
        <v>5</v>
      </c>
      <c r="E76" s="77">
        <v>6.0000000000000001E-3</v>
      </c>
      <c r="F76" s="33"/>
    </row>
    <row r="77" spans="1:6" ht="14.45" customHeight="1">
      <c r="A77" s="33"/>
      <c r="B77" s="97" t="s">
        <v>188</v>
      </c>
      <c r="C77" s="60" t="s">
        <v>128</v>
      </c>
      <c r="D77" s="61">
        <v>3</v>
      </c>
      <c r="E77" s="62">
        <v>3.0000000000000001E-3</v>
      </c>
      <c r="F77" s="33"/>
    </row>
    <row r="78" spans="1:6" ht="14.45" customHeight="1">
      <c r="A78" s="33"/>
      <c r="B78" s="99"/>
      <c r="C78" s="78" t="s">
        <v>227</v>
      </c>
      <c r="D78" s="76">
        <v>3</v>
      </c>
      <c r="E78" s="77">
        <v>3.0000000000000001E-3</v>
      </c>
      <c r="F78" s="33"/>
    </row>
    <row r="79" spans="1:6" ht="14.45" customHeight="1">
      <c r="A79" s="33"/>
      <c r="B79" s="97" t="s">
        <v>57</v>
      </c>
      <c r="C79" s="60" t="s">
        <v>127</v>
      </c>
      <c r="D79" s="61">
        <v>11</v>
      </c>
      <c r="E79" s="62">
        <v>1.2999999999999999E-2</v>
      </c>
      <c r="F79" s="33"/>
    </row>
    <row r="80" spans="1:6" ht="14.45" customHeight="1">
      <c r="A80" s="33"/>
      <c r="B80" s="98"/>
      <c r="C80" s="60" t="s">
        <v>128</v>
      </c>
      <c r="D80" s="61">
        <v>30</v>
      </c>
      <c r="E80" s="62">
        <v>3.5000000000000003E-2</v>
      </c>
      <c r="F80" s="33"/>
    </row>
    <row r="81" spans="1:6" ht="14.45" customHeight="1">
      <c r="A81" s="33"/>
      <c r="B81" s="99"/>
      <c r="C81" s="78" t="s">
        <v>227</v>
      </c>
      <c r="D81" s="76">
        <v>41</v>
      </c>
      <c r="E81" s="77">
        <v>4.8000000000000001E-2</v>
      </c>
      <c r="F81" s="33"/>
    </row>
    <row r="82" spans="1:6" ht="14.45" customHeight="1">
      <c r="A82" s="33"/>
      <c r="B82" s="97" t="s">
        <v>60</v>
      </c>
      <c r="C82" s="60" t="s">
        <v>127</v>
      </c>
      <c r="D82" s="61">
        <v>5</v>
      </c>
      <c r="E82" s="62">
        <v>6.0000000000000001E-3</v>
      </c>
      <c r="F82" s="33"/>
    </row>
    <row r="83" spans="1:6" ht="14.45" customHeight="1">
      <c r="A83" s="33"/>
      <c r="B83" s="98"/>
      <c r="C83" s="60" t="s">
        <v>128</v>
      </c>
      <c r="D83" s="61">
        <v>7</v>
      </c>
      <c r="E83" s="62">
        <v>8.0000000000000002E-3</v>
      </c>
      <c r="F83" s="33"/>
    </row>
    <row r="84" spans="1:6" ht="14.45" customHeight="1">
      <c r="A84" s="33"/>
      <c r="B84" s="99"/>
      <c r="C84" s="78" t="s">
        <v>227</v>
      </c>
      <c r="D84" s="76">
        <v>12</v>
      </c>
      <c r="E84" s="77">
        <v>1.4E-2</v>
      </c>
      <c r="F84" s="33"/>
    </row>
    <row r="85" spans="1:6" ht="14.45" customHeight="1">
      <c r="A85" s="33"/>
      <c r="B85" s="97" t="s">
        <v>70</v>
      </c>
      <c r="C85" s="60" t="s">
        <v>127</v>
      </c>
      <c r="D85" s="61">
        <v>7</v>
      </c>
      <c r="E85" s="62">
        <v>8.0000000000000002E-3</v>
      </c>
      <c r="F85" s="33"/>
    </row>
    <row r="86" spans="1:6" ht="14.45" customHeight="1">
      <c r="A86" s="33"/>
      <c r="B86" s="98"/>
      <c r="C86" s="60" t="s">
        <v>128</v>
      </c>
      <c r="D86" s="61">
        <v>9</v>
      </c>
      <c r="E86" s="62">
        <v>0.01</v>
      </c>
      <c r="F86" s="33"/>
    </row>
    <row r="87" spans="1:6" ht="14.45" customHeight="1">
      <c r="A87" s="33"/>
      <c r="B87" s="99"/>
      <c r="C87" s="78" t="s">
        <v>227</v>
      </c>
      <c r="D87" s="76">
        <v>16</v>
      </c>
      <c r="E87" s="77">
        <v>1.9E-2</v>
      </c>
      <c r="F87" s="33"/>
    </row>
    <row r="88" spans="1:6" ht="14.45" customHeight="1">
      <c r="A88" s="33"/>
      <c r="B88" s="97" t="s">
        <v>77</v>
      </c>
      <c r="C88" s="60" t="s">
        <v>127</v>
      </c>
      <c r="D88" s="61">
        <v>6</v>
      </c>
      <c r="E88" s="62">
        <v>7.0000000000000001E-3</v>
      </c>
      <c r="F88" s="33"/>
    </row>
    <row r="89" spans="1:6" ht="14.45" customHeight="1">
      <c r="A89" s="33"/>
      <c r="B89" s="98"/>
      <c r="C89" s="60" t="s">
        <v>128</v>
      </c>
      <c r="D89" s="61">
        <v>10</v>
      </c>
      <c r="E89" s="62">
        <v>1.2E-2</v>
      </c>
      <c r="F89" s="33"/>
    </row>
    <row r="90" spans="1:6" ht="14.45" customHeight="1">
      <c r="A90" s="33"/>
      <c r="B90" s="99"/>
      <c r="C90" s="78" t="s">
        <v>227</v>
      </c>
      <c r="D90" s="76">
        <v>16</v>
      </c>
      <c r="E90" s="77">
        <v>1.9E-2</v>
      </c>
      <c r="F90" s="33"/>
    </row>
    <row r="91" spans="1:6" ht="14.45" customHeight="1">
      <c r="A91" s="33"/>
      <c r="B91" s="97" t="s">
        <v>58</v>
      </c>
      <c r="C91" s="60" t="s">
        <v>127</v>
      </c>
      <c r="D91" s="61">
        <v>3</v>
      </c>
      <c r="E91" s="62">
        <v>3.0000000000000001E-3</v>
      </c>
      <c r="F91" s="33"/>
    </row>
    <row r="92" spans="1:6" ht="14.45" customHeight="1">
      <c r="A92" s="33"/>
      <c r="B92" s="98"/>
      <c r="C92" s="60" t="s">
        <v>128</v>
      </c>
      <c r="D92" s="61">
        <v>16</v>
      </c>
      <c r="E92" s="62">
        <v>1.9E-2</v>
      </c>
      <c r="F92" s="33"/>
    </row>
    <row r="93" spans="1:6" ht="14.45" customHeight="1">
      <c r="A93" s="33"/>
      <c r="B93" s="99"/>
      <c r="C93" s="78" t="s">
        <v>227</v>
      </c>
      <c r="D93" s="76">
        <v>19</v>
      </c>
      <c r="E93" s="77">
        <v>2.1999999999999999E-2</v>
      </c>
      <c r="F93" s="33"/>
    </row>
    <row r="94" spans="1:6" ht="14.45" customHeight="1">
      <c r="A94" s="33"/>
      <c r="B94" s="97" t="s">
        <v>81</v>
      </c>
      <c r="C94" s="60" t="s">
        <v>127</v>
      </c>
      <c r="D94" s="61">
        <v>2</v>
      </c>
      <c r="E94" s="62">
        <v>2E-3</v>
      </c>
      <c r="F94" s="33"/>
    </row>
    <row r="95" spans="1:6" ht="14.45" customHeight="1">
      <c r="A95" s="33"/>
      <c r="B95" s="98"/>
      <c r="C95" s="60" t="s">
        <v>128</v>
      </c>
      <c r="D95" s="61">
        <v>3</v>
      </c>
      <c r="E95" s="62">
        <v>3.0000000000000001E-3</v>
      </c>
      <c r="F95" s="33"/>
    </row>
    <row r="96" spans="1:6" ht="14.45" customHeight="1">
      <c r="A96" s="33"/>
      <c r="B96" s="99"/>
      <c r="C96" s="78" t="s">
        <v>227</v>
      </c>
      <c r="D96" s="76">
        <v>5</v>
      </c>
      <c r="E96" s="77">
        <v>6.0000000000000001E-3</v>
      </c>
      <c r="F96" s="33"/>
    </row>
    <row r="97" spans="1:6" ht="14.45" customHeight="1">
      <c r="A97" s="33"/>
      <c r="B97" s="97" t="s">
        <v>72</v>
      </c>
      <c r="C97" s="60" t="s">
        <v>127</v>
      </c>
      <c r="D97" s="61">
        <v>3</v>
      </c>
      <c r="E97" s="62">
        <v>3.0000000000000001E-3</v>
      </c>
      <c r="F97" s="33"/>
    </row>
    <row r="98" spans="1:6" ht="14.45" customHeight="1">
      <c r="A98" s="33"/>
      <c r="B98" s="98"/>
      <c r="C98" s="60" t="s">
        <v>128</v>
      </c>
      <c r="D98" s="61">
        <v>3</v>
      </c>
      <c r="E98" s="62">
        <v>3.0000000000000001E-3</v>
      </c>
      <c r="F98" s="33"/>
    </row>
    <row r="99" spans="1:6" ht="14.45" customHeight="1">
      <c r="A99" s="33"/>
      <c r="B99" s="99"/>
      <c r="C99" s="78" t="s">
        <v>227</v>
      </c>
      <c r="D99" s="76">
        <v>6</v>
      </c>
      <c r="E99" s="77">
        <v>7.0000000000000001E-3</v>
      </c>
      <c r="F99" s="33"/>
    </row>
    <row r="100" spans="1:6" ht="14.45" customHeight="1">
      <c r="A100" s="33"/>
      <c r="B100" s="97" t="s">
        <v>78</v>
      </c>
      <c r="C100" s="60" t="s">
        <v>127</v>
      </c>
      <c r="D100" s="61">
        <v>8</v>
      </c>
      <c r="E100" s="62">
        <v>8.9999999999999993E-3</v>
      </c>
      <c r="F100" s="33"/>
    </row>
    <row r="101" spans="1:6" ht="14.45" customHeight="1">
      <c r="A101" s="33"/>
      <c r="B101" s="98"/>
      <c r="C101" s="60" t="s">
        <v>128</v>
      </c>
      <c r="D101" s="61">
        <v>10</v>
      </c>
      <c r="E101" s="62">
        <v>1.2E-2</v>
      </c>
      <c r="F101" s="33"/>
    </row>
    <row r="102" spans="1:6" ht="14.45" customHeight="1">
      <c r="A102" s="33"/>
      <c r="B102" s="99"/>
      <c r="C102" s="78" t="s">
        <v>227</v>
      </c>
      <c r="D102" s="76">
        <v>18</v>
      </c>
      <c r="E102" s="77">
        <v>2.1000000000000001E-2</v>
      </c>
      <c r="F102" s="33"/>
    </row>
    <row r="103" spans="1:6" ht="14.45" customHeight="1">
      <c r="A103" s="33"/>
      <c r="B103" s="97" t="s">
        <v>187</v>
      </c>
      <c r="C103" s="60" t="s">
        <v>127</v>
      </c>
      <c r="D103" s="61">
        <v>1</v>
      </c>
      <c r="E103" s="62">
        <v>1E-3</v>
      </c>
      <c r="F103" s="33"/>
    </row>
    <row r="104" spans="1:6" ht="14.45" customHeight="1">
      <c r="A104" s="33"/>
      <c r="B104" s="98"/>
      <c r="C104" s="60" t="s">
        <v>128</v>
      </c>
      <c r="D104" s="61">
        <v>3</v>
      </c>
      <c r="E104" s="62">
        <v>3.0000000000000001E-3</v>
      </c>
      <c r="F104" s="33"/>
    </row>
    <row r="105" spans="1:6" ht="14.45" customHeight="1">
      <c r="A105" s="33"/>
      <c r="B105" s="99"/>
      <c r="C105" s="78" t="s">
        <v>227</v>
      </c>
      <c r="D105" s="76">
        <v>4</v>
      </c>
      <c r="E105" s="77">
        <v>5.0000000000000001E-3</v>
      </c>
      <c r="F105" s="33"/>
    </row>
    <row r="106" spans="1:6" ht="14.45" customHeight="1">
      <c r="A106" s="33"/>
      <c r="B106" s="97" t="s">
        <v>49</v>
      </c>
      <c r="C106" s="60" t="s">
        <v>127</v>
      </c>
      <c r="D106" s="61">
        <v>18</v>
      </c>
      <c r="E106" s="62">
        <v>2.1000000000000001E-2</v>
      </c>
      <c r="F106" s="33"/>
    </row>
    <row r="107" spans="1:6" ht="14.45" customHeight="1">
      <c r="A107" s="33"/>
      <c r="B107" s="98"/>
      <c r="C107" s="60" t="s">
        <v>128</v>
      </c>
      <c r="D107" s="61">
        <v>46</v>
      </c>
      <c r="E107" s="62">
        <v>5.2999999999999999E-2</v>
      </c>
      <c r="F107" s="33"/>
    </row>
    <row r="108" spans="1:6" ht="14.45" customHeight="1">
      <c r="A108" s="33"/>
      <c r="B108" s="99"/>
      <c r="C108" s="78" t="s">
        <v>227</v>
      </c>
      <c r="D108" s="76">
        <v>64</v>
      </c>
      <c r="E108" s="77">
        <v>7.3999999999999996E-2</v>
      </c>
      <c r="F108" s="33"/>
    </row>
    <row r="109" spans="1:6" ht="14.45" customHeight="1">
      <c r="A109" s="33"/>
      <c r="B109" s="97" t="s">
        <v>61</v>
      </c>
      <c r="C109" s="60" t="s">
        <v>127</v>
      </c>
      <c r="D109" s="61">
        <v>6</v>
      </c>
      <c r="E109" s="62">
        <v>7.0000000000000001E-3</v>
      </c>
      <c r="F109" s="33"/>
    </row>
    <row r="110" spans="1:6" ht="14.45" customHeight="1">
      <c r="A110" s="33"/>
      <c r="B110" s="98"/>
      <c r="C110" s="60" t="s">
        <v>128</v>
      </c>
      <c r="D110" s="61">
        <v>13</v>
      </c>
      <c r="E110" s="62">
        <v>1.4999999999999999E-2</v>
      </c>
      <c r="F110" s="33"/>
    </row>
    <row r="111" spans="1:6" ht="14.45" customHeight="1">
      <c r="A111" s="33"/>
      <c r="B111" s="99"/>
      <c r="C111" s="78" t="s">
        <v>227</v>
      </c>
      <c r="D111" s="76">
        <v>19</v>
      </c>
      <c r="E111" s="77">
        <v>2.1999999999999999E-2</v>
      </c>
      <c r="F111" s="33"/>
    </row>
    <row r="112" spans="1:6" ht="14.45" customHeight="1">
      <c r="A112" s="33"/>
      <c r="B112" s="97" t="s">
        <v>56</v>
      </c>
      <c r="C112" s="60" t="s">
        <v>127</v>
      </c>
      <c r="D112" s="61">
        <v>4</v>
      </c>
      <c r="E112" s="62">
        <v>5.0000000000000001E-3</v>
      </c>
      <c r="F112" s="33"/>
    </row>
    <row r="113" spans="1:6" ht="14.45" customHeight="1">
      <c r="A113" s="33"/>
      <c r="B113" s="98"/>
      <c r="C113" s="60" t="s">
        <v>128</v>
      </c>
      <c r="D113" s="61">
        <v>14</v>
      </c>
      <c r="E113" s="62">
        <v>1.6E-2</v>
      </c>
      <c r="F113" s="33"/>
    </row>
    <row r="114" spans="1:6" ht="14.45" customHeight="1">
      <c r="A114" s="33"/>
      <c r="B114" s="99"/>
      <c r="C114" s="78" t="s">
        <v>227</v>
      </c>
      <c r="D114" s="76">
        <v>18</v>
      </c>
      <c r="E114" s="77">
        <v>2.1000000000000001E-2</v>
      </c>
      <c r="F114" s="33"/>
    </row>
    <row r="115" spans="1:6" ht="14.45" customHeight="1">
      <c r="A115" s="33"/>
      <c r="B115" s="97" t="s">
        <v>84</v>
      </c>
      <c r="C115" s="60" t="s">
        <v>127</v>
      </c>
      <c r="D115" s="61">
        <v>2</v>
      </c>
      <c r="E115" s="62">
        <v>2E-3</v>
      </c>
      <c r="F115" s="33"/>
    </row>
    <row r="116" spans="1:6" ht="14.45" customHeight="1">
      <c r="A116" s="33"/>
      <c r="B116" s="98"/>
      <c r="C116" s="60" t="s">
        <v>128</v>
      </c>
      <c r="D116" s="61">
        <v>4</v>
      </c>
      <c r="E116" s="62">
        <v>5.0000000000000001E-3</v>
      </c>
      <c r="F116" s="33"/>
    </row>
    <row r="117" spans="1:6" ht="14.45" customHeight="1">
      <c r="A117" s="33"/>
      <c r="B117" s="99"/>
      <c r="C117" s="78" t="s">
        <v>227</v>
      </c>
      <c r="D117" s="76">
        <v>6</v>
      </c>
      <c r="E117" s="77">
        <v>7.0000000000000001E-3</v>
      </c>
      <c r="F117" s="33"/>
    </row>
    <row r="118" spans="1:6" ht="14.45" customHeight="1">
      <c r="A118" s="33"/>
      <c r="B118" s="97" t="s">
        <v>75</v>
      </c>
      <c r="C118" s="60" t="s">
        <v>128</v>
      </c>
      <c r="D118" s="61">
        <v>3</v>
      </c>
      <c r="E118" s="62">
        <v>3.0000000000000001E-3</v>
      </c>
      <c r="F118" s="33"/>
    </row>
    <row r="119" spans="1:6" ht="14.45" customHeight="1">
      <c r="A119" s="33"/>
      <c r="B119" s="99"/>
      <c r="C119" s="78" t="s">
        <v>227</v>
      </c>
      <c r="D119" s="76">
        <v>3</v>
      </c>
      <c r="E119" s="77">
        <v>3.0000000000000001E-3</v>
      </c>
      <c r="F119" s="33"/>
    </row>
    <row r="120" spans="1:6" ht="14.45" customHeight="1">
      <c r="A120" s="33"/>
      <c r="B120" s="97" t="s">
        <v>74</v>
      </c>
      <c r="C120" s="60" t="s">
        <v>127</v>
      </c>
      <c r="D120" s="61">
        <v>3</v>
      </c>
      <c r="E120" s="62">
        <v>3.0000000000000001E-3</v>
      </c>
      <c r="F120" s="33"/>
    </row>
    <row r="121" spans="1:6" ht="14.45" customHeight="1">
      <c r="A121" s="33"/>
      <c r="B121" s="98"/>
      <c r="C121" s="60" t="s">
        <v>128</v>
      </c>
      <c r="D121" s="61">
        <v>2</v>
      </c>
      <c r="E121" s="62">
        <v>2E-3</v>
      </c>
      <c r="F121" s="33"/>
    </row>
    <row r="122" spans="1:6" ht="14.45" customHeight="1">
      <c r="A122" s="33"/>
      <c r="B122" s="99"/>
      <c r="C122" s="78" t="s">
        <v>227</v>
      </c>
      <c r="D122" s="76">
        <v>5</v>
      </c>
      <c r="E122" s="77">
        <v>6.0000000000000001E-3</v>
      </c>
      <c r="F122" s="33"/>
    </row>
    <row r="123" spans="1:6" ht="14.45" customHeight="1">
      <c r="A123" s="33"/>
      <c r="B123" s="97" t="s">
        <v>85</v>
      </c>
      <c r="C123" s="60" t="s">
        <v>128</v>
      </c>
      <c r="D123" s="61">
        <v>6</v>
      </c>
      <c r="E123" s="62">
        <v>7.0000000000000001E-3</v>
      </c>
      <c r="F123" s="33"/>
    </row>
    <row r="124" spans="1:6" ht="14.45" customHeight="1">
      <c r="A124" s="33"/>
      <c r="B124" s="99"/>
      <c r="C124" s="78" t="s">
        <v>227</v>
      </c>
      <c r="D124" s="76">
        <v>6</v>
      </c>
      <c r="E124" s="77">
        <v>7.0000000000000001E-3</v>
      </c>
      <c r="F124" s="33"/>
    </row>
    <row r="125" spans="1:6" ht="14.45" customHeight="1">
      <c r="A125" s="33"/>
      <c r="B125" s="97" t="s">
        <v>48</v>
      </c>
      <c r="C125" s="60" t="s">
        <v>127</v>
      </c>
      <c r="D125" s="61">
        <v>27</v>
      </c>
      <c r="E125" s="62">
        <v>3.1E-2</v>
      </c>
      <c r="F125" s="33"/>
    </row>
    <row r="126" spans="1:6" ht="14.45" customHeight="1">
      <c r="A126" s="33"/>
      <c r="B126" s="98"/>
      <c r="C126" s="60" t="s">
        <v>128</v>
      </c>
      <c r="D126" s="61">
        <v>53</v>
      </c>
      <c r="E126" s="62">
        <v>6.2E-2</v>
      </c>
      <c r="F126" s="33"/>
    </row>
    <row r="127" spans="1:6" ht="14.45" customHeight="1">
      <c r="A127" s="33"/>
      <c r="B127" s="99"/>
      <c r="C127" s="78" t="s">
        <v>227</v>
      </c>
      <c r="D127" s="76">
        <v>80</v>
      </c>
      <c r="E127" s="77">
        <v>9.2999999999999999E-2</v>
      </c>
      <c r="F127" s="33"/>
    </row>
    <row r="128" spans="1:6" ht="14.45" customHeight="1">
      <c r="A128" s="33"/>
      <c r="B128" s="97" t="s">
        <v>59</v>
      </c>
      <c r="C128" s="60" t="s">
        <v>127</v>
      </c>
      <c r="D128" s="61">
        <v>7</v>
      </c>
      <c r="E128" s="62">
        <v>8.0000000000000002E-3</v>
      </c>
      <c r="F128" s="33"/>
    </row>
    <row r="129" spans="1:6" ht="14.45" customHeight="1">
      <c r="A129" s="33"/>
      <c r="B129" s="98"/>
      <c r="C129" s="60" t="s">
        <v>128</v>
      </c>
      <c r="D129" s="61">
        <v>21</v>
      </c>
      <c r="E129" s="62">
        <v>2.4E-2</v>
      </c>
      <c r="F129" s="33"/>
    </row>
    <row r="130" spans="1:6" ht="14.45" customHeight="1">
      <c r="A130" s="33"/>
      <c r="B130" s="99"/>
      <c r="C130" s="78" t="s">
        <v>227</v>
      </c>
      <c r="D130" s="76">
        <v>28</v>
      </c>
      <c r="E130" s="77">
        <v>3.3000000000000002E-2</v>
      </c>
      <c r="F130" s="33"/>
    </row>
    <row r="131" spans="1:6" ht="14.45" customHeight="1">
      <c r="A131" s="33"/>
      <c r="B131" s="97" t="s">
        <v>68</v>
      </c>
      <c r="C131" s="60" t="s">
        <v>127</v>
      </c>
      <c r="D131" s="61">
        <v>3</v>
      </c>
      <c r="E131" s="62">
        <v>3.0000000000000001E-3</v>
      </c>
      <c r="F131" s="33"/>
    </row>
    <row r="132" spans="1:6" ht="14.45" customHeight="1">
      <c r="A132" s="33"/>
      <c r="B132" s="98"/>
      <c r="C132" s="60" t="s">
        <v>128</v>
      </c>
      <c r="D132" s="61">
        <v>6</v>
      </c>
      <c r="E132" s="62">
        <v>7.0000000000000001E-3</v>
      </c>
      <c r="F132" s="33"/>
    </row>
    <row r="133" spans="1:6" ht="14.45" customHeight="1">
      <c r="A133" s="33"/>
      <c r="B133" s="99"/>
      <c r="C133" s="78" t="s">
        <v>227</v>
      </c>
      <c r="D133" s="76">
        <v>9</v>
      </c>
      <c r="E133" s="77">
        <v>0.01</v>
      </c>
      <c r="F133" s="33"/>
    </row>
    <row r="134" spans="1:6" ht="14.45" customHeight="1">
      <c r="A134" s="33"/>
      <c r="B134" s="97" t="s">
        <v>82</v>
      </c>
      <c r="C134" s="60" t="s">
        <v>127</v>
      </c>
      <c r="D134" s="61">
        <v>3</v>
      </c>
      <c r="E134" s="62">
        <v>3.0000000000000001E-3</v>
      </c>
      <c r="F134" s="33"/>
    </row>
    <row r="135" spans="1:6" ht="14.45" customHeight="1">
      <c r="A135" s="33"/>
      <c r="B135" s="98"/>
      <c r="C135" s="60" t="s">
        <v>128</v>
      </c>
      <c r="D135" s="61">
        <v>4</v>
      </c>
      <c r="E135" s="62">
        <v>5.0000000000000001E-3</v>
      </c>
      <c r="F135" s="33"/>
    </row>
    <row r="136" spans="1:6" ht="14.45" customHeight="1">
      <c r="A136" s="33"/>
      <c r="B136" s="99"/>
      <c r="C136" s="78" t="s">
        <v>227</v>
      </c>
      <c r="D136" s="76">
        <v>7</v>
      </c>
      <c r="E136" s="77">
        <v>8.0000000000000002E-3</v>
      </c>
      <c r="F136" s="33"/>
    </row>
    <row r="137" spans="1:6" ht="14.45" customHeight="1">
      <c r="A137" s="33"/>
      <c r="B137" s="97" t="s">
        <v>53</v>
      </c>
      <c r="C137" s="60" t="s">
        <v>127</v>
      </c>
      <c r="D137" s="61">
        <v>20</v>
      </c>
      <c r="E137" s="62">
        <v>2.3E-2</v>
      </c>
      <c r="F137" s="33"/>
    </row>
    <row r="138" spans="1:6" ht="14.45" customHeight="1">
      <c r="A138" s="33"/>
      <c r="B138" s="98"/>
      <c r="C138" s="60" t="s">
        <v>128</v>
      </c>
      <c r="D138" s="61">
        <v>23</v>
      </c>
      <c r="E138" s="62">
        <v>2.7E-2</v>
      </c>
      <c r="F138" s="33"/>
    </row>
    <row r="139" spans="1:6" ht="14.45" customHeight="1">
      <c r="A139" s="33"/>
      <c r="B139" s="99"/>
      <c r="C139" s="78" t="s">
        <v>227</v>
      </c>
      <c r="D139" s="76">
        <v>43</v>
      </c>
      <c r="E139" s="77">
        <v>0.05</v>
      </c>
      <c r="F139" s="33"/>
    </row>
    <row r="140" spans="1:6" ht="14.45" customHeight="1">
      <c r="A140" s="33"/>
      <c r="B140" s="102" t="s">
        <v>230</v>
      </c>
      <c r="C140" s="103"/>
      <c r="D140" s="64">
        <v>860</v>
      </c>
      <c r="E140" s="65">
        <v>1</v>
      </c>
      <c r="F140" s="33"/>
    </row>
    <row r="141" spans="1:6" ht="14.45" customHeight="1">
      <c r="A141" s="33"/>
      <c r="B141" s="38"/>
      <c r="C141" s="48"/>
      <c r="D141" s="57"/>
      <c r="E141" s="48"/>
      <c r="F141" s="33"/>
    </row>
    <row r="142" spans="1:6" ht="14.45" customHeight="1">
      <c r="A142" s="33"/>
      <c r="B142" s="38" t="s">
        <v>189</v>
      </c>
      <c r="C142" s="48"/>
      <c r="D142" s="57"/>
      <c r="E142" s="48"/>
      <c r="F142" s="33"/>
    </row>
    <row r="143" spans="1:6" ht="14.45" customHeight="1">
      <c r="A143" s="33"/>
      <c r="B143" s="40" t="s">
        <v>18</v>
      </c>
      <c r="C143" s="48"/>
      <c r="D143" s="57"/>
      <c r="E143" s="48"/>
      <c r="F143" s="33"/>
    </row>
    <row r="144" spans="1:6" ht="14.45" customHeight="1">
      <c r="A144" s="33"/>
      <c r="B144" s="41" t="s">
        <v>46</v>
      </c>
      <c r="C144" s="48"/>
      <c r="D144" s="57"/>
      <c r="E144" s="48"/>
      <c r="F144" s="33"/>
    </row>
    <row r="145" spans="1:6" ht="14.45" customHeight="1">
      <c r="A145" s="33"/>
      <c r="B145" s="38" t="s">
        <v>17</v>
      </c>
      <c r="C145" s="48"/>
      <c r="D145" s="57"/>
      <c r="E145" s="48"/>
      <c r="F145" s="33"/>
    </row>
    <row r="146" spans="1:6" ht="12.75">
      <c r="A146" s="33"/>
      <c r="B146" s="38" t="s">
        <v>228</v>
      </c>
      <c r="C146" s="48"/>
      <c r="D146" s="57"/>
      <c r="E146" s="48"/>
      <c r="F146" s="33"/>
    </row>
  </sheetData>
  <mergeCells count="46">
    <mergeCell ref="B8:E10"/>
    <mergeCell ref="B112:B114"/>
    <mergeCell ref="B115:B117"/>
    <mergeCell ref="B118:B119"/>
    <mergeCell ref="B120:B122"/>
    <mergeCell ref="B109:B111"/>
    <mergeCell ref="B71:B73"/>
    <mergeCell ref="B74:B76"/>
    <mergeCell ref="B77:B78"/>
    <mergeCell ref="B53:B55"/>
    <mergeCell ref="B42:B43"/>
    <mergeCell ref="B44:B46"/>
    <mergeCell ref="B47:B49"/>
    <mergeCell ref="B50:B52"/>
    <mergeCell ref="B27:B29"/>
    <mergeCell ref="B30:B32"/>
    <mergeCell ref="B140:C140"/>
    <mergeCell ref="B137:B139"/>
    <mergeCell ref="B79:B81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23:B124"/>
    <mergeCell ref="B125:B127"/>
    <mergeCell ref="B128:B130"/>
    <mergeCell ref="B131:B133"/>
    <mergeCell ref="B33:B35"/>
    <mergeCell ref="B36:B38"/>
    <mergeCell ref="B39:B41"/>
    <mergeCell ref="B13:B15"/>
    <mergeCell ref="B16:B18"/>
    <mergeCell ref="B19:B21"/>
    <mergeCell ref="B22:B24"/>
    <mergeCell ref="B25:B26"/>
    <mergeCell ref="B134:B136"/>
    <mergeCell ref="B56:B58"/>
    <mergeCell ref="B59:B61"/>
    <mergeCell ref="B62:B64"/>
    <mergeCell ref="B65:B67"/>
    <mergeCell ref="B68:B70"/>
  </mergeCells>
  <printOptions horizontalCentered="1"/>
  <pageMargins left="0.74803149606299213" right="0.74803149606299213" top="0.98425196850393704" bottom="0.98425196850393704" header="0.51181102362204722" footer="0.51181102362204722"/>
  <pageSetup scale="54" orientation="portrait" r:id="rId1"/>
  <headerFooter>
    <oddFooter>&amp;C&amp;P de &amp;N</oddFooter>
  </headerFooter>
  <rowBreaks count="1" manualBreakCount="1">
    <brk id="75" max="5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32"/>
  <sheetViews>
    <sheetView showGridLines="0" view="pageBreakPreview" topLeftCell="A3" zoomScaleNormal="100" zoomScaleSheetLayoutView="100" workbookViewId="0">
      <selection activeCell="E12" sqref="E12"/>
    </sheetView>
  </sheetViews>
  <sheetFormatPr baseColWidth="10" defaultColWidth="11.42578125" defaultRowHeight="11.25"/>
  <cols>
    <col min="1" max="1" width="5.7109375" style="15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5" customWidth="1"/>
    <col min="7" max="7" width="11.42578125" style="15" customWidth="1"/>
    <col min="8" max="16384" width="11.42578125" style="15"/>
  </cols>
  <sheetData>
    <row r="1" spans="1:6" s="13" customFormat="1" ht="15">
      <c r="B1" s="22"/>
      <c r="C1" s="22"/>
    </row>
    <row r="2" spans="1:6" s="22" customFormat="1">
      <c r="B2" s="27"/>
    </row>
    <row r="3" spans="1:6" ht="15" customHeight="1">
      <c r="B3" s="28"/>
      <c r="C3" s="18"/>
      <c r="D3" s="15"/>
      <c r="F3" s="22"/>
    </row>
    <row r="4" spans="1:6" ht="30" customHeight="1">
      <c r="B4" s="28"/>
      <c r="C4" s="18"/>
      <c r="D4" s="15"/>
      <c r="F4" s="22"/>
    </row>
    <row r="5" spans="1:6" ht="15" customHeight="1">
      <c r="B5" s="28"/>
      <c r="C5" s="18"/>
      <c r="D5" s="15"/>
      <c r="F5" s="22"/>
    </row>
    <row r="6" spans="1:6" s="22" customFormat="1">
      <c r="B6" s="24"/>
      <c r="C6" s="21"/>
    </row>
    <row r="7" spans="1:6" s="22" customFormat="1">
      <c r="B7" s="27"/>
    </row>
    <row r="8" spans="1:6" s="13" customFormat="1" ht="15" customHeight="1">
      <c r="A8" s="37"/>
      <c r="B8" s="96" t="s">
        <v>40</v>
      </c>
      <c r="C8" s="96"/>
      <c r="D8" s="96"/>
      <c r="E8" s="96"/>
      <c r="F8" s="37"/>
    </row>
    <row r="9" spans="1:6" s="13" customFormat="1" ht="15" customHeight="1">
      <c r="A9" s="37"/>
      <c r="B9" s="96"/>
      <c r="C9" s="96"/>
      <c r="D9" s="96"/>
      <c r="E9" s="96"/>
      <c r="F9" s="55"/>
    </row>
    <row r="10" spans="1:6" s="13" customFormat="1" ht="15" customHeight="1">
      <c r="A10" s="37"/>
      <c r="B10" s="96"/>
      <c r="C10" s="96"/>
      <c r="D10" s="96"/>
      <c r="E10" s="96"/>
      <c r="F10" s="37"/>
    </row>
    <row r="11" spans="1:6" s="13" customFormat="1" ht="15" customHeight="1">
      <c r="A11" s="37"/>
      <c r="B11" s="56"/>
      <c r="C11" s="56"/>
      <c r="D11" s="56"/>
      <c r="E11" s="56"/>
      <c r="F11" s="37"/>
    </row>
    <row r="12" spans="1:6" s="13" customFormat="1" ht="36.950000000000003" customHeight="1">
      <c r="A12" s="37"/>
      <c r="B12" s="59" t="s">
        <v>25</v>
      </c>
      <c r="C12" s="59" t="s">
        <v>29</v>
      </c>
      <c r="D12" s="59" t="s">
        <v>20</v>
      </c>
      <c r="E12" s="59" t="s">
        <v>19</v>
      </c>
      <c r="F12" s="37"/>
    </row>
    <row r="13" spans="1:6" ht="14.45" customHeight="1">
      <c r="A13" s="33"/>
      <c r="B13" s="97" t="s">
        <v>89</v>
      </c>
      <c r="C13" s="60" t="s">
        <v>127</v>
      </c>
      <c r="D13" s="61">
        <v>24</v>
      </c>
      <c r="E13" s="62">
        <v>2.8000000000000001E-2</v>
      </c>
      <c r="F13" s="33"/>
    </row>
    <row r="14" spans="1:6" ht="14.45" customHeight="1">
      <c r="A14" s="33"/>
      <c r="B14" s="98"/>
      <c r="C14" s="60" t="s">
        <v>128</v>
      </c>
      <c r="D14" s="61">
        <v>36</v>
      </c>
      <c r="E14" s="62">
        <v>4.2000000000000003E-2</v>
      </c>
      <c r="F14" s="33"/>
    </row>
    <row r="15" spans="1:6" ht="14.45" customHeight="1">
      <c r="A15" s="33"/>
      <c r="B15" s="99"/>
      <c r="C15" s="78" t="s">
        <v>227</v>
      </c>
      <c r="D15" s="76">
        <v>60</v>
      </c>
      <c r="E15" s="77">
        <v>7.0000000000000007E-2</v>
      </c>
      <c r="F15" s="33"/>
    </row>
    <row r="16" spans="1:6" ht="14.45" customHeight="1">
      <c r="A16" s="33"/>
      <c r="B16" s="97" t="s">
        <v>90</v>
      </c>
      <c r="C16" s="60" t="s">
        <v>127</v>
      </c>
      <c r="D16" s="61">
        <v>3</v>
      </c>
      <c r="E16" s="62">
        <v>3.0000000000000001E-3</v>
      </c>
      <c r="F16" s="33"/>
    </row>
    <row r="17" spans="1:6" ht="14.45" customHeight="1">
      <c r="A17" s="33"/>
      <c r="B17" s="98"/>
      <c r="C17" s="60" t="s">
        <v>128</v>
      </c>
      <c r="D17" s="61">
        <v>3</v>
      </c>
      <c r="E17" s="62">
        <v>3.0000000000000001E-3</v>
      </c>
      <c r="F17" s="33"/>
    </row>
    <row r="18" spans="1:6" ht="14.45" customHeight="1">
      <c r="A18" s="33"/>
      <c r="B18" s="99"/>
      <c r="C18" s="78" t="s">
        <v>227</v>
      </c>
      <c r="D18" s="76">
        <v>6</v>
      </c>
      <c r="E18" s="77">
        <v>7.0000000000000001E-3</v>
      </c>
      <c r="F18" s="33"/>
    </row>
    <row r="19" spans="1:6" ht="14.45" customHeight="1">
      <c r="A19" s="33"/>
      <c r="B19" s="97" t="s">
        <v>91</v>
      </c>
      <c r="C19" s="60" t="s">
        <v>127</v>
      </c>
      <c r="D19" s="61">
        <v>6</v>
      </c>
      <c r="E19" s="62">
        <v>7.0000000000000001E-3</v>
      </c>
      <c r="F19" s="33"/>
    </row>
    <row r="20" spans="1:6" ht="14.45" customHeight="1">
      <c r="A20" s="33"/>
      <c r="B20" s="98"/>
      <c r="C20" s="60" t="s">
        <v>128</v>
      </c>
      <c r="D20" s="61">
        <v>8</v>
      </c>
      <c r="E20" s="62">
        <v>8.9999999999999993E-3</v>
      </c>
      <c r="F20" s="33"/>
    </row>
    <row r="21" spans="1:6" ht="14.45" customHeight="1">
      <c r="A21" s="33"/>
      <c r="B21" s="99"/>
      <c r="C21" s="78" t="s">
        <v>227</v>
      </c>
      <c r="D21" s="76">
        <v>14</v>
      </c>
      <c r="E21" s="77">
        <v>1.6E-2</v>
      </c>
      <c r="F21" s="33"/>
    </row>
    <row r="22" spans="1:6" ht="14.45" customHeight="1">
      <c r="A22" s="33"/>
      <c r="B22" s="97" t="s">
        <v>92</v>
      </c>
      <c r="C22" s="60" t="s">
        <v>127</v>
      </c>
      <c r="D22" s="61">
        <v>60</v>
      </c>
      <c r="E22" s="62">
        <v>7.0000000000000007E-2</v>
      </c>
      <c r="F22" s="33"/>
    </row>
    <row r="23" spans="1:6" ht="14.45" customHeight="1">
      <c r="A23" s="33"/>
      <c r="B23" s="98"/>
      <c r="C23" s="60" t="s">
        <v>128</v>
      </c>
      <c r="D23" s="61">
        <v>129</v>
      </c>
      <c r="E23" s="62">
        <v>0.15</v>
      </c>
      <c r="F23" s="33"/>
    </row>
    <row r="24" spans="1:6" ht="14.45" customHeight="1">
      <c r="A24" s="33"/>
      <c r="B24" s="99"/>
      <c r="C24" s="78" t="s">
        <v>227</v>
      </c>
      <c r="D24" s="76">
        <v>189</v>
      </c>
      <c r="E24" s="77">
        <v>0.22</v>
      </c>
      <c r="F24" s="33"/>
    </row>
    <row r="25" spans="1:6" ht="14.45" customHeight="1">
      <c r="A25" s="33"/>
      <c r="B25" s="97" t="s">
        <v>93</v>
      </c>
      <c r="C25" s="60" t="s">
        <v>127</v>
      </c>
      <c r="D25" s="61">
        <v>4</v>
      </c>
      <c r="E25" s="62">
        <v>5.0000000000000001E-3</v>
      </c>
      <c r="F25" s="33"/>
    </row>
    <row r="26" spans="1:6" ht="14.45" customHeight="1">
      <c r="A26" s="33"/>
      <c r="B26" s="98"/>
      <c r="C26" s="60" t="s">
        <v>128</v>
      </c>
      <c r="D26" s="61">
        <v>7</v>
      </c>
      <c r="E26" s="62">
        <v>8.0000000000000002E-3</v>
      </c>
      <c r="F26" s="33"/>
    </row>
    <row r="27" spans="1:6" ht="14.45" customHeight="1">
      <c r="A27" s="33"/>
      <c r="B27" s="99"/>
      <c r="C27" s="78" t="s">
        <v>227</v>
      </c>
      <c r="D27" s="76">
        <v>11</v>
      </c>
      <c r="E27" s="77">
        <v>1.2999999999999999E-2</v>
      </c>
      <c r="F27" s="33"/>
    </row>
    <row r="28" spans="1:6" ht="14.45" customHeight="1">
      <c r="A28" s="33"/>
      <c r="B28" s="97" t="s">
        <v>94</v>
      </c>
      <c r="C28" s="60" t="s">
        <v>128</v>
      </c>
      <c r="D28" s="61">
        <v>1</v>
      </c>
      <c r="E28" s="62">
        <v>1E-3</v>
      </c>
      <c r="F28" s="33"/>
    </row>
    <row r="29" spans="1:6" ht="14.45" customHeight="1">
      <c r="A29" s="33"/>
      <c r="B29" s="99"/>
      <c r="C29" s="78" t="s">
        <v>227</v>
      </c>
      <c r="D29" s="76">
        <v>1</v>
      </c>
      <c r="E29" s="77">
        <v>1E-3</v>
      </c>
      <c r="F29" s="33"/>
    </row>
    <row r="30" spans="1:6" ht="14.45" customHeight="1">
      <c r="A30" s="33"/>
      <c r="B30" s="97" t="s">
        <v>95</v>
      </c>
      <c r="C30" s="60" t="s">
        <v>128</v>
      </c>
      <c r="D30" s="61">
        <v>1</v>
      </c>
      <c r="E30" s="62">
        <v>1E-3</v>
      </c>
      <c r="F30" s="33"/>
    </row>
    <row r="31" spans="1:6" ht="14.45" customHeight="1">
      <c r="A31" s="33"/>
      <c r="B31" s="99"/>
      <c r="C31" s="78" t="s">
        <v>227</v>
      </c>
      <c r="D31" s="76">
        <v>1</v>
      </c>
      <c r="E31" s="77">
        <v>1E-3</v>
      </c>
      <c r="F31" s="33"/>
    </row>
    <row r="32" spans="1:6" ht="14.45" customHeight="1">
      <c r="A32" s="33"/>
      <c r="B32" s="97" t="s">
        <v>96</v>
      </c>
      <c r="C32" s="60" t="s">
        <v>127</v>
      </c>
      <c r="D32" s="61">
        <v>9</v>
      </c>
      <c r="E32" s="62">
        <v>0.01</v>
      </c>
      <c r="F32" s="33"/>
    </row>
    <row r="33" spans="1:6" ht="14.45" customHeight="1">
      <c r="A33" s="33"/>
      <c r="B33" s="98"/>
      <c r="C33" s="60" t="s">
        <v>128</v>
      </c>
      <c r="D33" s="61">
        <v>28</v>
      </c>
      <c r="E33" s="62">
        <v>3.3000000000000002E-2</v>
      </c>
      <c r="F33" s="33"/>
    </row>
    <row r="34" spans="1:6" ht="14.45" customHeight="1">
      <c r="A34" s="33"/>
      <c r="B34" s="99"/>
      <c r="C34" s="78" t="s">
        <v>227</v>
      </c>
      <c r="D34" s="76">
        <v>37</v>
      </c>
      <c r="E34" s="77">
        <v>4.2999999999999997E-2</v>
      </c>
      <c r="F34" s="33"/>
    </row>
    <row r="35" spans="1:6" ht="14.45" customHeight="1">
      <c r="A35" s="33"/>
      <c r="B35" s="97" t="s">
        <v>97</v>
      </c>
      <c r="C35" s="60" t="s">
        <v>127</v>
      </c>
      <c r="D35" s="61">
        <v>8</v>
      </c>
      <c r="E35" s="62">
        <v>8.9999999999999993E-3</v>
      </c>
      <c r="F35" s="33"/>
    </row>
    <row r="36" spans="1:6" ht="14.45" customHeight="1">
      <c r="A36" s="33"/>
      <c r="B36" s="98"/>
      <c r="C36" s="60" t="s">
        <v>128</v>
      </c>
      <c r="D36" s="61">
        <v>18</v>
      </c>
      <c r="E36" s="62">
        <v>2.1000000000000001E-2</v>
      </c>
      <c r="F36" s="33"/>
    </row>
    <row r="37" spans="1:6" ht="14.45" customHeight="1">
      <c r="A37" s="33"/>
      <c r="B37" s="99"/>
      <c r="C37" s="78" t="s">
        <v>227</v>
      </c>
      <c r="D37" s="76">
        <v>26</v>
      </c>
      <c r="E37" s="77">
        <v>0.03</v>
      </c>
      <c r="F37" s="33"/>
    </row>
    <row r="38" spans="1:6" ht="14.45" customHeight="1">
      <c r="A38" s="33"/>
      <c r="B38" s="97" t="s">
        <v>98</v>
      </c>
      <c r="C38" s="60" t="s">
        <v>127</v>
      </c>
      <c r="D38" s="61">
        <v>10</v>
      </c>
      <c r="E38" s="62">
        <v>1.2E-2</v>
      </c>
      <c r="F38" s="33"/>
    </row>
    <row r="39" spans="1:6" ht="14.45" customHeight="1">
      <c r="A39" s="33"/>
      <c r="B39" s="98"/>
      <c r="C39" s="60" t="s">
        <v>128</v>
      </c>
      <c r="D39" s="61">
        <v>23</v>
      </c>
      <c r="E39" s="62">
        <v>2.7E-2</v>
      </c>
      <c r="F39" s="33"/>
    </row>
    <row r="40" spans="1:6" ht="14.45" customHeight="1">
      <c r="A40" s="33"/>
      <c r="B40" s="99"/>
      <c r="C40" s="78" t="s">
        <v>227</v>
      </c>
      <c r="D40" s="76">
        <v>33</v>
      </c>
      <c r="E40" s="77">
        <v>3.7999999999999999E-2</v>
      </c>
      <c r="F40" s="33"/>
    </row>
    <row r="41" spans="1:6" ht="14.45" customHeight="1">
      <c r="A41" s="33"/>
      <c r="B41" s="97" t="s">
        <v>99</v>
      </c>
      <c r="C41" s="60" t="s">
        <v>127</v>
      </c>
      <c r="D41" s="61">
        <v>9</v>
      </c>
      <c r="E41" s="62">
        <v>0.01</v>
      </c>
      <c r="F41" s="33"/>
    </row>
    <row r="42" spans="1:6" ht="14.45" customHeight="1">
      <c r="A42" s="33"/>
      <c r="B42" s="98"/>
      <c r="C42" s="60" t="s">
        <v>128</v>
      </c>
      <c r="D42" s="61">
        <v>9</v>
      </c>
      <c r="E42" s="62">
        <v>0.01</v>
      </c>
      <c r="F42" s="33"/>
    </row>
    <row r="43" spans="1:6" ht="14.45" customHeight="1">
      <c r="A43" s="33"/>
      <c r="B43" s="99"/>
      <c r="C43" s="78" t="s">
        <v>227</v>
      </c>
      <c r="D43" s="76">
        <v>18</v>
      </c>
      <c r="E43" s="77">
        <v>2.1000000000000001E-2</v>
      </c>
      <c r="F43" s="33"/>
    </row>
    <row r="44" spans="1:6" ht="14.45" customHeight="1">
      <c r="A44" s="33"/>
      <c r="B44" s="97" t="s">
        <v>190</v>
      </c>
      <c r="C44" s="60" t="s">
        <v>127</v>
      </c>
      <c r="D44" s="61">
        <v>2</v>
      </c>
      <c r="E44" s="62">
        <v>2E-3</v>
      </c>
      <c r="F44" s="33"/>
    </row>
    <row r="45" spans="1:6" ht="14.45" customHeight="1">
      <c r="A45" s="33"/>
      <c r="B45" s="98"/>
      <c r="C45" s="60" t="s">
        <v>128</v>
      </c>
      <c r="D45" s="61">
        <v>2</v>
      </c>
      <c r="E45" s="62">
        <v>2E-3</v>
      </c>
      <c r="F45" s="33"/>
    </row>
    <row r="46" spans="1:6" ht="14.45" customHeight="1">
      <c r="A46" s="33"/>
      <c r="B46" s="99"/>
      <c r="C46" s="78" t="s">
        <v>227</v>
      </c>
      <c r="D46" s="76">
        <v>4</v>
      </c>
      <c r="E46" s="77">
        <v>5.0000000000000001E-3</v>
      </c>
      <c r="F46" s="33"/>
    </row>
    <row r="47" spans="1:6" ht="14.45" customHeight="1">
      <c r="A47" s="33"/>
      <c r="B47" s="97" t="s">
        <v>100</v>
      </c>
      <c r="C47" s="60" t="s">
        <v>127</v>
      </c>
      <c r="D47" s="61">
        <v>5</v>
      </c>
      <c r="E47" s="62">
        <v>6.0000000000000001E-3</v>
      </c>
      <c r="F47" s="33"/>
    </row>
    <row r="48" spans="1:6" ht="14.45" customHeight="1">
      <c r="A48" s="33"/>
      <c r="B48" s="98"/>
      <c r="C48" s="60" t="s">
        <v>128</v>
      </c>
      <c r="D48" s="61">
        <v>5</v>
      </c>
      <c r="E48" s="62">
        <v>6.0000000000000001E-3</v>
      </c>
      <c r="F48" s="33"/>
    </row>
    <row r="49" spans="1:6" ht="14.45" customHeight="1">
      <c r="A49" s="33"/>
      <c r="B49" s="99"/>
      <c r="C49" s="78" t="s">
        <v>227</v>
      </c>
      <c r="D49" s="76">
        <v>10</v>
      </c>
      <c r="E49" s="77">
        <v>1.2E-2</v>
      </c>
      <c r="F49" s="33"/>
    </row>
    <row r="50" spans="1:6" ht="14.45" customHeight="1">
      <c r="A50" s="33"/>
      <c r="B50" s="97" t="s">
        <v>101</v>
      </c>
      <c r="C50" s="60" t="s">
        <v>127</v>
      </c>
      <c r="D50" s="61">
        <v>3</v>
      </c>
      <c r="E50" s="62">
        <v>3.0000000000000001E-3</v>
      </c>
      <c r="F50" s="33"/>
    </row>
    <row r="51" spans="1:6" ht="14.45" customHeight="1">
      <c r="A51" s="33"/>
      <c r="B51" s="98"/>
      <c r="C51" s="60" t="s">
        <v>128</v>
      </c>
      <c r="D51" s="61">
        <v>10</v>
      </c>
      <c r="E51" s="62">
        <v>1.2E-2</v>
      </c>
      <c r="F51" s="33"/>
    </row>
    <row r="52" spans="1:6" ht="14.45" customHeight="1">
      <c r="A52" s="33"/>
      <c r="B52" s="99"/>
      <c r="C52" s="78" t="s">
        <v>227</v>
      </c>
      <c r="D52" s="76">
        <v>13</v>
      </c>
      <c r="E52" s="77">
        <v>1.4999999999999999E-2</v>
      </c>
      <c r="F52" s="33"/>
    </row>
    <row r="53" spans="1:6" ht="14.45" customHeight="1">
      <c r="A53" s="33"/>
      <c r="B53" s="97" t="s">
        <v>102</v>
      </c>
      <c r="C53" s="60" t="s">
        <v>127</v>
      </c>
      <c r="D53" s="61">
        <v>2</v>
      </c>
      <c r="E53" s="62">
        <v>2E-3</v>
      </c>
      <c r="F53" s="33"/>
    </row>
    <row r="54" spans="1:6" ht="14.45" customHeight="1">
      <c r="A54" s="33"/>
      <c r="B54" s="98"/>
      <c r="C54" s="60" t="s">
        <v>128</v>
      </c>
      <c r="D54" s="61">
        <v>6</v>
      </c>
      <c r="E54" s="62">
        <v>7.0000000000000001E-3</v>
      </c>
      <c r="F54" s="33"/>
    </row>
    <row r="55" spans="1:6" ht="14.45" customHeight="1">
      <c r="A55" s="33"/>
      <c r="B55" s="99"/>
      <c r="C55" s="78" t="s">
        <v>227</v>
      </c>
      <c r="D55" s="76">
        <v>8</v>
      </c>
      <c r="E55" s="77">
        <v>8.9999999999999993E-3</v>
      </c>
      <c r="F55" s="33"/>
    </row>
    <row r="56" spans="1:6" ht="14.45" customHeight="1">
      <c r="A56" s="33"/>
      <c r="B56" s="97" t="s">
        <v>103</v>
      </c>
      <c r="C56" s="60" t="s">
        <v>127</v>
      </c>
      <c r="D56" s="61">
        <v>1</v>
      </c>
      <c r="E56" s="62">
        <v>1E-3</v>
      </c>
      <c r="F56" s="33"/>
    </row>
    <row r="57" spans="1:6" ht="14.45" customHeight="1">
      <c r="A57" s="33"/>
      <c r="B57" s="98"/>
      <c r="C57" s="60" t="s">
        <v>128</v>
      </c>
      <c r="D57" s="61">
        <v>3</v>
      </c>
      <c r="E57" s="62">
        <v>3.0000000000000001E-3</v>
      </c>
      <c r="F57" s="33"/>
    </row>
    <row r="58" spans="1:6" ht="14.45" customHeight="1">
      <c r="A58" s="33"/>
      <c r="B58" s="99"/>
      <c r="C58" s="78" t="s">
        <v>227</v>
      </c>
      <c r="D58" s="76">
        <v>4</v>
      </c>
      <c r="E58" s="77">
        <v>5.0000000000000001E-3</v>
      </c>
      <c r="F58" s="33"/>
    </row>
    <row r="59" spans="1:6" ht="14.45" customHeight="1">
      <c r="A59" s="33"/>
      <c r="B59" s="97" t="s">
        <v>104</v>
      </c>
      <c r="C59" s="60" t="s">
        <v>128</v>
      </c>
      <c r="D59" s="61">
        <v>1</v>
      </c>
      <c r="E59" s="62">
        <v>1E-3</v>
      </c>
      <c r="F59" s="33"/>
    </row>
    <row r="60" spans="1:6" ht="14.45" customHeight="1">
      <c r="A60" s="33"/>
      <c r="B60" s="99"/>
      <c r="C60" s="78" t="s">
        <v>227</v>
      </c>
      <c r="D60" s="76">
        <v>1</v>
      </c>
      <c r="E60" s="77">
        <v>1E-3</v>
      </c>
      <c r="F60" s="33"/>
    </row>
    <row r="61" spans="1:6" ht="14.45" customHeight="1">
      <c r="A61" s="33"/>
      <c r="B61" s="97" t="s">
        <v>105</v>
      </c>
      <c r="C61" s="60" t="s">
        <v>127</v>
      </c>
      <c r="D61" s="61">
        <v>9</v>
      </c>
      <c r="E61" s="62">
        <v>0.01</v>
      </c>
      <c r="F61" s="33"/>
    </row>
    <row r="62" spans="1:6" ht="14.45" customHeight="1">
      <c r="A62" s="33"/>
      <c r="B62" s="98"/>
      <c r="C62" s="60" t="s">
        <v>128</v>
      </c>
      <c r="D62" s="61">
        <v>7</v>
      </c>
      <c r="E62" s="62">
        <v>8.0000000000000002E-3</v>
      </c>
      <c r="F62" s="33"/>
    </row>
    <row r="63" spans="1:6" ht="14.45" customHeight="1">
      <c r="A63" s="33"/>
      <c r="B63" s="99"/>
      <c r="C63" s="78" t="s">
        <v>227</v>
      </c>
      <c r="D63" s="76">
        <v>16</v>
      </c>
      <c r="E63" s="77">
        <v>1.9E-2</v>
      </c>
      <c r="F63" s="33"/>
    </row>
    <row r="64" spans="1:6" ht="14.45" customHeight="1">
      <c r="A64" s="33"/>
      <c r="B64" s="97" t="s">
        <v>106</v>
      </c>
      <c r="C64" s="60" t="s">
        <v>127</v>
      </c>
      <c r="D64" s="61">
        <v>3</v>
      </c>
      <c r="E64" s="62">
        <v>3.0000000000000001E-3</v>
      </c>
      <c r="F64" s="33"/>
    </row>
    <row r="65" spans="1:6" ht="14.45" customHeight="1">
      <c r="A65" s="33"/>
      <c r="B65" s="98"/>
      <c r="C65" s="60" t="s">
        <v>128</v>
      </c>
      <c r="D65" s="61">
        <v>12</v>
      </c>
      <c r="E65" s="62">
        <v>1.4E-2</v>
      </c>
      <c r="F65" s="33"/>
    </row>
    <row r="66" spans="1:6" ht="14.45" customHeight="1">
      <c r="A66" s="33"/>
      <c r="B66" s="99"/>
      <c r="C66" s="78" t="s">
        <v>227</v>
      </c>
      <c r="D66" s="76">
        <v>15</v>
      </c>
      <c r="E66" s="77">
        <v>1.7000000000000001E-2</v>
      </c>
      <c r="F66" s="33"/>
    </row>
    <row r="67" spans="1:6" ht="14.45" customHeight="1">
      <c r="A67" s="33"/>
      <c r="B67" s="97" t="s">
        <v>107</v>
      </c>
      <c r="C67" s="60" t="s">
        <v>127</v>
      </c>
      <c r="D67" s="61">
        <v>2</v>
      </c>
      <c r="E67" s="62">
        <v>2E-3</v>
      </c>
      <c r="F67" s="33"/>
    </row>
    <row r="68" spans="1:6" ht="14.45" customHeight="1">
      <c r="A68" s="33"/>
      <c r="B68" s="98"/>
      <c r="C68" s="60" t="s">
        <v>128</v>
      </c>
      <c r="D68" s="61">
        <v>14</v>
      </c>
      <c r="E68" s="62">
        <v>1.6E-2</v>
      </c>
      <c r="F68" s="33"/>
    </row>
    <row r="69" spans="1:6" ht="14.45" customHeight="1">
      <c r="A69" s="33"/>
      <c r="B69" s="99"/>
      <c r="C69" s="78" t="s">
        <v>227</v>
      </c>
      <c r="D69" s="76">
        <v>16</v>
      </c>
      <c r="E69" s="77">
        <v>1.9E-2</v>
      </c>
      <c r="F69" s="33"/>
    </row>
    <row r="70" spans="1:6" ht="14.45" customHeight="1">
      <c r="A70" s="33"/>
      <c r="B70" s="97" t="s">
        <v>108</v>
      </c>
      <c r="C70" s="60" t="s">
        <v>127</v>
      </c>
      <c r="D70" s="61">
        <v>5</v>
      </c>
      <c r="E70" s="62">
        <v>6.0000000000000001E-3</v>
      </c>
      <c r="F70" s="33"/>
    </row>
    <row r="71" spans="1:6" ht="14.45" customHeight="1">
      <c r="A71" s="33"/>
      <c r="B71" s="98"/>
      <c r="C71" s="60" t="s">
        <v>128</v>
      </c>
      <c r="D71" s="61">
        <v>4</v>
      </c>
      <c r="E71" s="62">
        <v>5.0000000000000001E-3</v>
      </c>
      <c r="F71" s="33"/>
    </row>
    <row r="72" spans="1:6" ht="14.45" customHeight="1">
      <c r="A72" s="33"/>
      <c r="B72" s="99"/>
      <c r="C72" s="78" t="s">
        <v>227</v>
      </c>
      <c r="D72" s="76">
        <v>9</v>
      </c>
      <c r="E72" s="77">
        <v>0.01</v>
      </c>
      <c r="F72" s="33"/>
    </row>
    <row r="73" spans="1:6" ht="14.45" customHeight="1">
      <c r="A73" s="33"/>
      <c r="B73" s="97" t="s">
        <v>109</v>
      </c>
      <c r="C73" s="60" t="s">
        <v>127</v>
      </c>
      <c r="D73" s="61">
        <v>5</v>
      </c>
      <c r="E73" s="62">
        <v>6.0000000000000001E-3</v>
      </c>
      <c r="F73" s="33"/>
    </row>
    <row r="74" spans="1:6" ht="14.45" customHeight="1">
      <c r="A74" s="33"/>
      <c r="B74" s="98"/>
      <c r="C74" s="60" t="s">
        <v>128</v>
      </c>
      <c r="D74" s="61">
        <v>9</v>
      </c>
      <c r="E74" s="62">
        <v>0.01</v>
      </c>
      <c r="F74" s="33"/>
    </row>
    <row r="75" spans="1:6" ht="14.45" customHeight="1">
      <c r="A75" s="33"/>
      <c r="B75" s="99"/>
      <c r="C75" s="78" t="s">
        <v>227</v>
      </c>
      <c r="D75" s="76">
        <v>14</v>
      </c>
      <c r="E75" s="77">
        <v>1.6E-2</v>
      </c>
      <c r="F75" s="33"/>
    </row>
    <row r="76" spans="1:6" ht="14.45" customHeight="1">
      <c r="A76" s="33"/>
      <c r="B76" s="97" t="s">
        <v>110</v>
      </c>
      <c r="C76" s="60" t="s">
        <v>127</v>
      </c>
      <c r="D76" s="61">
        <v>4</v>
      </c>
      <c r="E76" s="62">
        <v>5.0000000000000001E-3</v>
      </c>
      <c r="F76" s="33"/>
    </row>
    <row r="77" spans="1:6" ht="14.45" customHeight="1">
      <c r="A77" s="33"/>
      <c r="B77" s="98"/>
      <c r="C77" s="60" t="s">
        <v>128</v>
      </c>
      <c r="D77" s="61">
        <v>4</v>
      </c>
      <c r="E77" s="62">
        <v>5.0000000000000001E-3</v>
      </c>
      <c r="F77" s="33"/>
    </row>
    <row r="78" spans="1:6" ht="14.45" customHeight="1">
      <c r="A78" s="33"/>
      <c r="B78" s="99"/>
      <c r="C78" s="78" t="s">
        <v>227</v>
      </c>
      <c r="D78" s="76">
        <v>8</v>
      </c>
      <c r="E78" s="77">
        <v>8.9999999999999993E-3</v>
      </c>
      <c r="F78" s="33"/>
    </row>
    <row r="79" spans="1:6" ht="14.45" customHeight="1">
      <c r="A79" s="33"/>
      <c r="B79" s="97" t="s">
        <v>111</v>
      </c>
      <c r="C79" s="60" t="s">
        <v>128</v>
      </c>
      <c r="D79" s="61">
        <v>1</v>
      </c>
      <c r="E79" s="62">
        <v>1E-3</v>
      </c>
      <c r="F79" s="33"/>
    </row>
    <row r="80" spans="1:6" ht="14.45" customHeight="1">
      <c r="A80" s="33"/>
      <c r="B80" s="99"/>
      <c r="C80" s="78" t="s">
        <v>227</v>
      </c>
      <c r="D80" s="76">
        <v>1</v>
      </c>
      <c r="E80" s="77">
        <v>1E-3</v>
      </c>
      <c r="F80" s="33"/>
    </row>
    <row r="81" spans="1:6" ht="14.45" customHeight="1">
      <c r="A81" s="33"/>
      <c r="B81" s="97" t="s">
        <v>112</v>
      </c>
      <c r="C81" s="60" t="s">
        <v>127</v>
      </c>
      <c r="D81" s="61">
        <v>2</v>
      </c>
      <c r="E81" s="62">
        <v>2E-3</v>
      </c>
      <c r="F81" s="33"/>
    </row>
    <row r="82" spans="1:6" ht="14.45" customHeight="1">
      <c r="A82" s="33"/>
      <c r="B82" s="98"/>
      <c r="C82" s="60" t="s">
        <v>128</v>
      </c>
      <c r="D82" s="61">
        <v>11</v>
      </c>
      <c r="E82" s="62">
        <v>1.2999999999999999E-2</v>
      </c>
      <c r="F82" s="33"/>
    </row>
    <row r="83" spans="1:6" ht="14.45" customHeight="1">
      <c r="A83" s="33"/>
      <c r="B83" s="99"/>
      <c r="C83" s="78" t="s">
        <v>227</v>
      </c>
      <c r="D83" s="76">
        <v>13</v>
      </c>
      <c r="E83" s="77">
        <v>1.4999999999999999E-2</v>
      </c>
      <c r="F83" s="33"/>
    </row>
    <row r="84" spans="1:6" ht="14.45" customHeight="1">
      <c r="A84" s="33"/>
      <c r="B84" s="97" t="s">
        <v>113</v>
      </c>
      <c r="C84" s="60" t="s">
        <v>128</v>
      </c>
      <c r="D84" s="61">
        <v>2</v>
      </c>
      <c r="E84" s="62">
        <v>2E-3</v>
      </c>
      <c r="F84" s="33"/>
    </row>
    <row r="85" spans="1:6" ht="14.45" customHeight="1">
      <c r="A85" s="33"/>
      <c r="B85" s="99"/>
      <c r="C85" s="78" t="s">
        <v>227</v>
      </c>
      <c r="D85" s="76">
        <v>2</v>
      </c>
      <c r="E85" s="77">
        <v>2E-3</v>
      </c>
      <c r="F85" s="33"/>
    </row>
    <row r="86" spans="1:6" ht="14.45" customHeight="1">
      <c r="A86" s="33"/>
      <c r="B86" s="97" t="s">
        <v>114</v>
      </c>
      <c r="C86" s="60" t="s">
        <v>127</v>
      </c>
      <c r="D86" s="61">
        <v>4</v>
      </c>
      <c r="E86" s="62">
        <v>5.0000000000000001E-3</v>
      </c>
      <c r="F86" s="33"/>
    </row>
    <row r="87" spans="1:6" ht="14.45" customHeight="1">
      <c r="A87" s="33"/>
      <c r="B87" s="98"/>
      <c r="C87" s="60" t="s">
        <v>128</v>
      </c>
      <c r="D87" s="61">
        <v>4</v>
      </c>
      <c r="E87" s="62">
        <v>5.0000000000000001E-3</v>
      </c>
      <c r="F87" s="33"/>
    </row>
    <row r="88" spans="1:6" ht="14.45" customHeight="1">
      <c r="A88" s="33"/>
      <c r="B88" s="99"/>
      <c r="C88" s="78" t="s">
        <v>227</v>
      </c>
      <c r="D88" s="76">
        <v>8</v>
      </c>
      <c r="E88" s="77">
        <v>8.9999999999999993E-3</v>
      </c>
      <c r="F88" s="33"/>
    </row>
    <row r="89" spans="1:6" ht="14.45" customHeight="1">
      <c r="A89" s="33"/>
      <c r="B89" s="97" t="s">
        <v>115</v>
      </c>
      <c r="C89" s="60" t="s">
        <v>127</v>
      </c>
      <c r="D89" s="61">
        <v>12</v>
      </c>
      <c r="E89" s="62">
        <v>1.4E-2</v>
      </c>
      <c r="F89" s="33"/>
    </row>
    <row r="90" spans="1:6" ht="14.45" customHeight="1">
      <c r="A90" s="33"/>
      <c r="B90" s="98"/>
      <c r="C90" s="60" t="s">
        <v>128</v>
      </c>
      <c r="D90" s="61">
        <v>24</v>
      </c>
      <c r="E90" s="62">
        <v>2.8000000000000001E-2</v>
      </c>
      <c r="F90" s="33"/>
    </row>
    <row r="91" spans="1:6" ht="14.45" customHeight="1">
      <c r="A91" s="33"/>
      <c r="B91" s="99"/>
      <c r="C91" s="78" t="s">
        <v>227</v>
      </c>
      <c r="D91" s="76">
        <v>36</v>
      </c>
      <c r="E91" s="77">
        <v>4.2000000000000003E-2</v>
      </c>
      <c r="F91" s="33"/>
    </row>
    <row r="92" spans="1:6" ht="14.45" customHeight="1">
      <c r="A92" s="33"/>
      <c r="B92" s="97" t="s">
        <v>116</v>
      </c>
      <c r="C92" s="60" t="s">
        <v>127</v>
      </c>
      <c r="D92" s="61">
        <v>3</v>
      </c>
      <c r="E92" s="62">
        <v>3.0000000000000001E-3</v>
      </c>
      <c r="F92" s="33"/>
    </row>
    <row r="93" spans="1:6" ht="14.45" customHeight="1">
      <c r="A93" s="33"/>
      <c r="B93" s="98"/>
      <c r="C93" s="60" t="s">
        <v>128</v>
      </c>
      <c r="D93" s="61">
        <v>8</v>
      </c>
      <c r="E93" s="62">
        <v>8.9999999999999993E-3</v>
      </c>
      <c r="F93" s="33"/>
    </row>
    <row r="94" spans="1:6" ht="14.45" customHeight="1">
      <c r="A94" s="33"/>
      <c r="B94" s="99"/>
      <c r="C94" s="78" t="s">
        <v>227</v>
      </c>
      <c r="D94" s="76">
        <v>11</v>
      </c>
      <c r="E94" s="77">
        <v>1.2999999999999999E-2</v>
      </c>
      <c r="F94" s="33"/>
    </row>
    <row r="95" spans="1:6" ht="14.45" customHeight="1">
      <c r="A95" s="33"/>
      <c r="B95" s="97" t="s">
        <v>117</v>
      </c>
      <c r="C95" s="60" t="s">
        <v>127</v>
      </c>
      <c r="D95" s="61">
        <v>6</v>
      </c>
      <c r="E95" s="62">
        <v>7.0000000000000001E-3</v>
      </c>
      <c r="F95" s="33"/>
    </row>
    <row r="96" spans="1:6" ht="14.45" customHeight="1">
      <c r="A96" s="33"/>
      <c r="B96" s="98"/>
      <c r="C96" s="60" t="s">
        <v>128</v>
      </c>
      <c r="D96" s="61">
        <v>6</v>
      </c>
      <c r="E96" s="62">
        <v>7.0000000000000001E-3</v>
      </c>
      <c r="F96" s="33"/>
    </row>
    <row r="97" spans="1:6" ht="14.45" customHeight="1">
      <c r="A97" s="33"/>
      <c r="B97" s="99"/>
      <c r="C97" s="78" t="s">
        <v>227</v>
      </c>
      <c r="D97" s="76">
        <v>12</v>
      </c>
      <c r="E97" s="77">
        <v>1.4E-2</v>
      </c>
      <c r="F97" s="33"/>
    </row>
    <row r="98" spans="1:6" ht="14.45" customHeight="1">
      <c r="A98" s="33"/>
      <c r="B98" s="97" t="s">
        <v>118</v>
      </c>
      <c r="C98" s="60" t="s">
        <v>127</v>
      </c>
      <c r="D98" s="61">
        <v>5</v>
      </c>
      <c r="E98" s="62">
        <v>6.0000000000000001E-3</v>
      </c>
      <c r="F98" s="33"/>
    </row>
    <row r="99" spans="1:6" ht="14.45" customHeight="1">
      <c r="A99" s="33"/>
      <c r="B99" s="98"/>
      <c r="C99" s="60" t="s">
        <v>128</v>
      </c>
      <c r="D99" s="61">
        <v>9</v>
      </c>
      <c r="E99" s="62">
        <v>0.01</v>
      </c>
      <c r="F99" s="33"/>
    </row>
    <row r="100" spans="1:6" ht="14.45" customHeight="1">
      <c r="A100" s="33"/>
      <c r="B100" s="99"/>
      <c r="C100" s="78" t="s">
        <v>227</v>
      </c>
      <c r="D100" s="76">
        <v>14</v>
      </c>
      <c r="E100" s="77">
        <v>1.6E-2</v>
      </c>
      <c r="F100" s="33"/>
    </row>
    <row r="101" spans="1:6" ht="14.45" customHeight="1">
      <c r="A101" s="33"/>
      <c r="B101" s="97" t="s">
        <v>119</v>
      </c>
      <c r="C101" s="60" t="s">
        <v>128</v>
      </c>
      <c r="D101" s="61">
        <v>5</v>
      </c>
      <c r="E101" s="62">
        <v>6.0000000000000001E-3</v>
      </c>
      <c r="F101" s="33"/>
    </row>
    <row r="102" spans="1:6" ht="14.45" customHeight="1">
      <c r="A102" s="33"/>
      <c r="B102" s="99"/>
      <c r="C102" s="78" t="s">
        <v>227</v>
      </c>
      <c r="D102" s="76">
        <v>5</v>
      </c>
      <c r="E102" s="77">
        <v>6.0000000000000001E-3</v>
      </c>
      <c r="F102" s="33"/>
    </row>
    <row r="103" spans="1:6" ht="14.45" customHeight="1">
      <c r="A103" s="33"/>
      <c r="B103" s="97" t="s">
        <v>120</v>
      </c>
      <c r="C103" s="60" t="s">
        <v>127</v>
      </c>
      <c r="D103" s="61">
        <v>3</v>
      </c>
      <c r="E103" s="62">
        <v>3.0000000000000001E-3</v>
      </c>
      <c r="F103" s="33"/>
    </row>
    <row r="104" spans="1:6" ht="14.45" customHeight="1">
      <c r="A104" s="33"/>
      <c r="B104" s="98"/>
      <c r="C104" s="60" t="s">
        <v>128</v>
      </c>
      <c r="D104" s="61">
        <v>14</v>
      </c>
      <c r="E104" s="62">
        <v>1.6E-2</v>
      </c>
      <c r="F104" s="33"/>
    </row>
    <row r="105" spans="1:6" ht="14.45" customHeight="1">
      <c r="A105" s="33"/>
      <c r="B105" s="99"/>
      <c r="C105" s="78" t="s">
        <v>227</v>
      </c>
      <c r="D105" s="76">
        <v>17</v>
      </c>
      <c r="E105" s="77">
        <v>0.02</v>
      </c>
      <c r="F105" s="33"/>
    </row>
    <row r="106" spans="1:6" ht="14.45" customHeight="1">
      <c r="A106" s="33"/>
      <c r="B106" s="97" t="s">
        <v>121</v>
      </c>
      <c r="C106" s="60" t="s">
        <v>127</v>
      </c>
      <c r="D106" s="61">
        <v>10</v>
      </c>
      <c r="E106" s="62">
        <v>1.2E-2</v>
      </c>
      <c r="F106" s="33"/>
    </row>
    <row r="107" spans="1:6" ht="14.45" customHeight="1">
      <c r="A107" s="33"/>
      <c r="B107" s="98"/>
      <c r="C107" s="60" t="s">
        <v>128</v>
      </c>
      <c r="D107" s="61">
        <v>25</v>
      </c>
      <c r="E107" s="62">
        <v>2.9000000000000001E-2</v>
      </c>
      <c r="F107" s="33"/>
    </row>
    <row r="108" spans="1:6" ht="14.45" customHeight="1">
      <c r="A108" s="33"/>
      <c r="B108" s="99"/>
      <c r="C108" s="78" t="s">
        <v>227</v>
      </c>
      <c r="D108" s="76">
        <v>35</v>
      </c>
      <c r="E108" s="77">
        <v>4.1000000000000002E-2</v>
      </c>
      <c r="F108" s="33"/>
    </row>
    <row r="109" spans="1:6" ht="14.45" customHeight="1">
      <c r="A109" s="33"/>
      <c r="B109" s="97" t="s">
        <v>122</v>
      </c>
      <c r="C109" s="60" t="s">
        <v>127</v>
      </c>
      <c r="D109" s="61">
        <v>44</v>
      </c>
      <c r="E109" s="62">
        <v>5.0999999999999997E-2</v>
      </c>
      <c r="F109" s="33"/>
    </row>
    <row r="110" spans="1:6" ht="14.45" customHeight="1">
      <c r="A110" s="33"/>
      <c r="B110" s="98"/>
      <c r="C110" s="60" t="s">
        <v>128</v>
      </c>
      <c r="D110" s="61">
        <v>75</v>
      </c>
      <c r="E110" s="62">
        <v>8.6999999999999994E-2</v>
      </c>
      <c r="F110" s="33"/>
    </row>
    <row r="111" spans="1:6" ht="14.45" customHeight="1">
      <c r="A111" s="33"/>
      <c r="B111" s="99"/>
      <c r="C111" s="78" t="s">
        <v>227</v>
      </c>
      <c r="D111" s="76">
        <v>119</v>
      </c>
      <c r="E111" s="77">
        <v>0.13800000000000001</v>
      </c>
      <c r="F111" s="33"/>
    </row>
    <row r="112" spans="1:6" ht="14.45" customHeight="1">
      <c r="A112" s="33"/>
      <c r="B112" s="97" t="s">
        <v>123</v>
      </c>
      <c r="C112" s="60" t="s">
        <v>127</v>
      </c>
      <c r="D112" s="61">
        <v>4</v>
      </c>
      <c r="E112" s="62">
        <v>5.0000000000000001E-3</v>
      </c>
      <c r="F112" s="33"/>
    </row>
    <row r="113" spans="1:6" s="22" customFormat="1" ht="14.45" customHeight="1">
      <c r="A113" s="33"/>
      <c r="B113" s="98"/>
      <c r="C113" s="60" t="s">
        <v>128</v>
      </c>
      <c r="D113" s="61">
        <v>5</v>
      </c>
      <c r="E113" s="62">
        <v>6.0000000000000001E-3</v>
      </c>
      <c r="F113" s="48"/>
    </row>
    <row r="114" spans="1:6" s="22" customFormat="1" ht="14.45" customHeight="1">
      <c r="A114" s="33"/>
      <c r="B114" s="99"/>
      <c r="C114" s="78" t="s">
        <v>227</v>
      </c>
      <c r="D114" s="76">
        <v>9</v>
      </c>
      <c r="E114" s="77">
        <v>0.01</v>
      </c>
      <c r="F114" s="48"/>
    </row>
    <row r="115" spans="1:6" s="22" customFormat="1" ht="14.45" customHeight="1">
      <c r="A115" s="33"/>
      <c r="B115" s="97" t="s">
        <v>124</v>
      </c>
      <c r="C115" s="60" t="s">
        <v>127</v>
      </c>
      <c r="D115" s="61">
        <v>21</v>
      </c>
      <c r="E115" s="62">
        <v>2.4E-2</v>
      </c>
      <c r="F115" s="48"/>
    </row>
    <row r="116" spans="1:6" s="22" customFormat="1" ht="14.45" customHeight="1">
      <c r="A116" s="33"/>
      <c r="B116" s="98"/>
      <c r="C116" s="60" t="s">
        <v>128</v>
      </c>
      <c r="D116" s="61">
        <v>21</v>
      </c>
      <c r="E116" s="62">
        <v>2.4E-2</v>
      </c>
      <c r="F116" s="48"/>
    </row>
    <row r="117" spans="1:6" s="22" customFormat="1" ht="14.45" customHeight="1">
      <c r="A117" s="33"/>
      <c r="B117" s="99"/>
      <c r="C117" s="78" t="s">
        <v>227</v>
      </c>
      <c r="D117" s="76">
        <v>42</v>
      </c>
      <c r="E117" s="77">
        <v>4.9000000000000002E-2</v>
      </c>
      <c r="F117" s="48"/>
    </row>
    <row r="118" spans="1:6" ht="14.45" customHeight="1">
      <c r="A118" s="33"/>
      <c r="B118" s="97" t="s">
        <v>53</v>
      </c>
      <c r="C118" s="60" t="s">
        <v>127</v>
      </c>
      <c r="D118" s="61">
        <v>7</v>
      </c>
      <c r="E118" s="62">
        <v>8.0000000000000002E-3</v>
      </c>
      <c r="F118" s="33"/>
    </row>
    <row r="119" spans="1:6" ht="14.45" customHeight="1">
      <c r="A119" s="33"/>
      <c r="B119" s="98"/>
      <c r="C119" s="60" t="s">
        <v>128</v>
      </c>
      <c r="D119" s="61">
        <v>6</v>
      </c>
      <c r="E119" s="62">
        <v>7.0000000000000001E-3</v>
      </c>
      <c r="F119" s="33"/>
    </row>
    <row r="120" spans="1:6" ht="14.45" customHeight="1">
      <c r="A120" s="33"/>
      <c r="B120" s="99"/>
      <c r="C120" s="78" t="s">
        <v>227</v>
      </c>
      <c r="D120" s="76">
        <v>13</v>
      </c>
      <c r="E120" s="77">
        <v>1.4999999999999999E-2</v>
      </c>
      <c r="F120" s="33"/>
    </row>
    <row r="121" spans="1:6" ht="14.45" customHeight="1">
      <c r="A121" s="33"/>
      <c r="B121" s="97" t="s">
        <v>125</v>
      </c>
      <c r="C121" s="60" t="s">
        <v>128</v>
      </c>
      <c r="D121" s="61">
        <v>1</v>
      </c>
      <c r="E121" s="62">
        <v>1E-3</v>
      </c>
      <c r="F121" s="33"/>
    </row>
    <row r="122" spans="1:6" ht="14.45" customHeight="1">
      <c r="A122" s="33"/>
      <c r="B122" s="99"/>
      <c r="C122" s="78" t="s">
        <v>227</v>
      </c>
      <c r="D122" s="76">
        <v>1</v>
      </c>
      <c r="E122" s="77">
        <v>1E-3</v>
      </c>
      <c r="F122" s="33"/>
    </row>
    <row r="123" spans="1:6" ht="14.45" customHeight="1">
      <c r="A123" s="33"/>
      <c r="B123" s="97" t="s">
        <v>126</v>
      </c>
      <c r="C123" s="60" t="s">
        <v>127</v>
      </c>
      <c r="D123" s="61">
        <v>2</v>
      </c>
      <c r="E123" s="62">
        <v>2E-3</v>
      </c>
      <c r="F123" s="33"/>
    </row>
    <row r="124" spans="1:6" ht="14.45" customHeight="1">
      <c r="A124" s="33"/>
      <c r="B124" s="98"/>
      <c r="C124" s="60" t="s">
        <v>128</v>
      </c>
      <c r="D124" s="61">
        <v>6</v>
      </c>
      <c r="E124" s="62">
        <v>7.0000000000000001E-3</v>
      </c>
      <c r="F124" s="33"/>
    </row>
    <row r="125" spans="1:6" ht="14.45" customHeight="1">
      <c r="A125" s="33"/>
      <c r="B125" s="99"/>
      <c r="C125" s="78" t="s">
        <v>227</v>
      </c>
      <c r="D125" s="76">
        <v>8</v>
      </c>
      <c r="E125" s="77">
        <v>8.9999999999999993E-3</v>
      </c>
      <c r="F125" s="33"/>
    </row>
    <row r="126" spans="1:6" ht="14.45" customHeight="1">
      <c r="A126" s="33"/>
      <c r="B126" s="101" t="s">
        <v>227</v>
      </c>
      <c r="C126" s="101"/>
      <c r="D126" s="64">
        <v>860</v>
      </c>
      <c r="E126" s="65">
        <v>1</v>
      </c>
      <c r="F126" s="33"/>
    </row>
    <row r="127" spans="1:6" ht="14.45" customHeight="1">
      <c r="A127" s="33"/>
      <c r="B127" s="58"/>
      <c r="C127" s="48"/>
      <c r="D127" s="57"/>
      <c r="E127" s="48"/>
      <c r="F127" s="33"/>
    </row>
    <row r="128" spans="1:6" ht="14.45" customHeight="1">
      <c r="A128" s="33"/>
      <c r="B128" s="38" t="s">
        <v>189</v>
      </c>
      <c r="C128" s="48"/>
      <c r="D128" s="57"/>
      <c r="E128" s="48"/>
      <c r="F128" s="33"/>
    </row>
    <row r="129" spans="1:6" ht="14.45" customHeight="1">
      <c r="A129" s="33"/>
      <c r="B129" s="40" t="s">
        <v>18</v>
      </c>
      <c r="C129" s="48"/>
      <c r="D129" s="57"/>
      <c r="E129" s="48"/>
      <c r="F129" s="33"/>
    </row>
    <row r="130" spans="1:6" ht="14.45" customHeight="1">
      <c r="A130" s="33"/>
      <c r="B130" s="41" t="s">
        <v>46</v>
      </c>
      <c r="C130" s="48"/>
      <c r="D130" s="57"/>
      <c r="E130" s="48"/>
      <c r="F130" s="33"/>
    </row>
    <row r="131" spans="1:6" ht="14.45" customHeight="1">
      <c r="A131" s="33"/>
      <c r="B131" s="38" t="s">
        <v>17</v>
      </c>
      <c r="C131" s="48"/>
      <c r="D131" s="57"/>
      <c r="E131" s="48"/>
      <c r="F131" s="33"/>
    </row>
    <row r="132" spans="1:6" ht="14.45" customHeight="1">
      <c r="A132" s="33"/>
      <c r="B132" s="38" t="s">
        <v>228</v>
      </c>
      <c r="C132" s="48"/>
      <c r="D132" s="57"/>
      <c r="E132" s="48"/>
      <c r="F132" s="33"/>
    </row>
  </sheetData>
  <mergeCells count="42">
    <mergeCell ref="B41:B43"/>
    <mergeCell ref="B44:B46"/>
    <mergeCell ref="B47:B49"/>
    <mergeCell ref="B50:B52"/>
    <mergeCell ref="B8:E10"/>
    <mergeCell ref="B13:B15"/>
    <mergeCell ref="B16:B18"/>
    <mergeCell ref="B19:B21"/>
    <mergeCell ref="B22:B24"/>
    <mergeCell ref="B25:B27"/>
    <mergeCell ref="B28:B29"/>
    <mergeCell ref="B30:B31"/>
    <mergeCell ref="B32:B34"/>
    <mergeCell ref="B35:B37"/>
    <mergeCell ref="B38:B40"/>
    <mergeCell ref="B53:B55"/>
    <mergeCell ref="B56:B58"/>
    <mergeCell ref="B59:B60"/>
    <mergeCell ref="B61:B63"/>
    <mergeCell ref="B64:B66"/>
    <mergeCell ref="B118:B120"/>
    <mergeCell ref="B67:B69"/>
    <mergeCell ref="B70:B72"/>
    <mergeCell ref="B73:B75"/>
    <mergeCell ref="B76:B78"/>
    <mergeCell ref="B79:B80"/>
    <mergeCell ref="B121:B122"/>
    <mergeCell ref="B126:C126"/>
    <mergeCell ref="B81:B83"/>
    <mergeCell ref="B84:B85"/>
    <mergeCell ref="B86:B88"/>
    <mergeCell ref="B89:B91"/>
    <mergeCell ref="B92:B94"/>
    <mergeCell ref="B95:B97"/>
    <mergeCell ref="B98:B100"/>
    <mergeCell ref="B101:B102"/>
    <mergeCell ref="B103:B105"/>
    <mergeCell ref="B106:B108"/>
    <mergeCell ref="B123:B125"/>
    <mergeCell ref="B109:B111"/>
    <mergeCell ref="B112:B114"/>
    <mergeCell ref="B115:B117"/>
  </mergeCells>
  <printOptions horizontalCentered="1"/>
  <pageMargins left="0.74803149606299213" right="0.74803149606299213" top="0.98425196850393704" bottom="0.98425196850393704" header="0.51181102362204722" footer="0.51181102362204722"/>
  <pageSetup scale="57" orientation="portrait" r:id="rId1"/>
  <headerFooter>
    <oddFooter>&amp;C&amp;P de &amp;N</oddFooter>
  </headerFooter>
  <rowBreaks count="1" manualBreakCount="1">
    <brk id="72" max="5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3"/>
  <sheetViews>
    <sheetView showGridLines="0" view="pageBreakPreview" zoomScaleNormal="100" zoomScaleSheetLayoutView="100" workbookViewId="0">
      <selection activeCell="J19" sqref="J19"/>
    </sheetView>
  </sheetViews>
  <sheetFormatPr baseColWidth="10" defaultColWidth="11.42578125" defaultRowHeight="11.25"/>
  <cols>
    <col min="1" max="1" width="5.7109375" style="15" customWidth="1"/>
    <col min="2" max="2" width="19" style="22" customWidth="1"/>
    <col min="3" max="3" width="28.28515625" style="22" customWidth="1"/>
    <col min="4" max="4" width="17.140625" style="25" customWidth="1"/>
    <col min="5" max="5" width="16.5703125" style="25" customWidth="1"/>
    <col min="6" max="6" width="16.5703125" style="22" customWidth="1"/>
    <col min="7" max="7" width="5.7109375" style="15" customWidth="1"/>
    <col min="8" max="16384" width="11.42578125" style="15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5"/>
      <c r="E3" s="15"/>
      <c r="G3" s="22"/>
    </row>
    <row r="4" spans="1:7" ht="30" customHeight="1">
      <c r="B4" s="28"/>
      <c r="C4" s="18"/>
      <c r="D4" s="15"/>
      <c r="E4" s="15"/>
      <c r="G4" s="22"/>
    </row>
    <row r="5" spans="1:7" ht="15" customHeight="1">
      <c r="B5" s="28"/>
      <c r="C5" s="18"/>
      <c r="D5" s="15"/>
      <c r="E5" s="15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7"/>
      <c r="B8" s="96" t="s">
        <v>33</v>
      </c>
      <c r="C8" s="96"/>
      <c r="D8" s="96"/>
      <c r="E8" s="96"/>
      <c r="F8" s="96"/>
      <c r="G8" s="37"/>
    </row>
    <row r="9" spans="1:7" s="13" customFormat="1" ht="15" customHeight="1">
      <c r="A9" s="37"/>
      <c r="B9" s="96"/>
      <c r="C9" s="96"/>
      <c r="D9" s="96"/>
      <c r="E9" s="96"/>
      <c r="F9" s="96"/>
      <c r="G9" s="55"/>
    </row>
    <row r="10" spans="1:7" s="13" customFormat="1" ht="15" customHeight="1">
      <c r="A10" s="37"/>
      <c r="B10" s="96"/>
      <c r="C10" s="96"/>
      <c r="D10" s="96"/>
      <c r="E10" s="96"/>
      <c r="F10" s="96"/>
      <c r="G10" s="37"/>
    </row>
    <row r="11" spans="1:7" s="13" customFormat="1" ht="15" customHeight="1">
      <c r="A11" s="37"/>
      <c r="B11" s="56"/>
      <c r="C11" s="56"/>
      <c r="D11" s="56"/>
      <c r="E11" s="56"/>
      <c r="F11" s="56"/>
      <c r="G11" s="37"/>
    </row>
    <row r="12" spans="1:7" s="13" customFormat="1" ht="42.6" customHeight="1">
      <c r="A12" s="37"/>
      <c r="B12" s="59" t="s">
        <v>29</v>
      </c>
      <c r="C12" s="59" t="s">
        <v>32</v>
      </c>
      <c r="D12" s="59" t="s">
        <v>20</v>
      </c>
      <c r="E12" s="59" t="s">
        <v>31</v>
      </c>
      <c r="F12" s="59" t="s">
        <v>30</v>
      </c>
      <c r="G12" s="37"/>
    </row>
    <row r="13" spans="1:7" ht="14.45" customHeight="1">
      <c r="A13" s="33"/>
      <c r="B13" s="104" t="s">
        <v>215</v>
      </c>
      <c r="C13" s="66" t="s">
        <v>214</v>
      </c>
      <c r="D13" s="67">
        <v>2</v>
      </c>
      <c r="E13" s="68">
        <f>D13/$D$19</f>
        <v>6.7340067340067337E-3</v>
      </c>
      <c r="F13" s="68">
        <v>2.3255813953489998E-3</v>
      </c>
      <c r="G13" s="33"/>
    </row>
    <row r="14" spans="1:7" ht="14.45" customHeight="1">
      <c r="A14" s="33"/>
      <c r="B14" s="105"/>
      <c r="C14" s="66" t="s">
        <v>161</v>
      </c>
      <c r="D14" s="67">
        <v>96</v>
      </c>
      <c r="E14" s="68">
        <f t="shared" ref="E14:E18" si="0">D14/$D$19</f>
        <v>0.32323232323232326</v>
      </c>
      <c r="F14" s="68">
        <v>0.111627906976744</v>
      </c>
      <c r="G14" s="33"/>
    </row>
    <row r="15" spans="1:7" ht="14.45" customHeight="1">
      <c r="A15" s="33"/>
      <c r="B15" s="105"/>
      <c r="C15" s="66" t="s">
        <v>162</v>
      </c>
      <c r="D15" s="67">
        <v>120</v>
      </c>
      <c r="E15" s="68">
        <f t="shared" si="0"/>
        <v>0.40404040404040403</v>
      </c>
      <c r="F15" s="68">
        <v>0.13953488372093001</v>
      </c>
      <c r="G15" s="33"/>
    </row>
    <row r="16" spans="1:7" ht="14.45" customHeight="1">
      <c r="A16" s="33"/>
      <c r="B16" s="105"/>
      <c r="C16" s="66" t="s">
        <v>163</v>
      </c>
      <c r="D16" s="67">
        <v>53</v>
      </c>
      <c r="E16" s="68">
        <f t="shared" si="0"/>
        <v>0.17845117845117844</v>
      </c>
      <c r="F16" s="68">
        <v>6.1627906976744001E-2</v>
      </c>
      <c r="G16" s="33"/>
    </row>
    <row r="17" spans="1:7" ht="14.45" customHeight="1">
      <c r="A17" s="33"/>
      <c r="B17" s="105"/>
      <c r="C17" s="66" t="s">
        <v>164</v>
      </c>
      <c r="D17" s="67">
        <v>25</v>
      </c>
      <c r="E17" s="68">
        <f t="shared" si="0"/>
        <v>8.4175084175084181E-2</v>
      </c>
      <c r="F17" s="68">
        <v>2.906976744186E-2</v>
      </c>
      <c r="G17" s="33"/>
    </row>
    <row r="18" spans="1:7" ht="14.45" customHeight="1">
      <c r="A18" s="33"/>
      <c r="B18" s="105"/>
      <c r="C18" s="66" t="s">
        <v>165</v>
      </c>
      <c r="D18" s="67">
        <v>1</v>
      </c>
      <c r="E18" s="68">
        <f t="shared" si="0"/>
        <v>3.3670033670033669E-3</v>
      </c>
      <c r="F18" s="68">
        <v>1.1627906976740001E-3</v>
      </c>
      <c r="G18" s="33"/>
    </row>
    <row r="19" spans="1:7" ht="14.45" customHeight="1">
      <c r="A19" s="33"/>
      <c r="B19" s="106"/>
      <c r="C19" s="81" t="s">
        <v>227</v>
      </c>
      <c r="D19" s="80">
        <v>297</v>
      </c>
      <c r="E19" s="82"/>
      <c r="F19" s="82">
        <v>0.34534883720930198</v>
      </c>
      <c r="G19" s="33"/>
    </row>
    <row r="20" spans="1:7" ht="14.45" customHeight="1">
      <c r="A20" s="33"/>
      <c r="B20" s="104" t="s">
        <v>216</v>
      </c>
      <c r="C20" s="66" t="s">
        <v>160</v>
      </c>
      <c r="D20" s="67">
        <v>4</v>
      </c>
      <c r="E20" s="68">
        <f>D20/$D$26</f>
        <v>7.104795737122558E-3</v>
      </c>
      <c r="F20" s="68">
        <v>4.6511627906979996E-3</v>
      </c>
      <c r="G20" s="33"/>
    </row>
    <row r="21" spans="1:7" ht="14.45" customHeight="1">
      <c r="A21" s="33"/>
      <c r="B21" s="105"/>
      <c r="C21" s="66" t="s">
        <v>161</v>
      </c>
      <c r="D21" s="67">
        <v>178</v>
      </c>
      <c r="E21" s="68">
        <f t="shared" ref="E21:E25" si="1">D21/$D$26</f>
        <v>0.31616341030195383</v>
      </c>
      <c r="F21" s="68">
        <v>0.206976744186047</v>
      </c>
      <c r="G21" s="33"/>
    </row>
    <row r="22" spans="1:7" ht="14.45" customHeight="1">
      <c r="A22" s="33"/>
      <c r="B22" s="105"/>
      <c r="C22" s="66" t="s">
        <v>162</v>
      </c>
      <c r="D22" s="67">
        <v>248</v>
      </c>
      <c r="E22" s="68">
        <f t="shared" si="1"/>
        <v>0.4404973357015986</v>
      </c>
      <c r="F22" s="68">
        <v>0.288372093023256</v>
      </c>
      <c r="G22" s="33"/>
    </row>
    <row r="23" spans="1:7" ht="14.45" customHeight="1">
      <c r="A23" s="33"/>
      <c r="B23" s="105"/>
      <c r="C23" s="66" t="s">
        <v>163</v>
      </c>
      <c r="D23" s="67">
        <v>108</v>
      </c>
      <c r="E23" s="68">
        <f t="shared" si="1"/>
        <v>0.19182948490230906</v>
      </c>
      <c r="F23" s="68">
        <v>0.125581395348837</v>
      </c>
      <c r="G23" s="33"/>
    </row>
    <row r="24" spans="1:7" ht="14.45" customHeight="1">
      <c r="A24" s="33"/>
      <c r="B24" s="105"/>
      <c r="C24" s="66" t="s">
        <v>164</v>
      </c>
      <c r="D24" s="67">
        <v>24</v>
      </c>
      <c r="E24" s="68">
        <f t="shared" si="1"/>
        <v>4.2628774422735348E-2</v>
      </c>
      <c r="F24" s="68">
        <v>2.7906976744186001E-2</v>
      </c>
      <c r="G24" s="33"/>
    </row>
    <row r="25" spans="1:7" ht="14.45" customHeight="1">
      <c r="A25" s="33"/>
      <c r="B25" s="105"/>
      <c r="C25" s="66" t="s">
        <v>166</v>
      </c>
      <c r="D25" s="67">
        <v>1</v>
      </c>
      <c r="E25" s="68">
        <f t="shared" si="1"/>
        <v>1.7761989342806395E-3</v>
      </c>
      <c r="F25" s="68">
        <v>1.1627906976740001E-3</v>
      </c>
      <c r="G25" s="33"/>
    </row>
    <row r="26" spans="1:7" ht="14.45" customHeight="1">
      <c r="A26" s="33"/>
      <c r="B26" s="106"/>
      <c r="C26" s="81" t="s">
        <v>227</v>
      </c>
      <c r="D26" s="80">
        <v>563</v>
      </c>
      <c r="E26" s="82"/>
      <c r="F26" s="82">
        <v>0.65465116279069802</v>
      </c>
      <c r="G26" s="33"/>
    </row>
    <row r="27" spans="1:7" ht="14.45" customHeight="1">
      <c r="A27" s="33"/>
      <c r="B27" s="107" t="s">
        <v>231</v>
      </c>
      <c r="C27" s="108"/>
      <c r="D27" s="70">
        <v>860</v>
      </c>
      <c r="E27" s="71">
        <v>1</v>
      </c>
      <c r="F27" s="79"/>
      <c r="G27" s="33"/>
    </row>
    <row r="28" spans="1:7" ht="14.45" customHeight="1">
      <c r="A28" s="33"/>
      <c r="B28" s="38"/>
      <c r="C28" s="48"/>
      <c r="D28" s="57"/>
      <c r="E28" s="57"/>
      <c r="F28" s="48"/>
      <c r="G28" s="33"/>
    </row>
    <row r="29" spans="1:7" ht="14.45" customHeight="1">
      <c r="A29" s="33"/>
      <c r="B29" s="38" t="s">
        <v>189</v>
      </c>
      <c r="C29" s="48"/>
      <c r="D29" s="57"/>
      <c r="E29" s="57"/>
      <c r="F29" s="48"/>
      <c r="G29" s="33"/>
    </row>
    <row r="30" spans="1:7" ht="14.45" customHeight="1">
      <c r="A30" s="33"/>
      <c r="B30" s="40" t="s">
        <v>18</v>
      </c>
      <c r="C30" s="48"/>
      <c r="D30" s="57"/>
      <c r="E30" s="57"/>
      <c r="F30" s="48"/>
      <c r="G30" s="33"/>
    </row>
    <row r="31" spans="1:7" ht="14.45" customHeight="1">
      <c r="A31" s="33"/>
      <c r="B31" s="41" t="s">
        <v>46</v>
      </c>
      <c r="C31" s="48"/>
      <c r="D31" s="57"/>
      <c r="E31" s="57"/>
      <c r="F31" s="48"/>
      <c r="G31" s="33"/>
    </row>
    <row r="32" spans="1:7" ht="14.45" customHeight="1">
      <c r="A32" s="33"/>
      <c r="B32" s="38" t="s">
        <v>17</v>
      </c>
      <c r="C32" s="48"/>
      <c r="D32" s="57"/>
      <c r="E32" s="57"/>
      <c r="F32" s="48"/>
      <c r="G32" s="33"/>
    </row>
    <row r="33" spans="1:7" ht="14.45" customHeight="1">
      <c r="A33" s="33"/>
      <c r="B33" s="38" t="s">
        <v>228</v>
      </c>
      <c r="C33" s="48"/>
      <c r="D33" s="57"/>
      <c r="E33" s="57"/>
      <c r="F33" s="48"/>
      <c r="G33" s="33"/>
    </row>
  </sheetData>
  <mergeCells count="4">
    <mergeCell ref="B8:F10"/>
    <mergeCell ref="B13:B19"/>
    <mergeCell ref="B20:B26"/>
    <mergeCell ref="B27:C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48"/>
  <sheetViews>
    <sheetView showGridLines="0" view="pageBreakPreview" zoomScale="130" zoomScaleNormal="100" zoomScaleSheetLayoutView="130" workbookViewId="0">
      <selection activeCell="H9" sqref="H9"/>
    </sheetView>
  </sheetViews>
  <sheetFormatPr baseColWidth="10" defaultColWidth="11.42578125" defaultRowHeight="15"/>
  <cols>
    <col min="1" max="1" width="4.7109375" style="13" customWidth="1"/>
    <col min="2" max="2" width="44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15" customFormat="1" ht="15" customHeight="1">
      <c r="C1" s="18"/>
    </row>
    <row r="2" spans="2:4" s="15" customFormat="1" ht="15" customHeight="1">
      <c r="C2" s="18"/>
    </row>
    <row r="3" spans="2:4" s="15" customFormat="1" ht="15" customHeight="1">
      <c r="C3" s="18"/>
    </row>
    <row r="4" spans="2:4" s="15" customFormat="1" ht="30" customHeight="1">
      <c r="C4" s="18"/>
      <c r="D4" s="17"/>
    </row>
    <row r="5" spans="2:4" s="15" customFormat="1" ht="15" customHeight="1">
      <c r="C5" s="18"/>
      <c r="D5" s="17"/>
    </row>
    <row r="6" spans="2:4" s="15" customFormat="1" ht="15" customHeight="1">
      <c r="C6" s="18"/>
      <c r="D6" s="17"/>
    </row>
    <row r="7" spans="2:4" s="15" customFormat="1" ht="15" customHeight="1">
      <c r="B7" s="96" t="s">
        <v>186</v>
      </c>
      <c r="C7" s="109"/>
      <c r="D7" s="109"/>
    </row>
    <row r="8" spans="2:4" s="15" customFormat="1" ht="15" customHeight="1">
      <c r="B8" s="109"/>
      <c r="C8" s="109"/>
      <c r="D8" s="109"/>
    </row>
    <row r="9" spans="2:4" s="15" customFormat="1" ht="33" customHeight="1">
      <c r="B9" s="109"/>
      <c r="C9" s="109"/>
      <c r="D9" s="109"/>
    </row>
    <row r="10" spans="2:4" s="15" customFormat="1" ht="4.5" customHeight="1">
      <c r="B10" s="16"/>
      <c r="C10" s="16"/>
      <c r="D10" s="16"/>
    </row>
    <row r="11" spans="2:4" s="15" customFormat="1" ht="33" customHeight="1">
      <c r="B11" s="85" t="s">
        <v>34</v>
      </c>
      <c r="C11" s="86" t="s">
        <v>20</v>
      </c>
      <c r="D11" s="85" t="s">
        <v>19</v>
      </c>
    </row>
    <row r="12" spans="2:4" s="32" customFormat="1" ht="15" customHeight="1">
      <c r="B12" s="60" t="s">
        <v>167</v>
      </c>
      <c r="C12" s="61">
        <v>532</v>
      </c>
      <c r="D12" s="62">
        <v>0.61899999999999999</v>
      </c>
    </row>
    <row r="13" spans="2:4" s="32" customFormat="1" ht="15" customHeight="1">
      <c r="B13" s="60" t="s">
        <v>168</v>
      </c>
      <c r="C13" s="61">
        <v>116</v>
      </c>
      <c r="D13" s="62">
        <v>0.13500000000000001</v>
      </c>
    </row>
    <row r="14" spans="2:4" s="32" customFormat="1" ht="15" customHeight="1">
      <c r="B14" s="60" t="s">
        <v>169</v>
      </c>
      <c r="C14" s="61">
        <v>70</v>
      </c>
      <c r="D14" s="62">
        <v>8.1000000000000003E-2</v>
      </c>
    </row>
    <row r="15" spans="2:4" s="32" customFormat="1" ht="15" customHeight="1">
      <c r="B15" s="60" t="s">
        <v>171</v>
      </c>
      <c r="C15" s="61">
        <v>28</v>
      </c>
      <c r="D15" s="62">
        <v>3.3000000000000002E-2</v>
      </c>
    </row>
    <row r="16" spans="2:4" s="32" customFormat="1" ht="15" customHeight="1">
      <c r="B16" s="60" t="s">
        <v>170</v>
      </c>
      <c r="C16" s="61">
        <v>24</v>
      </c>
      <c r="D16" s="62">
        <v>2.8000000000000001E-2</v>
      </c>
    </row>
    <row r="17" spans="2:4" s="32" customFormat="1" ht="15" customHeight="1">
      <c r="B17" s="60" t="s">
        <v>175</v>
      </c>
      <c r="C17" s="61">
        <v>16</v>
      </c>
      <c r="D17" s="62">
        <v>1.9E-2</v>
      </c>
    </row>
    <row r="18" spans="2:4" s="32" customFormat="1" ht="15" customHeight="1">
      <c r="B18" s="60" t="s">
        <v>172</v>
      </c>
      <c r="C18" s="61">
        <v>15</v>
      </c>
      <c r="D18" s="62">
        <v>1.7000000000000001E-2</v>
      </c>
    </row>
    <row r="19" spans="2:4" s="32" customFormat="1" ht="15" customHeight="1">
      <c r="B19" s="60" t="s">
        <v>174</v>
      </c>
      <c r="C19" s="61">
        <v>12</v>
      </c>
      <c r="D19" s="62">
        <v>1.4E-2</v>
      </c>
    </row>
    <row r="20" spans="2:4" s="32" customFormat="1" ht="15" customHeight="1">
      <c r="B20" s="60" t="s">
        <v>177</v>
      </c>
      <c r="C20" s="61">
        <v>8</v>
      </c>
      <c r="D20" s="62">
        <v>8.9999999999999993E-3</v>
      </c>
    </row>
    <row r="21" spans="2:4" s="32" customFormat="1" ht="15" customHeight="1">
      <c r="B21" s="60" t="s">
        <v>173</v>
      </c>
      <c r="C21" s="61">
        <v>6</v>
      </c>
      <c r="D21" s="62">
        <v>7.0000000000000001E-3</v>
      </c>
    </row>
    <row r="22" spans="2:4" s="32" customFormat="1" ht="15" customHeight="1">
      <c r="B22" s="60" t="s">
        <v>217</v>
      </c>
      <c r="C22" s="61">
        <v>4</v>
      </c>
      <c r="D22" s="62">
        <v>5.0000000000000001E-3</v>
      </c>
    </row>
    <row r="23" spans="2:4" s="32" customFormat="1" ht="15" customHeight="1">
      <c r="B23" s="60" t="s">
        <v>176</v>
      </c>
      <c r="C23" s="61">
        <v>3</v>
      </c>
      <c r="D23" s="62">
        <v>3.0000000000000001E-3</v>
      </c>
    </row>
    <row r="24" spans="2:4" s="32" customFormat="1" ht="15" customHeight="1">
      <c r="B24" s="60" t="s">
        <v>218</v>
      </c>
      <c r="C24" s="61">
        <v>3</v>
      </c>
      <c r="D24" s="62">
        <v>3.0000000000000001E-3</v>
      </c>
    </row>
    <row r="25" spans="2:4" s="32" customFormat="1" ht="15" customHeight="1">
      <c r="B25" s="60" t="s">
        <v>182</v>
      </c>
      <c r="C25" s="61">
        <v>2</v>
      </c>
      <c r="D25" s="62">
        <v>2E-3</v>
      </c>
    </row>
    <row r="26" spans="2:4" s="32" customFormat="1" ht="15" customHeight="1">
      <c r="B26" s="60" t="s">
        <v>219</v>
      </c>
      <c r="C26" s="61">
        <v>2</v>
      </c>
      <c r="D26" s="62">
        <v>2E-3</v>
      </c>
    </row>
    <row r="27" spans="2:4" s="32" customFormat="1" ht="15" customHeight="1">
      <c r="B27" s="60" t="s">
        <v>178</v>
      </c>
      <c r="C27" s="61">
        <v>2</v>
      </c>
      <c r="D27" s="62">
        <v>2E-3</v>
      </c>
    </row>
    <row r="28" spans="2:4" s="32" customFormat="1" ht="15" customHeight="1">
      <c r="B28" s="60" t="s">
        <v>179</v>
      </c>
      <c r="C28" s="61">
        <v>2</v>
      </c>
      <c r="D28" s="62">
        <v>2E-3</v>
      </c>
    </row>
    <row r="29" spans="2:4" s="32" customFormat="1" ht="15" customHeight="1">
      <c r="B29" s="60" t="s">
        <v>213</v>
      </c>
      <c r="C29" s="61">
        <v>2</v>
      </c>
      <c r="D29" s="62">
        <v>2E-3</v>
      </c>
    </row>
    <row r="30" spans="2:4" s="32" customFormat="1" ht="15" customHeight="1">
      <c r="B30" s="60" t="s">
        <v>183</v>
      </c>
      <c r="C30" s="61">
        <v>2</v>
      </c>
      <c r="D30" s="62">
        <v>2E-3</v>
      </c>
    </row>
    <row r="31" spans="2:4" s="32" customFormat="1" ht="15" customHeight="1">
      <c r="B31" s="60" t="s">
        <v>220</v>
      </c>
      <c r="C31" s="61">
        <v>1</v>
      </c>
      <c r="D31" s="62">
        <v>1E-3</v>
      </c>
    </row>
    <row r="32" spans="2:4" s="32" customFormat="1" ht="15" customHeight="1">
      <c r="B32" s="60" t="s">
        <v>180</v>
      </c>
      <c r="C32" s="61">
        <v>1</v>
      </c>
      <c r="D32" s="62">
        <v>1E-3</v>
      </c>
    </row>
    <row r="33" spans="2:4" s="32" customFormat="1" ht="15" customHeight="1">
      <c r="B33" s="60" t="s">
        <v>221</v>
      </c>
      <c r="C33" s="61">
        <v>1</v>
      </c>
      <c r="D33" s="62">
        <v>1E-3</v>
      </c>
    </row>
    <row r="34" spans="2:4" s="32" customFormat="1" ht="15" customHeight="1">
      <c r="B34" s="60" t="s">
        <v>222</v>
      </c>
      <c r="C34" s="61">
        <v>1</v>
      </c>
      <c r="D34" s="62">
        <v>1E-3</v>
      </c>
    </row>
    <row r="35" spans="2:4" s="32" customFormat="1" ht="15" customHeight="1">
      <c r="B35" s="60" t="s">
        <v>223</v>
      </c>
      <c r="C35" s="61">
        <v>1</v>
      </c>
      <c r="D35" s="62">
        <v>1E-3</v>
      </c>
    </row>
    <row r="36" spans="2:4" s="32" customFormat="1" ht="15" customHeight="1">
      <c r="B36" s="60" t="s">
        <v>224</v>
      </c>
      <c r="C36" s="61">
        <v>1</v>
      </c>
      <c r="D36" s="62">
        <v>1E-3</v>
      </c>
    </row>
    <row r="37" spans="2:4" ht="15" customHeight="1">
      <c r="B37" s="60" t="s">
        <v>225</v>
      </c>
      <c r="C37" s="61">
        <v>1</v>
      </c>
      <c r="D37" s="62">
        <v>1E-3</v>
      </c>
    </row>
    <row r="38" spans="2:4" ht="15" customHeight="1">
      <c r="B38" s="60" t="s">
        <v>184</v>
      </c>
      <c r="C38" s="61">
        <v>1</v>
      </c>
      <c r="D38" s="62">
        <v>1E-3</v>
      </c>
    </row>
    <row r="39" spans="2:4" ht="15" customHeight="1">
      <c r="B39" s="60" t="s">
        <v>226</v>
      </c>
      <c r="C39" s="61">
        <v>1</v>
      </c>
      <c r="D39" s="62">
        <v>1E-3</v>
      </c>
    </row>
    <row r="40" spans="2:4" ht="15" customHeight="1">
      <c r="B40" s="60" t="s">
        <v>181</v>
      </c>
      <c r="C40" s="61">
        <v>1</v>
      </c>
      <c r="D40" s="62">
        <v>1E-3</v>
      </c>
    </row>
    <row r="41" spans="2:4" ht="15" customHeight="1">
      <c r="B41" s="60" t="s">
        <v>185</v>
      </c>
      <c r="C41" s="61">
        <v>1</v>
      </c>
      <c r="D41" s="62">
        <v>1E-3</v>
      </c>
    </row>
    <row r="42" spans="2:4" ht="15" customHeight="1">
      <c r="B42" s="63" t="s">
        <v>227</v>
      </c>
      <c r="C42" s="64">
        <v>860</v>
      </c>
      <c r="D42" s="65">
        <v>1</v>
      </c>
    </row>
    <row r="44" spans="2:4">
      <c r="B44" s="38" t="s">
        <v>189</v>
      </c>
    </row>
    <row r="45" spans="2:4">
      <c r="B45" s="84" t="s">
        <v>18</v>
      </c>
    </row>
    <row r="46" spans="2:4">
      <c r="B46" s="41" t="s">
        <v>46</v>
      </c>
    </row>
    <row r="47" spans="2:4">
      <c r="B47" s="38" t="s">
        <v>17</v>
      </c>
    </row>
    <row r="48" spans="2:4">
      <c r="B48" s="83" t="s">
        <v>228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Roo_GENERO_EUA</vt:lpstr>
      <vt:lpstr>Quintana Roo_Gen_Edad</vt:lpstr>
      <vt:lpstr>Quintana Roo_ocup_gral</vt:lpstr>
      <vt:lpstr>'Quintana Roo_EdoMun'!Área_de_impresión</vt:lpstr>
      <vt:lpstr>'Quintana Roo_EdoUsa'!Área_de_impresión</vt:lpstr>
      <vt:lpstr>'Quintana Roo_educ_gral'!Área_de_impresión</vt:lpstr>
      <vt:lpstr>'Quintana Roo_EducCons'!Área_de_impresión</vt:lpstr>
      <vt:lpstr>'Quintana Roo_GENERO'!Área_de_impresión</vt:lpstr>
      <vt:lpstr>'Quintana Roo_GENERO_EUA'!Área_de_impresión</vt:lpstr>
      <vt:lpstr>'Quintana Roo_MUNICIPIO'!Área_de_impresión</vt:lpstr>
      <vt:lpstr>'Quintana Roo_NivelE_Cons'!Área_de_impresión</vt:lpstr>
      <vt:lpstr>'Quintana Roo_ocup_gral'!Área_de_impresión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Roo_GENERO_EUA'!Títulos_a_imprimir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2025-02-18T16:48:28Z</cp:lastPrinted>
  <dcterms:created xsi:type="dcterms:W3CDTF">2020-06-03T23:03:53Z</dcterms:created>
  <dcterms:modified xsi:type="dcterms:W3CDTF">2025-08-22T20:42:29Z</dcterms:modified>
</cp:coreProperties>
</file>