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19\Tablas_estadísticas 2019\República Mexicana\Finales_RM (F)\"/>
    </mc:Choice>
  </mc:AlternateContent>
  <bookViews>
    <workbookView xWindow="240" yWindow="60" windowWidth="20115" windowHeight="8010" firstSheet="12" activeTab="13"/>
  </bookViews>
  <sheets>
    <sheet name="Índice" sheetId="1" r:id="rId1"/>
    <sheet name="San Luis Potosí_EdoUsa" sheetId="2" r:id="rId2"/>
    <sheet name="San Luis Potosí_Cons" sheetId="15" r:id="rId3"/>
    <sheet name="San Luis PotosíXCons" sheetId="16" r:id="rId4"/>
    <sheet name="San Luis Potosí_EdoMun" sheetId="5" r:id="rId5"/>
    <sheet name="San Luis Potosí_USAMuni" sheetId="6" r:id="rId6"/>
    <sheet name="San Luis Potosí_MUNICIPIO" sheetId="7" r:id="rId7"/>
    <sheet name="San Luis Potosí_educ_gral" sheetId="8" r:id="rId8"/>
    <sheet name="San Luis Potosí_NivelE_Cons" sheetId="9" r:id="rId9"/>
    <sheet name="San Luis Potosí_EducCons" sheetId="10" r:id="rId10"/>
    <sheet name="San Luis Potosí_GenGral" sheetId="11" r:id="rId11"/>
    <sheet name="San Luis Potosí_GENERO" sheetId="12" r:id="rId12"/>
    <sheet name="San Luis Potosí_Gen_Edad" sheetId="13" r:id="rId13"/>
    <sheet name="San Luis Potosí_ocup_gral" sheetId="14" r:id="rId14"/>
  </sheets>
  <definedNames>
    <definedName name="_xlnm._FilterDatabase" localSheetId="2" hidden="1">'San Luis Potosí_Cons'!$B$11:$D$12</definedName>
    <definedName name="_xlnm._FilterDatabase" localSheetId="4" hidden="1">'San Luis Potosí_EdoMun'!$B$11:$D$12</definedName>
    <definedName name="_xlnm._FilterDatabase" localSheetId="1" hidden="1">'San Luis Potosí_EdoUsa'!$B$11:$D$58</definedName>
    <definedName name="_xlnm._FilterDatabase" localSheetId="7" hidden="1">'San Luis Potosí_educ_gral'!$B$11:$D$12</definedName>
    <definedName name="_xlnm._FilterDatabase" localSheetId="9" hidden="1">'San Luis Potosí_EducCons'!$B$9:$E$13</definedName>
    <definedName name="_xlnm._FilterDatabase" localSheetId="11" hidden="1">'San Luis Potosí_GENERO'!$C$11:$E$155</definedName>
    <definedName name="_xlnm._FilterDatabase" localSheetId="10" hidden="1">'San Luis Potosí_GenGral'!$B$11:$D$12</definedName>
    <definedName name="_xlnm._FilterDatabase" localSheetId="6" hidden="1">'San Luis Potosí_MUNICIPIO'!$B$9:$E$9</definedName>
    <definedName name="_xlnm._FilterDatabase" localSheetId="8" hidden="1">'San Luis Potosí_NivelE_Cons'!$B$9:$E$12</definedName>
    <definedName name="_xlnm._FilterDatabase" localSheetId="13" hidden="1">'San Luis Potosí_ocup_gral'!$B$11:$D$12</definedName>
    <definedName name="_xlnm._FilterDatabase" localSheetId="5" hidden="1">'San Luis Potosí_USAMuni'!$B$9:$E$13</definedName>
    <definedName name="_xlnm._FilterDatabase" localSheetId="3" hidden="1">'San Luis PotosíXCons'!$B$11:$D$12</definedName>
    <definedName name="_xlnm.Print_Area" localSheetId="9">'San Luis Potosí_EducCons'!$A$1:$E$803</definedName>
    <definedName name="_xlnm.Print_Area" localSheetId="6">'San Luis Potosí_MUNICIPIO'!$A$1:$E$1626</definedName>
    <definedName name="_xlnm.Print_Area" localSheetId="8">'San Luis Potosí_NivelE_Cons'!$A$1:$E$681</definedName>
    <definedName name="_xlnm.Print_Area" localSheetId="5">'San Luis Potosí_USAMuni'!$A$1:$E$1336</definedName>
    <definedName name="_xlnm.Print_Titles" localSheetId="2">'San Luis Potosí_Cons'!$1:$11</definedName>
    <definedName name="_xlnm.Print_Titles" localSheetId="4">'San Luis Potosí_EdoMun'!$1:$11</definedName>
    <definedName name="_xlnm.Print_Titles" localSheetId="1">'San Luis Potosí_EdoUsa'!$1:$11</definedName>
    <definedName name="_xlnm.Print_Titles" localSheetId="7">'San Luis Potosí_educ_gral'!$1:$11</definedName>
    <definedName name="_xlnm.Print_Titles" localSheetId="9">'San Luis Potosí_EducCons'!$1:$9</definedName>
    <definedName name="_xlnm.Print_Titles" localSheetId="12">'San Luis Potosí_Gen_Edad'!$1:$11</definedName>
    <definedName name="_xlnm.Print_Titles" localSheetId="11">'San Luis Potosí_GENERO'!$1:$11</definedName>
    <definedName name="_xlnm.Print_Titles" localSheetId="10">'San Luis Potosí_GenGral'!$1:$11</definedName>
    <definedName name="_xlnm.Print_Titles" localSheetId="6">'San Luis Potosí_MUNICIPIO'!$1:$9</definedName>
    <definedName name="_xlnm.Print_Titles" localSheetId="8">'San Luis Potosí_NivelE_Cons'!$1:$9</definedName>
    <definedName name="_xlnm.Print_Titles" localSheetId="13">'San Luis Potosí_ocup_gral'!$1:$11</definedName>
    <definedName name="_xlnm.Print_Titles" localSheetId="5">'San Luis Potosí_USAMuni'!$1:$9</definedName>
    <definedName name="_xlnm.Print_Titles" localSheetId="3">'San Luis PotosíXCons'!$1:$11</definedName>
  </definedNames>
  <calcPr calcId="152511"/>
</workbook>
</file>

<file path=xl/calcChain.xml><?xml version="1.0" encoding="utf-8"?>
<calcChain xmlns="http://schemas.openxmlformats.org/spreadsheetml/2006/main">
  <c r="C22" i="16" l="1"/>
  <c r="D12" i="16" s="1"/>
  <c r="D22" i="16" l="1"/>
  <c r="D19" i="16"/>
  <c r="D15" i="16"/>
  <c r="D18" i="16"/>
  <c r="D14" i="16"/>
  <c r="D21" i="16"/>
  <c r="D13" i="16"/>
  <c r="D17" i="16"/>
  <c r="D20" i="16"/>
  <c r="D16" i="16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12" i="14" l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F12" i="13" l="1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D12" i="8" l="1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</calcChain>
</file>

<file path=xl/sharedStrings.xml><?xml version="1.0" encoding="utf-8"?>
<sst xmlns="http://schemas.openxmlformats.org/spreadsheetml/2006/main" count="5128" uniqueCount="270">
  <si>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</si>
  <si>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</si>
  <si>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</si>
  <si>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</si>
  <si>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</si>
  <si>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</si>
  <si>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</si>
  <si>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</si>
  <si>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</si>
  <si>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</si>
  <si>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</si>
  <si>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</si>
  <si>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</si>
  <si>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</si>
  <si>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</si>
  <si>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</si>
  <si>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</si>
  <si>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  Matrículas consulares expedidas a originarios de San Luis Potosí en el 2019.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</si>
  <si>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</si>
  <si>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</si>
  <si>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</si>
  <si>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</si>
  <si>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</si>
  <si>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</si>
  <si>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North Dakota</t>
  </si>
  <si>
    <t>New Hampshire</t>
  </si>
  <si>
    <t>Rhode Island</t>
  </si>
  <si>
    <t>Montana</t>
  </si>
  <si>
    <t>South Dakota</t>
  </si>
  <si>
    <t>West Virginia</t>
  </si>
  <si>
    <t>Massachusetts</t>
  </si>
  <si>
    <t>Wyoming</t>
  </si>
  <si>
    <t>Connecticut</t>
  </si>
  <si>
    <t>Idaho</t>
  </si>
  <si>
    <t>Pennsylvania</t>
  </si>
  <si>
    <t>New Jersey</t>
  </si>
  <si>
    <t>Delaware</t>
  </si>
  <si>
    <t>Oregon</t>
  </si>
  <si>
    <t>New York</t>
  </si>
  <si>
    <t>Washington</t>
  </si>
  <si>
    <t>Maryland</t>
  </si>
  <si>
    <t>Iowa</t>
  </si>
  <si>
    <t>Wisconsin</t>
  </si>
  <si>
    <t>Kentucky</t>
  </si>
  <si>
    <t>Arizona</t>
  </si>
  <si>
    <t>Minnesota</t>
  </si>
  <si>
    <t>Missouri</t>
  </si>
  <si>
    <t>New Mexico</t>
  </si>
  <si>
    <t>Nebraska</t>
  </si>
  <si>
    <t>Ohio</t>
  </si>
  <si>
    <t>Utah</t>
  </si>
  <si>
    <t>Mississippi</t>
  </si>
  <si>
    <t>Nevada</t>
  </si>
  <si>
    <t>Michigan</t>
  </si>
  <si>
    <t>Kansas</t>
  </si>
  <si>
    <t>Virginia</t>
  </si>
  <si>
    <t>Colorado</t>
  </si>
  <si>
    <t>South Carolina</t>
  </si>
  <si>
    <t>Alabama</t>
  </si>
  <si>
    <t>Indiana</t>
  </si>
  <si>
    <t>Louisiana</t>
  </si>
  <si>
    <t>Arkansas</t>
  </si>
  <si>
    <t>Tennessee</t>
  </si>
  <si>
    <t>Oklahoma</t>
  </si>
  <si>
    <t>North Carolina</t>
  </si>
  <si>
    <t>Florida</t>
  </si>
  <si>
    <t>Illinois</t>
  </si>
  <si>
    <t>California</t>
  </si>
  <si>
    <t>Georgia</t>
  </si>
  <si>
    <t>Texas</t>
  </si>
  <si>
    <t>Porcentaje de Matrículas</t>
  </si>
  <si>
    <t>Número de Matrículas</t>
  </si>
  <si>
    <t xml:space="preserve">Estado </t>
  </si>
  <si>
    <t>MATRÍCULAS CONSULARES DE ALTA SEGURIDAD EXPEDIDAS A ORIGINARIOS DE SAN LUIS POTOSÍ POR ESTADO DE LA UNIÓN AMERICANA. DURANTE EL 2019</t>
  </si>
  <si>
    <t>Aguascalientes</t>
  </si>
  <si>
    <t>Eagle Pass</t>
  </si>
  <si>
    <t>Douglas</t>
  </si>
  <si>
    <t>Nogales</t>
  </si>
  <si>
    <t>Del Río</t>
  </si>
  <si>
    <t>Caléxico</t>
  </si>
  <si>
    <t>Yuma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</si>
  <si>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</si>
  <si>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</si>
  <si>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</si>
  <si>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</si>
  <si>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</si>
  <si>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</si>
  <si>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</si>
  <si>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</si>
  <si>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</si>
  <si>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</si>
  <si>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</si>
  <si>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</si>
  <si>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</si>
  <si>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</si>
  <si>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</si>
  <si>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</si>
  <si>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</si>
  <si>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</si>
  <si>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</si>
  <si>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</si>
  <si>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</si>
  <si>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</si>
  <si>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</si>
  <si>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</si>
  <si>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</si>
  <si>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</si>
  <si>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</si>
  <si>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</si>
  <si>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</si>
  <si>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</si>
  <si>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</si>
  <si>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</si>
  <si>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</si>
  <si>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</si>
  <si>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</si>
  <si>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</si>
  <si>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</si>
  <si>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</si>
  <si>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</si>
  <si>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</si>
  <si>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</si>
  <si>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</si>
  <si>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</si>
  <si>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</si>
  <si>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MATRÍCULAS CONSULARES DE ALTA SEGURIDAD EXPEDIDAS DURANTE EL 2019 A ORIGINARIOS DE SAN LUIS POTOSÍ EN LOS CONSULADOS DE MÉXICO EN EE.UU.</t>
  </si>
  <si>
    <t>Matlapa</t>
  </si>
  <si>
    <t>Cerro de San Pedro</t>
  </si>
  <si>
    <t>Tancanhuitz</t>
  </si>
  <si>
    <t>Coxcatlán</t>
  </si>
  <si>
    <t>Tanlajás</t>
  </si>
  <si>
    <t>Tampacán</t>
  </si>
  <si>
    <t>Huehuetlán</t>
  </si>
  <si>
    <t>Tampamolón Corona</t>
  </si>
  <si>
    <t>San Vicente Tancuayalab</t>
  </si>
  <si>
    <t>El Naranjo</t>
  </si>
  <si>
    <t>Axtla de Terrazas</t>
  </si>
  <si>
    <t>San Martín Chalchicuautla</t>
  </si>
  <si>
    <t>Villa de la Paz</t>
  </si>
  <si>
    <t>Tanquián de Escobedo</t>
  </si>
  <si>
    <t>Catorce</t>
  </si>
  <si>
    <t>Vanegas</t>
  </si>
  <si>
    <t>Armadillo de los Infante</t>
  </si>
  <si>
    <t>Soledad de Graciano Sánchez</t>
  </si>
  <si>
    <t>Villa de Arriaga</t>
  </si>
  <si>
    <t>Zaragoza</t>
  </si>
  <si>
    <t>Villa de Arista</t>
  </si>
  <si>
    <t>Tamuín</t>
  </si>
  <si>
    <t>Alaquines</t>
  </si>
  <si>
    <t>Venado</t>
  </si>
  <si>
    <t>Santa Catarina</t>
  </si>
  <si>
    <t>San Nicolás Tolentino</t>
  </si>
  <si>
    <t>Aquismón</t>
  </si>
  <si>
    <t>Tierra Nueva</t>
  </si>
  <si>
    <t>Villa de Reyes</t>
  </si>
  <si>
    <t>Villa de Guadalupe</t>
  </si>
  <si>
    <t>Cedral</t>
  </si>
  <si>
    <t>Santo Domingo</t>
  </si>
  <si>
    <t>Lagunillas</t>
  </si>
  <si>
    <t>Ebano</t>
  </si>
  <si>
    <t>Tamazunchale</t>
  </si>
  <si>
    <t>Villa Juárez</t>
  </si>
  <si>
    <t>Villa Hidalgo</t>
  </si>
  <si>
    <t>San Ciro de Acosta</t>
  </si>
  <si>
    <t>Charcas</t>
  </si>
  <si>
    <t>Moctezuma</t>
  </si>
  <si>
    <t>Xilitla</t>
  </si>
  <si>
    <t>Salinas</t>
  </si>
  <si>
    <t>Guadalcázar</t>
  </si>
  <si>
    <t>Tamasopo</t>
  </si>
  <si>
    <t>Cárdenas</t>
  </si>
  <si>
    <t>Rayón</t>
  </si>
  <si>
    <t>Ahualulco</t>
  </si>
  <si>
    <t>Villa de Ramos</t>
  </si>
  <si>
    <t>Cerritos</t>
  </si>
  <si>
    <t>Santa María del Río</t>
  </si>
  <si>
    <t>Ciudad del Maíz</t>
  </si>
  <si>
    <t>Mexquitic de Carmona</t>
  </si>
  <si>
    <t>Ciudad Fernández</t>
  </si>
  <si>
    <t>Ciudad Valles</t>
  </si>
  <si>
    <t>Matehuala</t>
  </si>
  <si>
    <t>Rioverde</t>
  </si>
  <si>
    <t>San Luis Potosí</t>
  </si>
  <si>
    <t>Municipio de origen</t>
  </si>
  <si>
    <t>MATRÍCULAS CONSULARES DE ALTA SEGURIDAD EXPEDIDAS POR MUNICIPIO A ORIGINARIOS DEL ESTADO DE SAN LUIS POTOSÍ EN LOS CONSULADOS DE MÉXICO EN EE.UU. 2019</t>
  </si>
  <si>
    <t>Municipio de Origen</t>
  </si>
  <si>
    <t>Estado</t>
  </si>
  <si>
    <t>Marzo de 2020</t>
  </si>
  <si>
    <t>Tamaño de la muestra: 814,748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</si>
  <si>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</si>
  <si>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</si>
  <si>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</si>
  <si>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</si>
  <si>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</si>
  <si>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</si>
  <si>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</si>
  <si>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</si>
  <si>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</si>
  <si>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</si>
  <si>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</si>
  <si>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</si>
  <si>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</si>
  <si>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</si>
  <si>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</si>
  <si>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</si>
  <si>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</si>
  <si>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</si>
  <si>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</si>
  <si>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</si>
  <si>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</si>
  <si>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</si>
  <si>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</si>
  <si>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</si>
  <si>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</si>
  <si>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</si>
  <si>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MATRÍCULAS CONSULARES EXPEDIDAS EN EE.UU. A ORIGINARIOS DE SAN LUIS POTOSÍ POR NIVEL DE EDUCACIÓN, 2019.</t>
  </si>
  <si>
    <t>Nivel</t>
  </si>
  <si>
    <t>Menores de edad</t>
  </si>
  <si>
    <t>San Jose</t>
  </si>
  <si>
    <t>Mc Allen</t>
  </si>
  <si>
    <t>Los Angeles</t>
  </si>
  <si>
    <t>Indianapolis</t>
  </si>
  <si>
    <t>Del Rio</t>
  </si>
  <si>
    <t>Calexico</t>
  </si>
  <si>
    <t>TOTAL</t>
  </si>
  <si>
    <t>MUJER</t>
  </si>
  <si>
    <t>HOMBRE</t>
  </si>
  <si>
    <t>Género</t>
  </si>
  <si>
    <t>MATRÍCULAS CONSULARES EXPEDIDAS A ORIGINARIOS DE SAN LUIS POTOSÍ POR GÉNERO EN EE.UU DURANTE EL 2019.</t>
  </si>
  <si>
    <t>Mujer</t>
  </si>
  <si>
    <t>Hombre</t>
  </si>
  <si>
    <t>MATRÍCULAS CONSULARES EXPEDIDAS A ORIGINARIOS DE SAN LUIS POTOSÍ POR GÉNERO Y CONSULADO DE MÉXICO 2019.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</si>
  <si>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</si>
  <si>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</si>
  <si>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</si>
  <si>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</si>
  <si>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</si>
  <si>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</si>
  <si>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</si>
  <si>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</si>
  <si>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</si>
  <si>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</si>
  <si>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</si>
  <si>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SAN LUIS POTOSÍ POR GÉNERO Y EDAD EN EE.UU.</t>
  </si>
  <si>
    <t>Tamaño de la muestra: 826,856</t>
  </si>
  <si>
    <t>Planchador(a)</t>
  </si>
  <si>
    <t>Ministro(a)</t>
  </si>
  <si>
    <t>Sacerdote</t>
  </si>
  <si>
    <t>Misionero(a)</t>
  </si>
  <si>
    <t>Carnicero</t>
  </si>
  <si>
    <t>Panadero(a)</t>
  </si>
  <si>
    <t>Cajero(a)</t>
  </si>
  <si>
    <t>Profesionista</t>
  </si>
  <si>
    <t>Chofer</t>
  </si>
  <si>
    <t>Comerciante</t>
  </si>
  <si>
    <t>Jubilado(a)</t>
  </si>
  <si>
    <t>Mesero(a)</t>
  </si>
  <si>
    <t>Operario(a)</t>
  </si>
  <si>
    <t>Campesino(a)</t>
  </si>
  <si>
    <t>Jardinero(a)</t>
  </si>
  <si>
    <t>Pintor(a)</t>
  </si>
  <si>
    <t>Cocinero(a)</t>
  </si>
  <si>
    <t>Albañil</t>
  </si>
  <si>
    <t>Otro</t>
  </si>
  <si>
    <t>Estudiante</t>
  </si>
  <si>
    <t>Obrero(a)</t>
  </si>
  <si>
    <t>Hogar</t>
  </si>
  <si>
    <t>Empleado(a)</t>
  </si>
  <si>
    <t>Ocupación</t>
  </si>
  <si>
    <t>MATRÍCULAS CONSULARES EXPEDIDAS EN EE.UU. A ORIGINARIOS DE SAN LUIS POTOSÍ POR PERFIL OCUPACIONAL,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</si>
</sst>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.5"/>
      <color theme="1"/>
      <name val="Montserrat"/>
    </font>
    <font>
      <sz val="1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6" fillId="0" borderId="0"/>
  </cellStyleXfs>
  <cellXfs count="99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center" wrapText="1"/>
    </xf>
    <xf numFmtId="3" fontId="8" fillId="4" borderId="9" xfId="0" applyNumberFormat="1" applyFont="1" applyFill="1" applyBorder="1" applyAlignment="1">
      <alignment horizontal="right" vertical="center" wrapText="1"/>
    </xf>
    <xf numFmtId="49" fontId="8" fillId="4" borderId="9" xfId="0" applyNumberFormat="1" applyFont="1" applyFill="1" applyBorder="1" applyAlignment="1">
      <alignment vertical="center" wrapText="1"/>
    </xf>
    <xf numFmtId="164" fontId="9" fillId="3" borderId="9" xfId="0" applyNumberFormat="1" applyFont="1" applyFill="1" applyBorder="1" applyAlignment="1">
      <alignment horizontal="right" vertical="center" wrapText="1"/>
    </xf>
    <xf numFmtId="3" fontId="9" fillId="3" borderId="9" xfId="0" applyNumberFormat="1" applyFont="1" applyFill="1" applyBorder="1" applyAlignment="1">
      <alignment horizontal="right" vertical="center" wrapText="1"/>
    </xf>
    <xf numFmtId="49" fontId="10" fillId="3" borderId="9" xfId="0" applyNumberFormat="1" applyFont="1" applyFill="1" applyBorder="1" applyAlignment="1">
      <alignment vertical="center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2" applyNumberFormat="1" applyFont="1" applyFill="1" applyBorder="1" applyAlignment="1">
      <alignment horizontal="right" vertical="top" wrapText="1"/>
    </xf>
    <xf numFmtId="165" fontId="8" fillId="5" borderId="9" xfId="2" applyNumberFormat="1" applyFont="1" applyFill="1" applyBorder="1" applyAlignment="1">
      <alignment horizontal="right" vertical="top" wrapText="1"/>
    </xf>
    <xf numFmtId="49" fontId="8" fillId="5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3" borderId="0" xfId="0" applyFont="1" applyFill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12" fillId="3" borderId="0" xfId="0" applyNumberFormat="1" applyFont="1" applyFill="1"/>
    <xf numFmtId="49" fontId="10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9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5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8" fillId="5" borderId="12" xfId="0" applyNumberFormat="1" applyFont="1" applyFill="1" applyBorder="1" applyAlignment="1">
      <alignment vertical="center" wrapText="1"/>
    </xf>
    <xf numFmtId="3" fontId="8" fillId="5" borderId="9" xfId="0" applyNumberFormat="1" applyFont="1" applyFill="1" applyBorder="1" applyAlignment="1">
      <alignment horizontal="right" vertical="center" wrapText="1"/>
    </xf>
    <xf numFmtId="164" fontId="8" fillId="5" borderId="9" xfId="0" applyNumberFormat="1" applyFont="1" applyFill="1" applyBorder="1" applyAlignment="1">
      <alignment horizontal="right" vertical="center" wrapText="1"/>
    </xf>
    <xf numFmtId="164" fontId="9" fillId="6" borderId="9" xfId="0" applyNumberFormat="1" applyFont="1" applyFill="1" applyBorder="1" applyAlignment="1">
      <alignment horizontal="right" vertical="center" wrapText="1"/>
    </xf>
    <xf numFmtId="164" fontId="9" fillId="7" borderId="9" xfId="0" applyNumberFormat="1" applyFont="1" applyFill="1" applyBorder="1" applyAlignment="1">
      <alignment horizontal="right" vertical="center" wrapText="1"/>
    </xf>
    <xf numFmtId="0" fontId="4" fillId="0" borderId="0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4" fillId="0" borderId="4" xfId="1" applyFont="1" applyBorder="1" applyAlignment="1">
      <alignment horizontal="left"/>
    </xf>
    <xf numFmtId="0" fontId="14" fillId="0" borderId="0" xfId="0" applyFont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5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23" fillId="0" borderId="0" xfId="0" applyFont="1" applyBorder="1" applyAlignment="1">
      <alignment horizontal="center" vertical="center" wrapText="1"/>
    </xf>
    <xf numFmtId="49" fontId="10" fillId="3" borderId="10" xfId="0" applyNumberFormat="1" applyFont="1" applyFill="1" applyBorder="1" applyAlignment="1">
      <alignment horizontal="center" vertical="center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0" fillId="3" borderId="14" xfId="0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distributed"/>
    </xf>
    <xf numFmtId="0" fontId="24" fillId="3" borderId="16" xfId="0" applyFont="1" applyFill="1" applyBorder="1" applyAlignment="1">
      <alignment horizontal="center" vertical="distributed"/>
    </xf>
    <xf numFmtId="49" fontId="8" fillId="8" borderId="13" xfId="0" applyNumberFormat="1" applyFont="1" applyFill="1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 wrapText="1"/>
    </xf>
    <xf numFmtId="3" fontId="8" fillId="8" borderId="9" xfId="0" applyNumberFormat="1" applyFont="1" applyFill="1" applyBorder="1" applyAlignment="1">
      <alignment horizontal="right" wrapText="1"/>
    </xf>
    <xf numFmtId="164" fontId="8" fillId="8" borderId="9" xfId="0" applyNumberFormat="1" applyFont="1" applyFill="1" applyBorder="1" applyAlignment="1">
      <alignment horizontal="right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</xdr:colOff>
      <xdr:row>2</xdr:row>
      <xdr:rowOff>12392</xdr:rowOff>
    </xdr:from>
    <xdr:to>
      <xdr:col>3</xdr:col>
      <xdr:colOff>522338</xdr:colOff>
      <xdr:row>3</xdr:row>
      <xdr:rowOff>12392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34466" y="726767"/>
          <a:ext cx="512097" cy="1809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7</xdr:row>
      <xdr:rowOff>123825</xdr:rowOff>
    </xdr:from>
    <xdr:to>
      <xdr:col>5</xdr:col>
      <xdr:colOff>54897</xdr:colOff>
      <xdr:row>8</xdr:row>
      <xdr:rowOff>123825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9925" y="1457325"/>
          <a:ext cx="654972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7</xdr:row>
      <xdr:rowOff>152400</xdr:rowOff>
    </xdr:from>
    <xdr:to>
      <xdr:col>5</xdr:col>
      <xdr:colOff>159672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14700" y="14859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623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114300</xdr:rowOff>
    </xdr:from>
    <xdr:to>
      <xdr:col>5</xdr:col>
      <xdr:colOff>121572</xdr:colOff>
      <xdr:row>8</xdr:row>
      <xdr:rowOff>114300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6383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SAN LUIS POTOSÍ POR ESTADO EN EE.UU.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533400</xdr:colOff>
      <xdr:row>7</xdr:row>
      <xdr:rowOff>133350</xdr:rowOff>
    </xdr:from>
    <xdr:to>
      <xdr:col>4</xdr:col>
      <xdr:colOff>1045497</xdr:colOff>
      <xdr:row>7</xdr:row>
      <xdr:rowOff>323850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67900" y="1466850"/>
          <a:ext cx="512097" cy="571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SAN LUIS POTOSÍ EN LOS CONSULADOS DE MÉXICO EN EE.UU.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495300</xdr:colOff>
      <xdr:row>7</xdr:row>
      <xdr:rowOff>133350</xdr:rowOff>
    </xdr:from>
    <xdr:to>
      <xdr:col>4</xdr:col>
      <xdr:colOff>1007397</xdr:colOff>
      <xdr:row>7</xdr:row>
      <xdr:rowOff>323850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29800" y="1466850"/>
          <a:ext cx="512097" cy="571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048000" y="15240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SAN LUIS POTOSÍ POR NIVEL DE EDUCACIÓN Y ESTADO EN EE.UU. DURANTE EL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446483</xdr:colOff>
      <xdr:row>7</xdr:row>
      <xdr:rowOff>99218</xdr:rowOff>
    </xdr:from>
    <xdr:to>
      <xdr:col>4</xdr:col>
      <xdr:colOff>958580</xdr:colOff>
      <xdr:row>7</xdr:row>
      <xdr:rowOff>287733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780983" y="1432718"/>
          <a:ext cx="512097" cy="9326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SAN LUIS POTOSÍ POR CONSULADO Y NIVEL DE EDUCACIÓN EN EE.UU. DURANTE EL 2019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374579</xdr:colOff>
      <xdr:row>7</xdr:row>
      <xdr:rowOff>139129</xdr:rowOff>
    </xdr:from>
    <xdr:to>
      <xdr:col>4</xdr:col>
      <xdr:colOff>886676</xdr:colOff>
      <xdr:row>7</xdr:row>
      <xdr:rowOff>331769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08652" y="1883595"/>
          <a:ext cx="512097" cy="19264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19050</xdr:rowOff>
    </xdr:from>
    <xdr:to>
      <xdr:col>5</xdr:col>
      <xdr:colOff>121572</xdr:colOff>
      <xdr:row>8</xdr:row>
      <xdr:rowOff>209550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3355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419553</xdr:colOff>
      <xdr:row>8</xdr:row>
      <xdr:rowOff>56696</xdr:rowOff>
    </xdr:from>
    <xdr:to>
      <xdr:col>4</xdr:col>
      <xdr:colOff>931650</xdr:colOff>
      <xdr:row>9</xdr:row>
      <xdr:rowOff>56695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7767" y="1655535"/>
          <a:ext cx="512097" cy="19276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499481</xdr:colOff>
      <xdr:row>8</xdr:row>
      <xdr:rowOff>46463</xdr:rowOff>
    </xdr:from>
    <xdr:to>
      <xdr:col>5</xdr:col>
      <xdr:colOff>1011578</xdr:colOff>
      <xdr:row>9</xdr:row>
      <xdr:rowOff>46464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529146" y="1591372"/>
          <a:ext cx="512097" cy="185854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7</xdr:row>
      <xdr:rowOff>180975</xdr:rowOff>
    </xdr:from>
    <xdr:to>
      <xdr:col>5</xdr:col>
      <xdr:colOff>35847</xdr:colOff>
      <xdr:row>8</xdr:row>
      <xdr:rowOff>180975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0497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view="pageBreakPreview" zoomScale="93" zoomScaleNormal="100" zoomScaleSheetLayoutView="93" workbookViewId="0">
      <selection activeCell="J8" sqref="J8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75" t="s">
        <v>17</v>
      </c>
      <c r="B1" s="76"/>
      <c r="C1" s="76"/>
      <c r="D1" s="77"/>
    </row>
    <row r="2" spans="1:4">
      <c r="A2" s="2"/>
      <c r="B2" s="3"/>
      <c r="C2" s="3"/>
      <c r="D2" s="4"/>
    </row>
    <row r="3" spans="1:4">
      <c r="A3" s="78" t="s">
        <v>0</v>
      </c>
      <c r="B3" s="79"/>
      <c r="C3" s="79"/>
      <c r="D3" s="80"/>
    </row>
    <row r="4" spans="1:4">
      <c r="A4" s="78"/>
      <c r="B4" s="79"/>
      <c r="C4" s="79"/>
      <c r="D4" s="80"/>
    </row>
    <row r="5" spans="1:4">
      <c r="A5" s="5"/>
      <c r="B5" s="6"/>
      <c r="C5" s="6"/>
      <c r="D5" s="7"/>
    </row>
    <row r="6" spans="1:4">
      <c r="A6" s="81" t="s">
        <v>1</v>
      </c>
      <c r="B6" s="73"/>
      <c r="C6" s="73"/>
      <c r="D6" s="74"/>
    </row>
    <row r="7" spans="1:4">
      <c r="A7" s="8"/>
      <c r="B7" s="9"/>
      <c r="C7" s="9"/>
      <c r="D7" s="10"/>
    </row>
    <row r="8" spans="1:4">
      <c r="A8" s="81" t="s">
        <v>2</v>
      </c>
      <c r="B8" s="73"/>
      <c r="C8" s="73"/>
      <c r="D8" s="74"/>
    </row>
    <row r="9" spans="1:4">
      <c r="A9" s="11"/>
      <c r="B9" s="73" t="s">
        <v>3</v>
      </c>
      <c r="C9" s="73"/>
      <c r="D9" s="74"/>
    </row>
    <row r="10" spans="1:4">
      <c r="A10" s="11"/>
      <c r="B10" s="12"/>
      <c r="C10" s="12"/>
      <c r="D10" s="13"/>
    </row>
    <row r="11" spans="1:4">
      <c r="A11" s="11" t="s">
        <v>4</v>
      </c>
      <c r="B11" s="12"/>
      <c r="C11" s="12"/>
      <c r="D11" s="13"/>
    </row>
    <row r="12" spans="1:4">
      <c r="A12" s="11"/>
      <c r="B12" s="73" t="s">
        <v>5</v>
      </c>
      <c r="C12" s="73"/>
      <c r="D12" s="74"/>
    </row>
    <row r="13" spans="1:4">
      <c r="A13" s="11"/>
      <c r="B13" s="73" t="s">
        <v>6</v>
      </c>
      <c r="C13" s="73"/>
      <c r="D13" s="74"/>
    </row>
    <row r="14" spans="1:4">
      <c r="A14" s="11"/>
      <c r="B14" s="73" t="s">
        <v>7</v>
      </c>
      <c r="C14" s="73"/>
      <c r="D14" s="74"/>
    </row>
    <row r="15" spans="1:4">
      <c r="A15" s="11"/>
      <c r="B15" s="12"/>
      <c r="C15" s="12"/>
      <c r="D15" s="13"/>
    </row>
    <row r="16" spans="1:4">
      <c r="A16" s="11" t="s">
        <v>8</v>
      </c>
      <c r="B16" s="12"/>
      <c r="C16" s="12"/>
      <c r="D16" s="13"/>
    </row>
    <row r="17" spans="1:4">
      <c r="A17" s="11"/>
      <c r="B17" s="73" t="s">
        <v>9</v>
      </c>
      <c r="C17" s="73"/>
      <c r="D17" s="74"/>
    </row>
    <row r="18" spans="1:4">
      <c r="A18" s="11"/>
      <c r="B18" s="73" t="s">
        <v>10</v>
      </c>
      <c r="C18" s="73"/>
      <c r="D18" s="74"/>
    </row>
    <row r="19" spans="1:4">
      <c r="A19" s="11"/>
      <c r="B19" s="73" t="s">
        <v>11</v>
      </c>
      <c r="C19" s="73"/>
      <c r="D19" s="74"/>
    </row>
    <row r="20" spans="1:4">
      <c r="A20" s="11"/>
      <c r="B20" s="12"/>
      <c r="C20" s="12"/>
      <c r="D20" s="13"/>
    </row>
    <row r="21" spans="1:4">
      <c r="A21" s="11" t="s">
        <v>12</v>
      </c>
      <c r="B21" s="12"/>
      <c r="C21" s="12"/>
      <c r="D21" s="13"/>
    </row>
    <row r="22" spans="1:4">
      <c r="A22" s="11"/>
      <c r="B22" s="73" t="s">
        <v>13</v>
      </c>
      <c r="C22" s="73"/>
      <c r="D22" s="74"/>
    </row>
    <row r="23" spans="1:4">
      <c r="A23" s="11"/>
      <c r="B23" s="73" t="s">
        <v>14</v>
      </c>
      <c r="C23" s="73"/>
      <c r="D23" s="74"/>
    </row>
    <row r="24" spans="1:4">
      <c r="A24" s="11"/>
      <c r="B24" s="12"/>
      <c r="C24" s="12"/>
      <c r="D24" s="13"/>
    </row>
    <row r="25" spans="1:4">
      <c r="A25" s="81" t="s">
        <v>15</v>
      </c>
      <c r="B25" s="73"/>
      <c r="C25" s="73"/>
      <c r="D25" s="74"/>
    </row>
    <row r="26" spans="1:4">
      <c r="A26" s="11"/>
      <c r="B26" s="12"/>
      <c r="C26" s="12"/>
      <c r="D26" s="13"/>
    </row>
    <row r="27" spans="1:4">
      <c r="A27" s="81" t="s">
        <v>16</v>
      </c>
      <c r="B27" s="73"/>
      <c r="C27" s="73"/>
      <c r="D27" s="74"/>
    </row>
    <row r="28" spans="1:4" ht="18.75" thickBot="1">
      <c r="A28" s="14"/>
      <c r="B28" s="15"/>
      <c r="C28" s="15"/>
      <c r="D28" s="16"/>
    </row>
  </sheetData>
  <mergeCells count="15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'San Luis Potosí_USAMuni'!A1" display="3.2 Por Estado de USA"/>
    <hyperlink ref="A8:D8" location="'San Luis Potosí_Cons'!A1" display="2. Por Circunscripción Consular"/>
    <hyperlink ref="B9:D9" location="'San Luis PotosíXCons'!A1" display="2.1 Top ten por circunscripción consular"/>
    <hyperlink ref="A6:D6" location="'San Luis Potosí_EdoUsa'!A1" display="1. Por Estados de USA"/>
    <hyperlink ref="B12:D12" location="'San Luis Potosí_EdoMun'!A1" display="3.1 Municipio general"/>
    <hyperlink ref="B14:D14" location="'San Luis Potosí_MUNICIPIO'!A1" display="3.3 Por Circunscripción Consular"/>
    <hyperlink ref="B17:D17" location="'San Luis Potosí_educ_gral'!A1" display="4.1 Educación general"/>
    <hyperlink ref="B18:D18" location="'San Luis Potosí_NivelE_Cons'!A1" display="4.2 Por Estado de USA"/>
    <hyperlink ref="B19:D19" location="'San Luis Potosí_EducCons'!A1" display="4.3 Por Circunscripción Consular"/>
    <hyperlink ref="B22:D22" location="'San Luis Potosí_GenGral'!A1" display="5.1 Género General"/>
    <hyperlink ref="B23:D23" location="'San Luis Potosí_GENERO'!A1" display="5.2 Por Circunscripción Consular"/>
    <hyperlink ref="A25:D25" location="'San Luis Potosí_Gen_Edad'!A1" display="6. Por estructura de Edad"/>
    <hyperlink ref="A27:D27" location="'San Luis Potosí_ocup_gral'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4"/>
  <sheetViews>
    <sheetView showGridLines="0" topLeftCell="A40" zoomScaleNormal="100" zoomScaleSheetLayoutView="115" workbookViewId="0">
      <selection activeCell="E9" sqref="E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73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72</v>
      </c>
      <c r="C11" s="31" t="s">
        <v>71</v>
      </c>
      <c r="D11" s="30" t="s">
        <v>70</v>
      </c>
    </row>
    <row r="12" spans="1:4">
      <c r="B12" s="27" t="s">
        <v>69</v>
      </c>
      <c r="C12" s="26">
        <v>21171</v>
      </c>
      <c r="D12" s="25">
        <v>0.65276107668115813</v>
      </c>
    </row>
    <row r="13" spans="1:4" s="28" customFormat="1">
      <c r="A13" s="17"/>
      <c r="B13" s="27" t="s">
        <v>68</v>
      </c>
      <c r="C13" s="26">
        <v>1485</v>
      </c>
      <c r="D13" s="25">
        <v>4.5786698732772177E-2</v>
      </c>
    </row>
    <row r="14" spans="1:4" s="28" customFormat="1">
      <c r="A14" s="17"/>
      <c r="B14" s="27" t="s">
        <v>67</v>
      </c>
      <c r="C14" s="26">
        <v>1372</v>
      </c>
      <c r="D14" s="25">
        <v>4.2302593037955166E-2</v>
      </c>
    </row>
    <row r="15" spans="1:4">
      <c r="B15" s="27" t="s">
        <v>66</v>
      </c>
      <c r="C15" s="26">
        <v>1053</v>
      </c>
      <c r="D15" s="25">
        <v>3.2466931828693001E-2</v>
      </c>
    </row>
    <row r="16" spans="1:4">
      <c r="B16" s="27" t="s">
        <v>65</v>
      </c>
      <c r="C16" s="26">
        <v>889</v>
      </c>
      <c r="D16" s="25">
        <v>2.741035365214442E-2</v>
      </c>
    </row>
    <row r="17" spans="2:4">
      <c r="B17" s="27" t="s">
        <v>64</v>
      </c>
      <c r="C17" s="26">
        <v>806</v>
      </c>
      <c r="D17" s="25">
        <v>2.4851231770110688E-2</v>
      </c>
    </row>
    <row r="18" spans="2:4">
      <c r="B18" s="27" t="s">
        <v>63</v>
      </c>
      <c r="C18" s="26">
        <v>682</v>
      </c>
      <c r="D18" s="25">
        <v>2.1027965343939813E-2</v>
      </c>
    </row>
    <row r="19" spans="2:4">
      <c r="B19" s="27" t="s">
        <v>62</v>
      </c>
      <c r="C19" s="26">
        <v>666</v>
      </c>
      <c r="D19" s="25">
        <v>2.0534640643788734E-2</v>
      </c>
    </row>
    <row r="20" spans="2:4">
      <c r="B20" s="27" t="s">
        <v>61</v>
      </c>
      <c r="C20" s="26">
        <v>526</v>
      </c>
      <c r="D20" s="25">
        <v>1.6218049517466776E-2</v>
      </c>
    </row>
    <row r="21" spans="2:4">
      <c r="B21" s="27" t="s">
        <v>60</v>
      </c>
      <c r="C21" s="26">
        <v>326</v>
      </c>
      <c r="D21" s="25">
        <v>1.0051490765578269E-2</v>
      </c>
    </row>
    <row r="22" spans="2:4">
      <c r="B22" s="27" t="s">
        <v>59</v>
      </c>
      <c r="C22" s="26">
        <v>309</v>
      </c>
      <c r="D22" s="25">
        <v>9.5273332716677463E-3</v>
      </c>
    </row>
    <row r="23" spans="2:4">
      <c r="B23" s="27" t="s">
        <v>58</v>
      </c>
      <c r="C23" s="26">
        <v>278</v>
      </c>
      <c r="D23" s="25">
        <v>8.5715166651250275E-3</v>
      </c>
    </row>
    <row r="24" spans="2:4">
      <c r="B24" s="27" t="s">
        <v>57</v>
      </c>
      <c r="C24" s="26">
        <v>250</v>
      </c>
      <c r="D24" s="25">
        <v>7.7081984398606361E-3</v>
      </c>
    </row>
    <row r="25" spans="2:4">
      <c r="B25" s="27" t="s">
        <v>56</v>
      </c>
      <c r="C25" s="26">
        <v>221</v>
      </c>
      <c r="D25" s="25">
        <v>6.8140474208368022E-3</v>
      </c>
    </row>
    <row r="26" spans="2:4">
      <c r="B26" s="27" t="s">
        <v>55</v>
      </c>
      <c r="C26" s="26">
        <v>196</v>
      </c>
      <c r="D26" s="25">
        <v>6.0432275768507382E-3</v>
      </c>
    </row>
    <row r="27" spans="2:4">
      <c r="B27" s="27" t="s">
        <v>54</v>
      </c>
      <c r="C27" s="26">
        <v>180</v>
      </c>
      <c r="D27" s="25">
        <v>5.549902876699658E-3</v>
      </c>
    </row>
    <row r="28" spans="2:4">
      <c r="B28" s="27" t="s">
        <v>53</v>
      </c>
      <c r="C28" s="26">
        <v>169</v>
      </c>
      <c r="D28" s="25">
        <v>5.2107421453457901E-3</v>
      </c>
    </row>
    <row r="29" spans="2:4">
      <c r="B29" s="27" t="s">
        <v>52</v>
      </c>
      <c r="C29" s="26">
        <v>146</v>
      </c>
      <c r="D29" s="25">
        <v>4.5015878888786109E-3</v>
      </c>
    </row>
    <row r="30" spans="2:4">
      <c r="B30" s="27" t="s">
        <v>51</v>
      </c>
      <c r="C30" s="26">
        <v>144</v>
      </c>
      <c r="D30" s="25">
        <v>4.439922301359726E-3</v>
      </c>
    </row>
    <row r="31" spans="2:4">
      <c r="B31" s="27" t="s">
        <v>50</v>
      </c>
      <c r="C31" s="26">
        <v>136</v>
      </c>
      <c r="D31" s="25">
        <v>4.1932599512841855E-3</v>
      </c>
    </row>
    <row r="32" spans="2:4">
      <c r="B32" s="27" t="s">
        <v>49</v>
      </c>
      <c r="C32" s="26">
        <v>133</v>
      </c>
      <c r="D32" s="25">
        <v>4.1007615700058581E-3</v>
      </c>
    </row>
    <row r="33" spans="2:4">
      <c r="B33" s="27" t="s">
        <v>48</v>
      </c>
      <c r="C33" s="26">
        <v>124</v>
      </c>
      <c r="D33" s="25">
        <v>3.8232664261708751E-3</v>
      </c>
    </row>
    <row r="34" spans="2:4">
      <c r="B34" s="27" t="s">
        <v>47</v>
      </c>
      <c r="C34" s="26">
        <v>119</v>
      </c>
      <c r="D34" s="25">
        <v>3.6691024573736624E-3</v>
      </c>
    </row>
    <row r="35" spans="2:4">
      <c r="B35" s="27" t="s">
        <v>46</v>
      </c>
      <c r="C35" s="26">
        <v>116</v>
      </c>
      <c r="D35" s="25">
        <v>3.576604076095335E-3</v>
      </c>
    </row>
    <row r="36" spans="2:4">
      <c r="B36" s="27" t="s">
        <v>45</v>
      </c>
      <c r="C36" s="26">
        <v>112</v>
      </c>
      <c r="D36" s="25">
        <v>3.4532729010575648E-3</v>
      </c>
    </row>
    <row r="37" spans="2:4">
      <c r="B37" s="27" t="s">
        <v>44</v>
      </c>
      <c r="C37" s="26">
        <v>102</v>
      </c>
      <c r="D37" s="25">
        <v>3.1449449634631393E-3</v>
      </c>
    </row>
    <row r="38" spans="2:4">
      <c r="B38" s="27" t="s">
        <v>43</v>
      </c>
      <c r="C38" s="26">
        <v>101</v>
      </c>
      <c r="D38" s="25">
        <v>3.1141121697036969E-3</v>
      </c>
    </row>
    <row r="39" spans="2:4">
      <c r="B39" s="27" t="s">
        <v>42</v>
      </c>
      <c r="C39" s="26">
        <v>100</v>
      </c>
      <c r="D39" s="25">
        <v>3.0832793759442544E-3</v>
      </c>
    </row>
    <row r="40" spans="2:4">
      <c r="B40" s="27" t="s">
        <v>41</v>
      </c>
      <c r="C40" s="26">
        <v>78</v>
      </c>
      <c r="D40" s="25">
        <v>2.4049579132365182E-3</v>
      </c>
    </row>
    <row r="41" spans="2:4">
      <c r="B41" s="27" t="s">
        <v>40</v>
      </c>
      <c r="C41" s="26">
        <v>73</v>
      </c>
      <c r="D41" s="25">
        <v>2.2507939444393055E-3</v>
      </c>
    </row>
    <row r="42" spans="2:4">
      <c r="B42" s="27" t="s">
        <v>39</v>
      </c>
      <c r="C42" s="26">
        <v>70</v>
      </c>
      <c r="D42" s="25">
        <v>2.1582955631609781E-3</v>
      </c>
    </row>
    <row r="43" spans="2:4">
      <c r="B43" s="27" t="s">
        <v>38</v>
      </c>
      <c r="C43" s="26">
        <v>63</v>
      </c>
      <c r="D43" s="25">
        <v>1.9424660068448802E-3</v>
      </c>
    </row>
    <row r="44" spans="2:4">
      <c r="B44" s="27" t="s">
        <v>37</v>
      </c>
      <c r="C44" s="26">
        <v>39</v>
      </c>
      <c r="D44" s="25">
        <v>1.2024789566182591E-3</v>
      </c>
    </row>
    <row r="45" spans="2:4">
      <c r="B45" s="27" t="s">
        <v>36</v>
      </c>
      <c r="C45" s="26">
        <v>31</v>
      </c>
      <c r="D45" s="25">
        <v>9.5581660654271879E-4</v>
      </c>
    </row>
    <row r="46" spans="2:4">
      <c r="B46" s="27" t="s">
        <v>35</v>
      </c>
      <c r="C46" s="26">
        <v>31</v>
      </c>
      <c r="D46" s="25">
        <v>9.5581660654271879E-4</v>
      </c>
    </row>
    <row r="47" spans="2:4">
      <c r="B47" s="27" t="s">
        <v>34</v>
      </c>
      <c r="C47" s="26">
        <v>30</v>
      </c>
      <c r="D47" s="25">
        <v>9.2498381278327633E-4</v>
      </c>
    </row>
    <row r="48" spans="2:4">
      <c r="B48" s="27" t="s">
        <v>33</v>
      </c>
      <c r="C48" s="26">
        <v>27</v>
      </c>
      <c r="D48" s="25">
        <v>8.3248543150494863E-4</v>
      </c>
    </row>
    <row r="49" spans="2:4">
      <c r="B49" s="27" t="s">
        <v>32</v>
      </c>
      <c r="C49" s="26">
        <v>21</v>
      </c>
      <c r="D49" s="25">
        <v>6.4748866894829345E-4</v>
      </c>
    </row>
    <row r="50" spans="2:4">
      <c r="B50" s="27" t="s">
        <v>31</v>
      </c>
      <c r="C50" s="26">
        <v>17</v>
      </c>
      <c r="D50" s="25">
        <v>5.2415749391052319E-4</v>
      </c>
    </row>
    <row r="51" spans="2:4">
      <c r="B51" s="27" t="s">
        <v>30</v>
      </c>
      <c r="C51" s="26">
        <v>14</v>
      </c>
      <c r="D51" s="25">
        <v>4.316591126321956E-4</v>
      </c>
    </row>
    <row r="52" spans="2:4">
      <c r="B52" s="27" t="s">
        <v>29</v>
      </c>
      <c r="C52" s="26">
        <v>9</v>
      </c>
      <c r="D52" s="25">
        <v>2.7749514383498288E-4</v>
      </c>
    </row>
    <row r="53" spans="2:4">
      <c r="B53" s="27" t="s">
        <v>28</v>
      </c>
      <c r="C53" s="26">
        <v>6</v>
      </c>
      <c r="D53" s="25">
        <v>1.8499676255665526E-4</v>
      </c>
    </row>
    <row r="54" spans="2:4">
      <c r="B54" s="27" t="s">
        <v>27</v>
      </c>
      <c r="C54" s="26">
        <v>4</v>
      </c>
      <c r="D54" s="25">
        <v>1.2333117503777018E-4</v>
      </c>
    </row>
    <row r="55" spans="2:4">
      <c r="B55" s="27" t="s">
        <v>26</v>
      </c>
      <c r="C55" s="26">
        <v>4</v>
      </c>
      <c r="D55" s="25">
        <v>1.2333117503777018E-4</v>
      </c>
    </row>
    <row r="56" spans="2:4">
      <c r="B56" s="27" t="s">
        <v>25</v>
      </c>
      <c r="C56" s="26">
        <v>3</v>
      </c>
      <c r="D56" s="25">
        <v>9.249838127832763E-5</v>
      </c>
    </row>
    <row r="57" spans="2:4">
      <c r="B57" s="27" t="s">
        <v>24</v>
      </c>
      <c r="C57" s="26">
        <v>1</v>
      </c>
      <c r="D57" s="25">
        <v>3.0832793759442546E-5</v>
      </c>
    </row>
    <row r="58" spans="2:4" ht="15" customHeight="1">
      <c r="B58" s="24" t="s">
        <v>23</v>
      </c>
      <c r="C58" s="23">
        <v>32433</v>
      </c>
      <c r="D58" s="22">
        <v>1</v>
      </c>
    </row>
    <row r="60" spans="2:4">
      <c r="B60" s="19" t="s">
        <v>22</v>
      </c>
    </row>
    <row r="61" spans="2:4">
      <c r="B61" s="21" t="s">
        <v>21</v>
      </c>
    </row>
    <row r="62" spans="2:4">
      <c r="B62" s="20" t="s">
        <v>20</v>
      </c>
    </row>
    <row r="63" spans="2:4">
      <c r="B63" s="19" t="s">
        <v>19</v>
      </c>
    </row>
    <row r="64" spans="2:4">
      <c r="B64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8"/>
  <sheetViews>
    <sheetView showGridLines="0" topLeftCell="A43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125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124</v>
      </c>
      <c r="C11" s="31" t="s">
        <v>71</v>
      </c>
      <c r="D11" s="30" t="s">
        <v>70</v>
      </c>
    </row>
    <row r="12" spans="1:4" ht="15" customHeight="1">
      <c r="B12" s="27" t="s">
        <v>121</v>
      </c>
      <c r="C12" s="26">
        <v>8494</v>
      </c>
      <c r="D12" s="25">
        <f t="shared" ref="D12:D43" si="0">C12/$C$62</f>
        <v>0.26189375019270494</v>
      </c>
    </row>
    <row r="13" spans="1:4">
      <c r="B13" s="27" t="s">
        <v>120</v>
      </c>
      <c r="C13" s="26">
        <v>8092</v>
      </c>
      <c r="D13" s="25">
        <f t="shared" si="0"/>
        <v>0.24949896710140906</v>
      </c>
    </row>
    <row r="14" spans="1:4" s="28" customFormat="1">
      <c r="A14" s="17"/>
      <c r="B14" s="27" t="s">
        <v>119</v>
      </c>
      <c r="C14" s="26">
        <v>2168</v>
      </c>
      <c r="D14" s="25">
        <f t="shared" si="0"/>
        <v>6.6845496870471435E-2</v>
      </c>
    </row>
    <row r="15" spans="1:4" s="28" customFormat="1">
      <c r="A15" s="17"/>
      <c r="B15" s="27" t="s">
        <v>109</v>
      </c>
      <c r="C15" s="26">
        <v>2030</v>
      </c>
      <c r="D15" s="25">
        <f t="shared" si="0"/>
        <v>6.2590571331668357E-2</v>
      </c>
    </row>
    <row r="16" spans="1:4">
      <c r="B16" s="27" t="s">
        <v>111</v>
      </c>
      <c r="C16" s="26">
        <v>1391</v>
      </c>
      <c r="D16" s="25">
        <f t="shared" si="0"/>
        <v>4.2888416119384577E-2</v>
      </c>
    </row>
    <row r="17" spans="2:4">
      <c r="B17" s="27" t="s">
        <v>103</v>
      </c>
      <c r="C17" s="26">
        <v>1285</v>
      </c>
      <c r="D17" s="25">
        <f t="shared" si="0"/>
        <v>3.9620139980883665E-2</v>
      </c>
    </row>
    <row r="18" spans="2:4">
      <c r="B18" s="27" t="s">
        <v>122</v>
      </c>
      <c r="C18" s="26">
        <v>1115</v>
      </c>
      <c r="D18" s="25">
        <f t="shared" si="0"/>
        <v>3.4378565041778435E-2</v>
      </c>
    </row>
    <row r="19" spans="2:4">
      <c r="B19" s="27" t="s">
        <v>116</v>
      </c>
      <c r="C19" s="26">
        <v>1055</v>
      </c>
      <c r="D19" s="25">
        <f t="shared" si="0"/>
        <v>3.2528597416211884E-2</v>
      </c>
    </row>
    <row r="20" spans="2:4">
      <c r="B20" s="27" t="s">
        <v>102</v>
      </c>
      <c r="C20" s="26">
        <v>611</v>
      </c>
      <c r="D20" s="25">
        <f t="shared" si="0"/>
        <v>1.8838836987019394E-2</v>
      </c>
    </row>
    <row r="21" spans="2:4">
      <c r="B21" s="27" t="s">
        <v>110</v>
      </c>
      <c r="C21" s="26">
        <v>593</v>
      </c>
      <c r="D21" s="25">
        <f t="shared" si="0"/>
        <v>1.8283846699349428E-2</v>
      </c>
    </row>
    <row r="22" spans="2:4">
      <c r="B22" s="27" t="s">
        <v>123</v>
      </c>
      <c r="C22" s="26">
        <v>488</v>
      </c>
      <c r="D22" s="25">
        <f t="shared" si="0"/>
        <v>1.5046403354607961E-2</v>
      </c>
    </row>
    <row r="23" spans="2:4">
      <c r="B23" s="27" t="s">
        <v>89</v>
      </c>
      <c r="C23" s="26">
        <v>472</v>
      </c>
      <c r="D23" s="25">
        <f t="shared" si="0"/>
        <v>1.455307865445688E-2</v>
      </c>
    </row>
    <row r="24" spans="2:4">
      <c r="B24" s="27" t="s">
        <v>105</v>
      </c>
      <c r="C24" s="26">
        <v>454</v>
      </c>
      <c r="D24" s="25">
        <f t="shared" si="0"/>
        <v>1.3998088366786914E-2</v>
      </c>
    </row>
    <row r="25" spans="2:4">
      <c r="B25" s="27" t="s">
        <v>86</v>
      </c>
      <c r="C25" s="26">
        <v>399</v>
      </c>
      <c r="D25" s="25">
        <f t="shared" si="0"/>
        <v>1.2302284710017574E-2</v>
      </c>
    </row>
    <row r="26" spans="2:4">
      <c r="B26" s="27" t="s">
        <v>100</v>
      </c>
      <c r="C26" s="26">
        <v>359</v>
      </c>
      <c r="D26" s="25">
        <f t="shared" si="0"/>
        <v>1.1068972959639873E-2</v>
      </c>
    </row>
    <row r="27" spans="2:4">
      <c r="B27" s="27" t="s">
        <v>97</v>
      </c>
      <c r="C27" s="26">
        <v>294</v>
      </c>
      <c r="D27" s="25">
        <f t="shared" si="0"/>
        <v>9.0648413652761068E-3</v>
      </c>
    </row>
    <row r="28" spans="2:4">
      <c r="B28" s="27" t="s">
        <v>39</v>
      </c>
      <c r="C28" s="26">
        <v>282</v>
      </c>
      <c r="D28" s="25">
        <f t="shared" si="0"/>
        <v>8.6948478401627973E-3</v>
      </c>
    </row>
    <row r="29" spans="2:4">
      <c r="B29" s="27" t="s">
        <v>104</v>
      </c>
      <c r="C29" s="26">
        <v>228</v>
      </c>
      <c r="D29" s="25">
        <f t="shared" si="0"/>
        <v>7.0298769771528994E-3</v>
      </c>
    </row>
    <row r="30" spans="2:4">
      <c r="B30" s="27" t="s">
        <v>84</v>
      </c>
      <c r="C30" s="26">
        <v>218</v>
      </c>
      <c r="D30" s="25">
        <f t="shared" si="0"/>
        <v>6.7215490395584748E-3</v>
      </c>
    </row>
    <row r="31" spans="2:4">
      <c r="B31" s="27" t="s">
        <v>99</v>
      </c>
      <c r="C31" s="26">
        <v>206</v>
      </c>
      <c r="D31" s="25">
        <f t="shared" si="0"/>
        <v>6.3515555144451636E-3</v>
      </c>
    </row>
    <row r="32" spans="2:4">
      <c r="B32" s="27" t="s">
        <v>91</v>
      </c>
      <c r="C32" s="26">
        <v>202</v>
      </c>
      <c r="D32" s="25">
        <f t="shared" si="0"/>
        <v>6.2282243394073938E-3</v>
      </c>
    </row>
    <row r="33" spans="2:4">
      <c r="B33" s="27" t="s">
        <v>90</v>
      </c>
      <c r="C33" s="26">
        <v>196</v>
      </c>
      <c r="D33" s="25">
        <f t="shared" si="0"/>
        <v>6.0432275768507382E-3</v>
      </c>
    </row>
    <row r="34" spans="2:4">
      <c r="B34" s="27" t="s">
        <v>115</v>
      </c>
      <c r="C34" s="26">
        <v>170</v>
      </c>
      <c r="D34" s="25">
        <f t="shared" si="0"/>
        <v>5.2415749391052325E-3</v>
      </c>
    </row>
    <row r="35" spans="2:4">
      <c r="B35" s="27" t="s">
        <v>95</v>
      </c>
      <c r="C35" s="26">
        <v>145</v>
      </c>
      <c r="D35" s="25">
        <f t="shared" si="0"/>
        <v>4.4707550951191685E-3</v>
      </c>
    </row>
    <row r="36" spans="2:4">
      <c r="B36" s="27" t="s">
        <v>114</v>
      </c>
      <c r="C36" s="26">
        <v>145</v>
      </c>
      <c r="D36" s="25">
        <f t="shared" si="0"/>
        <v>4.4707550951191685E-3</v>
      </c>
    </row>
    <row r="37" spans="2:4">
      <c r="B37" s="27" t="s">
        <v>107</v>
      </c>
      <c r="C37" s="26">
        <v>143</v>
      </c>
      <c r="D37" s="25">
        <f t="shared" si="0"/>
        <v>4.4090895076002836E-3</v>
      </c>
    </row>
    <row r="38" spans="2:4">
      <c r="B38" s="27" t="s">
        <v>93</v>
      </c>
      <c r="C38" s="26">
        <v>132</v>
      </c>
      <c r="D38" s="25">
        <f t="shared" si="0"/>
        <v>4.0699287762464157E-3</v>
      </c>
    </row>
    <row r="39" spans="2:4">
      <c r="B39" s="27" t="s">
        <v>87</v>
      </c>
      <c r="C39" s="26">
        <v>104</v>
      </c>
      <c r="D39" s="25">
        <f t="shared" si="0"/>
        <v>3.2066105509820247E-3</v>
      </c>
    </row>
    <row r="40" spans="2:4">
      <c r="B40" s="27" t="s">
        <v>118</v>
      </c>
      <c r="C40" s="26">
        <v>104</v>
      </c>
      <c r="D40" s="25">
        <f t="shared" si="0"/>
        <v>3.2066105509820247E-3</v>
      </c>
    </row>
    <row r="41" spans="2:4">
      <c r="B41" s="27" t="s">
        <v>117</v>
      </c>
      <c r="C41" s="26">
        <v>100</v>
      </c>
      <c r="D41" s="25">
        <f t="shared" si="0"/>
        <v>3.0832793759442544E-3</v>
      </c>
    </row>
    <row r="42" spans="2:4">
      <c r="B42" s="27" t="s">
        <v>113</v>
      </c>
      <c r="C42" s="26">
        <v>88</v>
      </c>
      <c r="D42" s="25">
        <f t="shared" si="0"/>
        <v>2.7132858508309436E-3</v>
      </c>
    </row>
    <row r="43" spans="2:4">
      <c r="B43" s="27" t="s">
        <v>96</v>
      </c>
      <c r="C43" s="26">
        <v>86</v>
      </c>
      <c r="D43" s="25">
        <f t="shared" si="0"/>
        <v>2.6516202633120587E-3</v>
      </c>
    </row>
    <row r="44" spans="2:4">
      <c r="B44" s="27" t="s">
        <v>94</v>
      </c>
      <c r="C44" s="26">
        <v>83</v>
      </c>
      <c r="D44" s="25">
        <f t="shared" ref="D44:D75" si="1">C44/$C$62</f>
        <v>2.5591218820337309E-3</v>
      </c>
    </row>
    <row r="45" spans="2:4">
      <c r="B45" s="27" t="s">
        <v>112</v>
      </c>
      <c r="C45" s="26">
        <v>74</v>
      </c>
      <c r="D45" s="25">
        <f t="shared" si="1"/>
        <v>2.2816267381987484E-3</v>
      </c>
    </row>
    <row r="46" spans="2:4">
      <c r="B46" s="27" t="s">
        <v>101</v>
      </c>
      <c r="C46" s="26">
        <v>69</v>
      </c>
      <c r="D46" s="25">
        <f t="shared" si="1"/>
        <v>2.1274627694015356E-3</v>
      </c>
    </row>
    <row r="47" spans="2:4">
      <c r="B47" s="27" t="s">
        <v>98</v>
      </c>
      <c r="C47" s="26">
        <v>56</v>
      </c>
      <c r="D47" s="25">
        <f t="shared" si="1"/>
        <v>1.7266364505287824E-3</v>
      </c>
    </row>
    <row r="48" spans="2:4">
      <c r="B48" s="27" t="s">
        <v>92</v>
      </c>
      <c r="C48" s="26">
        <v>54</v>
      </c>
      <c r="D48" s="25">
        <f t="shared" si="1"/>
        <v>1.6649708630098973E-3</v>
      </c>
    </row>
    <row r="49" spans="2:4">
      <c r="B49" s="27" t="s">
        <v>108</v>
      </c>
      <c r="C49" s="26">
        <v>52</v>
      </c>
      <c r="D49" s="25">
        <f t="shared" si="1"/>
        <v>1.6033052754910123E-3</v>
      </c>
    </row>
    <row r="50" spans="2:4">
      <c r="B50" s="27" t="s">
        <v>106</v>
      </c>
      <c r="C50" s="26">
        <v>49</v>
      </c>
      <c r="D50" s="25">
        <f t="shared" si="1"/>
        <v>1.5108068942126845E-3</v>
      </c>
    </row>
    <row r="51" spans="2:4">
      <c r="B51" s="27" t="s">
        <v>85</v>
      </c>
      <c r="C51" s="26">
        <v>37</v>
      </c>
      <c r="D51" s="25">
        <f t="shared" si="1"/>
        <v>1.1408133690993742E-3</v>
      </c>
    </row>
    <row r="52" spans="2:4">
      <c r="B52" s="27" t="s">
        <v>82</v>
      </c>
      <c r="C52" s="26">
        <v>27</v>
      </c>
      <c r="D52" s="25">
        <f t="shared" si="1"/>
        <v>8.3248543150494863E-4</v>
      </c>
    </row>
    <row r="53" spans="2:4">
      <c r="B53" s="27" t="s">
        <v>88</v>
      </c>
      <c r="C53" s="26">
        <v>23</v>
      </c>
      <c r="D53" s="25">
        <f t="shared" si="1"/>
        <v>7.0915425646717847E-4</v>
      </c>
    </row>
    <row r="54" spans="2:4">
      <c r="B54" s="27" t="s">
        <v>81</v>
      </c>
      <c r="C54" s="26">
        <v>21</v>
      </c>
      <c r="D54" s="25">
        <f t="shared" si="1"/>
        <v>6.4748866894829345E-4</v>
      </c>
    </row>
    <row r="55" spans="2:4">
      <c r="B55" s="27" t="s">
        <v>83</v>
      </c>
      <c r="C55" s="26">
        <v>15</v>
      </c>
      <c r="D55" s="25">
        <f t="shared" si="1"/>
        <v>4.6249190639163816E-4</v>
      </c>
    </row>
    <row r="56" spans="2:4">
      <c r="B56" s="27" t="s">
        <v>78</v>
      </c>
      <c r="C56" s="26">
        <v>14</v>
      </c>
      <c r="D56" s="25">
        <f t="shared" si="1"/>
        <v>4.316591126321956E-4</v>
      </c>
    </row>
    <row r="57" spans="2:4">
      <c r="B57" s="27" t="s">
        <v>75</v>
      </c>
      <c r="C57" s="26">
        <v>5</v>
      </c>
      <c r="D57" s="25">
        <f t="shared" si="1"/>
        <v>1.5416396879721272E-4</v>
      </c>
    </row>
    <row r="58" spans="2:4">
      <c r="B58" s="27" t="s">
        <v>80</v>
      </c>
      <c r="C58" s="26">
        <v>4</v>
      </c>
      <c r="D58" s="25">
        <f t="shared" si="1"/>
        <v>1.2333117503777018E-4</v>
      </c>
    </row>
    <row r="59" spans="2:4">
      <c r="B59" s="27" t="s">
        <v>79</v>
      </c>
      <c r="C59" s="26">
        <v>1</v>
      </c>
      <c r="D59" s="25">
        <f t="shared" si="1"/>
        <v>3.0832793759442546E-5</v>
      </c>
    </row>
    <row r="60" spans="2:4">
      <c r="B60" s="27" t="s">
        <v>76</v>
      </c>
      <c r="C60" s="26">
        <v>0</v>
      </c>
      <c r="D60" s="25">
        <f t="shared" si="1"/>
        <v>0</v>
      </c>
    </row>
    <row r="61" spans="2:4">
      <c r="B61" s="27" t="s">
        <v>77</v>
      </c>
      <c r="C61" s="26">
        <v>0</v>
      </c>
      <c r="D61" s="25">
        <f t="shared" si="1"/>
        <v>0</v>
      </c>
    </row>
    <row r="62" spans="2:4">
      <c r="B62" s="24" t="s">
        <v>23</v>
      </c>
      <c r="C62" s="23">
        <v>32433</v>
      </c>
      <c r="D62" s="22">
        <f t="shared" si="1"/>
        <v>1</v>
      </c>
    </row>
    <row r="64" spans="2:4">
      <c r="B64" s="19" t="s">
        <v>22</v>
      </c>
    </row>
    <row r="65" spans="2:2">
      <c r="B65" s="21" t="s">
        <v>21</v>
      </c>
    </row>
    <row r="66" spans="2:2">
      <c r="B66" s="20" t="s">
        <v>20</v>
      </c>
    </row>
    <row r="67" spans="2:2">
      <c r="B67" s="19" t="s">
        <v>19</v>
      </c>
    </row>
    <row r="68" spans="2:2">
      <c r="B68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8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125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124</v>
      </c>
      <c r="C11" s="31" t="s">
        <v>71</v>
      </c>
      <c r="D11" s="30" t="s">
        <v>70</v>
      </c>
    </row>
    <row r="12" spans="1:4" ht="15" customHeight="1">
      <c r="B12" s="27" t="s">
        <v>121</v>
      </c>
      <c r="C12" s="26">
        <v>8494</v>
      </c>
      <c r="D12" s="25">
        <f t="shared" ref="D12:D22" si="0">C12/$C$22</f>
        <v>0.31653871953491841</v>
      </c>
    </row>
    <row r="13" spans="1:4">
      <c r="B13" s="27" t="s">
        <v>120</v>
      </c>
      <c r="C13" s="26">
        <v>8092</v>
      </c>
      <c r="D13" s="25">
        <f t="shared" si="0"/>
        <v>0.30155772527390623</v>
      </c>
    </row>
    <row r="14" spans="1:4" s="28" customFormat="1">
      <c r="A14" s="17"/>
      <c r="B14" s="27" t="s">
        <v>119</v>
      </c>
      <c r="C14" s="26">
        <v>2168</v>
      </c>
      <c r="D14" s="25">
        <f t="shared" si="0"/>
        <v>8.0793023775806813E-2</v>
      </c>
    </row>
    <row r="15" spans="1:4" s="28" customFormat="1">
      <c r="A15" s="17"/>
      <c r="B15" s="27" t="s">
        <v>109</v>
      </c>
      <c r="C15" s="26">
        <v>2030</v>
      </c>
      <c r="D15" s="25">
        <f t="shared" si="0"/>
        <v>7.5650294402623539E-2</v>
      </c>
    </row>
    <row r="16" spans="1:4">
      <c r="B16" s="27" t="s">
        <v>111</v>
      </c>
      <c r="C16" s="26">
        <v>1391</v>
      </c>
      <c r="D16" s="25">
        <f t="shared" si="0"/>
        <v>5.1837221435492284E-2</v>
      </c>
    </row>
    <row r="17" spans="2:4">
      <c r="B17" s="27" t="s">
        <v>103</v>
      </c>
      <c r="C17" s="26">
        <v>1285</v>
      </c>
      <c r="D17" s="25">
        <f t="shared" si="0"/>
        <v>4.7887009018409483E-2</v>
      </c>
    </row>
    <row r="18" spans="2:4">
      <c r="B18" s="27" t="s">
        <v>122</v>
      </c>
      <c r="C18" s="26">
        <v>1115</v>
      </c>
      <c r="D18" s="25">
        <f t="shared" si="0"/>
        <v>4.1551762689125735E-2</v>
      </c>
    </row>
    <row r="19" spans="2:4">
      <c r="B19" s="27" t="s">
        <v>116</v>
      </c>
      <c r="C19" s="26">
        <v>1055</v>
      </c>
      <c r="D19" s="25">
        <f t="shared" si="0"/>
        <v>3.9315793396437357E-2</v>
      </c>
    </row>
    <row r="20" spans="2:4">
      <c r="B20" s="27" t="s">
        <v>102</v>
      </c>
      <c r="C20" s="26">
        <v>611</v>
      </c>
      <c r="D20" s="25">
        <f t="shared" si="0"/>
        <v>2.2769620630543341E-2</v>
      </c>
    </row>
    <row r="21" spans="2:4">
      <c r="B21" s="27" t="s">
        <v>110</v>
      </c>
      <c r="C21" s="26">
        <v>593</v>
      </c>
      <c r="D21" s="25">
        <f t="shared" si="0"/>
        <v>2.2098829842736825E-2</v>
      </c>
    </row>
    <row r="22" spans="2:4">
      <c r="B22" s="24" t="s">
        <v>23</v>
      </c>
      <c r="C22" s="23">
        <f>SUM(C12:C21)</f>
        <v>26834</v>
      </c>
      <c r="D22" s="22">
        <f t="shared" si="0"/>
        <v>1</v>
      </c>
    </row>
    <row r="24" spans="2:4">
      <c r="B24" s="19" t="s">
        <v>22</v>
      </c>
    </row>
    <row r="25" spans="2:4">
      <c r="B25" s="21" t="s">
        <v>21</v>
      </c>
    </row>
    <row r="26" spans="2:4">
      <c r="B26" s="20" t="s">
        <v>20</v>
      </c>
    </row>
    <row r="27" spans="2:4">
      <c r="B27" s="19" t="s">
        <v>19</v>
      </c>
    </row>
    <row r="28" spans="2:4">
      <c r="B28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76"/>
  <sheetViews>
    <sheetView showGridLines="0" topLeftCell="A49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184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183</v>
      </c>
      <c r="C11" s="31" t="s">
        <v>71</v>
      </c>
      <c r="D11" s="30" t="s">
        <v>70</v>
      </c>
    </row>
    <row r="12" spans="1:4" ht="15" customHeight="1">
      <c r="B12" s="27" t="s">
        <v>182</v>
      </c>
      <c r="C12" s="26">
        <v>5388</v>
      </c>
      <c r="D12" s="25">
        <v>0.16612709277587642</v>
      </c>
    </row>
    <row r="13" spans="1:4">
      <c r="B13" s="27" t="s">
        <v>181</v>
      </c>
      <c r="C13" s="26">
        <v>3485</v>
      </c>
      <c r="D13" s="25">
        <v>0.10745228625165726</v>
      </c>
    </row>
    <row r="14" spans="1:4" s="28" customFormat="1">
      <c r="A14" s="17"/>
      <c r="B14" s="27" t="s">
        <v>180</v>
      </c>
      <c r="C14" s="26">
        <v>2046</v>
      </c>
      <c r="D14" s="25">
        <v>6.3083896031819436E-2</v>
      </c>
    </row>
    <row r="15" spans="1:4" s="28" customFormat="1">
      <c r="A15" s="17"/>
      <c r="B15" s="27" t="s">
        <v>179</v>
      </c>
      <c r="C15" s="26">
        <v>1390</v>
      </c>
      <c r="D15" s="25">
        <v>4.2857583325625136E-2</v>
      </c>
    </row>
    <row r="16" spans="1:4">
      <c r="B16" s="27" t="s">
        <v>178</v>
      </c>
      <c r="C16" s="26">
        <v>1074</v>
      </c>
      <c r="D16" s="25">
        <v>3.3114420497641288E-2</v>
      </c>
    </row>
    <row r="17" spans="2:4">
      <c r="B17" s="27" t="s">
        <v>177</v>
      </c>
      <c r="C17" s="26">
        <v>1066</v>
      </c>
      <c r="D17" s="25">
        <v>3.2867758147565748E-2</v>
      </c>
    </row>
    <row r="18" spans="2:4">
      <c r="B18" s="27" t="s">
        <v>176</v>
      </c>
      <c r="C18" s="26">
        <v>1046</v>
      </c>
      <c r="D18" s="25">
        <v>3.2251102272376903E-2</v>
      </c>
    </row>
    <row r="19" spans="2:4">
      <c r="B19" s="27" t="s">
        <v>175</v>
      </c>
      <c r="C19" s="26">
        <v>1032</v>
      </c>
      <c r="D19" s="25">
        <v>3.1819443159744706E-2</v>
      </c>
    </row>
    <row r="20" spans="2:4">
      <c r="B20" s="27" t="s">
        <v>174</v>
      </c>
      <c r="C20" s="26">
        <v>1029</v>
      </c>
      <c r="D20" s="25">
        <v>3.1726944778466375E-2</v>
      </c>
    </row>
    <row r="21" spans="2:4">
      <c r="B21" s="27" t="s">
        <v>173</v>
      </c>
      <c r="C21" s="26">
        <v>921</v>
      </c>
      <c r="D21" s="25">
        <v>2.8397003052446582E-2</v>
      </c>
    </row>
    <row r="22" spans="2:4">
      <c r="B22" s="27" t="s">
        <v>172</v>
      </c>
      <c r="C22" s="26">
        <v>743</v>
      </c>
      <c r="D22" s="25">
        <v>2.2908765763265809E-2</v>
      </c>
    </row>
    <row r="23" spans="2:4">
      <c r="B23" s="27" t="s">
        <v>171</v>
      </c>
      <c r="C23" s="26">
        <v>673</v>
      </c>
      <c r="D23" s="25">
        <v>2.0750470200104832E-2</v>
      </c>
    </row>
    <row r="24" spans="2:4">
      <c r="B24" s="27" t="s">
        <v>170</v>
      </c>
      <c r="C24" s="26">
        <v>671</v>
      </c>
      <c r="D24" s="25">
        <v>2.0688804612585945E-2</v>
      </c>
    </row>
    <row r="25" spans="2:4">
      <c r="B25" s="27" t="s">
        <v>169</v>
      </c>
      <c r="C25" s="26">
        <v>646</v>
      </c>
      <c r="D25" s="25">
        <v>1.9917984768599881E-2</v>
      </c>
    </row>
    <row r="26" spans="2:4">
      <c r="B26" s="27" t="s">
        <v>168</v>
      </c>
      <c r="C26" s="26">
        <v>638</v>
      </c>
      <c r="D26" s="25">
        <v>1.9671322418524342E-2</v>
      </c>
    </row>
    <row r="27" spans="2:4">
      <c r="B27" s="27" t="s">
        <v>167</v>
      </c>
      <c r="C27" s="26">
        <v>629</v>
      </c>
      <c r="D27" s="25">
        <v>1.939382727468936E-2</v>
      </c>
    </row>
    <row r="28" spans="2:4">
      <c r="B28" s="27" t="s">
        <v>166</v>
      </c>
      <c r="C28" s="26">
        <v>607</v>
      </c>
      <c r="D28" s="25">
        <v>1.8715505811981625E-2</v>
      </c>
    </row>
    <row r="29" spans="2:4">
      <c r="B29" s="27" t="s">
        <v>165</v>
      </c>
      <c r="C29" s="26">
        <v>578</v>
      </c>
      <c r="D29" s="25">
        <v>1.7821354792957791E-2</v>
      </c>
    </row>
    <row r="30" spans="2:4">
      <c r="B30" s="27" t="s">
        <v>164</v>
      </c>
      <c r="C30" s="26">
        <v>508</v>
      </c>
      <c r="D30" s="25">
        <v>1.5663059229796814E-2</v>
      </c>
    </row>
    <row r="31" spans="2:4">
      <c r="B31" s="27" t="s">
        <v>163</v>
      </c>
      <c r="C31" s="26">
        <v>499</v>
      </c>
      <c r="D31" s="25">
        <v>1.5385564085961829E-2</v>
      </c>
    </row>
    <row r="32" spans="2:4">
      <c r="B32" s="27" t="s">
        <v>162</v>
      </c>
      <c r="C32" s="26">
        <v>480</v>
      </c>
      <c r="D32" s="25">
        <v>1.4799741004532421E-2</v>
      </c>
    </row>
    <row r="33" spans="2:4">
      <c r="B33" s="27" t="s">
        <v>161</v>
      </c>
      <c r="C33" s="26">
        <v>464</v>
      </c>
      <c r="D33" s="25">
        <v>1.430641630438134E-2</v>
      </c>
    </row>
    <row r="34" spans="2:4">
      <c r="B34" s="27" t="s">
        <v>160</v>
      </c>
      <c r="C34" s="26">
        <v>437</v>
      </c>
      <c r="D34" s="25">
        <v>1.3473930872876391E-2</v>
      </c>
    </row>
    <row r="35" spans="2:4">
      <c r="B35" s="27" t="s">
        <v>159</v>
      </c>
      <c r="C35" s="26">
        <v>425</v>
      </c>
      <c r="D35" s="25">
        <v>1.310393734776308E-2</v>
      </c>
    </row>
    <row r="36" spans="2:4">
      <c r="B36" s="27" t="s">
        <v>158</v>
      </c>
      <c r="C36" s="26">
        <v>415</v>
      </c>
      <c r="D36" s="25">
        <v>1.2795609410168655E-2</v>
      </c>
    </row>
    <row r="37" spans="2:4">
      <c r="B37" s="27" t="s">
        <v>157</v>
      </c>
      <c r="C37" s="26">
        <v>409</v>
      </c>
      <c r="D37" s="25">
        <v>1.2610612647612001E-2</v>
      </c>
    </row>
    <row r="38" spans="2:4">
      <c r="B38" s="27" t="s">
        <v>156</v>
      </c>
      <c r="C38" s="26">
        <v>378</v>
      </c>
      <c r="D38" s="25">
        <v>1.1654796041069282E-2</v>
      </c>
    </row>
    <row r="39" spans="2:4">
      <c r="B39" s="27" t="s">
        <v>155</v>
      </c>
      <c r="C39" s="26">
        <v>362</v>
      </c>
      <c r="D39" s="25">
        <v>1.1161471340918201E-2</v>
      </c>
    </row>
    <row r="40" spans="2:4">
      <c r="B40" s="27" t="s">
        <v>154</v>
      </c>
      <c r="C40" s="26">
        <v>360</v>
      </c>
      <c r="D40" s="25">
        <v>1.1099805753399316E-2</v>
      </c>
    </row>
    <row r="41" spans="2:4">
      <c r="B41" s="27" t="s">
        <v>153</v>
      </c>
      <c r="C41" s="26">
        <v>346</v>
      </c>
      <c r="D41" s="25">
        <v>1.066814664076712E-2</v>
      </c>
    </row>
    <row r="42" spans="2:4">
      <c r="B42" s="27" t="s">
        <v>152</v>
      </c>
      <c r="C42" s="26">
        <v>320</v>
      </c>
      <c r="D42" s="25">
        <v>9.8664940030216142E-3</v>
      </c>
    </row>
    <row r="43" spans="2:4">
      <c r="B43" s="27" t="s">
        <v>151</v>
      </c>
      <c r="C43" s="26">
        <v>315</v>
      </c>
      <c r="D43" s="25">
        <v>9.712330034224401E-3</v>
      </c>
    </row>
    <row r="44" spans="2:4">
      <c r="B44" s="27" t="s">
        <v>150</v>
      </c>
      <c r="C44" s="26">
        <v>290</v>
      </c>
      <c r="D44" s="25">
        <v>8.941510190238337E-3</v>
      </c>
    </row>
    <row r="45" spans="2:4">
      <c r="B45" s="27" t="s">
        <v>149</v>
      </c>
      <c r="C45" s="26">
        <v>278</v>
      </c>
      <c r="D45" s="25">
        <v>8.5715166651250275E-3</v>
      </c>
    </row>
    <row r="46" spans="2:4">
      <c r="B46" s="27" t="s">
        <v>148</v>
      </c>
      <c r="C46" s="26">
        <v>255</v>
      </c>
      <c r="D46" s="25">
        <v>7.8623624086578484E-3</v>
      </c>
    </row>
    <row r="47" spans="2:4">
      <c r="B47" s="27" t="s">
        <v>147</v>
      </c>
      <c r="C47" s="26">
        <v>255</v>
      </c>
      <c r="D47" s="25">
        <v>7.8623624086578484E-3</v>
      </c>
    </row>
    <row r="48" spans="2:4">
      <c r="B48" s="27" t="s">
        <v>146</v>
      </c>
      <c r="C48" s="26">
        <v>255</v>
      </c>
      <c r="D48" s="25">
        <v>7.8623624086578484E-3</v>
      </c>
    </row>
    <row r="49" spans="2:4">
      <c r="B49" s="27" t="s">
        <v>145</v>
      </c>
      <c r="C49" s="26">
        <v>220</v>
      </c>
      <c r="D49" s="25">
        <v>6.7832146270773597E-3</v>
      </c>
    </row>
    <row r="50" spans="2:4">
      <c r="B50" s="27" t="s">
        <v>144</v>
      </c>
      <c r="C50" s="26">
        <v>219</v>
      </c>
      <c r="D50" s="25">
        <v>6.7523818333179173E-3</v>
      </c>
    </row>
    <row r="51" spans="2:4" ht="27">
      <c r="B51" s="27" t="s">
        <v>143</v>
      </c>
      <c r="C51" s="26">
        <v>217</v>
      </c>
      <c r="D51" s="25">
        <v>6.6907162457990315E-3</v>
      </c>
    </row>
    <row r="52" spans="2:4">
      <c r="B52" s="27" t="s">
        <v>142</v>
      </c>
      <c r="C52" s="26">
        <v>148</v>
      </c>
      <c r="D52" s="25">
        <v>4.5632534763974967E-3</v>
      </c>
    </row>
    <row r="53" spans="2:4">
      <c r="B53" s="27" t="s">
        <v>141</v>
      </c>
      <c r="C53" s="26">
        <v>112</v>
      </c>
      <c r="D53" s="25">
        <v>3.4532729010575648E-3</v>
      </c>
    </row>
    <row r="54" spans="2:4">
      <c r="B54" s="27" t="s">
        <v>140</v>
      </c>
      <c r="C54" s="26">
        <v>95</v>
      </c>
      <c r="D54" s="25">
        <v>2.9291154071470417E-3</v>
      </c>
    </row>
    <row r="55" spans="2:4">
      <c r="B55" s="27" t="s">
        <v>139</v>
      </c>
      <c r="C55" s="26">
        <v>89</v>
      </c>
      <c r="D55" s="25">
        <v>2.7441186445903865E-3</v>
      </c>
    </row>
    <row r="56" spans="2:4">
      <c r="B56" s="27" t="s">
        <v>138</v>
      </c>
      <c r="C56" s="26">
        <v>76</v>
      </c>
      <c r="D56" s="25">
        <v>2.3432923257176333E-3</v>
      </c>
    </row>
    <row r="57" spans="2:4" ht="27">
      <c r="B57" s="27" t="s">
        <v>137</v>
      </c>
      <c r="C57" s="26">
        <v>74</v>
      </c>
      <c r="D57" s="25">
        <v>2.2816267381987484E-3</v>
      </c>
    </row>
    <row r="58" spans="2:4">
      <c r="B58" s="27" t="s">
        <v>136</v>
      </c>
      <c r="C58" s="26">
        <v>72</v>
      </c>
      <c r="D58" s="25">
        <v>2.219961150679863E-3</v>
      </c>
    </row>
    <row r="59" spans="2:4">
      <c r="B59" s="27" t="s">
        <v>135</v>
      </c>
      <c r="C59" s="26">
        <v>71</v>
      </c>
      <c r="D59" s="25">
        <v>2.1891283569204206E-3</v>
      </c>
    </row>
    <row r="60" spans="2:4" ht="27">
      <c r="B60" s="27" t="s">
        <v>134</v>
      </c>
      <c r="C60" s="26">
        <v>65</v>
      </c>
      <c r="D60" s="25">
        <v>2.0041315943637654E-3</v>
      </c>
    </row>
    <row r="61" spans="2:4">
      <c r="B61" s="27" t="s">
        <v>133</v>
      </c>
      <c r="C61" s="26">
        <v>46</v>
      </c>
      <c r="D61" s="25">
        <v>1.4183085129343569E-3</v>
      </c>
    </row>
    <row r="62" spans="2:4">
      <c r="B62" s="27" t="s">
        <v>132</v>
      </c>
      <c r="C62" s="26">
        <v>37</v>
      </c>
      <c r="D62" s="25">
        <v>1.1408133690993742E-3</v>
      </c>
    </row>
    <row r="63" spans="2:4">
      <c r="B63" s="27" t="s">
        <v>131</v>
      </c>
      <c r="C63" s="26">
        <v>36</v>
      </c>
      <c r="D63" s="25">
        <v>1.1099805753399315E-3</v>
      </c>
    </row>
    <row r="64" spans="2:4">
      <c r="B64" s="27" t="s">
        <v>130</v>
      </c>
      <c r="C64" s="26">
        <v>33</v>
      </c>
      <c r="D64" s="25">
        <v>1.0174821940616039E-3</v>
      </c>
    </row>
    <row r="65" spans="2:4">
      <c r="B65" s="27" t="s">
        <v>129</v>
      </c>
      <c r="C65" s="26">
        <v>32</v>
      </c>
      <c r="D65" s="25">
        <v>9.8664940030216146E-4</v>
      </c>
    </row>
    <row r="66" spans="2:4">
      <c r="B66" s="27" t="s">
        <v>103</v>
      </c>
      <c r="C66" s="26">
        <v>24</v>
      </c>
      <c r="D66" s="25">
        <v>7.3998705022662104E-4</v>
      </c>
    </row>
    <row r="67" spans="2:4">
      <c r="B67" s="27" t="s">
        <v>128</v>
      </c>
      <c r="C67" s="26">
        <v>20</v>
      </c>
      <c r="D67" s="25">
        <v>6.1665587518885089E-4</v>
      </c>
    </row>
    <row r="68" spans="2:4">
      <c r="B68" s="27" t="s">
        <v>127</v>
      </c>
      <c r="C68" s="26">
        <v>17</v>
      </c>
      <c r="D68" s="25">
        <v>5.2415749391052319E-4</v>
      </c>
    </row>
    <row r="69" spans="2:4">
      <c r="B69" s="27" t="s">
        <v>126</v>
      </c>
      <c r="C69" s="26">
        <v>17</v>
      </c>
      <c r="D69" s="25">
        <v>5.2415749391052319E-4</v>
      </c>
    </row>
    <row r="70" spans="2:4">
      <c r="B70" s="24" t="s">
        <v>23</v>
      </c>
      <c r="C70" s="23">
        <v>32433</v>
      </c>
      <c r="D70" s="22">
        <v>1</v>
      </c>
    </row>
    <row r="72" spans="2:4">
      <c r="B72" s="19" t="s">
        <v>22</v>
      </c>
    </row>
    <row r="73" spans="2:4">
      <c r="B73" s="21" t="s">
        <v>21</v>
      </c>
    </row>
    <row r="74" spans="2:4">
      <c r="B74" s="20" t="s">
        <v>20</v>
      </c>
    </row>
    <row r="75" spans="2:4">
      <c r="B75" s="19" t="s">
        <v>19</v>
      </c>
    </row>
    <row r="76" spans="2:4">
      <c r="B76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336"/>
  <sheetViews>
    <sheetView topLeftCell="A1300" zoomScaleNormal="100" zoomScaleSheetLayoutView="85" workbookViewId="0">
      <selection activeCell="F1320" sqref="F132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186</v>
      </c>
      <c r="C9" s="47" t="s">
        <v>185</v>
      </c>
      <c r="D9" s="46" t="s">
        <v>71</v>
      </c>
      <c r="E9" s="45" t="s">
        <v>70</v>
      </c>
    </row>
    <row r="10" spans="1:5" ht="15" customHeight="1">
      <c r="B10" s="83" t="s">
        <v>58</v>
      </c>
      <c r="C10" s="43" t="s">
        <v>172</v>
      </c>
      <c r="D10" s="42">
        <v>1</v>
      </c>
      <c r="E10" s="41">
        <v>3.0832793759442546E-5</v>
      </c>
    </row>
    <row r="11" spans="1:5" ht="15" customHeight="1">
      <c r="B11" s="84"/>
      <c r="C11" s="43" t="s">
        <v>148</v>
      </c>
      <c r="D11" s="42">
        <v>1</v>
      </c>
      <c r="E11" s="41">
        <v>3.0832793759442546E-5</v>
      </c>
    </row>
    <row r="12" spans="1:5" ht="15" customHeight="1">
      <c r="B12" s="84"/>
      <c r="C12" s="43" t="s">
        <v>152</v>
      </c>
      <c r="D12" s="42">
        <v>2</v>
      </c>
      <c r="E12" s="41">
        <v>6.1665587518885091E-5</v>
      </c>
    </row>
    <row r="13" spans="1:5" ht="15" customHeight="1">
      <c r="B13" s="84"/>
      <c r="C13" s="43" t="s">
        <v>142</v>
      </c>
      <c r="D13" s="42">
        <v>1</v>
      </c>
      <c r="E13" s="41">
        <v>3.0832793759442546E-5</v>
      </c>
    </row>
    <row r="14" spans="1:5" s="44" customFormat="1" ht="15" customHeight="1">
      <c r="A14" s="36"/>
      <c r="B14" s="84"/>
      <c r="C14" s="43" t="s">
        <v>170</v>
      </c>
      <c r="D14" s="42">
        <v>9</v>
      </c>
      <c r="E14" s="41">
        <v>2.7749514383498288E-4</v>
      </c>
    </row>
    <row r="15" spans="1:5" ht="15" customHeight="1">
      <c r="B15" s="84"/>
      <c r="C15" s="43" t="s">
        <v>164</v>
      </c>
      <c r="D15" s="42">
        <v>1</v>
      </c>
      <c r="E15" s="41">
        <v>3.0832793759442546E-5</v>
      </c>
    </row>
    <row r="16" spans="1:5" ht="15" customHeight="1">
      <c r="B16" s="84"/>
      <c r="C16" s="43" t="s">
        <v>176</v>
      </c>
      <c r="D16" s="42">
        <v>5</v>
      </c>
      <c r="E16" s="41">
        <v>1.5416396879721272E-4</v>
      </c>
    </row>
    <row r="17" spans="2:5" ht="15" customHeight="1">
      <c r="B17" s="84"/>
      <c r="C17" s="43" t="s">
        <v>178</v>
      </c>
      <c r="D17" s="42">
        <v>9</v>
      </c>
      <c r="E17" s="41">
        <v>2.7749514383498288E-4</v>
      </c>
    </row>
    <row r="18" spans="2:5" ht="15" customHeight="1">
      <c r="B18" s="84"/>
      <c r="C18" s="43" t="s">
        <v>179</v>
      </c>
      <c r="D18" s="42">
        <v>25</v>
      </c>
      <c r="E18" s="41">
        <v>7.7081984398606361E-4</v>
      </c>
    </row>
    <row r="19" spans="2:5" ht="15" customHeight="1">
      <c r="B19" s="84"/>
      <c r="C19" s="43" t="s">
        <v>129</v>
      </c>
      <c r="D19" s="42">
        <v>1</v>
      </c>
      <c r="E19" s="41">
        <v>3.0832793759442546E-5</v>
      </c>
    </row>
    <row r="20" spans="2:5" ht="15" customHeight="1">
      <c r="B20" s="84"/>
      <c r="C20" s="43" t="s">
        <v>159</v>
      </c>
      <c r="D20" s="42">
        <v>3</v>
      </c>
      <c r="E20" s="41">
        <v>9.249838127832763E-5</v>
      </c>
    </row>
    <row r="21" spans="2:5" ht="15" customHeight="1">
      <c r="B21" s="84"/>
      <c r="C21" s="43" t="s">
        <v>168</v>
      </c>
      <c r="D21" s="42">
        <v>5</v>
      </c>
      <c r="E21" s="41">
        <v>1.5416396879721272E-4</v>
      </c>
    </row>
    <row r="22" spans="2:5" ht="15" customHeight="1">
      <c r="B22" s="84"/>
      <c r="C22" s="43" t="s">
        <v>158</v>
      </c>
      <c r="D22" s="42">
        <v>2</v>
      </c>
      <c r="E22" s="41">
        <v>6.1665587518885091E-5</v>
      </c>
    </row>
    <row r="23" spans="2:5" ht="15" customHeight="1">
      <c r="B23" s="84"/>
      <c r="C23" s="43" t="s">
        <v>180</v>
      </c>
      <c r="D23" s="42">
        <v>17</v>
      </c>
      <c r="E23" s="41">
        <v>5.2415749391052319E-4</v>
      </c>
    </row>
    <row r="24" spans="2:5" ht="15" customHeight="1">
      <c r="B24" s="84"/>
      <c r="C24" s="43" t="s">
        <v>171</v>
      </c>
      <c r="D24" s="42">
        <v>14</v>
      </c>
      <c r="E24" s="41">
        <v>4.316591126321956E-4</v>
      </c>
    </row>
    <row r="25" spans="2:5" ht="15" customHeight="1">
      <c r="B25" s="84"/>
      <c r="C25" s="43" t="s">
        <v>181</v>
      </c>
      <c r="D25" s="42">
        <v>57</v>
      </c>
      <c r="E25" s="41">
        <v>1.7574692442882249E-3</v>
      </c>
    </row>
    <row r="26" spans="2:5" ht="15" customHeight="1">
      <c r="B26" s="84"/>
      <c r="C26" s="43" t="s">
        <v>167</v>
      </c>
      <c r="D26" s="42">
        <v>14</v>
      </c>
      <c r="E26" s="41">
        <v>4.316591126321956E-4</v>
      </c>
    </row>
    <row r="27" spans="2:5" ht="15" customHeight="1">
      <c r="B27" s="84"/>
      <c r="C27" s="43" t="s">
        <v>103</v>
      </c>
      <c r="D27" s="42">
        <v>2</v>
      </c>
      <c r="E27" s="41">
        <v>6.1665587518885091E-5</v>
      </c>
    </row>
    <row r="28" spans="2:5" ht="15" customHeight="1">
      <c r="B28" s="84"/>
      <c r="C28" s="43" t="s">
        <v>182</v>
      </c>
      <c r="D28" s="42">
        <v>29</v>
      </c>
      <c r="E28" s="41">
        <v>8.9415101902383376E-4</v>
      </c>
    </row>
    <row r="29" spans="2:5" ht="15" customHeight="1">
      <c r="B29" s="84"/>
      <c r="C29" s="43" t="s">
        <v>137</v>
      </c>
      <c r="D29" s="42">
        <v>1</v>
      </c>
      <c r="E29" s="41">
        <v>3.0832793759442546E-5</v>
      </c>
    </row>
    <row r="30" spans="2:5" ht="15" customHeight="1">
      <c r="B30" s="84"/>
      <c r="C30" s="43" t="s">
        <v>150</v>
      </c>
      <c r="D30" s="42">
        <v>5</v>
      </c>
      <c r="E30" s="41">
        <v>1.5416396879721272E-4</v>
      </c>
    </row>
    <row r="31" spans="2:5" ht="15" customHeight="1">
      <c r="B31" s="84"/>
      <c r="C31" s="43" t="s">
        <v>175</v>
      </c>
      <c r="D31" s="42">
        <v>10</v>
      </c>
      <c r="E31" s="41">
        <v>3.0832793759442544E-4</v>
      </c>
    </row>
    <row r="32" spans="2:5" ht="15" customHeight="1">
      <c r="B32" s="84"/>
      <c r="C32" s="43" t="s">
        <v>169</v>
      </c>
      <c r="D32" s="42">
        <v>9</v>
      </c>
      <c r="E32" s="41">
        <v>2.7749514383498288E-4</v>
      </c>
    </row>
    <row r="33" spans="2:5" ht="15" customHeight="1">
      <c r="B33" s="84"/>
      <c r="C33" s="43" t="s">
        <v>160</v>
      </c>
      <c r="D33" s="42">
        <v>23</v>
      </c>
      <c r="E33" s="41">
        <v>7.0915425646717847E-4</v>
      </c>
    </row>
    <row r="34" spans="2:5" ht="15" customHeight="1">
      <c r="B34" s="84"/>
      <c r="C34" s="43" t="s">
        <v>147</v>
      </c>
      <c r="D34" s="42">
        <v>1</v>
      </c>
      <c r="E34" s="41">
        <v>3.0832793759442546E-5</v>
      </c>
    </row>
    <row r="35" spans="2:5" ht="15" customHeight="1">
      <c r="B35" s="84"/>
      <c r="C35" s="43" t="s">
        <v>139</v>
      </c>
      <c r="D35" s="42">
        <v>3</v>
      </c>
      <c r="E35" s="41">
        <v>9.249838127832763E-5</v>
      </c>
    </row>
    <row r="36" spans="2:5" ht="15" customHeight="1">
      <c r="B36" s="84"/>
      <c r="C36" s="43" t="s">
        <v>153</v>
      </c>
      <c r="D36" s="42">
        <v>2</v>
      </c>
      <c r="E36" s="41">
        <v>6.1665587518885091E-5</v>
      </c>
    </row>
    <row r="37" spans="2:5" ht="15" customHeight="1">
      <c r="B37" s="84"/>
      <c r="C37" s="43" t="s">
        <v>144</v>
      </c>
      <c r="D37" s="42">
        <v>1</v>
      </c>
      <c r="E37" s="41">
        <v>3.0832793759442546E-5</v>
      </c>
    </row>
    <row r="38" spans="2:5" ht="15" customHeight="1">
      <c r="B38" s="84"/>
      <c r="C38" s="43" t="s">
        <v>155</v>
      </c>
      <c r="D38" s="42">
        <v>1</v>
      </c>
      <c r="E38" s="41">
        <v>3.0832793759442546E-5</v>
      </c>
    </row>
    <row r="39" spans="2:5" ht="15" customHeight="1">
      <c r="B39" s="84"/>
      <c r="C39" s="43" t="s">
        <v>173</v>
      </c>
      <c r="D39" s="42">
        <v>15</v>
      </c>
      <c r="E39" s="41">
        <v>4.6249190639163816E-4</v>
      </c>
    </row>
    <row r="40" spans="2:5" ht="15" customHeight="1">
      <c r="B40" s="84"/>
      <c r="C40" s="43" t="s">
        <v>162</v>
      </c>
      <c r="D40" s="42">
        <v>1</v>
      </c>
      <c r="E40" s="41">
        <v>3.0832793759442546E-5</v>
      </c>
    </row>
    <row r="41" spans="2:5" ht="15" customHeight="1">
      <c r="B41" s="84"/>
      <c r="C41" s="43" t="s">
        <v>166</v>
      </c>
      <c r="D41" s="42">
        <v>4</v>
      </c>
      <c r="E41" s="41">
        <v>1.2333117503777018E-4</v>
      </c>
    </row>
    <row r="42" spans="2:5" ht="15" customHeight="1">
      <c r="B42" s="84"/>
      <c r="C42" s="43" t="s">
        <v>145</v>
      </c>
      <c r="D42" s="42">
        <v>4</v>
      </c>
      <c r="E42" s="41">
        <v>1.2333117503777018E-4</v>
      </c>
    </row>
    <row r="43" spans="2:5" ht="15" customHeight="1">
      <c r="B43" s="85"/>
      <c r="C43" s="40" t="s">
        <v>23</v>
      </c>
      <c r="D43" s="39">
        <v>278</v>
      </c>
      <c r="E43" s="38">
        <v>8.5715166651250275E-3</v>
      </c>
    </row>
    <row r="44" spans="2:5" ht="15" customHeight="1">
      <c r="B44" s="83" t="s">
        <v>44</v>
      </c>
      <c r="C44" s="43" t="s">
        <v>170</v>
      </c>
      <c r="D44" s="42">
        <v>1</v>
      </c>
      <c r="E44" s="41">
        <v>3.0832793759442546E-5</v>
      </c>
    </row>
    <row r="45" spans="2:5" ht="15" customHeight="1">
      <c r="B45" s="84"/>
      <c r="C45" s="43" t="s">
        <v>174</v>
      </c>
      <c r="D45" s="42">
        <v>1</v>
      </c>
      <c r="E45" s="41">
        <v>3.0832793759442546E-5</v>
      </c>
    </row>
    <row r="46" spans="2:5" ht="15" customHeight="1">
      <c r="B46" s="84"/>
      <c r="C46" s="43" t="s">
        <v>164</v>
      </c>
      <c r="D46" s="42">
        <v>14</v>
      </c>
      <c r="E46" s="41">
        <v>4.316591126321956E-4</v>
      </c>
    </row>
    <row r="47" spans="2:5" ht="15" customHeight="1">
      <c r="B47" s="84"/>
      <c r="C47" s="43" t="s">
        <v>176</v>
      </c>
      <c r="D47" s="42">
        <v>3</v>
      </c>
      <c r="E47" s="41">
        <v>9.249838127832763E-5</v>
      </c>
    </row>
    <row r="48" spans="2:5" ht="15" customHeight="1">
      <c r="B48" s="84"/>
      <c r="C48" s="43" t="s">
        <v>178</v>
      </c>
      <c r="D48" s="42">
        <v>2</v>
      </c>
      <c r="E48" s="41">
        <v>6.1665587518885091E-5</v>
      </c>
    </row>
    <row r="49" spans="2:5" ht="15" customHeight="1">
      <c r="B49" s="84"/>
      <c r="C49" s="43" t="s">
        <v>179</v>
      </c>
      <c r="D49" s="42">
        <v>4</v>
      </c>
      <c r="E49" s="41">
        <v>1.2333117503777018E-4</v>
      </c>
    </row>
    <row r="50" spans="2:5" ht="15" customHeight="1">
      <c r="B50" s="84"/>
      <c r="C50" s="43" t="s">
        <v>129</v>
      </c>
      <c r="D50" s="42">
        <v>1</v>
      </c>
      <c r="E50" s="41">
        <v>3.0832793759442546E-5</v>
      </c>
    </row>
    <row r="51" spans="2:5" ht="15" customHeight="1">
      <c r="B51" s="84"/>
      <c r="C51" s="43" t="s">
        <v>168</v>
      </c>
      <c r="D51" s="42">
        <v>2</v>
      </c>
      <c r="E51" s="41">
        <v>6.1665587518885091E-5</v>
      </c>
    </row>
    <row r="52" spans="2:5" ht="15" customHeight="1">
      <c r="B52" s="84"/>
      <c r="C52" s="43" t="s">
        <v>180</v>
      </c>
      <c r="D52" s="42">
        <v>3</v>
      </c>
      <c r="E52" s="41">
        <v>9.249838127832763E-5</v>
      </c>
    </row>
    <row r="53" spans="2:5" ht="15" customHeight="1">
      <c r="B53" s="84"/>
      <c r="C53" s="43" t="s">
        <v>177</v>
      </c>
      <c r="D53" s="42">
        <v>1</v>
      </c>
      <c r="E53" s="41">
        <v>3.0832793759442546E-5</v>
      </c>
    </row>
    <row r="54" spans="2:5" ht="15" customHeight="1">
      <c r="B54" s="84"/>
      <c r="C54" s="43" t="s">
        <v>171</v>
      </c>
      <c r="D54" s="42">
        <v>1</v>
      </c>
      <c r="E54" s="41">
        <v>3.0832793759442546E-5</v>
      </c>
    </row>
    <row r="55" spans="2:5" ht="15" customHeight="1">
      <c r="B55" s="84"/>
      <c r="C55" s="43" t="s">
        <v>181</v>
      </c>
      <c r="D55" s="42">
        <v>3</v>
      </c>
      <c r="E55" s="41">
        <v>9.249838127832763E-5</v>
      </c>
    </row>
    <row r="56" spans="2:5" ht="15" customHeight="1">
      <c r="B56" s="84"/>
      <c r="C56" s="43" t="s">
        <v>167</v>
      </c>
      <c r="D56" s="42">
        <v>1</v>
      </c>
      <c r="E56" s="41">
        <v>3.0832793759442546E-5</v>
      </c>
    </row>
    <row r="57" spans="2:5" ht="15" customHeight="1">
      <c r="B57" s="84"/>
      <c r="C57" s="43" t="s">
        <v>182</v>
      </c>
      <c r="D57" s="42">
        <v>24</v>
      </c>
      <c r="E57" s="41">
        <v>7.3998705022662104E-4</v>
      </c>
    </row>
    <row r="58" spans="2:5" ht="15" customHeight="1">
      <c r="B58" s="84"/>
      <c r="C58" s="43" t="s">
        <v>151</v>
      </c>
      <c r="D58" s="42">
        <v>2</v>
      </c>
      <c r="E58" s="41">
        <v>6.1665587518885091E-5</v>
      </c>
    </row>
    <row r="59" spans="2:5" ht="15" customHeight="1">
      <c r="B59" s="84"/>
      <c r="C59" s="43" t="s">
        <v>175</v>
      </c>
      <c r="D59" s="42">
        <v>1</v>
      </c>
      <c r="E59" s="41">
        <v>3.0832793759442546E-5</v>
      </c>
    </row>
    <row r="60" spans="2:5" ht="15" customHeight="1">
      <c r="B60" s="84"/>
      <c r="C60" s="43" t="s">
        <v>157</v>
      </c>
      <c r="D60" s="42">
        <v>23</v>
      </c>
      <c r="E60" s="41">
        <v>7.0915425646717847E-4</v>
      </c>
    </row>
    <row r="61" spans="2:5" ht="15" customHeight="1">
      <c r="B61" s="84"/>
      <c r="C61" s="43" t="s">
        <v>169</v>
      </c>
      <c r="D61" s="42">
        <v>2</v>
      </c>
      <c r="E61" s="41">
        <v>6.1665587518885091E-5</v>
      </c>
    </row>
    <row r="62" spans="2:5" ht="15" customHeight="1">
      <c r="B62" s="84"/>
      <c r="C62" s="43" t="s">
        <v>160</v>
      </c>
      <c r="D62" s="42">
        <v>2</v>
      </c>
      <c r="E62" s="41">
        <v>6.1665587518885091E-5</v>
      </c>
    </row>
    <row r="63" spans="2:5" ht="15" customHeight="1">
      <c r="B63" s="84"/>
      <c r="C63" s="43" t="s">
        <v>147</v>
      </c>
      <c r="D63" s="42">
        <v>1</v>
      </c>
      <c r="E63" s="41">
        <v>3.0832793759442546E-5</v>
      </c>
    </row>
    <row r="64" spans="2:5" ht="15" customHeight="1">
      <c r="B64" s="84"/>
      <c r="C64" s="43" t="s">
        <v>130</v>
      </c>
      <c r="D64" s="42">
        <v>1</v>
      </c>
      <c r="E64" s="41">
        <v>3.0832793759442546E-5</v>
      </c>
    </row>
    <row r="65" spans="2:5" ht="15" customHeight="1">
      <c r="B65" s="84"/>
      <c r="C65" s="43" t="s">
        <v>138</v>
      </c>
      <c r="D65" s="42">
        <v>1</v>
      </c>
      <c r="E65" s="41">
        <v>3.0832793759442546E-5</v>
      </c>
    </row>
    <row r="66" spans="2:5" ht="15" customHeight="1">
      <c r="B66" s="84"/>
      <c r="C66" s="43" t="s">
        <v>173</v>
      </c>
      <c r="D66" s="42">
        <v>5</v>
      </c>
      <c r="E66" s="41">
        <v>1.5416396879721272E-4</v>
      </c>
    </row>
    <row r="67" spans="2:5" ht="15" customHeight="1">
      <c r="B67" s="84"/>
      <c r="C67" s="43" t="s">
        <v>162</v>
      </c>
      <c r="D67" s="42">
        <v>1</v>
      </c>
      <c r="E67" s="41">
        <v>3.0832793759442546E-5</v>
      </c>
    </row>
    <row r="68" spans="2:5" ht="15" customHeight="1">
      <c r="B68" s="84"/>
      <c r="C68" s="43" t="s">
        <v>166</v>
      </c>
      <c r="D68" s="42">
        <v>1</v>
      </c>
      <c r="E68" s="41">
        <v>3.0832793759442546E-5</v>
      </c>
    </row>
    <row r="69" spans="2:5" ht="15" customHeight="1">
      <c r="B69" s="84"/>
      <c r="C69" s="43" t="s">
        <v>145</v>
      </c>
      <c r="D69" s="42">
        <v>1</v>
      </c>
      <c r="E69" s="41">
        <v>3.0832793759442546E-5</v>
      </c>
    </row>
    <row r="70" spans="2:5" ht="15" customHeight="1">
      <c r="B70" s="85"/>
      <c r="C70" s="40" t="s">
        <v>23</v>
      </c>
      <c r="D70" s="39">
        <v>102</v>
      </c>
      <c r="E70" s="38">
        <v>3.1449449634631393E-3</v>
      </c>
    </row>
    <row r="71" spans="2:5" ht="15" customHeight="1">
      <c r="B71" s="83" t="s">
        <v>61</v>
      </c>
      <c r="C71" s="43" t="s">
        <v>172</v>
      </c>
      <c r="D71" s="42">
        <v>5</v>
      </c>
      <c r="E71" s="41">
        <v>1.5416396879721272E-4</v>
      </c>
    </row>
    <row r="72" spans="2:5" ht="15" customHeight="1">
      <c r="B72" s="84"/>
      <c r="C72" s="43" t="s">
        <v>148</v>
      </c>
      <c r="D72" s="42">
        <v>2</v>
      </c>
      <c r="E72" s="41">
        <v>6.1665587518885091E-5</v>
      </c>
    </row>
    <row r="73" spans="2:5" ht="15" customHeight="1">
      <c r="B73" s="84"/>
      <c r="C73" s="43" t="s">
        <v>152</v>
      </c>
      <c r="D73" s="42">
        <v>17</v>
      </c>
      <c r="E73" s="41">
        <v>5.2415749391052319E-4</v>
      </c>
    </row>
    <row r="74" spans="2:5" ht="15" customHeight="1">
      <c r="B74" s="84"/>
      <c r="C74" s="43" t="s">
        <v>136</v>
      </c>
      <c r="D74" s="42">
        <v>2</v>
      </c>
      <c r="E74" s="41">
        <v>6.1665587518885091E-5</v>
      </c>
    </row>
    <row r="75" spans="2:5" ht="15" customHeight="1">
      <c r="B75" s="84"/>
      <c r="C75" s="43" t="s">
        <v>170</v>
      </c>
      <c r="D75" s="42">
        <v>6</v>
      </c>
      <c r="E75" s="41">
        <v>1.8499676255665526E-4</v>
      </c>
    </row>
    <row r="76" spans="2:5" ht="15" customHeight="1">
      <c r="B76" s="84"/>
      <c r="C76" s="43" t="s">
        <v>156</v>
      </c>
      <c r="D76" s="42">
        <v>5</v>
      </c>
      <c r="E76" s="41">
        <v>1.5416396879721272E-4</v>
      </c>
    </row>
    <row r="77" spans="2:5" ht="15" customHeight="1">
      <c r="B77" s="84"/>
      <c r="C77" s="43" t="s">
        <v>174</v>
      </c>
      <c r="D77" s="42">
        <v>6</v>
      </c>
      <c r="E77" s="41">
        <v>1.8499676255665526E-4</v>
      </c>
    </row>
    <row r="78" spans="2:5" ht="15" customHeight="1">
      <c r="B78" s="84"/>
      <c r="C78" s="43" t="s">
        <v>176</v>
      </c>
      <c r="D78" s="42">
        <v>3</v>
      </c>
      <c r="E78" s="41">
        <v>9.249838127832763E-5</v>
      </c>
    </row>
    <row r="79" spans="2:5" ht="15" customHeight="1">
      <c r="B79" s="84"/>
      <c r="C79" s="43" t="s">
        <v>178</v>
      </c>
      <c r="D79" s="42">
        <v>17</v>
      </c>
      <c r="E79" s="41">
        <v>5.2415749391052319E-4</v>
      </c>
    </row>
    <row r="80" spans="2:5" ht="15" customHeight="1">
      <c r="B80" s="84"/>
      <c r="C80" s="43" t="s">
        <v>179</v>
      </c>
      <c r="D80" s="42">
        <v>10</v>
      </c>
      <c r="E80" s="41">
        <v>3.0832793759442544E-4</v>
      </c>
    </row>
    <row r="81" spans="2:5" ht="15" customHeight="1">
      <c r="B81" s="84"/>
      <c r="C81" s="43" t="s">
        <v>159</v>
      </c>
      <c r="D81" s="42">
        <v>3</v>
      </c>
      <c r="E81" s="41">
        <v>9.249838127832763E-5</v>
      </c>
    </row>
    <row r="82" spans="2:5" ht="15" customHeight="1">
      <c r="B82" s="84"/>
      <c r="C82" s="43" t="s">
        <v>168</v>
      </c>
      <c r="D82" s="42">
        <v>2</v>
      </c>
      <c r="E82" s="41">
        <v>6.1665587518885091E-5</v>
      </c>
    </row>
    <row r="83" spans="2:5" ht="15" customHeight="1">
      <c r="B83" s="84"/>
      <c r="C83" s="43" t="s">
        <v>158</v>
      </c>
      <c r="D83" s="42">
        <v>4</v>
      </c>
      <c r="E83" s="41">
        <v>1.2333117503777018E-4</v>
      </c>
    </row>
    <row r="84" spans="2:5" ht="15" customHeight="1">
      <c r="B84" s="84"/>
      <c r="C84" s="43" t="s">
        <v>180</v>
      </c>
      <c r="D84" s="42">
        <v>10</v>
      </c>
      <c r="E84" s="41">
        <v>3.0832793759442544E-4</v>
      </c>
    </row>
    <row r="85" spans="2:5" ht="15" customHeight="1">
      <c r="B85" s="84"/>
      <c r="C85" s="43" t="s">
        <v>126</v>
      </c>
      <c r="D85" s="42">
        <v>1</v>
      </c>
      <c r="E85" s="41">
        <v>3.0832793759442546E-5</v>
      </c>
    </row>
    <row r="86" spans="2:5" ht="15" customHeight="1">
      <c r="B86" s="84"/>
      <c r="C86" s="43" t="s">
        <v>177</v>
      </c>
      <c r="D86" s="42">
        <v>10</v>
      </c>
      <c r="E86" s="41">
        <v>3.0832793759442544E-4</v>
      </c>
    </row>
    <row r="87" spans="2:5" ht="15" customHeight="1">
      <c r="B87" s="84"/>
      <c r="C87" s="43" t="s">
        <v>165</v>
      </c>
      <c r="D87" s="42">
        <v>2</v>
      </c>
      <c r="E87" s="41">
        <v>6.1665587518885091E-5</v>
      </c>
    </row>
    <row r="88" spans="2:5" ht="15" customHeight="1">
      <c r="B88" s="84"/>
      <c r="C88" s="43" t="s">
        <v>171</v>
      </c>
      <c r="D88" s="42">
        <v>40</v>
      </c>
      <c r="E88" s="41">
        <v>1.2333117503777018E-3</v>
      </c>
    </row>
    <row r="89" spans="2:5" ht="15" customHeight="1">
      <c r="B89" s="84"/>
      <c r="C89" s="43" t="s">
        <v>181</v>
      </c>
      <c r="D89" s="42">
        <v>90</v>
      </c>
      <c r="E89" s="41">
        <v>2.774951438349829E-3</v>
      </c>
    </row>
    <row r="90" spans="2:5" ht="15" customHeight="1">
      <c r="B90" s="84"/>
      <c r="C90" s="43" t="s">
        <v>167</v>
      </c>
      <c r="D90" s="42">
        <v>3</v>
      </c>
      <c r="E90" s="41">
        <v>9.249838127832763E-5</v>
      </c>
    </row>
    <row r="91" spans="2:5" ht="15" customHeight="1">
      <c r="B91" s="84"/>
      <c r="C91" s="43" t="s">
        <v>103</v>
      </c>
      <c r="D91" s="42">
        <v>1</v>
      </c>
      <c r="E91" s="41">
        <v>3.0832793759442546E-5</v>
      </c>
    </row>
    <row r="92" spans="2:5" ht="15" customHeight="1">
      <c r="B92" s="84"/>
      <c r="C92" s="43" t="s">
        <v>163</v>
      </c>
      <c r="D92" s="42">
        <v>11</v>
      </c>
      <c r="E92" s="41">
        <v>3.3916073135386795E-4</v>
      </c>
    </row>
    <row r="93" spans="2:5" ht="15" customHeight="1">
      <c r="B93" s="84"/>
      <c r="C93" s="43" t="s">
        <v>182</v>
      </c>
      <c r="D93" s="42">
        <v>63</v>
      </c>
      <c r="E93" s="41">
        <v>1.9424660068448802E-3</v>
      </c>
    </row>
    <row r="94" spans="2:5" ht="15" customHeight="1">
      <c r="B94" s="84"/>
      <c r="C94" s="43" t="s">
        <v>151</v>
      </c>
      <c r="D94" s="42">
        <v>9</v>
      </c>
      <c r="E94" s="41">
        <v>2.7749514383498288E-4</v>
      </c>
    </row>
    <row r="95" spans="2:5" ht="15" customHeight="1">
      <c r="B95" s="84"/>
      <c r="C95" s="43" t="s">
        <v>134</v>
      </c>
      <c r="D95" s="42">
        <v>2</v>
      </c>
      <c r="E95" s="41">
        <v>6.1665587518885091E-5</v>
      </c>
    </row>
    <row r="96" spans="2:5" ht="15" customHeight="1">
      <c r="B96" s="84"/>
      <c r="C96" s="43" t="s">
        <v>150</v>
      </c>
      <c r="D96" s="42">
        <v>2</v>
      </c>
      <c r="E96" s="41">
        <v>6.1665587518885091E-5</v>
      </c>
    </row>
    <row r="97" spans="2:5" ht="15" customHeight="1">
      <c r="B97" s="84"/>
      <c r="C97" s="43" t="s">
        <v>175</v>
      </c>
      <c r="D97" s="42">
        <v>42</v>
      </c>
      <c r="E97" s="41">
        <v>1.2949773378965869E-3</v>
      </c>
    </row>
    <row r="98" spans="2:5" ht="15" customHeight="1">
      <c r="B98" s="84"/>
      <c r="C98" s="43" t="s">
        <v>157</v>
      </c>
      <c r="D98" s="42">
        <v>5</v>
      </c>
      <c r="E98" s="41">
        <v>1.5416396879721272E-4</v>
      </c>
    </row>
    <row r="99" spans="2:5" ht="15" customHeight="1">
      <c r="B99" s="84"/>
      <c r="C99" s="43" t="s">
        <v>143</v>
      </c>
      <c r="D99" s="42">
        <v>2</v>
      </c>
      <c r="E99" s="41">
        <v>6.1665587518885091E-5</v>
      </c>
    </row>
    <row r="100" spans="2:5" ht="15" customHeight="1">
      <c r="B100" s="84"/>
      <c r="C100" s="43" t="s">
        <v>169</v>
      </c>
      <c r="D100" s="42">
        <v>4</v>
      </c>
      <c r="E100" s="41">
        <v>1.2333117503777018E-4</v>
      </c>
    </row>
    <row r="101" spans="2:5" ht="15" customHeight="1">
      <c r="B101" s="84"/>
      <c r="C101" s="43" t="s">
        <v>160</v>
      </c>
      <c r="D101" s="42">
        <v>5</v>
      </c>
      <c r="E101" s="41">
        <v>1.5416396879721272E-4</v>
      </c>
    </row>
    <row r="102" spans="2:5" ht="15" customHeight="1">
      <c r="B102" s="84"/>
      <c r="C102" s="43" t="s">
        <v>147</v>
      </c>
      <c r="D102" s="42">
        <v>5</v>
      </c>
      <c r="E102" s="41">
        <v>1.5416396879721272E-4</v>
      </c>
    </row>
    <row r="103" spans="2:5" ht="15" customHeight="1">
      <c r="B103" s="84"/>
      <c r="C103" s="43" t="s">
        <v>128</v>
      </c>
      <c r="D103" s="42">
        <v>1</v>
      </c>
      <c r="E103" s="41">
        <v>3.0832793759442546E-5</v>
      </c>
    </row>
    <row r="104" spans="2:5" ht="15" customHeight="1">
      <c r="B104" s="84"/>
      <c r="C104" s="43" t="s">
        <v>139</v>
      </c>
      <c r="D104" s="42">
        <v>1</v>
      </c>
      <c r="E104" s="41">
        <v>3.0832793759442546E-5</v>
      </c>
    </row>
    <row r="105" spans="2:5" ht="15" customHeight="1">
      <c r="B105" s="84"/>
      <c r="C105" s="43" t="s">
        <v>153</v>
      </c>
      <c r="D105" s="42">
        <v>14</v>
      </c>
      <c r="E105" s="41">
        <v>4.316591126321956E-4</v>
      </c>
    </row>
    <row r="106" spans="2:5" ht="15" customHeight="1">
      <c r="B106" s="84"/>
      <c r="C106" s="43" t="s">
        <v>141</v>
      </c>
      <c r="D106" s="42">
        <v>3</v>
      </c>
      <c r="E106" s="41">
        <v>9.249838127832763E-5</v>
      </c>
    </row>
    <row r="107" spans="2:5" ht="15" customHeight="1">
      <c r="B107" s="84"/>
      <c r="C107" s="43" t="s">
        <v>149</v>
      </c>
      <c r="D107" s="42">
        <v>1</v>
      </c>
      <c r="E107" s="41">
        <v>3.0832793759442546E-5</v>
      </c>
    </row>
    <row r="108" spans="2:5" ht="15" customHeight="1">
      <c r="B108" s="84"/>
      <c r="C108" s="43" t="s">
        <v>144</v>
      </c>
      <c r="D108" s="42">
        <v>12</v>
      </c>
      <c r="E108" s="41">
        <v>3.6999352511331052E-4</v>
      </c>
    </row>
    <row r="109" spans="2:5" ht="15" customHeight="1">
      <c r="B109" s="84"/>
      <c r="C109" s="43" t="s">
        <v>155</v>
      </c>
      <c r="D109" s="42">
        <v>1</v>
      </c>
      <c r="E109" s="41">
        <v>3.0832793759442546E-5</v>
      </c>
    </row>
    <row r="110" spans="2:5" ht="15" customHeight="1">
      <c r="B110" s="84"/>
      <c r="C110" s="43" t="s">
        <v>138</v>
      </c>
      <c r="D110" s="42">
        <v>1</v>
      </c>
      <c r="E110" s="41">
        <v>3.0832793759442546E-5</v>
      </c>
    </row>
    <row r="111" spans="2:5" ht="15" customHeight="1">
      <c r="B111" s="84"/>
      <c r="C111" s="43" t="s">
        <v>173</v>
      </c>
      <c r="D111" s="42">
        <v>18</v>
      </c>
      <c r="E111" s="41">
        <v>5.5499028766996575E-4</v>
      </c>
    </row>
    <row r="112" spans="2:5" ht="15" customHeight="1">
      <c r="B112" s="84"/>
      <c r="C112" s="43" t="s">
        <v>154</v>
      </c>
      <c r="D112" s="42">
        <v>4</v>
      </c>
      <c r="E112" s="41">
        <v>1.2333117503777018E-4</v>
      </c>
    </row>
    <row r="113" spans="2:5" ht="15" customHeight="1">
      <c r="B113" s="84"/>
      <c r="C113" s="43" t="s">
        <v>162</v>
      </c>
      <c r="D113" s="42">
        <v>5</v>
      </c>
      <c r="E113" s="41">
        <v>1.5416396879721272E-4</v>
      </c>
    </row>
    <row r="114" spans="2:5" ht="15" customHeight="1">
      <c r="B114" s="84"/>
      <c r="C114" s="43" t="s">
        <v>161</v>
      </c>
      <c r="D114" s="42">
        <v>3</v>
      </c>
      <c r="E114" s="41">
        <v>9.249838127832763E-5</v>
      </c>
    </row>
    <row r="115" spans="2:5" ht="15" customHeight="1">
      <c r="B115" s="84"/>
      <c r="C115" s="43" t="s">
        <v>166</v>
      </c>
      <c r="D115" s="42">
        <v>69</v>
      </c>
      <c r="E115" s="41">
        <v>2.1274627694015356E-3</v>
      </c>
    </row>
    <row r="116" spans="2:5" ht="15" customHeight="1">
      <c r="B116" s="84"/>
      <c r="C116" s="43" t="s">
        <v>145</v>
      </c>
      <c r="D116" s="42">
        <v>4</v>
      </c>
      <c r="E116" s="41">
        <v>1.2333117503777018E-4</v>
      </c>
    </row>
    <row r="117" spans="2:5" ht="15" customHeight="1">
      <c r="B117" s="85"/>
      <c r="C117" s="40" t="s">
        <v>23</v>
      </c>
      <c r="D117" s="39">
        <v>526</v>
      </c>
      <c r="E117" s="38">
        <v>1.6218049517466776E-2</v>
      </c>
    </row>
    <row r="118" spans="2:5" ht="15" customHeight="1">
      <c r="B118" s="83" t="s">
        <v>67</v>
      </c>
      <c r="C118" s="43" t="s">
        <v>172</v>
      </c>
      <c r="D118" s="42">
        <v>23</v>
      </c>
      <c r="E118" s="41">
        <v>7.0915425646717847E-4</v>
      </c>
    </row>
    <row r="119" spans="2:5" ht="15" customHeight="1">
      <c r="B119" s="84"/>
      <c r="C119" s="43" t="s">
        <v>152</v>
      </c>
      <c r="D119" s="42">
        <v>7</v>
      </c>
      <c r="E119" s="41">
        <v>2.158295563160978E-4</v>
      </c>
    </row>
    <row r="120" spans="2:5" ht="15" customHeight="1">
      <c r="B120" s="84"/>
      <c r="C120" s="43" t="s">
        <v>142</v>
      </c>
      <c r="D120" s="42">
        <v>10</v>
      </c>
      <c r="E120" s="41">
        <v>3.0832793759442544E-4</v>
      </c>
    </row>
    <row r="121" spans="2:5" ht="15" customHeight="1">
      <c r="B121" s="84"/>
      <c r="C121" s="43" t="s">
        <v>136</v>
      </c>
      <c r="D121" s="42">
        <v>8</v>
      </c>
      <c r="E121" s="41">
        <v>2.4666235007554037E-4</v>
      </c>
    </row>
    <row r="122" spans="2:5" ht="15" customHeight="1">
      <c r="B122" s="84"/>
      <c r="C122" s="43" t="s">
        <v>170</v>
      </c>
      <c r="D122" s="42">
        <v>13</v>
      </c>
      <c r="E122" s="41">
        <v>4.0082631887275309E-4</v>
      </c>
    </row>
    <row r="123" spans="2:5" ht="15" customHeight="1">
      <c r="B123" s="84"/>
      <c r="C123" s="43" t="s">
        <v>140</v>
      </c>
      <c r="D123" s="42">
        <v>2</v>
      </c>
      <c r="E123" s="41">
        <v>6.1665587518885091E-5</v>
      </c>
    </row>
    <row r="124" spans="2:5" ht="15" customHeight="1">
      <c r="B124" s="84"/>
      <c r="C124" s="43" t="s">
        <v>156</v>
      </c>
      <c r="D124" s="42">
        <v>4</v>
      </c>
      <c r="E124" s="41">
        <v>1.2333117503777018E-4</v>
      </c>
    </row>
    <row r="125" spans="2:5" ht="15" customHeight="1">
      <c r="B125" s="84"/>
      <c r="C125" s="43" t="s">
        <v>174</v>
      </c>
      <c r="D125" s="42">
        <v>47</v>
      </c>
      <c r="E125" s="41">
        <v>1.4491413066937996E-3</v>
      </c>
    </row>
    <row r="126" spans="2:5" ht="15" customHeight="1">
      <c r="B126" s="84"/>
      <c r="C126" s="43" t="s">
        <v>164</v>
      </c>
      <c r="D126" s="42">
        <v>51</v>
      </c>
      <c r="E126" s="41">
        <v>1.5724724817315697E-3</v>
      </c>
    </row>
    <row r="127" spans="2:5" ht="15" customHeight="1">
      <c r="B127" s="84"/>
      <c r="C127" s="43" t="s">
        <v>176</v>
      </c>
      <c r="D127" s="42">
        <v>17</v>
      </c>
      <c r="E127" s="41">
        <v>5.2415749391052319E-4</v>
      </c>
    </row>
    <row r="128" spans="2:5" ht="15" customHeight="1">
      <c r="B128" s="84"/>
      <c r="C128" s="43" t="s">
        <v>178</v>
      </c>
      <c r="D128" s="42">
        <v>33</v>
      </c>
      <c r="E128" s="41">
        <v>1.0174821940616039E-3</v>
      </c>
    </row>
    <row r="129" spans="2:5" ht="15" customHeight="1">
      <c r="B129" s="84"/>
      <c r="C129" s="43" t="s">
        <v>179</v>
      </c>
      <c r="D129" s="42">
        <v>38</v>
      </c>
      <c r="E129" s="41">
        <v>1.1716461628588166E-3</v>
      </c>
    </row>
    <row r="130" spans="2:5" ht="15" customHeight="1">
      <c r="B130" s="84"/>
      <c r="C130" s="43" t="s">
        <v>129</v>
      </c>
      <c r="D130" s="42">
        <v>5</v>
      </c>
      <c r="E130" s="41">
        <v>1.5416396879721272E-4</v>
      </c>
    </row>
    <row r="131" spans="2:5" ht="15" customHeight="1">
      <c r="B131" s="84"/>
      <c r="C131" s="43" t="s">
        <v>159</v>
      </c>
      <c r="D131" s="42">
        <v>26</v>
      </c>
      <c r="E131" s="41">
        <v>8.0165263774550617E-4</v>
      </c>
    </row>
    <row r="132" spans="2:5" ht="15" customHeight="1">
      <c r="B132" s="84"/>
      <c r="C132" s="43" t="s">
        <v>135</v>
      </c>
      <c r="D132" s="42">
        <v>1</v>
      </c>
      <c r="E132" s="41">
        <v>3.0832793759442546E-5</v>
      </c>
    </row>
    <row r="133" spans="2:5" ht="15" customHeight="1">
      <c r="B133" s="84"/>
      <c r="C133" s="43" t="s">
        <v>168</v>
      </c>
      <c r="D133" s="42">
        <v>11</v>
      </c>
      <c r="E133" s="41">
        <v>3.3916073135386795E-4</v>
      </c>
    </row>
    <row r="134" spans="2:5" ht="15" customHeight="1">
      <c r="B134" s="84"/>
      <c r="C134" s="43" t="s">
        <v>132</v>
      </c>
      <c r="D134" s="42">
        <v>6</v>
      </c>
      <c r="E134" s="41">
        <v>1.8499676255665526E-4</v>
      </c>
    </row>
    <row r="135" spans="2:5" ht="15" customHeight="1">
      <c r="B135" s="84"/>
      <c r="C135" s="43" t="s">
        <v>158</v>
      </c>
      <c r="D135" s="42">
        <v>11</v>
      </c>
      <c r="E135" s="41">
        <v>3.3916073135386795E-4</v>
      </c>
    </row>
    <row r="136" spans="2:5" ht="15" customHeight="1">
      <c r="B136" s="84"/>
      <c r="C136" s="43" t="s">
        <v>180</v>
      </c>
      <c r="D136" s="42">
        <v>33</v>
      </c>
      <c r="E136" s="41">
        <v>1.0174821940616039E-3</v>
      </c>
    </row>
    <row r="137" spans="2:5" ht="15" customHeight="1">
      <c r="B137" s="84"/>
      <c r="C137" s="43" t="s">
        <v>177</v>
      </c>
      <c r="D137" s="42">
        <v>29</v>
      </c>
      <c r="E137" s="41">
        <v>8.9415101902383376E-4</v>
      </c>
    </row>
    <row r="138" spans="2:5" ht="15" customHeight="1">
      <c r="B138" s="84"/>
      <c r="C138" s="43" t="s">
        <v>165</v>
      </c>
      <c r="D138" s="42">
        <v>3</v>
      </c>
      <c r="E138" s="41">
        <v>9.249838127832763E-5</v>
      </c>
    </row>
    <row r="139" spans="2:5" ht="15" customHeight="1">
      <c r="B139" s="84"/>
      <c r="C139" s="43" t="s">
        <v>171</v>
      </c>
      <c r="D139" s="42">
        <v>3</v>
      </c>
      <c r="E139" s="41">
        <v>9.249838127832763E-5</v>
      </c>
    </row>
    <row r="140" spans="2:5" ht="15" customHeight="1">
      <c r="B140" s="84"/>
      <c r="C140" s="43" t="s">
        <v>181</v>
      </c>
      <c r="D140" s="42">
        <v>83</v>
      </c>
      <c r="E140" s="41">
        <v>2.5591218820337309E-3</v>
      </c>
    </row>
    <row r="141" spans="2:5" ht="15" customHeight="1">
      <c r="B141" s="84"/>
      <c r="C141" s="43" t="s">
        <v>167</v>
      </c>
      <c r="D141" s="42">
        <v>20</v>
      </c>
      <c r="E141" s="41">
        <v>6.1665587518885089E-4</v>
      </c>
    </row>
    <row r="142" spans="2:5" ht="15" customHeight="1">
      <c r="B142" s="84"/>
      <c r="C142" s="43" t="s">
        <v>103</v>
      </c>
      <c r="D142" s="42">
        <v>1</v>
      </c>
      <c r="E142" s="41">
        <v>3.0832793759442546E-5</v>
      </c>
    </row>
    <row r="143" spans="2:5" ht="15" customHeight="1">
      <c r="B143" s="84"/>
      <c r="C143" s="43" t="s">
        <v>163</v>
      </c>
      <c r="D143" s="42">
        <v>87</v>
      </c>
      <c r="E143" s="41">
        <v>2.6824530570715012E-3</v>
      </c>
    </row>
    <row r="144" spans="2:5" ht="15" customHeight="1">
      <c r="B144" s="84"/>
      <c r="C144" s="43" t="s">
        <v>182</v>
      </c>
      <c r="D144" s="42">
        <v>259</v>
      </c>
      <c r="E144" s="41">
        <v>7.9856935836956182E-3</v>
      </c>
    </row>
    <row r="145" spans="2:5" ht="15" customHeight="1">
      <c r="B145" s="84"/>
      <c r="C145" s="43" t="s">
        <v>137</v>
      </c>
      <c r="D145" s="42">
        <v>11</v>
      </c>
      <c r="E145" s="41">
        <v>3.3916073135386795E-4</v>
      </c>
    </row>
    <row r="146" spans="2:5" ht="15" customHeight="1">
      <c r="B146" s="84"/>
      <c r="C146" s="43" t="s">
        <v>151</v>
      </c>
      <c r="D146" s="42">
        <v>9</v>
      </c>
      <c r="E146" s="41">
        <v>2.7749514383498288E-4</v>
      </c>
    </row>
    <row r="147" spans="2:5" ht="15" customHeight="1">
      <c r="B147" s="84"/>
      <c r="C147" s="43" t="s">
        <v>134</v>
      </c>
      <c r="D147" s="42">
        <v>2</v>
      </c>
      <c r="E147" s="41">
        <v>6.1665587518885091E-5</v>
      </c>
    </row>
    <row r="148" spans="2:5" ht="15" customHeight="1">
      <c r="B148" s="84"/>
      <c r="C148" s="43" t="s">
        <v>150</v>
      </c>
      <c r="D148" s="42">
        <v>1</v>
      </c>
      <c r="E148" s="41">
        <v>3.0832793759442546E-5</v>
      </c>
    </row>
    <row r="149" spans="2:5" ht="15" customHeight="1">
      <c r="B149" s="84"/>
      <c r="C149" s="43" t="s">
        <v>175</v>
      </c>
      <c r="D149" s="42">
        <v>69</v>
      </c>
      <c r="E149" s="41">
        <v>2.1274627694015356E-3</v>
      </c>
    </row>
    <row r="150" spans="2:5" ht="15" customHeight="1">
      <c r="B150" s="84"/>
      <c r="C150" s="43" t="s">
        <v>157</v>
      </c>
      <c r="D150" s="42">
        <v>123</v>
      </c>
      <c r="E150" s="41">
        <v>3.7924336324114327E-3</v>
      </c>
    </row>
    <row r="151" spans="2:5" ht="15" customHeight="1">
      <c r="B151" s="84"/>
      <c r="C151" s="43" t="s">
        <v>143</v>
      </c>
      <c r="D151" s="42">
        <v>11</v>
      </c>
      <c r="E151" s="41">
        <v>3.3916073135386795E-4</v>
      </c>
    </row>
    <row r="152" spans="2:5" ht="15" customHeight="1">
      <c r="B152" s="84"/>
      <c r="C152" s="43" t="s">
        <v>169</v>
      </c>
      <c r="D152" s="42">
        <v>9</v>
      </c>
      <c r="E152" s="41">
        <v>2.7749514383498288E-4</v>
      </c>
    </row>
    <row r="153" spans="2:5" ht="15" customHeight="1">
      <c r="B153" s="84"/>
      <c r="C153" s="43" t="s">
        <v>160</v>
      </c>
      <c r="D153" s="42">
        <v>16</v>
      </c>
      <c r="E153" s="41">
        <v>4.9332470015108073E-4</v>
      </c>
    </row>
    <row r="154" spans="2:5" ht="15" customHeight="1">
      <c r="B154" s="84"/>
      <c r="C154" s="43" t="s">
        <v>131</v>
      </c>
      <c r="D154" s="42">
        <v>3</v>
      </c>
      <c r="E154" s="41">
        <v>9.249838127832763E-5</v>
      </c>
    </row>
    <row r="155" spans="2:5" ht="15" customHeight="1">
      <c r="B155" s="84"/>
      <c r="C155" s="43" t="s">
        <v>133</v>
      </c>
      <c r="D155" s="42">
        <v>3</v>
      </c>
      <c r="E155" s="41">
        <v>9.249838127832763E-5</v>
      </c>
    </row>
    <row r="156" spans="2:5" ht="15" customHeight="1">
      <c r="B156" s="84"/>
      <c r="C156" s="43" t="s">
        <v>147</v>
      </c>
      <c r="D156" s="42">
        <v>12</v>
      </c>
      <c r="E156" s="41">
        <v>3.6999352511331052E-4</v>
      </c>
    </row>
    <row r="157" spans="2:5" ht="15" customHeight="1">
      <c r="B157" s="84"/>
      <c r="C157" s="43" t="s">
        <v>130</v>
      </c>
      <c r="D157" s="42">
        <v>2</v>
      </c>
      <c r="E157" s="41">
        <v>6.1665587518885091E-5</v>
      </c>
    </row>
    <row r="158" spans="2:5" ht="15" customHeight="1">
      <c r="B158" s="84"/>
      <c r="C158" s="43" t="s">
        <v>153</v>
      </c>
      <c r="D158" s="42">
        <v>17</v>
      </c>
      <c r="E158" s="41">
        <v>5.2415749391052319E-4</v>
      </c>
    </row>
    <row r="159" spans="2:5" ht="15" customHeight="1">
      <c r="B159" s="84"/>
      <c r="C159" s="43" t="s">
        <v>141</v>
      </c>
      <c r="D159" s="42">
        <v>2</v>
      </c>
      <c r="E159" s="41">
        <v>6.1665587518885091E-5</v>
      </c>
    </row>
    <row r="160" spans="2:5" ht="15" customHeight="1">
      <c r="B160" s="84"/>
      <c r="C160" s="43" t="s">
        <v>149</v>
      </c>
      <c r="D160" s="42">
        <v>3</v>
      </c>
      <c r="E160" s="41">
        <v>9.249838127832763E-5</v>
      </c>
    </row>
    <row r="161" spans="2:5" ht="15" customHeight="1">
      <c r="B161" s="84"/>
      <c r="C161" s="43" t="s">
        <v>146</v>
      </c>
      <c r="D161" s="42">
        <v>6</v>
      </c>
      <c r="E161" s="41">
        <v>1.8499676255665526E-4</v>
      </c>
    </row>
    <row r="162" spans="2:5" ht="15" customHeight="1">
      <c r="B162" s="84"/>
      <c r="C162" s="43" t="s">
        <v>144</v>
      </c>
      <c r="D162" s="42">
        <v>11</v>
      </c>
      <c r="E162" s="41">
        <v>3.3916073135386795E-4</v>
      </c>
    </row>
    <row r="163" spans="2:5" ht="15" customHeight="1">
      <c r="B163" s="84"/>
      <c r="C163" s="43" t="s">
        <v>155</v>
      </c>
      <c r="D163" s="42">
        <v>9</v>
      </c>
      <c r="E163" s="41">
        <v>2.7749514383498288E-4</v>
      </c>
    </row>
    <row r="164" spans="2:5" ht="15" customHeight="1">
      <c r="B164" s="84"/>
      <c r="C164" s="43" t="s">
        <v>138</v>
      </c>
      <c r="D164" s="42">
        <v>2</v>
      </c>
      <c r="E164" s="41">
        <v>6.1665587518885091E-5</v>
      </c>
    </row>
    <row r="165" spans="2:5" ht="15" customHeight="1">
      <c r="B165" s="84"/>
      <c r="C165" s="43" t="s">
        <v>173</v>
      </c>
      <c r="D165" s="42">
        <v>99</v>
      </c>
      <c r="E165" s="41">
        <v>3.052446582184812E-3</v>
      </c>
    </row>
    <row r="166" spans="2:5" ht="15" customHeight="1">
      <c r="B166" s="84"/>
      <c r="C166" s="43" t="s">
        <v>154</v>
      </c>
      <c r="D166" s="42">
        <v>39</v>
      </c>
      <c r="E166" s="41">
        <v>1.2024789566182591E-3</v>
      </c>
    </row>
    <row r="167" spans="2:5" ht="15" customHeight="1">
      <c r="B167" s="84"/>
      <c r="C167" s="43" t="s">
        <v>162</v>
      </c>
      <c r="D167" s="42">
        <v>37</v>
      </c>
      <c r="E167" s="41">
        <v>1.1408133690993742E-3</v>
      </c>
    </row>
    <row r="168" spans="2:5" ht="15" customHeight="1">
      <c r="B168" s="84"/>
      <c r="C168" s="43" t="s">
        <v>161</v>
      </c>
      <c r="D168" s="42">
        <v>19</v>
      </c>
      <c r="E168" s="41">
        <v>5.8582308142940832E-4</v>
      </c>
    </row>
    <row r="169" spans="2:5" ht="15" customHeight="1">
      <c r="B169" s="84"/>
      <c r="C169" s="43" t="s">
        <v>166</v>
      </c>
      <c r="D169" s="42">
        <v>7</v>
      </c>
      <c r="E169" s="41">
        <v>2.158295563160978E-4</v>
      </c>
    </row>
    <row r="170" spans="2:5" ht="15" customHeight="1">
      <c r="B170" s="84"/>
      <c r="C170" s="43" t="s">
        <v>145</v>
      </c>
      <c r="D170" s="42">
        <v>19</v>
      </c>
      <c r="E170" s="41">
        <v>5.8582308142940832E-4</v>
      </c>
    </row>
    <row r="171" spans="2:5" ht="15" customHeight="1">
      <c r="B171" s="85"/>
      <c r="C171" s="40" t="s">
        <v>23</v>
      </c>
      <c r="D171" s="39">
        <v>1372</v>
      </c>
      <c r="E171" s="38">
        <v>4.2302593037955166E-2</v>
      </c>
    </row>
    <row r="172" spans="2:5" ht="15" customHeight="1">
      <c r="B172" s="83" t="s">
        <v>56</v>
      </c>
      <c r="C172" s="43" t="s">
        <v>172</v>
      </c>
      <c r="D172" s="42">
        <v>1</v>
      </c>
      <c r="E172" s="41">
        <v>3.0832793759442546E-5</v>
      </c>
    </row>
    <row r="173" spans="2:5" ht="15" customHeight="1">
      <c r="B173" s="84"/>
      <c r="C173" s="43" t="s">
        <v>136</v>
      </c>
      <c r="D173" s="42">
        <v>1</v>
      </c>
      <c r="E173" s="41">
        <v>3.0832793759442546E-5</v>
      </c>
    </row>
    <row r="174" spans="2:5" ht="15" customHeight="1">
      <c r="B174" s="84"/>
      <c r="C174" s="43" t="s">
        <v>140</v>
      </c>
      <c r="D174" s="42">
        <v>1</v>
      </c>
      <c r="E174" s="41">
        <v>3.0832793759442546E-5</v>
      </c>
    </row>
    <row r="175" spans="2:5" ht="15" customHeight="1">
      <c r="B175" s="84"/>
      <c r="C175" s="43" t="s">
        <v>174</v>
      </c>
      <c r="D175" s="42">
        <v>9</v>
      </c>
      <c r="E175" s="41">
        <v>2.7749514383498288E-4</v>
      </c>
    </row>
    <row r="176" spans="2:5" ht="15" customHeight="1">
      <c r="B176" s="84"/>
      <c r="C176" s="43" t="s">
        <v>164</v>
      </c>
      <c r="D176" s="42">
        <v>4</v>
      </c>
      <c r="E176" s="41">
        <v>1.2333117503777018E-4</v>
      </c>
    </row>
    <row r="177" spans="2:5" ht="15" customHeight="1">
      <c r="B177" s="84"/>
      <c r="C177" s="43" t="s">
        <v>176</v>
      </c>
      <c r="D177" s="42">
        <v>3</v>
      </c>
      <c r="E177" s="41">
        <v>9.249838127832763E-5</v>
      </c>
    </row>
    <row r="178" spans="2:5" ht="15" customHeight="1">
      <c r="B178" s="84"/>
      <c r="C178" s="43" t="s">
        <v>178</v>
      </c>
      <c r="D178" s="42">
        <v>3</v>
      </c>
      <c r="E178" s="41">
        <v>9.249838127832763E-5</v>
      </c>
    </row>
    <row r="179" spans="2:5" ht="15" customHeight="1">
      <c r="B179" s="84"/>
      <c r="C179" s="43" t="s">
        <v>179</v>
      </c>
      <c r="D179" s="42">
        <v>13</v>
      </c>
      <c r="E179" s="41">
        <v>4.0082631887275309E-4</v>
      </c>
    </row>
    <row r="180" spans="2:5" ht="15" customHeight="1">
      <c r="B180" s="84"/>
      <c r="C180" s="43" t="s">
        <v>129</v>
      </c>
      <c r="D180" s="42">
        <v>1</v>
      </c>
      <c r="E180" s="41">
        <v>3.0832793759442546E-5</v>
      </c>
    </row>
    <row r="181" spans="2:5" ht="15" customHeight="1">
      <c r="B181" s="84"/>
      <c r="C181" s="43" t="s">
        <v>159</v>
      </c>
      <c r="D181" s="42">
        <v>1</v>
      </c>
      <c r="E181" s="41">
        <v>3.0832793759442546E-5</v>
      </c>
    </row>
    <row r="182" spans="2:5" ht="15" customHeight="1">
      <c r="B182" s="84"/>
      <c r="C182" s="43" t="s">
        <v>168</v>
      </c>
      <c r="D182" s="42">
        <v>1</v>
      </c>
      <c r="E182" s="41">
        <v>3.0832793759442546E-5</v>
      </c>
    </row>
    <row r="183" spans="2:5" ht="15" customHeight="1">
      <c r="B183" s="84"/>
      <c r="C183" s="43" t="s">
        <v>180</v>
      </c>
      <c r="D183" s="42">
        <v>6</v>
      </c>
      <c r="E183" s="41">
        <v>1.8499676255665526E-4</v>
      </c>
    </row>
    <row r="184" spans="2:5" ht="15" customHeight="1">
      <c r="B184" s="84"/>
      <c r="C184" s="43" t="s">
        <v>177</v>
      </c>
      <c r="D184" s="42">
        <v>6</v>
      </c>
      <c r="E184" s="41">
        <v>1.8499676255665526E-4</v>
      </c>
    </row>
    <row r="185" spans="2:5" ht="15" customHeight="1">
      <c r="B185" s="84"/>
      <c r="C185" s="43" t="s">
        <v>165</v>
      </c>
      <c r="D185" s="42">
        <v>1</v>
      </c>
      <c r="E185" s="41">
        <v>3.0832793759442546E-5</v>
      </c>
    </row>
    <row r="186" spans="2:5" ht="15" customHeight="1">
      <c r="B186" s="84"/>
      <c r="C186" s="43" t="s">
        <v>171</v>
      </c>
      <c r="D186" s="42">
        <v>4</v>
      </c>
      <c r="E186" s="41">
        <v>1.2333117503777018E-4</v>
      </c>
    </row>
    <row r="187" spans="2:5" ht="15" customHeight="1">
      <c r="B187" s="84"/>
      <c r="C187" s="43" t="s">
        <v>181</v>
      </c>
      <c r="D187" s="42">
        <v>43</v>
      </c>
      <c r="E187" s="41">
        <v>1.3258101316560294E-3</v>
      </c>
    </row>
    <row r="188" spans="2:5" ht="15" customHeight="1">
      <c r="B188" s="84"/>
      <c r="C188" s="43" t="s">
        <v>167</v>
      </c>
      <c r="D188" s="42">
        <v>2</v>
      </c>
      <c r="E188" s="41">
        <v>6.1665587518885091E-5</v>
      </c>
    </row>
    <row r="189" spans="2:5" ht="15" customHeight="1">
      <c r="B189" s="84"/>
      <c r="C189" s="43" t="s">
        <v>103</v>
      </c>
      <c r="D189" s="42">
        <v>1</v>
      </c>
      <c r="E189" s="41">
        <v>3.0832793759442546E-5</v>
      </c>
    </row>
    <row r="190" spans="2:5" ht="15" customHeight="1">
      <c r="B190" s="84"/>
      <c r="C190" s="43" t="s">
        <v>182</v>
      </c>
      <c r="D190" s="42">
        <v>32</v>
      </c>
      <c r="E190" s="41">
        <v>9.8664940030216146E-4</v>
      </c>
    </row>
    <row r="191" spans="2:5" ht="15" customHeight="1">
      <c r="B191" s="84"/>
      <c r="C191" s="43" t="s">
        <v>137</v>
      </c>
      <c r="D191" s="42">
        <v>2</v>
      </c>
      <c r="E191" s="41">
        <v>6.1665587518885091E-5</v>
      </c>
    </row>
    <row r="192" spans="2:5" ht="15" customHeight="1">
      <c r="B192" s="84"/>
      <c r="C192" s="43" t="s">
        <v>175</v>
      </c>
      <c r="D192" s="42">
        <v>3</v>
      </c>
      <c r="E192" s="41">
        <v>9.249838127832763E-5</v>
      </c>
    </row>
    <row r="193" spans="2:5" ht="15" customHeight="1">
      <c r="B193" s="84"/>
      <c r="C193" s="43" t="s">
        <v>157</v>
      </c>
      <c r="D193" s="42">
        <v>18</v>
      </c>
      <c r="E193" s="41">
        <v>5.5499028766996575E-4</v>
      </c>
    </row>
    <row r="194" spans="2:5" ht="15" customHeight="1">
      <c r="B194" s="84"/>
      <c r="C194" s="43" t="s">
        <v>169</v>
      </c>
      <c r="D194" s="42">
        <v>2</v>
      </c>
      <c r="E194" s="41">
        <v>6.1665587518885091E-5</v>
      </c>
    </row>
    <row r="195" spans="2:5" ht="15" customHeight="1">
      <c r="B195" s="84"/>
      <c r="C195" s="43" t="s">
        <v>160</v>
      </c>
      <c r="D195" s="42">
        <v>3</v>
      </c>
      <c r="E195" s="41">
        <v>9.249838127832763E-5</v>
      </c>
    </row>
    <row r="196" spans="2:5" ht="15" customHeight="1">
      <c r="B196" s="84"/>
      <c r="C196" s="43" t="s">
        <v>147</v>
      </c>
      <c r="D196" s="42">
        <v>2</v>
      </c>
      <c r="E196" s="41">
        <v>6.1665587518885091E-5</v>
      </c>
    </row>
    <row r="197" spans="2:5" ht="15" customHeight="1">
      <c r="B197" s="84"/>
      <c r="C197" s="43" t="s">
        <v>153</v>
      </c>
      <c r="D197" s="42">
        <v>3</v>
      </c>
      <c r="E197" s="41">
        <v>9.249838127832763E-5</v>
      </c>
    </row>
    <row r="198" spans="2:5" ht="15" customHeight="1">
      <c r="B198" s="84"/>
      <c r="C198" s="43" t="s">
        <v>149</v>
      </c>
      <c r="D198" s="42">
        <v>1</v>
      </c>
      <c r="E198" s="41">
        <v>3.0832793759442546E-5</v>
      </c>
    </row>
    <row r="199" spans="2:5" ht="15" customHeight="1">
      <c r="B199" s="84"/>
      <c r="C199" s="43" t="s">
        <v>144</v>
      </c>
      <c r="D199" s="42">
        <v>1</v>
      </c>
      <c r="E199" s="41">
        <v>3.0832793759442546E-5</v>
      </c>
    </row>
    <row r="200" spans="2:5" ht="15" customHeight="1">
      <c r="B200" s="84"/>
      <c r="C200" s="43" t="s">
        <v>155</v>
      </c>
      <c r="D200" s="42">
        <v>1</v>
      </c>
      <c r="E200" s="41">
        <v>3.0832793759442546E-5</v>
      </c>
    </row>
    <row r="201" spans="2:5" ht="15" customHeight="1">
      <c r="B201" s="84"/>
      <c r="C201" s="43" t="s">
        <v>173</v>
      </c>
      <c r="D201" s="42">
        <v>20</v>
      </c>
      <c r="E201" s="41">
        <v>6.1665587518885089E-4</v>
      </c>
    </row>
    <row r="202" spans="2:5" ht="15" customHeight="1">
      <c r="B202" s="84"/>
      <c r="C202" s="43" t="s">
        <v>154</v>
      </c>
      <c r="D202" s="42">
        <v>2</v>
      </c>
      <c r="E202" s="41">
        <v>6.1665587518885091E-5</v>
      </c>
    </row>
    <row r="203" spans="2:5" ht="15" customHeight="1">
      <c r="B203" s="84"/>
      <c r="C203" s="43" t="s">
        <v>162</v>
      </c>
      <c r="D203" s="42">
        <v>1</v>
      </c>
      <c r="E203" s="41">
        <v>3.0832793759442546E-5</v>
      </c>
    </row>
    <row r="204" spans="2:5" ht="15" customHeight="1">
      <c r="B204" s="84"/>
      <c r="C204" s="43" t="s">
        <v>161</v>
      </c>
      <c r="D204" s="42">
        <v>23</v>
      </c>
      <c r="E204" s="41">
        <v>7.0915425646717847E-4</v>
      </c>
    </row>
    <row r="205" spans="2:5" ht="15" customHeight="1">
      <c r="B205" s="84"/>
      <c r="C205" s="43" t="s">
        <v>166</v>
      </c>
      <c r="D205" s="42">
        <v>4</v>
      </c>
      <c r="E205" s="41">
        <v>1.2333117503777018E-4</v>
      </c>
    </row>
    <row r="206" spans="2:5" ht="15" customHeight="1">
      <c r="B206" s="84"/>
      <c r="C206" s="43" t="s">
        <v>145</v>
      </c>
      <c r="D206" s="42">
        <v>2</v>
      </c>
      <c r="E206" s="41">
        <v>6.1665587518885091E-5</v>
      </c>
    </row>
    <row r="207" spans="2:5" ht="15" customHeight="1">
      <c r="B207" s="85"/>
      <c r="C207" s="40" t="s">
        <v>23</v>
      </c>
      <c r="D207" s="39">
        <v>221</v>
      </c>
      <c r="E207" s="38">
        <v>6.8140474208368022E-3</v>
      </c>
    </row>
    <row r="208" spans="2:5" ht="15" customHeight="1">
      <c r="B208" s="83" t="s">
        <v>32</v>
      </c>
      <c r="C208" s="43" t="s">
        <v>172</v>
      </c>
      <c r="D208" s="42">
        <v>2</v>
      </c>
      <c r="E208" s="41">
        <v>6.1665587518885091E-5</v>
      </c>
    </row>
    <row r="209" spans="2:5" ht="15" customHeight="1">
      <c r="B209" s="84"/>
      <c r="C209" s="43" t="s">
        <v>152</v>
      </c>
      <c r="D209" s="42">
        <v>1</v>
      </c>
      <c r="E209" s="41">
        <v>3.0832793759442546E-5</v>
      </c>
    </row>
    <row r="210" spans="2:5" ht="15" customHeight="1">
      <c r="B210" s="84"/>
      <c r="C210" s="43" t="s">
        <v>136</v>
      </c>
      <c r="D210" s="42">
        <v>1</v>
      </c>
      <c r="E210" s="41">
        <v>3.0832793759442546E-5</v>
      </c>
    </row>
    <row r="211" spans="2:5" ht="15" customHeight="1">
      <c r="B211" s="84"/>
      <c r="C211" s="43" t="s">
        <v>164</v>
      </c>
      <c r="D211" s="42">
        <v>1</v>
      </c>
      <c r="E211" s="41">
        <v>3.0832793759442546E-5</v>
      </c>
    </row>
    <row r="212" spans="2:5" ht="15" customHeight="1">
      <c r="B212" s="84"/>
      <c r="C212" s="43" t="s">
        <v>179</v>
      </c>
      <c r="D212" s="42">
        <v>1</v>
      </c>
      <c r="E212" s="41">
        <v>3.0832793759442546E-5</v>
      </c>
    </row>
    <row r="213" spans="2:5" ht="15" customHeight="1">
      <c r="B213" s="84"/>
      <c r="C213" s="43" t="s">
        <v>180</v>
      </c>
      <c r="D213" s="42">
        <v>1</v>
      </c>
      <c r="E213" s="41">
        <v>3.0832793759442546E-5</v>
      </c>
    </row>
    <row r="214" spans="2:5" ht="15" customHeight="1">
      <c r="B214" s="84"/>
      <c r="C214" s="43" t="s">
        <v>177</v>
      </c>
      <c r="D214" s="42">
        <v>2</v>
      </c>
      <c r="E214" s="41">
        <v>6.1665587518885091E-5</v>
      </c>
    </row>
    <row r="215" spans="2:5" ht="15" customHeight="1">
      <c r="B215" s="84"/>
      <c r="C215" s="43" t="s">
        <v>171</v>
      </c>
      <c r="D215" s="42">
        <v>1</v>
      </c>
      <c r="E215" s="41">
        <v>3.0832793759442546E-5</v>
      </c>
    </row>
    <row r="216" spans="2:5" ht="15" customHeight="1">
      <c r="B216" s="84"/>
      <c r="C216" s="43" t="s">
        <v>167</v>
      </c>
      <c r="D216" s="42">
        <v>1</v>
      </c>
      <c r="E216" s="41">
        <v>3.0832793759442546E-5</v>
      </c>
    </row>
    <row r="217" spans="2:5" ht="15" customHeight="1">
      <c r="B217" s="84"/>
      <c r="C217" s="43" t="s">
        <v>182</v>
      </c>
      <c r="D217" s="42">
        <v>5</v>
      </c>
      <c r="E217" s="41">
        <v>1.5416396879721272E-4</v>
      </c>
    </row>
    <row r="218" spans="2:5" ht="15" customHeight="1">
      <c r="B218" s="84"/>
      <c r="C218" s="43" t="s">
        <v>175</v>
      </c>
      <c r="D218" s="42">
        <v>2</v>
      </c>
      <c r="E218" s="41">
        <v>6.1665587518885091E-5</v>
      </c>
    </row>
    <row r="219" spans="2:5" ht="15" customHeight="1">
      <c r="B219" s="84"/>
      <c r="C219" s="43" t="s">
        <v>157</v>
      </c>
      <c r="D219" s="42">
        <v>1</v>
      </c>
      <c r="E219" s="41">
        <v>3.0832793759442546E-5</v>
      </c>
    </row>
    <row r="220" spans="2:5" ht="15" customHeight="1">
      <c r="B220" s="84"/>
      <c r="C220" s="43" t="s">
        <v>155</v>
      </c>
      <c r="D220" s="42">
        <v>1</v>
      </c>
      <c r="E220" s="41">
        <v>3.0832793759442546E-5</v>
      </c>
    </row>
    <row r="221" spans="2:5" ht="15" customHeight="1">
      <c r="B221" s="84"/>
      <c r="C221" s="43" t="s">
        <v>161</v>
      </c>
      <c r="D221" s="42">
        <v>1</v>
      </c>
      <c r="E221" s="41">
        <v>3.0832793759442546E-5</v>
      </c>
    </row>
    <row r="222" spans="2:5" ht="15" customHeight="1">
      <c r="B222" s="85"/>
      <c r="C222" s="40" t="s">
        <v>23</v>
      </c>
      <c r="D222" s="39">
        <v>21</v>
      </c>
      <c r="E222" s="38">
        <v>6.4748866894829345E-4</v>
      </c>
    </row>
    <row r="223" spans="2:5" ht="15" customHeight="1">
      <c r="B223" s="83" t="s">
        <v>36</v>
      </c>
      <c r="C223" s="43" t="s">
        <v>148</v>
      </c>
      <c r="D223" s="42">
        <v>3</v>
      </c>
      <c r="E223" s="41">
        <v>9.249838127832763E-5</v>
      </c>
    </row>
    <row r="224" spans="2:5" ht="15" customHeight="1">
      <c r="B224" s="84"/>
      <c r="C224" s="43" t="s">
        <v>170</v>
      </c>
      <c r="D224" s="42">
        <v>2</v>
      </c>
      <c r="E224" s="41">
        <v>6.1665587518885091E-5</v>
      </c>
    </row>
    <row r="225" spans="2:5" ht="15" customHeight="1">
      <c r="B225" s="84"/>
      <c r="C225" s="43" t="s">
        <v>176</v>
      </c>
      <c r="D225" s="42">
        <v>4</v>
      </c>
      <c r="E225" s="41">
        <v>1.2333117503777018E-4</v>
      </c>
    </row>
    <row r="226" spans="2:5" ht="15" customHeight="1">
      <c r="B226" s="84"/>
      <c r="C226" s="43" t="s">
        <v>178</v>
      </c>
      <c r="D226" s="42">
        <v>2</v>
      </c>
      <c r="E226" s="41">
        <v>6.1665587518885091E-5</v>
      </c>
    </row>
    <row r="227" spans="2:5" ht="15" customHeight="1">
      <c r="B227" s="84"/>
      <c r="C227" s="43" t="s">
        <v>179</v>
      </c>
      <c r="D227" s="42">
        <v>1</v>
      </c>
      <c r="E227" s="41">
        <v>3.0832793759442546E-5</v>
      </c>
    </row>
    <row r="228" spans="2:5" ht="15" customHeight="1">
      <c r="B228" s="84"/>
      <c r="C228" s="43" t="s">
        <v>181</v>
      </c>
      <c r="D228" s="42">
        <v>2</v>
      </c>
      <c r="E228" s="41">
        <v>6.1665587518885091E-5</v>
      </c>
    </row>
    <row r="229" spans="2:5" ht="15" customHeight="1">
      <c r="B229" s="84"/>
      <c r="C229" s="43" t="s">
        <v>167</v>
      </c>
      <c r="D229" s="42">
        <v>7</v>
      </c>
      <c r="E229" s="41">
        <v>2.158295563160978E-4</v>
      </c>
    </row>
    <row r="230" spans="2:5" ht="15" customHeight="1">
      <c r="B230" s="84"/>
      <c r="C230" s="43" t="s">
        <v>163</v>
      </c>
      <c r="D230" s="42">
        <v>2</v>
      </c>
      <c r="E230" s="41">
        <v>6.1665587518885091E-5</v>
      </c>
    </row>
    <row r="231" spans="2:5" ht="15" customHeight="1">
      <c r="B231" s="84"/>
      <c r="C231" s="43" t="s">
        <v>182</v>
      </c>
      <c r="D231" s="42">
        <v>3</v>
      </c>
      <c r="E231" s="41">
        <v>9.249838127832763E-5</v>
      </c>
    </row>
    <row r="232" spans="2:5" ht="15" customHeight="1">
      <c r="B232" s="84"/>
      <c r="C232" s="43" t="s">
        <v>160</v>
      </c>
      <c r="D232" s="42">
        <v>4</v>
      </c>
      <c r="E232" s="41">
        <v>1.2333117503777018E-4</v>
      </c>
    </row>
    <row r="233" spans="2:5" ht="15" customHeight="1">
      <c r="B233" s="84"/>
      <c r="C233" s="43" t="s">
        <v>154</v>
      </c>
      <c r="D233" s="42">
        <v>1</v>
      </c>
      <c r="E233" s="41">
        <v>3.0832793759442546E-5</v>
      </c>
    </row>
    <row r="234" spans="2:5" ht="15" customHeight="1">
      <c r="B234" s="85"/>
      <c r="C234" s="40" t="s">
        <v>23</v>
      </c>
      <c r="D234" s="39">
        <v>31</v>
      </c>
      <c r="E234" s="38">
        <v>9.5581660654271879E-4</v>
      </c>
    </row>
    <row r="235" spans="2:5" ht="15" customHeight="1">
      <c r="B235" s="83" t="s">
        <v>65</v>
      </c>
      <c r="C235" s="43" t="s">
        <v>172</v>
      </c>
      <c r="D235" s="42">
        <v>10</v>
      </c>
      <c r="E235" s="41">
        <v>3.0832793759442544E-4</v>
      </c>
    </row>
    <row r="236" spans="2:5" ht="15" customHeight="1">
      <c r="B236" s="84"/>
      <c r="C236" s="43" t="s">
        <v>148</v>
      </c>
      <c r="D236" s="42">
        <v>9</v>
      </c>
      <c r="E236" s="41">
        <v>2.7749514383498288E-4</v>
      </c>
    </row>
    <row r="237" spans="2:5" ht="15" customHeight="1">
      <c r="B237" s="84"/>
      <c r="C237" s="43" t="s">
        <v>152</v>
      </c>
      <c r="D237" s="42">
        <v>26</v>
      </c>
      <c r="E237" s="41">
        <v>8.0165263774550617E-4</v>
      </c>
    </row>
    <row r="238" spans="2:5" ht="15" customHeight="1">
      <c r="B238" s="84"/>
      <c r="C238" s="43" t="s">
        <v>142</v>
      </c>
      <c r="D238" s="42">
        <v>2</v>
      </c>
      <c r="E238" s="41">
        <v>6.1665587518885091E-5</v>
      </c>
    </row>
    <row r="239" spans="2:5" ht="15" customHeight="1">
      <c r="B239" s="84"/>
      <c r="C239" s="43" t="s">
        <v>136</v>
      </c>
      <c r="D239" s="42">
        <v>3</v>
      </c>
      <c r="E239" s="41">
        <v>9.249838127832763E-5</v>
      </c>
    </row>
    <row r="240" spans="2:5" ht="15" customHeight="1">
      <c r="B240" s="84"/>
      <c r="C240" s="43" t="s">
        <v>170</v>
      </c>
      <c r="D240" s="42">
        <v>14</v>
      </c>
      <c r="E240" s="41">
        <v>4.316591126321956E-4</v>
      </c>
    </row>
    <row r="241" spans="2:5" ht="15" customHeight="1">
      <c r="B241" s="84"/>
      <c r="C241" s="43" t="s">
        <v>140</v>
      </c>
      <c r="D241" s="42">
        <v>2</v>
      </c>
      <c r="E241" s="41">
        <v>6.1665587518885091E-5</v>
      </c>
    </row>
    <row r="242" spans="2:5" ht="15" customHeight="1">
      <c r="B242" s="84"/>
      <c r="C242" s="43" t="s">
        <v>156</v>
      </c>
      <c r="D242" s="42">
        <v>2</v>
      </c>
      <c r="E242" s="41">
        <v>6.1665587518885091E-5</v>
      </c>
    </row>
    <row r="243" spans="2:5" ht="15" customHeight="1">
      <c r="B243" s="84"/>
      <c r="C243" s="43" t="s">
        <v>174</v>
      </c>
      <c r="D243" s="42">
        <v>11</v>
      </c>
      <c r="E243" s="41">
        <v>3.3916073135386795E-4</v>
      </c>
    </row>
    <row r="244" spans="2:5" ht="15" customHeight="1">
      <c r="B244" s="84"/>
      <c r="C244" s="43" t="s">
        <v>127</v>
      </c>
      <c r="D244" s="42">
        <v>1</v>
      </c>
      <c r="E244" s="41">
        <v>3.0832793759442546E-5</v>
      </c>
    </row>
    <row r="245" spans="2:5" ht="15" customHeight="1">
      <c r="B245" s="84"/>
      <c r="C245" s="43" t="s">
        <v>164</v>
      </c>
      <c r="D245" s="42">
        <v>2</v>
      </c>
      <c r="E245" s="41">
        <v>6.1665587518885091E-5</v>
      </c>
    </row>
    <row r="246" spans="2:5" ht="15" customHeight="1">
      <c r="B246" s="84"/>
      <c r="C246" s="43" t="s">
        <v>176</v>
      </c>
      <c r="D246" s="42">
        <v>33</v>
      </c>
      <c r="E246" s="41">
        <v>1.0174821940616039E-3</v>
      </c>
    </row>
    <row r="247" spans="2:5" ht="15" customHeight="1">
      <c r="B247" s="84"/>
      <c r="C247" s="43" t="s">
        <v>178</v>
      </c>
      <c r="D247" s="42">
        <v>41</v>
      </c>
      <c r="E247" s="41">
        <v>1.2641445441371442E-3</v>
      </c>
    </row>
    <row r="248" spans="2:5" ht="15" customHeight="1">
      <c r="B248" s="84"/>
      <c r="C248" s="43" t="s">
        <v>179</v>
      </c>
      <c r="D248" s="42">
        <v>53</v>
      </c>
      <c r="E248" s="41">
        <v>1.6341380692504548E-3</v>
      </c>
    </row>
    <row r="249" spans="2:5" ht="15" customHeight="1">
      <c r="B249" s="84"/>
      <c r="C249" s="43" t="s">
        <v>129</v>
      </c>
      <c r="D249" s="42">
        <v>3</v>
      </c>
      <c r="E249" s="41">
        <v>9.249838127832763E-5</v>
      </c>
    </row>
    <row r="250" spans="2:5" ht="15" customHeight="1">
      <c r="B250" s="84"/>
      <c r="C250" s="43" t="s">
        <v>159</v>
      </c>
      <c r="D250" s="42">
        <v>21</v>
      </c>
      <c r="E250" s="41">
        <v>6.4748866894829345E-4</v>
      </c>
    </row>
    <row r="251" spans="2:5" ht="15" customHeight="1">
      <c r="B251" s="84"/>
      <c r="C251" s="43" t="s">
        <v>135</v>
      </c>
      <c r="D251" s="42">
        <v>3</v>
      </c>
      <c r="E251" s="41">
        <v>9.249838127832763E-5</v>
      </c>
    </row>
    <row r="252" spans="2:5" ht="15" customHeight="1">
      <c r="B252" s="84"/>
      <c r="C252" s="43" t="s">
        <v>168</v>
      </c>
      <c r="D252" s="42">
        <v>13</v>
      </c>
      <c r="E252" s="41">
        <v>4.0082631887275309E-4</v>
      </c>
    </row>
    <row r="253" spans="2:5" ht="15" customHeight="1">
      <c r="B253" s="84"/>
      <c r="C253" s="43" t="s">
        <v>132</v>
      </c>
      <c r="D253" s="42">
        <v>1</v>
      </c>
      <c r="E253" s="41">
        <v>3.0832793759442546E-5</v>
      </c>
    </row>
    <row r="254" spans="2:5" ht="15" customHeight="1">
      <c r="B254" s="84"/>
      <c r="C254" s="43" t="s">
        <v>158</v>
      </c>
      <c r="D254" s="42">
        <v>18</v>
      </c>
      <c r="E254" s="41">
        <v>5.5499028766996575E-4</v>
      </c>
    </row>
    <row r="255" spans="2:5" ht="15" customHeight="1">
      <c r="B255" s="84"/>
      <c r="C255" s="43" t="s">
        <v>180</v>
      </c>
      <c r="D255" s="42">
        <v>29</v>
      </c>
      <c r="E255" s="41">
        <v>8.9415101902383376E-4</v>
      </c>
    </row>
    <row r="256" spans="2:5" ht="15" customHeight="1">
      <c r="B256" s="84"/>
      <c r="C256" s="43" t="s">
        <v>126</v>
      </c>
      <c r="D256" s="42">
        <v>1</v>
      </c>
      <c r="E256" s="41">
        <v>3.0832793759442546E-5</v>
      </c>
    </row>
    <row r="257" spans="2:5" ht="15" customHeight="1">
      <c r="B257" s="84"/>
      <c r="C257" s="43" t="s">
        <v>177</v>
      </c>
      <c r="D257" s="42">
        <v>57</v>
      </c>
      <c r="E257" s="41">
        <v>1.7574692442882249E-3</v>
      </c>
    </row>
    <row r="258" spans="2:5" ht="15" customHeight="1">
      <c r="B258" s="84"/>
      <c r="C258" s="43" t="s">
        <v>165</v>
      </c>
      <c r="D258" s="42">
        <v>7</v>
      </c>
      <c r="E258" s="41">
        <v>2.158295563160978E-4</v>
      </c>
    </row>
    <row r="259" spans="2:5" ht="15" customHeight="1">
      <c r="B259" s="84"/>
      <c r="C259" s="43" t="s">
        <v>171</v>
      </c>
      <c r="D259" s="42">
        <v>27</v>
      </c>
      <c r="E259" s="41">
        <v>8.3248543150494863E-4</v>
      </c>
    </row>
    <row r="260" spans="2:5" ht="15" customHeight="1">
      <c r="B260" s="84"/>
      <c r="C260" s="43" t="s">
        <v>181</v>
      </c>
      <c r="D260" s="42">
        <v>143</v>
      </c>
      <c r="E260" s="41">
        <v>4.4090895076002836E-3</v>
      </c>
    </row>
    <row r="261" spans="2:5" ht="15" customHeight="1">
      <c r="B261" s="84"/>
      <c r="C261" s="43" t="s">
        <v>167</v>
      </c>
      <c r="D261" s="42">
        <v>10</v>
      </c>
      <c r="E261" s="41">
        <v>3.0832793759442544E-4</v>
      </c>
    </row>
    <row r="262" spans="2:5" ht="15" customHeight="1">
      <c r="B262" s="84"/>
      <c r="C262" s="43" t="s">
        <v>103</v>
      </c>
      <c r="D262" s="42">
        <v>2</v>
      </c>
      <c r="E262" s="41">
        <v>6.1665587518885091E-5</v>
      </c>
    </row>
    <row r="263" spans="2:5" ht="15" customHeight="1">
      <c r="B263" s="84"/>
      <c r="C263" s="43" t="s">
        <v>163</v>
      </c>
      <c r="D263" s="42">
        <v>18</v>
      </c>
      <c r="E263" s="41">
        <v>5.5499028766996575E-4</v>
      </c>
    </row>
    <row r="264" spans="2:5" ht="15" customHeight="1">
      <c r="B264" s="84"/>
      <c r="C264" s="43" t="s">
        <v>182</v>
      </c>
      <c r="D264" s="42">
        <v>99</v>
      </c>
      <c r="E264" s="41">
        <v>3.052446582184812E-3</v>
      </c>
    </row>
    <row r="265" spans="2:5" ht="15" customHeight="1">
      <c r="B265" s="84"/>
      <c r="C265" s="43" t="s">
        <v>137</v>
      </c>
      <c r="D265" s="42">
        <v>1</v>
      </c>
      <c r="E265" s="41">
        <v>3.0832793759442546E-5</v>
      </c>
    </row>
    <row r="266" spans="2:5" ht="15" customHeight="1">
      <c r="B266" s="84"/>
      <c r="C266" s="43" t="s">
        <v>151</v>
      </c>
      <c r="D266" s="42">
        <v>2</v>
      </c>
      <c r="E266" s="41">
        <v>6.1665587518885091E-5</v>
      </c>
    </row>
    <row r="267" spans="2:5" ht="15" customHeight="1">
      <c r="B267" s="84"/>
      <c r="C267" s="43" t="s">
        <v>134</v>
      </c>
      <c r="D267" s="42">
        <v>2</v>
      </c>
      <c r="E267" s="41">
        <v>6.1665587518885091E-5</v>
      </c>
    </row>
    <row r="268" spans="2:5" ht="15" customHeight="1">
      <c r="B268" s="84"/>
      <c r="C268" s="43" t="s">
        <v>150</v>
      </c>
      <c r="D268" s="42">
        <v>9</v>
      </c>
      <c r="E268" s="41">
        <v>2.7749514383498288E-4</v>
      </c>
    </row>
    <row r="269" spans="2:5" ht="15" customHeight="1">
      <c r="B269" s="84"/>
      <c r="C269" s="43" t="s">
        <v>175</v>
      </c>
      <c r="D269" s="42">
        <v>17</v>
      </c>
      <c r="E269" s="41">
        <v>5.2415749391052319E-4</v>
      </c>
    </row>
    <row r="270" spans="2:5" ht="15" customHeight="1">
      <c r="B270" s="84"/>
      <c r="C270" s="43" t="s">
        <v>157</v>
      </c>
      <c r="D270" s="42">
        <v>4</v>
      </c>
      <c r="E270" s="41">
        <v>1.2333117503777018E-4</v>
      </c>
    </row>
    <row r="271" spans="2:5" ht="15" customHeight="1">
      <c r="B271" s="84"/>
      <c r="C271" s="43" t="s">
        <v>143</v>
      </c>
      <c r="D271" s="42">
        <v>5</v>
      </c>
      <c r="E271" s="41">
        <v>1.5416396879721272E-4</v>
      </c>
    </row>
    <row r="272" spans="2:5" ht="15" customHeight="1">
      <c r="B272" s="84"/>
      <c r="C272" s="43" t="s">
        <v>169</v>
      </c>
      <c r="D272" s="42">
        <v>24</v>
      </c>
      <c r="E272" s="41">
        <v>7.3998705022662104E-4</v>
      </c>
    </row>
    <row r="273" spans="2:5" ht="15" customHeight="1">
      <c r="B273" s="84"/>
      <c r="C273" s="43" t="s">
        <v>160</v>
      </c>
      <c r="D273" s="42">
        <v>23</v>
      </c>
      <c r="E273" s="41">
        <v>7.0915425646717847E-4</v>
      </c>
    </row>
    <row r="274" spans="2:5" ht="15" customHeight="1">
      <c r="B274" s="84"/>
      <c r="C274" s="43" t="s">
        <v>133</v>
      </c>
      <c r="D274" s="42">
        <v>4</v>
      </c>
      <c r="E274" s="41">
        <v>1.2333117503777018E-4</v>
      </c>
    </row>
    <row r="275" spans="2:5" ht="15" customHeight="1">
      <c r="B275" s="84"/>
      <c r="C275" s="43" t="s">
        <v>147</v>
      </c>
      <c r="D275" s="42">
        <v>8</v>
      </c>
      <c r="E275" s="41">
        <v>2.4666235007554037E-4</v>
      </c>
    </row>
    <row r="276" spans="2:5" ht="15" customHeight="1">
      <c r="B276" s="84"/>
      <c r="C276" s="43" t="s">
        <v>139</v>
      </c>
      <c r="D276" s="42">
        <v>4</v>
      </c>
      <c r="E276" s="41">
        <v>1.2333117503777018E-4</v>
      </c>
    </row>
    <row r="277" spans="2:5" ht="15" customHeight="1">
      <c r="B277" s="84"/>
      <c r="C277" s="43" t="s">
        <v>153</v>
      </c>
      <c r="D277" s="42">
        <v>2</v>
      </c>
      <c r="E277" s="41">
        <v>6.1665587518885091E-5</v>
      </c>
    </row>
    <row r="278" spans="2:5" ht="15" customHeight="1">
      <c r="B278" s="84"/>
      <c r="C278" s="43" t="s">
        <v>141</v>
      </c>
      <c r="D278" s="42">
        <v>2</v>
      </c>
      <c r="E278" s="41">
        <v>6.1665587518885091E-5</v>
      </c>
    </row>
    <row r="279" spans="2:5" ht="15" customHeight="1">
      <c r="B279" s="84"/>
      <c r="C279" s="43" t="s">
        <v>146</v>
      </c>
      <c r="D279" s="42">
        <v>5</v>
      </c>
      <c r="E279" s="41">
        <v>1.5416396879721272E-4</v>
      </c>
    </row>
    <row r="280" spans="2:5" ht="15" customHeight="1">
      <c r="B280" s="84"/>
      <c r="C280" s="43" t="s">
        <v>144</v>
      </c>
      <c r="D280" s="42">
        <v>7</v>
      </c>
      <c r="E280" s="41">
        <v>2.158295563160978E-4</v>
      </c>
    </row>
    <row r="281" spans="2:5" ht="15" customHeight="1">
      <c r="B281" s="84"/>
      <c r="C281" s="43" t="s">
        <v>155</v>
      </c>
      <c r="D281" s="42">
        <v>6</v>
      </c>
      <c r="E281" s="41">
        <v>1.8499676255665526E-4</v>
      </c>
    </row>
    <row r="282" spans="2:5" ht="15" customHeight="1">
      <c r="B282" s="84"/>
      <c r="C282" s="43" t="s">
        <v>138</v>
      </c>
      <c r="D282" s="42">
        <v>3</v>
      </c>
      <c r="E282" s="41">
        <v>9.249838127832763E-5</v>
      </c>
    </row>
    <row r="283" spans="2:5" ht="15" customHeight="1">
      <c r="B283" s="84"/>
      <c r="C283" s="43" t="s">
        <v>173</v>
      </c>
      <c r="D283" s="42">
        <v>17</v>
      </c>
      <c r="E283" s="41">
        <v>5.2415749391052319E-4</v>
      </c>
    </row>
    <row r="284" spans="2:5" ht="15" customHeight="1">
      <c r="B284" s="84"/>
      <c r="C284" s="43" t="s">
        <v>154</v>
      </c>
      <c r="D284" s="42">
        <v>11</v>
      </c>
      <c r="E284" s="41">
        <v>3.3916073135386795E-4</v>
      </c>
    </row>
    <row r="285" spans="2:5" ht="15" customHeight="1">
      <c r="B285" s="84"/>
      <c r="C285" s="43" t="s">
        <v>162</v>
      </c>
      <c r="D285" s="42">
        <v>3</v>
      </c>
      <c r="E285" s="41">
        <v>9.249838127832763E-5</v>
      </c>
    </row>
    <row r="286" spans="2:5" ht="15" customHeight="1">
      <c r="B286" s="84"/>
      <c r="C286" s="43" t="s">
        <v>161</v>
      </c>
      <c r="D286" s="42">
        <v>3</v>
      </c>
      <c r="E286" s="41">
        <v>9.249838127832763E-5</v>
      </c>
    </row>
    <row r="287" spans="2:5" ht="15" customHeight="1">
      <c r="B287" s="84"/>
      <c r="C287" s="43" t="s">
        <v>166</v>
      </c>
      <c r="D287" s="42">
        <v>50</v>
      </c>
      <c r="E287" s="41">
        <v>1.5416396879721272E-3</v>
      </c>
    </row>
    <row r="288" spans="2:5" ht="15" customHeight="1">
      <c r="B288" s="84"/>
      <c r="C288" s="43" t="s">
        <v>145</v>
      </c>
      <c r="D288" s="42">
        <v>16</v>
      </c>
      <c r="E288" s="41">
        <v>4.9332470015108073E-4</v>
      </c>
    </row>
    <row r="289" spans="2:5" ht="15" customHeight="1">
      <c r="B289" s="85"/>
      <c r="C289" s="40" t="s">
        <v>23</v>
      </c>
      <c r="D289" s="39">
        <v>889</v>
      </c>
      <c r="E289" s="38">
        <v>2.741035365214442E-2</v>
      </c>
    </row>
    <row r="290" spans="2:5" ht="15" customHeight="1">
      <c r="B290" s="83" t="s">
        <v>68</v>
      </c>
      <c r="C290" s="43" t="s">
        <v>172</v>
      </c>
      <c r="D290" s="42">
        <v>3</v>
      </c>
      <c r="E290" s="41">
        <v>9.249838127832763E-5</v>
      </c>
    </row>
    <row r="291" spans="2:5" ht="15" customHeight="1">
      <c r="B291" s="84"/>
      <c r="C291" s="43" t="s">
        <v>148</v>
      </c>
      <c r="D291" s="42">
        <v>16</v>
      </c>
      <c r="E291" s="41">
        <v>4.9332470015108073E-4</v>
      </c>
    </row>
    <row r="292" spans="2:5" ht="15" customHeight="1">
      <c r="B292" s="84"/>
      <c r="C292" s="43" t="s">
        <v>152</v>
      </c>
      <c r="D292" s="42">
        <v>10</v>
      </c>
      <c r="E292" s="41">
        <v>3.0832793759442544E-4</v>
      </c>
    </row>
    <row r="293" spans="2:5" ht="15" customHeight="1">
      <c r="B293" s="84"/>
      <c r="C293" s="43" t="s">
        <v>142</v>
      </c>
      <c r="D293" s="42">
        <v>1</v>
      </c>
      <c r="E293" s="41">
        <v>3.0832793759442546E-5</v>
      </c>
    </row>
    <row r="294" spans="2:5" ht="15" customHeight="1">
      <c r="B294" s="84"/>
      <c r="C294" s="43" t="s">
        <v>136</v>
      </c>
      <c r="D294" s="42">
        <v>4</v>
      </c>
      <c r="E294" s="41">
        <v>1.2333117503777018E-4</v>
      </c>
    </row>
    <row r="295" spans="2:5" ht="15" customHeight="1">
      <c r="B295" s="84"/>
      <c r="C295" s="43" t="s">
        <v>170</v>
      </c>
      <c r="D295" s="42">
        <v>23</v>
      </c>
      <c r="E295" s="41">
        <v>7.0915425646717847E-4</v>
      </c>
    </row>
    <row r="296" spans="2:5" ht="15" customHeight="1">
      <c r="B296" s="84"/>
      <c r="C296" s="43" t="s">
        <v>140</v>
      </c>
      <c r="D296" s="42">
        <v>2</v>
      </c>
      <c r="E296" s="41">
        <v>6.1665587518885091E-5</v>
      </c>
    </row>
    <row r="297" spans="2:5" ht="15" customHeight="1">
      <c r="B297" s="84"/>
      <c r="C297" s="43" t="s">
        <v>156</v>
      </c>
      <c r="D297" s="42">
        <v>19</v>
      </c>
      <c r="E297" s="41">
        <v>5.8582308142940832E-4</v>
      </c>
    </row>
    <row r="298" spans="2:5" ht="15" customHeight="1">
      <c r="B298" s="84"/>
      <c r="C298" s="43" t="s">
        <v>174</v>
      </c>
      <c r="D298" s="42">
        <v>28</v>
      </c>
      <c r="E298" s="41">
        <v>8.633182252643912E-4</v>
      </c>
    </row>
    <row r="299" spans="2:5" ht="15" customHeight="1">
      <c r="B299" s="84"/>
      <c r="C299" s="43" t="s">
        <v>164</v>
      </c>
      <c r="D299" s="42">
        <v>12</v>
      </c>
      <c r="E299" s="41">
        <v>3.6999352511331052E-4</v>
      </c>
    </row>
    <row r="300" spans="2:5" ht="15" customHeight="1">
      <c r="B300" s="84"/>
      <c r="C300" s="43" t="s">
        <v>176</v>
      </c>
      <c r="D300" s="42">
        <v>42</v>
      </c>
      <c r="E300" s="41">
        <v>1.2949773378965869E-3</v>
      </c>
    </row>
    <row r="301" spans="2:5" ht="15" customHeight="1">
      <c r="B301" s="84"/>
      <c r="C301" s="43" t="s">
        <v>178</v>
      </c>
      <c r="D301" s="42">
        <v>84</v>
      </c>
      <c r="E301" s="41">
        <v>2.5899546757931738E-3</v>
      </c>
    </row>
    <row r="302" spans="2:5" ht="15" customHeight="1">
      <c r="B302" s="84"/>
      <c r="C302" s="43" t="s">
        <v>179</v>
      </c>
      <c r="D302" s="42">
        <v>91</v>
      </c>
      <c r="E302" s="41">
        <v>2.8057842321092714E-3</v>
      </c>
    </row>
    <row r="303" spans="2:5" ht="15" customHeight="1">
      <c r="B303" s="84"/>
      <c r="C303" s="43" t="s">
        <v>129</v>
      </c>
      <c r="D303" s="42">
        <v>1</v>
      </c>
      <c r="E303" s="41">
        <v>3.0832793759442546E-5</v>
      </c>
    </row>
    <row r="304" spans="2:5" ht="15" customHeight="1">
      <c r="B304" s="84"/>
      <c r="C304" s="43" t="s">
        <v>159</v>
      </c>
      <c r="D304" s="42">
        <v>34</v>
      </c>
      <c r="E304" s="41">
        <v>1.0483149878210464E-3</v>
      </c>
    </row>
    <row r="305" spans="2:5" ht="15" customHeight="1">
      <c r="B305" s="84"/>
      <c r="C305" s="43" t="s">
        <v>135</v>
      </c>
      <c r="D305" s="42">
        <v>3</v>
      </c>
      <c r="E305" s="41">
        <v>9.249838127832763E-5</v>
      </c>
    </row>
    <row r="306" spans="2:5" ht="15" customHeight="1">
      <c r="B306" s="84"/>
      <c r="C306" s="43" t="s">
        <v>168</v>
      </c>
      <c r="D306" s="42">
        <v>31</v>
      </c>
      <c r="E306" s="41">
        <v>9.5581660654271879E-4</v>
      </c>
    </row>
    <row r="307" spans="2:5" ht="15" customHeight="1">
      <c r="B307" s="84"/>
      <c r="C307" s="43" t="s">
        <v>132</v>
      </c>
      <c r="D307" s="42">
        <v>1</v>
      </c>
      <c r="E307" s="41">
        <v>3.0832793759442546E-5</v>
      </c>
    </row>
    <row r="308" spans="2:5" ht="15" customHeight="1">
      <c r="B308" s="84"/>
      <c r="C308" s="43" t="s">
        <v>158</v>
      </c>
      <c r="D308" s="42">
        <v>14</v>
      </c>
      <c r="E308" s="41">
        <v>4.316591126321956E-4</v>
      </c>
    </row>
    <row r="309" spans="2:5" ht="15" customHeight="1">
      <c r="B309" s="84"/>
      <c r="C309" s="43" t="s">
        <v>180</v>
      </c>
      <c r="D309" s="42">
        <v>49</v>
      </c>
      <c r="E309" s="41">
        <v>1.5108068942126845E-3</v>
      </c>
    </row>
    <row r="310" spans="2:5" ht="15" customHeight="1">
      <c r="B310" s="84"/>
      <c r="C310" s="43" t="s">
        <v>126</v>
      </c>
      <c r="D310" s="42">
        <v>2</v>
      </c>
      <c r="E310" s="41">
        <v>6.1665587518885091E-5</v>
      </c>
    </row>
    <row r="311" spans="2:5" ht="15" customHeight="1">
      <c r="B311" s="84"/>
      <c r="C311" s="43" t="s">
        <v>177</v>
      </c>
      <c r="D311" s="42">
        <v>54</v>
      </c>
      <c r="E311" s="41">
        <v>1.6649708630098973E-3</v>
      </c>
    </row>
    <row r="312" spans="2:5" ht="15" customHeight="1">
      <c r="B312" s="84"/>
      <c r="C312" s="43" t="s">
        <v>165</v>
      </c>
      <c r="D312" s="42">
        <v>4</v>
      </c>
      <c r="E312" s="41">
        <v>1.2333117503777018E-4</v>
      </c>
    </row>
    <row r="313" spans="2:5" ht="15" customHeight="1">
      <c r="B313" s="84"/>
      <c r="C313" s="43" t="s">
        <v>171</v>
      </c>
      <c r="D313" s="42">
        <v>50</v>
      </c>
      <c r="E313" s="41">
        <v>1.5416396879721272E-3</v>
      </c>
    </row>
    <row r="314" spans="2:5" ht="15" customHeight="1">
      <c r="B314" s="84"/>
      <c r="C314" s="43" t="s">
        <v>181</v>
      </c>
      <c r="D314" s="42">
        <v>259</v>
      </c>
      <c r="E314" s="41">
        <v>7.9856935836956182E-3</v>
      </c>
    </row>
    <row r="315" spans="2:5" ht="15" customHeight="1">
      <c r="B315" s="84"/>
      <c r="C315" s="43" t="s">
        <v>167</v>
      </c>
      <c r="D315" s="42">
        <v>138</v>
      </c>
      <c r="E315" s="41">
        <v>4.2549255388030713E-3</v>
      </c>
    </row>
    <row r="316" spans="2:5" ht="15" customHeight="1">
      <c r="B316" s="84"/>
      <c r="C316" s="43" t="s">
        <v>103</v>
      </c>
      <c r="D316" s="42">
        <v>1</v>
      </c>
      <c r="E316" s="41">
        <v>3.0832793759442546E-5</v>
      </c>
    </row>
    <row r="317" spans="2:5" ht="15" customHeight="1">
      <c r="B317" s="84"/>
      <c r="C317" s="43" t="s">
        <v>163</v>
      </c>
      <c r="D317" s="42">
        <v>16</v>
      </c>
      <c r="E317" s="41">
        <v>4.9332470015108073E-4</v>
      </c>
    </row>
    <row r="318" spans="2:5" ht="15" customHeight="1">
      <c r="B318" s="84"/>
      <c r="C318" s="43" t="s">
        <v>182</v>
      </c>
      <c r="D318" s="42">
        <v>154</v>
      </c>
      <c r="E318" s="41">
        <v>4.7482502389541515E-3</v>
      </c>
    </row>
    <row r="319" spans="2:5" ht="15" customHeight="1">
      <c r="B319" s="84"/>
      <c r="C319" s="43" t="s">
        <v>137</v>
      </c>
      <c r="D319" s="42">
        <v>3</v>
      </c>
      <c r="E319" s="41">
        <v>9.249838127832763E-5</v>
      </c>
    </row>
    <row r="320" spans="2:5" ht="15" customHeight="1">
      <c r="B320" s="84"/>
      <c r="C320" s="43" t="s">
        <v>151</v>
      </c>
      <c r="D320" s="42">
        <v>11</v>
      </c>
      <c r="E320" s="41">
        <v>3.3916073135386795E-4</v>
      </c>
    </row>
    <row r="321" spans="2:5" ht="15" customHeight="1">
      <c r="B321" s="84"/>
      <c r="C321" s="43" t="s">
        <v>134</v>
      </c>
      <c r="D321" s="42">
        <v>6</v>
      </c>
      <c r="E321" s="41">
        <v>1.8499676255665526E-4</v>
      </c>
    </row>
    <row r="322" spans="2:5" ht="15" customHeight="1">
      <c r="B322" s="84"/>
      <c r="C322" s="43" t="s">
        <v>150</v>
      </c>
      <c r="D322" s="42">
        <v>20</v>
      </c>
      <c r="E322" s="41">
        <v>6.1665587518885089E-4</v>
      </c>
    </row>
    <row r="323" spans="2:5" ht="15" customHeight="1">
      <c r="B323" s="84"/>
      <c r="C323" s="43" t="s">
        <v>175</v>
      </c>
      <c r="D323" s="42">
        <v>38</v>
      </c>
      <c r="E323" s="41">
        <v>1.1716461628588166E-3</v>
      </c>
    </row>
    <row r="324" spans="2:5" ht="15" customHeight="1">
      <c r="B324" s="84"/>
      <c r="C324" s="43" t="s">
        <v>157</v>
      </c>
      <c r="D324" s="42">
        <v>3</v>
      </c>
      <c r="E324" s="41">
        <v>9.249838127832763E-5</v>
      </c>
    </row>
    <row r="325" spans="2:5" ht="15" customHeight="1">
      <c r="B325" s="84"/>
      <c r="C325" s="43" t="s">
        <v>143</v>
      </c>
      <c r="D325" s="42">
        <v>3</v>
      </c>
      <c r="E325" s="41">
        <v>9.249838127832763E-5</v>
      </c>
    </row>
    <row r="326" spans="2:5" ht="15" customHeight="1">
      <c r="B326" s="84"/>
      <c r="C326" s="43" t="s">
        <v>169</v>
      </c>
      <c r="D326" s="42">
        <v>23</v>
      </c>
      <c r="E326" s="41">
        <v>7.0915425646717847E-4</v>
      </c>
    </row>
    <row r="327" spans="2:5" ht="15" customHeight="1">
      <c r="B327" s="84"/>
      <c r="C327" s="43" t="s">
        <v>160</v>
      </c>
      <c r="D327" s="42">
        <v>27</v>
      </c>
      <c r="E327" s="41">
        <v>8.3248543150494863E-4</v>
      </c>
    </row>
    <row r="328" spans="2:5" ht="15" customHeight="1">
      <c r="B328" s="84"/>
      <c r="C328" s="43" t="s">
        <v>131</v>
      </c>
      <c r="D328" s="42">
        <v>2</v>
      </c>
      <c r="E328" s="41">
        <v>6.1665587518885091E-5</v>
      </c>
    </row>
    <row r="329" spans="2:5" ht="15" customHeight="1">
      <c r="B329" s="84"/>
      <c r="C329" s="43" t="s">
        <v>133</v>
      </c>
      <c r="D329" s="42">
        <v>1</v>
      </c>
      <c r="E329" s="41">
        <v>3.0832793759442546E-5</v>
      </c>
    </row>
    <row r="330" spans="2:5" ht="15" customHeight="1">
      <c r="B330" s="84"/>
      <c r="C330" s="43" t="s">
        <v>147</v>
      </c>
      <c r="D330" s="42">
        <v>41</v>
      </c>
      <c r="E330" s="41">
        <v>1.2641445441371442E-3</v>
      </c>
    </row>
    <row r="331" spans="2:5" ht="15" customHeight="1">
      <c r="B331" s="84"/>
      <c r="C331" s="43" t="s">
        <v>128</v>
      </c>
      <c r="D331" s="42">
        <v>1</v>
      </c>
      <c r="E331" s="41">
        <v>3.0832793759442546E-5</v>
      </c>
    </row>
    <row r="332" spans="2:5" ht="15" customHeight="1">
      <c r="B332" s="84"/>
      <c r="C332" s="43" t="s">
        <v>130</v>
      </c>
      <c r="D332" s="42">
        <v>2</v>
      </c>
      <c r="E332" s="41">
        <v>6.1665587518885091E-5</v>
      </c>
    </row>
    <row r="333" spans="2:5" ht="15" customHeight="1">
      <c r="B333" s="84"/>
      <c r="C333" s="43" t="s">
        <v>139</v>
      </c>
      <c r="D333" s="42">
        <v>8</v>
      </c>
      <c r="E333" s="41">
        <v>2.4666235007554037E-4</v>
      </c>
    </row>
    <row r="334" spans="2:5" ht="15" customHeight="1">
      <c r="B334" s="84"/>
      <c r="C334" s="43" t="s">
        <v>153</v>
      </c>
      <c r="D334" s="42">
        <v>13</v>
      </c>
      <c r="E334" s="41">
        <v>4.0082631887275309E-4</v>
      </c>
    </row>
    <row r="335" spans="2:5" ht="15" customHeight="1">
      <c r="B335" s="84"/>
      <c r="C335" s="43" t="s">
        <v>141</v>
      </c>
      <c r="D335" s="42">
        <v>7</v>
      </c>
      <c r="E335" s="41">
        <v>2.158295563160978E-4</v>
      </c>
    </row>
    <row r="336" spans="2:5" ht="15" customHeight="1">
      <c r="B336" s="84"/>
      <c r="C336" s="43" t="s">
        <v>149</v>
      </c>
      <c r="D336" s="42">
        <v>11</v>
      </c>
      <c r="E336" s="41">
        <v>3.3916073135386795E-4</v>
      </c>
    </row>
    <row r="337" spans="2:5" ht="15" customHeight="1">
      <c r="B337" s="84"/>
      <c r="C337" s="43" t="s">
        <v>146</v>
      </c>
      <c r="D337" s="42">
        <v>5</v>
      </c>
      <c r="E337" s="41">
        <v>1.5416396879721272E-4</v>
      </c>
    </row>
    <row r="338" spans="2:5" ht="15" customHeight="1">
      <c r="B338" s="84"/>
      <c r="C338" s="43" t="s">
        <v>144</v>
      </c>
      <c r="D338" s="42">
        <v>9</v>
      </c>
      <c r="E338" s="41">
        <v>2.7749514383498288E-4</v>
      </c>
    </row>
    <row r="339" spans="2:5" ht="15" customHeight="1">
      <c r="B339" s="84"/>
      <c r="C339" s="43" t="s">
        <v>155</v>
      </c>
      <c r="D339" s="42">
        <v>5</v>
      </c>
      <c r="E339" s="41">
        <v>1.5416396879721272E-4</v>
      </c>
    </row>
    <row r="340" spans="2:5" ht="15" customHeight="1">
      <c r="B340" s="84"/>
      <c r="C340" s="43" t="s">
        <v>138</v>
      </c>
      <c r="D340" s="42">
        <v>1</v>
      </c>
      <c r="E340" s="41">
        <v>3.0832793759442546E-5</v>
      </c>
    </row>
    <row r="341" spans="2:5" ht="15" customHeight="1">
      <c r="B341" s="84"/>
      <c r="C341" s="43" t="s">
        <v>173</v>
      </c>
      <c r="D341" s="42">
        <v>48</v>
      </c>
      <c r="E341" s="41">
        <v>1.4799741004532421E-3</v>
      </c>
    </row>
    <row r="342" spans="2:5" ht="15" customHeight="1">
      <c r="B342" s="84"/>
      <c r="C342" s="43" t="s">
        <v>154</v>
      </c>
      <c r="D342" s="42">
        <v>2</v>
      </c>
      <c r="E342" s="41">
        <v>6.1665587518885091E-5</v>
      </c>
    </row>
    <row r="343" spans="2:5" ht="15" customHeight="1">
      <c r="B343" s="84"/>
      <c r="C343" s="43" t="s">
        <v>162</v>
      </c>
      <c r="D343" s="42">
        <v>4</v>
      </c>
      <c r="E343" s="41">
        <v>1.2333117503777018E-4</v>
      </c>
    </row>
    <row r="344" spans="2:5" ht="15" customHeight="1">
      <c r="B344" s="84"/>
      <c r="C344" s="43" t="s">
        <v>161</v>
      </c>
      <c r="D344" s="42">
        <v>21</v>
      </c>
      <c r="E344" s="41">
        <v>6.4748866894829345E-4</v>
      </c>
    </row>
    <row r="345" spans="2:5" ht="15" customHeight="1">
      <c r="B345" s="84"/>
      <c r="C345" s="43" t="s">
        <v>166</v>
      </c>
      <c r="D345" s="42">
        <v>20</v>
      </c>
      <c r="E345" s="41">
        <v>6.1665587518885089E-4</v>
      </c>
    </row>
    <row r="346" spans="2:5" ht="15" customHeight="1">
      <c r="B346" s="84"/>
      <c r="C346" s="43" t="s">
        <v>145</v>
      </c>
      <c r="D346" s="42">
        <v>4</v>
      </c>
      <c r="E346" s="41">
        <v>1.2333117503777018E-4</v>
      </c>
    </row>
    <row r="347" spans="2:5" ht="15" customHeight="1">
      <c r="B347" s="85"/>
      <c r="C347" s="40" t="s">
        <v>23</v>
      </c>
      <c r="D347" s="39">
        <v>1485</v>
      </c>
      <c r="E347" s="38">
        <v>4.5786698732772177E-2</v>
      </c>
    </row>
    <row r="348" spans="2:5" ht="15" customHeight="1">
      <c r="B348" s="83" t="s">
        <v>33</v>
      </c>
      <c r="C348" s="43" t="s">
        <v>142</v>
      </c>
      <c r="D348" s="42">
        <v>1</v>
      </c>
      <c r="E348" s="41">
        <v>3.0832793759442546E-5</v>
      </c>
    </row>
    <row r="349" spans="2:5" ht="15" customHeight="1">
      <c r="B349" s="84"/>
      <c r="C349" s="43" t="s">
        <v>178</v>
      </c>
      <c r="D349" s="42">
        <v>1</v>
      </c>
      <c r="E349" s="41">
        <v>3.0832793759442546E-5</v>
      </c>
    </row>
    <row r="350" spans="2:5" ht="15" customHeight="1">
      <c r="B350" s="84"/>
      <c r="C350" s="43" t="s">
        <v>177</v>
      </c>
      <c r="D350" s="42">
        <v>1</v>
      </c>
      <c r="E350" s="41">
        <v>3.0832793759442546E-5</v>
      </c>
    </row>
    <row r="351" spans="2:5" ht="15" customHeight="1">
      <c r="B351" s="84"/>
      <c r="C351" s="43" t="s">
        <v>182</v>
      </c>
      <c r="D351" s="42">
        <v>6</v>
      </c>
      <c r="E351" s="41">
        <v>1.8499676255665526E-4</v>
      </c>
    </row>
    <row r="352" spans="2:5" ht="15" customHeight="1">
      <c r="B352" s="84"/>
      <c r="C352" s="43" t="s">
        <v>151</v>
      </c>
      <c r="D352" s="42">
        <v>1</v>
      </c>
      <c r="E352" s="41">
        <v>3.0832793759442546E-5</v>
      </c>
    </row>
    <row r="353" spans="2:5" ht="15" customHeight="1">
      <c r="B353" s="84"/>
      <c r="C353" s="43" t="s">
        <v>175</v>
      </c>
      <c r="D353" s="42">
        <v>1</v>
      </c>
      <c r="E353" s="41">
        <v>3.0832793759442546E-5</v>
      </c>
    </row>
    <row r="354" spans="2:5" ht="15" customHeight="1">
      <c r="B354" s="84"/>
      <c r="C354" s="43" t="s">
        <v>157</v>
      </c>
      <c r="D354" s="42">
        <v>3</v>
      </c>
      <c r="E354" s="41">
        <v>9.249838127832763E-5</v>
      </c>
    </row>
    <row r="355" spans="2:5" ht="15" customHeight="1">
      <c r="B355" s="84"/>
      <c r="C355" s="43" t="s">
        <v>143</v>
      </c>
      <c r="D355" s="42">
        <v>1</v>
      </c>
      <c r="E355" s="41">
        <v>3.0832793759442546E-5</v>
      </c>
    </row>
    <row r="356" spans="2:5" ht="15" customHeight="1">
      <c r="B356" s="84"/>
      <c r="C356" s="43" t="s">
        <v>131</v>
      </c>
      <c r="D356" s="42">
        <v>1</v>
      </c>
      <c r="E356" s="41">
        <v>3.0832793759442546E-5</v>
      </c>
    </row>
    <row r="357" spans="2:5" ht="15" customHeight="1">
      <c r="B357" s="84"/>
      <c r="C357" s="43" t="s">
        <v>153</v>
      </c>
      <c r="D357" s="42">
        <v>1</v>
      </c>
      <c r="E357" s="41">
        <v>3.0832793759442546E-5</v>
      </c>
    </row>
    <row r="358" spans="2:5" ht="15" customHeight="1">
      <c r="B358" s="84"/>
      <c r="C358" s="43" t="s">
        <v>173</v>
      </c>
      <c r="D358" s="42">
        <v>1</v>
      </c>
      <c r="E358" s="41">
        <v>3.0832793759442546E-5</v>
      </c>
    </row>
    <row r="359" spans="2:5" ht="15" customHeight="1">
      <c r="B359" s="84"/>
      <c r="C359" s="43" t="s">
        <v>154</v>
      </c>
      <c r="D359" s="42">
        <v>6</v>
      </c>
      <c r="E359" s="41">
        <v>1.8499676255665526E-4</v>
      </c>
    </row>
    <row r="360" spans="2:5" ht="15" customHeight="1">
      <c r="B360" s="84"/>
      <c r="C360" s="43" t="s">
        <v>161</v>
      </c>
      <c r="D360" s="42">
        <v>1</v>
      </c>
      <c r="E360" s="41">
        <v>3.0832793759442546E-5</v>
      </c>
    </row>
    <row r="361" spans="2:5" ht="15" customHeight="1">
      <c r="B361" s="84"/>
      <c r="C361" s="43" t="s">
        <v>145</v>
      </c>
      <c r="D361" s="42">
        <v>2</v>
      </c>
      <c r="E361" s="41">
        <v>6.1665587518885091E-5</v>
      </c>
    </row>
    <row r="362" spans="2:5" ht="15" customHeight="1">
      <c r="B362" s="85"/>
      <c r="C362" s="40" t="s">
        <v>23</v>
      </c>
      <c r="D362" s="39">
        <v>27</v>
      </c>
      <c r="E362" s="38">
        <v>8.3248543150494863E-4</v>
      </c>
    </row>
    <row r="363" spans="2:5" ht="15" customHeight="1">
      <c r="B363" s="83" t="s">
        <v>66</v>
      </c>
      <c r="C363" s="43" t="s">
        <v>172</v>
      </c>
      <c r="D363" s="42">
        <v>11</v>
      </c>
      <c r="E363" s="41">
        <v>3.3916073135386795E-4</v>
      </c>
    </row>
    <row r="364" spans="2:5" ht="15" customHeight="1">
      <c r="B364" s="84"/>
      <c r="C364" s="43" t="s">
        <v>148</v>
      </c>
      <c r="D364" s="42">
        <v>4</v>
      </c>
      <c r="E364" s="41">
        <v>1.2333117503777018E-4</v>
      </c>
    </row>
    <row r="365" spans="2:5" ht="15" customHeight="1">
      <c r="B365" s="84"/>
      <c r="C365" s="43" t="s">
        <v>152</v>
      </c>
      <c r="D365" s="42">
        <v>3</v>
      </c>
      <c r="E365" s="41">
        <v>9.249838127832763E-5</v>
      </c>
    </row>
    <row r="366" spans="2:5" ht="15" customHeight="1">
      <c r="B366" s="84"/>
      <c r="C366" s="43" t="s">
        <v>142</v>
      </c>
      <c r="D366" s="42">
        <v>9</v>
      </c>
      <c r="E366" s="41">
        <v>2.7749514383498288E-4</v>
      </c>
    </row>
    <row r="367" spans="2:5" ht="15" customHeight="1">
      <c r="B367" s="84"/>
      <c r="C367" s="43" t="s">
        <v>136</v>
      </c>
      <c r="D367" s="42">
        <v>3</v>
      </c>
      <c r="E367" s="41">
        <v>9.249838127832763E-5</v>
      </c>
    </row>
    <row r="368" spans="2:5" ht="15" customHeight="1">
      <c r="B368" s="84"/>
      <c r="C368" s="43" t="s">
        <v>170</v>
      </c>
      <c r="D368" s="42">
        <v>23</v>
      </c>
      <c r="E368" s="41">
        <v>7.0915425646717847E-4</v>
      </c>
    </row>
    <row r="369" spans="2:5" ht="15" customHeight="1">
      <c r="B369" s="84"/>
      <c r="C369" s="43" t="s">
        <v>140</v>
      </c>
      <c r="D369" s="42">
        <v>7</v>
      </c>
      <c r="E369" s="41">
        <v>2.158295563160978E-4</v>
      </c>
    </row>
    <row r="370" spans="2:5" ht="15" customHeight="1">
      <c r="B370" s="84"/>
      <c r="C370" s="43" t="s">
        <v>156</v>
      </c>
      <c r="D370" s="42">
        <v>6</v>
      </c>
      <c r="E370" s="41">
        <v>1.8499676255665526E-4</v>
      </c>
    </row>
    <row r="371" spans="2:5" ht="15" customHeight="1">
      <c r="B371" s="84"/>
      <c r="C371" s="43" t="s">
        <v>174</v>
      </c>
      <c r="D371" s="42">
        <v>50</v>
      </c>
      <c r="E371" s="41">
        <v>1.5416396879721272E-3</v>
      </c>
    </row>
    <row r="372" spans="2:5" ht="15" customHeight="1">
      <c r="B372" s="84"/>
      <c r="C372" s="43" t="s">
        <v>127</v>
      </c>
      <c r="D372" s="42">
        <v>3</v>
      </c>
      <c r="E372" s="41">
        <v>9.249838127832763E-5</v>
      </c>
    </row>
    <row r="373" spans="2:5" ht="15" customHeight="1">
      <c r="B373" s="84"/>
      <c r="C373" s="43" t="s">
        <v>164</v>
      </c>
      <c r="D373" s="42">
        <v>10</v>
      </c>
      <c r="E373" s="41">
        <v>3.0832793759442544E-4</v>
      </c>
    </row>
    <row r="374" spans="2:5" ht="15" customHeight="1">
      <c r="B374" s="84"/>
      <c r="C374" s="43" t="s">
        <v>176</v>
      </c>
      <c r="D374" s="42">
        <v>16</v>
      </c>
      <c r="E374" s="41">
        <v>4.9332470015108073E-4</v>
      </c>
    </row>
    <row r="375" spans="2:5" ht="15" customHeight="1">
      <c r="B375" s="84"/>
      <c r="C375" s="43" t="s">
        <v>178</v>
      </c>
      <c r="D375" s="42">
        <v>16</v>
      </c>
      <c r="E375" s="41">
        <v>4.9332470015108073E-4</v>
      </c>
    </row>
    <row r="376" spans="2:5" ht="15" customHeight="1">
      <c r="B376" s="84"/>
      <c r="C376" s="43" t="s">
        <v>179</v>
      </c>
      <c r="D376" s="42">
        <v>32</v>
      </c>
      <c r="E376" s="41">
        <v>9.8664940030216146E-4</v>
      </c>
    </row>
    <row r="377" spans="2:5" ht="15" customHeight="1">
      <c r="B377" s="84"/>
      <c r="C377" s="43" t="s">
        <v>129</v>
      </c>
      <c r="D377" s="42">
        <v>1</v>
      </c>
      <c r="E377" s="41">
        <v>3.0832793759442546E-5</v>
      </c>
    </row>
    <row r="378" spans="2:5" ht="15" customHeight="1">
      <c r="B378" s="84"/>
      <c r="C378" s="43" t="s">
        <v>159</v>
      </c>
      <c r="D378" s="42">
        <v>8</v>
      </c>
      <c r="E378" s="41">
        <v>2.4666235007554037E-4</v>
      </c>
    </row>
    <row r="379" spans="2:5" ht="15" customHeight="1">
      <c r="B379" s="84"/>
      <c r="C379" s="43" t="s">
        <v>135</v>
      </c>
      <c r="D379" s="42">
        <v>1</v>
      </c>
      <c r="E379" s="41">
        <v>3.0832793759442546E-5</v>
      </c>
    </row>
    <row r="380" spans="2:5" ht="15" customHeight="1">
      <c r="B380" s="84"/>
      <c r="C380" s="43" t="s">
        <v>168</v>
      </c>
      <c r="D380" s="42">
        <v>9</v>
      </c>
      <c r="E380" s="41">
        <v>2.7749514383498288E-4</v>
      </c>
    </row>
    <row r="381" spans="2:5" ht="15" customHeight="1">
      <c r="B381" s="84"/>
      <c r="C381" s="43" t="s">
        <v>132</v>
      </c>
      <c r="D381" s="42">
        <v>1</v>
      </c>
      <c r="E381" s="41">
        <v>3.0832793759442546E-5</v>
      </c>
    </row>
    <row r="382" spans="2:5" ht="15" customHeight="1">
      <c r="B382" s="84"/>
      <c r="C382" s="43" t="s">
        <v>158</v>
      </c>
      <c r="D382" s="42">
        <v>4</v>
      </c>
      <c r="E382" s="41">
        <v>1.2333117503777018E-4</v>
      </c>
    </row>
    <row r="383" spans="2:5" ht="15" customHeight="1">
      <c r="B383" s="84"/>
      <c r="C383" s="43" t="s">
        <v>180</v>
      </c>
      <c r="D383" s="42">
        <v>31</v>
      </c>
      <c r="E383" s="41">
        <v>9.5581660654271879E-4</v>
      </c>
    </row>
    <row r="384" spans="2:5" ht="15" customHeight="1">
      <c r="B384" s="84"/>
      <c r="C384" s="43" t="s">
        <v>177</v>
      </c>
      <c r="D384" s="42">
        <v>42</v>
      </c>
      <c r="E384" s="41">
        <v>1.2949773378965869E-3</v>
      </c>
    </row>
    <row r="385" spans="2:5" ht="15" customHeight="1">
      <c r="B385" s="84"/>
      <c r="C385" s="43" t="s">
        <v>165</v>
      </c>
      <c r="D385" s="42">
        <v>8</v>
      </c>
      <c r="E385" s="41">
        <v>2.4666235007554037E-4</v>
      </c>
    </row>
    <row r="386" spans="2:5" ht="15" customHeight="1">
      <c r="B386" s="84"/>
      <c r="C386" s="43" t="s">
        <v>171</v>
      </c>
      <c r="D386" s="42">
        <v>5</v>
      </c>
      <c r="E386" s="41">
        <v>1.5416396879721272E-4</v>
      </c>
    </row>
    <row r="387" spans="2:5" ht="15" customHeight="1">
      <c r="B387" s="84"/>
      <c r="C387" s="43" t="s">
        <v>181</v>
      </c>
      <c r="D387" s="42">
        <v>26</v>
      </c>
      <c r="E387" s="41">
        <v>8.0165263774550617E-4</v>
      </c>
    </row>
    <row r="388" spans="2:5" ht="15" customHeight="1">
      <c r="B388" s="84"/>
      <c r="C388" s="43" t="s">
        <v>167</v>
      </c>
      <c r="D388" s="42">
        <v>12</v>
      </c>
      <c r="E388" s="41">
        <v>3.6999352511331052E-4</v>
      </c>
    </row>
    <row r="389" spans="2:5" ht="15" customHeight="1">
      <c r="B389" s="84"/>
      <c r="C389" s="43" t="s">
        <v>103</v>
      </c>
      <c r="D389" s="42">
        <v>1</v>
      </c>
      <c r="E389" s="41">
        <v>3.0832793759442546E-5</v>
      </c>
    </row>
    <row r="390" spans="2:5" ht="15" customHeight="1">
      <c r="B390" s="84"/>
      <c r="C390" s="43" t="s">
        <v>163</v>
      </c>
      <c r="D390" s="42">
        <v>12</v>
      </c>
      <c r="E390" s="41">
        <v>3.6999352511331052E-4</v>
      </c>
    </row>
    <row r="391" spans="2:5" ht="15" customHeight="1">
      <c r="B391" s="84"/>
      <c r="C391" s="43" t="s">
        <v>182</v>
      </c>
      <c r="D391" s="42">
        <v>457</v>
      </c>
      <c r="E391" s="41">
        <v>1.4090586748065242E-2</v>
      </c>
    </row>
    <row r="392" spans="2:5" ht="15" customHeight="1">
      <c r="B392" s="84"/>
      <c r="C392" s="43" t="s">
        <v>137</v>
      </c>
      <c r="D392" s="42">
        <v>1</v>
      </c>
      <c r="E392" s="41">
        <v>3.0832793759442546E-5</v>
      </c>
    </row>
    <row r="393" spans="2:5" ht="15" customHeight="1">
      <c r="B393" s="84"/>
      <c r="C393" s="43" t="s">
        <v>151</v>
      </c>
      <c r="D393" s="42">
        <v>18</v>
      </c>
      <c r="E393" s="41">
        <v>5.5499028766996575E-4</v>
      </c>
    </row>
    <row r="394" spans="2:5" ht="15" customHeight="1">
      <c r="B394" s="84"/>
      <c r="C394" s="43" t="s">
        <v>134</v>
      </c>
      <c r="D394" s="42">
        <v>2</v>
      </c>
      <c r="E394" s="41">
        <v>6.1665587518885091E-5</v>
      </c>
    </row>
    <row r="395" spans="2:5" ht="15" customHeight="1">
      <c r="B395" s="84"/>
      <c r="C395" s="43" t="s">
        <v>150</v>
      </c>
      <c r="D395" s="42">
        <v>2</v>
      </c>
      <c r="E395" s="41">
        <v>6.1665587518885091E-5</v>
      </c>
    </row>
    <row r="396" spans="2:5" ht="15" customHeight="1">
      <c r="B396" s="84"/>
      <c r="C396" s="43" t="s">
        <v>175</v>
      </c>
      <c r="D396" s="42">
        <v>15</v>
      </c>
      <c r="E396" s="41">
        <v>4.6249190639163816E-4</v>
      </c>
    </row>
    <row r="397" spans="2:5" ht="15" customHeight="1">
      <c r="B397" s="84"/>
      <c r="C397" s="43" t="s">
        <v>157</v>
      </c>
      <c r="D397" s="42">
        <v>18</v>
      </c>
      <c r="E397" s="41">
        <v>5.5499028766996575E-4</v>
      </c>
    </row>
    <row r="398" spans="2:5" ht="15" customHeight="1">
      <c r="B398" s="84"/>
      <c r="C398" s="43" t="s">
        <v>143</v>
      </c>
      <c r="D398" s="42">
        <v>18</v>
      </c>
      <c r="E398" s="41">
        <v>5.5499028766996575E-4</v>
      </c>
    </row>
    <row r="399" spans="2:5" ht="15" customHeight="1">
      <c r="B399" s="84"/>
      <c r="C399" s="43" t="s">
        <v>169</v>
      </c>
      <c r="D399" s="42">
        <v>8</v>
      </c>
      <c r="E399" s="41">
        <v>2.4666235007554037E-4</v>
      </c>
    </row>
    <row r="400" spans="2:5" ht="15" customHeight="1">
      <c r="B400" s="84"/>
      <c r="C400" s="43" t="s">
        <v>160</v>
      </c>
      <c r="D400" s="42">
        <v>9</v>
      </c>
      <c r="E400" s="41">
        <v>2.7749514383498288E-4</v>
      </c>
    </row>
    <row r="401" spans="2:5" ht="15" customHeight="1">
      <c r="B401" s="84"/>
      <c r="C401" s="43" t="s">
        <v>133</v>
      </c>
      <c r="D401" s="42">
        <v>3</v>
      </c>
      <c r="E401" s="41">
        <v>9.249838127832763E-5</v>
      </c>
    </row>
    <row r="402" spans="2:5" ht="15" customHeight="1">
      <c r="B402" s="84"/>
      <c r="C402" s="43" t="s">
        <v>147</v>
      </c>
      <c r="D402" s="42">
        <v>6</v>
      </c>
      <c r="E402" s="41">
        <v>1.8499676255665526E-4</v>
      </c>
    </row>
    <row r="403" spans="2:5" ht="15" customHeight="1">
      <c r="B403" s="84"/>
      <c r="C403" s="43" t="s">
        <v>128</v>
      </c>
      <c r="D403" s="42">
        <v>2</v>
      </c>
      <c r="E403" s="41">
        <v>6.1665587518885091E-5</v>
      </c>
    </row>
    <row r="404" spans="2:5" ht="15" customHeight="1">
      <c r="B404" s="84"/>
      <c r="C404" s="43" t="s">
        <v>130</v>
      </c>
      <c r="D404" s="42">
        <v>1</v>
      </c>
      <c r="E404" s="41">
        <v>3.0832793759442546E-5</v>
      </c>
    </row>
    <row r="405" spans="2:5" ht="15" customHeight="1">
      <c r="B405" s="84"/>
      <c r="C405" s="43" t="s">
        <v>139</v>
      </c>
      <c r="D405" s="42">
        <v>3</v>
      </c>
      <c r="E405" s="41">
        <v>9.249838127832763E-5</v>
      </c>
    </row>
    <row r="406" spans="2:5" ht="15" customHeight="1">
      <c r="B406" s="84"/>
      <c r="C406" s="43" t="s">
        <v>153</v>
      </c>
      <c r="D406" s="42">
        <v>5</v>
      </c>
      <c r="E406" s="41">
        <v>1.5416396879721272E-4</v>
      </c>
    </row>
    <row r="407" spans="2:5" ht="15" customHeight="1">
      <c r="B407" s="84"/>
      <c r="C407" s="43" t="s">
        <v>141</v>
      </c>
      <c r="D407" s="42">
        <v>4</v>
      </c>
      <c r="E407" s="41">
        <v>1.2333117503777018E-4</v>
      </c>
    </row>
    <row r="408" spans="2:5" ht="15" customHeight="1">
      <c r="B408" s="84"/>
      <c r="C408" s="43" t="s">
        <v>149</v>
      </c>
      <c r="D408" s="42">
        <v>11</v>
      </c>
      <c r="E408" s="41">
        <v>3.3916073135386795E-4</v>
      </c>
    </row>
    <row r="409" spans="2:5" ht="15" customHeight="1">
      <c r="B409" s="84"/>
      <c r="C409" s="43" t="s">
        <v>146</v>
      </c>
      <c r="D409" s="42">
        <v>4</v>
      </c>
      <c r="E409" s="41">
        <v>1.2333117503777018E-4</v>
      </c>
    </row>
    <row r="410" spans="2:5" ht="15" customHeight="1">
      <c r="B410" s="84"/>
      <c r="C410" s="43" t="s">
        <v>144</v>
      </c>
      <c r="D410" s="42">
        <v>6</v>
      </c>
      <c r="E410" s="41">
        <v>1.8499676255665526E-4</v>
      </c>
    </row>
    <row r="411" spans="2:5" ht="15" customHeight="1">
      <c r="B411" s="84"/>
      <c r="C411" s="43" t="s">
        <v>138</v>
      </c>
      <c r="D411" s="42">
        <v>1</v>
      </c>
      <c r="E411" s="41">
        <v>3.0832793759442546E-5</v>
      </c>
    </row>
    <row r="412" spans="2:5" ht="15" customHeight="1">
      <c r="B412" s="84"/>
      <c r="C412" s="43" t="s">
        <v>173</v>
      </c>
      <c r="D412" s="42">
        <v>17</v>
      </c>
      <c r="E412" s="41">
        <v>5.2415749391052319E-4</v>
      </c>
    </row>
    <row r="413" spans="2:5" ht="15" customHeight="1">
      <c r="B413" s="84"/>
      <c r="C413" s="43" t="s">
        <v>154</v>
      </c>
      <c r="D413" s="42">
        <v>22</v>
      </c>
      <c r="E413" s="41">
        <v>6.7832146270773591E-4</v>
      </c>
    </row>
    <row r="414" spans="2:5" ht="15" customHeight="1">
      <c r="B414" s="84"/>
      <c r="C414" s="43" t="s">
        <v>162</v>
      </c>
      <c r="D414" s="42">
        <v>3</v>
      </c>
      <c r="E414" s="41">
        <v>9.249838127832763E-5</v>
      </c>
    </row>
    <row r="415" spans="2:5" ht="15" customHeight="1">
      <c r="B415" s="84"/>
      <c r="C415" s="43" t="s">
        <v>161</v>
      </c>
      <c r="D415" s="42">
        <v>41</v>
      </c>
      <c r="E415" s="41">
        <v>1.2641445441371442E-3</v>
      </c>
    </row>
    <row r="416" spans="2:5" ht="15" customHeight="1">
      <c r="B416" s="84"/>
      <c r="C416" s="43" t="s">
        <v>166</v>
      </c>
      <c r="D416" s="42">
        <v>8</v>
      </c>
      <c r="E416" s="41">
        <v>2.4666235007554037E-4</v>
      </c>
    </row>
    <row r="417" spans="2:5" ht="15" customHeight="1">
      <c r="B417" s="84"/>
      <c r="C417" s="43" t="s">
        <v>145</v>
      </c>
      <c r="D417" s="42">
        <v>14</v>
      </c>
      <c r="E417" s="41">
        <v>4.316591126321956E-4</v>
      </c>
    </row>
    <row r="418" spans="2:5" ht="15" customHeight="1">
      <c r="B418" s="85"/>
      <c r="C418" s="40" t="s">
        <v>23</v>
      </c>
      <c r="D418" s="39">
        <v>1053</v>
      </c>
      <c r="E418" s="38">
        <v>3.2466931828693001E-2</v>
      </c>
    </row>
    <row r="419" spans="2:5" ht="15" customHeight="1">
      <c r="B419" s="83" t="s">
        <v>59</v>
      </c>
      <c r="C419" s="43" t="s">
        <v>172</v>
      </c>
      <c r="D419" s="42">
        <v>3</v>
      </c>
      <c r="E419" s="41">
        <v>9.249838127832763E-5</v>
      </c>
    </row>
    <row r="420" spans="2:5" ht="15" customHeight="1">
      <c r="B420" s="84"/>
      <c r="C420" s="43" t="s">
        <v>152</v>
      </c>
      <c r="D420" s="42">
        <v>1</v>
      </c>
      <c r="E420" s="41">
        <v>3.0832793759442546E-5</v>
      </c>
    </row>
    <row r="421" spans="2:5" ht="15" customHeight="1">
      <c r="B421" s="84"/>
      <c r="C421" s="43" t="s">
        <v>170</v>
      </c>
      <c r="D421" s="42">
        <v>3</v>
      </c>
      <c r="E421" s="41">
        <v>9.249838127832763E-5</v>
      </c>
    </row>
    <row r="422" spans="2:5" ht="15" customHeight="1">
      <c r="B422" s="84"/>
      <c r="C422" s="43" t="s">
        <v>156</v>
      </c>
      <c r="D422" s="42">
        <v>2</v>
      </c>
      <c r="E422" s="41">
        <v>6.1665587518885091E-5</v>
      </c>
    </row>
    <row r="423" spans="2:5" ht="15" customHeight="1">
      <c r="B423" s="84"/>
      <c r="C423" s="43" t="s">
        <v>174</v>
      </c>
      <c r="D423" s="42">
        <v>5</v>
      </c>
      <c r="E423" s="41">
        <v>1.5416396879721272E-4</v>
      </c>
    </row>
    <row r="424" spans="2:5" ht="15" customHeight="1">
      <c r="B424" s="84"/>
      <c r="C424" s="43" t="s">
        <v>164</v>
      </c>
      <c r="D424" s="42">
        <v>9</v>
      </c>
      <c r="E424" s="41">
        <v>2.7749514383498288E-4</v>
      </c>
    </row>
    <row r="425" spans="2:5" ht="15" customHeight="1">
      <c r="B425" s="84"/>
      <c r="C425" s="43" t="s">
        <v>176</v>
      </c>
      <c r="D425" s="42">
        <v>6</v>
      </c>
      <c r="E425" s="41">
        <v>1.8499676255665526E-4</v>
      </c>
    </row>
    <row r="426" spans="2:5" ht="15" customHeight="1">
      <c r="B426" s="84"/>
      <c r="C426" s="43" t="s">
        <v>178</v>
      </c>
      <c r="D426" s="42">
        <v>3</v>
      </c>
      <c r="E426" s="41">
        <v>9.249838127832763E-5</v>
      </c>
    </row>
    <row r="427" spans="2:5" ht="15" customHeight="1">
      <c r="B427" s="84"/>
      <c r="C427" s="43" t="s">
        <v>179</v>
      </c>
      <c r="D427" s="42">
        <v>16</v>
      </c>
      <c r="E427" s="41">
        <v>4.9332470015108073E-4</v>
      </c>
    </row>
    <row r="428" spans="2:5" ht="15" customHeight="1">
      <c r="B428" s="84"/>
      <c r="C428" s="43" t="s">
        <v>159</v>
      </c>
      <c r="D428" s="42">
        <v>3</v>
      </c>
      <c r="E428" s="41">
        <v>9.249838127832763E-5</v>
      </c>
    </row>
    <row r="429" spans="2:5" ht="15" customHeight="1">
      <c r="B429" s="84"/>
      <c r="C429" s="43" t="s">
        <v>168</v>
      </c>
      <c r="D429" s="42">
        <v>12</v>
      </c>
      <c r="E429" s="41">
        <v>3.6999352511331052E-4</v>
      </c>
    </row>
    <row r="430" spans="2:5" ht="15" customHeight="1">
      <c r="B430" s="84"/>
      <c r="C430" s="43" t="s">
        <v>132</v>
      </c>
      <c r="D430" s="42">
        <v>1</v>
      </c>
      <c r="E430" s="41">
        <v>3.0832793759442546E-5</v>
      </c>
    </row>
    <row r="431" spans="2:5" ht="15" customHeight="1">
      <c r="B431" s="84"/>
      <c r="C431" s="43" t="s">
        <v>158</v>
      </c>
      <c r="D431" s="42">
        <v>3</v>
      </c>
      <c r="E431" s="41">
        <v>9.249838127832763E-5</v>
      </c>
    </row>
    <row r="432" spans="2:5" ht="15" customHeight="1">
      <c r="B432" s="84"/>
      <c r="C432" s="43" t="s">
        <v>180</v>
      </c>
      <c r="D432" s="42">
        <v>4</v>
      </c>
      <c r="E432" s="41">
        <v>1.2333117503777018E-4</v>
      </c>
    </row>
    <row r="433" spans="2:5" ht="15" customHeight="1">
      <c r="B433" s="84"/>
      <c r="C433" s="43" t="s">
        <v>177</v>
      </c>
      <c r="D433" s="42">
        <v>3</v>
      </c>
      <c r="E433" s="41">
        <v>9.249838127832763E-5</v>
      </c>
    </row>
    <row r="434" spans="2:5" ht="15" customHeight="1">
      <c r="B434" s="84"/>
      <c r="C434" s="43" t="s">
        <v>165</v>
      </c>
      <c r="D434" s="42">
        <v>15</v>
      </c>
      <c r="E434" s="41">
        <v>4.6249190639163816E-4</v>
      </c>
    </row>
    <row r="435" spans="2:5" ht="15" customHeight="1">
      <c r="B435" s="84"/>
      <c r="C435" s="43" t="s">
        <v>171</v>
      </c>
      <c r="D435" s="42">
        <v>5</v>
      </c>
      <c r="E435" s="41">
        <v>1.5416396879721272E-4</v>
      </c>
    </row>
    <row r="436" spans="2:5" ht="15" customHeight="1">
      <c r="B436" s="84"/>
      <c r="C436" s="43" t="s">
        <v>181</v>
      </c>
      <c r="D436" s="42">
        <v>17</v>
      </c>
      <c r="E436" s="41">
        <v>5.2415749391052319E-4</v>
      </c>
    </row>
    <row r="437" spans="2:5" ht="15" customHeight="1">
      <c r="B437" s="84"/>
      <c r="C437" s="43" t="s">
        <v>167</v>
      </c>
      <c r="D437" s="42">
        <v>69</v>
      </c>
      <c r="E437" s="41">
        <v>2.1274627694015356E-3</v>
      </c>
    </row>
    <row r="438" spans="2:5" ht="15" customHeight="1">
      <c r="B438" s="84"/>
      <c r="C438" s="43" t="s">
        <v>163</v>
      </c>
      <c r="D438" s="42">
        <v>1</v>
      </c>
      <c r="E438" s="41">
        <v>3.0832793759442546E-5</v>
      </c>
    </row>
    <row r="439" spans="2:5" ht="15" customHeight="1">
      <c r="B439" s="84"/>
      <c r="C439" s="43" t="s">
        <v>182</v>
      </c>
      <c r="D439" s="42">
        <v>55</v>
      </c>
      <c r="E439" s="41">
        <v>1.6958036567693399E-3</v>
      </c>
    </row>
    <row r="440" spans="2:5" ht="15" customHeight="1">
      <c r="B440" s="84"/>
      <c r="C440" s="43" t="s">
        <v>151</v>
      </c>
      <c r="D440" s="42">
        <v>4</v>
      </c>
      <c r="E440" s="41">
        <v>1.2333117503777018E-4</v>
      </c>
    </row>
    <row r="441" spans="2:5" ht="15" customHeight="1">
      <c r="B441" s="84"/>
      <c r="C441" s="43" t="s">
        <v>150</v>
      </c>
      <c r="D441" s="42">
        <v>5</v>
      </c>
      <c r="E441" s="41">
        <v>1.5416396879721272E-4</v>
      </c>
    </row>
    <row r="442" spans="2:5" ht="15" customHeight="1">
      <c r="B442" s="84"/>
      <c r="C442" s="43" t="s">
        <v>175</v>
      </c>
      <c r="D442" s="42">
        <v>8</v>
      </c>
      <c r="E442" s="41">
        <v>2.4666235007554037E-4</v>
      </c>
    </row>
    <row r="443" spans="2:5" ht="15" customHeight="1">
      <c r="B443" s="84"/>
      <c r="C443" s="43" t="s">
        <v>157</v>
      </c>
      <c r="D443" s="42">
        <v>2</v>
      </c>
      <c r="E443" s="41">
        <v>6.1665587518885091E-5</v>
      </c>
    </row>
    <row r="444" spans="2:5" ht="15" customHeight="1">
      <c r="B444" s="84"/>
      <c r="C444" s="43" t="s">
        <v>160</v>
      </c>
      <c r="D444" s="42">
        <v>4</v>
      </c>
      <c r="E444" s="41">
        <v>1.2333117503777018E-4</v>
      </c>
    </row>
    <row r="445" spans="2:5" ht="15" customHeight="1">
      <c r="B445" s="84"/>
      <c r="C445" s="43" t="s">
        <v>131</v>
      </c>
      <c r="D445" s="42">
        <v>1</v>
      </c>
      <c r="E445" s="41">
        <v>3.0832793759442546E-5</v>
      </c>
    </row>
    <row r="446" spans="2:5" ht="15" customHeight="1">
      <c r="B446" s="84"/>
      <c r="C446" s="43" t="s">
        <v>147</v>
      </c>
      <c r="D446" s="42">
        <v>8</v>
      </c>
      <c r="E446" s="41">
        <v>2.4666235007554037E-4</v>
      </c>
    </row>
    <row r="447" spans="2:5" ht="15" customHeight="1">
      <c r="B447" s="84"/>
      <c r="C447" s="43" t="s">
        <v>153</v>
      </c>
      <c r="D447" s="42">
        <v>3</v>
      </c>
      <c r="E447" s="41">
        <v>9.249838127832763E-5</v>
      </c>
    </row>
    <row r="448" spans="2:5" ht="15" customHeight="1">
      <c r="B448" s="84"/>
      <c r="C448" s="43" t="s">
        <v>141</v>
      </c>
      <c r="D448" s="42">
        <v>3</v>
      </c>
      <c r="E448" s="41">
        <v>9.249838127832763E-5</v>
      </c>
    </row>
    <row r="449" spans="2:5" ht="15" customHeight="1">
      <c r="B449" s="84"/>
      <c r="C449" s="43" t="s">
        <v>149</v>
      </c>
      <c r="D449" s="42">
        <v>1</v>
      </c>
      <c r="E449" s="41">
        <v>3.0832793759442546E-5</v>
      </c>
    </row>
    <row r="450" spans="2:5" ht="15" customHeight="1">
      <c r="B450" s="84"/>
      <c r="C450" s="43" t="s">
        <v>146</v>
      </c>
      <c r="D450" s="42">
        <v>9</v>
      </c>
      <c r="E450" s="41">
        <v>2.7749514383498288E-4</v>
      </c>
    </row>
    <row r="451" spans="2:5" ht="15" customHeight="1">
      <c r="B451" s="84"/>
      <c r="C451" s="43" t="s">
        <v>144</v>
      </c>
      <c r="D451" s="42">
        <v>10</v>
      </c>
      <c r="E451" s="41">
        <v>3.0832793759442544E-4</v>
      </c>
    </row>
    <row r="452" spans="2:5" ht="15" customHeight="1">
      <c r="B452" s="84"/>
      <c r="C452" s="43" t="s">
        <v>155</v>
      </c>
      <c r="D452" s="42">
        <v>1</v>
      </c>
      <c r="E452" s="41">
        <v>3.0832793759442546E-5</v>
      </c>
    </row>
    <row r="453" spans="2:5" ht="15" customHeight="1">
      <c r="B453" s="84"/>
      <c r="C453" s="43" t="s">
        <v>173</v>
      </c>
      <c r="D453" s="42">
        <v>7</v>
      </c>
      <c r="E453" s="41">
        <v>2.158295563160978E-4</v>
      </c>
    </row>
    <row r="454" spans="2:5" ht="15" customHeight="1">
      <c r="B454" s="84"/>
      <c r="C454" s="43" t="s">
        <v>154</v>
      </c>
      <c r="D454" s="42">
        <v>3</v>
      </c>
      <c r="E454" s="41">
        <v>9.249838127832763E-5</v>
      </c>
    </row>
    <row r="455" spans="2:5" ht="15" customHeight="1">
      <c r="B455" s="84"/>
      <c r="C455" s="43" t="s">
        <v>162</v>
      </c>
      <c r="D455" s="42">
        <v>1</v>
      </c>
      <c r="E455" s="41">
        <v>3.0832793759442546E-5</v>
      </c>
    </row>
    <row r="456" spans="2:5" ht="15" customHeight="1">
      <c r="B456" s="84"/>
      <c r="C456" s="43" t="s">
        <v>166</v>
      </c>
      <c r="D456" s="42">
        <v>3</v>
      </c>
      <c r="E456" s="41">
        <v>9.249838127832763E-5</v>
      </c>
    </row>
    <row r="457" spans="2:5" ht="15" customHeight="1">
      <c r="B457" s="85"/>
      <c r="C457" s="40" t="s">
        <v>23</v>
      </c>
      <c r="D457" s="39">
        <v>309</v>
      </c>
      <c r="E457" s="38">
        <v>9.5273332716677463E-3</v>
      </c>
    </row>
    <row r="458" spans="2:5" ht="15" customHeight="1">
      <c r="B458" s="83" t="s">
        <v>41</v>
      </c>
      <c r="C458" s="43" t="s">
        <v>172</v>
      </c>
      <c r="D458" s="42">
        <v>1</v>
      </c>
      <c r="E458" s="41">
        <v>3.0832793759442546E-5</v>
      </c>
    </row>
    <row r="459" spans="2:5" ht="15" customHeight="1">
      <c r="B459" s="84"/>
      <c r="C459" s="43" t="s">
        <v>148</v>
      </c>
      <c r="D459" s="42">
        <v>1</v>
      </c>
      <c r="E459" s="41">
        <v>3.0832793759442546E-5</v>
      </c>
    </row>
    <row r="460" spans="2:5" ht="15" customHeight="1">
      <c r="B460" s="84"/>
      <c r="C460" s="43" t="s">
        <v>152</v>
      </c>
      <c r="D460" s="42">
        <v>1</v>
      </c>
      <c r="E460" s="41">
        <v>3.0832793759442546E-5</v>
      </c>
    </row>
    <row r="461" spans="2:5" ht="15" customHeight="1">
      <c r="B461" s="84"/>
      <c r="C461" s="43" t="s">
        <v>170</v>
      </c>
      <c r="D461" s="42">
        <v>1</v>
      </c>
      <c r="E461" s="41">
        <v>3.0832793759442546E-5</v>
      </c>
    </row>
    <row r="462" spans="2:5" ht="15" customHeight="1">
      <c r="B462" s="84"/>
      <c r="C462" s="43" t="s">
        <v>174</v>
      </c>
      <c r="D462" s="42">
        <v>1</v>
      </c>
      <c r="E462" s="41">
        <v>3.0832793759442546E-5</v>
      </c>
    </row>
    <row r="463" spans="2:5" ht="15" customHeight="1">
      <c r="B463" s="84"/>
      <c r="C463" s="43" t="s">
        <v>179</v>
      </c>
      <c r="D463" s="42">
        <v>3</v>
      </c>
      <c r="E463" s="41">
        <v>9.249838127832763E-5</v>
      </c>
    </row>
    <row r="464" spans="2:5" ht="15" customHeight="1">
      <c r="B464" s="84"/>
      <c r="C464" s="43" t="s">
        <v>159</v>
      </c>
      <c r="D464" s="42">
        <v>1</v>
      </c>
      <c r="E464" s="41">
        <v>3.0832793759442546E-5</v>
      </c>
    </row>
    <row r="465" spans="2:5" ht="15" customHeight="1">
      <c r="B465" s="84"/>
      <c r="C465" s="43" t="s">
        <v>158</v>
      </c>
      <c r="D465" s="42">
        <v>1</v>
      </c>
      <c r="E465" s="41">
        <v>3.0832793759442546E-5</v>
      </c>
    </row>
    <row r="466" spans="2:5" ht="15" customHeight="1">
      <c r="B466" s="84"/>
      <c r="C466" s="43" t="s">
        <v>171</v>
      </c>
      <c r="D466" s="42">
        <v>1</v>
      </c>
      <c r="E466" s="41">
        <v>3.0832793759442546E-5</v>
      </c>
    </row>
    <row r="467" spans="2:5" ht="15" customHeight="1">
      <c r="B467" s="84"/>
      <c r="C467" s="43" t="s">
        <v>181</v>
      </c>
      <c r="D467" s="42">
        <v>4</v>
      </c>
      <c r="E467" s="41">
        <v>1.2333117503777018E-4</v>
      </c>
    </row>
    <row r="468" spans="2:5" ht="15" customHeight="1">
      <c r="B468" s="84"/>
      <c r="C468" s="43" t="s">
        <v>167</v>
      </c>
      <c r="D468" s="42">
        <v>9</v>
      </c>
      <c r="E468" s="41">
        <v>2.7749514383498288E-4</v>
      </c>
    </row>
    <row r="469" spans="2:5" ht="15" customHeight="1">
      <c r="B469" s="84"/>
      <c r="C469" s="43" t="s">
        <v>182</v>
      </c>
      <c r="D469" s="42">
        <v>14</v>
      </c>
      <c r="E469" s="41">
        <v>4.316591126321956E-4</v>
      </c>
    </row>
    <row r="470" spans="2:5" ht="15" customHeight="1">
      <c r="B470" s="84"/>
      <c r="C470" s="43" t="s">
        <v>175</v>
      </c>
      <c r="D470" s="42">
        <v>1</v>
      </c>
      <c r="E470" s="41">
        <v>3.0832793759442546E-5</v>
      </c>
    </row>
    <row r="471" spans="2:5" ht="15" customHeight="1">
      <c r="B471" s="84"/>
      <c r="C471" s="43" t="s">
        <v>157</v>
      </c>
      <c r="D471" s="42">
        <v>3</v>
      </c>
      <c r="E471" s="41">
        <v>9.249838127832763E-5</v>
      </c>
    </row>
    <row r="472" spans="2:5" ht="15" customHeight="1">
      <c r="B472" s="84"/>
      <c r="C472" s="43" t="s">
        <v>169</v>
      </c>
      <c r="D472" s="42">
        <v>3</v>
      </c>
      <c r="E472" s="41">
        <v>9.249838127832763E-5</v>
      </c>
    </row>
    <row r="473" spans="2:5" ht="15" customHeight="1">
      <c r="B473" s="84"/>
      <c r="C473" s="43" t="s">
        <v>160</v>
      </c>
      <c r="D473" s="42">
        <v>10</v>
      </c>
      <c r="E473" s="41">
        <v>3.0832793759442544E-4</v>
      </c>
    </row>
    <row r="474" spans="2:5" ht="15" customHeight="1">
      <c r="B474" s="84"/>
      <c r="C474" s="43" t="s">
        <v>133</v>
      </c>
      <c r="D474" s="42">
        <v>1</v>
      </c>
      <c r="E474" s="41">
        <v>3.0832793759442546E-5</v>
      </c>
    </row>
    <row r="475" spans="2:5" ht="15" customHeight="1">
      <c r="B475" s="84"/>
      <c r="C475" s="43" t="s">
        <v>155</v>
      </c>
      <c r="D475" s="42">
        <v>1</v>
      </c>
      <c r="E475" s="41">
        <v>3.0832793759442546E-5</v>
      </c>
    </row>
    <row r="476" spans="2:5" ht="15" customHeight="1">
      <c r="B476" s="84"/>
      <c r="C476" s="43" t="s">
        <v>173</v>
      </c>
      <c r="D476" s="42">
        <v>16</v>
      </c>
      <c r="E476" s="41">
        <v>4.9332470015108073E-4</v>
      </c>
    </row>
    <row r="477" spans="2:5" ht="15" customHeight="1">
      <c r="B477" s="84"/>
      <c r="C477" s="43" t="s">
        <v>166</v>
      </c>
      <c r="D477" s="42">
        <v>5</v>
      </c>
      <c r="E477" s="41">
        <v>1.5416396879721272E-4</v>
      </c>
    </row>
    <row r="478" spans="2:5" ht="15" customHeight="1">
      <c r="B478" s="85"/>
      <c r="C478" s="40" t="s">
        <v>23</v>
      </c>
      <c r="D478" s="39">
        <v>78</v>
      </c>
      <c r="E478" s="38">
        <v>2.4049579132365182E-3</v>
      </c>
    </row>
    <row r="479" spans="2:5" ht="15" customHeight="1">
      <c r="B479" s="83" t="s">
        <v>54</v>
      </c>
      <c r="C479" s="43" t="s">
        <v>172</v>
      </c>
      <c r="D479" s="42">
        <v>1</v>
      </c>
      <c r="E479" s="41">
        <v>3.0832793759442546E-5</v>
      </c>
    </row>
    <row r="480" spans="2:5" ht="15" customHeight="1">
      <c r="B480" s="84"/>
      <c r="C480" s="43" t="s">
        <v>170</v>
      </c>
      <c r="D480" s="42">
        <v>3</v>
      </c>
      <c r="E480" s="41">
        <v>9.249838127832763E-5</v>
      </c>
    </row>
    <row r="481" spans="2:5" ht="15" customHeight="1">
      <c r="B481" s="84"/>
      <c r="C481" s="43" t="s">
        <v>156</v>
      </c>
      <c r="D481" s="42">
        <v>4</v>
      </c>
      <c r="E481" s="41">
        <v>1.2333117503777018E-4</v>
      </c>
    </row>
    <row r="482" spans="2:5" ht="15" customHeight="1">
      <c r="B482" s="84"/>
      <c r="C482" s="43" t="s">
        <v>174</v>
      </c>
      <c r="D482" s="42">
        <v>4</v>
      </c>
      <c r="E482" s="41">
        <v>1.2333117503777018E-4</v>
      </c>
    </row>
    <row r="483" spans="2:5" ht="15" customHeight="1">
      <c r="B483" s="84"/>
      <c r="C483" s="43" t="s">
        <v>164</v>
      </c>
      <c r="D483" s="42">
        <v>4</v>
      </c>
      <c r="E483" s="41">
        <v>1.2333117503777018E-4</v>
      </c>
    </row>
    <row r="484" spans="2:5" ht="15" customHeight="1">
      <c r="B484" s="84"/>
      <c r="C484" s="43" t="s">
        <v>178</v>
      </c>
      <c r="D484" s="42">
        <v>5</v>
      </c>
      <c r="E484" s="41">
        <v>1.5416396879721272E-4</v>
      </c>
    </row>
    <row r="485" spans="2:5" ht="15" customHeight="1">
      <c r="B485" s="84"/>
      <c r="C485" s="43" t="s">
        <v>179</v>
      </c>
      <c r="D485" s="42">
        <v>3</v>
      </c>
      <c r="E485" s="41">
        <v>9.249838127832763E-5</v>
      </c>
    </row>
    <row r="486" spans="2:5" ht="15" customHeight="1">
      <c r="B486" s="84"/>
      <c r="C486" s="43" t="s">
        <v>168</v>
      </c>
      <c r="D486" s="42">
        <v>2</v>
      </c>
      <c r="E486" s="41">
        <v>6.1665587518885091E-5</v>
      </c>
    </row>
    <row r="487" spans="2:5" ht="15" customHeight="1">
      <c r="B487" s="84"/>
      <c r="C487" s="43" t="s">
        <v>132</v>
      </c>
      <c r="D487" s="42">
        <v>2</v>
      </c>
      <c r="E487" s="41">
        <v>6.1665587518885091E-5</v>
      </c>
    </row>
    <row r="488" spans="2:5" ht="15" customHeight="1">
      <c r="B488" s="84"/>
      <c r="C488" s="43" t="s">
        <v>158</v>
      </c>
      <c r="D488" s="42">
        <v>2</v>
      </c>
      <c r="E488" s="41">
        <v>6.1665587518885091E-5</v>
      </c>
    </row>
    <row r="489" spans="2:5" ht="15" customHeight="1">
      <c r="B489" s="84"/>
      <c r="C489" s="43" t="s">
        <v>180</v>
      </c>
      <c r="D489" s="42">
        <v>2</v>
      </c>
      <c r="E489" s="41">
        <v>6.1665587518885091E-5</v>
      </c>
    </row>
    <row r="490" spans="2:5" ht="15" customHeight="1">
      <c r="B490" s="84"/>
      <c r="C490" s="43" t="s">
        <v>177</v>
      </c>
      <c r="D490" s="42">
        <v>3</v>
      </c>
      <c r="E490" s="41">
        <v>9.249838127832763E-5</v>
      </c>
    </row>
    <row r="491" spans="2:5" ht="15" customHeight="1">
      <c r="B491" s="84"/>
      <c r="C491" s="43" t="s">
        <v>171</v>
      </c>
      <c r="D491" s="42">
        <v>1</v>
      </c>
      <c r="E491" s="41">
        <v>3.0832793759442546E-5</v>
      </c>
    </row>
    <row r="492" spans="2:5" ht="15" customHeight="1">
      <c r="B492" s="84"/>
      <c r="C492" s="43" t="s">
        <v>181</v>
      </c>
      <c r="D492" s="42">
        <v>36</v>
      </c>
      <c r="E492" s="41">
        <v>1.1099805753399315E-3</v>
      </c>
    </row>
    <row r="493" spans="2:5" ht="15" customHeight="1">
      <c r="B493" s="84"/>
      <c r="C493" s="43" t="s">
        <v>167</v>
      </c>
      <c r="D493" s="42">
        <v>23</v>
      </c>
      <c r="E493" s="41">
        <v>7.0915425646717847E-4</v>
      </c>
    </row>
    <row r="494" spans="2:5" ht="15" customHeight="1">
      <c r="B494" s="84"/>
      <c r="C494" s="43" t="s">
        <v>163</v>
      </c>
      <c r="D494" s="42">
        <v>3</v>
      </c>
      <c r="E494" s="41">
        <v>9.249838127832763E-5</v>
      </c>
    </row>
    <row r="495" spans="2:5" ht="15" customHeight="1">
      <c r="B495" s="84"/>
      <c r="C495" s="43" t="s">
        <v>182</v>
      </c>
      <c r="D495" s="42">
        <v>40</v>
      </c>
      <c r="E495" s="41">
        <v>1.2333117503777018E-3</v>
      </c>
    </row>
    <row r="496" spans="2:5" ht="15" customHeight="1">
      <c r="B496" s="84"/>
      <c r="C496" s="43" t="s">
        <v>137</v>
      </c>
      <c r="D496" s="42">
        <v>2</v>
      </c>
      <c r="E496" s="41">
        <v>6.1665587518885091E-5</v>
      </c>
    </row>
    <row r="497" spans="2:5" ht="15" customHeight="1">
      <c r="B497" s="84"/>
      <c r="C497" s="43" t="s">
        <v>151</v>
      </c>
      <c r="D497" s="42">
        <v>1</v>
      </c>
      <c r="E497" s="41">
        <v>3.0832793759442546E-5</v>
      </c>
    </row>
    <row r="498" spans="2:5" ht="15" customHeight="1">
      <c r="B498" s="84"/>
      <c r="C498" s="43" t="s">
        <v>175</v>
      </c>
      <c r="D498" s="42">
        <v>7</v>
      </c>
      <c r="E498" s="41">
        <v>2.158295563160978E-4</v>
      </c>
    </row>
    <row r="499" spans="2:5" ht="15" customHeight="1">
      <c r="B499" s="84"/>
      <c r="C499" s="43" t="s">
        <v>169</v>
      </c>
      <c r="D499" s="42">
        <v>1</v>
      </c>
      <c r="E499" s="41">
        <v>3.0832793759442546E-5</v>
      </c>
    </row>
    <row r="500" spans="2:5" ht="15" customHeight="1">
      <c r="B500" s="84"/>
      <c r="C500" s="43" t="s">
        <v>160</v>
      </c>
      <c r="D500" s="42">
        <v>5</v>
      </c>
      <c r="E500" s="41">
        <v>1.5416396879721272E-4</v>
      </c>
    </row>
    <row r="501" spans="2:5" ht="15" customHeight="1">
      <c r="B501" s="84"/>
      <c r="C501" s="43" t="s">
        <v>131</v>
      </c>
      <c r="D501" s="42">
        <v>1</v>
      </c>
      <c r="E501" s="41">
        <v>3.0832793759442546E-5</v>
      </c>
    </row>
    <row r="502" spans="2:5" ht="15" customHeight="1">
      <c r="B502" s="84"/>
      <c r="C502" s="43" t="s">
        <v>147</v>
      </c>
      <c r="D502" s="42">
        <v>1</v>
      </c>
      <c r="E502" s="41">
        <v>3.0832793759442546E-5</v>
      </c>
    </row>
    <row r="503" spans="2:5" ht="15" customHeight="1">
      <c r="B503" s="84"/>
      <c r="C503" s="43" t="s">
        <v>144</v>
      </c>
      <c r="D503" s="42">
        <v>1</v>
      </c>
      <c r="E503" s="41">
        <v>3.0832793759442546E-5</v>
      </c>
    </row>
    <row r="504" spans="2:5" ht="15" customHeight="1">
      <c r="B504" s="84"/>
      <c r="C504" s="43" t="s">
        <v>173</v>
      </c>
      <c r="D504" s="42">
        <v>10</v>
      </c>
      <c r="E504" s="41">
        <v>3.0832793759442544E-4</v>
      </c>
    </row>
    <row r="505" spans="2:5" ht="15" customHeight="1">
      <c r="B505" s="84"/>
      <c r="C505" s="43" t="s">
        <v>154</v>
      </c>
      <c r="D505" s="42">
        <v>1</v>
      </c>
      <c r="E505" s="41">
        <v>3.0832793759442546E-5</v>
      </c>
    </row>
    <row r="506" spans="2:5" ht="15" customHeight="1">
      <c r="B506" s="84"/>
      <c r="C506" s="43" t="s">
        <v>161</v>
      </c>
      <c r="D506" s="42">
        <v>2</v>
      </c>
      <c r="E506" s="41">
        <v>6.1665587518885091E-5</v>
      </c>
    </row>
    <row r="507" spans="2:5" ht="15" customHeight="1">
      <c r="B507" s="84"/>
      <c r="C507" s="43" t="s">
        <v>166</v>
      </c>
      <c r="D507" s="42">
        <v>7</v>
      </c>
      <c r="E507" s="41">
        <v>2.158295563160978E-4</v>
      </c>
    </row>
    <row r="508" spans="2:5" ht="15" customHeight="1">
      <c r="B508" s="84"/>
      <c r="C508" s="43" t="s">
        <v>145</v>
      </c>
      <c r="D508" s="42">
        <v>3</v>
      </c>
      <c r="E508" s="41">
        <v>9.249838127832763E-5</v>
      </c>
    </row>
    <row r="509" spans="2:5" ht="15" customHeight="1">
      <c r="B509" s="85"/>
      <c r="C509" s="40" t="s">
        <v>23</v>
      </c>
      <c r="D509" s="39">
        <v>180</v>
      </c>
      <c r="E509" s="38">
        <v>5.549902876699658E-3</v>
      </c>
    </row>
    <row r="510" spans="2:5" ht="15" customHeight="1">
      <c r="B510" s="83" t="s">
        <v>43</v>
      </c>
      <c r="C510" s="43" t="s">
        <v>172</v>
      </c>
      <c r="D510" s="42">
        <v>1</v>
      </c>
      <c r="E510" s="41">
        <v>3.0832793759442546E-5</v>
      </c>
    </row>
    <row r="511" spans="2:5" ht="15" customHeight="1">
      <c r="B511" s="84"/>
      <c r="C511" s="43" t="s">
        <v>148</v>
      </c>
      <c r="D511" s="42">
        <v>6</v>
      </c>
      <c r="E511" s="41">
        <v>1.8499676255665526E-4</v>
      </c>
    </row>
    <row r="512" spans="2:5" ht="15" customHeight="1">
      <c r="B512" s="84"/>
      <c r="C512" s="43" t="s">
        <v>152</v>
      </c>
      <c r="D512" s="42">
        <v>2</v>
      </c>
      <c r="E512" s="41">
        <v>6.1665587518885091E-5</v>
      </c>
    </row>
    <row r="513" spans="2:5" ht="15" customHeight="1">
      <c r="B513" s="84"/>
      <c r="C513" s="43" t="s">
        <v>170</v>
      </c>
      <c r="D513" s="42">
        <v>1</v>
      </c>
      <c r="E513" s="41">
        <v>3.0832793759442546E-5</v>
      </c>
    </row>
    <row r="514" spans="2:5" ht="15" customHeight="1">
      <c r="B514" s="84"/>
      <c r="C514" s="43" t="s">
        <v>140</v>
      </c>
      <c r="D514" s="42">
        <v>1</v>
      </c>
      <c r="E514" s="41">
        <v>3.0832793759442546E-5</v>
      </c>
    </row>
    <row r="515" spans="2:5" ht="15" customHeight="1">
      <c r="B515" s="84"/>
      <c r="C515" s="43" t="s">
        <v>176</v>
      </c>
      <c r="D515" s="42">
        <v>2</v>
      </c>
      <c r="E515" s="41">
        <v>6.1665587518885091E-5</v>
      </c>
    </row>
    <row r="516" spans="2:5" ht="15" customHeight="1">
      <c r="B516" s="84"/>
      <c r="C516" s="43" t="s">
        <v>178</v>
      </c>
      <c r="D516" s="42">
        <v>1</v>
      </c>
      <c r="E516" s="41">
        <v>3.0832793759442546E-5</v>
      </c>
    </row>
    <row r="517" spans="2:5" ht="15" customHeight="1">
      <c r="B517" s="84"/>
      <c r="C517" s="43" t="s">
        <v>179</v>
      </c>
      <c r="D517" s="42">
        <v>12</v>
      </c>
      <c r="E517" s="41">
        <v>3.6999352511331052E-4</v>
      </c>
    </row>
    <row r="518" spans="2:5" ht="15" customHeight="1">
      <c r="B518" s="84"/>
      <c r="C518" s="43" t="s">
        <v>159</v>
      </c>
      <c r="D518" s="42">
        <v>4</v>
      </c>
      <c r="E518" s="41">
        <v>1.2333117503777018E-4</v>
      </c>
    </row>
    <row r="519" spans="2:5" ht="15" customHeight="1">
      <c r="B519" s="84"/>
      <c r="C519" s="43" t="s">
        <v>180</v>
      </c>
      <c r="D519" s="42">
        <v>4</v>
      </c>
      <c r="E519" s="41">
        <v>1.2333117503777018E-4</v>
      </c>
    </row>
    <row r="520" spans="2:5" ht="15" customHeight="1">
      <c r="B520" s="84"/>
      <c r="C520" s="43" t="s">
        <v>177</v>
      </c>
      <c r="D520" s="42">
        <v>1</v>
      </c>
      <c r="E520" s="41">
        <v>3.0832793759442546E-5</v>
      </c>
    </row>
    <row r="521" spans="2:5" ht="15" customHeight="1">
      <c r="B521" s="84"/>
      <c r="C521" s="43" t="s">
        <v>171</v>
      </c>
      <c r="D521" s="42">
        <v>4</v>
      </c>
      <c r="E521" s="41">
        <v>1.2333117503777018E-4</v>
      </c>
    </row>
    <row r="522" spans="2:5" ht="15" customHeight="1">
      <c r="B522" s="84"/>
      <c r="C522" s="43" t="s">
        <v>181</v>
      </c>
      <c r="D522" s="42">
        <v>5</v>
      </c>
      <c r="E522" s="41">
        <v>1.5416396879721272E-4</v>
      </c>
    </row>
    <row r="523" spans="2:5" ht="15" customHeight="1">
      <c r="B523" s="84"/>
      <c r="C523" s="43" t="s">
        <v>167</v>
      </c>
      <c r="D523" s="42">
        <v>2</v>
      </c>
      <c r="E523" s="41">
        <v>6.1665587518885091E-5</v>
      </c>
    </row>
    <row r="524" spans="2:5" ht="15" customHeight="1">
      <c r="B524" s="84"/>
      <c r="C524" s="43" t="s">
        <v>182</v>
      </c>
      <c r="D524" s="42">
        <v>10</v>
      </c>
      <c r="E524" s="41">
        <v>3.0832793759442544E-4</v>
      </c>
    </row>
    <row r="525" spans="2:5" ht="15" customHeight="1">
      <c r="B525" s="84"/>
      <c r="C525" s="43" t="s">
        <v>137</v>
      </c>
      <c r="D525" s="42">
        <v>1</v>
      </c>
      <c r="E525" s="41">
        <v>3.0832793759442546E-5</v>
      </c>
    </row>
    <row r="526" spans="2:5" ht="15" customHeight="1">
      <c r="B526" s="84"/>
      <c r="C526" s="43" t="s">
        <v>151</v>
      </c>
      <c r="D526" s="42">
        <v>1</v>
      </c>
      <c r="E526" s="41">
        <v>3.0832793759442546E-5</v>
      </c>
    </row>
    <row r="527" spans="2:5" ht="15" customHeight="1">
      <c r="B527" s="84"/>
      <c r="C527" s="43" t="s">
        <v>150</v>
      </c>
      <c r="D527" s="42">
        <v>6</v>
      </c>
      <c r="E527" s="41">
        <v>1.8499676255665526E-4</v>
      </c>
    </row>
    <row r="528" spans="2:5" ht="15" customHeight="1">
      <c r="B528" s="84"/>
      <c r="C528" s="43" t="s">
        <v>175</v>
      </c>
      <c r="D528" s="42">
        <v>3</v>
      </c>
      <c r="E528" s="41">
        <v>9.249838127832763E-5</v>
      </c>
    </row>
    <row r="529" spans="2:5" ht="15" customHeight="1">
      <c r="B529" s="84"/>
      <c r="C529" s="43" t="s">
        <v>157</v>
      </c>
      <c r="D529" s="42">
        <v>2</v>
      </c>
      <c r="E529" s="41">
        <v>6.1665587518885091E-5</v>
      </c>
    </row>
    <row r="530" spans="2:5" ht="15" customHeight="1">
      <c r="B530" s="84"/>
      <c r="C530" s="43" t="s">
        <v>143</v>
      </c>
      <c r="D530" s="42">
        <v>1</v>
      </c>
      <c r="E530" s="41">
        <v>3.0832793759442546E-5</v>
      </c>
    </row>
    <row r="531" spans="2:5" ht="15" customHeight="1">
      <c r="B531" s="84"/>
      <c r="C531" s="43" t="s">
        <v>169</v>
      </c>
      <c r="D531" s="42">
        <v>17</v>
      </c>
      <c r="E531" s="41">
        <v>5.2415749391052319E-4</v>
      </c>
    </row>
    <row r="532" spans="2:5" ht="15" customHeight="1">
      <c r="B532" s="84"/>
      <c r="C532" s="43" t="s">
        <v>160</v>
      </c>
      <c r="D532" s="42">
        <v>1</v>
      </c>
      <c r="E532" s="41">
        <v>3.0832793759442546E-5</v>
      </c>
    </row>
    <row r="533" spans="2:5" ht="15" customHeight="1">
      <c r="B533" s="84"/>
      <c r="C533" s="43" t="s">
        <v>133</v>
      </c>
      <c r="D533" s="42">
        <v>1</v>
      </c>
      <c r="E533" s="41">
        <v>3.0832793759442546E-5</v>
      </c>
    </row>
    <row r="534" spans="2:5" ht="15" customHeight="1">
      <c r="B534" s="84"/>
      <c r="C534" s="43" t="s">
        <v>147</v>
      </c>
      <c r="D534" s="42">
        <v>4</v>
      </c>
      <c r="E534" s="41">
        <v>1.2333117503777018E-4</v>
      </c>
    </row>
    <row r="535" spans="2:5" ht="15" customHeight="1">
      <c r="B535" s="84"/>
      <c r="C535" s="43" t="s">
        <v>138</v>
      </c>
      <c r="D535" s="42">
        <v>1</v>
      </c>
      <c r="E535" s="41">
        <v>3.0832793759442546E-5</v>
      </c>
    </row>
    <row r="536" spans="2:5" ht="15" customHeight="1">
      <c r="B536" s="84"/>
      <c r="C536" s="43" t="s">
        <v>173</v>
      </c>
      <c r="D536" s="42">
        <v>6</v>
      </c>
      <c r="E536" s="41">
        <v>1.8499676255665526E-4</v>
      </c>
    </row>
    <row r="537" spans="2:5" ht="15" customHeight="1">
      <c r="B537" s="84"/>
      <c r="C537" s="43" t="s">
        <v>166</v>
      </c>
      <c r="D537" s="42">
        <v>1</v>
      </c>
      <c r="E537" s="41">
        <v>3.0832793759442546E-5</v>
      </c>
    </row>
    <row r="538" spans="2:5" ht="15" customHeight="1">
      <c r="B538" s="85"/>
      <c r="C538" s="40" t="s">
        <v>23</v>
      </c>
      <c r="D538" s="39">
        <v>101</v>
      </c>
      <c r="E538" s="38">
        <v>3.1141121697036969E-3</v>
      </c>
    </row>
    <row r="539" spans="2:5" ht="15" customHeight="1">
      <c r="B539" s="83" t="s">
        <v>60</v>
      </c>
      <c r="C539" s="43" t="s">
        <v>172</v>
      </c>
      <c r="D539" s="42">
        <v>2</v>
      </c>
      <c r="E539" s="41">
        <v>6.1665587518885091E-5</v>
      </c>
    </row>
    <row r="540" spans="2:5" ht="15" customHeight="1">
      <c r="B540" s="84"/>
      <c r="C540" s="43" t="s">
        <v>152</v>
      </c>
      <c r="D540" s="42">
        <v>2</v>
      </c>
      <c r="E540" s="41">
        <v>6.1665587518885091E-5</v>
      </c>
    </row>
    <row r="541" spans="2:5" ht="15" customHeight="1">
      <c r="B541" s="84"/>
      <c r="C541" s="43" t="s">
        <v>170</v>
      </c>
      <c r="D541" s="42">
        <v>13</v>
      </c>
      <c r="E541" s="41">
        <v>4.0082631887275309E-4</v>
      </c>
    </row>
    <row r="542" spans="2:5" ht="15" customHeight="1">
      <c r="B542" s="84"/>
      <c r="C542" s="43" t="s">
        <v>156</v>
      </c>
      <c r="D542" s="42">
        <v>1</v>
      </c>
      <c r="E542" s="41">
        <v>3.0832793759442546E-5</v>
      </c>
    </row>
    <row r="543" spans="2:5" ht="15" customHeight="1">
      <c r="B543" s="84"/>
      <c r="C543" s="43" t="s">
        <v>174</v>
      </c>
      <c r="D543" s="42">
        <v>14</v>
      </c>
      <c r="E543" s="41">
        <v>4.316591126321956E-4</v>
      </c>
    </row>
    <row r="544" spans="2:5" ht="15" customHeight="1">
      <c r="B544" s="84"/>
      <c r="C544" s="43" t="s">
        <v>164</v>
      </c>
      <c r="D544" s="42">
        <v>3</v>
      </c>
      <c r="E544" s="41">
        <v>9.249838127832763E-5</v>
      </c>
    </row>
    <row r="545" spans="2:5" ht="15" customHeight="1">
      <c r="B545" s="84"/>
      <c r="C545" s="43" t="s">
        <v>176</v>
      </c>
      <c r="D545" s="42">
        <v>9</v>
      </c>
      <c r="E545" s="41">
        <v>2.7749514383498288E-4</v>
      </c>
    </row>
    <row r="546" spans="2:5" ht="15" customHeight="1">
      <c r="B546" s="84"/>
      <c r="C546" s="43" t="s">
        <v>178</v>
      </c>
      <c r="D546" s="42">
        <v>29</v>
      </c>
      <c r="E546" s="41">
        <v>8.9415101902383376E-4</v>
      </c>
    </row>
    <row r="547" spans="2:5" ht="15" customHeight="1">
      <c r="B547" s="84"/>
      <c r="C547" s="43" t="s">
        <v>179</v>
      </c>
      <c r="D547" s="42">
        <v>17</v>
      </c>
      <c r="E547" s="41">
        <v>5.2415749391052319E-4</v>
      </c>
    </row>
    <row r="548" spans="2:5" ht="15" customHeight="1">
      <c r="B548" s="84"/>
      <c r="C548" s="43" t="s">
        <v>129</v>
      </c>
      <c r="D548" s="42">
        <v>1</v>
      </c>
      <c r="E548" s="41">
        <v>3.0832793759442546E-5</v>
      </c>
    </row>
    <row r="549" spans="2:5" ht="15" customHeight="1">
      <c r="B549" s="84"/>
      <c r="C549" s="43" t="s">
        <v>159</v>
      </c>
      <c r="D549" s="42">
        <v>12</v>
      </c>
      <c r="E549" s="41">
        <v>3.6999352511331052E-4</v>
      </c>
    </row>
    <row r="550" spans="2:5" ht="15" customHeight="1">
      <c r="B550" s="84"/>
      <c r="C550" s="43" t="s">
        <v>168</v>
      </c>
      <c r="D550" s="42">
        <v>3</v>
      </c>
      <c r="E550" s="41">
        <v>9.249838127832763E-5</v>
      </c>
    </row>
    <row r="551" spans="2:5" ht="15" customHeight="1">
      <c r="B551" s="84"/>
      <c r="C551" s="43" t="s">
        <v>132</v>
      </c>
      <c r="D551" s="42">
        <v>2</v>
      </c>
      <c r="E551" s="41">
        <v>6.1665587518885091E-5</v>
      </c>
    </row>
    <row r="552" spans="2:5" ht="15" customHeight="1">
      <c r="B552" s="84"/>
      <c r="C552" s="43" t="s">
        <v>158</v>
      </c>
      <c r="D552" s="42">
        <v>2</v>
      </c>
      <c r="E552" s="41">
        <v>6.1665587518885091E-5</v>
      </c>
    </row>
    <row r="553" spans="2:5" ht="15" customHeight="1">
      <c r="B553" s="84"/>
      <c r="C553" s="43" t="s">
        <v>180</v>
      </c>
      <c r="D553" s="42">
        <v>13</v>
      </c>
      <c r="E553" s="41">
        <v>4.0082631887275309E-4</v>
      </c>
    </row>
    <row r="554" spans="2:5" ht="15" customHeight="1">
      <c r="B554" s="84"/>
      <c r="C554" s="43" t="s">
        <v>177</v>
      </c>
      <c r="D554" s="42">
        <v>5</v>
      </c>
      <c r="E554" s="41">
        <v>1.5416396879721272E-4</v>
      </c>
    </row>
    <row r="555" spans="2:5" ht="15" customHeight="1">
      <c r="B555" s="84"/>
      <c r="C555" s="43" t="s">
        <v>165</v>
      </c>
      <c r="D555" s="42">
        <v>1</v>
      </c>
      <c r="E555" s="41">
        <v>3.0832793759442546E-5</v>
      </c>
    </row>
    <row r="556" spans="2:5" ht="15" customHeight="1">
      <c r="B556" s="84"/>
      <c r="C556" s="43" t="s">
        <v>171</v>
      </c>
      <c r="D556" s="42">
        <v>8</v>
      </c>
      <c r="E556" s="41">
        <v>2.4666235007554037E-4</v>
      </c>
    </row>
    <row r="557" spans="2:5" ht="15" customHeight="1">
      <c r="B557" s="84"/>
      <c r="C557" s="43" t="s">
        <v>181</v>
      </c>
      <c r="D557" s="42">
        <v>57</v>
      </c>
      <c r="E557" s="41">
        <v>1.7574692442882249E-3</v>
      </c>
    </row>
    <row r="558" spans="2:5" ht="15" customHeight="1">
      <c r="B558" s="84"/>
      <c r="C558" s="43" t="s">
        <v>167</v>
      </c>
      <c r="D558" s="42">
        <v>3</v>
      </c>
      <c r="E558" s="41">
        <v>9.249838127832763E-5</v>
      </c>
    </row>
    <row r="559" spans="2:5" ht="15" customHeight="1">
      <c r="B559" s="84"/>
      <c r="C559" s="43" t="s">
        <v>103</v>
      </c>
      <c r="D559" s="42">
        <v>1</v>
      </c>
      <c r="E559" s="41">
        <v>3.0832793759442546E-5</v>
      </c>
    </row>
    <row r="560" spans="2:5" ht="15" customHeight="1">
      <c r="B560" s="84"/>
      <c r="C560" s="43" t="s">
        <v>163</v>
      </c>
      <c r="D560" s="42">
        <v>3</v>
      </c>
      <c r="E560" s="41">
        <v>9.249838127832763E-5</v>
      </c>
    </row>
    <row r="561" spans="2:5" ht="15" customHeight="1">
      <c r="B561" s="84"/>
      <c r="C561" s="43" t="s">
        <v>182</v>
      </c>
      <c r="D561" s="42">
        <v>31</v>
      </c>
      <c r="E561" s="41">
        <v>9.5581660654271879E-4</v>
      </c>
    </row>
    <row r="562" spans="2:5" ht="15" customHeight="1">
      <c r="B562" s="84"/>
      <c r="C562" s="43" t="s">
        <v>137</v>
      </c>
      <c r="D562" s="42">
        <v>4</v>
      </c>
      <c r="E562" s="41">
        <v>1.2333117503777018E-4</v>
      </c>
    </row>
    <row r="563" spans="2:5" ht="15" customHeight="1">
      <c r="B563" s="84"/>
      <c r="C563" s="43" t="s">
        <v>151</v>
      </c>
      <c r="D563" s="42">
        <v>4</v>
      </c>
      <c r="E563" s="41">
        <v>1.2333117503777018E-4</v>
      </c>
    </row>
    <row r="564" spans="2:5" ht="15" customHeight="1">
      <c r="B564" s="84"/>
      <c r="C564" s="43" t="s">
        <v>134</v>
      </c>
      <c r="D564" s="42">
        <v>1</v>
      </c>
      <c r="E564" s="41">
        <v>3.0832793759442546E-5</v>
      </c>
    </row>
    <row r="565" spans="2:5" ht="15" customHeight="1">
      <c r="B565" s="84"/>
      <c r="C565" s="43" t="s">
        <v>150</v>
      </c>
      <c r="D565" s="42">
        <v>5</v>
      </c>
      <c r="E565" s="41">
        <v>1.5416396879721272E-4</v>
      </c>
    </row>
    <row r="566" spans="2:5" ht="15" customHeight="1">
      <c r="B566" s="84"/>
      <c r="C566" s="43" t="s">
        <v>175</v>
      </c>
      <c r="D566" s="42">
        <v>7</v>
      </c>
      <c r="E566" s="41">
        <v>2.158295563160978E-4</v>
      </c>
    </row>
    <row r="567" spans="2:5" ht="15" customHeight="1">
      <c r="B567" s="84"/>
      <c r="C567" s="43" t="s">
        <v>160</v>
      </c>
      <c r="D567" s="42">
        <v>7</v>
      </c>
      <c r="E567" s="41">
        <v>2.158295563160978E-4</v>
      </c>
    </row>
    <row r="568" spans="2:5" ht="15" customHeight="1">
      <c r="B568" s="84"/>
      <c r="C568" s="43" t="s">
        <v>133</v>
      </c>
      <c r="D568" s="42">
        <v>1</v>
      </c>
      <c r="E568" s="41">
        <v>3.0832793759442546E-5</v>
      </c>
    </row>
    <row r="569" spans="2:5" ht="15" customHeight="1">
      <c r="B569" s="84"/>
      <c r="C569" s="43" t="s">
        <v>147</v>
      </c>
      <c r="D569" s="42">
        <v>3</v>
      </c>
      <c r="E569" s="41">
        <v>9.249838127832763E-5</v>
      </c>
    </row>
    <row r="570" spans="2:5" ht="15" customHeight="1">
      <c r="B570" s="84"/>
      <c r="C570" s="43" t="s">
        <v>128</v>
      </c>
      <c r="D570" s="42">
        <v>1</v>
      </c>
      <c r="E570" s="41">
        <v>3.0832793759442546E-5</v>
      </c>
    </row>
    <row r="571" spans="2:5" ht="15" customHeight="1">
      <c r="B571" s="84"/>
      <c r="C571" s="43" t="s">
        <v>139</v>
      </c>
      <c r="D571" s="42">
        <v>2</v>
      </c>
      <c r="E571" s="41">
        <v>6.1665587518885091E-5</v>
      </c>
    </row>
    <row r="572" spans="2:5" ht="15" customHeight="1">
      <c r="B572" s="84"/>
      <c r="C572" s="43" t="s">
        <v>153</v>
      </c>
      <c r="D572" s="42">
        <v>1</v>
      </c>
      <c r="E572" s="41">
        <v>3.0832793759442546E-5</v>
      </c>
    </row>
    <row r="573" spans="2:5" ht="15" customHeight="1">
      <c r="B573" s="84"/>
      <c r="C573" s="43" t="s">
        <v>141</v>
      </c>
      <c r="D573" s="42">
        <v>1</v>
      </c>
      <c r="E573" s="41">
        <v>3.0832793759442546E-5</v>
      </c>
    </row>
    <row r="574" spans="2:5" ht="15" customHeight="1">
      <c r="B574" s="84"/>
      <c r="C574" s="43" t="s">
        <v>149</v>
      </c>
      <c r="D574" s="42">
        <v>1</v>
      </c>
      <c r="E574" s="41">
        <v>3.0832793759442546E-5</v>
      </c>
    </row>
    <row r="575" spans="2:5" ht="15" customHeight="1">
      <c r="B575" s="84"/>
      <c r="C575" s="43" t="s">
        <v>146</v>
      </c>
      <c r="D575" s="42">
        <v>4</v>
      </c>
      <c r="E575" s="41">
        <v>1.2333117503777018E-4</v>
      </c>
    </row>
    <row r="576" spans="2:5" ht="15" customHeight="1">
      <c r="B576" s="84"/>
      <c r="C576" s="43" t="s">
        <v>144</v>
      </c>
      <c r="D576" s="42">
        <v>3</v>
      </c>
      <c r="E576" s="41">
        <v>9.249838127832763E-5</v>
      </c>
    </row>
    <row r="577" spans="2:5" ht="15" customHeight="1">
      <c r="B577" s="84"/>
      <c r="C577" s="43" t="s">
        <v>155</v>
      </c>
      <c r="D577" s="42">
        <v>3</v>
      </c>
      <c r="E577" s="41">
        <v>9.249838127832763E-5</v>
      </c>
    </row>
    <row r="578" spans="2:5" ht="15" customHeight="1">
      <c r="B578" s="84"/>
      <c r="C578" s="43" t="s">
        <v>138</v>
      </c>
      <c r="D578" s="42">
        <v>1</v>
      </c>
      <c r="E578" s="41">
        <v>3.0832793759442546E-5</v>
      </c>
    </row>
    <row r="579" spans="2:5" ht="15" customHeight="1">
      <c r="B579" s="84"/>
      <c r="C579" s="43" t="s">
        <v>173</v>
      </c>
      <c r="D579" s="42">
        <v>20</v>
      </c>
      <c r="E579" s="41">
        <v>6.1665587518885089E-4</v>
      </c>
    </row>
    <row r="580" spans="2:5" ht="15" customHeight="1">
      <c r="B580" s="84"/>
      <c r="C580" s="43" t="s">
        <v>154</v>
      </c>
      <c r="D580" s="42">
        <v>3</v>
      </c>
      <c r="E580" s="41">
        <v>9.249838127832763E-5</v>
      </c>
    </row>
    <row r="581" spans="2:5" ht="15" customHeight="1">
      <c r="B581" s="84"/>
      <c r="C581" s="43" t="s">
        <v>162</v>
      </c>
      <c r="D581" s="42">
        <v>3</v>
      </c>
      <c r="E581" s="41">
        <v>9.249838127832763E-5</v>
      </c>
    </row>
    <row r="582" spans="2:5" ht="15" customHeight="1">
      <c r="B582" s="84"/>
      <c r="C582" s="43" t="s">
        <v>161</v>
      </c>
      <c r="D582" s="42">
        <v>12</v>
      </c>
      <c r="E582" s="41">
        <v>3.6999352511331052E-4</v>
      </c>
    </row>
    <row r="583" spans="2:5" ht="15" customHeight="1">
      <c r="B583" s="84"/>
      <c r="C583" s="43" t="s">
        <v>166</v>
      </c>
      <c r="D583" s="42">
        <v>6</v>
      </c>
      <c r="E583" s="41">
        <v>1.8499676255665526E-4</v>
      </c>
    </row>
    <row r="584" spans="2:5" ht="15" customHeight="1">
      <c r="B584" s="84"/>
      <c r="C584" s="43" t="s">
        <v>145</v>
      </c>
      <c r="D584" s="42">
        <v>1</v>
      </c>
      <c r="E584" s="41">
        <v>3.0832793759442546E-5</v>
      </c>
    </row>
    <row r="585" spans="2:5" ht="15" customHeight="1">
      <c r="B585" s="85"/>
      <c r="C585" s="40" t="s">
        <v>23</v>
      </c>
      <c r="D585" s="39">
        <v>326</v>
      </c>
      <c r="E585" s="38">
        <v>1.0051490765578269E-2</v>
      </c>
    </row>
    <row r="586" spans="2:5" ht="15" customHeight="1">
      <c r="B586" s="83" t="s">
        <v>40</v>
      </c>
      <c r="C586" s="43" t="s">
        <v>152</v>
      </c>
      <c r="D586" s="42">
        <v>1</v>
      </c>
      <c r="E586" s="41">
        <v>3.0832793759442546E-5</v>
      </c>
    </row>
    <row r="587" spans="2:5" ht="15" customHeight="1">
      <c r="B587" s="84"/>
      <c r="C587" s="43" t="s">
        <v>174</v>
      </c>
      <c r="D587" s="42">
        <v>1</v>
      </c>
      <c r="E587" s="41">
        <v>3.0832793759442546E-5</v>
      </c>
    </row>
    <row r="588" spans="2:5" ht="15" customHeight="1">
      <c r="B588" s="84"/>
      <c r="C588" s="43" t="s">
        <v>176</v>
      </c>
      <c r="D588" s="42">
        <v>17</v>
      </c>
      <c r="E588" s="41">
        <v>5.2415749391052319E-4</v>
      </c>
    </row>
    <row r="589" spans="2:5" ht="15" customHeight="1">
      <c r="B589" s="84"/>
      <c r="C589" s="43" t="s">
        <v>179</v>
      </c>
      <c r="D589" s="42">
        <v>5</v>
      </c>
      <c r="E589" s="41">
        <v>1.5416396879721272E-4</v>
      </c>
    </row>
    <row r="590" spans="2:5" ht="15" customHeight="1">
      <c r="B590" s="84"/>
      <c r="C590" s="43" t="s">
        <v>159</v>
      </c>
      <c r="D590" s="42">
        <v>1</v>
      </c>
      <c r="E590" s="41">
        <v>3.0832793759442546E-5</v>
      </c>
    </row>
    <row r="591" spans="2:5" ht="15" customHeight="1">
      <c r="B591" s="84"/>
      <c r="C591" s="43" t="s">
        <v>135</v>
      </c>
      <c r="D591" s="42">
        <v>2</v>
      </c>
      <c r="E591" s="41">
        <v>6.1665587518885091E-5</v>
      </c>
    </row>
    <row r="592" spans="2:5" ht="15" customHeight="1">
      <c r="B592" s="84"/>
      <c r="C592" s="43" t="s">
        <v>168</v>
      </c>
      <c r="D592" s="42">
        <v>1</v>
      </c>
      <c r="E592" s="41">
        <v>3.0832793759442546E-5</v>
      </c>
    </row>
    <row r="593" spans="2:5" ht="15" customHeight="1">
      <c r="B593" s="84"/>
      <c r="C593" s="43" t="s">
        <v>158</v>
      </c>
      <c r="D593" s="42">
        <v>2</v>
      </c>
      <c r="E593" s="41">
        <v>6.1665587518885091E-5</v>
      </c>
    </row>
    <row r="594" spans="2:5" ht="15" customHeight="1">
      <c r="B594" s="84"/>
      <c r="C594" s="43" t="s">
        <v>180</v>
      </c>
      <c r="D594" s="42">
        <v>5</v>
      </c>
      <c r="E594" s="41">
        <v>1.5416396879721272E-4</v>
      </c>
    </row>
    <row r="595" spans="2:5" ht="15" customHeight="1">
      <c r="B595" s="84"/>
      <c r="C595" s="43" t="s">
        <v>171</v>
      </c>
      <c r="D595" s="42">
        <v>5</v>
      </c>
      <c r="E595" s="41">
        <v>1.5416396879721272E-4</v>
      </c>
    </row>
    <row r="596" spans="2:5" ht="15" customHeight="1">
      <c r="B596" s="84"/>
      <c r="C596" s="43" t="s">
        <v>181</v>
      </c>
      <c r="D596" s="42">
        <v>7</v>
      </c>
      <c r="E596" s="41">
        <v>2.158295563160978E-4</v>
      </c>
    </row>
    <row r="597" spans="2:5" ht="15" customHeight="1">
      <c r="B597" s="84"/>
      <c r="C597" s="43" t="s">
        <v>167</v>
      </c>
      <c r="D597" s="42">
        <v>1</v>
      </c>
      <c r="E597" s="41">
        <v>3.0832793759442546E-5</v>
      </c>
    </row>
    <row r="598" spans="2:5" ht="15" customHeight="1">
      <c r="B598" s="84"/>
      <c r="C598" s="43" t="s">
        <v>182</v>
      </c>
      <c r="D598" s="42">
        <v>9</v>
      </c>
      <c r="E598" s="41">
        <v>2.7749514383498288E-4</v>
      </c>
    </row>
    <row r="599" spans="2:5" ht="15" customHeight="1">
      <c r="B599" s="84"/>
      <c r="C599" s="43" t="s">
        <v>169</v>
      </c>
      <c r="D599" s="42">
        <v>1</v>
      </c>
      <c r="E599" s="41">
        <v>3.0832793759442546E-5</v>
      </c>
    </row>
    <row r="600" spans="2:5" ht="15" customHeight="1">
      <c r="B600" s="84"/>
      <c r="C600" s="43" t="s">
        <v>160</v>
      </c>
      <c r="D600" s="42">
        <v>2</v>
      </c>
      <c r="E600" s="41">
        <v>6.1665587518885091E-5</v>
      </c>
    </row>
    <row r="601" spans="2:5" ht="15" customHeight="1">
      <c r="B601" s="84"/>
      <c r="C601" s="43" t="s">
        <v>133</v>
      </c>
      <c r="D601" s="42">
        <v>1</v>
      </c>
      <c r="E601" s="41">
        <v>3.0832793759442546E-5</v>
      </c>
    </row>
    <row r="602" spans="2:5" ht="15" customHeight="1">
      <c r="B602" s="84"/>
      <c r="C602" s="43" t="s">
        <v>139</v>
      </c>
      <c r="D602" s="42">
        <v>1</v>
      </c>
      <c r="E602" s="41">
        <v>3.0832793759442546E-5</v>
      </c>
    </row>
    <row r="603" spans="2:5" ht="15" customHeight="1">
      <c r="B603" s="84"/>
      <c r="C603" s="43" t="s">
        <v>146</v>
      </c>
      <c r="D603" s="42">
        <v>2</v>
      </c>
      <c r="E603" s="41">
        <v>6.1665587518885091E-5</v>
      </c>
    </row>
    <row r="604" spans="2:5" ht="15" customHeight="1">
      <c r="B604" s="84"/>
      <c r="C604" s="43" t="s">
        <v>144</v>
      </c>
      <c r="D604" s="42">
        <v>1</v>
      </c>
      <c r="E604" s="41">
        <v>3.0832793759442546E-5</v>
      </c>
    </row>
    <row r="605" spans="2:5" ht="15" customHeight="1">
      <c r="B605" s="84"/>
      <c r="C605" s="43" t="s">
        <v>155</v>
      </c>
      <c r="D605" s="42">
        <v>4</v>
      </c>
      <c r="E605" s="41">
        <v>1.2333117503777018E-4</v>
      </c>
    </row>
    <row r="606" spans="2:5" ht="15" customHeight="1">
      <c r="B606" s="84"/>
      <c r="C606" s="43" t="s">
        <v>166</v>
      </c>
      <c r="D606" s="42">
        <v>4</v>
      </c>
      <c r="E606" s="41">
        <v>1.2333117503777018E-4</v>
      </c>
    </row>
    <row r="607" spans="2:5" ht="15" customHeight="1">
      <c r="B607" s="85"/>
      <c r="C607" s="40" t="s">
        <v>23</v>
      </c>
      <c r="D607" s="39">
        <v>73</v>
      </c>
      <c r="E607" s="38">
        <v>2.2507939444393055E-3</v>
      </c>
    </row>
    <row r="608" spans="2:5" ht="15" customHeight="1">
      <c r="B608" s="83" t="s">
        <v>30</v>
      </c>
      <c r="C608" s="43" t="s">
        <v>164</v>
      </c>
      <c r="D608" s="42">
        <v>1</v>
      </c>
      <c r="E608" s="41">
        <v>3.0832793759442546E-5</v>
      </c>
    </row>
    <row r="609" spans="2:5" ht="15" customHeight="1">
      <c r="B609" s="84"/>
      <c r="C609" s="43" t="s">
        <v>132</v>
      </c>
      <c r="D609" s="42">
        <v>1</v>
      </c>
      <c r="E609" s="41">
        <v>3.0832793759442546E-5</v>
      </c>
    </row>
    <row r="610" spans="2:5" ht="15" customHeight="1">
      <c r="B610" s="84"/>
      <c r="C610" s="43" t="s">
        <v>167</v>
      </c>
      <c r="D610" s="42">
        <v>8</v>
      </c>
      <c r="E610" s="41">
        <v>2.4666235007554037E-4</v>
      </c>
    </row>
    <row r="611" spans="2:5" ht="15" customHeight="1">
      <c r="B611" s="84"/>
      <c r="C611" s="43" t="s">
        <v>182</v>
      </c>
      <c r="D611" s="42">
        <v>2</v>
      </c>
      <c r="E611" s="41">
        <v>6.1665587518885091E-5</v>
      </c>
    </row>
    <row r="612" spans="2:5" ht="15" customHeight="1">
      <c r="B612" s="84"/>
      <c r="C612" s="43" t="s">
        <v>154</v>
      </c>
      <c r="D612" s="42">
        <v>2</v>
      </c>
      <c r="E612" s="41">
        <v>6.1665587518885091E-5</v>
      </c>
    </row>
    <row r="613" spans="2:5" ht="15" customHeight="1">
      <c r="B613" s="85"/>
      <c r="C613" s="40" t="s">
        <v>23</v>
      </c>
      <c r="D613" s="39">
        <v>14</v>
      </c>
      <c r="E613" s="38">
        <v>4.316591126321956E-4</v>
      </c>
    </row>
    <row r="614" spans="2:5" ht="15" customHeight="1">
      <c r="B614" s="83" t="s">
        <v>53</v>
      </c>
      <c r="C614" s="43" t="s">
        <v>172</v>
      </c>
      <c r="D614" s="42">
        <v>4</v>
      </c>
      <c r="E614" s="41">
        <v>1.2333117503777018E-4</v>
      </c>
    </row>
    <row r="615" spans="2:5" ht="15" customHeight="1">
      <c r="B615" s="84"/>
      <c r="C615" s="43" t="s">
        <v>152</v>
      </c>
      <c r="D615" s="42">
        <v>6</v>
      </c>
      <c r="E615" s="41">
        <v>1.8499676255665526E-4</v>
      </c>
    </row>
    <row r="616" spans="2:5" ht="15" customHeight="1">
      <c r="B616" s="84"/>
      <c r="C616" s="43" t="s">
        <v>174</v>
      </c>
      <c r="D616" s="42">
        <v>2</v>
      </c>
      <c r="E616" s="41">
        <v>6.1665587518885091E-5</v>
      </c>
    </row>
    <row r="617" spans="2:5" ht="15" customHeight="1">
      <c r="B617" s="84"/>
      <c r="C617" s="43" t="s">
        <v>164</v>
      </c>
      <c r="D617" s="42">
        <v>2</v>
      </c>
      <c r="E617" s="41">
        <v>6.1665587518885091E-5</v>
      </c>
    </row>
    <row r="618" spans="2:5" ht="15" customHeight="1">
      <c r="B618" s="84"/>
      <c r="C618" s="43" t="s">
        <v>176</v>
      </c>
      <c r="D618" s="42">
        <v>5</v>
      </c>
      <c r="E618" s="41">
        <v>1.5416396879721272E-4</v>
      </c>
    </row>
    <row r="619" spans="2:5" ht="15" customHeight="1">
      <c r="B619" s="84"/>
      <c r="C619" s="43" t="s">
        <v>178</v>
      </c>
      <c r="D619" s="42">
        <v>6</v>
      </c>
      <c r="E619" s="41">
        <v>1.8499676255665526E-4</v>
      </c>
    </row>
    <row r="620" spans="2:5" ht="15" customHeight="1">
      <c r="B620" s="84"/>
      <c r="C620" s="43" t="s">
        <v>179</v>
      </c>
      <c r="D620" s="42">
        <v>6</v>
      </c>
      <c r="E620" s="41">
        <v>1.8499676255665526E-4</v>
      </c>
    </row>
    <row r="621" spans="2:5" ht="15" customHeight="1">
      <c r="B621" s="84"/>
      <c r="C621" s="43" t="s">
        <v>159</v>
      </c>
      <c r="D621" s="42">
        <v>5</v>
      </c>
      <c r="E621" s="41">
        <v>1.5416396879721272E-4</v>
      </c>
    </row>
    <row r="622" spans="2:5" ht="15" customHeight="1">
      <c r="B622" s="84"/>
      <c r="C622" s="43" t="s">
        <v>168</v>
      </c>
      <c r="D622" s="42">
        <v>3</v>
      </c>
      <c r="E622" s="41">
        <v>9.249838127832763E-5</v>
      </c>
    </row>
    <row r="623" spans="2:5" ht="15" customHeight="1">
      <c r="B623" s="84"/>
      <c r="C623" s="43" t="s">
        <v>158</v>
      </c>
      <c r="D623" s="42">
        <v>4</v>
      </c>
      <c r="E623" s="41">
        <v>1.2333117503777018E-4</v>
      </c>
    </row>
    <row r="624" spans="2:5" ht="15" customHeight="1">
      <c r="B624" s="84"/>
      <c r="C624" s="43" t="s">
        <v>180</v>
      </c>
      <c r="D624" s="42">
        <v>28</v>
      </c>
      <c r="E624" s="41">
        <v>8.633182252643912E-4</v>
      </c>
    </row>
    <row r="625" spans="2:5" ht="15" customHeight="1">
      <c r="B625" s="84"/>
      <c r="C625" s="43" t="s">
        <v>177</v>
      </c>
      <c r="D625" s="42">
        <v>1</v>
      </c>
      <c r="E625" s="41">
        <v>3.0832793759442546E-5</v>
      </c>
    </row>
    <row r="626" spans="2:5" ht="15" customHeight="1">
      <c r="B626" s="84"/>
      <c r="C626" s="43" t="s">
        <v>171</v>
      </c>
      <c r="D626" s="42">
        <v>2</v>
      </c>
      <c r="E626" s="41">
        <v>6.1665587518885091E-5</v>
      </c>
    </row>
    <row r="627" spans="2:5" ht="15" customHeight="1">
      <c r="B627" s="84"/>
      <c r="C627" s="43" t="s">
        <v>181</v>
      </c>
      <c r="D627" s="42">
        <v>17</v>
      </c>
      <c r="E627" s="41">
        <v>5.2415749391052319E-4</v>
      </c>
    </row>
    <row r="628" spans="2:5" ht="15" customHeight="1">
      <c r="B628" s="84"/>
      <c r="C628" s="43" t="s">
        <v>167</v>
      </c>
      <c r="D628" s="42">
        <v>3</v>
      </c>
      <c r="E628" s="41">
        <v>9.249838127832763E-5</v>
      </c>
    </row>
    <row r="629" spans="2:5" ht="15" customHeight="1">
      <c r="B629" s="84"/>
      <c r="C629" s="43" t="s">
        <v>163</v>
      </c>
      <c r="D629" s="42">
        <v>3</v>
      </c>
      <c r="E629" s="41">
        <v>9.249838127832763E-5</v>
      </c>
    </row>
    <row r="630" spans="2:5" ht="15" customHeight="1">
      <c r="B630" s="84"/>
      <c r="C630" s="43" t="s">
        <v>182</v>
      </c>
      <c r="D630" s="42">
        <v>31</v>
      </c>
      <c r="E630" s="41">
        <v>9.5581660654271879E-4</v>
      </c>
    </row>
    <row r="631" spans="2:5" ht="15" customHeight="1">
      <c r="B631" s="84"/>
      <c r="C631" s="43" t="s">
        <v>150</v>
      </c>
      <c r="D631" s="42">
        <v>2</v>
      </c>
      <c r="E631" s="41">
        <v>6.1665587518885091E-5</v>
      </c>
    </row>
    <row r="632" spans="2:5" ht="15" customHeight="1">
      <c r="B632" s="84"/>
      <c r="C632" s="43" t="s">
        <v>175</v>
      </c>
      <c r="D632" s="42">
        <v>1</v>
      </c>
      <c r="E632" s="41">
        <v>3.0832793759442546E-5</v>
      </c>
    </row>
    <row r="633" spans="2:5" ht="15" customHeight="1">
      <c r="B633" s="84"/>
      <c r="C633" s="43" t="s">
        <v>169</v>
      </c>
      <c r="D633" s="42">
        <v>12</v>
      </c>
      <c r="E633" s="41">
        <v>3.6999352511331052E-4</v>
      </c>
    </row>
    <row r="634" spans="2:5" ht="15" customHeight="1">
      <c r="B634" s="84"/>
      <c r="C634" s="43" t="s">
        <v>160</v>
      </c>
      <c r="D634" s="42">
        <v>1</v>
      </c>
      <c r="E634" s="41">
        <v>3.0832793759442546E-5</v>
      </c>
    </row>
    <row r="635" spans="2:5" ht="15" customHeight="1">
      <c r="B635" s="84"/>
      <c r="C635" s="43" t="s">
        <v>131</v>
      </c>
      <c r="D635" s="42">
        <v>4</v>
      </c>
      <c r="E635" s="41">
        <v>1.2333117503777018E-4</v>
      </c>
    </row>
    <row r="636" spans="2:5" ht="15" customHeight="1">
      <c r="B636" s="84"/>
      <c r="C636" s="43" t="s">
        <v>133</v>
      </c>
      <c r="D636" s="42">
        <v>3</v>
      </c>
      <c r="E636" s="41">
        <v>9.249838127832763E-5</v>
      </c>
    </row>
    <row r="637" spans="2:5" ht="15" customHeight="1">
      <c r="B637" s="84"/>
      <c r="C637" s="43" t="s">
        <v>141</v>
      </c>
      <c r="D637" s="42">
        <v>1</v>
      </c>
      <c r="E637" s="41">
        <v>3.0832793759442546E-5</v>
      </c>
    </row>
    <row r="638" spans="2:5" ht="15" customHeight="1">
      <c r="B638" s="84"/>
      <c r="C638" s="43" t="s">
        <v>144</v>
      </c>
      <c r="D638" s="42">
        <v>1</v>
      </c>
      <c r="E638" s="41">
        <v>3.0832793759442546E-5</v>
      </c>
    </row>
    <row r="639" spans="2:5" ht="15" customHeight="1">
      <c r="B639" s="84"/>
      <c r="C639" s="43" t="s">
        <v>155</v>
      </c>
      <c r="D639" s="42">
        <v>1</v>
      </c>
      <c r="E639" s="41">
        <v>3.0832793759442546E-5</v>
      </c>
    </row>
    <row r="640" spans="2:5" ht="15" customHeight="1">
      <c r="B640" s="84"/>
      <c r="C640" s="43" t="s">
        <v>138</v>
      </c>
      <c r="D640" s="42">
        <v>1</v>
      </c>
      <c r="E640" s="41">
        <v>3.0832793759442546E-5</v>
      </c>
    </row>
    <row r="641" spans="2:5" ht="15" customHeight="1">
      <c r="B641" s="84"/>
      <c r="C641" s="43" t="s">
        <v>173</v>
      </c>
      <c r="D641" s="42">
        <v>4</v>
      </c>
      <c r="E641" s="41">
        <v>1.2333117503777018E-4</v>
      </c>
    </row>
    <row r="642" spans="2:5" ht="15" customHeight="1">
      <c r="B642" s="84"/>
      <c r="C642" s="43" t="s">
        <v>154</v>
      </c>
      <c r="D642" s="42">
        <v>5</v>
      </c>
      <c r="E642" s="41">
        <v>1.5416396879721272E-4</v>
      </c>
    </row>
    <row r="643" spans="2:5" ht="15" customHeight="1">
      <c r="B643" s="84"/>
      <c r="C643" s="43" t="s">
        <v>162</v>
      </c>
      <c r="D643" s="42">
        <v>1</v>
      </c>
      <c r="E643" s="41">
        <v>3.0832793759442546E-5</v>
      </c>
    </row>
    <row r="644" spans="2:5" ht="15" customHeight="1">
      <c r="B644" s="84"/>
      <c r="C644" s="43" t="s">
        <v>166</v>
      </c>
      <c r="D644" s="42">
        <v>2</v>
      </c>
      <c r="E644" s="41">
        <v>6.1665587518885091E-5</v>
      </c>
    </row>
    <row r="645" spans="2:5" ht="15" customHeight="1">
      <c r="B645" s="84"/>
      <c r="C645" s="43" t="s">
        <v>145</v>
      </c>
      <c r="D645" s="42">
        <v>2</v>
      </c>
      <c r="E645" s="41">
        <v>6.1665587518885091E-5</v>
      </c>
    </row>
    <row r="646" spans="2:5" ht="15" customHeight="1">
      <c r="B646" s="85"/>
      <c r="C646" s="40" t="s">
        <v>23</v>
      </c>
      <c r="D646" s="39">
        <v>169</v>
      </c>
      <c r="E646" s="38">
        <v>5.2107421453457901E-3</v>
      </c>
    </row>
    <row r="647" spans="2:5" ht="15" customHeight="1">
      <c r="B647" s="83" t="s">
        <v>45</v>
      </c>
      <c r="C647" s="43" t="s">
        <v>172</v>
      </c>
      <c r="D647" s="42">
        <v>2</v>
      </c>
      <c r="E647" s="41">
        <v>6.1665587518885091E-5</v>
      </c>
    </row>
    <row r="648" spans="2:5" ht="15" customHeight="1">
      <c r="B648" s="84"/>
      <c r="C648" s="43" t="s">
        <v>148</v>
      </c>
      <c r="D648" s="42">
        <v>2</v>
      </c>
      <c r="E648" s="41">
        <v>6.1665587518885091E-5</v>
      </c>
    </row>
    <row r="649" spans="2:5" ht="15" customHeight="1">
      <c r="B649" s="84"/>
      <c r="C649" s="43" t="s">
        <v>142</v>
      </c>
      <c r="D649" s="42">
        <v>1</v>
      </c>
      <c r="E649" s="41">
        <v>3.0832793759442546E-5</v>
      </c>
    </row>
    <row r="650" spans="2:5" ht="15" customHeight="1">
      <c r="B650" s="84"/>
      <c r="C650" s="43" t="s">
        <v>136</v>
      </c>
      <c r="D650" s="42">
        <v>2</v>
      </c>
      <c r="E650" s="41">
        <v>6.1665587518885091E-5</v>
      </c>
    </row>
    <row r="651" spans="2:5" ht="15" customHeight="1">
      <c r="B651" s="84"/>
      <c r="C651" s="43" t="s">
        <v>140</v>
      </c>
      <c r="D651" s="42">
        <v>1</v>
      </c>
      <c r="E651" s="41">
        <v>3.0832793759442546E-5</v>
      </c>
    </row>
    <row r="652" spans="2:5" ht="15" customHeight="1">
      <c r="B652" s="84"/>
      <c r="C652" s="43" t="s">
        <v>174</v>
      </c>
      <c r="D652" s="42">
        <v>3</v>
      </c>
      <c r="E652" s="41">
        <v>9.249838127832763E-5</v>
      </c>
    </row>
    <row r="653" spans="2:5" ht="15" customHeight="1">
      <c r="B653" s="84"/>
      <c r="C653" s="43" t="s">
        <v>164</v>
      </c>
      <c r="D653" s="42">
        <v>1</v>
      </c>
      <c r="E653" s="41">
        <v>3.0832793759442546E-5</v>
      </c>
    </row>
    <row r="654" spans="2:5" ht="15" customHeight="1">
      <c r="B654" s="84"/>
      <c r="C654" s="43" t="s">
        <v>176</v>
      </c>
      <c r="D654" s="42">
        <v>4</v>
      </c>
      <c r="E654" s="41">
        <v>1.2333117503777018E-4</v>
      </c>
    </row>
    <row r="655" spans="2:5" ht="15" customHeight="1">
      <c r="B655" s="84"/>
      <c r="C655" s="43" t="s">
        <v>178</v>
      </c>
      <c r="D655" s="42">
        <v>1</v>
      </c>
      <c r="E655" s="41">
        <v>3.0832793759442546E-5</v>
      </c>
    </row>
    <row r="656" spans="2:5" ht="15" customHeight="1">
      <c r="B656" s="84"/>
      <c r="C656" s="43" t="s">
        <v>179</v>
      </c>
      <c r="D656" s="42">
        <v>10</v>
      </c>
      <c r="E656" s="41">
        <v>3.0832793759442544E-4</v>
      </c>
    </row>
    <row r="657" spans="2:5" ht="15" customHeight="1">
      <c r="B657" s="84"/>
      <c r="C657" s="43" t="s">
        <v>159</v>
      </c>
      <c r="D657" s="42">
        <v>3</v>
      </c>
      <c r="E657" s="41">
        <v>9.249838127832763E-5</v>
      </c>
    </row>
    <row r="658" spans="2:5" ht="15" customHeight="1">
      <c r="B658" s="84"/>
      <c r="C658" s="43" t="s">
        <v>135</v>
      </c>
      <c r="D658" s="42">
        <v>1</v>
      </c>
      <c r="E658" s="41">
        <v>3.0832793759442546E-5</v>
      </c>
    </row>
    <row r="659" spans="2:5" ht="15" customHeight="1">
      <c r="B659" s="84"/>
      <c r="C659" s="43" t="s">
        <v>180</v>
      </c>
      <c r="D659" s="42">
        <v>4</v>
      </c>
      <c r="E659" s="41">
        <v>1.2333117503777018E-4</v>
      </c>
    </row>
    <row r="660" spans="2:5" ht="15" customHeight="1">
      <c r="B660" s="84"/>
      <c r="C660" s="43" t="s">
        <v>177</v>
      </c>
      <c r="D660" s="42">
        <v>2</v>
      </c>
      <c r="E660" s="41">
        <v>6.1665587518885091E-5</v>
      </c>
    </row>
    <row r="661" spans="2:5" ht="15" customHeight="1">
      <c r="B661" s="84"/>
      <c r="C661" s="43" t="s">
        <v>165</v>
      </c>
      <c r="D661" s="42">
        <v>1</v>
      </c>
      <c r="E661" s="41">
        <v>3.0832793759442546E-5</v>
      </c>
    </row>
    <row r="662" spans="2:5" ht="15" customHeight="1">
      <c r="B662" s="84"/>
      <c r="C662" s="43" t="s">
        <v>181</v>
      </c>
      <c r="D662" s="42">
        <v>5</v>
      </c>
      <c r="E662" s="41">
        <v>1.5416396879721272E-4</v>
      </c>
    </row>
    <row r="663" spans="2:5" ht="15" customHeight="1">
      <c r="B663" s="84"/>
      <c r="C663" s="43" t="s">
        <v>167</v>
      </c>
      <c r="D663" s="42">
        <v>29</v>
      </c>
      <c r="E663" s="41">
        <v>8.9415101902383376E-4</v>
      </c>
    </row>
    <row r="664" spans="2:5" ht="15" customHeight="1">
      <c r="B664" s="84"/>
      <c r="C664" s="43" t="s">
        <v>163</v>
      </c>
      <c r="D664" s="42">
        <v>3</v>
      </c>
      <c r="E664" s="41">
        <v>9.249838127832763E-5</v>
      </c>
    </row>
    <row r="665" spans="2:5" ht="15" customHeight="1">
      <c r="B665" s="84"/>
      <c r="C665" s="43" t="s">
        <v>182</v>
      </c>
      <c r="D665" s="42">
        <v>15</v>
      </c>
      <c r="E665" s="41">
        <v>4.6249190639163816E-4</v>
      </c>
    </row>
    <row r="666" spans="2:5" ht="15" customHeight="1">
      <c r="B666" s="84"/>
      <c r="C666" s="43" t="s">
        <v>134</v>
      </c>
      <c r="D666" s="42">
        <v>1</v>
      </c>
      <c r="E666" s="41">
        <v>3.0832793759442546E-5</v>
      </c>
    </row>
    <row r="667" spans="2:5" ht="15" customHeight="1">
      <c r="B667" s="84"/>
      <c r="C667" s="43" t="s">
        <v>150</v>
      </c>
      <c r="D667" s="42">
        <v>1</v>
      </c>
      <c r="E667" s="41">
        <v>3.0832793759442546E-5</v>
      </c>
    </row>
    <row r="668" spans="2:5" ht="15" customHeight="1">
      <c r="B668" s="84"/>
      <c r="C668" s="43" t="s">
        <v>157</v>
      </c>
      <c r="D668" s="42">
        <v>5</v>
      </c>
      <c r="E668" s="41">
        <v>1.5416396879721272E-4</v>
      </c>
    </row>
    <row r="669" spans="2:5" ht="15" customHeight="1">
      <c r="B669" s="84"/>
      <c r="C669" s="43" t="s">
        <v>169</v>
      </c>
      <c r="D669" s="42">
        <v>1</v>
      </c>
      <c r="E669" s="41">
        <v>3.0832793759442546E-5</v>
      </c>
    </row>
    <row r="670" spans="2:5" ht="15" customHeight="1">
      <c r="B670" s="84"/>
      <c r="C670" s="43" t="s">
        <v>131</v>
      </c>
      <c r="D670" s="42">
        <v>1</v>
      </c>
      <c r="E670" s="41">
        <v>3.0832793759442546E-5</v>
      </c>
    </row>
    <row r="671" spans="2:5" ht="15" customHeight="1">
      <c r="B671" s="84"/>
      <c r="C671" s="43" t="s">
        <v>147</v>
      </c>
      <c r="D671" s="42">
        <v>1</v>
      </c>
      <c r="E671" s="41">
        <v>3.0832793759442546E-5</v>
      </c>
    </row>
    <row r="672" spans="2:5" ht="15" customHeight="1">
      <c r="B672" s="84"/>
      <c r="C672" s="43" t="s">
        <v>153</v>
      </c>
      <c r="D672" s="42">
        <v>2</v>
      </c>
      <c r="E672" s="41">
        <v>6.1665587518885091E-5</v>
      </c>
    </row>
    <row r="673" spans="2:5" ht="15" customHeight="1">
      <c r="B673" s="84"/>
      <c r="C673" s="43" t="s">
        <v>149</v>
      </c>
      <c r="D673" s="42">
        <v>1</v>
      </c>
      <c r="E673" s="41">
        <v>3.0832793759442546E-5</v>
      </c>
    </row>
    <row r="674" spans="2:5" ht="15" customHeight="1">
      <c r="B674" s="84"/>
      <c r="C674" s="43" t="s">
        <v>146</v>
      </c>
      <c r="D674" s="42">
        <v>1</v>
      </c>
      <c r="E674" s="41">
        <v>3.0832793759442546E-5</v>
      </c>
    </row>
    <row r="675" spans="2:5" ht="15" customHeight="1">
      <c r="B675" s="84"/>
      <c r="C675" s="43" t="s">
        <v>155</v>
      </c>
      <c r="D675" s="42">
        <v>1</v>
      </c>
      <c r="E675" s="41">
        <v>3.0832793759442546E-5</v>
      </c>
    </row>
    <row r="676" spans="2:5" ht="15" customHeight="1">
      <c r="B676" s="84"/>
      <c r="C676" s="43" t="s">
        <v>173</v>
      </c>
      <c r="D676" s="42">
        <v>6</v>
      </c>
      <c r="E676" s="41">
        <v>1.8499676255665526E-4</v>
      </c>
    </row>
    <row r="677" spans="2:5" ht="15" customHeight="1">
      <c r="B677" s="84"/>
      <c r="C677" s="43" t="s">
        <v>161</v>
      </c>
      <c r="D677" s="42">
        <v>1</v>
      </c>
      <c r="E677" s="41">
        <v>3.0832793759442546E-5</v>
      </c>
    </row>
    <row r="678" spans="2:5" ht="15" customHeight="1">
      <c r="B678" s="85"/>
      <c r="C678" s="40" t="s">
        <v>23</v>
      </c>
      <c r="D678" s="39">
        <v>112</v>
      </c>
      <c r="E678" s="38">
        <v>3.4532729010575648E-3</v>
      </c>
    </row>
    <row r="679" spans="2:5" ht="15" customHeight="1">
      <c r="B679" s="83" t="s">
        <v>51</v>
      </c>
      <c r="C679" s="43" t="s">
        <v>172</v>
      </c>
      <c r="D679" s="42">
        <v>2</v>
      </c>
      <c r="E679" s="41">
        <v>6.1665587518885091E-5</v>
      </c>
    </row>
    <row r="680" spans="2:5" ht="15" customHeight="1">
      <c r="B680" s="84"/>
      <c r="C680" s="43" t="s">
        <v>152</v>
      </c>
      <c r="D680" s="42">
        <v>10</v>
      </c>
      <c r="E680" s="41">
        <v>3.0832793759442544E-4</v>
      </c>
    </row>
    <row r="681" spans="2:5" ht="15" customHeight="1">
      <c r="B681" s="84"/>
      <c r="C681" s="43" t="s">
        <v>136</v>
      </c>
      <c r="D681" s="42">
        <v>1</v>
      </c>
      <c r="E681" s="41">
        <v>3.0832793759442546E-5</v>
      </c>
    </row>
    <row r="682" spans="2:5" ht="15" customHeight="1">
      <c r="B682" s="84"/>
      <c r="C682" s="43" t="s">
        <v>174</v>
      </c>
      <c r="D682" s="42">
        <v>16</v>
      </c>
      <c r="E682" s="41">
        <v>4.9332470015108073E-4</v>
      </c>
    </row>
    <row r="683" spans="2:5" ht="15" customHeight="1">
      <c r="B683" s="84"/>
      <c r="C683" s="43" t="s">
        <v>127</v>
      </c>
      <c r="D683" s="42">
        <v>1</v>
      </c>
      <c r="E683" s="41">
        <v>3.0832793759442546E-5</v>
      </c>
    </row>
    <row r="684" spans="2:5" ht="15" customHeight="1">
      <c r="B684" s="84"/>
      <c r="C684" s="43" t="s">
        <v>176</v>
      </c>
      <c r="D684" s="42">
        <v>4</v>
      </c>
      <c r="E684" s="41">
        <v>1.2333117503777018E-4</v>
      </c>
    </row>
    <row r="685" spans="2:5" ht="15" customHeight="1">
      <c r="B685" s="84"/>
      <c r="C685" s="43" t="s">
        <v>178</v>
      </c>
      <c r="D685" s="42">
        <v>3</v>
      </c>
      <c r="E685" s="41">
        <v>9.249838127832763E-5</v>
      </c>
    </row>
    <row r="686" spans="2:5" ht="15" customHeight="1">
      <c r="B686" s="84"/>
      <c r="C686" s="43" t="s">
        <v>179</v>
      </c>
      <c r="D686" s="42">
        <v>3</v>
      </c>
      <c r="E686" s="41">
        <v>9.249838127832763E-5</v>
      </c>
    </row>
    <row r="687" spans="2:5" ht="15" customHeight="1">
      <c r="B687" s="84"/>
      <c r="C687" s="43" t="s">
        <v>159</v>
      </c>
      <c r="D687" s="42">
        <v>3</v>
      </c>
      <c r="E687" s="41">
        <v>9.249838127832763E-5</v>
      </c>
    </row>
    <row r="688" spans="2:5" ht="15" customHeight="1">
      <c r="B688" s="84"/>
      <c r="C688" s="43" t="s">
        <v>168</v>
      </c>
      <c r="D688" s="42">
        <v>2</v>
      </c>
      <c r="E688" s="41">
        <v>6.1665587518885091E-5</v>
      </c>
    </row>
    <row r="689" spans="2:5" ht="15" customHeight="1">
      <c r="B689" s="84"/>
      <c r="C689" s="43" t="s">
        <v>132</v>
      </c>
      <c r="D689" s="42">
        <v>1</v>
      </c>
      <c r="E689" s="41">
        <v>3.0832793759442546E-5</v>
      </c>
    </row>
    <row r="690" spans="2:5" ht="15" customHeight="1">
      <c r="B690" s="84"/>
      <c r="C690" s="43" t="s">
        <v>158</v>
      </c>
      <c r="D690" s="42">
        <v>2</v>
      </c>
      <c r="E690" s="41">
        <v>6.1665587518885091E-5</v>
      </c>
    </row>
    <row r="691" spans="2:5" ht="15" customHeight="1">
      <c r="B691" s="84"/>
      <c r="C691" s="43" t="s">
        <v>180</v>
      </c>
      <c r="D691" s="42">
        <v>4</v>
      </c>
      <c r="E691" s="41">
        <v>1.2333117503777018E-4</v>
      </c>
    </row>
    <row r="692" spans="2:5" ht="15" customHeight="1">
      <c r="B692" s="84"/>
      <c r="C692" s="43" t="s">
        <v>177</v>
      </c>
      <c r="D692" s="42">
        <v>1</v>
      </c>
      <c r="E692" s="41">
        <v>3.0832793759442546E-5</v>
      </c>
    </row>
    <row r="693" spans="2:5" ht="15" customHeight="1">
      <c r="B693" s="84"/>
      <c r="C693" s="43" t="s">
        <v>171</v>
      </c>
      <c r="D693" s="42">
        <v>7</v>
      </c>
      <c r="E693" s="41">
        <v>2.158295563160978E-4</v>
      </c>
    </row>
    <row r="694" spans="2:5" ht="15" customHeight="1">
      <c r="B694" s="84"/>
      <c r="C694" s="43" t="s">
        <v>181</v>
      </c>
      <c r="D694" s="42">
        <v>19</v>
      </c>
      <c r="E694" s="41">
        <v>5.8582308142940832E-4</v>
      </c>
    </row>
    <row r="695" spans="2:5" ht="15" customHeight="1">
      <c r="B695" s="84"/>
      <c r="C695" s="43" t="s">
        <v>167</v>
      </c>
      <c r="D695" s="42">
        <v>1</v>
      </c>
      <c r="E695" s="41">
        <v>3.0832793759442546E-5</v>
      </c>
    </row>
    <row r="696" spans="2:5" ht="15" customHeight="1">
      <c r="B696" s="84"/>
      <c r="C696" s="43" t="s">
        <v>163</v>
      </c>
      <c r="D696" s="42">
        <v>3</v>
      </c>
      <c r="E696" s="41">
        <v>9.249838127832763E-5</v>
      </c>
    </row>
    <row r="697" spans="2:5" ht="15" customHeight="1">
      <c r="B697" s="84"/>
      <c r="C697" s="43" t="s">
        <v>182</v>
      </c>
      <c r="D697" s="42">
        <v>5</v>
      </c>
      <c r="E697" s="41">
        <v>1.5416396879721272E-4</v>
      </c>
    </row>
    <row r="698" spans="2:5" ht="15" customHeight="1">
      <c r="B698" s="84"/>
      <c r="C698" s="43" t="s">
        <v>137</v>
      </c>
      <c r="D698" s="42">
        <v>1</v>
      </c>
      <c r="E698" s="41">
        <v>3.0832793759442546E-5</v>
      </c>
    </row>
    <row r="699" spans="2:5" ht="15" customHeight="1">
      <c r="B699" s="84"/>
      <c r="C699" s="43" t="s">
        <v>134</v>
      </c>
      <c r="D699" s="42">
        <v>1</v>
      </c>
      <c r="E699" s="41">
        <v>3.0832793759442546E-5</v>
      </c>
    </row>
    <row r="700" spans="2:5" ht="15" customHeight="1">
      <c r="B700" s="84"/>
      <c r="C700" s="43" t="s">
        <v>150</v>
      </c>
      <c r="D700" s="42">
        <v>3</v>
      </c>
      <c r="E700" s="41">
        <v>9.249838127832763E-5</v>
      </c>
    </row>
    <row r="701" spans="2:5" ht="15" customHeight="1">
      <c r="B701" s="84"/>
      <c r="C701" s="43" t="s">
        <v>175</v>
      </c>
      <c r="D701" s="42">
        <v>7</v>
      </c>
      <c r="E701" s="41">
        <v>2.158295563160978E-4</v>
      </c>
    </row>
    <row r="702" spans="2:5" ht="15" customHeight="1">
      <c r="B702" s="84"/>
      <c r="C702" s="43" t="s">
        <v>143</v>
      </c>
      <c r="D702" s="42">
        <v>1</v>
      </c>
      <c r="E702" s="41">
        <v>3.0832793759442546E-5</v>
      </c>
    </row>
    <row r="703" spans="2:5" ht="15" customHeight="1">
      <c r="B703" s="84"/>
      <c r="C703" s="43" t="s">
        <v>169</v>
      </c>
      <c r="D703" s="42">
        <v>1</v>
      </c>
      <c r="E703" s="41">
        <v>3.0832793759442546E-5</v>
      </c>
    </row>
    <row r="704" spans="2:5" ht="15" customHeight="1">
      <c r="B704" s="84"/>
      <c r="C704" s="43" t="s">
        <v>160</v>
      </c>
      <c r="D704" s="42">
        <v>2</v>
      </c>
      <c r="E704" s="41">
        <v>6.1665587518885091E-5</v>
      </c>
    </row>
    <row r="705" spans="2:5" ht="15" customHeight="1">
      <c r="B705" s="84"/>
      <c r="C705" s="43" t="s">
        <v>131</v>
      </c>
      <c r="D705" s="42">
        <v>1</v>
      </c>
      <c r="E705" s="41">
        <v>3.0832793759442546E-5</v>
      </c>
    </row>
    <row r="706" spans="2:5" ht="15" customHeight="1">
      <c r="B706" s="84"/>
      <c r="C706" s="43" t="s">
        <v>130</v>
      </c>
      <c r="D706" s="42">
        <v>2</v>
      </c>
      <c r="E706" s="41">
        <v>6.1665587518885091E-5</v>
      </c>
    </row>
    <row r="707" spans="2:5" ht="15" customHeight="1">
      <c r="B707" s="84"/>
      <c r="C707" s="43" t="s">
        <v>153</v>
      </c>
      <c r="D707" s="42">
        <v>3</v>
      </c>
      <c r="E707" s="41">
        <v>9.249838127832763E-5</v>
      </c>
    </row>
    <row r="708" spans="2:5" ht="15" customHeight="1">
      <c r="B708" s="84"/>
      <c r="C708" s="43" t="s">
        <v>141</v>
      </c>
      <c r="D708" s="42">
        <v>1</v>
      </c>
      <c r="E708" s="41">
        <v>3.0832793759442546E-5</v>
      </c>
    </row>
    <row r="709" spans="2:5" ht="15" customHeight="1">
      <c r="B709" s="84"/>
      <c r="C709" s="43" t="s">
        <v>144</v>
      </c>
      <c r="D709" s="42">
        <v>1</v>
      </c>
      <c r="E709" s="41">
        <v>3.0832793759442546E-5</v>
      </c>
    </row>
    <row r="710" spans="2:5" ht="15" customHeight="1">
      <c r="B710" s="84"/>
      <c r="C710" s="43" t="s">
        <v>173</v>
      </c>
      <c r="D710" s="42">
        <v>10</v>
      </c>
      <c r="E710" s="41">
        <v>3.0832793759442544E-4</v>
      </c>
    </row>
    <row r="711" spans="2:5" ht="15" customHeight="1">
      <c r="B711" s="84"/>
      <c r="C711" s="43" t="s">
        <v>162</v>
      </c>
      <c r="D711" s="42">
        <v>1</v>
      </c>
      <c r="E711" s="41">
        <v>3.0832793759442546E-5</v>
      </c>
    </row>
    <row r="712" spans="2:5" ht="15" customHeight="1">
      <c r="B712" s="84"/>
      <c r="C712" s="43" t="s">
        <v>161</v>
      </c>
      <c r="D712" s="42">
        <v>17</v>
      </c>
      <c r="E712" s="41">
        <v>5.2415749391052319E-4</v>
      </c>
    </row>
    <row r="713" spans="2:5" ht="15" customHeight="1">
      <c r="B713" s="84"/>
      <c r="C713" s="43" t="s">
        <v>166</v>
      </c>
      <c r="D713" s="42">
        <v>3</v>
      </c>
      <c r="E713" s="41">
        <v>9.249838127832763E-5</v>
      </c>
    </row>
    <row r="714" spans="2:5" ht="15" customHeight="1">
      <c r="B714" s="84"/>
      <c r="C714" s="43" t="s">
        <v>145</v>
      </c>
      <c r="D714" s="42">
        <v>1</v>
      </c>
      <c r="E714" s="41">
        <v>3.0832793759442546E-5</v>
      </c>
    </row>
    <row r="715" spans="2:5" ht="15" customHeight="1">
      <c r="B715" s="85"/>
      <c r="C715" s="40" t="s">
        <v>23</v>
      </c>
      <c r="D715" s="39">
        <v>144</v>
      </c>
      <c r="E715" s="38">
        <v>4.439922301359726E-3</v>
      </c>
    </row>
    <row r="716" spans="2:5" ht="15" customHeight="1">
      <c r="B716" s="83" t="s">
        <v>46</v>
      </c>
      <c r="C716" s="43" t="s">
        <v>172</v>
      </c>
      <c r="D716" s="42">
        <v>2</v>
      </c>
      <c r="E716" s="41">
        <v>6.1665587518885091E-5</v>
      </c>
    </row>
    <row r="717" spans="2:5" ht="15" customHeight="1">
      <c r="B717" s="84"/>
      <c r="C717" s="43" t="s">
        <v>152</v>
      </c>
      <c r="D717" s="42">
        <v>4</v>
      </c>
      <c r="E717" s="41">
        <v>1.2333117503777018E-4</v>
      </c>
    </row>
    <row r="718" spans="2:5" ht="15" customHeight="1">
      <c r="B718" s="84"/>
      <c r="C718" s="43" t="s">
        <v>136</v>
      </c>
      <c r="D718" s="42">
        <v>2</v>
      </c>
      <c r="E718" s="41">
        <v>6.1665587518885091E-5</v>
      </c>
    </row>
    <row r="719" spans="2:5" ht="15" customHeight="1">
      <c r="B719" s="84"/>
      <c r="C719" s="43" t="s">
        <v>170</v>
      </c>
      <c r="D719" s="42">
        <v>1</v>
      </c>
      <c r="E719" s="41">
        <v>3.0832793759442546E-5</v>
      </c>
    </row>
    <row r="720" spans="2:5" ht="15" customHeight="1">
      <c r="B720" s="84"/>
      <c r="C720" s="43" t="s">
        <v>156</v>
      </c>
      <c r="D720" s="42">
        <v>1</v>
      </c>
      <c r="E720" s="41">
        <v>3.0832793759442546E-5</v>
      </c>
    </row>
    <row r="721" spans="2:5" ht="15" customHeight="1">
      <c r="B721" s="84"/>
      <c r="C721" s="43" t="s">
        <v>174</v>
      </c>
      <c r="D721" s="42">
        <v>2</v>
      </c>
      <c r="E721" s="41">
        <v>6.1665587518885091E-5</v>
      </c>
    </row>
    <row r="722" spans="2:5" ht="15" customHeight="1">
      <c r="B722" s="84"/>
      <c r="C722" s="43" t="s">
        <v>176</v>
      </c>
      <c r="D722" s="42">
        <v>3</v>
      </c>
      <c r="E722" s="41">
        <v>9.249838127832763E-5</v>
      </c>
    </row>
    <row r="723" spans="2:5" ht="15" customHeight="1">
      <c r="B723" s="84"/>
      <c r="C723" s="43" t="s">
        <v>178</v>
      </c>
      <c r="D723" s="42">
        <v>3</v>
      </c>
      <c r="E723" s="41">
        <v>9.249838127832763E-5</v>
      </c>
    </row>
    <row r="724" spans="2:5" ht="15" customHeight="1">
      <c r="B724" s="84"/>
      <c r="C724" s="43" t="s">
        <v>179</v>
      </c>
      <c r="D724" s="42">
        <v>4</v>
      </c>
      <c r="E724" s="41">
        <v>1.2333117503777018E-4</v>
      </c>
    </row>
    <row r="725" spans="2:5" ht="15" customHeight="1">
      <c r="B725" s="84"/>
      <c r="C725" s="43" t="s">
        <v>159</v>
      </c>
      <c r="D725" s="42">
        <v>6</v>
      </c>
      <c r="E725" s="41">
        <v>1.8499676255665526E-4</v>
      </c>
    </row>
    <row r="726" spans="2:5" ht="15" customHeight="1">
      <c r="B726" s="84"/>
      <c r="C726" s="43" t="s">
        <v>177</v>
      </c>
      <c r="D726" s="42">
        <v>4</v>
      </c>
      <c r="E726" s="41">
        <v>1.2333117503777018E-4</v>
      </c>
    </row>
    <row r="727" spans="2:5" ht="15" customHeight="1">
      <c r="B727" s="84"/>
      <c r="C727" s="43" t="s">
        <v>181</v>
      </c>
      <c r="D727" s="42">
        <v>12</v>
      </c>
      <c r="E727" s="41">
        <v>3.6999352511331052E-4</v>
      </c>
    </row>
    <row r="728" spans="2:5" ht="15" customHeight="1">
      <c r="B728" s="84"/>
      <c r="C728" s="43" t="s">
        <v>167</v>
      </c>
      <c r="D728" s="42">
        <v>3</v>
      </c>
      <c r="E728" s="41">
        <v>9.249838127832763E-5</v>
      </c>
    </row>
    <row r="729" spans="2:5" ht="15" customHeight="1">
      <c r="B729" s="84"/>
      <c r="C729" s="43" t="s">
        <v>163</v>
      </c>
      <c r="D729" s="42">
        <v>3</v>
      </c>
      <c r="E729" s="41">
        <v>9.249838127832763E-5</v>
      </c>
    </row>
    <row r="730" spans="2:5" ht="15" customHeight="1">
      <c r="B730" s="84"/>
      <c r="C730" s="43" t="s">
        <v>182</v>
      </c>
      <c r="D730" s="42">
        <v>17</v>
      </c>
      <c r="E730" s="41">
        <v>5.2415749391052319E-4</v>
      </c>
    </row>
    <row r="731" spans="2:5" ht="15" customHeight="1">
      <c r="B731" s="84"/>
      <c r="C731" s="43" t="s">
        <v>137</v>
      </c>
      <c r="D731" s="42">
        <v>1</v>
      </c>
      <c r="E731" s="41">
        <v>3.0832793759442546E-5</v>
      </c>
    </row>
    <row r="732" spans="2:5" ht="15" customHeight="1">
      <c r="B732" s="84"/>
      <c r="C732" s="43" t="s">
        <v>175</v>
      </c>
      <c r="D732" s="42">
        <v>11</v>
      </c>
      <c r="E732" s="41">
        <v>3.3916073135386795E-4</v>
      </c>
    </row>
    <row r="733" spans="2:5" ht="15" customHeight="1">
      <c r="B733" s="84"/>
      <c r="C733" s="43" t="s">
        <v>157</v>
      </c>
      <c r="D733" s="42">
        <v>1</v>
      </c>
      <c r="E733" s="41">
        <v>3.0832793759442546E-5</v>
      </c>
    </row>
    <row r="734" spans="2:5" ht="15" customHeight="1">
      <c r="B734" s="84"/>
      <c r="C734" s="43" t="s">
        <v>169</v>
      </c>
      <c r="D734" s="42">
        <v>6</v>
      </c>
      <c r="E734" s="41">
        <v>1.8499676255665526E-4</v>
      </c>
    </row>
    <row r="735" spans="2:5" ht="15" customHeight="1">
      <c r="B735" s="84"/>
      <c r="C735" s="43" t="s">
        <v>160</v>
      </c>
      <c r="D735" s="42">
        <v>2</v>
      </c>
      <c r="E735" s="41">
        <v>6.1665587518885091E-5</v>
      </c>
    </row>
    <row r="736" spans="2:5" ht="15" customHeight="1">
      <c r="B736" s="84"/>
      <c r="C736" s="43" t="s">
        <v>153</v>
      </c>
      <c r="D736" s="42">
        <v>11</v>
      </c>
      <c r="E736" s="41">
        <v>3.3916073135386795E-4</v>
      </c>
    </row>
    <row r="737" spans="2:5" ht="15" customHeight="1">
      <c r="B737" s="84"/>
      <c r="C737" s="43" t="s">
        <v>173</v>
      </c>
      <c r="D737" s="42">
        <v>3</v>
      </c>
      <c r="E737" s="41">
        <v>9.249838127832763E-5</v>
      </c>
    </row>
    <row r="738" spans="2:5" ht="15" customHeight="1">
      <c r="B738" s="84"/>
      <c r="C738" s="43" t="s">
        <v>166</v>
      </c>
      <c r="D738" s="42">
        <v>12</v>
      </c>
      <c r="E738" s="41">
        <v>3.6999352511331052E-4</v>
      </c>
    </row>
    <row r="739" spans="2:5" ht="15" customHeight="1">
      <c r="B739" s="84"/>
      <c r="C739" s="43" t="s">
        <v>145</v>
      </c>
      <c r="D739" s="42">
        <v>2</v>
      </c>
      <c r="E739" s="41">
        <v>6.1665587518885091E-5</v>
      </c>
    </row>
    <row r="740" spans="2:5" ht="15" customHeight="1">
      <c r="B740" s="85"/>
      <c r="C740" s="40" t="s">
        <v>23</v>
      </c>
      <c r="D740" s="39">
        <v>116</v>
      </c>
      <c r="E740" s="38">
        <v>3.576604076095335E-3</v>
      </c>
    </row>
    <row r="741" spans="2:5" ht="15" customHeight="1">
      <c r="B741" s="83" t="s">
        <v>27</v>
      </c>
      <c r="C741" s="43" t="s">
        <v>165</v>
      </c>
      <c r="D741" s="42">
        <v>1</v>
      </c>
      <c r="E741" s="41">
        <v>3.0832793759442546E-5</v>
      </c>
    </row>
    <row r="742" spans="2:5" ht="15" customHeight="1">
      <c r="B742" s="84"/>
      <c r="C742" s="43" t="s">
        <v>167</v>
      </c>
      <c r="D742" s="42">
        <v>2</v>
      </c>
      <c r="E742" s="41">
        <v>6.1665587518885091E-5</v>
      </c>
    </row>
    <row r="743" spans="2:5" ht="15" customHeight="1">
      <c r="B743" s="84"/>
      <c r="C743" s="43" t="s">
        <v>151</v>
      </c>
      <c r="D743" s="42">
        <v>1</v>
      </c>
      <c r="E743" s="41">
        <v>3.0832793759442546E-5</v>
      </c>
    </row>
    <row r="744" spans="2:5" ht="15" customHeight="1">
      <c r="B744" s="85"/>
      <c r="C744" s="40" t="s">
        <v>23</v>
      </c>
      <c r="D744" s="39">
        <v>4</v>
      </c>
      <c r="E744" s="38">
        <v>1.2333117503777018E-4</v>
      </c>
    </row>
    <row r="745" spans="2:5" ht="15" customHeight="1">
      <c r="B745" s="83" t="s">
        <v>48</v>
      </c>
      <c r="C745" s="43" t="s">
        <v>172</v>
      </c>
      <c r="D745" s="42">
        <v>1</v>
      </c>
      <c r="E745" s="41">
        <v>3.0832793759442546E-5</v>
      </c>
    </row>
    <row r="746" spans="2:5" ht="15" customHeight="1">
      <c r="B746" s="84"/>
      <c r="C746" s="43" t="s">
        <v>174</v>
      </c>
      <c r="D746" s="42">
        <v>22</v>
      </c>
      <c r="E746" s="41">
        <v>6.7832146270773591E-4</v>
      </c>
    </row>
    <row r="747" spans="2:5" ht="15" customHeight="1">
      <c r="B747" s="84"/>
      <c r="C747" s="43" t="s">
        <v>127</v>
      </c>
      <c r="D747" s="42">
        <v>1</v>
      </c>
      <c r="E747" s="41">
        <v>3.0832793759442546E-5</v>
      </c>
    </row>
    <row r="748" spans="2:5" ht="15" customHeight="1">
      <c r="B748" s="84"/>
      <c r="C748" s="43" t="s">
        <v>164</v>
      </c>
      <c r="D748" s="42">
        <v>3</v>
      </c>
      <c r="E748" s="41">
        <v>9.249838127832763E-5</v>
      </c>
    </row>
    <row r="749" spans="2:5" ht="15" customHeight="1">
      <c r="B749" s="84"/>
      <c r="C749" s="43" t="s">
        <v>176</v>
      </c>
      <c r="D749" s="42">
        <v>1</v>
      </c>
      <c r="E749" s="41">
        <v>3.0832793759442546E-5</v>
      </c>
    </row>
    <row r="750" spans="2:5" ht="15" customHeight="1">
      <c r="B750" s="84"/>
      <c r="C750" s="43" t="s">
        <v>178</v>
      </c>
      <c r="D750" s="42">
        <v>10</v>
      </c>
      <c r="E750" s="41">
        <v>3.0832793759442544E-4</v>
      </c>
    </row>
    <row r="751" spans="2:5" ht="15" customHeight="1">
      <c r="B751" s="84"/>
      <c r="C751" s="43" t="s">
        <v>179</v>
      </c>
      <c r="D751" s="42">
        <v>3</v>
      </c>
      <c r="E751" s="41">
        <v>9.249838127832763E-5</v>
      </c>
    </row>
    <row r="752" spans="2:5" ht="15" customHeight="1">
      <c r="B752" s="84"/>
      <c r="C752" s="43" t="s">
        <v>159</v>
      </c>
      <c r="D752" s="42">
        <v>2</v>
      </c>
      <c r="E752" s="41">
        <v>6.1665587518885091E-5</v>
      </c>
    </row>
    <row r="753" spans="2:5" ht="15" customHeight="1">
      <c r="B753" s="84"/>
      <c r="C753" s="43" t="s">
        <v>168</v>
      </c>
      <c r="D753" s="42">
        <v>1</v>
      </c>
      <c r="E753" s="41">
        <v>3.0832793759442546E-5</v>
      </c>
    </row>
    <row r="754" spans="2:5" ht="15" customHeight="1">
      <c r="B754" s="84"/>
      <c r="C754" s="43" t="s">
        <v>158</v>
      </c>
      <c r="D754" s="42">
        <v>1</v>
      </c>
      <c r="E754" s="41">
        <v>3.0832793759442546E-5</v>
      </c>
    </row>
    <row r="755" spans="2:5" ht="15" customHeight="1">
      <c r="B755" s="84"/>
      <c r="C755" s="43" t="s">
        <v>177</v>
      </c>
      <c r="D755" s="42">
        <v>4</v>
      </c>
      <c r="E755" s="41">
        <v>1.2333117503777018E-4</v>
      </c>
    </row>
    <row r="756" spans="2:5" ht="15" customHeight="1">
      <c r="B756" s="84"/>
      <c r="C756" s="43" t="s">
        <v>181</v>
      </c>
      <c r="D756" s="42">
        <v>14</v>
      </c>
      <c r="E756" s="41">
        <v>4.316591126321956E-4</v>
      </c>
    </row>
    <row r="757" spans="2:5" ht="15" customHeight="1">
      <c r="B757" s="84"/>
      <c r="C757" s="43" t="s">
        <v>182</v>
      </c>
      <c r="D757" s="42">
        <v>14</v>
      </c>
      <c r="E757" s="41">
        <v>4.316591126321956E-4</v>
      </c>
    </row>
    <row r="758" spans="2:5" ht="15" customHeight="1">
      <c r="B758" s="84"/>
      <c r="C758" s="43" t="s">
        <v>137</v>
      </c>
      <c r="D758" s="42">
        <v>1</v>
      </c>
      <c r="E758" s="41">
        <v>3.0832793759442546E-5</v>
      </c>
    </row>
    <row r="759" spans="2:5" ht="15" customHeight="1">
      <c r="B759" s="84"/>
      <c r="C759" s="43" t="s">
        <v>175</v>
      </c>
      <c r="D759" s="42">
        <v>4</v>
      </c>
      <c r="E759" s="41">
        <v>1.2333117503777018E-4</v>
      </c>
    </row>
    <row r="760" spans="2:5" ht="15" customHeight="1">
      <c r="B760" s="84"/>
      <c r="C760" s="43" t="s">
        <v>157</v>
      </c>
      <c r="D760" s="42">
        <v>4</v>
      </c>
      <c r="E760" s="41">
        <v>1.2333117503777018E-4</v>
      </c>
    </row>
    <row r="761" spans="2:5" ht="15" customHeight="1">
      <c r="B761" s="84"/>
      <c r="C761" s="43" t="s">
        <v>143</v>
      </c>
      <c r="D761" s="42">
        <v>1</v>
      </c>
      <c r="E761" s="41">
        <v>3.0832793759442546E-5</v>
      </c>
    </row>
    <row r="762" spans="2:5" ht="15" customHeight="1">
      <c r="B762" s="84"/>
      <c r="C762" s="43" t="s">
        <v>169</v>
      </c>
      <c r="D762" s="42">
        <v>3</v>
      </c>
      <c r="E762" s="41">
        <v>9.249838127832763E-5</v>
      </c>
    </row>
    <row r="763" spans="2:5" ht="15" customHeight="1">
      <c r="B763" s="84"/>
      <c r="C763" s="43" t="s">
        <v>160</v>
      </c>
      <c r="D763" s="42">
        <v>1</v>
      </c>
      <c r="E763" s="41">
        <v>3.0832793759442546E-5</v>
      </c>
    </row>
    <row r="764" spans="2:5" ht="15" customHeight="1">
      <c r="B764" s="84"/>
      <c r="C764" s="43" t="s">
        <v>173</v>
      </c>
      <c r="D764" s="42">
        <v>4</v>
      </c>
      <c r="E764" s="41">
        <v>1.2333117503777018E-4</v>
      </c>
    </row>
    <row r="765" spans="2:5" ht="15" customHeight="1">
      <c r="B765" s="84"/>
      <c r="C765" s="43" t="s">
        <v>154</v>
      </c>
      <c r="D765" s="42">
        <v>1</v>
      </c>
      <c r="E765" s="41">
        <v>3.0832793759442546E-5</v>
      </c>
    </row>
    <row r="766" spans="2:5" ht="15" customHeight="1">
      <c r="B766" s="84"/>
      <c r="C766" s="43" t="s">
        <v>161</v>
      </c>
      <c r="D766" s="42">
        <v>26</v>
      </c>
      <c r="E766" s="41">
        <v>8.0165263774550617E-4</v>
      </c>
    </row>
    <row r="767" spans="2:5" ht="15" customHeight="1">
      <c r="B767" s="84"/>
      <c r="C767" s="43" t="s">
        <v>145</v>
      </c>
      <c r="D767" s="42">
        <v>2</v>
      </c>
      <c r="E767" s="41">
        <v>6.1665587518885091E-5</v>
      </c>
    </row>
    <row r="768" spans="2:5" ht="15" customHeight="1">
      <c r="B768" s="85"/>
      <c r="C768" s="40" t="s">
        <v>23</v>
      </c>
      <c r="D768" s="39">
        <v>124</v>
      </c>
      <c r="E768" s="38">
        <v>3.8232664261708751E-3</v>
      </c>
    </row>
    <row r="769" spans="2:5" ht="15" customHeight="1">
      <c r="B769" s="83" t="s">
        <v>52</v>
      </c>
      <c r="C769" s="43" t="s">
        <v>172</v>
      </c>
      <c r="D769" s="42">
        <v>3</v>
      </c>
      <c r="E769" s="41">
        <v>9.249838127832763E-5</v>
      </c>
    </row>
    <row r="770" spans="2:5" ht="15" customHeight="1">
      <c r="B770" s="84"/>
      <c r="C770" s="43" t="s">
        <v>152</v>
      </c>
      <c r="D770" s="42">
        <v>1</v>
      </c>
      <c r="E770" s="41">
        <v>3.0832793759442546E-5</v>
      </c>
    </row>
    <row r="771" spans="2:5" ht="15" customHeight="1">
      <c r="B771" s="84"/>
      <c r="C771" s="43" t="s">
        <v>140</v>
      </c>
      <c r="D771" s="42">
        <v>1</v>
      </c>
      <c r="E771" s="41">
        <v>3.0832793759442546E-5</v>
      </c>
    </row>
    <row r="772" spans="2:5" ht="15" customHeight="1">
      <c r="B772" s="84"/>
      <c r="C772" s="43" t="s">
        <v>174</v>
      </c>
      <c r="D772" s="42">
        <v>1</v>
      </c>
      <c r="E772" s="41">
        <v>3.0832793759442546E-5</v>
      </c>
    </row>
    <row r="773" spans="2:5" ht="15" customHeight="1">
      <c r="B773" s="84"/>
      <c r="C773" s="43" t="s">
        <v>164</v>
      </c>
      <c r="D773" s="42">
        <v>4</v>
      </c>
      <c r="E773" s="41">
        <v>1.2333117503777018E-4</v>
      </c>
    </row>
    <row r="774" spans="2:5" ht="15" customHeight="1">
      <c r="B774" s="84"/>
      <c r="C774" s="43" t="s">
        <v>176</v>
      </c>
      <c r="D774" s="42">
        <v>2</v>
      </c>
      <c r="E774" s="41">
        <v>6.1665587518885091E-5</v>
      </c>
    </row>
    <row r="775" spans="2:5" ht="15" customHeight="1">
      <c r="B775" s="84"/>
      <c r="C775" s="43" t="s">
        <v>178</v>
      </c>
      <c r="D775" s="42">
        <v>1</v>
      </c>
      <c r="E775" s="41">
        <v>3.0832793759442546E-5</v>
      </c>
    </row>
    <row r="776" spans="2:5" ht="15" customHeight="1">
      <c r="B776" s="84"/>
      <c r="C776" s="43" t="s">
        <v>179</v>
      </c>
      <c r="D776" s="42">
        <v>4</v>
      </c>
      <c r="E776" s="41">
        <v>1.2333117503777018E-4</v>
      </c>
    </row>
    <row r="777" spans="2:5" ht="15" customHeight="1">
      <c r="B777" s="84"/>
      <c r="C777" s="43" t="s">
        <v>159</v>
      </c>
      <c r="D777" s="42">
        <v>2</v>
      </c>
      <c r="E777" s="41">
        <v>6.1665587518885091E-5</v>
      </c>
    </row>
    <row r="778" spans="2:5" ht="15" customHeight="1">
      <c r="B778" s="84"/>
      <c r="C778" s="43" t="s">
        <v>135</v>
      </c>
      <c r="D778" s="42">
        <v>1</v>
      </c>
      <c r="E778" s="41">
        <v>3.0832793759442546E-5</v>
      </c>
    </row>
    <row r="779" spans="2:5" ht="15" customHeight="1">
      <c r="B779" s="84"/>
      <c r="C779" s="43" t="s">
        <v>168</v>
      </c>
      <c r="D779" s="42">
        <v>3</v>
      </c>
      <c r="E779" s="41">
        <v>9.249838127832763E-5</v>
      </c>
    </row>
    <row r="780" spans="2:5" ht="15" customHeight="1">
      <c r="B780" s="84"/>
      <c r="C780" s="43" t="s">
        <v>180</v>
      </c>
      <c r="D780" s="42">
        <v>1</v>
      </c>
      <c r="E780" s="41">
        <v>3.0832793759442546E-5</v>
      </c>
    </row>
    <row r="781" spans="2:5" ht="15" customHeight="1">
      <c r="B781" s="84"/>
      <c r="C781" s="43" t="s">
        <v>177</v>
      </c>
      <c r="D781" s="42">
        <v>1</v>
      </c>
      <c r="E781" s="41">
        <v>3.0832793759442546E-5</v>
      </c>
    </row>
    <row r="782" spans="2:5" ht="15" customHeight="1">
      <c r="B782" s="84"/>
      <c r="C782" s="43" t="s">
        <v>181</v>
      </c>
      <c r="D782" s="42">
        <v>3</v>
      </c>
      <c r="E782" s="41">
        <v>9.249838127832763E-5</v>
      </c>
    </row>
    <row r="783" spans="2:5" ht="15" customHeight="1">
      <c r="B783" s="84"/>
      <c r="C783" s="43" t="s">
        <v>167</v>
      </c>
      <c r="D783" s="42">
        <v>3</v>
      </c>
      <c r="E783" s="41">
        <v>9.249838127832763E-5</v>
      </c>
    </row>
    <row r="784" spans="2:5" ht="15" customHeight="1">
      <c r="B784" s="84"/>
      <c r="C784" s="43" t="s">
        <v>182</v>
      </c>
      <c r="D784" s="42">
        <v>38</v>
      </c>
      <c r="E784" s="41">
        <v>1.1716461628588166E-3</v>
      </c>
    </row>
    <row r="785" spans="2:5" ht="15" customHeight="1">
      <c r="B785" s="84"/>
      <c r="C785" s="43" t="s">
        <v>151</v>
      </c>
      <c r="D785" s="42">
        <v>1</v>
      </c>
      <c r="E785" s="41">
        <v>3.0832793759442546E-5</v>
      </c>
    </row>
    <row r="786" spans="2:5" ht="15" customHeight="1">
      <c r="B786" s="84"/>
      <c r="C786" s="43" t="s">
        <v>134</v>
      </c>
      <c r="D786" s="42">
        <v>1</v>
      </c>
      <c r="E786" s="41">
        <v>3.0832793759442546E-5</v>
      </c>
    </row>
    <row r="787" spans="2:5" ht="15" customHeight="1">
      <c r="B787" s="84"/>
      <c r="C787" s="43" t="s">
        <v>175</v>
      </c>
      <c r="D787" s="42">
        <v>10</v>
      </c>
      <c r="E787" s="41">
        <v>3.0832793759442544E-4</v>
      </c>
    </row>
    <row r="788" spans="2:5" ht="15" customHeight="1">
      <c r="B788" s="84"/>
      <c r="C788" s="43" t="s">
        <v>157</v>
      </c>
      <c r="D788" s="42">
        <v>23</v>
      </c>
      <c r="E788" s="41">
        <v>7.0915425646717847E-4</v>
      </c>
    </row>
    <row r="789" spans="2:5" ht="15" customHeight="1">
      <c r="B789" s="84"/>
      <c r="C789" s="43" t="s">
        <v>143</v>
      </c>
      <c r="D789" s="42">
        <v>3</v>
      </c>
      <c r="E789" s="41">
        <v>9.249838127832763E-5</v>
      </c>
    </row>
    <row r="790" spans="2:5" ht="15" customHeight="1">
      <c r="B790" s="84"/>
      <c r="C790" s="43" t="s">
        <v>169</v>
      </c>
      <c r="D790" s="42">
        <v>1</v>
      </c>
      <c r="E790" s="41">
        <v>3.0832793759442546E-5</v>
      </c>
    </row>
    <row r="791" spans="2:5" ht="15" customHeight="1">
      <c r="B791" s="84"/>
      <c r="C791" s="43" t="s">
        <v>160</v>
      </c>
      <c r="D791" s="42">
        <v>4</v>
      </c>
      <c r="E791" s="41">
        <v>1.2333117503777018E-4</v>
      </c>
    </row>
    <row r="792" spans="2:5" ht="15" customHeight="1">
      <c r="B792" s="84"/>
      <c r="C792" s="43" t="s">
        <v>153</v>
      </c>
      <c r="D792" s="42">
        <v>1</v>
      </c>
      <c r="E792" s="41">
        <v>3.0832793759442546E-5</v>
      </c>
    </row>
    <row r="793" spans="2:5" ht="15" customHeight="1">
      <c r="B793" s="84"/>
      <c r="C793" s="43" t="s">
        <v>155</v>
      </c>
      <c r="D793" s="42">
        <v>1</v>
      </c>
      <c r="E793" s="41">
        <v>3.0832793759442546E-5</v>
      </c>
    </row>
    <row r="794" spans="2:5" ht="15" customHeight="1">
      <c r="B794" s="84"/>
      <c r="C794" s="43" t="s">
        <v>173</v>
      </c>
      <c r="D794" s="42">
        <v>23</v>
      </c>
      <c r="E794" s="41">
        <v>7.0915425646717847E-4</v>
      </c>
    </row>
    <row r="795" spans="2:5" ht="15" customHeight="1">
      <c r="B795" s="84"/>
      <c r="C795" s="43" t="s">
        <v>154</v>
      </c>
      <c r="D795" s="42">
        <v>3</v>
      </c>
      <c r="E795" s="41">
        <v>9.249838127832763E-5</v>
      </c>
    </row>
    <row r="796" spans="2:5" ht="15" customHeight="1">
      <c r="B796" s="84"/>
      <c r="C796" s="43" t="s">
        <v>162</v>
      </c>
      <c r="D796" s="42">
        <v>1</v>
      </c>
      <c r="E796" s="41">
        <v>3.0832793759442546E-5</v>
      </c>
    </row>
    <row r="797" spans="2:5" ht="15" customHeight="1">
      <c r="B797" s="84"/>
      <c r="C797" s="43" t="s">
        <v>161</v>
      </c>
      <c r="D797" s="42">
        <v>2</v>
      </c>
      <c r="E797" s="41">
        <v>6.1665587518885091E-5</v>
      </c>
    </row>
    <row r="798" spans="2:5" ht="15" customHeight="1">
      <c r="B798" s="84"/>
      <c r="C798" s="43" t="s">
        <v>145</v>
      </c>
      <c r="D798" s="42">
        <v>3</v>
      </c>
      <c r="E798" s="41">
        <v>9.249838127832763E-5</v>
      </c>
    </row>
    <row r="799" spans="2:5" ht="15" customHeight="1">
      <c r="B799" s="85"/>
      <c r="C799" s="40" t="s">
        <v>23</v>
      </c>
      <c r="D799" s="39">
        <v>146</v>
      </c>
      <c r="E799" s="38">
        <v>4.5015878888786109E-3</v>
      </c>
    </row>
    <row r="800" spans="2:5" ht="15" customHeight="1">
      <c r="B800" s="83" t="s">
        <v>25</v>
      </c>
      <c r="C800" s="43" t="s">
        <v>179</v>
      </c>
      <c r="D800" s="42">
        <v>3</v>
      </c>
      <c r="E800" s="41">
        <v>9.249838127832763E-5</v>
      </c>
    </row>
    <row r="801" spans="2:5" ht="15" customHeight="1">
      <c r="B801" s="85"/>
      <c r="C801" s="40" t="s">
        <v>23</v>
      </c>
      <c r="D801" s="39">
        <v>3</v>
      </c>
      <c r="E801" s="38">
        <v>9.249838127832763E-5</v>
      </c>
    </row>
    <row r="802" spans="2:5" ht="15" customHeight="1">
      <c r="B802" s="83" t="s">
        <v>35</v>
      </c>
      <c r="C802" s="43" t="s">
        <v>170</v>
      </c>
      <c r="D802" s="42">
        <v>1</v>
      </c>
      <c r="E802" s="41">
        <v>3.0832793759442546E-5</v>
      </c>
    </row>
    <row r="803" spans="2:5" ht="15" customHeight="1">
      <c r="B803" s="84"/>
      <c r="C803" s="43" t="s">
        <v>174</v>
      </c>
      <c r="D803" s="42">
        <v>1</v>
      </c>
      <c r="E803" s="41">
        <v>3.0832793759442546E-5</v>
      </c>
    </row>
    <row r="804" spans="2:5" ht="15" customHeight="1">
      <c r="B804" s="84"/>
      <c r="C804" s="43" t="s">
        <v>178</v>
      </c>
      <c r="D804" s="42">
        <v>1</v>
      </c>
      <c r="E804" s="41">
        <v>3.0832793759442546E-5</v>
      </c>
    </row>
    <row r="805" spans="2:5" ht="15" customHeight="1">
      <c r="B805" s="84"/>
      <c r="C805" s="43" t="s">
        <v>179</v>
      </c>
      <c r="D805" s="42">
        <v>4</v>
      </c>
      <c r="E805" s="41">
        <v>1.2333117503777018E-4</v>
      </c>
    </row>
    <row r="806" spans="2:5" ht="15" customHeight="1">
      <c r="B806" s="84"/>
      <c r="C806" s="43" t="s">
        <v>129</v>
      </c>
      <c r="D806" s="42">
        <v>1</v>
      </c>
      <c r="E806" s="41">
        <v>3.0832793759442546E-5</v>
      </c>
    </row>
    <row r="807" spans="2:5" ht="15" customHeight="1">
      <c r="B807" s="84"/>
      <c r="C807" s="43" t="s">
        <v>159</v>
      </c>
      <c r="D807" s="42">
        <v>1</v>
      </c>
      <c r="E807" s="41">
        <v>3.0832793759442546E-5</v>
      </c>
    </row>
    <row r="808" spans="2:5" ht="15" customHeight="1">
      <c r="B808" s="84"/>
      <c r="C808" s="43" t="s">
        <v>168</v>
      </c>
      <c r="D808" s="42">
        <v>2</v>
      </c>
      <c r="E808" s="41">
        <v>6.1665587518885091E-5</v>
      </c>
    </row>
    <row r="809" spans="2:5" ht="15" customHeight="1">
      <c r="B809" s="84"/>
      <c r="C809" s="43" t="s">
        <v>180</v>
      </c>
      <c r="D809" s="42">
        <v>2</v>
      </c>
      <c r="E809" s="41">
        <v>6.1665587518885091E-5</v>
      </c>
    </row>
    <row r="810" spans="2:5" ht="15" customHeight="1">
      <c r="B810" s="84"/>
      <c r="C810" s="43" t="s">
        <v>167</v>
      </c>
      <c r="D810" s="42">
        <v>4</v>
      </c>
      <c r="E810" s="41">
        <v>1.2333117503777018E-4</v>
      </c>
    </row>
    <row r="811" spans="2:5" ht="15" customHeight="1">
      <c r="B811" s="84"/>
      <c r="C811" s="43" t="s">
        <v>182</v>
      </c>
      <c r="D811" s="42">
        <v>4</v>
      </c>
      <c r="E811" s="41">
        <v>1.2333117503777018E-4</v>
      </c>
    </row>
    <row r="812" spans="2:5" ht="15" customHeight="1">
      <c r="B812" s="84"/>
      <c r="C812" s="43" t="s">
        <v>134</v>
      </c>
      <c r="D812" s="42">
        <v>1</v>
      </c>
      <c r="E812" s="41">
        <v>3.0832793759442546E-5</v>
      </c>
    </row>
    <row r="813" spans="2:5" ht="15" customHeight="1">
      <c r="B813" s="84"/>
      <c r="C813" s="43" t="s">
        <v>160</v>
      </c>
      <c r="D813" s="42">
        <v>3</v>
      </c>
      <c r="E813" s="41">
        <v>9.249838127832763E-5</v>
      </c>
    </row>
    <row r="814" spans="2:5" ht="15" customHeight="1">
      <c r="B814" s="84"/>
      <c r="C814" s="43" t="s">
        <v>133</v>
      </c>
      <c r="D814" s="42">
        <v>1</v>
      </c>
      <c r="E814" s="41">
        <v>3.0832793759442546E-5</v>
      </c>
    </row>
    <row r="815" spans="2:5" ht="15" customHeight="1">
      <c r="B815" s="84"/>
      <c r="C815" s="43" t="s">
        <v>153</v>
      </c>
      <c r="D815" s="42">
        <v>3</v>
      </c>
      <c r="E815" s="41">
        <v>9.249838127832763E-5</v>
      </c>
    </row>
    <row r="816" spans="2:5" ht="15" customHeight="1">
      <c r="B816" s="84"/>
      <c r="C816" s="43" t="s">
        <v>149</v>
      </c>
      <c r="D816" s="42">
        <v>1</v>
      </c>
      <c r="E816" s="41">
        <v>3.0832793759442546E-5</v>
      </c>
    </row>
    <row r="817" spans="2:5" ht="15" customHeight="1">
      <c r="B817" s="84"/>
      <c r="C817" s="43" t="s">
        <v>162</v>
      </c>
      <c r="D817" s="42">
        <v>1</v>
      </c>
      <c r="E817" s="41">
        <v>3.0832793759442546E-5</v>
      </c>
    </row>
    <row r="818" spans="2:5" ht="15" customHeight="1">
      <c r="B818" s="85"/>
      <c r="C818" s="40" t="s">
        <v>23</v>
      </c>
      <c r="D818" s="39">
        <v>31</v>
      </c>
      <c r="E818" s="38">
        <v>9.5581660654271879E-4</v>
      </c>
    </row>
    <row r="819" spans="2:5" ht="15" customHeight="1">
      <c r="B819" s="83" t="s">
        <v>47</v>
      </c>
      <c r="C819" s="43" t="s">
        <v>170</v>
      </c>
      <c r="D819" s="42">
        <v>7</v>
      </c>
      <c r="E819" s="41">
        <v>2.158295563160978E-4</v>
      </c>
    </row>
    <row r="820" spans="2:5" ht="15" customHeight="1">
      <c r="B820" s="84"/>
      <c r="C820" s="43" t="s">
        <v>140</v>
      </c>
      <c r="D820" s="42">
        <v>1</v>
      </c>
      <c r="E820" s="41">
        <v>3.0832793759442546E-5</v>
      </c>
    </row>
    <row r="821" spans="2:5" ht="15" customHeight="1">
      <c r="B821" s="84"/>
      <c r="C821" s="43" t="s">
        <v>174</v>
      </c>
      <c r="D821" s="42">
        <v>1</v>
      </c>
      <c r="E821" s="41">
        <v>3.0832793759442546E-5</v>
      </c>
    </row>
    <row r="822" spans="2:5" ht="15" customHeight="1">
      <c r="B822" s="84"/>
      <c r="C822" s="43" t="s">
        <v>164</v>
      </c>
      <c r="D822" s="42">
        <v>3</v>
      </c>
      <c r="E822" s="41">
        <v>9.249838127832763E-5</v>
      </c>
    </row>
    <row r="823" spans="2:5" ht="15" customHeight="1">
      <c r="B823" s="84"/>
      <c r="C823" s="43" t="s">
        <v>176</v>
      </c>
      <c r="D823" s="42">
        <v>1</v>
      </c>
      <c r="E823" s="41">
        <v>3.0832793759442546E-5</v>
      </c>
    </row>
    <row r="824" spans="2:5" ht="15" customHeight="1">
      <c r="B824" s="84"/>
      <c r="C824" s="43" t="s">
        <v>178</v>
      </c>
      <c r="D824" s="42">
        <v>1</v>
      </c>
      <c r="E824" s="41">
        <v>3.0832793759442546E-5</v>
      </c>
    </row>
    <row r="825" spans="2:5" ht="15" customHeight="1">
      <c r="B825" s="84"/>
      <c r="C825" s="43" t="s">
        <v>179</v>
      </c>
      <c r="D825" s="42">
        <v>1</v>
      </c>
      <c r="E825" s="41">
        <v>3.0832793759442546E-5</v>
      </c>
    </row>
    <row r="826" spans="2:5" ht="15" customHeight="1">
      <c r="B826" s="84"/>
      <c r="C826" s="43" t="s">
        <v>168</v>
      </c>
      <c r="D826" s="42">
        <v>1</v>
      </c>
      <c r="E826" s="41">
        <v>3.0832793759442546E-5</v>
      </c>
    </row>
    <row r="827" spans="2:5" ht="15" customHeight="1">
      <c r="B827" s="84"/>
      <c r="C827" s="43" t="s">
        <v>180</v>
      </c>
      <c r="D827" s="42">
        <v>3</v>
      </c>
      <c r="E827" s="41">
        <v>9.249838127832763E-5</v>
      </c>
    </row>
    <row r="828" spans="2:5" ht="15" customHeight="1">
      <c r="B828" s="84"/>
      <c r="C828" s="43" t="s">
        <v>177</v>
      </c>
      <c r="D828" s="42">
        <v>1</v>
      </c>
      <c r="E828" s="41">
        <v>3.0832793759442546E-5</v>
      </c>
    </row>
    <row r="829" spans="2:5" ht="15" customHeight="1">
      <c r="B829" s="84"/>
      <c r="C829" s="43" t="s">
        <v>165</v>
      </c>
      <c r="D829" s="42">
        <v>2</v>
      </c>
      <c r="E829" s="41">
        <v>6.1665587518885091E-5</v>
      </c>
    </row>
    <row r="830" spans="2:5" ht="15" customHeight="1">
      <c r="B830" s="84"/>
      <c r="C830" s="43" t="s">
        <v>171</v>
      </c>
      <c r="D830" s="42">
        <v>2</v>
      </c>
      <c r="E830" s="41">
        <v>6.1665587518885091E-5</v>
      </c>
    </row>
    <row r="831" spans="2:5" ht="15" customHeight="1">
      <c r="B831" s="84"/>
      <c r="C831" s="43" t="s">
        <v>181</v>
      </c>
      <c r="D831" s="42">
        <v>6</v>
      </c>
      <c r="E831" s="41">
        <v>1.8499676255665526E-4</v>
      </c>
    </row>
    <row r="832" spans="2:5" ht="15" customHeight="1">
      <c r="B832" s="84"/>
      <c r="C832" s="43" t="s">
        <v>167</v>
      </c>
      <c r="D832" s="42">
        <v>2</v>
      </c>
      <c r="E832" s="41">
        <v>6.1665587518885091E-5</v>
      </c>
    </row>
    <row r="833" spans="2:5" ht="15" customHeight="1">
      <c r="B833" s="84"/>
      <c r="C833" s="43" t="s">
        <v>182</v>
      </c>
      <c r="D833" s="42">
        <v>11</v>
      </c>
      <c r="E833" s="41">
        <v>3.3916073135386795E-4</v>
      </c>
    </row>
    <row r="834" spans="2:5" ht="15" customHeight="1">
      <c r="B834" s="84"/>
      <c r="C834" s="43" t="s">
        <v>150</v>
      </c>
      <c r="D834" s="42">
        <v>2</v>
      </c>
      <c r="E834" s="41">
        <v>6.1665587518885091E-5</v>
      </c>
    </row>
    <row r="835" spans="2:5" ht="15" customHeight="1">
      <c r="B835" s="84"/>
      <c r="C835" s="43" t="s">
        <v>175</v>
      </c>
      <c r="D835" s="42">
        <v>2</v>
      </c>
      <c r="E835" s="41">
        <v>6.1665587518885091E-5</v>
      </c>
    </row>
    <row r="836" spans="2:5" ht="15" customHeight="1">
      <c r="B836" s="84"/>
      <c r="C836" s="43" t="s">
        <v>157</v>
      </c>
      <c r="D836" s="42">
        <v>57</v>
      </c>
      <c r="E836" s="41">
        <v>1.7574692442882249E-3</v>
      </c>
    </row>
    <row r="837" spans="2:5" ht="15" customHeight="1">
      <c r="B837" s="84"/>
      <c r="C837" s="43" t="s">
        <v>143</v>
      </c>
      <c r="D837" s="42">
        <v>1</v>
      </c>
      <c r="E837" s="41">
        <v>3.0832793759442546E-5</v>
      </c>
    </row>
    <row r="838" spans="2:5" ht="15" customHeight="1">
      <c r="B838" s="84"/>
      <c r="C838" s="43" t="s">
        <v>160</v>
      </c>
      <c r="D838" s="42">
        <v>1</v>
      </c>
      <c r="E838" s="41">
        <v>3.0832793759442546E-5</v>
      </c>
    </row>
    <row r="839" spans="2:5" ht="15" customHeight="1">
      <c r="B839" s="84"/>
      <c r="C839" s="43" t="s">
        <v>147</v>
      </c>
      <c r="D839" s="42">
        <v>1</v>
      </c>
      <c r="E839" s="41">
        <v>3.0832793759442546E-5</v>
      </c>
    </row>
    <row r="840" spans="2:5" ht="15" customHeight="1">
      <c r="B840" s="84"/>
      <c r="C840" s="43" t="s">
        <v>173</v>
      </c>
      <c r="D840" s="42">
        <v>6</v>
      </c>
      <c r="E840" s="41">
        <v>1.8499676255665526E-4</v>
      </c>
    </row>
    <row r="841" spans="2:5" ht="15" customHeight="1">
      <c r="B841" s="84"/>
      <c r="C841" s="43" t="s">
        <v>161</v>
      </c>
      <c r="D841" s="42">
        <v>3</v>
      </c>
      <c r="E841" s="41">
        <v>9.249838127832763E-5</v>
      </c>
    </row>
    <row r="842" spans="2:5" ht="15" customHeight="1">
      <c r="B842" s="84"/>
      <c r="C842" s="43" t="s">
        <v>166</v>
      </c>
      <c r="D842" s="42">
        <v>1</v>
      </c>
      <c r="E842" s="41">
        <v>3.0832793759442546E-5</v>
      </c>
    </row>
    <row r="843" spans="2:5" ht="15" customHeight="1">
      <c r="B843" s="84"/>
      <c r="C843" s="43" t="s">
        <v>145</v>
      </c>
      <c r="D843" s="42">
        <v>2</v>
      </c>
      <c r="E843" s="41">
        <v>6.1665587518885091E-5</v>
      </c>
    </row>
    <row r="844" spans="2:5" ht="15" customHeight="1">
      <c r="B844" s="85"/>
      <c r="C844" s="40" t="s">
        <v>23</v>
      </c>
      <c r="D844" s="39">
        <v>119</v>
      </c>
      <c r="E844" s="38">
        <v>3.6691024573736624E-3</v>
      </c>
    </row>
    <row r="845" spans="2:5" ht="15" customHeight="1">
      <c r="B845" s="83" t="s">
        <v>38</v>
      </c>
      <c r="C845" s="43" t="s">
        <v>148</v>
      </c>
      <c r="D845" s="42">
        <v>1</v>
      </c>
      <c r="E845" s="41">
        <v>3.0832793759442546E-5</v>
      </c>
    </row>
    <row r="846" spans="2:5" ht="15" customHeight="1">
      <c r="B846" s="84"/>
      <c r="C846" s="43" t="s">
        <v>136</v>
      </c>
      <c r="D846" s="42">
        <v>1</v>
      </c>
      <c r="E846" s="41">
        <v>3.0832793759442546E-5</v>
      </c>
    </row>
    <row r="847" spans="2:5" ht="15" customHeight="1">
      <c r="B847" s="84"/>
      <c r="C847" s="43" t="s">
        <v>156</v>
      </c>
      <c r="D847" s="42">
        <v>1</v>
      </c>
      <c r="E847" s="41">
        <v>3.0832793759442546E-5</v>
      </c>
    </row>
    <row r="848" spans="2:5" ht="15" customHeight="1">
      <c r="B848" s="84"/>
      <c r="C848" s="43" t="s">
        <v>164</v>
      </c>
      <c r="D848" s="42">
        <v>2</v>
      </c>
      <c r="E848" s="41">
        <v>6.1665587518885091E-5</v>
      </c>
    </row>
    <row r="849" spans="2:5" ht="15" customHeight="1">
      <c r="B849" s="84"/>
      <c r="C849" s="43" t="s">
        <v>176</v>
      </c>
      <c r="D849" s="42">
        <v>1</v>
      </c>
      <c r="E849" s="41">
        <v>3.0832793759442546E-5</v>
      </c>
    </row>
    <row r="850" spans="2:5" ht="15" customHeight="1">
      <c r="B850" s="84"/>
      <c r="C850" s="43" t="s">
        <v>178</v>
      </c>
      <c r="D850" s="42">
        <v>1</v>
      </c>
      <c r="E850" s="41">
        <v>3.0832793759442546E-5</v>
      </c>
    </row>
    <row r="851" spans="2:5" ht="15" customHeight="1">
      <c r="B851" s="84"/>
      <c r="C851" s="43" t="s">
        <v>179</v>
      </c>
      <c r="D851" s="42">
        <v>1</v>
      </c>
      <c r="E851" s="41">
        <v>3.0832793759442546E-5</v>
      </c>
    </row>
    <row r="852" spans="2:5" ht="15" customHeight="1">
      <c r="B852" s="84"/>
      <c r="C852" s="43" t="s">
        <v>159</v>
      </c>
      <c r="D852" s="42">
        <v>3</v>
      </c>
      <c r="E852" s="41">
        <v>9.249838127832763E-5</v>
      </c>
    </row>
    <row r="853" spans="2:5" ht="15" customHeight="1">
      <c r="B853" s="84"/>
      <c r="C853" s="43" t="s">
        <v>168</v>
      </c>
      <c r="D853" s="42">
        <v>1</v>
      </c>
      <c r="E853" s="41">
        <v>3.0832793759442546E-5</v>
      </c>
    </row>
    <row r="854" spans="2:5" ht="15" customHeight="1">
      <c r="B854" s="84"/>
      <c r="C854" s="43" t="s">
        <v>132</v>
      </c>
      <c r="D854" s="42">
        <v>1</v>
      </c>
      <c r="E854" s="41">
        <v>3.0832793759442546E-5</v>
      </c>
    </row>
    <row r="855" spans="2:5" ht="15" customHeight="1">
      <c r="B855" s="84"/>
      <c r="C855" s="43" t="s">
        <v>158</v>
      </c>
      <c r="D855" s="42">
        <v>1</v>
      </c>
      <c r="E855" s="41">
        <v>3.0832793759442546E-5</v>
      </c>
    </row>
    <row r="856" spans="2:5" ht="15" customHeight="1">
      <c r="B856" s="84"/>
      <c r="C856" s="43" t="s">
        <v>177</v>
      </c>
      <c r="D856" s="42">
        <v>6</v>
      </c>
      <c r="E856" s="41">
        <v>1.8499676255665526E-4</v>
      </c>
    </row>
    <row r="857" spans="2:5" ht="15" customHeight="1">
      <c r="B857" s="84"/>
      <c r="C857" s="43" t="s">
        <v>181</v>
      </c>
      <c r="D857" s="42">
        <v>5</v>
      </c>
      <c r="E857" s="41">
        <v>1.5416396879721272E-4</v>
      </c>
    </row>
    <row r="858" spans="2:5" ht="15" customHeight="1">
      <c r="B858" s="84"/>
      <c r="C858" s="43" t="s">
        <v>167</v>
      </c>
      <c r="D858" s="42">
        <v>1</v>
      </c>
      <c r="E858" s="41">
        <v>3.0832793759442546E-5</v>
      </c>
    </row>
    <row r="859" spans="2:5" ht="15" customHeight="1">
      <c r="B859" s="84"/>
      <c r="C859" s="43" t="s">
        <v>182</v>
      </c>
      <c r="D859" s="42">
        <v>9</v>
      </c>
      <c r="E859" s="41">
        <v>2.7749514383498288E-4</v>
      </c>
    </row>
    <row r="860" spans="2:5" ht="15" customHeight="1">
      <c r="B860" s="84"/>
      <c r="C860" s="43" t="s">
        <v>137</v>
      </c>
      <c r="D860" s="42">
        <v>1</v>
      </c>
      <c r="E860" s="41">
        <v>3.0832793759442546E-5</v>
      </c>
    </row>
    <row r="861" spans="2:5" ht="15" customHeight="1">
      <c r="B861" s="84"/>
      <c r="C861" s="43" t="s">
        <v>150</v>
      </c>
      <c r="D861" s="42">
        <v>2</v>
      </c>
      <c r="E861" s="41">
        <v>6.1665587518885091E-5</v>
      </c>
    </row>
    <row r="862" spans="2:5" ht="15" customHeight="1">
      <c r="B862" s="84"/>
      <c r="C862" s="43" t="s">
        <v>160</v>
      </c>
      <c r="D862" s="42">
        <v>12</v>
      </c>
      <c r="E862" s="41">
        <v>3.6999352511331052E-4</v>
      </c>
    </row>
    <row r="863" spans="2:5" ht="15" customHeight="1">
      <c r="B863" s="84"/>
      <c r="C863" s="43" t="s">
        <v>133</v>
      </c>
      <c r="D863" s="42">
        <v>4</v>
      </c>
      <c r="E863" s="41">
        <v>1.2333117503777018E-4</v>
      </c>
    </row>
    <row r="864" spans="2:5" ht="15" customHeight="1">
      <c r="B864" s="84"/>
      <c r="C864" s="43" t="s">
        <v>147</v>
      </c>
      <c r="D864" s="42">
        <v>1</v>
      </c>
      <c r="E864" s="41">
        <v>3.0832793759442546E-5</v>
      </c>
    </row>
    <row r="865" spans="2:5" ht="15" customHeight="1">
      <c r="B865" s="84"/>
      <c r="C865" s="43" t="s">
        <v>130</v>
      </c>
      <c r="D865" s="42">
        <v>1</v>
      </c>
      <c r="E865" s="41">
        <v>3.0832793759442546E-5</v>
      </c>
    </row>
    <row r="866" spans="2:5" ht="15" customHeight="1">
      <c r="B866" s="84"/>
      <c r="C866" s="43" t="s">
        <v>139</v>
      </c>
      <c r="D866" s="42">
        <v>1</v>
      </c>
      <c r="E866" s="41">
        <v>3.0832793759442546E-5</v>
      </c>
    </row>
    <row r="867" spans="2:5" ht="15" customHeight="1">
      <c r="B867" s="84"/>
      <c r="C867" s="43" t="s">
        <v>144</v>
      </c>
      <c r="D867" s="42">
        <v>1</v>
      </c>
      <c r="E867" s="41">
        <v>3.0832793759442546E-5</v>
      </c>
    </row>
    <row r="868" spans="2:5" ht="15" customHeight="1">
      <c r="B868" s="84"/>
      <c r="C868" s="43" t="s">
        <v>173</v>
      </c>
      <c r="D868" s="42">
        <v>1</v>
      </c>
      <c r="E868" s="41">
        <v>3.0832793759442546E-5</v>
      </c>
    </row>
    <row r="869" spans="2:5" ht="15" customHeight="1">
      <c r="B869" s="84"/>
      <c r="C869" s="43" t="s">
        <v>154</v>
      </c>
      <c r="D869" s="42">
        <v>1</v>
      </c>
      <c r="E869" s="41">
        <v>3.0832793759442546E-5</v>
      </c>
    </row>
    <row r="870" spans="2:5" ht="15" customHeight="1">
      <c r="B870" s="84"/>
      <c r="C870" s="43" t="s">
        <v>166</v>
      </c>
      <c r="D870" s="42">
        <v>1</v>
      </c>
      <c r="E870" s="41">
        <v>3.0832793759442546E-5</v>
      </c>
    </row>
    <row r="871" spans="2:5" ht="15" customHeight="1">
      <c r="B871" s="84"/>
      <c r="C871" s="43" t="s">
        <v>145</v>
      </c>
      <c r="D871" s="42">
        <v>2</v>
      </c>
      <c r="E871" s="41">
        <v>6.1665587518885091E-5</v>
      </c>
    </row>
    <row r="872" spans="2:5" ht="15" customHeight="1">
      <c r="B872" s="85"/>
      <c r="C872" s="40" t="s">
        <v>23</v>
      </c>
      <c r="D872" s="39">
        <v>63</v>
      </c>
      <c r="E872" s="38">
        <v>1.9424660068448802E-3</v>
      </c>
    </row>
    <row r="873" spans="2:5" ht="15" customHeight="1">
      <c r="B873" s="83" t="s">
        <v>64</v>
      </c>
      <c r="C873" s="43" t="s">
        <v>172</v>
      </c>
      <c r="D873" s="42">
        <v>6</v>
      </c>
      <c r="E873" s="41">
        <v>1.8499676255665526E-4</v>
      </c>
    </row>
    <row r="874" spans="2:5" ht="15" customHeight="1">
      <c r="B874" s="84"/>
      <c r="C874" s="43" t="s">
        <v>148</v>
      </c>
      <c r="D874" s="42">
        <v>3</v>
      </c>
      <c r="E874" s="41">
        <v>9.249838127832763E-5</v>
      </c>
    </row>
    <row r="875" spans="2:5" ht="15" customHeight="1">
      <c r="B875" s="84"/>
      <c r="C875" s="43" t="s">
        <v>152</v>
      </c>
      <c r="D875" s="42">
        <v>21</v>
      </c>
      <c r="E875" s="41">
        <v>6.4748866894829345E-4</v>
      </c>
    </row>
    <row r="876" spans="2:5" ht="15" customHeight="1">
      <c r="B876" s="84"/>
      <c r="C876" s="43" t="s">
        <v>142</v>
      </c>
      <c r="D876" s="42">
        <v>2</v>
      </c>
      <c r="E876" s="41">
        <v>6.1665587518885091E-5</v>
      </c>
    </row>
    <row r="877" spans="2:5" ht="15" customHeight="1">
      <c r="B877" s="84"/>
      <c r="C877" s="43" t="s">
        <v>136</v>
      </c>
      <c r="D877" s="42">
        <v>4</v>
      </c>
      <c r="E877" s="41">
        <v>1.2333117503777018E-4</v>
      </c>
    </row>
    <row r="878" spans="2:5" ht="15" customHeight="1">
      <c r="B878" s="84"/>
      <c r="C878" s="43" t="s">
        <v>170</v>
      </c>
      <c r="D878" s="42">
        <v>10</v>
      </c>
      <c r="E878" s="41">
        <v>3.0832793759442544E-4</v>
      </c>
    </row>
    <row r="879" spans="2:5" ht="15" customHeight="1">
      <c r="B879" s="84"/>
      <c r="C879" s="43" t="s">
        <v>140</v>
      </c>
      <c r="D879" s="42">
        <v>4</v>
      </c>
      <c r="E879" s="41">
        <v>1.2333117503777018E-4</v>
      </c>
    </row>
    <row r="880" spans="2:5" ht="15" customHeight="1">
      <c r="B880" s="84"/>
      <c r="C880" s="43" t="s">
        <v>156</v>
      </c>
      <c r="D880" s="42">
        <v>2</v>
      </c>
      <c r="E880" s="41">
        <v>6.1665587518885091E-5</v>
      </c>
    </row>
    <row r="881" spans="2:5" ht="15" customHeight="1">
      <c r="B881" s="84"/>
      <c r="C881" s="43" t="s">
        <v>174</v>
      </c>
      <c r="D881" s="42">
        <v>10</v>
      </c>
      <c r="E881" s="41">
        <v>3.0832793759442544E-4</v>
      </c>
    </row>
    <row r="882" spans="2:5" ht="15" customHeight="1">
      <c r="B882" s="84"/>
      <c r="C882" s="43" t="s">
        <v>164</v>
      </c>
      <c r="D882" s="42">
        <v>4</v>
      </c>
      <c r="E882" s="41">
        <v>1.2333117503777018E-4</v>
      </c>
    </row>
    <row r="883" spans="2:5" ht="15" customHeight="1">
      <c r="B883" s="84"/>
      <c r="C883" s="43" t="s">
        <v>176</v>
      </c>
      <c r="D883" s="42">
        <v>59</v>
      </c>
      <c r="E883" s="41">
        <v>1.81913483180711E-3</v>
      </c>
    </row>
    <row r="884" spans="2:5" ht="15" customHeight="1">
      <c r="B884" s="84"/>
      <c r="C884" s="43" t="s">
        <v>178</v>
      </c>
      <c r="D884" s="42">
        <v>61</v>
      </c>
      <c r="E884" s="41">
        <v>1.8808004193259951E-3</v>
      </c>
    </row>
    <row r="885" spans="2:5" ht="15" customHeight="1">
      <c r="B885" s="84"/>
      <c r="C885" s="43" t="s">
        <v>179</v>
      </c>
      <c r="D885" s="42">
        <v>71</v>
      </c>
      <c r="E885" s="41">
        <v>2.1891283569204206E-3</v>
      </c>
    </row>
    <row r="886" spans="2:5" ht="15" customHeight="1">
      <c r="B886" s="84"/>
      <c r="C886" s="43" t="s">
        <v>159</v>
      </c>
      <c r="D886" s="42">
        <v>7</v>
      </c>
      <c r="E886" s="41">
        <v>2.158295563160978E-4</v>
      </c>
    </row>
    <row r="887" spans="2:5" ht="15" customHeight="1">
      <c r="B887" s="84"/>
      <c r="C887" s="43" t="s">
        <v>135</v>
      </c>
      <c r="D887" s="42">
        <v>2</v>
      </c>
      <c r="E887" s="41">
        <v>6.1665587518885091E-5</v>
      </c>
    </row>
    <row r="888" spans="2:5" ht="15" customHeight="1">
      <c r="B888" s="84"/>
      <c r="C888" s="43" t="s">
        <v>168</v>
      </c>
      <c r="D888" s="42">
        <v>15</v>
      </c>
      <c r="E888" s="41">
        <v>4.6249190639163816E-4</v>
      </c>
    </row>
    <row r="889" spans="2:5" ht="15" customHeight="1">
      <c r="B889" s="84"/>
      <c r="C889" s="43" t="s">
        <v>132</v>
      </c>
      <c r="D889" s="42">
        <v>1</v>
      </c>
      <c r="E889" s="41">
        <v>3.0832793759442546E-5</v>
      </c>
    </row>
    <row r="890" spans="2:5" ht="15" customHeight="1">
      <c r="B890" s="84"/>
      <c r="C890" s="43" t="s">
        <v>158</v>
      </c>
      <c r="D890" s="42">
        <v>8</v>
      </c>
      <c r="E890" s="41">
        <v>2.4666235007554037E-4</v>
      </c>
    </row>
    <row r="891" spans="2:5" ht="15" customHeight="1">
      <c r="B891" s="84"/>
      <c r="C891" s="43" t="s">
        <v>180</v>
      </c>
      <c r="D891" s="42">
        <v>29</v>
      </c>
      <c r="E891" s="41">
        <v>8.9415101902383376E-4</v>
      </c>
    </row>
    <row r="892" spans="2:5" ht="15" customHeight="1">
      <c r="B892" s="84"/>
      <c r="C892" s="43" t="s">
        <v>177</v>
      </c>
      <c r="D892" s="42">
        <v>20</v>
      </c>
      <c r="E892" s="41">
        <v>6.1665587518885089E-4</v>
      </c>
    </row>
    <row r="893" spans="2:5" ht="15" customHeight="1">
      <c r="B893" s="84"/>
      <c r="C893" s="43" t="s">
        <v>165</v>
      </c>
      <c r="D893" s="42">
        <v>2</v>
      </c>
      <c r="E893" s="41">
        <v>6.1665587518885091E-5</v>
      </c>
    </row>
    <row r="894" spans="2:5" ht="15" customHeight="1">
      <c r="B894" s="84"/>
      <c r="C894" s="43" t="s">
        <v>171</v>
      </c>
      <c r="D894" s="42">
        <v>16</v>
      </c>
      <c r="E894" s="41">
        <v>4.9332470015108073E-4</v>
      </c>
    </row>
    <row r="895" spans="2:5" ht="15" customHeight="1">
      <c r="B895" s="84"/>
      <c r="C895" s="43" t="s">
        <v>181</v>
      </c>
      <c r="D895" s="42">
        <v>135</v>
      </c>
      <c r="E895" s="41">
        <v>4.162427157524743E-3</v>
      </c>
    </row>
    <row r="896" spans="2:5" ht="15" customHeight="1">
      <c r="B896" s="84"/>
      <c r="C896" s="43" t="s">
        <v>167</v>
      </c>
      <c r="D896" s="42">
        <v>16</v>
      </c>
      <c r="E896" s="41">
        <v>4.9332470015108073E-4</v>
      </c>
    </row>
    <row r="897" spans="2:5" ht="15" customHeight="1">
      <c r="B897" s="84"/>
      <c r="C897" s="43" t="s">
        <v>103</v>
      </c>
      <c r="D897" s="42">
        <v>1</v>
      </c>
      <c r="E897" s="41">
        <v>3.0832793759442546E-5</v>
      </c>
    </row>
    <row r="898" spans="2:5" ht="15" customHeight="1">
      <c r="B898" s="84"/>
      <c r="C898" s="43" t="s">
        <v>163</v>
      </c>
      <c r="D898" s="42">
        <v>5</v>
      </c>
      <c r="E898" s="41">
        <v>1.5416396879721272E-4</v>
      </c>
    </row>
    <row r="899" spans="2:5" ht="15" customHeight="1">
      <c r="B899" s="84"/>
      <c r="C899" s="43" t="s">
        <v>182</v>
      </c>
      <c r="D899" s="42">
        <v>96</v>
      </c>
      <c r="E899" s="41">
        <v>2.9599482009064842E-3</v>
      </c>
    </row>
    <row r="900" spans="2:5" ht="15" customHeight="1">
      <c r="B900" s="84"/>
      <c r="C900" s="43" t="s">
        <v>137</v>
      </c>
      <c r="D900" s="42">
        <v>1</v>
      </c>
      <c r="E900" s="41">
        <v>3.0832793759442546E-5</v>
      </c>
    </row>
    <row r="901" spans="2:5" ht="15" customHeight="1">
      <c r="B901" s="84"/>
      <c r="C901" s="43" t="s">
        <v>151</v>
      </c>
      <c r="D901" s="42">
        <v>7</v>
      </c>
      <c r="E901" s="41">
        <v>2.158295563160978E-4</v>
      </c>
    </row>
    <row r="902" spans="2:5" ht="15" customHeight="1">
      <c r="B902" s="84"/>
      <c r="C902" s="43" t="s">
        <v>134</v>
      </c>
      <c r="D902" s="42">
        <v>2</v>
      </c>
      <c r="E902" s="41">
        <v>6.1665587518885091E-5</v>
      </c>
    </row>
    <row r="903" spans="2:5" ht="15" customHeight="1">
      <c r="B903" s="84"/>
      <c r="C903" s="43" t="s">
        <v>150</v>
      </c>
      <c r="D903" s="42">
        <v>17</v>
      </c>
      <c r="E903" s="41">
        <v>5.2415749391052319E-4</v>
      </c>
    </row>
    <row r="904" spans="2:5" ht="15" customHeight="1">
      <c r="B904" s="84"/>
      <c r="C904" s="43" t="s">
        <v>175</v>
      </c>
      <c r="D904" s="42">
        <v>14</v>
      </c>
      <c r="E904" s="41">
        <v>4.316591126321956E-4</v>
      </c>
    </row>
    <row r="905" spans="2:5" ht="15" customHeight="1">
      <c r="B905" s="84"/>
      <c r="C905" s="43" t="s">
        <v>157</v>
      </c>
      <c r="D905" s="42">
        <v>3</v>
      </c>
      <c r="E905" s="41">
        <v>9.249838127832763E-5</v>
      </c>
    </row>
    <row r="906" spans="2:5" ht="15" customHeight="1">
      <c r="B906" s="84"/>
      <c r="C906" s="43" t="s">
        <v>143</v>
      </c>
      <c r="D906" s="42">
        <v>8</v>
      </c>
      <c r="E906" s="41">
        <v>2.4666235007554037E-4</v>
      </c>
    </row>
    <row r="907" spans="2:5" ht="15" customHeight="1">
      <c r="B907" s="84"/>
      <c r="C907" s="43" t="s">
        <v>169</v>
      </c>
      <c r="D907" s="42">
        <v>35</v>
      </c>
      <c r="E907" s="41">
        <v>1.079147781580489E-3</v>
      </c>
    </row>
    <row r="908" spans="2:5" ht="15" customHeight="1">
      <c r="B908" s="84"/>
      <c r="C908" s="43" t="s">
        <v>160</v>
      </c>
      <c r="D908" s="42">
        <v>21</v>
      </c>
      <c r="E908" s="41">
        <v>6.4748866894829345E-4</v>
      </c>
    </row>
    <row r="909" spans="2:5" ht="15" customHeight="1">
      <c r="B909" s="84"/>
      <c r="C909" s="43" t="s">
        <v>131</v>
      </c>
      <c r="D909" s="42">
        <v>1</v>
      </c>
      <c r="E909" s="41">
        <v>3.0832793759442546E-5</v>
      </c>
    </row>
    <row r="910" spans="2:5" ht="15" customHeight="1">
      <c r="B910" s="84"/>
      <c r="C910" s="43" t="s">
        <v>147</v>
      </c>
      <c r="D910" s="42">
        <v>8</v>
      </c>
      <c r="E910" s="41">
        <v>2.4666235007554037E-4</v>
      </c>
    </row>
    <row r="911" spans="2:5" ht="15" customHeight="1">
      <c r="B911" s="84"/>
      <c r="C911" s="43" t="s">
        <v>130</v>
      </c>
      <c r="D911" s="42">
        <v>1</v>
      </c>
      <c r="E911" s="41">
        <v>3.0832793759442546E-5</v>
      </c>
    </row>
    <row r="912" spans="2:5" ht="15" customHeight="1">
      <c r="B912" s="84"/>
      <c r="C912" s="43" t="s">
        <v>139</v>
      </c>
      <c r="D912" s="42">
        <v>2</v>
      </c>
      <c r="E912" s="41">
        <v>6.1665587518885091E-5</v>
      </c>
    </row>
    <row r="913" spans="2:5" ht="15" customHeight="1">
      <c r="B913" s="84"/>
      <c r="C913" s="43" t="s">
        <v>153</v>
      </c>
      <c r="D913" s="42">
        <v>6</v>
      </c>
      <c r="E913" s="41">
        <v>1.8499676255665526E-4</v>
      </c>
    </row>
    <row r="914" spans="2:5" ht="15" customHeight="1">
      <c r="B914" s="84"/>
      <c r="C914" s="43" t="s">
        <v>141</v>
      </c>
      <c r="D914" s="42">
        <v>5</v>
      </c>
      <c r="E914" s="41">
        <v>1.5416396879721272E-4</v>
      </c>
    </row>
    <row r="915" spans="2:5" ht="15" customHeight="1">
      <c r="B915" s="84"/>
      <c r="C915" s="43" t="s">
        <v>149</v>
      </c>
      <c r="D915" s="42">
        <v>4</v>
      </c>
      <c r="E915" s="41">
        <v>1.2333117503777018E-4</v>
      </c>
    </row>
    <row r="916" spans="2:5" ht="15" customHeight="1">
      <c r="B916" s="84"/>
      <c r="C916" s="43" t="s">
        <v>146</v>
      </c>
      <c r="D916" s="42">
        <v>4</v>
      </c>
      <c r="E916" s="41">
        <v>1.2333117503777018E-4</v>
      </c>
    </row>
    <row r="917" spans="2:5" ht="15" customHeight="1">
      <c r="B917" s="84"/>
      <c r="C917" s="43" t="s">
        <v>155</v>
      </c>
      <c r="D917" s="42">
        <v>10</v>
      </c>
      <c r="E917" s="41">
        <v>3.0832793759442544E-4</v>
      </c>
    </row>
    <row r="918" spans="2:5" ht="15" customHeight="1">
      <c r="B918" s="84"/>
      <c r="C918" s="43" t="s">
        <v>138</v>
      </c>
      <c r="D918" s="42">
        <v>2</v>
      </c>
      <c r="E918" s="41">
        <v>6.1665587518885091E-5</v>
      </c>
    </row>
    <row r="919" spans="2:5" ht="15" customHeight="1">
      <c r="B919" s="84"/>
      <c r="C919" s="43" t="s">
        <v>173</v>
      </c>
      <c r="D919" s="42">
        <v>14</v>
      </c>
      <c r="E919" s="41">
        <v>4.316591126321956E-4</v>
      </c>
    </row>
    <row r="920" spans="2:5" ht="15" customHeight="1">
      <c r="B920" s="84"/>
      <c r="C920" s="43" t="s">
        <v>154</v>
      </c>
      <c r="D920" s="42">
        <v>7</v>
      </c>
      <c r="E920" s="41">
        <v>2.158295563160978E-4</v>
      </c>
    </row>
    <row r="921" spans="2:5" ht="15" customHeight="1">
      <c r="B921" s="84"/>
      <c r="C921" s="43" t="s">
        <v>162</v>
      </c>
      <c r="D921" s="42">
        <v>1</v>
      </c>
      <c r="E921" s="41">
        <v>3.0832793759442546E-5</v>
      </c>
    </row>
    <row r="922" spans="2:5" ht="15" customHeight="1">
      <c r="B922" s="84"/>
      <c r="C922" s="43" t="s">
        <v>166</v>
      </c>
      <c r="D922" s="42">
        <v>17</v>
      </c>
      <c r="E922" s="41">
        <v>5.2415749391052319E-4</v>
      </c>
    </row>
    <row r="923" spans="2:5" ht="15" customHeight="1">
      <c r="B923" s="84"/>
      <c r="C923" s="43" t="s">
        <v>145</v>
      </c>
      <c r="D923" s="42">
        <v>6</v>
      </c>
      <c r="E923" s="41">
        <v>1.8499676255665526E-4</v>
      </c>
    </row>
    <row r="924" spans="2:5" ht="15" customHeight="1">
      <c r="B924" s="85"/>
      <c r="C924" s="40" t="s">
        <v>23</v>
      </c>
      <c r="D924" s="39">
        <v>806</v>
      </c>
      <c r="E924" s="38">
        <v>2.4851231770110688E-2</v>
      </c>
    </row>
    <row r="925" spans="2:5" ht="15" customHeight="1">
      <c r="B925" s="83" t="s">
        <v>24</v>
      </c>
      <c r="C925" s="43" t="s">
        <v>180</v>
      </c>
      <c r="D925" s="42">
        <v>1</v>
      </c>
      <c r="E925" s="41">
        <v>3.0832793759442546E-5</v>
      </c>
    </row>
    <row r="926" spans="2:5" ht="15" customHeight="1">
      <c r="B926" s="85"/>
      <c r="C926" s="40" t="s">
        <v>23</v>
      </c>
      <c r="D926" s="39">
        <v>1</v>
      </c>
      <c r="E926" s="38">
        <v>3.0832793759442546E-5</v>
      </c>
    </row>
    <row r="927" spans="2:5" ht="15" customHeight="1">
      <c r="B927" s="83" t="s">
        <v>49</v>
      </c>
      <c r="C927" s="43" t="s">
        <v>172</v>
      </c>
      <c r="D927" s="42">
        <v>2</v>
      </c>
      <c r="E927" s="41">
        <v>6.1665587518885091E-5</v>
      </c>
    </row>
    <row r="928" spans="2:5" ht="15" customHeight="1">
      <c r="B928" s="84"/>
      <c r="C928" s="43" t="s">
        <v>148</v>
      </c>
      <c r="D928" s="42">
        <v>1</v>
      </c>
      <c r="E928" s="41">
        <v>3.0832793759442546E-5</v>
      </c>
    </row>
    <row r="929" spans="2:5" ht="15" customHeight="1">
      <c r="B929" s="84"/>
      <c r="C929" s="43" t="s">
        <v>152</v>
      </c>
      <c r="D929" s="42">
        <v>1</v>
      </c>
      <c r="E929" s="41">
        <v>3.0832793759442546E-5</v>
      </c>
    </row>
    <row r="930" spans="2:5" ht="15" customHeight="1">
      <c r="B930" s="84"/>
      <c r="C930" s="43" t="s">
        <v>170</v>
      </c>
      <c r="D930" s="42">
        <v>1</v>
      </c>
      <c r="E930" s="41">
        <v>3.0832793759442546E-5</v>
      </c>
    </row>
    <row r="931" spans="2:5" ht="15" customHeight="1">
      <c r="B931" s="84"/>
      <c r="C931" s="43" t="s">
        <v>140</v>
      </c>
      <c r="D931" s="42">
        <v>6</v>
      </c>
      <c r="E931" s="41">
        <v>1.8499676255665526E-4</v>
      </c>
    </row>
    <row r="932" spans="2:5" ht="15" customHeight="1">
      <c r="B932" s="84"/>
      <c r="C932" s="43" t="s">
        <v>156</v>
      </c>
      <c r="D932" s="42">
        <v>1</v>
      </c>
      <c r="E932" s="41">
        <v>3.0832793759442546E-5</v>
      </c>
    </row>
    <row r="933" spans="2:5" ht="15" customHeight="1">
      <c r="B933" s="84"/>
      <c r="C933" s="43" t="s">
        <v>174</v>
      </c>
      <c r="D933" s="42">
        <v>2</v>
      </c>
      <c r="E933" s="41">
        <v>6.1665587518885091E-5</v>
      </c>
    </row>
    <row r="934" spans="2:5" ht="15" customHeight="1">
      <c r="B934" s="84"/>
      <c r="C934" s="43" t="s">
        <v>176</v>
      </c>
      <c r="D934" s="42">
        <v>3</v>
      </c>
      <c r="E934" s="41">
        <v>9.249838127832763E-5</v>
      </c>
    </row>
    <row r="935" spans="2:5" ht="15" customHeight="1">
      <c r="B935" s="84"/>
      <c r="C935" s="43" t="s">
        <v>179</v>
      </c>
      <c r="D935" s="42">
        <v>7</v>
      </c>
      <c r="E935" s="41">
        <v>2.158295563160978E-4</v>
      </c>
    </row>
    <row r="936" spans="2:5" ht="15" customHeight="1">
      <c r="B936" s="84"/>
      <c r="C936" s="43" t="s">
        <v>159</v>
      </c>
      <c r="D936" s="42">
        <v>1</v>
      </c>
      <c r="E936" s="41">
        <v>3.0832793759442546E-5</v>
      </c>
    </row>
    <row r="937" spans="2:5" ht="15" customHeight="1">
      <c r="B937" s="84"/>
      <c r="C937" s="43" t="s">
        <v>168</v>
      </c>
      <c r="D937" s="42">
        <v>2</v>
      </c>
      <c r="E937" s="41">
        <v>6.1665587518885091E-5</v>
      </c>
    </row>
    <row r="938" spans="2:5" ht="15" customHeight="1">
      <c r="B938" s="84"/>
      <c r="C938" s="43" t="s">
        <v>180</v>
      </c>
      <c r="D938" s="42">
        <v>2</v>
      </c>
      <c r="E938" s="41">
        <v>6.1665587518885091E-5</v>
      </c>
    </row>
    <row r="939" spans="2:5" ht="15" customHeight="1">
      <c r="B939" s="84"/>
      <c r="C939" s="43" t="s">
        <v>165</v>
      </c>
      <c r="D939" s="42">
        <v>2</v>
      </c>
      <c r="E939" s="41">
        <v>6.1665587518885091E-5</v>
      </c>
    </row>
    <row r="940" spans="2:5" ht="15" customHeight="1">
      <c r="B940" s="84"/>
      <c r="C940" s="43" t="s">
        <v>181</v>
      </c>
      <c r="D940" s="42">
        <v>8</v>
      </c>
      <c r="E940" s="41">
        <v>2.4666235007554037E-4</v>
      </c>
    </row>
    <row r="941" spans="2:5" ht="15" customHeight="1">
      <c r="B941" s="84"/>
      <c r="C941" s="43" t="s">
        <v>167</v>
      </c>
      <c r="D941" s="42">
        <v>13</v>
      </c>
      <c r="E941" s="41">
        <v>4.0082631887275309E-4</v>
      </c>
    </row>
    <row r="942" spans="2:5" ht="15" customHeight="1">
      <c r="B942" s="84"/>
      <c r="C942" s="43" t="s">
        <v>163</v>
      </c>
      <c r="D942" s="42">
        <v>1</v>
      </c>
      <c r="E942" s="41">
        <v>3.0832793759442546E-5</v>
      </c>
    </row>
    <row r="943" spans="2:5" ht="15" customHeight="1">
      <c r="B943" s="84"/>
      <c r="C943" s="43" t="s">
        <v>182</v>
      </c>
      <c r="D943" s="42">
        <v>27</v>
      </c>
      <c r="E943" s="41">
        <v>8.3248543150494863E-4</v>
      </c>
    </row>
    <row r="944" spans="2:5" ht="15" customHeight="1">
      <c r="B944" s="84"/>
      <c r="C944" s="43" t="s">
        <v>175</v>
      </c>
      <c r="D944" s="42">
        <v>1</v>
      </c>
      <c r="E944" s="41">
        <v>3.0832793759442546E-5</v>
      </c>
    </row>
    <row r="945" spans="2:5" ht="15" customHeight="1">
      <c r="B945" s="84"/>
      <c r="C945" s="43" t="s">
        <v>157</v>
      </c>
      <c r="D945" s="42">
        <v>1</v>
      </c>
      <c r="E945" s="41">
        <v>3.0832793759442546E-5</v>
      </c>
    </row>
    <row r="946" spans="2:5" ht="15" customHeight="1">
      <c r="B946" s="84"/>
      <c r="C946" s="43" t="s">
        <v>169</v>
      </c>
      <c r="D946" s="42">
        <v>1</v>
      </c>
      <c r="E946" s="41">
        <v>3.0832793759442546E-5</v>
      </c>
    </row>
    <row r="947" spans="2:5" ht="15" customHeight="1">
      <c r="B947" s="84"/>
      <c r="C947" s="43" t="s">
        <v>160</v>
      </c>
      <c r="D947" s="42">
        <v>3</v>
      </c>
      <c r="E947" s="41">
        <v>9.249838127832763E-5</v>
      </c>
    </row>
    <row r="948" spans="2:5" ht="15" customHeight="1">
      <c r="B948" s="84"/>
      <c r="C948" s="43" t="s">
        <v>139</v>
      </c>
      <c r="D948" s="42">
        <v>1</v>
      </c>
      <c r="E948" s="41">
        <v>3.0832793759442546E-5</v>
      </c>
    </row>
    <row r="949" spans="2:5" ht="15" customHeight="1">
      <c r="B949" s="84"/>
      <c r="C949" s="43" t="s">
        <v>141</v>
      </c>
      <c r="D949" s="42">
        <v>1</v>
      </c>
      <c r="E949" s="41">
        <v>3.0832793759442546E-5</v>
      </c>
    </row>
    <row r="950" spans="2:5" ht="15" customHeight="1">
      <c r="B950" s="84"/>
      <c r="C950" s="43" t="s">
        <v>155</v>
      </c>
      <c r="D950" s="42">
        <v>2</v>
      </c>
      <c r="E950" s="41">
        <v>6.1665587518885091E-5</v>
      </c>
    </row>
    <row r="951" spans="2:5" ht="15" customHeight="1">
      <c r="B951" s="84"/>
      <c r="C951" s="43" t="s">
        <v>173</v>
      </c>
      <c r="D951" s="42">
        <v>39</v>
      </c>
      <c r="E951" s="41">
        <v>1.2024789566182591E-3</v>
      </c>
    </row>
    <row r="952" spans="2:5" ht="15" customHeight="1">
      <c r="B952" s="84"/>
      <c r="C952" s="43" t="s">
        <v>154</v>
      </c>
      <c r="D952" s="42">
        <v>1</v>
      </c>
      <c r="E952" s="41">
        <v>3.0832793759442546E-5</v>
      </c>
    </row>
    <row r="953" spans="2:5" ht="15" customHeight="1">
      <c r="B953" s="84"/>
      <c r="C953" s="43" t="s">
        <v>162</v>
      </c>
      <c r="D953" s="42">
        <v>3</v>
      </c>
      <c r="E953" s="41">
        <v>9.249838127832763E-5</v>
      </c>
    </row>
    <row r="954" spans="2:5" ht="15" customHeight="1">
      <c r="B954" s="85"/>
      <c r="C954" s="40" t="s">
        <v>23</v>
      </c>
      <c r="D954" s="39">
        <v>133</v>
      </c>
      <c r="E954" s="38">
        <v>4.1007615700058581E-3</v>
      </c>
    </row>
    <row r="955" spans="2:5" ht="15" customHeight="1">
      <c r="B955" s="83" t="s">
        <v>63</v>
      </c>
      <c r="C955" s="43" t="s">
        <v>172</v>
      </c>
      <c r="D955" s="42">
        <v>14</v>
      </c>
      <c r="E955" s="41">
        <v>4.316591126321956E-4</v>
      </c>
    </row>
    <row r="956" spans="2:5" ht="15" customHeight="1">
      <c r="B956" s="84"/>
      <c r="C956" s="43" t="s">
        <v>148</v>
      </c>
      <c r="D956" s="42">
        <v>10</v>
      </c>
      <c r="E956" s="41">
        <v>3.0832793759442544E-4</v>
      </c>
    </row>
    <row r="957" spans="2:5" ht="15" customHeight="1">
      <c r="B957" s="84"/>
      <c r="C957" s="43" t="s">
        <v>152</v>
      </c>
      <c r="D957" s="42">
        <v>10</v>
      </c>
      <c r="E957" s="41">
        <v>3.0832793759442544E-4</v>
      </c>
    </row>
    <row r="958" spans="2:5" ht="15" customHeight="1">
      <c r="B958" s="84"/>
      <c r="C958" s="43" t="s">
        <v>142</v>
      </c>
      <c r="D958" s="42">
        <v>2</v>
      </c>
      <c r="E958" s="41">
        <v>6.1665587518885091E-5</v>
      </c>
    </row>
    <row r="959" spans="2:5" ht="15" customHeight="1">
      <c r="B959" s="84"/>
      <c r="C959" s="43" t="s">
        <v>170</v>
      </c>
      <c r="D959" s="42">
        <v>87</v>
      </c>
      <c r="E959" s="41">
        <v>2.6824530570715012E-3</v>
      </c>
    </row>
    <row r="960" spans="2:5" ht="15" customHeight="1">
      <c r="B960" s="84"/>
      <c r="C960" s="43" t="s">
        <v>140</v>
      </c>
      <c r="D960" s="42">
        <v>3</v>
      </c>
      <c r="E960" s="41">
        <v>9.249838127832763E-5</v>
      </c>
    </row>
    <row r="961" spans="2:5" ht="15" customHeight="1">
      <c r="B961" s="84"/>
      <c r="C961" s="43" t="s">
        <v>156</v>
      </c>
      <c r="D961" s="42">
        <v>13</v>
      </c>
      <c r="E961" s="41">
        <v>4.0082631887275309E-4</v>
      </c>
    </row>
    <row r="962" spans="2:5" ht="15" customHeight="1">
      <c r="B962" s="84"/>
      <c r="C962" s="43" t="s">
        <v>174</v>
      </c>
      <c r="D962" s="42">
        <v>11</v>
      </c>
      <c r="E962" s="41">
        <v>3.3916073135386795E-4</v>
      </c>
    </row>
    <row r="963" spans="2:5" ht="15" customHeight="1">
      <c r="B963" s="84"/>
      <c r="C963" s="43" t="s">
        <v>127</v>
      </c>
      <c r="D963" s="42">
        <v>2</v>
      </c>
      <c r="E963" s="41">
        <v>6.1665587518885091E-5</v>
      </c>
    </row>
    <row r="964" spans="2:5" ht="15" customHeight="1">
      <c r="B964" s="84"/>
      <c r="C964" s="43" t="s">
        <v>164</v>
      </c>
      <c r="D964" s="42">
        <v>4</v>
      </c>
      <c r="E964" s="41">
        <v>1.2333117503777018E-4</v>
      </c>
    </row>
    <row r="965" spans="2:5" ht="15" customHeight="1">
      <c r="B965" s="84"/>
      <c r="C965" s="43" t="s">
        <v>176</v>
      </c>
      <c r="D965" s="42">
        <v>12</v>
      </c>
      <c r="E965" s="41">
        <v>3.6999352511331052E-4</v>
      </c>
    </row>
    <row r="966" spans="2:5" ht="15" customHeight="1">
      <c r="B966" s="84"/>
      <c r="C966" s="43" t="s">
        <v>178</v>
      </c>
      <c r="D966" s="42">
        <v>13</v>
      </c>
      <c r="E966" s="41">
        <v>4.0082631887275309E-4</v>
      </c>
    </row>
    <row r="967" spans="2:5" ht="15" customHeight="1">
      <c r="B967" s="84"/>
      <c r="C967" s="43" t="s">
        <v>179</v>
      </c>
      <c r="D967" s="42">
        <v>27</v>
      </c>
      <c r="E967" s="41">
        <v>8.3248543150494863E-4</v>
      </c>
    </row>
    <row r="968" spans="2:5" ht="15" customHeight="1">
      <c r="B968" s="84"/>
      <c r="C968" s="43" t="s">
        <v>159</v>
      </c>
      <c r="D968" s="42">
        <v>9</v>
      </c>
      <c r="E968" s="41">
        <v>2.7749514383498288E-4</v>
      </c>
    </row>
    <row r="969" spans="2:5" ht="15" customHeight="1">
      <c r="B969" s="84"/>
      <c r="C969" s="43" t="s">
        <v>135</v>
      </c>
      <c r="D969" s="42">
        <v>1</v>
      </c>
      <c r="E969" s="41">
        <v>3.0832793759442546E-5</v>
      </c>
    </row>
    <row r="970" spans="2:5" ht="15" customHeight="1">
      <c r="B970" s="84"/>
      <c r="C970" s="43" t="s">
        <v>168</v>
      </c>
      <c r="D970" s="42">
        <v>21</v>
      </c>
      <c r="E970" s="41">
        <v>6.4748866894829345E-4</v>
      </c>
    </row>
    <row r="971" spans="2:5" ht="15" customHeight="1">
      <c r="B971" s="84"/>
      <c r="C971" s="43" t="s">
        <v>132</v>
      </c>
      <c r="D971" s="42">
        <v>2</v>
      </c>
      <c r="E971" s="41">
        <v>6.1665587518885091E-5</v>
      </c>
    </row>
    <row r="972" spans="2:5" ht="15" customHeight="1">
      <c r="B972" s="84"/>
      <c r="C972" s="43" t="s">
        <v>158</v>
      </c>
      <c r="D972" s="42">
        <v>6</v>
      </c>
      <c r="E972" s="41">
        <v>1.8499676255665526E-4</v>
      </c>
    </row>
    <row r="973" spans="2:5" ht="15" customHeight="1">
      <c r="B973" s="84"/>
      <c r="C973" s="43" t="s">
        <v>180</v>
      </c>
      <c r="D973" s="42">
        <v>17</v>
      </c>
      <c r="E973" s="41">
        <v>5.2415749391052319E-4</v>
      </c>
    </row>
    <row r="974" spans="2:5" ht="15" customHeight="1">
      <c r="B974" s="84"/>
      <c r="C974" s="43" t="s">
        <v>177</v>
      </c>
      <c r="D974" s="42">
        <v>31</v>
      </c>
      <c r="E974" s="41">
        <v>9.5581660654271879E-4</v>
      </c>
    </row>
    <row r="975" spans="2:5" ht="15" customHeight="1">
      <c r="B975" s="84"/>
      <c r="C975" s="43" t="s">
        <v>165</v>
      </c>
      <c r="D975" s="42">
        <v>2</v>
      </c>
      <c r="E975" s="41">
        <v>6.1665587518885091E-5</v>
      </c>
    </row>
    <row r="976" spans="2:5" ht="15" customHeight="1">
      <c r="B976" s="84"/>
      <c r="C976" s="43" t="s">
        <v>171</v>
      </c>
      <c r="D976" s="42">
        <v>9</v>
      </c>
      <c r="E976" s="41">
        <v>2.7749514383498288E-4</v>
      </c>
    </row>
    <row r="977" spans="2:5" ht="15" customHeight="1">
      <c r="B977" s="84"/>
      <c r="C977" s="43" t="s">
        <v>181</v>
      </c>
      <c r="D977" s="42">
        <v>73</v>
      </c>
      <c r="E977" s="41">
        <v>2.2507939444393055E-3</v>
      </c>
    </row>
    <row r="978" spans="2:5" ht="15" customHeight="1">
      <c r="B978" s="84"/>
      <c r="C978" s="43" t="s">
        <v>167</v>
      </c>
      <c r="D978" s="42">
        <v>10</v>
      </c>
      <c r="E978" s="41">
        <v>3.0832793759442544E-4</v>
      </c>
    </row>
    <row r="979" spans="2:5" ht="15" customHeight="1">
      <c r="B979" s="84"/>
      <c r="C979" s="43" t="s">
        <v>163</v>
      </c>
      <c r="D979" s="42">
        <v>7</v>
      </c>
      <c r="E979" s="41">
        <v>2.158295563160978E-4</v>
      </c>
    </row>
    <row r="980" spans="2:5" ht="15" customHeight="1">
      <c r="B980" s="84"/>
      <c r="C980" s="43" t="s">
        <v>182</v>
      </c>
      <c r="D980" s="42">
        <v>114</v>
      </c>
      <c r="E980" s="41">
        <v>3.5149384885764497E-3</v>
      </c>
    </row>
    <row r="981" spans="2:5" ht="15" customHeight="1">
      <c r="B981" s="84"/>
      <c r="C981" s="43" t="s">
        <v>137</v>
      </c>
      <c r="D981" s="42">
        <v>4</v>
      </c>
      <c r="E981" s="41">
        <v>1.2333117503777018E-4</v>
      </c>
    </row>
    <row r="982" spans="2:5" ht="15" customHeight="1">
      <c r="B982" s="84"/>
      <c r="C982" s="43" t="s">
        <v>151</v>
      </c>
      <c r="D982" s="42">
        <v>5</v>
      </c>
      <c r="E982" s="41">
        <v>1.5416396879721272E-4</v>
      </c>
    </row>
    <row r="983" spans="2:5" ht="15" customHeight="1">
      <c r="B983" s="84"/>
      <c r="C983" s="43" t="s">
        <v>134</v>
      </c>
      <c r="D983" s="42">
        <v>2</v>
      </c>
      <c r="E983" s="41">
        <v>6.1665587518885091E-5</v>
      </c>
    </row>
    <row r="984" spans="2:5" ht="15" customHeight="1">
      <c r="B984" s="84"/>
      <c r="C984" s="43" t="s">
        <v>150</v>
      </c>
      <c r="D984" s="42">
        <v>7</v>
      </c>
      <c r="E984" s="41">
        <v>2.158295563160978E-4</v>
      </c>
    </row>
    <row r="985" spans="2:5" ht="15" customHeight="1">
      <c r="B985" s="84"/>
      <c r="C985" s="43" t="s">
        <v>175</v>
      </c>
      <c r="D985" s="42">
        <v>32</v>
      </c>
      <c r="E985" s="41">
        <v>9.8664940030216146E-4</v>
      </c>
    </row>
    <row r="986" spans="2:5" ht="15" customHeight="1">
      <c r="B986" s="84"/>
      <c r="C986" s="43" t="s">
        <v>157</v>
      </c>
      <c r="D986" s="42">
        <v>2</v>
      </c>
      <c r="E986" s="41">
        <v>6.1665587518885091E-5</v>
      </c>
    </row>
    <row r="987" spans="2:5" ht="15" customHeight="1">
      <c r="B987" s="84"/>
      <c r="C987" s="43" t="s">
        <v>143</v>
      </c>
      <c r="D987" s="42">
        <v>2</v>
      </c>
      <c r="E987" s="41">
        <v>6.1665587518885091E-5</v>
      </c>
    </row>
    <row r="988" spans="2:5" ht="15" customHeight="1">
      <c r="B988" s="84"/>
      <c r="C988" s="43" t="s">
        <v>169</v>
      </c>
      <c r="D988" s="42">
        <v>18</v>
      </c>
      <c r="E988" s="41">
        <v>5.5499028766996575E-4</v>
      </c>
    </row>
    <row r="989" spans="2:5" ht="15" customHeight="1">
      <c r="B989" s="84"/>
      <c r="C989" s="43" t="s">
        <v>160</v>
      </c>
      <c r="D989" s="42">
        <v>2</v>
      </c>
      <c r="E989" s="41">
        <v>6.1665587518885091E-5</v>
      </c>
    </row>
    <row r="990" spans="2:5" ht="15" customHeight="1">
      <c r="B990" s="84"/>
      <c r="C990" s="43" t="s">
        <v>133</v>
      </c>
      <c r="D990" s="42">
        <v>1</v>
      </c>
      <c r="E990" s="41">
        <v>3.0832793759442546E-5</v>
      </c>
    </row>
    <row r="991" spans="2:5" ht="15" customHeight="1">
      <c r="B991" s="84"/>
      <c r="C991" s="43" t="s">
        <v>147</v>
      </c>
      <c r="D991" s="42">
        <v>3</v>
      </c>
      <c r="E991" s="41">
        <v>9.249838127832763E-5</v>
      </c>
    </row>
    <row r="992" spans="2:5" ht="15" customHeight="1">
      <c r="B992" s="84"/>
      <c r="C992" s="43" t="s">
        <v>153</v>
      </c>
      <c r="D992" s="42">
        <v>7</v>
      </c>
      <c r="E992" s="41">
        <v>2.158295563160978E-4</v>
      </c>
    </row>
    <row r="993" spans="2:5" ht="15" customHeight="1">
      <c r="B993" s="84"/>
      <c r="C993" s="43" t="s">
        <v>141</v>
      </c>
      <c r="D993" s="42">
        <v>1</v>
      </c>
      <c r="E993" s="41">
        <v>3.0832793759442546E-5</v>
      </c>
    </row>
    <row r="994" spans="2:5" ht="15" customHeight="1">
      <c r="B994" s="84"/>
      <c r="C994" s="43" t="s">
        <v>146</v>
      </c>
      <c r="D994" s="42">
        <v>4</v>
      </c>
      <c r="E994" s="41">
        <v>1.2333117503777018E-4</v>
      </c>
    </row>
    <row r="995" spans="2:5" ht="15" customHeight="1">
      <c r="B995" s="84"/>
      <c r="C995" s="43" t="s">
        <v>144</v>
      </c>
      <c r="D995" s="42">
        <v>3</v>
      </c>
      <c r="E995" s="41">
        <v>9.249838127832763E-5</v>
      </c>
    </row>
    <row r="996" spans="2:5" ht="15" customHeight="1">
      <c r="B996" s="84"/>
      <c r="C996" s="43" t="s">
        <v>155</v>
      </c>
      <c r="D996" s="42">
        <v>2</v>
      </c>
      <c r="E996" s="41">
        <v>6.1665587518885091E-5</v>
      </c>
    </row>
    <row r="997" spans="2:5" ht="15" customHeight="1">
      <c r="B997" s="84"/>
      <c r="C997" s="43" t="s">
        <v>173</v>
      </c>
      <c r="D997" s="42">
        <v>22</v>
      </c>
      <c r="E997" s="41">
        <v>6.7832146270773591E-4</v>
      </c>
    </row>
    <row r="998" spans="2:5" ht="15" customHeight="1">
      <c r="B998" s="84"/>
      <c r="C998" s="43" t="s">
        <v>154</v>
      </c>
      <c r="D998" s="42">
        <v>18</v>
      </c>
      <c r="E998" s="41">
        <v>5.5499028766996575E-4</v>
      </c>
    </row>
    <row r="999" spans="2:5" ht="15" customHeight="1">
      <c r="B999" s="84"/>
      <c r="C999" s="43" t="s">
        <v>162</v>
      </c>
      <c r="D999" s="42">
        <v>4</v>
      </c>
      <c r="E999" s="41">
        <v>1.2333117503777018E-4</v>
      </c>
    </row>
    <row r="1000" spans="2:5" ht="15" customHeight="1">
      <c r="B1000" s="84"/>
      <c r="C1000" s="43" t="s">
        <v>161</v>
      </c>
      <c r="D1000" s="42">
        <v>1</v>
      </c>
      <c r="E1000" s="41">
        <v>3.0832793759442546E-5</v>
      </c>
    </row>
    <row r="1001" spans="2:5" ht="15" customHeight="1">
      <c r="B1001" s="84"/>
      <c r="C1001" s="43" t="s">
        <v>166</v>
      </c>
      <c r="D1001" s="42">
        <v>15</v>
      </c>
      <c r="E1001" s="41">
        <v>4.6249190639163816E-4</v>
      </c>
    </row>
    <row r="1002" spans="2:5" ht="15" customHeight="1">
      <c r="B1002" s="84"/>
      <c r="C1002" s="43" t="s">
        <v>145</v>
      </c>
      <c r="D1002" s="42">
        <v>17</v>
      </c>
      <c r="E1002" s="41">
        <v>5.2415749391052319E-4</v>
      </c>
    </row>
    <row r="1003" spans="2:5" ht="15" customHeight="1">
      <c r="B1003" s="85"/>
      <c r="C1003" s="40" t="s">
        <v>23</v>
      </c>
      <c r="D1003" s="39">
        <v>682</v>
      </c>
      <c r="E1003" s="38">
        <v>2.1027965343939813E-2</v>
      </c>
    </row>
    <row r="1004" spans="2:5" ht="15" customHeight="1">
      <c r="B1004" s="83" t="s">
        <v>37</v>
      </c>
      <c r="C1004" s="43" t="s">
        <v>148</v>
      </c>
      <c r="D1004" s="42">
        <v>1</v>
      </c>
      <c r="E1004" s="41">
        <v>3.0832793759442546E-5</v>
      </c>
    </row>
    <row r="1005" spans="2:5" ht="15" customHeight="1">
      <c r="B1005" s="84"/>
      <c r="C1005" s="43" t="s">
        <v>164</v>
      </c>
      <c r="D1005" s="42">
        <v>3</v>
      </c>
      <c r="E1005" s="41">
        <v>9.249838127832763E-5</v>
      </c>
    </row>
    <row r="1006" spans="2:5" ht="15" customHeight="1">
      <c r="B1006" s="84"/>
      <c r="C1006" s="43" t="s">
        <v>179</v>
      </c>
      <c r="D1006" s="42">
        <v>2</v>
      </c>
      <c r="E1006" s="41">
        <v>6.1665587518885091E-5</v>
      </c>
    </row>
    <row r="1007" spans="2:5" ht="15" customHeight="1">
      <c r="B1007" s="84"/>
      <c r="C1007" s="43" t="s">
        <v>159</v>
      </c>
      <c r="D1007" s="42">
        <v>3</v>
      </c>
      <c r="E1007" s="41">
        <v>9.249838127832763E-5</v>
      </c>
    </row>
    <row r="1008" spans="2:5" ht="15" customHeight="1">
      <c r="B1008" s="84"/>
      <c r="C1008" s="43" t="s">
        <v>177</v>
      </c>
      <c r="D1008" s="42">
        <v>1</v>
      </c>
      <c r="E1008" s="41">
        <v>3.0832793759442546E-5</v>
      </c>
    </row>
    <row r="1009" spans="2:5" ht="15" customHeight="1">
      <c r="B1009" s="84"/>
      <c r="C1009" s="43" t="s">
        <v>181</v>
      </c>
      <c r="D1009" s="42">
        <v>1</v>
      </c>
      <c r="E1009" s="41">
        <v>3.0832793759442546E-5</v>
      </c>
    </row>
    <row r="1010" spans="2:5" ht="15" customHeight="1">
      <c r="B1010" s="84"/>
      <c r="C1010" s="43" t="s">
        <v>163</v>
      </c>
      <c r="D1010" s="42">
        <v>1</v>
      </c>
      <c r="E1010" s="41">
        <v>3.0832793759442546E-5</v>
      </c>
    </row>
    <row r="1011" spans="2:5" ht="15" customHeight="1">
      <c r="B1011" s="84"/>
      <c r="C1011" s="43" t="s">
        <v>182</v>
      </c>
      <c r="D1011" s="42">
        <v>7</v>
      </c>
      <c r="E1011" s="41">
        <v>2.158295563160978E-4</v>
      </c>
    </row>
    <row r="1012" spans="2:5" ht="15" customHeight="1">
      <c r="B1012" s="84"/>
      <c r="C1012" s="43" t="s">
        <v>175</v>
      </c>
      <c r="D1012" s="42">
        <v>2</v>
      </c>
      <c r="E1012" s="41">
        <v>6.1665587518885091E-5</v>
      </c>
    </row>
    <row r="1013" spans="2:5" ht="15" customHeight="1">
      <c r="B1013" s="84"/>
      <c r="C1013" s="43" t="s">
        <v>157</v>
      </c>
      <c r="D1013" s="42">
        <v>8</v>
      </c>
      <c r="E1013" s="41">
        <v>2.4666235007554037E-4</v>
      </c>
    </row>
    <row r="1014" spans="2:5" ht="15" customHeight="1">
      <c r="B1014" s="84"/>
      <c r="C1014" s="43" t="s">
        <v>169</v>
      </c>
      <c r="D1014" s="42">
        <v>1</v>
      </c>
      <c r="E1014" s="41">
        <v>3.0832793759442546E-5</v>
      </c>
    </row>
    <row r="1015" spans="2:5" ht="15" customHeight="1">
      <c r="B1015" s="84"/>
      <c r="C1015" s="43" t="s">
        <v>139</v>
      </c>
      <c r="D1015" s="42">
        <v>1</v>
      </c>
      <c r="E1015" s="41">
        <v>3.0832793759442546E-5</v>
      </c>
    </row>
    <row r="1016" spans="2:5" ht="15" customHeight="1">
      <c r="B1016" s="84"/>
      <c r="C1016" s="43" t="s">
        <v>173</v>
      </c>
      <c r="D1016" s="42">
        <v>6</v>
      </c>
      <c r="E1016" s="41">
        <v>1.8499676255665526E-4</v>
      </c>
    </row>
    <row r="1017" spans="2:5" ht="15" customHeight="1">
      <c r="B1017" s="84"/>
      <c r="C1017" s="43" t="s">
        <v>162</v>
      </c>
      <c r="D1017" s="42">
        <v>1</v>
      </c>
      <c r="E1017" s="41">
        <v>3.0832793759442546E-5</v>
      </c>
    </row>
    <row r="1018" spans="2:5" ht="15" customHeight="1">
      <c r="B1018" s="84"/>
      <c r="C1018" s="43" t="s">
        <v>166</v>
      </c>
      <c r="D1018" s="42">
        <v>1</v>
      </c>
      <c r="E1018" s="41">
        <v>3.0832793759442546E-5</v>
      </c>
    </row>
    <row r="1019" spans="2:5" ht="15" customHeight="1">
      <c r="B1019" s="85"/>
      <c r="C1019" s="40" t="s">
        <v>23</v>
      </c>
      <c r="D1019" s="39">
        <v>39</v>
      </c>
      <c r="E1019" s="38">
        <v>1.2024789566182591E-3</v>
      </c>
    </row>
    <row r="1020" spans="2:5" ht="15" customHeight="1">
      <c r="B1020" s="83" t="s">
        <v>34</v>
      </c>
      <c r="C1020" s="43" t="s">
        <v>148</v>
      </c>
      <c r="D1020" s="42">
        <v>1</v>
      </c>
      <c r="E1020" s="41">
        <v>3.0832793759442546E-5</v>
      </c>
    </row>
    <row r="1021" spans="2:5" ht="15" customHeight="1">
      <c r="B1021" s="84"/>
      <c r="C1021" s="43" t="s">
        <v>142</v>
      </c>
      <c r="D1021" s="42">
        <v>1</v>
      </c>
      <c r="E1021" s="41">
        <v>3.0832793759442546E-5</v>
      </c>
    </row>
    <row r="1022" spans="2:5" ht="15" customHeight="1">
      <c r="B1022" s="84"/>
      <c r="C1022" s="43" t="s">
        <v>136</v>
      </c>
      <c r="D1022" s="42">
        <v>1</v>
      </c>
      <c r="E1022" s="41">
        <v>3.0832793759442546E-5</v>
      </c>
    </row>
    <row r="1023" spans="2:5" ht="15" customHeight="1">
      <c r="B1023" s="84"/>
      <c r="C1023" s="43" t="s">
        <v>176</v>
      </c>
      <c r="D1023" s="42">
        <v>1</v>
      </c>
      <c r="E1023" s="41">
        <v>3.0832793759442546E-5</v>
      </c>
    </row>
    <row r="1024" spans="2:5" ht="15" customHeight="1">
      <c r="B1024" s="84"/>
      <c r="C1024" s="43" t="s">
        <v>178</v>
      </c>
      <c r="D1024" s="42">
        <v>4</v>
      </c>
      <c r="E1024" s="41">
        <v>1.2333117503777018E-4</v>
      </c>
    </row>
    <row r="1025" spans="2:5" ht="15" customHeight="1">
      <c r="B1025" s="84"/>
      <c r="C1025" s="43" t="s">
        <v>179</v>
      </c>
      <c r="D1025" s="42">
        <v>6</v>
      </c>
      <c r="E1025" s="41">
        <v>1.8499676255665526E-4</v>
      </c>
    </row>
    <row r="1026" spans="2:5" ht="15" customHeight="1">
      <c r="B1026" s="84"/>
      <c r="C1026" s="43" t="s">
        <v>159</v>
      </c>
      <c r="D1026" s="42">
        <v>2</v>
      </c>
      <c r="E1026" s="41">
        <v>6.1665587518885091E-5</v>
      </c>
    </row>
    <row r="1027" spans="2:5" ht="15" customHeight="1">
      <c r="B1027" s="84"/>
      <c r="C1027" s="43" t="s">
        <v>168</v>
      </c>
      <c r="D1027" s="42">
        <v>1</v>
      </c>
      <c r="E1027" s="41">
        <v>3.0832793759442546E-5</v>
      </c>
    </row>
    <row r="1028" spans="2:5" ht="15" customHeight="1">
      <c r="B1028" s="84"/>
      <c r="C1028" s="43" t="s">
        <v>180</v>
      </c>
      <c r="D1028" s="42">
        <v>2</v>
      </c>
      <c r="E1028" s="41">
        <v>6.1665587518885091E-5</v>
      </c>
    </row>
    <row r="1029" spans="2:5" ht="15" customHeight="1">
      <c r="B1029" s="84"/>
      <c r="C1029" s="43" t="s">
        <v>181</v>
      </c>
      <c r="D1029" s="42">
        <v>2</v>
      </c>
      <c r="E1029" s="41">
        <v>6.1665587518885091E-5</v>
      </c>
    </row>
    <row r="1030" spans="2:5" ht="15" customHeight="1">
      <c r="B1030" s="84"/>
      <c r="C1030" s="43" t="s">
        <v>182</v>
      </c>
      <c r="D1030" s="42">
        <v>2</v>
      </c>
      <c r="E1030" s="41">
        <v>6.1665587518885091E-5</v>
      </c>
    </row>
    <row r="1031" spans="2:5" ht="15" customHeight="1">
      <c r="B1031" s="84"/>
      <c r="C1031" s="43" t="s">
        <v>150</v>
      </c>
      <c r="D1031" s="42">
        <v>1</v>
      </c>
      <c r="E1031" s="41">
        <v>3.0832793759442546E-5</v>
      </c>
    </row>
    <row r="1032" spans="2:5" ht="15" customHeight="1">
      <c r="B1032" s="84"/>
      <c r="C1032" s="43" t="s">
        <v>169</v>
      </c>
      <c r="D1032" s="42">
        <v>1</v>
      </c>
      <c r="E1032" s="41">
        <v>3.0832793759442546E-5</v>
      </c>
    </row>
    <row r="1033" spans="2:5" ht="15" customHeight="1">
      <c r="B1033" s="84"/>
      <c r="C1033" s="43" t="s">
        <v>160</v>
      </c>
      <c r="D1033" s="42">
        <v>2</v>
      </c>
      <c r="E1033" s="41">
        <v>6.1665587518885091E-5</v>
      </c>
    </row>
    <row r="1034" spans="2:5" ht="15" customHeight="1">
      <c r="B1034" s="84"/>
      <c r="C1034" s="43" t="s">
        <v>133</v>
      </c>
      <c r="D1034" s="42">
        <v>1</v>
      </c>
      <c r="E1034" s="41">
        <v>3.0832793759442546E-5</v>
      </c>
    </row>
    <row r="1035" spans="2:5" ht="15" customHeight="1">
      <c r="B1035" s="84"/>
      <c r="C1035" s="43" t="s">
        <v>147</v>
      </c>
      <c r="D1035" s="42">
        <v>1</v>
      </c>
      <c r="E1035" s="41">
        <v>3.0832793759442546E-5</v>
      </c>
    </row>
    <row r="1036" spans="2:5" ht="15" customHeight="1">
      <c r="B1036" s="84"/>
      <c r="C1036" s="43" t="s">
        <v>155</v>
      </c>
      <c r="D1036" s="42">
        <v>1</v>
      </c>
      <c r="E1036" s="41">
        <v>3.0832793759442546E-5</v>
      </c>
    </row>
    <row r="1037" spans="2:5" ht="15" customHeight="1">
      <c r="B1037" s="85"/>
      <c r="C1037" s="40" t="s">
        <v>23</v>
      </c>
      <c r="D1037" s="39">
        <v>30</v>
      </c>
      <c r="E1037" s="38">
        <v>9.2498381278327633E-4</v>
      </c>
    </row>
    <row r="1038" spans="2:5" ht="15" customHeight="1">
      <c r="B1038" s="83" t="s">
        <v>26</v>
      </c>
      <c r="C1038" s="43" t="s">
        <v>179</v>
      </c>
      <c r="D1038" s="42">
        <v>1</v>
      </c>
      <c r="E1038" s="41">
        <v>3.0832793759442546E-5</v>
      </c>
    </row>
    <row r="1039" spans="2:5" ht="15" customHeight="1">
      <c r="B1039" s="84"/>
      <c r="C1039" s="43" t="s">
        <v>159</v>
      </c>
      <c r="D1039" s="42">
        <v>1</v>
      </c>
      <c r="E1039" s="41">
        <v>3.0832793759442546E-5</v>
      </c>
    </row>
    <row r="1040" spans="2:5" ht="15" customHeight="1">
      <c r="B1040" s="84"/>
      <c r="C1040" s="43" t="s">
        <v>166</v>
      </c>
      <c r="D1040" s="42">
        <v>2</v>
      </c>
      <c r="E1040" s="41">
        <v>6.1665587518885091E-5</v>
      </c>
    </row>
    <row r="1041" spans="2:5" ht="15" customHeight="1">
      <c r="B1041" s="85"/>
      <c r="C1041" s="40" t="s">
        <v>23</v>
      </c>
      <c r="D1041" s="39">
        <v>4</v>
      </c>
      <c r="E1041" s="38">
        <v>1.2333117503777018E-4</v>
      </c>
    </row>
    <row r="1042" spans="2:5" ht="15" customHeight="1">
      <c r="B1042" s="83" t="s">
        <v>57</v>
      </c>
      <c r="C1042" s="43" t="s">
        <v>172</v>
      </c>
      <c r="D1042" s="42">
        <v>1</v>
      </c>
      <c r="E1042" s="41">
        <v>3.0832793759442546E-5</v>
      </c>
    </row>
    <row r="1043" spans="2:5" ht="15" customHeight="1">
      <c r="B1043" s="84"/>
      <c r="C1043" s="43" t="s">
        <v>148</v>
      </c>
      <c r="D1043" s="42">
        <v>9</v>
      </c>
      <c r="E1043" s="41">
        <v>2.7749514383498288E-4</v>
      </c>
    </row>
    <row r="1044" spans="2:5" ht="15" customHeight="1">
      <c r="B1044" s="84"/>
      <c r="C1044" s="43" t="s">
        <v>152</v>
      </c>
      <c r="D1044" s="42">
        <v>3</v>
      </c>
      <c r="E1044" s="41">
        <v>9.249838127832763E-5</v>
      </c>
    </row>
    <row r="1045" spans="2:5" ht="15" customHeight="1">
      <c r="B1045" s="84"/>
      <c r="C1045" s="43" t="s">
        <v>142</v>
      </c>
      <c r="D1045" s="42">
        <v>1</v>
      </c>
      <c r="E1045" s="41">
        <v>3.0832793759442546E-5</v>
      </c>
    </row>
    <row r="1046" spans="2:5" ht="15" customHeight="1">
      <c r="B1046" s="84"/>
      <c r="C1046" s="43" t="s">
        <v>136</v>
      </c>
      <c r="D1046" s="42">
        <v>2</v>
      </c>
      <c r="E1046" s="41">
        <v>6.1665587518885091E-5</v>
      </c>
    </row>
    <row r="1047" spans="2:5" ht="15" customHeight="1">
      <c r="B1047" s="84"/>
      <c r="C1047" s="43" t="s">
        <v>170</v>
      </c>
      <c r="D1047" s="42">
        <v>12</v>
      </c>
      <c r="E1047" s="41">
        <v>3.6999352511331052E-4</v>
      </c>
    </row>
    <row r="1048" spans="2:5" ht="15" customHeight="1">
      <c r="B1048" s="84"/>
      <c r="C1048" s="43" t="s">
        <v>174</v>
      </c>
      <c r="D1048" s="42">
        <v>4</v>
      </c>
      <c r="E1048" s="41">
        <v>1.2333117503777018E-4</v>
      </c>
    </row>
    <row r="1049" spans="2:5" ht="15" customHeight="1">
      <c r="B1049" s="84"/>
      <c r="C1049" s="43" t="s">
        <v>164</v>
      </c>
      <c r="D1049" s="42">
        <v>4</v>
      </c>
      <c r="E1049" s="41">
        <v>1.2333117503777018E-4</v>
      </c>
    </row>
    <row r="1050" spans="2:5" ht="15" customHeight="1">
      <c r="B1050" s="84"/>
      <c r="C1050" s="43" t="s">
        <v>176</v>
      </c>
      <c r="D1050" s="42">
        <v>15</v>
      </c>
      <c r="E1050" s="41">
        <v>4.6249190639163816E-4</v>
      </c>
    </row>
    <row r="1051" spans="2:5" ht="15" customHeight="1">
      <c r="B1051" s="84"/>
      <c r="C1051" s="43" t="s">
        <v>178</v>
      </c>
      <c r="D1051" s="42">
        <v>9</v>
      </c>
      <c r="E1051" s="41">
        <v>2.7749514383498288E-4</v>
      </c>
    </row>
    <row r="1052" spans="2:5" ht="15" customHeight="1">
      <c r="B1052" s="84"/>
      <c r="C1052" s="43" t="s">
        <v>179</v>
      </c>
      <c r="D1052" s="42">
        <v>17</v>
      </c>
      <c r="E1052" s="41">
        <v>5.2415749391052319E-4</v>
      </c>
    </row>
    <row r="1053" spans="2:5" ht="15" customHeight="1">
      <c r="B1053" s="84"/>
      <c r="C1053" s="43" t="s">
        <v>159</v>
      </c>
      <c r="D1053" s="42">
        <v>3</v>
      </c>
      <c r="E1053" s="41">
        <v>9.249838127832763E-5</v>
      </c>
    </row>
    <row r="1054" spans="2:5" ht="15" customHeight="1">
      <c r="B1054" s="84"/>
      <c r="C1054" s="43" t="s">
        <v>135</v>
      </c>
      <c r="D1054" s="42">
        <v>2</v>
      </c>
      <c r="E1054" s="41">
        <v>6.1665587518885091E-5</v>
      </c>
    </row>
    <row r="1055" spans="2:5" ht="15" customHeight="1">
      <c r="B1055" s="84"/>
      <c r="C1055" s="43" t="s">
        <v>168</v>
      </c>
      <c r="D1055" s="42">
        <v>5</v>
      </c>
      <c r="E1055" s="41">
        <v>1.5416396879721272E-4</v>
      </c>
    </row>
    <row r="1056" spans="2:5" ht="15" customHeight="1">
      <c r="B1056" s="84"/>
      <c r="C1056" s="43" t="s">
        <v>158</v>
      </c>
      <c r="D1056" s="42">
        <v>2</v>
      </c>
      <c r="E1056" s="41">
        <v>6.1665587518885091E-5</v>
      </c>
    </row>
    <row r="1057" spans="2:5" ht="15" customHeight="1">
      <c r="B1057" s="84"/>
      <c r="C1057" s="43" t="s">
        <v>180</v>
      </c>
      <c r="D1057" s="42">
        <v>9</v>
      </c>
      <c r="E1057" s="41">
        <v>2.7749514383498288E-4</v>
      </c>
    </row>
    <row r="1058" spans="2:5" ht="15" customHeight="1">
      <c r="B1058" s="84"/>
      <c r="C1058" s="43" t="s">
        <v>177</v>
      </c>
      <c r="D1058" s="42">
        <v>2</v>
      </c>
      <c r="E1058" s="41">
        <v>6.1665587518885091E-5</v>
      </c>
    </row>
    <row r="1059" spans="2:5" ht="15" customHeight="1">
      <c r="B1059" s="84"/>
      <c r="C1059" s="43" t="s">
        <v>165</v>
      </c>
      <c r="D1059" s="42">
        <v>1</v>
      </c>
      <c r="E1059" s="41">
        <v>3.0832793759442546E-5</v>
      </c>
    </row>
    <row r="1060" spans="2:5" ht="15" customHeight="1">
      <c r="B1060" s="84"/>
      <c r="C1060" s="43" t="s">
        <v>171</v>
      </c>
      <c r="D1060" s="42">
        <v>16</v>
      </c>
      <c r="E1060" s="41">
        <v>4.9332470015108073E-4</v>
      </c>
    </row>
    <row r="1061" spans="2:5" ht="15" customHeight="1">
      <c r="B1061" s="84"/>
      <c r="C1061" s="43" t="s">
        <v>181</v>
      </c>
      <c r="D1061" s="42">
        <v>23</v>
      </c>
      <c r="E1061" s="41">
        <v>7.0915425646717847E-4</v>
      </c>
    </row>
    <row r="1062" spans="2:5" ht="15" customHeight="1">
      <c r="B1062" s="84"/>
      <c r="C1062" s="43" t="s">
        <v>167</v>
      </c>
      <c r="D1062" s="42">
        <v>3</v>
      </c>
      <c r="E1062" s="41">
        <v>9.249838127832763E-5</v>
      </c>
    </row>
    <row r="1063" spans="2:5" ht="15" customHeight="1">
      <c r="B1063" s="84"/>
      <c r="C1063" s="43" t="s">
        <v>103</v>
      </c>
      <c r="D1063" s="42">
        <v>1</v>
      </c>
      <c r="E1063" s="41">
        <v>3.0832793759442546E-5</v>
      </c>
    </row>
    <row r="1064" spans="2:5" ht="15" customHeight="1">
      <c r="B1064" s="84"/>
      <c r="C1064" s="43" t="s">
        <v>163</v>
      </c>
      <c r="D1064" s="42">
        <v>6</v>
      </c>
      <c r="E1064" s="41">
        <v>1.8499676255665526E-4</v>
      </c>
    </row>
    <row r="1065" spans="2:5" ht="15" customHeight="1">
      <c r="B1065" s="84"/>
      <c r="C1065" s="43" t="s">
        <v>182</v>
      </c>
      <c r="D1065" s="42">
        <v>27</v>
      </c>
      <c r="E1065" s="41">
        <v>8.3248543150494863E-4</v>
      </c>
    </row>
    <row r="1066" spans="2:5" ht="15" customHeight="1">
      <c r="B1066" s="84"/>
      <c r="C1066" s="43" t="s">
        <v>151</v>
      </c>
      <c r="D1066" s="42">
        <v>3</v>
      </c>
      <c r="E1066" s="41">
        <v>9.249838127832763E-5</v>
      </c>
    </row>
    <row r="1067" spans="2:5" ht="15" customHeight="1">
      <c r="B1067" s="84"/>
      <c r="C1067" s="43" t="s">
        <v>150</v>
      </c>
      <c r="D1067" s="42">
        <v>1</v>
      </c>
      <c r="E1067" s="41">
        <v>3.0832793759442546E-5</v>
      </c>
    </row>
    <row r="1068" spans="2:5" ht="15" customHeight="1">
      <c r="B1068" s="84"/>
      <c r="C1068" s="43" t="s">
        <v>175</v>
      </c>
      <c r="D1068" s="42">
        <v>3</v>
      </c>
      <c r="E1068" s="41">
        <v>9.249838127832763E-5</v>
      </c>
    </row>
    <row r="1069" spans="2:5" ht="15" customHeight="1">
      <c r="B1069" s="84"/>
      <c r="C1069" s="43" t="s">
        <v>143</v>
      </c>
      <c r="D1069" s="42">
        <v>1</v>
      </c>
      <c r="E1069" s="41">
        <v>3.0832793759442546E-5</v>
      </c>
    </row>
    <row r="1070" spans="2:5" ht="15" customHeight="1">
      <c r="B1070" s="84"/>
      <c r="C1070" s="43" t="s">
        <v>169</v>
      </c>
      <c r="D1070" s="42">
        <v>7</v>
      </c>
      <c r="E1070" s="41">
        <v>2.158295563160978E-4</v>
      </c>
    </row>
    <row r="1071" spans="2:5" ht="15" customHeight="1">
      <c r="B1071" s="84"/>
      <c r="C1071" s="43" t="s">
        <v>160</v>
      </c>
      <c r="D1071" s="42">
        <v>28</v>
      </c>
      <c r="E1071" s="41">
        <v>8.633182252643912E-4</v>
      </c>
    </row>
    <row r="1072" spans="2:5" ht="15" customHeight="1">
      <c r="B1072" s="84"/>
      <c r="C1072" s="43" t="s">
        <v>131</v>
      </c>
      <c r="D1072" s="42">
        <v>1</v>
      </c>
      <c r="E1072" s="41">
        <v>3.0832793759442546E-5</v>
      </c>
    </row>
    <row r="1073" spans="2:5" ht="15" customHeight="1">
      <c r="B1073" s="84"/>
      <c r="C1073" s="43" t="s">
        <v>133</v>
      </c>
      <c r="D1073" s="42">
        <v>1</v>
      </c>
      <c r="E1073" s="41">
        <v>3.0832793759442546E-5</v>
      </c>
    </row>
    <row r="1074" spans="2:5" ht="15" customHeight="1">
      <c r="B1074" s="84"/>
      <c r="C1074" s="43" t="s">
        <v>147</v>
      </c>
      <c r="D1074" s="42">
        <v>3</v>
      </c>
      <c r="E1074" s="41">
        <v>9.249838127832763E-5</v>
      </c>
    </row>
    <row r="1075" spans="2:5" ht="15" customHeight="1">
      <c r="B1075" s="84"/>
      <c r="C1075" s="43" t="s">
        <v>153</v>
      </c>
      <c r="D1075" s="42">
        <v>4</v>
      </c>
      <c r="E1075" s="41">
        <v>1.2333117503777018E-4</v>
      </c>
    </row>
    <row r="1076" spans="2:5" ht="15" customHeight="1">
      <c r="B1076" s="84"/>
      <c r="C1076" s="43" t="s">
        <v>149</v>
      </c>
      <c r="D1076" s="42">
        <v>2</v>
      </c>
      <c r="E1076" s="41">
        <v>6.1665587518885091E-5</v>
      </c>
    </row>
    <row r="1077" spans="2:5" ht="15" customHeight="1">
      <c r="B1077" s="84"/>
      <c r="C1077" s="43" t="s">
        <v>138</v>
      </c>
      <c r="D1077" s="42">
        <v>1</v>
      </c>
      <c r="E1077" s="41">
        <v>3.0832793759442546E-5</v>
      </c>
    </row>
    <row r="1078" spans="2:5" ht="15" customHeight="1">
      <c r="B1078" s="84"/>
      <c r="C1078" s="43" t="s">
        <v>173</v>
      </c>
      <c r="D1078" s="42">
        <v>5</v>
      </c>
      <c r="E1078" s="41">
        <v>1.5416396879721272E-4</v>
      </c>
    </row>
    <row r="1079" spans="2:5" ht="15" customHeight="1">
      <c r="B1079" s="84"/>
      <c r="C1079" s="43" t="s">
        <v>154</v>
      </c>
      <c r="D1079" s="42">
        <v>1</v>
      </c>
      <c r="E1079" s="41">
        <v>3.0832793759442546E-5</v>
      </c>
    </row>
    <row r="1080" spans="2:5" ht="15" customHeight="1">
      <c r="B1080" s="84"/>
      <c r="C1080" s="43" t="s">
        <v>166</v>
      </c>
      <c r="D1080" s="42">
        <v>11</v>
      </c>
      <c r="E1080" s="41">
        <v>3.3916073135386795E-4</v>
      </c>
    </row>
    <row r="1081" spans="2:5" ht="15" customHeight="1">
      <c r="B1081" s="84"/>
      <c r="C1081" s="43" t="s">
        <v>145</v>
      </c>
      <c r="D1081" s="42">
        <v>1</v>
      </c>
      <c r="E1081" s="41">
        <v>3.0832793759442546E-5</v>
      </c>
    </row>
    <row r="1082" spans="2:5" ht="15" customHeight="1">
      <c r="B1082" s="85"/>
      <c r="C1082" s="40" t="s">
        <v>23</v>
      </c>
      <c r="D1082" s="39">
        <v>250</v>
      </c>
      <c r="E1082" s="38">
        <v>7.7081984398606361E-3</v>
      </c>
    </row>
    <row r="1083" spans="2:5" ht="15" customHeight="1">
      <c r="B1083" s="83" t="s">
        <v>28</v>
      </c>
      <c r="C1083" s="43" t="s">
        <v>178</v>
      </c>
      <c r="D1083" s="42">
        <v>1</v>
      </c>
      <c r="E1083" s="41">
        <v>3.0832793759442546E-5</v>
      </c>
    </row>
    <row r="1084" spans="2:5" ht="15" customHeight="1">
      <c r="B1084" s="84"/>
      <c r="C1084" s="43" t="s">
        <v>180</v>
      </c>
      <c r="D1084" s="42">
        <v>2</v>
      </c>
      <c r="E1084" s="41">
        <v>6.1665587518885091E-5</v>
      </c>
    </row>
    <row r="1085" spans="2:5" ht="15" customHeight="1">
      <c r="B1085" s="84"/>
      <c r="C1085" s="43" t="s">
        <v>181</v>
      </c>
      <c r="D1085" s="42">
        <v>1</v>
      </c>
      <c r="E1085" s="41">
        <v>3.0832793759442546E-5</v>
      </c>
    </row>
    <row r="1086" spans="2:5" ht="15" customHeight="1">
      <c r="B1086" s="84"/>
      <c r="C1086" s="43" t="s">
        <v>182</v>
      </c>
      <c r="D1086" s="42">
        <v>2</v>
      </c>
      <c r="E1086" s="41">
        <v>6.1665587518885091E-5</v>
      </c>
    </row>
    <row r="1087" spans="2:5" ht="15" customHeight="1">
      <c r="B1087" s="85"/>
      <c r="C1087" s="40" t="s">
        <v>23</v>
      </c>
      <c r="D1087" s="39">
        <v>6</v>
      </c>
      <c r="E1087" s="38">
        <v>1.8499676255665526E-4</v>
      </c>
    </row>
    <row r="1088" spans="2:5" ht="15" customHeight="1">
      <c r="B1088" s="83" t="s">
        <v>62</v>
      </c>
      <c r="C1088" s="43" t="s">
        <v>172</v>
      </c>
      <c r="D1088" s="42">
        <v>6</v>
      </c>
      <c r="E1088" s="41">
        <v>1.8499676255665526E-4</v>
      </c>
    </row>
    <row r="1089" spans="2:5" ht="15" customHeight="1">
      <c r="B1089" s="84"/>
      <c r="C1089" s="43" t="s">
        <v>148</v>
      </c>
      <c r="D1089" s="42">
        <v>2</v>
      </c>
      <c r="E1089" s="41">
        <v>6.1665587518885091E-5</v>
      </c>
    </row>
    <row r="1090" spans="2:5" ht="15" customHeight="1">
      <c r="B1090" s="84"/>
      <c r="C1090" s="43" t="s">
        <v>152</v>
      </c>
      <c r="D1090" s="42">
        <v>14</v>
      </c>
      <c r="E1090" s="41">
        <v>4.316591126321956E-4</v>
      </c>
    </row>
    <row r="1091" spans="2:5" ht="15" customHeight="1">
      <c r="B1091" s="84"/>
      <c r="C1091" s="43" t="s">
        <v>136</v>
      </c>
      <c r="D1091" s="42">
        <v>7</v>
      </c>
      <c r="E1091" s="41">
        <v>2.158295563160978E-4</v>
      </c>
    </row>
    <row r="1092" spans="2:5" ht="15" customHeight="1">
      <c r="B1092" s="84"/>
      <c r="C1092" s="43" t="s">
        <v>170</v>
      </c>
      <c r="D1092" s="42">
        <v>3</v>
      </c>
      <c r="E1092" s="41">
        <v>9.249838127832763E-5</v>
      </c>
    </row>
    <row r="1093" spans="2:5" ht="15" customHeight="1">
      <c r="B1093" s="84"/>
      <c r="C1093" s="43" t="s">
        <v>140</v>
      </c>
      <c r="D1093" s="42">
        <v>1</v>
      </c>
      <c r="E1093" s="41">
        <v>3.0832793759442546E-5</v>
      </c>
    </row>
    <row r="1094" spans="2:5" ht="15" customHeight="1">
      <c r="B1094" s="84"/>
      <c r="C1094" s="43" t="s">
        <v>156</v>
      </c>
      <c r="D1094" s="42">
        <v>1</v>
      </c>
      <c r="E1094" s="41">
        <v>3.0832793759442546E-5</v>
      </c>
    </row>
    <row r="1095" spans="2:5" ht="15" customHeight="1">
      <c r="B1095" s="84"/>
      <c r="C1095" s="43" t="s">
        <v>174</v>
      </c>
      <c r="D1095" s="42">
        <v>4</v>
      </c>
      <c r="E1095" s="41">
        <v>1.2333117503777018E-4</v>
      </c>
    </row>
    <row r="1096" spans="2:5" ht="15" customHeight="1">
      <c r="B1096" s="84"/>
      <c r="C1096" s="43" t="s">
        <v>164</v>
      </c>
      <c r="D1096" s="42">
        <v>3</v>
      </c>
      <c r="E1096" s="41">
        <v>9.249838127832763E-5</v>
      </c>
    </row>
    <row r="1097" spans="2:5" ht="15" customHeight="1">
      <c r="B1097" s="84"/>
      <c r="C1097" s="43" t="s">
        <v>176</v>
      </c>
      <c r="D1097" s="42">
        <v>6</v>
      </c>
      <c r="E1097" s="41">
        <v>1.8499676255665526E-4</v>
      </c>
    </row>
    <row r="1098" spans="2:5" ht="15" customHeight="1">
      <c r="B1098" s="84"/>
      <c r="C1098" s="43" t="s">
        <v>178</v>
      </c>
      <c r="D1098" s="42">
        <v>7</v>
      </c>
      <c r="E1098" s="41">
        <v>2.158295563160978E-4</v>
      </c>
    </row>
    <row r="1099" spans="2:5" ht="15" customHeight="1">
      <c r="B1099" s="84"/>
      <c r="C1099" s="43" t="s">
        <v>179</v>
      </c>
      <c r="D1099" s="42">
        <v>42</v>
      </c>
      <c r="E1099" s="41">
        <v>1.2949773378965869E-3</v>
      </c>
    </row>
    <row r="1100" spans="2:5" ht="15" customHeight="1">
      <c r="B1100" s="84"/>
      <c r="C1100" s="43" t="s">
        <v>159</v>
      </c>
      <c r="D1100" s="42">
        <v>6</v>
      </c>
      <c r="E1100" s="41">
        <v>1.8499676255665526E-4</v>
      </c>
    </row>
    <row r="1101" spans="2:5" ht="15" customHeight="1">
      <c r="B1101" s="84"/>
      <c r="C1101" s="43" t="s">
        <v>135</v>
      </c>
      <c r="D1101" s="42">
        <v>3</v>
      </c>
      <c r="E1101" s="41">
        <v>9.249838127832763E-5</v>
      </c>
    </row>
    <row r="1102" spans="2:5" ht="15" customHeight="1">
      <c r="B1102" s="84"/>
      <c r="C1102" s="43" t="s">
        <v>168</v>
      </c>
      <c r="D1102" s="42">
        <v>3</v>
      </c>
      <c r="E1102" s="41">
        <v>9.249838127832763E-5</v>
      </c>
    </row>
    <row r="1103" spans="2:5" ht="15" customHeight="1">
      <c r="B1103" s="84"/>
      <c r="C1103" s="43" t="s">
        <v>158</v>
      </c>
      <c r="D1103" s="42">
        <v>5</v>
      </c>
      <c r="E1103" s="41">
        <v>1.5416396879721272E-4</v>
      </c>
    </row>
    <row r="1104" spans="2:5" ht="15" customHeight="1">
      <c r="B1104" s="84"/>
      <c r="C1104" s="43" t="s">
        <v>180</v>
      </c>
      <c r="D1104" s="42">
        <v>47</v>
      </c>
      <c r="E1104" s="41">
        <v>1.4491413066937996E-3</v>
      </c>
    </row>
    <row r="1105" spans="2:5" ht="15" customHeight="1">
      <c r="B1105" s="84"/>
      <c r="C1105" s="43" t="s">
        <v>126</v>
      </c>
      <c r="D1105" s="42">
        <v>1</v>
      </c>
      <c r="E1105" s="41">
        <v>3.0832793759442546E-5</v>
      </c>
    </row>
    <row r="1106" spans="2:5" ht="15" customHeight="1">
      <c r="B1106" s="84"/>
      <c r="C1106" s="43" t="s">
        <v>177</v>
      </c>
      <c r="D1106" s="42">
        <v>4</v>
      </c>
      <c r="E1106" s="41">
        <v>1.2333117503777018E-4</v>
      </c>
    </row>
    <row r="1107" spans="2:5" ht="15" customHeight="1">
      <c r="B1107" s="84"/>
      <c r="C1107" s="43" t="s">
        <v>165</v>
      </c>
      <c r="D1107" s="42">
        <v>3</v>
      </c>
      <c r="E1107" s="41">
        <v>9.249838127832763E-5</v>
      </c>
    </row>
    <row r="1108" spans="2:5" ht="15" customHeight="1">
      <c r="B1108" s="84"/>
      <c r="C1108" s="43" t="s">
        <v>171</v>
      </c>
      <c r="D1108" s="42">
        <v>8</v>
      </c>
      <c r="E1108" s="41">
        <v>2.4666235007554037E-4</v>
      </c>
    </row>
    <row r="1109" spans="2:5" ht="15" customHeight="1">
      <c r="B1109" s="84"/>
      <c r="C1109" s="43" t="s">
        <v>181</v>
      </c>
      <c r="D1109" s="42">
        <v>66</v>
      </c>
      <c r="E1109" s="41">
        <v>2.0349643881232078E-3</v>
      </c>
    </row>
    <row r="1110" spans="2:5" ht="15" customHeight="1">
      <c r="B1110" s="84"/>
      <c r="C1110" s="43" t="s">
        <v>167</v>
      </c>
      <c r="D1110" s="42">
        <v>6</v>
      </c>
      <c r="E1110" s="41">
        <v>1.8499676255665526E-4</v>
      </c>
    </row>
    <row r="1111" spans="2:5" ht="15" customHeight="1">
      <c r="B1111" s="84"/>
      <c r="C1111" s="43" t="s">
        <v>103</v>
      </c>
      <c r="D1111" s="42">
        <v>1</v>
      </c>
      <c r="E1111" s="41">
        <v>3.0832793759442546E-5</v>
      </c>
    </row>
    <row r="1112" spans="2:5" ht="15" customHeight="1">
      <c r="B1112" s="84"/>
      <c r="C1112" s="43" t="s">
        <v>163</v>
      </c>
      <c r="D1112" s="42">
        <v>6</v>
      </c>
      <c r="E1112" s="41">
        <v>1.8499676255665526E-4</v>
      </c>
    </row>
    <row r="1113" spans="2:5" ht="15" customHeight="1">
      <c r="B1113" s="84"/>
      <c r="C1113" s="43" t="s">
        <v>182</v>
      </c>
      <c r="D1113" s="42">
        <v>54</v>
      </c>
      <c r="E1113" s="41">
        <v>1.6649708630098973E-3</v>
      </c>
    </row>
    <row r="1114" spans="2:5" ht="15" customHeight="1">
      <c r="B1114" s="84"/>
      <c r="C1114" s="43" t="s">
        <v>137</v>
      </c>
      <c r="D1114" s="42">
        <v>1</v>
      </c>
      <c r="E1114" s="41">
        <v>3.0832793759442546E-5</v>
      </c>
    </row>
    <row r="1115" spans="2:5" ht="15" customHeight="1">
      <c r="B1115" s="84"/>
      <c r="C1115" s="43" t="s">
        <v>151</v>
      </c>
      <c r="D1115" s="42">
        <v>5</v>
      </c>
      <c r="E1115" s="41">
        <v>1.5416396879721272E-4</v>
      </c>
    </row>
    <row r="1116" spans="2:5" ht="15" customHeight="1">
      <c r="B1116" s="84"/>
      <c r="C1116" s="43" t="s">
        <v>134</v>
      </c>
      <c r="D1116" s="42">
        <v>1</v>
      </c>
      <c r="E1116" s="41">
        <v>3.0832793759442546E-5</v>
      </c>
    </row>
    <row r="1117" spans="2:5" ht="15" customHeight="1">
      <c r="B1117" s="84"/>
      <c r="C1117" s="43" t="s">
        <v>150</v>
      </c>
      <c r="D1117" s="42">
        <v>7</v>
      </c>
      <c r="E1117" s="41">
        <v>2.158295563160978E-4</v>
      </c>
    </row>
    <row r="1118" spans="2:5" ht="15" customHeight="1">
      <c r="B1118" s="84"/>
      <c r="C1118" s="43" t="s">
        <v>175</v>
      </c>
      <c r="D1118" s="42">
        <v>48</v>
      </c>
      <c r="E1118" s="41">
        <v>1.4799741004532421E-3</v>
      </c>
    </row>
    <row r="1119" spans="2:5" ht="15" customHeight="1">
      <c r="B1119" s="84"/>
      <c r="C1119" s="43" t="s">
        <v>157</v>
      </c>
      <c r="D1119" s="42">
        <v>1</v>
      </c>
      <c r="E1119" s="41">
        <v>3.0832793759442546E-5</v>
      </c>
    </row>
    <row r="1120" spans="2:5" ht="15" customHeight="1">
      <c r="B1120" s="84"/>
      <c r="C1120" s="43" t="s">
        <v>143</v>
      </c>
      <c r="D1120" s="42">
        <v>2</v>
      </c>
      <c r="E1120" s="41">
        <v>6.1665587518885091E-5</v>
      </c>
    </row>
    <row r="1121" spans="2:5" ht="15" customHeight="1">
      <c r="B1121" s="84"/>
      <c r="C1121" s="43" t="s">
        <v>169</v>
      </c>
      <c r="D1121" s="42">
        <v>28</v>
      </c>
      <c r="E1121" s="41">
        <v>8.633182252643912E-4</v>
      </c>
    </row>
    <row r="1122" spans="2:5" ht="15" customHeight="1">
      <c r="B1122" s="84"/>
      <c r="C1122" s="43" t="s">
        <v>160</v>
      </c>
      <c r="D1122" s="42">
        <v>7</v>
      </c>
      <c r="E1122" s="41">
        <v>2.158295563160978E-4</v>
      </c>
    </row>
    <row r="1123" spans="2:5" ht="15" customHeight="1">
      <c r="B1123" s="84"/>
      <c r="C1123" s="43" t="s">
        <v>131</v>
      </c>
      <c r="D1123" s="42">
        <v>3</v>
      </c>
      <c r="E1123" s="41">
        <v>9.249838127832763E-5</v>
      </c>
    </row>
    <row r="1124" spans="2:5" ht="15" customHeight="1">
      <c r="B1124" s="84"/>
      <c r="C1124" s="43" t="s">
        <v>147</v>
      </c>
      <c r="D1124" s="42">
        <v>3</v>
      </c>
      <c r="E1124" s="41">
        <v>9.249838127832763E-5</v>
      </c>
    </row>
    <row r="1125" spans="2:5" ht="15" customHeight="1">
      <c r="B1125" s="84"/>
      <c r="C1125" s="43" t="s">
        <v>128</v>
      </c>
      <c r="D1125" s="42">
        <v>2</v>
      </c>
      <c r="E1125" s="41">
        <v>6.1665587518885091E-5</v>
      </c>
    </row>
    <row r="1126" spans="2:5" ht="15" customHeight="1">
      <c r="B1126" s="84"/>
      <c r="C1126" s="43" t="s">
        <v>153</v>
      </c>
      <c r="D1126" s="42">
        <v>2</v>
      </c>
      <c r="E1126" s="41">
        <v>6.1665587518885091E-5</v>
      </c>
    </row>
    <row r="1127" spans="2:5" ht="15" customHeight="1">
      <c r="B1127" s="84"/>
      <c r="C1127" s="43" t="s">
        <v>141</v>
      </c>
      <c r="D1127" s="42">
        <v>1</v>
      </c>
      <c r="E1127" s="41">
        <v>3.0832793759442546E-5</v>
      </c>
    </row>
    <row r="1128" spans="2:5" ht="15" customHeight="1">
      <c r="B1128" s="84"/>
      <c r="C1128" s="43" t="s">
        <v>149</v>
      </c>
      <c r="D1128" s="42">
        <v>2</v>
      </c>
      <c r="E1128" s="41">
        <v>6.1665587518885091E-5</v>
      </c>
    </row>
    <row r="1129" spans="2:5" ht="15" customHeight="1">
      <c r="B1129" s="84"/>
      <c r="C1129" s="43" t="s">
        <v>146</v>
      </c>
      <c r="D1129" s="42">
        <v>1</v>
      </c>
      <c r="E1129" s="41">
        <v>3.0832793759442546E-5</v>
      </c>
    </row>
    <row r="1130" spans="2:5" ht="15" customHeight="1">
      <c r="B1130" s="84"/>
      <c r="C1130" s="43" t="s">
        <v>144</v>
      </c>
      <c r="D1130" s="42">
        <v>4</v>
      </c>
      <c r="E1130" s="41">
        <v>1.2333117503777018E-4</v>
      </c>
    </row>
    <row r="1131" spans="2:5" ht="15" customHeight="1">
      <c r="B1131" s="84"/>
      <c r="C1131" s="43" t="s">
        <v>155</v>
      </c>
      <c r="D1131" s="42">
        <v>22</v>
      </c>
      <c r="E1131" s="41">
        <v>6.7832146270773591E-4</v>
      </c>
    </row>
    <row r="1132" spans="2:5" ht="15" customHeight="1">
      <c r="B1132" s="84"/>
      <c r="C1132" s="43" t="s">
        <v>138</v>
      </c>
      <c r="D1132" s="42">
        <v>2</v>
      </c>
      <c r="E1132" s="41">
        <v>6.1665587518885091E-5</v>
      </c>
    </row>
    <row r="1133" spans="2:5" ht="15" customHeight="1">
      <c r="B1133" s="84"/>
      <c r="C1133" s="43" t="s">
        <v>173</v>
      </c>
      <c r="D1133" s="42">
        <v>170</v>
      </c>
      <c r="E1133" s="41">
        <v>5.2415749391052325E-3</v>
      </c>
    </row>
    <row r="1134" spans="2:5" ht="15" customHeight="1">
      <c r="B1134" s="84"/>
      <c r="C1134" s="43" t="s">
        <v>154</v>
      </c>
      <c r="D1134" s="42">
        <v>6</v>
      </c>
      <c r="E1134" s="41">
        <v>1.8499676255665526E-4</v>
      </c>
    </row>
    <row r="1135" spans="2:5" ht="15" customHeight="1">
      <c r="B1135" s="84"/>
      <c r="C1135" s="43" t="s">
        <v>161</v>
      </c>
      <c r="D1135" s="42">
        <v>3</v>
      </c>
      <c r="E1135" s="41">
        <v>9.249838127832763E-5</v>
      </c>
    </row>
    <row r="1136" spans="2:5" ht="15" customHeight="1">
      <c r="B1136" s="84"/>
      <c r="C1136" s="43" t="s">
        <v>166</v>
      </c>
      <c r="D1136" s="42">
        <v>33</v>
      </c>
      <c r="E1136" s="41">
        <v>1.0174821940616039E-3</v>
      </c>
    </row>
    <row r="1137" spans="2:5" ht="15" customHeight="1">
      <c r="B1137" s="84"/>
      <c r="C1137" s="43" t="s">
        <v>145</v>
      </c>
      <c r="D1137" s="42">
        <v>3</v>
      </c>
      <c r="E1137" s="41">
        <v>9.249838127832763E-5</v>
      </c>
    </row>
    <row r="1138" spans="2:5" ht="15" customHeight="1">
      <c r="B1138" s="85"/>
      <c r="C1138" s="40" t="s">
        <v>23</v>
      </c>
      <c r="D1138" s="39">
        <v>666</v>
      </c>
      <c r="E1138" s="38">
        <v>2.0534640643788734E-2</v>
      </c>
    </row>
    <row r="1139" spans="2:5" ht="15" customHeight="1">
      <c r="B1139" s="83" t="s">
        <v>69</v>
      </c>
      <c r="C1139" s="43" t="s">
        <v>172</v>
      </c>
      <c r="D1139" s="42">
        <v>630</v>
      </c>
      <c r="E1139" s="41">
        <v>1.9424660068448802E-2</v>
      </c>
    </row>
    <row r="1140" spans="2:5" ht="15" customHeight="1">
      <c r="B1140" s="84"/>
      <c r="C1140" s="43" t="s">
        <v>148</v>
      </c>
      <c r="D1140" s="42">
        <v>178</v>
      </c>
      <c r="E1140" s="41">
        <v>5.4882372891807731E-3</v>
      </c>
    </row>
    <row r="1141" spans="2:5" ht="15" customHeight="1">
      <c r="B1141" s="84"/>
      <c r="C1141" s="43" t="s">
        <v>152</v>
      </c>
      <c r="D1141" s="42">
        <v>164</v>
      </c>
      <c r="E1141" s="41">
        <v>5.0565781765485769E-3</v>
      </c>
    </row>
    <row r="1142" spans="2:5" ht="15" customHeight="1">
      <c r="B1142" s="84"/>
      <c r="C1142" s="43" t="s">
        <v>142</v>
      </c>
      <c r="D1142" s="42">
        <v>116</v>
      </c>
      <c r="E1142" s="41">
        <v>3.576604076095335E-3</v>
      </c>
    </row>
    <row r="1143" spans="2:5" ht="15" customHeight="1">
      <c r="B1143" s="84"/>
      <c r="C1143" s="43" t="s">
        <v>136</v>
      </c>
      <c r="D1143" s="42">
        <v>29</v>
      </c>
      <c r="E1143" s="41">
        <v>8.9415101902383376E-4</v>
      </c>
    </row>
    <row r="1144" spans="2:5" ht="15" customHeight="1">
      <c r="B1144" s="84"/>
      <c r="C1144" s="43" t="s">
        <v>170</v>
      </c>
      <c r="D1144" s="42">
        <v>431</v>
      </c>
      <c r="E1144" s="41">
        <v>1.3288934110319736E-2</v>
      </c>
    </row>
    <row r="1145" spans="2:5" ht="15" customHeight="1">
      <c r="B1145" s="84"/>
      <c r="C1145" s="43" t="s">
        <v>140</v>
      </c>
      <c r="D1145" s="42">
        <v>59</v>
      </c>
      <c r="E1145" s="41">
        <v>1.81913483180711E-3</v>
      </c>
    </row>
    <row r="1146" spans="2:5" ht="15" customHeight="1">
      <c r="B1146" s="84"/>
      <c r="C1146" s="43" t="s">
        <v>156</v>
      </c>
      <c r="D1146" s="42">
        <v>315</v>
      </c>
      <c r="E1146" s="41">
        <v>9.712330034224401E-3</v>
      </c>
    </row>
    <row r="1147" spans="2:5" ht="15" customHeight="1">
      <c r="B1147" s="84"/>
      <c r="C1147" s="43" t="s">
        <v>174</v>
      </c>
      <c r="D1147" s="42">
        <v>769</v>
      </c>
      <c r="E1147" s="41">
        <v>2.3710418401011315E-2</v>
      </c>
    </row>
    <row r="1148" spans="2:5" ht="15" customHeight="1">
      <c r="B1148" s="84"/>
      <c r="C1148" s="43" t="s">
        <v>127</v>
      </c>
      <c r="D1148" s="42">
        <v>9</v>
      </c>
      <c r="E1148" s="41">
        <v>2.7749514383498288E-4</v>
      </c>
    </row>
    <row r="1149" spans="2:5" ht="15" customHeight="1">
      <c r="B1149" s="84"/>
      <c r="C1149" s="43" t="s">
        <v>164</v>
      </c>
      <c r="D1149" s="42">
        <v>347</v>
      </c>
      <c r="E1149" s="41">
        <v>1.0698979434526563E-2</v>
      </c>
    </row>
    <row r="1150" spans="2:5" ht="15" customHeight="1">
      <c r="B1150" s="84"/>
      <c r="C1150" s="43" t="s">
        <v>176</v>
      </c>
      <c r="D1150" s="42">
        <v>748</v>
      </c>
      <c r="E1150" s="41">
        <v>2.3062929732063021E-2</v>
      </c>
    </row>
    <row r="1151" spans="2:5" ht="15" customHeight="1">
      <c r="B1151" s="84"/>
      <c r="C1151" s="43" t="s">
        <v>178</v>
      </c>
      <c r="D1151" s="42">
        <v>695</v>
      </c>
      <c r="E1151" s="41">
        <v>2.1428791662812568E-2</v>
      </c>
    </row>
    <row r="1152" spans="2:5" ht="15" customHeight="1">
      <c r="B1152" s="84"/>
      <c r="C1152" s="43" t="s">
        <v>179</v>
      </c>
      <c r="D1152" s="42">
        <v>826</v>
      </c>
      <c r="E1152" s="41">
        <v>2.5467887645299541E-2</v>
      </c>
    </row>
    <row r="1153" spans="2:5" ht="15" customHeight="1">
      <c r="B1153" s="84"/>
      <c r="C1153" s="43" t="s">
        <v>129</v>
      </c>
      <c r="D1153" s="42">
        <v>17</v>
      </c>
      <c r="E1153" s="41">
        <v>5.2415749391052319E-4</v>
      </c>
    </row>
    <row r="1154" spans="2:5" ht="15" customHeight="1">
      <c r="B1154" s="84"/>
      <c r="C1154" s="43" t="s">
        <v>159</v>
      </c>
      <c r="D1154" s="42">
        <v>244</v>
      </c>
      <c r="E1154" s="41">
        <v>7.5232016773039805E-3</v>
      </c>
    </row>
    <row r="1155" spans="2:5" ht="15" customHeight="1">
      <c r="B1155" s="84"/>
      <c r="C1155" s="43" t="s">
        <v>135</v>
      </c>
      <c r="D1155" s="42">
        <v>48</v>
      </c>
      <c r="E1155" s="41">
        <v>1.4799741004532421E-3</v>
      </c>
    </row>
    <row r="1156" spans="2:5" ht="15" customHeight="1">
      <c r="B1156" s="84"/>
      <c r="C1156" s="43" t="s">
        <v>168</v>
      </c>
      <c r="D1156" s="42">
        <v>480</v>
      </c>
      <c r="E1156" s="41">
        <v>1.4799741004532421E-2</v>
      </c>
    </row>
    <row r="1157" spans="2:5" ht="15" customHeight="1">
      <c r="B1157" s="84"/>
      <c r="C1157" s="43" t="s">
        <v>132</v>
      </c>
      <c r="D1157" s="42">
        <v>16</v>
      </c>
      <c r="E1157" s="41">
        <v>4.9332470015108073E-4</v>
      </c>
    </row>
    <row r="1158" spans="2:5" ht="15" customHeight="1">
      <c r="B1158" s="84"/>
      <c r="C1158" s="43" t="s">
        <v>158</v>
      </c>
      <c r="D1158" s="42">
        <v>314</v>
      </c>
      <c r="E1158" s="41">
        <v>9.6814972404649577E-3</v>
      </c>
    </row>
    <row r="1159" spans="2:5" ht="15" customHeight="1">
      <c r="B1159" s="84"/>
      <c r="C1159" s="43" t="s">
        <v>180</v>
      </c>
      <c r="D1159" s="42">
        <v>1653</v>
      </c>
      <c r="E1159" s="41">
        <v>5.0966608084358524E-2</v>
      </c>
    </row>
    <row r="1160" spans="2:5" ht="15" customHeight="1">
      <c r="B1160" s="84"/>
      <c r="C1160" s="43" t="s">
        <v>126</v>
      </c>
      <c r="D1160" s="42">
        <v>12</v>
      </c>
      <c r="E1160" s="41">
        <v>3.6999352511331052E-4</v>
      </c>
    </row>
    <row r="1161" spans="2:5" ht="15" customHeight="1">
      <c r="B1161" s="84"/>
      <c r="C1161" s="43" t="s">
        <v>177</v>
      </c>
      <c r="D1161" s="42">
        <v>749</v>
      </c>
      <c r="E1161" s="41">
        <v>2.3093762525822466E-2</v>
      </c>
    </row>
    <row r="1162" spans="2:5" ht="15" customHeight="1">
      <c r="B1162" s="84"/>
      <c r="C1162" s="43" t="s">
        <v>165</v>
      </c>
      <c r="D1162" s="42">
        <v>508</v>
      </c>
      <c r="E1162" s="41">
        <v>1.5663059229796814E-2</v>
      </c>
    </row>
    <row r="1163" spans="2:5" ht="15" customHeight="1">
      <c r="B1163" s="84"/>
      <c r="C1163" s="43" t="s">
        <v>171</v>
      </c>
      <c r="D1163" s="42">
        <v>439</v>
      </c>
      <c r="E1163" s="41">
        <v>1.3535596460395276E-2</v>
      </c>
    </row>
    <row r="1164" spans="2:5" ht="15" customHeight="1">
      <c r="B1164" s="84"/>
      <c r="C1164" s="43" t="s">
        <v>181</v>
      </c>
      <c r="D1164" s="42">
        <v>2233</v>
      </c>
      <c r="E1164" s="41">
        <v>6.8849628464835194E-2</v>
      </c>
    </row>
    <row r="1165" spans="2:5" ht="15" customHeight="1">
      <c r="B1165" s="84"/>
      <c r="C1165" s="43" t="s">
        <v>167</v>
      </c>
      <c r="D1165" s="42">
        <v>193</v>
      </c>
      <c r="E1165" s="41">
        <v>5.9507291955724108E-3</v>
      </c>
    </row>
    <row r="1166" spans="2:5" ht="15" customHeight="1">
      <c r="B1166" s="84"/>
      <c r="C1166" s="43" t="s">
        <v>103</v>
      </c>
      <c r="D1166" s="42">
        <v>11</v>
      </c>
      <c r="E1166" s="41">
        <v>3.3916073135386795E-4</v>
      </c>
    </row>
    <row r="1167" spans="2:5" ht="15" customHeight="1">
      <c r="B1167" s="84"/>
      <c r="C1167" s="43" t="s">
        <v>163</v>
      </c>
      <c r="D1167" s="42">
        <v>306</v>
      </c>
      <c r="E1167" s="41">
        <v>9.434834890389418E-3</v>
      </c>
    </row>
    <row r="1168" spans="2:5" ht="15" customHeight="1">
      <c r="B1168" s="84"/>
      <c r="C1168" s="43" t="s">
        <v>182</v>
      </c>
      <c r="D1168" s="42">
        <v>3534</v>
      </c>
      <c r="E1168" s="41">
        <v>0.10896309314586995</v>
      </c>
    </row>
    <row r="1169" spans="2:5" ht="15" customHeight="1">
      <c r="B1169" s="84"/>
      <c r="C1169" s="43" t="s">
        <v>137</v>
      </c>
      <c r="D1169" s="42">
        <v>38</v>
      </c>
      <c r="E1169" s="41">
        <v>1.1716461628588166E-3</v>
      </c>
    </row>
    <row r="1170" spans="2:5" ht="15" customHeight="1">
      <c r="B1170" s="84"/>
      <c r="C1170" s="43" t="s">
        <v>151</v>
      </c>
      <c r="D1170" s="42">
        <v>229</v>
      </c>
      <c r="E1170" s="41">
        <v>7.0607097709123427E-3</v>
      </c>
    </row>
    <row r="1171" spans="2:5" ht="15" customHeight="1">
      <c r="B1171" s="84"/>
      <c r="C1171" s="43" t="s">
        <v>134</v>
      </c>
      <c r="D1171" s="42">
        <v>41</v>
      </c>
      <c r="E1171" s="41">
        <v>1.2641445441371442E-3</v>
      </c>
    </row>
    <row r="1172" spans="2:5" ht="15" customHeight="1">
      <c r="B1172" s="84"/>
      <c r="C1172" s="43" t="s">
        <v>150</v>
      </c>
      <c r="D1172" s="42">
        <v>187</v>
      </c>
      <c r="E1172" s="41">
        <v>5.7657324330157552E-3</v>
      </c>
    </row>
    <row r="1173" spans="2:5" ht="15" customHeight="1">
      <c r="B1173" s="84"/>
      <c r="C1173" s="43" t="s">
        <v>175</v>
      </c>
      <c r="D1173" s="42">
        <v>653</v>
      </c>
      <c r="E1173" s="41">
        <v>2.0133814324915979E-2</v>
      </c>
    </row>
    <row r="1174" spans="2:5" ht="15" customHeight="1">
      <c r="B1174" s="84"/>
      <c r="C1174" s="43" t="s">
        <v>157</v>
      </c>
      <c r="D1174" s="42">
        <v>64</v>
      </c>
      <c r="E1174" s="41">
        <v>1.9732988006043229E-3</v>
      </c>
    </row>
    <row r="1175" spans="2:5" ht="15" customHeight="1">
      <c r="B1175" s="84"/>
      <c r="C1175" s="43" t="s">
        <v>143</v>
      </c>
      <c r="D1175" s="42">
        <v>157</v>
      </c>
      <c r="E1175" s="41">
        <v>4.8407486202324788E-3</v>
      </c>
    </row>
    <row r="1176" spans="2:5" ht="15" customHeight="1">
      <c r="B1176" s="84"/>
      <c r="C1176" s="43" t="s">
        <v>169</v>
      </c>
      <c r="D1176" s="42">
        <v>414</v>
      </c>
      <c r="E1176" s="41">
        <v>1.2764776616409212E-2</v>
      </c>
    </row>
    <row r="1177" spans="2:5" ht="15" customHeight="1">
      <c r="B1177" s="84"/>
      <c r="C1177" s="43" t="s">
        <v>160</v>
      </c>
      <c r="D1177" s="42">
        <v>192</v>
      </c>
      <c r="E1177" s="41">
        <v>5.9198964018129683E-3</v>
      </c>
    </row>
    <row r="1178" spans="2:5" ht="15" customHeight="1">
      <c r="B1178" s="84"/>
      <c r="C1178" s="43" t="s">
        <v>131</v>
      </c>
      <c r="D1178" s="42">
        <v>14</v>
      </c>
      <c r="E1178" s="41">
        <v>4.316591126321956E-4</v>
      </c>
    </row>
    <row r="1179" spans="2:5" ht="15" customHeight="1">
      <c r="B1179" s="84"/>
      <c r="C1179" s="43" t="s">
        <v>133</v>
      </c>
      <c r="D1179" s="42">
        <v>19</v>
      </c>
      <c r="E1179" s="41">
        <v>5.8582308142940832E-4</v>
      </c>
    </row>
    <row r="1180" spans="2:5" ht="15" customHeight="1">
      <c r="B1180" s="84"/>
      <c r="C1180" s="43" t="s">
        <v>147</v>
      </c>
      <c r="D1180" s="42">
        <v>140</v>
      </c>
      <c r="E1180" s="41">
        <v>4.3165911263219562E-3</v>
      </c>
    </row>
    <row r="1181" spans="2:5" ht="15" customHeight="1">
      <c r="B1181" s="84"/>
      <c r="C1181" s="43" t="s">
        <v>128</v>
      </c>
      <c r="D1181" s="42">
        <v>12</v>
      </c>
      <c r="E1181" s="41">
        <v>3.6999352511331052E-4</v>
      </c>
    </row>
    <row r="1182" spans="2:5" ht="15" customHeight="1">
      <c r="B1182" s="84"/>
      <c r="C1182" s="43" t="s">
        <v>130</v>
      </c>
      <c r="D1182" s="42">
        <v>23</v>
      </c>
      <c r="E1182" s="41">
        <v>7.0915425646717847E-4</v>
      </c>
    </row>
    <row r="1183" spans="2:5" ht="15" customHeight="1">
      <c r="B1183" s="84"/>
      <c r="C1183" s="43" t="s">
        <v>139</v>
      </c>
      <c r="D1183" s="42">
        <v>60</v>
      </c>
      <c r="E1183" s="41">
        <v>1.8499676255665527E-3</v>
      </c>
    </row>
    <row r="1184" spans="2:5" ht="15" customHeight="1">
      <c r="B1184" s="84"/>
      <c r="C1184" s="43" t="s">
        <v>153</v>
      </c>
      <c r="D1184" s="42">
        <v>240</v>
      </c>
      <c r="E1184" s="41">
        <v>7.3998705022662106E-3</v>
      </c>
    </row>
    <row r="1185" spans="2:5" ht="15" customHeight="1">
      <c r="B1185" s="84"/>
      <c r="C1185" s="43" t="s">
        <v>141</v>
      </c>
      <c r="D1185" s="42">
        <v>79</v>
      </c>
      <c r="E1185" s="41">
        <v>2.4357907069959611E-3</v>
      </c>
    </row>
    <row r="1186" spans="2:5" ht="15" customHeight="1">
      <c r="B1186" s="84"/>
      <c r="C1186" s="43" t="s">
        <v>149</v>
      </c>
      <c r="D1186" s="42">
        <v>235</v>
      </c>
      <c r="E1186" s="41">
        <v>7.2457065334689975E-3</v>
      </c>
    </row>
    <row r="1187" spans="2:5" ht="15" customHeight="1">
      <c r="B1187" s="84"/>
      <c r="C1187" s="43" t="s">
        <v>146</v>
      </c>
      <c r="D1187" s="42">
        <v>207</v>
      </c>
      <c r="E1187" s="41">
        <v>6.3823883082046061E-3</v>
      </c>
    </row>
    <row r="1188" spans="2:5" ht="15" customHeight="1">
      <c r="B1188" s="84"/>
      <c r="C1188" s="43" t="s">
        <v>144</v>
      </c>
      <c r="D1188" s="42">
        <v>136</v>
      </c>
      <c r="E1188" s="41">
        <v>4.1932599512841855E-3</v>
      </c>
    </row>
    <row r="1189" spans="2:5" ht="15" customHeight="1">
      <c r="B1189" s="84"/>
      <c r="C1189" s="43" t="s">
        <v>155</v>
      </c>
      <c r="D1189" s="42">
        <v>286</v>
      </c>
      <c r="E1189" s="41">
        <v>8.8181790152005671E-3</v>
      </c>
    </row>
    <row r="1190" spans="2:5" ht="15" customHeight="1">
      <c r="B1190" s="84"/>
      <c r="C1190" s="43" t="s">
        <v>138</v>
      </c>
      <c r="D1190" s="42">
        <v>58</v>
      </c>
      <c r="E1190" s="41">
        <v>1.7883020380476675E-3</v>
      </c>
    </row>
    <row r="1191" spans="2:5" ht="15" customHeight="1">
      <c r="B1191" s="84"/>
      <c r="C1191" s="43" t="s">
        <v>173</v>
      </c>
      <c r="D1191" s="42">
        <v>288</v>
      </c>
      <c r="E1191" s="41">
        <v>8.8798446027194521E-3</v>
      </c>
    </row>
    <row r="1192" spans="2:5" ht="15" customHeight="1">
      <c r="B1192" s="84"/>
      <c r="C1192" s="43" t="s">
        <v>154</v>
      </c>
      <c r="D1192" s="42">
        <v>217</v>
      </c>
      <c r="E1192" s="41">
        <v>6.6907162457990315E-3</v>
      </c>
    </row>
    <row r="1193" spans="2:5" ht="15" customHeight="1">
      <c r="B1193" s="84"/>
      <c r="C1193" s="43" t="s">
        <v>162</v>
      </c>
      <c r="D1193" s="42">
        <v>407</v>
      </c>
      <c r="E1193" s="41">
        <v>1.2548947060093116E-2</v>
      </c>
    </row>
    <row r="1194" spans="2:5" ht="15" customHeight="1">
      <c r="B1194" s="84"/>
      <c r="C1194" s="43" t="s">
        <v>161</v>
      </c>
      <c r="D1194" s="42">
        <v>279</v>
      </c>
      <c r="E1194" s="41">
        <v>8.6023494588844691E-3</v>
      </c>
    </row>
    <row r="1195" spans="2:5" ht="15" customHeight="1">
      <c r="B1195" s="84"/>
      <c r="C1195" s="43" t="s">
        <v>166</v>
      </c>
      <c r="D1195" s="42">
        <v>315</v>
      </c>
      <c r="E1195" s="41">
        <v>9.712330034224401E-3</v>
      </c>
    </row>
    <row r="1196" spans="2:5" ht="15" customHeight="1">
      <c r="B1196" s="84"/>
      <c r="C1196" s="43" t="s">
        <v>145</v>
      </c>
      <c r="D1196" s="42">
        <v>108</v>
      </c>
      <c r="E1196" s="41">
        <v>3.3299417260197945E-3</v>
      </c>
    </row>
    <row r="1197" spans="2:5" ht="15" customHeight="1">
      <c r="B1197" s="85"/>
      <c r="C1197" s="40" t="s">
        <v>23</v>
      </c>
      <c r="D1197" s="39">
        <v>21171</v>
      </c>
      <c r="E1197" s="38">
        <v>0.65276107668115813</v>
      </c>
    </row>
    <row r="1198" spans="2:5" ht="15" customHeight="1">
      <c r="B1198" s="83" t="s">
        <v>50</v>
      </c>
      <c r="C1198" s="43" t="s">
        <v>172</v>
      </c>
      <c r="D1198" s="42">
        <v>5</v>
      </c>
      <c r="E1198" s="41">
        <v>1.5416396879721272E-4</v>
      </c>
    </row>
    <row r="1199" spans="2:5" ht="15" customHeight="1">
      <c r="B1199" s="84"/>
      <c r="C1199" s="43" t="s">
        <v>148</v>
      </c>
      <c r="D1199" s="42">
        <v>1</v>
      </c>
      <c r="E1199" s="41">
        <v>3.0832793759442546E-5</v>
      </c>
    </row>
    <row r="1200" spans="2:5" ht="15" customHeight="1">
      <c r="B1200" s="84"/>
      <c r="C1200" s="43" t="s">
        <v>174</v>
      </c>
      <c r="D1200" s="42">
        <v>1</v>
      </c>
      <c r="E1200" s="41">
        <v>3.0832793759442546E-5</v>
      </c>
    </row>
    <row r="1201" spans="2:5" ht="15" customHeight="1">
      <c r="B1201" s="84"/>
      <c r="C1201" s="43" t="s">
        <v>164</v>
      </c>
      <c r="D1201" s="42">
        <v>6</v>
      </c>
      <c r="E1201" s="41">
        <v>1.8499676255665526E-4</v>
      </c>
    </row>
    <row r="1202" spans="2:5" ht="15" customHeight="1">
      <c r="B1202" s="84"/>
      <c r="C1202" s="43" t="s">
        <v>176</v>
      </c>
      <c r="D1202" s="42">
        <v>1</v>
      </c>
      <c r="E1202" s="41">
        <v>3.0832793759442546E-5</v>
      </c>
    </row>
    <row r="1203" spans="2:5" ht="15" customHeight="1">
      <c r="B1203" s="84"/>
      <c r="C1203" s="43" t="s">
        <v>178</v>
      </c>
      <c r="D1203" s="42">
        <v>1</v>
      </c>
      <c r="E1203" s="41">
        <v>3.0832793759442546E-5</v>
      </c>
    </row>
    <row r="1204" spans="2:5" ht="15" customHeight="1">
      <c r="B1204" s="84"/>
      <c r="C1204" s="43" t="s">
        <v>179</v>
      </c>
      <c r="D1204" s="42">
        <v>4</v>
      </c>
      <c r="E1204" s="41">
        <v>1.2333117503777018E-4</v>
      </c>
    </row>
    <row r="1205" spans="2:5" ht="15" customHeight="1">
      <c r="B1205" s="84"/>
      <c r="C1205" s="43" t="s">
        <v>159</v>
      </c>
      <c r="D1205" s="42">
        <v>2</v>
      </c>
      <c r="E1205" s="41">
        <v>6.1665587518885091E-5</v>
      </c>
    </row>
    <row r="1206" spans="2:5" ht="15" customHeight="1">
      <c r="B1206" s="84"/>
      <c r="C1206" s="43" t="s">
        <v>168</v>
      </c>
      <c r="D1206" s="42">
        <v>2</v>
      </c>
      <c r="E1206" s="41">
        <v>6.1665587518885091E-5</v>
      </c>
    </row>
    <row r="1207" spans="2:5" ht="15" customHeight="1">
      <c r="B1207" s="84"/>
      <c r="C1207" s="43" t="s">
        <v>158</v>
      </c>
      <c r="D1207" s="42">
        <v>2</v>
      </c>
      <c r="E1207" s="41">
        <v>6.1665587518885091E-5</v>
      </c>
    </row>
    <row r="1208" spans="2:5" ht="15" customHeight="1">
      <c r="B1208" s="84"/>
      <c r="C1208" s="43" t="s">
        <v>180</v>
      </c>
      <c r="D1208" s="42">
        <v>1</v>
      </c>
      <c r="E1208" s="41">
        <v>3.0832793759442546E-5</v>
      </c>
    </row>
    <row r="1209" spans="2:5" ht="15" customHeight="1">
      <c r="B1209" s="84"/>
      <c r="C1209" s="43" t="s">
        <v>177</v>
      </c>
      <c r="D1209" s="42">
        <v>23</v>
      </c>
      <c r="E1209" s="41">
        <v>7.0915425646717847E-4</v>
      </c>
    </row>
    <row r="1210" spans="2:5" ht="15" customHeight="1">
      <c r="B1210" s="84"/>
      <c r="C1210" s="43" t="s">
        <v>165</v>
      </c>
      <c r="D1210" s="42">
        <v>7</v>
      </c>
      <c r="E1210" s="41">
        <v>2.158295563160978E-4</v>
      </c>
    </row>
    <row r="1211" spans="2:5" ht="15" customHeight="1">
      <c r="B1211" s="84"/>
      <c r="C1211" s="43" t="s">
        <v>181</v>
      </c>
      <c r="D1211" s="42">
        <v>5</v>
      </c>
      <c r="E1211" s="41">
        <v>1.5416396879721272E-4</v>
      </c>
    </row>
    <row r="1212" spans="2:5" ht="15" customHeight="1">
      <c r="B1212" s="84"/>
      <c r="C1212" s="43" t="s">
        <v>167</v>
      </c>
      <c r="D1212" s="42">
        <v>2</v>
      </c>
      <c r="E1212" s="41">
        <v>6.1665587518885091E-5</v>
      </c>
    </row>
    <row r="1213" spans="2:5" ht="15" customHeight="1">
      <c r="B1213" s="84"/>
      <c r="C1213" s="43" t="s">
        <v>182</v>
      </c>
      <c r="D1213" s="42">
        <v>32</v>
      </c>
      <c r="E1213" s="41">
        <v>9.8664940030216146E-4</v>
      </c>
    </row>
    <row r="1214" spans="2:5" ht="15" customHeight="1">
      <c r="B1214" s="84"/>
      <c r="C1214" s="43" t="s">
        <v>151</v>
      </c>
      <c r="D1214" s="42">
        <v>1</v>
      </c>
      <c r="E1214" s="41">
        <v>3.0832793759442546E-5</v>
      </c>
    </row>
    <row r="1215" spans="2:5" ht="15" customHeight="1">
      <c r="B1215" s="84"/>
      <c r="C1215" s="43" t="s">
        <v>175</v>
      </c>
      <c r="D1215" s="42">
        <v>2</v>
      </c>
      <c r="E1215" s="41">
        <v>6.1665587518885091E-5</v>
      </c>
    </row>
    <row r="1216" spans="2:5" ht="15" customHeight="1">
      <c r="B1216" s="84"/>
      <c r="C1216" s="43" t="s">
        <v>157</v>
      </c>
      <c r="D1216" s="42">
        <v>16</v>
      </c>
      <c r="E1216" s="41">
        <v>4.9332470015108073E-4</v>
      </c>
    </row>
    <row r="1217" spans="2:5" ht="15" customHeight="1">
      <c r="B1217" s="84"/>
      <c r="C1217" s="43" t="s">
        <v>169</v>
      </c>
      <c r="D1217" s="42">
        <v>1</v>
      </c>
      <c r="E1217" s="41">
        <v>3.0832793759442546E-5</v>
      </c>
    </row>
    <row r="1218" spans="2:5" ht="15" customHeight="1">
      <c r="B1218" s="84"/>
      <c r="C1218" s="43" t="s">
        <v>160</v>
      </c>
      <c r="D1218" s="42">
        <v>2</v>
      </c>
      <c r="E1218" s="41">
        <v>6.1665587518885091E-5</v>
      </c>
    </row>
    <row r="1219" spans="2:5" ht="15" customHeight="1">
      <c r="B1219" s="84"/>
      <c r="C1219" s="43" t="s">
        <v>131</v>
      </c>
      <c r="D1219" s="42">
        <v>1</v>
      </c>
      <c r="E1219" s="41">
        <v>3.0832793759442546E-5</v>
      </c>
    </row>
    <row r="1220" spans="2:5" ht="15" customHeight="1">
      <c r="B1220" s="84"/>
      <c r="C1220" s="43" t="s">
        <v>149</v>
      </c>
      <c r="D1220" s="42">
        <v>2</v>
      </c>
      <c r="E1220" s="41">
        <v>6.1665587518885091E-5</v>
      </c>
    </row>
    <row r="1221" spans="2:5" ht="15" customHeight="1">
      <c r="B1221" s="84"/>
      <c r="C1221" s="43" t="s">
        <v>144</v>
      </c>
      <c r="D1221" s="42">
        <v>10</v>
      </c>
      <c r="E1221" s="41">
        <v>3.0832793759442544E-4</v>
      </c>
    </row>
    <row r="1222" spans="2:5" ht="15" customHeight="1">
      <c r="B1222" s="84"/>
      <c r="C1222" s="43" t="s">
        <v>173</v>
      </c>
      <c r="D1222" s="42">
        <v>4</v>
      </c>
      <c r="E1222" s="41">
        <v>1.2333117503777018E-4</v>
      </c>
    </row>
    <row r="1223" spans="2:5" ht="15" customHeight="1">
      <c r="B1223" s="84"/>
      <c r="C1223" s="43" t="s">
        <v>161</v>
      </c>
      <c r="D1223" s="42">
        <v>1</v>
      </c>
      <c r="E1223" s="41">
        <v>3.0832793759442546E-5</v>
      </c>
    </row>
    <row r="1224" spans="2:5" ht="15" customHeight="1">
      <c r="B1224" s="84"/>
      <c r="C1224" s="43" t="s">
        <v>166</v>
      </c>
      <c r="D1224" s="42">
        <v>1</v>
      </c>
      <c r="E1224" s="41">
        <v>3.0832793759442546E-5</v>
      </c>
    </row>
    <row r="1225" spans="2:5" ht="15" customHeight="1">
      <c r="B1225" s="85"/>
      <c r="C1225" s="40" t="s">
        <v>23</v>
      </c>
      <c r="D1225" s="39">
        <v>136</v>
      </c>
      <c r="E1225" s="38">
        <v>4.1932599512841855E-3</v>
      </c>
    </row>
    <row r="1226" spans="2:5" ht="15" customHeight="1">
      <c r="B1226" s="83" t="s">
        <v>55</v>
      </c>
      <c r="C1226" s="43" t="s">
        <v>172</v>
      </c>
      <c r="D1226" s="42">
        <v>1</v>
      </c>
      <c r="E1226" s="41">
        <v>3.0832793759442546E-5</v>
      </c>
    </row>
    <row r="1227" spans="2:5" ht="15" customHeight="1">
      <c r="B1227" s="84"/>
      <c r="C1227" s="43" t="s">
        <v>152</v>
      </c>
      <c r="D1227" s="42">
        <v>8</v>
      </c>
      <c r="E1227" s="41">
        <v>2.4666235007554037E-4</v>
      </c>
    </row>
    <row r="1228" spans="2:5" ht="15" customHeight="1">
      <c r="B1228" s="84"/>
      <c r="C1228" s="43" t="s">
        <v>170</v>
      </c>
      <c r="D1228" s="42">
        <v>3</v>
      </c>
      <c r="E1228" s="41">
        <v>9.249838127832763E-5</v>
      </c>
    </row>
    <row r="1229" spans="2:5" ht="15" customHeight="1">
      <c r="B1229" s="84"/>
      <c r="C1229" s="43" t="s">
        <v>140</v>
      </c>
      <c r="D1229" s="42">
        <v>1</v>
      </c>
      <c r="E1229" s="41">
        <v>3.0832793759442546E-5</v>
      </c>
    </row>
    <row r="1230" spans="2:5" ht="15" customHeight="1">
      <c r="B1230" s="84"/>
      <c r="C1230" s="43" t="s">
        <v>164</v>
      </c>
      <c r="D1230" s="42">
        <v>6</v>
      </c>
      <c r="E1230" s="41">
        <v>1.8499676255665526E-4</v>
      </c>
    </row>
    <row r="1231" spans="2:5" ht="15" customHeight="1">
      <c r="B1231" s="84"/>
      <c r="C1231" s="43" t="s">
        <v>176</v>
      </c>
      <c r="D1231" s="42">
        <v>9</v>
      </c>
      <c r="E1231" s="41">
        <v>2.7749514383498288E-4</v>
      </c>
    </row>
    <row r="1232" spans="2:5" ht="15" customHeight="1">
      <c r="B1232" s="84"/>
      <c r="C1232" s="43" t="s">
        <v>178</v>
      </c>
      <c r="D1232" s="42">
        <v>6</v>
      </c>
      <c r="E1232" s="41">
        <v>1.8499676255665526E-4</v>
      </c>
    </row>
    <row r="1233" spans="2:5" ht="15" customHeight="1">
      <c r="B1233" s="84"/>
      <c r="C1233" s="43" t="s">
        <v>179</v>
      </c>
      <c r="D1233" s="42">
        <v>11</v>
      </c>
      <c r="E1233" s="41">
        <v>3.3916073135386795E-4</v>
      </c>
    </row>
    <row r="1234" spans="2:5" ht="15" customHeight="1">
      <c r="B1234" s="84"/>
      <c r="C1234" s="43" t="s">
        <v>159</v>
      </c>
      <c r="D1234" s="42">
        <v>3</v>
      </c>
      <c r="E1234" s="41">
        <v>9.249838127832763E-5</v>
      </c>
    </row>
    <row r="1235" spans="2:5" ht="15" customHeight="1">
      <c r="B1235" s="84"/>
      <c r="C1235" s="43" t="s">
        <v>135</v>
      </c>
      <c r="D1235" s="42">
        <v>2</v>
      </c>
      <c r="E1235" s="41">
        <v>6.1665587518885091E-5</v>
      </c>
    </row>
    <row r="1236" spans="2:5" ht="15" customHeight="1">
      <c r="B1236" s="84"/>
      <c r="C1236" s="43" t="s">
        <v>168</v>
      </c>
      <c r="D1236" s="42">
        <v>2</v>
      </c>
      <c r="E1236" s="41">
        <v>6.1665587518885091E-5</v>
      </c>
    </row>
    <row r="1237" spans="2:5" ht="15" customHeight="1">
      <c r="B1237" s="84"/>
      <c r="C1237" s="43" t="s">
        <v>158</v>
      </c>
      <c r="D1237" s="42">
        <v>6</v>
      </c>
      <c r="E1237" s="41">
        <v>1.8499676255665526E-4</v>
      </c>
    </row>
    <row r="1238" spans="2:5" ht="15" customHeight="1">
      <c r="B1238" s="84"/>
      <c r="C1238" s="43" t="s">
        <v>180</v>
      </c>
      <c r="D1238" s="42">
        <v>26</v>
      </c>
      <c r="E1238" s="41">
        <v>8.0165263774550617E-4</v>
      </c>
    </row>
    <row r="1239" spans="2:5" ht="15" customHeight="1">
      <c r="B1239" s="84"/>
      <c r="C1239" s="43" t="s">
        <v>177</v>
      </c>
      <c r="D1239" s="42">
        <v>2</v>
      </c>
      <c r="E1239" s="41">
        <v>6.1665587518885091E-5</v>
      </c>
    </row>
    <row r="1240" spans="2:5" ht="15" customHeight="1">
      <c r="B1240" s="84"/>
      <c r="C1240" s="43" t="s">
        <v>165</v>
      </c>
      <c r="D1240" s="42">
        <v>6</v>
      </c>
      <c r="E1240" s="41">
        <v>1.8499676255665526E-4</v>
      </c>
    </row>
    <row r="1241" spans="2:5" ht="15" customHeight="1">
      <c r="B1241" s="84"/>
      <c r="C1241" s="43" t="s">
        <v>171</v>
      </c>
      <c r="D1241" s="42">
        <v>5</v>
      </c>
      <c r="E1241" s="41">
        <v>1.5416396879721272E-4</v>
      </c>
    </row>
    <row r="1242" spans="2:5" ht="15" customHeight="1">
      <c r="B1242" s="84"/>
      <c r="C1242" s="43" t="s">
        <v>181</v>
      </c>
      <c r="D1242" s="42">
        <v>20</v>
      </c>
      <c r="E1242" s="41">
        <v>6.1665587518885089E-4</v>
      </c>
    </row>
    <row r="1243" spans="2:5" ht="15" customHeight="1">
      <c r="B1243" s="84"/>
      <c r="C1243" s="43" t="s">
        <v>167</v>
      </c>
      <c r="D1243" s="42">
        <v>1</v>
      </c>
      <c r="E1243" s="41">
        <v>3.0832793759442546E-5</v>
      </c>
    </row>
    <row r="1244" spans="2:5" ht="15" customHeight="1">
      <c r="B1244" s="84"/>
      <c r="C1244" s="43" t="s">
        <v>182</v>
      </c>
      <c r="D1244" s="42">
        <v>19</v>
      </c>
      <c r="E1244" s="41">
        <v>5.8582308142940832E-4</v>
      </c>
    </row>
    <row r="1245" spans="2:5" ht="15" customHeight="1">
      <c r="B1245" s="84"/>
      <c r="C1245" s="43" t="s">
        <v>151</v>
      </c>
      <c r="D1245" s="42">
        <v>1</v>
      </c>
      <c r="E1245" s="41">
        <v>3.0832793759442546E-5</v>
      </c>
    </row>
    <row r="1246" spans="2:5" ht="15" customHeight="1">
      <c r="B1246" s="84"/>
      <c r="C1246" s="43" t="s">
        <v>150</v>
      </c>
      <c r="D1246" s="42">
        <v>5</v>
      </c>
      <c r="E1246" s="41">
        <v>1.5416396879721272E-4</v>
      </c>
    </row>
    <row r="1247" spans="2:5" ht="15" customHeight="1">
      <c r="B1247" s="84"/>
      <c r="C1247" s="43" t="s">
        <v>175</v>
      </c>
      <c r="D1247" s="42">
        <v>5</v>
      </c>
      <c r="E1247" s="41">
        <v>1.5416396879721272E-4</v>
      </c>
    </row>
    <row r="1248" spans="2:5" ht="15" customHeight="1">
      <c r="B1248" s="84"/>
      <c r="C1248" s="43" t="s">
        <v>157</v>
      </c>
      <c r="D1248" s="42">
        <v>3</v>
      </c>
      <c r="E1248" s="41">
        <v>9.249838127832763E-5</v>
      </c>
    </row>
    <row r="1249" spans="2:5" ht="15" customHeight="1">
      <c r="B1249" s="84"/>
      <c r="C1249" s="43" t="s">
        <v>169</v>
      </c>
      <c r="D1249" s="42">
        <v>12</v>
      </c>
      <c r="E1249" s="41">
        <v>3.6999352511331052E-4</v>
      </c>
    </row>
    <row r="1250" spans="2:5" ht="15" customHeight="1">
      <c r="B1250" s="84"/>
      <c r="C1250" s="43" t="s">
        <v>160</v>
      </c>
      <c r="D1250" s="42">
        <v>9</v>
      </c>
      <c r="E1250" s="41">
        <v>2.7749514383498288E-4</v>
      </c>
    </row>
    <row r="1251" spans="2:5" ht="15" customHeight="1">
      <c r="B1251" s="84"/>
      <c r="C1251" s="43" t="s">
        <v>131</v>
      </c>
      <c r="D1251" s="42">
        <v>2</v>
      </c>
      <c r="E1251" s="41">
        <v>6.1665587518885091E-5</v>
      </c>
    </row>
    <row r="1252" spans="2:5" ht="15" customHeight="1">
      <c r="B1252" s="84"/>
      <c r="C1252" s="43" t="s">
        <v>139</v>
      </c>
      <c r="D1252" s="42">
        <v>2</v>
      </c>
      <c r="E1252" s="41">
        <v>6.1665587518885091E-5</v>
      </c>
    </row>
    <row r="1253" spans="2:5" ht="15" customHeight="1">
      <c r="B1253" s="84"/>
      <c r="C1253" s="43" t="s">
        <v>153</v>
      </c>
      <c r="D1253" s="42">
        <v>5</v>
      </c>
      <c r="E1253" s="41">
        <v>1.5416396879721272E-4</v>
      </c>
    </row>
    <row r="1254" spans="2:5" ht="15" customHeight="1">
      <c r="B1254" s="84"/>
      <c r="C1254" s="43" t="s">
        <v>141</v>
      </c>
      <c r="D1254" s="42">
        <v>1</v>
      </c>
      <c r="E1254" s="41">
        <v>3.0832793759442546E-5</v>
      </c>
    </row>
    <row r="1255" spans="2:5" ht="15" customHeight="1">
      <c r="B1255" s="84"/>
      <c r="C1255" s="43" t="s">
        <v>146</v>
      </c>
      <c r="D1255" s="42">
        <v>2</v>
      </c>
      <c r="E1255" s="41">
        <v>6.1665587518885091E-5</v>
      </c>
    </row>
    <row r="1256" spans="2:5" ht="15" customHeight="1">
      <c r="B1256" s="84"/>
      <c r="C1256" s="43" t="s">
        <v>144</v>
      </c>
      <c r="D1256" s="42">
        <v>1</v>
      </c>
      <c r="E1256" s="41">
        <v>3.0832793759442546E-5</v>
      </c>
    </row>
    <row r="1257" spans="2:5" ht="15" customHeight="1">
      <c r="B1257" s="84"/>
      <c r="C1257" s="43" t="s">
        <v>155</v>
      </c>
      <c r="D1257" s="42">
        <v>3</v>
      </c>
      <c r="E1257" s="41">
        <v>9.249838127832763E-5</v>
      </c>
    </row>
    <row r="1258" spans="2:5" ht="15" customHeight="1">
      <c r="B1258" s="84"/>
      <c r="C1258" s="43" t="s">
        <v>138</v>
      </c>
      <c r="D1258" s="42">
        <v>1</v>
      </c>
      <c r="E1258" s="41">
        <v>3.0832793759442546E-5</v>
      </c>
    </row>
    <row r="1259" spans="2:5" ht="15" customHeight="1">
      <c r="B1259" s="84"/>
      <c r="C1259" s="43" t="s">
        <v>173</v>
      </c>
      <c r="D1259" s="42">
        <v>5</v>
      </c>
      <c r="E1259" s="41">
        <v>1.5416396879721272E-4</v>
      </c>
    </row>
    <row r="1260" spans="2:5" ht="15" customHeight="1">
      <c r="B1260" s="84"/>
      <c r="C1260" s="43" t="s">
        <v>166</v>
      </c>
      <c r="D1260" s="42">
        <v>2</v>
      </c>
      <c r="E1260" s="41">
        <v>6.1665587518885091E-5</v>
      </c>
    </row>
    <row r="1261" spans="2:5" ht="15" customHeight="1">
      <c r="B1261" s="85"/>
      <c r="C1261" s="40" t="s">
        <v>23</v>
      </c>
      <c r="D1261" s="39">
        <v>196</v>
      </c>
      <c r="E1261" s="38">
        <v>6.0432275768507382E-3</v>
      </c>
    </row>
    <row r="1262" spans="2:5" ht="15" customHeight="1">
      <c r="B1262" s="83" t="s">
        <v>39</v>
      </c>
      <c r="C1262" s="43" t="s">
        <v>156</v>
      </c>
      <c r="D1262" s="42">
        <v>1</v>
      </c>
      <c r="E1262" s="41">
        <v>3.0832793759442546E-5</v>
      </c>
    </row>
    <row r="1263" spans="2:5" ht="15" customHeight="1">
      <c r="B1263" s="84"/>
      <c r="C1263" s="43" t="s">
        <v>174</v>
      </c>
      <c r="D1263" s="42">
        <v>1</v>
      </c>
      <c r="E1263" s="41">
        <v>3.0832793759442546E-5</v>
      </c>
    </row>
    <row r="1264" spans="2:5" ht="15" customHeight="1">
      <c r="B1264" s="84"/>
      <c r="C1264" s="43" t="s">
        <v>164</v>
      </c>
      <c r="D1264" s="42">
        <v>2</v>
      </c>
      <c r="E1264" s="41">
        <v>6.1665587518885091E-5</v>
      </c>
    </row>
    <row r="1265" spans="2:5" ht="15" customHeight="1">
      <c r="B1265" s="84"/>
      <c r="C1265" s="43" t="s">
        <v>178</v>
      </c>
      <c r="D1265" s="42">
        <v>3</v>
      </c>
      <c r="E1265" s="41">
        <v>9.249838127832763E-5</v>
      </c>
    </row>
    <row r="1266" spans="2:5" ht="15" customHeight="1">
      <c r="B1266" s="84"/>
      <c r="C1266" s="43" t="s">
        <v>179</v>
      </c>
      <c r="D1266" s="42">
        <v>2</v>
      </c>
      <c r="E1266" s="41">
        <v>6.1665587518885091E-5</v>
      </c>
    </row>
    <row r="1267" spans="2:5" ht="15" customHeight="1">
      <c r="B1267" s="84"/>
      <c r="C1267" s="43" t="s">
        <v>159</v>
      </c>
      <c r="D1267" s="42">
        <v>1</v>
      </c>
      <c r="E1267" s="41">
        <v>3.0832793759442546E-5</v>
      </c>
    </row>
    <row r="1268" spans="2:5" ht="15" customHeight="1">
      <c r="B1268" s="84"/>
      <c r="C1268" s="43" t="s">
        <v>165</v>
      </c>
      <c r="D1268" s="42">
        <v>1</v>
      </c>
      <c r="E1268" s="41">
        <v>3.0832793759442546E-5</v>
      </c>
    </row>
    <row r="1269" spans="2:5" ht="15" customHeight="1">
      <c r="B1269" s="84"/>
      <c r="C1269" s="43" t="s">
        <v>181</v>
      </c>
      <c r="D1269" s="42">
        <v>3</v>
      </c>
      <c r="E1269" s="41">
        <v>9.249838127832763E-5</v>
      </c>
    </row>
    <row r="1270" spans="2:5" ht="15" customHeight="1">
      <c r="B1270" s="84"/>
      <c r="C1270" s="43" t="s">
        <v>167</v>
      </c>
      <c r="D1270" s="42">
        <v>12</v>
      </c>
      <c r="E1270" s="41">
        <v>3.6999352511331052E-4</v>
      </c>
    </row>
    <row r="1271" spans="2:5" ht="15" customHeight="1">
      <c r="B1271" s="84"/>
      <c r="C1271" s="43" t="s">
        <v>163</v>
      </c>
      <c r="D1271" s="42">
        <v>2</v>
      </c>
      <c r="E1271" s="41">
        <v>6.1665587518885091E-5</v>
      </c>
    </row>
    <row r="1272" spans="2:5" ht="15" customHeight="1">
      <c r="B1272" s="84"/>
      <c r="C1272" s="43" t="s">
        <v>182</v>
      </c>
      <c r="D1272" s="42">
        <v>5</v>
      </c>
      <c r="E1272" s="41">
        <v>1.5416396879721272E-4</v>
      </c>
    </row>
    <row r="1273" spans="2:5" ht="15" customHeight="1">
      <c r="B1273" s="84"/>
      <c r="C1273" s="43" t="s">
        <v>157</v>
      </c>
      <c r="D1273" s="42">
        <v>16</v>
      </c>
      <c r="E1273" s="41">
        <v>4.9332470015108073E-4</v>
      </c>
    </row>
    <row r="1274" spans="2:5" ht="15" customHeight="1">
      <c r="B1274" s="84"/>
      <c r="C1274" s="43" t="s">
        <v>169</v>
      </c>
      <c r="D1274" s="42">
        <v>1</v>
      </c>
      <c r="E1274" s="41">
        <v>3.0832793759442546E-5</v>
      </c>
    </row>
    <row r="1275" spans="2:5" ht="15" customHeight="1">
      <c r="B1275" s="84"/>
      <c r="C1275" s="43" t="s">
        <v>160</v>
      </c>
      <c r="D1275" s="42">
        <v>3</v>
      </c>
      <c r="E1275" s="41">
        <v>9.249838127832763E-5</v>
      </c>
    </row>
    <row r="1276" spans="2:5" ht="15" customHeight="1">
      <c r="B1276" s="84"/>
      <c r="C1276" s="43" t="s">
        <v>147</v>
      </c>
      <c r="D1276" s="42">
        <v>1</v>
      </c>
      <c r="E1276" s="41">
        <v>3.0832793759442546E-5</v>
      </c>
    </row>
    <row r="1277" spans="2:5" ht="15" customHeight="1">
      <c r="B1277" s="84"/>
      <c r="C1277" s="43" t="s">
        <v>149</v>
      </c>
      <c r="D1277" s="42">
        <v>1</v>
      </c>
      <c r="E1277" s="41">
        <v>3.0832793759442546E-5</v>
      </c>
    </row>
    <row r="1278" spans="2:5" ht="15" customHeight="1">
      <c r="B1278" s="84"/>
      <c r="C1278" s="43" t="s">
        <v>173</v>
      </c>
      <c r="D1278" s="42">
        <v>11</v>
      </c>
      <c r="E1278" s="41">
        <v>3.3916073135386795E-4</v>
      </c>
    </row>
    <row r="1279" spans="2:5" ht="15" customHeight="1">
      <c r="B1279" s="84"/>
      <c r="C1279" s="43" t="s">
        <v>154</v>
      </c>
      <c r="D1279" s="42">
        <v>2</v>
      </c>
      <c r="E1279" s="41">
        <v>6.1665587518885091E-5</v>
      </c>
    </row>
    <row r="1280" spans="2:5" ht="15" customHeight="1">
      <c r="B1280" s="84"/>
      <c r="C1280" s="43" t="s">
        <v>161</v>
      </c>
      <c r="D1280" s="42">
        <v>1</v>
      </c>
      <c r="E1280" s="41">
        <v>3.0832793759442546E-5</v>
      </c>
    </row>
    <row r="1281" spans="2:5" ht="15" customHeight="1">
      <c r="B1281" s="84"/>
      <c r="C1281" s="43" t="s">
        <v>145</v>
      </c>
      <c r="D1281" s="42">
        <v>1</v>
      </c>
      <c r="E1281" s="41">
        <v>3.0832793759442546E-5</v>
      </c>
    </row>
    <row r="1282" spans="2:5" ht="15" customHeight="1">
      <c r="B1282" s="85"/>
      <c r="C1282" s="40" t="s">
        <v>23</v>
      </c>
      <c r="D1282" s="39">
        <v>70</v>
      </c>
      <c r="E1282" s="38">
        <v>2.1582955631609781E-3</v>
      </c>
    </row>
    <row r="1283" spans="2:5" ht="15" customHeight="1">
      <c r="B1283" s="83" t="s">
        <v>29</v>
      </c>
      <c r="C1283" s="43" t="s">
        <v>148</v>
      </c>
      <c r="D1283" s="42">
        <v>1</v>
      </c>
      <c r="E1283" s="41">
        <v>3.0832793759442546E-5</v>
      </c>
    </row>
    <row r="1284" spans="2:5" ht="15" customHeight="1">
      <c r="B1284" s="84"/>
      <c r="C1284" s="43" t="s">
        <v>152</v>
      </c>
      <c r="D1284" s="42">
        <v>4</v>
      </c>
      <c r="E1284" s="41">
        <v>1.2333117503777018E-4</v>
      </c>
    </row>
    <row r="1285" spans="2:5" ht="15" customHeight="1">
      <c r="B1285" s="84"/>
      <c r="C1285" s="43" t="s">
        <v>168</v>
      </c>
      <c r="D1285" s="42">
        <v>1</v>
      </c>
      <c r="E1285" s="41">
        <v>3.0832793759442546E-5</v>
      </c>
    </row>
    <row r="1286" spans="2:5" ht="15" customHeight="1">
      <c r="B1286" s="84"/>
      <c r="C1286" s="43" t="s">
        <v>180</v>
      </c>
      <c r="D1286" s="42">
        <v>2</v>
      </c>
      <c r="E1286" s="41">
        <v>6.1665587518885091E-5</v>
      </c>
    </row>
    <row r="1287" spans="2:5" ht="15" customHeight="1">
      <c r="B1287" s="84"/>
      <c r="C1287" s="43" t="s">
        <v>165</v>
      </c>
      <c r="D1287" s="42">
        <v>1</v>
      </c>
      <c r="E1287" s="41">
        <v>3.0832793759442546E-5</v>
      </c>
    </row>
    <row r="1288" spans="2:5" ht="15" customHeight="1">
      <c r="B1288" s="85"/>
      <c r="C1288" s="40" t="s">
        <v>23</v>
      </c>
      <c r="D1288" s="39">
        <v>9</v>
      </c>
      <c r="E1288" s="38">
        <v>2.7749514383498288E-4</v>
      </c>
    </row>
    <row r="1289" spans="2:5" ht="15" customHeight="1">
      <c r="B1289" s="83" t="s">
        <v>42</v>
      </c>
      <c r="C1289" s="43" t="s">
        <v>148</v>
      </c>
      <c r="D1289" s="42">
        <v>3</v>
      </c>
      <c r="E1289" s="41">
        <v>9.249838127832763E-5</v>
      </c>
    </row>
    <row r="1290" spans="2:5" ht="15" customHeight="1">
      <c r="B1290" s="84"/>
      <c r="C1290" s="43" t="s">
        <v>152</v>
      </c>
      <c r="D1290" s="42">
        <v>1</v>
      </c>
      <c r="E1290" s="41">
        <v>3.0832793759442546E-5</v>
      </c>
    </row>
    <row r="1291" spans="2:5" ht="15" customHeight="1">
      <c r="B1291" s="84"/>
      <c r="C1291" s="43" t="s">
        <v>142</v>
      </c>
      <c r="D1291" s="42">
        <v>1</v>
      </c>
      <c r="E1291" s="41">
        <v>3.0832793759442546E-5</v>
      </c>
    </row>
    <row r="1292" spans="2:5" ht="15" customHeight="1">
      <c r="B1292" s="84"/>
      <c r="C1292" s="43" t="s">
        <v>136</v>
      </c>
      <c r="D1292" s="42">
        <v>1</v>
      </c>
      <c r="E1292" s="41">
        <v>3.0832793759442546E-5</v>
      </c>
    </row>
    <row r="1293" spans="2:5" ht="15" customHeight="1">
      <c r="B1293" s="84"/>
      <c r="C1293" s="43" t="s">
        <v>170</v>
      </c>
      <c r="D1293" s="42">
        <v>3</v>
      </c>
      <c r="E1293" s="41">
        <v>9.249838127832763E-5</v>
      </c>
    </row>
    <row r="1294" spans="2:5" ht="15" customHeight="1">
      <c r="B1294" s="84"/>
      <c r="C1294" s="43" t="s">
        <v>140</v>
      </c>
      <c r="D1294" s="42">
        <v>3</v>
      </c>
      <c r="E1294" s="41">
        <v>9.249838127832763E-5</v>
      </c>
    </row>
    <row r="1295" spans="2:5" ht="15" customHeight="1">
      <c r="B1295" s="84"/>
      <c r="C1295" s="43" t="s">
        <v>174</v>
      </c>
      <c r="D1295" s="42">
        <v>2</v>
      </c>
      <c r="E1295" s="41">
        <v>6.1665587518885091E-5</v>
      </c>
    </row>
    <row r="1296" spans="2:5" ht="15" customHeight="1">
      <c r="B1296" s="84"/>
      <c r="C1296" s="43" t="s">
        <v>164</v>
      </c>
      <c r="D1296" s="42">
        <v>1</v>
      </c>
      <c r="E1296" s="41">
        <v>3.0832793759442546E-5</v>
      </c>
    </row>
    <row r="1297" spans="2:5" ht="15" customHeight="1">
      <c r="B1297" s="84"/>
      <c r="C1297" s="43" t="s">
        <v>176</v>
      </c>
      <c r="D1297" s="42">
        <v>11</v>
      </c>
      <c r="E1297" s="41">
        <v>3.3916073135386795E-4</v>
      </c>
    </row>
    <row r="1298" spans="2:5" ht="15" customHeight="1">
      <c r="B1298" s="84"/>
      <c r="C1298" s="43" t="s">
        <v>178</v>
      </c>
      <c r="D1298" s="42">
        <v>1</v>
      </c>
      <c r="E1298" s="41">
        <v>3.0832793759442546E-5</v>
      </c>
    </row>
    <row r="1299" spans="2:5" ht="15" customHeight="1">
      <c r="B1299" s="84"/>
      <c r="C1299" s="43" t="s">
        <v>179</v>
      </c>
      <c r="D1299" s="42">
        <v>9</v>
      </c>
      <c r="E1299" s="41">
        <v>2.7749514383498288E-4</v>
      </c>
    </row>
    <row r="1300" spans="2:5" ht="15" customHeight="1">
      <c r="B1300" s="84"/>
      <c r="C1300" s="43" t="s">
        <v>159</v>
      </c>
      <c r="D1300" s="42">
        <v>1</v>
      </c>
      <c r="E1300" s="41">
        <v>3.0832793759442546E-5</v>
      </c>
    </row>
    <row r="1301" spans="2:5" ht="15" customHeight="1">
      <c r="B1301" s="84"/>
      <c r="C1301" s="43" t="s">
        <v>135</v>
      </c>
      <c r="D1301" s="42">
        <v>1</v>
      </c>
      <c r="E1301" s="41">
        <v>3.0832793759442546E-5</v>
      </c>
    </row>
    <row r="1302" spans="2:5" ht="15" customHeight="1">
      <c r="B1302" s="84"/>
      <c r="C1302" s="43" t="s">
        <v>168</v>
      </c>
      <c r="D1302" s="42">
        <v>1</v>
      </c>
      <c r="E1302" s="41">
        <v>3.0832793759442546E-5</v>
      </c>
    </row>
    <row r="1303" spans="2:5" ht="15" customHeight="1">
      <c r="B1303" s="84"/>
      <c r="C1303" s="43" t="s">
        <v>132</v>
      </c>
      <c r="D1303" s="42">
        <v>1</v>
      </c>
      <c r="E1303" s="41">
        <v>3.0832793759442546E-5</v>
      </c>
    </row>
    <row r="1304" spans="2:5" ht="15" customHeight="1">
      <c r="B1304" s="84"/>
      <c r="C1304" s="43" t="s">
        <v>158</v>
      </c>
      <c r="D1304" s="42">
        <v>1</v>
      </c>
      <c r="E1304" s="41">
        <v>3.0832793759442546E-5</v>
      </c>
    </row>
    <row r="1305" spans="2:5" ht="15" customHeight="1">
      <c r="B1305" s="84"/>
      <c r="C1305" s="43" t="s">
        <v>180</v>
      </c>
      <c r="D1305" s="42">
        <v>5</v>
      </c>
      <c r="E1305" s="41">
        <v>1.5416396879721272E-4</v>
      </c>
    </row>
    <row r="1306" spans="2:5" ht="15" customHeight="1">
      <c r="B1306" s="84"/>
      <c r="C1306" s="43" t="s">
        <v>181</v>
      </c>
      <c r="D1306" s="42">
        <v>2</v>
      </c>
      <c r="E1306" s="41">
        <v>6.1665587518885091E-5</v>
      </c>
    </row>
    <row r="1307" spans="2:5" ht="15" customHeight="1">
      <c r="B1307" s="84"/>
      <c r="C1307" s="43" t="s">
        <v>167</v>
      </c>
      <c r="D1307" s="42">
        <v>1</v>
      </c>
      <c r="E1307" s="41">
        <v>3.0832793759442546E-5</v>
      </c>
    </row>
    <row r="1308" spans="2:5" ht="15" customHeight="1">
      <c r="B1308" s="84"/>
      <c r="C1308" s="43" t="s">
        <v>182</v>
      </c>
      <c r="D1308" s="42">
        <v>31</v>
      </c>
      <c r="E1308" s="41">
        <v>9.5581660654271879E-4</v>
      </c>
    </row>
    <row r="1309" spans="2:5" ht="15" customHeight="1">
      <c r="B1309" s="84"/>
      <c r="C1309" s="43" t="s">
        <v>175</v>
      </c>
      <c r="D1309" s="42">
        <v>6</v>
      </c>
      <c r="E1309" s="41">
        <v>1.8499676255665526E-4</v>
      </c>
    </row>
    <row r="1310" spans="2:5" ht="15" customHeight="1">
      <c r="B1310" s="84"/>
      <c r="C1310" s="43" t="s">
        <v>160</v>
      </c>
      <c r="D1310" s="42">
        <v>1</v>
      </c>
      <c r="E1310" s="41">
        <v>3.0832793759442546E-5</v>
      </c>
    </row>
    <row r="1311" spans="2:5" ht="15" customHeight="1">
      <c r="B1311" s="84"/>
      <c r="C1311" s="43" t="s">
        <v>147</v>
      </c>
      <c r="D1311" s="42">
        <v>1</v>
      </c>
      <c r="E1311" s="41">
        <v>3.0832793759442546E-5</v>
      </c>
    </row>
    <row r="1312" spans="2:5" ht="15" customHeight="1">
      <c r="B1312" s="84"/>
      <c r="C1312" s="43" t="s">
        <v>128</v>
      </c>
      <c r="D1312" s="42">
        <v>1</v>
      </c>
      <c r="E1312" s="41">
        <v>3.0832793759442546E-5</v>
      </c>
    </row>
    <row r="1313" spans="2:5" ht="15" customHeight="1">
      <c r="B1313" s="84"/>
      <c r="C1313" s="43" t="s">
        <v>153</v>
      </c>
      <c r="D1313" s="42">
        <v>1</v>
      </c>
      <c r="E1313" s="41">
        <v>3.0832793759442546E-5</v>
      </c>
    </row>
    <row r="1314" spans="2:5" ht="15" customHeight="1">
      <c r="B1314" s="84"/>
      <c r="C1314" s="43" t="s">
        <v>149</v>
      </c>
      <c r="D1314" s="42">
        <v>1</v>
      </c>
      <c r="E1314" s="41">
        <v>3.0832793759442546E-5</v>
      </c>
    </row>
    <row r="1315" spans="2:5" ht="15" customHeight="1">
      <c r="B1315" s="84"/>
      <c r="C1315" s="43" t="s">
        <v>154</v>
      </c>
      <c r="D1315" s="42">
        <v>2</v>
      </c>
      <c r="E1315" s="41">
        <v>6.1665587518885091E-5</v>
      </c>
    </row>
    <row r="1316" spans="2:5" ht="15" customHeight="1">
      <c r="B1316" s="84"/>
      <c r="C1316" s="43" t="s">
        <v>162</v>
      </c>
      <c r="D1316" s="42">
        <v>1</v>
      </c>
      <c r="E1316" s="41">
        <v>3.0832793759442546E-5</v>
      </c>
    </row>
    <row r="1317" spans="2:5" ht="15" customHeight="1">
      <c r="B1317" s="84"/>
      <c r="C1317" s="43" t="s">
        <v>161</v>
      </c>
      <c r="D1317" s="42">
        <v>4</v>
      </c>
      <c r="E1317" s="41">
        <v>1.2333117503777018E-4</v>
      </c>
    </row>
    <row r="1318" spans="2:5" ht="15" customHeight="1">
      <c r="B1318" s="84"/>
      <c r="C1318" s="43" t="s">
        <v>166</v>
      </c>
      <c r="D1318" s="42">
        <v>2</v>
      </c>
      <c r="E1318" s="41">
        <v>6.1665587518885091E-5</v>
      </c>
    </row>
    <row r="1319" spans="2:5" ht="15" customHeight="1">
      <c r="B1319" s="85"/>
      <c r="C1319" s="40" t="s">
        <v>23</v>
      </c>
      <c r="D1319" s="39">
        <v>100</v>
      </c>
      <c r="E1319" s="38">
        <v>3.0832793759442544E-3</v>
      </c>
    </row>
    <row r="1320" spans="2:5" ht="15" customHeight="1">
      <c r="B1320" s="83" t="s">
        <v>31</v>
      </c>
      <c r="C1320" s="43" t="s">
        <v>164</v>
      </c>
      <c r="D1320" s="42">
        <v>1</v>
      </c>
      <c r="E1320" s="41">
        <v>3.0832793759442546E-5</v>
      </c>
    </row>
    <row r="1321" spans="2:5" ht="15" customHeight="1">
      <c r="B1321" s="84"/>
      <c r="C1321" s="43" t="s">
        <v>179</v>
      </c>
      <c r="D1321" s="42">
        <v>2</v>
      </c>
      <c r="E1321" s="41">
        <v>6.1665587518885091E-5</v>
      </c>
    </row>
    <row r="1322" spans="2:5" ht="15" customHeight="1">
      <c r="B1322" s="84"/>
      <c r="C1322" s="43" t="s">
        <v>180</v>
      </c>
      <c r="D1322" s="42">
        <v>1</v>
      </c>
      <c r="E1322" s="41">
        <v>3.0832793759442546E-5</v>
      </c>
    </row>
    <row r="1323" spans="2:5" ht="15" customHeight="1">
      <c r="B1323" s="84"/>
      <c r="C1323" s="43" t="s">
        <v>167</v>
      </c>
      <c r="D1323" s="42">
        <v>1</v>
      </c>
      <c r="E1323" s="41">
        <v>3.0832793759442546E-5</v>
      </c>
    </row>
    <row r="1324" spans="2:5" ht="15" customHeight="1">
      <c r="B1324" s="84"/>
      <c r="C1324" s="43" t="s">
        <v>182</v>
      </c>
      <c r="D1324" s="42">
        <v>2</v>
      </c>
      <c r="E1324" s="41">
        <v>6.1665587518885091E-5</v>
      </c>
    </row>
    <row r="1325" spans="2:5" ht="15" customHeight="1">
      <c r="B1325" s="84"/>
      <c r="C1325" s="43" t="s">
        <v>175</v>
      </c>
      <c r="D1325" s="42">
        <v>7</v>
      </c>
      <c r="E1325" s="41">
        <v>2.158295563160978E-4</v>
      </c>
    </row>
    <row r="1326" spans="2:5" ht="15" customHeight="1">
      <c r="B1326" s="84"/>
      <c r="C1326" s="43" t="s">
        <v>133</v>
      </c>
      <c r="D1326" s="42">
        <v>1</v>
      </c>
      <c r="E1326" s="41">
        <v>3.0832793759442546E-5</v>
      </c>
    </row>
    <row r="1327" spans="2:5" ht="15" customHeight="1">
      <c r="B1327" s="84"/>
      <c r="C1327" s="43" t="s">
        <v>146</v>
      </c>
      <c r="D1327" s="42">
        <v>1</v>
      </c>
      <c r="E1327" s="41">
        <v>3.0832793759442546E-5</v>
      </c>
    </row>
    <row r="1328" spans="2:5" ht="15" customHeight="1">
      <c r="B1328" s="84"/>
      <c r="C1328" s="43" t="s">
        <v>173</v>
      </c>
      <c r="D1328" s="42">
        <v>1</v>
      </c>
      <c r="E1328" s="41">
        <v>3.0832793759442546E-5</v>
      </c>
    </row>
    <row r="1329" spans="2:5" ht="15" customHeight="1">
      <c r="B1329" s="85"/>
      <c r="C1329" s="40" t="s">
        <v>23</v>
      </c>
      <c r="D1329" s="39">
        <v>17</v>
      </c>
      <c r="E1329" s="38">
        <v>5.2415749391052319E-4</v>
      </c>
    </row>
    <row r="1330" spans="2:5" ht="15" customHeight="1">
      <c r="B1330" s="95" t="s">
        <v>23</v>
      </c>
      <c r="C1330" s="96"/>
      <c r="D1330" s="97">
        <v>32433</v>
      </c>
      <c r="E1330" s="98">
        <v>1</v>
      </c>
    </row>
    <row r="1332" spans="2:5" ht="15" customHeight="1">
      <c r="B1332" s="19" t="s">
        <v>22</v>
      </c>
    </row>
    <row r="1333" spans="2:5" ht="15" customHeight="1">
      <c r="B1333" s="21" t="s">
        <v>21</v>
      </c>
    </row>
    <row r="1334" spans="2:5" ht="15" customHeight="1">
      <c r="B1334" s="20" t="s">
        <v>20</v>
      </c>
    </row>
    <row r="1335" spans="2:5" ht="15" customHeight="1">
      <c r="B1335" s="19" t="s">
        <v>19</v>
      </c>
    </row>
    <row r="1336" spans="2:5" ht="15" customHeight="1">
      <c r="B1336" s="19" t="s">
        <v>18</v>
      </c>
    </row>
  </sheetData>
  <mergeCells count="48">
    <mergeCell ref="B172:B207"/>
    <mergeCell ref="B208:B222"/>
    <mergeCell ref="B223:B234"/>
    <mergeCell ref="B235:B289"/>
    <mergeCell ref="B290:B347"/>
    <mergeCell ref="B7:E8"/>
    <mergeCell ref="B10:B43"/>
    <mergeCell ref="B44:B70"/>
    <mergeCell ref="B71:B117"/>
    <mergeCell ref="B118:B171"/>
    <mergeCell ref="B510:B538"/>
    <mergeCell ref="B539:B585"/>
    <mergeCell ref="B586:B607"/>
    <mergeCell ref="B608:B613"/>
    <mergeCell ref="B614:B646"/>
    <mergeCell ref="B348:B362"/>
    <mergeCell ref="B363:B418"/>
    <mergeCell ref="B419:B457"/>
    <mergeCell ref="B458:B478"/>
    <mergeCell ref="B479:B509"/>
    <mergeCell ref="B769:B799"/>
    <mergeCell ref="B800:B801"/>
    <mergeCell ref="B802:B818"/>
    <mergeCell ref="B819:B844"/>
    <mergeCell ref="B845:B872"/>
    <mergeCell ref="B647:B678"/>
    <mergeCell ref="B679:B715"/>
    <mergeCell ref="B716:B740"/>
    <mergeCell ref="B741:B744"/>
    <mergeCell ref="B745:B768"/>
    <mergeCell ref="B1020:B1037"/>
    <mergeCell ref="B1038:B1041"/>
    <mergeCell ref="B1042:B1082"/>
    <mergeCell ref="B1083:B1087"/>
    <mergeCell ref="B1088:B1138"/>
    <mergeCell ref="B873:B924"/>
    <mergeCell ref="B925:B926"/>
    <mergeCell ref="B927:B954"/>
    <mergeCell ref="B955:B1003"/>
    <mergeCell ref="B1004:B1019"/>
    <mergeCell ref="B1289:B1319"/>
    <mergeCell ref="B1320:B1329"/>
    <mergeCell ref="B1330:C1330"/>
    <mergeCell ref="B1139:B1197"/>
    <mergeCell ref="B1198:B1225"/>
    <mergeCell ref="B1226:B1261"/>
    <mergeCell ref="B1262:B1282"/>
    <mergeCell ref="B1283:B128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31" manualBreakCount="31">
    <brk id="43" max="4" man="1"/>
    <brk id="70" max="4" man="1"/>
    <brk id="117" max="4" man="1"/>
    <brk id="171" max="4" man="1"/>
    <brk id="207" max="4" man="1"/>
    <brk id="234" max="4" man="1"/>
    <brk id="289" max="4" man="1"/>
    <brk id="362" max="4" man="1"/>
    <brk id="418" max="4" man="1"/>
    <brk id="457" max="4" man="1"/>
    <brk id="478" max="4" man="1"/>
    <brk id="509" max="4" man="1"/>
    <brk id="538" max="4" man="1"/>
    <brk id="613" max="4" man="1"/>
    <brk id="646" max="4" man="1"/>
    <brk id="678" max="4" man="1"/>
    <brk id="715" max="4" man="1"/>
    <brk id="744" max="4" man="1"/>
    <brk id="768" max="4" man="1"/>
    <brk id="801" max="4" man="1"/>
    <brk id="844" max="4" man="1"/>
    <brk id="872" max="4" man="1"/>
    <brk id="954" max="4" man="1"/>
    <brk id="997" max="4" man="1"/>
    <brk id="1041" max="4" man="1"/>
    <brk id="1082" max="4" man="1"/>
    <brk id="1087" max="4" man="1"/>
    <brk id="1138" max="4" man="1"/>
    <brk id="1225" max="4" man="1"/>
    <brk id="1261" max="4" man="1"/>
    <brk id="1288" max="4" man="1"/>
  </rowBreaks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626"/>
  <sheetViews>
    <sheetView topLeftCell="A1590" zoomScaleNormal="100" zoomScaleSheetLayoutView="85" workbookViewId="0">
      <selection activeCell="B1620" sqref="B1620:E162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124</v>
      </c>
      <c r="C9" s="47" t="s">
        <v>185</v>
      </c>
      <c r="D9" s="46" t="s">
        <v>71</v>
      </c>
      <c r="E9" s="45" t="s">
        <v>70</v>
      </c>
    </row>
    <row r="10" spans="1:5" s="44" customFormat="1" ht="15" customHeight="1">
      <c r="A10" s="36"/>
      <c r="B10" s="83" t="s">
        <v>87</v>
      </c>
      <c r="C10" s="43" t="s">
        <v>170</v>
      </c>
      <c r="D10" s="42">
        <v>7</v>
      </c>
      <c r="E10" s="41">
        <v>2.158295563160978E-4</v>
      </c>
    </row>
    <row r="11" spans="1:5" s="44" customFormat="1" ht="15" customHeight="1">
      <c r="A11" s="36"/>
      <c r="B11" s="84"/>
      <c r="C11" s="43" t="s">
        <v>140</v>
      </c>
      <c r="D11" s="42">
        <v>1</v>
      </c>
      <c r="E11" s="41">
        <v>3.0832793759442546E-5</v>
      </c>
    </row>
    <row r="12" spans="1:5" s="44" customFormat="1" ht="15" customHeight="1">
      <c r="A12" s="36"/>
      <c r="B12" s="84"/>
      <c r="C12" s="43" t="s">
        <v>174</v>
      </c>
      <c r="D12" s="42">
        <v>1</v>
      </c>
      <c r="E12" s="41">
        <v>3.0832793759442546E-5</v>
      </c>
    </row>
    <row r="13" spans="1:5" ht="15" customHeight="1">
      <c r="B13" s="84"/>
      <c r="C13" s="43" t="s">
        <v>164</v>
      </c>
      <c r="D13" s="42">
        <v>3</v>
      </c>
      <c r="E13" s="41">
        <v>9.249838127832763E-5</v>
      </c>
    </row>
    <row r="14" spans="1:5" ht="15" customHeight="1">
      <c r="B14" s="84"/>
      <c r="C14" s="43" t="s">
        <v>179</v>
      </c>
      <c r="D14" s="42">
        <v>1</v>
      </c>
      <c r="E14" s="41">
        <v>3.0832793759442546E-5</v>
      </c>
    </row>
    <row r="15" spans="1:5" ht="15" customHeight="1">
      <c r="B15" s="84"/>
      <c r="C15" s="43" t="s">
        <v>168</v>
      </c>
      <c r="D15" s="42">
        <v>1</v>
      </c>
      <c r="E15" s="41">
        <v>3.0832793759442546E-5</v>
      </c>
    </row>
    <row r="16" spans="1:5" ht="15" customHeight="1">
      <c r="B16" s="84"/>
      <c r="C16" s="43" t="s">
        <v>180</v>
      </c>
      <c r="D16" s="42">
        <v>2</v>
      </c>
      <c r="E16" s="41">
        <v>6.1665587518885091E-5</v>
      </c>
    </row>
    <row r="17" spans="2:5" ht="15" customHeight="1">
      <c r="B17" s="84"/>
      <c r="C17" s="43" t="s">
        <v>177</v>
      </c>
      <c r="D17" s="42">
        <v>1</v>
      </c>
      <c r="E17" s="41">
        <v>3.0832793759442546E-5</v>
      </c>
    </row>
    <row r="18" spans="2:5" ht="15" customHeight="1">
      <c r="B18" s="84"/>
      <c r="C18" s="43" t="s">
        <v>165</v>
      </c>
      <c r="D18" s="42">
        <v>2</v>
      </c>
      <c r="E18" s="41">
        <v>6.1665587518885091E-5</v>
      </c>
    </row>
    <row r="19" spans="2:5" ht="15" customHeight="1">
      <c r="B19" s="84"/>
      <c r="C19" s="43" t="s">
        <v>171</v>
      </c>
      <c r="D19" s="42">
        <v>2</v>
      </c>
      <c r="E19" s="41">
        <v>6.1665587518885091E-5</v>
      </c>
    </row>
    <row r="20" spans="2:5" ht="15" customHeight="1">
      <c r="B20" s="84"/>
      <c r="C20" s="43" t="s">
        <v>181</v>
      </c>
      <c r="D20" s="42">
        <v>4</v>
      </c>
      <c r="E20" s="41">
        <v>1.2333117503777018E-4</v>
      </c>
    </row>
    <row r="21" spans="2:5" ht="15" customHeight="1">
      <c r="B21" s="84"/>
      <c r="C21" s="43" t="s">
        <v>167</v>
      </c>
      <c r="D21" s="42">
        <v>1</v>
      </c>
      <c r="E21" s="41">
        <v>3.0832793759442546E-5</v>
      </c>
    </row>
    <row r="22" spans="2:5" ht="15" customHeight="1">
      <c r="B22" s="84"/>
      <c r="C22" s="43" t="s">
        <v>182</v>
      </c>
      <c r="D22" s="42">
        <v>10</v>
      </c>
      <c r="E22" s="41">
        <v>3.0832793759442544E-4</v>
      </c>
    </row>
    <row r="23" spans="2:5" ht="15" customHeight="1">
      <c r="B23" s="84"/>
      <c r="C23" s="43" t="s">
        <v>157</v>
      </c>
      <c r="D23" s="42">
        <v>56</v>
      </c>
      <c r="E23" s="41">
        <v>1.7266364505287824E-3</v>
      </c>
    </row>
    <row r="24" spans="2:5" ht="15" customHeight="1">
      <c r="B24" s="84"/>
      <c r="C24" s="43" t="s">
        <v>147</v>
      </c>
      <c r="D24" s="42">
        <v>1</v>
      </c>
      <c r="E24" s="41">
        <v>3.0832793759442546E-5</v>
      </c>
    </row>
    <row r="25" spans="2:5" ht="15" customHeight="1">
      <c r="B25" s="84"/>
      <c r="C25" s="43" t="s">
        <v>173</v>
      </c>
      <c r="D25" s="42">
        <v>5</v>
      </c>
      <c r="E25" s="41">
        <v>1.5416396879721272E-4</v>
      </c>
    </row>
    <row r="26" spans="2:5" ht="15" customHeight="1">
      <c r="B26" s="84"/>
      <c r="C26" s="43" t="s">
        <v>161</v>
      </c>
      <c r="D26" s="42">
        <v>3</v>
      </c>
      <c r="E26" s="41">
        <v>9.249838127832763E-5</v>
      </c>
    </row>
    <row r="27" spans="2:5" ht="15" customHeight="1">
      <c r="B27" s="84"/>
      <c r="C27" s="43" t="s">
        <v>166</v>
      </c>
      <c r="D27" s="42">
        <v>1</v>
      </c>
      <c r="E27" s="41">
        <v>3.0832793759442546E-5</v>
      </c>
    </row>
    <row r="28" spans="2:5" ht="15" customHeight="1">
      <c r="B28" s="84"/>
      <c r="C28" s="43" t="s">
        <v>145</v>
      </c>
      <c r="D28" s="42">
        <v>2</v>
      </c>
      <c r="E28" s="41">
        <v>6.1665587518885091E-5</v>
      </c>
    </row>
    <row r="29" spans="2:5" ht="15" customHeight="1">
      <c r="B29" s="85"/>
      <c r="C29" s="40" t="s">
        <v>23</v>
      </c>
      <c r="D29" s="39">
        <v>104</v>
      </c>
      <c r="E29" s="38">
        <v>3.2066105509820247E-3</v>
      </c>
    </row>
    <row r="30" spans="2:5" ht="15" customHeight="1">
      <c r="B30" s="83" t="s">
        <v>119</v>
      </c>
      <c r="C30" s="43" t="s">
        <v>172</v>
      </c>
      <c r="D30" s="42">
        <v>8</v>
      </c>
      <c r="E30" s="41">
        <v>2.4666235007554037E-4</v>
      </c>
    </row>
    <row r="31" spans="2:5" ht="15" customHeight="1">
      <c r="B31" s="84"/>
      <c r="C31" s="43" t="s">
        <v>148</v>
      </c>
      <c r="D31" s="42">
        <v>19</v>
      </c>
      <c r="E31" s="41">
        <v>5.8582308142940832E-4</v>
      </c>
    </row>
    <row r="32" spans="2:5" ht="15" customHeight="1">
      <c r="B32" s="84"/>
      <c r="C32" s="43" t="s">
        <v>152</v>
      </c>
      <c r="D32" s="42">
        <v>22</v>
      </c>
      <c r="E32" s="41">
        <v>6.7832146270773591E-4</v>
      </c>
    </row>
    <row r="33" spans="2:5" ht="15" customHeight="1">
      <c r="B33" s="84"/>
      <c r="C33" s="43" t="s">
        <v>142</v>
      </c>
      <c r="D33" s="42">
        <v>2</v>
      </c>
      <c r="E33" s="41">
        <v>6.1665587518885091E-5</v>
      </c>
    </row>
    <row r="34" spans="2:5" ht="15" customHeight="1">
      <c r="B34" s="84"/>
      <c r="C34" s="43" t="s">
        <v>136</v>
      </c>
      <c r="D34" s="42">
        <v>11</v>
      </c>
      <c r="E34" s="41">
        <v>3.3916073135386795E-4</v>
      </c>
    </row>
    <row r="35" spans="2:5" ht="15" customHeight="1">
      <c r="B35" s="84"/>
      <c r="C35" s="43" t="s">
        <v>170</v>
      </c>
      <c r="D35" s="42">
        <v>33</v>
      </c>
      <c r="E35" s="41">
        <v>1.0174821940616039E-3</v>
      </c>
    </row>
    <row r="36" spans="2:5" ht="15" customHeight="1">
      <c r="B36" s="84"/>
      <c r="C36" s="43" t="s">
        <v>140</v>
      </c>
      <c r="D36" s="42">
        <v>3</v>
      </c>
      <c r="E36" s="41">
        <v>9.249838127832763E-5</v>
      </c>
    </row>
    <row r="37" spans="2:5" ht="15" customHeight="1">
      <c r="B37" s="84"/>
      <c r="C37" s="43" t="s">
        <v>156</v>
      </c>
      <c r="D37" s="42">
        <v>20</v>
      </c>
      <c r="E37" s="41">
        <v>6.1665587518885089E-4</v>
      </c>
    </row>
    <row r="38" spans="2:5" ht="15" customHeight="1">
      <c r="B38" s="84"/>
      <c r="C38" s="43" t="s">
        <v>174</v>
      </c>
      <c r="D38" s="42">
        <v>31</v>
      </c>
      <c r="E38" s="41">
        <v>9.5581660654271879E-4</v>
      </c>
    </row>
    <row r="39" spans="2:5" ht="15" customHeight="1">
      <c r="B39" s="84"/>
      <c r="C39" s="43" t="s">
        <v>164</v>
      </c>
      <c r="D39" s="42">
        <v>15</v>
      </c>
      <c r="E39" s="41">
        <v>4.6249190639163816E-4</v>
      </c>
    </row>
    <row r="40" spans="2:5" ht="15" customHeight="1">
      <c r="B40" s="84"/>
      <c r="C40" s="43" t="s">
        <v>176</v>
      </c>
      <c r="D40" s="42">
        <v>53</v>
      </c>
      <c r="E40" s="41">
        <v>1.6341380692504548E-3</v>
      </c>
    </row>
    <row r="41" spans="2:5" ht="15" customHeight="1">
      <c r="B41" s="84"/>
      <c r="C41" s="43" t="s">
        <v>178</v>
      </c>
      <c r="D41" s="42">
        <v>99</v>
      </c>
      <c r="E41" s="41">
        <v>3.052446582184812E-3</v>
      </c>
    </row>
    <row r="42" spans="2:5" ht="15" customHeight="1">
      <c r="B42" s="84"/>
      <c r="C42" s="43" t="s">
        <v>179</v>
      </c>
      <c r="D42" s="42">
        <v>150</v>
      </c>
      <c r="E42" s="41">
        <v>4.6249190639163816E-3</v>
      </c>
    </row>
    <row r="43" spans="2:5" ht="15" customHeight="1">
      <c r="B43" s="84"/>
      <c r="C43" s="43" t="s">
        <v>129</v>
      </c>
      <c r="D43" s="42">
        <v>2</v>
      </c>
      <c r="E43" s="41">
        <v>6.1665587518885091E-5</v>
      </c>
    </row>
    <row r="44" spans="2:5" ht="15" customHeight="1">
      <c r="B44" s="84"/>
      <c r="C44" s="43" t="s">
        <v>159</v>
      </c>
      <c r="D44" s="42">
        <v>38</v>
      </c>
      <c r="E44" s="41">
        <v>1.1716461628588166E-3</v>
      </c>
    </row>
    <row r="45" spans="2:5" ht="15" customHeight="1">
      <c r="B45" s="84"/>
      <c r="C45" s="43" t="s">
        <v>135</v>
      </c>
      <c r="D45" s="42">
        <v>4</v>
      </c>
      <c r="E45" s="41">
        <v>1.2333117503777018E-4</v>
      </c>
    </row>
    <row r="46" spans="2:5" ht="15" customHeight="1">
      <c r="B46" s="84"/>
      <c r="C46" s="43" t="s">
        <v>168</v>
      </c>
      <c r="D46" s="42">
        <v>37</v>
      </c>
      <c r="E46" s="41">
        <v>1.1408133690993742E-3</v>
      </c>
    </row>
    <row r="47" spans="2:5" ht="15" customHeight="1">
      <c r="B47" s="84"/>
      <c r="C47" s="43" t="s">
        <v>132</v>
      </c>
      <c r="D47" s="42">
        <v>1</v>
      </c>
      <c r="E47" s="41">
        <v>3.0832793759442546E-5</v>
      </c>
    </row>
    <row r="48" spans="2:5" ht="15" customHeight="1">
      <c r="B48" s="84"/>
      <c r="C48" s="43" t="s">
        <v>158</v>
      </c>
      <c r="D48" s="42">
        <v>20</v>
      </c>
      <c r="E48" s="41">
        <v>6.1665587518885089E-4</v>
      </c>
    </row>
    <row r="49" spans="2:5" ht="15" customHeight="1">
      <c r="B49" s="84"/>
      <c r="C49" s="43" t="s">
        <v>180</v>
      </c>
      <c r="D49" s="42">
        <v>111</v>
      </c>
      <c r="E49" s="41">
        <v>3.4224401072981223E-3</v>
      </c>
    </row>
    <row r="50" spans="2:5" ht="15" customHeight="1">
      <c r="B50" s="84"/>
      <c r="C50" s="43" t="s">
        <v>126</v>
      </c>
      <c r="D50" s="42">
        <v>2</v>
      </c>
      <c r="E50" s="41">
        <v>6.1665587518885091E-5</v>
      </c>
    </row>
    <row r="51" spans="2:5" ht="15" customHeight="1">
      <c r="B51" s="84"/>
      <c r="C51" s="43" t="s">
        <v>177</v>
      </c>
      <c r="D51" s="42">
        <v>54</v>
      </c>
      <c r="E51" s="41">
        <v>1.6649708630098973E-3</v>
      </c>
    </row>
    <row r="52" spans="2:5" ht="15" customHeight="1">
      <c r="B52" s="84"/>
      <c r="C52" s="43" t="s">
        <v>165</v>
      </c>
      <c r="D52" s="42">
        <v>5</v>
      </c>
      <c r="E52" s="41">
        <v>1.5416396879721272E-4</v>
      </c>
    </row>
    <row r="53" spans="2:5" ht="15" customHeight="1">
      <c r="B53" s="84"/>
      <c r="C53" s="43" t="s">
        <v>171</v>
      </c>
      <c r="D53" s="42">
        <v>72</v>
      </c>
      <c r="E53" s="41">
        <v>2.219961150679863E-3</v>
      </c>
    </row>
    <row r="54" spans="2:5" ht="15" customHeight="1">
      <c r="B54" s="84"/>
      <c r="C54" s="43" t="s">
        <v>181</v>
      </c>
      <c r="D54" s="42">
        <v>357</v>
      </c>
      <c r="E54" s="41">
        <v>1.1007307372120988E-2</v>
      </c>
    </row>
    <row r="55" spans="2:5" ht="15" customHeight="1">
      <c r="B55" s="84"/>
      <c r="C55" s="43" t="s">
        <v>167</v>
      </c>
      <c r="D55" s="42">
        <v>154</v>
      </c>
      <c r="E55" s="41">
        <v>4.7482502389541515E-3</v>
      </c>
    </row>
    <row r="56" spans="2:5" ht="15" customHeight="1">
      <c r="B56" s="84"/>
      <c r="C56" s="43" t="s">
        <v>103</v>
      </c>
      <c r="D56" s="42">
        <v>4</v>
      </c>
      <c r="E56" s="41">
        <v>1.2333117503777018E-4</v>
      </c>
    </row>
    <row r="57" spans="2:5" ht="15" customHeight="1">
      <c r="B57" s="84"/>
      <c r="C57" s="43" t="s">
        <v>163</v>
      </c>
      <c r="D57" s="42">
        <v>20</v>
      </c>
      <c r="E57" s="41">
        <v>6.1665587518885089E-4</v>
      </c>
    </row>
    <row r="58" spans="2:5" ht="15" customHeight="1">
      <c r="B58" s="84"/>
      <c r="C58" s="43" t="s">
        <v>182</v>
      </c>
      <c r="D58" s="42">
        <v>213</v>
      </c>
      <c r="E58" s="41">
        <v>6.5673850707612617E-3</v>
      </c>
    </row>
    <row r="59" spans="2:5" ht="15" customHeight="1">
      <c r="B59" s="84"/>
      <c r="C59" s="43" t="s">
        <v>137</v>
      </c>
      <c r="D59" s="42">
        <v>5</v>
      </c>
      <c r="E59" s="41">
        <v>1.5416396879721272E-4</v>
      </c>
    </row>
    <row r="60" spans="2:5" ht="15" customHeight="1">
      <c r="B60" s="84"/>
      <c r="C60" s="43" t="s">
        <v>151</v>
      </c>
      <c r="D60" s="42">
        <v>15</v>
      </c>
      <c r="E60" s="41">
        <v>4.6249190639163816E-4</v>
      </c>
    </row>
    <row r="61" spans="2:5" ht="15" customHeight="1">
      <c r="B61" s="84"/>
      <c r="C61" s="43" t="s">
        <v>134</v>
      </c>
      <c r="D61" s="42">
        <v>6</v>
      </c>
      <c r="E61" s="41">
        <v>1.8499676255665526E-4</v>
      </c>
    </row>
    <row r="62" spans="2:5" ht="15" customHeight="1">
      <c r="B62" s="84"/>
      <c r="C62" s="43" t="s">
        <v>150</v>
      </c>
      <c r="D62" s="42">
        <v>32</v>
      </c>
      <c r="E62" s="41">
        <v>9.8664940030216146E-4</v>
      </c>
    </row>
    <row r="63" spans="2:5" ht="15" customHeight="1">
      <c r="B63" s="84"/>
      <c r="C63" s="43" t="s">
        <v>175</v>
      </c>
      <c r="D63" s="42">
        <v>56</v>
      </c>
      <c r="E63" s="41">
        <v>1.7266364505287824E-3</v>
      </c>
    </row>
    <row r="64" spans="2:5" ht="15" customHeight="1">
      <c r="B64" s="84"/>
      <c r="C64" s="43" t="s">
        <v>157</v>
      </c>
      <c r="D64" s="42">
        <v>4</v>
      </c>
      <c r="E64" s="41">
        <v>1.2333117503777018E-4</v>
      </c>
    </row>
    <row r="65" spans="2:5" ht="15" customHeight="1">
      <c r="B65" s="84"/>
      <c r="C65" s="43" t="s">
        <v>143</v>
      </c>
      <c r="D65" s="42">
        <v>5</v>
      </c>
      <c r="E65" s="41">
        <v>1.5416396879721272E-4</v>
      </c>
    </row>
    <row r="66" spans="2:5" ht="15" customHeight="1">
      <c r="B66" s="84"/>
      <c r="C66" s="43" t="s">
        <v>169</v>
      </c>
      <c r="D66" s="42">
        <v>58</v>
      </c>
      <c r="E66" s="41">
        <v>1.7883020380476675E-3</v>
      </c>
    </row>
    <row r="67" spans="2:5" ht="15" customHeight="1">
      <c r="B67" s="84"/>
      <c r="C67" s="43" t="s">
        <v>160</v>
      </c>
      <c r="D67" s="42">
        <v>55</v>
      </c>
      <c r="E67" s="41">
        <v>1.6958036567693399E-3</v>
      </c>
    </row>
    <row r="68" spans="2:5" ht="15" customHeight="1">
      <c r="B68" s="84"/>
      <c r="C68" s="43" t="s">
        <v>131</v>
      </c>
      <c r="D68" s="42">
        <v>3</v>
      </c>
      <c r="E68" s="41">
        <v>9.249838127832763E-5</v>
      </c>
    </row>
    <row r="69" spans="2:5" ht="15" customHeight="1">
      <c r="B69" s="84"/>
      <c r="C69" s="43" t="s">
        <v>133</v>
      </c>
      <c r="D69" s="42">
        <v>1</v>
      </c>
      <c r="E69" s="41">
        <v>3.0832793759442546E-5</v>
      </c>
    </row>
    <row r="70" spans="2:5" ht="15" customHeight="1">
      <c r="B70" s="84"/>
      <c r="C70" s="43" t="s">
        <v>147</v>
      </c>
      <c r="D70" s="42">
        <v>45</v>
      </c>
      <c r="E70" s="41">
        <v>1.3874757191749145E-3</v>
      </c>
    </row>
    <row r="71" spans="2:5" ht="15" customHeight="1">
      <c r="B71" s="84"/>
      <c r="C71" s="43" t="s">
        <v>128</v>
      </c>
      <c r="D71" s="42">
        <v>2</v>
      </c>
      <c r="E71" s="41">
        <v>6.1665587518885091E-5</v>
      </c>
    </row>
    <row r="72" spans="2:5" ht="15" customHeight="1">
      <c r="B72" s="84"/>
      <c r="C72" s="43" t="s">
        <v>130</v>
      </c>
      <c r="D72" s="42">
        <v>2</v>
      </c>
      <c r="E72" s="41">
        <v>6.1665587518885091E-5</v>
      </c>
    </row>
    <row r="73" spans="2:5" ht="15" customHeight="1">
      <c r="B73" s="84"/>
      <c r="C73" s="43" t="s">
        <v>139</v>
      </c>
      <c r="D73" s="42">
        <v>12</v>
      </c>
      <c r="E73" s="41">
        <v>3.6999352511331052E-4</v>
      </c>
    </row>
    <row r="74" spans="2:5" ht="15" customHeight="1">
      <c r="B74" s="84"/>
      <c r="C74" s="43" t="s">
        <v>153</v>
      </c>
      <c r="D74" s="42">
        <v>17</v>
      </c>
      <c r="E74" s="41">
        <v>5.2415749391052319E-4</v>
      </c>
    </row>
    <row r="75" spans="2:5" ht="15" customHeight="1">
      <c r="B75" s="84"/>
      <c r="C75" s="43" t="s">
        <v>141</v>
      </c>
      <c r="D75" s="42">
        <v>8</v>
      </c>
      <c r="E75" s="41">
        <v>2.4666235007554037E-4</v>
      </c>
    </row>
    <row r="76" spans="2:5" ht="15" customHeight="1">
      <c r="B76" s="84"/>
      <c r="C76" s="43" t="s">
        <v>149</v>
      </c>
      <c r="D76" s="42">
        <v>13</v>
      </c>
      <c r="E76" s="41">
        <v>4.0082631887275309E-4</v>
      </c>
    </row>
    <row r="77" spans="2:5" ht="15" customHeight="1">
      <c r="B77" s="84"/>
      <c r="C77" s="43" t="s">
        <v>146</v>
      </c>
      <c r="D77" s="42">
        <v>6</v>
      </c>
      <c r="E77" s="41">
        <v>1.8499676255665526E-4</v>
      </c>
    </row>
    <row r="78" spans="2:5" ht="15" customHeight="1">
      <c r="B78" s="84"/>
      <c r="C78" s="43" t="s">
        <v>144</v>
      </c>
      <c r="D78" s="42">
        <v>13</v>
      </c>
      <c r="E78" s="41">
        <v>4.0082631887275309E-4</v>
      </c>
    </row>
    <row r="79" spans="2:5" ht="15" customHeight="1">
      <c r="B79" s="84"/>
      <c r="C79" s="43" t="s">
        <v>155</v>
      </c>
      <c r="D79" s="42">
        <v>28</v>
      </c>
      <c r="E79" s="41">
        <v>8.633182252643912E-4</v>
      </c>
    </row>
    <row r="80" spans="2:5" ht="15" customHeight="1">
      <c r="B80" s="84"/>
      <c r="C80" s="43" t="s">
        <v>138</v>
      </c>
      <c r="D80" s="42">
        <v>3</v>
      </c>
      <c r="E80" s="41">
        <v>9.249838127832763E-5</v>
      </c>
    </row>
    <row r="81" spans="2:5" ht="15" customHeight="1">
      <c r="B81" s="84"/>
      <c r="C81" s="43" t="s">
        <v>173</v>
      </c>
      <c r="D81" s="42">
        <v>139</v>
      </c>
      <c r="E81" s="41">
        <v>4.2857583325625137E-3</v>
      </c>
    </row>
    <row r="82" spans="2:5" ht="15" customHeight="1">
      <c r="B82" s="84"/>
      <c r="C82" s="43" t="s">
        <v>154</v>
      </c>
      <c r="D82" s="42">
        <v>2</v>
      </c>
      <c r="E82" s="41">
        <v>6.1665587518885091E-5</v>
      </c>
    </row>
    <row r="83" spans="2:5" ht="15" customHeight="1">
      <c r="B83" s="84"/>
      <c r="C83" s="43" t="s">
        <v>162</v>
      </c>
      <c r="D83" s="42">
        <v>5</v>
      </c>
      <c r="E83" s="41">
        <v>1.5416396879721272E-4</v>
      </c>
    </row>
    <row r="84" spans="2:5" ht="15" customHeight="1">
      <c r="B84" s="84"/>
      <c r="C84" s="43" t="s">
        <v>161</v>
      </c>
      <c r="D84" s="42">
        <v>22</v>
      </c>
      <c r="E84" s="41">
        <v>6.7832146270773591E-4</v>
      </c>
    </row>
    <row r="85" spans="2:5" ht="15" customHeight="1">
      <c r="B85" s="84"/>
      <c r="C85" s="43" t="s">
        <v>166</v>
      </c>
      <c r="D85" s="42">
        <v>41</v>
      </c>
      <c r="E85" s="41">
        <v>1.2641445441371442E-3</v>
      </c>
    </row>
    <row r="86" spans="2:5" ht="15" customHeight="1">
      <c r="B86" s="84"/>
      <c r="C86" s="43" t="s">
        <v>145</v>
      </c>
      <c r="D86" s="42">
        <v>10</v>
      </c>
      <c r="E86" s="41">
        <v>3.0832793759442544E-4</v>
      </c>
    </row>
    <row r="87" spans="2:5" ht="15" customHeight="1">
      <c r="B87" s="85"/>
      <c r="C87" s="40" t="s">
        <v>23</v>
      </c>
      <c r="D87" s="39">
        <v>2168</v>
      </c>
      <c r="E87" s="38">
        <v>6.6845496870471435E-2</v>
      </c>
    </row>
    <row r="88" spans="2:5" ht="15" customHeight="1">
      <c r="B88" s="83" t="s">
        <v>109</v>
      </c>
      <c r="C88" s="43" t="s">
        <v>172</v>
      </c>
      <c r="D88" s="42">
        <v>27</v>
      </c>
      <c r="E88" s="41">
        <v>8.3248543150494863E-4</v>
      </c>
    </row>
    <row r="89" spans="2:5" ht="15" customHeight="1">
      <c r="B89" s="84"/>
      <c r="C89" s="43" t="s">
        <v>148</v>
      </c>
      <c r="D89" s="42">
        <v>20</v>
      </c>
      <c r="E89" s="41">
        <v>6.1665587518885089E-4</v>
      </c>
    </row>
    <row r="90" spans="2:5" ht="15" customHeight="1">
      <c r="B90" s="84"/>
      <c r="C90" s="43" t="s">
        <v>152</v>
      </c>
      <c r="D90" s="42">
        <v>19</v>
      </c>
      <c r="E90" s="41">
        <v>5.8582308142940832E-4</v>
      </c>
    </row>
    <row r="91" spans="2:5" ht="15" customHeight="1">
      <c r="B91" s="84"/>
      <c r="C91" s="43" t="s">
        <v>142</v>
      </c>
      <c r="D91" s="42">
        <v>14</v>
      </c>
      <c r="E91" s="41">
        <v>4.316591126321956E-4</v>
      </c>
    </row>
    <row r="92" spans="2:5" ht="15" customHeight="1">
      <c r="B92" s="84"/>
      <c r="C92" s="43" t="s">
        <v>136</v>
      </c>
      <c r="D92" s="42">
        <v>4</v>
      </c>
      <c r="E92" s="41">
        <v>1.2333117503777018E-4</v>
      </c>
    </row>
    <row r="93" spans="2:5" ht="15" customHeight="1">
      <c r="B93" s="84"/>
      <c r="C93" s="43" t="s">
        <v>170</v>
      </c>
      <c r="D93" s="42">
        <v>42</v>
      </c>
      <c r="E93" s="41">
        <v>1.2949773378965869E-3</v>
      </c>
    </row>
    <row r="94" spans="2:5" ht="15" customHeight="1">
      <c r="B94" s="84"/>
      <c r="C94" s="43" t="s">
        <v>140</v>
      </c>
      <c r="D94" s="42">
        <v>4</v>
      </c>
      <c r="E94" s="41">
        <v>1.2333117503777018E-4</v>
      </c>
    </row>
    <row r="95" spans="2:5" ht="15" customHeight="1">
      <c r="B95" s="84"/>
      <c r="C95" s="43" t="s">
        <v>156</v>
      </c>
      <c r="D95" s="42">
        <v>16</v>
      </c>
      <c r="E95" s="41">
        <v>4.9332470015108073E-4</v>
      </c>
    </row>
    <row r="96" spans="2:5" ht="15" customHeight="1">
      <c r="B96" s="84"/>
      <c r="C96" s="43" t="s">
        <v>174</v>
      </c>
      <c r="D96" s="42">
        <v>31</v>
      </c>
      <c r="E96" s="41">
        <v>9.5581660654271879E-4</v>
      </c>
    </row>
    <row r="97" spans="2:5" ht="15" customHeight="1">
      <c r="B97" s="84"/>
      <c r="C97" s="43" t="s">
        <v>127</v>
      </c>
      <c r="D97" s="42">
        <v>2</v>
      </c>
      <c r="E97" s="41">
        <v>6.1665587518885091E-5</v>
      </c>
    </row>
    <row r="98" spans="2:5" ht="15" customHeight="1">
      <c r="B98" s="84"/>
      <c r="C98" s="43" t="s">
        <v>164</v>
      </c>
      <c r="D98" s="42">
        <v>38</v>
      </c>
      <c r="E98" s="41">
        <v>1.1716461628588166E-3</v>
      </c>
    </row>
    <row r="99" spans="2:5" ht="15" customHeight="1">
      <c r="B99" s="84"/>
      <c r="C99" s="43" t="s">
        <v>176</v>
      </c>
      <c r="D99" s="42">
        <v>32</v>
      </c>
      <c r="E99" s="41">
        <v>9.8664940030216146E-4</v>
      </c>
    </row>
    <row r="100" spans="2:5" ht="15" customHeight="1">
      <c r="B100" s="84"/>
      <c r="C100" s="43" t="s">
        <v>178</v>
      </c>
      <c r="D100" s="42">
        <v>88</v>
      </c>
      <c r="E100" s="41">
        <v>2.7132858508309436E-3</v>
      </c>
    </row>
    <row r="101" spans="2:5" ht="15" customHeight="1">
      <c r="B101" s="84"/>
      <c r="C101" s="43" t="s">
        <v>179</v>
      </c>
      <c r="D101" s="42">
        <v>92</v>
      </c>
      <c r="E101" s="41">
        <v>2.8366170258687139E-3</v>
      </c>
    </row>
    <row r="102" spans="2:5" ht="15" customHeight="1">
      <c r="B102" s="84"/>
      <c r="C102" s="43" t="s">
        <v>159</v>
      </c>
      <c r="D102" s="42">
        <v>10</v>
      </c>
      <c r="E102" s="41">
        <v>3.0832793759442544E-4</v>
      </c>
    </row>
    <row r="103" spans="2:5" ht="15" customHeight="1">
      <c r="B103" s="84"/>
      <c r="C103" s="43" t="s">
        <v>135</v>
      </c>
      <c r="D103" s="42">
        <v>3</v>
      </c>
      <c r="E103" s="41">
        <v>9.249838127832763E-5</v>
      </c>
    </row>
    <row r="104" spans="2:5" ht="15" customHeight="1">
      <c r="B104" s="84"/>
      <c r="C104" s="43" t="s">
        <v>168</v>
      </c>
      <c r="D104" s="42">
        <v>24</v>
      </c>
      <c r="E104" s="41">
        <v>7.3998705022662104E-4</v>
      </c>
    </row>
    <row r="105" spans="2:5" ht="15" customHeight="1">
      <c r="B105" s="84"/>
      <c r="C105" s="43" t="s">
        <v>158</v>
      </c>
      <c r="D105" s="42">
        <v>19</v>
      </c>
      <c r="E105" s="41">
        <v>5.8582308142940832E-4</v>
      </c>
    </row>
    <row r="106" spans="2:5" ht="15" customHeight="1">
      <c r="B106" s="84"/>
      <c r="C106" s="43" t="s">
        <v>180</v>
      </c>
      <c r="D106" s="42">
        <v>86</v>
      </c>
      <c r="E106" s="41">
        <v>2.6516202633120587E-3</v>
      </c>
    </row>
    <row r="107" spans="2:5" ht="15" customHeight="1">
      <c r="B107" s="84"/>
      <c r="C107" s="43" t="s">
        <v>126</v>
      </c>
      <c r="D107" s="42">
        <v>3</v>
      </c>
      <c r="E107" s="41">
        <v>9.249838127832763E-5</v>
      </c>
    </row>
    <row r="108" spans="2:5" ht="15" customHeight="1">
      <c r="B108" s="84"/>
      <c r="C108" s="43" t="s">
        <v>177</v>
      </c>
      <c r="D108" s="42">
        <v>38</v>
      </c>
      <c r="E108" s="41">
        <v>1.1716461628588166E-3</v>
      </c>
    </row>
    <row r="109" spans="2:5" ht="15" customHeight="1">
      <c r="B109" s="84"/>
      <c r="C109" s="43" t="s">
        <v>165</v>
      </c>
      <c r="D109" s="42">
        <v>70</v>
      </c>
      <c r="E109" s="41">
        <v>2.1582955631609781E-3</v>
      </c>
    </row>
    <row r="110" spans="2:5" ht="15" customHeight="1">
      <c r="B110" s="84"/>
      <c r="C110" s="43" t="s">
        <v>171</v>
      </c>
      <c r="D110" s="42">
        <v>28</v>
      </c>
      <c r="E110" s="41">
        <v>8.633182252643912E-4</v>
      </c>
    </row>
    <row r="111" spans="2:5" ht="15" customHeight="1">
      <c r="B111" s="84"/>
      <c r="C111" s="43" t="s">
        <v>181</v>
      </c>
      <c r="D111" s="42">
        <v>399</v>
      </c>
      <c r="E111" s="41">
        <v>1.2302284710017574E-2</v>
      </c>
    </row>
    <row r="112" spans="2:5" ht="15" customHeight="1">
      <c r="B112" s="84"/>
      <c r="C112" s="43" t="s">
        <v>167</v>
      </c>
      <c r="D112" s="42">
        <v>44</v>
      </c>
      <c r="E112" s="41">
        <v>1.3566429254154718E-3</v>
      </c>
    </row>
    <row r="113" spans="2:5" ht="15" customHeight="1">
      <c r="B113" s="84"/>
      <c r="C113" s="43" t="s">
        <v>103</v>
      </c>
      <c r="D113" s="42">
        <v>1</v>
      </c>
      <c r="E113" s="41">
        <v>3.0832793759442546E-5</v>
      </c>
    </row>
    <row r="114" spans="2:5" ht="15" customHeight="1">
      <c r="B114" s="84"/>
      <c r="C114" s="43" t="s">
        <v>163</v>
      </c>
      <c r="D114" s="42">
        <v>30</v>
      </c>
      <c r="E114" s="41">
        <v>9.2498381278327633E-4</v>
      </c>
    </row>
    <row r="115" spans="2:5" ht="15" customHeight="1">
      <c r="B115" s="84"/>
      <c r="C115" s="43" t="s">
        <v>182</v>
      </c>
      <c r="D115" s="42">
        <v>340</v>
      </c>
      <c r="E115" s="41">
        <v>1.0483149878210465E-2</v>
      </c>
    </row>
    <row r="116" spans="2:5" ht="15" customHeight="1">
      <c r="B116" s="84"/>
      <c r="C116" s="43" t="s">
        <v>137</v>
      </c>
      <c r="D116" s="42">
        <v>5</v>
      </c>
      <c r="E116" s="41">
        <v>1.5416396879721272E-4</v>
      </c>
    </row>
    <row r="117" spans="2:5" ht="15" customHeight="1">
      <c r="B117" s="84"/>
      <c r="C117" s="43" t="s">
        <v>151</v>
      </c>
      <c r="D117" s="42">
        <v>35</v>
      </c>
      <c r="E117" s="41">
        <v>1.079147781580489E-3</v>
      </c>
    </row>
    <row r="118" spans="2:5" ht="15" customHeight="1">
      <c r="B118" s="84"/>
      <c r="C118" s="43" t="s">
        <v>134</v>
      </c>
      <c r="D118" s="42">
        <v>3</v>
      </c>
      <c r="E118" s="41">
        <v>9.249838127832763E-5</v>
      </c>
    </row>
    <row r="119" spans="2:5" ht="15" customHeight="1">
      <c r="B119" s="84"/>
      <c r="C119" s="43" t="s">
        <v>150</v>
      </c>
      <c r="D119" s="42">
        <v>23</v>
      </c>
      <c r="E119" s="41">
        <v>7.0915425646717847E-4</v>
      </c>
    </row>
    <row r="120" spans="2:5" ht="15" customHeight="1">
      <c r="B120" s="84"/>
      <c r="C120" s="43" t="s">
        <v>175</v>
      </c>
      <c r="D120" s="42">
        <v>54</v>
      </c>
      <c r="E120" s="41">
        <v>1.6649708630098973E-3</v>
      </c>
    </row>
    <row r="121" spans="2:5" ht="15" customHeight="1">
      <c r="B121" s="84"/>
      <c r="C121" s="43" t="s">
        <v>157</v>
      </c>
      <c r="D121" s="42">
        <v>3</v>
      </c>
      <c r="E121" s="41">
        <v>9.249838127832763E-5</v>
      </c>
    </row>
    <row r="122" spans="2:5" ht="15" customHeight="1">
      <c r="B122" s="84"/>
      <c r="C122" s="43" t="s">
        <v>143</v>
      </c>
      <c r="D122" s="42">
        <v>22</v>
      </c>
      <c r="E122" s="41">
        <v>6.7832146270773591E-4</v>
      </c>
    </row>
    <row r="123" spans="2:5" ht="15" customHeight="1">
      <c r="B123" s="84"/>
      <c r="C123" s="43" t="s">
        <v>169</v>
      </c>
      <c r="D123" s="42">
        <v>87</v>
      </c>
      <c r="E123" s="41">
        <v>2.6824530570715012E-3</v>
      </c>
    </row>
    <row r="124" spans="2:5" ht="15" customHeight="1">
      <c r="B124" s="84"/>
      <c r="C124" s="43" t="s">
        <v>160</v>
      </c>
      <c r="D124" s="42">
        <v>26</v>
      </c>
      <c r="E124" s="41">
        <v>8.0165263774550617E-4</v>
      </c>
    </row>
    <row r="125" spans="2:5" ht="15" customHeight="1">
      <c r="B125" s="84"/>
      <c r="C125" s="43" t="s">
        <v>133</v>
      </c>
      <c r="D125" s="42">
        <v>3</v>
      </c>
      <c r="E125" s="41">
        <v>9.249838127832763E-5</v>
      </c>
    </row>
    <row r="126" spans="2:5" ht="15" customHeight="1">
      <c r="B126" s="84"/>
      <c r="C126" s="43" t="s">
        <v>147</v>
      </c>
      <c r="D126" s="42">
        <v>20</v>
      </c>
      <c r="E126" s="41">
        <v>6.1665587518885089E-4</v>
      </c>
    </row>
    <row r="127" spans="2:5" ht="15" customHeight="1">
      <c r="B127" s="84"/>
      <c r="C127" s="43" t="s">
        <v>128</v>
      </c>
      <c r="D127" s="42">
        <v>1</v>
      </c>
      <c r="E127" s="41">
        <v>3.0832793759442546E-5</v>
      </c>
    </row>
    <row r="128" spans="2:5" ht="15" customHeight="1">
      <c r="B128" s="84"/>
      <c r="C128" s="43" t="s">
        <v>130</v>
      </c>
      <c r="D128" s="42">
        <v>3</v>
      </c>
      <c r="E128" s="41">
        <v>9.249838127832763E-5</v>
      </c>
    </row>
    <row r="129" spans="2:5" ht="15" customHeight="1">
      <c r="B129" s="84"/>
      <c r="C129" s="43" t="s">
        <v>139</v>
      </c>
      <c r="D129" s="42">
        <v>2</v>
      </c>
      <c r="E129" s="41">
        <v>6.1665587518885091E-5</v>
      </c>
    </row>
    <row r="130" spans="2:5" ht="15" customHeight="1">
      <c r="B130" s="84"/>
      <c r="C130" s="43" t="s">
        <v>153</v>
      </c>
      <c r="D130" s="42">
        <v>9</v>
      </c>
      <c r="E130" s="41">
        <v>2.7749514383498288E-4</v>
      </c>
    </row>
    <row r="131" spans="2:5" ht="15" customHeight="1">
      <c r="B131" s="84"/>
      <c r="C131" s="43" t="s">
        <v>141</v>
      </c>
      <c r="D131" s="42">
        <v>5</v>
      </c>
      <c r="E131" s="41">
        <v>1.5416396879721272E-4</v>
      </c>
    </row>
    <row r="132" spans="2:5" ht="15" customHeight="1">
      <c r="B132" s="84"/>
      <c r="C132" s="43" t="s">
        <v>149</v>
      </c>
      <c r="D132" s="42">
        <v>12</v>
      </c>
      <c r="E132" s="41">
        <v>3.6999352511331052E-4</v>
      </c>
    </row>
    <row r="133" spans="2:5" ht="15" customHeight="1">
      <c r="B133" s="84"/>
      <c r="C133" s="43" t="s">
        <v>146</v>
      </c>
      <c r="D133" s="42">
        <v>46</v>
      </c>
      <c r="E133" s="41">
        <v>1.4183085129343569E-3</v>
      </c>
    </row>
    <row r="134" spans="2:5" ht="15" customHeight="1">
      <c r="B134" s="84"/>
      <c r="C134" s="43" t="s">
        <v>144</v>
      </c>
      <c r="D134" s="42">
        <v>17</v>
      </c>
      <c r="E134" s="41">
        <v>5.2415749391052319E-4</v>
      </c>
    </row>
    <row r="135" spans="2:5" ht="15" customHeight="1">
      <c r="B135" s="84"/>
      <c r="C135" s="43" t="s">
        <v>155</v>
      </c>
      <c r="D135" s="42">
        <v>19</v>
      </c>
      <c r="E135" s="41">
        <v>5.8582308142940832E-4</v>
      </c>
    </row>
    <row r="136" spans="2:5" ht="15" customHeight="1">
      <c r="B136" s="84"/>
      <c r="C136" s="43" t="s">
        <v>138</v>
      </c>
      <c r="D136" s="42">
        <v>1</v>
      </c>
      <c r="E136" s="41">
        <v>3.0832793759442546E-5</v>
      </c>
    </row>
    <row r="137" spans="2:5" ht="15" customHeight="1">
      <c r="B137" s="84"/>
      <c r="C137" s="43" t="s">
        <v>173</v>
      </c>
      <c r="D137" s="42">
        <v>6</v>
      </c>
      <c r="E137" s="41">
        <v>1.8499676255665526E-4</v>
      </c>
    </row>
    <row r="138" spans="2:5" ht="15" customHeight="1">
      <c r="B138" s="84"/>
      <c r="C138" s="43" t="s">
        <v>154</v>
      </c>
      <c r="D138" s="42">
        <v>17</v>
      </c>
      <c r="E138" s="41">
        <v>5.2415749391052319E-4</v>
      </c>
    </row>
    <row r="139" spans="2:5" ht="15" customHeight="1">
      <c r="B139" s="84"/>
      <c r="C139" s="43" t="s">
        <v>162</v>
      </c>
      <c r="D139" s="42">
        <v>43</v>
      </c>
      <c r="E139" s="41">
        <v>1.3258101316560294E-3</v>
      </c>
    </row>
    <row r="140" spans="2:5" ht="15" customHeight="1">
      <c r="B140" s="84"/>
      <c r="C140" s="43" t="s">
        <v>161</v>
      </c>
      <c r="D140" s="42">
        <v>18</v>
      </c>
      <c r="E140" s="41">
        <v>5.5499028766996575E-4</v>
      </c>
    </row>
    <row r="141" spans="2:5" ht="15" customHeight="1">
      <c r="B141" s="84"/>
      <c r="C141" s="43" t="s">
        <v>166</v>
      </c>
      <c r="D141" s="42">
        <v>21</v>
      </c>
      <c r="E141" s="41">
        <v>6.4748866894829345E-4</v>
      </c>
    </row>
    <row r="142" spans="2:5" ht="15" customHeight="1">
      <c r="B142" s="84"/>
      <c r="C142" s="43" t="s">
        <v>145</v>
      </c>
      <c r="D142" s="42">
        <v>5</v>
      </c>
      <c r="E142" s="41">
        <v>1.5416396879721272E-4</v>
      </c>
    </row>
    <row r="143" spans="2:5" ht="15" customHeight="1">
      <c r="B143" s="85"/>
      <c r="C143" s="40" t="s">
        <v>23</v>
      </c>
      <c r="D143" s="39">
        <v>2030</v>
      </c>
      <c r="E143" s="38">
        <v>6.2590571331668357E-2</v>
      </c>
    </row>
    <row r="144" spans="2:5" ht="15" customHeight="1">
      <c r="B144" s="83" t="s">
        <v>85</v>
      </c>
      <c r="C144" s="43" t="s">
        <v>142</v>
      </c>
      <c r="D144" s="42">
        <v>1</v>
      </c>
      <c r="E144" s="41">
        <v>3.0832793759442546E-5</v>
      </c>
    </row>
    <row r="145" spans="2:5" ht="15" customHeight="1">
      <c r="B145" s="84"/>
      <c r="C145" s="43" t="s">
        <v>178</v>
      </c>
      <c r="D145" s="42">
        <v>1</v>
      </c>
      <c r="E145" s="41">
        <v>3.0832793759442546E-5</v>
      </c>
    </row>
    <row r="146" spans="2:5" ht="15" customHeight="1">
      <c r="B146" s="84"/>
      <c r="C146" s="43" t="s">
        <v>168</v>
      </c>
      <c r="D146" s="42">
        <v>3</v>
      </c>
      <c r="E146" s="41">
        <v>9.249838127832763E-5</v>
      </c>
    </row>
    <row r="147" spans="2:5" ht="15" customHeight="1">
      <c r="B147" s="84"/>
      <c r="C147" s="43" t="s">
        <v>177</v>
      </c>
      <c r="D147" s="42">
        <v>1</v>
      </c>
      <c r="E147" s="41">
        <v>3.0832793759442546E-5</v>
      </c>
    </row>
    <row r="148" spans="2:5" ht="15" customHeight="1">
      <c r="B148" s="84"/>
      <c r="C148" s="43" t="s">
        <v>165</v>
      </c>
      <c r="D148" s="42">
        <v>1</v>
      </c>
      <c r="E148" s="41">
        <v>3.0832793759442546E-5</v>
      </c>
    </row>
    <row r="149" spans="2:5" ht="15" customHeight="1">
      <c r="B149" s="84"/>
      <c r="C149" s="43" t="s">
        <v>167</v>
      </c>
      <c r="D149" s="42">
        <v>2</v>
      </c>
      <c r="E149" s="41">
        <v>6.1665587518885091E-5</v>
      </c>
    </row>
    <row r="150" spans="2:5" ht="15" customHeight="1">
      <c r="B150" s="84"/>
      <c r="C150" s="43" t="s">
        <v>182</v>
      </c>
      <c r="D150" s="42">
        <v>8</v>
      </c>
      <c r="E150" s="41">
        <v>2.4666235007554037E-4</v>
      </c>
    </row>
    <row r="151" spans="2:5" ht="15" customHeight="1">
      <c r="B151" s="84"/>
      <c r="C151" s="43" t="s">
        <v>151</v>
      </c>
      <c r="D151" s="42">
        <v>2</v>
      </c>
      <c r="E151" s="41">
        <v>6.1665587518885091E-5</v>
      </c>
    </row>
    <row r="152" spans="2:5" ht="15" customHeight="1">
      <c r="B152" s="84"/>
      <c r="C152" s="43" t="s">
        <v>175</v>
      </c>
      <c r="D152" s="42">
        <v>1</v>
      </c>
      <c r="E152" s="41">
        <v>3.0832793759442546E-5</v>
      </c>
    </row>
    <row r="153" spans="2:5" ht="15" customHeight="1">
      <c r="B153" s="84"/>
      <c r="C153" s="43" t="s">
        <v>157</v>
      </c>
      <c r="D153" s="42">
        <v>3</v>
      </c>
      <c r="E153" s="41">
        <v>9.249838127832763E-5</v>
      </c>
    </row>
    <row r="154" spans="2:5" ht="15" customHeight="1">
      <c r="B154" s="84"/>
      <c r="C154" s="43" t="s">
        <v>143</v>
      </c>
      <c r="D154" s="42">
        <v>1</v>
      </c>
      <c r="E154" s="41">
        <v>3.0832793759442546E-5</v>
      </c>
    </row>
    <row r="155" spans="2:5" ht="15" customHeight="1">
      <c r="B155" s="84"/>
      <c r="C155" s="43" t="s">
        <v>131</v>
      </c>
      <c r="D155" s="42">
        <v>1</v>
      </c>
      <c r="E155" s="41">
        <v>3.0832793759442546E-5</v>
      </c>
    </row>
    <row r="156" spans="2:5" ht="15" customHeight="1">
      <c r="B156" s="84"/>
      <c r="C156" s="43" t="s">
        <v>153</v>
      </c>
      <c r="D156" s="42">
        <v>1</v>
      </c>
      <c r="E156" s="41">
        <v>3.0832793759442546E-5</v>
      </c>
    </row>
    <row r="157" spans="2:5" ht="15" customHeight="1">
      <c r="B157" s="84"/>
      <c r="C157" s="43" t="s">
        <v>173</v>
      </c>
      <c r="D157" s="42">
        <v>1</v>
      </c>
      <c r="E157" s="41">
        <v>3.0832793759442546E-5</v>
      </c>
    </row>
    <row r="158" spans="2:5" ht="15" customHeight="1">
      <c r="B158" s="84"/>
      <c r="C158" s="43" t="s">
        <v>154</v>
      </c>
      <c r="D158" s="42">
        <v>6</v>
      </c>
      <c r="E158" s="41">
        <v>1.8499676255665526E-4</v>
      </c>
    </row>
    <row r="159" spans="2:5" ht="15" customHeight="1">
      <c r="B159" s="84"/>
      <c r="C159" s="43" t="s">
        <v>161</v>
      </c>
      <c r="D159" s="42">
        <v>1</v>
      </c>
      <c r="E159" s="41">
        <v>3.0832793759442546E-5</v>
      </c>
    </row>
    <row r="160" spans="2:5" ht="15" customHeight="1">
      <c r="B160" s="84"/>
      <c r="C160" s="43" t="s">
        <v>145</v>
      </c>
      <c r="D160" s="42">
        <v>3</v>
      </c>
      <c r="E160" s="41">
        <v>9.249838127832763E-5</v>
      </c>
    </row>
    <row r="161" spans="2:5" ht="15" customHeight="1">
      <c r="B161" s="85"/>
      <c r="C161" s="40" t="s">
        <v>23</v>
      </c>
      <c r="D161" s="39">
        <v>37</v>
      </c>
      <c r="E161" s="38">
        <v>1.1408133690993742E-3</v>
      </c>
    </row>
    <row r="162" spans="2:5" ht="15" customHeight="1">
      <c r="B162" s="83" t="s">
        <v>81</v>
      </c>
      <c r="C162" s="43" t="s">
        <v>164</v>
      </c>
      <c r="D162" s="42">
        <v>1</v>
      </c>
      <c r="E162" s="41">
        <v>3.0832793759442546E-5</v>
      </c>
    </row>
    <row r="163" spans="2:5" ht="15" customHeight="1">
      <c r="B163" s="84"/>
      <c r="C163" s="43" t="s">
        <v>179</v>
      </c>
      <c r="D163" s="42">
        <v>4</v>
      </c>
      <c r="E163" s="41">
        <v>1.2333117503777018E-4</v>
      </c>
    </row>
    <row r="164" spans="2:5" ht="15" customHeight="1">
      <c r="B164" s="84"/>
      <c r="C164" s="43" t="s">
        <v>159</v>
      </c>
      <c r="D164" s="42">
        <v>1</v>
      </c>
      <c r="E164" s="41">
        <v>3.0832793759442546E-5</v>
      </c>
    </row>
    <row r="165" spans="2:5" ht="15" customHeight="1">
      <c r="B165" s="84"/>
      <c r="C165" s="43" t="s">
        <v>132</v>
      </c>
      <c r="D165" s="42">
        <v>1</v>
      </c>
      <c r="E165" s="41">
        <v>3.0832793759442546E-5</v>
      </c>
    </row>
    <row r="166" spans="2:5" ht="15" customHeight="1">
      <c r="B166" s="84"/>
      <c r="C166" s="43" t="s">
        <v>167</v>
      </c>
      <c r="D166" s="42">
        <v>8</v>
      </c>
      <c r="E166" s="41">
        <v>2.4666235007554037E-4</v>
      </c>
    </row>
    <row r="167" spans="2:5" ht="15" customHeight="1">
      <c r="B167" s="84"/>
      <c r="C167" s="43" t="s">
        <v>182</v>
      </c>
      <c r="D167" s="42">
        <v>2</v>
      </c>
      <c r="E167" s="41">
        <v>6.1665587518885091E-5</v>
      </c>
    </row>
    <row r="168" spans="2:5" ht="15" customHeight="1">
      <c r="B168" s="84"/>
      <c r="C168" s="43" t="s">
        <v>154</v>
      </c>
      <c r="D168" s="42">
        <v>2</v>
      </c>
      <c r="E168" s="41">
        <v>6.1665587518885091E-5</v>
      </c>
    </row>
    <row r="169" spans="2:5" ht="15" customHeight="1">
      <c r="B169" s="84"/>
      <c r="C169" s="43" t="s">
        <v>166</v>
      </c>
      <c r="D169" s="42">
        <v>2</v>
      </c>
      <c r="E169" s="41">
        <v>6.1665587518885091E-5</v>
      </c>
    </row>
    <row r="170" spans="2:5" ht="15" customHeight="1">
      <c r="B170" s="85"/>
      <c r="C170" s="40" t="s">
        <v>23</v>
      </c>
      <c r="D170" s="39">
        <v>21</v>
      </c>
      <c r="E170" s="38">
        <v>6.4748866894829345E-4</v>
      </c>
    </row>
    <row r="171" spans="2:5" ht="15" customHeight="1">
      <c r="B171" s="83" t="s">
        <v>86</v>
      </c>
      <c r="C171" s="43" t="s">
        <v>148</v>
      </c>
      <c r="D171" s="42">
        <v>12</v>
      </c>
      <c r="E171" s="41">
        <v>3.6999352511331052E-4</v>
      </c>
    </row>
    <row r="172" spans="2:5" ht="15" customHeight="1">
      <c r="B172" s="84"/>
      <c r="C172" s="43" t="s">
        <v>152</v>
      </c>
      <c r="D172" s="42">
        <v>12</v>
      </c>
      <c r="E172" s="41">
        <v>3.6999352511331052E-4</v>
      </c>
    </row>
    <row r="173" spans="2:5" ht="15" customHeight="1">
      <c r="B173" s="84"/>
      <c r="C173" s="43" t="s">
        <v>142</v>
      </c>
      <c r="D173" s="42">
        <v>2</v>
      </c>
      <c r="E173" s="41">
        <v>6.1665587518885091E-5</v>
      </c>
    </row>
    <row r="174" spans="2:5" ht="15" customHeight="1">
      <c r="B174" s="84"/>
      <c r="C174" s="43" t="s">
        <v>170</v>
      </c>
      <c r="D174" s="42">
        <v>11</v>
      </c>
      <c r="E174" s="41">
        <v>3.3916073135386795E-4</v>
      </c>
    </row>
    <row r="175" spans="2:5" ht="15" customHeight="1">
      <c r="B175" s="84"/>
      <c r="C175" s="43" t="s">
        <v>174</v>
      </c>
      <c r="D175" s="42">
        <v>13</v>
      </c>
      <c r="E175" s="41">
        <v>4.0082631887275309E-4</v>
      </c>
    </row>
    <row r="176" spans="2:5" ht="15" customHeight="1">
      <c r="B176" s="84"/>
      <c r="C176" s="43" t="s">
        <v>127</v>
      </c>
      <c r="D176" s="42">
        <v>1</v>
      </c>
      <c r="E176" s="41">
        <v>3.0832793759442546E-5</v>
      </c>
    </row>
    <row r="177" spans="2:5" ht="15" customHeight="1">
      <c r="B177" s="84"/>
      <c r="C177" s="43" t="s">
        <v>164</v>
      </c>
      <c r="D177" s="42">
        <v>6</v>
      </c>
      <c r="E177" s="41">
        <v>1.8499676255665526E-4</v>
      </c>
    </row>
    <row r="178" spans="2:5" ht="15" customHeight="1">
      <c r="B178" s="84"/>
      <c r="C178" s="43" t="s">
        <v>176</v>
      </c>
      <c r="D178" s="42">
        <v>46</v>
      </c>
      <c r="E178" s="41">
        <v>1.4183085129343569E-3</v>
      </c>
    </row>
    <row r="179" spans="2:5" ht="15" customHeight="1">
      <c r="B179" s="84"/>
      <c r="C179" s="43" t="s">
        <v>178</v>
      </c>
      <c r="D179" s="42">
        <v>20</v>
      </c>
      <c r="E179" s="41">
        <v>6.1665587518885089E-4</v>
      </c>
    </row>
    <row r="180" spans="2:5" ht="15" customHeight="1">
      <c r="B180" s="84"/>
      <c r="C180" s="43" t="s">
        <v>179</v>
      </c>
      <c r="D180" s="42">
        <v>29</v>
      </c>
      <c r="E180" s="41">
        <v>8.9415101902383376E-4</v>
      </c>
    </row>
    <row r="181" spans="2:5" ht="15" customHeight="1">
      <c r="B181" s="84"/>
      <c r="C181" s="43" t="s">
        <v>129</v>
      </c>
      <c r="D181" s="42">
        <v>2</v>
      </c>
      <c r="E181" s="41">
        <v>6.1665587518885091E-5</v>
      </c>
    </row>
    <row r="182" spans="2:5" ht="15" customHeight="1">
      <c r="B182" s="84"/>
      <c r="C182" s="43" t="s">
        <v>159</v>
      </c>
      <c r="D182" s="42">
        <v>19</v>
      </c>
      <c r="E182" s="41">
        <v>5.8582308142940832E-4</v>
      </c>
    </row>
    <row r="183" spans="2:5" ht="15" customHeight="1">
      <c r="B183" s="84"/>
      <c r="C183" s="43" t="s">
        <v>168</v>
      </c>
      <c r="D183" s="42">
        <v>15</v>
      </c>
      <c r="E183" s="41">
        <v>4.6249190639163816E-4</v>
      </c>
    </row>
    <row r="184" spans="2:5" ht="15" customHeight="1">
      <c r="B184" s="84"/>
      <c r="C184" s="43" t="s">
        <v>132</v>
      </c>
      <c r="D184" s="42">
        <v>1</v>
      </c>
      <c r="E184" s="41">
        <v>3.0832793759442546E-5</v>
      </c>
    </row>
    <row r="185" spans="2:5" ht="15" customHeight="1">
      <c r="B185" s="84"/>
      <c r="C185" s="43" t="s">
        <v>158</v>
      </c>
      <c r="D185" s="42">
        <v>2</v>
      </c>
      <c r="E185" s="41">
        <v>6.1665587518885091E-5</v>
      </c>
    </row>
    <row r="186" spans="2:5" ht="15" customHeight="1">
      <c r="B186" s="84"/>
      <c r="C186" s="43" t="s">
        <v>180</v>
      </c>
      <c r="D186" s="42">
        <v>9</v>
      </c>
      <c r="E186" s="41">
        <v>2.7749514383498288E-4</v>
      </c>
    </row>
    <row r="187" spans="2:5" ht="15" customHeight="1">
      <c r="B187" s="84"/>
      <c r="C187" s="43" t="s">
        <v>126</v>
      </c>
      <c r="D187" s="42">
        <v>1</v>
      </c>
      <c r="E187" s="41">
        <v>3.0832793759442546E-5</v>
      </c>
    </row>
    <row r="188" spans="2:5" ht="15" customHeight="1">
      <c r="B188" s="84"/>
      <c r="C188" s="43" t="s">
        <v>177</v>
      </c>
      <c r="D188" s="42">
        <v>1</v>
      </c>
      <c r="E188" s="41">
        <v>3.0832793759442546E-5</v>
      </c>
    </row>
    <row r="189" spans="2:5" ht="15" customHeight="1">
      <c r="B189" s="84"/>
      <c r="C189" s="43" t="s">
        <v>165</v>
      </c>
      <c r="D189" s="42">
        <v>2</v>
      </c>
      <c r="E189" s="41">
        <v>6.1665587518885091E-5</v>
      </c>
    </row>
    <row r="190" spans="2:5" ht="15" customHeight="1">
      <c r="B190" s="84"/>
      <c r="C190" s="43" t="s">
        <v>171</v>
      </c>
      <c r="D190" s="42">
        <v>6</v>
      </c>
      <c r="E190" s="41">
        <v>1.8499676255665526E-4</v>
      </c>
    </row>
    <row r="191" spans="2:5" ht="15" customHeight="1">
      <c r="B191" s="84"/>
      <c r="C191" s="43" t="s">
        <v>181</v>
      </c>
      <c r="D191" s="42">
        <v>34</v>
      </c>
      <c r="E191" s="41">
        <v>1.0483149878210464E-3</v>
      </c>
    </row>
    <row r="192" spans="2:5" ht="15" customHeight="1">
      <c r="B192" s="84"/>
      <c r="C192" s="43" t="s">
        <v>167</v>
      </c>
      <c r="D192" s="42">
        <v>1</v>
      </c>
      <c r="E192" s="41">
        <v>3.0832793759442546E-5</v>
      </c>
    </row>
    <row r="193" spans="2:5" ht="15" customHeight="1">
      <c r="B193" s="84"/>
      <c r="C193" s="43" t="s">
        <v>163</v>
      </c>
      <c r="D193" s="42">
        <v>5</v>
      </c>
      <c r="E193" s="41">
        <v>1.5416396879721272E-4</v>
      </c>
    </row>
    <row r="194" spans="2:5" ht="15" customHeight="1">
      <c r="B194" s="84"/>
      <c r="C194" s="43" t="s">
        <v>182</v>
      </c>
      <c r="D194" s="42">
        <v>28</v>
      </c>
      <c r="E194" s="41">
        <v>8.633182252643912E-4</v>
      </c>
    </row>
    <row r="195" spans="2:5" ht="15" customHeight="1">
      <c r="B195" s="84"/>
      <c r="C195" s="43" t="s">
        <v>151</v>
      </c>
      <c r="D195" s="42">
        <v>1</v>
      </c>
      <c r="E195" s="41">
        <v>3.0832793759442546E-5</v>
      </c>
    </row>
    <row r="196" spans="2:5" ht="15" customHeight="1">
      <c r="B196" s="84"/>
      <c r="C196" s="43" t="s">
        <v>134</v>
      </c>
      <c r="D196" s="42">
        <v>3</v>
      </c>
      <c r="E196" s="41">
        <v>9.249838127832763E-5</v>
      </c>
    </row>
    <row r="197" spans="2:5" ht="15" customHeight="1">
      <c r="B197" s="84"/>
      <c r="C197" s="43" t="s">
        <v>150</v>
      </c>
      <c r="D197" s="42">
        <v>2</v>
      </c>
      <c r="E197" s="41">
        <v>6.1665587518885091E-5</v>
      </c>
    </row>
    <row r="198" spans="2:5" ht="15" customHeight="1">
      <c r="B198" s="84"/>
      <c r="C198" s="43" t="s">
        <v>175</v>
      </c>
      <c r="D198" s="42">
        <v>5</v>
      </c>
      <c r="E198" s="41">
        <v>1.5416396879721272E-4</v>
      </c>
    </row>
    <row r="199" spans="2:5" ht="15" customHeight="1">
      <c r="B199" s="84"/>
      <c r="C199" s="43" t="s">
        <v>157</v>
      </c>
      <c r="D199" s="42">
        <v>1</v>
      </c>
      <c r="E199" s="41">
        <v>3.0832793759442546E-5</v>
      </c>
    </row>
    <row r="200" spans="2:5" ht="15" customHeight="1">
      <c r="B200" s="84"/>
      <c r="C200" s="43" t="s">
        <v>169</v>
      </c>
      <c r="D200" s="42">
        <v>28</v>
      </c>
      <c r="E200" s="41">
        <v>8.633182252643912E-4</v>
      </c>
    </row>
    <row r="201" spans="2:5" ht="15" customHeight="1">
      <c r="B201" s="84"/>
      <c r="C201" s="43" t="s">
        <v>160</v>
      </c>
      <c r="D201" s="42">
        <v>15</v>
      </c>
      <c r="E201" s="41">
        <v>4.6249190639163816E-4</v>
      </c>
    </row>
    <row r="202" spans="2:5" ht="15" customHeight="1">
      <c r="B202" s="84"/>
      <c r="C202" s="43" t="s">
        <v>131</v>
      </c>
      <c r="D202" s="42">
        <v>1</v>
      </c>
      <c r="E202" s="41">
        <v>3.0832793759442546E-5</v>
      </c>
    </row>
    <row r="203" spans="2:5" ht="15" customHeight="1">
      <c r="B203" s="84"/>
      <c r="C203" s="43" t="s">
        <v>133</v>
      </c>
      <c r="D203" s="42">
        <v>2</v>
      </c>
      <c r="E203" s="41">
        <v>6.1665587518885091E-5</v>
      </c>
    </row>
    <row r="204" spans="2:5" ht="15" customHeight="1">
      <c r="B204" s="84"/>
      <c r="C204" s="43" t="s">
        <v>147</v>
      </c>
      <c r="D204" s="42">
        <v>9</v>
      </c>
      <c r="E204" s="41">
        <v>2.7749514383498288E-4</v>
      </c>
    </row>
    <row r="205" spans="2:5" ht="15" customHeight="1">
      <c r="B205" s="84"/>
      <c r="C205" s="43" t="s">
        <v>128</v>
      </c>
      <c r="D205" s="42">
        <v>3</v>
      </c>
      <c r="E205" s="41">
        <v>9.249838127832763E-5</v>
      </c>
    </row>
    <row r="206" spans="2:5" ht="15" customHeight="1">
      <c r="B206" s="84"/>
      <c r="C206" s="43" t="s">
        <v>130</v>
      </c>
      <c r="D206" s="42">
        <v>2</v>
      </c>
      <c r="E206" s="41">
        <v>6.1665587518885091E-5</v>
      </c>
    </row>
    <row r="207" spans="2:5" ht="15" customHeight="1">
      <c r="B207" s="84"/>
      <c r="C207" s="43" t="s">
        <v>153</v>
      </c>
      <c r="D207" s="42">
        <v>1</v>
      </c>
      <c r="E207" s="41">
        <v>3.0832793759442546E-5</v>
      </c>
    </row>
    <row r="208" spans="2:5" ht="15" customHeight="1">
      <c r="B208" s="84"/>
      <c r="C208" s="43" t="s">
        <v>141</v>
      </c>
      <c r="D208" s="42">
        <v>1</v>
      </c>
      <c r="E208" s="41">
        <v>3.0832793759442546E-5</v>
      </c>
    </row>
    <row r="209" spans="2:5" ht="15" customHeight="1">
      <c r="B209" s="84"/>
      <c r="C209" s="43" t="s">
        <v>146</v>
      </c>
      <c r="D209" s="42">
        <v>2</v>
      </c>
      <c r="E209" s="41">
        <v>6.1665587518885091E-5</v>
      </c>
    </row>
    <row r="210" spans="2:5" ht="15" customHeight="1">
      <c r="B210" s="84"/>
      <c r="C210" s="43" t="s">
        <v>155</v>
      </c>
      <c r="D210" s="42">
        <v>2</v>
      </c>
      <c r="E210" s="41">
        <v>6.1665587518885091E-5</v>
      </c>
    </row>
    <row r="211" spans="2:5" ht="15" customHeight="1">
      <c r="B211" s="84"/>
      <c r="C211" s="43" t="s">
        <v>138</v>
      </c>
      <c r="D211" s="42">
        <v>1</v>
      </c>
      <c r="E211" s="41">
        <v>3.0832793759442546E-5</v>
      </c>
    </row>
    <row r="212" spans="2:5" ht="15" customHeight="1">
      <c r="B212" s="84"/>
      <c r="C212" s="43" t="s">
        <v>173</v>
      </c>
      <c r="D212" s="42">
        <v>13</v>
      </c>
      <c r="E212" s="41">
        <v>4.0082631887275309E-4</v>
      </c>
    </row>
    <row r="213" spans="2:5" ht="15" customHeight="1">
      <c r="B213" s="84"/>
      <c r="C213" s="43" t="s">
        <v>162</v>
      </c>
      <c r="D213" s="42">
        <v>5</v>
      </c>
      <c r="E213" s="41">
        <v>1.5416396879721272E-4</v>
      </c>
    </row>
    <row r="214" spans="2:5" ht="15" customHeight="1">
      <c r="B214" s="84"/>
      <c r="C214" s="43" t="s">
        <v>161</v>
      </c>
      <c r="D214" s="42">
        <v>2</v>
      </c>
      <c r="E214" s="41">
        <v>6.1665587518885091E-5</v>
      </c>
    </row>
    <row r="215" spans="2:5" ht="15" customHeight="1">
      <c r="B215" s="84"/>
      <c r="C215" s="43" t="s">
        <v>166</v>
      </c>
      <c r="D215" s="42">
        <v>19</v>
      </c>
      <c r="E215" s="41">
        <v>5.8582308142940832E-4</v>
      </c>
    </row>
    <row r="216" spans="2:5" ht="15" customHeight="1">
      <c r="B216" s="84"/>
      <c r="C216" s="43" t="s">
        <v>145</v>
      </c>
      <c r="D216" s="42">
        <v>3</v>
      </c>
      <c r="E216" s="41">
        <v>9.249838127832763E-5</v>
      </c>
    </row>
    <row r="217" spans="2:5" ht="15" customHeight="1">
      <c r="B217" s="85"/>
      <c r="C217" s="40" t="s">
        <v>23</v>
      </c>
      <c r="D217" s="39">
        <v>399</v>
      </c>
      <c r="E217" s="38">
        <v>1.2302284710017574E-2</v>
      </c>
    </row>
    <row r="218" spans="2:5" ht="15" customHeight="1">
      <c r="B218" s="83" t="s">
        <v>79</v>
      </c>
      <c r="C218" s="43" t="s">
        <v>178</v>
      </c>
      <c r="D218" s="42">
        <v>1</v>
      </c>
      <c r="E218" s="41">
        <v>3.0832793759442546E-5</v>
      </c>
    </row>
    <row r="219" spans="2:5" ht="15" customHeight="1">
      <c r="B219" s="85"/>
      <c r="C219" s="40" t="s">
        <v>23</v>
      </c>
      <c r="D219" s="39">
        <v>1</v>
      </c>
      <c r="E219" s="38">
        <v>3.0832793759442546E-5</v>
      </c>
    </row>
    <row r="220" spans="2:5" ht="15" customHeight="1">
      <c r="B220" s="83" t="s">
        <v>122</v>
      </c>
      <c r="C220" s="43" t="s">
        <v>172</v>
      </c>
      <c r="D220" s="42">
        <v>11</v>
      </c>
      <c r="E220" s="41">
        <v>3.3916073135386795E-4</v>
      </c>
    </row>
    <row r="221" spans="2:5" ht="15" customHeight="1">
      <c r="B221" s="84"/>
      <c r="C221" s="43" t="s">
        <v>148</v>
      </c>
      <c r="D221" s="42">
        <v>4</v>
      </c>
      <c r="E221" s="41">
        <v>1.2333117503777018E-4</v>
      </c>
    </row>
    <row r="222" spans="2:5" ht="15" customHeight="1">
      <c r="B222" s="84"/>
      <c r="C222" s="43" t="s">
        <v>152</v>
      </c>
      <c r="D222" s="42">
        <v>3</v>
      </c>
      <c r="E222" s="41">
        <v>9.249838127832763E-5</v>
      </c>
    </row>
    <row r="223" spans="2:5" ht="15" customHeight="1">
      <c r="B223" s="84"/>
      <c r="C223" s="43" t="s">
        <v>142</v>
      </c>
      <c r="D223" s="42">
        <v>9</v>
      </c>
      <c r="E223" s="41">
        <v>2.7749514383498288E-4</v>
      </c>
    </row>
    <row r="224" spans="2:5" ht="15" customHeight="1">
      <c r="B224" s="84"/>
      <c r="C224" s="43" t="s">
        <v>136</v>
      </c>
      <c r="D224" s="42">
        <v>3</v>
      </c>
      <c r="E224" s="41">
        <v>9.249838127832763E-5</v>
      </c>
    </row>
    <row r="225" spans="2:5" ht="15" customHeight="1">
      <c r="B225" s="84"/>
      <c r="C225" s="43" t="s">
        <v>170</v>
      </c>
      <c r="D225" s="42">
        <v>24</v>
      </c>
      <c r="E225" s="41">
        <v>7.3998705022662104E-4</v>
      </c>
    </row>
    <row r="226" spans="2:5" ht="15" customHeight="1">
      <c r="B226" s="84"/>
      <c r="C226" s="43" t="s">
        <v>140</v>
      </c>
      <c r="D226" s="42">
        <v>7</v>
      </c>
      <c r="E226" s="41">
        <v>2.158295563160978E-4</v>
      </c>
    </row>
    <row r="227" spans="2:5" ht="15" customHeight="1">
      <c r="B227" s="84"/>
      <c r="C227" s="43" t="s">
        <v>156</v>
      </c>
      <c r="D227" s="42">
        <v>7</v>
      </c>
      <c r="E227" s="41">
        <v>2.158295563160978E-4</v>
      </c>
    </row>
    <row r="228" spans="2:5" ht="15" customHeight="1">
      <c r="B228" s="84"/>
      <c r="C228" s="43" t="s">
        <v>174</v>
      </c>
      <c r="D228" s="42">
        <v>52</v>
      </c>
      <c r="E228" s="41">
        <v>1.6033052754910123E-3</v>
      </c>
    </row>
    <row r="229" spans="2:5" ht="15" customHeight="1">
      <c r="B229" s="84"/>
      <c r="C229" s="43" t="s">
        <v>127</v>
      </c>
      <c r="D229" s="42">
        <v>3</v>
      </c>
      <c r="E229" s="41">
        <v>9.249838127832763E-5</v>
      </c>
    </row>
    <row r="230" spans="2:5" ht="15" customHeight="1">
      <c r="B230" s="84"/>
      <c r="C230" s="43" t="s">
        <v>164</v>
      </c>
      <c r="D230" s="42">
        <v>11</v>
      </c>
      <c r="E230" s="41">
        <v>3.3916073135386795E-4</v>
      </c>
    </row>
    <row r="231" spans="2:5" ht="15" customHeight="1">
      <c r="B231" s="84"/>
      <c r="C231" s="43" t="s">
        <v>176</v>
      </c>
      <c r="D231" s="42">
        <v>16</v>
      </c>
      <c r="E231" s="41">
        <v>4.9332470015108073E-4</v>
      </c>
    </row>
    <row r="232" spans="2:5" ht="15" customHeight="1">
      <c r="B232" s="84"/>
      <c r="C232" s="43" t="s">
        <v>178</v>
      </c>
      <c r="D232" s="42">
        <v>17</v>
      </c>
      <c r="E232" s="41">
        <v>5.2415749391052319E-4</v>
      </c>
    </row>
    <row r="233" spans="2:5" ht="15" customHeight="1">
      <c r="B233" s="84"/>
      <c r="C233" s="43" t="s">
        <v>179</v>
      </c>
      <c r="D233" s="42">
        <v>36</v>
      </c>
      <c r="E233" s="41">
        <v>1.1099805753399315E-3</v>
      </c>
    </row>
    <row r="234" spans="2:5" ht="15" customHeight="1">
      <c r="B234" s="84"/>
      <c r="C234" s="43" t="s">
        <v>129</v>
      </c>
      <c r="D234" s="42">
        <v>1</v>
      </c>
      <c r="E234" s="41">
        <v>3.0832793759442546E-5</v>
      </c>
    </row>
    <row r="235" spans="2:5" ht="15" customHeight="1">
      <c r="B235" s="84"/>
      <c r="C235" s="43" t="s">
        <v>159</v>
      </c>
      <c r="D235" s="42">
        <v>10</v>
      </c>
      <c r="E235" s="41">
        <v>3.0832793759442544E-4</v>
      </c>
    </row>
    <row r="236" spans="2:5" ht="15" customHeight="1">
      <c r="B236" s="84"/>
      <c r="C236" s="43" t="s">
        <v>135</v>
      </c>
      <c r="D236" s="42">
        <v>1</v>
      </c>
      <c r="E236" s="41">
        <v>3.0832793759442546E-5</v>
      </c>
    </row>
    <row r="237" spans="2:5" ht="15" customHeight="1">
      <c r="B237" s="84"/>
      <c r="C237" s="43" t="s">
        <v>168</v>
      </c>
      <c r="D237" s="42">
        <v>13</v>
      </c>
      <c r="E237" s="41">
        <v>4.0082631887275309E-4</v>
      </c>
    </row>
    <row r="238" spans="2:5" ht="15" customHeight="1">
      <c r="B238" s="84"/>
      <c r="C238" s="43" t="s">
        <v>132</v>
      </c>
      <c r="D238" s="42">
        <v>2</v>
      </c>
      <c r="E238" s="41">
        <v>6.1665587518885091E-5</v>
      </c>
    </row>
    <row r="239" spans="2:5" ht="15" customHeight="1">
      <c r="B239" s="84"/>
      <c r="C239" s="43" t="s">
        <v>158</v>
      </c>
      <c r="D239" s="42">
        <v>4</v>
      </c>
      <c r="E239" s="41">
        <v>1.2333117503777018E-4</v>
      </c>
    </row>
    <row r="240" spans="2:5" ht="15" customHeight="1">
      <c r="B240" s="84"/>
      <c r="C240" s="43" t="s">
        <v>180</v>
      </c>
      <c r="D240" s="42">
        <v>32</v>
      </c>
      <c r="E240" s="41">
        <v>9.8664940030216146E-4</v>
      </c>
    </row>
    <row r="241" spans="2:5" ht="15" customHeight="1">
      <c r="B241" s="84"/>
      <c r="C241" s="43" t="s">
        <v>177</v>
      </c>
      <c r="D241" s="42">
        <v>43</v>
      </c>
      <c r="E241" s="41">
        <v>1.3258101316560294E-3</v>
      </c>
    </row>
    <row r="242" spans="2:5" ht="15" customHeight="1">
      <c r="B242" s="84"/>
      <c r="C242" s="43" t="s">
        <v>165</v>
      </c>
      <c r="D242" s="42">
        <v>8</v>
      </c>
      <c r="E242" s="41">
        <v>2.4666235007554037E-4</v>
      </c>
    </row>
    <row r="243" spans="2:5" ht="15" customHeight="1">
      <c r="B243" s="84"/>
      <c r="C243" s="43" t="s">
        <v>171</v>
      </c>
      <c r="D243" s="42">
        <v>6</v>
      </c>
      <c r="E243" s="41">
        <v>1.8499676255665526E-4</v>
      </c>
    </row>
    <row r="244" spans="2:5" ht="15" customHeight="1">
      <c r="B244" s="84"/>
      <c r="C244" s="43" t="s">
        <v>181</v>
      </c>
      <c r="D244" s="42">
        <v>28</v>
      </c>
      <c r="E244" s="41">
        <v>8.633182252643912E-4</v>
      </c>
    </row>
    <row r="245" spans="2:5" ht="15" customHeight="1">
      <c r="B245" s="84"/>
      <c r="C245" s="43" t="s">
        <v>167</v>
      </c>
      <c r="D245" s="42">
        <v>14</v>
      </c>
      <c r="E245" s="41">
        <v>4.316591126321956E-4</v>
      </c>
    </row>
    <row r="246" spans="2:5" ht="15" customHeight="1">
      <c r="B246" s="84"/>
      <c r="C246" s="43" t="s">
        <v>103</v>
      </c>
      <c r="D246" s="42">
        <v>1</v>
      </c>
      <c r="E246" s="41">
        <v>3.0832793759442546E-5</v>
      </c>
    </row>
    <row r="247" spans="2:5" ht="15" customHeight="1">
      <c r="B247" s="84"/>
      <c r="C247" s="43" t="s">
        <v>163</v>
      </c>
      <c r="D247" s="42">
        <v>13</v>
      </c>
      <c r="E247" s="41">
        <v>4.0082631887275309E-4</v>
      </c>
    </row>
    <row r="248" spans="2:5" ht="15" customHeight="1">
      <c r="B248" s="84"/>
      <c r="C248" s="43" t="s">
        <v>182</v>
      </c>
      <c r="D248" s="42">
        <v>473</v>
      </c>
      <c r="E248" s="41">
        <v>1.4583911448216323E-2</v>
      </c>
    </row>
    <row r="249" spans="2:5" ht="15" customHeight="1">
      <c r="B249" s="84"/>
      <c r="C249" s="43" t="s">
        <v>137</v>
      </c>
      <c r="D249" s="42">
        <v>1</v>
      </c>
      <c r="E249" s="41">
        <v>3.0832793759442546E-5</v>
      </c>
    </row>
    <row r="250" spans="2:5" ht="15" customHeight="1">
      <c r="B250" s="84"/>
      <c r="C250" s="43" t="s">
        <v>151</v>
      </c>
      <c r="D250" s="42">
        <v>21</v>
      </c>
      <c r="E250" s="41">
        <v>6.4748866894829345E-4</v>
      </c>
    </row>
    <row r="251" spans="2:5" ht="15" customHeight="1">
      <c r="B251" s="84"/>
      <c r="C251" s="43" t="s">
        <v>134</v>
      </c>
      <c r="D251" s="42">
        <v>2</v>
      </c>
      <c r="E251" s="41">
        <v>6.1665587518885091E-5</v>
      </c>
    </row>
    <row r="252" spans="2:5" ht="15" customHeight="1">
      <c r="B252" s="84"/>
      <c r="C252" s="43" t="s">
        <v>150</v>
      </c>
      <c r="D252" s="42">
        <v>6</v>
      </c>
      <c r="E252" s="41">
        <v>1.8499676255665526E-4</v>
      </c>
    </row>
    <row r="253" spans="2:5" ht="15" customHeight="1">
      <c r="B253" s="84"/>
      <c r="C253" s="43" t="s">
        <v>175</v>
      </c>
      <c r="D253" s="42">
        <v>16</v>
      </c>
      <c r="E253" s="41">
        <v>4.9332470015108073E-4</v>
      </c>
    </row>
    <row r="254" spans="2:5" ht="15" customHeight="1">
      <c r="B254" s="84"/>
      <c r="C254" s="43" t="s">
        <v>157</v>
      </c>
      <c r="D254" s="42">
        <v>19</v>
      </c>
      <c r="E254" s="41">
        <v>5.8582308142940832E-4</v>
      </c>
    </row>
    <row r="255" spans="2:5" ht="15" customHeight="1">
      <c r="B255" s="84"/>
      <c r="C255" s="43" t="s">
        <v>143</v>
      </c>
      <c r="D255" s="42">
        <v>18</v>
      </c>
      <c r="E255" s="41">
        <v>5.5499028766996575E-4</v>
      </c>
    </row>
    <row r="256" spans="2:5" ht="15" customHeight="1">
      <c r="B256" s="84"/>
      <c r="C256" s="43" t="s">
        <v>169</v>
      </c>
      <c r="D256" s="42">
        <v>8</v>
      </c>
      <c r="E256" s="41">
        <v>2.4666235007554037E-4</v>
      </c>
    </row>
    <row r="257" spans="2:5" ht="15" customHeight="1">
      <c r="B257" s="84"/>
      <c r="C257" s="43" t="s">
        <v>160</v>
      </c>
      <c r="D257" s="42">
        <v>9</v>
      </c>
      <c r="E257" s="41">
        <v>2.7749514383498288E-4</v>
      </c>
    </row>
    <row r="258" spans="2:5" ht="15" customHeight="1">
      <c r="B258" s="84"/>
      <c r="C258" s="43" t="s">
        <v>133</v>
      </c>
      <c r="D258" s="42">
        <v>3</v>
      </c>
      <c r="E258" s="41">
        <v>9.249838127832763E-5</v>
      </c>
    </row>
    <row r="259" spans="2:5" ht="15" customHeight="1">
      <c r="B259" s="84"/>
      <c r="C259" s="43" t="s">
        <v>147</v>
      </c>
      <c r="D259" s="42">
        <v>12</v>
      </c>
      <c r="E259" s="41">
        <v>3.6999352511331052E-4</v>
      </c>
    </row>
    <row r="260" spans="2:5" ht="15" customHeight="1">
      <c r="B260" s="84"/>
      <c r="C260" s="43" t="s">
        <v>128</v>
      </c>
      <c r="D260" s="42">
        <v>2</v>
      </c>
      <c r="E260" s="41">
        <v>6.1665587518885091E-5</v>
      </c>
    </row>
    <row r="261" spans="2:5" ht="15" customHeight="1">
      <c r="B261" s="84"/>
      <c r="C261" s="43" t="s">
        <v>130</v>
      </c>
      <c r="D261" s="42">
        <v>1</v>
      </c>
      <c r="E261" s="41">
        <v>3.0832793759442546E-5</v>
      </c>
    </row>
    <row r="262" spans="2:5" ht="15" customHeight="1">
      <c r="B262" s="84"/>
      <c r="C262" s="43" t="s">
        <v>139</v>
      </c>
      <c r="D262" s="42">
        <v>3</v>
      </c>
      <c r="E262" s="41">
        <v>9.249838127832763E-5</v>
      </c>
    </row>
    <row r="263" spans="2:5" ht="15" customHeight="1">
      <c r="B263" s="84"/>
      <c r="C263" s="43" t="s">
        <v>153</v>
      </c>
      <c r="D263" s="42">
        <v>5</v>
      </c>
      <c r="E263" s="41">
        <v>1.5416396879721272E-4</v>
      </c>
    </row>
    <row r="264" spans="2:5" ht="15" customHeight="1">
      <c r="B264" s="84"/>
      <c r="C264" s="43" t="s">
        <v>141</v>
      </c>
      <c r="D264" s="42">
        <v>7</v>
      </c>
      <c r="E264" s="41">
        <v>2.158295563160978E-4</v>
      </c>
    </row>
    <row r="265" spans="2:5" ht="15" customHeight="1">
      <c r="B265" s="84"/>
      <c r="C265" s="43" t="s">
        <v>149</v>
      </c>
      <c r="D265" s="42">
        <v>11</v>
      </c>
      <c r="E265" s="41">
        <v>3.3916073135386795E-4</v>
      </c>
    </row>
    <row r="266" spans="2:5" ht="15" customHeight="1">
      <c r="B266" s="84"/>
      <c r="C266" s="43" t="s">
        <v>146</v>
      </c>
      <c r="D266" s="42">
        <v>4</v>
      </c>
      <c r="E266" s="41">
        <v>1.2333117503777018E-4</v>
      </c>
    </row>
    <row r="267" spans="2:5" ht="15" customHeight="1">
      <c r="B267" s="84"/>
      <c r="C267" s="43" t="s">
        <v>144</v>
      </c>
      <c r="D267" s="42">
        <v>7</v>
      </c>
      <c r="E267" s="41">
        <v>2.158295563160978E-4</v>
      </c>
    </row>
    <row r="268" spans="2:5" ht="15" customHeight="1">
      <c r="B268" s="84"/>
      <c r="C268" s="43" t="s">
        <v>155</v>
      </c>
      <c r="D268" s="42">
        <v>1</v>
      </c>
      <c r="E268" s="41">
        <v>3.0832793759442546E-5</v>
      </c>
    </row>
    <row r="269" spans="2:5" ht="15" customHeight="1">
      <c r="B269" s="84"/>
      <c r="C269" s="43" t="s">
        <v>138</v>
      </c>
      <c r="D269" s="42">
        <v>1</v>
      </c>
      <c r="E269" s="41">
        <v>3.0832793759442546E-5</v>
      </c>
    </row>
    <row r="270" spans="2:5" ht="15" customHeight="1">
      <c r="B270" s="84"/>
      <c r="C270" s="43" t="s">
        <v>173</v>
      </c>
      <c r="D270" s="42">
        <v>18</v>
      </c>
      <c r="E270" s="41">
        <v>5.5499028766996575E-4</v>
      </c>
    </row>
    <row r="271" spans="2:5" ht="15" customHeight="1">
      <c r="B271" s="84"/>
      <c r="C271" s="43" t="s">
        <v>154</v>
      </c>
      <c r="D271" s="42">
        <v>24</v>
      </c>
      <c r="E271" s="41">
        <v>7.3998705022662104E-4</v>
      </c>
    </row>
    <row r="272" spans="2:5" ht="15" customHeight="1">
      <c r="B272" s="84"/>
      <c r="C272" s="43" t="s">
        <v>162</v>
      </c>
      <c r="D272" s="42">
        <v>3</v>
      </c>
      <c r="E272" s="41">
        <v>9.249838127832763E-5</v>
      </c>
    </row>
    <row r="273" spans="2:5" ht="15" customHeight="1">
      <c r="B273" s="84"/>
      <c r="C273" s="43" t="s">
        <v>161</v>
      </c>
      <c r="D273" s="42">
        <v>41</v>
      </c>
      <c r="E273" s="41">
        <v>1.2641445441371442E-3</v>
      </c>
    </row>
    <row r="274" spans="2:5" ht="15" customHeight="1">
      <c r="B274" s="84"/>
      <c r="C274" s="43" t="s">
        <v>166</v>
      </c>
      <c r="D274" s="42">
        <v>8</v>
      </c>
      <c r="E274" s="41">
        <v>2.4666235007554037E-4</v>
      </c>
    </row>
    <row r="275" spans="2:5" ht="15" customHeight="1">
      <c r="B275" s="84"/>
      <c r="C275" s="43" t="s">
        <v>145</v>
      </c>
      <c r="D275" s="42">
        <v>12</v>
      </c>
      <c r="E275" s="41">
        <v>3.6999352511331052E-4</v>
      </c>
    </row>
    <row r="276" spans="2:5" ht="15" customHeight="1">
      <c r="B276" s="85"/>
      <c r="C276" s="40" t="s">
        <v>23</v>
      </c>
      <c r="D276" s="39">
        <v>1115</v>
      </c>
      <c r="E276" s="38">
        <v>3.4378565041778435E-2</v>
      </c>
    </row>
    <row r="277" spans="2:5" ht="15" customHeight="1">
      <c r="B277" s="83" t="s">
        <v>120</v>
      </c>
      <c r="C277" s="43" t="s">
        <v>172</v>
      </c>
      <c r="D277" s="42">
        <v>492</v>
      </c>
      <c r="E277" s="41">
        <v>1.5169734529645731E-2</v>
      </c>
    </row>
    <row r="278" spans="2:5" ht="15" customHeight="1">
      <c r="B278" s="84"/>
      <c r="C278" s="43" t="s">
        <v>148</v>
      </c>
      <c r="D278" s="42">
        <v>39</v>
      </c>
      <c r="E278" s="41">
        <v>1.2024789566182591E-3</v>
      </c>
    </row>
    <row r="279" spans="2:5" ht="15" customHeight="1">
      <c r="B279" s="84"/>
      <c r="C279" s="43" t="s">
        <v>152</v>
      </c>
      <c r="D279" s="42">
        <v>54</v>
      </c>
      <c r="E279" s="41">
        <v>1.6649708630098973E-3</v>
      </c>
    </row>
    <row r="280" spans="2:5" ht="15" customHeight="1">
      <c r="B280" s="84"/>
      <c r="C280" s="43" t="s">
        <v>142</v>
      </c>
      <c r="D280" s="42">
        <v>47</v>
      </c>
      <c r="E280" s="41">
        <v>1.4491413066937996E-3</v>
      </c>
    </row>
    <row r="281" spans="2:5" ht="15" customHeight="1">
      <c r="B281" s="84"/>
      <c r="C281" s="43" t="s">
        <v>136</v>
      </c>
      <c r="D281" s="42">
        <v>11</v>
      </c>
      <c r="E281" s="41">
        <v>3.3916073135386795E-4</v>
      </c>
    </row>
    <row r="282" spans="2:5" ht="15" customHeight="1">
      <c r="B282" s="84"/>
      <c r="C282" s="43" t="s">
        <v>170</v>
      </c>
      <c r="D282" s="42">
        <v>129</v>
      </c>
      <c r="E282" s="41">
        <v>3.9774303949680883E-3</v>
      </c>
    </row>
    <row r="283" spans="2:5" ht="15" customHeight="1">
      <c r="B283" s="84"/>
      <c r="C283" s="43" t="s">
        <v>140</v>
      </c>
      <c r="D283" s="42">
        <v>15</v>
      </c>
      <c r="E283" s="41">
        <v>4.6249190639163816E-4</v>
      </c>
    </row>
    <row r="284" spans="2:5" ht="15" customHeight="1">
      <c r="B284" s="84"/>
      <c r="C284" s="43" t="s">
        <v>156</v>
      </c>
      <c r="D284" s="42">
        <v>181</v>
      </c>
      <c r="E284" s="41">
        <v>5.5807356704591004E-3</v>
      </c>
    </row>
    <row r="285" spans="2:5" ht="15" customHeight="1">
      <c r="B285" s="84"/>
      <c r="C285" s="43" t="s">
        <v>174</v>
      </c>
      <c r="D285" s="42">
        <v>200</v>
      </c>
      <c r="E285" s="41">
        <v>6.1665587518885089E-3</v>
      </c>
    </row>
    <row r="286" spans="2:5" ht="15" customHeight="1">
      <c r="B286" s="84"/>
      <c r="C286" s="43" t="s">
        <v>127</v>
      </c>
      <c r="D286" s="42">
        <v>5</v>
      </c>
      <c r="E286" s="41">
        <v>1.5416396879721272E-4</v>
      </c>
    </row>
    <row r="287" spans="2:5" ht="15" customHeight="1">
      <c r="B287" s="84"/>
      <c r="C287" s="43" t="s">
        <v>164</v>
      </c>
      <c r="D287" s="42">
        <v>97</v>
      </c>
      <c r="E287" s="41">
        <v>2.9907809946659266E-3</v>
      </c>
    </row>
    <row r="288" spans="2:5" ht="15" customHeight="1">
      <c r="B288" s="84"/>
      <c r="C288" s="43" t="s">
        <v>176</v>
      </c>
      <c r="D288" s="42">
        <v>304</v>
      </c>
      <c r="E288" s="41">
        <v>9.3731693028705331E-3</v>
      </c>
    </row>
    <row r="289" spans="2:5" ht="15" customHeight="1">
      <c r="B289" s="84"/>
      <c r="C289" s="43" t="s">
        <v>178</v>
      </c>
      <c r="D289" s="42">
        <v>233</v>
      </c>
      <c r="E289" s="41">
        <v>7.1840409459501126E-3</v>
      </c>
    </row>
    <row r="290" spans="2:5" ht="15" customHeight="1">
      <c r="B290" s="84"/>
      <c r="C290" s="43" t="s">
        <v>179</v>
      </c>
      <c r="D290" s="42">
        <v>257</v>
      </c>
      <c r="E290" s="41">
        <v>7.9240279961767333E-3</v>
      </c>
    </row>
    <row r="291" spans="2:5" ht="15" customHeight="1">
      <c r="B291" s="84"/>
      <c r="C291" s="43" t="s">
        <v>129</v>
      </c>
      <c r="D291" s="42">
        <v>3</v>
      </c>
      <c r="E291" s="41">
        <v>9.249838127832763E-5</v>
      </c>
    </row>
    <row r="292" spans="2:5" ht="15" customHeight="1">
      <c r="B292" s="84"/>
      <c r="C292" s="43" t="s">
        <v>159</v>
      </c>
      <c r="D292" s="42">
        <v>59</v>
      </c>
      <c r="E292" s="41">
        <v>1.81913483180711E-3</v>
      </c>
    </row>
    <row r="293" spans="2:5" ht="15" customHeight="1">
      <c r="B293" s="84"/>
      <c r="C293" s="43" t="s">
        <v>135</v>
      </c>
      <c r="D293" s="42">
        <v>32</v>
      </c>
      <c r="E293" s="41">
        <v>9.8664940030216146E-4</v>
      </c>
    </row>
    <row r="294" spans="2:5" ht="15" customHeight="1">
      <c r="B294" s="84"/>
      <c r="C294" s="43" t="s">
        <v>168</v>
      </c>
      <c r="D294" s="42">
        <v>141</v>
      </c>
      <c r="E294" s="41">
        <v>4.3474239200813987E-3</v>
      </c>
    </row>
    <row r="295" spans="2:5" ht="15" customHeight="1">
      <c r="B295" s="84"/>
      <c r="C295" s="43" t="s">
        <v>132</v>
      </c>
      <c r="D295" s="42">
        <v>3</v>
      </c>
      <c r="E295" s="41">
        <v>9.249838127832763E-5</v>
      </c>
    </row>
    <row r="296" spans="2:5" ht="15" customHeight="1">
      <c r="B296" s="84"/>
      <c r="C296" s="43" t="s">
        <v>158</v>
      </c>
      <c r="D296" s="42">
        <v>184</v>
      </c>
      <c r="E296" s="41">
        <v>5.6732340517374278E-3</v>
      </c>
    </row>
    <row r="297" spans="2:5" ht="15" customHeight="1">
      <c r="B297" s="84"/>
      <c r="C297" s="43" t="s">
        <v>180</v>
      </c>
      <c r="D297" s="42">
        <v>545</v>
      </c>
      <c r="E297" s="41">
        <v>1.6803872598896187E-2</v>
      </c>
    </row>
    <row r="298" spans="2:5" ht="15" customHeight="1">
      <c r="B298" s="84"/>
      <c r="C298" s="43" t="s">
        <v>126</v>
      </c>
      <c r="D298" s="42">
        <v>6</v>
      </c>
      <c r="E298" s="41">
        <v>1.8499676255665526E-4</v>
      </c>
    </row>
    <row r="299" spans="2:5" ht="15" customHeight="1">
      <c r="B299" s="84"/>
      <c r="C299" s="43" t="s">
        <v>177</v>
      </c>
      <c r="D299" s="42">
        <v>434</v>
      </c>
      <c r="E299" s="41">
        <v>1.3381432491598063E-2</v>
      </c>
    </row>
    <row r="300" spans="2:5" ht="15" customHeight="1">
      <c r="B300" s="84"/>
      <c r="C300" s="43" t="s">
        <v>165</v>
      </c>
      <c r="D300" s="42">
        <v>244</v>
      </c>
      <c r="E300" s="41">
        <v>7.5232016773039805E-3</v>
      </c>
    </row>
    <row r="301" spans="2:5" ht="15" customHeight="1">
      <c r="B301" s="84"/>
      <c r="C301" s="43" t="s">
        <v>171</v>
      </c>
      <c r="D301" s="42">
        <v>92</v>
      </c>
      <c r="E301" s="41">
        <v>2.8366170258687139E-3</v>
      </c>
    </row>
    <row r="302" spans="2:5" ht="15" customHeight="1">
      <c r="B302" s="84"/>
      <c r="C302" s="43" t="s">
        <v>181</v>
      </c>
      <c r="D302" s="42">
        <v>660</v>
      </c>
      <c r="E302" s="41">
        <v>2.0349643881232077E-2</v>
      </c>
    </row>
    <row r="303" spans="2:5" ht="15" customHeight="1">
      <c r="B303" s="84"/>
      <c r="C303" s="43" t="s">
        <v>167</v>
      </c>
      <c r="D303" s="42">
        <v>91</v>
      </c>
      <c r="E303" s="41">
        <v>2.8057842321092714E-3</v>
      </c>
    </row>
    <row r="304" spans="2:5" ht="15" customHeight="1">
      <c r="B304" s="84"/>
      <c r="C304" s="43" t="s">
        <v>103</v>
      </c>
      <c r="D304" s="42">
        <v>2</v>
      </c>
      <c r="E304" s="41">
        <v>6.1665587518885091E-5</v>
      </c>
    </row>
    <row r="305" spans="2:5" ht="15" customHeight="1">
      <c r="B305" s="84"/>
      <c r="C305" s="43" t="s">
        <v>163</v>
      </c>
      <c r="D305" s="42">
        <v>100</v>
      </c>
      <c r="E305" s="41">
        <v>3.0832793759442544E-3</v>
      </c>
    </row>
    <row r="306" spans="2:5" ht="15" customHeight="1">
      <c r="B306" s="84"/>
      <c r="C306" s="43" t="s">
        <v>182</v>
      </c>
      <c r="D306" s="42">
        <v>1578</v>
      </c>
      <c r="E306" s="41">
        <v>4.8654148552400335E-2</v>
      </c>
    </row>
    <row r="307" spans="2:5" ht="15" customHeight="1">
      <c r="B307" s="84"/>
      <c r="C307" s="43" t="s">
        <v>137</v>
      </c>
      <c r="D307" s="42">
        <v>18</v>
      </c>
      <c r="E307" s="41">
        <v>5.5499028766996575E-4</v>
      </c>
    </row>
    <row r="308" spans="2:5" ht="15" customHeight="1">
      <c r="B308" s="84"/>
      <c r="C308" s="43" t="s">
        <v>151</v>
      </c>
      <c r="D308" s="42">
        <v>33</v>
      </c>
      <c r="E308" s="41">
        <v>1.0174821940616039E-3</v>
      </c>
    </row>
    <row r="309" spans="2:5" ht="15" customHeight="1">
      <c r="B309" s="84"/>
      <c r="C309" s="43" t="s">
        <v>134</v>
      </c>
      <c r="D309" s="42">
        <v>7</v>
      </c>
      <c r="E309" s="41">
        <v>2.158295563160978E-4</v>
      </c>
    </row>
    <row r="310" spans="2:5" ht="15" customHeight="1">
      <c r="B310" s="84"/>
      <c r="C310" s="43" t="s">
        <v>150</v>
      </c>
      <c r="D310" s="42">
        <v>56</v>
      </c>
      <c r="E310" s="41">
        <v>1.7266364505287824E-3</v>
      </c>
    </row>
    <row r="311" spans="2:5" ht="15" customHeight="1">
      <c r="B311" s="84"/>
      <c r="C311" s="43" t="s">
        <v>175</v>
      </c>
      <c r="D311" s="42">
        <v>345</v>
      </c>
      <c r="E311" s="41">
        <v>1.0637313847007678E-2</v>
      </c>
    </row>
    <row r="312" spans="2:5" ht="15" customHeight="1">
      <c r="B312" s="84"/>
      <c r="C312" s="43" t="s">
        <v>157</v>
      </c>
      <c r="D312" s="42">
        <v>36</v>
      </c>
      <c r="E312" s="41">
        <v>1.1099805753399315E-3</v>
      </c>
    </row>
    <row r="313" spans="2:5" ht="15" customHeight="1">
      <c r="B313" s="84"/>
      <c r="C313" s="43" t="s">
        <v>143</v>
      </c>
      <c r="D313" s="42">
        <v>69</v>
      </c>
      <c r="E313" s="41">
        <v>2.1274627694015356E-3</v>
      </c>
    </row>
    <row r="314" spans="2:5" ht="15" customHeight="1">
      <c r="B314" s="84"/>
      <c r="C314" s="43" t="s">
        <v>169</v>
      </c>
      <c r="D314" s="42">
        <v>96</v>
      </c>
      <c r="E314" s="41">
        <v>2.9599482009064842E-3</v>
      </c>
    </row>
    <row r="315" spans="2:5" ht="15" customHeight="1">
      <c r="B315" s="84"/>
      <c r="C315" s="43" t="s">
        <v>160</v>
      </c>
      <c r="D315" s="42">
        <v>43</v>
      </c>
      <c r="E315" s="41">
        <v>1.3258101316560294E-3</v>
      </c>
    </row>
    <row r="316" spans="2:5" ht="15" customHeight="1">
      <c r="B316" s="84"/>
      <c r="C316" s="43" t="s">
        <v>131</v>
      </c>
      <c r="D316" s="42">
        <v>5</v>
      </c>
      <c r="E316" s="41">
        <v>1.5416396879721272E-4</v>
      </c>
    </row>
    <row r="317" spans="2:5" ht="15" customHeight="1">
      <c r="B317" s="84"/>
      <c r="C317" s="43" t="s">
        <v>133</v>
      </c>
      <c r="D317" s="42">
        <v>7</v>
      </c>
      <c r="E317" s="41">
        <v>2.158295563160978E-4</v>
      </c>
    </row>
    <row r="318" spans="2:5" ht="15" customHeight="1">
      <c r="B318" s="84"/>
      <c r="C318" s="43" t="s">
        <v>147</v>
      </c>
      <c r="D318" s="42">
        <v>24</v>
      </c>
      <c r="E318" s="41">
        <v>7.3998705022662104E-4</v>
      </c>
    </row>
    <row r="319" spans="2:5" ht="15" customHeight="1">
      <c r="B319" s="84"/>
      <c r="C319" s="43" t="s">
        <v>128</v>
      </c>
      <c r="D319" s="42">
        <v>1</v>
      </c>
      <c r="E319" s="41">
        <v>3.0832793759442546E-5</v>
      </c>
    </row>
    <row r="320" spans="2:5" ht="15" customHeight="1">
      <c r="B320" s="84"/>
      <c r="C320" s="43" t="s">
        <v>130</v>
      </c>
      <c r="D320" s="42">
        <v>5</v>
      </c>
      <c r="E320" s="41">
        <v>1.5416396879721272E-4</v>
      </c>
    </row>
    <row r="321" spans="2:5" ht="15" customHeight="1">
      <c r="B321" s="84"/>
      <c r="C321" s="43" t="s">
        <v>139</v>
      </c>
      <c r="D321" s="42">
        <v>27</v>
      </c>
      <c r="E321" s="41">
        <v>8.3248543150494863E-4</v>
      </c>
    </row>
    <row r="322" spans="2:5" ht="15" customHeight="1">
      <c r="B322" s="84"/>
      <c r="C322" s="43" t="s">
        <v>153</v>
      </c>
      <c r="D322" s="42">
        <v>95</v>
      </c>
      <c r="E322" s="41">
        <v>2.9291154071470417E-3</v>
      </c>
    </row>
    <row r="323" spans="2:5" ht="15" customHeight="1">
      <c r="B323" s="84"/>
      <c r="C323" s="43" t="s">
        <v>141</v>
      </c>
      <c r="D323" s="42">
        <v>41</v>
      </c>
      <c r="E323" s="41">
        <v>1.2641445441371442E-3</v>
      </c>
    </row>
    <row r="324" spans="2:5" ht="15" customHeight="1">
      <c r="B324" s="84"/>
      <c r="C324" s="43" t="s">
        <v>149</v>
      </c>
      <c r="D324" s="42">
        <v>36</v>
      </c>
      <c r="E324" s="41">
        <v>1.1099805753399315E-3</v>
      </c>
    </row>
    <row r="325" spans="2:5" ht="15" customHeight="1">
      <c r="B325" s="84"/>
      <c r="C325" s="43" t="s">
        <v>146</v>
      </c>
      <c r="D325" s="42">
        <v>110</v>
      </c>
      <c r="E325" s="41">
        <v>3.3916073135386799E-3</v>
      </c>
    </row>
    <row r="326" spans="2:5" ht="15" customHeight="1">
      <c r="B326" s="84"/>
      <c r="C326" s="43" t="s">
        <v>144</v>
      </c>
      <c r="D326" s="42">
        <v>56</v>
      </c>
      <c r="E326" s="41">
        <v>1.7266364505287824E-3</v>
      </c>
    </row>
    <row r="327" spans="2:5" ht="15" customHeight="1">
      <c r="B327" s="84"/>
      <c r="C327" s="43" t="s">
        <v>155</v>
      </c>
      <c r="D327" s="42">
        <v>24</v>
      </c>
      <c r="E327" s="41">
        <v>7.3998705022662104E-4</v>
      </c>
    </row>
    <row r="328" spans="2:5" ht="15" customHeight="1">
      <c r="B328" s="84"/>
      <c r="C328" s="43" t="s">
        <v>138</v>
      </c>
      <c r="D328" s="42">
        <v>19</v>
      </c>
      <c r="E328" s="41">
        <v>5.8582308142940832E-4</v>
      </c>
    </row>
    <row r="329" spans="2:5" ht="15" customHeight="1">
      <c r="B329" s="84"/>
      <c r="C329" s="43" t="s">
        <v>173</v>
      </c>
      <c r="D329" s="42">
        <v>134</v>
      </c>
      <c r="E329" s="41">
        <v>4.1315943637653006E-3</v>
      </c>
    </row>
    <row r="330" spans="2:5" ht="15" customHeight="1">
      <c r="B330" s="84"/>
      <c r="C330" s="43" t="s">
        <v>154</v>
      </c>
      <c r="D330" s="42">
        <v>94</v>
      </c>
      <c r="E330" s="41">
        <v>2.8982826133875992E-3</v>
      </c>
    </row>
    <row r="331" spans="2:5" ht="15" customHeight="1">
      <c r="B331" s="84"/>
      <c r="C331" s="43" t="s">
        <v>162</v>
      </c>
      <c r="D331" s="42">
        <v>250</v>
      </c>
      <c r="E331" s="41">
        <v>7.7081984398606361E-3</v>
      </c>
    </row>
    <row r="332" spans="2:5" ht="15" customHeight="1">
      <c r="B332" s="84"/>
      <c r="C332" s="43" t="s">
        <v>161</v>
      </c>
      <c r="D332" s="42">
        <v>116</v>
      </c>
      <c r="E332" s="41">
        <v>3.576604076095335E-3</v>
      </c>
    </row>
    <row r="333" spans="2:5" ht="15" customHeight="1">
      <c r="B333" s="84"/>
      <c r="C333" s="43" t="s">
        <v>166</v>
      </c>
      <c r="D333" s="42">
        <v>52</v>
      </c>
      <c r="E333" s="41">
        <v>1.6033052754910123E-3</v>
      </c>
    </row>
    <row r="334" spans="2:5" ht="15" customHeight="1">
      <c r="B334" s="84"/>
      <c r="C334" s="43" t="s">
        <v>145</v>
      </c>
      <c r="D334" s="42">
        <v>55</v>
      </c>
      <c r="E334" s="41">
        <v>1.6958036567693399E-3</v>
      </c>
    </row>
    <row r="335" spans="2:5" ht="15" customHeight="1">
      <c r="B335" s="85"/>
      <c r="C335" s="40" t="s">
        <v>23</v>
      </c>
      <c r="D335" s="39">
        <v>8092</v>
      </c>
      <c r="E335" s="38">
        <v>0.24949896710140906</v>
      </c>
    </row>
    <row r="336" spans="2:5" ht="15" customHeight="1">
      <c r="B336" s="83" t="s">
        <v>78</v>
      </c>
      <c r="C336" s="43" t="s">
        <v>178</v>
      </c>
      <c r="D336" s="42">
        <v>1</v>
      </c>
      <c r="E336" s="41">
        <v>3.0832793759442546E-5</v>
      </c>
    </row>
    <row r="337" spans="2:5" ht="15" customHeight="1">
      <c r="B337" s="84"/>
      <c r="C337" s="43" t="s">
        <v>168</v>
      </c>
      <c r="D337" s="42">
        <v>1</v>
      </c>
      <c r="E337" s="41">
        <v>3.0832793759442546E-5</v>
      </c>
    </row>
    <row r="338" spans="2:5" ht="15" customHeight="1">
      <c r="B338" s="84"/>
      <c r="C338" s="43" t="s">
        <v>180</v>
      </c>
      <c r="D338" s="42">
        <v>1</v>
      </c>
      <c r="E338" s="41">
        <v>3.0832793759442546E-5</v>
      </c>
    </row>
    <row r="339" spans="2:5" ht="15" customHeight="1">
      <c r="B339" s="84"/>
      <c r="C339" s="43" t="s">
        <v>177</v>
      </c>
      <c r="D339" s="42">
        <v>1</v>
      </c>
      <c r="E339" s="41">
        <v>3.0832793759442546E-5</v>
      </c>
    </row>
    <row r="340" spans="2:5" ht="15" customHeight="1">
      <c r="B340" s="84"/>
      <c r="C340" s="43" t="s">
        <v>181</v>
      </c>
      <c r="D340" s="42">
        <v>4</v>
      </c>
      <c r="E340" s="41">
        <v>1.2333117503777018E-4</v>
      </c>
    </row>
    <row r="341" spans="2:5" ht="15" customHeight="1">
      <c r="B341" s="84"/>
      <c r="C341" s="43" t="s">
        <v>182</v>
      </c>
      <c r="D341" s="42">
        <v>2</v>
      </c>
      <c r="E341" s="41">
        <v>6.1665587518885091E-5</v>
      </c>
    </row>
    <row r="342" spans="2:5" ht="15" customHeight="1">
      <c r="B342" s="84"/>
      <c r="C342" s="43" t="s">
        <v>160</v>
      </c>
      <c r="D342" s="42">
        <v>1</v>
      </c>
      <c r="E342" s="41">
        <v>3.0832793759442546E-5</v>
      </c>
    </row>
    <row r="343" spans="2:5" ht="15" customHeight="1">
      <c r="B343" s="84"/>
      <c r="C343" s="43" t="s">
        <v>146</v>
      </c>
      <c r="D343" s="42">
        <v>1</v>
      </c>
      <c r="E343" s="41">
        <v>3.0832793759442546E-5</v>
      </c>
    </row>
    <row r="344" spans="2:5" ht="15" customHeight="1">
      <c r="B344" s="84"/>
      <c r="C344" s="43" t="s">
        <v>144</v>
      </c>
      <c r="D344" s="42">
        <v>1</v>
      </c>
      <c r="E344" s="41">
        <v>3.0832793759442546E-5</v>
      </c>
    </row>
    <row r="345" spans="2:5" ht="15" customHeight="1">
      <c r="B345" s="84"/>
      <c r="C345" s="43" t="s">
        <v>154</v>
      </c>
      <c r="D345" s="42">
        <v>1</v>
      </c>
      <c r="E345" s="41">
        <v>3.0832793759442546E-5</v>
      </c>
    </row>
    <row r="346" spans="2:5" ht="15" customHeight="1">
      <c r="B346" s="85"/>
      <c r="C346" s="40" t="s">
        <v>23</v>
      </c>
      <c r="D346" s="39">
        <v>14</v>
      </c>
      <c r="E346" s="38">
        <v>4.316591126321956E-4</v>
      </c>
    </row>
    <row r="347" spans="2:5" ht="15" customHeight="1">
      <c r="B347" s="83" t="s">
        <v>104</v>
      </c>
      <c r="C347" s="43" t="s">
        <v>172</v>
      </c>
      <c r="D347" s="42">
        <v>1</v>
      </c>
      <c r="E347" s="41">
        <v>3.0832793759442546E-5</v>
      </c>
    </row>
    <row r="348" spans="2:5" ht="15" customHeight="1">
      <c r="B348" s="84"/>
      <c r="C348" s="43" t="s">
        <v>136</v>
      </c>
      <c r="D348" s="42">
        <v>1</v>
      </c>
      <c r="E348" s="41">
        <v>3.0832793759442546E-5</v>
      </c>
    </row>
    <row r="349" spans="2:5" ht="15" customHeight="1">
      <c r="B349" s="84"/>
      <c r="C349" s="43" t="s">
        <v>140</v>
      </c>
      <c r="D349" s="42">
        <v>1</v>
      </c>
      <c r="E349" s="41">
        <v>3.0832793759442546E-5</v>
      </c>
    </row>
    <row r="350" spans="2:5" ht="15" customHeight="1">
      <c r="B350" s="84"/>
      <c r="C350" s="43" t="s">
        <v>174</v>
      </c>
      <c r="D350" s="42">
        <v>9</v>
      </c>
      <c r="E350" s="41">
        <v>2.7749514383498288E-4</v>
      </c>
    </row>
    <row r="351" spans="2:5" ht="15" customHeight="1">
      <c r="B351" s="84"/>
      <c r="C351" s="43" t="s">
        <v>164</v>
      </c>
      <c r="D351" s="42">
        <v>5</v>
      </c>
      <c r="E351" s="41">
        <v>1.5416396879721272E-4</v>
      </c>
    </row>
    <row r="352" spans="2:5" ht="15" customHeight="1">
      <c r="B352" s="84"/>
      <c r="C352" s="43" t="s">
        <v>176</v>
      </c>
      <c r="D352" s="42">
        <v>3</v>
      </c>
      <c r="E352" s="41">
        <v>9.249838127832763E-5</v>
      </c>
    </row>
    <row r="353" spans="2:5" ht="15" customHeight="1">
      <c r="B353" s="84"/>
      <c r="C353" s="43" t="s">
        <v>178</v>
      </c>
      <c r="D353" s="42">
        <v>3</v>
      </c>
      <c r="E353" s="41">
        <v>9.249838127832763E-5</v>
      </c>
    </row>
    <row r="354" spans="2:5" ht="15" customHeight="1">
      <c r="B354" s="84"/>
      <c r="C354" s="43" t="s">
        <v>179</v>
      </c>
      <c r="D354" s="42">
        <v>15</v>
      </c>
      <c r="E354" s="41">
        <v>4.6249190639163816E-4</v>
      </c>
    </row>
    <row r="355" spans="2:5" ht="15" customHeight="1">
      <c r="B355" s="84"/>
      <c r="C355" s="43" t="s">
        <v>129</v>
      </c>
      <c r="D355" s="42">
        <v>1</v>
      </c>
      <c r="E355" s="41">
        <v>3.0832793759442546E-5</v>
      </c>
    </row>
    <row r="356" spans="2:5" ht="15" customHeight="1">
      <c r="B356" s="84"/>
      <c r="C356" s="43" t="s">
        <v>159</v>
      </c>
      <c r="D356" s="42">
        <v>1</v>
      </c>
      <c r="E356" s="41">
        <v>3.0832793759442546E-5</v>
      </c>
    </row>
    <row r="357" spans="2:5" ht="15" customHeight="1">
      <c r="B357" s="84"/>
      <c r="C357" s="43" t="s">
        <v>168</v>
      </c>
      <c r="D357" s="42">
        <v>1</v>
      </c>
      <c r="E357" s="41">
        <v>3.0832793759442546E-5</v>
      </c>
    </row>
    <row r="358" spans="2:5" ht="15" customHeight="1">
      <c r="B358" s="84"/>
      <c r="C358" s="43" t="s">
        <v>180</v>
      </c>
      <c r="D358" s="42">
        <v>7</v>
      </c>
      <c r="E358" s="41">
        <v>2.158295563160978E-4</v>
      </c>
    </row>
    <row r="359" spans="2:5" ht="15" customHeight="1">
      <c r="B359" s="84"/>
      <c r="C359" s="43" t="s">
        <v>177</v>
      </c>
      <c r="D359" s="42">
        <v>6</v>
      </c>
      <c r="E359" s="41">
        <v>1.8499676255665526E-4</v>
      </c>
    </row>
    <row r="360" spans="2:5" ht="15" customHeight="1">
      <c r="B360" s="84"/>
      <c r="C360" s="43" t="s">
        <v>165</v>
      </c>
      <c r="D360" s="42">
        <v>1</v>
      </c>
      <c r="E360" s="41">
        <v>3.0832793759442546E-5</v>
      </c>
    </row>
    <row r="361" spans="2:5" ht="15" customHeight="1">
      <c r="B361" s="84"/>
      <c r="C361" s="43" t="s">
        <v>171</v>
      </c>
      <c r="D361" s="42">
        <v>4</v>
      </c>
      <c r="E361" s="41">
        <v>1.2333117503777018E-4</v>
      </c>
    </row>
    <row r="362" spans="2:5" ht="15" customHeight="1">
      <c r="B362" s="84"/>
      <c r="C362" s="43" t="s">
        <v>181</v>
      </c>
      <c r="D362" s="42">
        <v>43</v>
      </c>
      <c r="E362" s="41">
        <v>1.3258101316560294E-3</v>
      </c>
    </row>
    <row r="363" spans="2:5" ht="15" customHeight="1">
      <c r="B363" s="84"/>
      <c r="C363" s="43" t="s">
        <v>167</v>
      </c>
      <c r="D363" s="42">
        <v>3</v>
      </c>
      <c r="E363" s="41">
        <v>9.249838127832763E-5</v>
      </c>
    </row>
    <row r="364" spans="2:5" ht="15" customHeight="1">
      <c r="B364" s="84"/>
      <c r="C364" s="43" t="s">
        <v>103</v>
      </c>
      <c r="D364" s="42">
        <v>1</v>
      </c>
      <c r="E364" s="41">
        <v>3.0832793759442546E-5</v>
      </c>
    </row>
    <row r="365" spans="2:5" ht="15" customHeight="1">
      <c r="B365" s="84"/>
      <c r="C365" s="43" t="s">
        <v>182</v>
      </c>
      <c r="D365" s="42">
        <v>32</v>
      </c>
      <c r="E365" s="41">
        <v>9.8664940030216146E-4</v>
      </c>
    </row>
    <row r="366" spans="2:5" ht="15" customHeight="1">
      <c r="B366" s="84"/>
      <c r="C366" s="43" t="s">
        <v>137</v>
      </c>
      <c r="D366" s="42">
        <v>2</v>
      </c>
      <c r="E366" s="41">
        <v>6.1665587518885091E-5</v>
      </c>
    </row>
    <row r="367" spans="2:5" ht="15" customHeight="1">
      <c r="B367" s="84"/>
      <c r="C367" s="43" t="s">
        <v>175</v>
      </c>
      <c r="D367" s="42">
        <v>3</v>
      </c>
      <c r="E367" s="41">
        <v>9.249838127832763E-5</v>
      </c>
    </row>
    <row r="368" spans="2:5" ht="15" customHeight="1">
      <c r="B368" s="84"/>
      <c r="C368" s="43" t="s">
        <v>157</v>
      </c>
      <c r="D368" s="42">
        <v>18</v>
      </c>
      <c r="E368" s="41">
        <v>5.5499028766996575E-4</v>
      </c>
    </row>
    <row r="369" spans="2:5" ht="15" customHeight="1">
      <c r="B369" s="84"/>
      <c r="C369" s="43" t="s">
        <v>169</v>
      </c>
      <c r="D369" s="42">
        <v>2</v>
      </c>
      <c r="E369" s="41">
        <v>6.1665587518885091E-5</v>
      </c>
    </row>
    <row r="370" spans="2:5" ht="15" customHeight="1">
      <c r="B370" s="84"/>
      <c r="C370" s="43" t="s">
        <v>160</v>
      </c>
      <c r="D370" s="42">
        <v>3</v>
      </c>
      <c r="E370" s="41">
        <v>9.249838127832763E-5</v>
      </c>
    </row>
    <row r="371" spans="2:5" ht="15" customHeight="1">
      <c r="B371" s="84"/>
      <c r="C371" s="43" t="s">
        <v>147</v>
      </c>
      <c r="D371" s="42">
        <v>2</v>
      </c>
      <c r="E371" s="41">
        <v>6.1665587518885091E-5</v>
      </c>
    </row>
    <row r="372" spans="2:5" ht="15" customHeight="1">
      <c r="B372" s="84"/>
      <c r="C372" s="43" t="s">
        <v>153</v>
      </c>
      <c r="D372" s="42">
        <v>3</v>
      </c>
      <c r="E372" s="41">
        <v>9.249838127832763E-5</v>
      </c>
    </row>
    <row r="373" spans="2:5" ht="15" customHeight="1">
      <c r="B373" s="84"/>
      <c r="C373" s="43" t="s">
        <v>149</v>
      </c>
      <c r="D373" s="42">
        <v>1</v>
      </c>
      <c r="E373" s="41">
        <v>3.0832793759442546E-5</v>
      </c>
    </row>
    <row r="374" spans="2:5" ht="15" customHeight="1">
      <c r="B374" s="84"/>
      <c r="C374" s="43" t="s">
        <v>146</v>
      </c>
      <c r="D374" s="42">
        <v>1</v>
      </c>
      <c r="E374" s="41">
        <v>3.0832793759442546E-5</v>
      </c>
    </row>
    <row r="375" spans="2:5" ht="15" customHeight="1">
      <c r="B375" s="84"/>
      <c r="C375" s="43" t="s">
        <v>144</v>
      </c>
      <c r="D375" s="42">
        <v>1</v>
      </c>
      <c r="E375" s="41">
        <v>3.0832793759442546E-5</v>
      </c>
    </row>
    <row r="376" spans="2:5" ht="15" customHeight="1">
      <c r="B376" s="84"/>
      <c r="C376" s="43" t="s">
        <v>155</v>
      </c>
      <c r="D376" s="42">
        <v>1</v>
      </c>
      <c r="E376" s="41">
        <v>3.0832793759442546E-5</v>
      </c>
    </row>
    <row r="377" spans="2:5" ht="15" customHeight="1">
      <c r="B377" s="84"/>
      <c r="C377" s="43" t="s">
        <v>173</v>
      </c>
      <c r="D377" s="42">
        <v>21</v>
      </c>
      <c r="E377" s="41">
        <v>6.4748866894829345E-4</v>
      </c>
    </row>
    <row r="378" spans="2:5" ht="15" customHeight="1">
      <c r="B378" s="84"/>
      <c r="C378" s="43" t="s">
        <v>154</v>
      </c>
      <c r="D378" s="42">
        <v>2</v>
      </c>
      <c r="E378" s="41">
        <v>6.1665587518885091E-5</v>
      </c>
    </row>
    <row r="379" spans="2:5" ht="15" customHeight="1">
      <c r="B379" s="84"/>
      <c r="C379" s="43" t="s">
        <v>162</v>
      </c>
      <c r="D379" s="42">
        <v>1</v>
      </c>
      <c r="E379" s="41">
        <v>3.0832793759442546E-5</v>
      </c>
    </row>
    <row r="380" spans="2:5" ht="15" customHeight="1">
      <c r="B380" s="84"/>
      <c r="C380" s="43" t="s">
        <v>161</v>
      </c>
      <c r="D380" s="42">
        <v>23</v>
      </c>
      <c r="E380" s="41">
        <v>7.0915425646717847E-4</v>
      </c>
    </row>
    <row r="381" spans="2:5" ht="15" customHeight="1">
      <c r="B381" s="84"/>
      <c r="C381" s="43" t="s">
        <v>166</v>
      </c>
      <c r="D381" s="42">
        <v>4</v>
      </c>
      <c r="E381" s="41">
        <v>1.2333117503777018E-4</v>
      </c>
    </row>
    <row r="382" spans="2:5" ht="15" customHeight="1">
      <c r="B382" s="84"/>
      <c r="C382" s="43" t="s">
        <v>145</v>
      </c>
      <c r="D382" s="42">
        <v>2</v>
      </c>
      <c r="E382" s="41">
        <v>6.1665587518885091E-5</v>
      </c>
    </row>
    <row r="383" spans="2:5" ht="15" customHeight="1">
      <c r="B383" s="85"/>
      <c r="C383" s="40" t="s">
        <v>23</v>
      </c>
      <c r="D383" s="39">
        <v>228</v>
      </c>
      <c r="E383" s="38">
        <v>7.0298769771528994E-3</v>
      </c>
    </row>
    <row r="384" spans="2:5" ht="15" customHeight="1">
      <c r="B384" s="83" t="s">
        <v>90</v>
      </c>
      <c r="C384" s="43" t="s">
        <v>172</v>
      </c>
      <c r="D384" s="42">
        <v>5</v>
      </c>
      <c r="E384" s="41">
        <v>1.5416396879721272E-4</v>
      </c>
    </row>
    <row r="385" spans="2:5" ht="15" customHeight="1">
      <c r="B385" s="84"/>
      <c r="C385" s="43" t="s">
        <v>152</v>
      </c>
      <c r="D385" s="42">
        <v>7</v>
      </c>
      <c r="E385" s="41">
        <v>2.158295563160978E-4</v>
      </c>
    </row>
    <row r="386" spans="2:5" ht="15" customHeight="1">
      <c r="B386" s="84"/>
      <c r="C386" s="43" t="s">
        <v>140</v>
      </c>
      <c r="D386" s="42">
        <v>1</v>
      </c>
      <c r="E386" s="41">
        <v>3.0832793759442546E-5</v>
      </c>
    </row>
    <row r="387" spans="2:5" ht="15" customHeight="1">
      <c r="B387" s="84"/>
      <c r="C387" s="43" t="s">
        <v>174</v>
      </c>
      <c r="D387" s="42">
        <v>3</v>
      </c>
      <c r="E387" s="41">
        <v>9.249838127832763E-5</v>
      </c>
    </row>
    <row r="388" spans="2:5" ht="15" customHeight="1">
      <c r="B388" s="84"/>
      <c r="C388" s="43" t="s">
        <v>164</v>
      </c>
      <c r="D388" s="42">
        <v>2</v>
      </c>
      <c r="E388" s="41">
        <v>6.1665587518885091E-5</v>
      </c>
    </row>
    <row r="389" spans="2:5" ht="15" customHeight="1">
      <c r="B389" s="84"/>
      <c r="C389" s="43" t="s">
        <v>176</v>
      </c>
      <c r="D389" s="42">
        <v>5</v>
      </c>
      <c r="E389" s="41">
        <v>1.5416396879721272E-4</v>
      </c>
    </row>
    <row r="390" spans="2:5" ht="15" customHeight="1">
      <c r="B390" s="84"/>
      <c r="C390" s="43" t="s">
        <v>178</v>
      </c>
      <c r="D390" s="42">
        <v>6</v>
      </c>
      <c r="E390" s="41">
        <v>1.8499676255665526E-4</v>
      </c>
    </row>
    <row r="391" spans="2:5" ht="15" customHeight="1">
      <c r="B391" s="84"/>
      <c r="C391" s="43" t="s">
        <v>179</v>
      </c>
      <c r="D391" s="42">
        <v>8</v>
      </c>
      <c r="E391" s="41">
        <v>2.4666235007554037E-4</v>
      </c>
    </row>
    <row r="392" spans="2:5" ht="15" customHeight="1">
      <c r="B392" s="84"/>
      <c r="C392" s="43" t="s">
        <v>159</v>
      </c>
      <c r="D392" s="42">
        <v>6</v>
      </c>
      <c r="E392" s="41">
        <v>1.8499676255665526E-4</v>
      </c>
    </row>
    <row r="393" spans="2:5" ht="15" customHeight="1">
      <c r="B393" s="84"/>
      <c r="C393" s="43" t="s">
        <v>168</v>
      </c>
      <c r="D393" s="42">
        <v>4</v>
      </c>
      <c r="E393" s="41">
        <v>1.2333117503777018E-4</v>
      </c>
    </row>
    <row r="394" spans="2:5" ht="15" customHeight="1">
      <c r="B394" s="84"/>
      <c r="C394" s="43" t="s">
        <v>158</v>
      </c>
      <c r="D394" s="42">
        <v>4</v>
      </c>
      <c r="E394" s="41">
        <v>1.2333117503777018E-4</v>
      </c>
    </row>
    <row r="395" spans="2:5" ht="15" customHeight="1">
      <c r="B395" s="84"/>
      <c r="C395" s="43" t="s">
        <v>180</v>
      </c>
      <c r="D395" s="42">
        <v>28</v>
      </c>
      <c r="E395" s="41">
        <v>8.633182252643912E-4</v>
      </c>
    </row>
    <row r="396" spans="2:5" ht="15" customHeight="1">
      <c r="B396" s="84"/>
      <c r="C396" s="43" t="s">
        <v>177</v>
      </c>
      <c r="D396" s="42">
        <v>1</v>
      </c>
      <c r="E396" s="41">
        <v>3.0832793759442546E-5</v>
      </c>
    </row>
    <row r="397" spans="2:5" ht="15" customHeight="1">
      <c r="B397" s="84"/>
      <c r="C397" s="43" t="s">
        <v>165</v>
      </c>
      <c r="D397" s="42">
        <v>2</v>
      </c>
      <c r="E397" s="41">
        <v>6.1665587518885091E-5</v>
      </c>
    </row>
    <row r="398" spans="2:5" ht="15" customHeight="1">
      <c r="B398" s="84"/>
      <c r="C398" s="43" t="s">
        <v>171</v>
      </c>
      <c r="D398" s="42">
        <v>2</v>
      </c>
      <c r="E398" s="41">
        <v>6.1665587518885091E-5</v>
      </c>
    </row>
    <row r="399" spans="2:5" ht="15" customHeight="1">
      <c r="B399" s="84"/>
      <c r="C399" s="43" t="s">
        <v>181</v>
      </c>
      <c r="D399" s="42">
        <v>21</v>
      </c>
      <c r="E399" s="41">
        <v>6.4748866894829345E-4</v>
      </c>
    </row>
    <row r="400" spans="2:5" ht="15" customHeight="1">
      <c r="B400" s="84"/>
      <c r="C400" s="43" t="s">
        <v>167</v>
      </c>
      <c r="D400" s="42">
        <v>8</v>
      </c>
      <c r="E400" s="41">
        <v>2.4666235007554037E-4</v>
      </c>
    </row>
    <row r="401" spans="2:5" ht="15" customHeight="1">
      <c r="B401" s="84"/>
      <c r="C401" s="43" t="s">
        <v>163</v>
      </c>
      <c r="D401" s="42">
        <v>4</v>
      </c>
      <c r="E401" s="41">
        <v>1.2333117503777018E-4</v>
      </c>
    </row>
    <row r="402" spans="2:5" ht="15" customHeight="1">
      <c r="B402" s="84"/>
      <c r="C402" s="43" t="s">
        <v>182</v>
      </c>
      <c r="D402" s="42">
        <v>36</v>
      </c>
      <c r="E402" s="41">
        <v>1.1099805753399315E-3</v>
      </c>
    </row>
    <row r="403" spans="2:5" ht="15" customHeight="1">
      <c r="B403" s="84"/>
      <c r="C403" s="43" t="s">
        <v>150</v>
      </c>
      <c r="D403" s="42">
        <v>2</v>
      </c>
      <c r="E403" s="41">
        <v>6.1665587518885091E-5</v>
      </c>
    </row>
    <row r="404" spans="2:5" ht="15" customHeight="1">
      <c r="B404" s="84"/>
      <c r="C404" s="43" t="s">
        <v>175</v>
      </c>
      <c r="D404" s="42">
        <v>2</v>
      </c>
      <c r="E404" s="41">
        <v>6.1665587518885091E-5</v>
      </c>
    </row>
    <row r="405" spans="2:5" ht="15" customHeight="1">
      <c r="B405" s="84"/>
      <c r="C405" s="43" t="s">
        <v>169</v>
      </c>
      <c r="D405" s="42">
        <v>13</v>
      </c>
      <c r="E405" s="41">
        <v>4.0082631887275309E-4</v>
      </c>
    </row>
    <row r="406" spans="2:5" ht="15" customHeight="1">
      <c r="B406" s="84"/>
      <c r="C406" s="43" t="s">
        <v>160</v>
      </c>
      <c r="D406" s="42">
        <v>1</v>
      </c>
      <c r="E406" s="41">
        <v>3.0832793759442546E-5</v>
      </c>
    </row>
    <row r="407" spans="2:5" ht="15" customHeight="1">
      <c r="B407" s="84"/>
      <c r="C407" s="43" t="s">
        <v>131</v>
      </c>
      <c r="D407" s="42">
        <v>4</v>
      </c>
      <c r="E407" s="41">
        <v>1.2333117503777018E-4</v>
      </c>
    </row>
    <row r="408" spans="2:5" ht="15" customHeight="1">
      <c r="B408" s="84"/>
      <c r="C408" s="43" t="s">
        <v>133</v>
      </c>
      <c r="D408" s="42">
        <v>3</v>
      </c>
      <c r="E408" s="41">
        <v>9.249838127832763E-5</v>
      </c>
    </row>
    <row r="409" spans="2:5" ht="15" customHeight="1">
      <c r="B409" s="84"/>
      <c r="C409" s="43" t="s">
        <v>141</v>
      </c>
      <c r="D409" s="42">
        <v>1</v>
      </c>
      <c r="E409" s="41">
        <v>3.0832793759442546E-5</v>
      </c>
    </row>
    <row r="410" spans="2:5" ht="15" customHeight="1">
      <c r="B410" s="84"/>
      <c r="C410" s="43" t="s">
        <v>144</v>
      </c>
      <c r="D410" s="42">
        <v>1</v>
      </c>
      <c r="E410" s="41">
        <v>3.0832793759442546E-5</v>
      </c>
    </row>
    <row r="411" spans="2:5" ht="15" customHeight="1">
      <c r="B411" s="84"/>
      <c r="C411" s="43" t="s">
        <v>155</v>
      </c>
      <c r="D411" s="42">
        <v>1</v>
      </c>
      <c r="E411" s="41">
        <v>3.0832793759442546E-5</v>
      </c>
    </row>
    <row r="412" spans="2:5" ht="15" customHeight="1">
      <c r="B412" s="84"/>
      <c r="C412" s="43" t="s">
        <v>138</v>
      </c>
      <c r="D412" s="42">
        <v>1</v>
      </c>
      <c r="E412" s="41">
        <v>3.0832793759442546E-5</v>
      </c>
    </row>
    <row r="413" spans="2:5" ht="15" customHeight="1">
      <c r="B413" s="84"/>
      <c r="C413" s="43" t="s">
        <v>173</v>
      </c>
      <c r="D413" s="42">
        <v>4</v>
      </c>
      <c r="E413" s="41">
        <v>1.2333117503777018E-4</v>
      </c>
    </row>
    <row r="414" spans="2:5" ht="15" customHeight="1">
      <c r="B414" s="84"/>
      <c r="C414" s="43" t="s">
        <v>154</v>
      </c>
      <c r="D414" s="42">
        <v>5</v>
      </c>
      <c r="E414" s="41">
        <v>1.5416396879721272E-4</v>
      </c>
    </row>
    <row r="415" spans="2:5" ht="15" customHeight="1">
      <c r="B415" s="84"/>
      <c r="C415" s="43" t="s">
        <v>162</v>
      </c>
      <c r="D415" s="42">
        <v>1</v>
      </c>
      <c r="E415" s="41">
        <v>3.0832793759442546E-5</v>
      </c>
    </row>
    <row r="416" spans="2:5" ht="15" customHeight="1">
      <c r="B416" s="84"/>
      <c r="C416" s="43" t="s">
        <v>166</v>
      </c>
      <c r="D416" s="42">
        <v>2</v>
      </c>
      <c r="E416" s="41">
        <v>6.1665587518885091E-5</v>
      </c>
    </row>
    <row r="417" spans="2:5" ht="15" customHeight="1">
      <c r="B417" s="84"/>
      <c r="C417" s="43" t="s">
        <v>145</v>
      </c>
      <c r="D417" s="42">
        <v>2</v>
      </c>
      <c r="E417" s="41">
        <v>6.1665587518885091E-5</v>
      </c>
    </row>
    <row r="418" spans="2:5" ht="15" customHeight="1">
      <c r="B418" s="85"/>
      <c r="C418" s="40" t="s">
        <v>23</v>
      </c>
      <c r="D418" s="39">
        <v>196</v>
      </c>
      <c r="E418" s="38">
        <v>6.0432275768507382E-3</v>
      </c>
    </row>
    <row r="419" spans="2:5" ht="15" customHeight="1">
      <c r="B419" s="83" t="s">
        <v>75</v>
      </c>
      <c r="C419" s="43" t="s">
        <v>142</v>
      </c>
      <c r="D419" s="42">
        <v>1</v>
      </c>
      <c r="E419" s="41">
        <v>3.0832793759442546E-5</v>
      </c>
    </row>
    <row r="420" spans="2:5" ht="15" customHeight="1">
      <c r="B420" s="84"/>
      <c r="C420" s="43" t="s">
        <v>156</v>
      </c>
      <c r="D420" s="42">
        <v>1</v>
      </c>
      <c r="E420" s="41">
        <v>3.0832793759442546E-5</v>
      </c>
    </row>
    <row r="421" spans="2:5" ht="15" customHeight="1">
      <c r="B421" s="84"/>
      <c r="C421" s="43" t="s">
        <v>180</v>
      </c>
      <c r="D421" s="42">
        <v>1</v>
      </c>
      <c r="E421" s="41">
        <v>3.0832793759442546E-5</v>
      </c>
    </row>
    <row r="422" spans="2:5" ht="15" customHeight="1">
      <c r="B422" s="84"/>
      <c r="C422" s="43" t="s">
        <v>182</v>
      </c>
      <c r="D422" s="42">
        <v>1</v>
      </c>
      <c r="E422" s="41">
        <v>3.0832793759442546E-5</v>
      </c>
    </row>
    <row r="423" spans="2:5" ht="15" customHeight="1">
      <c r="B423" s="84"/>
      <c r="C423" s="43" t="s">
        <v>162</v>
      </c>
      <c r="D423" s="42">
        <v>1</v>
      </c>
      <c r="E423" s="41">
        <v>3.0832793759442546E-5</v>
      </c>
    </row>
    <row r="424" spans="2:5" ht="15" customHeight="1">
      <c r="B424" s="85"/>
      <c r="C424" s="40" t="s">
        <v>23</v>
      </c>
      <c r="D424" s="39">
        <v>5</v>
      </c>
      <c r="E424" s="38">
        <v>1.5416396879721272E-4</v>
      </c>
    </row>
    <row r="425" spans="2:5" ht="15" customHeight="1">
      <c r="B425" s="83" t="s">
        <v>88</v>
      </c>
      <c r="C425" s="43" t="s">
        <v>176</v>
      </c>
      <c r="D425" s="42">
        <v>1</v>
      </c>
      <c r="E425" s="41">
        <v>3.0832793759442546E-5</v>
      </c>
    </row>
    <row r="426" spans="2:5" ht="15" customHeight="1">
      <c r="B426" s="84"/>
      <c r="C426" s="43" t="s">
        <v>178</v>
      </c>
      <c r="D426" s="42">
        <v>1</v>
      </c>
      <c r="E426" s="41">
        <v>3.0832793759442546E-5</v>
      </c>
    </row>
    <row r="427" spans="2:5" ht="15" customHeight="1">
      <c r="B427" s="84"/>
      <c r="C427" s="43" t="s">
        <v>179</v>
      </c>
      <c r="D427" s="42">
        <v>2</v>
      </c>
      <c r="E427" s="41">
        <v>6.1665587518885091E-5</v>
      </c>
    </row>
    <row r="428" spans="2:5" ht="15" customHeight="1">
      <c r="B428" s="84"/>
      <c r="C428" s="43" t="s">
        <v>180</v>
      </c>
      <c r="D428" s="42">
        <v>1</v>
      </c>
      <c r="E428" s="41">
        <v>3.0832793759442546E-5</v>
      </c>
    </row>
    <row r="429" spans="2:5" ht="15" customHeight="1">
      <c r="B429" s="84"/>
      <c r="C429" s="43" t="s">
        <v>177</v>
      </c>
      <c r="D429" s="42">
        <v>2</v>
      </c>
      <c r="E429" s="41">
        <v>6.1665587518885091E-5</v>
      </c>
    </row>
    <row r="430" spans="2:5" ht="15" customHeight="1">
      <c r="B430" s="84"/>
      <c r="C430" s="43" t="s">
        <v>171</v>
      </c>
      <c r="D430" s="42">
        <v>1</v>
      </c>
      <c r="E430" s="41">
        <v>3.0832793759442546E-5</v>
      </c>
    </row>
    <row r="431" spans="2:5" ht="15" customHeight="1">
      <c r="B431" s="84"/>
      <c r="C431" s="43" t="s">
        <v>181</v>
      </c>
      <c r="D431" s="42">
        <v>2</v>
      </c>
      <c r="E431" s="41">
        <v>6.1665587518885091E-5</v>
      </c>
    </row>
    <row r="432" spans="2:5" ht="15" customHeight="1">
      <c r="B432" s="84"/>
      <c r="C432" s="43" t="s">
        <v>167</v>
      </c>
      <c r="D432" s="42">
        <v>2</v>
      </c>
      <c r="E432" s="41">
        <v>6.1665587518885091E-5</v>
      </c>
    </row>
    <row r="433" spans="2:5" ht="15" customHeight="1">
      <c r="B433" s="84"/>
      <c r="C433" s="43" t="s">
        <v>182</v>
      </c>
      <c r="D433" s="42">
        <v>3</v>
      </c>
      <c r="E433" s="41">
        <v>9.249838127832763E-5</v>
      </c>
    </row>
    <row r="434" spans="2:5" ht="15" customHeight="1">
      <c r="B434" s="84"/>
      <c r="C434" s="43" t="s">
        <v>150</v>
      </c>
      <c r="D434" s="42">
        <v>2</v>
      </c>
      <c r="E434" s="41">
        <v>6.1665587518885091E-5</v>
      </c>
    </row>
    <row r="435" spans="2:5" ht="15" customHeight="1">
      <c r="B435" s="84"/>
      <c r="C435" s="43" t="s">
        <v>175</v>
      </c>
      <c r="D435" s="42">
        <v>2</v>
      </c>
      <c r="E435" s="41">
        <v>6.1665587518885091E-5</v>
      </c>
    </row>
    <row r="436" spans="2:5" ht="15" customHeight="1">
      <c r="B436" s="84"/>
      <c r="C436" s="43" t="s">
        <v>143</v>
      </c>
      <c r="D436" s="42">
        <v>1</v>
      </c>
      <c r="E436" s="41">
        <v>3.0832793759442546E-5</v>
      </c>
    </row>
    <row r="437" spans="2:5" ht="15" customHeight="1">
      <c r="B437" s="84"/>
      <c r="C437" s="43" t="s">
        <v>160</v>
      </c>
      <c r="D437" s="42">
        <v>1</v>
      </c>
      <c r="E437" s="41">
        <v>3.0832793759442546E-5</v>
      </c>
    </row>
    <row r="438" spans="2:5" ht="15" customHeight="1">
      <c r="B438" s="84"/>
      <c r="C438" s="43" t="s">
        <v>173</v>
      </c>
      <c r="D438" s="42">
        <v>2</v>
      </c>
      <c r="E438" s="41">
        <v>6.1665587518885091E-5</v>
      </c>
    </row>
    <row r="439" spans="2:5" ht="15" customHeight="1">
      <c r="B439" s="85"/>
      <c r="C439" s="40" t="s">
        <v>23</v>
      </c>
      <c r="D439" s="39">
        <v>23</v>
      </c>
      <c r="E439" s="38">
        <v>7.0915425646717847E-4</v>
      </c>
    </row>
    <row r="440" spans="2:5" ht="15" customHeight="1">
      <c r="B440" s="83" t="s">
        <v>101</v>
      </c>
      <c r="C440" s="43" t="s">
        <v>148</v>
      </c>
      <c r="D440" s="42">
        <v>4</v>
      </c>
      <c r="E440" s="41">
        <v>1.2333117503777018E-4</v>
      </c>
    </row>
    <row r="441" spans="2:5" ht="15" customHeight="1">
      <c r="B441" s="84"/>
      <c r="C441" s="43" t="s">
        <v>142</v>
      </c>
      <c r="D441" s="42">
        <v>1</v>
      </c>
      <c r="E441" s="41">
        <v>3.0832793759442546E-5</v>
      </c>
    </row>
    <row r="442" spans="2:5" ht="15" customHeight="1">
      <c r="B442" s="84"/>
      <c r="C442" s="43" t="s">
        <v>136</v>
      </c>
      <c r="D442" s="42">
        <v>1</v>
      </c>
      <c r="E442" s="41">
        <v>3.0832793759442546E-5</v>
      </c>
    </row>
    <row r="443" spans="2:5" ht="15" customHeight="1">
      <c r="B443" s="84"/>
      <c r="C443" s="43" t="s">
        <v>170</v>
      </c>
      <c r="D443" s="42">
        <v>3</v>
      </c>
      <c r="E443" s="41">
        <v>9.249838127832763E-5</v>
      </c>
    </row>
    <row r="444" spans="2:5" ht="15" customHeight="1">
      <c r="B444" s="84"/>
      <c r="C444" s="43" t="s">
        <v>176</v>
      </c>
      <c r="D444" s="42">
        <v>3</v>
      </c>
      <c r="E444" s="41">
        <v>9.249838127832763E-5</v>
      </c>
    </row>
    <row r="445" spans="2:5" ht="15" customHeight="1">
      <c r="B445" s="84"/>
      <c r="C445" s="43" t="s">
        <v>178</v>
      </c>
      <c r="D445" s="42">
        <v>7</v>
      </c>
      <c r="E445" s="41">
        <v>2.158295563160978E-4</v>
      </c>
    </row>
    <row r="446" spans="2:5" ht="15" customHeight="1">
      <c r="B446" s="84"/>
      <c r="C446" s="43" t="s">
        <v>179</v>
      </c>
      <c r="D446" s="42">
        <v>9</v>
      </c>
      <c r="E446" s="41">
        <v>2.7749514383498288E-4</v>
      </c>
    </row>
    <row r="447" spans="2:5" ht="15" customHeight="1">
      <c r="B447" s="84"/>
      <c r="C447" s="43" t="s">
        <v>129</v>
      </c>
      <c r="D447" s="42">
        <v>1</v>
      </c>
      <c r="E447" s="41">
        <v>3.0832793759442546E-5</v>
      </c>
    </row>
    <row r="448" spans="2:5" ht="15" customHeight="1">
      <c r="B448" s="84"/>
      <c r="C448" s="43" t="s">
        <v>159</v>
      </c>
      <c r="D448" s="42">
        <v>3</v>
      </c>
      <c r="E448" s="41">
        <v>9.249838127832763E-5</v>
      </c>
    </row>
    <row r="449" spans="2:5" ht="15" customHeight="1">
      <c r="B449" s="84"/>
      <c r="C449" s="43" t="s">
        <v>168</v>
      </c>
      <c r="D449" s="42">
        <v>1</v>
      </c>
      <c r="E449" s="41">
        <v>3.0832793759442546E-5</v>
      </c>
    </row>
    <row r="450" spans="2:5" ht="15" customHeight="1">
      <c r="B450" s="84"/>
      <c r="C450" s="43" t="s">
        <v>180</v>
      </c>
      <c r="D450" s="42">
        <v>2</v>
      </c>
      <c r="E450" s="41">
        <v>6.1665587518885091E-5</v>
      </c>
    </row>
    <row r="451" spans="2:5" ht="15" customHeight="1">
      <c r="B451" s="84"/>
      <c r="C451" s="43" t="s">
        <v>181</v>
      </c>
      <c r="D451" s="42">
        <v>4</v>
      </c>
      <c r="E451" s="41">
        <v>1.2333117503777018E-4</v>
      </c>
    </row>
    <row r="452" spans="2:5" ht="15" customHeight="1">
      <c r="B452" s="84"/>
      <c r="C452" s="43" t="s">
        <v>167</v>
      </c>
      <c r="D452" s="42">
        <v>7</v>
      </c>
      <c r="E452" s="41">
        <v>2.158295563160978E-4</v>
      </c>
    </row>
    <row r="453" spans="2:5" ht="15" customHeight="1">
      <c r="B453" s="84"/>
      <c r="C453" s="43" t="s">
        <v>163</v>
      </c>
      <c r="D453" s="42">
        <v>2</v>
      </c>
      <c r="E453" s="41">
        <v>6.1665587518885091E-5</v>
      </c>
    </row>
    <row r="454" spans="2:5" ht="15" customHeight="1">
      <c r="B454" s="84"/>
      <c r="C454" s="43" t="s">
        <v>182</v>
      </c>
      <c r="D454" s="42">
        <v>6</v>
      </c>
      <c r="E454" s="41">
        <v>1.8499676255665526E-4</v>
      </c>
    </row>
    <row r="455" spans="2:5" ht="15" customHeight="1">
      <c r="B455" s="84"/>
      <c r="C455" s="43" t="s">
        <v>150</v>
      </c>
      <c r="D455" s="42">
        <v>1</v>
      </c>
      <c r="E455" s="41">
        <v>3.0832793759442546E-5</v>
      </c>
    </row>
    <row r="456" spans="2:5" ht="15" customHeight="1">
      <c r="B456" s="84"/>
      <c r="C456" s="43" t="s">
        <v>169</v>
      </c>
      <c r="D456" s="42">
        <v>1</v>
      </c>
      <c r="E456" s="41">
        <v>3.0832793759442546E-5</v>
      </c>
    </row>
    <row r="457" spans="2:5" ht="15" customHeight="1">
      <c r="B457" s="84"/>
      <c r="C457" s="43" t="s">
        <v>160</v>
      </c>
      <c r="D457" s="42">
        <v>8</v>
      </c>
      <c r="E457" s="41">
        <v>2.4666235007554037E-4</v>
      </c>
    </row>
    <row r="458" spans="2:5" ht="15" customHeight="1">
      <c r="B458" s="84"/>
      <c r="C458" s="43" t="s">
        <v>133</v>
      </c>
      <c r="D458" s="42">
        <v>1</v>
      </c>
      <c r="E458" s="41">
        <v>3.0832793759442546E-5</v>
      </c>
    </row>
    <row r="459" spans="2:5" ht="15" customHeight="1">
      <c r="B459" s="84"/>
      <c r="C459" s="43" t="s">
        <v>147</v>
      </c>
      <c r="D459" s="42">
        <v>1</v>
      </c>
      <c r="E459" s="41">
        <v>3.0832793759442546E-5</v>
      </c>
    </row>
    <row r="460" spans="2:5" ht="15" customHeight="1">
      <c r="B460" s="84"/>
      <c r="C460" s="43" t="s">
        <v>155</v>
      </c>
      <c r="D460" s="42">
        <v>1</v>
      </c>
      <c r="E460" s="41">
        <v>3.0832793759442546E-5</v>
      </c>
    </row>
    <row r="461" spans="2:5" ht="15" customHeight="1">
      <c r="B461" s="84"/>
      <c r="C461" s="43" t="s">
        <v>154</v>
      </c>
      <c r="D461" s="42">
        <v>1</v>
      </c>
      <c r="E461" s="41">
        <v>3.0832793759442546E-5</v>
      </c>
    </row>
    <row r="462" spans="2:5" ht="15" customHeight="1">
      <c r="B462" s="84"/>
      <c r="C462" s="43" t="s">
        <v>162</v>
      </c>
      <c r="D462" s="42">
        <v>1</v>
      </c>
      <c r="E462" s="41">
        <v>3.0832793759442546E-5</v>
      </c>
    </row>
    <row r="463" spans="2:5" ht="15" customHeight="1">
      <c r="B463" s="85"/>
      <c r="C463" s="40" t="s">
        <v>23</v>
      </c>
      <c r="D463" s="39">
        <v>69</v>
      </c>
      <c r="E463" s="38">
        <v>2.1274627694015356E-3</v>
      </c>
    </row>
    <row r="464" spans="2:5" ht="15" customHeight="1">
      <c r="B464" s="83" t="s">
        <v>117</v>
      </c>
      <c r="C464" s="43" t="s">
        <v>172</v>
      </c>
      <c r="D464" s="42">
        <v>4</v>
      </c>
      <c r="E464" s="41">
        <v>1.2333117503777018E-4</v>
      </c>
    </row>
    <row r="465" spans="2:5" ht="15" customHeight="1">
      <c r="B465" s="84"/>
      <c r="C465" s="43" t="s">
        <v>152</v>
      </c>
      <c r="D465" s="42">
        <v>1</v>
      </c>
      <c r="E465" s="41">
        <v>3.0832793759442546E-5</v>
      </c>
    </row>
    <row r="466" spans="2:5" ht="15" customHeight="1">
      <c r="B466" s="84"/>
      <c r="C466" s="43" t="s">
        <v>136</v>
      </c>
      <c r="D466" s="42">
        <v>3</v>
      </c>
      <c r="E466" s="41">
        <v>9.249838127832763E-5</v>
      </c>
    </row>
    <row r="467" spans="2:5" ht="15" customHeight="1">
      <c r="B467" s="84"/>
      <c r="C467" s="43" t="s">
        <v>170</v>
      </c>
      <c r="D467" s="42">
        <v>1</v>
      </c>
      <c r="E467" s="41">
        <v>3.0832793759442546E-5</v>
      </c>
    </row>
    <row r="468" spans="2:5" ht="15" customHeight="1">
      <c r="B468" s="84"/>
      <c r="C468" s="43" t="s">
        <v>140</v>
      </c>
      <c r="D468" s="42">
        <v>1</v>
      </c>
      <c r="E468" s="41">
        <v>3.0832793759442546E-5</v>
      </c>
    </row>
    <row r="469" spans="2:5" ht="15" customHeight="1">
      <c r="B469" s="84"/>
      <c r="C469" s="43" t="s">
        <v>174</v>
      </c>
      <c r="D469" s="42">
        <v>8</v>
      </c>
      <c r="E469" s="41">
        <v>2.4666235007554037E-4</v>
      </c>
    </row>
    <row r="470" spans="2:5" ht="15" customHeight="1">
      <c r="B470" s="84"/>
      <c r="C470" s="43" t="s">
        <v>164</v>
      </c>
      <c r="D470" s="42">
        <v>3</v>
      </c>
      <c r="E470" s="41">
        <v>9.249838127832763E-5</v>
      </c>
    </row>
    <row r="471" spans="2:5" ht="15" customHeight="1">
      <c r="B471" s="84"/>
      <c r="C471" s="43" t="s">
        <v>179</v>
      </c>
      <c r="D471" s="42">
        <v>2</v>
      </c>
      <c r="E471" s="41">
        <v>6.1665587518885091E-5</v>
      </c>
    </row>
    <row r="472" spans="2:5" ht="15" customHeight="1">
      <c r="B472" s="84"/>
      <c r="C472" s="43" t="s">
        <v>129</v>
      </c>
      <c r="D472" s="42">
        <v>1</v>
      </c>
      <c r="E472" s="41">
        <v>3.0832793759442546E-5</v>
      </c>
    </row>
    <row r="473" spans="2:5" ht="15" customHeight="1">
      <c r="B473" s="84"/>
      <c r="C473" s="43" t="s">
        <v>180</v>
      </c>
      <c r="D473" s="42">
        <v>8</v>
      </c>
      <c r="E473" s="41">
        <v>2.4666235007554037E-4</v>
      </c>
    </row>
    <row r="474" spans="2:5" ht="15" customHeight="1">
      <c r="B474" s="84"/>
      <c r="C474" s="43" t="s">
        <v>177</v>
      </c>
      <c r="D474" s="42">
        <v>6</v>
      </c>
      <c r="E474" s="41">
        <v>1.8499676255665526E-4</v>
      </c>
    </row>
    <row r="475" spans="2:5" ht="15" customHeight="1">
      <c r="B475" s="84"/>
      <c r="C475" s="43" t="s">
        <v>181</v>
      </c>
      <c r="D475" s="42">
        <v>3</v>
      </c>
      <c r="E475" s="41">
        <v>9.249838127832763E-5</v>
      </c>
    </row>
    <row r="476" spans="2:5" ht="15" customHeight="1">
      <c r="B476" s="84"/>
      <c r="C476" s="43" t="s">
        <v>167</v>
      </c>
      <c r="D476" s="42">
        <v>1</v>
      </c>
      <c r="E476" s="41">
        <v>3.0832793759442546E-5</v>
      </c>
    </row>
    <row r="477" spans="2:5" ht="15" customHeight="1">
      <c r="B477" s="84"/>
      <c r="C477" s="43" t="s">
        <v>163</v>
      </c>
      <c r="D477" s="42">
        <v>2</v>
      </c>
      <c r="E477" s="41">
        <v>6.1665587518885091E-5</v>
      </c>
    </row>
    <row r="478" spans="2:5" ht="15" customHeight="1">
      <c r="B478" s="84"/>
      <c r="C478" s="43" t="s">
        <v>182</v>
      </c>
      <c r="D478" s="42">
        <v>11</v>
      </c>
      <c r="E478" s="41">
        <v>3.3916073135386795E-4</v>
      </c>
    </row>
    <row r="479" spans="2:5" ht="15" customHeight="1">
      <c r="B479" s="84"/>
      <c r="C479" s="43" t="s">
        <v>137</v>
      </c>
      <c r="D479" s="42">
        <v>3</v>
      </c>
      <c r="E479" s="41">
        <v>9.249838127832763E-5</v>
      </c>
    </row>
    <row r="480" spans="2:5" ht="15" customHeight="1">
      <c r="B480" s="84"/>
      <c r="C480" s="43" t="s">
        <v>151</v>
      </c>
      <c r="D480" s="42">
        <v>1</v>
      </c>
      <c r="E480" s="41">
        <v>3.0832793759442546E-5</v>
      </c>
    </row>
    <row r="481" spans="2:5" ht="15" customHeight="1">
      <c r="B481" s="84"/>
      <c r="C481" s="43" t="s">
        <v>175</v>
      </c>
      <c r="D481" s="42">
        <v>7</v>
      </c>
      <c r="E481" s="41">
        <v>2.158295563160978E-4</v>
      </c>
    </row>
    <row r="482" spans="2:5" ht="15" customHeight="1">
      <c r="B482" s="84"/>
      <c r="C482" s="43" t="s">
        <v>157</v>
      </c>
      <c r="D482" s="42">
        <v>6</v>
      </c>
      <c r="E482" s="41">
        <v>1.8499676255665526E-4</v>
      </c>
    </row>
    <row r="483" spans="2:5" ht="15" customHeight="1">
      <c r="B483" s="84"/>
      <c r="C483" s="43" t="s">
        <v>143</v>
      </c>
      <c r="D483" s="42">
        <v>2</v>
      </c>
      <c r="E483" s="41">
        <v>6.1665587518885091E-5</v>
      </c>
    </row>
    <row r="484" spans="2:5" ht="15" customHeight="1">
      <c r="B484" s="84"/>
      <c r="C484" s="43" t="s">
        <v>169</v>
      </c>
      <c r="D484" s="42">
        <v>1</v>
      </c>
      <c r="E484" s="41">
        <v>3.0832793759442546E-5</v>
      </c>
    </row>
    <row r="485" spans="2:5" ht="15" customHeight="1">
      <c r="B485" s="84"/>
      <c r="C485" s="43" t="s">
        <v>160</v>
      </c>
      <c r="D485" s="42">
        <v>4</v>
      </c>
      <c r="E485" s="41">
        <v>1.2333117503777018E-4</v>
      </c>
    </row>
    <row r="486" spans="2:5" ht="15" customHeight="1">
      <c r="B486" s="84"/>
      <c r="C486" s="43" t="s">
        <v>147</v>
      </c>
      <c r="D486" s="42">
        <v>3</v>
      </c>
      <c r="E486" s="41">
        <v>9.249838127832763E-5</v>
      </c>
    </row>
    <row r="487" spans="2:5" ht="15" customHeight="1">
      <c r="B487" s="84"/>
      <c r="C487" s="43" t="s">
        <v>144</v>
      </c>
      <c r="D487" s="42">
        <v>2</v>
      </c>
      <c r="E487" s="41">
        <v>6.1665587518885091E-5</v>
      </c>
    </row>
    <row r="488" spans="2:5" ht="15" customHeight="1">
      <c r="B488" s="84"/>
      <c r="C488" s="43" t="s">
        <v>173</v>
      </c>
      <c r="D488" s="42">
        <v>3</v>
      </c>
      <c r="E488" s="41">
        <v>9.249838127832763E-5</v>
      </c>
    </row>
    <row r="489" spans="2:5" ht="15" customHeight="1">
      <c r="B489" s="84"/>
      <c r="C489" s="43" t="s">
        <v>154</v>
      </c>
      <c r="D489" s="42">
        <v>1</v>
      </c>
      <c r="E489" s="41">
        <v>3.0832793759442546E-5</v>
      </c>
    </row>
    <row r="490" spans="2:5" ht="15" customHeight="1">
      <c r="B490" s="84"/>
      <c r="C490" s="43" t="s">
        <v>162</v>
      </c>
      <c r="D490" s="42">
        <v>4</v>
      </c>
      <c r="E490" s="41">
        <v>1.2333117503777018E-4</v>
      </c>
    </row>
    <row r="491" spans="2:5" ht="15" customHeight="1">
      <c r="B491" s="84"/>
      <c r="C491" s="43" t="s">
        <v>166</v>
      </c>
      <c r="D491" s="42">
        <v>1</v>
      </c>
      <c r="E491" s="41">
        <v>3.0832793759442546E-5</v>
      </c>
    </row>
    <row r="492" spans="2:5" ht="15" customHeight="1">
      <c r="B492" s="84"/>
      <c r="C492" s="43" t="s">
        <v>145</v>
      </c>
      <c r="D492" s="42">
        <v>7</v>
      </c>
      <c r="E492" s="41">
        <v>2.158295563160978E-4</v>
      </c>
    </row>
    <row r="493" spans="2:5" ht="15" customHeight="1">
      <c r="B493" s="85"/>
      <c r="C493" s="40" t="s">
        <v>23</v>
      </c>
      <c r="D493" s="39">
        <v>100</v>
      </c>
      <c r="E493" s="38">
        <v>3.0832793759442544E-3</v>
      </c>
    </row>
    <row r="494" spans="2:5" ht="15" customHeight="1">
      <c r="B494" s="83" t="s">
        <v>121</v>
      </c>
      <c r="C494" s="43" t="s">
        <v>172</v>
      </c>
      <c r="D494" s="42">
        <v>87</v>
      </c>
      <c r="E494" s="41">
        <v>2.6824530570715012E-3</v>
      </c>
    </row>
    <row r="495" spans="2:5" ht="15" customHeight="1">
      <c r="B495" s="84"/>
      <c r="C495" s="43" t="s">
        <v>148</v>
      </c>
      <c r="D495" s="42">
        <v>98</v>
      </c>
      <c r="E495" s="41">
        <v>3.0216137884253691E-3</v>
      </c>
    </row>
    <row r="496" spans="2:5" ht="15" customHeight="1">
      <c r="B496" s="84"/>
      <c r="C496" s="43" t="s">
        <v>152</v>
      </c>
      <c r="D496" s="42">
        <v>62</v>
      </c>
      <c r="E496" s="41">
        <v>1.9116332130854376E-3</v>
      </c>
    </row>
    <row r="497" spans="2:5" ht="15" customHeight="1">
      <c r="B497" s="84"/>
      <c r="C497" s="43" t="s">
        <v>142</v>
      </c>
      <c r="D497" s="42">
        <v>29</v>
      </c>
      <c r="E497" s="41">
        <v>8.9415101902383376E-4</v>
      </c>
    </row>
    <row r="498" spans="2:5" ht="15" customHeight="1">
      <c r="B498" s="84"/>
      <c r="C498" s="43" t="s">
        <v>136</v>
      </c>
      <c r="D498" s="42">
        <v>7</v>
      </c>
      <c r="E498" s="41">
        <v>2.158295563160978E-4</v>
      </c>
    </row>
    <row r="499" spans="2:5" ht="15" customHeight="1">
      <c r="B499" s="84"/>
      <c r="C499" s="43" t="s">
        <v>170</v>
      </c>
      <c r="D499" s="42">
        <v>218</v>
      </c>
      <c r="E499" s="41">
        <v>6.7215490395584748E-3</v>
      </c>
    </row>
    <row r="500" spans="2:5" ht="15" customHeight="1">
      <c r="B500" s="84"/>
      <c r="C500" s="43" t="s">
        <v>140</v>
      </c>
      <c r="D500" s="42">
        <v>29</v>
      </c>
      <c r="E500" s="41">
        <v>8.9415101902383376E-4</v>
      </c>
    </row>
    <row r="501" spans="2:5" ht="15" customHeight="1">
      <c r="B501" s="84"/>
      <c r="C501" s="43" t="s">
        <v>156</v>
      </c>
      <c r="D501" s="42">
        <v>88</v>
      </c>
      <c r="E501" s="41">
        <v>2.7132858508309436E-3</v>
      </c>
    </row>
    <row r="502" spans="2:5" ht="15" customHeight="1">
      <c r="B502" s="84"/>
      <c r="C502" s="43" t="s">
        <v>174</v>
      </c>
      <c r="D502" s="42">
        <v>442</v>
      </c>
      <c r="E502" s="41">
        <v>1.3628094841673604E-2</v>
      </c>
    </row>
    <row r="503" spans="2:5" ht="15" customHeight="1">
      <c r="B503" s="84"/>
      <c r="C503" s="43" t="s">
        <v>164</v>
      </c>
      <c r="D503" s="42">
        <v>169</v>
      </c>
      <c r="E503" s="41">
        <v>5.2107421453457901E-3</v>
      </c>
    </row>
    <row r="504" spans="2:5" ht="15" customHeight="1">
      <c r="B504" s="84"/>
      <c r="C504" s="43" t="s">
        <v>176</v>
      </c>
      <c r="D504" s="42">
        <v>311</v>
      </c>
      <c r="E504" s="41">
        <v>9.5889988591866312E-3</v>
      </c>
    </row>
    <row r="505" spans="2:5" ht="15" customHeight="1">
      <c r="B505" s="84"/>
      <c r="C505" s="43" t="s">
        <v>178</v>
      </c>
      <c r="D505" s="42">
        <v>310</v>
      </c>
      <c r="E505" s="41">
        <v>9.5581660654271879E-3</v>
      </c>
    </row>
    <row r="506" spans="2:5" ht="15" customHeight="1">
      <c r="B506" s="84"/>
      <c r="C506" s="43" t="s">
        <v>179</v>
      </c>
      <c r="D506" s="42">
        <v>355</v>
      </c>
      <c r="E506" s="41">
        <v>1.0945641784602103E-2</v>
      </c>
    </row>
    <row r="507" spans="2:5" ht="15" customHeight="1">
      <c r="B507" s="84"/>
      <c r="C507" s="43" t="s">
        <v>129</v>
      </c>
      <c r="D507" s="42">
        <v>9</v>
      </c>
      <c r="E507" s="41">
        <v>2.7749514383498288E-4</v>
      </c>
    </row>
    <row r="508" spans="2:5" ht="15" customHeight="1">
      <c r="B508" s="84"/>
      <c r="C508" s="43" t="s">
        <v>159</v>
      </c>
      <c r="D508" s="42">
        <v>124</v>
      </c>
      <c r="E508" s="41">
        <v>3.8232664261708751E-3</v>
      </c>
    </row>
    <row r="509" spans="2:5" ht="15" customHeight="1">
      <c r="B509" s="84"/>
      <c r="C509" s="43" t="s">
        <v>135</v>
      </c>
      <c r="D509" s="42">
        <v>11</v>
      </c>
      <c r="E509" s="41">
        <v>3.3916073135386795E-4</v>
      </c>
    </row>
    <row r="510" spans="2:5" ht="15" customHeight="1">
      <c r="B510" s="84"/>
      <c r="C510" s="43" t="s">
        <v>168</v>
      </c>
      <c r="D510" s="42">
        <v>222</v>
      </c>
      <c r="E510" s="41">
        <v>6.8448802145962447E-3</v>
      </c>
    </row>
    <row r="511" spans="2:5" ht="15" customHeight="1">
      <c r="B511" s="84"/>
      <c r="C511" s="43" t="s">
        <v>132</v>
      </c>
      <c r="D511" s="42">
        <v>11</v>
      </c>
      <c r="E511" s="41">
        <v>3.3916073135386795E-4</v>
      </c>
    </row>
    <row r="512" spans="2:5" ht="15" customHeight="1">
      <c r="B512" s="84"/>
      <c r="C512" s="43" t="s">
        <v>158</v>
      </c>
      <c r="D512" s="42">
        <v>90</v>
      </c>
      <c r="E512" s="41">
        <v>2.774951438349829E-3</v>
      </c>
    </row>
    <row r="513" spans="2:5" ht="15" customHeight="1">
      <c r="B513" s="84"/>
      <c r="C513" s="43" t="s">
        <v>180</v>
      </c>
      <c r="D513" s="42">
        <v>787</v>
      </c>
      <c r="E513" s="41">
        <v>2.4265408688681281E-2</v>
      </c>
    </row>
    <row r="514" spans="2:5" ht="15" customHeight="1">
      <c r="B514" s="84"/>
      <c r="C514" s="43" t="s">
        <v>126</v>
      </c>
      <c r="D514" s="42">
        <v>2</v>
      </c>
      <c r="E514" s="41">
        <v>6.1665587518885091E-5</v>
      </c>
    </row>
    <row r="515" spans="2:5" ht="15" customHeight="1">
      <c r="B515" s="84"/>
      <c r="C515" s="43" t="s">
        <v>177</v>
      </c>
      <c r="D515" s="42">
        <v>194</v>
      </c>
      <c r="E515" s="41">
        <v>5.9815619893318532E-3</v>
      </c>
    </row>
    <row r="516" spans="2:5" ht="15" customHeight="1">
      <c r="B516" s="84"/>
      <c r="C516" s="43" t="s">
        <v>165</v>
      </c>
      <c r="D516" s="42">
        <v>161</v>
      </c>
      <c r="E516" s="41">
        <v>4.9640797952702495E-3</v>
      </c>
    </row>
    <row r="517" spans="2:5" ht="15" customHeight="1">
      <c r="B517" s="84"/>
      <c r="C517" s="43" t="s">
        <v>171</v>
      </c>
      <c r="D517" s="42">
        <v>288</v>
      </c>
      <c r="E517" s="41">
        <v>8.8798446027194521E-3</v>
      </c>
    </row>
    <row r="518" spans="2:5" ht="15" customHeight="1">
      <c r="B518" s="84"/>
      <c r="C518" s="43" t="s">
        <v>181</v>
      </c>
      <c r="D518" s="42">
        <v>983</v>
      </c>
      <c r="E518" s="41">
        <v>3.030863626553202E-2</v>
      </c>
    </row>
    <row r="519" spans="2:5" ht="15" customHeight="1">
      <c r="B519" s="84"/>
      <c r="C519" s="43" t="s">
        <v>167</v>
      </c>
      <c r="D519" s="42">
        <v>41</v>
      </c>
      <c r="E519" s="41">
        <v>1.2641445441371442E-3</v>
      </c>
    </row>
    <row r="520" spans="2:5" ht="15" customHeight="1">
      <c r="B520" s="84"/>
      <c r="C520" s="43" t="s">
        <v>103</v>
      </c>
      <c r="D520" s="42">
        <v>3</v>
      </c>
      <c r="E520" s="41">
        <v>9.249838127832763E-5</v>
      </c>
    </row>
    <row r="521" spans="2:5" ht="15" customHeight="1">
      <c r="B521" s="84"/>
      <c r="C521" s="43" t="s">
        <v>163</v>
      </c>
      <c r="D521" s="42">
        <v>153</v>
      </c>
      <c r="E521" s="41">
        <v>4.717417445194709E-3</v>
      </c>
    </row>
    <row r="522" spans="2:5" ht="15" customHeight="1">
      <c r="B522" s="84"/>
      <c r="C522" s="43" t="s">
        <v>182</v>
      </c>
      <c r="D522" s="42">
        <v>1196</v>
      </c>
      <c r="E522" s="41">
        <v>3.687602133629328E-2</v>
      </c>
    </row>
    <row r="523" spans="2:5" ht="15" customHeight="1">
      <c r="B523" s="84"/>
      <c r="C523" s="43" t="s">
        <v>137</v>
      </c>
      <c r="D523" s="42">
        <v>10</v>
      </c>
      <c r="E523" s="41">
        <v>3.0832793759442544E-4</v>
      </c>
    </row>
    <row r="524" spans="2:5" ht="15" customHeight="1">
      <c r="B524" s="84"/>
      <c r="C524" s="43" t="s">
        <v>151</v>
      </c>
      <c r="D524" s="42">
        <v>147</v>
      </c>
      <c r="E524" s="41">
        <v>4.5324206826380534E-3</v>
      </c>
    </row>
    <row r="525" spans="2:5" ht="15" customHeight="1">
      <c r="B525" s="84"/>
      <c r="C525" s="43" t="s">
        <v>134</v>
      </c>
      <c r="D525" s="42">
        <v>20</v>
      </c>
      <c r="E525" s="41">
        <v>6.1665587518885089E-4</v>
      </c>
    </row>
    <row r="526" spans="2:5" ht="15" customHeight="1">
      <c r="B526" s="84"/>
      <c r="C526" s="43" t="s">
        <v>150</v>
      </c>
      <c r="D526" s="42">
        <v>47</v>
      </c>
      <c r="E526" s="41">
        <v>1.4491413066937996E-3</v>
      </c>
    </row>
    <row r="527" spans="2:5" ht="15" customHeight="1">
      <c r="B527" s="84"/>
      <c r="C527" s="43" t="s">
        <v>175</v>
      </c>
      <c r="D527" s="42">
        <v>215</v>
      </c>
      <c r="E527" s="41">
        <v>6.6290506582801466E-3</v>
      </c>
    </row>
    <row r="528" spans="2:5" ht="15" customHeight="1">
      <c r="B528" s="84"/>
      <c r="C528" s="43" t="s">
        <v>157</v>
      </c>
      <c r="D528" s="42">
        <v>12</v>
      </c>
      <c r="E528" s="41">
        <v>3.6999352511331052E-4</v>
      </c>
    </row>
    <row r="529" spans="2:5" ht="15" customHeight="1">
      <c r="B529" s="84"/>
      <c r="C529" s="43" t="s">
        <v>143</v>
      </c>
      <c r="D529" s="42">
        <v>42</v>
      </c>
      <c r="E529" s="41">
        <v>1.2949773378965869E-3</v>
      </c>
    </row>
    <row r="530" spans="2:5" ht="15" customHeight="1">
      <c r="B530" s="84"/>
      <c r="C530" s="43" t="s">
        <v>169</v>
      </c>
      <c r="D530" s="42">
        <v>180</v>
      </c>
      <c r="E530" s="41">
        <v>5.549902876699658E-3</v>
      </c>
    </row>
    <row r="531" spans="2:5" ht="15" customHeight="1">
      <c r="B531" s="84"/>
      <c r="C531" s="43" t="s">
        <v>160</v>
      </c>
      <c r="D531" s="42">
        <v>73</v>
      </c>
      <c r="E531" s="41">
        <v>2.2507939444393055E-3</v>
      </c>
    </row>
    <row r="532" spans="2:5" ht="15" customHeight="1">
      <c r="B532" s="84"/>
      <c r="C532" s="43" t="s">
        <v>131</v>
      </c>
      <c r="D532" s="42">
        <v>4</v>
      </c>
      <c r="E532" s="41">
        <v>1.2333117503777018E-4</v>
      </c>
    </row>
    <row r="533" spans="2:5" ht="15" customHeight="1">
      <c r="B533" s="84"/>
      <c r="C533" s="43" t="s">
        <v>133</v>
      </c>
      <c r="D533" s="42">
        <v>4</v>
      </c>
      <c r="E533" s="41">
        <v>1.2333117503777018E-4</v>
      </c>
    </row>
    <row r="534" spans="2:5" ht="15" customHeight="1">
      <c r="B534" s="84"/>
      <c r="C534" s="43" t="s">
        <v>147</v>
      </c>
      <c r="D534" s="42">
        <v>67</v>
      </c>
      <c r="E534" s="41">
        <v>2.0657971818826503E-3</v>
      </c>
    </row>
    <row r="535" spans="2:5" ht="15" customHeight="1">
      <c r="B535" s="84"/>
      <c r="C535" s="43" t="s">
        <v>128</v>
      </c>
      <c r="D535" s="42">
        <v>4</v>
      </c>
      <c r="E535" s="41">
        <v>1.2333117503777018E-4</v>
      </c>
    </row>
    <row r="536" spans="2:5" ht="15" customHeight="1">
      <c r="B536" s="84"/>
      <c r="C536" s="43" t="s">
        <v>130</v>
      </c>
      <c r="D536" s="42">
        <v>8</v>
      </c>
      <c r="E536" s="41">
        <v>2.4666235007554037E-4</v>
      </c>
    </row>
    <row r="537" spans="2:5" ht="15" customHeight="1">
      <c r="B537" s="84"/>
      <c r="C537" s="43" t="s">
        <v>139</v>
      </c>
      <c r="D537" s="42">
        <v>21</v>
      </c>
      <c r="E537" s="41">
        <v>6.4748866894829345E-4</v>
      </c>
    </row>
    <row r="538" spans="2:5" ht="15" customHeight="1">
      <c r="B538" s="84"/>
      <c r="C538" s="43" t="s">
        <v>153</v>
      </c>
      <c r="D538" s="42">
        <v>129</v>
      </c>
      <c r="E538" s="41">
        <v>3.9774303949680883E-3</v>
      </c>
    </row>
    <row r="539" spans="2:5" ht="15" customHeight="1">
      <c r="B539" s="84"/>
      <c r="C539" s="43" t="s">
        <v>141</v>
      </c>
      <c r="D539" s="42">
        <v>24</v>
      </c>
      <c r="E539" s="41">
        <v>7.3998705022662104E-4</v>
      </c>
    </row>
    <row r="540" spans="2:5" ht="15" customHeight="1">
      <c r="B540" s="84"/>
      <c r="C540" s="43" t="s">
        <v>149</v>
      </c>
      <c r="D540" s="42">
        <v>178</v>
      </c>
      <c r="E540" s="41">
        <v>5.4882372891807731E-3</v>
      </c>
    </row>
    <row r="541" spans="2:5" ht="15" customHeight="1">
      <c r="B541" s="84"/>
      <c r="C541" s="43" t="s">
        <v>146</v>
      </c>
      <c r="D541" s="42">
        <v>29</v>
      </c>
      <c r="E541" s="41">
        <v>8.9415101902383376E-4</v>
      </c>
    </row>
    <row r="542" spans="2:5" ht="15" customHeight="1">
      <c r="B542" s="84"/>
      <c r="C542" s="43" t="s">
        <v>144</v>
      </c>
      <c r="D542" s="42">
        <v>38</v>
      </c>
      <c r="E542" s="41">
        <v>1.1716461628588166E-3</v>
      </c>
    </row>
    <row r="543" spans="2:5" ht="15" customHeight="1">
      <c r="B543" s="84"/>
      <c r="C543" s="43" t="s">
        <v>155</v>
      </c>
      <c r="D543" s="42">
        <v>206</v>
      </c>
      <c r="E543" s="41">
        <v>6.3515555144451636E-3</v>
      </c>
    </row>
    <row r="544" spans="2:5" ht="15" customHeight="1">
      <c r="B544" s="84"/>
      <c r="C544" s="43" t="s">
        <v>138</v>
      </c>
      <c r="D544" s="42">
        <v>31</v>
      </c>
      <c r="E544" s="41">
        <v>9.5581660654271879E-4</v>
      </c>
    </row>
    <row r="545" spans="2:5" ht="15" customHeight="1">
      <c r="B545" s="84"/>
      <c r="C545" s="43" t="s">
        <v>173</v>
      </c>
      <c r="D545" s="42">
        <v>113</v>
      </c>
      <c r="E545" s="41">
        <v>3.4841056948170072E-3</v>
      </c>
    </row>
    <row r="546" spans="2:5" ht="15" customHeight="1">
      <c r="B546" s="84"/>
      <c r="C546" s="43" t="s">
        <v>154</v>
      </c>
      <c r="D546" s="42">
        <v>72</v>
      </c>
      <c r="E546" s="41">
        <v>2.219961150679863E-3</v>
      </c>
    </row>
    <row r="547" spans="2:5" ht="15" customHeight="1">
      <c r="B547" s="84"/>
      <c r="C547" s="43" t="s">
        <v>162</v>
      </c>
      <c r="D547" s="42">
        <v>54</v>
      </c>
      <c r="E547" s="41">
        <v>1.6649708630098973E-3</v>
      </c>
    </row>
    <row r="548" spans="2:5" ht="15" customHeight="1">
      <c r="B548" s="84"/>
      <c r="C548" s="43" t="s">
        <v>161</v>
      </c>
      <c r="D548" s="42">
        <v>107</v>
      </c>
      <c r="E548" s="41">
        <v>3.2991089322603521E-3</v>
      </c>
    </row>
    <row r="549" spans="2:5" ht="15" customHeight="1">
      <c r="B549" s="84"/>
      <c r="C549" s="43" t="s">
        <v>166</v>
      </c>
      <c r="D549" s="42">
        <v>148</v>
      </c>
      <c r="E549" s="41">
        <v>4.5632534763974967E-3</v>
      </c>
    </row>
    <row r="550" spans="2:5" ht="15" customHeight="1">
      <c r="B550" s="84"/>
      <c r="C550" s="43" t="s">
        <v>145</v>
      </c>
      <c r="D550" s="42">
        <v>31</v>
      </c>
      <c r="E550" s="41">
        <v>9.5581660654271879E-4</v>
      </c>
    </row>
    <row r="551" spans="2:5" ht="15" customHeight="1">
      <c r="B551" s="85"/>
      <c r="C551" s="40" t="s">
        <v>23</v>
      </c>
      <c r="D551" s="39">
        <v>8494</v>
      </c>
      <c r="E551" s="38">
        <v>0.26189375019270494</v>
      </c>
    </row>
    <row r="552" spans="2:5" ht="15" customHeight="1">
      <c r="B552" s="83" t="s">
        <v>105</v>
      </c>
      <c r="C552" s="43" t="s">
        <v>172</v>
      </c>
      <c r="D552" s="42">
        <v>5</v>
      </c>
      <c r="E552" s="41">
        <v>1.5416396879721272E-4</v>
      </c>
    </row>
    <row r="553" spans="2:5" ht="15" customHeight="1">
      <c r="B553" s="84"/>
      <c r="C553" s="43" t="s">
        <v>148</v>
      </c>
      <c r="D553" s="42">
        <v>7</v>
      </c>
      <c r="E553" s="41">
        <v>2.158295563160978E-4</v>
      </c>
    </row>
    <row r="554" spans="2:5" ht="15" customHeight="1">
      <c r="B554" s="84"/>
      <c r="C554" s="43" t="s">
        <v>152</v>
      </c>
      <c r="D554" s="42">
        <v>3</v>
      </c>
      <c r="E554" s="41">
        <v>9.249838127832763E-5</v>
      </c>
    </row>
    <row r="555" spans="2:5" ht="15" customHeight="1">
      <c r="B555" s="84"/>
      <c r="C555" s="43" t="s">
        <v>170</v>
      </c>
      <c r="D555" s="42">
        <v>5</v>
      </c>
      <c r="E555" s="41">
        <v>1.5416396879721272E-4</v>
      </c>
    </row>
    <row r="556" spans="2:5" ht="15" customHeight="1">
      <c r="B556" s="84"/>
      <c r="C556" s="43" t="s">
        <v>140</v>
      </c>
      <c r="D556" s="42">
        <v>6</v>
      </c>
      <c r="E556" s="41">
        <v>1.8499676255665526E-4</v>
      </c>
    </row>
    <row r="557" spans="2:5" ht="15" customHeight="1">
      <c r="B557" s="84"/>
      <c r="C557" s="43" t="s">
        <v>156</v>
      </c>
      <c r="D557" s="42">
        <v>2</v>
      </c>
      <c r="E557" s="41">
        <v>6.1665587518885091E-5</v>
      </c>
    </row>
    <row r="558" spans="2:5" ht="15" customHeight="1">
      <c r="B558" s="84"/>
      <c r="C558" s="43" t="s">
        <v>174</v>
      </c>
      <c r="D558" s="42">
        <v>4</v>
      </c>
      <c r="E558" s="41">
        <v>1.2333117503777018E-4</v>
      </c>
    </row>
    <row r="559" spans="2:5" ht="15" customHeight="1">
      <c r="B559" s="84"/>
      <c r="C559" s="43" t="s">
        <v>164</v>
      </c>
      <c r="D559" s="42">
        <v>8</v>
      </c>
      <c r="E559" s="41">
        <v>2.4666235007554037E-4</v>
      </c>
    </row>
    <row r="560" spans="2:5" ht="15" customHeight="1">
      <c r="B560" s="84"/>
      <c r="C560" s="43" t="s">
        <v>176</v>
      </c>
      <c r="D560" s="42">
        <v>11</v>
      </c>
      <c r="E560" s="41">
        <v>3.3916073135386795E-4</v>
      </c>
    </row>
    <row r="561" spans="2:5" ht="15" customHeight="1">
      <c r="B561" s="84"/>
      <c r="C561" s="43" t="s">
        <v>178</v>
      </c>
      <c r="D561" s="42">
        <v>3</v>
      </c>
      <c r="E561" s="41">
        <v>9.249838127832763E-5</v>
      </c>
    </row>
    <row r="562" spans="2:5" ht="15" customHeight="1">
      <c r="B562" s="84"/>
      <c r="C562" s="43" t="s">
        <v>179</v>
      </c>
      <c r="D562" s="42">
        <v>29</v>
      </c>
      <c r="E562" s="41">
        <v>8.9415101902383376E-4</v>
      </c>
    </row>
    <row r="563" spans="2:5" ht="15" customHeight="1">
      <c r="B563" s="84"/>
      <c r="C563" s="43" t="s">
        <v>159</v>
      </c>
      <c r="D563" s="42">
        <v>5</v>
      </c>
      <c r="E563" s="41">
        <v>1.5416396879721272E-4</v>
      </c>
    </row>
    <row r="564" spans="2:5" ht="15" customHeight="1">
      <c r="B564" s="84"/>
      <c r="C564" s="43" t="s">
        <v>168</v>
      </c>
      <c r="D564" s="42">
        <v>9</v>
      </c>
      <c r="E564" s="41">
        <v>2.7749514383498288E-4</v>
      </c>
    </row>
    <row r="565" spans="2:5" ht="15" customHeight="1">
      <c r="B565" s="84"/>
      <c r="C565" s="43" t="s">
        <v>158</v>
      </c>
      <c r="D565" s="42">
        <v>3</v>
      </c>
      <c r="E565" s="41">
        <v>9.249838127832763E-5</v>
      </c>
    </row>
    <row r="566" spans="2:5" ht="15" customHeight="1">
      <c r="B566" s="84"/>
      <c r="C566" s="43" t="s">
        <v>180</v>
      </c>
      <c r="D566" s="42">
        <v>9</v>
      </c>
      <c r="E566" s="41">
        <v>2.7749514383498288E-4</v>
      </c>
    </row>
    <row r="567" spans="2:5" ht="15" customHeight="1">
      <c r="B567" s="84"/>
      <c r="C567" s="43" t="s">
        <v>177</v>
      </c>
      <c r="D567" s="42">
        <v>3</v>
      </c>
      <c r="E567" s="41">
        <v>9.249838127832763E-5</v>
      </c>
    </row>
    <row r="568" spans="2:5" ht="15" customHeight="1">
      <c r="B568" s="84"/>
      <c r="C568" s="43" t="s">
        <v>165</v>
      </c>
      <c r="D568" s="42">
        <v>15</v>
      </c>
      <c r="E568" s="41">
        <v>4.6249190639163816E-4</v>
      </c>
    </row>
    <row r="569" spans="2:5" ht="15" customHeight="1">
      <c r="B569" s="84"/>
      <c r="C569" s="43" t="s">
        <v>171</v>
      </c>
      <c r="D569" s="42">
        <v>8</v>
      </c>
      <c r="E569" s="41">
        <v>2.4666235007554037E-4</v>
      </c>
    </row>
    <row r="570" spans="2:5" ht="15" customHeight="1">
      <c r="B570" s="84"/>
      <c r="C570" s="43" t="s">
        <v>181</v>
      </c>
      <c r="D570" s="42">
        <v>23</v>
      </c>
      <c r="E570" s="41">
        <v>7.0915425646717847E-4</v>
      </c>
    </row>
    <row r="571" spans="2:5" ht="15" customHeight="1">
      <c r="B571" s="84"/>
      <c r="C571" s="43" t="s">
        <v>167</v>
      </c>
      <c r="D571" s="42">
        <v>76</v>
      </c>
      <c r="E571" s="41">
        <v>2.3432923257176333E-3</v>
      </c>
    </row>
    <row r="572" spans="2:5" ht="15" customHeight="1">
      <c r="B572" s="84"/>
      <c r="C572" s="43" t="s">
        <v>182</v>
      </c>
      <c r="D572" s="42">
        <v>72</v>
      </c>
      <c r="E572" s="41">
        <v>2.219961150679863E-3</v>
      </c>
    </row>
    <row r="573" spans="2:5" ht="15" customHeight="1">
      <c r="B573" s="84"/>
      <c r="C573" s="43" t="s">
        <v>137</v>
      </c>
      <c r="D573" s="42">
        <v>1</v>
      </c>
      <c r="E573" s="41">
        <v>3.0832793759442546E-5</v>
      </c>
    </row>
    <row r="574" spans="2:5" ht="15" customHeight="1">
      <c r="B574" s="84"/>
      <c r="C574" s="43" t="s">
        <v>151</v>
      </c>
      <c r="D574" s="42">
        <v>2</v>
      </c>
      <c r="E574" s="41">
        <v>6.1665587518885091E-5</v>
      </c>
    </row>
    <row r="575" spans="2:5" ht="15" customHeight="1">
      <c r="B575" s="84"/>
      <c r="C575" s="43" t="s">
        <v>150</v>
      </c>
      <c r="D575" s="42">
        <v>7</v>
      </c>
      <c r="E575" s="41">
        <v>2.158295563160978E-4</v>
      </c>
    </row>
    <row r="576" spans="2:5" ht="15" customHeight="1">
      <c r="B576" s="84"/>
      <c r="C576" s="43" t="s">
        <v>175</v>
      </c>
      <c r="D576" s="42">
        <v>10</v>
      </c>
      <c r="E576" s="41">
        <v>3.0832793759442544E-4</v>
      </c>
    </row>
    <row r="577" spans="2:5" ht="15" customHeight="1">
      <c r="B577" s="84"/>
      <c r="C577" s="43" t="s">
        <v>157</v>
      </c>
      <c r="D577" s="42">
        <v>4</v>
      </c>
      <c r="E577" s="41">
        <v>1.2333117503777018E-4</v>
      </c>
    </row>
    <row r="578" spans="2:5" ht="15" customHeight="1">
      <c r="B578" s="84"/>
      <c r="C578" s="43" t="s">
        <v>143</v>
      </c>
      <c r="D578" s="42">
        <v>1</v>
      </c>
      <c r="E578" s="41">
        <v>3.0832793759442546E-5</v>
      </c>
    </row>
    <row r="579" spans="2:5" ht="15" customHeight="1">
      <c r="B579" s="84"/>
      <c r="C579" s="43" t="s">
        <v>169</v>
      </c>
      <c r="D579" s="42">
        <v>17</v>
      </c>
      <c r="E579" s="41">
        <v>5.2415749391052319E-4</v>
      </c>
    </row>
    <row r="580" spans="2:5" ht="15" customHeight="1">
      <c r="B580" s="84"/>
      <c r="C580" s="43" t="s">
        <v>160</v>
      </c>
      <c r="D580" s="42">
        <v>8</v>
      </c>
      <c r="E580" s="41">
        <v>2.4666235007554037E-4</v>
      </c>
    </row>
    <row r="581" spans="2:5" ht="15" customHeight="1">
      <c r="B581" s="84"/>
      <c r="C581" s="43" t="s">
        <v>131</v>
      </c>
      <c r="D581" s="42">
        <v>1</v>
      </c>
      <c r="E581" s="41">
        <v>3.0832793759442546E-5</v>
      </c>
    </row>
    <row r="582" spans="2:5" ht="15" customHeight="1">
      <c r="B582" s="84"/>
      <c r="C582" s="43" t="s">
        <v>133</v>
      </c>
      <c r="D582" s="42">
        <v>1</v>
      </c>
      <c r="E582" s="41">
        <v>3.0832793759442546E-5</v>
      </c>
    </row>
    <row r="583" spans="2:5" ht="15" customHeight="1">
      <c r="B583" s="84"/>
      <c r="C583" s="43" t="s">
        <v>147</v>
      </c>
      <c r="D583" s="42">
        <v>6</v>
      </c>
      <c r="E583" s="41">
        <v>1.8499676255665526E-4</v>
      </c>
    </row>
    <row r="584" spans="2:5" ht="15" customHeight="1">
      <c r="B584" s="84"/>
      <c r="C584" s="43" t="s">
        <v>139</v>
      </c>
      <c r="D584" s="42">
        <v>1</v>
      </c>
      <c r="E584" s="41">
        <v>3.0832793759442546E-5</v>
      </c>
    </row>
    <row r="585" spans="2:5" ht="15" customHeight="1">
      <c r="B585" s="84"/>
      <c r="C585" s="43" t="s">
        <v>153</v>
      </c>
      <c r="D585" s="42">
        <v>3</v>
      </c>
      <c r="E585" s="41">
        <v>9.249838127832763E-5</v>
      </c>
    </row>
    <row r="586" spans="2:5" ht="15" customHeight="1">
      <c r="B586" s="84"/>
      <c r="C586" s="43" t="s">
        <v>141</v>
      </c>
      <c r="D586" s="42">
        <v>1</v>
      </c>
      <c r="E586" s="41">
        <v>3.0832793759442546E-5</v>
      </c>
    </row>
    <row r="587" spans="2:5" ht="15" customHeight="1">
      <c r="B587" s="84"/>
      <c r="C587" s="43" t="s">
        <v>149</v>
      </c>
      <c r="D587" s="42">
        <v>1</v>
      </c>
      <c r="E587" s="41">
        <v>3.0832793759442546E-5</v>
      </c>
    </row>
    <row r="588" spans="2:5" ht="15" customHeight="1">
      <c r="B588" s="84"/>
      <c r="C588" s="43" t="s">
        <v>146</v>
      </c>
      <c r="D588" s="42">
        <v>9</v>
      </c>
      <c r="E588" s="41">
        <v>2.7749514383498288E-4</v>
      </c>
    </row>
    <row r="589" spans="2:5" ht="15" customHeight="1">
      <c r="B589" s="84"/>
      <c r="C589" s="43" t="s">
        <v>144</v>
      </c>
      <c r="D589" s="42">
        <v>9</v>
      </c>
      <c r="E589" s="41">
        <v>2.7749514383498288E-4</v>
      </c>
    </row>
    <row r="590" spans="2:5" ht="15" customHeight="1">
      <c r="B590" s="84"/>
      <c r="C590" s="43" t="s">
        <v>155</v>
      </c>
      <c r="D590" s="42">
        <v>2</v>
      </c>
      <c r="E590" s="41">
        <v>6.1665587518885091E-5</v>
      </c>
    </row>
    <row r="591" spans="2:5" ht="15" customHeight="1">
      <c r="B591" s="84"/>
      <c r="C591" s="43" t="s">
        <v>138</v>
      </c>
      <c r="D591" s="42">
        <v>1</v>
      </c>
      <c r="E591" s="41">
        <v>3.0832793759442546E-5</v>
      </c>
    </row>
    <row r="592" spans="2:5" ht="15" customHeight="1">
      <c r="B592" s="84"/>
      <c r="C592" s="43" t="s">
        <v>173</v>
      </c>
      <c r="D592" s="42">
        <v>51</v>
      </c>
      <c r="E592" s="41">
        <v>1.5724724817315697E-3</v>
      </c>
    </row>
    <row r="593" spans="2:5" ht="15" customHeight="1">
      <c r="B593" s="84"/>
      <c r="C593" s="43" t="s">
        <v>154</v>
      </c>
      <c r="D593" s="42">
        <v>2</v>
      </c>
      <c r="E593" s="41">
        <v>6.1665587518885091E-5</v>
      </c>
    </row>
    <row r="594" spans="2:5" ht="15" customHeight="1">
      <c r="B594" s="84"/>
      <c r="C594" s="43" t="s">
        <v>162</v>
      </c>
      <c r="D594" s="42">
        <v>4</v>
      </c>
      <c r="E594" s="41">
        <v>1.2333117503777018E-4</v>
      </c>
    </row>
    <row r="595" spans="2:5" ht="15" customHeight="1">
      <c r="B595" s="84"/>
      <c r="C595" s="43" t="s">
        <v>166</v>
      </c>
      <c r="D595" s="42">
        <v>4</v>
      </c>
      <c r="E595" s="41">
        <v>1.2333117503777018E-4</v>
      </c>
    </row>
    <row r="596" spans="2:5" ht="15" customHeight="1">
      <c r="B596" s="84"/>
      <c r="C596" s="43" t="s">
        <v>145</v>
      </c>
      <c r="D596" s="42">
        <v>2</v>
      </c>
      <c r="E596" s="41">
        <v>6.1665587518885091E-5</v>
      </c>
    </row>
    <row r="597" spans="2:5" ht="15" customHeight="1">
      <c r="B597" s="85"/>
      <c r="C597" s="40" t="s">
        <v>23</v>
      </c>
      <c r="D597" s="39">
        <v>454</v>
      </c>
      <c r="E597" s="38">
        <v>1.3998088366786914E-2</v>
      </c>
    </row>
    <row r="598" spans="2:5" ht="15" customHeight="1">
      <c r="B598" s="83" t="s">
        <v>100</v>
      </c>
      <c r="C598" s="43" t="s">
        <v>172</v>
      </c>
      <c r="D598" s="42">
        <v>2</v>
      </c>
      <c r="E598" s="41">
        <v>6.1665587518885091E-5</v>
      </c>
    </row>
    <row r="599" spans="2:5" ht="15" customHeight="1">
      <c r="B599" s="84"/>
      <c r="C599" s="43" t="s">
        <v>152</v>
      </c>
      <c r="D599" s="42">
        <v>4</v>
      </c>
      <c r="E599" s="41">
        <v>1.2333117503777018E-4</v>
      </c>
    </row>
    <row r="600" spans="2:5" ht="15" customHeight="1">
      <c r="B600" s="84"/>
      <c r="C600" s="43" t="s">
        <v>136</v>
      </c>
      <c r="D600" s="42">
        <v>2</v>
      </c>
      <c r="E600" s="41">
        <v>6.1665587518885091E-5</v>
      </c>
    </row>
    <row r="601" spans="2:5" ht="15" customHeight="1">
      <c r="B601" s="84"/>
      <c r="C601" s="43" t="s">
        <v>170</v>
      </c>
      <c r="D601" s="42">
        <v>8</v>
      </c>
      <c r="E601" s="41">
        <v>2.4666235007554037E-4</v>
      </c>
    </row>
    <row r="602" spans="2:5" ht="15" customHeight="1">
      <c r="B602" s="84"/>
      <c r="C602" s="43" t="s">
        <v>156</v>
      </c>
      <c r="D602" s="42">
        <v>6</v>
      </c>
      <c r="E602" s="41">
        <v>1.8499676255665526E-4</v>
      </c>
    </row>
    <row r="603" spans="2:5" ht="15" customHeight="1">
      <c r="B603" s="84"/>
      <c r="C603" s="43" t="s">
        <v>174</v>
      </c>
      <c r="D603" s="42">
        <v>8</v>
      </c>
      <c r="E603" s="41">
        <v>2.4666235007554037E-4</v>
      </c>
    </row>
    <row r="604" spans="2:5" ht="15" customHeight="1">
      <c r="B604" s="84"/>
      <c r="C604" s="43" t="s">
        <v>127</v>
      </c>
      <c r="D604" s="42">
        <v>2</v>
      </c>
      <c r="E604" s="41">
        <v>6.1665587518885091E-5</v>
      </c>
    </row>
    <row r="605" spans="2:5" ht="15" customHeight="1">
      <c r="B605" s="84"/>
      <c r="C605" s="43" t="s">
        <v>164</v>
      </c>
      <c r="D605" s="42">
        <v>4</v>
      </c>
      <c r="E605" s="41">
        <v>1.2333117503777018E-4</v>
      </c>
    </row>
    <row r="606" spans="2:5" ht="15" customHeight="1">
      <c r="B606" s="84"/>
      <c r="C606" s="43" t="s">
        <v>176</v>
      </c>
      <c r="D606" s="42">
        <v>3</v>
      </c>
      <c r="E606" s="41">
        <v>9.249838127832763E-5</v>
      </c>
    </row>
    <row r="607" spans="2:5" ht="15" customHeight="1">
      <c r="B607" s="84"/>
      <c r="C607" s="43" t="s">
        <v>178</v>
      </c>
      <c r="D607" s="42">
        <v>10</v>
      </c>
      <c r="E607" s="41">
        <v>3.0832793759442544E-4</v>
      </c>
    </row>
    <row r="608" spans="2:5" ht="15" customHeight="1">
      <c r="B608" s="84"/>
      <c r="C608" s="43" t="s">
        <v>179</v>
      </c>
      <c r="D608" s="42">
        <v>7</v>
      </c>
      <c r="E608" s="41">
        <v>2.158295563160978E-4</v>
      </c>
    </row>
    <row r="609" spans="2:5" ht="15" customHeight="1">
      <c r="B609" s="84"/>
      <c r="C609" s="43" t="s">
        <v>159</v>
      </c>
      <c r="D609" s="42">
        <v>6</v>
      </c>
      <c r="E609" s="41">
        <v>1.8499676255665526E-4</v>
      </c>
    </row>
    <row r="610" spans="2:5" ht="15" customHeight="1">
      <c r="B610" s="84"/>
      <c r="C610" s="43" t="s">
        <v>168</v>
      </c>
      <c r="D610" s="42">
        <v>2</v>
      </c>
      <c r="E610" s="41">
        <v>6.1665587518885091E-5</v>
      </c>
    </row>
    <row r="611" spans="2:5" ht="15" customHeight="1">
      <c r="B611" s="84"/>
      <c r="C611" s="43" t="s">
        <v>132</v>
      </c>
      <c r="D611" s="42">
        <v>2</v>
      </c>
      <c r="E611" s="41">
        <v>6.1665587518885091E-5</v>
      </c>
    </row>
    <row r="612" spans="2:5" ht="15" customHeight="1">
      <c r="B612" s="84"/>
      <c r="C612" s="43" t="s">
        <v>158</v>
      </c>
      <c r="D612" s="42">
        <v>2</v>
      </c>
      <c r="E612" s="41">
        <v>6.1665587518885091E-5</v>
      </c>
    </row>
    <row r="613" spans="2:5" ht="15" customHeight="1">
      <c r="B613" s="84"/>
      <c r="C613" s="43" t="s">
        <v>180</v>
      </c>
      <c r="D613" s="42">
        <v>3</v>
      </c>
      <c r="E613" s="41">
        <v>9.249838127832763E-5</v>
      </c>
    </row>
    <row r="614" spans="2:5" ht="15" customHeight="1">
      <c r="B614" s="84"/>
      <c r="C614" s="43" t="s">
        <v>177</v>
      </c>
      <c r="D614" s="42">
        <v>8</v>
      </c>
      <c r="E614" s="41">
        <v>2.4666235007554037E-4</v>
      </c>
    </row>
    <row r="615" spans="2:5" ht="15" customHeight="1">
      <c r="B615" s="84"/>
      <c r="C615" s="43" t="s">
        <v>171</v>
      </c>
      <c r="D615" s="42">
        <v>1</v>
      </c>
      <c r="E615" s="41">
        <v>3.0832793759442546E-5</v>
      </c>
    </row>
    <row r="616" spans="2:5" ht="15" customHeight="1">
      <c r="B616" s="84"/>
      <c r="C616" s="43" t="s">
        <v>181</v>
      </c>
      <c r="D616" s="42">
        <v>59</v>
      </c>
      <c r="E616" s="41">
        <v>1.81913483180711E-3</v>
      </c>
    </row>
    <row r="617" spans="2:5" ht="15" customHeight="1">
      <c r="B617" s="84"/>
      <c r="C617" s="43" t="s">
        <v>167</v>
      </c>
      <c r="D617" s="42">
        <v>26</v>
      </c>
      <c r="E617" s="41">
        <v>8.0165263774550617E-4</v>
      </c>
    </row>
    <row r="618" spans="2:5" ht="15" customHeight="1">
      <c r="B618" s="84"/>
      <c r="C618" s="43" t="s">
        <v>163</v>
      </c>
      <c r="D618" s="42">
        <v>6</v>
      </c>
      <c r="E618" s="41">
        <v>1.8499676255665526E-4</v>
      </c>
    </row>
    <row r="619" spans="2:5" ht="15" customHeight="1">
      <c r="B619" s="84"/>
      <c r="C619" s="43" t="s">
        <v>182</v>
      </c>
      <c r="D619" s="42">
        <v>78</v>
      </c>
      <c r="E619" s="41">
        <v>2.4049579132365182E-3</v>
      </c>
    </row>
    <row r="620" spans="2:5" ht="15" customHeight="1">
      <c r="B620" s="84"/>
      <c r="C620" s="43" t="s">
        <v>137</v>
      </c>
      <c r="D620" s="42">
        <v>3</v>
      </c>
      <c r="E620" s="41">
        <v>9.249838127832763E-5</v>
      </c>
    </row>
    <row r="621" spans="2:5" ht="15" customHeight="1">
      <c r="B621" s="84"/>
      <c r="C621" s="43" t="s">
        <v>151</v>
      </c>
      <c r="D621" s="42">
        <v>2</v>
      </c>
      <c r="E621" s="41">
        <v>6.1665587518885091E-5</v>
      </c>
    </row>
    <row r="622" spans="2:5" ht="15" customHeight="1">
      <c r="B622" s="84"/>
      <c r="C622" s="43" t="s">
        <v>175</v>
      </c>
      <c r="D622" s="42">
        <v>23</v>
      </c>
      <c r="E622" s="41">
        <v>7.0915425646717847E-4</v>
      </c>
    </row>
    <row r="623" spans="2:5" ht="15" customHeight="1">
      <c r="B623" s="84"/>
      <c r="C623" s="43" t="s">
        <v>157</v>
      </c>
      <c r="D623" s="42">
        <v>1</v>
      </c>
      <c r="E623" s="41">
        <v>3.0832793759442546E-5</v>
      </c>
    </row>
    <row r="624" spans="2:5" ht="15" customHeight="1">
      <c r="B624" s="84"/>
      <c r="C624" s="43" t="s">
        <v>169</v>
      </c>
      <c r="D624" s="42">
        <v>8</v>
      </c>
      <c r="E624" s="41">
        <v>2.4666235007554037E-4</v>
      </c>
    </row>
    <row r="625" spans="2:5" ht="15" customHeight="1">
      <c r="B625" s="84"/>
      <c r="C625" s="43" t="s">
        <v>160</v>
      </c>
      <c r="D625" s="42">
        <v>7</v>
      </c>
      <c r="E625" s="41">
        <v>2.158295563160978E-4</v>
      </c>
    </row>
    <row r="626" spans="2:5" ht="15" customHeight="1">
      <c r="B626" s="84"/>
      <c r="C626" s="43" t="s">
        <v>131</v>
      </c>
      <c r="D626" s="42">
        <v>1</v>
      </c>
      <c r="E626" s="41">
        <v>3.0832793759442546E-5</v>
      </c>
    </row>
    <row r="627" spans="2:5" ht="15" customHeight="1">
      <c r="B627" s="84"/>
      <c r="C627" s="43" t="s">
        <v>147</v>
      </c>
      <c r="D627" s="42">
        <v>1</v>
      </c>
      <c r="E627" s="41">
        <v>3.0832793759442546E-5</v>
      </c>
    </row>
    <row r="628" spans="2:5" ht="15" customHeight="1">
      <c r="B628" s="84"/>
      <c r="C628" s="43" t="s">
        <v>153</v>
      </c>
      <c r="D628" s="42">
        <v>11</v>
      </c>
      <c r="E628" s="41">
        <v>3.3916073135386795E-4</v>
      </c>
    </row>
    <row r="629" spans="2:5" ht="15" customHeight="1">
      <c r="B629" s="84"/>
      <c r="C629" s="43" t="s">
        <v>144</v>
      </c>
      <c r="D629" s="42">
        <v>1</v>
      </c>
      <c r="E629" s="41">
        <v>3.0832793759442546E-5</v>
      </c>
    </row>
    <row r="630" spans="2:5" ht="15" customHeight="1">
      <c r="B630" s="84"/>
      <c r="C630" s="43" t="s">
        <v>173</v>
      </c>
      <c r="D630" s="42">
        <v>14</v>
      </c>
      <c r="E630" s="41">
        <v>4.316591126321956E-4</v>
      </c>
    </row>
    <row r="631" spans="2:5" ht="15" customHeight="1">
      <c r="B631" s="84"/>
      <c r="C631" s="43" t="s">
        <v>154</v>
      </c>
      <c r="D631" s="42">
        <v>2</v>
      </c>
      <c r="E631" s="41">
        <v>6.1665587518885091E-5</v>
      </c>
    </row>
    <row r="632" spans="2:5" ht="15" customHeight="1">
      <c r="B632" s="84"/>
      <c r="C632" s="43" t="s">
        <v>161</v>
      </c>
      <c r="D632" s="42">
        <v>2</v>
      </c>
      <c r="E632" s="41">
        <v>6.1665587518885091E-5</v>
      </c>
    </row>
    <row r="633" spans="2:5" ht="15" customHeight="1">
      <c r="B633" s="84"/>
      <c r="C633" s="43" t="s">
        <v>166</v>
      </c>
      <c r="D633" s="42">
        <v>19</v>
      </c>
      <c r="E633" s="41">
        <v>5.8582308142940832E-4</v>
      </c>
    </row>
    <row r="634" spans="2:5" ht="15" customHeight="1">
      <c r="B634" s="84"/>
      <c r="C634" s="43" t="s">
        <v>145</v>
      </c>
      <c r="D634" s="42">
        <v>15</v>
      </c>
      <c r="E634" s="41">
        <v>4.6249190639163816E-4</v>
      </c>
    </row>
    <row r="635" spans="2:5" ht="15" customHeight="1">
      <c r="B635" s="85"/>
      <c r="C635" s="40" t="s">
        <v>23</v>
      </c>
      <c r="D635" s="39">
        <v>359</v>
      </c>
      <c r="E635" s="38">
        <v>1.1068972959639873E-2</v>
      </c>
    </row>
    <row r="636" spans="2:5" ht="15" customHeight="1">
      <c r="B636" s="83" t="s">
        <v>84</v>
      </c>
      <c r="C636" s="43" t="s">
        <v>172</v>
      </c>
      <c r="D636" s="42">
        <v>1</v>
      </c>
      <c r="E636" s="41">
        <v>3.0832793759442546E-5</v>
      </c>
    </row>
    <row r="637" spans="2:5" ht="15" customHeight="1">
      <c r="B637" s="84"/>
      <c r="C637" s="43" t="s">
        <v>142</v>
      </c>
      <c r="D637" s="42">
        <v>1</v>
      </c>
      <c r="E637" s="41">
        <v>3.0832793759442546E-5</v>
      </c>
    </row>
    <row r="638" spans="2:5" ht="15" customHeight="1">
      <c r="B638" s="84"/>
      <c r="C638" s="43" t="s">
        <v>140</v>
      </c>
      <c r="D638" s="42">
        <v>1</v>
      </c>
      <c r="E638" s="41">
        <v>3.0832793759442546E-5</v>
      </c>
    </row>
    <row r="639" spans="2:5" ht="15" customHeight="1">
      <c r="B639" s="84"/>
      <c r="C639" s="43" t="s">
        <v>156</v>
      </c>
      <c r="D639" s="42">
        <v>5</v>
      </c>
      <c r="E639" s="41">
        <v>1.5416396879721272E-4</v>
      </c>
    </row>
    <row r="640" spans="2:5" ht="15" customHeight="1">
      <c r="B640" s="84"/>
      <c r="C640" s="43" t="s">
        <v>174</v>
      </c>
      <c r="D640" s="42">
        <v>4</v>
      </c>
      <c r="E640" s="41">
        <v>1.2333117503777018E-4</v>
      </c>
    </row>
    <row r="641" spans="2:5" ht="15" customHeight="1">
      <c r="B641" s="84"/>
      <c r="C641" s="43" t="s">
        <v>164</v>
      </c>
      <c r="D641" s="42">
        <v>5</v>
      </c>
      <c r="E641" s="41">
        <v>1.5416396879721272E-4</v>
      </c>
    </row>
    <row r="642" spans="2:5" ht="15" customHeight="1">
      <c r="B642" s="84"/>
      <c r="C642" s="43" t="s">
        <v>176</v>
      </c>
      <c r="D642" s="42">
        <v>3</v>
      </c>
      <c r="E642" s="41">
        <v>9.249838127832763E-5</v>
      </c>
    </row>
    <row r="643" spans="2:5" ht="15" customHeight="1">
      <c r="B643" s="84"/>
      <c r="C643" s="43" t="s">
        <v>178</v>
      </c>
      <c r="D643" s="42">
        <v>4</v>
      </c>
      <c r="E643" s="41">
        <v>1.2333117503777018E-4</v>
      </c>
    </row>
    <row r="644" spans="2:5" ht="15" customHeight="1">
      <c r="B644" s="84"/>
      <c r="C644" s="43" t="s">
        <v>179</v>
      </c>
      <c r="D644" s="42">
        <v>6</v>
      </c>
      <c r="E644" s="41">
        <v>1.8499676255665526E-4</v>
      </c>
    </row>
    <row r="645" spans="2:5" ht="15" customHeight="1">
      <c r="B645" s="84"/>
      <c r="C645" s="43" t="s">
        <v>168</v>
      </c>
      <c r="D645" s="42">
        <v>18</v>
      </c>
      <c r="E645" s="41">
        <v>5.5499028766996575E-4</v>
      </c>
    </row>
    <row r="646" spans="2:5" ht="15" customHeight="1">
      <c r="B646" s="84"/>
      <c r="C646" s="43" t="s">
        <v>158</v>
      </c>
      <c r="D646" s="42">
        <v>3</v>
      </c>
      <c r="E646" s="41">
        <v>9.249838127832763E-5</v>
      </c>
    </row>
    <row r="647" spans="2:5" ht="15" customHeight="1">
      <c r="B647" s="84"/>
      <c r="C647" s="43" t="s">
        <v>180</v>
      </c>
      <c r="D647" s="42">
        <v>17</v>
      </c>
      <c r="E647" s="41">
        <v>5.2415749391052319E-4</v>
      </c>
    </row>
    <row r="648" spans="2:5" ht="15" customHeight="1">
      <c r="B648" s="84"/>
      <c r="C648" s="43" t="s">
        <v>177</v>
      </c>
      <c r="D648" s="42">
        <v>5</v>
      </c>
      <c r="E648" s="41">
        <v>1.5416396879721272E-4</v>
      </c>
    </row>
    <row r="649" spans="2:5" ht="15" customHeight="1">
      <c r="B649" s="84"/>
      <c r="C649" s="43" t="s">
        <v>165</v>
      </c>
      <c r="D649" s="42">
        <v>7</v>
      </c>
      <c r="E649" s="41">
        <v>2.158295563160978E-4</v>
      </c>
    </row>
    <row r="650" spans="2:5" ht="15" customHeight="1">
      <c r="B650" s="84"/>
      <c r="C650" s="43" t="s">
        <v>171</v>
      </c>
      <c r="D650" s="42">
        <v>2</v>
      </c>
      <c r="E650" s="41">
        <v>6.1665587518885091E-5</v>
      </c>
    </row>
    <row r="651" spans="2:5" ht="15" customHeight="1">
      <c r="B651" s="84"/>
      <c r="C651" s="43" t="s">
        <v>181</v>
      </c>
      <c r="D651" s="42">
        <v>9</v>
      </c>
      <c r="E651" s="41">
        <v>2.7749514383498288E-4</v>
      </c>
    </row>
    <row r="652" spans="2:5" ht="15" customHeight="1">
      <c r="B652" s="84"/>
      <c r="C652" s="43" t="s">
        <v>167</v>
      </c>
      <c r="D652" s="42">
        <v>1</v>
      </c>
      <c r="E652" s="41">
        <v>3.0832793759442546E-5</v>
      </c>
    </row>
    <row r="653" spans="2:5" ht="15" customHeight="1">
      <c r="B653" s="84"/>
      <c r="C653" s="43" t="s">
        <v>103</v>
      </c>
      <c r="D653" s="42">
        <v>1</v>
      </c>
      <c r="E653" s="41">
        <v>3.0832793759442546E-5</v>
      </c>
    </row>
    <row r="654" spans="2:5" ht="15" customHeight="1">
      <c r="B654" s="84"/>
      <c r="C654" s="43" t="s">
        <v>182</v>
      </c>
      <c r="D654" s="42">
        <v>27</v>
      </c>
      <c r="E654" s="41">
        <v>8.3248543150494863E-4</v>
      </c>
    </row>
    <row r="655" spans="2:5" ht="15" customHeight="1">
      <c r="B655" s="84"/>
      <c r="C655" s="43" t="s">
        <v>175</v>
      </c>
      <c r="D655" s="42">
        <v>7</v>
      </c>
      <c r="E655" s="41">
        <v>2.158295563160978E-4</v>
      </c>
    </row>
    <row r="656" spans="2:5" ht="15" customHeight="1">
      <c r="B656" s="84"/>
      <c r="C656" s="43" t="s">
        <v>143</v>
      </c>
      <c r="D656" s="42">
        <v>2</v>
      </c>
      <c r="E656" s="41">
        <v>6.1665587518885091E-5</v>
      </c>
    </row>
    <row r="657" spans="2:5" ht="15" customHeight="1">
      <c r="B657" s="84"/>
      <c r="C657" s="43" t="s">
        <v>169</v>
      </c>
      <c r="D657" s="42">
        <v>1</v>
      </c>
      <c r="E657" s="41">
        <v>3.0832793759442546E-5</v>
      </c>
    </row>
    <row r="658" spans="2:5" ht="15" customHeight="1">
      <c r="B658" s="84"/>
      <c r="C658" s="43" t="s">
        <v>160</v>
      </c>
      <c r="D658" s="42">
        <v>17</v>
      </c>
      <c r="E658" s="41">
        <v>5.2415749391052319E-4</v>
      </c>
    </row>
    <row r="659" spans="2:5" ht="15" customHeight="1">
      <c r="B659" s="84"/>
      <c r="C659" s="43" t="s">
        <v>131</v>
      </c>
      <c r="D659" s="42">
        <v>2</v>
      </c>
      <c r="E659" s="41">
        <v>6.1665587518885091E-5</v>
      </c>
    </row>
    <row r="660" spans="2:5" ht="15" customHeight="1">
      <c r="B660" s="84"/>
      <c r="C660" s="43" t="s">
        <v>133</v>
      </c>
      <c r="D660" s="42">
        <v>1</v>
      </c>
      <c r="E660" s="41">
        <v>3.0832793759442546E-5</v>
      </c>
    </row>
    <row r="661" spans="2:5" ht="15" customHeight="1">
      <c r="B661" s="84"/>
      <c r="C661" s="43" t="s">
        <v>147</v>
      </c>
      <c r="D661" s="42">
        <v>2</v>
      </c>
      <c r="E661" s="41">
        <v>6.1665587518885091E-5</v>
      </c>
    </row>
    <row r="662" spans="2:5" ht="15" customHeight="1">
      <c r="B662" s="84"/>
      <c r="C662" s="43" t="s">
        <v>153</v>
      </c>
      <c r="D662" s="42">
        <v>1</v>
      </c>
      <c r="E662" s="41">
        <v>3.0832793759442546E-5</v>
      </c>
    </row>
    <row r="663" spans="2:5" ht="15" customHeight="1">
      <c r="B663" s="84"/>
      <c r="C663" s="43" t="s">
        <v>141</v>
      </c>
      <c r="D663" s="42">
        <v>2</v>
      </c>
      <c r="E663" s="41">
        <v>6.1665587518885091E-5</v>
      </c>
    </row>
    <row r="664" spans="2:5" ht="15" customHeight="1">
      <c r="B664" s="84"/>
      <c r="C664" s="43" t="s">
        <v>149</v>
      </c>
      <c r="D664" s="42">
        <v>1</v>
      </c>
      <c r="E664" s="41">
        <v>3.0832793759442546E-5</v>
      </c>
    </row>
    <row r="665" spans="2:5" ht="15" customHeight="1">
      <c r="B665" s="84"/>
      <c r="C665" s="43" t="s">
        <v>146</v>
      </c>
      <c r="D665" s="42">
        <v>2</v>
      </c>
      <c r="E665" s="41">
        <v>6.1665587518885091E-5</v>
      </c>
    </row>
    <row r="666" spans="2:5" ht="15" customHeight="1">
      <c r="B666" s="84"/>
      <c r="C666" s="43" t="s">
        <v>155</v>
      </c>
      <c r="D666" s="42">
        <v>1</v>
      </c>
      <c r="E666" s="41">
        <v>3.0832793759442546E-5</v>
      </c>
    </row>
    <row r="667" spans="2:5" ht="15" customHeight="1">
      <c r="B667" s="84"/>
      <c r="C667" s="43" t="s">
        <v>173</v>
      </c>
      <c r="D667" s="42">
        <v>3</v>
      </c>
      <c r="E667" s="41">
        <v>9.249838127832763E-5</v>
      </c>
    </row>
    <row r="668" spans="2:5" ht="15" customHeight="1">
      <c r="B668" s="84"/>
      <c r="C668" s="43" t="s">
        <v>154</v>
      </c>
      <c r="D668" s="42">
        <v>3</v>
      </c>
      <c r="E668" s="41">
        <v>9.249838127832763E-5</v>
      </c>
    </row>
    <row r="669" spans="2:5" ht="15" customHeight="1">
      <c r="B669" s="84"/>
      <c r="C669" s="43" t="s">
        <v>162</v>
      </c>
      <c r="D669" s="42">
        <v>3</v>
      </c>
      <c r="E669" s="41">
        <v>9.249838127832763E-5</v>
      </c>
    </row>
    <row r="670" spans="2:5" ht="15" customHeight="1">
      <c r="B670" s="84"/>
      <c r="C670" s="43" t="s">
        <v>166</v>
      </c>
      <c r="D670" s="42">
        <v>46</v>
      </c>
      <c r="E670" s="41">
        <v>1.4183085129343569E-3</v>
      </c>
    </row>
    <row r="671" spans="2:5" ht="15" customHeight="1">
      <c r="B671" s="84"/>
      <c r="C671" s="43" t="s">
        <v>145</v>
      </c>
      <c r="D671" s="42">
        <v>4</v>
      </c>
      <c r="E671" s="41">
        <v>1.2333117503777018E-4</v>
      </c>
    </row>
    <row r="672" spans="2:5" ht="15" customHeight="1">
      <c r="B672" s="85"/>
      <c r="C672" s="40" t="s">
        <v>23</v>
      </c>
      <c r="D672" s="39">
        <v>218</v>
      </c>
      <c r="E672" s="38">
        <v>6.7215490395584748E-3</v>
      </c>
    </row>
    <row r="673" spans="2:5" ht="15" customHeight="1">
      <c r="B673" s="83" t="s">
        <v>107</v>
      </c>
      <c r="C673" s="43" t="s">
        <v>172</v>
      </c>
      <c r="D673" s="42">
        <v>3</v>
      </c>
      <c r="E673" s="41">
        <v>9.249838127832763E-5</v>
      </c>
    </row>
    <row r="674" spans="2:5" ht="15" customHeight="1">
      <c r="B674" s="84"/>
      <c r="C674" s="43" t="s">
        <v>152</v>
      </c>
      <c r="D674" s="42">
        <v>1</v>
      </c>
      <c r="E674" s="41">
        <v>3.0832793759442546E-5</v>
      </c>
    </row>
    <row r="675" spans="2:5" ht="15" customHeight="1">
      <c r="B675" s="84"/>
      <c r="C675" s="43" t="s">
        <v>140</v>
      </c>
      <c r="D675" s="42">
        <v>1</v>
      </c>
      <c r="E675" s="41">
        <v>3.0832793759442546E-5</v>
      </c>
    </row>
    <row r="676" spans="2:5" ht="15" customHeight="1">
      <c r="B676" s="84"/>
      <c r="C676" s="43" t="s">
        <v>174</v>
      </c>
      <c r="D676" s="42">
        <v>1</v>
      </c>
      <c r="E676" s="41">
        <v>3.0832793759442546E-5</v>
      </c>
    </row>
    <row r="677" spans="2:5" ht="15" customHeight="1">
      <c r="B677" s="84"/>
      <c r="C677" s="43" t="s">
        <v>164</v>
      </c>
      <c r="D677" s="42">
        <v>4</v>
      </c>
      <c r="E677" s="41">
        <v>1.2333117503777018E-4</v>
      </c>
    </row>
    <row r="678" spans="2:5" ht="15" customHeight="1">
      <c r="B678" s="84"/>
      <c r="C678" s="43" t="s">
        <v>176</v>
      </c>
      <c r="D678" s="42">
        <v>2</v>
      </c>
      <c r="E678" s="41">
        <v>6.1665587518885091E-5</v>
      </c>
    </row>
    <row r="679" spans="2:5" ht="15" customHeight="1">
      <c r="B679" s="84"/>
      <c r="C679" s="43" t="s">
        <v>178</v>
      </c>
      <c r="D679" s="42">
        <v>2</v>
      </c>
      <c r="E679" s="41">
        <v>6.1665587518885091E-5</v>
      </c>
    </row>
    <row r="680" spans="2:5" ht="15" customHeight="1">
      <c r="B680" s="84"/>
      <c r="C680" s="43" t="s">
        <v>179</v>
      </c>
      <c r="D680" s="42">
        <v>4</v>
      </c>
      <c r="E680" s="41">
        <v>1.2333117503777018E-4</v>
      </c>
    </row>
    <row r="681" spans="2:5" ht="15" customHeight="1">
      <c r="B681" s="84"/>
      <c r="C681" s="43" t="s">
        <v>159</v>
      </c>
      <c r="D681" s="42">
        <v>2</v>
      </c>
      <c r="E681" s="41">
        <v>6.1665587518885091E-5</v>
      </c>
    </row>
    <row r="682" spans="2:5" ht="15" customHeight="1">
      <c r="B682" s="84"/>
      <c r="C682" s="43" t="s">
        <v>135</v>
      </c>
      <c r="D682" s="42">
        <v>1</v>
      </c>
      <c r="E682" s="41">
        <v>3.0832793759442546E-5</v>
      </c>
    </row>
    <row r="683" spans="2:5" ht="15" customHeight="1">
      <c r="B683" s="84"/>
      <c r="C683" s="43" t="s">
        <v>180</v>
      </c>
      <c r="D683" s="42">
        <v>1</v>
      </c>
      <c r="E683" s="41">
        <v>3.0832793759442546E-5</v>
      </c>
    </row>
    <row r="684" spans="2:5" ht="15" customHeight="1">
      <c r="B684" s="84"/>
      <c r="C684" s="43" t="s">
        <v>177</v>
      </c>
      <c r="D684" s="42">
        <v>1</v>
      </c>
      <c r="E684" s="41">
        <v>3.0832793759442546E-5</v>
      </c>
    </row>
    <row r="685" spans="2:5" ht="15" customHeight="1">
      <c r="B685" s="84"/>
      <c r="C685" s="43" t="s">
        <v>181</v>
      </c>
      <c r="D685" s="42">
        <v>3</v>
      </c>
      <c r="E685" s="41">
        <v>9.249838127832763E-5</v>
      </c>
    </row>
    <row r="686" spans="2:5" ht="15" customHeight="1">
      <c r="B686" s="84"/>
      <c r="C686" s="43" t="s">
        <v>167</v>
      </c>
      <c r="D686" s="42">
        <v>3</v>
      </c>
      <c r="E686" s="41">
        <v>9.249838127832763E-5</v>
      </c>
    </row>
    <row r="687" spans="2:5" ht="15" customHeight="1">
      <c r="B687" s="84"/>
      <c r="C687" s="43" t="s">
        <v>182</v>
      </c>
      <c r="D687" s="42">
        <v>37</v>
      </c>
      <c r="E687" s="41">
        <v>1.1408133690993742E-3</v>
      </c>
    </row>
    <row r="688" spans="2:5" ht="15" customHeight="1">
      <c r="B688" s="84"/>
      <c r="C688" s="43" t="s">
        <v>151</v>
      </c>
      <c r="D688" s="42">
        <v>1</v>
      </c>
      <c r="E688" s="41">
        <v>3.0832793759442546E-5</v>
      </c>
    </row>
    <row r="689" spans="2:5" ht="15" customHeight="1">
      <c r="B689" s="84"/>
      <c r="C689" s="43" t="s">
        <v>134</v>
      </c>
      <c r="D689" s="42">
        <v>1</v>
      </c>
      <c r="E689" s="41">
        <v>3.0832793759442546E-5</v>
      </c>
    </row>
    <row r="690" spans="2:5" ht="15" customHeight="1">
      <c r="B690" s="84"/>
      <c r="C690" s="43" t="s">
        <v>175</v>
      </c>
      <c r="D690" s="42">
        <v>10</v>
      </c>
      <c r="E690" s="41">
        <v>3.0832793759442544E-4</v>
      </c>
    </row>
    <row r="691" spans="2:5" ht="15" customHeight="1">
      <c r="B691" s="84"/>
      <c r="C691" s="43" t="s">
        <v>157</v>
      </c>
      <c r="D691" s="42">
        <v>23</v>
      </c>
      <c r="E691" s="41">
        <v>7.0915425646717847E-4</v>
      </c>
    </row>
    <row r="692" spans="2:5" ht="15" customHeight="1">
      <c r="B692" s="84"/>
      <c r="C692" s="43" t="s">
        <v>143</v>
      </c>
      <c r="D692" s="42">
        <v>3</v>
      </c>
      <c r="E692" s="41">
        <v>9.249838127832763E-5</v>
      </c>
    </row>
    <row r="693" spans="2:5" ht="15" customHeight="1">
      <c r="B693" s="84"/>
      <c r="C693" s="43" t="s">
        <v>169</v>
      </c>
      <c r="D693" s="42">
        <v>1</v>
      </c>
      <c r="E693" s="41">
        <v>3.0832793759442546E-5</v>
      </c>
    </row>
    <row r="694" spans="2:5" ht="15" customHeight="1">
      <c r="B694" s="84"/>
      <c r="C694" s="43" t="s">
        <v>160</v>
      </c>
      <c r="D694" s="42">
        <v>4</v>
      </c>
      <c r="E694" s="41">
        <v>1.2333117503777018E-4</v>
      </c>
    </row>
    <row r="695" spans="2:5" ht="15" customHeight="1">
      <c r="B695" s="84"/>
      <c r="C695" s="43" t="s">
        <v>153</v>
      </c>
      <c r="D695" s="42">
        <v>1</v>
      </c>
      <c r="E695" s="41">
        <v>3.0832793759442546E-5</v>
      </c>
    </row>
    <row r="696" spans="2:5" ht="15" customHeight="1">
      <c r="B696" s="84"/>
      <c r="C696" s="43" t="s">
        <v>155</v>
      </c>
      <c r="D696" s="42">
        <v>1</v>
      </c>
      <c r="E696" s="41">
        <v>3.0832793759442546E-5</v>
      </c>
    </row>
    <row r="697" spans="2:5" ht="15" customHeight="1">
      <c r="B697" s="84"/>
      <c r="C697" s="43" t="s">
        <v>173</v>
      </c>
      <c r="D697" s="42">
        <v>24</v>
      </c>
      <c r="E697" s="41">
        <v>7.3998705022662104E-4</v>
      </c>
    </row>
    <row r="698" spans="2:5" ht="15" customHeight="1">
      <c r="B698" s="84"/>
      <c r="C698" s="43" t="s">
        <v>154</v>
      </c>
      <c r="D698" s="42">
        <v>3</v>
      </c>
      <c r="E698" s="41">
        <v>9.249838127832763E-5</v>
      </c>
    </row>
    <row r="699" spans="2:5" ht="15" customHeight="1">
      <c r="B699" s="84"/>
      <c r="C699" s="43" t="s">
        <v>162</v>
      </c>
      <c r="D699" s="42">
        <v>1</v>
      </c>
      <c r="E699" s="41">
        <v>3.0832793759442546E-5</v>
      </c>
    </row>
    <row r="700" spans="2:5" ht="15" customHeight="1">
      <c r="B700" s="84"/>
      <c r="C700" s="43" t="s">
        <v>161</v>
      </c>
      <c r="D700" s="42">
        <v>2</v>
      </c>
      <c r="E700" s="41">
        <v>6.1665587518885091E-5</v>
      </c>
    </row>
    <row r="701" spans="2:5" ht="15" customHeight="1">
      <c r="B701" s="84"/>
      <c r="C701" s="43" t="s">
        <v>145</v>
      </c>
      <c r="D701" s="42">
        <v>2</v>
      </c>
      <c r="E701" s="41">
        <v>6.1665587518885091E-5</v>
      </c>
    </row>
    <row r="702" spans="2:5" ht="15" customHeight="1">
      <c r="B702" s="85"/>
      <c r="C702" s="40" t="s">
        <v>23</v>
      </c>
      <c r="D702" s="39">
        <v>143</v>
      </c>
      <c r="E702" s="38">
        <v>4.4090895076002836E-3</v>
      </c>
    </row>
    <row r="703" spans="2:5" ht="15" customHeight="1">
      <c r="B703" s="83" t="s">
        <v>111</v>
      </c>
      <c r="C703" s="43" t="s">
        <v>172</v>
      </c>
      <c r="D703" s="42">
        <v>21</v>
      </c>
      <c r="E703" s="41">
        <v>6.4748866894829345E-4</v>
      </c>
    </row>
    <row r="704" spans="2:5" ht="15" customHeight="1">
      <c r="B704" s="84"/>
      <c r="C704" s="43" t="s">
        <v>148</v>
      </c>
      <c r="D704" s="42">
        <v>12</v>
      </c>
      <c r="E704" s="41">
        <v>3.6999352511331052E-4</v>
      </c>
    </row>
    <row r="705" spans="2:5" ht="15" customHeight="1">
      <c r="B705" s="84"/>
      <c r="C705" s="43" t="s">
        <v>152</v>
      </c>
      <c r="D705" s="42">
        <v>32</v>
      </c>
      <c r="E705" s="41">
        <v>9.8664940030216146E-4</v>
      </c>
    </row>
    <row r="706" spans="2:5" ht="15" customHeight="1">
      <c r="B706" s="84"/>
      <c r="C706" s="43" t="s">
        <v>142</v>
      </c>
      <c r="D706" s="42">
        <v>2</v>
      </c>
      <c r="E706" s="41">
        <v>6.1665587518885091E-5</v>
      </c>
    </row>
    <row r="707" spans="2:5" ht="15" customHeight="1">
      <c r="B707" s="84"/>
      <c r="C707" s="43" t="s">
        <v>136</v>
      </c>
      <c r="D707" s="42">
        <v>2</v>
      </c>
      <c r="E707" s="41">
        <v>6.1665587518885091E-5</v>
      </c>
    </row>
    <row r="708" spans="2:5" ht="15" customHeight="1">
      <c r="B708" s="84"/>
      <c r="C708" s="43" t="s">
        <v>170</v>
      </c>
      <c r="D708" s="42">
        <v>91</v>
      </c>
      <c r="E708" s="41">
        <v>2.8057842321092714E-3</v>
      </c>
    </row>
    <row r="709" spans="2:5" ht="15" customHeight="1">
      <c r="B709" s="84"/>
      <c r="C709" s="43" t="s">
        <v>140</v>
      </c>
      <c r="D709" s="42">
        <v>3</v>
      </c>
      <c r="E709" s="41">
        <v>9.249838127832763E-5</v>
      </c>
    </row>
    <row r="710" spans="2:5" ht="15" customHeight="1">
      <c r="B710" s="84"/>
      <c r="C710" s="43" t="s">
        <v>156</v>
      </c>
      <c r="D710" s="42">
        <v>17</v>
      </c>
      <c r="E710" s="41">
        <v>5.2415749391052319E-4</v>
      </c>
    </row>
    <row r="711" spans="2:5" ht="15" customHeight="1">
      <c r="B711" s="84"/>
      <c r="C711" s="43" t="s">
        <v>174</v>
      </c>
      <c r="D711" s="42">
        <v>16</v>
      </c>
      <c r="E711" s="41">
        <v>4.9332470015108073E-4</v>
      </c>
    </row>
    <row r="712" spans="2:5" ht="15" customHeight="1">
      <c r="B712" s="84"/>
      <c r="C712" s="43" t="s">
        <v>164</v>
      </c>
      <c r="D712" s="42">
        <v>5</v>
      </c>
      <c r="E712" s="41">
        <v>1.5416396879721272E-4</v>
      </c>
    </row>
    <row r="713" spans="2:5" ht="15" customHeight="1">
      <c r="B713" s="84"/>
      <c r="C713" s="43" t="s">
        <v>176</v>
      </c>
      <c r="D713" s="42">
        <v>15</v>
      </c>
      <c r="E713" s="41">
        <v>4.6249190639163816E-4</v>
      </c>
    </row>
    <row r="714" spans="2:5" ht="15" customHeight="1">
      <c r="B714" s="84"/>
      <c r="C714" s="43" t="s">
        <v>178</v>
      </c>
      <c r="D714" s="42">
        <v>26</v>
      </c>
      <c r="E714" s="41">
        <v>8.0165263774550617E-4</v>
      </c>
    </row>
    <row r="715" spans="2:5" ht="15" customHeight="1">
      <c r="B715" s="84"/>
      <c r="C715" s="43" t="s">
        <v>179</v>
      </c>
      <c r="D715" s="42">
        <v>44</v>
      </c>
      <c r="E715" s="41">
        <v>1.3566429254154718E-3</v>
      </c>
    </row>
    <row r="716" spans="2:5" ht="15" customHeight="1">
      <c r="B716" s="84"/>
      <c r="C716" s="43" t="s">
        <v>159</v>
      </c>
      <c r="D716" s="42">
        <v>17</v>
      </c>
      <c r="E716" s="41">
        <v>5.2415749391052319E-4</v>
      </c>
    </row>
    <row r="717" spans="2:5" ht="15" customHeight="1">
      <c r="B717" s="84"/>
      <c r="C717" s="43" t="s">
        <v>135</v>
      </c>
      <c r="D717" s="42">
        <v>1</v>
      </c>
      <c r="E717" s="41">
        <v>3.0832793759442546E-5</v>
      </c>
    </row>
    <row r="718" spans="2:5" ht="15" customHeight="1">
      <c r="B718" s="84"/>
      <c r="C718" s="43" t="s">
        <v>168</v>
      </c>
      <c r="D718" s="42">
        <v>25</v>
      </c>
      <c r="E718" s="41">
        <v>7.7081984398606361E-4</v>
      </c>
    </row>
    <row r="719" spans="2:5" ht="15" customHeight="1">
      <c r="B719" s="84"/>
      <c r="C719" s="43" t="s">
        <v>132</v>
      </c>
      <c r="D719" s="42">
        <v>2</v>
      </c>
      <c r="E719" s="41">
        <v>6.1665587518885091E-5</v>
      </c>
    </row>
    <row r="720" spans="2:5" ht="15" customHeight="1">
      <c r="B720" s="84"/>
      <c r="C720" s="43" t="s">
        <v>158</v>
      </c>
      <c r="D720" s="42">
        <v>11</v>
      </c>
      <c r="E720" s="41">
        <v>3.3916073135386795E-4</v>
      </c>
    </row>
    <row r="721" spans="2:5" ht="15" customHeight="1">
      <c r="B721" s="84"/>
      <c r="C721" s="43" t="s">
        <v>180</v>
      </c>
      <c r="D721" s="42">
        <v>28</v>
      </c>
      <c r="E721" s="41">
        <v>8.633182252643912E-4</v>
      </c>
    </row>
    <row r="722" spans="2:5" ht="15" customHeight="1">
      <c r="B722" s="84"/>
      <c r="C722" s="43" t="s">
        <v>126</v>
      </c>
      <c r="D722" s="42">
        <v>2</v>
      </c>
      <c r="E722" s="41">
        <v>6.1665587518885091E-5</v>
      </c>
    </row>
    <row r="723" spans="2:5" ht="15" customHeight="1">
      <c r="B723" s="84"/>
      <c r="C723" s="43" t="s">
        <v>177</v>
      </c>
      <c r="D723" s="42">
        <v>43</v>
      </c>
      <c r="E723" s="41">
        <v>1.3258101316560294E-3</v>
      </c>
    </row>
    <row r="724" spans="2:5" ht="15" customHeight="1">
      <c r="B724" s="84"/>
      <c r="C724" s="43" t="s">
        <v>165</v>
      </c>
      <c r="D724" s="42">
        <v>6</v>
      </c>
      <c r="E724" s="41">
        <v>1.8499676255665526E-4</v>
      </c>
    </row>
    <row r="725" spans="2:5" ht="15" customHeight="1">
      <c r="B725" s="84"/>
      <c r="C725" s="43" t="s">
        <v>171</v>
      </c>
      <c r="D725" s="42">
        <v>49</v>
      </c>
      <c r="E725" s="41">
        <v>1.5108068942126845E-3</v>
      </c>
    </row>
    <row r="726" spans="2:5" ht="15" customHeight="1">
      <c r="B726" s="84"/>
      <c r="C726" s="43" t="s">
        <v>181</v>
      </c>
      <c r="D726" s="42">
        <v>175</v>
      </c>
      <c r="E726" s="41">
        <v>5.3957389079024448E-3</v>
      </c>
    </row>
    <row r="727" spans="2:5" ht="15" customHeight="1">
      <c r="B727" s="84"/>
      <c r="C727" s="43" t="s">
        <v>167</v>
      </c>
      <c r="D727" s="42">
        <v>16</v>
      </c>
      <c r="E727" s="41">
        <v>4.9332470015108073E-4</v>
      </c>
    </row>
    <row r="728" spans="2:5" ht="15" customHeight="1">
      <c r="B728" s="84"/>
      <c r="C728" s="43" t="s">
        <v>103</v>
      </c>
      <c r="D728" s="42">
        <v>1</v>
      </c>
      <c r="E728" s="41">
        <v>3.0832793759442546E-5</v>
      </c>
    </row>
    <row r="729" spans="2:5" ht="15" customHeight="1">
      <c r="B729" s="84"/>
      <c r="C729" s="43" t="s">
        <v>163</v>
      </c>
      <c r="D729" s="42">
        <v>20</v>
      </c>
      <c r="E729" s="41">
        <v>6.1665587518885089E-4</v>
      </c>
    </row>
    <row r="730" spans="2:5" ht="15" customHeight="1">
      <c r="B730" s="84"/>
      <c r="C730" s="43" t="s">
        <v>182</v>
      </c>
      <c r="D730" s="42">
        <v>178</v>
      </c>
      <c r="E730" s="41">
        <v>5.4882372891807731E-3</v>
      </c>
    </row>
    <row r="731" spans="2:5" ht="15" customHeight="1">
      <c r="B731" s="84"/>
      <c r="C731" s="43" t="s">
        <v>137</v>
      </c>
      <c r="D731" s="42">
        <v>4</v>
      </c>
      <c r="E731" s="41">
        <v>1.2333117503777018E-4</v>
      </c>
    </row>
    <row r="732" spans="2:5" ht="15" customHeight="1">
      <c r="B732" s="84"/>
      <c r="C732" s="43" t="s">
        <v>151</v>
      </c>
      <c r="D732" s="42">
        <v>14</v>
      </c>
      <c r="E732" s="41">
        <v>4.316591126321956E-4</v>
      </c>
    </row>
    <row r="733" spans="2:5" ht="15" customHeight="1">
      <c r="B733" s="84"/>
      <c r="C733" s="43" t="s">
        <v>134</v>
      </c>
      <c r="D733" s="42">
        <v>5</v>
      </c>
      <c r="E733" s="41">
        <v>1.5416396879721272E-4</v>
      </c>
    </row>
    <row r="734" spans="2:5" ht="15" customHeight="1">
      <c r="B734" s="84"/>
      <c r="C734" s="43" t="s">
        <v>150</v>
      </c>
      <c r="D734" s="42">
        <v>9</v>
      </c>
      <c r="E734" s="41">
        <v>2.7749514383498288E-4</v>
      </c>
    </row>
    <row r="735" spans="2:5" ht="15" customHeight="1">
      <c r="B735" s="84"/>
      <c r="C735" s="43" t="s">
        <v>175</v>
      </c>
      <c r="D735" s="42">
        <v>109</v>
      </c>
      <c r="E735" s="41">
        <v>3.3607745197792374E-3</v>
      </c>
    </row>
    <row r="736" spans="2:5" ht="15" customHeight="1">
      <c r="B736" s="84"/>
      <c r="C736" s="43" t="s">
        <v>157</v>
      </c>
      <c r="D736" s="42">
        <v>7</v>
      </c>
      <c r="E736" s="41">
        <v>2.158295563160978E-4</v>
      </c>
    </row>
    <row r="737" spans="2:5" ht="15" customHeight="1">
      <c r="B737" s="84"/>
      <c r="C737" s="43" t="s">
        <v>143</v>
      </c>
      <c r="D737" s="42">
        <v>4</v>
      </c>
      <c r="E737" s="41">
        <v>1.2333117503777018E-4</v>
      </c>
    </row>
    <row r="738" spans="2:5" ht="15" customHeight="1">
      <c r="B738" s="84"/>
      <c r="C738" s="43" t="s">
        <v>169</v>
      </c>
      <c r="D738" s="42">
        <v>23</v>
      </c>
      <c r="E738" s="41">
        <v>7.0915425646717847E-4</v>
      </c>
    </row>
    <row r="739" spans="2:5" ht="15" customHeight="1">
      <c r="B739" s="84"/>
      <c r="C739" s="43" t="s">
        <v>160</v>
      </c>
      <c r="D739" s="42">
        <v>9</v>
      </c>
      <c r="E739" s="41">
        <v>2.7749514383498288E-4</v>
      </c>
    </row>
    <row r="740" spans="2:5" ht="15" customHeight="1">
      <c r="B740" s="84"/>
      <c r="C740" s="43" t="s">
        <v>131</v>
      </c>
      <c r="D740" s="42">
        <v>2</v>
      </c>
      <c r="E740" s="41">
        <v>6.1665587518885091E-5</v>
      </c>
    </row>
    <row r="741" spans="2:5" ht="15" customHeight="1">
      <c r="B741" s="84"/>
      <c r="C741" s="43" t="s">
        <v>133</v>
      </c>
      <c r="D741" s="42">
        <v>1</v>
      </c>
      <c r="E741" s="41">
        <v>3.0832793759442546E-5</v>
      </c>
    </row>
    <row r="742" spans="2:5" ht="15" customHeight="1">
      <c r="B742" s="84"/>
      <c r="C742" s="43" t="s">
        <v>147</v>
      </c>
      <c r="D742" s="42">
        <v>8</v>
      </c>
      <c r="E742" s="41">
        <v>2.4666235007554037E-4</v>
      </c>
    </row>
    <row r="743" spans="2:5" ht="15" customHeight="1">
      <c r="B743" s="84"/>
      <c r="C743" s="43" t="s">
        <v>128</v>
      </c>
      <c r="D743" s="42">
        <v>2</v>
      </c>
      <c r="E743" s="41">
        <v>6.1665587518885091E-5</v>
      </c>
    </row>
    <row r="744" spans="2:5" ht="15" customHeight="1">
      <c r="B744" s="84"/>
      <c r="C744" s="43" t="s">
        <v>139</v>
      </c>
      <c r="D744" s="42">
        <v>1</v>
      </c>
      <c r="E744" s="41">
        <v>3.0832793759442546E-5</v>
      </c>
    </row>
    <row r="745" spans="2:5" ht="15" customHeight="1">
      <c r="B745" s="84"/>
      <c r="C745" s="43" t="s">
        <v>153</v>
      </c>
      <c r="D745" s="42">
        <v>20</v>
      </c>
      <c r="E745" s="41">
        <v>6.1665587518885089E-4</v>
      </c>
    </row>
    <row r="746" spans="2:5" ht="15" customHeight="1">
      <c r="B746" s="84"/>
      <c r="C746" s="43" t="s">
        <v>141</v>
      </c>
      <c r="D746" s="42">
        <v>4</v>
      </c>
      <c r="E746" s="41">
        <v>1.2333117503777018E-4</v>
      </c>
    </row>
    <row r="747" spans="2:5" ht="15" customHeight="1">
      <c r="B747" s="84"/>
      <c r="C747" s="43" t="s">
        <v>149</v>
      </c>
      <c r="D747" s="42">
        <v>1</v>
      </c>
      <c r="E747" s="41">
        <v>3.0832793759442546E-5</v>
      </c>
    </row>
    <row r="748" spans="2:5" ht="15" customHeight="1">
      <c r="B748" s="84"/>
      <c r="C748" s="43" t="s">
        <v>146</v>
      </c>
      <c r="D748" s="42">
        <v>4</v>
      </c>
      <c r="E748" s="41">
        <v>1.2333117503777018E-4</v>
      </c>
    </row>
    <row r="749" spans="2:5" ht="15" customHeight="1">
      <c r="B749" s="84"/>
      <c r="C749" s="43" t="s">
        <v>144</v>
      </c>
      <c r="D749" s="42">
        <v>14</v>
      </c>
      <c r="E749" s="41">
        <v>4.316591126321956E-4</v>
      </c>
    </row>
    <row r="750" spans="2:5" ht="15" customHeight="1">
      <c r="B750" s="84"/>
      <c r="C750" s="43" t="s">
        <v>155</v>
      </c>
      <c r="D750" s="42">
        <v>3</v>
      </c>
      <c r="E750" s="41">
        <v>9.249838127832763E-5</v>
      </c>
    </row>
    <row r="751" spans="2:5" ht="15" customHeight="1">
      <c r="B751" s="84"/>
      <c r="C751" s="43" t="s">
        <v>138</v>
      </c>
      <c r="D751" s="42">
        <v>1</v>
      </c>
      <c r="E751" s="41">
        <v>3.0832793759442546E-5</v>
      </c>
    </row>
    <row r="752" spans="2:5" ht="15" customHeight="1">
      <c r="B752" s="84"/>
      <c r="C752" s="43" t="s">
        <v>173</v>
      </c>
      <c r="D752" s="42">
        <v>131</v>
      </c>
      <c r="E752" s="41">
        <v>4.0390959824869732E-3</v>
      </c>
    </row>
    <row r="753" spans="2:5" ht="15" customHeight="1">
      <c r="B753" s="84"/>
      <c r="C753" s="43" t="s">
        <v>154</v>
      </c>
      <c r="D753" s="42">
        <v>27</v>
      </c>
      <c r="E753" s="41">
        <v>8.3248543150494863E-4</v>
      </c>
    </row>
    <row r="754" spans="2:5" ht="15" customHeight="1">
      <c r="B754" s="84"/>
      <c r="C754" s="43" t="s">
        <v>162</v>
      </c>
      <c r="D754" s="42">
        <v>9</v>
      </c>
      <c r="E754" s="41">
        <v>2.7749514383498288E-4</v>
      </c>
    </row>
    <row r="755" spans="2:5" ht="15" customHeight="1">
      <c r="B755" s="84"/>
      <c r="C755" s="43" t="s">
        <v>161</v>
      </c>
      <c r="D755" s="42">
        <v>6</v>
      </c>
      <c r="E755" s="41">
        <v>1.8499676255665526E-4</v>
      </c>
    </row>
    <row r="756" spans="2:5" ht="15" customHeight="1">
      <c r="B756" s="84"/>
      <c r="C756" s="43" t="s">
        <v>166</v>
      </c>
      <c r="D756" s="42">
        <v>101</v>
      </c>
      <c r="E756" s="41">
        <v>3.1141121697036969E-3</v>
      </c>
    </row>
    <row r="757" spans="2:5" ht="15" customHeight="1">
      <c r="B757" s="84"/>
      <c r="C757" s="43" t="s">
        <v>145</v>
      </c>
      <c r="D757" s="42">
        <v>12</v>
      </c>
      <c r="E757" s="41">
        <v>3.6999352511331052E-4</v>
      </c>
    </row>
    <row r="758" spans="2:5" ht="15" customHeight="1">
      <c r="B758" s="85"/>
      <c r="C758" s="40" t="s">
        <v>23</v>
      </c>
      <c r="D758" s="39">
        <v>1391</v>
      </c>
      <c r="E758" s="38">
        <v>4.2888416119384577E-2</v>
      </c>
    </row>
    <row r="759" spans="2:5" ht="15" customHeight="1">
      <c r="B759" s="83" t="s">
        <v>123</v>
      </c>
      <c r="C759" s="43" t="s">
        <v>172</v>
      </c>
      <c r="D759" s="42">
        <v>6</v>
      </c>
      <c r="E759" s="41">
        <v>1.8499676255665526E-4</v>
      </c>
    </row>
    <row r="760" spans="2:5" ht="15" customHeight="1">
      <c r="B760" s="84"/>
      <c r="C760" s="43" t="s">
        <v>142</v>
      </c>
      <c r="D760" s="42">
        <v>8</v>
      </c>
      <c r="E760" s="41">
        <v>2.4666235007554037E-4</v>
      </c>
    </row>
    <row r="761" spans="2:5" ht="15" customHeight="1">
      <c r="B761" s="84"/>
      <c r="C761" s="43" t="s">
        <v>136</v>
      </c>
      <c r="D761" s="42">
        <v>3</v>
      </c>
      <c r="E761" s="41">
        <v>9.249838127832763E-5</v>
      </c>
    </row>
    <row r="762" spans="2:5" ht="15" customHeight="1">
      <c r="B762" s="84"/>
      <c r="C762" s="43" t="s">
        <v>170</v>
      </c>
      <c r="D762" s="42">
        <v>2</v>
      </c>
      <c r="E762" s="41">
        <v>6.1665587518885091E-5</v>
      </c>
    </row>
    <row r="763" spans="2:5" ht="15" customHeight="1">
      <c r="B763" s="84"/>
      <c r="C763" s="43" t="s">
        <v>156</v>
      </c>
      <c r="D763" s="42">
        <v>2</v>
      </c>
      <c r="E763" s="41">
        <v>6.1665587518885091E-5</v>
      </c>
    </row>
    <row r="764" spans="2:5" ht="15" customHeight="1">
      <c r="B764" s="84"/>
      <c r="C764" s="43" t="s">
        <v>174</v>
      </c>
      <c r="D764" s="42">
        <v>14</v>
      </c>
      <c r="E764" s="41">
        <v>4.316591126321956E-4</v>
      </c>
    </row>
    <row r="765" spans="2:5" ht="15" customHeight="1">
      <c r="B765" s="84"/>
      <c r="C765" s="43" t="s">
        <v>164</v>
      </c>
      <c r="D765" s="42">
        <v>6</v>
      </c>
      <c r="E765" s="41">
        <v>1.8499676255665526E-4</v>
      </c>
    </row>
    <row r="766" spans="2:5" ht="15" customHeight="1">
      <c r="B766" s="84"/>
      <c r="C766" s="43" t="s">
        <v>176</v>
      </c>
      <c r="D766" s="42">
        <v>3</v>
      </c>
      <c r="E766" s="41">
        <v>9.249838127832763E-5</v>
      </c>
    </row>
    <row r="767" spans="2:5" ht="15" customHeight="1">
      <c r="B767" s="84"/>
      <c r="C767" s="43" t="s">
        <v>178</v>
      </c>
      <c r="D767" s="42">
        <v>8</v>
      </c>
      <c r="E767" s="41">
        <v>2.4666235007554037E-4</v>
      </c>
    </row>
    <row r="768" spans="2:5" ht="15" customHeight="1">
      <c r="B768" s="84"/>
      <c r="C768" s="43" t="s">
        <v>179</v>
      </c>
      <c r="D768" s="42">
        <v>10</v>
      </c>
      <c r="E768" s="41">
        <v>3.0832793759442544E-4</v>
      </c>
    </row>
    <row r="769" spans="2:5" ht="15" customHeight="1">
      <c r="B769" s="84"/>
      <c r="C769" s="43" t="s">
        <v>159</v>
      </c>
      <c r="D769" s="42">
        <v>5</v>
      </c>
      <c r="E769" s="41">
        <v>1.5416396879721272E-4</v>
      </c>
    </row>
    <row r="770" spans="2:5" ht="15" customHeight="1">
      <c r="B770" s="84"/>
      <c r="C770" s="43" t="s">
        <v>168</v>
      </c>
      <c r="D770" s="42">
        <v>4</v>
      </c>
      <c r="E770" s="41">
        <v>1.2333117503777018E-4</v>
      </c>
    </row>
    <row r="771" spans="2:5" ht="15" customHeight="1">
      <c r="B771" s="84"/>
      <c r="C771" s="43" t="s">
        <v>132</v>
      </c>
      <c r="D771" s="42">
        <v>2</v>
      </c>
      <c r="E771" s="41">
        <v>6.1665587518885091E-5</v>
      </c>
    </row>
    <row r="772" spans="2:5" ht="15" customHeight="1">
      <c r="B772" s="84"/>
      <c r="C772" s="43" t="s">
        <v>158</v>
      </c>
      <c r="D772" s="42">
        <v>1</v>
      </c>
      <c r="E772" s="41">
        <v>3.0832793759442546E-5</v>
      </c>
    </row>
    <row r="773" spans="2:5" ht="15" customHeight="1">
      <c r="B773" s="84"/>
      <c r="C773" s="43" t="s">
        <v>180</v>
      </c>
      <c r="D773" s="42">
        <v>7</v>
      </c>
      <c r="E773" s="41">
        <v>2.158295563160978E-4</v>
      </c>
    </row>
    <row r="774" spans="2:5" ht="15" customHeight="1">
      <c r="B774" s="84"/>
      <c r="C774" s="43" t="s">
        <v>177</v>
      </c>
      <c r="D774" s="42">
        <v>7</v>
      </c>
      <c r="E774" s="41">
        <v>2.158295563160978E-4</v>
      </c>
    </row>
    <row r="775" spans="2:5" ht="15" customHeight="1">
      <c r="B775" s="84"/>
      <c r="C775" s="43" t="s">
        <v>165</v>
      </c>
      <c r="D775" s="42">
        <v>2</v>
      </c>
      <c r="E775" s="41">
        <v>6.1665587518885091E-5</v>
      </c>
    </row>
    <row r="776" spans="2:5" ht="15" customHeight="1">
      <c r="B776" s="84"/>
      <c r="C776" s="43" t="s">
        <v>181</v>
      </c>
      <c r="D776" s="42">
        <v>28</v>
      </c>
      <c r="E776" s="41">
        <v>8.633182252643912E-4</v>
      </c>
    </row>
    <row r="777" spans="2:5" ht="15" customHeight="1">
      <c r="B777" s="84"/>
      <c r="C777" s="43" t="s">
        <v>167</v>
      </c>
      <c r="D777" s="42">
        <v>10</v>
      </c>
      <c r="E777" s="41">
        <v>3.0832793759442544E-4</v>
      </c>
    </row>
    <row r="778" spans="2:5" ht="15" customHeight="1">
      <c r="B778" s="84"/>
      <c r="C778" s="43" t="s">
        <v>163</v>
      </c>
      <c r="D778" s="42">
        <v>4</v>
      </c>
      <c r="E778" s="41">
        <v>1.2333117503777018E-4</v>
      </c>
    </row>
    <row r="779" spans="2:5" ht="15" customHeight="1">
      <c r="B779" s="84"/>
      <c r="C779" s="43" t="s">
        <v>182</v>
      </c>
      <c r="D779" s="42">
        <v>104</v>
      </c>
      <c r="E779" s="41">
        <v>3.2066105509820247E-3</v>
      </c>
    </row>
    <row r="780" spans="2:5" ht="15" customHeight="1">
      <c r="B780" s="84"/>
      <c r="C780" s="43" t="s">
        <v>137</v>
      </c>
      <c r="D780" s="42">
        <v>2</v>
      </c>
      <c r="E780" s="41">
        <v>6.1665587518885091E-5</v>
      </c>
    </row>
    <row r="781" spans="2:5" ht="15" customHeight="1">
      <c r="B781" s="84"/>
      <c r="C781" s="43" t="s">
        <v>151</v>
      </c>
      <c r="D781" s="42">
        <v>2</v>
      </c>
      <c r="E781" s="41">
        <v>6.1665587518885091E-5</v>
      </c>
    </row>
    <row r="782" spans="2:5" ht="15" customHeight="1">
      <c r="B782" s="84"/>
      <c r="C782" s="43" t="s">
        <v>134</v>
      </c>
      <c r="D782" s="42">
        <v>2</v>
      </c>
      <c r="E782" s="41">
        <v>6.1665587518885091E-5</v>
      </c>
    </row>
    <row r="783" spans="2:5" ht="15" customHeight="1">
      <c r="B783" s="84"/>
      <c r="C783" s="43" t="s">
        <v>175</v>
      </c>
      <c r="D783" s="42">
        <v>41</v>
      </c>
      <c r="E783" s="41">
        <v>1.2641445441371442E-3</v>
      </c>
    </row>
    <row r="784" spans="2:5" ht="15" customHeight="1">
      <c r="B784" s="84"/>
      <c r="C784" s="43" t="s">
        <v>157</v>
      </c>
      <c r="D784" s="42">
        <v>34</v>
      </c>
      <c r="E784" s="41">
        <v>1.0483149878210464E-3</v>
      </c>
    </row>
    <row r="785" spans="2:5" ht="15" customHeight="1">
      <c r="B785" s="84"/>
      <c r="C785" s="43" t="s">
        <v>143</v>
      </c>
      <c r="D785" s="42">
        <v>4</v>
      </c>
      <c r="E785" s="41">
        <v>1.2333117503777018E-4</v>
      </c>
    </row>
    <row r="786" spans="2:5" ht="15" customHeight="1">
      <c r="B786" s="84"/>
      <c r="C786" s="43" t="s">
        <v>169</v>
      </c>
      <c r="D786" s="42">
        <v>2</v>
      </c>
      <c r="E786" s="41">
        <v>6.1665587518885091E-5</v>
      </c>
    </row>
    <row r="787" spans="2:5" ht="15" customHeight="1">
      <c r="B787" s="84"/>
      <c r="C787" s="43" t="s">
        <v>160</v>
      </c>
      <c r="D787" s="42">
        <v>7</v>
      </c>
      <c r="E787" s="41">
        <v>2.158295563160978E-4</v>
      </c>
    </row>
    <row r="788" spans="2:5" ht="15" customHeight="1">
      <c r="B788" s="84"/>
      <c r="C788" s="43" t="s">
        <v>131</v>
      </c>
      <c r="D788" s="42">
        <v>1</v>
      </c>
      <c r="E788" s="41">
        <v>3.0832793759442546E-5</v>
      </c>
    </row>
    <row r="789" spans="2:5" ht="15" customHeight="1">
      <c r="B789" s="84"/>
      <c r="C789" s="43" t="s">
        <v>133</v>
      </c>
      <c r="D789" s="42">
        <v>1</v>
      </c>
      <c r="E789" s="41">
        <v>3.0832793759442546E-5</v>
      </c>
    </row>
    <row r="790" spans="2:5" ht="15" customHeight="1">
      <c r="B790" s="84"/>
      <c r="C790" s="43" t="s">
        <v>147</v>
      </c>
      <c r="D790" s="42">
        <v>2</v>
      </c>
      <c r="E790" s="41">
        <v>6.1665587518885091E-5</v>
      </c>
    </row>
    <row r="791" spans="2:5" ht="15" customHeight="1">
      <c r="B791" s="84"/>
      <c r="C791" s="43" t="s">
        <v>130</v>
      </c>
      <c r="D791" s="42">
        <v>2</v>
      </c>
      <c r="E791" s="41">
        <v>6.1665587518885091E-5</v>
      </c>
    </row>
    <row r="792" spans="2:5" ht="15" customHeight="1">
      <c r="B792" s="84"/>
      <c r="C792" s="43" t="s">
        <v>153</v>
      </c>
      <c r="D792" s="42">
        <v>7</v>
      </c>
      <c r="E792" s="41">
        <v>2.158295563160978E-4</v>
      </c>
    </row>
    <row r="793" spans="2:5" ht="15" customHeight="1">
      <c r="B793" s="84"/>
      <c r="C793" s="43" t="s">
        <v>149</v>
      </c>
      <c r="D793" s="42">
        <v>1</v>
      </c>
      <c r="E793" s="41">
        <v>3.0832793759442546E-5</v>
      </c>
    </row>
    <row r="794" spans="2:5" ht="15" customHeight="1">
      <c r="B794" s="84"/>
      <c r="C794" s="43" t="s">
        <v>146</v>
      </c>
      <c r="D794" s="42">
        <v>5</v>
      </c>
      <c r="E794" s="41">
        <v>1.5416396879721272E-4</v>
      </c>
    </row>
    <row r="795" spans="2:5" ht="15" customHeight="1">
      <c r="B795" s="84"/>
      <c r="C795" s="43" t="s">
        <v>144</v>
      </c>
      <c r="D795" s="42">
        <v>8</v>
      </c>
      <c r="E795" s="41">
        <v>2.4666235007554037E-4</v>
      </c>
    </row>
    <row r="796" spans="2:5" ht="15" customHeight="1">
      <c r="B796" s="84"/>
      <c r="C796" s="43" t="s">
        <v>155</v>
      </c>
      <c r="D796" s="42">
        <v>2</v>
      </c>
      <c r="E796" s="41">
        <v>6.1665587518885091E-5</v>
      </c>
    </row>
    <row r="797" spans="2:5" ht="15" customHeight="1">
      <c r="B797" s="84"/>
      <c r="C797" s="43" t="s">
        <v>138</v>
      </c>
      <c r="D797" s="42">
        <v>1</v>
      </c>
      <c r="E797" s="41">
        <v>3.0832793759442546E-5</v>
      </c>
    </row>
    <row r="798" spans="2:5" ht="15" customHeight="1">
      <c r="B798" s="84"/>
      <c r="C798" s="43" t="s">
        <v>173</v>
      </c>
      <c r="D798" s="42">
        <v>72</v>
      </c>
      <c r="E798" s="41">
        <v>2.219961150679863E-3</v>
      </c>
    </row>
    <row r="799" spans="2:5" ht="15" customHeight="1">
      <c r="B799" s="84"/>
      <c r="C799" s="43" t="s">
        <v>154</v>
      </c>
      <c r="D799" s="42">
        <v>27</v>
      </c>
      <c r="E799" s="41">
        <v>8.3248543150494863E-4</v>
      </c>
    </row>
    <row r="800" spans="2:5" ht="15" customHeight="1">
      <c r="B800" s="84"/>
      <c r="C800" s="43" t="s">
        <v>162</v>
      </c>
      <c r="D800" s="42">
        <v>18</v>
      </c>
      <c r="E800" s="41">
        <v>5.5499028766996575E-4</v>
      </c>
    </row>
    <row r="801" spans="2:5" ht="15" customHeight="1">
      <c r="B801" s="84"/>
      <c r="C801" s="43" t="s">
        <v>161</v>
      </c>
      <c r="D801" s="42">
        <v>8</v>
      </c>
      <c r="E801" s="41">
        <v>2.4666235007554037E-4</v>
      </c>
    </row>
    <row r="802" spans="2:5" ht="15" customHeight="1">
      <c r="B802" s="84"/>
      <c r="C802" s="43" t="s">
        <v>145</v>
      </c>
      <c r="D802" s="42">
        <v>3</v>
      </c>
      <c r="E802" s="41">
        <v>9.249838127832763E-5</v>
      </c>
    </row>
    <row r="803" spans="2:5" ht="15" customHeight="1">
      <c r="B803" s="85"/>
      <c r="C803" s="40" t="s">
        <v>23</v>
      </c>
      <c r="D803" s="39">
        <v>488</v>
      </c>
      <c r="E803" s="38">
        <v>1.5046403354607961E-2</v>
      </c>
    </row>
    <row r="804" spans="2:5" ht="15" customHeight="1">
      <c r="B804" s="83" t="s">
        <v>102</v>
      </c>
      <c r="C804" s="43" t="s">
        <v>172</v>
      </c>
      <c r="D804" s="42">
        <v>4</v>
      </c>
      <c r="E804" s="41">
        <v>1.2333117503777018E-4</v>
      </c>
    </row>
    <row r="805" spans="2:5" ht="15" customHeight="1">
      <c r="B805" s="84"/>
      <c r="C805" s="43" t="s">
        <v>148</v>
      </c>
      <c r="D805" s="42">
        <v>4</v>
      </c>
      <c r="E805" s="41">
        <v>1.2333117503777018E-4</v>
      </c>
    </row>
    <row r="806" spans="2:5" ht="15" customHeight="1">
      <c r="B806" s="84"/>
      <c r="C806" s="43" t="s">
        <v>152</v>
      </c>
      <c r="D806" s="42">
        <v>8</v>
      </c>
      <c r="E806" s="41">
        <v>2.4666235007554037E-4</v>
      </c>
    </row>
    <row r="807" spans="2:5" ht="15" customHeight="1">
      <c r="B807" s="84"/>
      <c r="C807" s="43" t="s">
        <v>142</v>
      </c>
      <c r="D807" s="42">
        <v>3</v>
      </c>
      <c r="E807" s="41">
        <v>9.249838127832763E-5</v>
      </c>
    </row>
    <row r="808" spans="2:5" ht="15" customHeight="1">
      <c r="B808" s="84"/>
      <c r="C808" s="43" t="s">
        <v>136</v>
      </c>
      <c r="D808" s="42">
        <v>4</v>
      </c>
      <c r="E808" s="41">
        <v>1.2333117503777018E-4</v>
      </c>
    </row>
    <row r="809" spans="2:5" ht="15" customHeight="1">
      <c r="B809" s="84"/>
      <c r="C809" s="43" t="s">
        <v>170</v>
      </c>
      <c r="D809" s="42">
        <v>14</v>
      </c>
      <c r="E809" s="41">
        <v>4.316591126321956E-4</v>
      </c>
    </row>
    <row r="810" spans="2:5" ht="15" customHeight="1">
      <c r="B810" s="84"/>
      <c r="C810" s="43" t="s">
        <v>140</v>
      </c>
      <c r="D810" s="42">
        <v>4</v>
      </c>
      <c r="E810" s="41">
        <v>1.2333117503777018E-4</v>
      </c>
    </row>
    <row r="811" spans="2:5" ht="15" customHeight="1">
      <c r="B811" s="84"/>
      <c r="C811" s="43" t="s">
        <v>156</v>
      </c>
      <c r="D811" s="42">
        <v>6</v>
      </c>
      <c r="E811" s="41">
        <v>1.8499676255665526E-4</v>
      </c>
    </row>
    <row r="812" spans="2:5" ht="15" customHeight="1">
      <c r="B812" s="84"/>
      <c r="C812" s="43" t="s">
        <v>174</v>
      </c>
      <c r="D812" s="42">
        <v>33</v>
      </c>
      <c r="E812" s="41">
        <v>1.0174821940616039E-3</v>
      </c>
    </row>
    <row r="813" spans="2:5" ht="15" customHeight="1">
      <c r="B813" s="84"/>
      <c r="C813" s="43" t="s">
        <v>164</v>
      </c>
      <c r="D813" s="42">
        <v>4</v>
      </c>
      <c r="E813" s="41">
        <v>1.2333117503777018E-4</v>
      </c>
    </row>
    <row r="814" spans="2:5" ht="15" customHeight="1">
      <c r="B814" s="84"/>
      <c r="C814" s="43" t="s">
        <v>176</v>
      </c>
      <c r="D814" s="42">
        <v>22</v>
      </c>
      <c r="E814" s="41">
        <v>6.7832146270773591E-4</v>
      </c>
    </row>
    <row r="815" spans="2:5" ht="15" customHeight="1">
      <c r="B815" s="84"/>
      <c r="C815" s="43" t="s">
        <v>178</v>
      </c>
      <c r="D815" s="42">
        <v>8</v>
      </c>
      <c r="E815" s="41">
        <v>2.4666235007554037E-4</v>
      </c>
    </row>
    <row r="816" spans="2:5" ht="15" customHeight="1">
      <c r="B816" s="84"/>
      <c r="C816" s="43" t="s">
        <v>179</v>
      </c>
      <c r="D816" s="42">
        <v>49</v>
      </c>
      <c r="E816" s="41">
        <v>1.5108068942126845E-3</v>
      </c>
    </row>
    <row r="817" spans="2:5" ht="15" customHeight="1">
      <c r="B817" s="84"/>
      <c r="C817" s="43" t="s">
        <v>129</v>
      </c>
      <c r="D817" s="42">
        <v>2</v>
      </c>
      <c r="E817" s="41">
        <v>6.1665587518885091E-5</v>
      </c>
    </row>
    <row r="818" spans="2:5" ht="15" customHeight="1">
      <c r="B818" s="84"/>
      <c r="C818" s="43" t="s">
        <v>159</v>
      </c>
      <c r="D818" s="42">
        <v>21</v>
      </c>
      <c r="E818" s="41">
        <v>6.4748866894829345E-4</v>
      </c>
    </row>
    <row r="819" spans="2:5" ht="15" customHeight="1">
      <c r="B819" s="84"/>
      <c r="C819" s="43" t="s">
        <v>135</v>
      </c>
      <c r="D819" s="42">
        <v>2</v>
      </c>
      <c r="E819" s="41">
        <v>6.1665587518885091E-5</v>
      </c>
    </row>
    <row r="820" spans="2:5" ht="15" customHeight="1">
      <c r="B820" s="84"/>
      <c r="C820" s="43" t="s">
        <v>168</v>
      </c>
      <c r="D820" s="42">
        <v>25</v>
      </c>
      <c r="E820" s="41">
        <v>7.7081984398606361E-4</v>
      </c>
    </row>
    <row r="821" spans="2:5" ht="15" customHeight="1">
      <c r="B821" s="84"/>
      <c r="C821" s="43" t="s">
        <v>132</v>
      </c>
      <c r="D821" s="42">
        <v>1</v>
      </c>
      <c r="E821" s="41">
        <v>3.0832793759442546E-5</v>
      </c>
    </row>
    <row r="822" spans="2:5" ht="15" customHeight="1">
      <c r="B822" s="84"/>
      <c r="C822" s="43" t="s">
        <v>158</v>
      </c>
      <c r="D822" s="42">
        <v>6</v>
      </c>
      <c r="E822" s="41">
        <v>1.8499676255665526E-4</v>
      </c>
    </row>
    <row r="823" spans="2:5" ht="15" customHeight="1">
      <c r="B823" s="84"/>
      <c r="C823" s="43" t="s">
        <v>180</v>
      </c>
      <c r="D823" s="42">
        <v>112</v>
      </c>
      <c r="E823" s="41">
        <v>3.4532729010575648E-3</v>
      </c>
    </row>
    <row r="824" spans="2:5" ht="15" customHeight="1">
      <c r="B824" s="84"/>
      <c r="C824" s="43" t="s">
        <v>177</v>
      </c>
      <c r="D824" s="42">
        <v>9</v>
      </c>
      <c r="E824" s="41">
        <v>2.7749514383498288E-4</v>
      </c>
    </row>
    <row r="825" spans="2:5" ht="15" customHeight="1">
      <c r="B825" s="84"/>
      <c r="C825" s="43" t="s">
        <v>165</v>
      </c>
      <c r="D825" s="42">
        <v>4</v>
      </c>
      <c r="E825" s="41">
        <v>1.2333117503777018E-4</v>
      </c>
    </row>
    <row r="826" spans="2:5" ht="15" customHeight="1">
      <c r="B826" s="84"/>
      <c r="C826" s="43" t="s">
        <v>171</v>
      </c>
      <c r="D826" s="42">
        <v>10</v>
      </c>
      <c r="E826" s="41">
        <v>3.0832793759442544E-4</v>
      </c>
    </row>
    <row r="827" spans="2:5" ht="15" customHeight="1">
      <c r="B827" s="84"/>
      <c r="C827" s="43" t="s">
        <v>181</v>
      </c>
      <c r="D827" s="42">
        <v>47</v>
      </c>
      <c r="E827" s="41">
        <v>1.4491413066937996E-3</v>
      </c>
    </row>
    <row r="828" spans="2:5" ht="15" customHeight="1">
      <c r="B828" s="84"/>
      <c r="C828" s="43" t="s">
        <v>167</v>
      </c>
      <c r="D828" s="42">
        <v>5</v>
      </c>
      <c r="E828" s="41">
        <v>1.5416396879721272E-4</v>
      </c>
    </row>
    <row r="829" spans="2:5" ht="15" customHeight="1">
      <c r="B829" s="84"/>
      <c r="C829" s="43" t="s">
        <v>103</v>
      </c>
      <c r="D829" s="42">
        <v>3</v>
      </c>
      <c r="E829" s="41">
        <v>9.249838127832763E-5</v>
      </c>
    </row>
    <row r="830" spans="2:5" ht="15" customHeight="1">
      <c r="B830" s="84"/>
      <c r="C830" s="43" t="s">
        <v>163</v>
      </c>
      <c r="D830" s="42">
        <v>1</v>
      </c>
      <c r="E830" s="41">
        <v>3.0832793759442546E-5</v>
      </c>
    </row>
    <row r="831" spans="2:5" ht="15" customHeight="1">
      <c r="B831" s="84"/>
      <c r="C831" s="43" t="s">
        <v>182</v>
      </c>
      <c r="D831" s="42">
        <v>63</v>
      </c>
      <c r="E831" s="41">
        <v>1.9424660068448802E-3</v>
      </c>
    </row>
    <row r="832" spans="2:5" ht="15" customHeight="1">
      <c r="B832" s="84"/>
      <c r="C832" s="43" t="s">
        <v>137</v>
      </c>
      <c r="D832" s="42">
        <v>3</v>
      </c>
      <c r="E832" s="41">
        <v>9.249838127832763E-5</v>
      </c>
    </row>
    <row r="833" spans="2:5" ht="15" customHeight="1">
      <c r="B833" s="84"/>
      <c r="C833" s="43" t="s">
        <v>151</v>
      </c>
      <c r="D833" s="42">
        <v>2</v>
      </c>
      <c r="E833" s="41">
        <v>6.1665587518885091E-5</v>
      </c>
    </row>
    <row r="834" spans="2:5" ht="15" customHeight="1">
      <c r="B834" s="84"/>
      <c r="C834" s="43" t="s">
        <v>134</v>
      </c>
      <c r="D834" s="42">
        <v>7</v>
      </c>
      <c r="E834" s="41">
        <v>2.158295563160978E-4</v>
      </c>
    </row>
    <row r="835" spans="2:5" ht="15" customHeight="1">
      <c r="B835" s="84"/>
      <c r="C835" s="43" t="s">
        <v>150</v>
      </c>
      <c r="D835" s="42">
        <v>3</v>
      </c>
      <c r="E835" s="41">
        <v>9.249838127832763E-5</v>
      </c>
    </row>
    <row r="836" spans="2:5" ht="15" customHeight="1">
      <c r="B836" s="84"/>
      <c r="C836" s="43" t="s">
        <v>175</v>
      </c>
      <c r="D836" s="42">
        <v>4</v>
      </c>
      <c r="E836" s="41">
        <v>1.2333117503777018E-4</v>
      </c>
    </row>
    <row r="837" spans="2:5" ht="15" customHeight="1">
      <c r="B837" s="84"/>
      <c r="C837" s="43" t="s">
        <v>157</v>
      </c>
      <c r="D837" s="42">
        <v>4</v>
      </c>
      <c r="E837" s="41">
        <v>1.2333117503777018E-4</v>
      </c>
    </row>
    <row r="838" spans="2:5" ht="15" customHeight="1">
      <c r="B838" s="84"/>
      <c r="C838" s="43" t="s">
        <v>143</v>
      </c>
      <c r="D838" s="42">
        <v>4</v>
      </c>
      <c r="E838" s="41">
        <v>1.2333117503777018E-4</v>
      </c>
    </row>
    <row r="839" spans="2:5" ht="15" customHeight="1">
      <c r="B839" s="84"/>
      <c r="C839" s="43" t="s">
        <v>169</v>
      </c>
      <c r="D839" s="42">
        <v>11</v>
      </c>
      <c r="E839" s="41">
        <v>3.3916073135386795E-4</v>
      </c>
    </row>
    <row r="840" spans="2:5" ht="15" customHeight="1">
      <c r="B840" s="84"/>
      <c r="C840" s="43" t="s">
        <v>160</v>
      </c>
      <c r="D840" s="42">
        <v>7</v>
      </c>
      <c r="E840" s="41">
        <v>2.158295563160978E-4</v>
      </c>
    </row>
    <row r="841" spans="2:5" ht="15" customHeight="1">
      <c r="B841" s="84"/>
      <c r="C841" s="43" t="s">
        <v>131</v>
      </c>
      <c r="D841" s="42">
        <v>2</v>
      </c>
      <c r="E841" s="41">
        <v>6.1665587518885091E-5</v>
      </c>
    </row>
    <row r="842" spans="2:5" ht="15" customHeight="1">
      <c r="B842" s="84"/>
      <c r="C842" s="43" t="s">
        <v>147</v>
      </c>
      <c r="D842" s="42">
        <v>11</v>
      </c>
      <c r="E842" s="41">
        <v>3.3916073135386795E-4</v>
      </c>
    </row>
    <row r="843" spans="2:5" ht="15" customHeight="1">
      <c r="B843" s="84"/>
      <c r="C843" s="43" t="s">
        <v>128</v>
      </c>
      <c r="D843" s="42">
        <v>1</v>
      </c>
      <c r="E843" s="41">
        <v>3.0832793759442546E-5</v>
      </c>
    </row>
    <row r="844" spans="2:5" ht="15" customHeight="1">
      <c r="B844" s="84"/>
      <c r="C844" s="43" t="s">
        <v>130</v>
      </c>
      <c r="D844" s="42">
        <v>4</v>
      </c>
      <c r="E844" s="41">
        <v>1.2333117503777018E-4</v>
      </c>
    </row>
    <row r="845" spans="2:5" ht="15" customHeight="1">
      <c r="B845" s="84"/>
      <c r="C845" s="43" t="s">
        <v>139</v>
      </c>
      <c r="D845" s="42">
        <v>5</v>
      </c>
      <c r="E845" s="41">
        <v>1.5416396879721272E-4</v>
      </c>
    </row>
    <row r="846" spans="2:5" ht="15" customHeight="1">
      <c r="B846" s="84"/>
      <c r="C846" s="43" t="s">
        <v>153</v>
      </c>
      <c r="D846" s="42">
        <v>3</v>
      </c>
      <c r="E846" s="41">
        <v>9.249838127832763E-5</v>
      </c>
    </row>
    <row r="847" spans="2:5" ht="15" customHeight="1">
      <c r="B847" s="84"/>
      <c r="C847" s="43" t="s">
        <v>141</v>
      </c>
      <c r="D847" s="42">
        <v>1</v>
      </c>
      <c r="E847" s="41">
        <v>3.0832793759442546E-5</v>
      </c>
    </row>
    <row r="848" spans="2:5" ht="15" customHeight="1">
      <c r="B848" s="84"/>
      <c r="C848" s="43" t="s">
        <v>149</v>
      </c>
      <c r="D848" s="42">
        <v>2</v>
      </c>
      <c r="E848" s="41">
        <v>6.1665587518885091E-5</v>
      </c>
    </row>
    <row r="849" spans="2:5" ht="15" customHeight="1">
      <c r="B849" s="84"/>
      <c r="C849" s="43" t="s">
        <v>146</v>
      </c>
      <c r="D849" s="42">
        <v>3</v>
      </c>
      <c r="E849" s="41">
        <v>9.249838127832763E-5</v>
      </c>
    </row>
    <row r="850" spans="2:5" ht="15" customHeight="1">
      <c r="B850" s="84"/>
      <c r="C850" s="43" t="s">
        <v>144</v>
      </c>
      <c r="D850" s="42">
        <v>4</v>
      </c>
      <c r="E850" s="41">
        <v>1.2333117503777018E-4</v>
      </c>
    </row>
    <row r="851" spans="2:5" ht="15" customHeight="1">
      <c r="B851" s="84"/>
      <c r="C851" s="43" t="s">
        <v>155</v>
      </c>
      <c r="D851" s="42">
        <v>11</v>
      </c>
      <c r="E851" s="41">
        <v>3.3916073135386795E-4</v>
      </c>
    </row>
    <row r="852" spans="2:5" ht="15" customHeight="1">
      <c r="B852" s="84"/>
      <c r="C852" s="43" t="s">
        <v>138</v>
      </c>
      <c r="D852" s="42">
        <v>1</v>
      </c>
      <c r="E852" s="41">
        <v>3.0832793759442546E-5</v>
      </c>
    </row>
    <row r="853" spans="2:5" ht="15" customHeight="1">
      <c r="B853" s="84"/>
      <c r="C853" s="43" t="s">
        <v>173</v>
      </c>
      <c r="D853" s="42">
        <v>7</v>
      </c>
      <c r="E853" s="41">
        <v>2.158295563160978E-4</v>
      </c>
    </row>
    <row r="854" spans="2:5" ht="15" customHeight="1">
      <c r="B854" s="84"/>
      <c r="C854" s="43" t="s">
        <v>154</v>
      </c>
      <c r="D854" s="42">
        <v>8</v>
      </c>
      <c r="E854" s="41">
        <v>2.4666235007554037E-4</v>
      </c>
    </row>
    <row r="855" spans="2:5" ht="15" customHeight="1">
      <c r="B855" s="84"/>
      <c r="C855" s="43" t="s">
        <v>162</v>
      </c>
      <c r="D855" s="42">
        <v>8</v>
      </c>
      <c r="E855" s="41">
        <v>2.4666235007554037E-4</v>
      </c>
    </row>
    <row r="856" spans="2:5" ht="15" customHeight="1">
      <c r="B856" s="84"/>
      <c r="C856" s="43" t="s">
        <v>161</v>
      </c>
      <c r="D856" s="42">
        <v>2</v>
      </c>
      <c r="E856" s="41">
        <v>6.1665587518885091E-5</v>
      </c>
    </row>
    <row r="857" spans="2:5" ht="15" customHeight="1">
      <c r="B857" s="84"/>
      <c r="C857" s="43" t="s">
        <v>166</v>
      </c>
      <c r="D857" s="42">
        <v>17</v>
      </c>
      <c r="E857" s="41">
        <v>5.2415749391052319E-4</v>
      </c>
    </row>
    <row r="858" spans="2:5" ht="15" customHeight="1">
      <c r="B858" s="84"/>
      <c r="C858" s="43" t="s">
        <v>145</v>
      </c>
      <c r="D858" s="42">
        <v>2</v>
      </c>
      <c r="E858" s="41">
        <v>6.1665587518885091E-5</v>
      </c>
    </row>
    <row r="859" spans="2:5" ht="15" customHeight="1">
      <c r="B859" s="85"/>
      <c r="C859" s="40" t="s">
        <v>23</v>
      </c>
      <c r="D859" s="39">
        <v>611</v>
      </c>
      <c r="E859" s="38">
        <v>1.8838836987019394E-2</v>
      </c>
    </row>
    <row r="860" spans="2:5" ht="15" customHeight="1">
      <c r="B860" s="83" t="s">
        <v>97</v>
      </c>
      <c r="C860" s="43" t="s">
        <v>172</v>
      </c>
      <c r="D860" s="42">
        <v>4</v>
      </c>
      <c r="E860" s="41">
        <v>1.2333117503777018E-4</v>
      </c>
    </row>
    <row r="861" spans="2:5" ht="15" customHeight="1">
      <c r="B861" s="84"/>
      <c r="C861" s="43" t="s">
        <v>148</v>
      </c>
      <c r="D861" s="42">
        <v>4</v>
      </c>
      <c r="E861" s="41">
        <v>1.2333117503777018E-4</v>
      </c>
    </row>
    <row r="862" spans="2:5" ht="15" customHeight="1">
      <c r="B862" s="84"/>
      <c r="C862" s="43" t="s">
        <v>152</v>
      </c>
      <c r="D862" s="42">
        <v>9</v>
      </c>
      <c r="E862" s="41">
        <v>2.7749514383498288E-4</v>
      </c>
    </row>
    <row r="863" spans="2:5" ht="15" customHeight="1">
      <c r="B863" s="84"/>
      <c r="C863" s="43" t="s">
        <v>142</v>
      </c>
      <c r="D863" s="42">
        <v>2</v>
      </c>
      <c r="E863" s="41">
        <v>6.1665587518885091E-5</v>
      </c>
    </row>
    <row r="864" spans="2:5" ht="15" customHeight="1">
      <c r="B864" s="84"/>
      <c r="C864" s="43" t="s">
        <v>136</v>
      </c>
      <c r="D864" s="42">
        <v>1</v>
      </c>
      <c r="E864" s="41">
        <v>3.0832793759442546E-5</v>
      </c>
    </row>
    <row r="865" spans="2:5" ht="15" customHeight="1">
      <c r="B865" s="84"/>
      <c r="C865" s="43" t="s">
        <v>170</v>
      </c>
      <c r="D865" s="42">
        <v>4</v>
      </c>
      <c r="E865" s="41">
        <v>1.2333117503777018E-4</v>
      </c>
    </row>
    <row r="866" spans="2:5" ht="15" customHeight="1">
      <c r="B866" s="84"/>
      <c r="C866" s="43" t="s">
        <v>174</v>
      </c>
      <c r="D866" s="42">
        <v>3</v>
      </c>
      <c r="E866" s="41">
        <v>9.249838127832763E-5</v>
      </c>
    </row>
    <row r="867" spans="2:5" ht="15" customHeight="1">
      <c r="B867" s="84"/>
      <c r="C867" s="43" t="s">
        <v>127</v>
      </c>
      <c r="D867" s="42">
        <v>1</v>
      </c>
      <c r="E867" s="41">
        <v>3.0832793759442546E-5</v>
      </c>
    </row>
    <row r="868" spans="2:5" ht="15" customHeight="1">
      <c r="B868" s="84"/>
      <c r="C868" s="43" t="s">
        <v>176</v>
      </c>
      <c r="D868" s="42">
        <v>8</v>
      </c>
      <c r="E868" s="41">
        <v>2.4666235007554037E-4</v>
      </c>
    </row>
    <row r="869" spans="2:5" ht="15" customHeight="1">
      <c r="B869" s="84"/>
      <c r="C869" s="43" t="s">
        <v>178</v>
      </c>
      <c r="D869" s="42">
        <v>23</v>
      </c>
      <c r="E869" s="41">
        <v>7.0915425646717847E-4</v>
      </c>
    </row>
    <row r="870" spans="2:5" ht="15" customHeight="1">
      <c r="B870" s="84"/>
      <c r="C870" s="43" t="s">
        <v>179</v>
      </c>
      <c r="D870" s="42">
        <v>13</v>
      </c>
      <c r="E870" s="41">
        <v>4.0082631887275309E-4</v>
      </c>
    </row>
    <row r="871" spans="2:5" ht="15" customHeight="1">
      <c r="B871" s="84"/>
      <c r="C871" s="43" t="s">
        <v>129</v>
      </c>
      <c r="D871" s="42">
        <v>1</v>
      </c>
      <c r="E871" s="41">
        <v>3.0832793759442546E-5</v>
      </c>
    </row>
    <row r="872" spans="2:5" ht="15" customHeight="1">
      <c r="B872" s="84"/>
      <c r="C872" s="43" t="s">
        <v>159</v>
      </c>
      <c r="D872" s="42">
        <v>7</v>
      </c>
      <c r="E872" s="41">
        <v>2.158295563160978E-4</v>
      </c>
    </row>
    <row r="873" spans="2:5" ht="15" customHeight="1">
      <c r="B873" s="84"/>
      <c r="C873" s="43" t="s">
        <v>135</v>
      </c>
      <c r="D873" s="42">
        <v>1</v>
      </c>
      <c r="E873" s="41">
        <v>3.0832793759442546E-5</v>
      </c>
    </row>
    <row r="874" spans="2:5" ht="15" customHeight="1">
      <c r="B874" s="84"/>
      <c r="C874" s="43" t="s">
        <v>168</v>
      </c>
      <c r="D874" s="42">
        <v>7</v>
      </c>
      <c r="E874" s="41">
        <v>2.158295563160978E-4</v>
      </c>
    </row>
    <row r="875" spans="2:5" ht="15" customHeight="1">
      <c r="B875" s="84"/>
      <c r="C875" s="43" t="s">
        <v>158</v>
      </c>
      <c r="D875" s="42">
        <v>1</v>
      </c>
      <c r="E875" s="41">
        <v>3.0832793759442546E-5</v>
      </c>
    </row>
    <row r="876" spans="2:5" ht="15" customHeight="1">
      <c r="B876" s="84"/>
      <c r="C876" s="43" t="s">
        <v>180</v>
      </c>
      <c r="D876" s="42">
        <v>7</v>
      </c>
      <c r="E876" s="41">
        <v>2.158295563160978E-4</v>
      </c>
    </row>
    <row r="877" spans="2:5" ht="15" customHeight="1">
      <c r="B877" s="84"/>
      <c r="C877" s="43" t="s">
        <v>126</v>
      </c>
      <c r="D877" s="42">
        <v>1</v>
      </c>
      <c r="E877" s="41">
        <v>3.0832793759442546E-5</v>
      </c>
    </row>
    <row r="878" spans="2:5" ht="15" customHeight="1">
      <c r="B878" s="84"/>
      <c r="C878" s="43" t="s">
        <v>177</v>
      </c>
      <c r="D878" s="42">
        <v>8</v>
      </c>
      <c r="E878" s="41">
        <v>2.4666235007554037E-4</v>
      </c>
    </row>
    <row r="879" spans="2:5" ht="15" customHeight="1">
      <c r="B879" s="84"/>
      <c r="C879" s="43" t="s">
        <v>165</v>
      </c>
      <c r="D879" s="42">
        <v>2</v>
      </c>
      <c r="E879" s="41">
        <v>6.1665587518885091E-5</v>
      </c>
    </row>
    <row r="880" spans="2:5" ht="15" customHeight="1">
      <c r="B880" s="84"/>
      <c r="C880" s="43" t="s">
        <v>171</v>
      </c>
      <c r="D880" s="42">
        <v>9</v>
      </c>
      <c r="E880" s="41">
        <v>2.7749514383498288E-4</v>
      </c>
    </row>
    <row r="881" spans="2:5" ht="15" customHeight="1">
      <c r="B881" s="84"/>
      <c r="C881" s="43" t="s">
        <v>181</v>
      </c>
      <c r="D881" s="42">
        <v>72</v>
      </c>
      <c r="E881" s="41">
        <v>2.219961150679863E-3</v>
      </c>
    </row>
    <row r="882" spans="2:5" ht="15" customHeight="1">
      <c r="B882" s="84"/>
      <c r="C882" s="43" t="s">
        <v>167</v>
      </c>
      <c r="D882" s="42">
        <v>3</v>
      </c>
      <c r="E882" s="41">
        <v>9.249838127832763E-5</v>
      </c>
    </row>
    <row r="883" spans="2:5" ht="15" customHeight="1">
      <c r="B883" s="84"/>
      <c r="C883" s="43" t="s">
        <v>163</v>
      </c>
      <c r="D883" s="42">
        <v>6</v>
      </c>
      <c r="E883" s="41">
        <v>1.8499676255665526E-4</v>
      </c>
    </row>
    <row r="884" spans="2:5" ht="15" customHeight="1">
      <c r="B884" s="84"/>
      <c r="C884" s="43" t="s">
        <v>182</v>
      </c>
      <c r="D884" s="42">
        <v>24</v>
      </c>
      <c r="E884" s="41">
        <v>7.3998705022662104E-4</v>
      </c>
    </row>
    <row r="885" spans="2:5" ht="15" customHeight="1">
      <c r="B885" s="84"/>
      <c r="C885" s="43" t="s">
        <v>151</v>
      </c>
      <c r="D885" s="42">
        <v>1</v>
      </c>
      <c r="E885" s="41">
        <v>3.0832793759442546E-5</v>
      </c>
    </row>
    <row r="886" spans="2:5" ht="15" customHeight="1">
      <c r="B886" s="84"/>
      <c r="C886" s="43" t="s">
        <v>134</v>
      </c>
      <c r="D886" s="42">
        <v>1</v>
      </c>
      <c r="E886" s="41">
        <v>3.0832793759442546E-5</v>
      </c>
    </row>
    <row r="887" spans="2:5" ht="15" customHeight="1">
      <c r="B887" s="84"/>
      <c r="C887" s="43" t="s">
        <v>150</v>
      </c>
      <c r="D887" s="42">
        <v>4</v>
      </c>
      <c r="E887" s="41">
        <v>1.2333117503777018E-4</v>
      </c>
    </row>
    <row r="888" spans="2:5" ht="15" customHeight="1">
      <c r="B888" s="84"/>
      <c r="C888" s="43" t="s">
        <v>175</v>
      </c>
      <c r="D888" s="42">
        <v>3</v>
      </c>
      <c r="E888" s="41">
        <v>9.249838127832763E-5</v>
      </c>
    </row>
    <row r="889" spans="2:5" ht="15" customHeight="1">
      <c r="B889" s="84"/>
      <c r="C889" s="43" t="s">
        <v>143</v>
      </c>
      <c r="D889" s="42">
        <v>1</v>
      </c>
      <c r="E889" s="41">
        <v>3.0832793759442546E-5</v>
      </c>
    </row>
    <row r="890" spans="2:5" ht="15" customHeight="1">
      <c r="B890" s="84"/>
      <c r="C890" s="43" t="s">
        <v>169</v>
      </c>
      <c r="D890" s="42">
        <v>7</v>
      </c>
      <c r="E890" s="41">
        <v>2.158295563160978E-4</v>
      </c>
    </row>
    <row r="891" spans="2:5" ht="15" customHeight="1">
      <c r="B891" s="84"/>
      <c r="C891" s="43" t="s">
        <v>160</v>
      </c>
      <c r="D891" s="42">
        <v>7</v>
      </c>
      <c r="E891" s="41">
        <v>2.158295563160978E-4</v>
      </c>
    </row>
    <row r="892" spans="2:5" ht="15" customHeight="1">
      <c r="B892" s="84"/>
      <c r="C892" s="43" t="s">
        <v>133</v>
      </c>
      <c r="D892" s="42">
        <v>1</v>
      </c>
      <c r="E892" s="41">
        <v>3.0832793759442546E-5</v>
      </c>
    </row>
    <row r="893" spans="2:5" ht="15" customHeight="1">
      <c r="B893" s="84"/>
      <c r="C893" s="43" t="s">
        <v>147</v>
      </c>
      <c r="D893" s="42">
        <v>3</v>
      </c>
      <c r="E893" s="41">
        <v>9.249838127832763E-5</v>
      </c>
    </row>
    <row r="894" spans="2:5" ht="15" customHeight="1">
      <c r="B894" s="84"/>
      <c r="C894" s="43" t="s">
        <v>153</v>
      </c>
      <c r="D894" s="42">
        <v>1</v>
      </c>
      <c r="E894" s="41">
        <v>3.0832793759442546E-5</v>
      </c>
    </row>
    <row r="895" spans="2:5" ht="15" customHeight="1">
      <c r="B895" s="84"/>
      <c r="C895" s="43" t="s">
        <v>144</v>
      </c>
      <c r="D895" s="42">
        <v>1</v>
      </c>
      <c r="E895" s="41">
        <v>3.0832793759442546E-5</v>
      </c>
    </row>
    <row r="896" spans="2:5" ht="15" customHeight="1">
      <c r="B896" s="84"/>
      <c r="C896" s="43" t="s">
        <v>155</v>
      </c>
      <c r="D896" s="42">
        <v>3</v>
      </c>
      <c r="E896" s="41">
        <v>9.249838127832763E-5</v>
      </c>
    </row>
    <row r="897" spans="2:5" ht="15" customHeight="1">
      <c r="B897" s="84"/>
      <c r="C897" s="43" t="s">
        <v>138</v>
      </c>
      <c r="D897" s="42">
        <v>1</v>
      </c>
      <c r="E897" s="41">
        <v>3.0832793759442546E-5</v>
      </c>
    </row>
    <row r="898" spans="2:5" ht="15" customHeight="1">
      <c r="B898" s="84"/>
      <c r="C898" s="43" t="s">
        <v>173</v>
      </c>
      <c r="D898" s="42">
        <v>5</v>
      </c>
      <c r="E898" s="41">
        <v>1.5416396879721272E-4</v>
      </c>
    </row>
    <row r="899" spans="2:5" ht="15" customHeight="1">
      <c r="B899" s="84"/>
      <c r="C899" s="43" t="s">
        <v>154</v>
      </c>
      <c r="D899" s="42">
        <v>4</v>
      </c>
      <c r="E899" s="41">
        <v>1.2333117503777018E-4</v>
      </c>
    </row>
    <row r="900" spans="2:5" ht="15" customHeight="1">
      <c r="B900" s="84"/>
      <c r="C900" s="43" t="s">
        <v>161</v>
      </c>
      <c r="D900" s="42">
        <v>2</v>
      </c>
      <c r="E900" s="41">
        <v>6.1665587518885091E-5</v>
      </c>
    </row>
    <row r="901" spans="2:5" ht="15" customHeight="1">
      <c r="B901" s="84"/>
      <c r="C901" s="43" t="s">
        <v>166</v>
      </c>
      <c r="D901" s="42">
        <v>25</v>
      </c>
      <c r="E901" s="41">
        <v>7.7081984398606361E-4</v>
      </c>
    </row>
    <row r="902" spans="2:5" ht="15" customHeight="1">
      <c r="B902" s="84"/>
      <c r="C902" s="43" t="s">
        <v>145</v>
      </c>
      <c r="D902" s="42">
        <v>3</v>
      </c>
      <c r="E902" s="41">
        <v>9.249838127832763E-5</v>
      </c>
    </row>
    <row r="903" spans="2:5" ht="15" customHeight="1">
      <c r="B903" s="85"/>
      <c r="C903" s="40" t="s">
        <v>23</v>
      </c>
      <c r="D903" s="39">
        <v>294</v>
      </c>
      <c r="E903" s="38">
        <v>9.0648413652761068E-3</v>
      </c>
    </row>
    <row r="904" spans="2:5" ht="15" customHeight="1">
      <c r="B904" s="83" t="s">
        <v>96</v>
      </c>
      <c r="C904" s="43" t="s">
        <v>148</v>
      </c>
      <c r="D904" s="42">
        <v>3</v>
      </c>
      <c r="E904" s="41">
        <v>9.249838127832763E-5</v>
      </c>
    </row>
    <row r="905" spans="2:5" ht="15" customHeight="1">
      <c r="B905" s="84"/>
      <c r="C905" s="43" t="s">
        <v>152</v>
      </c>
      <c r="D905" s="42">
        <v>1</v>
      </c>
      <c r="E905" s="41">
        <v>3.0832793759442546E-5</v>
      </c>
    </row>
    <row r="906" spans="2:5" ht="15" customHeight="1">
      <c r="B906" s="84"/>
      <c r="C906" s="43" t="s">
        <v>142</v>
      </c>
      <c r="D906" s="42">
        <v>1</v>
      </c>
      <c r="E906" s="41">
        <v>3.0832793759442546E-5</v>
      </c>
    </row>
    <row r="907" spans="2:5" ht="15" customHeight="1">
      <c r="B907" s="84"/>
      <c r="C907" s="43" t="s">
        <v>136</v>
      </c>
      <c r="D907" s="42">
        <v>1</v>
      </c>
      <c r="E907" s="41">
        <v>3.0832793759442546E-5</v>
      </c>
    </row>
    <row r="908" spans="2:5" ht="15" customHeight="1">
      <c r="B908" s="84"/>
      <c r="C908" s="43" t="s">
        <v>170</v>
      </c>
      <c r="D908" s="42">
        <v>2</v>
      </c>
      <c r="E908" s="41">
        <v>6.1665587518885091E-5</v>
      </c>
    </row>
    <row r="909" spans="2:5" ht="15" customHeight="1">
      <c r="B909" s="84"/>
      <c r="C909" s="43" t="s">
        <v>140</v>
      </c>
      <c r="D909" s="42">
        <v>1</v>
      </c>
      <c r="E909" s="41">
        <v>3.0832793759442546E-5</v>
      </c>
    </row>
    <row r="910" spans="2:5" ht="15" customHeight="1">
      <c r="B910" s="84"/>
      <c r="C910" s="43" t="s">
        <v>174</v>
      </c>
      <c r="D910" s="42">
        <v>2</v>
      </c>
      <c r="E910" s="41">
        <v>6.1665587518885091E-5</v>
      </c>
    </row>
    <row r="911" spans="2:5" ht="15" customHeight="1">
      <c r="B911" s="84"/>
      <c r="C911" s="43" t="s">
        <v>164</v>
      </c>
      <c r="D911" s="42">
        <v>1</v>
      </c>
      <c r="E911" s="41">
        <v>3.0832793759442546E-5</v>
      </c>
    </row>
    <row r="912" spans="2:5" ht="15" customHeight="1">
      <c r="B912" s="84"/>
      <c r="C912" s="43" t="s">
        <v>176</v>
      </c>
      <c r="D912" s="42">
        <v>8</v>
      </c>
      <c r="E912" s="41">
        <v>2.4666235007554037E-4</v>
      </c>
    </row>
    <row r="913" spans="2:5" ht="15" customHeight="1">
      <c r="B913" s="84"/>
      <c r="C913" s="43" t="s">
        <v>178</v>
      </c>
      <c r="D913" s="42">
        <v>1</v>
      </c>
      <c r="E913" s="41">
        <v>3.0832793759442546E-5</v>
      </c>
    </row>
    <row r="914" spans="2:5" ht="15" customHeight="1">
      <c r="B914" s="84"/>
      <c r="C914" s="43" t="s">
        <v>179</v>
      </c>
      <c r="D914" s="42">
        <v>9</v>
      </c>
      <c r="E914" s="41">
        <v>2.7749514383498288E-4</v>
      </c>
    </row>
    <row r="915" spans="2:5" ht="15" customHeight="1">
      <c r="B915" s="84"/>
      <c r="C915" s="43" t="s">
        <v>159</v>
      </c>
      <c r="D915" s="42">
        <v>1</v>
      </c>
      <c r="E915" s="41">
        <v>3.0832793759442546E-5</v>
      </c>
    </row>
    <row r="916" spans="2:5" ht="15" customHeight="1">
      <c r="B916" s="84"/>
      <c r="C916" s="43" t="s">
        <v>168</v>
      </c>
      <c r="D916" s="42">
        <v>1</v>
      </c>
      <c r="E916" s="41">
        <v>3.0832793759442546E-5</v>
      </c>
    </row>
    <row r="917" spans="2:5" ht="15" customHeight="1">
      <c r="B917" s="84"/>
      <c r="C917" s="43" t="s">
        <v>132</v>
      </c>
      <c r="D917" s="42">
        <v>1</v>
      </c>
      <c r="E917" s="41">
        <v>3.0832793759442546E-5</v>
      </c>
    </row>
    <row r="918" spans="2:5" ht="15" customHeight="1">
      <c r="B918" s="84"/>
      <c r="C918" s="43" t="s">
        <v>180</v>
      </c>
      <c r="D918" s="42">
        <v>5</v>
      </c>
      <c r="E918" s="41">
        <v>1.5416396879721272E-4</v>
      </c>
    </row>
    <row r="919" spans="2:5" ht="15" customHeight="1">
      <c r="B919" s="84"/>
      <c r="C919" s="43" t="s">
        <v>167</v>
      </c>
      <c r="D919" s="42">
        <v>1</v>
      </c>
      <c r="E919" s="41">
        <v>3.0832793759442546E-5</v>
      </c>
    </row>
    <row r="920" spans="2:5" ht="15" customHeight="1">
      <c r="B920" s="84"/>
      <c r="C920" s="43" t="s">
        <v>182</v>
      </c>
      <c r="D920" s="42">
        <v>28</v>
      </c>
      <c r="E920" s="41">
        <v>8.633182252643912E-4</v>
      </c>
    </row>
    <row r="921" spans="2:5" ht="15" customHeight="1">
      <c r="B921" s="84"/>
      <c r="C921" s="43" t="s">
        <v>175</v>
      </c>
      <c r="D921" s="42">
        <v>6</v>
      </c>
      <c r="E921" s="41">
        <v>1.8499676255665526E-4</v>
      </c>
    </row>
    <row r="922" spans="2:5" ht="15" customHeight="1">
      <c r="B922" s="84"/>
      <c r="C922" s="43" t="s">
        <v>160</v>
      </c>
      <c r="D922" s="42">
        <v>1</v>
      </c>
      <c r="E922" s="41">
        <v>3.0832793759442546E-5</v>
      </c>
    </row>
    <row r="923" spans="2:5" ht="15" customHeight="1">
      <c r="B923" s="84"/>
      <c r="C923" s="43" t="s">
        <v>147</v>
      </c>
      <c r="D923" s="42">
        <v>1</v>
      </c>
      <c r="E923" s="41">
        <v>3.0832793759442546E-5</v>
      </c>
    </row>
    <row r="924" spans="2:5" ht="15" customHeight="1">
      <c r="B924" s="84"/>
      <c r="C924" s="43" t="s">
        <v>153</v>
      </c>
      <c r="D924" s="42">
        <v>1</v>
      </c>
      <c r="E924" s="41">
        <v>3.0832793759442546E-5</v>
      </c>
    </row>
    <row r="925" spans="2:5" ht="15" customHeight="1">
      <c r="B925" s="84"/>
      <c r="C925" s="43" t="s">
        <v>149</v>
      </c>
      <c r="D925" s="42">
        <v>1</v>
      </c>
      <c r="E925" s="41">
        <v>3.0832793759442546E-5</v>
      </c>
    </row>
    <row r="926" spans="2:5" ht="15" customHeight="1">
      <c r="B926" s="84"/>
      <c r="C926" s="43" t="s">
        <v>154</v>
      </c>
      <c r="D926" s="42">
        <v>2</v>
      </c>
      <c r="E926" s="41">
        <v>6.1665587518885091E-5</v>
      </c>
    </row>
    <row r="927" spans="2:5" ht="15" customHeight="1">
      <c r="B927" s="84"/>
      <c r="C927" s="43" t="s">
        <v>162</v>
      </c>
      <c r="D927" s="42">
        <v>1</v>
      </c>
      <c r="E927" s="41">
        <v>3.0832793759442546E-5</v>
      </c>
    </row>
    <row r="928" spans="2:5" ht="15" customHeight="1">
      <c r="B928" s="84"/>
      <c r="C928" s="43" t="s">
        <v>161</v>
      </c>
      <c r="D928" s="42">
        <v>4</v>
      </c>
      <c r="E928" s="41">
        <v>1.2333117503777018E-4</v>
      </c>
    </row>
    <row r="929" spans="2:5" ht="15" customHeight="1">
      <c r="B929" s="84"/>
      <c r="C929" s="43" t="s">
        <v>166</v>
      </c>
      <c r="D929" s="42">
        <v>2</v>
      </c>
      <c r="E929" s="41">
        <v>6.1665587518885091E-5</v>
      </c>
    </row>
    <row r="930" spans="2:5" ht="15" customHeight="1">
      <c r="B930" s="85"/>
      <c r="C930" s="40" t="s">
        <v>23</v>
      </c>
      <c r="D930" s="39">
        <v>86</v>
      </c>
      <c r="E930" s="38">
        <v>2.6516202633120587E-3</v>
      </c>
    </row>
    <row r="931" spans="2:5" ht="15" customHeight="1">
      <c r="B931" s="83" t="s">
        <v>89</v>
      </c>
      <c r="C931" s="43" t="s">
        <v>172</v>
      </c>
      <c r="D931" s="42">
        <v>4</v>
      </c>
      <c r="E931" s="41">
        <v>1.2333117503777018E-4</v>
      </c>
    </row>
    <row r="932" spans="2:5" ht="15" customHeight="1">
      <c r="B932" s="84"/>
      <c r="C932" s="43" t="s">
        <v>152</v>
      </c>
      <c r="D932" s="42">
        <v>12</v>
      </c>
      <c r="E932" s="41">
        <v>3.6999352511331052E-4</v>
      </c>
    </row>
    <row r="933" spans="2:5" ht="15" customHeight="1">
      <c r="B933" s="84"/>
      <c r="C933" s="43" t="s">
        <v>136</v>
      </c>
      <c r="D933" s="42">
        <v>1</v>
      </c>
      <c r="E933" s="41">
        <v>3.0832793759442546E-5</v>
      </c>
    </row>
    <row r="934" spans="2:5" ht="15" customHeight="1">
      <c r="B934" s="84"/>
      <c r="C934" s="43" t="s">
        <v>170</v>
      </c>
      <c r="D934" s="42">
        <v>13</v>
      </c>
      <c r="E934" s="41">
        <v>4.0082631887275309E-4</v>
      </c>
    </row>
    <row r="935" spans="2:5" ht="15" customHeight="1">
      <c r="B935" s="84"/>
      <c r="C935" s="43" t="s">
        <v>156</v>
      </c>
      <c r="D935" s="42">
        <v>1</v>
      </c>
      <c r="E935" s="41">
        <v>3.0832793759442546E-5</v>
      </c>
    </row>
    <row r="936" spans="2:5" ht="15" customHeight="1">
      <c r="B936" s="84"/>
      <c r="C936" s="43" t="s">
        <v>174</v>
      </c>
      <c r="D936" s="42">
        <v>30</v>
      </c>
      <c r="E936" s="41">
        <v>9.2498381278327633E-4</v>
      </c>
    </row>
    <row r="937" spans="2:5" ht="15" customHeight="1">
      <c r="B937" s="84"/>
      <c r="C937" s="43" t="s">
        <v>127</v>
      </c>
      <c r="D937" s="42">
        <v>1</v>
      </c>
      <c r="E937" s="41">
        <v>3.0832793759442546E-5</v>
      </c>
    </row>
    <row r="938" spans="2:5" ht="15" customHeight="1">
      <c r="B938" s="84"/>
      <c r="C938" s="43" t="s">
        <v>164</v>
      </c>
      <c r="D938" s="42">
        <v>3</v>
      </c>
      <c r="E938" s="41">
        <v>9.249838127832763E-5</v>
      </c>
    </row>
    <row r="939" spans="2:5" ht="15" customHeight="1">
      <c r="B939" s="84"/>
      <c r="C939" s="43" t="s">
        <v>176</v>
      </c>
      <c r="D939" s="42">
        <v>13</v>
      </c>
      <c r="E939" s="41">
        <v>4.0082631887275309E-4</v>
      </c>
    </row>
    <row r="940" spans="2:5" ht="15" customHeight="1">
      <c r="B940" s="84"/>
      <c r="C940" s="43" t="s">
        <v>178</v>
      </c>
      <c r="D940" s="42">
        <v>34</v>
      </c>
      <c r="E940" s="41">
        <v>1.0483149878210464E-3</v>
      </c>
    </row>
    <row r="941" spans="2:5" ht="15" customHeight="1">
      <c r="B941" s="84"/>
      <c r="C941" s="43" t="s">
        <v>179</v>
      </c>
      <c r="D941" s="42">
        <v>20</v>
      </c>
      <c r="E941" s="41">
        <v>6.1665587518885089E-4</v>
      </c>
    </row>
    <row r="942" spans="2:5" ht="15" customHeight="1">
      <c r="B942" s="84"/>
      <c r="C942" s="43" t="s">
        <v>129</v>
      </c>
      <c r="D942" s="42">
        <v>1</v>
      </c>
      <c r="E942" s="41">
        <v>3.0832793759442546E-5</v>
      </c>
    </row>
    <row r="943" spans="2:5" ht="15" customHeight="1">
      <c r="B943" s="84"/>
      <c r="C943" s="43" t="s">
        <v>159</v>
      </c>
      <c r="D943" s="42">
        <v>15</v>
      </c>
      <c r="E943" s="41">
        <v>4.6249190639163816E-4</v>
      </c>
    </row>
    <row r="944" spans="2:5" ht="15" customHeight="1">
      <c r="B944" s="84"/>
      <c r="C944" s="43" t="s">
        <v>168</v>
      </c>
      <c r="D944" s="42">
        <v>5</v>
      </c>
      <c r="E944" s="41">
        <v>1.5416396879721272E-4</v>
      </c>
    </row>
    <row r="945" spans="2:5" ht="15" customHeight="1">
      <c r="B945" s="84"/>
      <c r="C945" s="43" t="s">
        <v>132</v>
      </c>
      <c r="D945" s="42">
        <v>3</v>
      </c>
      <c r="E945" s="41">
        <v>9.249838127832763E-5</v>
      </c>
    </row>
    <row r="946" spans="2:5" ht="15" customHeight="1">
      <c r="B946" s="84"/>
      <c r="C946" s="43" t="s">
        <v>158</v>
      </c>
      <c r="D946" s="42">
        <v>4</v>
      </c>
      <c r="E946" s="41">
        <v>1.2333117503777018E-4</v>
      </c>
    </row>
    <row r="947" spans="2:5" ht="15" customHeight="1">
      <c r="B947" s="84"/>
      <c r="C947" s="43" t="s">
        <v>180</v>
      </c>
      <c r="D947" s="42">
        <v>17</v>
      </c>
      <c r="E947" s="41">
        <v>5.2415749391052319E-4</v>
      </c>
    </row>
    <row r="948" spans="2:5" ht="15" customHeight="1">
      <c r="B948" s="84"/>
      <c r="C948" s="43" t="s">
        <v>177</v>
      </c>
      <c r="D948" s="42">
        <v>6</v>
      </c>
      <c r="E948" s="41">
        <v>1.8499676255665526E-4</v>
      </c>
    </row>
    <row r="949" spans="2:5" ht="15" customHeight="1">
      <c r="B949" s="84"/>
      <c r="C949" s="43" t="s">
        <v>165</v>
      </c>
      <c r="D949" s="42">
        <v>1</v>
      </c>
      <c r="E949" s="41">
        <v>3.0832793759442546E-5</v>
      </c>
    </row>
    <row r="950" spans="2:5" ht="15" customHeight="1">
      <c r="B950" s="84"/>
      <c r="C950" s="43" t="s">
        <v>171</v>
      </c>
      <c r="D950" s="42">
        <v>15</v>
      </c>
      <c r="E950" s="41">
        <v>4.6249190639163816E-4</v>
      </c>
    </row>
    <row r="951" spans="2:5" ht="15" customHeight="1">
      <c r="B951" s="84"/>
      <c r="C951" s="43" t="s">
        <v>181</v>
      </c>
      <c r="D951" s="42">
        <v>76</v>
      </c>
      <c r="E951" s="41">
        <v>2.3432923257176333E-3</v>
      </c>
    </row>
    <row r="952" spans="2:5" ht="15" customHeight="1">
      <c r="B952" s="84"/>
      <c r="C952" s="43" t="s">
        <v>167</v>
      </c>
      <c r="D952" s="42">
        <v>4</v>
      </c>
      <c r="E952" s="41">
        <v>1.2333117503777018E-4</v>
      </c>
    </row>
    <row r="953" spans="2:5" ht="15" customHeight="1">
      <c r="B953" s="84"/>
      <c r="C953" s="43" t="s">
        <v>103</v>
      </c>
      <c r="D953" s="42">
        <v>1</v>
      </c>
      <c r="E953" s="41">
        <v>3.0832793759442546E-5</v>
      </c>
    </row>
    <row r="954" spans="2:5" ht="15" customHeight="1">
      <c r="B954" s="84"/>
      <c r="C954" s="43" t="s">
        <v>163</v>
      </c>
      <c r="D954" s="42">
        <v>6</v>
      </c>
      <c r="E954" s="41">
        <v>1.8499676255665526E-4</v>
      </c>
    </row>
    <row r="955" spans="2:5" ht="15" customHeight="1">
      <c r="B955" s="84"/>
      <c r="C955" s="43" t="s">
        <v>182</v>
      </c>
      <c r="D955" s="42">
        <v>36</v>
      </c>
      <c r="E955" s="41">
        <v>1.1099805753399315E-3</v>
      </c>
    </row>
    <row r="956" spans="2:5" ht="15" customHeight="1">
      <c r="B956" s="84"/>
      <c r="C956" s="43" t="s">
        <v>137</v>
      </c>
      <c r="D956" s="42">
        <v>5</v>
      </c>
      <c r="E956" s="41">
        <v>1.5416396879721272E-4</v>
      </c>
    </row>
    <row r="957" spans="2:5" ht="15" customHeight="1">
      <c r="B957" s="84"/>
      <c r="C957" s="43" t="s">
        <v>151</v>
      </c>
      <c r="D957" s="42">
        <v>4</v>
      </c>
      <c r="E957" s="41">
        <v>1.2333117503777018E-4</v>
      </c>
    </row>
    <row r="958" spans="2:5" ht="15" customHeight="1">
      <c r="B958" s="84"/>
      <c r="C958" s="43" t="s">
        <v>134</v>
      </c>
      <c r="D958" s="42">
        <v>2</v>
      </c>
      <c r="E958" s="41">
        <v>6.1665587518885091E-5</v>
      </c>
    </row>
    <row r="959" spans="2:5" ht="15" customHeight="1">
      <c r="B959" s="84"/>
      <c r="C959" s="43" t="s">
        <v>150</v>
      </c>
      <c r="D959" s="42">
        <v>8</v>
      </c>
      <c r="E959" s="41">
        <v>2.4666235007554037E-4</v>
      </c>
    </row>
    <row r="960" spans="2:5" ht="15" customHeight="1">
      <c r="B960" s="84"/>
      <c r="C960" s="43" t="s">
        <v>175</v>
      </c>
      <c r="D960" s="42">
        <v>14</v>
      </c>
      <c r="E960" s="41">
        <v>4.316591126321956E-4</v>
      </c>
    </row>
    <row r="961" spans="2:5" ht="15" customHeight="1">
      <c r="B961" s="84"/>
      <c r="C961" s="43" t="s">
        <v>143</v>
      </c>
      <c r="D961" s="42">
        <v>1</v>
      </c>
      <c r="E961" s="41">
        <v>3.0832793759442546E-5</v>
      </c>
    </row>
    <row r="962" spans="2:5" ht="15" customHeight="1">
      <c r="B962" s="84"/>
      <c r="C962" s="43" t="s">
        <v>169</v>
      </c>
      <c r="D962" s="42">
        <v>1</v>
      </c>
      <c r="E962" s="41">
        <v>3.0832793759442546E-5</v>
      </c>
    </row>
    <row r="963" spans="2:5" ht="15" customHeight="1">
      <c r="B963" s="84"/>
      <c r="C963" s="43" t="s">
        <v>160</v>
      </c>
      <c r="D963" s="42">
        <v>9</v>
      </c>
      <c r="E963" s="41">
        <v>2.7749514383498288E-4</v>
      </c>
    </row>
    <row r="964" spans="2:5" ht="15" customHeight="1">
      <c r="B964" s="84"/>
      <c r="C964" s="43" t="s">
        <v>131</v>
      </c>
      <c r="D964" s="42">
        <v>1</v>
      </c>
      <c r="E964" s="41">
        <v>3.0832793759442546E-5</v>
      </c>
    </row>
    <row r="965" spans="2:5" ht="15" customHeight="1">
      <c r="B965" s="84"/>
      <c r="C965" s="43" t="s">
        <v>133</v>
      </c>
      <c r="D965" s="42">
        <v>1</v>
      </c>
      <c r="E965" s="41">
        <v>3.0832793759442546E-5</v>
      </c>
    </row>
    <row r="966" spans="2:5" ht="15" customHeight="1">
      <c r="B966" s="84"/>
      <c r="C966" s="43" t="s">
        <v>147</v>
      </c>
      <c r="D966" s="42">
        <v>3</v>
      </c>
      <c r="E966" s="41">
        <v>9.249838127832763E-5</v>
      </c>
    </row>
    <row r="967" spans="2:5" ht="15" customHeight="1">
      <c r="B967" s="84"/>
      <c r="C967" s="43" t="s">
        <v>128</v>
      </c>
      <c r="D967" s="42">
        <v>1</v>
      </c>
      <c r="E967" s="41">
        <v>3.0832793759442546E-5</v>
      </c>
    </row>
    <row r="968" spans="2:5" ht="15" customHeight="1">
      <c r="B968" s="84"/>
      <c r="C968" s="43" t="s">
        <v>130</v>
      </c>
      <c r="D968" s="42">
        <v>2</v>
      </c>
      <c r="E968" s="41">
        <v>6.1665587518885091E-5</v>
      </c>
    </row>
    <row r="969" spans="2:5" ht="15" customHeight="1">
      <c r="B969" s="84"/>
      <c r="C969" s="43" t="s">
        <v>139</v>
      </c>
      <c r="D969" s="42">
        <v>2</v>
      </c>
      <c r="E969" s="41">
        <v>6.1665587518885091E-5</v>
      </c>
    </row>
    <row r="970" spans="2:5" ht="15" customHeight="1">
      <c r="B970" s="84"/>
      <c r="C970" s="43" t="s">
        <v>153</v>
      </c>
      <c r="D970" s="42">
        <v>4</v>
      </c>
      <c r="E970" s="41">
        <v>1.2333117503777018E-4</v>
      </c>
    </row>
    <row r="971" spans="2:5" ht="15" customHeight="1">
      <c r="B971" s="84"/>
      <c r="C971" s="43" t="s">
        <v>141</v>
      </c>
      <c r="D971" s="42">
        <v>2</v>
      </c>
      <c r="E971" s="41">
        <v>6.1665587518885091E-5</v>
      </c>
    </row>
    <row r="972" spans="2:5" ht="15" customHeight="1">
      <c r="B972" s="84"/>
      <c r="C972" s="43" t="s">
        <v>149</v>
      </c>
      <c r="D972" s="42">
        <v>1</v>
      </c>
      <c r="E972" s="41">
        <v>3.0832793759442546E-5</v>
      </c>
    </row>
    <row r="973" spans="2:5" ht="15" customHeight="1">
      <c r="B973" s="84"/>
      <c r="C973" s="43" t="s">
        <v>146</v>
      </c>
      <c r="D973" s="42">
        <v>4</v>
      </c>
      <c r="E973" s="41">
        <v>1.2333117503777018E-4</v>
      </c>
    </row>
    <row r="974" spans="2:5" ht="15" customHeight="1">
      <c r="B974" s="84"/>
      <c r="C974" s="43" t="s">
        <v>144</v>
      </c>
      <c r="D974" s="42">
        <v>4</v>
      </c>
      <c r="E974" s="41">
        <v>1.2333117503777018E-4</v>
      </c>
    </row>
    <row r="975" spans="2:5" ht="15" customHeight="1">
      <c r="B975" s="84"/>
      <c r="C975" s="43" t="s">
        <v>155</v>
      </c>
      <c r="D975" s="42">
        <v>3</v>
      </c>
      <c r="E975" s="41">
        <v>9.249838127832763E-5</v>
      </c>
    </row>
    <row r="976" spans="2:5" ht="15" customHeight="1">
      <c r="B976" s="84"/>
      <c r="C976" s="43" t="s">
        <v>138</v>
      </c>
      <c r="D976" s="42">
        <v>1</v>
      </c>
      <c r="E976" s="41">
        <v>3.0832793759442546E-5</v>
      </c>
    </row>
    <row r="977" spans="2:5" ht="15" customHeight="1">
      <c r="B977" s="84"/>
      <c r="C977" s="43" t="s">
        <v>173</v>
      </c>
      <c r="D977" s="42">
        <v>30</v>
      </c>
      <c r="E977" s="41">
        <v>9.2498381278327633E-4</v>
      </c>
    </row>
    <row r="978" spans="2:5" ht="15" customHeight="1">
      <c r="B978" s="84"/>
      <c r="C978" s="43" t="s">
        <v>154</v>
      </c>
      <c r="D978" s="42">
        <v>3</v>
      </c>
      <c r="E978" s="41">
        <v>9.249838127832763E-5</v>
      </c>
    </row>
    <row r="979" spans="2:5" ht="15" customHeight="1">
      <c r="B979" s="84"/>
      <c r="C979" s="43" t="s">
        <v>162</v>
      </c>
      <c r="D979" s="42">
        <v>4</v>
      </c>
      <c r="E979" s="41">
        <v>1.2333117503777018E-4</v>
      </c>
    </row>
    <row r="980" spans="2:5" ht="15" customHeight="1">
      <c r="B980" s="84"/>
      <c r="C980" s="43" t="s">
        <v>161</v>
      </c>
      <c r="D980" s="42">
        <v>29</v>
      </c>
      <c r="E980" s="41">
        <v>8.9415101902383376E-4</v>
      </c>
    </row>
    <row r="981" spans="2:5" ht="15" customHeight="1">
      <c r="B981" s="84"/>
      <c r="C981" s="43" t="s">
        <v>166</v>
      </c>
      <c r="D981" s="42">
        <v>9</v>
      </c>
      <c r="E981" s="41">
        <v>2.7749514383498288E-4</v>
      </c>
    </row>
    <row r="982" spans="2:5" ht="15" customHeight="1">
      <c r="B982" s="84"/>
      <c r="C982" s="43" t="s">
        <v>145</v>
      </c>
      <c r="D982" s="42">
        <v>2</v>
      </c>
      <c r="E982" s="41">
        <v>6.1665587518885091E-5</v>
      </c>
    </row>
    <row r="983" spans="2:5" ht="15" customHeight="1">
      <c r="B983" s="85"/>
      <c r="C983" s="40" t="s">
        <v>23</v>
      </c>
      <c r="D983" s="39">
        <v>472</v>
      </c>
      <c r="E983" s="38">
        <v>1.455307865445688E-2</v>
      </c>
    </row>
    <row r="984" spans="2:5" ht="15" customHeight="1">
      <c r="B984" s="83" t="s">
        <v>118</v>
      </c>
      <c r="C984" s="43" t="s">
        <v>172</v>
      </c>
      <c r="D984" s="42">
        <v>2</v>
      </c>
      <c r="E984" s="41">
        <v>6.1665587518885091E-5</v>
      </c>
    </row>
    <row r="985" spans="2:5" ht="15" customHeight="1">
      <c r="B985" s="84"/>
      <c r="C985" s="43" t="s">
        <v>148</v>
      </c>
      <c r="D985" s="42">
        <v>1</v>
      </c>
      <c r="E985" s="41">
        <v>3.0832793759442546E-5</v>
      </c>
    </row>
    <row r="986" spans="2:5" ht="15" customHeight="1">
      <c r="B986" s="84"/>
      <c r="C986" s="43" t="s">
        <v>152</v>
      </c>
      <c r="D986" s="42">
        <v>1</v>
      </c>
      <c r="E986" s="41">
        <v>3.0832793759442546E-5</v>
      </c>
    </row>
    <row r="987" spans="2:5" ht="15" customHeight="1">
      <c r="B987" s="84"/>
      <c r="C987" s="43" t="s">
        <v>136</v>
      </c>
      <c r="D987" s="42">
        <v>2</v>
      </c>
      <c r="E987" s="41">
        <v>6.1665587518885091E-5</v>
      </c>
    </row>
    <row r="988" spans="2:5" ht="15" customHeight="1">
      <c r="B988" s="84"/>
      <c r="C988" s="43" t="s">
        <v>156</v>
      </c>
      <c r="D988" s="42">
        <v>1</v>
      </c>
      <c r="E988" s="41">
        <v>3.0832793759442546E-5</v>
      </c>
    </row>
    <row r="989" spans="2:5" ht="15" customHeight="1">
      <c r="B989" s="84"/>
      <c r="C989" s="43" t="s">
        <v>174</v>
      </c>
      <c r="D989" s="42">
        <v>1</v>
      </c>
      <c r="E989" s="41">
        <v>3.0832793759442546E-5</v>
      </c>
    </row>
    <row r="990" spans="2:5" ht="15" customHeight="1">
      <c r="B990" s="84"/>
      <c r="C990" s="43" t="s">
        <v>164</v>
      </c>
      <c r="D990" s="42">
        <v>3</v>
      </c>
      <c r="E990" s="41">
        <v>9.249838127832763E-5</v>
      </c>
    </row>
    <row r="991" spans="2:5" ht="15" customHeight="1">
      <c r="B991" s="84"/>
      <c r="C991" s="43" t="s">
        <v>176</v>
      </c>
      <c r="D991" s="42">
        <v>1</v>
      </c>
      <c r="E991" s="41">
        <v>3.0832793759442546E-5</v>
      </c>
    </row>
    <row r="992" spans="2:5" ht="15" customHeight="1">
      <c r="B992" s="84"/>
      <c r="C992" s="43" t="s">
        <v>178</v>
      </c>
      <c r="D992" s="42">
        <v>1</v>
      </c>
      <c r="E992" s="41">
        <v>3.0832793759442546E-5</v>
      </c>
    </row>
    <row r="993" spans="2:5" ht="15" customHeight="1">
      <c r="B993" s="84"/>
      <c r="C993" s="43" t="s">
        <v>179</v>
      </c>
      <c r="D993" s="42">
        <v>4</v>
      </c>
      <c r="E993" s="41">
        <v>1.2333117503777018E-4</v>
      </c>
    </row>
    <row r="994" spans="2:5" ht="15" customHeight="1">
      <c r="B994" s="84"/>
      <c r="C994" s="43" t="s">
        <v>159</v>
      </c>
      <c r="D994" s="42">
        <v>3</v>
      </c>
      <c r="E994" s="41">
        <v>9.249838127832763E-5</v>
      </c>
    </row>
    <row r="995" spans="2:5" ht="15" customHeight="1">
      <c r="B995" s="84"/>
      <c r="C995" s="43" t="s">
        <v>168</v>
      </c>
      <c r="D995" s="42">
        <v>3</v>
      </c>
      <c r="E995" s="41">
        <v>9.249838127832763E-5</v>
      </c>
    </row>
    <row r="996" spans="2:5" ht="15" customHeight="1">
      <c r="B996" s="84"/>
      <c r="C996" s="43" t="s">
        <v>132</v>
      </c>
      <c r="D996" s="42">
        <v>1</v>
      </c>
      <c r="E996" s="41">
        <v>3.0832793759442546E-5</v>
      </c>
    </row>
    <row r="997" spans="2:5" ht="15" customHeight="1">
      <c r="B997" s="84"/>
      <c r="C997" s="43" t="s">
        <v>158</v>
      </c>
      <c r="D997" s="42">
        <v>1</v>
      </c>
      <c r="E997" s="41">
        <v>3.0832793759442546E-5</v>
      </c>
    </row>
    <row r="998" spans="2:5" ht="15" customHeight="1">
      <c r="B998" s="84"/>
      <c r="C998" s="43" t="s">
        <v>180</v>
      </c>
      <c r="D998" s="42">
        <v>3</v>
      </c>
      <c r="E998" s="41">
        <v>9.249838127832763E-5</v>
      </c>
    </row>
    <row r="999" spans="2:5" ht="15" customHeight="1">
      <c r="B999" s="84"/>
      <c r="C999" s="43" t="s">
        <v>177</v>
      </c>
      <c r="D999" s="42">
        <v>8</v>
      </c>
      <c r="E999" s="41">
        <v>2.4666235007554037E-4</v>
      </c>
    </row>
    <row r="1000" spans="2:5" ht="15" customHeight="1">
      <c r="B1000" s="84"/>
      <c r="C1000" s="43" t="s">
        <v>171</v>
      </c>
      <c r="D1000" s="42">
        <v>1</v>
      </c>
      <c r="E1000" s="41">
        <v>3.0832793759442546E-5</v>
      </c>
    </row>
    <row r="1001" spans="2:5" ht="15" customHeight="1">
      <c r="B1001" s="84"/>
      <c r="C1001" s="43" t="s">
        <v>181</v>
      </c>
      <c r="D1001" s="42">
        <v>5</v>
      </c>
      <c r="E1001" s="41">
        <v>1.5416396879721272E-4</v>
      </c>
    </row>
    <row r="1002" spans="2:5" ht="15" customHeight="1">
      <c r="B1002" s="84"/>
      <c r="C1002" s="43" t="s">
        <v>167</v>
      </c>
      <c r="D1002" s="42">
        <v>6</v>
      </c>
      <c r="E1002" s="41">
        <v>1.8499676255665526E-4</v>
      </c>
    </row>
    <row r="1003" spans="2:5" ht="15" customHeight="1">
      <c r="B1003" s="84"/>
      <c r="C1003" s="43" t="s">
        <v>182</v>
      </c>
      <c r="D1003" s="42">
        <v>17</v>
      </c>
      <c r="E1003" s="41">
        <v>5.2415749391052319E-4</v>
      </c>
    </row>
    <row r="1004" spans="2:5" ht="15" customHeight="1">
      <c r="B1004" s="84"/>
      <c r="C1004" s="43" t="s">
        <v>137</v>
      </c>
      <c r="D1004" s="42">
        <v>1</v>
      </c>
      <c r="E1004" s="41">
        <v>3.0832793759442546E-5</v>
      </c>
    </row>
    <row r="1005" spans="2:5" ht="15" customHeight="1">
      <c r="B1005" s="84"/>
      <c r="C1005" s="43" t="s">
        <v>134</v>
      </c>
      <c r="D1005" s="42">
        <v>1</v>
      </c>
      <c r="E1005" s="41">
        <v>3.0832793759442546E-5</v>
      </c>
    </row>
    <row r="1006" spans="2:5" ht="15" customHeight="1">
      <c r="B1006" s="84"/>
      <c r="C1006" s="43" t="s">
        <v>150</v>
      </c>
      <c r="D1006" s="42">
        <v>2</v>
      </c>
      <c r="E1006" s="41">
        <v>6.1665587518885091E-5</v>
      </c>
    </row>
    <row r="1007" spans="2:5" ht="15" customHeight="1">
      <c r="B1007" s="84"/>
      <c r="C1007" s="43" t="s">
        <v>175</v>
      </c>
      <c r="D1007" s="42">
        <v>2</v>
      </c>
      <c r="E1007" s="41">
        <v>6.1665587518885091E-5</v>
      </c>
    </row>
    <row r="1008" spans="2:5" ht="15" customHeight="1">
      <c r="B1008" s="84"/>
      <c r="C1008" s="43" t="s">
        <v>157</v>
      </c>
      <c r="D1008" s="42">
        <v>1</v>
      </c>
      <c r="E1008" s="41">
        <v>3.0832793759442546E-5</v>
      </c>
    </row>
    <row r="1009" spans="2:5" ht="15" customHeight="1">
      <c r="B1009" s="84"/>
      <c r="C1009" s="43" t="s">
        <v>160</v>
      </c>
      <c r="D1009" s="42">
        <v>12</v>
      </c>
      <c r="E1009" s="41">
        <v>3.6999352511331052E-4</v>
      </c>
    </row>
    <row r="1010" spans="2:5" ht="15" customHeight="1">
      <c r="B1010" s="84"/>
      <c r="C1010" s="43" t="s">
        <v>133</v>
      </c>
      <c r="D1010" s="42">
        <v>5</v>
      </c>
      <c r="E1010" s="41">
        <v>1.5416396879721272E-4</v>
      </c>
    </row>
    <row r="1011" spans="2:5" ht="15" customHeight="1">
      <c r="B1011" s="84"/>
      <c r="C1011" s="43" t="s">
        <v>147</v>
      </c>
      <c r="D1011" s="42">
        <v>1</v>
      </c>
      <c r="E1011" s="41">
        <v>3.0832793759442546E-5</v>
      </c>
    </row>
    <row r="1012" spans="2:5" ht="15" customHeight="1">
      <c r="B1012" s="84"/>
      <c r="C1012" s="43" t="s">
        <v>130</v>
      </c>
      <c r="D1012" s="42">
        <v>1</v>
      </c>
      <c r="E1012" s="41">
        <v>3.0832793759442546E-5</v>
      </c>
    </row>
    <row r="1013" spans="2:5" ht="15" customHeight="1">
      <c r="B1013" s="84"/>
      <c r="C1013" s="43" t="s">
        <v>139</v>
      </c>
      <c r="D1013" s="42">
        <v>1</v>
      </c>
      <c r="E1013" s="41">
        <v>3.0832793759442546E-5</v>
      </c>
    </row>
    <row r="1014" spans="2:5" ht="15" customHeight="1">
      <c r="B1014" s="84"/>
      <c r="C1014" s="43" t="s">
        <v>153</v>
      </c>
      <c r="D1014" s="42">
        <v>3</v>
      </c>
      <c r="E1014" s="41">
        <v>9.249838127832763E-5</v>
      </c>
    </row>
    <row r="1015" spans="2:5" ht="15" customHeight="1">
      <c r="B1015" s="84"/>
      <c r="C1015" s="43" t="s">
        <v>149</v>
      </c>
      <c r="D1015" s="42">
        <v>1</v>
      </c>
      <c r="E1015" s="41">
        <v>3.0832793759442546E-5</v>
      </c>
    </row>
    <row r="1016" spans="2:5" ht="15" customHeight="1">
      <c r="B1016" s="84"/>
      <c r="C1016" s="43" t="s">
        <v>144</v>
      </c>
      <c r="D1016" s="42">
        <v>1</v>
      </c>
      <c r="E1016" s="41">
        <v>3.0832793759442546E-5</v>
      </c>
    </row>
    <row r="1017" spans="2:5" ht="15" customHeight="1">
      <c r="B1017" s="84"/>
      <c r="C1017" s="43" t="s">
        <v>155</v>
      </c>
      <c r="D1017" s="42">
        <v>1</v>
      </c>
      <c r="E1017" s="41">
        <v>3.0832793759442546E-5</v>
      </c>
    </row>
    <row r="1018" spans="2:5" ht="15" customHeight="1">
      <c r="B1018" s="84"/>
      <c r="C1018" s="43" t="s">
        <v>173</v>
      </c>
      <c r="D1018" s="42">
        <v>1</v>
      </c>
      <c r="E1018" s="41">
        <v>3.0832793759442546E-5</v>
      </c>
    </row>
    <row r="1019" spans="2:5" ht="15" customHeight="1">
      <c r="B1019" s="84"/>
      <c r="C1019" s="43" t="s">
        <v>154</v>
      </c>
      <c r="D1019" s="42">
        <v>1</v>
      </c>
      <c r="E1019" s="41">
        <v>3.0832793759442546E-5</v>
      </c>
    </row>
    <row r="1020" spans="2:5" ht="15" customHeight="1">
      <c r="B1020" s="84"/>
      <c r="C1020" s="43" t="s">
        <v>161</v>
      </c>
      <c r="D1020" s="42">
        <v>1</v>
      </c>
      <c r="E1020" s="41">
        <v>3.0832793759442546E-5</v>
      </c>
    </row>
    <row r="1021" spans="2:5" ht="15" customHeight="1">
      <c r="B1021" s="84"/>
      <c r="C1021" s="43" t="s">
        <v>166</v>
      </c>
      <c r="D1021" s="42">
        <v>1</v>
      </c>
      <c r="E1021" s="41">
        <v>3.0832793759442546E-5</v>
      </c>
    </row>
    <row r="1022" spans="2:5" ht="15" customHeight="1">
      <c r="B1022" s="84"/>
      <c r="C1022" s="43" t="s">
        <v>145</v>
      </c>
      <c r="D1022" s="42">
        <v>2</v>
      </c>
      <c r="E1022" s="41">
        <v>6.1665587518885091E-5</v>
      </c>
    </row>
    <row r="1023" spans="2:5" ht="15" customHeight="1">
      <c r="B1023" s="85"/>
      <c r="C1023" s="40" t="s">
        <v>23</v>
      </c>
      <c r="D1023" s="39">
        <v>104</v>
      </c>
      <c r="E1023" s="38">
        <v>3.2066105509820247E-3</v>
      </c>
    </row>
    <row r="1024" spans="2:5" ht="15" customHeight="1">
      <c r="B1024" s="83" t="s">
        <v>91</v>
      </c>
      <c r="C1024" s="43" t="s">
        <v>172</v>
      </c>
      <c r="D1024" s="42">
        <v>2</v>
      </c>
      <c r="E1024" s="41">
        <v>6.1665587518885091E-5</v>
      </c>
    </row>
    <row r="1025" spans="2:5" ht="15" customHeight="1">
      <c r="B1025" s="84"/>
      <c r="C1025" s="43" t="s">
        <v>148</v>
      </c>
      <c r="D1025" s="42">
        <v>1</v>
      </c>
      <c r="E1025" s="41">
        <v>3.0832793759442546E-5</v>
      </c>
    </row>
    <row r="1026" spans="2:5" ht="15" customHeight="1">
      <c r="B1026" s="84"/>
      <c r="C1026" s="43" t="s">
        <v>152</v>
      </c>
      <c r="D1026" s="42">
        <v>1</v>
      </c>
      <c r="E1026" s="41">
        <v>3.0832793759442546E-5</v>
      </c>
    </row>
    <row r="1027" spans="2:5" ht="15" customHeight="1">
      <c r="B1027" s="84"/>
      <c r="C1027" s="43" t="s">
        <v>170</v>
      </c>
      <c r="D1027" s="42">
        <v>1</v>
      </c>
      <c r="E1027" s="41">
        <v>3.0832793759442546E-5</v>
      </c>
    </row>
    <row r="1028" spans="2:5" ht="15" customHeight="1">
      <c r="B1028" s="84"/>
      <c r="C1028" s="43" t="s">
        <v>174</v>
      </c>
      <c r="D1028" s="42">
        <v>23</v>
      </c>
      <c r="E1028" s="41">
        <v>7.0915425646717847E-4</v>
      </c>
    </row>
    <row r="1029" spans="2:5" ht="15" customHeight="1">
      <c r="B1029" s="84"/>
      <c r="C1029" s="43" t="s">
        <v>127</v>
      </c>
      <c r="D1029" s="42">
        <v>1</v>
      </c>
      <c r="E1029" s="41">
        <v>3.0832793759442546E-5</v>
      </c>
    </row>
    <row r="1030" spans="2:5" ht="15" customHeight="1">
      <c r="B1030" s="84"/>
      <c r="C1030" s="43" t="s">
        <v>164</v>
      </c>
      <c r="D1030" s="42">
        <v>3</v>
      </c>
      <c r="E1030" s="41">
        <v>9.249838127832763E-5</v>
      </c>
    </row>
    <row r="1031" spans="2:5" ht="15" customHeight="1">
      <c r="B1031" s="84"/>
      <c r="C1031" s="43" t="s">
        <v>176</v>
      </c>
      <c r="D1031" s="42">
        <v>1</v>
      </c>
      <c r="E1031" s="41">
        <v>3.0832793759442546E-5</v>
      </c>
    </row>
    <row r="1032" spans="2:5" ht="15" customHeight="1">
      <c r="B1032" s="84"/>
      <c r="C1032" s="43" t="s">
        <v>178</v>
      </c>
      <c r="D1032" s="42">
        <v>10</v>
      </c>
      <c r="E1032" s="41">
        <v>3.0832793759442544E-4</v>
      </c>
    </row>
    <row r="1033" spans="2:5" ht="15" customHeight="1">
      <c r="B1033" s="84"/>
      <c r="C1033" s="43" t="s">
        <v>179</v>
      </c>
      <c r="D1033" s="42">
        <v>6</v>
      </c>
      <c r="E1033" s="41">
        <v>1.8499676255665526E-4</v>
      </c>
    </row>
    <row r="1034" spans="2:5" ht="15" customHeight="1">
      <c r="B1034" s="84"/>
      <c r="C1034" s="43" t="s">
        <v>159</v>
      </c>
      <c r="D1034" s="42">
        <v>3</v>
      </c>
      <c r="E1034" s="41">
        <v>9.249838127832763E-5</v>
      </c>
    </row>
    <row r="1035" spans="2:5" ht="15" customHeight="1">
      <c r="B1035" s="84"/>
      <c r="C1035" s="43" t="s">
        <v>168</v>
      </c>
      <c r="D1035" s="42">
        <v>1</v>
      </c>
      <c r="E1035" s="41">
        <v>3.0832793759442546E-5</v>
      </c>
    </row>
    <row r="1036" spans="2:5" ht="15" customHeight="1">
      <c r="B1036" s="84"/>
      <c r="C1036" s="43" t="s">
        <v>158</v>
      </c>
      <c r="D1036" s="42">
        <v>2</v>
      </c>
      <c r="E1036" s="41">
        <v>6.1665587518885091E-5</v>
      </c>
    </row>
    <row r="1037" spans="2:5" ht="15" customHeight="1">
      <c r="B1037" s="84"/>
      <c r="C1037" s="43" t="s">
        <v>177</v>
      </c>
      <c r="D1037" s="42">
        <v>4</v>
      </c>
      <c r="E1037" s="41">
        <v>1.2333117503777018E-4</v>
      </c>
    </row>
    <row r="1038" spans="2:5" ht="15" customHeight="1">
      <c r="B1038" s="84"/>
      <c r="C1038" s="43" t="s">
        <v>171</v>
      </c>
      <c r="D1038" s="42">
        <v>1</v>
      </c>
      <c r="E1038" s="41">
        <v>3.0832793759442546E-5</v>
      </c>
    </row>
    <row r="1039" spans="2:5" ht="15" customHeight="1">
      <c r="B1039" s="84"/>
      <c r="C1039" s="43" t="s">
        <v>181</v>
      </c>
      <c r="D1039" s="42">
        <v>18</v>
      </c>
      <c r="E1039" s="41">
        <v>5.5499028766996575E-4</v>
      </c>
    </row>
    <row r="1040" spans="2:5" ht="15" customHeight="1">
      <c r="B1040" s="84"/>
      <c r="C1040" s="43" t="s">
        <v>167</v>
      </c>
      <c r="D1040" s="42">
        <v>9</v>
      </c>
      <c r="E1040" s="41">
        <v>2.7749514383498288E-4</v>
      </c>
    </row>
    <row r="1041" spans="2:5" ht="15" customHeight="1">
      <c r="B1041" s="84"/>
      <c r="C1041" s="43" t="s">
        <v>182</v>
      </c>
      <c r="D1041" s="42">
        <v>28</v>
      </c>
      <c r="E1041" s="41">
        <v>8.633182252643912E-4</v>
      </c>
    </row>
    <row r="1042" spans="2:5" ht="15" customHeight="1">
      <c r="B1042" s="84"/>
      <c r="C1042" s="43" t="s">
        <v>137</v>
      </c>
      <c r="D1042" s="42">
        <v>1</v>
      </c>
      <c r="E1042" s="41">
        <v>3.0832793759442546E-5</v>
      </c>
    </row>
    <row r="1043" spans="2:5" ht="15" customHeight="1">
      <c r="B1043" s="84"/>
      <c r="C1043" s="43" t="s">
        <v>175</v>
      </c>
      <c r="D1043" s="42">
        <v>5</v>
      </c>
      <c r="E1043" s="41">
        <v>1.5416396879721272E-4</v>
      </c>
    </row>
    <row r="1044" spans="2:5" ht="15" customHeight="1">
      <c r="B1044" s="84"/>
      <c r="C1044" s="43" t="s">
        <v>157</v>
      </c>
      <c r="D1044" s="42">
        <v>7</v>
      </c>
      <c r="E1044" s="41">
        <v>2.158295563160978E-4</v>
      </c>
    </row>
    <row r="1045" spans="2:5" ht="15" customHeight="1">
      <c r="B1045" s="84"/>
      <c r="C1045" s="43" t="s">
        <v>143</v>
      </c>
      <c r="D1045" s="42">
        <v>1</v>
      </c>
      <c r="E1045" s="41">
        <v>3.0832793759442546E-5</v>
      </c>
    </row>
    <row r="1046" spans="2:5" ht="15" customHeight="1">
      <c r="B1046" s="84"/>
      <c r="C1046" s="43" t="s">
        <v>169</v>
      </c>
      <c r="D1046" s="42">
        <v>6</v>
      </c>
      <c r="E1046" s="41">
        <v>1.8499676255665526E-4</v>
      </c>
    </row>
    <row r="1047" spans="2:5" ht="15" customHeight="1">
      <c r="B1047" s="84"/>
      <c r="C1047" s="43" t="s">
        <v>160</v>
      </c>
      <c r="D1047" s="42">
        <v>11</v>
      </c>
      <c r="E1047" s="41">
        <v>3.3916073135386795E-4</v>
      </c>
    </row>
    <row r="1048" spans="2:5" ht="15" customHeight="1">
      <c r="B1048" s="84"/>
      <c r="C1048" s="43" t="s">
        <v>133</v>
      </c>
      <c r="D1048" s="42">
        <v>1</v>
      </c>
      <c r="E1048" s="41">
        <v>3.0832793759442546E-5</v>
      </c>
    </row>
    <row r="1049" spans="2:5" ht="15" customHeight="1">
      <c r="B1049" s="84"/>
      <c r="C1049" s="43" t="s">
        <v>155</v>
      </c>
      <c r="D1049" s="42">
        <v>1</v>
      </c>
      <c r="E1049" s="41">
        <v>3.0832793759442546E-5</v>
      </c>
    </row>
    <row r="1050" spans="2:5" ht="15" customHeight="1">
      <c r="B1050" s="84"/>
      <c r="C1050" s="43" t="s">
        <v>173</v>
      </c>
      <c r="D1050" s="42">
        <v>21</v>
      </c>
      <c r="E1050" s="41">
        <v>6.4748866894829345E-4</v>
      </c>
    </row>
    <row r="1051" spans="2:5" ht="15" customHeight="1">
      <c r="B1051" s="84"/>
      <c r="C1051" s="43" t="s">
        <v>154</v>
      </c>
      <c r="D1051" s="42">
        <v>1</v>
      </c>
      <c r="E1051" s="41">
        <v>3.0832793759442546E-5</v>
      </c>
    </row>
    <row r="1052" spans="2:5" ht="15" customHeight="1">
      <c r="B1052" s="84"/>
      <c r="C1052" s="43" t="s">
        <v>161</v>
      </c>
      <c r="D1052" s="42">
        <v>25</v>
      </c>
      <c r="E1052" s="41">
        <v>7.7081984398606361E-4</v>
      </c>
    </row>
    <row r="1053" spans="2:5" ht="15" customHeight="1">
      <c r="B1053" s="84"/>
      <c r="C1053" s="43" t="s">
        <v>166</v>
      </c>
      <c r="D1053" s="42">
        <v>5</v>
      </c>
      <c r="E1053" s="41">
        <v>1.5416396879721272E-4</v>
      </c>
    </row>
    <row r="1054" spans="2:5" ht="15" customHeight="1">
      <c r="B1054" s="84"/>
      <c r="C1054" s="43" t="s">
        <v>145</v>
      </c>
      <c r="D1054" s="42">
        <v>2</v>
      </c>
      <c r="E1054" s="41">
        <v>6.1665587518885091E-5</v>
      </c>
    </row>
    <row r="1055" spans="2:5" ht="15" customHeight="1">
      <c r="B1055" s="85"/>
      <c r="C1055" s="40" t="s">
        <v>23</v>
      </c>
      <c r="D1055" s="39">
        <v>202</v>
      </c>
      <c r="E1055" s="38">
        <v>6.2282243394073938E-3</v>
      </c>
    </row>
    <row r="1056" spans="2:5" ht="15" customHeight="1">
      <c r="B1056" s="83" t="s">
        <v>110</v>
      </c>
      <c r="C1056" s="43" t="s">
        <v>172</v>
      </c>
      <c r="D1056" s="42">
        <v>6</v>
      </c>
      <c r="E1056" s="41">
        <v>1.8499676255665526E-4</v>
      </c>
    </row>
    <row r="1057" spans="2:5" ht="15" customHeight="1">
      <c r="B1057" s="84"/>
      <c r="C1057" s="43" t="s">
        <v>148</v>
      </c>
      <c r="D1057" s="42">
        <v>5</v>
      </c>
      <c r="E1057" s="41">
        <v>1.5416396879721272E-4</v>
      </c>
    </row>
    <row r="1058" spans="2:5" ht="15" customHeight="1">
      <c r="B1058" s="84"/>
      <c r="C1058" s="43" t="s">
        <v>152</v>
      </c>
      <c r="D1058" s="42">
        <v>17</v>
      </c>
      <c r="E1058" s="41">
        <v>5.2415749391052319E-4</v>
      </c>
    </row>
    <row r="1059" spans="2:5" ht="15" customHeight="1">
      <c r="B1059" s="84"/>
      <c r="C1059" s="43" t="s">
        <v>136</v>
      </c>
      <c r="D1059" s="42">
        <v>2</v>
      </c>
      <c r="E1059" s="41">
        <v>6.1665587518885091E-5</v>
      </c>
    </row>
    <row r="1060" spans="2:5" ht="15" customHeight="1">
      <c r="B1060" s="84"/>
      <c r="C1060" s="43" t="s">
        <v>170</v>
      </c>
      <c r="D1060" s="42">
        <v>10</v>
      </c>
      <c r="E1060" s="41">
        <v>3.0832793759442544E-4</v>
      </c>
    </row>
    <row r="1061" spans="2:5" ht="15" customHeight="1">
      <c r="B1061" s="84"/>
      <c r="C1061" s="43" t="s">
        <v>140</v>
      </c>
      <c r="D1061" s="42">
        <v>2</v>
      </c>
      <c r="E1061" s="41">
        <v>6.1665587518885091E-5</v>
      </c>
    </row>
    <row r="1062" spans="2:5" ht="15" customHeight="1">
      <c r="B1062" s="84"/>
      <c r="C1062" s="43" t="s">
        <v>156</v>
      </c>
      <c r="D1062" s="42">
        <v>2</v>
      </c>
      <c r="E1062" s="41">
        <v>6.1665587518885091E-5</v>
      </c>
    </row>
    <row r="1063" spans="2:5" ht="15" customHeight="1">
      <c r="B1063" s="84"/>
      <c r="C1063" s="43" t="s">
        <v>174</v>
      </c>
      <c r="D1063" s="42">
        <v>8</v>
      </c>
      <c r="E1063" s="41">
        <v>2.4666235007554037E-4</v>
      </c>
    </row>
    <row r="1064" spans="2:5" ht="15" customHeight="1">
      <c r="B1064" s="84"/>
      <c r="C1064" s="43" t="s">
        <v>164</v>
      </c>
      <c r="D1064" s="42">
        <v>2</v>
      </c>
      <c r="E1064" s="41">
        <v>6.1665587518885091E-5</v>
      </c>
    </row>
    <row r="1065" spans="2:5" ht="15" customHeight="1">
      <c r="B1065" s="84"/>
      <c r="C1065" s="43" t="s">
        <v>176</v>
      </c>
      <c r="D1065" s="42">
        <v>25</v>
      </c>
      <c r="E1065" s="41">
        <v>7.7081984398606361E-4</v>
      </c>
    </row>
    <row r="1066" spans="2:5" ht="15" customHeight="1">
      <c r="B1066" s="84"/>
      <c r="C1066" s="43" t="s">
        <v>178</v>
      </c>
      <c r="D1066" s="42">
        <v>18</v>
      </c>
      <c r="E1066" s="41">
        <v>5.5499028766996575E-4</v>
      </c>
    </row>
    <row r="1067" spans="2:5" ht="15" customHeight="1">
      <c r="B1067" s="84"/>
      <c r="C1067" s="43" t="s">
        <v>179</v>
      </c>
      <c r="D1067" s="42">
        <v>40</v>
      </c>
      <c r="E1067" s="41">
        <v>1.2333117503777018E-3</v>
      </c>
    </row>
    <row r="1068" spans="2:5" ht="15" customHeight="1">
      <c r="B1068" s="84"/>
      <c r="C1068" s="43" t="s">
        <v>129</v>
      </c>
      <c r="D1068" s="42">
        <v>2</v>
      </c>
      <c r="E1068" s="41">
        <v>6.1665587518885091E-5</v>
      </c>
    </row>
    <row r="1069" spans="2:5" ht="15" customHeight="1">
      <c r="B1069" s="84"/>
      <c r="C1069" s="43" t="s">
        <v>159</v>
      </c>
      <c r="D1069" s="42">
        <v>14</v>
      </c>
      <c r="E1069" s="41">
        <v>4.316591126321956E-4</v>
      </c>
    </row>
    <row r="1070" spans="2:5" ht="15" customHeight="1">
      <c r="B1070" s="84"/>
      <c r="C1070" s="43" t="s">
        <v>135</v>
      </c>
      <c r="D1070" s="42">
        <v>2</v>
      </c>
      <c r="E1070" s="41">
        <v>6.1665587518885091E-5</v>
      </c>
    </row>
    <row r="1071" spans="2:5" ht="15" customHeight="1">
      <c r="B1071" s="84"/>
      <c r="C1071" s="43" t="s">
        <v>168</v>
      </c>
      <c r="D1071" s="42">
        <v>6</v>
      </c>
      <c r="E1071" s="41">
        <v>1.8499676255665526E-4</v>
      </c>
    </row>
    <row r="1072" spans="2:5" ht="15" customHeight="1">
      <c r="B1072" s="84"/>
      <c r="C1072" s="43" t="s">
        <v>132</v>
      </c>
      <c r="D1072" s="42">
        <v>1</v>
      </c>
      <c r="E1072" s="41">
        <v>3.0832793759442546E-5</v>
      </c>
    </row>
    <row r="1073" spans="2:5" ht="15" customHeight="1">
      <c r="B1073" s="84"/>
      <c r="C1073" s="43" t="s">
        <v>158</v>
      </c>
      <c r="D1073" s="42">
        <v>17</v>
      </c>
      <c r="E1073" s="41">
        <v>5.2415749391052319E-4</v>
      </c>
    </row>
    <row r="1074" spans="2:5" ht="15" customHeight="1">
      <c r="B1074" s="84"/>
      <c r="C1074" s="43" t="s">
        <v>180</v>
      </c>
      <c r="D1074" s="42">
        <v>22</v>
      </c>
      <c r="E1074" s="41">
        <v>6.7832146270773591E-4</v>
      </c>
    </row>
    <row r="1075" spans="2:5" ht="15" customHeight="1">
      <c r="B1075" s="84"/>
      <c r="C1075" s="43" t="s">
        <v>177</v>
      </c>
      <c r="D1075" s="42">
        <v>49</v>
      </c>
      <c r="E1075" s="41">
        <v>1.5108068942126845E-3</v>
      </c>
    </row>
    <row r="1076" spans="2:5" ht="15" customHeight="1">
      <c r="B1076" s="84"/>
      <c r="C1076" s="43" t="s">
        <v>165</v>
      </c>
      <c r="D1076" s="42">
        <v>5</v>
      </c>
      <c r="E1076" s="41">
        <v>1.5416396879721272E-4</v>
      </c>
    </row>
    <row r="1077" spans="2:5" ht="15" customHeight="1">
      <c r="B1077" s="84"/>
      <c r="C1077" s="43" t="s">
        <v>171</v>
      </c>
      <c r="D1077" s="42">
        <v>18</v>
      </c>
      <c r="E1077" s="41">
        <v>5.5499028766996575E-4</v>
      </c>
    </row>
    <row r="1078" spans="2:5" ht="15" customHeight="1">
      <c r="B1078" s="84"/>
      <c r="C1078" s="43" t="s">
        <v>181</v>
      </c>
      <c r="D1078" s="42">
        <v>71</v>
      </c>
      <c r="E1078" s="41">
        <v>2.1891283569204206E-3</v>
      </c>
    </row>
    <row r="1079" spans="2:5" ht="15" customHeight="1">
      <c r="B1079" s="84"/>
      <c r="C1079" s="43" t="s">
        <v>167</v>
      </c>
      <c r="D1079" s="42">
        <v>7</v>
      </c>
      <c r="E1079" s="41">
        <v>2.158295563160978E-4</v>
      </c>
    </row>
    <row r="1080" spans="2:5" ht="15" customHeight="1">
      <c r="B1080" s="84"/>
      <c r="C1080" s="43" t="s">
        <v>103</v>
      </c>
      <c r="D1080" s="42">
        <v>2</v>
      </c>
      <c r="E1080" s="41">
        <v>6.1665587518885091E-5</v>
      </c>
    </row>
    <row r="1081" spans="2:5" ht="15" customHeight="1">
      <c r="B1081" s="84"/>
      <c r="C1081" s="43" t="s">
        <v>163</v>
      </c>
      <c r="D1081" s="42">
        <v>12</v>
      </c>
      <c r="E1081" s="41">
        <v>3.6999352511331052E-4</v>
      </c>
    </row>
    <row r="1082" spans="2:5" ht="15" customHeight="1">
      <c r="B1082" s="84"/>
      <c r="C1082" s="43" t="s">
        <v>182</v>
      </c>
      <c r="D1082" s="42">
        <v>74</v>
      </c>
      <c r="E1082" s="41">
        <v>2.2816267381987484E-3</v>
      </c>
    </row>
    <row r="1083" spans="2:5" ht="15" customHeight="1">
      <c r="B1083" s="84"/>
      <c r="C1083" s="43" t="s">
        <v>137</v>
      </c>
      <c r="D1083" s="42">
        <v>1</v>
      </c>
      <c r="E1083" s="41">
        <v>3.0832793759442546E-5</v>
      </c>
    </row>
    <row r="1084" spans="2:5" ht="15" customHeight="1">
      <c r="B1084" s="84"/>
      <c r="C1084" s="43" t="s">
        <v>151</v>
      </c>
      <c r="D1084" s="42">
        <v>1</v>
      </c>
      <c r="E1084" s="41">
        <v>3.0832793759442546E-5</v>
      </c>
    </row>
    <row r="1085" spans="2:5" ht="15" customHeight="1">
      <c r="B1085" s="84"/>
      <c r="C1085" s="43" t="s">
        <v>134</v>
      </c>
      <c r="D1085" s="42">
        <v>1</v>
      </c>
      <c r="E1085" s="41">
        <v>3.0832793759442546E-5</v>
      </c>
    </row>
    <row r="1086" spans="2:5" ht="15" customHeight="1">
      <c r="B1086" s="84"/>
      <c r="C1086" s="43" t="s">
        <v>150</v>
      </c>
      <c r="D1086" s="42">
        <v>5</v>
      </c>
      <c r="E1086" s="41">
        <v>1.5416396879721272E-4</v>
      </c>
    </row>
    <row r="1087" spans="2:5" ht="15" customHeight="1">
      <c r="B1087" s="84"/>
      <c r="C1087" s="43" t="s">
        <v>175</v>
      </c>
      <c r="D1087" s="42">
        <v>14</v>
      </c>
      <c r="E1087" s="41">
        <v>4.316591126321956E-4</v>
      </c>
    </row>
    <row r="1088" spans="2:5" ht="15" customHeight="1">
      <c r="B1088" s="84"/>
      <c r="C1088" s="43" t="s">
        <v>157</v>
      </c>
      <c r="D1088" s="42">
        <v>4</v>
      </c>
      <c r="E1088" s="41">
        <v>1.2333117503777018E-4</v>
      </c>
    </row>
    <row r="1089" spans="2:5" ht="15" customHeight="1">
      <c r="B1089" s="84"/>
      <c r="C1089" s="43" t="s">
        <v>143</v>
      </c>
      <c r="D1089" s="42">
        <v>4</v>
      </c>
      <c r="E1089" s="41">
        <v>1.2333117503777018E-4</v>
      </c>
    </row>
    <row r="1090" spans="2:5" ht="15" customHeight="1">
      <c r="B1090" s="84"/>
      <c r="C1090" s="43" t="s">
        <v>169</v>
      </c>
      <c r="D1090" s="42">
        <v>17</v>
      </c>
      <c r="E1090" s="41">
        <v>5.2415749391052319E-4</v>
      </c>
    </row>
    <row r="1091" spans="2:5" ht="15" customHeight="1">
      <c r="B1091" s="84"/>
      <c r="C1091" s="43" t="s">
        <v>160</v>
      </c>
      <c r="D1091" s="42">
        <v>16</v>
      </c>
      <c r="E1091" s="41">
        <v>4.9332470015108073E-4</v>
      </c>
    </row>
    <row r="1092" spans="2:5" ht="15" customHeight="1">
      <c r="B1092" s="84"/>
      <c r="C1092" s="43" t="s">
        <v>133</v>
      </c>
      <c r="D1092" s="42">
        <v>3</v>
      </c>
      <c r="E1092" s="41">
        <v>9.249838127832763E-5</v>
      </c>
    </row>
    <row r="1093" spans="2:5" ht="15" customHeight="1">
      <c r="B1093" s="84"/>
      <c r="C1093" s="43" t="s">
        <v>147</v>
      </c>
      <c r="D1093" s="42">
        <v>5</v>
      </c>
      <c r="E1093" s="41">
        <v>1.5416396879721272E-4</v>
      </c>
    </row>
    <row r="1094" spans="2:5" ht="15" customHeight="1">
      <c r="B1094" s="84"/>
      <c r="C1094" s="43" t="s">
        <v>139</v>
      </c>
      <c r="D1094" s="42">
        <v>4</v>
      </c>
      <c r="E1094" s="41">
        <v>1.2333117503777018E-4</v>
      </c>
    </row>
    <row r="1095" spans="2:5" ht="15" customHeight="1">
      <c r="B1095" s="84"/>
      <c r="C1095" s="43" t="s">
        <v>153</v>
      </c>
      <c r="D1095" s="42">
        <v>1</v>
      </c>
      <c r="E1095" s="41">
        <v>3.0832793759442546E-5</v>
      </c>
    </row>
    <row r="1096" spans="2:5" ht="15" customHeight="1">
      <c r="B1096" s="84"/>
      <c r="C1096" s="43" t="s">
        <v>141</v>
      </c>
      <c r="D1096" s="42">
        <v>2</v>
      </c>
      <c r="E1096" s="41">
        <v>6.1665587518885091E-5</v>
      </c>
    </row>
    <row r="1097" spans="2:5" ht="15" customHeight="1">
      <c r="B1097" s="84"/>
      <c r="C1097" s="43" t="s">
        <v>146</v>
      </c>
      <c r="D1097" s="42">
        <v>5</v>
      </c>
      <c r="E1097" s="41">
        <v>1.5416396879721272E-4</v>
      </c>
    </row>
    <row r="1098" spans="2:5" ht="15" customHeight="1">
      <c r="B1098" s="84"/>
      <c r="C1098" s="43" t="s">
        <v>144</v>
      </c>
      <c r="D1098" s="42">
        <v>6</v>
      </c>
      <c r="E1098" s="41">
        <v>1.8499676255665526E-4</v>
      </c>
    </row>
    <row r="1099" spans="2:5" ht="15" customHeight="1">
      <c r="B1099" s="84"/>
      <c r="C1099" s="43" t="s">
        <v>155</v>
      </c>
      <c r="D1099" s="42">
        <v>3</v>
      </c>
      <c r="E1099" s="41">
        <v>9.249838127832763E-5</v>
      </c>
    </row>
    <row r="1100" spans="2:5" ht="15" customHeight="1">
      <c r="B1100" s="84"/>
      <c r="C1100" s="43" t="s">
        <v>138</v>
      </c>
      <c r="D1100" s="42">
        <v>2</v>
      </c>
      <c r="E1100" s="41">
        <v>6.1665587518885091E-5</v>
      </c>
    </row>
    <row r="1101" spans="2:5" ht="15" customHeight="1">
      <c r="B1101" s="84"/>
      <c r="C1101" s="43" t="s">
        <v>173</v>
      </c>
      <c r="D1101" s="42">
        <v>12</v>
      </c>
      <c r="E1101" s="41">
        <v>3.6999352511331052E-4</v>
      </c>
    </row>
    <row r="1102" spans="2:5" ht="15" customHeight="1">
      <c r="B1102" s="84"/>
      <c r="C1102" s="43" t="s">
        <v>154</v>
      </c>
      <c r="D1102" s="42">
        <v>7</v>
      </c>
      <c r="E1102" s="41">
        <v>2.158295563160978E-4</v>
      </c>
    </row>
    <row r="1103" spans="2:5" ht="15" customHeight="1">
      <c r="B1103" s="84"/>
      <c r="C1103" s="43" t="s">
        <v>162</v>
      </c>
      <c r="D1103" s="42">
        <v>3</v>
      </c>
      <c r="E1103" s="41">
        <v>9.249838127832763E-5</v>
      </c>
    </row>
    <row r="1104" spans="2:5" ht="15" customHeight="1">
      <c r="B1104" s="84"/>
      <c r="C1104" s="43" t="s">
        <v>161</v>
      </c>
      <c r="D1104" s="42">
        <v>1</v>
      </c>
      <c r="E1104" s="41">
        <v>3.0832793759442546E-5</v>
      </c>
    </row>
    <row r="1105" spans="2:5" ht="15" customHeight="1">
      <c r="B1105" s="84"/>
      <c r="C1105" s="43" t="s">
        <v>166</v>
      </c>
      <c r="D1105" s="42">
        <v>24</v>
      </c>
      <c r="E1105" s="41">
        <v>7.3998705022662104E-4</v>
      </c>
    </row>
    <row r="1106" spans="2:5" ht="15" customHeight="1">
      <c r="B1106" s="84"/>
      <c r="C1106" s="43" t="s">
        <v>145</v>
      </c>
      <c r="D1106" s="42">
        <v>13</v>
      </c>
      <c r="E1106" s="41">
        <v>4.0082631887275309E-4</v>
      </c>
    </row>
    <row r="1107" spans="2:5" ht="15" customHeight="1">
      <c r="B1107" s="85"/>
      <c r="C1107" s="40" t="s">
        <v>23</v>
      </c>
      <c r="D1107" s="39">
        <v>593</v>
      </c>
      <c r="E1107" s="38">
        <v>1.8283846699349428E-2</v>
      </c>
    </row>
    <row r="1108" spans="2:5" ht="15" customHeight="1">
      <c r="B1108" s="83" t="s">
        <v>106</v>
      </c>
      <c r="C1108" s="43" t="s">
        <v>172</v>
      </c>
      <c r="D1108" s="42">
        <v>1</v>
      </c>
      <c r="E1108" s="41">
        <v>3.0832793759442546E-5</v>
      </c>
    </row>
    <row r="1109" spans="2:5" ht="15" customHeight="1">
      <c r="B1109" s="84"/>
      <c r="C1109" s="43" t="s">
        <v>170</v>
      </c>
      <c r="D1109" s="42">
        <v>1</v>
      </c>
      <c r="E1109" s="41">
        <v>3.0832793759442546E-5</v>
      </c>
    </row>
    <row r="1110" spans="2:5" ht="15" customHeight="1">
      <c r="B1110" s="84"/>
      <c r="C1110" s="43" t="s">
        <v>174</v>
      </c>
      <c r="D1110" s="42">
        <v>1</v>
      </c>
      <c r="E1110" s="41">
        <v>3.0832793759442546E-5</v>
      </c>
    </row>
    <row r="1111" spans="2:5" ht="15" customHeight="1">
      <c r="B1111" s="84"/>
      <c r="C1111" s="43" t="s">
        <v>176</v>
      </c>
      <c r="D1111" s="42">
        <v>4</v>
      </c>
      <c r="E1111" s="41">
        <v>1.2333117503777018E-4</v>
      </c>
    </row>
    <row r="1112" spans="2:5" ht="15" customHeight="1">
      <c r="B1112" s="84"/>
      <c r="C1112" s="43" t="s">
        <v>179</v>
      </c>
      <c r="D1112" s="42">
        <v>3</v>
      </c>
      <c r="E1112" s="41">
        <v>9.249838127832763E-5</v>
      </c>
    </row>
    <row r="1113" spans="2:5" ht="15" customHeight="1">
      <c r="B1113" s="84"/>
      <c r="C1113" s="43" t="s">
        <v>159</v>
      </c>
      <c r="D1113" s="42">
        <v>1</v>
      </c>
      <c r="E1113" s="41">
        <v>3.0832793759442546E-5</v>
      </c>
    </row>
    <row r="1114" spans="2:5" ht="15" customHeight="1">
      <c r="B1114" s="84"/>
      <c r="C1114" s="43" t="s">
        <v>132</v>
      </c>
      <c r="D1114" s="42">
        <v>1</v>
      </c>
      <c r="E1114" s="41">
        <v>3.0832793759442546E-5</v>
      </c>
    </row>
    <row r="1115" spans="2:5" ht="15" customHeight="1">
      <c r="B1115" s="84"/>
      <c r="C1115" s="43" t="s">
        <v>177</v>
      </c>
      <c r="D1115" s="42">
        <v>1</v>
      </c>
      <c r="E1115" s="41">
        <v>3.0832793759442546E-5</v>
      </c>
    </row>
    <row r="1116" spans="2:5" ht="15" customHeight="1">
      <c r="B1116" s="84"/>
      <c r="C1116" s="43" t="s">
        <v>167</v>
      </c>
      <c r="D1116" s="42">
        <v>2</v>
      </c>
      <c r="E1116" s="41">
        <v>6.1665587518885091E-5</v>
      </c>
    </row>
    <row r="1117" spans="2:5" ht="15" customHeight="1">
      <c r="B1117" s="84"/>
      <c r="C1117" s="43" t="s">
        <v>163</v>
      </c>
      <c r="D1117" s="42">
        <v>2</v>
      </c>
      <c r="E1117" s="41">
        <v>6.1665587518885091E-5</v>
      </c>
    </row>
    <row r="1118" spans="2:5" ht="15" customHeight="1">
      <c r="B1118" s="84"/>
      <c r="C1118" s="43" t="s">
        <v>182</v>
      </c>
      <c r="D1118" s="42">
        <v>15</v>
      </c>
      <c r="E1118" s="41">
        <v>4.6249190639163816E-4</v>
      </c>
    </row>
    <row r="1119" spans="2:5" ht="15" customHeight="1">
      <c r="B1119" s="84"/>
      <c r="C1119" s="43" t="s">
        <v>137</v>
      </c>
      <c r="D1119" s="42">
        <v>2</v>
      </c>
      <c r="E1119" s="41">
        <v>6.1665587518885091E-5</v>
      </c>
    </row>
    <row r="1120" spans="2:5" ht="15" customHeight="1">
      <c r="B1120" s="84"/>
      <c r="C1120" s="43" t="s">
        <v>175</v>
      </c>
      <c r="D1120" s="42">
        <v>4</v>
      </c>
      <c r="E1120" s="41">
        <v>1.2333117503777018E-4</v>
      </c>
    </row>
    <row r="1121" spans="2:5" ht="15" customHeight="1">
      <c r="B1121" s="84"/>
      <c r="C1121" s="43" t="s">
        <v>157</v>
      </c>
      <c r="D1121" s="42">
        <v>2</v>
      </c>
      <c r="E1121" s="41">
        <v>6.1665587518885091E-5</v>
      </c>
    </row>
    <row r="1122" spans="2:5" ht="15" customHeight="1">
      <c r="B1122" s="84"/>
      <c r="C1122" s="43" t="s">
        <v>143</v>
      </c>
      <c r="D1122" s="42">
        <v>1</v>
      </c>
      <c r="E1122" s="41">
        <v>3.0832793759442546E-5</v>
      </c>
    </row>
    <row r="1123" spans="2:5" ht="15" customHeight="1">
      <c r="B1123" s="84"/>
      <c r="C1123" s="43" t="s">
        <v>169</v>
      </c>
      <c r="D1123" s="42">
        <v>1</v>
      </c>
      <c r="E1123" s="41">
        <v>3.0832793759442546E-5</v>
      </c>
    </row>
    <row r="1124" spans="2:5" ht="15" customHeight="1">
      <c r="B1124" s="84"/>
      <c r="C1124" s="43" t="s">
        <v>149</v>
      </c>
      <c r="D1124" s="42">
        <v>1</v>
      </c>
      <c r="E1124" s="41">
        <v>3.0832793759442546E-5</v>
      </c>
    </row>
    <row r="1125" spans="2:5" ht="15" customHeight="1">
      <c r="B1125" s="84"/>
      <c r="C1125" s="43" t="s">
        <v>138</v>
      </c>
      <c r="D1125" s="42">
        <v>1</v>
      </c>
      <c r="E1125" s="41">
        <v>3.0832793759442546E-5</v>
      </c>
    </row>
    <row r="1126" spans="2:5" ht="15" customHeight="1">
      <c r="B1126" s="84"/>
      <c r="C1126" s="43" t="s">
        <v>173</v>
      </c>
      <c r="D1126" s="42">
        <v>2</v>
      </c>
      <c r="E1126" s="41">
        <v>6.1665587518885091E-5</v>
      </c>
    </row>
    <row r="1127" spans="2:5" ht="15" customHeight="1">
      <c r="B1127" s="84"/>
      <c r="C1127" s="43" t="s">
        <v>154</v>
      </c>
      <c r="D1127" s="42">
        <v>1</v>
      </c>
      <c r="E1127" s="41">
        <v>3.0832793759442546E-5</v>
      </c>
    </row>
    <row r="1128" spans="2:5" ht="15" customHeight="1">
      <c r="B1128" s="84"/>
      <c r="C1128" s="43" t="s">
        <v>166</v>
      </c>
      <c r="D1128" s="42">
        <v>1</v>
      </c>
      <c r="E1128" s="41">
        <v>3.0832793759442546E-5</v>
      </c>
    </row>
    <row r="1129" spans="2:5" ht="15" customHeight="1">
      <c r="B1129" s="84"/>
      <c r="C1129" s="43" t="s">
        <v>145</v>
      </c>
      <c r="D1129" s="42">
        <v>1</v>
      </c>
      <c r="E1129" s="41">
        <v>3.0832793759442546E-5</v>
      </c>
    </row>
    <row r="1130" spans="2:5" ht="15" customHeight="1">
      <c r="B1130" s="85"/>
      <c r="C1130" s="40" t="s">
        <v>23</v>
      </c>
      <c r="D1130" s="39">
        <v>49</v>
      </c>
      <c r="E1130" s="38">
        <v>1.5108068942126845E-3</v>
      </c>
    </row>
    <row r="1131" spans="2:5" ht="15" customHeight="1">
      <c r="B1131" s="83" t="s">
        <v>94</v>
      </c>
      <c r="C1131" s="43" t="s">
        <v>170</v>
      </c>
      <c r="D1131" s="42">
        <v>1</v>
      </c>
      <c r="E1131" s="41">
        <v>3.0832793759442546E-5</v>
      </c>
    </row>
    <row r="1132" spans="2:5" ht="15" customHeight="1">
      <c r="B1132" s="84"/>
      <c r="C1132" s="43" t="s">
        <v>174</v>
      </c>
      <c r="D1132" s="42">
        <v>1</v>
      </c>
      <c r="E1132" s="41">
        <v>3.0832793759442546E-5</v>
      </c>
    </row>
    <row r="1133" spans="2:5" ht="15" customHeight="1">
      <c r="B1133" s="84"/>
      <c r="C1133" s="43" t="s">
        <v>164</v>
      </c>
      <c r="D1133" s="42">
        <v>11</v>
      </c>
      <c r="E1133" s="41">
        <v>3.3916073135386795E-4</v>
      </c>
    </row>
    <row r="1134" spans="2:5" ht="15" customHeight="1">
      <c r="B1134" s="84"/>
      <c r="C1134" s="43" t="s">
        <v>176</v>
      </c>
      <c r="D1134" s="42">
        <v>2</v>
      </c>
      <c r="E1134" s="41">
        <v>6.1665587518885091E-5</v>
      </c>
    </row>
    <row r="1135" spans="2:5" ht="15" customHeight="1">
      <c r="B1135" s="84"/>
      <c r="C1135" s="43" t="s">
        <v>178</v>
      </c>
      <c r="D1135" s="42">
        <v>2</v>
      </c>
      <c r="E1135" s="41">
        <v>6.1665587518885091E-5</v>
      </c>
    </row>
    <row r="1136" spans="2:5" ht="15" customHeight="1">
      <c r="B1136" s="84"/>
      <c r="C1136" s="43" t="s">
        <v>179</v>
      </c>
      <c r="D1136" s="42">
        <v>4</v>
      </c>
      <c r="E1136" s="41">
        <v>1.2333117503777018E-4</v>
      </c>
    </row>
    <row r="1137" spans="2:5" ht="15" customHeight="1">
      <c r="B1137" s="84"/>
      <c r="C1137" s="43" t="s">
        <v>129</v>
      </c>
      <c r="D1137" s="42">
        <v>1</v>
      </c>
      <c r="E1137" s="41">
        <v>3.0832793759442546E-5</v>
      </c>
    </row>
    <row r="1138" spans="2:5" ht="15" customHeight="1">
      <c r="B1138" s="84"/>
      <c r="C1138" s="43" t="s">
        <v>168</v>
      </c>
      <c r="D1138" s="42">
        <v>2</v>
      </c>
      <c r="E1138" s="41">
        <v>6.1665587518885091E-5</v>
      </c>
    </row>
    <row r="1139" spans="2:5" ht="15" customHeight="1">
      <c r="B1139" s="84"/>
      <c r="C1139" s="43" t="s">
        <v>180</v>
      </c>
      <c r="D1139" s="42">
        <v>3</v>
      </c>
      <c r="E1139" s="41">
        <v>9.249838127832763E-5</v>
      </c>
    </row>
    <row r="1140" spans="2:5" ht="15" customHeight="1">
      <c r="B1140" s="84"/>
      <c r="C1140" s="43" t="s">
        <v>177</v>
      </c>
      <c r="D1140" s="42">
        <v>1</v>
      </c>
      <c r="E1140" s="41">
        <v>3.0832793759442546E-5</v>
      </c>
    </row>
    <row r="1141" spans="2:5" ht="15" customHeight="1">
      <c r="B1141" s="84"/>
      <c r="C1141" s="43" t="s">
        <v>171</v>
      </c>
      <c r="D1141" s="42">
        <v>1</v>
      </c>
      <c r="E1141" s="41">
        <v>3.0832793759442546E-5</v>
      </c>
    </row>
    <row r="1142" spans="2:5" ht="15" customHeight="1">
      <c r="B1142" s="84"/>
      <c r="C1142" s="43" t="s">
        <v>181</v>
      </c>
      <c r="D1142" s="42">
        <v>3</v>
      </c>
      <c r="E1142" s="41">
        <v>9.249838127832763E-5</v>
      </c>
    </row>
    <row r="1143" spans="2:5" ht="15" customHeight="1">
      <c r="B1143" s="84"/>
      <c r="C1143" s="43" t="s">
        <v>167</v>
      </c>
      <c r="D1143" s="42">
        <v>1</v>
      </c>
      <c r="E1143" s="41">
        <v>3.0832793759442546E-5</v>
      </c>
    </row>
    <row r="1144" spans="2:5" ht="15" customHeight="1">
      <c r="B1144" s="84"/>
      <c r="C1144" s="43" t="s">
        <v>182</v>
      </c>
      <c r="D1144" s="42">
        <v>17</v>
      </c>
      <c r="E1144" s="41">
        <v>5.2415749391052319E-4</v>
      </c>
    </row>
    <row r="1145" spans="2:5" ht="15" customHeight="1">
      <c r="B1145" s="84"/>
      <c r="C1145" s="43" t="s">
        <v>151</v>
      </c>
      <c r="D1145" s="42">
        <v>1</v>
      </c>
      <c r="E1145" s="41">
        <v>3.0832793759442546E-5</v>
      </c>
    </row>
    <row r="1146" spans="2:5" ht="15" customHeight="1">
      <c r="B1146" s="84"/>
      <c r="C1146" s="43" t="s">
        <v>175</v>
      </c>
      <c r="D1146" s="42">
        <v>1</v>
      </c>
      <c r="E1146" s="41">
        <v>3.0832793759442546E-5</v>
      </c>
    </row>
    <row r="1147" spans="2:5" ht="15" customHeight="1">
      <c r="B1147" s="84"/>
      <c r="C1147" s="43" t="s">
        <v>157</v>
      </c>
      <c r="D1147" s="42">
        <v>20</v>
      </c>
      <c r="E1147" s="41">
        <v>6.1665587518885089E-4</v>
      </c>
    </row>
    <row r="1148" spans="2:5" ht="15" customHeight="1">
      <c r="B1148" s="84"/>
      <c r="C1148" s="43" t="s">
        <v>169</v>
      </c>
      <c r="D1148" s="42">
        <v>2</v>
      </c>
      <c r="E1148" s="41">
        <v>6.1665587518885091E-5</v>
      </c>
    </row>
    <row r="1149" spans="2:5" ht="15" customHeight="1">
      <c r="B1149" s="84"/>
      <c r="C1149" s="43" t="s">
        <v>160</v>
      </c>
      <c r="D1149" s="42">
        <v>2</v>
      </c>
      <c r="E1149" s="41">
        <v>6.1665587518885091E-5</v>
      </c>
    </row>
    <row r="1150" spans="2:5" ht="15" customHeight="1">
      <c r="B1150" s="84"/>
      <c r="C1150" s="43" t="s">
        <v>147</v>
      </c>
      <c r="D1150" s="42">
        <v>1</v>
      </c>
      <c r="E1150" s="41">
        <v>3.0832793759442546E-5</v>
      </c>
    </row>
    <row r="1151" spans="2:5" ht="15" customHeight="1">
      <c r="B1151" s="84"/>
      <c r="C1151" s="43" t="s">
        <v>138</v>
      </c>
      <c r="D1151" s="42">
        <v>1</v>
      </c>
      <c r="E1151" s="41">
        <v>3.0832793759442546E-5</v>
      </c>
    </row>
    <row r="1152" spans="2:5" ht="15" customHeight="1">
      <c r="B1152" s="84"/>
      <c r="C1152" s="43" t="s">
        <v>173</v>
      </c>
      <c r="D1152" s="42">
        <v>3</v>
      </c>
      <c r="E1152" s="41">
        <v>9.249838127832763E-5</v>
      </c>
    </row>
    <row r="1153" spans="2:5" ht="15" customHeight="1">
      <c r="B1153" s="84"/>
      <c r="C1153" s="43" t="s">
        <v>162</v>
      </c>
      <c r="D1153" s="42">
        <v>1</v>
      </c>
      <c r="E1153" s="41">
        <v>3.0832793759442546E-5</v>
      </c>
    </row>
    <row r="1154" spans="2:5" ht="15" customHeight="1">
      <c r="B1154" s="84"/>
      <c r="C1154" s="43" t="s">
        <v>166</v>
      </c>
      <c r="D1154" s="42">
        <v>1</v>
      </c>
      <c r="E1154" s="41">
        <v>3.0832793759442546E-5</v>
      </c>
    </row>
    <row r="1155" spans="2:5" ht="15" customHeight="1">
      <c r="B1155" s="85"/>
      <c r="C1155" s="40" t="s">
        <v>23</v>
      </c>
      <c r="D1155" s="39">
        <v>83</v>
      </c>
      <c r="E1155" s="38">
        <v>2.5591218820337309E-3</v>
      </c>
    </row>
    <row r="1156" spans="2:5" ht="15" customHeight="1">
      <c r="B1156" s="83" t="s">
        <v>98</v>
      </c>
      <c r="C1156" s="43" t="s">
        <v>148</v>
      </c>
      <c r="D1156" s="42">
        <v>1</v>
      </c>
      <c r="E1156" s="41">
        <v>3.0832793759442546E-5</v>
      </c>
    </row>
    <row r="1157" spans="2:5" ht="15" customHeight="1">
      <c r="B1157" s="84"/>
      <c r="C1157" s="43" t="s">
        <v>164</v>
      </c>
      <c r="D1157" s="42">
        <v>3</v>
      </c>
      <c r="E1157" s="41">
        <v>9.249838127832763E-5</v>
      </c>
    </row>
    <row r="1158" spans="2:5" ht="15" customHeight="1">
      <c r="B1158" s="84"/>
      <c r="C1158" s="43" t="s">
        <v>179</v>
      </c>
      <c r="D1158" s="42">
        <v>3</v>
      </c>
      <c r="E1158" s="41">
        <v>9.249838127832763E-5</v>
      </c>
    </row>
    <row r="1159" spans="2:5" ht="15" customHeight="1">
      <c r="B1159" s="84"/>
      <c r="C1159" s="43" t="s">
        <v>159</v>
      </c>
      <c r="D1159" s="42">
        <v>3</v>
      </c>
      <c r="E1159" s="41">
        <v>9.249838127832763E-5</v>
      </c>
    </row>
    <row r="1160" spans="2:5" ht="15" customHeight="1">
      <c r="B1160" s="84"/>
      <c r="C1160" s="43" t="s">
        <v>177</v>
      </c>
      <c r="D1160" s="42">
        <v>1</v>
      </c>
      <c r="E1160" s="41">
        <v>3.0832793759442546E-5</v>
      </c>
    </row>
    <row r="1161" spans="2:5" ht="15" customHeight="1">
      <c r="B1161" s="84"/>
      <c r="C1161" s="43" t="s">
        <v>181</v>
      </c>
      <c r="D1161" s="42">
        <v>2</v>
      </c>
      <c r="E1161" s="41">
        <v>6.1665587518885091E-5</v>
      </c>
    </row>
    <row r="1162" spans="2:5" ht="15" customHeight="1">
      <c r="B1162" s="84"/>
      <c r="C1162" s="43" t="s">
        <v>167</v>
      </c>
      <c r="D1162" s="42">
        <v>1</v>
      </c>
      <c r="E1162" s="41">
        <v>3.0832793759442546E-5</v>
      </c>
    </row>
    <row r="1163" spans="2:5" ht="15" customHeight="1">
      <c r="B1163" s="84"/>
      <c r="C1163" s="43" t="s">
        <v>163</v>
      </c>
      <c r="D1163" s="42">
        <v>2</v>
      </c>
      <c r="E1163" s="41">
        <v>6.1665587518885091E-5</v>
      </c>
    </row>
    <row r="1164" spans="2:5" ht="15" customHeight="1">
      <c r="B1164" s="84"/>
      <c r="C1164" s="43" t="s">
        <v>182</v>
      </c>
      <c r="D1164" s="42">
        <v>7</v>
      </c>
      <c r="E1164" s="41">
        <v>2.158295563160978E-4</v>
      </c>
    </row>
    <row r="1165" spans="2:5" ht="15" customHeight="1">
      <c r="B1165" s="84"/>
      <c r="C1165" s="43" t="s">
        <v>175</v>
      </c>
      <c r="D1165" s="42">
        <v>2</v>
      </c>
      <c r="E1165" s="41">
        <v>6.1665587518885091E-5</v>
      </c>
    </row>
    <row r="1166" spans="2:5" ht="15" customHeight="1">
      <c r="B1166" s="84"/>
      <c r="C1166" s="43" t="s">
        <v>157</v>
      </c>
      <c r="D1166" s="42">
        <v>17</v>
      </c>
      <c r="E1166" s="41">
        <v>5.2415749391052319E-4</v>
      </c>
    </row>
    <row r="1167" spans="2:5" ht="15" customHeight="1">
      <c r="B1167" s="84"/>
      <c r="C1167" s="43" t="s">
        <v>169</v>
      </c>
      <c r="D1167" s="42">
        <v>1</v>
      </c>
      <c r="E1167" s="41">
        <v>3.0832793759442546E-5</v>
      </c>
    </row>
    <row r="1168" spans="2:5" ht="15" customHeight="1">
      <c r="B1168" s="84"/>
      <c r="C1168" s="43" t="s">
        <v>139</v>
      </c>
      <c r="D1168" s="42">
        <v>1</v>
      </c>
      <c r="E1168" s="41">
        <v>3.0832793759442546E-5</v>
      </c>
    </row>
    <row r="1169" spans="2:5" ht="15" customHeight="1">
      <c r="B1169" s="84"/>
      <c r="C1169" s="43" t="s">
        <v>149</v>
      </c>
      <c r="D1169" s="42">
        <v>1</v>
      </c>
      <c r="E1169" s="41">
        <v>3.0832793759442546E-5</v>
      </c>
    </row>
    <row r="1170" spans="2:5" ht="15" customHeight="1">
      <c r="B1170" s="84"/>
      <c r="C1170" s="43" t="s">
        <v>173</v>
      </c>
      <c r="D1170" s="42">
        <v>9</v>
      </c>
      <c r="E1170" s="41">
        <v>2.7749514383498288E-4</v>
      </c>
    </row>
    <row r="1171" spans="2:5" ht="15" customHeight="1">
      <c r="B1171" s="84"/>
      <c r="C1171" s="43" t="s">
        <v>162</v>
      </c>
      <c r="D1171" s="42">
        <v>1</v>
      </c>
      <c r="E1171" s="41">
        <v>3.0832793759442546E-5</v>
      </c>
    </row>
    <row r="1172" spans="2:5" ht="15" customHeight="1">
      <c r="B1172" s="84"/>
      <c r="C1172" s="43" t="s">
        <v>166</v>
      </c>
      <c r="D1172" s="42">
        <v>1</v>
      </c>
      <c r="E1172" s="41">
        <v>3.0832793759442546E-5</v>
      </c>
    </row>
    <row r="1173" spans="2:5" ht="15" customHeight="1">
      <c r="B1173" s="85"/>
      <c r="C1173" s="40" t="s">
        <v>23</v>
      </c>
      <c r="D1173" s="39">
        <v>56</v>
      </c>
      <c r="E1173" s="38">
        <v>1.7266364505287824E-3</v>
      </c>
    </row>
    <row r="1174" spans="2:5" ht="15" customHeight="1">
      <c r="B1174" s="83" t="s">
        <v>82</v>
      </c>
      <c r="C1174" s="43" t="s">
        <v>136</v>
      </c>
      <c r="D1174" s="42">
        <v>1</v>
      </c>
      <c r="E1174" s="41">
        <v>3.0832793759442546E-5</v>
      </c>
    </row>
    <row r="1175" spans="2:5" ht="15" customHeight="1">
      <c r="B1175" s="84"/>
      <c r="C1175" s="43" t="s">
        <v>156</v>
      </c>
      <c r="D1175" s="42">
        <v>1</v>
      </c>
      <c r="E1175" s="41">
        <v>3.0832793759442546E-5</v>
      </c>
    </row>
    <row r="1176" spans="2:5" ht="15" customHeight="1">
      <c r="B1176" s="84"/>
      <c r="C1176" s="43" t="s">
        <v>174</v>
      </c>
      <c r="D1176" s="42">
        <v>1</v>
      </c>
      <c r="E1176" s="41">
        <v>3.0832793759442546E-5</v>
      </c>
    </row>
    <row r="1177" spans="2:5" ht="15" customHeight="1">
      <c r="B1177" s="84"/>
      <c r="C1177" s="43" t="s">
        <v>164</v>
      </c>
      <c r="D1177" s="42">
        <v>1</v>
      </c>
      <c r="E1177" s="41">
        <v>3.0832793759442546E-5</v>
      </c>
    </row>
    <row r="1178" spans="2:5" ht="15" customHeight="1">
      <c r="B1178" s="84"/>
      <c r="C1178" s="43" t="s">
        <v>176</v>
      </c>
      <c r="D1178" s="42">
        <v>1</v>
      </c>
      <c r="E1178" s="41">
        <v>3.0832793759442546E-5</v>
      </c>
    </row>
    <row r="1179" spans="2:5" ht="15" customHeight="1">
      <c r="B1179" s="84"/>
      <c r="C1179" s="43" t="s">
        <v>178</v>
      </c>
      <c r="D1179" s="42">
        <v>1</v>
      </c>
      <c r="E1179" s="41">
        <v>3.0832793759442546E-5</v>
      </c>
    </row>
    <row r="1180" spans="2:5" ht="15" customHeight="1">
      <c r="B1180" s="84"/>
      <c r="C1180" s="43" t="s">
        <v>159</v>
      </c>
      <c r="D1180" s="42">
        <v>1</v>
      </c>
      <c r="E1180" s="41">
        <v>3.0832793759442546E-5</v>
      </c>
    </row>
    <row r="1181" spans="2:5" ht="15" customHeight="1">
      <c r="B1181" s="84"/>
      <c r="C1181" s="43" t="s">
        <v>180</v>
      </c>
      <c r="D1181" s="42">
        <v>1</v>
      </c>
      <c r="E1181" s="41">
        <v>3.0832793759442546E-5</v>
      </c>
    </row>
    <row r="1182" spans="2:5" ht="15" customHeight="1">
      <c r="B1182" s="84"/>
      <c r="C1182" s="43" t="s">
        <v>181</v>
      </c>
      <c r="D1182" s="42">
        <v>3</v>
      </c>
      <c r="E1182" s="41">
        <v>9.249838127832763E-5</v>
      </c>
    </row>
    <row r="1183" spans="2:5" ht="15" customHeight="1">
      <c r="B1183" s="84"/>
      <c r="C1183" s="43" t="s">
        <v>182</v>
      </c>
      <c r="D1183" s="42">
        <v>6</v>
      </c>
      <c r="E1183" s="41">
        <v>1.8499676255665526E-4</v>
      </c>
    </row>
    <row r="1184" spans="2:5" ht="15" customHeight="1">
      <c r="B1184" s="84"/>
      <c r="C1184" s="43" t="s">
        <v>151</v>
      </c>
      <c r="D1184" s="42">
        <v>1</v>
      </c>
      <c r="E1184" s="41">
        <v>3.0832793759442546E-5</v>
      </c>
    </row>
    <row r="1185" spans="2:5" ht="15" customHeight="1">
      <c r="B1185" s="84"/>
      <c r="C1185" s="43" t="s">
        <v>169</v>
      </c>
      <c r="D1185" s="42">
        <v>1</v>
      </c>
      <c r="E1185" s="41">
        <v>3.0832793759442546E-5</v>
      </c>
    </row>
    <row r="1186" spans="2:5" ht="15" customHeight="1">
      <c r="B1186" s="84"/>
      <c r="C1186" s="43" t="s">
        <v>139</v>
      </c>
      <c r="D1186" s="42">
        <v>1</v>
      </c>
      <c r="E1186" s="41">
        <v>3.0832793759442546E-5</v>
      </c>
    </row>
    <row r="1187" spans="2:5" ht="15" customHeight="1">
      <c r="B1187" s="84"/>
      <c r="C1187" s="43" t="s">
        <v>141</v>
      </c>
      <c r="D1187" s="42">
        <v>1</v>
      </c>
      <c r="E1187" s="41">
        <v>3.0832793759442546E-5</v>
      </c>
    </row>
    <row r="1188" spans="2:5" ht="15" customHeight="1">
      <c r="B1188" s="84"/>
      <c r="C1188" s="43" t="s">
        <v>149</v>
      </c>
      <c r="D1188" s="42">
        <v>1</v>
      </c>
      <c r="E1188" s="41">
        <v>3.0832793759442546E-5</v>
      </c>
    </row>
    <row r="1189" spans="2:5" ht="15" customHeight="1">
      <c r="B1189" s="84"/>
      <c r="C1189" s="43" t="s">
        <v>146</v>
      </c>
      <c r="D1189" s="42">
        <v>2</v>
      </c>
      <c r="E1189" s="41">
        <v>6.1665587518885091E-5</v>
      </c>
    </row>
    <row r="1190" spans="2:5" ht="15" customHeight="1">
      <c r="B1190" s="84"/>
      <c r="C1190" s="43" t="s">
        <v>155</v>
      </c>
      <c r="D1190" s="42">
        <v>1</v>
      </c>
      <c r="E1190" s="41">
        <v>3.0832793759442546E-5</v>
      </c>
    </row>
    <row r="1191" spans="2:5" ht="15" customHeight="1">
      <c r="B1191" s="84"/>
      <c r="C1191" s="43" t="s">
        <v>138</v>
      </c>
      <c r="D1191" s="42">
        <v>1</v>
      </c>
      <c r="E1191" s="41">
        <v>3.0832793759442546E-5</v>
      </c>
    </row>
    <row r="1192" spans="2:5" ht="15" customHeight="1">
      <c r="B1192" s="84"/>
      <c r="C1192" s="43" t="s">
        <v>166</v>
      </c>
      <c r="D1192" s="42">
        <v>1</v>
      </c>
      <c r="E1192" s="41">
        <v>3.0832793759442546E-5</v>
      </c>
    </row>
    <row r="1193" spans="2:5" ht="15" customHeight="1">
      <c r="B1193" s="85"/>
      <c r="C1193" s="40" t="s">
        <v>23</v>
      </c>
      <c r="D1193" s="39">
        <v>27</v>
      </c>
      <c r="E1193" s="38">
        <v>8.3248543150494863E-4</v>
      </c>
    </row>
    <row r="1194" spans="2:5" ht="15" customHeight="1">
      <c r="B1194" s="83" t="s">
        <v>116</v>
      </c>
      <c r="C1194" s="43" t="s">
        <v>172</v>
      </c>
      <c r="D1194" s="42">
        <v>7</v>
      </c>
      <c r="E1194" s="41">
        <v>2.158295563160978E-4</v>
      </c>
    </row>
    <row r="1195" spans="2:5" ht="15" customHeight="1">
      <c r="B1195" s="84"/>
      <c r="C1195" s="43" t="s">
        <v>148</v>
      </c>
      <c r="D1195" s="42">
        <v>12</v>
      </c>
      <c r="E1195" s="41">
        <v>3.6999352511331052E-4</v>
      </c>
    </row>
    <row r="1196" spans="2:5" ht="15" customHeight="1">
      <c r="B1196" s="84"/>
      <c r="C1196" s="43" t="s">
        <v>152</v>
      </c>
      <c r="D1196" s="42">
        <v>24</v>
      </c>
      <c r="E1196" s="41">
        <v>7.3998705022662104E-4</v>
      </c>
    </row>
    <row r="1197" spans="2:5" ht="15" customHeight="1">
      <c r="B1197" s="84"/>
      <c r="C1197" s="43" t="s">
        <v>142</v>
      </c>
      <c r="D1197" s="42">
        <v>3</v>
      </c>
      <c r="E1197" s="41">
        <v>9.249838127832763E-5</v>
      </c>
    </row>
    <row r="1198" spans="2:5" ht="15" customHeight="1">
      <c r="B1198" s="84"/>
      <c r="C1198" s="43" t="s">
        <v>136</v>
      </c>
      <c r="D1198" s="42">
        <v>6</v>
      </c>
      <c r="E1198" s="41">
        <v>1.8499676255665526E-4</v>
      </c>
    </row>
    <row r="1199" spans="2:5" ht="15" customHeight="1">
      <c r="B1199" s="84"/>
      <c r="C1199" s="43" t="s">
        <v>170</v>
      </c>
      <c r="D1199" s="42">
        <v>22</v>
      </c>
      <c r="E1199" s="41">
        <v>6.7832146270773591E-4</v>
      </c>
    </row>
    <row r="1200" spans="2:5" ht="15" customHeight="1">
      <c r="B1200" s="84"/>
      <c r="C1200" s="43" t="s">
        <v>140</v>
      </c>
      <c r="D1200" s="42">
        <v>4</v>
      </c>
      <c r="E1200" s="41">
        <v>1.2333117503777018E-4</v>
      </c>
    </row>
    <row r="1201" spans="2:5" ht="15" customHeight="1">
      <c r="B1201" s="84"/>
      <c r="C1201" s="43" t="s">
        <v>156</v>
      </c>
      <c r="D1201" s="42">
        <v>2</v>
      </c>
      <c r="E1201" s="41">
        <v>6.1665587518885091E-5</v>
      </c>
    </row>
    <row r="1202" spans="2:5" ht="15" customHeight="1">
      <c r="B1202" s="84"/>
      <c r="C1202" s="43" t="s">
        <v>174</v>
      </c>
      <c r="D1202" s="42">
        <v>14</v>
      </c>
      <c r="E1202" s="41">
        <v>4.316591126321956E-4</v>
      </c>
    </row>
    <row r="1203" spans="2:5" ht="15" customHeight="1">
      <c r="B1203" s="84"/>
      <c r="C1203" s="43" t="s">
        <v>164</v>
      </c>
      <c r="D1203" s="42">
        <v>8</v>
      </c>
      <c r="E1203" s="41">
        <v>2.4666235007554037E-4</v>
      </c>
    </row>
    <row r="1204" spans="2:5" ht="15" customHeight="1">
      <c r="B1204" s="84"/>
      <c r="C1204" s="43" t="s">
        <v>176</v>
      </c>
      <c r="D1204" s="42">
        <v>73</v>
      </c>
      <c r="E1204" s="41">
        <v>2.2507939444393055E-3</v>
      </c>
    </row>
    <row r="1205" spans="2:5" ht="15" customHeight="1">
      <c r="B1205" s="84"/>
      <c r="C1205" s="43" t="s">
        <v>178</v>
      </c>
      <c r="D1205" s="42">
        <v>70</v>
      </c>
      <c r="E1205" s="41">
        <v>2.1582955631609781E-3</v>
      </c>
    </row>
    <row r="1206" spans="2:5" ht="15" customHeight="1">
      <c r="B1206" s="84"/>
      <c r="C1206" s="43" t="s">
        <v>179</v>
      </c>
      <c r="D1206" s="42">
        <v>88</v>
      </c>
      <c r="E1206" s="41">
        <v>2.7132858508309436E-3</v>
      </c>
    </row>
    <row r="1207" spans="2:5" ht="15" customHeight="1">
      <c r="B1207" s="84"/>
      <c r="C1207" s="43" t="s">
        <v>159</v>
      </c>
      <c r="D1207" s="42">
        <v>10</v>
      </c>
      <c r="E1207" s="41">
        <v>3.0832793759442544E-4</v>
      </c>
    </row>
    <row r="1208" spans="2:5" ht="15" customHeight="1">
      <c r="B1208" s="84"/>
      <c r="C1208" s="43" t="s">
        <v>135</v>
      </c>
      <c r="D1208" s="42">
        <v>4</v>
      </c>
      <c r="E1208" s="41">
        <v>1.2333117503777018E-4</v>
      </c>
    </row>
    <row r="1209" spans="2:5" ht="15" customHeight="1">
      <c r="B1209" s="84"/>
      <c r="C1209" s="43" t="s">
        <v>168</v>
      </c>
      <c r="D1209" s="42">
        <v>20</v>
      </c>
      <c r="E1209" s="41">
        <v>6.1665587518885089E-4</v>
      </c>
    </row>
    <row r="1210" spans="2:5" ht="15" customHeight="1">
      <c r="B1210" s="84"/>
      <c r="C1210" s="43" t="s">
        <v>132</v>
      </c>
      <c r="D1210" s="42">
        <v>1</v>
      </c>
      <c r="E1210" s="41">
        <v>3.0832793759442546E-5</v>
      </c>
    </row>
    <row r="1211" spans="2:5" ht="15" customHeight="1">
      <c r="B1211" s="84"/>
      <c r="C1211" s="43" t="s">
        <v>158</v>
      </c>
      <c r="D1211" s="42">
        <v>11</v>
      </c>
      <c r="E1211" s="41">
        <v>3.3916073135386795E-4</v>
      </c>
    </row>
    <row r="1212" spans="2:5" ht="15" customHeight="1">
      <c r="B1212" s="84"/>
      <c r="C1212" s="43" t="s">
        <v>180</v>
      </c>
      <c r="D1212" s="42">
        <v>38</v>
      </c>
      <c r="E1212" s="41">
        <v>1.1716461628588166E-3</v>
      </c>
    </row>
    <row r="1213" spans="2:5" ht="15" customHeight="1">
      <c r="B1213" s="84"/>
      <c r="C1213" s="43" t="s">
        <v>177</v>
      </c>
      <c r="D1213" s="42">
        <v>22</v>
      </c>
      <c r="E1213" s="41">
        <v>6.7832146270773591E-4</v>
      </c>
    </row>
    <row r="1214" spans="2:5" ht="15" customHeight="1">
      <c r="B1214" s="84"/>
      <c r="C1214" s="43" t="s">
        <v>165</v>
      </c>
      <c r="D1214" s="42">
        <v>3</v>
      </c>
      <c r="E1214" s="41">
        <v>9.249838127832763E-5</v>
      </c>
    </row>
    <row r="1215" spans="2:5" ht="15" customHeight="1">
      <c r="B1215" s="84"/>
      <c r="C1215" s="43" t="s">
        <v>171</v>
      </c>
      <c r="D1215" s="42">
        <v>32</v>
      </c>
      <c r="E1215" s="41">
        <v>9.8664940030216146E-4</v>
      </c>
    </row>
    <row r="1216" spans="2:5" ht="15" customHeight="1">
      <c r="B1216" s="84"/>
      <c r="C1216" s="43" t="s">
        <v>181</v>
      </c>
      <c r="D1216" s="42">
        <v>158</v>
      </c>
      <c r="E1216" s="41">
        <v>4.8715814139919222E-3</v>
      </c>
    </row>
    <row r="1217" spans="2:5" ht="15" customHeight="1">
      <c r="B1217" s="84"/>
      <c r="C1217" s="43" t="s">
        <v>167</v>
      </c>
      <c r="D1217" s="42">
        <v>19</v>
      </c>
      <c r="E1217" s="41">
        <v>5.8582308142940832E-4</v>
      </c>
    </row>
    <row r="1218" spans="2:5" ht="15" customHeight="1">
      <c r="B1218" s="84"/>
      <c r="C1218" s="43" t="s">
        <v>103</v>
      </c>
      <c r="D1218" s="42">
        <v>2</v>
      </c>
      <c r="E1218" s="41">
        <v>6.1665587518885091E-5</v>
      </c>
    </row>
    <row r="1219" spans="2:5" ht="15" customHeight="1">
      <c r="B1219" s="84"/>
      <c r="C1219" s="43" t="s">
        <v>163</v>
      </c>
      <c r="D1219" s="42">
        <v>11</v>
      </c>
      <c r="E1219" s="41">
        <v>3.3916073135386795E-4</v>
      </c>
    </row>
    <row r="1220" spans="2:5" ht="15" customHeight="1">
      <c r="B1220" s="84"/>
      <c r="C1220" s="43" t="s">
        <v>182</v>
      </c>
      <c r="D1220" s="42">
        <v>122</v>
      </c>
      <c r="E1220" s="41">
        <v>3.7616008386519902E-3</v>
      </c>
    </row>
    <row r="1221" spans="2:5" ht="15" customHeight="1">
      <c r="B1221" s="84"/>
      <c r="C1221" s="43" t="s">
        <v>137</v>
      </c>
      <c r="D1221" s="42">
        <v>1</v>
      </c>
      <c r="E1221" s="41">
        <v>3.0832793759442546E-5</v>
      </c>
    </row>
    <row r="1222" spans="2:5" ht="15" customHeight="1">
      <c r="B1222" s="84"/>
      <c r="C1222" s="43" t="s">
        <v>151</v>
      </c>
      <c r="D1222" s="42">
        <v>10</v>
      </c>
      <c r="E1222" s="41">
        <v>3.0832793759442544E-4</v>
      </c>
    </row>
    <row r="1223" spans="2:5" ht="15" customHeight="1">
      <c r="B1223" s="84"/>
      <c r="C1223" s="43" t="s">
        <v>134</v>
      </c>
      <c r="D1223" s="42">
        <v>2</v>
      </c>
      <c r="E1223" s="41">
        <v>6.1665587518885091E-5</v>
      </c>
    </row>
    <row r="1224" spans="2:5" ht="15" customHeight="1">
      <c r="B1224" s="84"/>
      <c r="C1224" s="43" t="s">
        <v>150</v>
      </c>
      <c r="D1224" s="42">
        <v>18</v>
      </c>
      <c r="E1224" s="41">
        <v>5.5499028766996575E-4</v>
      </c>
    </row>
    <row r="1225" spans="2:5" ht="15" customHeight="1">
      <c r="B1225" s="84"/>
      <c r="C1225" s="43" t="s">
        <v>175</v>
      </c>
      <c r="D1225" s="42">
        <v>17</v>
      </c>
      <c r="E1225" s="41">
        <v>5.2415749391052319E-4</v>
      </c>
    </row>
    <row r="1226" spans="2:5" ht="15" customHeight="1">
      <c r="B1226" s="84"/>
      <c r="C1226" s="43" t="s">
        <v>157</v>
      </c>
      <c r="D1226" s="42">
        <v>3</v>
      </c>
      <c r="E1226" s="41">
        <v>9.249838127832763E-5</v>
      </c>
    </row>
    <row r="1227" spans="2:5" ht="15" customHeight="1">
      <c r="B1227" s="84"/>
      <c r="C1227" s="43" t="s">
        <v>143</v>
      </c>
      <c r="D1227" s="42">
        <v>9</v>
      </c>
      <c r="E1227" s="41">
        <v>2.7749514383498288E-4</v>
      </c>
    </row>
    <row r="1228" spans="2:5" ht="15" customHeight="1">
      <c r="B1228" s="84"/>
      <c r="C1228" s="43" t="s">
        <v>169</v>
      </c>
      <c r="D1228" s="42">
        <v>42</v>
      </c>
      <c r="E1228" s="41">
        <v>1.2949773378965869E-3</v>
      </c>
    </row>
    <row r="1229" spans="2:5" ht="15" customHeight="1">
      <c r="B1229" s="84"/>
      <c r="C1229" s="43" t="s">
        <v>160</v>
      </c>
      <c r="D1229" s="42">
        <v>49</v>
      </c>
      <c r="E1229" s="41">
        <v>1.5108068942126845E-3</v>
      </c>
    </row>
    <row r="1230" spans="2:5" ht="15" customHeight="1">
      <c r="B1230" s="84"/>
      <c r="C1230" s="43" t="s">
        <v>131</v>
      </c>
      <c r="D1230" s="42">
        <v>2</v>
      </c>
      <c r="E1230" s="41">
        <v>6.1665587518885091E-5</v>
      </c>
    </row>
    <row r="1231" spans="2:5" ht="15" customHeight="1">
      <c r="B1231" s="84"/>
      <c r="C1231" s="43" t="s">
        <v>133</v>
      </c>
      <c r="D1231" s="42">
        <v>1</v>
      </c>
      <c r="E1231" s="41">
        <v>3.0832793759442546E-5</v>
      </c>
    </row>
    <row r="1232" spans="2:5" ht="15" customHeight="1">
      <c r="B1232" s="84"/>
      <c r="C1232" s="43" t="s">
        <v>147</v>
      </c>
      <c r="D1232" s="42">
        <v>11</v>
      </c>
      <c r="E1232" s="41">
        <v>3.3916073135386795E-4</v>
      </c>
    </row>
    <row r="1233" spans="2:5" ht="15" customHeight="1">
      <c r="B1233" s="84"/>
      <c r="C1233" s="43" t="s">
        <v>130</v>
      </c>
      <c r="D1233" s="42">
        <v>1</v>
      </c>
      <c r="E1233" s="41">
        <v>3.0832793759442546E-5</v>
      </c>
    </row>
    <row r="1234" spans="2:5" ht="15" customHeight="1">
      <c r="B1234" s="84"/>
      <c r="C1234" s="43" t="s">
        <v>139</v>
      </c>
      <c r="D1234" s="42">
        <v>2</v>
      </c>
      <c r="E1234" s="41">
        <v>6.1665587518885091E-5</v>
      </c>
    </row>
    <row r="1235" spans="2:5" ht="15" customHeight="1">
      <c r="B1235" s="84"/>
      <c r="C1235" s="43" t="s">
        <v>153</v>
      </c>
      <c r="D1235" s="42">
        <v>10</v>
      </c>
      <c r="E1235" s="41">
        <v>3.0832793759442544E-4</v>
      </c>
    </row>
    <row r="1236" spans="2:5" ht="15" customHeight="1">
      <c r="B1236" s="84"/>
      <c r="C1236" s="43" t="s">
        <v>141</v>
      </c>
      <c r="D1236" s="42">
        <v>5</v>
      </c>
      <c r="E1236" s="41">
        <v>1.5416396879721272E-4</v>
      </c>
    </row>
    <row r="1237" spans="2:5" ht="15" customHeight="1">
      <c r="B1237" s="84"/>
      <c r="C1237" s="43" t="s">
        <v>149</v>
      </c>
      <c r="D1237" s="42">
        <v>6</v>
      </c>
      <c r="E1237" s="41">
        <v>1.8499676255665526E-4</v>
      </c>
    </row>
    <row r="1238" spans="2:5" ht="15" customHeight="1">
      <c r="B1238" s="84"/>
      <c r="C1238" s="43" t="s">
        <v>146</v>
      </c>
      <c r="D1238" s="42">
        <v>4</v>
      </c>
      <c r="E1238" s="41">
        <v>1.2333117503777018E-4</v>
      </c>
    </row>
    <row r="1239" spans="2:5" ht="15" customHeight="1">
      <c r="B1239" s="84"/>
      <c r="C1239" s="43" t="s">
        <v>155</v>
      </c>
      <c r="D1239" s="42">
        <v>10</v>
      </c>
      <c r="E1239" s="41">
        <v>3.0832793759442544E-4</v>
      </c>
    </row>
    <row r="1240" spans="2:5" ht="15" customHeight="1">
      <c r="B1240" s="84"/>
      <c r="C1240" s="43" t="s">
        <v>138</v>
      </c>
      <c r="D1240" s="42">
        <v>3</v>
      </c>
      <c r="E1240" s="41">
        <v>9.249838127832763E-5</v>
      </c>
    </row>
    <row r="1241" spans="2:5" ht="15" customHeight="1">
      <c r="B1241" s="84"/>
      <c r="C1241" s="43" t="s">
        <v>173</v>
      </c>
      <c r="D1241" s="42">
        <v>19</v>
      </c>
      <c r="E1241" s="41">
        <v>5.8582308142940832E-4</v>
      </c>
    </row>
    <row r="1242" spans="2:5" ht="15" customHeight="1">
      <c r="B1242" s="84"/>
      <c r="C1242" s="43" t="s">
        <v>154</v>
      </c>
      <c r="D1242" s="42">
        <v>8</v>
      </c>
      <c r="E1242" s="41">
        <v>2.4666235007554037E-4</v>
      </c>
    </row>
    <row r="1243" spans="2:5" ht="15" customHeight="1">
      <c r="B1243" s="84"/>
      <c r="C1243" s="43" t="s">
        <v>162</v>
      </c>
      <c r="D1243" s="42">
        <v>1</v>
      </c>
      <c r="E1243" s="41">
        <v>3.0832793759442546E-5</v>
      </c>
    </row>
    <row r="1244" spans="2:5" ht="15" customHeight="1">
      <c r="B1244" s="84"/>
      <c r="C1244" s="43" t="s">
        <v>166</v>
      </c>
      <c r="D1244" s="42">
        <v>28</v>
      </c>
      <c r="E1244" s="41">
        <v>8.633182252643912E-4</v>
      </c>
    </row>
    <row r="1245" spans="2:5" ht="15" customHeight="1">
      <c r="B1245" s="84"/>
      <c r="C1245" s="43" t="s">
        <v>145</v>
      </c>
      <c r="D1245" s="42">
        <v>7</v>
      </c>
      <c r="E1245" s="41">
        <v>2.158295563160978E-4</v>
      </c>
    </row>
    <row r="1246" spans="2:5" ht="15" customHeight="1">
      <c r="B1246" s="85"/>
      <c r="C1246" s="40" t="s">
        <v>23</v>
      </c>
      <c r="D1246" s="39">
        <v>1055</v>
      </c>
      <c r="E1246" s="38">
        <v>3.2528597416211884E-2</v>
      </c>
    </row>
    <row r="1247" spans="2:5" ht="15" customHeight="1">
      <c r="B1247" s="83" t="s">
        <v>108</v>
      </c>
      <c r="C1247" s="43" t="s">
        <v>172</v>
      </c>
      <c r="D1247" s="42">
        <v>1</v>
      </c>
      <c r="E1247" s="41">
        <v>3.0832793759442546E-5</v>
      </c>
    </row>
    <row r="1248" spans="2:5" ht="15" customHeight="1">
      <c r="B1248" s="84"/>
      <c r="C1248" s="43" t="s">
        <v>142</v>
      </c>
      <c r="D1248" s="42">
        <v>1</v>
      </c>
      <c r="E1248" s="41">
        <v>3.0832793759442546E-5</v>
      </c>
    </row>
    <row r="1249" spans="2:5" ht="15" customHeight="1">
      <c r="B1249" s="84"/>
      <c r="C1249" s="43" t="s">
        <v>136</v>
      </c>
      <c r="D1249" s="42">
        <v>1</v>
      </c>
      <c r="E1249" s="41">
        <v>3.0832793759442546E-5</v>
      </c>
    </row>
    <row r="1250" spans="2:5" ht="15" customHeight="1">
      <c r="B1250" s="84"/>
      <c r="C1250" s="43" t="s">
        <v>164</v>
      </c>
      <c r="D1250" s="42">
        <v>5</v>
      </c>
      <c r="E1250" s="41">
        <v>1.5416396879721272E-4</v>
      </c>
    </row>
    <row r="1251" spans="2:5" ht="15" customHeight="1">
      <c r="B1251" s="84"/>
      <c r="C1251" s="43" t="s">
        <v>176</v>
      </c>
      <c r="D1251" s="42">
        <v>1</v>
      </c>
      <c r="E1251" s="41">
        <v>3.0832793759442546E-5</v>
      </c>
    </row>
    <row r="1252" spans="2:5" ht="15" customHeight="1">
      <c r="B1252" s="84"/>
      <c r="C1252" s="43" t="s">
        <v>178</v>
      </c>
      <c r="D1252" s="42">
        <v>1</v>
      </c>
      <c r="E1252" s="41">
        <v>3.0832793759442546E-5</v>
      </c>
    </row>
    <row r="1253" spans="2:5" ht="15" customHeight="1">
      <c r="B1253" s="84"/>
      <c r="C1253" s="43" t="s">
        <v>179</v>
      </c>
      <c r="D1253" s="42">
        <v>4</v>
      </c>
      <c r="E1253" s="41">
        <v>1.2333117503777018E-4</v>
      </c>
    </row>
    <row r="1254" spans="2:5" ht="15" customHeight="1">
      <c r="B1254" s="84"/>
      <c r="C1254" s="43" t="s">
        <v>159</v>
      </c>
      <c r="D1254" s="42">
        <v>1</v>
      </c>
      <c r="E1254" s="41">
        <v>3.0832793759442546E-5</v>
      </c>
    </row>
    <row r="1255" spans="2:5" ht="15" customHeight="1">
      <c r="B1255" s="84"/>
      <c r="C1255" s="43" t="s">
        <v>135</v>
      </c>
      <c r="D1255" s="42">
        <v>1</v>
      </c>
      <c r="E1255" s="41">
        <v>3.0832793759442546E-5</v>
      </c>
    </row>
    <row r="1256" spans="2:5" ht="15" customHeight="1">
      <c r="B1256" s="84"/>
      <c r="C1256" s="43" t="s">
        <v>180</v>
      </c>
      <c r="D1256" s="42">
        <v>1</v>
      </c>
      <c r="E1256" s="41">
        <v>3.0832793759442546E-5</v>
      </c>
    </row>
    <row r="1257" spans="2:5" ht="15" customHeight="1">
      <c r="B1257" s="84"/>
      <c r="C1257" s="43" t="s">
        <v>171</v>
      </c>
      <c r="D1257" s="42">
        <v>1</v>
      </c>
      <c r="E1257" s="41">
        <v>3.0832793759442546E-5</v>
      </c>
    </row>
    <row r="1258" spans="2:5" ht="15" customHeight="1">
      <c r="B1258" s="84"/>
      <c r="C1258" s="43" t="s">
        <v>181</v>
      </c>
      <c r="D1258" s="42">
        <v>4</v>
      </c>
      <c r="E1258" s="41">
        <v>1.2333117503777018E-4</v>
      </c>
    </row>
    <row r="1259" spans="2:5" ht="15" customHeight="1">
      <c r="B1259" s="84"/>
      <c r="C1259" s="43" t="s">
        <v>103</v>
      </c>
      <c r="D1259" s="42">
        <v>1</v>
      </c>
      <c r="E1259" s="41">
        <v>3.0832793759442546E-5</v>
      </c>
    </row>
    <row r="1260" spans="2:5" ht="15" customHeight="1">
      <c r="B1260" s="84"/>
      <c r="C1260" s="43" t="s">
        <v>163</v>
      </c>
      <c r="D1260" s="42">
        <v>1</v>
      </c>
      <c r="E1260" s="41">
        <v>3.0832793759442546E-5</v>
      </c>
    </row>
    <row r="1261" spans="2:5" ht="15" customHeight="1">
      <c r="B1261" s="84"/>
      <c r="C1261" s="43" t="s">
        <v>182</v>
      </c>
      <c r="D1261" s="42">
        <v>8</v>
      </c>
      <c r="E1261" s="41">
        <v>2.4666235007554037E-4</v>
      </c>
    </row>
    <row r="1262" spans="2:5" ht="15" customHeight="1">
      <c r="B1262" s="84"/>
      <c r="C1262" s="43" t="s">
        <v>137</v>
      </c>
      <c r="D1262" s="42">
        <v>1</v>
      </c>
      <c r="E1262" s="41">
        <v>3.0832793759442546E-5</v>
      </c>
    </row>
    <row r="1263" spans="2:5" ht="15" customHeight="1">
      <c r="B1263" s="84"/>
      <c r="C1263" s="43" t="s">
        <v>151</v>
      </c>
      <c r="D1263" s="42">
        <v>1</v>
      </c>
      <c r="E1263" s="41">
        <v>3.0832793759442546E-5</v>
      </c>
    </row>
    <row r="1264" spans="2:5" ht="15" customHeight="1">
      <c r="B1264" s="84"/>
      <c r="C1264" s="43" t="s">
        <v>157</v>
      </c>
      <c r="D1264" s="42">
        <v>11</v>
      </c>
      <c r="E1264" s="41">
        <v>3.3916073135386795E-4</v>
      </c>
    </row>
    <row r="1265" spans="2:5" ht="15" customHeight="1">
      <c r="B1265" s="84"/>
      <c r="C1265" s="43" t="s">
        <v>169</v>
      </c>
      <c r="D1265" s="42">
        <v>1</v>
      </c>
      <c r="E1265" s="41">
        <v>3.0832793759442546E-5</v>
      </c>
    </row>
    <row r="1266" spans="2:5" ht="15" customHeight="1">
      <c r="B1266" s="84"/>
      <c r="C1266" s="43" t="s">
        <v>147</v>
      </c>
      <c r="D1266" s="42">
        <v>1</v>
      </c>
      <c r="E1266" s="41">
        <v>3.0832793759442546E-5</v>
      </c>
    </row>
    <row r="1267" spans="2:5" ht="15" customHeight="1">
      <c r="B1267" s="84"/>
      <c r="C1267" s="43" t="s">
        <v>173</v>
      </c>
      <c r="D1267" s="42">
        <v>3</v>
      </c>
      <c r="E1267" s="41">
        <v>9.249838127832763E-5</v>
      </c>
    </row>
    <row r="1268" spans="2:5" ht="15" customHeight="1">
      <c r="B1268" s="84"/>
      <c r="C1268" s="43" t="s">
        <v>154</v>
      </c>
      <c r="D1268" s="42">
        <v>1</v>
      </c>
      <c r="E1268" s="41">
        <v>3.0832793759442546E-5</v>
      </c>
    </row>
    <row r="1269" spans="2:5" ht="15" customHeight="1">
      <c r="B1269" s="84"/>
      <c r="C1269" s="43" t="s">
        <v>161</v>
      </c>
      <c r="D1269" s="42">
        <v>1</v>
      </c>
      <c r="E1269" s="41">
        <v>3.0832793759442546E-5</v>
      </c>
    </row>
    <row r="1270" spans="2:5" ht="15" customHeight="1">
      <c r="B1270" s="85"/>
      <c r="C1270" s="40" t="s">
        <v>23</v>
      </c>
      <c r="D1270" s="39">
        <v>52</v>
      </c>
      <c r="E1270" s="38">
        <v>1.6033052754910123E-3</v>
      </c>
    </row>
    <row r="1271" spans="2:5" ht="15" customHeight="1">
      <c r="B1271" s="83" t="s">
        <v>93</v>
      </c>
      <c r="C1271" s="43" t="s">
        <v>172</v>
      </c>
      <c r="D1271" s="42">
        <v>2</v>
      </c>
      <c r="E1271" s="41">
        <v>6.1665587518885091E-5</v>
      </c>
    </row>
    <row r="1272" spans="2:5" ht="15" customHeight="1">
      <c r="B1272" s="84"/>
      <c r="C1272" s="43" t="s">
        <v>148</v>
      </c>
      <c r="D1272" s="42">
        <v>2</v>
      </c>
      <c r="E1272" s="41">
        <v>6.1665587518885091E-5</v>
      </c>
    </row>
    <row r="1273" spans="2:5" ht="15" customHeight="1">
      <c r="B1273" s="84"/>
      <c r="C1273" s="43" t="s">
        <v>142</v>
      </c>
      <c r="D1273" s="42">
        <v>1</v>
      </c>
      <c r="E1273" s="41">
        <v>3.0832793759442546E-5</v>
      </c>
    </row>
    <row r="1274" spans="2:5" ht="15" customHeight="1">
      <c r="B1274" s="84"/>
      <c r="C1274" s="43" t="s">
        <v>136</v>
      </c>
      <c r="D1274" s="42">
        <v>2</v>
      </c>
      <c r="E1274" s="41">
        <v>6.1665587518885091E-5</v>
      </c>
    </row>
    <row r="1275" spans="2:5" ht="15" customHeight="1">
      <c r="B1275" s="84"/>
      <c r="C1275" s="43" t="s">
        <v>140</v>
      </c>
      <c r="D1275" s="42">
        <v>3</v>
      </c>
      <c r="E1275" s="41">
        <v>9.249838127832763E-5</v>
      </c>
    </row>
    <row r="1276" spans="2:5" ht="15" customHeight="1">
      <c r="B1276" s="84"/>
      <c r="C1276" s="43" t="s">
        <v>174</v>
      </c>
      <c r="D1276" s="42">
        <v>3</v>
      </c>
      <c r="E1276" s="41">
        <v>9.249838127832763E-5</v>
      </c>
    </row>
    <row r="1277" spans="2:5" ht="15" customHeight="1">
      <c r="B1277" s="84"/>
      <c r="C1277" s="43" t="s">
        <v>164</v>
      </c>
      <c r="D1277" s="42">
        <v>1</v>
      </c>
      <c r="E1277" s="41">
        <v>3.0832793759442546E-5</v>
      </c>
    </row>
    <row r="1278" spans="2:5" ht="15" customHeight="1">
      <c r="B1278" s="84"/>
      <c r="C1278" s="43" t="s">
        <v>176</v>
      </c>
      <c r="D1278" s="42">
        <v>7</v>
      </c>
      <c r="E1278" s="41">
        <v>2.158295563160978E-4</v>
      </c>
    </row>
    <row r="1279" spans="2:5" ht="15" customHeight="1">
      <c r="B1279" s="84"/>
      <c r="C1279" s="43" t="s">
        <v>178</v>
      </c>
      <c r="D1279" s="42">
        <v>2</v>
      </c>
      <c r="E1279" s="41">
        <v>6.1665587518885091E-5</v>
      </c>
    </row>
    <row r="1280" spans="2:5" ht="15" customHeight="1">
      <c r="B1280" s="84"/>
      <c r="C1280" s="43" t="s">
        <v>179</v>
      </c>
      <c r="D1280" s="42">
        <v>10</v>
      </c>
      <c r="E1280" s="41">
        <v>3.0832793759442544E-4</v>
      </c>
    </row>
    <row r="1281" spans="2:5" ht="15" customHeight="1">
      <c r="B1281" s="84"/>
      <c r="C1281" s="43" t="s">
        <v>159</v>
      </c>
      <c r="D1281" s="42">
        <v>3</v>
      </c>
      <c r="E1281" s="41">
        <v>9.249838127832763E-5</v>
      </c>
    </row>
    <row r="1282" spans="2:5" ht="15" customHeight="1">
      <c r="B1282" s="84"/>
      <c r="C1282" s="43" t="s">
        <v>135</v>
      </c>
      <c r="D1282" s="42">
        <v>2</v>
      </c>
      <c r="E1282" s="41">
        <v>6.1665587518885091E-5</v>
      </c>
    </row>
    <row r="1283" spans="2:5" ht="15" customHeight="1">
      <c r="B1283" s="84"/>
      <c r="C1283" s="43" t="s">
        <v>158</v>
      </c>
      <c r="D1283" s="42">
        <v>1</v>
      </c>
      <c r="E1283" s="41">
        <v>3.0832793759442546E-5</v>
      </c>
    </row>
    <row r="1284" spans="2:5" ht="15" customHeight="1">
      <c r="B1284" s="84"/>
      <c r="C1284" s="43" t="s">
        <v>180</v>
      </c>
      <c r="D1284" s="42">
        <v>7</v>
      </c>
      <c r="E1284" s="41">
        <v>2.158295563160978E-4</v>
      </c>
    </row>
    <row r="1285" spans="2:5" ht="15" customHeight="1">
      <c r="B1285" s="84"/>
      <c r="C1285" s="43" t="s">
        <v>177</v>
      </c>
      <c r="D1285" s="42">
        <v>2</v>
      </c>
      <c r="E1285" s="41">
        <v>6.1665587518885091E-5</v>
      </c>
    </row>
    <row r="1286" spans="2:5" ht="15" customHeight="1">
      <c r="B1286" s="84"/>
      <c r="C1286" s="43" t="s">
        <v>165</v>
      </c>
      <c r="D1286" s="42">
        <v>1</v>
      </c>
      <c r="E1286" s="41">
        <v>3.0832793759442546E-5</v>
      </c>
    </row>
    <row r="1287" spans="2:5" ht="15" customHeight="1">
      <c r="B1287" s="84"/>
      <c r="C1287" s="43" t="s">
        <v>181</v>
      </c>
      <c r="D1287" s="42">
        <v>8</v>
      </c>
      <c r="E1287" s="41">
        <v>2.4666235007554037E-4</v>
      </c>
    </row>
    <row r="1288" spans="2:5" ht="15" customHeight="1">
      <c r="B1288" s="84"/>
      <c r="C1288" s="43" t="s">
        <v>167</v>
      </c>
      <c r="D1288" s="42">
        <v>29</v>
      </c>
      <c r="E1288" s="41">
        <v>8.9415101902383376E-4</v>
      </c>
    </row>
    <row r="1289" spans="2:5" ht="15" customHeight="1">
      <c r="B1289" s="84"/>
      <c r="C1289" s="43" t="s">
        <v>163</v>
      </c>
      <c r="D1289" s="42">
        <v>3</v>
      </c>
      <c r="E1289" s="41">
        <v>9.249838127832763E-5</v>
      </c>
    </row>
    <row r="1290" spans="2:5" ht="15" customHeight="1">
      <c r="B1290" s="84"/>
      <c r="C1290" s="43" t="s">
        <v>182</v>
      </c>
      <c r="D1290" s="42">
        <v>20</v>
      </c>
      <c r="E1290" s="41">
        <v>6.1665587518885089E-4</v>
      </c>
    </row>
    <row r="1291" spans="2:5" ht="15" customHeight="1">
      <c r="B1291" s="84"/>
      <c r="C1291" s="43" t="s">
        <v>134</v>
      </c>
      <c r="D1291" s="42">
        <v>1</v>
      </c>
      <c r="E1291" s="41">
        <v>3.0832793759442546E-5</v>
      </c>
    </row>
    <row r="1292" spans="2:5" ht="15" customHeight="1">
      <c r="B1292" s="84"/>
      <c r="C1292" s="43" t="s">
        <v>150</v>
      </c>
      <c r="D1292" s="42">
        <v>1</v>
      </c>
      <c r="E1292" s="41">
        <v>3.0832793759442546E-5</v>
      </c>
    </row>
    <row r="1293" spans="2:5" ht="15" customHeight="1">
      <c r="B1293" s="84"/>
      <c r="C1293" s="43" t="s">
        <v>157</v>
      </c>
      <c r="D1293" s="42">
        <v>5</v>
      </c>
      <c r="E1293" s="41">
        <v>1.5416396879721272E-4</v>
      </c>
    </row>
    <row r="1294" spans="2:5" ht="15" customHeight="1">
      <c r="B1294" s="84"/>
      <c r="C1294" s="43" t="s">
        <v>169</v>
      </c>
      <c r="D1294" s="42">
        <v>1</v>
      </c>
      <c r="E1294" s="41">
        <v>3.0832793759442546E-5</v>
      </c>
    </row>
    <row r="1295" spans="2:5" ht="15" customHeight="1">
      <c r="B1295" s="84"/>
      <c r="C1295" s="43" t="s">
        <v>131</v>
      </c>
      <c r="D1295" s="42">
        <v>1</v>
      </c>
      <c r="E1295" s="41">
        <v>3.0832793759442546E-5</v>
      </c>
    </row>
    <row r="1296" spans="2:5" ht="15" customHeight="1">
      <c r="B1296" s="84"/>
      <c r="C1296" s="43" t="s">
        <v>147</v>
      </c>
      <c r="D1296" s="42">
        <v>1</v>
      </c>
      <c r="E1296" s="41">
        <v>3.0832793759442546E-5</v>
      </c>
    </row>
    <row r="1297" spans="2:5" ht="15" customHeight="1">
      <c r="B1297" s="84"/>
      <c r="C1297" s="43" t="s">
        <v>128</v>
      </c>
      <c r="D1297" s="42">
        <v>1</v>
      </c>
      <c r="E1297" s="41">
        <v>3.0832793759442546E-5</v>
      </c>
    </row>
    <row r="1298" spans="2:5" ht="15" customHeight="1">
      <c r="B1298" s="84"/>
      <c r="C1298" s="43" t="s">
        <v>153</v>
      </c>
      <c r="D1298" s="42">
        <v>2</v>
      </c>
      <c r="E1298" s="41">
        <v>6.1665587518885091E-5</v>
      </c>
    </row>
    <row r="1299" spans="2:5" ht="15" customHeight="1">
      <c r="B1299" s="84"/>
      <c r="C1299" s="43" t="s">
        <v>149</v>
      </c>
      <c r="D1299" s="42">
        <v>1</v>
      </c>
      <c r="E1299" s="41">
        <v>3.0832793759442546E-5</v>
      </c>
    </row>
    <row r="1300" spans="2:5" ht="15" customHeight="1">
      <c r="B1300" s="84"/>
      <c r="C1300" s="43" t="s">
        <v>146</v>
      </c>
      <c r="D1300" s="42">
        <v>1</v>
      </c>
      <c r="E1300" s="41">
        <v>3.0832793759442546E-5</v>
      </c>
    </row>
    <row r="1301" spans="2:5" ht="15" customHeight="1">
      <c r="B1301" s="84"/>
      <c r="C1301" s="43" t="s">
        <v>155</v>
      </c>
      <c r="D1301" s="42">
        <v>1</v>
      </c>
      <c r="E1301" s="41">
        <v>3.0832793759442546E-5</v>
      </c>
    </row>
    <row r="1302" spans="2:5" ht="15" customHeight="1">
      <c r="B1302" s="84"/>
      <c r="C1302" s="43" t="s">
        <v>173</v>
      </c>
      <c r="D1302" s="42">
        <v>6</v>
      </c>
      <c r="E1302" s="41">
        <v>1.8499676255665526E-4</v>
      </c>
    </row>
    <row r="1303" spans="2:5" ht="15" customHeight="1">
      <c r="B1303" s="84"/>
      <c r="C1303" s="43" t="s">
        <v>161</v>
      </c>
      <c r="D1303" s="42">
        <v>1</v>
      </c>
      <c r="E1303" s="41">
        <v>3.0832793759442546E-5</v>
      </c>
    </row>
    <row r="1304" spans="2:5" ht="15" customHeight="1">
      <c r="B1304" s="85"/>
      <c r="C1304" s="40" t="s">
        <v>23</v>
      </c>
      <c r="D1304" s="39">
        <v>132</v>
      </c>
      <c r="E1304" s="38">
        <v>4.0699287762464157E-3</v>
      </c>
    </row>
    <row r="1305" spans="2:5" ht="15" customHeight="1">
      <c r="B1305" s="83" t="s">
        <v>95</v>
      </c>
      <c r="C1305" s="43" t="s">
        <v>172</v>
      </c>
      <c r="D1305" s="42">
        <v>5</v>
      </c>
      <c r="E1305" s="41">
        <v>1.5416396879721272E-4</v>
      </c>
    </row>
    <row r="1306" spans="2:5" ht="15" customHeight="1">
      <c r="B1306" s="84"/>
      <c r="C1306" s="43" t="s">
        <v>148</v>
      </c>
      <c r="D1306" s="42">
        <v>1</v>
      </c>
      <c r="E1306" s="41">
        <v>3.0832793759442546E-5</v>
      </c>
    </row>
    <row r="1307" spans="2:5" ht="15" customHeight="1">
      <c r="B1307" s="84"/>
      <c r="C1307" s="43" t="s">
        <v>174</v>
      </c>
      <c r="D1307" s="42">
        <v>1</v>
      </c>
      <c r="E1307" s="41">
        <v>3.0832793759442546E-5</v>
      </c>
    </row>
    <row r="1308" spans="2:5" ht="15" customHeight="1">
      <c r="B1308" s="84"/>
      <c r="C1308" s="43" t="s">
        <v>164</v>
      </c>
      <c r="D1308" s="42">
        <v>6</v>
      </c>
      <c r="E1308" s="41">
        <v>1.8499676255665526E-4</v>
      </c>
    </row>
    <row r="1309" spans="2:5" ht="15" customHeight="1">
      <c r="B1309" s="84"/>
      <c r="C1309" s="43" t="s">
        <v>176</v>
      </c>
      <c r="D1309" s="42">
        <v>1</v>
      </c>
      <c r="E1309" s="41">
        <v>3.0832793759442546E-5</v>
      </c>
    </row>
    <row r="1310" spans="2:5" ht="15" customHeight="1">
      <c r="B1310" s="84"/>
      <c r="C1310" s="43" t="s">
        <v>179</v>
      </c>
      <c r="D1310" s="42">
        <v>4</v>
      </c>
      <c r="E1310" s="41">
        <v>1.2333117503777018E-4</v>
      </c>
    </row>
    <row r="1311" spans="2:5" ht="15" customHeight="1">
      <c r="B1311" s="84"/>
      <c r="C1311" s="43" t="s">
        <v>159</v>
      </c>
      <c r="D1311" s="42">
        <v>2</v>
      </c>
      <c r="E1311" s="41">
        <v>6.1665587518885091E-5</v>
      </c>
    </row>
    <row r="1312" spans="2:5" ht="15" customHeight="1">
      <c r="B1312" s="84"/>
      <c r="C1312" s="43" t="s">
        <v>168</v>
      </c>
      <c r="D1312" s="42">
        <v>2</v>
      </c>
      <c r="E1312" s="41">
        <v>6.1665587518885091E-5</v>
      </c>
    </row>
    <row r="1313" spans="2:5" ht="15" customHeight="1">
      <c r="B1313" s="84"/>
      <c r="C1313" s="43" t="s">
        <v>158</v>
      </c>
      <c r="D1313" s="42">
        <v>2</v>
      </c>
      <c r="E1313" s="41">
        <v>6.1665587518885091E-5</v>
      </c>
    </row>
    <row r="1314" spans="2:5" ht="15" customHeight="1">
      <c r="B1314" s="84"/>
      <c r="C1314" s="43" t="s">
        <v>180</v>
      </c>
      <c r="D1314" s="42">
        <v>1</v>
      </c>
      <c r="E1314" s="41">
        <v>3.0832793759442546E-5</v>
      </c>
    </row>
    <row r="1315" spans="2:5" ht="15" customHeight="1">
      <c r="B1315" s="84"/>
      <c r="C1315" s="43" t="s">
        <v>177</v>
      </c>
      <c r="D1315" s="42">
        <v>23</v>
      </c>
      <c r="E1315" s="41">
        <v>7.0915425646717847E-4</v>
      </c>
    </row>
    <row r="1316" spans="2:5" ht="15" customHeight="1">
      <c r="B1316" s="84"/>
      <c r="C1316" s="43" t="s">
        <v>165</v>
      </c>
      <c r="D1316" s="42">
        <v>7</v>
      </c>
      <c r="E1316" s="41">
        <v>2.158295563160978E-4</v>
      </c>
    </row>
    <row r="1317" spans="2:5" ht="15" customHeight="1">
      <c r="B1317" s="84"/>
      <c r="C1317" s="43" t="s">
        <v>181</v>
      </c>
      <c r="D1317" s="42">
        <v>5</v>
      </c>
      <c r="E1317" s="41">
        <v>1.5416396879721272E-4</v>
      </c>
    </row>
    <row r="1318" spans="2:5" ht="15" customHeight="1">
      <c r="B1318" s="84"/>
      <c r="C1318" s="43" t="s">
        <v>167</v>
      </c>
      <c r="D1318" s="42">
        <v>2</v>
      </c>
      <c r="E1318" s="41">
        <v>6.1665587518885091E-5</v>
      </c>
    </row>
    <row r="1319" spans="2:5" ht="15" customHeight="1">
      <c r="B1319" s="84"/>
      <c r="C1319" s="43" t="s">
        <v>182</v>
      </c>
      <c r="D1319" s="42">
        <v>34</v>
      </c>
      <c r="E1319" s="41">
        <v>1.0483149878210464E-3</v>
      </c>
    </row>
    <row r="1320" spans="2:5" ht="15" customHeight="1">
      <c r="B1320" s="84"/>
      <c r="C1320" s="43" t="s">
        <v>151</v>
      </c>
      <c r="D1320" s="42">
        <v>1</v>
      </c>
      <c r="E1320" s="41">
        <v>3.0832793759442546E-5</v>
      </c>
    </row>
    <row r="1321" spans="2:5" ht="15" customHeight="1">
      <c r="B1321" s="84"/>
      <c r="C1321" s="43" t="s">
        <v>175</v>
      </c>
      <c r="D1321" s="42">
        <v>9</v>
      </c>
      <c r="E1321" s="41">
        <v>2.7749514383498288E-4</v>
      </c>
    </row>
    <row r="1322" spans="2:5" ht="15" customHeight="1">
      <c r="B1322" s="84"/>
      <c r="C1322" s="43" t="s">
        <v>157</v>
      </c>
      <c r="D1322" s="42">
        <v>16</v>
      </c>
      <c r="E1322" s="41">
        <v>4.9332470015108073E-4</v>
      </c>
    </row>
    <row r="1323" spans="2:5" ht="15" customHeight="1">
      <c r="B1323" s="84"/>
      <c r="C1323" s="43" t="s">
        <v>169</v>
      </c>
      <c r="D1323" s="42">
        <v>1</v>
      </c>
      <c r="E1323" s="41">
        <v>3.0832793759442546E-5</v>
      </c>
    </row>
    <row r="1324" spans="2:5" ht="15" customHeight="1">
      <c r="B1324" s="84"/>
      <c r="C1324" s="43" t="s">
        <v>160</v>
      </c>
      <c r="D1324" s="42">
        <v>2</v>
      </c>
      <c r="E1324" s="41">
        <v>6.1665587518885091E-5</v>
      </c>
    </row>
    <row r="1325" spans="2:5" ht="15" customHeight="1">
      <c r="B1325" s="84"/>
      <c r="C1325" s="43" t="s">
        <v>131</v>
      </c>
      <c r="D1325" s="42">
        <v>1</v>
      </c>
      <c r="E1325" s="41">
        <v>3.0832793759442546E-5</v>
      </c>
    </row>
    <row r="1326" spans="2:5" ht="15" customHeight="1">
      <c r="B1326" s="84"/>
      <c r="C1326" s="43" t="s">
        <v>133</v>
      </c>
      <c r="D1326" s="42">
        <v>1</v>
      </c>
      <c r="E1326" s="41">
        <v>3.0832793759442546E-5</v>
      </c>
    </row>
    <row r="1327" spans="2:5" ht="15" customHeight="1">
      <c r="B1327" s="84"/>
      <c r="C1327" s="43" t="s">
        <v>149</v>
      </c>
      <c r="D1327" s="42">
        <v>2</v>
      </c>
      <c r="E1327" s="41">
        <v>6.1665587518885091E-5</v>
      </c>
    </row>
    <row r="1328" spans="2:5" ht="15" customHeight="1">
      <c r="B1328" s="84"/>
      <c r="C1328" s="43" t="s">
        <v>144</v>
      </c>
      <c r="D1328" s="42">
        <v>10</v>
      </c>
      <c r="E1328" s="41">
        <v>3.0832793759442544E-4</v>
      </c>
    </row>
    <row r="1329" spans="2:5" ht="15" customHeight="1">
      <c r="B1329" s="84"/>
      <c r="C1329" s="43" t="s">
        <v>173</v>
      </c>
      <c r="D1329" s="42">
        <v>4</v>
      </c>
      <c r="E1329" s="41">
        <v>1.2333117503777018E-4</v>
      </c>
    </row>
    <row r="1330" spans="2:5" ht="15" customHeight="1">
      <c r="B1330" s="84"/>
      <c r="C1330" s="43" t="s">
        <v>161</v>
      </c>
      <c r="D1330" s="42">
        <v>1</v>
      </c>
      <c r="E1330" s="41">
        <v>3.0832793759442546E-5</v>
      </c>
    </row>
    <row r="1331" spans="2:5" ht="15" customHeight="1">
      <c r="B1331" s="84"/>
      <c r="C1331" s="43" t="s">
        <v>166</v>
      </c>
      <c r="D1331" s="42">
        <v>1</v>
      </c>
      <c r="E1331" s="41">
        <v>3.0832793759442546E-5</v>
      </c>
    </row>
    <row r="1332" spans="2:5" ht="15" customHeight="1">
      <c r="B1332" s="85"/>
      <c r="C1332" s="40" t="s">
        <v>23</v>
      </c>
      <c r="D1332" s="39">
        <v>145</v>
      </c>
      <c r="E1332" s="38">
        <v>4.4707550951191685E-3</v>
      </c>
    </row>
    <row r="1333" spans="2:5" ht="15" customHeight="1">
      <c r="B1333" s="83" t="s">
        <v>103</v>
      </c>
      <c r="C1333" s="43" t="s">
        <v>172</v>
      </c>
      <c r="D1333" s="42">
        <v>19</v>
      </c>
      <c r="E1333" s="41">
        <v>5.8582308142940832E-4</v>
      </c>
    </row>
    <row r="1334" spans="2:5" ht="15" customHeight="1">
      <c r="B1334" s="84"/>
      <c r="C1334" s="43" t="s">
        <v>148</v>
      </c>
      <c r="D1334" s="42">
        <v>5</v>
      </c>
      <c r="E1334" s="41">
        <v>1.5416396879721272E-4</v>
      </c>
    </row>
    <row r="1335" spans="2:5" ht="15" customHeight="1">
      <c r="B1335" s="84"/>
      <c r="C1335" s="43" t="s">
        <v>152</v>
      </c>
      <c r="D1335" s="42">
        <v>8</v>
      </c>
      <c r="E1335" s="41">
        <v>2.4666235007554037E-4</v>
      </c>
    </row>
    <row r="1336" spans="2:5" ht="15" customHeight="1">
      <c r="B1336" s="84"/>
      <c r="C1336" s="43" t="s">
        <v>142</v>
      </c>
      <c r="D1336" s="42">
        <v>19</v>
      </c>
      <c r="E1336" s="41">
        <v>5.8582308142940832E-4</v>
      </c>
    </row>
    <row r="1337" spans="2:5" ht="15" customHeight="1">
      <c r="B1337" s="84"/>
      <c r="C1337" s="43" t="s">
        <v>136</v>
      </c>
      <c r="D1337" s="42">
        <v>2</v>
      </c>
      <c r="E1337" s="41">
        <v>6.1665587518885091E-5</v>
      </c>
    </row>
    <row r="1338" spans="2:5" ht="15" customHeight="1">
      <c r="B1338" s="84"/>
      <c r="C1338" s="43" t="s">
        <v>170</v>
      </c>
      <c r="D1338" s="42">
        <v>17</v>
      </c>
      <c r="E1338" s="41">
        <v>5.2415749391052319E-4</v>
      </c>
    </row>
    <row r="1339" spans="2:5" ht="15" customHeight="1">
      <c r="B1339" s="84"/>
      <c r="C1339" s="43" t="s">
        <v>140</v>
      </c>
      <c r="D1339" s="42">
        <v>6</v>
      </c>
      <c r="E1339" s="41">
        <v>1.8499676255665526E-4</v>
      </c>
    </row>
    <row r="1340" spans="2:5" ht="15" customHeight="1">
      <c r="B1340" s="84"/>
      <c r="C1340" s="43" t="s">
        <v>156</v>
      </c>
      <c r="D1340" s="42">
        <v>17</v>
      </c>
      <c r="E1340" s="41">
        <v>5.2415749391052319E-4</v>
      </c>
    </row>
    <row r="1341" spans="2:5" ht="15" customHeight="1">
      <c r="B1341" s="84"/>
      <c r="C1341" s="43" t="s">
        <v>174</v>
      </c>
      <c r="D1341" s="42">
        <v>45</v>
      </c>
      <c r="E1341" s="41">
        <v>1.3874757191749145E-3</v>
      </c>
    </row>
    <row r="1342" spans="2:5" ht="15" customHeight="1">
      <c r="B1342" s="84"/>
      <c r="C1342" s="43" t="s">
        <v>127</v>
      </c>
      <c r="D1342" s="42">
        <v>1</v>
      </c>
      <c r="E1342" s="41">
        <v>3.0832793759442546E-5</v>
      </c>
    </row>
    <row r="1343" spans="2:5" ht="15" customHeight="1">
      <c r="B1343" s="84"/>
      <c r="C1343" s="43" t="s">
        <v>164</v>
      </c>
      <c r="D1343" s="42">
        <v>27</v>
      </c>
      <c r="E1343" s="41">
        <v>8.3248543150494863E-4</v>
      </c>
    </row>
    <row r="1344" spans="2:5" ht="15" customHeight="1">
      <c r="B1344" s="84"/>
      <c r="C1344" s="43" t="s">
        <v>176</v>
      </c>
      <c r="D1344" s="42">
        <v>30</v>
      </c>
      <c r="E1344" s="41">
        <v>9.2498381278327633E-4</v>
      </c>
    </row>
    <row r="1345" spans="2:5" ht="15" customHeight="1">
      <c r="B1345" s="84"/>
      <c r="C1345" s="43" t="s">
        <v>178</v>
      </c>
      <c r="D1345" s="42">
        <v>31</v>
      </c>
      <c r="E1345" s="41">
        <v>9.5581660654271879E-4</v>
      </c>
    </row>
    <row r="1346" spans="2:5" ht="15" customHeight="1">
      <c r="B1346" s="84"/>
      <c r="C1346" s="43" t="s">
        <v>179</v>
      </c>
      <c r="D1346" s="42">
        <v>37</v>
      </c>
      <c r="E1346" s="41">
        <v>1.1408133690993742E-3</v>
      </c>
    </row>
    <row r="1347" spans="2:5" ht="15" customHeight="1">
      <c r="B1347" s="84"/>
      <c r="C1347" s="43" t="s">
        <v>129</v>
      </c>
      <c r="D1347" s="42">
        <v>1</v>
      </c>
      <c r="E1347" s="41">
        <v>3.0832793759442546E-5</v>
      </c>
    </row>
    <row r="1348" spans="2:5" ht="15" customHeight="1">
      <c r="B1348" s="84"/>
      <c r="C1348" s="43" t="s">
        <v>159</v>
      </c>
      <c r="D1348" s="42">
        <v>10</v>
      </c>
      <c r="E1348" s="41">
        <v>3.0832793759442544E-4</v>
      </c>
    </row>
    <row r="1349" spans="2:5" ht="15" customHeight="1">
      <c r="B1349" s="84"/>
      <c r="C1349" s="43" t="s">
        <v>168</v>
      </c>
      <c r="D1349" s="42">
        <v>34</v>
      </c>
      <c r="E1349" s="41">
        <v>1.0483149878210464E-3</v>
      </c>
    </row>
    <row r="1350" spans="2:5" ht="15" customHeight="1">
      <c r="B1350" s="84"/>
      <c r="C1350" s="43" t="s">
        <v>158</v>
      </c>
      <c r="D1350" s="42">
        <v>10</v>
      </c>
      <c r="E1350" s="41">
        <v>3.0832793759442544E-4</v>
      </c>
    </row>
    <row r="1351" spans="2:5" ht="15" customHeight="1">
      <c r="B1351" s="84"/>
      <c r="C1351" s="43" t="s">
        <v>180</v>
      </c>
      <c r="D1351" s="42">
        <v>94</v>
      </c>
      <c r="E1351" s="41">
        <v>2.8982826133875992E-3</v>
      </c>
    </row>
    <row r="1352" spans="2:5" ht="15" customHeight="1">
      <c r="B1352" s="84"/>
      <c r="C1352" s="43" t="s">
        <v>177</v>
      </c>
      <c r="D1352" s="42">
        <v>66</v>
      </c>
      <c r="E1352" s="41">
        <v>2.0349643881232078E-3</v>
      </c>
    </row>
    <row r="1353" spans="2:5" ht="15" customHeight="1">
      <c r="B1353" s="84"/>
      <c r="C1353" s="43" t="s">
        <v>165</v>
      </c>
      <c r="D1353" s="42">
        <v>21</v>
      </c>
      <c r="E1353" s="41">
        <v>6.4748866894829345E-4</v>
      </c>
    </row>
    <row r="1354" spans="2:5" ht="15" customHeight="1">
      <c r="B1354" s="84"/>
      <c r="C1354" s="43" t="s">
        <v>171</v>
      </c>
      <c r="D1354" s="42">
        <v>12</v>
      </c>
      <c r="E1354" s="41">
        <v>3.6999352511331052E-4</v>
      </c>
    </row>
    <row r="1355" spans="2:5" ht="15" customHeight="1">
      <c r="B1355" s="84"/>
      <c r="C1355" s="43" t="s">
        <v>181</v>
      </c>
      <c r="D1355" s="42">
        <v>98</v>
      </c>
      <c r="E1355" s="41">
        <v>3.0216137884253691E-3</v>
      </c>
    </row>
    <row r="1356" spans="2:5" ht="15" customHeight="1">
      <c r="B1356" s="84"/>
      <c r="C1356" s="43" t="s">
        <v>167</v>
      </c>
      <c r="D1356" s="42">
        <v>10</v>
      </c>
      <c r="E1356" s="41">
        <v>3.0832793759442544E-4</v>
      </c>
    </row>
    <row r="1357" spans="2:5" ht="15" customHeight="1">
      <c r="B1357" s="84"/>
      <c r="C1357" s="43" t="s">
        <v>103</v>
      </c>
      <c r="D1357" s="42">
        <v>1</v>
      </c>
      <c r="E1357" s="41">
        <v>3.0832793759442546E-5</v>
      </c>
    </row>
    <row r="1358" spans="2:5" ht="15" customHeight="1">
      <c r="B1358" s="84"/>
      <c r="C1358" s="43" t="s">
        <v>163</v>
      </c>
      <c r="D1358" s="42">
        <v>17</v>
      </c>
      <c r="E1358" s="41">
        <v>5.2415749391052319E-4</v>
      </c>
    </row>
    <row r="1359" spans="2:5" ht="15" customHeight="1">
      <c r="B1359" s="84"/>
      <c r="C1359" s="43" t="s">
        <v>182</v>
      </c>
      <c r="D1359" s="42">
        <v>293</v>
      </c>
      <c r="E1359" s="41">
        <v>9.0340085715166652E-3</v>
      </c>
    </row>
    <row r="1360" spans="2:5" ht="15" customHeight="1">
      <c r="B1360" s="84"/>
      <c r="C1360" s="43" t="s">
        <v>137</v>
      </c>
      <c r="D1360" s="42">
        <v>2</v>
      </c>
      <c r="E1360" s="41">
        <v>6.1665587518885091E-5</v>
      </c>
    </row>
    <row r="1361" spans="2:5" ht="15" customHeight="1">
      <c r="B1361" s="84"/>
      <c r="C1361" s="43" t="s">
        <v>151</v>
      </c>
      <c r="D1361" s="42">
        <v>10</v>
      </c>
      <c r="E1361" s="41">
        <v>3.0832793759442544E-4</v>
      </c>
    </row>
    <row r="1362" spans="2:5" ht="15" customHeight="1">
      <c r="B1362" s="84"/>
      <c r="C1362" s="43" t="s">
        <v>134</v>
      </c>
      <c r="D1362" s="42">
        <v>1</v>
      </c>
      <c r="E1362" s="41">
        <v>3.0832793759442546E-5</v>
      </c>
    </row>
    <row r="1363" spans="2:5" ht="15" customHeight="1">
      <c r="B1363" s="84"/>
      <c r="C1363" s="43" t="s">
        <v>150</v>
      </c>
      <c r="D1363" s="42">
        <v>56</v>
      </c>
      <c r="E1363" s="41">
        <v>1.7266364505287824E-3</v>
      </c>
    </row>
    <row r="1364" spans="2:5" ht="15" customHeight="1">
      <c r="B1364" s="84"/>
      <c r="C1364" s="43" t="s">
        <v>175</v>
      </c>
      <c r="D1364" s="42">
        <v>23</v>
      </c>
      <c r="E1364" s="41">
        <v>7.0915425646717847E-4</v>
      </c>
    </row>
    <row r="1365" spans="2:5" ht="15" customHeight="1">
      <c r="B1365" s="84"/>
      <c r="C1365" s="43" t="s">
        <v>157</v>
      </c>
      <c r="D1365" s="42">
        <v>8</v>
      </c>
      <c r="E1365" s="41">
        <v>2.4666235007554037E-4</v>
      </c>
    </row>
    <row r="1366" spans="2:5" ht="15" customHeight="1">
      <c r="B1366" s="84"/>
      <c r="C1366" s="43" t="s">
        <v>143</v>
      </c>
      <c r="D1366" s="42">
        <v>18</v>
      </c>
      <c r="E1366" s="41">
        <v>5.5499028766996575E-4</v>
      </c>
    </row>
    <row r="1367" spans="2:5" ht="15" customHeight="1">
      <c r="B1367" s="84"/>
      <c r="C1367" s="43" t="s">
        <v>169</v>
      </c>
      <c r="D1367" s="42">
        <v>10</v>
      </c>
      <c r="E1367" s="41">
        <v>3.0832793759442544E-4</v>
      </c>
    </row>
    <row r="1368" spans="2:5" ht="15" customHeight="1">
      <c r="B1368" s="84"/>
      <c r="C1368" s="43" t="s">
        <v>160</v>
      </c>
      <c r="D1368" s="42">
        <v>10</v>
      </c>
      <c r="E1368" s="41">
        <v>3.0832793759442544E-4</v>
      </c>
    </row>
    <row r="1369" spans="2:5" ht="15" customHeight="1">
      <c r="B1369" s="84"/>
      <c r="C1369" s="43" t="s">
        <v>133</v>
      </c>
      <c r="D1369" s="42">
        <v>2</v>
      </c>
      <c r="E1369" s="41">
        <v>6.1665587518885091E-5</v>
      </c>
    </row>
    <row r="1370" spans="2:5" ht="15" customHeight="1">
      <c r="B1370" s="84"/>
      <c r="C1370" s="43" t="s">
        <v>147</v>
      </c>
      <c r="D1370" s="42">
        <v>7</v>
      </c>
      <c r="E1370" s="41">
        <v>2.158295563160978E-4</v>
      </c>
    </row>
    <row r="1371" spans="2:5" ht="15" customHeight="1">
      <c r="B1371" s="84"/>
      <c r="C1371" s="43" t="s">
        <v>128</v>
      </c>
      <c r="D1371" s="42">
        <v>2</v>
      </c>
      <c r="E1371" s="41">
        <v>6.1665587518885091E-5</v>
      </c>
    </row>
    <row r="1372" spans="2:5" ht="15" customHeight="1">
      <c r="B1372" s="84"/>
      <c r="C1372" s="43" t="s">
        <v>130</v>
      </c>
      <c r="D1372" s="42">
        <v>1</v>
      </c>
      <c r="E1372" s="41">
        <v>3.0832793759442546E-5</v>
      </c>
    </row>
    <row r="1373" spans="2:5" ht="15" customHeight="1">
      <c r="B1373" s="84"/>
      <c r="C1373" s="43" t="s">
        <v>139</v>
      </c>
      <c r="D1373" s="42">
        <v>3</v>
      </c>
      <c r="E1373" s="41">
        <v>9.249838127832763E-5</v>
      </c>
    </row>
    <row r="1374" spans="2:5" ht="15" customHeight="1">
      <c r="B1374" s="84"/>
      <c r="C1374" s="43" t="s">
        <v>153</v>
      </c>
      <c r="D1374" s="42">
        <v>3</v>
      </c>
      <c r="E1374" s="41">
        <v>9.249838127832763E-5</v>
      </c>
    </row>
    <row r="1375" spans="2:5" ht="15" customHeight="1">
      <c r="B1375" s="84"/>
      <c r="C1375" s="43" t="s">
        <v>141</v>
      </c>
      <c r="D1375" s="42">
        <v>4</v>
      </c>
      <c r="E1375" s="41">
        <v>1.2333117503777018E-4</v>
      </c>
    </row>
    <row r="1376" spans="2:5" ht="15" customHeight="1">
      <c r="B1376" s="84"/>
      <c r="C1376" s="43" t="s">
        <v>149</v>
      </c>
      <c r="D1376" s="42">
        <v>5</v>
      </c>
      <c r="E1376" s="41">
        <v>1.5416396879721272E-4</v>
      </c>
    </row>
    <row r="1377" spans="2:5" ht="15" customHeight="1">
      <c r="B1377" s="84"/>
      <c r="C1377" s="43" t="s">
        <v>146</v>
      </c>
      <c r="D1377" s="42">
        <v>12</v>
      </c>
      <c r="E1377" s="41">
        <v>3.6999352511331052E-4</v>
      </c>
    </row>
    <row r="1378" spans="2:5" ht="15" customHeight="1">
      <c r="B1378" s="84"/>
      <c r="C1378" s="43" t="s">
        <v>144</v>
      </c>
      <c r="D1378" s="42">
        <v>22</v>
      </c>
      <c r="E1378" s="41">
        <v>6.7832146270773591E-4</v>
      </c>
    </row>
    <row r="1379" spans="2:5" ht="15" customHeight="1">
      <c r="B1379" s="84"/>
      <c r="C1379" s="43" t="s">
        <v>155</v>
      </c>
      <c r="D1379" s="42">
        <v>22</v>
      </c>
      <c r="E1379" s="41">
        <v>6.7832146270773591E-4</v>
      </c>
    </row>
    <row r="1380" spans="2:5" ht="15" customHeight="1">
      <c r="B1380" s="84"/>
      <c r="C1380" s="43" t="s">
        <v>138</v>
      </c>
      <c r="D1380" s="42">
        <v>4</v>
      </c>
      <c r="E1380" s="41">
        <v>1.2333117503777018E-4</v>
      </c>
    </row>
    <row r="1381" spans="2:5" ht="15" customHeight="1">
      <c r="B1381" s="84"/>
      <c r="C1381" s="43" t="s">
        <v>173</v>
      </c>
      <c r="D1381" s="42">
        <v>11</v>
      </c>
      <c r="E1381" s="41">
        <v>3.3916073135386795E-4</v>
      </c>
    </row>
    <row r="1382" spans="2:5" ht="15" customHeight="1">
      <c r="B1382" s="84"/>
      <c r="C1382" s="43" t="s">
        <v>154</v>
      </c>
      <c r="D1382" s="42">
        <v>22</v>
      </c>
      <c r="E1382" s="41">
        <v>6.7832146270773591E-4</v>
      </c>
    </row>
    <row r="1383" spans="2:5" ht="15" customHeight="1">
      <c r="B1383" s="84"/>
      <c r="C1383" s="43" t="s">
        <v>162</v>
      </c>
      <c r="D1383" s="42">
        <v>43</v>
      </c>
      <c r="E1383" s="41">
        <v>1.3258101316560294E-3</v>
      </c>
    </row>
    <row r="1384" spans="2:5" ht="15" customHeight="1">
      <c r="B1384" s="84"/>
      <c r="C1384" s="43" t="s">
        <v>161</v>
      </c>
      <c r="D1384" s="42">
        <v>34</v>
      </c>
      <c r="E1384" s="41">
        <v>1.0483149878210464E-3</v>
      </c>
    </row>
    <row r="1385" spans="2:5" ht="15" customHeight="1">
      <c r="B1385" s="84"/>
      <c r="C1385" s="43" t="s">
        <v>166</v>
      </c>
      <c r="D1385" s="42">
        <v>11</v>
      </c>
      <c r="E1385" s="41">
        <v>3.3916073135386795E-4</v>
      </c>
    </row>
    <row r="1386" spans="2:5" ht="15" customHeight="1">
      <c r="B1386" s="84"/>
      <c r="C1386" s="43" t="s">
        <v>145</v>
      </c>
      <c r="D1386" s="42">
        <v>8</v>
      </c>
      <c r="E1386" s="41">
        <v>2.4666235007554037E-4</v>
      </c>
    </row>
    <row r="1387" spans="2:5" ht="15" customHeight="1">
      <c r="B1387" s="85"/>
      <c r="C1387" s="40" t="s">
        <v>23</v>
      </c>
      <c r="D1387" s="39">
        <v>1285</v>
      </c>
      <c r="E1387" s="38">
        <v>3.9620139980883665E-2</v>
      </c>
    </row>
    <row r="1388" spans="2:5" ht="15" customHeight="1">
      <c r="B1388" s="83" t="s">
        <v>115</v>
      </c>
      <c r="C1388" s="43" t="s">
        <v>172</v>
      </c>
      <c r="D1388" s="42">
        <v>3</v>
      </c>
      <c r="E1388" s="41">
        <v>9.249838127832763E-5</v>
      </c>
    </row>
    <row r="1389" spans="2:5" ht="15" customHeight="1">
      <c r="B1389" s="84"/>
      <c r="C1389" s="43" t="s">
        <v>152</v>
      </c>
      <c r="D1389" s="42">
        <v>1</v>
      </c>
      <c r="E1389" s="41">
        <v>3.0832793759442546E-5</v>
      </c>
    </row>
    <row r="1390" spans="2:5" ht="15" customHeight="1">
      <c r="B1390" s="84"/>
      <c r="C1390" s="43" t="s">
        <v>142</v>
      </c>
      <c r="D1390" s="42">
        <v>1</v>
      </c>
      <c r="E1390" s="41">
        <v>3.0832793759442546E-5</v>
      </c>
    </row>
    <row r="1391" spans="2:5" ht="15" customHeight="1">
      <c r="B1391" s="84"/>
      <c r="C1391" s="43" t="s">
        <v>170</v>
      </c>
      <c r="D1391" s="42">
        <v>2</v>
      </c>
      <c r="E1391" s="41">
        <v>6.1665587518885091E-5</v>
      </c>
    </row>
    <row r="1392" spans="2:5" ht="15" customHeight="1">
      <c r="B1392" s="84"/>
      <c r="C1392" s="43" t="s">
        <v>156</v>
      </c>
      <c r="D1392" s="42">
        <v>1</v>
      </c>
      <c r="E1392" s="41">
        <v>3.0832793759442546E-5</v>
      </c>
    </row>
    <row r="1393" spans="2:5" ht="15" customHeight="1">
      <c r="B1393" s="84"/>
      <c r="C1393" s="43" t="s">
        <v>174</v>
      </c>
      <c r="D1393" s="42">
        <v>11</v>
      </c>
      <c r="E1393" s="41">
        <v>3.3916073135386795E-4</v>
      </c>
    </row>
    <row r="1394" spans="2:5" ht="15" customHeight="1">
      <c r="B1394" s="84"/>
      <c r="C1394" s="43" t="s">
        <v>164</v>
      </c>
      <c r="D1394" s="42">
        <v>12</v>
      </c>
      <c r="E1394" s="41">
        <v>3.6999352511331052E-4</v>
      </c>
    </row>
    <row r="1395" spans="2:5" ht="15" customHeight="1">
      <c r="B1395" s="84"/>
      <c r="C1395" s="43" t="s">
        <v>176</v>
      </c>
      <c r="D1395" s="42">
        <v>3</v>
      </c>
      <c r="E1395" s="41">
        <v>9.249838127832763E-5</v>
      </c>
    </row>
    <row r="1396" spans="2:5" ht="15" customHeight="1">
      <c r="B1396" s="84"/>
      <c r="C1396" s="43" t="s">
        <v>178</v>
      </c>
      <c r="D1396" s="42">
        <v>7</v>
      </c>
      <c r="E1396" s="41">
        <v>2.158295563160978E-4</v>
      </c>
    </row>
    <row r="1397" spans="2:5" ht="15" customHeight="1">
      <c r="B1397" s="84"/>
      <c r="C1397" s="43" t="s">
        <v>179</v>
      </c>
      <c r="D1397" s="42">
        <v>2</v>
      </c>
      <c r="E1397" s="41">
        <v>6.1665587518885091E-5</v>
      </c>
    </row>
    <row r="1398" spans="2:5" ht="15" customHeight="1">
      <c r="B1398" s="84"/>
      <c r="C1398" s="43" t="s">
        <v>129</v>
      </c>
      <c r="D1398" s="42">
        <v>1</v>
      </c>
      <c r="E1398" s="41">
        <v>3.0832793759442546E-5</v>
      </c>
    </row>
    <row r="1399" spans="2:5" ht="15" customHeight="1">
      <c r="B1399" s="84"/>
      <c r="C1399" s="43" t="s">
        <v>159</v>
      </c>
      <c r="D1399" s="42">
        <v>3</v>
      </c>
      <c r="E1399" s="41">
        <v>9.249838127832763E-5</v>
      </c>
    </row>
    <row r="1400" spans="2:5" ht="15" customHeight="1">
      <c r="B1400" s="84"/>
      <c r="C1400" s="43" t="s">
        <v>168</v>
      </c>
      <c r="D1400" s="42">
        <v>2</v>
      </c>
      <c r="E1400" s="41">
        <v>6.1665587518885091E-5</v>
      </c>
    </row>
    <row r="1401" spans="2:5" ht="15" customHeight="1">
      <c r="B1401" s="84"/>
      <c r="C1401" s="43" t="s">
        <v>132</v>
      </c>
      <c r="D1401" s="42">
        <v>1</v>
      </c>
      <c r="E1401" s="41">
        <v>3.0832793759442546E-5</v>
      </c>
    </row>
    <row r="1402" spans="2:5" ht="15" customHeight="1">
      <c r="B1402" s="84"/>
      <c r="C1402" s="43" t="s">
        <v>180</v>
      </c>
      <c r="D1402" s="42">
        <v>7</v>
      </c>
      <c r="E1402" s="41">
        <v>2.158295563160978E-4</v>
      </c>
    </row>
    <row r="1403" spans="2:5" ht="15" customHeight="1">
      <c r="B1403" s="84"/>
      <c r="C1403" s="43" t="s">
        <v>177</v>
      </c>
      <c r="D1403" s="42">
        <v>2</v>
      </c>
      <c r="E1403" s="41">
        <v>6.1665587518885091E-5</v>
      </c>
    </row>
    <row r="1404" spans="2:5" ht="15" customHeight="1">
      <c r="B1404" s="84"/>
      <c r="C1404" s="43" t="s">
        <v>181</v>
      </c>
      <c r="D1404" s="42">
        <v>9</v>
      </c>
      <c r="E1404" s="41">
        <v>2.7749514383498288E-4</v>
      </c>
    </row>
    <row r="1405" spans="2:5" ht="15" customHeight="1">
      <c r="B1405" s="84"/>
      <c r="C1405" s="43" t="s">
        <v>163</v>
      </c>
      <c r="D1405" s="42">
        <v>3</v>
      </c>
      <c r="E1405" s="41">
        <v>9.249838127832763E-5</v>
      </c>
    </row>
    <row r="1406" spans="2:5" ht="15" customHeight="1">
      <c r="B1406" s="84"/>
      <c r="C1406" s="43" t="s">
        <v>182</v>
      </c>
      <c r="D1406" s="42">
        <v>26</v>
      </c>
      <c r="E1406" s="41">
        <v>8.0165263774550617E-4</v>
      </c>
    </row>
    <row r="1407" spans="2:5" ht="15" customHeight="1">
      <c r="B1407" s="84"/>
      <c r="C1407" s="43" t="s">
        <v>151</v>
      </c>
      <c r="D1407" s="42">
        <v>1</v>
      </c>
      <c r="E1407" s="41">
        <v>3.0832793759442546E-5</v>
      </c>
    </row>
    <row r="1408" spans="2:5" ht="15" customHeight="1">
      <c r="B1408" s="84"/>
      <c r="C1408" s="43" t="s">
        <v>175</v>
      </c>
      <c r="D1408" s="42">
        <v>3</v>
      </c>
      <c r="E1408" s="41">
        <v>9.249838127832763E-5</v>
      </c>
    </row>
    <row r="1409" spans="2:5" ht="15" customHeight="1">
      <c r="B1409" s="84"/>
      <c r="C1409" s="43" t="s">
        <v>157</v>
      </c>
      <c r="D1409" s="42">
        <v>28</v>
      </c>
      <c r="E1409" s="41">
        <v>8.633182252643912E-4</v>
      </c>
    </row>
    <row r="1410" spans="2:5" ht="15" customHeight="1">
      <c r="B1410" s="84"/>
      <c r="C1410" s="43" t="s">
        <v>143</v>
      </c>
      <c r="D1410" s="42">
        <v>2</v>
      </c>
      <c r="E1410" s="41">
        <v>6.1665587518885091E-5</v>
      </c>
    </row>
    <row r="1411" spans="2:5" ht="15" customHeight="1">
      <c r="B1411" s="84"/>
      <c r="C1411" s="43" t="s">
        <v>160</v>
      </c>
      <c r="D1411" s="42">
        <v>1</v>
      </c>
      <c r="E1411" s="41">
        <v>3.0832793759442546E-5</v>
      </c>
    </row>
    <row r="1412" spans="2:5" ht="15" customHeight="1">
      <c r="B1412" s="84"/>
      <c r="C1412" s="43" t="s">
        <v>147</v>
      </c>
      <c r="D1412" s="42">
        <v>1</v>
      </c>
      <c r="E1412" s="41">
        <v>3.0832793759442546E-5</v>
      </c>
    </row>
    <row r="1413" spans="2:5" ht="15" customHeight="1">
      <c r="B1413" s="84"/>
      <c r="C1413" s="43" t="s">
        <v>153</v>
      </c>
      <c r="D1413" s="42">
        <v>2</v>
      </c>
      <c r="E1413" s="41">
        <v>6.1665587518885091E-5</v>
      </c>
    </row>
    <row r="1414" spans="2:5" ht="15" customHeight="1">
      <c r="B1414" s="84"/>
      <c r="C1414" s="43" t="s">
        <v>141</v>
      </c>
      <c r="D1414" s="42">
        <v>1</v>
      </c>
      <c r="E1414" s="41">
        <v>3.0832793759442546E-5</v>
      </c>
    </row>
    <row r="1415" spans="2:5" ht="15" customHeight="1">
      <c r="B1415" s="84"/>
      <c r="C1415" s="43" t="s">
        <v>155</v>
      </c>
      <c r="D1415" s="42">
        <v>4</v>
      </c>
      <c r="E1415" s="41">
        <v>1.2333117503777018E-4</v>
      </c>
    </row>
    <row r="1416" spans="2:5" ht="15" customHeight="1">
      <c r="B1416" s="84"/>
      <c r="C1416" s="43" t="s">
        <v>173</v>
      </c>
      <c r="D1416" s="42">
        <v>8</v>
      </c>
      <c r="E1416" s="41">
        <v>2.4666235007554037E-4</v>
      </c>
    </row>
    <row r="1417" spans="2:5" ht="15" customHeight="1">
      <c r="B1417" s="84"/>
      <c r="C1417" s="43" t="s">
        <v>154</v>
      </c>
      <c r="D1417" s="42">
        <v>3</v>
      </c>
      <c r="E1417" s="41">
        <v>9.249838127832763E-5</v>
      </c>
    </row>
    <row r="1418" spans="2:5" ht="15" customHeight="1">
      <c r="B1418" s="84"/>
      <c r="C1418" s="43" t="s">
        <v>162</v>
      </c>
      <c r="D1418" s="42">
        <v>9</v>
      </c>
      <c r="E1418" s="41">
        <v>2.7749514383498288E-4</v>
      </c>
    </row>
    <row r="1419" spans="2:5" ht="15" customHeight="1">
      <c r="B1419" s="84"/>
      <c r="C1419" s="43" t="s">
        <v>161</v>
      </c>
      <c r="D1419" s="42">
        <v>4</v>
      </c>
      <c r="E1419" s="41">
        <v>1.2333117503777018E-4</v>
      </c>
    </row>
    <row r="1420" spans="2:5" ht="15" customHeight="1">
      <c r="B1420" s="84"/>
      <c r="C1420" s="43" t="s">
        <v>145</v>
      </c>
      <c r="D1420" s="42">
        <v>6</v>
      </c>
      <c r="E1420" s="41">
        <v>1.8499676255665526E-4</v>
      </c>
    </row>
    <row r="1421" spans="2:5" ht="15" customHeight="1">
      <c r="B1421" s="85"/>
      <c r="C1421" s="40" t="s">
        <v>23</v>
      </c>
      <c r="D1421" s="39">
        <v>170</v>
      </c>
      <c r="E1421" s="38">
        <v>5.2415749391052325E-3</v>
      </c>
    </row>
    <row r="1422" spans="2:5" ht="15" customHeight="1">
      <c r="B1422" s="83" t="s">
        <v>99</v>
      </c>
      <c r="C1422" s="43" t="s">
        <v>172</v>
      </c>
      <c r="D1422" s="42">
        <v>2</v>
      </c>
      <c r="E1422" s="41">
        <v>6.1665587518885091E-5</v>
      </c>
    </row>
    <row r="1423" spans="2:5" ht="15" customHeight="1">
      <c r="B1423" s="84"/>
      <c r="C1423" s="43" t="s">
        <v>152</v>
      </c>
      <c r="D1423" s="42">
        <v>1</v>
      </c>
      <c r="E1423" s="41">
        <v>3.0832793759442546E-5</v>
      </c>
    </row>
    <row r="1424" spans="2:5" ht="15" customHeight="1">
      <c r="B1424" s="84"/>
      <c r="C1424" s="43" t="s">
        <v>170</v>
      </c>
      <c r="D1424" s="42">
        <v>2</v>
      </c>
      <c r="E1424" s="41">
        <v>6.1665587518885091E-5</v>
      </c>
    </row>
    <row r="1425" spans="2:5" ht="15" customHeight="1">
      <c r="B1425" s="84"/>
      <c r="C1425" s="43" t="s">
        <v>164</v>
      </c>
      <c r="D1425" s="42">
        <v>17</v>
      </c>
      <c r="E1425" s="41">
        <v>5.2415749391052319E-4</v>
      </c>
    </row>
    <row r="1426" spans="2:5" ht="15" customHeight="1">
      <c r="B1426" s="84"/>
      <c r="C1426" s="43" t="s">
        <v>176</v>
      </c>
      <c r="D1426" s="42">
        <v>3</v>
      </c>
      <c r="E1426" s="41">
        <v>9.249838127832763E-5</v>
      </c>
    </row>
    <row r="1427" spans="2:5" ht="15" customHeight="1">
      <c r="B1427" s="84"/>
      <c r="C1427" s="43" t="s">
        <v>178</v>
      </c>
      <c r="D1427" s="42">
        <v>3</v>
      </c>
      <c r="E1427" s="41">
        <v>9.249838127832763E-5</v>
      </c>
    </row>
    <row r="1428" spans="2:5" ht="15" customHeight="1">
      <c r="B1428" s="84"/>
      <c r="C1428" s="43" t="s">
        <v>179</v>
      </c>
      <c r="D1428" s="42">
        <v>5</v>
      </c>
      <c r="E1428" s="41">
        <v>1.5416396879721272E-4</v>
      </c>
    </row>
    <row r="1429" spans="2:5" ht="15" customHeight="1">
      <c r="B1429" s="84"/>
      <c r="C1429" s="43" t="s">
        <v>159</v>
      </c>
      <c r="D1429" s="42">
        <v>1</v>
      </c>
      <c r="E1429" s="41">
        <v>3.0832793759442546E-5</v>
      </c>
    </row>
    <row r="1430" spans="2:5" ht="15" customHeight="1">
      <c r="B1430" s="84"/>
      <c r="C1430" s="43" t="s">
        <v>158</v>
      </c>
      <c r="D1430" s="42">
        <v>9</v>
      </c>
      <c r="E1430" s="41">
        <v>2.7749514383498288E-4</v>
      </c>
    </row>
    <row r="1431" spans="2:5" ht="15" customHeight="1">
      <c r="B1431" s="84"/>
      <c r="C1431" s="43" t="s">
        <v>180</v>
      </c>
      <c r="D1431" s="42">
        <v>2</v>
      </c>
      <c r="E1431" s="41">
        <v>6.1665587518885091E-5</v>
      </c>
    </row>
    <row r="1432" spans="2:5" ht="15" customHeight="1">
      <c r="B1432" s="84"/>
      <c r="C1432" s="43" t="s">
        <v>177</v>
      </c>
      <c r="D1432" s="42">
        <v>1</v>
      </c>
      <c r="E1432" s="41">
        <v>3.0832793759442546E-5</v>
      </c>
    </row>
    <row r="1433" spans="2:5" ht="15" customHeight="1">
      <c r="B1433" s="84"/>
      <c r="C1433" s="43" t="s">
        <v>171</v>
      </c>
      <c r="D1433" s="42">
        <v>1</v>
      </c>
      <c r="E1433" s="41">
        <v>3.0832793759442546E-5</v>
      </c>
    </row>
    <row r="1434" spans="2:5" ht="15" customHeight="1">
      <c r="B1434" s="84"/>
      <c r="C1434" s="43" t="s">
        <v>181</v>
      </c>
      <c r="D1434" s="42">
        <v>17</v>
      </c>
      <c r="E1434" s="41">
        <v>5.2415749391052319E-4</v>
      </c>
    </row>
    <row r="1435" spans="2:5" ht="15" customHeight="1">
      <c r="B1435" s="84"/>
      <c r="C1435" s="43" t="s">
        <v>167</v>
      </c>
      <c r="D1435" s="42">
        <v>4</v>
      </c>
      <c r="E1435" s="41">
        <v>1.2333117503777018E-4</v>
      </c>
    </row>
    <row r="1436" spans="2:5" ht="15" customHeight="1">
      <c r="B1436" s="84"/>
      <c r="C1436" s="43" t="s">
        <v>163</v>
      </c>
      <c r="D1436" s="42">
        <v>49</v>
      </c>
      <c r="E1436" s="41">
        <v>1.5108068942126845E-3</v>
      </c>
    </row>
    <row r="1437" spans="2:5" ht="15" customHeight="1">
      <c r="B1437" s="84"/>
      <c r="C1437" s="43" t="s">
        <v>182</v>
      </c>
      <c r="D1437" s="42">
        <v>28</v>
      </c>
      <c r="E1437" s="41">
        <v>8.633182252643912E-4</v>
      </c>
    </row>
    <row r="1438" spans="2:5" ht="15" customHeight="1">
      <c r="B1438" s="84"/>
      <c r="C1438" s="43" t="s">
        <v>137</v>
      </c>
      <c r="D1438" s="42">
        <v>2</v>
      </c>
      <c r="E1438" s="41">
        <v>6.1665587518885091E-5</v>
      </c>
    </row>
    <row r="1439" spans="2:5" ht="15" customHeight="1">
      <c r="B1439" s="84"/>
      <c r="C1439" s="43" t="s">
        <v>175</v>
      </c>
      <c r="D1439" s="42">
        <v>8</v>
      </c>
      <c r="E1439" s="41">
        <v>2.4666235007554037E-4</v>
      </c>
    </row>
    <row r="1440" spans="2:5" ht="15" customHeight="1">
      <c r="B1440" s="84"/>
      <c r="C1440" s="43" t="s">
        <v>157</v>
      </c>
      <c r="D1440" s="42">
        <v>30</v>
      </c>
      <c r="E1440" s="41">
        <v>9.2498381278327633E-4</v>
      </c>
    </row>
    <row r="1441" spans="2:5" ht="15" customHeight="1">
      <c r="B1441" s="84"/>
      <c r="C1441" s="43" t="s">
        <v>143</v>
      </c>
      <c r="D1441" s="42">
        <v>1</v>
      </c>
      <c r="E1441" s="41">
        <v>3.0832793759442546E-5</v>
      </c>
    </row>
    <row r="1442" spans="2:5" ht="15" customHeight="1">
      <c r="B1442" s="84"/>
      <c r="C1442" s="43" t="s">
        <v>169</v>
      </c>
      <c r="D1442" s="42">
        <v>2</v>
      </c>
      <c r="E1442" s="41">
        <v>6.1665587518885091E-5</v>
      </c>
    </row>
    <row r="1443" spans="2:5" ht="15" customHeight="1">
      <c r="B1443" s="84"/>
      <c r="C1443" s="43" t="s">
        <v>160</v>
      </c>
      <c r="D1443" s="42">
        <v>1</v>
      </c>
      <c r="E1443" s="41">
        <v>3.0832793759442546E-5</v>
      </c>
    </row>
    <row r="1444" spans="2:5" ht="15" customHeight="1">
      <c r="B1444" s="84"/>
      <c r="C1444" s="43" t="s">
        <v>147</v>
      </c>
      <c r="D1444" s="42">
        <v>3</v>
      </c>
      <c r="E1444" s="41">
        <v>9.249838127832763E-5</v>
      </c>
    </row>
    <row r="1445" spans="2:5" ht="15" customHeight="1">
      <c r="B1445" s="84"/>
      <c r="C1445" s="43" t="s">
        <v>153</v>
      </c>
      <c r="D1445" s="42">
        <v>3</v>
      </c>
      <c r="E1445" s="41">
        <v>9.249838127832763E-5</v>
      </c>
    </row>
    <row r="1446" spans="2:5" ht="15" customHeight="1">
      <c r="B1446" s="84"/>
      <c r="C1446" s="43" t="s">
        <v>144</v>
      </c>
      <c r="D1446" s="42">
        <v>1</v>
      </c>
      <c r="E1446" s="41">
        <v>3.0832793759442546E-5</v>
      </c>
    </row>
    <row r="1447" spans="2:5" ht="15" customHeight="1">
      <c r="B1447" s="84"/>
      <c r="C1447" s="43" t="s">
        <v>155</v>
      </c>
      <c r="D1447" s="42">
        <v>1</v>
      </c>
      <c r="E1447" s="41">
        <v>3.0832793759442546E-5</v>
      </c>
    </row>
    <row r="1448" spans="2:5" ht="15" customHeight="1">
      <c r="B1448" s="84"/>
      <c r="C1448" s="43" t="s">
        <v>173</v>
      </c>
      <c r="D1448" s="42">
        <v>5</v>
      </c>
      <c r="E1448" s="41">
        <v>1.5416396879721272E-4</v>
      </c>
    </row>
    <row r="1449" spans="2:5" ht="15" customHeight="1">
      <c r="B1449" s="84"/>
      <c r="C1449" s="43" t="s">
        <v>154</v>
      </c>
      <c r="D1449" s="42">
        <v>1</v>
      </c>
      <c r="E1449" s="41">
        <v>3.0832793759442546E-5</v>
      </c>
    </row>
    <row r="1450" spans="2:5" ht="15" customHeight="1">
      <c r="B1450" s="84"/>
      <c r="C1450" s="43" t="s">
        <v>162</v>
      </c>
      <c r="D1450" s="42">
        <v>1</v>
      </c>
      <c r="E1450" s="41">
        <v>3.0832793759442546E-5</v>
      </c>
    </row>
    <row r="1451" spans="2:5" ht="15" customHeight="1">
      <c r="B1451" s="84"/>
      <c r="C1451" s="43" t="s">
        <v>166</v>
      </c>
      <c r="D1451" s="42">
        <v>1</v>
      </c>
      <c r="E1451" s="41">
        <v>3.0832793759442546E-5</v>
      </c>
    </row>
    <row r="1452" spans="2:5" ht="15" customHeight="1">
      <c r="B1452" s="84"/>
      <c r="C1452" s="43" t="s">
        <v>145</v>
      </c>
      <c r="D1452" s="42">
        <v>1</v>
      </c>
      <c r="E1452" s="41">
        <v>3.0832793759442546E-5</v>
      </c>
    </row>
    <row r="1453" spans="2:5" ht="15" customHeight="1">
      <c r="B1453" s="85"/>
      <c r="C1453" s="40" t="s">
        <v>23</v>
      </c>
      <c r="D1453" s="39">
        <v>206</v>
      </c>
      <c r="E1453" s="38">
        <v>6.3515555144451636E-3</v>
      </c>
    </row>
    <row r="1454" spans="2:5" ht="15" customHeight="1">
      <c r="B1454" s="83" t="s">
        <v>112</v>
      </c>
      <c r="C1454" s="43" t="s">
        <v>172</v>
      </c>
      <c r="D1454" s="42">
        <v>3</v>
      </c>
      <c r="E1454" s="41">
        <v>9.249838127832763E-5</v>
      </c>
    </row>
    <row r="1455" spans="2:5" ht="15" customHeight="1">
      <c r="B1455" s="84"/>
      <c r="C1455" s="43" t="s">
        <v>152</v>
      </c>
      <c r="D1455" s="42">
        <v>1</v>
      </c>
      <c r="E1455" s="41">
        <v>3.0832793759442546E-5</v>
      </c>
    </row>
    <row r="1456" spans="2:5" ht="15" customHeight="1">
      <c r="B1456" s="84"/>
      <c r="C1456" s="43" t="s">
        <v>136</v>
      </c>
      <c r="D1456" s="42">
        <v>1</v>
      </c>
      <c r="E1456" s="41">
        <v>3.0832793759442546E-5</v>
      </c>
    </row>
    <row r="1457" spans="2:5" ht="15" customHeight="1">
      <c r="B1457" s="84"/>
      <c r="C1457" s="43" t="s">
        <v>170</v>
      </c>
      <c r="D1457" s="42">
        <v>1</v>
      </c>
      <c r="E1457" s="41">
        <v>3.0832793759442546E-5</v>
      </c>
    </row>
    <row r="1458" spans="2:5" ht="15" customHeight="1">
      <c r="B1458" s="84"/>
      <c r="C1458" s="43" t="s">
        <v>174</v>
      </c>
      <c r="D1458" s="42">
        <v>1</v>
      </c>
      <c r="E1458" s="41">
        <v>3.0832793759442546E-5</v>
      </c>
    </row>
    <row r="1459" spans="2:5" ht="15" customHeight="1">
      <c r="B1459" s="84"/>
      <c r="C1459" s="43" t="s">
        <v>164</v>
      </c>
      <c r="D1459" s="42">
        <v>5</v>
      </c>
      <c r="E1459" s="41">
        <v>1.5416396879721272E-4</v>
      </c>
    </row>
    <row r="1460" spans="2:5" ht="15" customHeight="1">
      <c r="B1460" s="84"/>
      <c r="C1460" s="43" t="s">
        <v>176</v>
      </c>
      <c r="D1460" s="42">
        <v>1</v>
      </c>
      <c r="E1460" s="41">
        <v>3.0832793759442546E-5</v>
      </c>
    </row>
    <row r="1461" spans="2:5" ht="15" customHeight="1">
      <c r="B1461" s="84"/>
      <c r="C1461" s="43" t="s">
        <v>178</v>
      </c>
      <c r="D1461" s="42">
        <v>2</v>
      </c>
      <c r="E1461" s="41">
        <v>6.1665587518885091E-5</v>
      </c>
    </row>
    <row r="1462" spans="2:5" ht="15" customHeight="1">
      <c r="B1462" s="84"/>
      <c r="C1462" s="43" t="s">
        <v>179</v>
      </c>
      <c r="D1462" s="42">
        <v>5</v>
      </c>
      <c r="E1462" s="41">
        <v>1.5416396879721272E-4</v>
      </c>
    </row>
    <row r="1463" spans="2:5" ht="15" customHeight="1">
      <c r="B1463" s="84"/>
      <c r="C1463" s="43" t="s">
        <v>129</v>
      </c>
      <c r="D1463" s="42">
        <v>1</v>
      </c>
      <c r="E1463" s="41">
        <v>3.0832793759442546E-5</v>
      </c>
    </row>
    <row r="1464" spans="2:5" ht="15" customHeight="1">
      <c r="B1464" s="84"/>
      <c r="C1464" s="43" t="s">
        <v>159</v>
      </c>
      <c r="D1464" s="42">
        <v>1</v>
      </c>
      <c r="E1464" s="41">
        <v>3.0832793759442546E-5</v>
      </c>
    </row>
    <row r="1465" spans="2:5" ht="15" customHeight="1">
      <c r="B1465" s="84"/>
      <c r="C1465" s="43" t="s">
        <v>168</v>
      </c>
      <c r="D1465" s="42">
        <v>1</v>
      </c>
      <c r="E1465" s="41">
        <v>3.0832793759442546E-5</v>
      </c>
    </row>
    <row r="1466" spans="2:5" ht="15" customHeight="1">
      <c r="B1466" s="84"/>
      <c r="C1466" s="43" t="s">
        <v>132</v>
      </c>
      <c r="D1466" s="42">
        <v>2</v>
      </c>
      <c r="E1466" s="41">
        <v>6.1665587518885091E-5</v>
      </c>
    </row>
    <row r="1467" spans="2:5" ht="15" customHeight="1">
      <c r="B1467" s="84"/>
      <c r="C1467" s="43" t="s">
        <v>180</v>
      </c>
      <c r="D1467" s="42">
        <v>1</v>
      </c>
      <c r="E1467" s="41">
        <v>3.0832793759442546E-5</v>
      </c>
    </row>
    <row r="1468" spans="2:5" ht="15" customHeight="1">
      <c r="B1468" s="84"/>
      <c r="C1468" s="43" t="s">
        <v>177</v>
      </c>
      <c r="D1468" s="42">
        <v>3</v>
      </c>
      <c r="E1468" s="41">
        <v>9.249838127832763E-5</v>
      </c>
    </row>
    <row r="1469" spans="2:5" ht="15" customHeight="1">
      <c r="B1469" s="84"/>
      <c r="C1469" s="43" t="s">
        <v>181</v>
      </c>
      <c r="D1469" s="42">
        <v>4</v>
      </c>
      <c r="E1469" s="41">
        <v>1.2333117503777018E-4</v>
      </c>
    </row>
    <row r="1470" spans="2:5" ht="15" customHeight="1">
      <c r="B1470" s="84"/>
      <c r="C1470" s="43" t="s">
        <v>167</v>
      </c>
      <c r="D1470" s="42">
        <v>2</v>
      </c>
      <c r="E1470" s="41">
        <v>6.1665587518885091E-5</v>
      </c>
    </row>
    <row r="1471" spans="2:5" ht="15" customHeight="1">
      <c r="B1471" s="84"/>
      <c r="C1471" s="43" t="s">
        <v>163</v>
      </c>
      <c r="D1471" s="42">
        <v>7</v>
      </c>
      <c r="E1471" s="41">
        <v>2.158295563160978E-4</v>
      </c>
    </row>
    <row r="1472" spans="2:5" ht="15" customHeight="1">
      <c r="B1472" s="84"/>
      <c r="C1472" s="43" t="s">
        <v>182</v>
      </c>
      <c r="D1472" s="42">
        <v>18</v>
      </c>
      <c r="E1472" s="41">
        <v>5.5499028766996575E-4</v>
      </c>
    </row>
    <row r="1473" spans="2:5" ht="15" customHeight="1">
      <c r="B1473" s="84"/>
      <c r="C1473" s="43" t="s">
        <v>175</v>
      </c>
      <c r="D1473" s="42">
        <v>2</v>
      </c>
      <c r="E1473" s="41">
        <v>6.1665587518885091E-5</v>
      </c>
    </row>
    <row r="1474" spans="2:5" ht="15" customHeight="1">
      <c r="B1474" s="84"/>
      <c r="C1474" s="43" t="s">
        <v>157</v>
      </c>
      <c r="D1474" s="42">
        <v>3</v>
      </c>
      <c r="E1474" s="41">
        <v>9.249838127832763E-5</v>
      </c>
    </row>
    <row r="1475" spans="2:5" ht="15" customHeight="1">
      <c r="B1475" s="84"/>
      <c r="C1475" s="43" t="s">
        <v>160</v>
      </c>
      <c r="D1475" s="42">
        <v>1</v>
      </c>
      <c r="E1475" s="41">
        <v>3.0832793759442546E-5</v>
      </c>
    </row>
    <row r="1476" spans="2:5" ht="15" customHeight="1">
      <c r="B1476" s="84"/>
      <c r="C1476" s="43" t="s">
        <v>153</v>
      </c>
      <c r="D1476" s="42">
        <v>1</v>
      </c>
      <c r="E1476" s="41">
        <v>3.0832793759442546E-5</v>
      </c>
    </row>
    <row r="1477" spans="2:5" ht="15" customHeight="1">
      <c r="B1477" s="84"/>
      <c r="C1477" s="43" t="s">
        <v>173</v>
      </c>
      <c r="D1477" s="42">
        <v>1</v>
      </c>
      <c r="E1477" s="41">
        <v>3.0832793759442546E-5</v>
      </c>
    </row>
    <row r="1478" spans="2:5" ht="15" customHeight="1">
      <c r="B1478" s="84"/>
      <c r="C1478" s="43" t="s">
        <v>154</v>
      </c>
      <c r="D1478" s="42">
        <v>4</v>
      </c>
      <c r="E1478" s="41">
        <v>1.2333117503777018E-4</v>
      </c>
    </row>
    <row r="1479" spans="2:5" ht="15" customHeight="1">
      <c r="B1479" s="84"/>
      <c r="C1479" s="43" t="s">
        <v>166</v>
      </c>
      <c r="D1479" s="42">
        <v>2</v>
      </c>
      <c r="E1479" s="41">
        <v>6.1665587518885091E-5</v>
      </c>
    </row>
    <row r="1480" spans="2:5" ht="15" customHeight="1">
      <c r="B1480" s="85"/>
      <c r="C1480" s="40" t="s">
        <v>23</v>
      </c>
      <c r="D1480" s="39">
        <v>74</v>
      </c>
      <c r="E1480" s="38">
        <v>2.2816267381987484E-3</v>
      </c>
    </row>
    <row r="1481" spans="2:5" ht="15" customHeight="1">
      <c r="B1481" s="83" t="s">
        <v>113</v>
      </c>
      <c r="C1481" s="43" t="s">
        <v>172</v>
      </c>
      <c r="D1481" s="42">
        <v>1</v>
      </c>
      <c r="E1481" s="41">
        <v>3.0832793759442546E-5</v>
      </c>
    </row>
    <row r="1482" spans="2:5" ht="15" customHeight="1">
      <c r="B1482" s="84"/>
      <c r="C1482" s="43" t="s">
        <v>152</v>
      </c>
      <c r="D1482" s="42">
        <v>2</v>
      </c>
      <c r="E1482" s="41">
        <v>6.1665587518885091E-5</v>
      </c>
    </row>
    <row r="1483" spans="2:5" ht="15" customHeight="1">
      <c r="B1483" s="84"/>
      <c r="C1483" s="43" t="s">
        <v>170</v>
      </c>
      <c r="D1483" s="42">
        <v>1</v>
      </c>
      <c r="E1483" s="41">
        <v>3.0832793759442546E-5</v>
      </c>
    </row>
    <row r="1484" spans="2:5" ht="15" customHeight="1">
      <c r="B1484" s="84"/>
      <c r="C1484" s="43" t="s">
        <v>140</v>
      </c>
      <c r="D1484" s="42">
        <v>1</v>
      </c>
      <c r="E1484" s="41">
        <v>3.0832793759442546E-5</v>
      </c>
    </row>
    <row r="1485" spans="2:5" ht="15" customHeight="1">
      <c r="B1485" s="84"/>
      <c r="C1485" s="43" t="s">
        <v>174</v>
      </c>
      <c r="D1485" s="42">
        <v>3</v>
      </c>
      <c r="E1485" s="41">
        <v>9.249838127832763E-5</v>
      </c>
    </row>
    <row r="1486" spans="2:5" ht="15" customHeight="1">
      <c r="B1486" s="84"/>
      <c r="C1486" s="43" t="s">
        <v>164</v>
      </c>
      <c r="D1486" s="42">
        <v>2</v>
      </c>
      <c r="E1486" s="41">
        <v>6.1665587518885091E-5</v>
      </c>
    </row>
    <row r="1487" spans="2:5" ht="15" customHeight="1">
      <c r="B1487" s="84"/>
      <c r="C1487" s="43" t="s">
        <v>176</v>
      </c>
      <c r="D1487" s="42">
        <v>1</v>
      </c>
      <c r="E1487" s="41">
        <v>3.0832793759442546E-5</v>
      </c>
    </row>
    <row r="1488" spans="2:5" ht="15" customHeight="1">
      <c r="B1488" s="84"/>
      <c r="C1488" s="43" t="s">
        <v>179</v>
      </c>
      <c r="D1488" s="42">
        <v>4</v>
      </c>
      <c r="E1488" s="41">
        <v>1.2333117503777018E-4</v>
      </c>
    </row>
    <row r="1489" spans="2:5" ht="15" customHeight="1">
      <c r="B1489" s="84"/>
      <c r="C1489" s="43" t="s">
        <v>129</v>
      </c>
      <c r="D1489" s="42">
        <v>1</v>
      </c>
      <c r="E1489" s="41">
        <v>3.0832793759442546E-5</v>
      </c>
    </row>
    <row r="1490" spans="2:5" ht="15" customHeight="1">
      <c r="B1490" s="84"/>
      <c r="C1490" s="43" t="s">
        <v>159</v>
      </c>
      <c r="D1490" s="42">
        <v>6</v>
      </c>
      <c r="E1490" s="41">
        <v>1.8499676255665526E-4</v>
      </c>
    </row>
    <row r="1491" spans="2:5" ht="15" customHeight="1">
      <c r="B1491" s="84"/>
      <c r="C1491" s="43" t="s">
        <v>168</v>
      </c>
      <c r="D1491" s="42">
        <v>4</v>
      </c>
      <c r="E1491" s="41">
        <v>1.2333117503777018E-4</v>
      </c>
    </row>
    <row r="1492" spans="2:5" ht="15" customHeight="1">
      <c r="B1492" s="84"/>
      <c r="C1492" s="43" t="s">
        <v>158</v>
      </c>
      <c r="D1492" s="42">
        <v>1</v>
      </c>
      <c r="E1492" s="41">
        <v>3.0832793759442546E-5</v>
      </c>
    </row>
    <row r="1493" spans="2:5" ht="15" customHeight="1">
      <c r="B1493" s="84"/>
      <c r="C1493" s="43" t="s">
        <v>180</v>
      </c>
      <c r="D1493" s="42">
        <v>5</v>
      </c>
      <c r="E1493" s="41">
        <v>1.5416396879721272E-4</v>
      </c>
    </row>
    <row r="1494" spans="2:5" ht="15" customHeight="1">
      <c r="B1494" s="84"/>
      <c r="C1494" s="43" t="s">
        <v>177</v>
      </c>
      <c r="D1494" s="42">
        <v>6</v>
      </c>
      <c r="E1494" s="41">
        <v>1.8499676255665526E-4</v>
      </c>
    </row>
    <row r="1495" spans="2:5" ht="15" customHeight="1">
      <c r="B1495" s="84"/>
      <c r="C1495" s="43" t="s">
        <v>171</v>
      </c>
      <c r="D1495" s="42">
        <v>1</v>
      </c>
      <c r="E1495" s="41">
        <v>3.0832793759442546E-5</v>
      </c>
    </row>
    <row r="1496" spans="2:5" ht="15" customHeight="1">
      <c r="B1496" s="84"/>
      <c r="C1496" s="43" t="s">
        <v>181</v>
      </c>
      <c r="D1496" s="42">
        <v>4</v>
      </c>
      <c r="E1496" s="41">
        <v>1.2333117503777018E-4</v>
      </c>
    </row>
    <row r="1497" spans="2:5" ht="15" customHeight="1">
      <c r="B1497" s="84"/>
      <c r="C1497" s="43" t="s">
        <v>163</v>
      </c>
      <c r="D1497" s="42">
        <v>2</v>
      </c>
      <c r="E1497" s="41">
        <v>6.1665587518885091E-5</v>
      </c>
    </row>
    <row r="1498" spans="2:5" ht="15" customHeight="1">
      <c r="B1498" s="84"/>
      <c r="C1498" s="43" t="s">
        <v>182</v>
      </c>
      <c r="D1498" s="42">
        <v>17</v>
      </c>
      <c r="E1498" s="41">
        <v>5.2415749391052319E-4</v>
      </c>
    </row>
    <row r="1499" spans="2:5" ht="15" customHeight="1">
      <c r="B1499" s="84"/>
      <c r="C1499" s="43" t="s">
        <v>151</v>
      </c>
      <c r="D1499" s="42">
        <v>3</v>
      </c>
      <c r="E1499" s="41">
        <v>9.249838127832763E-5</v>
      </c>
    </row>
    <row r="1500" spans="2:5" ht="15" customHeight="1">
      <c r="B1500" s="84"/>
      <c r="C1500" s="43" t="s">
        <v>175</v>
      </c>
      <c r="D1500" s="42">
        <v>3</v>
      </c>
      <c r="E1500" s="41">
        <v>9.249838127832763E-5</v>
      </c>
    </row>
    <row r="1501" spans="2:5" ht="15" customHeight="1">
      <c r="B1501" s="84"/>
      <c r="C1501" s="43" t="s">
        <v>157</v>
      </c>
      <c r="D1501" s="42">
        <v>4</v>
      </c>
      <c r="E1501" s="41">
        <v>1.2333117503777018E-4</v>
      </c>
    </row>
    <row r="1502" spans="2:5" ht="15" customHeight="1">
      <c r="B1502" s="84"/>
      <c r="C1502" s="43" t="s">
        <v>169</v>
      </c>
      <c r="D1502" s="42">
        <v>1</v>
      </c>
      <c r="E1502" s="41">
        <v>3.0832793759442546E-5</v>
      </c>
    </row>
    <row r="1503" spans="2:5" ht="15" customHeight="1">
      <c r="B1503" s="84"/>
      <c r="C1503" s="43" t="s">
        <v>160</v>
      </c>
      <c r="D1503" s="42">
        <v>1</v>
      </c>
      <c r="E1503" s="41">
        <v>3.0832793759442546E-5</v>
      </c>
    </row>
    <row r="1504" spans="2:5" ht="15" customHeight="1">
      <c r="B1504" s="84"/>
      <c r="C1504" s="43" t="s">
        <v>131</v>
      </c>
      <c r="D1504" s="42">
        <v>1</v>
      </c>
      <c r="E1504" s="41">
        <v>3.0832793759442546E-5</v>
      </c>
    </row>
    <row r="1505" spans="2:5" ht="15" customHeight="1">
      <c r="B1505" s="84"/>
      <c r="C1505" s="43" t="s">
        <v>133</v>
      </c>
      <c r="D1505" s="42">
        <v>2</v>
      </c>
      <c r="E1505" s="41">
        <v>6.1665587518885091E-5</v>
      </c>
    </row>
    <row r="1506" spans="2:5" ht="15" customHeight="1">
      <c r="B1506" s="84"/>
      <c r="C1506" s="43" t="s">
        <v>153</v>
      </c>
      <c r="D1506" s="42">
        <v>3</v>
      </c>
      <c r="E1506" s="41">
        <v>9.249838127832763E-5</v>
      </c>
    </row>
    <row r="1507" spans="2:5" ht="15" customHeight="1">
      <c r="B1507" s="84"/>
      <c r="C1507" s="43" t="s">
        <v>149</v>
      </c>
      <c r="D1507" s="42">
        <v>1</v>
      </c>
      <c r="E1507" s="41">
        <v>3.0832793759442546E-5</v>
      </c>
    </row>
    <row r="1508" spans="2:5" ht="15" customHeight="1">
      <c r="B1508" s="84"/>
      <c r="C1508" s="43" t="s">
        <v>155</v>
      </c>
      <c r="D1508" s="42">
        <v>1</v>
      </c>
      <c r="E1508" s="41">
        <v>3.0832793759442546E-5</v>
      </c>
    </row>
    <row r="1509" spans="2:5" ht="15" customHeight="1">
      <c r="B1509" s="84"/>
      <c r="C1509" s="43" t="s">
        <v>173</v>
      </c>
      <c r="D1509" s="42">
        <v>3</v>
      </c>
      <c r="E1509" s="41">
        <v>9.249838127832763E-5</v>
      </c>
    </row>
    <row r="1510" spans="2:5" ht="15" customHeight="1">
      <c r="B1510" s="84"/>
      <c r="C1510" s="43" t="s">
        <v>154</v>
      </c>
      <c r="D1510" s="42">
        <v>1</v>
      </c>
      <c r="E1510" s="41">
        <v>3.0832793759442546E-5</v>
      </c>
    </row>
    <row r="1511" spans="2:5" ht="15" customHeight="1">
      <c r="B1511" s="84"/>
      <c r="C1511" s="43" t="s">
        <v>166</v>
      </c>
      <c r="D1511" s="42">
        <v>2</v>
      </c>
      <c r="E1511" s="41">
        <v>6.1665587518885091E-5</v>
      </c>
    </row>
    <row r="1512" spans="2:5" ht="15" customHeight="1">
      <c r="B1512" s="85"/>
      <c r="C1512" s="40" t="s">
        <v>23</v>
      </c>
      <c r="D1512" s="39">
        <v>88</v>
      </c>
      <c r="E1512" s="38">
        <v>2.7132858508309436E-3</v>
      </c>
    </row>
    <row r="1513" spans="2:5" ht="15" customHeight="1">
      <c r="B1513" s="83" t="s">
        <v>114</v>
      </c>
      <c r="C1513" s="43" t="s">
        <v>172</v>
      </c>
      <c r="D1513" s="42">
        <v>3</v>
      </c>
      <c r="E1513" s="41">
        <v>9.249838127832763E-5</v>
      </c>
    </row>
    <row r="1514" spans="2:5" ht="15" customHeight="1">
      <c r="B1514" s="84"/>
      <c r="C1514" s="43" t="s">
        <v>152</v>
      </c>
      <c r="D1514" s="42">
        <v>1</v>
      </c>
      <c r="E1514" s="41">
        <v>3.0832793759442546E-5</v>
      </c>
    </row>
    <row r="1515" spans="2:5" ht="15" customHeight="1">
      <c r="B1515" s="84"/>
      <c r="C1515" s="43" t="s">
        <v>170</v>
      </c>
      <c r="D1515" s="42">
        <v>3</v>
      </c>
      <c r="E1515" s="41">
        <v>9.249838127832763E-5</v>
      </c>
    </row>
    <row r="1516" spans="2:5" ht="15" customHeight="1">
      <c r="B1516" s="84"/>
      <c r="C1516" s="43" t="s">
        <v>156</v>
      </c>
      <c r="D1516" s="42">
        <v>1</v>
      </c>
      <c r="E1516" s="41">
        <v>3.0832793759442546E-5</v>
      </c>
    </row>
    <row r="1517" spans="2:5" ht="15" customHeight="1">
      <c r="B1517" s="84"/>
      <c r="C1517" s="43" t="s">
        <v>174</v>
      </c>
      <c r="D1517" s="42">
        <v>9</v>
      </c>
      <c r="E1517" s="41">
        <v>2.7749514383498288E-4</v>
      </c>
    </row>
    <row r="1518" spans="2:5" ht="15" customHeight="1">
      <c r="B1518" s="84"/>
      <c r="C1518" s="43" t="s">
        <v>164</v>
      </c>
      <c r="D1518" s="42">
        <v>1</v>
      </c>
      <c r="E1518" s="41">
        <v>3.0832793759442546E-5</v>
      </c>
    </row>
    <row r="1519" spans="2:5" ht="15" customHeight="1">
      <c r="B1519" s="84"/>
      <c r="C1519" s="43" t="s">
        <v>176</v>
      </c>
      <c r="D1519" s="42">
        <v>1</v>
      </c>
      <c r="E1519" s="41">
        <v>3.0832793759442546E-5</v>
      </c>
    </row>
    <row r="1520" spans="2:5" ht="15" customHeight="1">
      <c r="B1520" s="84"/>
      <c r="C1520" s="43" t="s">
        <v>178</v>
      </c>
      <c r="D1520" s="42">
        <v>11</v>
      </c>
      <c r="E1520" s="41">
        <v>3.3916073135386795E-4</v>
      </c>
    </row>
    <row r="1521" spans="2:5" ht="15" customHeight="1">
      <c r="B1521" s="84"/>
      <c r="C1521" s="43" t="s">
        <v>179</v>
      </c>
      <c r="D1521" s="42">
        <v>3</v>
      </c>
      <c r="E1521" s="41">
        <v>9.249838127832763E-5</v>
      </c>
    </row>
    <row r="1522" spans="2:5" ht="15" customHeight="1">
      <c r="B1522" s="84"/>
      <c r="C1522" s="43" t="s">
        <v>129</v>
      </c>
      <c r="D1522" s="42">
        <v>1</v>
      </c>
      <c r="E1522" s="41">
        <v>3.0832793759442546E-5</v>
      </c>
    </row>
    <row r="1523" spans="2:5" ht="15" customHeight="1">
      <c r="B1523" s="84"/>
      <c r="C1523" s="43" t="s">
        <v>159</v>
      </c>
      <c r="D1523" s="42">
        <v>8</v>
      </c>
      <c r="E1523" s="41">
        <v>2.4666235007554037E-4</v>
      </c>
    </row>
    <row r="1524" spans="2:5" ht="15" customHeight="1">
      <c r="B1524" s="84"/>
      <c r="C1524" s="43" t="s">
        <v>180</v>
      </c>
      <c r="D1524" s="42">
        <v>2</v>
      </c>
      <c r="E1524" s="41">
        <v>6.1665587518885091E-5</v>
      </c>
    </row>
    <row r="1525" spans="2:5" ht="15" customHeight="1">
      <c r="B1525" s="84"/>
      <c r="C1525" s="43" t="s">
        <v>177</v>
      </c>
      <c r="D1525" s="42">
        <v>3</v>
      </c>
      <c r="E1525" s="41">
        <v>9.249838127832763E-5</v>
      </c>
    </row>
    <row r="1526" spans="2:5" ht="15" customHeight="1">
      <c r="B1526" s="84"/>
      <c r="C1526" s="43" t="s">
        <v>181</v>
      </c>
      <c r="D1526" s="42">
        <v>14</v>
      </c>
      <c r="E1526" s="41">
        <v>4.316591126321956E-4</v>
      </c>
    </row>
    <row r="1527" spans="2:5" ht="15" customHeight="1">
      <c r="B1527" s="84"/>
      <c r="C1527" s="43" t="s">
        <v>167</v>
      </c>
      <c r="D1527" s="42">
        <v>1</v>
      </c>
      <c r="E1527" s="41">
        <v>3.0832793759442546E-5</v>
      </c>
    </row>
    <row r="1528" spans="2:5" ht="15" customHeight="1">
      <c r="B1528" s="84"/>
      <c r="C1528" s="43" t="s">
        <v>163</v>
      </c>
      <c r="D1528" s="42">
        <v>17</v>
      </c>
      <c r="E1528" s="41">
        <v>5.2415749391052319E-4</v>
      </c>
    </row>
    <row r="1529" spans="2:5" ht="15" customHeight="1">
      <c r="B1529" s="84"/>
      <c r="C1529" s="43" t="s">
        <v>182</v>
      </c>
      <c r="D1529" s="42">
        <v>32</v>
      </c>
      <c r="E1529" s="41">
        <v>9.8664940030216146E-4</v>
      </c>
    </row>
    <row r="1530" spans="2:5" ht="15" customHeight="1">
      <c r="B1530" s="84"/>
      <c r="C1530" s="43" t="s">
        <v>137</v>
      </c>
      <c r="D1530" s="42">
        <v>1</v>
      </c>
      <c r="E1530" s="41">
        <v>3.0832793759442546E-5</v>
      </c>
    </row>
    <row r="1531" spans="2:5" ht="15" customHeight="1">
      <c r="B1531" s="84"/>
      <c r="C1531" s="43" t="s">
        <v>151</v>
      </c>
      <c r="D1531" s="42">
        <v>1</v>
      </c>
      <c r="E1531" s="41">
        <v>3.0832793759442546E-5</v>
      </c>
    </row>
    <row r="1532" spans="2:5" ht="15" customHeight="1">
      <c r="B1532" s="84"/>
      <c r="C1532" s="43" t="s">
        <v>150</v>
      </c>
      <c r="D1532" s="42">
        <v>1</v>
      </c>
      <c r="E1532" s="41">
        <v>3.0832793759442546E-5</v>
      </c>
    </row>
    <row r="1533" spans="2:5" ht="15" customHeight="1">
      <c r="B1533" s="84"/>
      <c r="C1533" s="43" t="s">
        <v>175</v>
      </c>
      <c r="D1533" s="42">
        <v>1</v>
      </c>
      <c r="E1533" s="41">
        <v>3.0832793759442546E-5</v>
      </c>
    </row>
    <row r="1534" spans="2:5" ht="15" customHeight="1">
      <c r="B1534" s="84"/>
      <c r="C1534" s="43" t="s">
        <v>157</v>
      </c>
      <c r="D1534" s="42">
        <v>5</v>
      </c>
      <c r="E1534" s="41">
        <v>1.5416396879721272E-4</v>
      </c>
    </row>
    <row r="1535" spans="2:5" ht="15" customHeight="1">
      <c r="B1535" s="84"/>
      <c r="C1535" s="43" t="s">
        <v>143</v>
      </c>
      <c r="D1535" s="42">
        <v>1</v>
      </c>
      <c r="E1535" s="41">
        <v>3.0832793759442546E-5</v>
      </c>
    </row>
    <row r="1536" spans="2:5" ht="15" customHeight="1">
      <c r="B1536" s="84"/>
      <c r="C1536" s="43" t="s">
        <v>169</v>
      </c>
      <c r="D1536" s="42">
        <v>1</v>
      </c>
      <c r="E1536" s="41">
        <v>3.0832793759442546E-5</v>
      </c>
    </row>
    <row r="1537" spans="2:5" ht="15" customHeight="1">
      <c r="B1537" s="84"/>
      <c r="C1537" s="43" t="s">
        <v>160</v>
      </c>
      <c r="D1537" s="42">
        <v>1</v>
      </c>
      <c r="E1537" s="41">
        <v>3.0832793759442546E-5</v>
      </c>
    </row>
    <row r="1538" spans="2:5" ht="15" customHeight="1">
      <c r="B1538" s="84"/>
      <c r="C1538" s="43" t="s">
        <v>131</v>
      </c>
      <c r="D1538" s="42">
        <v>1</v>
      </c>
      <c r="E1538" s="41">
        <v>3.0832793759442546E-5</v>
      </c>
    </row>
    <row r="1539" spans="2:5" ht="15" customHeight="1">
      <c r="B1539" s="84"/>
      <c r="C1539" s="43" t="s">
        <v>147</v>
      </c>
      <c r="D1539" s="42">
        <v>2</v>
      </c>
      <c r="E1539" s="41">
        <v>6.1665587518885091E-5</v>
      </c>
    </row>
    <row r="1540" spans="2:5" ht="15" customHeight="1">
      <c r="B1540" s="84"/>
      <c r="C1540" s="43" t="s">
        <v>153</v>
      </c>
      <c r="D1540" s="42">
        <v>1</v>
      </c>
      <c r="E1540" s="41">
        <v>3.0832793759442546E-5</v>
      </c>
    </row>
    <row r="1541" spans="2:5" ht="15" customHeight="1">
      <c r="B1541" s="84"/>
      <c r="C1541" s="43" t="s">
        <v>141</v>
      </c>
      <c r="D1541" s="42">
        <v>1</v>
      </c>
      <c r="E1541" s="41">
        <v>3.0832793759442546E-5</v>
      </c>
    </row>
    <row r="1542" spans="2:5" ht="15" customHeight="1">
      <c r="B1542" s="84"/>
      <c r="C1542" s="43" t="s">
        <v>146</v>
      </c>
      <c r="D1542" s="42">
        <v>1</v>
      </c>
      <c r="E1542" s="41">
        <v>3.0832793759442546E-5</v>
      </c>
    </row>
    <row r="1543" spans="2:5" ht="15" customHeight="1">
      <c r="B1543" s="84"/>
      <c r="C1543" s="43" t="s">
        <v>155</v>
      </c>
      <c r="D1543" s="42">
        <v>1</v>
      </c>
      <c r="E1543" s="41">
        <v>3.0832793759442546E-5</v>
      </c>
    </row>
    <row r="1544" spans="2:5" ht="15" customHeight="1">
      <c r="B1544" s="84"/>
      <c r="C1544" s="43" t="s">
        <v>173</v>
      </c>
      <c r="D1544" s="42">
        <v>2</v>
      </c>
      <c r="E1544" s="41">
        <v>6.1665587518885091E-5</v>
      </c>
    </row>
    <row r="1545" spans="2:5" ht="15" customHeight="1">
      <c r="B1545" s="84"/>
      <c r="C1545" s="43" t="s">
        <v>162</v>
      </c>
      <c r="D1545" s="42">
        <v>5</v>
      </c>
      <c r="E1545" s="41">
        <v>1.5416396879721272E-4</v>
      </c>
    </row>
    <row r="1546" spans="2:5" ht="15" customHeight="1">
      <c r="B1546" s="84"/>
      <c r="C1546" s="43" t="s">
        <v>161</v>
      </c>
      <c r="D1546" s="42">
        <v>7</v>
      </c>
      <c r="E1546" s="41">
        <v>2.158295563160978E-4</v>
      </c>
    </row>
    <row r="1547" spans="2:5" ht="15" customHeight="1">
      <c r="B1547" s="84"/>
      <c r="C1547" s="43" t="s">
        <v>145</v>
      </c>
      <c r="D1547" s="42">
        <v>1</v>
      </c>
      <c r="E1547" s="41">
        <v>3.0832793759442546E-5</v>
      </c>
    </row>
    <row r="1548" spans="2:5" ht="15" customHeight="1">
      <c r="B1548" s="85"/>
      <c r="C1548" s="40" t="s">
        <v>23</v>
      </c>
      <c r="D1548" s="39">
        <v>145</v>
      </c>
      <c r="E1548" s="38">
        <v>4.4707550951191685E-3</v>
      </c>
    </row>
    <row r="1549" spans="2:5" ht="15" customHeight="1">
      <c r="B1549" s="83" t="s">
        <v>92</v>
      </c>
      <c r="C1549" s="43" t="s">
        <v>156</v>
      </c>
      <c r="D1549" s="42">
        <v>1</v>
      </c>
      <c r="E1549" s="41">
        <v>3.0832793759442546E-5</v>
      </c>
    </row>
    <row r="1550" spans="2:5" ht="15" customHeight="1">
      <c r="B1550" s="84"/>
      <c r="C1550" s="43" t="s">
        <v>174</v>
      </c>
      <c r="D1550" s="42">
        <v>1</v>
      </c>
      <c r="E1550" s="41">
        <v>3.0832793759442546E-5</v>
      </c>
    </row>
    <row r="1551" spans="2:5" ht="15" customHeight="1">
      <c r="B1551" s="84"/>
      <c r="C1551" s="43" t="s">
        <v>164</v>
      </c>
      <c r="D1551" s="42">
        <v>2</v>
      </c>
      <c r="E1551" s="41">
        <v>6.1665587518885091E-5</v>
      </c>
    </row>
    <row r="1552" spans="2:5" ht="15" customHeight="1">
      <c r="B1552" s="84"/>
      <c r="C1552" s="43" t="s">
        <v>178</v>
      </c>
      <c r="D1552" s="42">
        <v>3</v>
      </c>
      <c r="E1552" s="41">
        <v>9.249838127832763E-5</v>
      </c>
    </row>
    <row r="1553" spans="2:5" ht="15" customHeight="1">
      <c r="B1553" s="84"/>
      <c r="C1553" s="43" t="s">
        <v>179</v>
      </c>
      <c r="D1553" s="42">
        <v>1</v>
      </c>
      <c r="E1553" s="41">
        <v>3.0832793759442546E-5</v>
      </c>
    </row>
    <row r="1554" spans="2:5" ht="15" customHeight="1">
      <c r="B1554" s="84"/>
      <c r="C1554" s="43" t="s">
        <v>159</v>
      </c>
      <c r="D1554" s="42">
        <v>1</v>
      </c>
      <c r="E1554" s="41">
        <v>3.0832793759442546E-5</v>
      </c>
    </row>
    <row r="1555" spans="2:5" ht="15" customHeight="1">
      <c r="B1555" s="84"/>
      <c r="C1555" s="43" t="s">
        <v>165</v>
      </c>
      <c r="D1555" s="42">
        <v>1</v>
      </c>
      <c r="E1555" s="41">
        <v>3.0832793759442546E-5</v>
      </c>
    </row>
    <row r="1556" spans="2:5" ht="15" customHeight="1">
      <c r="B1556" s="84"/>
      <c r="C1556" s="43" t="s">
        <v>181</v>
      </c>
      <c r="D1556" s="42">
        <v>2</v>
      </c>
      <c r="E1556" s="41">
        <v>6.1665587518885091E-5</v>
      </c>
    </row>
    <row r="1557" spans="2:5" ht="15" customHeight="1">
      <c r="B1557" s="84"/>
      <c r="C1557" s="43" t="s">
        <v>167</v>
      </c>
      <c r="D1557" s="42">
        <v>12</v>
      </c>
      <c r="E1557" s="41">
        <v>3.6999352511331052E-4</v>
      </c>
    </row>
    <row r="1558" spans="2:5" ht="15" customHeight="1">
      <c r="B1558" s="84"/>
      <c r="C1558" s="43" t="s">
        <v>163</v>
      </c>
      <c r="D1558" s="42">
        <v>1</v>
      </c>
      <c r="E1558" s="41">
        <v>3.0832793759442546E-5</v>
      </c>
    </row>
    <row r="1559" spans="2:5" ht="15" customHeight="1">
      <c r="B1559" s="84"/>
      <c r="C1559" s="43" t="s">
        <v>182</v>
      </c>
      <c r="D1559" s="42">
        <v>5</v>
      </c>
      <c r="E1559" s="41">
        <v>1.5416396879721272E-4</v>
      </c>
    </row>
    <row r="1560" spans="2:5" ht="15" customHeight="1">
      <c r="B1560" s="84"/>
      <c r="C1560" s="43" t="s">
        <v>157</v>
      </c>
      <c r="D1560" s="42">
        <v>7</v>
      </c>
      <c r="E1560" s="41">
        <v>2.158295563160978E-4</v>
      </c>
    </row>
    <row r="1561" spans="2:5" ht="15" customHeight="1">
      <c r="B1561" s="84"/>
      <c r="C1561" s="43" t="s">
        <v>169</v>
      </c>
      <c r="D1561" s="42">
        <v>1</v>
      </c>
      <c r="E1561" s="41">
        <v>3.0832793759442546E-5</v>
      </c>
    </row>
    <row r="1562" spans="2:5" ht="15" customHeight="1">
      <c r="B1562" s="84"/>
      <c r="C1562" s="43" t="s">
        <v>160</v>
      </c>
      <c r="D1562" s="42">
        <v>3</v>
      </c>
      <c r="E1562" s="41">
        <v>9.249838127832763E-5</v>
      </c>
    </row>
    <row r="1563" spans="2:5" ht="15" customHeight="1">
      <c r="B1563" s="84"/>
      <c r="C1563" s="43" t="s">
        <v>147</v>
      </c>
      <c r="D1563" s="42">
        <v>1</v>
      </c>
      <c r="E1563" s="41">
        <v>3.0832793759442546E-5</v>
      </c>
    </row>
    <row r="1564" spans="2:5" ht="15" customHeight="1">
      <c r="B1564" s="84"/>
      <c r="C1564" s="43" t="s">
        <v>173</v>
      </c>
      <c r="D1564" s="42">
        <v>8</v>
      </c>
      <c r="E1564" s="41">
        <v>2.4666235007554037E-4</v>
      </c>
    </row>
    <row r="1565" spans="2:5" ht="15" customHeight="1">
      <c r="B1565" s="84"/>
      <c r="C1565" s="43" t="s">
        <v>154</v>
      </c>
      <c r="D1565" s="42">
        <v>2</v>
      </c>
      <c r="E1565" s="41">
        <v>6.1665587518885091E-5</v>
      </c>
    </row>
    <row r="1566" spans="2:5" ht="15" customHeight="1">
      <c r="B1566" s="84"/>
      <c r="C1566" s="43" t="s">
        <v>161</v>
      </c>
      <c r="D1566" s="42">
        <v>1</v>
      </c>
      <c r="E1566" s="41">
        <v>3.0832793759442546E-5</v>
      </c>
    </row>
    <row r="1567" spans="2:5" ht="15" customHeight="1">
      <c r="B1567" s="84"/>
      <c r="C1567" s="43" t="s">
        <v>145</v>
      </c>
      <c r="D1567" s="42">
        <v>1</v>
      </c>
      <c r="E1567" s="41">
        <v>3.0832793759442546E-5</v>
      </c>
    </row>
    <row r="1568" spans="2:5" ht="15" customHeight="1">
      <c r="B1568" s="85"/>
      <c r="C1568" s="40" t="s">
        <v>23</v>
      </c>
      <c r="D1568" s="39">
        <v>54</v>
      </c>
      <c r="E1568" s="38">
        <v>1.6649708630098973E-3</v>
      </c>
    </row>
    <row r="1569" spans="2:5" ht="15" customHeight="1">
      <c r="B1569" s="83" t="s">
        <v>83</v>
      </c>
      <c r="C1569" s="43" t="s">
        <v>164</v>
      </c>
      <c r="D1569" s="42">
        <v>2</v>
      </c>
      <c r="E1569" s="41">
        <v>6.1665587518885091E-5</v>
      </c>
    </row>
    <row r="1570" spans="2:5" ht="15" customHeight="1">
      <c r="B1570" s="84"/>
      <c r="C1570" s="43" t="s">
        <v>182</v>
      </c>
      <c r="D1570" s="42">
        <v>5</v>
      </c>
      <c r="E1570" s="41">
        <v>1.5416396879721272E-4</v>
      </c>
    </row>
    <row r="1571" spans="2:5" ht="15" customHeight="1">
      <c r="B1571" s="84"/>
      <c r="C1571" s="43" t="s">
        <v>151</v>
      </c>
      <c r="D1571" s="42">
        <v>1</v>
      </c>
      <c r="E1571" s="41">
        <v>3.0832793759442546E-5</v>
      </c>
    </row>
    <row r="1572" spans="2:5" ht="15" customHeight="1">
      <c r="B1572" s="84"/>
      <c r="C1572" s="43" t="s">
        <v>157</v>
      </c>
      <c r="D1572" s="42">
        <v>4</v>
      </c>
      <c r="E1572" s="41">
        <v>1.2333117503777018E-4</v>
      </c>
    </row>
    <row r="1573" spans="2:5" ht="15" customHeight="1">
      <c r="B1573" s="84"/>
      <c r="C1573" s="43" t="s">
        <v>173</v>
      </c>
      <c r="D1573" s="42">
        <v>2</v>
      </c>
      <c r="E1573" s="41">
        <v>6.1665587518885091E-5</v>
      </c>
    </row>
    <row r="1574" spans="2:5" ht="15" customHeight="1">
      <c r="B1574" s="84"/>
      <c r="C1574" s="43" t="s">
        <v>145</v>
      </c>
      <c r="D1574" s="42">
        <v>1</v>
      </c>
      <c r="E1574" s="41">
        <v>3.0832793759442546E-5</v>
      </c>
    </row>
    <row r="1575" spans="2:5" ht="15" customHeight="1">
      <c r="B1575" s="85"/>
      <c r="C1575" s="40" t="s">
        <v>23</v>
      </c>
      <c r="D1575" s="39">
        <v>15</v>
      </c>
      <c r="E1575" s="38">
        <v>4.6249190639163816E-4</v>
      </c>
    </row>
    <row r="1576" spans="2:5" ht="15" customHeight="1">
      <c r="B1576" s="83" t="s">
        <v>39</v>
      </c>
      <c r="C1576" s="43" t="s">
        <v>172</v>
      </c>
      <c r="D1576" s="42">
        <v>1</v>
      </c>
      <c r="E1576" s="41">
        <v>3.0832793759442546E-5</v>
      </c>
    </row>
    <row r="1577" spans="2:5" ht="15" customHeight="1">
      <c r="B1577" s="84"/>
      <c r="C1577" s="43" t="s">
        <v>148</v>
      </c>
      <c r="D1577" s="42">
        <v>1</v>
      </c>
      <c r="E1577" s="41">
        <v>3.0832793759442546E-5</v>
      </c>
    </row>
    <row r="1578" spans="2:5" ht="15" customHeight="1">
      <c r="B1578" s="84"/>
      <c r="C1578" s="43" t="s">
        <v>152</v>
      </c>
      <c r="D1578" s="42">
        <v>13</v>
      </c>
      <c r="E1578" s="41">
        <v>4.0082631887275309E-4</v>
      </c>
    </row>
    <row r="1579" spans="2:5" ht="15" customHeight="1">
      <c r="B1579" s="84"/>
      <c r="C1579" s="43" t="s">
        <v>170</v>
      </c>
      <c r="D1579" s="42">
        <v>3</v>
      </c>
      <c r="E1579" s="41">
        <v>9.249838127832763E-5</v>
      </c>
    </row>
    <row r="1580" spans="2:5" ht="15" customHeight="1">
      <c r="B1580" s="84"/>
      <c r="C1580" s="43" t="s">
        <v>140</v>
      </c>
      <c r="D1580" s="42">
        <v>1</v>
      </c>
      <c r="E1580" s="41">
        <v>3.0832793759442546E-5</v>
      </c>
    </row>
    <row r="1581" spans="2:5" ht="15" customHeight="1">
      <c r="B1581" s="84"/>
      <c r="C1581" s="43" t="s">
        <v>174</v>
      </c>
      <c r="D1581" s="42">
        <v>1</v>
      </c>
      <c r="E1581" s="41">
        <v>3.0832793759442546E-5</v>
      </c>
    </row>
    <row r="1582" spans="2:5" ht="15" customHeight="1">
      <c r="B1582" s="84"/>
      <c r="C1582" s="43" t="s">
        <v>164</v>
      </c>
      <c r="D1582" s="42">
        <v>6</v>
      </c>
      <c r="E1582" s="41">
        <v>1.8499676255665526E-4</v>
      </c>
    </row>
    <row r="1583" spans="2:5" ht="15" customHeight="1">
      <c r="B1583" s="84"/>
      <c r="C1583" s="43" t="s">
        <v>176</v>
      </c>
      <c r="D1583" s="42">
        <v>28</v>
      </c>
      <c r="E1583" s="41">
        <v>8.633182252643912E-4</v>
      </c>
    </row>
    <row r="1584" spans="2:5" ht="15" customHeight="1">
      <c r="B1584" s="84"/>
      <c r="C1584" s="43" t="s">
        <v>178</v>
      </c>
      <c r="D1584" s="42">
        <v>6</v>
      </c>
      <c r="E1584" s="41">
        <v>1.8499676255665526E-4</v>
      </c>
    </row>
    <row r="1585" spans="2:5" ht="15" customHeight="1">
      <c r="B1585" s="84"/>
      <c r="C1585" s="43" t="s">
        <v>179</v>
      </c>
      <c r="D1585" s="42">
        <v>16</v>
      </c>
      <c r="E1585" s="41">
        <v>4.9332470015108073E-4</v>
      </c>
    </row>
    <row r="1586" spans="2:5" ht="15" customHeight="1">
      <c r="B1586" s="84"/>
      <c r="C1586" s="43" t="s">
        <v>159</v>
      </c>
      <c r="D1586" s="42">
        <v>4</v>
      </c>
      <c r="E1586" s="41">
        <v>1.2333117503777018E-4</v>
      </c>
    </row>
    <row r="1587" spans="2:5" ht="15" customHeight="1">
      <c r="B1587" s="84"/>
      <c r="C1587" s="43" t="s">
        <v>135</v>
      </c>
      <c r="D1587" s="42">
        <v>6</v>
      </c>
      <c r="E1587" s="41">
        <v>1.8499676255665526E-4</v>
      </c>
    </row>
    <row r="1588" spans="2:5" ht="15" customHeight="1">
      <c r="B1588" s="84"/>
      <c r="C1588" s="43" t="s">
        <v>168</v>
      </c>
      <c r="D1588" s="42">
        <v>4</v>
      </c>
      <c r="E1588" s="41">
        <v>1.2333117503777018E-4</v>
      </c>
    </row>
    <row r="1589" spans="2:5" ht="15" customHeight="1">
      <c r="B1589" s="84"/>
      <c r="C1589" s="43" t="s">
        <v>158</v>
      </c>
      <c r="D1589" s="42">
        <v>7</v>
      </c>
      <c r="E1589" s="41">
        <v>2.158295563160978E-4</v>
      </c>
    </row>
    <row r="1590" spans="2:5" ht="15" customHeight="1">
      <c r="B1590" s="84"/>
      <c r="C1590" s="43" t="s">
        <v>180</v>
      </c>
      <c r="D1590" s="42">
        <v>33</v>
      </c>
      <c r="E1590" s="41">
        <v>1.0174821940616039E-3</v>
      </c>
    </row>
    <row r="1591" spans="2:5" ht="15" customHeight="1">
      <c r="B1591" s="84"/>
      <c r="C1591" s="43" t="s">
        <v>177</v>
      </c>
      <c r="D1591" s="42">
        <v>2</v>
      </c>
      <c r="E1591" s="41">
        <v>6.1665587518885091E-5</v>
      </c>
    </row>
    <row r="1592" spans="2:5" ht="15" customHeight="1">
      <c r="B1592" s="84"/>
      <c r="C1592" s="43" t="s">
        <v>165</v>
      </c>
      <c r="D1592" s="42">
        <v>7</v>
      </c>
      <c r="E1592" s="41">
        <v>2.158295563160978E-4</v>
      </c>
    </row>
    <row r="1593" spans="2:5" ht="15" customHeight="1">
      <c r="B1593" s="84"/>
      <c r="C1593" s="43" t="s">
        <v>171</v>
      </c>
      <c r="D1593" s="42">
        <v>10</v>
      </c>
      <c r="E1593" s="41">
        <v>3.0832793759442544E-4</v>
      </c>
    </row>
    <row r="1594" spans="2:5" ht="15" customHeight="1">
      <c r="B1594" s="84"/>
      <c r="C1594" s="43" t="s">
        <v>181</v>
      </c>
      <c r="D1594" s="42">
        <v>26</v>
      </c>
      <c r="E1594" s="41">
        <v>8.0165263774550617E-4</v>
      </c>
    </row>
    <row r="1595" spans="2:5" ht="15" customHeight="1">
      <c r="B1595" s="84"/>
      <c r="C1595" s="43" t="s">
        <v>167</v>
      </c>
      <c r="D1595" s="42">
        <v>2</v>
      </c>
      <c r="E1595" s="41">
        <v>6.1665587518885091E-5</v>
      </c>
    </row>
    <row r="1596" spans="2:5" ht="15" customHeight="1">
      <c r="B1596" s="84"/>
      <c r="C1596" s="43" t="s">
        <v>182</v>
      </c>
      <c r="D1596" s="42">
        <v>29</v>
      </c>
      <c r="E1596" s="41">
        <v>8.9415101902383376E-4</v>
      </c>
    </row>
    <row r="1597" spans="2:5" ht="15" customHeight="1">
      <c r="B1597" s="84"/>
      <c r="C1597" s="43" t="s">
        <v>151</v>
      </c>
      <c r="D1597" s="42">
        <v>1</v>
      </c>
      <c r="E1597" s="41">
        <v>3.0832793759442546E-5</v>
      </c>
    </row>
    <row r="1598" spans="2:5" ht="15" customHeight="1">
      <c r="B1598" s="84"/>
      <c r="C1598" s="43" t="s">
        <v>150</v>
      </c>
      <c r="D1598" s="42">
        <v>5</v>
      </c>
      <c r="E1598" s="41">
        <v>1.5416396879721272E-4</v>
      </c>
    </row>
    <row r="1599" spans="2:5" ht="15" customHeight="1">
      <c r="B1599" s="84"/>
      <c r="C1599" s="43" t="s">
        <v>175</v>
      </c>
      <c r="D1599" s="42">
        <v>5</v>
      </c>
      <c r="E1599" s="41">
        <v>1.5416396879721272E-4</v>
      </c>
    </row>
    <row r="1600" spans="2:5" ht="15" customHeight="1">
      <c r="B1600" s="84"/>
      <c r="C1600" s="43" t="s">
        <v>157</v>
      </c>
      <c r="D1600" s="42">
        <v>3</v>
      </c>
      <c r="E1600" s="41">
        <v>9.249838127832763E-5</v>
      </c>
    </row>
    <row r="1601" spans="2:5" ht="15" customHeight="1">
      <c r="B1601" s="84"/>
      <c r="C1601" s="43" t="s">
        <v>169</v>
      </c>
      <c r="D1601" s="42">
        <v>13</v>
      </c>
      <c r="E1601" s="41">
        <v>4.0082631887275309E-4</v>
      </c>
    </row>
    <row r="1602" spans="2:5" ht="15" customHeight="1">
      <c r="B1602" s="84"/>
      <c r="C1602" s="43" t="s">
        <v>160</v>
      </c>
      <c r="D1602" s="42">
        <v>12</v>
      </c>
      <c r="E1602" s="41">
        <v>3.6999352511331052E-4</v>
      </c>
    </row>
    <row r="1603" spans="2:5" ht="15" customHeight="1">
      <c r="B1603" s="84"/>
      <c r="C1603" s="43" t="s">
        <v>131</v>
      </c>
      <c r="D1603" s="42">
        <v>2</v>
      </c>
      <c r="E1603" s="41">
        <v>6.1665587518885091E-5</v>
      </c>
    </row>
    <row r="1604" spans="2:5" ht="15" customHeight="1">
      <c r="B1604" s="84"/>
      <c r="C1604" s="43" t="s">
        <v>133</v>
      </c>
      <c r="D1604" s="42">
        <v>1</v>
      </c>
      <c r="E1604" s="41">
        <v>3.0832793759442546E-5</v>
      </c>
    </row>
    <row r="1605" spans="2:5" ht="15" customHeight="1">
      <c r="B1605" s="84"/>
      <c r="C1605" s="43" t="s">
        <v>139</v>
      </c>
      <c r="D1605" s="42">
        <v>3</v>
      </c>
      <c r="E1605" s="41">
        <v>9.249838127832763E-5</v>
      </c>
    </row>
    <row r="1606" spans="2:5" ht="15" customHeight="1">
      <c r="B1606" s="84"/>
      <c r="C1606" s="43" t="s">
        <v>153</v>
      </c>
      <c r="D1606" s="42">
        <v>5</v>
      </c>
      <c r="E1606" s="41">
        <v>1.5416396879721272E-4</v>
      </c>
    </row>
    <row r="1607" spans="2:5" ht="15" customHeight="1">
      <c r="B1607" s="84"/>
      <c r="C1607" s="43" t="s">
        <v>141</v>
      </c>
      <c r="D1607" s="42">
        <v>1</v>
      </c>
      <c r="E1607" s="41">
        <v>3.0832793759442546E-5</v>
      </c>
    </row>
    <row r="1608" spans="2:5" ht="15" customHeight="1">
      <c r="B1608" s="84"/>
      <c r="C1608" s="43" t="s">
        <v>146</v>
      </c>
      <c r="D1608" s="42">
        <v>4</v>
      </c>
      <c r="E1608" s="41">
        <v>1.2333117503777018E-4</v>
      </c>
    </row>
    <row r="1609" spans="2:5" ht="15" customHeight="1">
      <c r="B1609" s="84"/>
      <c r="C1609" s="43" t="s">
        <v>144</v>
      </c>
      <c r="D1609" s="42">
        <v>2</v>
      </c>
      <c r="E1609" s="41">
        <v>6.1665587518885091E-5</v>
      </c>
    </row>
    <row r="1610" spans="2:5" ht="15" customHeight="1">
      <c r="B1610" s="84"/>
      <c r="C1610" s="43" t="s">
        <v>155</v>
      </c>
      <c r="D1610" s="42">
        <v>7</v>
      </c>
      <c r="E1610" s="41">
        <v>2.158295563160978E-4</v>
      </c>
    </row>
    <row r="1611" spans="2:5" ht="15" customHeight="1">
      <c r="B1611" s="84"/>
      <c r="C1611" s="43" t="s">
        <v>138</v>
      </c>
      <c r="D1611" s="42">
        <v>1</v>
      </c>
      <c r="E1611" s="41">
        <v>3.0832793759442546E-5</v>
      </c>
    </row>
    <row r="1612" spans="2:5" ht="15" customHeight="1">
      <c r="B1612" s="84"/>
      <c r="C1612" s="43" t="s">
        <v>173</v>
      </c>
      <c r="D1612" s="42">
        <v>5</v>
      </c>
      <c r="E1612" s="41">
        <v>1.5416396879721272E-4</v>
      </c>
    </row>
    <row r="1613" spans="2:5" ht="15" customHeight="1">
      <c r="B1613" s="84"/>
      <c r="C1613" s="43" t="s">
        <v>166</v>
      </c>
      <c r="D1613" s="42">
        <v>6</v>
      </c>
      <c r="E1613" s="41">
        <v>1.8499676255665526E-4</v>
      </c>
    </row>
    <row r="1614" spans="2:5" ht="15" customHeight="1">
      <c r="B1614" s="85"/>
      <c r="C1614" s="40" t="s">
        <v>23</v>
      </c>
      <c r="D1614" s="39">
        <v>282</v>
      </c>
      <c r="E1614" s="38">
        <v>8.6948478401627973E-3</v>
      </c>
    </row>
    <row r="1615" spans="2:5" ht="15" customHeight="1">
      <c r="B1615" s="83" t="s">
        <v>80</v>
      </c>
      <c r="C1615" s="43" t="s">
        <v>164</v>
      </c>
      <c r="D1615" s="42">
        <v>1</v>
      </c>
      <c r="E1615" s="41">
        <v>3.0832793759442546E-5</v>
      </c>
    </row>
    <row r="1616" spans="2:5" ht="15" customHeight="1">
      <c r="B1616" s="84"/>
      <c r="C1616" s="43" t="s">
        <v>176</v>
      </c>
      <c r="D1616" s="42">
        <v>1</v>
      </c>
      <c r="E1616" s="41">
        <v>3.0832793759442546E-5</v>
      </c>
    </row>
    <row r="1617" spans="2:5" ht="15" customHeight="1">
      <c r="B1617" s="84"/>
      <c r="C1617" s="43" t="s">
        <v>182</v>
      </c>
      <c r="D1617" s="42">
        <v>1</v>
      </c>
      <c r="E1617" s="41">
        <v>3.0832793759442546E-5</v>
      </c>
    </row>
    <row r="1618" spans="2:5" ht="15" customHeight="1">
      <c r="B1618" s="84"/>
      <c r="C1618" s="43" t="s">
        <v>130</v>
      </c>
      <c r="D1618" s="42">
        <v>1</v>
      </c>
      <c r="E1618" s="41">
        <v>3.0832793759442546E-5</v>
      </c>
    </row>
    <row r="1619" spans="2:5" ht="15" customHeight="1">
      <c r="B1619" s="85"/>
      <c r="C1619" s="40" t="s">
        <v>23</v>
      </c>
      <c r="D1619" s="39">
        <v>4</v>
      </c>
      <c r="E1619" s="38">
        <v>1.2333117503777018E-4</v>
      </c>
    </row>
    <row r="1620" spans="2:5" ht="15" customHeight="1">
      <c r="B1620" s="95" t="s">
        <v>23</v>
      </c>
      <c r="C1620" s="96"/>
      <c r="D1620" s="97">
        <v>32433</v>
      </c>
      <c r="E1620" s="98">
        <v>1</v>
      </c>
    </row>
    <row r="1622" spans="2:5" ht="15" customHeight="1">
      <c r="B1622" s="19" t="s">
        <v>22</v>
      </c>
    </row>
    <row r="1623" spans="2:5" ht="15" customHeight="1">
      <c r="B1623" s="21" t="s">
        <v>21</v>
      </c>
    </row>
    <row r="1624" spans="2:5" ht="15" customHeight="1">
      <c r="B1624" s="20" t="s">
        <v>20</v>
      </c>
    </row>
    <row r="1625" spans="2:5" ht="15" customHeight="1">
      <c r="B1625" s="19" t="s">
        <v>19</v>
      </c>
    </row>
    <row r="1626" spans="2:5" ht="15" customHeight="1">
      <c r="B1626" s="19" t="s">
        <v>18</v>
      </c>
    </row>
  </sheetData>
  <mergeCells count="50">
    <mergeCell ref="B162:B170"/>
    <mergeCell ref="B171:B217"/>
    <mergeCell ref="B218:B219"/>
    <mergeCell ref="B220:B276"/>
    <mergeCell ref="B277:B335"/>
    <mergeCell ref="B7:E8"/>
    <mergeCell ref="B10:B29"/>
    <mergeCell ref="B30:B87"/>
    <mergeCell ref="B88:B143"/>
    <mergeCell ref="B144:B161"/>
    <mergeCell ref="B440:B463"/>
    <mergeCell ref="B464:B493"/>
    <mergeCell ref="B494:B551"/>
    <mergeCell ref="B552:B597"/>
    <mergeCell ref="B598:B635"/>
    <mergeCell ref="B336:B346"/>
    <mergeCell ref="B347:B383"/>
    <mergeCell ref="B384:B418"/>
    <mergeCell ref="B419:B424"/>
    <mergeCell ref="B425:B439"/>
    <mergeCell ref="B860:B903"/>
    <mergeCell ref="B904:B930"/>
    <mergeCell ref="B931:B983"/>
    <mergeCell ref="B984:B1023"/>
    <mergeCell ref="B1024:B1055"/>
    <mergeCell ref="B636:B672"/>
    <mergeCell ref="B673:B702"/>
    <mergeCell ref="B703:B758"/>
    <mergeCell ref="B759:B803"/>
    <mergeCell ref="B804:B859"/>
    <mergeCell ref="B1194:B1246"/>
    <mergeCell ref="B1247:B1270"/>
    <mergeCell ref="B1271:B1304"/>
    <mergeCell ref="B1305:B1332"/>
    <mergeCell ref="B1333:B1387"/>
    <mergeCell ref="B1056:B1107"/>
    <mergeCell ref="B1108:B1130"/>
    <mergeCell ref="B1131:B1155"/>
    <mergeCell ref="B1156:B1173"/>
    <mergeCell ref="B1174:B1193"/>
    <mergeCell ref="B1388:B1421"/>
    <mergeCell ref="B1422:B1453"/>
    <mergeCell ref="B1615:B1619"/>
    <mergeCell ref="B1620:C1620"/>
    <mergeCell ref="B1454:B1480"/>
    <mergeCell ref="B1481:B1512"/>
    <mergeCell ref="B1513:B1548"/>
    <mergeCell ref="B1549:B1568"/>
    <mergeCell ref="B1569:B1575"/>
    <mergeCell ref="B1576:B16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35" manualBreakCount="35">
    <brk id="29" max="4" man="1"/>
    <brk id="87" max="4" man="1"/>
    <brk id="170" max="4" man="1"/>
    <brk id="219" max="4" man="1"/>
    <brk id="276" max="4" man="1"/>
    <brk id="346" max="4" man="1"/>
    <brk id="383" max="4" man="1"/>
    <brk id="424" max="4" man="1"/>
    <brk id="463" max="4" man="1"/>
    <brk id="493" max="4" man="1"/>
    <brk id="551" max="4" man="1"/>
    <brk id="635" max="4" man="1"/>
    <brk id="672" max="4" man="1"/>
    <brk id="702" max="4" man="1"/>
    <brk id="758" max="4" man="1"/>
    <brk id="803" max="4" man="1"/>
    <brk id="859" max="4" man="1"/>
    <brk id="903" max="4" man="1"/>
    <brk id="930" max="4" man="1"/>
    <brk id="983" max="4" man="1"/>
    <brk id="1023" max="4" man="1"/>
    <brk id="1055" max="4" man="1"/>
    <brk id="1130" max="4" man="1"/>
    <brk id="1173" max="4" man="1"/>
    <brk id="1193" max="4" man="1"/>
    <brk id="1270" max="4" man="1"/>
    <brk id="1304" max="4" man="1"/>
    <brk id="1332" max="4" man="1"/>
    <brk id="1387" max="4" man="1"/>
    <brk id="1421" max="4" man="1"/>
    <brk id="1453" max="4" man="1"/>
    <brk id="1480" max="4" man="1"/>
    <brk id="1512" max="4" man="1"/>
    <brk id="1548" max="4" man="1"/>
    <brk id="157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4"/>
  <sheetViews>
    <sheetView showGridLines="0" topLeftCell="A22" zoomScaleNormal="100" zoomScaleSheetLayoutView="115" workbookViewId="0">
      <selection activeCell="E11" sqref="E1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215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214</v>
      </c>
      <c r="C11" s="31" t="s">
        <v>213</v>
      </c>
      <c r="D11" s="30" t="s">
        <v>70</v>
      </c>
    </row>
    <row r="12" spans="1:4" ht="15" customHeight="1">
      <c r="B12" s="27" t="s">
        <v>212</v>
      </c>
      <c r="C12" s="26">
        <v>461</v>
      </c>
      <c r="D12" s="25">
        <f t="shared" ref="D12:D36" si="0">C12/$C$36</f>
        <v>1.4213917923103012E-2</v>
      </c>
    </row>
    <row r="13" spans="1:4">
      <c r="B13" s="27" t="s">
        <v>211</v>
      </c>
      <c r="C13" s="26">
        <v>218</v>
      </c>
      <c r="D13" s="25">
        <f t="shared" si="0"/>
        <v>6.7215490395584748E-3</v>
      </c>
    </row>
    <row r="14" spans="1:4" s="28" customFormat="1">
      <c r="A14" s="17"/>
      <c r="B14" s="27" t="s">
        <v>210</v>
      </c>
      <c r="C14" s="26">
        <v>365</v>
      </c>
      <c r="D14" s="25">
        <f t="shared" si="0"/>
        <v>1.1253969722196529E-2</v>
      </c>
    </row>
    <row r="15" spans="1:4" s="28" customFormat="1">
      <c r="A15" s="17"/>
      <c r="B15" s="27" t="s">
        <v>209</v>
      </c>
      <c r="C15" s="26">
        <v>692</v>
      </c>
      <c r="D15" s="25">
        <f t="shared" si="0"/>
        <v>2.133629328153424E-2</v>
      </c>
    </row>
    <row r="16" spans="1:4">
      <c r="B16" s="27" t="s">
        <v>208</v>
      </c>
      <c r="C16" s="26">
        <v>500</v>
      </c>
      <c r="D16" s="25">
        <f t="shared" si="0"/>
        <v>1.5416396879721272E-2</v>
      </c>
    </row>
    <row r="17" spans="2:4">
      <c r="B17" s="27" t="s">
        <v>207</v>
      </c>
      <c r="C17" s="26">
        <v>628</v>
      </c>
      <c r="D17" s="25">
        <f t="shared" si="0"/>
        <v>1.9362994480929915E-2</v>
      </c>
    </row>
    <row r="18" spans="2:4">
      <c r="B18" s="27" t="s">
        <v>206</v>
      </c>
      <c r="C18" s="26">
        <v>2779</v>
      </c>
      <c r="D18" s="25">
        <f t="shared" si="0"/>
        <v>8.568433385749083E-2</v>
      </c>
    </row>
    <row r="19" spans="2:4" ht="27">
      <c r="B19" s="27" t="s">
        <v>205</v>
      </c>
      <c r="C19" s="26">
        <v>4714</v>
      </c>
      <c r="D19" s="25">
        <f t="shared" si="0"/>
        <v>0.14534578978201215</v>
      </c>
    </row>
    <row r="20" spans="2:4">
      <c r="B20" s="27" t="s">
        <v>204</v>
      </c>
      <c r="C20" s="26">
        <v>340</v>
      </c>
      <c r="D20" s="25">
        <f t="shared" si="0"/>
        <v>1.0483149878210465E-2</v>
      </c>
    </row>
    <row r="21" spans="2:4">
      <c r="B21" s="27" t="s">
        <v>203</v>
      </c>
      <c r="C21" s="26">
        <v>735</v>
      </c>
      <c r="D21" s="25">
        <f t="shared" si="0"/>
        <v>2.266210341319027E-2</v>
      </c>
    </row>
    <row r="22" spans="2:4">
      <c r="B22" s="27" t="s">
        <v>202</v>
      </c>
      <c r="C22" s="26">
        <v>1166</v>
      </c>
      <c r="D22" s="25">
        <f t="shared" si="0"/>
        <v>3.5951037523510004E-2</v>
      </c>
    </row>
    <row r="23" spans="2:4" ht="27">
      <c r="B23" s="27" t="s">
        <v>201</v>
      </c>
      <c r="C23" s="26">
        <v>11670</v>
      </c>
      <c r="D23" s="25">
        <f t="shared" si="0"/>
        <v>0.35981870317269449</v>
      </c>
    </row>
    <row r="24" spans="2:4">
      <c r="B24" s="27" t="s">
        <v>200</v>
      </c>
      <c r="C24" s="26">
        <v>479</v>
      </c>
      <c r="D24" s="25">
        <f t="shared" si="0"/>
        <v>1.4768908210772978E-2</v>
      </c>
    </row>
    <row r="25" spans="2:4" ht="27">
      <c r="B25" s="27" t="s">
        <v>199</v>
      </c>
      <c r="C25" s="26">
        <v>1313</v>
      </c>
      <c r="D25" s="25">
        <f t="shared" si="0"/>
        <v>4.0483458206148057E-2</v>
      </c>
    </row>
    <row r="26" spans="2:4" ht="27">
      <c r="B26" s="27" t="s">
        <v>198</v>
      </c>
      <c r="C26" s="26">
        <v>5231</v>
      </c>
      <c r="D26" s="25">
        <f t="shared" si="0"/>
        <v>0.16128634415564394</v>
      </c>
    </row>
    <row r="27" spans="2:4">
      <c r="B27" s="27" t="s">
        <v>197</v>
      </c>
      <c r="C27" s="26">
        <v>48</v>
      </c>
      <c r="D27" s="25">
        <f t="shared" si="0"/>
        <v>1.4799741004532421E-3</v>
      </c>
    </row>
    <row r="28" spans="2:4">
      <c r="B28" s="27" t="s">
        <v>196</v>
      </c>
      <c r="C28" s="26">
        <v>57</v>
      </c>
      <c r="D28" s="25">
        <f t="shared" si="0"/>
        <v>1.7574692442882249E-3</v>
      </c>
    </row>
    <row r="29" spans="2:4">
      <c r="B29" s="27" t="s">
        <v>195</v>
      </c>
      <c r="C29" s="26">
        <v>51</v>
      </c>
      <c r="D29" s="25">
        <f t="shared" si="0"/>
        <v>1.5724724817315697E-3</v>
      </c>
    </row>
    <row r="30" spans="2:4">
      <c r="B30" s="27" t="s">
        <v>194</v>
      </c>
      <c r="C30" s="26">
        <v>18</v>
      </c>
      <c r="D30" s="25">
        <f t="shared" si="0"/>
        <v>5.5499028766996575E-4</v>
      </c>
    </row>
    <row r="31" spans="2:4">
      <c r="B31" s="27" t="s">
        <v>193</v>
      </c>
      <c r="C31" s="26">
        <v>310</v>
      </c>
      <c r="D31" s="25">
        <f t="shared" si="0"/>
        <v>9.5581660654271879E-3</v>
      </c>
    </row>
    <row r="32" spans="2:4">
      <c r="B32" s="27" t="s">
        <v>192</v>
      </c>
      <c r="C32" s="26">
        <v>613</v>
      </c>
      <c r="D32" s="25">
        <f t="shared" si="0"/>
        <v>1.8900502574538278E-2</v>
      </c>
    </row>
    <row r="33" spans="1:4">
      <c r="B33" s="27" t="s">
        <v>191</v>
      </c>
      <c r="C33" s="26">
        <v>21</v>
      </c>
      <c r="D33" s="25">
        <f t="shared" si="0"/>
        <v>6.4748866894829345E-4</v>
      </c>
    </row>
    <row r="34" spans="1:4">
      <c r="B34" s="27" t="s">
        <v>190</v>
      </c>
      <c r="C34" s="26">
        <v>13</v>
      </c>
      <c r="D34" s="25">
        <f t="shared" si="0"/>
        <v>4.0082631887275309E-4</v>
      </c>
    </row>
    <row r="35" spans="1:4">
      <c r="B35" s="27" t="s">
        <v>189</v>
      </c>
      <c r="C35" s="26">
        <v>11</v>
      </c>
      <c r="D35" s="25">
        <f t="shared" si="0"/>
        <v>3.3916073135386795E-4</v>
      </c>
    </row>
    <row r="36" spans="1:4">
      <c r="B36" s="24" t="s">
        <v>23</v>
      </c>
      <c r="C36" s="23">
        <v>32433</v>
      </c>
      <c r="D36" s="22">
        <f t="shared" si="0"/>
        <v>1</v>
      </c>
    </row>
    <row r="38" spans="1:4">
      <c r="A38" s="56" t="s">
        <v>188</v>
      </c>
    </row>
    <row r="39" spans="1:4">
      <c r="A39" s="56" t="s">
        <v>21</v>
      </c>
    </row>
    <row r="40" spans="1:4">
      <c r="A40" s="56" t="s">
        <v>20</v>
      </c>
    </row>
    <row r="41" spans="1:4">
      <c r="A41" s="56" t="s">
        <v>19</v>
      </c>
    </row>
    <row r="42" spans="1:4">
      <c r="A42" s="56" t="s">
        <v>187</v>
      </c>
    </row>
    <row r="43" spans="1:4">
      <c r="A43" s="56"/>
    </row>
    <row r="44" spans="1:4">
      <c r="A44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81"/>
  <sheetViews>
    <sheetView topLeftCell="A643" zoomScale="96" zoomScaleNormal="96" zoomScaleSheetLayoutView="85" workbookViewId="0">
      <selection activeCell="B675" sqref="B675:E675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216</v>
      </c>
      <c r="C9" s="47" t="s">
        <v>186</v>
      </c>
      <c r="D9" s="46" t="s">
        <v>71</v>
      </c>
      <c r="E9" s="45" t="s">
        <v>70</v>
      </c>
    </row>
    <row r="10" spans="1:5" ht="15" customHeight="1">
      <c r="B10" s="83" t="s">
        <v>212</v>
      </c>
      <c r="C10" s="43" t="s">
        <v>58</v>
      </c>
      <c r="D10" s="42">
        <v>7</v>
      </c>
      <c r="E10" s="41">
        <v>2.158295563160978E-4</v>
      </c>
    </row>
    <row r="11" spans="1:5" ht="15" customHeight="1">
      <c r="B11" s="84"/>
      <c r="C11" s="43" t="s">
        <v>44</v>
      </c>
      <c r="D11" s="42">
        <v>4</v>
      </c>
      <c r="E11" s="41">
        <v>1.2333117503777018E-4</v>
      </c>
    </row>
    <row r="12" spans="1:5" ht="15" customHeight="1">
      <c r="B12" s="84"/>
      <c r="C12" s="43" t="s">
        <v>61</v>
      </c>
      <c r="D12" s="42">
        <v>4</v>
      </c>
      <c r="E12" s="41">
        <v>1.2333117503777018E-4</v>
      </c>
    </row>
    <row r="13" spans="1:5" ht="15" customHeight="1">
      <c r="B13" s="84"/>
      <c r="C13" s="43" t="s">
        <v>67</v>
      </c>
      <c r="D13" s="42">
        <v>28</v>
      </c>
      <c r="E13" s="41">
        <v>8.633182252643912E-4</v>
      </c>
    </row>
    <row r="14" spans="1:5" s="44" customFormat="1" ht="15" customHeight="1">
      <c r="A14" s="36"/>
      <c r="B14" s="84"/>
      <c r="C14" s="43" t="s">
        <v>56</v>
      </c>
      <c r="D14" s="42">
        <v>1</v>
      </c>
      <c r="E14" s="41">
        <v>3.0832793759442546E-5</v>
      </c>
    </row>
    <row r="15" spans="1:5" s="44" customFormat="1" ht="15" customHeight="1">
      <c r="A15" s="36"/>
      <c r="B15" s="84"/>
      <c r="C15" s="43" t="s">
        <v>65</v>
      </c>
      <c r="D15" s="42">
        <v>18</v>
      </c>
      <c r="E15" s="41">
        <v>5.5499028766996575E-4</v>
      </c>
    </row>
    <row r="16" spans="1:5" ht="15" customHeight="1">
      <c r="B16" s="84"/>
      <c r="C16" s="43" t="s">
        <v>68</v>
      </c>
      <c r="D16" s="42">
        <v>27</v>
      </c>
      <c r="E16" s="41">
        <v>8.3248543150494863E-4</v>
      </c>
    </row>
    <row r="17" spans="2:5" ht="15" customHeight="1">
      <c r="B17" s="84"/>
      <c r="C17" s="43" t="s">
        <v>33</v>
      </c>
      <c r="D17" s="42">
        <v>1</v>
      </c>
      <c r="E17" s="41">
        <v>3.0832793759442546E-5</v>
      </c>
    </row>
    <row r="18" spans="2:5" ht="15" customHeight="1">
      <c r="B18" s="84"/>
      <c r="C18" s="43" t="s">
        <v>66</v>
      </c>
      <c r="D18" s="42">
        <v>10</v>
      </c>
      <c r="E18" s="41">
        <v>3.0832793759442544E-4</v>
      </c>
    </row>
    <row r="19" spans="2:5" ht="15" customHeight="1">
      <c r="B19" s="84"/>
      <c r="C19" s="43" t="s">
        <v>59</v>
      </c>
      <c r="D19" s="42">
        <v>8</v>
      </c>
      <c r="E19" s="41">
        <v>2.4666235007554037E-4</v>
      </c>
    </row>
    <row r="20" spans="2:5" ht="15" customHeight="1">
      <c r="B20" s="84"/>
      <c r="C20" s="43" t="s">
        <v>43</v>
      </c>
      <c r="D20" s="42">
        <v>1</v>
      </c>
      <c r="E20" s="41">
        <v>3.0832793759442546E-5</v>
      </c>
    </row>
    <row r="21" spans="2:5" ht="15" customHeight="1">
      <c r="B21" s="84"/>
      <c r="C21" s="43" t="s">
        <v>60</v>
      </c>
      <c r="D21" s="42">
        <v>4</v>
      </c>
      <c r="E21" s="41">
        <v>1.2333117503777018E-4</v>
      </c>
    </row>
    <row r="22" spans="2:5" ht="15" customHeight="1">
      <c r="B22" s="84"/>
      <c r="C22" s="43" t="s">
        <v>53</v>
      </c>
      <c r="D22" s="42">
        <v>3</v>
      </c>
      <c r="E22" s="41">
        <v>9.249838127832763E-5</v>
      </c>
    </row>
    <row r="23" spans="2:5" ht="15" customHeight="1">
      <c r="B23" s="84"/>
      <c r="C23" s="43" t="s">
        <v>51</v>
      </c>
      <c r="D23" s="42">
        <v>2</v>
      </c>
      <c r="E23" s="41">
        <v>6.1665587518885091E-5</v>
      </c>
    </row>
    <row r="24" spans="2:5" ht="15" customHeight="1">
      <c r="B24" s="84"/>
      <c r="C24" s="43" t="s">
        <v>46</v>
      </c>
      <c r="D24" s="42">
        <v>1</v>
      </c>
      <c r="E24" s="41">
        <v>3.0832793759442546E-5</v>
      </c>
    </row>
    <row r="25" spans="2:5" ht="15" customHeight="1">
      <c r="B25" s="84"/>
      <c r="C25" s="43" t="s">
        <v>52</v>
      </c>
      <c r="D25" s="42">
        <v>2</v>
      </c>
      <c r="E25" s="41">
        <v>6.1665587518885091E-5</v>
      </c>
    </row>
    <row r="26" spans="2:5" ht="15" customHeight="1">
      <c r="B26" s="84"/>
      <c r="C26" s="43" t="s">
        <v>47</v>
      </c>
      <c r="D26" s="42">
        <v>1</v>
      </c>
      <c r="E26" s="41">
        <v>3.0832793759442546E-5</v>
      </c>
    </row>
    <row r="27" spans="2:5" ht="15" customHeight="1">
      <c r="B27" s="84"/>
      <c r="C27" s="43" t="s">
        <v>38</v>
      </c>
      <c r="D27" s="42">
        <v>1</v>
      </c>
      <c r="E27" s="41">
        <v>3.0832793759442546E-5</v>
      </c>
    </row>
    <row r="28" spans="2:5" ht="15" customHeight="1">
      <c r="B28" s="84"/>
      <c r="C28" s="43" t="s">
        <v>64</v>
      </c>
      <c r="D28" s="42">
        <v>13</v>
      </c>
      <c r="E28" s="41">
        <v>4.0082631887275309E-4</v>
      </c>
    </row>
    <row r="29" spans="2:5" ht="15" customHeight="1">
      <c r="B29" s="84"/>
      <c r="C29" s="43" t="s">
        <v>63</v>
      </c>
      <c r="D29" s="42">
        <v>8</v>
      </c>
      <c r="E29" s="41">
        <v>2.4666235007554037E-4</v>
      </c>
    </row>
    <row r="30" spans="2:5" ht="15" customHeight="1">
      <c r="B30" s="84"/>
      <c r="C30" s="43" t="s">
        <v>37</v>
      </c>
      <c r="D30" s="42">
        <v>1</v>
      </c>
      <c r="E30" s="41">
        <v>3.0832793759442546E-5</v>
      </c>
    </row>
    <row r="31" spans="2:5" ht="15" customHeight="1">
      <c r="B31" s="84"/>
      <c r="C31" s="43" t="s">
        <v>34</v>
      </c>
      <c r="D31" s="42">
        <v>1</v>
      </c>
      <c r="E31" s="41">
        <v>3.0832793759442546E-5</v>
      </c>
    </row>
    <row r="32" spans="2:5" ht="15" customHeight="1">
      <c r="B32" s="84"/>
      <c r="C32" s="43" t="s">
        <v>62</v>
      </c>
      <c r="D32" s="42">
        <v>11</v>
      </c>
      <c r="E32" s="41">
        <v>3.3916073135386795E-4</v>
      </c>
    </row>
    <row r="33" spans="2:5" ht="15" customHeight="1">
      <c r="B33" s="84"/>
      <c r="C33" s="43" t="s">
        <v>69</v>
      </c>
      <c r="D33" s="42">
        <v>294</v>
      </c>
      <c r="E33" s="41">
        <v>9.0648413652761068E-3</v>
      </c>
    </row>
    <row r="34" spans="2:5" ht="15" customHeight="1">
      <c r="B34" s="84"/>
      <c r="C34" s="43" t="s">
        <v>50</v>
      </c>
      <c r="D34" s="42">
        <v>2</v>
      </c>
      <c r="E34" s="41">
        <v>6.1665587518885091E-5</v>
      </c>
    </row>
    <row r="35" spans="2:5" ht="15" customHeight="1">
      <c r="B35" s="84"/>
      <c r="C35" s="43" t="s">
        <v>55</v>
      </c>
      <c r="D35" s="42">
        <v>2</v>
      </c>
      <c r="E35" s="41">
        <v>6.1665587518885091E-5</v>
      </c>
    </row>
    <row r="36" spans="2:5" ht="15" customHeight="1">
      <c r="B36" s="84"/>
      <c r="C36" s="43" t="s">
        <v>39</v>
      </c>
      <c r="D36" s="42">
        <v>3</v>
      </c>
      <c r="E36" s="41">
        <v>9.249838127832763E-5</v>
      </c>
    </row>
    <row r="37" spans="2:5" ht="15" customHeight="1">
      <c r="B37" s="84"/>
      <c r="C37" s="43" t="s">
        <v>42</v>
      </c>
      <c r="D37" s="42">
        <v>3</v>
      </c>
      <c r="E37" s="41">
        <v>9.249838127832763E-5</v>
      </c>
    </row>
    <row r="38" spans="2:5" ht="15" customHeight="1">
      <c r="B38" s="85"/>
      <c r="C38" s="40" t="s">
        <v>23</v>
      </c>
      <c r="D38" s="39">
        <v>461</v>
      </c>
      <c r="E38" s="38">
        <v>1.4213917923103012E-2</v>
      </c>
    </row>
    <row r="39" spans="2:5" ht="15" customHeight="1">
      <c r="B39" s="83" t="s">
        <v>211</v>
      </c>
      <c r="C39" s="43" t="s">
        <v>58</v>
      </c>
      <c r="D39" s="42">
        <v>1</v>
      </c>
      <c r="E39" s="41">
        <v>3.0832793759442546E-5</v>
      </c>
    </row>
    <row r="40" spans="2:5" ht="15" customHeight="1">
      <c r="B40" s="84"/>
      <c r="C40" s="43" t="s">
        <v>44</v>
      </c>
      <c r="D40" s="42">
        <v>1</v>
      </c>
      <c r="E40" s="41">
        <v>3.0832793759442546E-5</v>
      </c>
    </row>
    <row r="41" spans="2:5" ht="15" customHeight="1">
      <c r="B41" s="84"/>
      <c r="C41" s="43" t="s">
        <v>61</v>
      </c>
      <c r="D41" s="42">
        <v>5</v>
      </c>
      <c r="E41" s="41">
        <v>1.5416396879721272E-4</v>
      </c>
    </row>
    <row r="42" spans="2:5" ht="15" customHeight="1">
      <c r="B42" s="84"/>
      <c r="C42" s="43" t="s">
        <v>67</v>
      </c>
      <c r="D42" s="42">
        <v>17</v>
      </c>
      <c r="E42" s="41">
        <v>5.2415749391052319E-4</v>
      </c>
    </row>
    <row r="43" spans="2:5" ht="15" customHeight="1">
      <c r="B43" s="84"/>
      <c r="C43" s="43" t="s">
        <v>56</v>
      </c>
      <c r="D43" s="42">
        <v>1</v>
      </c>
      <c r="E43" s="41">
        <v>3.0832793759442546E-5</v>
      </c>
    </row>
    <row r="44" spans="2:5" ht="15" customHeight="1">
      <c r="B44" s="84"/>
      <c r="C44" s="43" t="s">
        <v>36</v>
      </c>
      <c r="D44" s="42">
        <v>1</v>
      </c>
      <c r="E44" s="41">
        <v>3.0832793759442546E-5</v>
      </c>
    </row>
    <row r="45" spans="2:5" ht="15" customHeight="1">
      <c r="B45" s="84"/>
      <c r="C45" s="43" t="s">
        <v>65</v>
      </c>
      <c r="D45" s="42">
        <v>10</v>
      </c>
      <c r="E45" s="41">
        <v>3.0832793759442544E-4</v>
      </c>
    </row>
    <row r="46" spans="2:5" ht="15" customHeight="1">
      <c r="B46" s="84"/>
      <c r="C46" s="43" t="s">
        <v>68</v>
      </c>
      <c r="D46" s="42">
        <v>4</v>
      </c>
      <c r="E46" s="41">
        <v>1.2333117503777018E-4</v>
      </c>
    </row>
    <row r="47" spans="2:5" ht="15" customHeight="1">
      <c r="B47" s="84"/>
      <c r="C47" s="43" t="s">
        <v>66</v>
      </c>
      <c r="D47" s="42">
        <v>2</v>
      </c>
      <c r="E47" s="41">
        <v>6.1665587518885091E-5</v>
      </c>
    </row>
    <row r="48" spans="2:5" ht="15" customHeight="1">
      <c r="B48" s="84"/>
      <c r="C48" s="43" t="s">
        <v>59</v>
      </c>
      <c r="D48" s="42">
        <v>1</v>
      </c>
      <c r="E48" s="41">
        <v>3.0832793759442546E-5</v>
      </c>
    </row>
    <row r="49" spans="2:5" ht="15" customHeight="1">
      <c r="B49" s="84"/>
      <c r="C49" s="43" t="s">
        <v>41</v>
      </c>
      <c r="D49" s="42">
        <v>1</v>
      </c>
      <c r="E49" s="41">
        <v>3.0832793759442546E-5</v>
      </c>
    </row>
    <row r="50" spans="2:5" ht="15" customHeight="1">
      <c r="B50" s="84"/>
      <c r="C50" s="43" t="s">
        <v>43</v>
      </c>
      <c r="D50" s="42">
        <v>2</v>
      </c>
      <c r="E50" s="41">
        <v>6.1665587518885091E-5</v>
      </c>
    </row>
    <row r="51" spans="2:5" ht="15" customHeight="1">
      <c r="B51" s="84"/>
      <c r="C51" s="43" t="s">
        <v>60</v>
      </c>
      <c r="D51" s="42">
        <v>1</v>
      </c>
      <c r="E51" s="41">
        <v>3.0832793759442546E-5</v>
      </c>
    </row>
    <row r="52" spans="2:5" ht="15" customHeight="1">
      <c r="B52" s="84"/>
      <c r="C52" s="43" t="s">
        <v>53</v>
      </c>
      <c r="D52" s="42">
        <v>1</v>
      </c>
      <c r="E52" s="41">
        <v>3.0832793759442546E-5</v>
      </c>
    </row>
    <row r="53" spans="2:5" ht="15" customHeight="1">
      <c r="B53" s="84"/>
      <c r="C53" s="43" t="s">
        <v>51</v>
      </c>
      <c r="D53" s="42">
        <v>3</v>
      </c>
      <c r="E53" s="41">
        <v>9.249838127832763E-5</v>
      </c>
    </row>
    <row r="54" spans="2:5" ht="15" customHeight="1">
      <c r="B54" s="84"/>
      <c r="C54" s="43" t="s">
        <v>48</v>
      </c>
      <c r="D54" s="42">
        <v>1</v>
      </c>
      <c r="E54" s="41">
        <v>3.0832793759442546E-5</v>
      </c>
    </row>
    <row r="55" spans="2:5" ht="15" customHeight="1">
      <c r="B55" s="84"/>
      <c r="C55" s="43" t="s">
        <v>47</v>
      </c>
      <c r="D55" s="42">
        <v>3</v>
      </c>
      <c r="E55" s="41">
        <v>9.249838127832763E-5</v>
      </c>
    </row>
    <row r="56" spans="2:5" ht="15" customHeight="1">
      <c r="B56" s="84"/>
      <c r="C56" s="43" t="s">
        <v>38</v>
      </c>
      <c r="D56" s="42">
        <v>1</v>
      </c>
      <c r="E56" s="41">
        <v>3.0832793759442546E-5</v>
      </c>
    </row>
    <row r="57" spans="2:5" ht="15" customHeight="1">
      <c r="B57" s="84"/>
      <c r="C57" s="43" t="s">
        <v>64</v>
      </c>
      <c r="D57" s="42">
        <v>10</v>
      </c>
      <c r="E57" s="41">
        <v>3.0832793759442544E-4</v>
      </c>
    </row>
    <row r="58" spans="2:5" ht="15" customHeight="1">
      <c r="B58" s="84"/>
      <c r="C58" s="43" t="s">
        <v>49</v>
      </c>
      <c r="D58" s="42">
        <v>1</v>
      </c>
      <c r="E58" s="41">
        <v>3.0832793759442546E-5</v>
      </c>
    </row>
    <row r="59" spans="2:5" ht="15" customHeight="1">
      <c r="B59" s="84"/>
      <c r="C59" s="43" t="s">
        <v>63</v>
      </c>
      <c r="D59" s="42">
        <v>5</v>
      </c>
      <c r="E59" s="41">
        <v>1.5416396879721272E-4</v>
      </c>
    </row>
    <row r="60" spans="2:5" ht="15" customHeight="1">
      <c r="B60" s="84"/>
      <c r="C60" s="43" t="s">
        <v>34</v>
      </c>
      <c r="D60" s="42">
        <v>1</v>
      </c>
      <c r="E60" s="41">
        <v>3.0832793759442546E-5</v>
      </c>
    </row>
    <row r="61" spans="2:5" ht="15" customHeight="1">
      <c r="B61" s="84"/>
      <c r="C61" s="43" t="s">
        <v>57</v>
      </c>
      <c r="D61" s="42">
        <v>1</v>
      </c>
      <c r="E61" s="41">
        <v>3.0832793759442546E-5</v>
      </c>
    </row>
    <row r="62" spans="2:5" ht="15" customHeight="1">
      <c r="B62" s="84"/>
      <c r="C62" s="43" t="s">
        <v>62</v>
      </c>
      <c r="D62" s="42">
        <v>7</v>
      </c>
      <c r="E62" s="41">
        <v>2.158295563160978E-4</v>
      </c>
    </row>
    <row r="63" spans="2:5" ht="15" customHeight="1">
      <c r="B63" s="84"/>
      <c r="C63" s="43" t="s">
        <v>69</v>
      </c>
      <c r="D63" s="42">
        <v>131</v>
      </c>
      <c r="E63" s="41">
        <v>4.0390959824869732E-3</v>
      </c>
    </row>
    <row r="64" spans="2:5" ht="15" customHeight="1">
      <c r="B64" s="84"/>
      <c r="C64" s="43" t="s">
        <v>50</v>
      </c>
      <c r="D64" s="42">
        <v>3</v>
      </c>
      <c r="E64" s="41">
        <v>9.249838127832763E-5</v>
      </c>
    </row>
    <row r="65" spans="2:5" ht="15" customHeight="1">
      <c r="B65" s="84"/>
      <c r="C65" s="43" t="s">
        <v>55</v>
      </c>
      <c r="D65" s="42">
        <v>1</v>
      </c>
      <c r="E65" s="41">
        <v>3.0832793759442546E-5</v>
      </c>
    </row>
    <row r="66" spans="2:5" ht="15" customHeight="1">
      <c r="B66" s="84"/>
      <c r="C66" s="43" t="s">
        <v>42</v>
      </c>
      <c r="D66" s="42">
        <v>1</v>
      </c>
      <c r="E66" s="41">
        <v>3.0832793759442546E-5</v>
      </c>
    </row>
    <row r="67" spans="2:5" ht="15" customHeight="1">
      <c r="B67" s="84"/>
      <c r="C67" s="43" t="s">
        <v>31</v>
      </c>
      <c r="D67" s="42">
        <v>1</v>
      </c>
      <c r="E67" s="41">
        <v>3.0832793759442546E-5</v>
      </c>
    </row>
    <row r="68" spans="2:5" ht="15" customHeight="1">
      <c r="B68" s="85"/>
      <c r="C68" s="40" t="s">
        <v>23</v>
      </c>
      <c r="D68" s="39">
        <v>218</v>
      </c>
      <c r="E68" s="38">
        <v>6.7215490395584748E-3</v>
      </c>
    </row>
    <row r="69" spans="2:5" ht="15" customHeight="1">
      <c r="B69" s="83" t="s">
        <v>210</v>
      </c>
      <c r="C69" s="43" t="s">
        <v>58</v>
      </c>
      <c r="D69" s="42">
        <v>3</v>
      </c>
      <c r="E69" s="41">
        <v>9.249838127832763E-5</v>
      </c>
    </row>
    <row r="70" spans="2:5" ht="15" customHeight="1">
      <c r="B70" s="84"/>
      <c r="C70" s="43" t="s">
        <v>44</v>
      </c>
      <c r="D70" s="42">
        <v>2</v>
      </c>
      <c r="E70" s="41">
        <v>6.1665587518885091E-5</v>
      </c>
    </row>
    <row r="71" spans="2:5" ht="15" customHeight="1">
      <c r="B71" s="84"/>
      <c r="C71" s="43" t="s">
        <v>61</v>
      </c>
      <c r="D71" s="42">
        <v>4</v>
      </c>
      <c r="E71" s="41">
        <v>1.2333117503777018E-4</v>
      </c>
    </row>
    <row r="72" spans="2:5" ht="15" customHeight="1">
      <c r="B72" s="84"/>
      <c r="C72" s="43" t="s">
        <v>67</v>
      </c>
      <c r="D72" s="42">
        <v>29</v>
      </c>
      <c r="E72" s="41">
        <v>8.9415101902383376E-4</v>
      </c>
    </row>
    <row r="73" spans="2:5" ht="15" customHeight="1">
      <c r="B73" s="84"/>
      <c r="C73" s="43" t="s">
        <v>56</v>
      </c>
      <c r="D73" s="42">
        <v>2</v>
      </c>
      <c r="E73" s="41">
        <v>6.1665587518885091E-5</v>
      </c>
    </row>
    <row r="74" spans="2:5" ht="15" customHeight="1">
      <c r="B74" s="84"/>
      <c r="C74" s="43" t="s">
        <v>65</v>
      </c>
      <c r="D74" s="42">
        <v>15</v>
      </c>
      <c r="E74" s="41">
        <v>4.6249190639163816E-4</v>
      </c>
    </row>
    <row r="75" spans="2:5" ht="15" customHeight="1">
      <c r="B75" s="84"/>
      <c r="C75" s="43" t="s">
        <v>68</v>
      </c>
      <c r="D75" s="42">
        <v>18</v>
      </c>
      <c r="E75" s="41">
        <v>5.5499028766996575E-4</v>
      </c>
    </row>
    <row r="76" spans="2:5" ht="15" customHeight="1">
      <c r="B76" s="84"/>
      <c r="C76" s="43" t="s">
        <v>66</v>
      </c>
      <c r="D76" s="42">
        <v>2</v>
      </c>
      <c r="E76" s="41">
        <v>6.1665587518885091E-5</v>
      </c>
    </row>
    <row r="77" spans="2:5" ht="15" customHeight="1">
      <c r="B77" s="84"/>
      <c r="C77" s="43" t="s">
        <v>59</v>
      </c>
      <c r="D77" s="42">
        <v>4</v>
      </c>
      <c r="E77" s="41">
        <v>1.2333117503777018E-4</v>
      </c>
    </row>
    <row r="78" spans="2:5" ht="15" customHeight="1">
      <c r="B78" s="84"/>
      <c r="C78" s="43" t="s">
        <v>54</v>
      </c>
      <c r="D78" s="42">
        <v>3</v>
      </c>
      <c r="E78" s="41">
        <v>9.249838127832763E-5</v>
      </c>
    </row>
    <row r="79" spans="2:5" ht="15" customHeight="1">
      <c r="B79" s="84"/>
      <c r="C79" s="43" t="s">
        <v>60</v>
      </c>
      <c r="D79" s="42">
        <v>6</v>
      </c>
      <c r="E79" s="41">
        <v>1.8499676255665526E-4</v>
      </c>
    </row>
    <row r="80" spans="2:5" ht="15" customHeight="1">
      <c r="B80" s="84"/>
      <c r="C80" s="43" t="s">
        <v>40</v>
      </c>
      <c r="D80" s="42">
        <v>2</v>
      </c>
      <c r="E80" s="41">
        <v>6.1665587518885091E-5</v>
      </c>
    </row>
    <row r="81" spans="2:5" ht="15" customHeight="1">
      <c r="B81" s="84"/>
      <c r="C81" s="43" t="s">
        <v>53</v>
      </c>
      <c r="D81" s="42">
        <v>3</v>
      </c>
      <c r="E81" s="41">
        <v>9.249838127832763E-5</v>
      </c>
    </row>
    <row r="82" spans="2:5" ht="15" customHeight="1">
      <c r="B82" s="84"/>
      <c r="C82" s="43" t="s">
        <v>51</v>
      </c>
      <c r="D82" s="42">
        <v>1</v>
      </c>
      <c r="E82" s="41">
        <v>3.0832793759442546E-5</v>
      </c>
    </row>
    <row r="83" spans="2:5" ht="15" customHeight="1">
      <c r="B83" s="84"/>
      <c r="C83" s="43" t="s">
        <v>46</v>
      </c>
      <c r="D83" s="42">
        <v>2</v>
      </c>
      <c r="E83" s="41">
        <v>6.1665587518885091E-5</v>
      </c>
    </row>
    <row r="84" spans="2:5" ht="15" customHeight="1">
      <c r="B84" s="84"/>
      <c r="C84" s="43" t="s">
        <v>48</v>
      </c>
      <c r="D84" s="42">
        <v>1</v>
      </c>
      <c r="E84" s="41">
        <v>3.0832793759442546E-5</v>
      </c>
    </row>
    <row r="85" spans="2:5" ht="15" customHeight="1">
      <c r="B85" s="84"/>
      <c r="C85" s="43" t="s">
        <v>52</v>
      </c>
      <c r="D85" s="42">
        <v>1</v>
      </c>
      <c r="E85" s="41">
        <v>3.0832793759442546E-5</v>
      </c>
    </row>
    <row r="86" spans="2:5" ht="15" customHeight="1">
      <c r="B86" s="84"/>
      <c r="C86" s="43" t="s">
        <v>47</v>
      </c>
      <c r="D86" s="42">
        <v>2</v>
      </c>
      <c r="E86" s="41">
        <v>6.1665587518885091E-5</v>
      </c>
    </row>
    <row r="87" spans="2:5" ht="15" customHeight="1">
      <c r="B87" s="84"/>
      <c r="C87" s="43" t="s">
        <v>38</v>
      </c>
      <c r="D87" s="42">
        <v>1</v>
      </c>
      <c r="E87" s="41">
        <v>3.0832793759442546E-5</v>
      </c>
    </row>
    <row r="88" spans="2:5" ht="15" customHeight="1">
      <c r="B88" s="84"/>
      <c r="C88" s="43" t="s">
        <v>64</v>
      </c>
      <c r="D88" s="42">
        <v>7</v>
      </c>
      <c r="E88" s="41">
        <v>2.158295563160978E-4</v>
      </c>
    </row>
    <row r="89" spans="2:5" ht="15" customHeight="1">
      <c r="B89" s="84"/>
      <c r="C89" s="43" t="s">
        <v>63</v>
      </c>
      <c r="D89" s="42">
        <v>5</v>
      </c>
      <c r="E89" s="41">
        <v>1.5416396879721272E-4</v>
      </c>
    </row>
    <row r="90" spans="2:5" ht="15" customHeight="1">
      <c r="B90" s="84"/>
      <c r="C90" s="43" t="s">
        <v>34</v>
      </c>
      <c r="D90" s="42">
        <v>1</v>
      </c>
      <c r="E90" s="41">
        <v>3.0832793759442546E-5</v>
      </c>
    </row>
    <row r="91" spans="2:5" ht="15" customHeight="1">
      <c r="B91" s="84"/>
      <c r="C91" s="43" t="s">
        <v>57</v>
      </c>
      <c r="D91" s="42">
        <v>1</v>
      </c>
      <c r="E91" s="41">
        <v>3.0832793759442546E-5</v>
      </c>
    </row>
    <row r="92" spans="2:5" ht="15" customHeight="1">
      <c r="B92" s="84"/>
      <c r="C92" s="43" t="s">
        <v>62</v>
      </c>
      <c r="D92" s="42">
        <v>13</v>
      </c>
      <c r="E92" s="41">
        <v>4.0082631887275309E-4</v>
      </c>
    </row>
    <row r="93" spans="2:5" ht="15" customHeight="1">
      <c r="B93" s="84"/>
      <c r="C93" s="43" t="s">
        <v>69</v>
      </c>
      <c r="D93" s="42">
        <v>235</v>
      </c>
      <c r="E93" s="41">
        <v>7.2457065334689975E-3</v>
      </c>
    </row>
    <row r="94" spans="2:5" ht="15" customHeight="1">
      <c r="B94" s="84"/>
      <c r="C94" s="43" t="s">
        <v>50</v>
      </c>
      <c r="D94" s="42">
        <v>1</v>
      </c>
      <c r="E94" s="41">
        <v>3.0832793759442546E-5</v>
      </c>
    </row>
    <row r="95" spans="2:5" ht="15" customHeight="1">
      <c r="B95" s="84"/>
      <c r="C95" s="43" t="s">
        <v>55</v>
      </c>
      <c r="D95" s="42">
        <v>1</v>
      </c>
      <c r="E95" s="41">
        <v>3.0832793759442546E-5</v>
      </c>
    </row>
    <row r="96" spans="2:5" ht="15" customHeight="1">
      <c r="B96" s="85"/>
      <c r="C96" s="40" t="s">
        <v>23</v>
      </c>
      <c r="D96" s="39">
        <v>365</v>
      </c>
      <c r="E96" s="38">
        <v>1.1253969722196529E-2</v>
      </c>
    </row>
    <row r="97" spans="2:5" ht="15" customHeight="1">
      <c r="B97" s="83" t="s">
        <v>209</v>
      </c>
      <c r="C97" s="43" t="s">
        <v>58</v>
      </c>
      <c r="D97" s="42">
        <v>7</v>
      </c>
      <c r="E97" s="41">
        <v>2.158295563160978E-4</v>
      </c>
    </row>
    <row r="98" spans="2:5" ht="15" customHeight="1">
      <c r="B98" s="84"/>
      <c r="C98" s="43" t="s">
        <v>44</v>
      </c>
      <c r="D98" s="42">
        <v>2</v>
      </c>
      <c r="E98" s="41">
        <v>6.1665587518885091E-5</v>
      </c>
    </row>
    <row r="99" spans="2:5" ht="15" customHeight="1">
      <c r="B99" s="84"/>
      <c r="C99" s="43" t="s">
        <v>61</v>
      </c>
      <c r="D99" s="42">
        <v>11</v>
      </c>
      <c r="E99" s="41">
        <v>3.3916073135386795E-4</v>
      </c>
    </row>
    <row r="100" spans="2:5" ht="15" customHeight="1">
      <c r="B100" s="84"/>
      <c r="C100" s="43" t="s">
        <v>67</v>
      </c>
      <c r="D100" s="42">
        <v>31</v>
      </c>
      <c r="E100" s="41">
        <v>9.5581660654271879E-4</v>
      </c>
    </row>
    <row r="101" spans="2:5" ht="15" customHeight="1">
      <c r="B101" s="84"/>
      <c r="C101" s="43" t="s">
        <v>56</v>
      </c>
      <c r="D101" s="42">
        <v>11</v>
      </c>
      <c r="E101" s="41">
        <v>3.3916073135386795E-4</v>
      </c>
    </row>
    <row r="102" spans="2:5" ht="15" customHeight="1">
      <c r="B102" s="84"/>
      <c r="C102" s="43" t="s">
        <v>65</v>
      </c>
      <c r="D102" s="42">
        <v>14</v>
      </c>
      <c r="E102" s="41">
        <v>4.316591126321956E-4</v>
      </c>
    </row>
    <row r="103" spans="2:5" ht="15" customHeight="1">
      <c r="B103" s="84"/>
      <c r="C103" s="43" t="s">
        <v>68</v>
      </c>
      <c r="D103" s="42">
        <v>33</v>
      </c>
      <c r="E103" s="41">
        <v>1.0174821940616039E-3</v>
      </c>
    </row>
    <row r="104" spans="2:5" ht="15" customHeight="1">
      <c r="B104" s="84"/>
      <c r="C104" s="43" t="s">
        <v>66</v>
      </c>
      <c r="D104" s="42">
        <v>11</v>
      </c>
      <c r="E104" s="41">
        <v>3.3916073135386795E-4</v>
      </c>
    </row>
    <row r="105" spans="2:5" ht="15" customHeight="1">
      <c r="B105" s="84"/>
      <c r="C105" s="43" t="s">
        <v>59</v>
      </c>
      <c r="D105" s="42">
        <v>9</v>
      </c>
      <c r="E105" s="41">
        <v>2.7749514383498288E-4</v>
      </c>
    </row>
    <row r="106" spans="2:5" ht="15" customHeight="1">
      <c r="B106" s="84"/>
      <c r="C106" s="43" t="s">
        <v>41</v>
      </c>
      <c r="D106" s="42">
        <v>1</v>
      </c>
      <c r="E106" s="41">
        <v>3.0832793759442546E-5</v>
      </c>
    </row>
    <row r="107" spans="2:5" ht="15" customHeight="1">
      <c r="B107" s="84"/>
      <c r="C107" s="43" t="s">
        <v>54</v>
      </c>
      <c r="D107" s="42">
        <v>6</v>
      </c>
      <c r="E107" s="41">
        <v>1.8499676255665526E-4</v>
      </c>
    </row>
    <row r="108" spans="2:5" ht="15" customHeight="1">
      <c r="B108" s="84"/>
      <c r="C108" s="43" t="s">
        <v>43</v>
      </c>
      <c r="D108" s="42">
        <v>3</v>
      </c>
      <c r="E108" s="41">
        <v>9.249838127832763E-5</v>
      </c>
    </row>
    <row r="109" spans="2:5" ht="15" customHeight="1">
      <c r="B109" s="84"/>
      <c r="C109" s="43" t="s">
        <v>60</v>
      </c>
      <c r="D109" s="42">
        <v>9</v>
      </c>
      <c r="E109" s="41">
        <v>2.7749514383498288E-4</v>
      </c>
    </row>
    <row r="110" spans="2:5" ht="15" customHeight="1">
      <c r="B110" s="84"/>
      <c r="C110" s="43" t="s">
        <v>40</v>
      </c>
      <c r="D110" s="42">
        <v>1</v>
      </c>
      <c r="E110" s="41">
        <v>3.0832793759442546E-5</v>
      </c>
    </row>
    <row r="111" spans="2:5" ht="15" customHeight="1">
      <c r="B111" s="84"/>
      <c r="C111" s="43" t="s">
        <v>53</v>
      </c>
      <c r="D111" s="42">
        <v>8</v>
      </c>
      <c r="E111" s="41">
        <v>2.4666235007554037E-4</v>
      </c>
    </row>
    <row r="112" spans="2:5" ht="15" customHeight="1">
      <c r="B112" s="84"/>
      <c r="C112" s="43" t="s">
        <v>45</v>
      </c>
      <c r="D112" s="42">
        <v>4</v>
      </c>
      <c r="E112" s="41">
        <v>1.2333117503777018E-4</v>
      </c>
    </row>
    <row r="113" spans="2:5" ht="15" customHeight="1">
      <c r="B113" s="84"/>
      <c r="C113" s="43" t="s">
        <v>51</v>
      </c>
      <c r="D113" s="42">
        <v>6</v>
      </c>
      <c r="E113" s="41">
        <v>1.8499676255665526E-4</v>
      </c>
    </row>
    <row r="114" spans="2:5" ht="15" customHeight="1">
      <c r="B114" s="84"/>
      <c r="C114" s="43" t="s">
        <v>46</v>
      </c>
      <c r="D114" s="42">
        <v>5</v>
      </c>
      <c r="E114" s="41">
        <v>1.5416396879721272E-4</v>
      </c>
    </row>
    <row r="115" spans="2:5" ht="15" customHeight="1">
      <c r="B115" s="84"/>
      <c r="C115" s="43" t="s">
        <v>48</v>
      </c>
      <c r="D115" s="42">
        <v>3</v>
      </c>
      <c r="E115" s="41">
        <v>9.249838127832763E-5</v>
      </c>
    </row>
    <row r="116" spans="2:5" ht="15" customHeight="1">
      <c r="B116" s="84"/>
      <c r="C116" s="43" t="s">
        <v>52</v>
      </c>
      <c r="D116" s="42">
        <v>1</v>
      </c>
      <c r="E116" s="41">
        <v>3.0832793759442546E-5</v>
      </c>
    </row>
    <row r="117" spans="2:5" ht="15" customHeight="1">
      <c r="B117" s="84"/>
      <c r="C117" s="43" t="s">
        <v>47</v>
      </c>
      <c r="D117" s="42">
        <v>2</v>
      </c>
      <c r="E117" s="41">
        <v>6.1665587518885091E-5</v>
      </c>
    </row>
    <row r="118" spans="2:5" ht="15" customHeight="1">
      <c r="B118" s="84"/>
      <c r="C118" s="43" t="s">
        <v>38</v>
      </c>
      <c r="D118" s="42">
        <v>3</v>
      </c>
      <c r="E118" s="41">
        <v>9.249838127832763E-5</v>
      </c>
    </row>
    <row r="119" spans="2:5" ht="15" customHeight="1">
      <c r="B119" s="84"/>
      <c r="C119" s="43" t="s">
        <v>64</v>
      </c>
      <c r="D119" s="42">
        <v>24</v>
      </c>
      <c r="E119" s="41">
        <v>7.3998705022662104E-4</v>
      </c>
    </row>
    <row r="120" spans="2:5" ht="15" customHeight="1">
      <c r="B120" s="84"/>
      <c r="C120" s="43" t="s">
        <v>49</v>
      </c>
      <c r="D120" s="42">
        <v>3</v>
      </c>
      <c r="E120" s="41">
        <v>9.249838127832763E-5</v>
      </c>
    </row>
    <row r="121" spans="2:5" ht="15" customHeight="1">
      <c r="B121" s="84"/>
      <c r="C121" s="43" t="s">
        <v>63</v>
      </c>
      <c r="D121" s="42">
        <v>11</v>
      </c>
      <c r="E121" s="41">
        <v>3.3916073135386795E-4</v>
      </c>
    </row>
    <row r="122" spans="2:5" ht="15" customHeight="1">
      <c r="B122" s="84"/>
      <c r="C122" s="43" t="s">
        <v>57</v>
      </c>
      <c r="D122" s="42">
        <v>5</v>
      </c>
      <c r="E122" s="41">
        <v>1.5416396879721272E-4</v>
      </c>
    </row>
    <row r="123" spans="2:5" ht="15" customHeight="1">
      <c r="B123" s="84"/>
      <c r="C123" s="43" t="s">
        <v>62</v>
      </c>
      <c r="D123" s="42">
        <v>21</v>
      </c>
      <c r="E123" s="41">
        <v>6.4748866894829345E-4</v>
      </c>
    </row>
    <row r="124" spans="2:5" ht="15" customHeight="1">
      <c r="B124" s="84"/>
      <c r="C124" s="43" t="s">
        <v>69</v>
      </c>
      <c r="D124" s="42">
        <v>437</v>
      </c>
      <c r="E124" s="41">
        <v>1.3473930872876391E-2</v>
      </c>
    </row>
    <row r="125" spans="2:5" ht="15" customHeight="1">
      <c r="B125" s="84"/>
      <c r="C125" s="43" t="s">
        <v>50</v>
      </c>
      <c r="D125" s="42">
        <v>4</v>
      </c>
      <c r="E125" s="41">
        <v>1.2333117503777018E-4</v>
      </c>
    </row>
    <row r="126" spans="2:5" ht="15" customHeight="1">
      <c r="B126" s="84"/>
      <c r="C126" s="43" t="s">
        <v>55</v>
      </c>
      <c r="D126" s="42">
        <v>4</v>
      </c>
      <c r="E126" s="41">
        <v>1.2333117503777018E-4</v>
      </c>
    </row>
    <row r="127" spans="2:5" ht="15" customHeight="1">
      <c r="B127" s="84"/>
      <c r="C127" s="43" t="s">
        <v>42</v>
      </c>
      <c r="D127" s="42">
        <v>1</v>
      </c>
      <c r="E127" s="41">
        <v>3.0832793759442546E-5</v>
      </c>
    </row>
    <row r="128" spans="2:5" ht="15" customHeight="1">
      <c r="B128" s="84"/>
      <c r="C128" s="43" t="s">
        <v>31</v>
      </c>
      <c r="D128" s="42">
        <v>1</v>
      </c>
      <c r="E128" s="41">
        <v>3.0832793759442546E-5</v>
      </c>
    </row>
    <row r="129" spans="2:5" ht="15" customHeight="1">
      <c r="B129" s="85"/>
      <c r="C129" s="40" t="s">
        <v>23</v>
      </c>
      <c r="D129" s="39">
        <v>692</v>
      </c>
      <c r="E129" s="38">
        <v>2.133629328153424E-2</v>
      </c>
    </row>
    <row r="130" spans="2:5" ht="15" customHeight="1">
      <c r="B130" s="83" t="s">
        <v>208</v>
      </c>
      <c r="C130" s="43" t="s">
        <v>58</v>
      </c>
      <c r="D130" s="42">
        <v>3</v>
      </c>
      <c r="E130" s="41">
        <v>9.249838127832763E-5</v>
      </c>
    </row>
    <row r="131" spans="2:5" ht="15" customHeight="1">
      <c r="B131" s="84"/>
      <c r="C131" s="43" t="s">
        <v>44</v>
      </c>
      <c r="D131" s="42">
        <v>2</v>
      </c>
      <c r="E131" s="41">
        <v>6.1665587518885091E-5</v>
      </c>
    </row>
    <row r="132" spans="2:5" ht="15" customHeight="1">
      <c r="B132" s="84"/>
      <c r="C132" s="43" t="s">
        <v>61</v>
      </c>
      <c r="D132" s="42">
        <v>9</v>
      </c>
      <c r="E132" s="41">
        <v>2.7749514383498288E-4</v>
      </c>
    </row>
    <row r="133" spans="2:5" ht="15" customHeight="1">
      <c r="B133" s="84"/>
      <c r="C133" s="43" t="s">
        <v>67</v>
      </c>
      <c r="D133" s="42">
        <v>16</v>
      </c>
      <c r="E133" s="41">
        <v>4.9332470015108073E-4</v>
      </c>
    </row>
    <row r="134" spans="2:5" ht="15" customHeight="1">
      <c r="B134" s="84"/>
      <c r="C134" s="43" t="s">
        <v>56</v>
      </c>
      <c r="D134" s="42">
        <v>9</v>
      </c>
      <c r="E134" s="41">
        <v>2.7749514383498288E-4</v>
      </c>
    </row>
    <row r="135" spans="2:5" ht="15" customHeight="1">
      <c r="B135" s="84"/>
      <c r="C135" s="43" t="s">
        <v>65</v>
      </c>
      <c r="D135" s="42">
        <v>22</v>
      </c>
      <c r="E135" s="41">
        <v>6.7832146270773591E-4</v>
      </c>
    </row>
    <row r="136" spans="2:5" ht="15" customHeight="1">
      <c r="B136" s="84"/>
      <c r="C136" s="43" t="s">
        <v>68</v>
      </c>
      <c r="D136" s="42">
        <v>23</v>
      </c>
      <c r="E136" s="41">
        <v>7.0915425646717847E-4</v>
      </c>
    </row>
    <row r="137" spans="2:5" ht="15" customHeight="1">
      <c r="B137" s="84"/>
      <c r="C137" s="43" t="s">
        <v>66</v>
      </c>
      <c r="D137" s="42">
        <v>4</v>
      </c>
      <c r="E137" s="41">
        <v>1.2333117503777018E-4</v>
      </c>
    </row>
    <row r="138" spans="2:5" ht="15" customHeight="1">
      <c r="B138" s="84"/>
      <c r="C138" s="43" t="s">
        <v>59</v>
      </c>
      <c r="D138" s="42">
        <v>3</v>
      </c>
      <c r="E138" s="41">
        <v>9.249838127832763E-5</v>
      </c>
    </row>
    <row r="139" spans="2:5" ht="15" customHeight="1">
      <c r="B139" s="84"/>
      <c r="C139" s="43" t="s">
        <v>41</v>
      </c>
      <c r="D139" s="42">
        <v>2</v>
      </c>
      <c r="E139" s="41">
        <v>6.1665587518885091E-5</v>
      </c>
    </row>
    <row r="140" spans="2:5" ht="15" customHeight="1">
      <c r="B140" s="84"/>
      <c r="C140" s="43" t="s">
        <v>54</v>
      </c>
      <c r="D140" s="42">
        <v>1</v>
      </c>
      <c r="E140" s="41">
        <v>3.0832793759442546E-5</v>
      </c>
    </row>
    <row r="141" spans="2:5" ht="15" customHeight="1">
      <c r="B141" s="84"/>
      <c r="C141" s="43" t="s">
        <v>43</v>
      </c>
      <c r="D141" s="42">
        <v>1</v>
      </c>
      <c r="E141" s="41">
        <v>3.0832793759442546E-5</v>
      </c>
    </row>
    <row r="142" spans="2:5" ht="15" customHeight="1">
      <c r="B142" s="84"/>
      <c r="C142" s="43" t="s">
        <v>60</v>
      </c>
      <c r="D142" s="42">
        <v>5</v>
      </c>
      <c r="E142" s="41">
        <v>1.5416396879721272E-4</v>
      </c>
    </row>
    <row r="143" spans="2:5" ht="15" customHeight="1">
      <c r="B143" s="84"/>
      <c r="C143" s="43" t="s">
        <v>53</v>
      </c>
      <c r="D143" s="42">
        <v>4</v>
      </c>
      <c r="E143" s="41">
        <v>1.2333117503777018E-4</v>
      </c>
    </row>
    <row r="144" spans="2:5" ht="15" customHeight="1">
      <c r="B144" s="84"/>
      <c r="C144" s="43" t="s">
        <v>51</v>
      </c>
      <c r="D144" s="42">
        <v>4</v>
      </c>
      <c r="E144" s="41">
        <v>1.2333117503777018E-4</v>
      </c>
    </row>
    <row r="145" spans="2:5" ht="15" customHeight="1">
      <c r="B145" s="84"/>
      <c r="C145" s="43" t="s">
        <v>48</v>
      </c>
      <c r="D145" s="42">
        <v>2</v>
      </c>
      <c r="E145" s="41">
        <v>6.1665587518885091E-5</v>
      </c>
    </row>
    <row r="146" spans="2:5" ht="15" customHeight="1">
      <c r="B146" s="84"/>
      <c r="C146" s="43" t="s">
        <v>52</v>
      </c>
      <c r="D146" s="42">
        <v>1</v>
      </c>
      <c r="E146" s="41">
        <v>3.0832793759442546E-5</v>
      </c>
    </row>
    <row r="147" spans="2:5" ht="15" customHeight="1">
      <c r="B147" s="84"/>
      <c r="C147" s="43" t="s">
        <v>47</v>
      </c>
      <c r="D147" s="42">
        <v>5</v>
      </c>
      <c r="E147" s="41">
        <v>1.5416396879721272E-4</v>
      </c>
    </row>
    <row r="148" spans="2:5" ht="15" customHeight="1">
      <c r="B148" s="84"/>
      <c r="C148" s="43" t="s">
        <v>38</v>
      </c>
      <c r="D148" s="42">
        <v>1</v>
      </c>
      <c r="E148" s="41">
        <v>3.0832793759442546E-5</v>
      </c>
    </row>
    <row r="149" spans="2:5" ht="15" customHeight="1">
      <c r="B149" s="84"/>
      <c r="C149" s="43" t="s">
        <v>64</v>
      </c>
      <c r="D149" s="42">
        <v>16</v>
      </c>
      <c r="E149" s="41">
        <v>4.9332470015108073E-4</v>
      </c>
    </row>
    <row r="150" spans="2:5" ht="15" customHeight="1">
      <c r="B150" s="84"/>
      <c r="C150" s="43" t="s">
        <v>49</v>
      </c>
      <c r="D150" s="42">
        <v>3</v>
      </c>
      <c r="E150" s="41">
        <v>9.249838127832763E-5</v>
      </c>
    </row>
    <row r="151" spans="2:5" ht="15" customHeight="1">
      <c r="B151" s="84"/>
      <c r="C151" s="43" t="s">
        <v>63</v>
      </c>
      <c r="D151" s="42">
        <v>17</v>
      </c>
      <c r="E151" s="41">
        <v>5.2415749391052319E-4</v>
      </c>
    </row>
    <row r="152" spans="2:5" ht="15" customHeight="1">
      <c r="B152" s="84"/>
      <c r="C152" s="43" t="s">
        <v>37</v>
      </c>
      <c r="D152" s="42">
        <v>3</v>
      </c>
      <c r="E152" s="41">
        <v>9.249838127832763E-5</v>
      </c>
    </row>
    <row r="153" spans="2:5" ht="15" customHeight="1">
      <c r="B153" s="84"/>
      <c r="C153" s="43" t="s">
        <v>57</v>
      </c>
      <c r="D153" s="42">
        <v>1</v>
      </c>
      <c r="E153" s="41">
        <v>3.0832793759442546E-5</v>
      </c>
    </row>
    <row r="154" spans="2:5" ht="15" customHeight="1">
      <c r="B154" s="84"/>
      <c r="C154" s="43" t="s">
        <v>62</v>
      </c>
      <c r="D154" s="42">
        <v>14</v>
      </c>
      <c r="E154" s="41">
        <v>4.316591126321956E-4</v>
      </c>
    </row>
    <row r="155" spans="2:5" ht="15" customHeight="1">
      <c r="B155" s="84"/>
      <c r="C155" s="43" t="s">
        <v>69</v>
      </c>
      <c r="D155" s="42">
        <v>317</v>
      </c>
      <c r="E155" s="41">
        <v>9.7739956217432859E-3</v>
      </c>
    </row>
    <row r="156" spans="2:5" ht="15" customHeight="1">
      <c r="B156" s="84"/>
      <c r="C156" s="43" t="s">
        <v>50</v>
      </c>
      <c r="D156" s="42">
        <v>3</v>
      </c>
      <c r="E156" s="41">
        <v>9.249838127832763E-5</v>
      </c>
    </row>
    <row r="157" spans="2:5" ht="15" customHeight="1">
      <c r="B157" s="84"/>
      <c r="C157" s="43" t="s">
        <v>55</v>
      </c>
      <c r="D157" s="42">
        <v>5</v>
      </c>
      <c r="E157" s="41">
        <v>1.5416396879721272E-4</v>
      </c>
    </row>
    <row r="158" spans="2:5" ht="15" customHeight="1">
      <c r="B158" s="84"/>
      <c r="C158" s="43" t="s">
        <v>39</v>
      </c>
      <c r="D158" s="42">
        <v>3</v>
      </c>
      <c r="E158" s="41">
        <v>9.249838127832763E-5</v>
      </c>
    </row>
    <row r="159" spans="2:5" ht="15" customHeight="1">
      <c r="B159" s="84"/>
      <c r="C159" s="43" t="s">
        <v>42</v>
      </c>
      <c r="D159" s="42">
        <v>1</v>
      </c>
      <c r="E159" s="41">
        <v>3.0832793759442546E-5</v>
      </c>
    </row>
    <row r="160" spans="2:5" ht="15" customHeight="1">
      <c r="B160" s="85"/>
      <c r="C160" s="40" t="s">
        <v>23</v>
      </c>
      <c r="D160" s="39">
        <v>500</v>
      </c>
      <c r="E160" s="38">
        <v>1.5416396879721272E-2</v>
      </c>
    </row>
    <row r="161" spans="2:5" ht="15" customHeight="1">
      <c r="B161" s="83" t="s">
        <v>207</v>
      </c>
      <c r="C161" s="43" t="s">
        <v>58</v>
      </c>
      <c r="D161" s="42">
        <v>6</v>
      </c>
      <c r="E161" s="41">
        <v>1.8499676255665526E-4</v>
      </c>
    </row>
    <row r="162" spans="2:5" ht="15" customHeight="1">
      <c r="B162" s="84"/>
      <c r="C162" s="43" t="s">
        <v>44</v>
      </c>
      <c r="D162" s="42">
        <v>2</v>
      </c>
      <c r="E162" s="41">
        <v>6.1665587518885091E-5</v>
      </c>
    </row>
    <row r="163" spans="2:5" ht="15" customHeight="1">
      <c r="B163" s="84"/>
      <c r="C163" s="43" t="s">
        <v>61</v>
      </c>
      <c r="D163" s="42">
        <v>9</v>
      </c>
      <c r="E163" s="41">
        <v>2.7749514383498288E-4</v>
      </c>
    </row>
    <row r="164" spans="2:5" ht="15" customHeight="1">
      <c r="B164" s="84"/>
      <c r="C164" s="43" t="s">
        <v>67</v>
      </c>
      <c r="D164" s="42">
        <v>23</v>
      </c>
      <c r="E164" s="41">
        <v>7.0915425646717847E-4</v>
      </c>
    </row>
    <row r="165" spans="2:5" ht="15" customHeight="1">
      <c r="B165" s="84"/>
      <c r="C165" s="43" t="s">
        <v>56</v>
      </c>
      <c r="D165" s="42">
        <v>1</v>
      </c>
      <c r="E165" s="41">
        <v>3.0832793759442546E-5</v>
      </c>
    </row>
    <row r="166" spans="2:5" ht="15" customHeight="1">
      <c r="B166" s="84"/>
      <c r="C166" s="43" t="s">
        <v>36</v>
      </c>
      <c r="D166" s="42">
        <v>1</v>
      </c>
      <c r="E166" s="41">
        <v>3.0832793759442546E-5</v>
      </c>
    </row>
    <row r="167" spans="2:5" ht="15" customHeight="1">
      <c r="B167" s="84"/>
      <c r="C167" s="43" t="s">
        <v>65</v>
      </c>
      <c r="D167" s="42">
        <v>32</v>
      </c>
      <c r="E167" s="41">
        <v>9.8664940030216146E-4</v>
      </c>
    </row>
    <row r="168" spans="2:5" ht="15" customHeight="1">
      <c r="B168" s="84"/>
      <c r="C168" s="43" t="s">
        <v>68</v>
      </c>
      <c r="D168" s="42">
        <v>24</v>
      </c>
      <c r="E168" s="41">
        <v>7.3998705022662104E-4</v>
      </c>
    </row>
    <row r="169" spans="2:5" ht="15" customHeight="1">
      <c r="B169" s="84"/>
      <c r="C169" s="43" t="s">
        <v>33</v>
      </c>
      <c r="D169" s="42">
        <v>1</v>
      </c>
      <c r="E169" s="41">
        <v>3.0832793759442546E-5</v>
      </c>
    </row>
    <row r="170" spans="2:5" ht="15" customHeight="1">
      <c r="B170" s="84"/>
      <c r="C170" s="43" t="s">
        <v>66</v>
      </c>
      <c r="D170" s="42">
        <v>10</v>
      </c>
      <c r="E170" s="41">
        <v>3.0832793759442544E-4</v>
      </c>
    </row>
    <row r="171" spans="2:5" ht="15" customHeight="1">
      <c r="B171" s="84"/>
      <c r="C171" s="43" t="s">
        <v>59</v>
      </c>
      <c r="D171" s="42">
        <v>9</v>
      </c>
      <c r="E171" s="41">
        <v>2.7749514383498288E-4</v>
      </c>
    </row>
    <row r="172" spans="2:5" ht="15" customHeight="1">
      <c r="B172" s="84"/>
      <c r="C172" s="43" t="s">
        <v>41</v>
      </c>
      <c r="D172" s="42">
        <v>3</v>
      </c>
      <c r="E172" s="41">
        <v>9.249838127832763E-5</v>
      </c>
    </row>
    <row r="173" spans="2:5" ht="15" customHeight="1">
      <c r="B173" s="84"/>
      <c r="C173" s="43" t="s">
        <v>54</v>
      </c>
      <c r="D173" s="42">
        <v>4</v>
      </c>
      <c r="E173" s="41">
        <v>1.2333117503777018E-4</v>
      </c>
    </row>
    <row r="174" spans="2:5" ht="15" customHeight="1">
      <c r="B174" s="84"/>
      <c r="C174" s="43" t="s">
        <v>43</v>
      </c>
      <c r="D174" s="42">
        <v>1</v>
      </c>
      <c r="E174" s="41">
        <v>3.0832793759442546E-5</v>
      </c>
    </row>
    <row r="175" spans="2:5" ht="15" customHeight="1">
      <c r="B175" s="84"/>
      <c r="C175" s="43" t="s">
        <v>60</v>
      </c>
      <c r="D175" s="42">
        <v>8</v>
      </c>
      <c r="E175" s="41">
        <v>2.4666235007554037E-4</v>
      </c>
    </row>
    <row r="176" spans="2:5" ht="15" customHeight="1">
      <c r="B176" s="84"/>
      <c r="C176" s="43" t="s">
        <v>40</v>
      </c>
      <c r="D176" s="42">
        <v>1</v>
      </c>
      <c r="E176" s="41">
        <v>3.0832793759442546E-5</v>
      </c>
    </row>
    <row r="177" spans="2:5" ht="15" customHeight="1">
      <c r="B177" s="84"/>
      <c r="C177" s="43" t="s">
        <v>53</v>
      </c>
      <c r="D177" s="42">
        <v>6</v>
      </c>
      <c r="E177" s="41">
        <v>1.8499676255665526E-4</v>
      </c>
    </row>
    <row r="178" spans="2:5" ht="15" customHeight="1">
      <c r="B178" s="84"/>
      <c r="C178" s="43" t="s">
        <v>45</v>
      </c>
      <c r="D178" s="42">
        <v>1</v>
      </c>
      <c r="E178" s="41">
        <v>3.0832793759442546E-5</v>
      </c>
    </row>
    <row r="179" spans="2:5" ht="15" customHeight="1">
      <c r="B179" s="84"/>
      <c r="C179" s="43" t="s">
        <v>51</v>
      </c>
      <c r="D179" s="42">
        <v>7</v>
      </c>
      <c r="E179" s="41">
        <v>2.158295563160978E-4</v>
      </c>
    </row>
    <row r="180" spans="2:5" ht="15" customHeight="1">
      <c r="B180" s="84"/>
      <c r="C180" s="43" t="s">
        <v>46</v>
      </c>
      <c r="D180" s="42">
        <v>2</v>
      </c>
      <c r="E180" s="41">
        <v>6.1665587518885091E-5</v>
      </c>
    </row>
    <row r="181" spans="2:5" ht="15" customHeight="1">
      <c r="B181" s="84"/>
      <c r="C181" s="43" t="s">
        <v>48</v>
      </c>
      <c r="D181" s="42">
        <v>2</v>
      </c>
      <c r="E181" s="41">
        <v>6.1665587518885091E-5</v>
      </c>
    </row>
    <row r="182" spans="2:5" ht="15" customHeight="1">
      <c r="B182" s="84"/>
      <c r="C182" s="43" t="s">
        <v>52</v>
      </c>
      <c r="D182" s="42">
        <v>2</v>
      </c>
      <c r="E182" s="41">
        <v>6.1665587518885091E-5</v>
      </c>
    </row>
    <row r="183" spans="2:5" ht="15" customHeight="1">
      <c r="B183" s="84"/>
      <c r="C183" s="43" t="s">
        <v>35</v>
      </c>
      <c r="D183" s="42">
        <v>1</v>
      </c>
      <c r="E183" s="41">
        <v>3.0832793759442546E-5</v>
      </c>
    </row>
    <row r="184" spans="2:5" ht="15" customHeight="1">
      <c r="B184" s="84"/>
      <c r="C184" s="43" t="s">
        <v>47</v>
      </c>
      <c r="D184" s="42">
        <v>3</v>
      </c>
      <c r="E184" s="41">
        <v>9.249838127832763E-5</v>
      </c>
    </row>
    <row r="185" spans="2:5" ht="15" customHeight="1">
      <c r="B185" s="84"/>
      <c r="C185" s="43" t="s">
        <v>38</v>
      </c>
      <c r="D185" s="42">
        <v>1</v>
      </c>
      <c r="E185" s="41">
        <v>3.0832793759442546E-5</v>
      </c>
    </row>
    <row r="186" spans="2:5" ht="15" customHeight="1">
      <c r="B186" s="84"/>
      <c r="C186" s="43" t="s">
        <v>64</v>
      </c>
      <c r="D186" s="42">
        <v>22</v>
      </c>
      <c r="E186" s="41">
        <v>6.7832146270773591E-4</v>
      </c>
    </row>
    <row r="187" spans="2:5" ht="15" customHeight="1">
      <c r="B187" s="84"/>
      <c r="C187" s="43" t="s">
        <v>49</v>
      </c>
      <c r="D187" s="42">
        <v>4</v>
      </c>
      <c r="E187" s="41">
        <v>1.2333117503777018E-4</v>
      </c>
    </row>
    <row r="188" spans="2:5" ht="15" customHeight="1">
      <c r="B188" s="84"/>
      <c r="C188" s="43" t="s">
        <v>63</v>
      </c>
      <c r="D188" s="42">
        <v>14</v>
      </c>
      <c r="E188" s="41">
        <v>4.316591126321956E-4</v>
      </c>
    </row>
    <row r="189" spans="2:5" ht="15" customHeight="1">
      <c r="B189" s="84"/>
      <c r="C189" s="43" t="s">
        <v>37</v>
      </c>
      <c r="D189" s="42">
        <v>1</v>
      </c>
      <c r="E189" s="41">
        <v>3.0832793759442546E-5</v>
      </c>
    </row>
    <row r="190" spans="2:5" ht="15" customHeight="1">
      <c r="B190" s="84"/>
      <c r="C190" s="43" t="s">
        <v>57</v>
      </c>
      <c r="D190" s="42">
        <v>3</v>
      </c>
      <c r="E190" s="41">
        <v>9.249838127832763E-5</v>
      </c>
    </row>
    <row r="191" spans="2:5" ht="15" customHeight="1">
      <c r="B191" s="84"/>
      <c r="C191" s="43" t="s">
        <v>62</v>
      </c>
      <c r="D191" s="42">
        <v>11</v>
      </c>
      <c r="E191" s="41">
        <v>3.3916073135386795E-4</v>
      </c>
    </row>
    <row r="192" spans="2:5" ht="15" customHeight="1">
      <c r="B192" s="84"/>
      <c r="C192" s="43" t="s">
        <v>69</v>
      </c>
      <c r="D192" s="42">
        <v>404</v>
      </c>
      <c r="E192" s="41">
        <v>1.2456448678814788E-2</v>
      </c>
    </row>
    <row r="193" spans="2:5" ht="15" customHeight="1">
      <c r="B193" s="84"/>
      <c r="C193" s="43" t="s">
        <v>50</v>
      </c>
      <c r="D193" s="42">
        <v>5</v>
      </c>
      <c r="E193" s="41">
        <v>1.5416396879721272E-4</v>
      </c>
    </row>
    <row r="194" spans="2:5" ht="15" customHeight="1">
      <c r="B194" s="84"/>
      <c r="C194" s="43" t="s">
        <v>55</v>
      </c>
      <c r="D194" s="42">
        <v>2</v>
      </c>
      <c r="E194" s="41">
        <v>6.1665587518885091E-5</v>
      </c>
    </row>
    <row r="195" spans="2:5" ht="15" customHeight="1">
      <c r="B195" s="84"/>
      <c r="C195" s="43" t="s">
        <v>39</v>
      </c>
      <c r="D195" s="42">
        <v>1</v>
      </c>
      <c r="E195" s="41">
        <v>3.0832793759442546E-5</v>
      </c>
    </row>
    <row r="196" spans="2:5" ht="15" customHeight="1">
      <c r="B196" s="84"/>
      <c r="C196" s="43" t="s">
        <v>42</v>
      </c>
      <c r="D196" s="42">
        <v>1</v>
      </c>
      <c r="E196" s="41">
        <v>3.0832793759442546E-5</v>
      </c>
    </row>
    <row r="197" spans="2:5" ht="15" customHeight="1">
      <c r="B197" s="85"/>
      <c r="C197" s="40" t="s">
        <v>23</v>
      </c>
      <c r="D197" s="39">
        <v>628</v>
      </c>
      <c r="E197" s="38">
        <v>1.9362994480929915E-2</v>
      </c>
    </row>
    <row r="198" spans="2:5" ht="15" customHeight="1">
      <c r="B198" s="83" t="s">
        <v>206</v>
      </c>
      <c r="C198" s="43" t="s">
        <v>58</v>
      </c>
      <c r="D198" s="42">
        <v>15</v>
      </c>
      <c r="E198" s="41">
        <v>4.6249190639163816E-4</v>
      </c>
    </row>
    <row r="199" spans="2:5" ht="15" customHeight="1">
      <c r="B199" s="84"/>
      <c r="C199" s="43" t="s">
        <v>44</v>
      </c>
      <c r="D199" s="42">
        <v>9</v>
      </c>
      <c r="E199" s="41">
        <v>2.7749514383498288E-4</v>
      </c>
    </row>
    <row r="200" spans="2:5" ht="15" customHeight="1">
      <c r="B200" s="84"/>
      <c r="C200" s="43" t="s">
        <v>61</v>
      </c>
      <c r="D200" s="42">
        <v>38</v>
      </c>
      <c r="E200" s="41">
        <v>1.1716461628588166E-3</v>
      </c>
    </row>
    <row r="201" spans="2:5" ht="15" customHeight="1">
      <c r="B201" s="84"/>
      <c r="C201" s="43" t="s">
        <v>67</v>
      </c>
      <c r="D201" s="42">
        <v>110</v>
      </c>
      <c r="E201" s="41">
        <v>3.3916073135386799E-3</v>
      </c>
    </row>
    <row r="202" spans="2:5" ht="15" customHeight="1">
      <c r="B202" s="84"/>
      <c r="C202" s="43" t="s">
        <v>56</v>
      </c>
      <c r="D202" s="42">
        <v>20</v>
      </c>
      <c r="E202" s="41">
        <v>6.1665587518885089E-4</v>
      </c>
    </row>
    <row r="203" spans="2:5" ht="15" customHeight="1">
      <c r="B203" s="84"/>
      <c r="C203" s="43" t="s">
        <v>32</v>
      </c>
      <c r="D203" s="42">
        <v>2</v>
      </c>
      <c r="E203" s="41">
        <v>6.1665587518885091E-5</v>
      </c>
    </row>
    <row r="204" spans="2:5" ht="15" customHeight="1">
      <c r="B204" s="84"/>
      <c r="C204" s="43" t="s">
        <v>36</v>
      </c>
      <c r="D204" s="42">
        <v>2</v>
      </c>
      <c r="E204" s="41">
        <v>6.1665587518885091E-5</v>
      </c>
    </row>
    <row r="205" spans="2:5" ht="15" customHeight="1">
      <c r="B205" s="84"/>
      <c r="C205" s="43" t="s">
        <v>65</v>
      </c>
      <c r="D205" s="42">
        <v>86</v>
      </c>
      <c r="E205" s="41">
        <v>2.6516202633120587E-3</v>
      </c>
    </row>
    <row r="206" spans="2:5" ht="15" customHeight="1">
      <c r="B206" s="84"/>
      <c r="C206" s="43" t="s">
        <v>68</v>
      </c>
      <c r="D206" s="42">
        <v>84</v>
      </c>
      <c r="E206" s="41">
        <v>2.5899546757931738E-3</v>
      </c>
    </row>
    <row r="207" spans="2:5" ht="15" customHeight="1">
      <c r="B207" s="84"/>
      <c r="C207" s="43" t="s">
        <v>33</v>
      </c>
      <c r="D207" s="42">
        <v>1</v>
      </c>
      <c r="E207" s="41">
        <v>3.0832793759442546E-5</v>
      </c>
    </row>
    <row r="208" spans="2:5" ht="15" customHeight="1">
      <c r="B208" s="84"/>
      <c r="C208" s="43" t="s">
        <v>66</v>
      </c>
      <c r="D208" s="42">
        <v>48</v>
      </c>
      <c r="E208" s="41">
        <v>1.4799741004532421E-3</v>
      </c>
    </row>
    <row r="209" spans="2:5" ht="15" customHeight="1">
      <c r="B209" s="84"/>
      <c r="C209" s="43" t="s">
        <v>59</v>
      </c>
      <c r="D209" s="42">
        <v>24</v>
      </c>
      <c r="E209" s="41">
        <v>7.3998705022662104E-4</v>
      </c>
    </row>
    <row r="210" spans="2:5" ht="15" customHeight="1">
      <c r="B210" s="84"/>
      <c r="C210" s="43" t="s">
        <v>41</v>
      </c>
      <c r="D210" s="42">
        <v>5</v>
      </c>
      <c r="E210" s="41">
        <v>1.5416396879721272E-4</v>
      </c>
    </row>
    <row r="211" spans="2:5" ht="15" customHeight="1">
      <c r="B211" s="84"/>
      <c r="C211" s="43" t="s">
        <v>54</v>
      </c>
      <c r="D211" s="42">
        <v>15</v>
      </c>
      <c r="E211" s="41">
        <v>4.6249190639163816E-4</v>
      </c>
    </row>
    <row r="212" spans="2:5" ht="15" customHeight="1">
      <c r="B212" s="84"/>
      <c r="C212" s="43" t="s">
        <v>43</v>
      </c>
      <c r="D212" s="42">
        <v>9</v>
      </c>
      <c r="E212" s="41">
        <v>2.7749514383498288E-4</v>
      </c>
    </row>
    <row r="213" spans="2:5" ht="15" customHeight="1">
      <c r="B213" s="84"/>
      <c r="C213" s="43" t="s">
        <v>60</v>
      </c>
      <c r="D213" s="42">
        <v>25</v>
      </c>
      <c r="E213" s="41">
        <v>7.7081984398606361E-4</v>
      </c>
    </row>
    <row r="214" spans="2:5" ht="15" customHeight="1">
      <c r="B214" s="84"/>
      <c r="C214" s="43" t="s">
        <v>40</v>
      </c>
      <c r="D214" s="42">
        <v>6</v>
      </c>
      <c r="E214" s="41">
        <v>1.8499676255665526E-4</v>
      </c>
    </row>
    <row r="215" spans="2:5" ht="15" customHeight="1">
      <c r="B215" s="84"/>
      <c r="C215" s="43" t="s">
        <v>30</v>
      </c>
      <c r="D215" s="42">
        <v>1</v>
      </c>
      <c r="E215" s="41">
        <v>3.0832793759442546E-5</v>
      </c>
    </row>
    <row r="216" spans="2:5" ht="15" customHeight="1">
      <c r="B216" s="84"/>
      <c r="C216" s="43" t="s">
        <v>53</v>
      </c>
      <c r="D216" s="42">
        <v>17</v>
      </c>
      <c r="E216" s="41">
        <v>5.2415749391052319E-4</v>
      </c>
    </row>
    <row r="217" spans="2:5" ht="15" customHeight="1">
      <c r="B217" s="84"/>
      <c r="C217" s="43" t="s">
        <v>45</v>
      </c>
      <c r="D217" s="42">
        <v>4</v>
      </c>
      <c r="E217" s="41">
        <v>1.2333117503777018E-4</v>
      </c>
    </row>
    <row r="218" spans="2:5" ht="15" customHeight="1">
      <c r="B218" s="84"/>
      <c r="C218" s="43" t="s">
        <v>51</v>
      </c>
      <c r="D218" s="42">
        <v>15</v>
      </c>
      <c r="E218" s="41">
        <v>4.6249190639163816E-4</v>
      </c>
    </row>
    <row r="219" spans="2:5" ht="15" customHeight="1">
      <c r="B219" s="84"/>
      <c r="C219" s="43" t="s">
        <v>46</v>
      </c>
      <c r="D219" s="42">
        <v>8</v>
      </c>
      <c r="E219" s="41">
        <v>2.4666235007554037E-4</v>
      </c>
    </row>
    <row r="220" spans="2:5" ht="15" customHeight="1">
      <c r="B220" s="84"/>
      <c r="C220" s="43" t="s">
        <v>48</v>
      </c>
      <c r="D220" s="42">
        <v>13</v>
      </c>
      <c r="E220" s="41">
        <v>4.0082631887275309E-4</v>
      </c>
    </row>
    <row r="221" spans="2:5" ht="15" customHeight="1">
      <c r="B221" s="84"/>
      <c r="C221" s="43" t="s">
        <v>52</v>
      </c>
      <c r="D221" s="42">
        <v>8</v>
      </c>
      <c r="E221" s="41">
        <v>2.4666235007554037E-4</v>
      </c>
    </row>
    <row r="222" spans="2:5" ht="15" customHeight="1">
      <c r="B222" s="84"/>
      <c r="C222" s="43" t="s">
        <v>35</v>
      </c>
      <c r="D222" s="42">
        <v>2</v>
      </c>
      <c r="E222" s="41">
        <v>6.1665587518885091E-5</v>
      </c>
    </row>
    <row r="223" spans="2:5" ht="15" customHeight="1">
      <c r="B223" s="84"/>
      <c r="C223" s="43" t="s">
        <v>47</v>
      </c>
      <c r="D223" s="42">
        <v>11</v>
      </c>
      <c r="E223" s="41">
        <v>3.3916073135386795E-4</v>
      </c>
    </row>
    <row r="224" spans="2:5" ht="15" customHeight="1">
      <c r="B224" s="84"/>
      <c r="C224" s="43" t="s">
        <v>38</v>
      </c>
      <c r="D224" s="42">
        <v>5</v>
      </c>
      <c r="E224" s="41">
        <v>1.5416396879721272E-4</v>
      </c>
    </row>
    <row r="225" spans="2:5" ht="15" customHeight="1">
      <c r="B225" s="84"/>
      <c r="C225" s="43" t="s">
        <v>64</v>
      </c>
      <c r="D225" s="42">
        <v>42</v>
      </c>
      <c r="E225" s="41">
        <v>1.2949773378965869E-3</v>
      </c>
    </row>
    <row r="226" spans="2:5" ht="15" customHeight="1">
      <c r="B226" s="84"/>
      <c r="C226" s="43" t="s">
        <v>49</v>
      </c>
      <c r="D226" s="42">
        <v>10</v>
      </c>
      <c r="E226" s="41">
        <v>3.0832793759442544E-4</v>
      </c>
    </row>
    <row r="227" spans="2:5" ht="15" customHeight="1">
      <c r="B227" s="84"/>
      <c r="C227" s="43" t="s">
        <v>63</v>
      </c>
      <c r="D227" s="42">
        <v>41</v>
      </c>
      <c r="E227" s="41">
        <v>1.2641445441371442E-3</v>
      </c>
    </row>
    <row r="228" spans="2:5" ht="15" customHeight="1">
      <c r="B228" s="84"/>
      <c r="C228" s="43" t="s">
        <v>37</v>
      </c>
      <c r="D228" s="42">
        <v>7</v>
      </c>
      <c r="E228" s="41">
        <v>2.158295563160978E-4</v>
      </c>
    </row>
    <row r="229" spans="2:5" ht="15" customHeight="1">
      <c r="B229" s="84"/>
      <c r="C229" s="43" t="s">
        <v>34</v>
      </c>
      <c r="D229" s="42">
        <v>1</v>
      </c>
      <c r="E229" s="41">
        <v>3.0832793759442546E-5</v>
      </c>
    </row>
    <row r="230" spans="2:5" ht="15" customHeight="1">
      <c r="B230" s="84"/>
      <c r="C230" s="43" t="s">
        <v>57</v>
      </c>
      <c r="D230" s="42">
        <v>12</v>
      </c>
      <c r="E230" s="41">
        <v>3.6999352511331052E-4</v>
      </c>
    </row>
    <row r="231" spans="2:5" ht="15" customHeight="1">
      <c r="B231" s="84"/>
      <c r="C231" s="43" t="s">
        <v>62</v>
      </c>
      <c r="D231" s="42">
        <v>31</v>
      </c>
      <c r="E231" s="41">
        <v>9.5581660654271879E-4</v>
      </c>
    </row>
    <row r="232" spans="2:5" ht="15" customHeight="1">
      <c r="B232" s="84"/>
      <c r="C232" s="43" t="s">
        <v>69</v>
      </c>
      <c r="D232" s="42">
        <v>2002</v>
      </c>
      <c r="E232" s="41">
        <v>6.1727253106403972E-2</v>
      </c>
    </row>
    <row r="233" spans="2:5" ht="15" customHeight="1">
      <c r="B233" s="84"/>
      <c r="C233" s="43" t="s">
        <v>50</v>
      </c>
      <c r="D233" s="42">
        <v>13</v>
      </c>
      <c r="E233" s="41">
        <v>4.0082631887275309E-4</v>
      </c>
    </row>
    <row r="234" spans="2:5" ht="15" customHeight="1">
      <c r="B234" s="84"/>
      <c r="C234" s="43" t="s">
        <v>55</v>
      </c>
      <c r="D234" s="42">
        <v>20</v>
      </c>
      <c r="E234" s="41">
        <v>6.1665587518885089E-4</v>
      </c>
    </row>
    <row r="235" spans="2:5" ht="15" customHeight="1">
      <c r="B235" s="84"/>
      <c r="C235" s="43" t="s">
        <v>39</v>
      </c>
      <c r="D235" s="42">
        <v>8</v>
      </c>
      <c r="E235" s="41">
        <v>2.4666235007554037E-4</v>
      </c>
    </row>
    <row r="236" spans="2:5" ht="15" customHeight="1">
      <c r="B236" s="84"/>
      <c r="C236" s="43" t="s">
        <v>29</v>
      </c>
      <c r="D236" s="42">
        <v>1</v>
      </c>
      <c r="E236" s="41">
        <v>3.0832793759442546E-5</v>
      </c>
    </row>
    <row r="237" spans="2:5" ht="15" customHeight="1">
      <c r="B237" s="84"/>
      <c r="C237" s="43" t="s">
        <v>42</v>
      </c>
      <c r="D237" s="42">
        <v>6</v>
      </c>
      <c r="E237" s="41">
        <v>1.8499676255665526E-4</v>
      </c>
    </row>
    <row r="238" spans="2:5" ht="15" customHeight="1">
      <c r="B238" s="84"/>
      <c r="C238" s="43" t="s">
        <v>31</v>
      </c>
      <c r="D238" s="42">
        <v>2</v>
      </c>
      <c r="E238" s="41">
        <v>6.1665587518885091E-5</v>
      </c>
    </row>
    <row r="239" spans="2:5" ht="15" customHeight="1">
      <c r="B239" s="85"/>
      <c r="C239" s="40" t="s">
        <v>23</v>
      </c>
      <c r="D239" s="39">
        <v>2779</v>
      </c>
      <c r="E239" s="38">
        <v>8.568433385749083E-2</v>
      </c>
    </row>
    <row r="240" spans="2:5" ht="15" customHeight="1">
      <c r="B240" s="83" t="s">
        <v>205</v>
      </c>
      <c r="C240" s="43" t="s">
        <v>58</v>
      </c>
      <c r="D240" s="42">
        <v>49</v>
      </c>
      <c r="E240" s="41">
        <v>1.5108068942126845E-3</v>
      </c>
    </row>
    <row r="241" spans="2:5" ht="15" customHeight="1">
      <c r="B241" s="84"/>
      <c r="C241" s="43" t="s">
        <v>44</v>
      </c>
      <c r="D241" s="42">
        <v>13</v>
      </c>
      <c r="E241" s="41">
        <v>4.0082631887275309E-4</v>
      </c>
    </row>
    <row r="242" spans="2:5" ht="15" customHeight="1">
      <c r="B242" s="84"/>
      <c r="C242" s="43" t="s">
        <v>61</v>
      </c>
      <c r="D242" s="42">
        <v>73</v>
      </c>
      <c r="E242" s="41">
        <v>2.2507939444393055E-3</v>
      </c>
    </row>
    <row r="243" spans="2:5" ht="15" customHeight="1">
      <c r="B243" s="84"/>
      <c r="C243" s="43" t="s">
        <v>67</v>
      </c>
      <c r="D243" s="42">
        <v>222</v>
      </c>
      <c r="E243" s="41">
        <v>6.8448802145962447E-3</v>
      </c>
    </row>
    <row r="244" spans="2:5" ht="15" customHeight="1">
      <c r="B244" s="84"/>
      <c r="C244" s="43" t="s">
        <v>56</v>
      </c>
      <c r="D244" s="42">
        <v>27</v>
      </c>
      <c r="E244" s="41">
        <v>8.3248543150494863E-4</v>
      </c>
    </row>
    <row r="245" spans="2:5" ht="15" customHeight="1">
      <c r="B245" s="84"/>
      <c r="C245" s="43" t="s">
        <v>32</v>
      </c>
      <c r="D245" s="42">
        <v>3</v>
      </c>
      <c r="E245" s="41">
        <v>9.249838127832763E-5</v>
      </c>
    </row>
    <row r="246" spans="2:5" ht="15" customHeight="1">
      <c r="B246" s="84"/>
      <c r="C246" s="43" t="s">
        <v>36</v>
      </c>
      <c r="D246" s="42">
        <v>3</v>
      </c>
      <c r="E246" s="41">
        <v>9.249838127832763E-5</v>
      </c>
    </row>
    <row r="247" spans="2:5" ht="15" customHeight="1">
      <c r="B247" s="84"/>
      <c r="C247" s="43" t="s">
        <v>65</v>
      </c>
      <c r="D247" s="42">
        <v>133</v>
      </c>
      <c r="E247" s="41">
        <v>4.1007615700058581E-3</v>
      </c>
    </row>
    <row r="248" spans="2:5" ht="15" customHeight="1">
      <c r="B248" s="84"/>
      <c r="C248" s="43" t="s">
        <v>68</v>
      </c>
      <c r="D248" s="42">
        <v>298</v>
      </c>
      <c r="E248" s="41">
        <v>9.1881725403138784E-3</v>
      </c>
    </row>
    <row r="249" spans="2:5" ht="15" customHeight="1">
      <c r="B249" s="84"/>
      <c r="C249" s="43" t="s">
        <v>33</v>
      </c>
      <c r="D249" s="42">
        <v>5</v>
      </c>
      <c r="E249" s="41">
        <v>1.5416396879721272E-4</v>
      </c>
    </row>
    <row r="250" spans="2:5" ht="15" customHeight="1">
      <c r="B250" s="84"/>
      <c r="C250" s="43" t="s">
        <v>66</v>
      </c>
      <c r="D250" s="42">
        <v>214</v>
      </c>
      <c r="E250" s="41">
        <v>6.5982178645207041E-3</v>
      </c>
    </row>
    <row r="251" spans="2:5" ht="15" customHeight="1">
      <c r="B251" s="84"/>
      <c r="C251" s="43" t="s">
        <v>59</v>
      </c>
      <c r="D251" s="42">
        <v>65</v>
      </c>
      <c r="E251" s="41">
        <v>2.0041315943637654E-3</v>
      </c>
    </row>
    <row r="252" spans="2:5" ht="15" customHeight="1">
      <c r="B252" s="84"/>
      <c r="C252" s="43" t="s">
        <v>41</v>
      </c>
      <c r="D252" s="42">
        <v>13</v>
      </c>
      <c r="E252" s="41">
        <v>4.0082631887275309E-4</v>
      </c>
    </row>
    <row r="253" spans="2:5" ht="15" customHeight="1">
      <c r="B253" s="84"/>
      <c r="C253" s="43" t="s">
        <v>54</v>
      </c>
      <c r="D253" s="42">
        <v>23</v>
      </c>
      <c r="E253" s="41">
        <v>7.0915425646717847E-4</v>
      </c>
    </row>
    <row r="254" spans="2:5" ht="15" customHeight="1">
      <c r="B254" s="84"/>
      <c r="C254" s="43" t="s">
        <v>43</v>
      </c>
      <c r="D254" s="42">
        <v>20</v>
      </c>
      <c r="E254" s="41">
        <v>6.1665587518885089E-4</v>
      </c>
    </row>
    <row r="255" spans="2:5" ht="15" customHeight="1">
      <c r="B255" s="84"/>
      <c r="C255" s="43" t="s">
        <v>60</v>
      </c>
      <c r="D255" s="42">
        <v>49</v>
      </c>
      <c r="E255" s="41">
        <v>1.5108068942126845E-3</v>
      </c>
    </row>
    <row r="256" spans="2:5" ht="15" customHeight="1">
      <c r="B256" s="84"/>
      <c r="C256" s="43" t="s">
        <v>40</v>
      </c>
      <c r="D256" s="42">
        <v>15</v>
      </c>
      <c r="E256" s="41">
        <v>4.6249190639163816E-4</v>
      </c>
    </row>
    <row r="257" spans="2:5" ht="15" customHeight="1">
      <c r="B257" s="84"/>
      <c r="C257" s="43" t="s">
        <v>30</v>
      </c>
      <c r="D257" s="42">
        <v>2</v>
      </c>
      <c r="E257" s="41">
        <v>6.1665587518885091E-5</v>
      </c>
    </row>
    <row r="258" spans="2:5" ht="15" customHeight="1">
      <c r="B258" s="84"/>
      <c r="C258" s="43" t="s">
        <v>53</v>
      </c>
      <c r="D258" s="42">
        <v>15</v>
      </c>
      <c r="E258" s="41">
        <v>4.6249190639163816E-4</v>
      </c>
    </row>
    <row r="259" spans="2:5" ht="15" customHeight="1">
      <c r="B259" s="84"/>
      <c r="C259" s="43" t="s">
        <v>45</v>
      </c>
      <c r="D259" s="42">
        <v>35</v>
      </c>
      <c r="E259" s="41">
        <v>1.079147781580489E-3</v>
      </c>
    </row>
    <row r="260" spans="2:5" ht="15" customHeight="1">
      <c r="B260" s="84"/>
      <c r="C260" s="43" t="s">
        <v>51</v>
      </c>
      <c r="D260" s="42">
        <v>23</v>
      </c>
      <c r="E260" s="41">
        <v>7.0915425646717847E-4</v>
      </c>
    </row>
    <row r="261" spans="2:5" ht="15" customHeight="1">
      <c r="B261" s="84"/>
      <c r="C261" s="43" t="s">
        <v>46</v>
      </c>
      <c r="D261" s="42">
        <v>9</v>
      </c>
      <c r="E261" s="41">
        <v>2.7749514383498288E-4</v>
      </c>
    </row>
    <row r="262" spans="2:5" ht="15" customHeight="1">
      <c r="B262" s="84"/>
      <c r="C262" s="43" t="s">
        <v>27</v>
      </c>
      <c r="D262" s="42">
        <v>2</v>
      </c>
      <c r="E262" s="41">
        <v>6.1665587518885091E-5</v>
      </c>
    </row>
    <row r="263" spans="2:5" ht="15" customHeight="1">
      <c r="B263" s="84"/>
      <c r="C263" s="43" t="s">
        <v>48</v>
      </c>
      <c r="D263" s="42">
        <v>16</v>
      </c>
      <c r="E263" s="41">
        <v>4.9332470015108073E-4</v>
      </c>
    </row>
    <row r="264" spans="2:5" ht="15" customHeight="1">
      <c r="B264" s="84"/>
      <c r="C264" s="43" t="s">
        <v>52</v>
      </c>
      <c r="D264" s="42">
        <v>16</v>
      </c>
      <c r="E264" s="41">
        <v>4.9332470015108073E-4</v>
      </c>
    </row>
    <row r="265" spans="2:5" ht="15" customHeight="1">
      <c r="B265" s="84"/>
      <c r="C265" s="43" t="s">
        <v>35</v>
      </c>
      <c r="D265" s="42">
        <v>6</v>
      </c>
      <c r="E265" s="41">
        <v>1.8499676255665526E-4</v>
      </c>
    </row>
    <row r="266" spans="2:5" ht="15" customHeight="1">
      <c r="B266" s="84"/>
      <c r="C266" s="43" t="s">
        <v>47</v>
      </c>
      <c r="D266" s="42">
        <v>23</v>
      </c>
      <c r="E266" s="41">
        <v>7.0915425646717847E-4</v>
      </c>
    </row>
    <row r="267" spans="2:5" ht="15" customHeight="1">
      <c r="B267" s="84"/>
      <c r="C267" s="43" t="s">
        <v>38</v>
      </c>
      <c r="D267" s="42">
        <v>3</v>
      </c>
      <c r="E267" s="41">
        <v>9.249838127832763E-5</v>
      </c>
    </row>
    <row r="268" spans="2:5" ht="15" customHeight="1">
      <c r="B268" s="84"/>
      <c r="C268" s="43" t="s">
        <v>64</v>
      </c>
      <c r="D268" s="42">
        <v>151</v>
      </c>
      <c r="E268" s="41">
        <v>4.6557518576758241E-3</v>
      </c>
    </row>
    <row r="269" spans="2:5" ht="15" customHeight="1">
      <c r="B269" s="84"/>
      <c r="C269" s="43" t="s">
        <v>49</v>
      </c>
      <c r="D269" s="42">
        <v>30</v>
      </c>
      <c r="E269" s="41">
        <v>9.2498381278327633E-4</v>
      </c>
    </row>
    <row r="270" spans="2:5" ht="15" customHeight="1">
      <c r="B270" s="84"/>
      <c r="C270" s="43" t="s">
        <v>63</v>
      </c>
      <c r="D270" s="42">
        <v>93</v>
      </c>
      <c r="E270" s="41">
        <v>2.8674498196281564E-3</v>
      </c>
    </row>
    <row r="271" spans="2:5" ht="15" customHeight="1">
      <c r="B271" s="84"/>
      <c r="C271" s="43" t="s">
        <v>37</v>
      </c>
      <c r="D271" s="42">
        <v>9</v>
      </c>
      <c r="E271" s="41">
        <v>2.7749514383498288E-4</v>
      </c>
    </row>
    <row r="272" spans="2:5" ht="15" customHeight="1">
      <c r="B272" s="84"/>
      <c r="C272" s="43" t="s">
        <v>34</v>
      </c>
      <c r="D272" s="42">
        <v>3</v>
      </c>
      <c r="E272" s="41">
        <v>9.249838127832763E-5</v>
      </c>
    </row>
    <row r="273" spans="2:5" ht="15" customHeight="1">
      <c r="B273" s="84"/>
      <c r="C273" s="43" t="s">
        <v>57</v>
      </c>
      <c r="D273" s="42">
        <v>41</v>
      </c>
      <c r="E273" s="41">
        <v>1.2641445441371442E-3</v>
      </c>
    </row>
    <row r="274" spans="2:5" ht="15" customHeight="1">
      <c r="B274" s="84"/>
      <c r="C274" s="43" t="s">
        <v>28</v>
      </c>
      <c r="D274" s="42">
        <v>2</v>
      </c>
      <c r="E274" s="41">
        <v>6.1665587518885091E-5</v>
      </c>
    </row>
    <row r="275" spans="2:5" ht="15" customHeight="1">
      <c r="B275" s="84"/>
      <c r="C275" s="43" t="s">
        <v>62</v>
      </c>
      <c r="D275" s="42">
        <v>134</v>
      </c>
      <c r="E275" s="41">
        <v>4.1315943637653006E-3</v>
      </c>
    </row>
    <row r="276" spans="2:5" ht="15" customHeight="1">
      <c r="B276" s="84"/>
      <c r="C276" s="43" t="s">
        <v>69</v>
      </c>
      <c r="D276" s="42">
        <v>2797</v>
      </c>
      <c r="E276" s="41">
        <v>8.6239324145160792E-2</v>
      </c>
    </row>
    <row r="277" spans="2:5" ht="15" customHeight="1">
      <c r="B277" s="84"/>
      <c r="C277" s="43" t="s">
        <v>50</v>
      </c>
      <c r="D277" s="42">
        <v>15</v>
      </c>
      <c r="E277" s="41">
        <v>4.6249190639163816E-4</v>
      </c>
    </row>
    <row r="278" spans="2:5" ht="15" customHeight="1">
      <c r="B278" s="84"/>
      <c r="C278" s="43" t="s">
        <v>55</v>
      </c>
      <c r="D278" s="42">
        <v>35</v>
      </c>
      <c r="E278" s="41">
        <v>1.079147781580489E-3</v>
      </c>
    </row>
    <row r="279" spans="2:5" ht="15" customHeight="1">
      <c r="B279" s="84"/>
      <c r="C279" s="43" t="s">
        <v>39</v>
      </c>
      <c r="D279" s="42">
        <v>12</v>
      </c>
      <c r="E279" s="41">
        <v>3.6999352511331052E-4</v>
      </c>
    </row>
    <row r="280" spans="2:5" ht="15" customHeight="1">
      <c r="B280" s="84"/>
      <c r="C280" s="43" t="s">
        <v>29</v>
      </c>
      <c r="D280" s="42">
        <v>3</v>
      </c>
      <c r="E280" s="41">
        <v>9.249838127832763E-5</v>
      </c>
    </row>
    <row r="281" spans="2:5" ht="15" customHeight="1">
      <c r="B281" s="84"/>
      <c r="C281" s="43" t="s">
        <v>42</v>
      </c>
      <c r="D281" s="42">
        <v>10</v>
      </c>
      <c r="E281" s="41">
        <v>3.0832793759442544E-4</v>
      </c>
    </row>
    <row r="282" spans="2:5" ht="15" customHeight="1">
      <c r="B282" s="84"/>
      <c r="C282" s="43" t="s">
        <v>31</v>
      </c>
      <c r="D282" s="42">
        <v>4</v>
      </c>
      <c r="E282" s="41">
        <v>1.2333117503777018E-4</v>
      </c>
    </row>
    <row r="283" spans="2:5" ht="15" customHeight="1">
      <c r="B283" s="85"/>
      <c r="C283" s="40" t="s">
        <v>23</v>
      </c>
      <c r="D283" s="39">
        <v>4714</v>
      </c>
      <c r="E283" s="38">
        <v>0.14534578978201215</v>
      </c>
    </row>
    <row r="284" spans="2:5" ht="15" customHeight="1">
      <c r="B284" s="83" t="s">
        <v>204</v>
      </c>
      <c r="C284" s="43" t="s">
        <v>58</v>
      </c>
      <c r="D284" s="42">
        <v>8</v>
      </c>
      <c r="E284" s="41">
        <v>2.4666235007554037E-4</v>
      </c>
    </row>
    <row r="285" spans="2:5" ht="15" customHeight="1">
      <c r="B285" s="84"/>
      <c r="C285" s="43" t="s">
        <v>44</v>
      </c>
      <c r="D285" s="42">
        <v>3</v>
      </c>
      <c r="E285" s="41">
        <v>9.249838127832763E-5</v>
      </c>
    </row>
    <row r="286" spans="2:5" ht="15" customHeight="1">
      <c r="B286" s="84"/>
      <c r="C286" s="43" t="s">
        <v>61</v>
      </c>
      <c r="D286" s="42">
        <v>6</v>
      </c>
      <c r="E286" s="41">
        <v>1.8499676255665526E-4</v>
      </c>
    </row>
    <row r="287" spans="2:5" ht="15" customHeight="1">
      <c r="B287" s="84"/>
      <c r="C287" s="43" t="s">
        <v>67</v>
      </c>
      <c r="D287" s="42">
        <v>31</v>
      </c>
      <c r="E287" s="41">
        <v>9.5581660654271879E-4</v>
      </c>
    </row>
    <row r="288" spans="2:5" ht="15" customHeight="1">
      <c r="B288" s="84"/>
      <c r="C288" s="43" t="s">
        <v>56</v>
      </c>
      <c r="D288" s="42">
        <v>2</v>
      </c>
      <c r="E288" s="41">
        <v>6.1665587518885091E-5</v>
      </c>
    </row>
    <row r="289" spans="2:5" ht="15" customHeight="1">
      <c r="B289" s="84"/>
      <c r="C289" s="43" t="s">
        <v>65</v>
      </c>
      <c r="D289" s="42">
        <v>15</v>
      </c>
      <c r="E289" s="41">
        <v>4.6249190639163816E-4</v>
      </c>
    </row>
    <row r="290" spans="2:5" ht="15" customHeight="1">
      <c r="B290" s="84"/>
      <c r="C290" s="43" t="s">
        <v>68</v>
      </c>
      <c r="D290" s="42">
        <v>22</v>
      </c>
      <c r="E290" s="41">
        <v>6.7832146270773591E-4</v>
      </c>
    </row>
    <row r="291" spans="2:5" ht="15" customHeight="1">
      <c r="B291" s="84"/>
      <c r="C291" s="43" t="s">
        <v>66</v>
      </c>
      <c r="D291" s="42">
        <v>4</v>
      </c>
      <c r="E291" s="41">
        <v>1.2333117503777018E-4</v>
      </c>
    </row>
    <row r="292" spans="2:5" ht="15" customHeight="1">
      <c r="B292" s="84"/>
      <c r="C292" s="43" t="s">
        <v>54</v>
      </c>
      <c r="D292" s="42">
        <v>3</v>
      </c>
      <c r="E292" s="41">
        <v>9.249838127832763E-5</v>
      </c>
    </row>
    <row r="293" spans="2:5" ht="15" customHeight="1">
      <c r="B293" s="84"/>
      <c r="C293" s="43" t="s">
        <v>43</v>
      </c>
      <c r="D293" s="42">
        <v>3</v>
      </c>
      <c r="E293" s="41">
        <v>9.249838127832763E-5</v>
      </c>
    </row>
    <row r="294" spans="2:5" ht="15" customHeight="1">
      <c r="B294" s="84"/>
      <c r="C294" s="43" t="s">
        <v>60</v>
      </c>
      <c r="D294" s="42">
        <v>4</v>
      </c>
      <c r="E294" s="41">
        <v>1.2333117503777018E-4</v>
      </c>
    </row>
    <row r="295" spans="2:5" ht="15" customHeight="1">
      <c r="B295" s="84"/>
      <c r="C295" s="43" t="s">
        <v>53</v>
      </c>
      <c r="D295" s="42">
        <v>1</v>
      </c>
      <c r="E295" s="41">
        <v>3.0832793759442546E-5</v>
      </c>
    </row>
    <row r="296" spans="2:5" ht="15" customHeight="1">
      <c r="B296" s="84"/>
      <c r="C296" s="43" t="s">
        <v>51</v>
      </c>
      <c r="D296" s="42">
        <v>4</v>
      </c>
      <c r="E296" s="41">
        <v>1.2333117503777018E-4</v>
      </c>
    </row>
    <row r="297" spans="2:5" ht="15" customHeight="1">
      <c r="B297" s="84"/>
      <c r="C297" s="43" t="s">
        <v>27</v>
      </c>
      <c r="D297" s="42">
        <v>1</v>
      </c>
      <c r="E297" s="41">
        <v>3.0832793759442546E-5</v>
      </c>
    </row>
    <row r="298" spans="2:5" ht="15" customHeight="1">
      <c r="B298" s="84"/>
      <c r="C298" s="43" t="s">
        <v>48</v>
      </c>
      <c r="D298" s="42">
        <v>4</v>
      </c>
      <c r="E298" s="41">
        <v>1.2333117503777018E-4</v>
      </c>
    </row>
    <row r="299" spans="2:5" ht="15" customHeight="1">
      <c r="B299" s="84"/>
      <c r="C299" s="43" t="s">
        <v>52</v>
      </c>
      <c r="D299" s="42">
        <v>2</v>
      </c>
      <c r="E299" s="41">
        <v>6.1665587518885091E-5</v>
      </c>
    </row>
    <row r="300" spans="2:5" ht="15" customHeight="1">
      <c r="B300" s="84"/>
      <c r="C300" s="43" t="s">
        <v>64</v>
      </c>
      <c r="D300" s="42">
        <v>16</v>
      </c>
      <c r="E300" s="41">
        <v>4.9332470015108073E-4</v>
      </c>
    </row>
    <row r="301" spans="2:5" ht="15" customHeight="1">
      <c r="B301" s="84"/>
      <c r="C301" s="43" t="s">
        <v>49</v>
      </c>
      <c r="D301" s="42">
        <v>2</v>
      </c>
      <c r="E301" s="41">
        <v>6.1665587518885091E-5</v>
      </c>
    </row>
    <row r="302" spans="2:5" ht="15" customHeight="1">
      <c r="B302" s="84"/>
      <c r="C302" s="43" t="s">
        <v>63</v>
      </c>
      <c r="D302" s="42">
        <v>14</v>
      </c>
      <c r="E302" s="41">
        <v>4.316591126321956E-4</v>
      </c>
    </row>
    <row r="303" spans="2:5" ht="15" customHeight="1">
      <c r="B303" s="84"/>
      <c r="C303" s="43" t="s">
        <v>37</v>
      </c>
      <c r="D303" s="42">
        <v>1</v>
      </c>
      <c r="E303" s="41">
        <v>3.0832793759442546E-5</v>
      </c>
    </row>
    <row r="304" spans="2:5" ht="15" customHeight="1">
      <c r="B304" s="84"/>
      <c r="C304" s="43" t="s">
        <v>57</v>
      </c>
      <c r="D304" s="42">
        <v>3</v>
      </c>
      <c r="E304" s="41">
        <v>9.249838127832763E-5</v>
      </c>
    </row>
    <row r="305" spans="2:5" ht="15" customHeight="1">
      <c r="B305" s="84"/>
      <c r="C305" s="43" t="s">
        <v>62</v>
      </c>
      <c r="D305" s="42">
        <v>3</v>
      </c>
      <c r="E305" s="41">
        <v>9.249838127832763E-5</v>
      </c>
    </row>
    <row r="306" spans="2:5" ht="15" customHeight="1">
      <c r="B306" s="84"/>
      <c r="C306" s="43" t="s">
        <v>69</v>
      </c>
      <c r="D306" s="42">
        <v>186</v>
      </c>
      <c r="E306" s="41">
        <v>5.7348996392563127E-3</v>
      </c>
    </row>
    <row r="307" spans="2:5" ht="15" customHeight="1">
      <c r="B307" s="84"/>
      <c r="C307" s="43" t="s">
        <v>55</v>
      </c>
      <c r="D307" s="42">
        <v>1</v>
      </c>
      <c r="E307" s="41">
        <v>3.0832793759442546E-5</v>
      </c>
    </row>
    <row r="308" spans="2:5" ht="15" customHeight="1">
      <c r="B308" s="84"/>
      <c r="C308" s="43" t="s">
        <v>31</v>
      </c>
      <c r="D308" s="42">
        <v>1</v>
      </c>
      <c r="E308" s="41">
        <v>3.0832793759442546E-5</v>
      </c>
    </row>
    <row r="309" spans="2:5" ht="15" customHeight="1">
      <c r="B309" s="85"/>
      <c r="C309" s="40" t="s">
        <v>23</v>
      </c>
      <c r="D309" s="39">
        <v>340</v>
      </c>
      <c r="E309" s="38">
        <v>1.0483149878210465E-2</v>
      </c>
    </row>
    <row r="310" spans="2:5" ht="15" customHeight="1">
      <c r="B310" s="83" t="s">
        <v>203</v>
      </c>
      <c r="C310" s="43" t="s">
        <v>58</v>
      </c>
      <c r="D310" s="42">
        <v>15</v>
      </c>
      <c r="E310" s="41">
        <v>4.6249190639163816E-4</v>
      </c>
    </row>
    <row r="311" spans="2:5" ht="15" customHeight="1">
      <c r="B311" s="84"/>
      <c r="C311" s="43" t="s">
        <v>44</v>
      </c>
      <c r="D311" s="42">
        <v>3</v>
      </c>
      <c r="E311" s="41">
        <v>9.249838127832763E-5</v>
      </c>
    </row>
    <row r="312" spans="2:5" ht="15" customHeight="1">
      <c r="B312" s="84"/>
      <c r="C312" s="43" t="s">
        <v>61</v>
      </c>
      <c r="D312" s="42">
        <v>19</v>
      </c>
      <c r="E312" s="41">
        <v>5.8582308142940832E-4</v>
      </c>
    </row>
    <row r="313" spans="2:5" ht="15" customHeight="1">
      <c r="B313" s="84"/>
      <c r="C313" s="43" t="s">
        <v>67</v>
      </c>
      <c r="D313" s="42">
        <v>40</v>
      </c>
      <c r="E313" s="41">
        <v>1.2333117503777018E-3</v>
      </c>
    </row>
    <row r="314" spans="2:5" ht="15" customHeight="1">
      <c r="B314" s="84"/>
      <c r="C314" s="43" t="s">
        <v>56</v>
      </c>
      <c r="D314" s="42">
        <v>18</v>
      </c>
      <c r="E314" s="41">
        <v>5.5499028766996575E-4</v>
      </c>
    </row>
    <row r="315" spans="2:5" ht="15" customHeight="1">
      <c r="B315" s="84"/>
      <c r="C315" s="43" t="s">
        <v>32</v>
      </c>
      <c r="D315" s="42">
        <v>2</v>
      </c>
      <c r="E315" s="41">
        <v>6.1665587518885091E-5</v>
      </c>
    </row>
    <row r="316" spans="2:5" ht="15" customHeight="1">
      <c r="B316" s="84"/>
      <c r="C316" s="43" t="s">
        <v>36</v>
      </c>
      <c r="D316" s="42">
        <v>1</v>
      </c>
      <c r="E316" s="41">
        <v>3.0832793759442546E-5</v>
      </c>
    </row>
    <row r="317" spans="2:5" ht="15" customHeight="1">
      <c r="B317" s="84"/>
      <c r="C317" s="43" t="s">
        <v>65</v>
      </c>
      <c r="D317" s="42">
        <v>30</v>
      </c>
      <c r="E317" s="41">
        <v>9.2498381278327633E-4</v>
      </c>
    </row>
    <row r="318" spans="2:5" ht="15" customHeight="1">
      <c r="B318" s="84"/>
      <c r="C318" s="43" t="s">
        <v>68</v>
      </c>
      <c r="D318" s="42">
        <v>37</v>
      </c>
      <c r="E318" s="41">
        <v>1.1408133690993742E-3</v>
      </c>
    </row>
    <row r="319" spans="2:5" ht="15" customHeight="1">
      <c r="B319" s="84"/>
      <c r="C319" s="43" t="s">
        <v>66</v>
      </c>
      <c r="D319" s="42">
        <v>12</v>
      </c>
      <c r="E319" s="41">
        <v>3.6999352511331052E-4</v>
      </c>
    </row>
    <row r="320" spans="2:5" ht="15" customHeight="1">
      <c r="B320" s="84"/>
      <c r="C320" s="43" t="s">
        <v>59</v>
      </c>
      <c r="D320" s="42">
        <v>8</v>
      </c>
      <c r="E320" s="41">
        <v>2.4666235007554037E-4</v>
      </c>
    </row>
    <row r="321" spans="2:5" ht="15" customHeight="1">
      <c r="B321" s="84"/>
      <c r="C321" s="43" t="s">
        <v>41</v>
      </c>
      <c r="D321" s="42">
        <v>1</v>
      </c>
      <c r="E321" s="41">
        <v>3.0832793759442546E-5</v>
      </c>
    </row>
    <row r="322" spans="2:5" ht="15" customHeight="1">
      <c r="B322" s="84"/>
      <c r="C322" s="43" t="s">
        <v>54</v>
      </c>
      <c r="D322" s="42">
        <v>5</v>
      </c>
      <c r="E322" s="41">
        <v>1.5416396879721272E-4</v>
      </c>
    </row>
    <row r="323" spans="2:5" ht="15" customHeight="1">
      <c r="B323" s="84"/>
      <c r="C323" s="43" t="s">
        <v>43</v>
      </c>
      <c r="D323" s="42">
        <v>1</v>
      </c>
      <c r="E323" s="41">
        <v>3.0832793759442546E-5</v>
      </c>
    </row>
    <row r="324" spans="2:5" ht="15" customHeight="1">
      <c r="B324" s="84"/>
      <c r="C324" s="43" t="s">
        <v>60</v>
      </c>
      <c r="D324" s="42">
        <v>6</v>
      </c>
      <c r="E324" s="41">
        <v>1.8499676255665526E-4</v>
      </c>
    </row>
    <row r="325" spans="2:5" ht="15" customHeight="1">
      <c r="B325" s="84"/>
      <c r="C325" s="43" t="s">
        <v>40</v>
      </c>
      <c r="D325" s="42">
        <v>3</v>
      </c>
      <c r="E325" s="41">
        <v>9.249838127832763E-5</v>
      </c>
    </row>
    <row r="326" spans="2:5" ht="15" customHeight="1">
      <c r="B326" s="84"/>
      <c r="C326" s="43" t="s">
        <v>53</v>
      </c>
      <c r="D326" s="42">
        <v>2</v>
      </c>
      <c r="E326" s="41">
        <v>6.1665587518885091E-5</v>
      </c>
    </row>
    <row r="327" spans="2:5" ht="15" customHeight="1">
      <c r="B327" s="84"/>
      <c r="C327" s="43" t="s">
        <v>45</v>
      </c>
      <c r="D327" s="42">
        <v>1</v>
      </c>
      <c r="E327" s="41">
        <v>3.0832793759442546E-5</v>
      </c>
    </row>
    <row r="328" spans="2:5" ht="15" customHeight="1">
      <c r="B328" s="84"/>
      <c r="C328" s="43" t="s">
        <v>51</v>
      </c>
      <c r="D328" s="42">
        <v>7</v>
      </c>
      <c r="E328" s="41">
        <v>2.158295563160978E-4</v>
      </c>
    </row>
    <row r="329" spans="2:5" ht="15" customHeight="1">
      <c r="B329" s="84"/>
      <c r="C329" s="43" t="s">
        <v>46</v>
      </c>
      <c r="D329" s="42">
        <v>7</v>
      </c>
      <c r="E329" s="41">
        <v>2.158295563160978E-4</v>
      </c>
    </row>
    <row r="330" spans="2:5" ht="15" customHeight="1">
      <c r="B330" s="84"/>
      <c r="C330" s="43" t="s">
        <v>48</v>
      </c>
      <c r="D330" s="42">
        <v>4</v>
      </c>
      <c r="E330" s="41">
        <v>1.2333117503777018E-4</v>
      </c>
    </row>
    <row r="331" spans="2:5" ht="15" customHeight="1">
      <c r="B331" s="84"/>
      <c r="C331" s="43" t="s">
        <v>52</v>
      </c>
      <c r="D331" s="42">
        <v>3</v>
      </c>
      <c r="E331" s="41">
        <v>9.249838127832763E-5</v>
      </c>
    </row>
    <row r="332" spans="2:5" ht="15" customHeight="1">
      <c r="B332" s="84"/>
      <c r="C332" s="43" t="s">
        <v>35</v>
      </c>
      <c r="D332" s="42">
        <v>1</v>
      </c>
      <c r="E332" s="41">
        <v>3.0832793759442546E-5</v>
      </c>
    </row>
    <row r="333" spans="2:5" ht="15" customHeight="1">
      <c r="B333" s="84"/>
      <c r="C333" s="43" t="s">
        <v>47</v>
      </c>
      <c r="D333" s="42">
        <v>4</v>
      </c>
      <c r="E333" s="41">
        <v>1.2333117503777018E-4</v>
      </c>
    </row>
    <row r="334" spans="2:5" ht="15" customHeight="1">
      <c r="B334" s="84"/>
      <c r="C334" s="43" t="s">
        <v>38</v>
      </c>
      <c r="D334" s="42">
        <v>2</v>
      </c>
      <c r="E334" s="41">
        <v>6.1665587518885091E-5</v>
      </c>
    </row>
    <row r="335" spans="2:5" ht="15" customHeight="1">
      <c r="B335" s="84"/>
      <c r="C335" s="43" t="s">
        <v>64</v>
      </c>
      <c r="D335" s="42">
        <v>37</v>
      </c>
      <c r="E335" s="41">
        <v>1.1408133690993742E-3</v>
      </c>
    </row>
    <row r="336" spans="2:5" ht="15" customHeight="1">
      <c r="B336" s="84"/>
      <c r="C336" s="43" t="s">
        <v>49</v>
      </c>
      <c r="D336" s="42">
        <v>4</v>
      </c>
      <c r="E336" s="41">
        <v>1.2333117503777018E-4</v>
      </c>
    </row>
    <row r="337" spans="2:5" ht="15" customHeight="1">
      <c r="B337" s="84"/>
      <c r="C337" s="43" t="s">
        <v>63</v>
      </c>
      <c r="D337" s="42">
        <v>23</v>
      </c>
      <c r="E337" s="41">
        <v>7.0915425646717847E-4</v>
      </c>
    </row>
    <row r="338" spans="2:5" ht="15" customHeight="1">
      <c r="B338" s="84"/>
      <c r="C338" s="43" t="s">
        <v>57</v>
      </c>
      <c r="D338" s="42">
        <v>7</v>
      </c>
      <c r="E338" s="41">
        <v>2.158295563160978E-4</v>
      </c>
    </row>
    <row r="339" spans="2:5" ht="15" customHeight="1">
      <c r="B339" s="84"/>
      <c r="C339" s="43" t="s">
        <v>62</v>
      </c>
      <c r="D339" s="42">
        <v>16</v>
      </c>
      <c r="E339" s="41">
        <v>4.9332470015108073E-4</v>
      </c>
    </row>
    <row r="340" spans="2:5" ht="15" customHeight="1">
      <c r="B340" s="84"/>
      <c r="C340" s="43" t="s">
        <v>69</v>
      </c>
      <c r="D340" s="42">
        <v>401</v>
      </c>
      <c r="E340" s="41">
        <v>1.2363950297536459E-2</v>
      </c>
    </row>
    <row r="341" spans="2:5" ht="15" customHeight="1">
      <c r="B341" s="84"/>
      <c r="C341" s="43" t="s">
        <v>50</v>
      </c>
      <c r="D341" s="42">
        <v>4</v>
      </c>
      <c r="E341" s="41">
        <v>1.2333117503777018E-4</v>
      </c>
    </row>
    <row r="342" spans="2:5" ht="15" customHeight="1">
      <c r="B342" s="84"/>
      <c r="C342" s="43" t="s">
        <v>55</v>
      </c>
      <c r="D342" s="42">
        <v>7</v>
      </c>
      <c r="E342" s="41">
        <v>2.158295563160978E-4</v>
      </c>
    </row>
    <row r="343" spans="2:5" ht="15" customHeight="1">
      <c r="B343" s="84"/>
      <c r="C343" s="43" t="s">
        <v>39</v>
      </c>
      <c r="D343" s="42">
        <v>3</v>
      </c>
      <c r="E343" s="41">
        <v>9.249838127832763E-5</v>
      </c>
    </row>
    <row r="344" spans="2:5" ht="15" customHeight="1">
      <c r="B344" s="84"/>
      <c r="C344" s="43" t="s">
        <v>42</v>
      </c>
      <c r="D344" s="42">
        <v>1</v>
      </c>
      <c r="E344" s="41">
        <v>3.0832793759442546E-5</v>
      </c>
    </row>
    <row r="345" spans="2:5" ht="15" customHeight="1">
      <c r="B345" s="85"/>
      <c r="C345" s="40" t="s">
        <v>23</v>
      </c>
      <c r="D345" s="39">
        <v>735</v>
      </c>
      <c r="E345" s="38">
        <v>2.266210341319027E-2</v>
      </c>
    </row>
    <row r="346" spans="2:5" ht="15" customHeight="1">
      <c r="B346" s="83" t="s">
        <v>202</v>
      </c>
      <c r="C346" s="43" t="s">
        <v>58</v>
      </c>
      <c r="D346" s="42">
        <v>7</v>
      </c>
      <c r="E346" s="41">
        <v>2.158295563160978E-4</v>
      </c>
    </row>
    <row r="347" spans="2:5" ht="15" customHeight="1">
      <c r="B347" s="84"/>
      <c r="C347" s="43" t="s">
        <v>44</v>
      </c>
      <c r="D347" s="42">
        <v>4</v>
      </c>
      <c r="E347" s="41">
        <v>1.2333117503777018E-4</v>
      </c>
    </row>
    <row r="348" spans="2:5" ht="15" customHeight="1">
      <c r="B348" s="84"/>
      <c r="C348" s="43" t="s">
        <v>61</v>
      </c>
      <c r="D348" s="42">
        <v>24</v>
      </c>
      <c r="E348" s="41">
        <v>7.3998705022662104E-4</v>
      </c>
    </row>
    <row r="349" spans="2:5" ht="15" customHeight="1">
      <c r="B349" s="84"/>
      <c r="C349" s="43" t="s">
        <v>67</v>
      </c>
      <c r="D349" s="42">
        <v>37</v>
      </c>
      <c r="E349" s="41">
        <v>1.1408133690993742E-3</v>
      </c>
    </row>
    <row r="350" spans="2:5" ht="15" customHeight="1">
      <c r="B350" s="84"/>
      <c r="C350" s="43" t="s">
        <v>56</v>
      </c>
      <c r="D350" s="42">
        <v>10</v>
      </c>
      <c r="E350" s="41">
        <v>3.0832793759442544E-4</v>
      </c>
    </row>
    <row r="351" spans="2:5" ht="15" customHeight="1">
      <c r="B351" s="84"/>
      <c r="C351" s="43" t="s">
        <v>32</v>
      </c>
      <c r="D351" s="42">
        <v>1</v>
      </c>
      <c r="E351" s="41">
        <v>3.0832793759442546E-5</v>
      </c>
    </row>
    <row r="352" spans="2:5" ht="15" customHeight="1">
      <c r="B352" s="84"/>
      <c r="C352" s="43" t="s">
        <v>65</v>
      </c>
      <c r="D352" s="42">
        <v>51</v>
      </c>
      <c r="E352" s="41">
        <v>1.5724724817315697E-3</v>
      </c>
    </row>
    <row r="353" spans="2:5" ht="15" customHeight="1">
      <c r="B353" s="84"/>
      <c r="C353" s="43" t="s">
        <v>68</v>
      </c>
      <c r="D353" s="42">
        <v>46</v>
      </c>
      <c r="E353" s="41">
        <v>1.4183085129343569E-3</v>
      </c>
    </row>
    <row r="354" spans="2:5" ht="15" customHeight="1">
      <c r="B354" s="84"/>
      <c r="C354" s="43" t="s">
        <v>33</v>
      </c>
      <c r="D354" s="42">
        <v>2</v>
      </c>
      <c r="E354" s="41">
        <v>6.1665587518885091E-5</v>
      </c>
    </row>
    <row r="355" spans="2:5" ht="15" customHeight="1">
      <c r="B355" s="84"/>
      <c r="C355" s="43" t="s">
        <v>66</v>
      </c>
      <c r="D355" s="42">
        <v>18</v>
      </c>
      <c r="E355" s="41">
        <v>5.5499028766996575E-4</v>
      </c>
    </row>
    <row r="356" spans="2:5" ht="15" customHeight="1">
      <c r="B356" s="84"/>
      <c r="C356" s="43" t="s">
        <v>59</v>
      </c>
      <c r="D356" s="42">
        <v>12</v>
      </c>
      <c r="E356" s="41">
        <v>3.6999352511331052E-4</v>
      </c>
    </row>
    <row r="357" spans="2:5" ht="15" customHeight="1">
      <c r="B357" s="84"/>
      <c r="C357" s="43" t="s">
        <v>41</v>
      </c>
      <c r="D357" s="42">
        <v>1</v>
      </c>
      <c r="E357" s="41">
        <v>3.0832793759442546E-5</v>
      </c>
    </row>
    <row r="358" spans="2:5" ht="15" customHeight="1">
      <c r="B358" s="84"/>
      <c r="C358" s="43" t="s">
        <v>54</v>
      </c>
      <c r="D358" s="42">
        <v>11</v>
      </c>
      <c r="E358" s="41">
        <v>3.3916073135386795E-4</v>
      </c>
    </row>
    <row r="359" spans="2:5" ht="15" customHeight="1">
      <c r="B359" s="84"/>
      <c r="C359" s="43" t="s">
        <v>43</v>
      </c>
      <c r="D359" s="42">
        <v>6</v>
      </c>
      <c r="E359" s="41">
        <v>1.8499676255665526E-4</v>
      </c>
    </row>
    <row r="360" spans="2:5" ht="15" customHeight="1">
      <c r="B360" s="84"/>
      <c r="C360" s="43" t="s">
        <v>60</v>
      </c>
      <c r="D360" s="42">
        <v>11</v>
      </c>
      <c r="E360" s="41">
        <v>3.3916073135386795E-4</v>
      </c>
    </row>
    <row r="361" spans="2:5" ht="15" customHeight="1">
      <c r="B361" s="84"/>
      <c r="C361" s="43" t="s">
        <v>40</v>
      </c>
      <c r="D361" s="42">
        <v>3</v>
      </c>
      <c r="E361" s="41">
        <v>9.249838127832763E-5</v>
      </c>
    </row>
    <row r="362" spans="2:5" ht="15" customHeight="1">
      <c r="B362" s="84"/>
      <c r="C362" s="43" t="s">
        <v>53</v>
      </c>
      <c r="D362" s="42">
        <v>17</v>
      </c>
      <c r="E362" s="41">
        <v>5.2415749391052319E-4</v>
      </c>
    </row>
    <row r="363" spans="2:5" ht="15" customHeight="1">
      <c r="B363" s="84"/>
      <c r="C363" s="43" t="s">
        <v>51</v>
      </c>
      <c r="D363" s="42">
        <v>6</v>
      </c>
      <c r="E363" s="41">
        <v>1.8499676255665526E-4</v>
      </c>
    </row>
    <row r="364" spans="2:5" ht="15" customHeight="1">
      <c r="B364" s="84"/>
      <c r="C364" s="43" t="s">
        <v>46</v>
      </c>
      <c r="D364" s="42">
        <v>5</v>
      </c>
      <c r="E364" s="41">
        <v>1.5416396879721272E-4</v>
      </c>
    </row>
    <row r="365" spans="2:5" ht="15" customHeight="1">
      <c r="B365" s="84"/>
      <c r="C365" s="43" t="s">
        <v>48</v>
      </c>
      <c r="D365" s="42">
        <v>9</v>
      </c>
      <c r="E365" s="41">
        <v>2.7749514383498288E-4</v>
      </c>
    </row>
    <row r="366" spans="2:5" ht="15" customHeight="1">
      <c r="B366" s="84"/>
      <c r="C366" s="43" t="s">
        <v>52</v>
      </c>
      <c r="D366" s="42">
        <v>6</v>
      </c>
      <c r="E366" s="41">
        <v>1.8499676255665526E-4</v>
      </c>
    </row>
    <row r="367" spans="2:5" ht="15" customHeight="1">
      <c r="B367" s="84"/>
      <c r="C367" s="43" t="s">
        <v>35</v>
      </c>
      <c r="D367" s="42">
        <v>3</v>
      </c>
      <c r="E367" s="41">
        <v>9.249838127832763E-5</v>
      </c>
    </row>
    <row r="368" spans="2:5" ht="15" customHeight="1">
      <c r="B368" s="84"/>
      <c r="C368" s="43" t="s">
        <v>47</v>
      </c>
      <c r="D368" s="42">
        <v>2</v>
      </c>
      <c r="E368" s="41">
        <v>6.1665587518885091E-5</v>
      </c>
    </row>
    <row r="369" spans="2:5" ht="15" customHeight="1">
      <c r="B369" s="84"/>
      <c r="C369" s="43" t="s">
        <v>38</v>
      </c>
      <c r="D369" s="42">
        <v>1</v>
      </c>
      <c r="E369" s="41">
        <v>3.0832793759442546E-5</v>
      </c>
    </row>
    <row r="370" spans="2:5" ht="15" customHeight="1">
      <c r="B370" s="84"/>
      <c r="C370" s="43" t="s">
        <v>64</v>
      </c>
      <c r="D370" s="42">
        <v>19</v>
      </c>
      <c r="E370" s="41">
        <v>5.8582308142940832E-4</v>
      </c>
    </row>
    <row r="371" spans="2:5" ht="15" customHeight="1">
      <c r="B371" s="84"/>
      <c r="C371" s="43" t="s">
        <v>49</v>
      </c>
      <c r="D371" s="42">
        <v>7</v>
      </c>
      <c r="E371" s="41">
        <v>2.158295563160978E-4</v>
      </c>
    </row>
    <row r="372" spans="2:5" ht="15" customHeight="1">
      <c r="B372" s="84"/>
      <c r="C372" s="43" t="s">
        <v>63</v>
      </c>
      <c r="D372" s="42">
        <v>21</v>
      </c>
      <c r="E372" s="41">
        <v>6.4748866894829345E-4</v>
      </c>
    </row>
    <row r="373" spans="2:5" ht="15" customHeight="1">
      <c r="B373" s="84"/>
      <c r="C373" s="43" t="s">
        <v>37</v>
      </c>
      <c r="D373" s="42">
        <v>2</v>
      </c>
      <c r="E373" s="41">
        <v>6.1665587518885091E-5</v>
      </c>
    </row>
    <row r="374" spans="2:5" ht="15" customHeight="1">
      <c r="B374" s="84"/>
      <c r="C374" s="43" t="s">
        <v>34</v>
      </c>
      <c r="D374" s="42">
        <v>2</v>
      </c>
      <c r="E374" s="41">
        <v>6.1665587518885091E-5</v>
      </c>
    </row>
    <row r="375" spans="2:5" ht="15" customHeight="1">
      <c r="B375" s="84"/>
      <c r="C375" s="43" t="s">
        <v>57</v>
      </c>
      <c r="D375" s="42">
        <v>12</v>
      </c>
      <c r="E375" s="41">
        <v>3.6999352511331052E-4</v>
      </c>
    </row>
    <row r="376" spans="2:5" ht="15" customHeight="1">
      <c r="B376" s="84"/>
      <c r="C376" s="43" t="s">
        <v>62</v>
      </c>
      <c r="D376" s="42">
        <v>20</v>
      </c>
      <c r="E376" s="41">
        <v>6.1665587518885089E-4</v>
      </c>
    </row>
    <row r="377" spans="2:5" ht="15" customHeight="1">
      <c r="B377" s="84"/>
      <c r="C377" s="43" t="s">
        <v>69</v>
      </c>
      <c r="D377" s="42">
        <v>765</v>
      </c>
      <c r="E377" s="41">
        <v>2.3587087225973545E-2</v>
      </c>
    </row>
    <row r="378" spans="2:5" ht="15" customHeight="1">
      <c r="B378" s="84"/>
      <c r="C378" s="43" t="s">
        <v>50</v>
      </c>
      <c r="D378" s="42">
        <v>7</v>
      </c>
      <c r="E378" s="41">
        <v>2.158295563160978E-4</v>
      </c>
    </row>
    <row r="379" spans="2:5" ht="15" customHeight="1">
      <c r="B379" s="84"/>
      <c r="C379" s="43" t="s">
        <v>55</v>
      </c>
      <c r="D379" s="42">
        <v>9</v>
      </c>
      <c r="E379" s="41">
        <v>2.7749514383498288E-4</v>
      </c>
    </row>
    <row r="380" spans="2:5" ht="15" customHeight="1">
      <c r="B380" s="84"/>
      <c r="C380" s="43" t="s">
        <v>39</v>
      </c>
      <c r="D380" s="42">
        <v>6</v>
      </c>
      <c r="E380" s="41">
        <v>1.8499676255665526E-4</v>
      </c>
    </row>
    <row r="381" spans="2:5" ht="15" customHeight="1">
      <c r="B381" s="84"/>
      <c r="C381" s="43" t="s">
        <v>42</v>
      </c>
      <c r="D381" s="42">
        <v>1</v>
      </c>
      <c r="E381" s="41">
        <v>3.0832793759442546E-5</v>
      </c>
    </row>
    <row r="382" spans="2:5" ht="15" customHeight="1">
      <c r="B382" s="84"/>
      <c r="C382" s="43" t="s">
        <v>31</v>
      </c>
      <c r="D382" s="42">
        <v>2</v>
      </c>
      <c r="E382" s="41">
        <v>6.1665587518885091E-5</v>
      </c>
    </row>
    <row r="383" spans="2:5" ht="15" customHeight="1">
      <c r="B383" s="85"/>
      <c r="C383" s="40" t="s">
        <v>23</v>
      </c>
      <c r="D383" s="39">
        <v>1166</v>
      </c>
      <c r="E383" s="38">
        <v>3.5951037523510004E-2</v>
      </c>
    </row>
    <row r="384" spans="2:5" ht="15" customHeight="1">
      <c r="B384" s="83" t="s">
        <v>201</v>
      </c>
      <c r="C384" s="43" t="s">
        <v>58</v>
      </c>
      <c r="D384" s="42">
        <v>92</v>
      </c>
      <c r="E384" s="41">
        <v>2.8366170258687139E-3</v>
      </c>
    </row>
    <row r="385" spans="2:5" ht="15" customHeight="1">
      <c r="B385" s="84"/>
      <c r="C385" s="43" t="s">
        <v>44</v>
      </c>
      <c r="D385" s="42">
        <v>36</v>
      </c>
      <c r="E385" s="41">
        <v>1.1099805753399315E-3</v>
      </c>
    </row>
    <row r="386" spans="2:5" ht="15" customHeight="1">
      <c r="B386" s="84"/>
      <c r="C386" s="43" t="s">
        <v>61</v>
      </c>
      <c r="D386" s="42">
        <v>184</v>
      </c>
      <c r="E386" s="41">
        <v>5.6732340517374278E-3</v>
      </c>
    </row>
    <row r="387" spans="2:5" ht="15" customHeight="1">
      <c r="B387" s="84"/>
      <c r="C387" s="43" t="s">
        <v>67</v>
      </c>
      <c r="D387" s="42">
        <v>420</v>
      </c>
      <c r="E387" s="41">
        <v>1.2949773378965869E-2</v>
      </c>
    </row>
    <row r="388" spans="2:5" ht="15" customHeight="1">
      <c r="B388" s="84"/>
      <c r="C388" s="43" t="s">
        <v>56</v>
      </c>
      <c r="D388" s="42">
        <v>74</v>
      </c>
      <c r="E388" s="41">
        <v>2.2816267381987484E-3</v>
      </c>
    </row>
    <row r="389" spans="2:5" ht="15" customHeight="1">
      <c r="B389" s="84"/>
      <c r="C389" s="43" t="s">
        <v>32</v>
      </c>
      <c r="D389" s="42">
        <v>7</v>
      </c>
      <c r="E389" s="41">
        <v>2.158295563160978E-4</v>
      </c>
    </row>
    <row r="390" spans="2:5" ht="15" customHeight="1">
      <c r="B390" s="84"/>
      <c r="C390" s="43" t="s">
        <v>36</v>
      </c>
      <c r="D390" s="42">
        <v>14</v>
      </c>
      <c r="E390" s="41">
        <v>4.316591126321956E-4</v>
      </c>
    </row>
    <row r="391" spans="2:5" ht="15" customHeight="1">
      <c r="B391" s="84"/>
      <c r="C391" s="43" t="s">
        <v>65</v>
      </c>
      <c r="D391" s="42">
        <v>301</v>
      </c>
      <c r="E391" s="41">
        <v>9.2806709215922049E-3</v>
      </c>
    </row>
    <row r="392" spans="2:5" ht="15" customHeight="1">
      <c r="B392" s="84"/>
      <c r="C392" s="43" t="s">
        <v>68</v>
      </c>
      <c r="D392" s="42">
        <v>574</v>
      </c>
      <c r="E392" s="41">
        <v>1.7698023617920021E-2</v>
      </c>
    </row>
    <row r="393" spans="2:5" ht="15" customHeight="1">
      <c r="B393" s="84"/>
      <c r="C393" s="43" t="s">
        <v>33</v>
      </c>
      <c r="D393" s="42">
        <v>12</v>
      </c>
      <c r="E393" s="41">
        <v>3.6999352511331052E-4</v>
      </c>
    </row>
    <row r="394" spans="2:5" ht="15" customHeight="1">
      <c r="B394" s="84"/>
      <c r="C394" s="43" t="s">
        <v>66</v>
      </c>
      <c r="D394" s="42">
        <v>381</v>
      </c>
      <c r="E394" s="41">
        <v>1.1747294422347608E-2</v>
      </c>
    </row>
    <row r="395" spans="2:5" ht="15" customHeight="1">
      <c r="B395" s="84"/>
      <c r="C395" s="43" t="s">
        <v>59</v>
      </c>
      <c r="D395" s="42">
        <v>106</v>
      </c>
      <c r="E395" s="41">
        <v>3.2682761385009096E-3</v>
      </c>
    </row>
    <row r="396" spans="2:5" ht="15" customHeight="1">
      <c r="B396" s="84"/>
      <c r="C396" s="43" t="s">
        <v>41</v>
      </c>
      <c r="D396" s="42">
        <v>28</v>
      </c>
      <c r="E396" s="41">
        <v>8.633182252643912E-4</v>
      </c>
    </row>
    <row r="397" spans="2:5" ht="15" customHeight="1">
      <c r="B397" s="84"/>
      <c r="C397" s="43" t="s">
        <v>54</v>
      </c>
      <c r="D397" s="42">
        <v>64</v>
      </c>
      <c r="E397" s="41">
        <v>1.9732988006043229E-3</v>
      </c>
    </row>
    <row r="398" spans="2:5" ht="15" customHeight="1">
      <c r="B398" s="84"/>
      <c r="C398" s="43" t="s">
        <v>43</v>
      </c>
      <c r="D398" s="42">
        <v>33</v>
      </c>
      <c r="E398" s="41">
        <v>1.0174821940616039E-3</v>
      </c>
    </row>
    <row r="399" spans="2:5" ht="15" customHeight="1">
      <c r="B399" s="84"/>
      <c r="C399" s="43" t="s">
        <v>60</v>
      </c>
      <c r="D399" s="42">
        <v>105</v>
      </c>
      <c r="E399" s="41">
        <v>3.2374433447414671E-3</v>
      </c>
    </row>
    <row r="400" spans="2:5" ht="15" customHeight="1">
      <c r="B400" s="84"/>
      <c r="C400" s="43" t="s">
        <v>40</v>
      </c>
      <c r="D400" s="42">
        <v>24</v>
      </c>
      <c r="E400" s="41">
        <v>7.3998705022662104E-4</v>
      </c>
    </row>
    <row r="401" spans="2:5" ht="15" customHeight="1">
      <c r="B401" s="84"/>
      <c r="C401" s="43" t="s">
        <v>30</v>
      </c>
      <c r="D401" s="42">
        <v>8</v>
      </c>
      <c r="E401" s="41">
        <v>2.4666235007554037E-4</v>
      </c>
    </row>
    <row r="402" spans="2:5" ht="15" customHeight="1">
      <c r="B402" s="84"/>
      <c r="C402" s="43" t="s">
        <v>53</v>
      </c>
      <c r="D402" s="42">
        <v>48</v>
      </c>
      <c r="E402" s="41">
        <v>1.4799741004532421E-3</v>
      </c>
    </row>
    <row r="403" spans="2:5" ht="15" customHeight="1">
      <c r="B403" s="84"/>
      <c r="C403" s="43" t="s">
        <v>45</v>
      </c>
      <c r="D403" s="42">
        <v>43</v>
      </c>
      <c r="E403" s="41">
        <v>1.3258101316560294E-3</v>
      </c>
    </row>
    <row r="404" spans="2:5" ht="15" customHeight="1">
      <c r="B404" s="84"/>
      <c r="C404" s="43" t="s">
        <v>51</v>
      </c>
      <c r="D404" s="42">
        <v>49</v>
      </c>
      <c r="E404" s="41">
        <v>1.5108068942126845E-3</v>
      </c>
    </row>
    <row r="405" spans="2:5" ht="15" customHeight="1">
      <c r="B405" s="84"/>
      <c r="C405" s="43" t="s">
        <v>46</v>
      </c>
      <c r="D405" s="42">
        <v>42</v>
      </c>
      <c r="E405" s="41">
        <v>1.2949773378965869E-3</v>
      </c>
    </row>
    <row r="406" spans="2:5" ht="15" customHeight="1">
      <c r="B406" s="84"/>
      <c r="C406" s="43" t="s">
        <v>27</v>
      </c>
      <c r="D406" s="42">
        <v>1</v>
      </c>
      <c r="E406" s="41">
        <v>3.0832793759442546E-5</v>
      </c>
    </row>
    <row r="407" spans="2:5" ht="15" customHeight="1">
      <c r="B407" s="84"/>
      <c r="C407" s="43" t="s">
        <v>48</v>
      </c>
      <c r="D407" s="42">
        <v>48</v>
      </c>
      <c r="E407" s="41">
        <v>1.4799741004532421E-3</v>
      </c>
    </row>
    <row r="408" spans="2:5" ht="15" customHeight="1">
      <c r="B408" s="84"/>
      <c r="C408" s="43" t="s">
        <v>52</v>
      </c>
      <c r="D408" s="42">
        <v>61</v>
      </c>
      <c r="E408" s="41">
        <v>1.8808004193259951E-3</v>
      </c>
    </row>
    <row r="409" spans="2:5" ht="15" customHeight="1">
      <c r="B409" s="84"/>
      <c r="C409" s="43" t="s">
        <v>25</v>
      </c>
      <c r="D409" s="42">
        <v>1</v>
      </c>
      <c r="E409" s="41">
        <v>3.0832793759442546E-5</v>
      </c>
    </row>
    <row r="410" spans="2:5" ht="15" customHeight="1">
      <c r="B410" s="84"/>
      <c r="C410" s="43" t="s">
        <v>35</v>
      </c>
      <c r="D410" s="42">
        <v>9</v>
      </c>
      <c r="E410" s="41">
        <v>2.7749514383498288E-4</v>
      </c>
    </row>
    <row r="411" spans="2:5" ht="15" customHeight="1">
      <c r="B411" s="84"/>
      <c r="C411" s="43" t="s">
        <v>47</v>
      </c>
      <c r="D411" s="42">
        <v>37</v>
      </c>
      <c r="E411" s="41">
        <v>1.1408133690993742E-3</v>
      </c>
    </row>
    <row r="412" spans="2:5" ht="15" customHeight="1">
      <c r="B412" s="84"/>
      <c r="C412" s="43" t="s">
        <v>38</v>
      </c>
      <c r="D412" s="42">
        <v>26</v>
      </c>
      <c r="E412" s="41">
        <v>8.0165263774550617E-4</v>
      </c>
    </row>
    <row r="413" spans="2:5" ht="15" customHeight="1">
      <c r="B413" s="84"/>
      <c r="C413" s="43" t="s">
        <v>64</v>
      </c>
      <c r="D413" s="42">
        <v>261</v>
      </c>
      <c r="E413" s="41">
        <v>8.0473591712145031E-3</v>
      </c>
    </row>
    <row r="414" spans="2:5" ht="15" customHeight="1">
      <c r="B414" s="84"/>
      <c r="C414" s="43" t="s">
        <v>49</v>
      </c>
      <c r="D414" s="42">
        <v>50</v>
      </c>
      <c r="E414" s="41">
        <v>1.5416396879721272E-3</v>
      </c>
    </row>
    <row r="415" spans="2:5" ht="15" customHeight="1">
      <c r="B415" s="84"/>
      <c r="C415" s="43" t="s">
        <v>63</v>
      </c>
      <c r="D415" s="42">
        <v>266</v>
      </c>
      <c r="E415" s="41">
        <v>8.2015231400117163E-3</v>
      </c>
    </row>
    <row r="416" spans="2:5" ht="15" customHeight="1">
      <c r="B416" s="84"/>
      <c r="C416" s="43" t="s">
        <v>37</v>
      </c>
      <c r="D416" s="42">
        <v>7</v>
      </c>
      <c r="E416" s="41">
        <v>2.158295563160978E-4</v>
      </c>
    </row>
    <row r="417" spans="2:5" ht="15" customHeight="1">
      <c r="B417" s="84"/>
      <c r="C417" s="43" t="s">
        <v>34</v>
      </c>
      <c r="D417" s="42">
        <v>11</v>
      </c>
      <c r="E417" s="41">
        <v>3.3916073135386795E-4</v>
      </c>
    </row>
    <row r="418" spans="2:5" ht="15" customHeight="1">
      <c r="B418" s="84"/>
      <c r="C418" s="43" t="s">
        <v>26</v>
      </c>
      <c r="D418" s="42">
        <v>1</v>
      </c>
      <c r="E418" s="41">
        <v>3.0832793759442546E-5</v>
      </c>
    </row>
    <row r="419" spans="2:5" ht="15" customHeight="1">
      <c r="B419" s="84"/>
      <c r="C419" s="43" t="s">
        <v>57</v>
      </c>
      <c r="D419" s="42">
        <v>99</v>
      </c>
      <c r="E419" s="41">
        <v>3.052446582184812E-3</v>
      </c>
    </row>
    <row r="420" spans="2:5" ht="15" customHeight="1">
      <c r="B420" s="84"/>
      <c r="C420" s="43" t="s">
        <v>28</v>
      </c>
      <c r="D420" s="42">
        <v>4</v>
      </c>
      <c r="E420" s="41">
        <v>1.2333117503777018E-4</v>
      </c>
    </row>
    <row r="421" spans="2:5" ht="15" customHeight="1">
      <c r="B421" s="84"/>
      <c r="C421" s="43" t="s">
        <v>62</v>
      </c>
      <c r="D421" s="42">
        <v>260</v>
      </c>
      <c r="E421" s="41">
        <v>8.0165263774550615E-3</v>
      </c>
    </row>
    <row r="422" spans="2:5" ht="15" customHeight="1">
      <c r="B422" s="84"/>
      <c r="C422" s="43" t="s">
        <v>69</v>
      </c>
      <c r="D422" s="42">
        <v>7705</v>
      </c>
      <c r="E422" s="41">
        <v>0.23756667591650479</v>
      </c>
    </row>
    <row r="423" spans="2:5" ht="15" customHeight="1">
      <c r="B423" s="84"/>
      <c r="C423" s="43" t="s">
        <v>50</v>
      </c>
      <c r="D423" s="42">
        <v>43</v>
      </c>
      <c r="E423" s="41">
        <v>1.3258101316560294E-3</v>
      </c>
    </row>
    <row r="424" spans="2:5" ht="15" customHeight="1">
      <c r="B424" s="84"/>
      <c r="C424" s="43" t="s">
        <v>55</v>
      </c>
      <c r="D424" s="42">
        <v>68</v>
      </c>
      <c r="E424" s="41">
        <v>2.0966299756420928E-3</v>
      </c>
    </row>
    <row r="425" spans="2:5" ht="15" customHeight="1">
      <c r="B425" s="84"/>
      <c r="C425" s="43" t="s">
        <v>39</v>
      </c>
      <c r="D425" s="42">
        <v>22</v>
      </c>
      <c r="E425" s="41">
        <v>6.7832146270773591E-4</v>
      </c>
    </row>
    <row r="426" spans="2:5" ht="15" customHeight="1">
      <c r="B426" s="84"/>
      <c r="C426" s="43" t="s">
        <v>29</v>
      </c>
      <c r="D426" s="42">
        <v>2</v>
      </c>
      <c r="E426" s="41">
        <v>6.1665587518885091E-5</v>
      </c>
    </row>
    <row r="427" spans="2:5" ht="15" customHeight="1">
      <c r="B427" s="84"/>
      <c r="C427" s="43" t="s">
        <v>42</v>
      </c>
      <c r="D427" s="42">
        <v>41</v>
      </c>
      <c r="E427" s="41">
        <v>1.2641445441371442E-3</v>
      </c>
    </row>
    <row r="428" spans="2:5" ht="15" customHeight="1">
      <c r="B428" s="84"/>
      <c r="C428" s="43" t="s">
        <v>31</v>
      </c>
      <c r="D428" s="42">
        <v>2</v>
      </c>
      <c r="E428" s="41">
        <v>6.1665587518885091E-5</v>
      </c>
    </row>
    <row r="429" spans="2:5" ht="15" customHeight="1">
      <c r="B429" s="85"/>
      <c r="C429" s="40" t="s">
        <v>23</v>
      </c>
      <c r="D429" s="39">
        <v>11670</v>
      </c>
      <c r="E429" s="38">
        <v>0.35981870317269449</v>
      </c>
    </row>
    <row r="430" spans="2:5" ht="15" customHeight="1">
      <c r="B430" s="83" t="s">
        <v>200</v>
      </c>
      <c r="C430" s="43" t="s">
        <v>58</v>
      </c>
      <c r="D430" s="42">
        <v>5</v>
      </c>
      <c r="E430" s="41">
        <v>1.5416396879721272E-4</v>
      </c>
    </row>
    <row r="431" spans="2:5" ht="15" customHeight="1">
      <c r="B431" s="84"/>
      <c r="C431" s="43" t="s">
        <v>61</v>
      </c>
      <c r="D431" s="42">
        <v>4</v>
      </c>
      <c r="E431" s="41">
        <v>1.2333117503777018E-4</v>
      </c>
    </row>
    <row r="432" spans="2:5" ht="15" customHeight="1">
      <c r="B432" s="84"/>
      <c r="C432" s="43" t="s">
        <v>67</v>
      </c>
      <c r="D432" s="42">
        <v>25</v>
      </c>
      <c r="E432" s="41">
        <v>7.7081984398606361E-4</v>
      </c>
    </row>
    <row r="433" spans="2:5" ht="15" customHeight="1">
      <c r="B433" s="84"/>
      <c r="C433" s="43" t="s">
        <v>56</v>
      </c>
      <c r="D433" s="42">
        <v>5</v>
      </c>
      <c r="E433" s="41">
        <v>1.5416396879721272E-4</v>
      </c>
    </row>
    <row r="434" spans="2:5" ht="15" customHeight="1">
      <c r="B434" s="84"/>
      <c r="C434" s="43" t="s">
        <v>36</v>
      </c>
      <c r="D434" s="42">
        <v>2</v>
      </c>
      <c r="E434" s="41">
        <v>6.1665587518885091E-5</v>
      </c>
    </row>
    <row r="435" spans="2:5" ht="15" customHeight="1">
      <c r="B435" s="84"/>
      <c r="C435" s="43" t="s">
        <v>65</v>
      </c>
      <c r="D435" s="42">
        <v>4</v>
      </c>
      <c r="E435" s="41">
        <v>1.2333117503777018E-4</v>
      </c>
    </row>
    <row r="436" spans="2:5" ht="15" customHeight="1">
      <c r="B436" s="84"/>
      <c r="C436" s="43" t="s">
        <v>68</v>
      </c>
      <c r="D436" s="42">
        <v>25</v>
      </c>
      <c r="E436" s="41">
        <v>7.7081984398606361E-4</v>
      </c>
    </row>
    <row r="437" spans="2:5" ht="15" customHeight="1">
      <c r="B437" s="84"/>
      <c r="C437" s="43" t="s">
        <v>66</v>
      </c>
      <c r="D437" s="42">
        <v>41</v>
      </c>
      <c r="E437" s="41">
        <v>1.2641445441371442E-3</v>
      </c>
    </row>
    <row r="438" spans="2:5" ht="15" customHeight="1">
      <c r="B438" s="84"/>
      <c r="C438" s="43" t="s">
        <v>59</v>
      </c>
      <c r="D438" s="42">
        <v>5</v>
      </c>
      <c r="E438" s="41">
        <v>1.5416396879721272E-4</v>
      </c>
    </row>
    <row r="439" spans="2:5" ht="15" customHeight="1">
      <c r="B439" s="84"/>
      <c r="C439" s="43" t="s">
        <v>41</v>
      </c>
      <c r="D439" s="42">
        <v>2</v>
      </c>
      <c r="E439" s="41">
        <v>6.1665587518885091E-5</v>
      </c>
    </row>
    <row r="440" spans="2:5" ht="15" customHeight="1">
      <c r="B440" s="84"/>
      <c r="C440" s="43" t="s">
        <v>54</v>
      </c>
      <c r="D440" s="42">
        <v>2</v>
      </c>
      <c r="E440" s="41">
        <v>6.1665587518885091E-5</v>
      </c>
    </row>
    <row r="441" spans="2:5" ht="15" customHeight="1">
      <c r="B441" s="84"/>
      <c r="C441" s="43" t="s">
        <v>43</v>
      </c>
      <c r="D441" s="42">
        <v>1</v>
      </c>
      <c r="E441" s="41">
        <v>3.0832793759442546E-5</v>
      </c>
    </row>
    <row r="442" spans="2:5" ht="15" customHeight="1">
      <c r="B442" s="84"/>
      <c r="C442" s="43" t="s">
        <v>60</v>
      </c>
      <c r="D442" s="42">
        <v>11</v>
      </c>
      <c r="E442" s="41">
        <v>3.3916073135386795E-4</v>
      </c>
    </row>
    <row r="443" spans="2:5" ht="15" customHeight="1">
      <c r="B443" s="84"/>
      <c r="C443" s="43" t="s">
        <v>40</v>
      </c>
      <c r="D443" s="42">
        <v>1</v>
      </c>
      <c r="E443" s="41">
        <v>3.0832793759442546E-5</v>
      </c>
    </row>
    <row r="444" spans="2:5" ht="15" customHeight="1">
      <c r="B444" s="84"/>
      <c r="C444" s="43" t="s">
        <v>53</v>
      </c>
      <c r="D444" s="42">
        <v>4</v>
      </c>
      <c r="E444" s="41">
        <v>1.2333117503777018E-4</v>
      </c>
    </row>
    <row r="445" spans="2:5" ht="15" customHeight="1">
      <c r="B445" s="84"/>
      <c r="C445" s="43" t="s">
        <v>45</v>
      </c>
      <c r="D445" s="42">
        <v>4</v>
      </c>
      <c r="E445" s="41">
        <v>1.2333117503777018E-4</v>
      </c>
    </row>
    <row r="446" spans="2:5" ht="15" customHeight="1">
      <c r="B446" s="84"/>
      <c r="C446" s="43" t="s">
        <v>46</v>
      </c>
      <c r="D446" s="42">
        <v>1</v>
      </c>
      <c r="E446" s="41">
        <v>3.0832793759442546E-5</v>
      </c>
    </row>
    <row r="447" spans="2:5" ht="15" customHeight="1">
      <c r="B447" s="84"/>
      <c r="C447" s="43" t="s">
        <v>48</v>
      </c>
      <c r="D447" s="42">
        <v>2</v>
      </c>
      <c r="E447" s="41">
        <v>6.1665587518885091E-5</v>
      </c>
    </row>
    <row r="448" spans="2:5" ht="15" customHeight="1">
      <c r="B448" s="84"/>
      <c r="C448" s="43" t="s">
        <v>52</v>
      </c>
      <c r="D448" s="42">
        <v>2</v>
      </c>
      <c r="E448" s="41">
        <v>6.1665587518885091E-5</v>
      </c>
    </row>
    <row r="449" spans="2:5" ht="15" customHeight="1">
      <c r="B449" s="84"/>
      <c r="C449" s="43" t="s">
        <v>38</v>
      </c>
      <c r="D449" s="42">
        <v>1</v>
      </c>
      <c r="E449" s="41">
        <v>3.0832793759442546E-5</v>
      </c>
    </row>
    <row r="450" spans="2:5" ht="15" customHeight="1">
      <c r="B450" s="84"/>
      <c r="C450" s="43" t="s">
        <v>64</v>
      </c>
      <c r="D450" s="42">
        <v>18</v>
      </c>
      <c r="E450" s="41">
        <v>5.5499028766996575E-4</v>
      </c>
    </row>
    <row r="451" spans="2:5" ht="15" customHeight="1">
      <c r="B451" s="84"/>
      <c r="C451" s="43" t="s">
        <v>49</v>
      </c>
      <c r="D451" s="42">
        <v>2</v>
      </c>
      <c r="E451" s="41">
        <v>6.1665587518885091E-5</v>
      </c>
    </row>
    <row r="452" spans="2:5" ht="15" customHeight="1">
      <c r="B452" s="84"/>
      <c r="C452" s="43" t="s">
        <v>63</v>
      </c>
      <c r="D452" s="42">
        <v>6</v>
      </c>
      <c r="E452" s="41">
        <v>1.8499676255665526E-4</v>
      </c>
    </row>
    <row r="453" spans="2:5" ht="15" customHeight="1">
      <c r="B453" s="84"/>
      <c r="C453" s="43" t="s">
        <v>37</v>
      </c>
      <c r="D453" s="42">
        <v>1</v>
      </c>
      <c r="E453" s="41">
        <v>3.0832793759442546E-5</v>
      </c>
    </row>
    <row r="454" spans="2:5" ht="15" customHeight="1">
      <c r="B454" s="84"/>
      <c r="C454" s="43" t="s">
        <v>34</v>
      </c>
      <c r="D454" s="42">
        <v>1</v>
      </c>
      <c r="E454" s="41">
        <v>3.0832793759442546E-5</v>
      </c>
    </row>
    <row r="455" spans="2:5" ht="15" customHeight="1">
      <c r="B455" s="84"/>
      <c r="C455" s="43" t="s">
        <v>57</v>
      </c>
      <c r="D455" s="42">
        <v>5</v>
      </c>
      <c r="E455" s="41">
        <v>1.5416396879721272E-4</v>
      </c>
    </row>
    <row r="456" spans="2:5" ht="15" customHeight="1">
      <c r="B456" s="84"/>
      <c r="C456" s="43" t="s">
        <v>62</v>
      </c>
      <c r="D456" s="42">
        <v>5</v>
      </c>
      <c r="E456" s="41">
        <v>1.5416396879721272E-4</v>
      </c>
    </row>
    <row r="457" spans="2:5" ht="15" customHeight="1">
      <c r="B457" s="84"/>
      <c r="C457" s="43" t="s">
        <v>69</v>
      </c>
      <c r="D457" s="42">
        <v>288</v>
      </c>
      <c r="E457" s="41">
        <v>8.8798446027194521E-3</v>
      </c>
    </row>
    <row r="458" spans="2:5" ht="15" customHeight="1">
      <c r="B458" s="84"/>
      <c r="C458" s="43" t="s">
        <v>50</v>
      </c>
      <c r="D458" s="42">
        <v>2</v>
      </c>
      <c r="E458" s="41">
        <v>6.1665587518885091E-5</v>
      </c>
    </row>
    <row r="459" spans="2:5" ht="15" customHeight="1">
      <c r="B459" s="84"/>
      <c r="C459" s="43" t="s">
        <v>55</v>
      </c>
      <c r="D459" s="42">
        <v>1</v>
      </c>
      <c r="E459" s="41">
        <v>3.0832793759442546E-5</v>
      </c>
    </row>
    <row r="460" spans="2:5" ht="15" customHeight="1">
      <c r="B460" s="84"/>
      <c r="C460" s="43" t="s">
        <v>39</v>
      </c>
      <c r="D460" s="42">
        <v>1</v>
      </c>
      <c r="E460" s="41">
        <v>3.0832793759442546E-5</v>
      </c>
    </row>
    <row r="461" spans="2:5" ht="15" customHeight="1">
      <c r="B461" s="84"/>
      <c r="C461" s="43" t="s">
        <v>42</v>
      </c>
      <c r="D461" s="42">
        <v>2</v>
      </c>
      <c r="E461" s="41">
        <v>6.1665587518885091E-5</v>
      </c>
    </row>
    <row r="462" spans="2:5" ht="15" customHeight="1">
      <c r="B462" s="85"/>
      <c r="C462" s="40" t="s">
        <v>23</v>
      </c>
      <c r="D462" s="39">
        <v>479</v>
      </c>
      <c r="E462" s="38">
        <v>1.4768908210772978E-2</v>
      </c>
    </row>
    <row r="463" spans="2:5" ht="15" customHeight="1">
      <c r="B463" s="83" t="s">
        <v>199</v>
      </c>
      <c r="C463" s="43" t="s">
        <v>58</v>
      </c>
      <c r="D463" s="42">
        <v>15</v>
      </c>
      <c r="E463" s="41">
        <v>4.6249190639163816E-4</v>
      </c>
    </row>
    <row r="464" spans="2:5" ht="15" customHeight="1">
      <c r="B464" s="84"/>
      <c r="C464" s="43" t="s">
        <v>61</v>
      </c>
      <c r="D464" s="42">
        <v>19</v>
      </c>
      <c r="E464" s="41">
        <v>5.8582308142940832E-4</v>
      </c>
    </row>
    <row r="465" spans="2:5" ht="15" customHeight="1">
      <c r="B465" s="84"/>
      <c r="C465" s="43" t="s">
        <v>67</v>
      </c>
      <c r="D465" s="42">
        <v>58</v>
      </c>
      <c r="E465" s="41">
        <v>1.7883020380476675E-3</v>
      </c>
    </row>
    <row r="466" spans="2:5" ht="15" customHeight="1">
      <c r="B466" s="84"/>
      <c r="C466" s="43" t="s">
        <v>56</v>
      </c>
      <c r="D466" s="42">
        <v>11</v>
      </c>
      <c r="E466" s="41">
        <v>3.3916073135386795E-4</v>
      </c>
    </row>
    <row r="467" spans="2:5" ht="15" customHeight="1">
      <c r="B467" s="84"/>
      <c r="C467" s="43" t="s">
        <v>32</v>
      </c>
      <c r="D467" s="42">
        <v>3</v>
      </c>
      <c r="E467" s="41">
        <v>9.249838127832763E-5</v>
      </c>
    </row>
    <row r="468" spans="2:5" ht="15" customHeight="1">
      <c r="B468" s="84"/>
      <c r="C468" s="43" t="s">
        <v>36</v>
      </c>
      <c r="D468" s="42">
        <v>4</v>
      </c>
      <c r="E468" s="41">
        <v>1.2333117503777018E-4</v>
      </c>
    </row>
    <row r="469" spans="2:5" ht="15" customHeight="1">
      <c r="B469" s="84"/>
      <c r="C469" s="43" t="s">
        <v>65</v>
      </c>
      <c r="D469" s="42">
        <v>44</v>
      </c>
      <c r="E469" s="41">
        <v>1.3566429254154718E-3</v>
      </c>
    </row>
    <row r="470" spans="2:5" ht="15" customHeight="1">
      <c r="B470" s="84"/>
      <c r="C470" s="43" t="s">
        <v>68</v>
      </c>
      <c r="D470" s="42">
        <v>40</v>
      </c>
      <c r="E470" s="41">
        <v>1.2333117503777018E-3</v>
      </c>
    </row>
    <row r="471" spans="2:5" ht="15" customHeight="1">
      <c r="B471" s="84"/>
      <c r="C471" s="43" t="s">
        <v>33</v>
      </c>
      <c r="D471" s="42">
        <v>1</v>
      </c>
      <c r="E471" s="41">
        <v>3.0832793759442546E-5</v>
      </c>
    </row>
    <row r="472" spans="2:5" ht="15" customHeight="1">
      <c r="B472" s="84"/>
      <c r="C472" s="43" t="s">
        <v>66</v>
      </c>
      <c r="D472" s="42">
        <v>54</v>
      </c>
      <c r="E472" s="41">
        <v>1.6649708630098973E-3</v>
      </c>
    </row>
    <row r="473" spans="2:5" ht="15" customHeight="1">
      <c r="B473" s="84"/>
      <c r="C473" s="43" t="s">
        <v>59</v>
      </c>
      <c r="D473" s="42">
        <v>8</v>
      </c>
      <c r="E473" s="41">
        <v>2.4666235007554037E-4</v>
      </c>
    </row>
    <row r="474" spans="2:5" ht="15" customHeight="1">
      <c r="B474" s="84"/>
      <c r="C474" s="43" t="s">
        <v>41</v>
      </c>
      <c r="D474" s="42">
        <v>6</v>
      </c>
      <c r="E474" s="41">
        <v>1.8499676255665526E-4</v>
      </c>
    </row>
    <row r="475" spans="2:5" ht="15" customHeight="1">
      <c r="B475" s="84"/>
      <c r="C475" s="43" t="s">
        <v>54</v>
      </c>
      <c r="D475" s="42">
        <v>12</v>
      </c>
      <c r="E475" s="41">
        <v>3.6999352511331052E-4</v>
      </c>
    </row>
    <row r="476" spans="2:5" ht="15" customHeight="1">
      <c r="B476" s="84"/>
      <c r="C476" s="43" t="s">
        <v>43</v>
      </c>
      <c r="D476" s="42">
        <v>5</v>
      </c>
      <c r="E476" s="41">
        <v>1.5416396879721272E-4</v>
      </c>
    </row>
    <row r="477" spans="2:5" ht="15" customHeight="1">
      <c r="B477" s="84"/>
      <c r="C477" s="43" t="s">
        <v>60</v>
      </c>
      <c r="D477" s="42">
        <v>17</v>
      </c>
      <c r="E477" s="41">
        <v>5.2415749391052319E-4</v>
      </c>
    </row>
    <row r="478" spans="2:5" ht="15" customHeight="1">
      <c r="B478" s="84"/>
      <c r="C478" s="43" t="s">
        <v>40</v>
      </c>
      <c r="D478" s="42">
        <v>5</v>
      </c>
      <c r="E478" s="41">
        <v>1.5416396879721272E-4</v>
      </c>
    </row>
    <row r="479" spans="2:5" ht="15" customHeight="1">
      <c r="B479" s="84"/>
      <c r="C479" s="43" t="s">
        <v>30</v>
      </c>
      <c r="D479" s="42">
        <v>1</v>
      </c>
      <c r="E479" s="41">
        <v>3.0832793759442546E-5</v>
      </c>
    </row>
    <row r="480" spans="2:5" ht="15" customHeight="1">
      <c r="B480" s="84"/>
      <c r="C480" s="43" t="s">
        <v>53</v>
      </c>
      <c r="D480" s="42">
        <v>7</v>
      </c>
      <c r="E480" s="41">
        <v>2.158295563160978E-4</v>
      </c>
    </row>
    <row r="481" spans="2:5" ht="15" customHeight="1">
      <c r="B481" s="84"/>
      <c r="C481" s="43" t="s">
        <v>45</v>
      </c>
      <c r="D481" s="42">
        <v>1</v>
      </c>
      <c r="E481" s="41">
        <v>3.0832793759442546E-5</v>
      </c>
    </row>
    <row r="482" spans="2:5" ht="15" customHeight="1">
      <c r="B482" s="84"/>
      <c r="C482" s="43" t="s">
        <v>51</v>
      </c>
      <c r="D482" s="42">
        <v>8</v>
      </c>
      <c r="E482" s="41">
        <v>2.4666235007554037E-4</v>
      </c>
    </row>
    <row r="483" spans="2:5" ht="15" customHeight="1">
      <c r="B483" s="84"/>
      <c r="C483" s="43" t="s">
        <v>46</v>
      </c>
      <c r="D483" s="42">
        <v>7</v>
      </c>
      <c r="E483" s="41">
        <v>2.158295563160978E-4</v>
      </c>
    </row>
    <row r="484" spans="2:5" ht="15" customHeight="1">
      <c r="B484" s="84"/>
      <c r="C484" s="43" t="s">
        <v>48</v>
      </c>
      <c r="D484" s="42">
        <v>3</v>
      </c>
      <c r="E484" s="41">
        <v>9.249838127832763E-5</v>
      </c>
    </row>
    <row r="485" spans="2:5" ht="15" customHeight="1">
      <c r="B485" s="84"/>
      <c r="C485" s="43" t="s">
        <v>52</v>
      </c>
      <c r="D485" s="42">
        <v>3</v>
      </c>
      <c r="E485" s="41">
        <v>9.249838127832763E-5</v>
      </c>
    </row>
    <row r="486" spans="2:5" ht="15" customHeight="1">
      <c r="B486" s="84"/>
      <c r="C486" s="43" t="s">
        <v>25</v>
      </c>
      <c r="D486" s="42">
        <v>1</v>
      </c>
      <c r="E486" s="41">
        <v>3.0832793759442546E-5</v>
      </c>
    </row>
    <row r="487" spans="2:5" ht="15" customHeight="1">
      <c r="B487" s="84"/>
      <c r="C487" s="43" t="s">
        <v>47</v>
      </c>
      <c r="D487" s="42">
        <v>6</v>
      </c>
      <c r="E487" s="41">
        <v>1.8499676255665526E-4</v>
      </c>
    </row>
    <row r="488" spans="2:5" ht="15" customHeight="1">
      <c r="B488" s="84"/>
      <c r="C488" s="43" t="s">
        <v>38</v>
      </c>
      <c r="D488" s="42">
        <v>2</v>
      </c>
      <c r="E488" s="41">
        <v>6.1665587518885091E-5</v>
      </c>
    </row>
    <row r="489" spans="2:5" ht="15" customHeight="1">
      <c r="B489" s="84"/>
      <c r="C489" s="43" t="s">
        <v>64</v>
      </c>
      <c r="D489" s="42">
        <v>44</v>
      </c>
      <c r="E489" s="41">
        <v>1.3566429254154718E-3</v>
      </c>
    </row>
    <row r="490" spans="2:5" ht="15" customHeight="1">
      <c r="B490" s="84"/>
      <c r="C490" s="43" t="s">
        <v>24</v>
      </c>
      <c r="D490" s="42">
        <v>1</v>
      </c>
      <c r="E490" s="41">
        <v>3.0832793759442546E-5</v>
      </c>
    </row>
    <row r="491" spans="2:5" ht="15" customHeight="1">
      <c r="B491" s="84"/>
      <c r="C491" s="43" t="s">
        <v>49</v>
      </c>
      <c r="D491" s="42">
        <v>1</v>
      </c>
      <c r="E491" s="41">
        <v>3.0832793759442546E-5</v>
      </c>
    </row>
    <row r="492" spans="2:5" ht="15" customHeight="1">
      <c r="B492" s="84"/>
      <c r="C492" s="43" t="s">
        <v>63</v>
      </c>
      <c r="D492" s="42">
        <v>33</v>
      </c>
      <c r="E492" s="41">
        <v>1.0174821940616039E-3</v>
      </c>
    </row>
    <row r="493" spans="2:5" ht="15" customHeight="1">
      <c r="B493" s="84"/>
      <c r="C493" s="43" t="s">
        <v>37</v>
      </c>
      <c r="D493" s="42">
        <v>2</v>
      </c>
      <c r="E493" s="41">
        <v>6.1665587518885091E-5</v>
      </c>
    </row>
    <row r="494" spans="2:5" ht="15" customHeight="1">
      <c r="B494" s="84"/>
      <c r="C494" s="43" t="s">
        <v>26</v>
      </c>
      <c r="D494" s="42">
        <v>1</v>
      </c>
      <c r="E494" s="41">
        <v>3.0832793759442546E-5</v>
      </c>
    </row>
    <row r="495" spans="2:5" ht="15" customHeight="1">
      <c r="B495" s="84"/>
      <c r="C495" s="43" t="s">
        <v>57</v>
      </c>
      <c r="D495" s="42">
        <v>14</v>
      </c>
      <c r="E495" s="41">
        <v>4.316591126321956E-4</v>
      </c>
    </row>
    <row r="496" spans="2:5" ht="15" customHeight="1">
      <c r="B496" s="84"/>
      <c r="C496" s="43" t="s">
        <v>62</v>
      </c>
      <c r="D496" s="42">
        <v>20</v>
      </c>
      <c r="E496" s="41">
        <v>6.1665587518885089E-4</v>
      </c>
    </row>
    <row r="497" spans="2:5" ht="15" customHeight="1">
      <c r="B497" s="84"/>
      <c r="C497" s="43" t="s">
        <v>69</v>
      </c>
      <c r="D497" s="42">
        <v>834</v>
      </c>
      <c r="E497" s="41">
        <v>2.5714549995375081E-2</v>
      </c>
    </row>
    <row r="498" spans="2:5" ht="15" customHeight="1">
      <c r="B498" s="84"/>
      <c r="C498" s="43" t="s">
        <v>50</v>
      </c>
      <c r="D498" s="42">
        <v>9</v>
      </c>
      <c r="E498" s="41">
        <v>2.7749514383498288E-4</v>
      </c>
    </row>
    <row r="499" spans="2:5" ht="15" customHeight="1">
      <c r="B499" s="84"/>
      <c r="C499" s="43" t="s">
        <v>55</v>
      </c>
      <c r="D499" s="42">
        <v>6</v>
      </c>
      <c r="E499" s="41">
        <v>1.8499676255665526E-4</v>
      </c>
    </row>
    <row r="500" spans="2:5" ht="15" customHeight="1">
      <c r="B500" s="84"/>
      <c r="C500" s="43" t="s">
        <v>42</v>
      </c>
      <c r="D500" s="42">
        <v>5</v>
      </c>
      <c r="E500" s="41">
        <v>1.5416396879721272E-4</v>
      </c>
    </row>
    <row r="501" spans="2:5" ht="15" customHeight="1">
      <c r="B501" s="84"/>
      <c r="C501" s="43" t="s">
        <v>31</v>
      </c>
      <c r="D501" s="42">
        <v>2</v>
      </c>
      <c r="E501" s="41">
        <v>6.1665587518885091E-5</v>
      </c>
    </row>
    <row r="502" spans="2:5" ht="15" customHeight="1">
      <c r="B502" s="85"/>
      <c r="C502" s="40" t="s">
        <v>23</v>
      </c>
      <c r="D502" s="39">
        <v>1313</v>
      </c>
      <c r="E502" s="38">
        <v>4.0483458206148057E-2</v>
      </c>
    </row>
    <row r="503" spans="2:5" ht="15" customHeight="1">
      <c r="B503" s="83" t="s">
        <v>198</v>
      </c>
      <c r="C503" s="43" t="s">
        <v>58</v>
      </c>
      <c r="D503" s="42">
        <v>38</v>
      </c>
      <c r="E503" s="41">
        <v>1.1716461628588166E-3</v>
      </c>
    </row>
    <row r="504" spans="2:5" ht="15" customHeight="1">
      <c r="B504" s="84"/>
      <c r="C504" s="43" t="s">
        <v>44</v>
      </c>
      <c r="D504" s="42">
        <v>14</v>
      </c>
      <c r="E504" s="41">
        <v>4.316591126321956E-4</v>
      </c>
    </row>
    <row r="505" spans="2:5" ht="15" customHeight="1">
      <c r="B505" s="84"/>
      <c r="C505" s="43" t="s">
        <v>61</v>
      </c>
      <c r="D505" s="42">
        <v>103</v>
      </c>
      <c r="E505" s="41">
        <v>3.1757777572225818E-3</v>
      </c>
    </row>
    <row r="506" spans="2:5" ht="15" customHeight="1">
      <c r="B506" s="84"/>
      <c r="C506" s="43" t="s">
        <v>67</v>
      </c>
      <c r="D506" s="42">
        <v>233</v>
      </c>
      <c r="E506" s="41">
        <v>7.1840409459501126E-3</v>
      </c>
    </row>
    <row r="507" spans="2:5" ht="15" customHeight="1">
      <c r="B507" s="84"/>
      <c r="C507" s="43" t="s">
        <v>56</v>
      </c>
      <c r="D507" s="42">
        <v>26</v>
      </c>
      <c r="E507" s="41">
        <v>8.0165263774550617E-4</v>
      </c>
    </row>
    <row r="508" spans="2:5" ht="15" customHeight="1">
      <c r="B508" s="84"/>
      <c r="C508" s="43" t="s">
        <v>32</v>
      </c>
      <c r="D508" s="42">
        <v>1</v>
      </c>
      <c r="E508" s="41">
        <v>3.0832793759442546E-5</v>
      </c>
    </row>
    <row r="509" spans="2:5" ht="15" customHeight="1">
      <c r="B509" s="84"/>
      <c r="C509" s="43" t="s">
        <v>36</v>
      </c>
      <c r="D509" s="42">
        <v>2</v>
      </c>
      <c r="E509" s="41">
        <v>6.1665587518885091E-5</v>
      </c>
    </row>
    <row r="510" spans="2:5" ht="15" customHeight="1">
      <c r="B510" s="84"/>
      <c r="C510" s="43" t="s">
        <v>65</v>
      </c>
      <c r="D510" s="42">
        <v>98</v>
      </c>
      <c r="E510" s="41">
        <v>3.0216137884253691E-3</v>
      </c>
    </row>
    <row r="511" spans="2:5" ht="15" customHeight="1">
      <c r="B511" s="84"/>
      <c r="C511" s="43" t="s">
        <v>68</v>
      </c>
      <c r="D511" s="42">
        <v>196</v>
      </c>
      <c r="E511" s="41">
        <v>6.0432275768507382E-3</v>
      </c>
    </row>
    <row r="512" spans="2:5" ht="15" customHeight="1">
      <c r="B512" s="84"/>
      <c r="C512" s="43" t="s">
        <v>33</v>
      </c>
      <c r="D512" s="42">
        <v>4</v>
      </c>
      <c r="E512" s="41">
        <v>1.2333117503777018E-4</v>
      </c>
    </row>
    <row r="513" spans="2:5" ht="15" customHeight="1">
      <c r="B513" s="84"/>
      <c r="C513" s="43" t="s">
        <v>66</v>
      </c>
      <c r="D513" s="42">
        <v>168</v>
      </c>
      <c r="E513" s="41">
        <v>5.1799093515863476E-3</v>
      </c>
    </row>
    <row r="514" spans="2:5" ht="15" customHeight="1">
      <c r="B514" s="84"/>
      <c r="C514" s="43" t="s">
        <v>59</v>
      </c>
      <c r="D514" s="42">
        <v>36</v>
      </c>
      <c r="E514" s="41">
        <v>1.1099805753399315E-3</v>
      </c>
    </row>
    <row r="515" spans="2:5" ht="15" customHeight="1">
      <c r="B515" s="84"/>
      <c r="C515" s="43" t="s">
        <v>41</v>
      </c>
      <c r="D515" s="42">
        <v>10</v>
      </c>
      <c r="E515" s="41">
        <v>3.0832793759442544E-4</v>
      </c>
    </row>
    <row r="516" spans="2:5" ht="15" customHeight="1">
      <c r="B516" s="84"/>
      <c r="C516" s="43" t="s">
        <v>54</v>
      </c>
      <c r="D516" s="42">
        <v>25</v>
      </c>
      <c r="E516" s="41">
        <v>7.7081984398606361E-4</v>
      </c>
    </row>
    <row r="517" spans="2:5" ht="15" customHeight="1">
      <c r="B517" s="84"/>
      <c r="C517" s="43" t="s">
        <v>43</v>
      </c>
      <c r="D517" s="42">
        <v>10</v>
      </c>
      <c r="E517" s="41">
        <v>3.0832793759442544E-4</v>
      </c>
    </row>
    <row r="518" spans="2:5" ht="15" customHeight="1">
      <c r="B518" s="84"/>
      <c r="C518" s="43" t="s">
        <v>60</v>
      </c>
      <c r="D518" s="42">
        <v>55</v>
      </c>
      <c r="E518" s="41">
        <v>1.6958036567693399E-3</v>
      </c>
    </row>
    <row r="519" spans="2:5" ht="15" customHeight="1">
      <c r="B519" s="84"/>
      <c r="C519" s="43" t="s">
        <v>40</v>
      </c>
      <c r="D519" s="42">
        <v>11</v>
      </c>
      <c r="E519" s="41">
        <v>3.3916073135386795E-4</v>
      </c>
    </row>
    <row r="520" spans="2:5" ht="15" customHeight="1">
      <c r="B520" s="84"/>
      <c r="C520" s="43" t="s">
        <v>30</v>
      </c>
      <c r="D520" s="42">
        <v>2</v>
      </c>
      <c r="E520" s="41">
        <v>6.1665587518885091E-5</v>
      </c>
    </row>
    <row r="521" spans="2:5" ht="15" customHeight="1">
      <c r="B521" s="84"/>
      <c r="C521" s="43" t="s">
        <v>53</v>
      </c>
      <c r="D521" s="42">
        <v>25</v>
      </c>
      <c r="E521" s="41">
        <v>7.7081984398606361E-4</v>
      </c>
    </row>
    <row r="522" spans="2:5" ht="15" customHeight="1">
      <c r="B522" s="84"/>
      <c r="C522" s="43" t="s">
        <v>45</v>
      </c>
      <c r="D522" s="42">
        <v>15</v>
      </c>
      <c r="E522" s="41">
        <v>4.6249190639163816E-4</v>
      </c>
    </row>
    <row r="523" spans="2:5" ht="15" customHeight="1">
      <c r="B523" s="84"/>
      <c r="C523" s="43" t="s">
        <v>51</v>
      </c>
      <c r="D523" s="42">
        <v>8</v>
      </c>
      <c r="E523" s="41">
        <v>2.4666235007554037E-4</v>
      </c>
    </row>
    <row r="524" spans="2:5" ht="15" customHeight="1">
      <c r="B524" s="84"/>
      <c r="C524" s="43" t="s">
        <v>46</v>
      </c>
      <c r="D524" s="42">
        <v>23</v>
      </c>
      <c r="E524" s="41">
        <v>7.0915425646717847E-4</v>
      </c>
    </row>
    <row r="525" spans="2:5" ht="15" customHeight="1">
      <c r="B525" s="84"/>
      <c r="C525" s="43" t="s">
        <v>48</v>
      </c>
      <c r="D525" s="42">
        <v>11</v>
      </c>
      <c r="E525" s="41">
        <v>3.3916073135386795E-4</v>
      </c>
    </row>
    <row r="526" spans="2:5" ht="15" customHeight="1">
      <c r="B526" s="84"/>
      <c r="C526" s="43" t="s">
        <v>52</v>
      </c>
      <c r="D526" s="42">
        <v>30</v>
      </c>
      <c r="E526" s="41">
        <v>9.2498381278327633E-4</v>
      </c>
    </row>
    <row r="527" spans="2:5" ht="15" customHeight="1">
      <c r="B527" s="84"/>
      <c r="C527" s="43" t="s">
        <v>25</v>
      </c>
      <c r="D527" s="42">
        <v>1</v>
      </c>
      <c r="E527" s="41">
        <v>3.0832793759442546E-5</v>
      </c>
    </row>
    <row r="528" spans="2:5" ht="15" customHeight="1">
      <c r="B528" s="84"/>
      <c r="C528" s="43" t="s">
        <v>35</v>
      </c>
      <c r="D528" s="42">
        <v>7</v>
      </c>
      <c r="E528" s="41">
        <v>2.158295563160978E-4</v>
      </c>
    </row>
    <row r="529" spans="2:5" ht="15" customHeight="1">
      <c r="B529" s="84"/>
      <c r="C529" s="43" t="s">
        <v>47</v>
      </c>
      <c r="D529" s="42">
        <v>14</v>
      </c>
      <c r="E529" s="41">
        <v>4.316591126321956E-4</v>
      </c>
    </row>
    <row r="530" spans="2:5" ht="15" customHeight="1">
      <c r="B530" s="84"/>
      <c r="C530" s="43" t="s">
        <v>38</v>
      </c>
      <c r="D530" s="42">
        <v>12</v>
      </c>
      <c r="E530" s="41">
        <v>3.6999352511331052E-4</v>
      </c>
    </row>
    <row r="531" spans="2:5" ht="15" customHeight="1">
      <c r="B531" s="84"/>
      <c r="C531" s="43" t="s">
        <v>64</v>
      </c>
      <c r="D531" s="42">
        <v>104</v>
      </c>
      <c r="E531" s="41">
        <v>3.2066105509820247E-3</v>
      </c>
    </row>
    <row r="532" spans="2:5" ht="15" customHeight="1">
      <c r="B532" s="84"/>
      <c r="C532" s="43" t="s">
        <v>49</v>
      </c>
      <c r="D532" s="42">
        <v>13</v>
      </c>
      <c r="E532" s="41">
        <v>4.0082631887275309E-4</v>
      </c>
    </row>
    <row r="533" spans="2:5" ht="15" customHeight="1">
      <c r="B533" s="84"/>
      <c r="C533" s="43" t="s">
        <v>63</v>
      </c>
      <c r="D533" s="42">
        <v>105</v>
      </c>
      <c r="E533" s="41">
        <v>3.2374433447414671E-3</v>
      </c>
    </row>
    <row r="534" spans="2:5" ht="15" customHeight="1">
      <c r="B534" s="84"/>
      <c r="C534" s="43" t="s">
        <v>37</v>
      </c>
      <c r="D534" s="42">
        <v>3</v>
      </c>
      <c r="E534" s="41">
        <v>9.249838127832763E-5</v>
      </c>
    </row>
    <row r="535" spans="2:5" ht="15" customHeight="1">
      <c r="B535" s="84"/>
      <c r="C535" s="43" t="s">
        <v>34</v>
      </c>
      <c r="D535" s="42">
        <v>7</v>
      </c>
      <c r="E535" s="41">
        <v>2.158295563160978E-4</v>
      </c>
    </row>
    <row r="536" spans="2:5" ht="15" customHeight="1">
      <c r="B536" s="84"/>
      <c r="C536" s="43" t="s">
        <v>26</v>
      </c>
      <c r="D536" s="42">
        <v>2</v>
      </c>
      <c r="E536" s="41">
        <v>6.1665587518885091E-5</v>
      </c>
    </row>
    <row r="537" spans="2:5" ht="15" customHeight="1">
      <c r="B537" s="84"/>
      <c r="C537" s="43" t="s">
        <v>57</v>
      </c>
      <c r="D537" s="42">
        <v>32</v>
      </c>
      <c r="E537" s="41">
        <v>9.8664940030216146E-4</v>
      </c>
    </row>
    <row r="538" spans="2:5" ht="15" customHeight="1">
      <c r="B538" s="84"/>
      <c r="C538" s="43" t="s">
        <v>62</v>
      </c>
      <c r="D538" s="42">
        <v>85</v>
      </c>
      <c r="E538" s="41">
        <v>2.6207874695526163E-3</v>
      </c>
    </row>
    <row r="539" spans="2:5" ht="15" customHeight="1">
      <c r="B539" s="84"/>
      <c r="C539" s="43" t="s">
        <v>69</v>
      </c>
      <c r="D539" s="42">
        <v>3625</v>
      </c>
      <c r="E539" s="41">
        <v>0.11176887737797922</v>
      </c>
    </row>
    <row r="540" spans="2:5" ht="15" customHeight="1">
      <c r="B540" s="84"/>
      <c r="C540" s="43" t="s">
        <v>50</v>
      </c>
      <c r="D540" s="42">
        <v>18</v>
      </c>
      <c r="E540" s="41">
        <v>5.5499028766996575E-4</v>
      </c>
    </row>
    <row r="541" spans="2:5" ht="15" customHeight="1">
      <c r="B541" s="84"/>
      <c r="C541" s="43" t="s">
        <v>55</v>
      </c>
      <c r="D541" s="42">
        <v>25</v>
      </c>
      <c r="E541" s="41">
        <v>7.7081984398606361E-4</v>
      </c>
    </row>
    <row r="542" spans="2:5" ht="15" customHeight="1">
      <c r="B542" s="84"/>
      <c r="C542" s="43" t="s">
        <v>39</v>
      </c>
      <c r="D542" s="42">
        <v>9</v>
      </c>
      <c r="E542" s="41">
        <v>2.7749514383498288E-4</v>
      </c>
    </row>
    <row r="543" spans="2:5" ht="15" customHeight="1">
      <c r="B543" s="84"/>
      <c r="C543" s="43" t="s">
        <v>29</v>
      </c>
      <c r="D543" s="42">
        <v>2</v>
      </c>
      <c r="E543" s="41">
        <v>6.1665587518885091E-5</v>
      </c>
    </row>
    <row r="544" spans="2:5" ht="15" customHeight="1">
      <c r="B544" s="84"/>
      <c r="C544" s="43" t="s">
        <v>42</v>
      </c>
      <c r="D544" s="42">
        <v>21</v>
      </c>
      <c r="E544" s="41">
        <v>6.4748866894829345E-4</v>
      </c>
    </row>
    <row r="545" spans="2:5" ht="15" customHeight="1">
      <c r="B545" s="84"/>
      <c r="C545" s="43" t="s">
        <v>31</v>
      </c>
      <c r="D545" s="42">
        <v>2</v>
      </c>
      <c r="E545" s="41">
        <v>6.1665587518885091E-5</v>
      </c>
    </row>
    <row r="546" spans="2:5" ht="15" customHeight="1">
      <c r="B546" s="85"/>
      <c r="C546" s="40" t="s">
        <v>23</v>
      </c>
      <c r="D546" s="39">
        <v>5231</v>
      </c>
      <c r="E546" s="38">
        <v>0.16128634415564394</v>
      </c>
    </row>
    <row r="547" spans="2:5" ht="15" customHeight="1">
      <c r="B547" s="83" t="s">
        <v>197</v>
      </c>
      <c r="C547" s="43" t="s">
        <v>58</v>
      </c>
      <c r="D547" s="42">
        <v>2</v>
      </c>
      <c r="E547" s="41">
        <v>6.1665587518885091E-5</v>
      </c>
    </row>
    <row r="548" spans="2:5" ht="15" customHeight="1">
      <c r="B548" s="84"/>
      <c r="C548" s="43" t="s">
        <v>67</v>
      </c>
      <c r="D548" s="42">
        <v>5</v>
      </c>
      <c r="E548" s="41">
        <v>1.5416396879721272E-4</v>
      </c>
    </row>
    <row r="549" spans="2:5" ht="15" customHeight="1">
      <c r="B549" s="84"/>
      <c r="C549" s="43" t="s">
        <v>68</v>
      </c>
      <c r="D549" s="42">
        <v>1</v>
      </c>
      <c r="E549" s="41">
        <v>3.0832793759442546E-5</v>
      </c>
    </row>
    <row r="550" spans="2:5" ht="15" customHeight="1">
      <c r="B550" s="84"/>
      <c r="C550" s="43" t="s">
        <v>66</v>
      </c>
      <c r="D550" s="42">
        <v>1</v>
      </c>
      <c r="E550" s="41">
        <v>3.0832793759442546E-5</v>
      </c>
    </row>
    <row r="551" spans="2:5" ht="15" customHeight="1">
      <c r="B551" s="84"/>
      <c r="C551" s="43" t="s">
        <v>38</v>
      </c>
      <c r="D551" s="42">
        <v>1</v>
      </c>
      <c r="E551" s="41">
        <v>3.0832793759442546E-5</v>
      </c>
    </row>
    <row r="552" spans="2:5" ht="15" customHeight="1">
      <c r="B552" s="84"/>
      <c r="C552" s="43" t="s">
        <v>64</v>
      </c>
      <c r="D552" s="42">
        <v>1</v>
      </c>
      <c r="E552" s="41">
        <v>3.0832793759442546E-5</v>
      </c>
    </row>
    <row r="553" spans="2:5" ht="15" customHeight="1">
      <c r="B553" s="84"/>
      <c r="C553" s="43" t="s">
        <v>37</v>
      </c>
      <c r="D553" s="42">
        <v>1</v>
      </c>
      <c r="E553" s="41">
        <v>3.0832793759442546E-5</v>
      </c>
    </row>
    <row r="554" spans="2:5" ht="15" customHeight="1">
      <c r="B554" s="84"/>
      <c r="C554" s="43" t="s">
        <v>69</v>
      </c>
      <c r="D554" s="42">
        <v>36</v>
      </c>
      <c r="E554" s="41">
        <v>1.1099805753399315E-3</v>
      </c>
    </row>
    <row r="555" spans="2:5" ht="15" customHeight="1">
      <c r="B555" s="85"/>
      <c r="C555" s="40" t="s">
        <v>23</v>
      </c>
      <c r="D555" s="39">
        <v>48</v>
      </c>
      <c r="E555" s="38">
        <v>1.4799741004532421E-3</v>
      </c>
    </row>
    <row r="556" spans="2:5" ht="15" customHeight="1">
      <c r="B556" s="83" t="s">
        <v>196</v>
      </c>
      <c r="C556" s="43" t="s">
        <v>61</v>
      </c>
      <c r="D556" s="42">
        <v>1</v>
      </c>
      <c r="E556" s="41">
        <v>3.0832793759442546E-5</v>
      </c>
    </row>
    <row r="557" spans="2:5" ht="15" customHeight="1">
      <c r="B557" s="84"/>
      <c r="C557" s="43" t="s">
        <v>67</v>
      </c>
      <c r="D557" s="42">
        <v>1</v>
      </c>
      <c r="E557" s="41">
        <v>3.0832793759442546E-5</v>
      </c>
    </row>
    <row r="558" spans="2:5" ht="15" customHeight="1">
      <c r="B558" s="84"/>
      <c r="C558" s="43" t="s">
        <v>68</v>
      </c>
      <c r="D558" s="42">
        <v>3</v>
      </c>
      <c r="E558" s="41">
        <v>9.249838127832763E-5</v>
      </c>
    </row>
    <row r="559" spans="2:5" ht="15" customHeight="1">
      <c r="B559" s="84"/>
      <c r="C559" s="43" t="s">
        <v>66</v>
      </c>
      <c r="D559" s="42">
        <v>1</v>
      </c>
      <c r="E559" s="41">
        <v>3.0832793759442546E-5</v>
      </c>
    </row>
    <row r="560" spans="2:5" ht="15" customHeight="1">
      <c r="B560" s="84"/>
      <c r="C560" s="43" t="s">
        <v>59</v>
      </c>
      <c r="D560" s="42">
        <v>1</v>
      </c>
      <c r="E560" s="41">
        <v>3.0832793759442546E-5</v>
      </c>
    </row>
    <row r="561" spans="2:5" ht="15" customHeight="1">
      <c r="B561" s="84"/>
      <c r="C561" s="43" t="s">
        <v>41</v>
      </c>
      <c r="D561" s="42">
        <v>1</v>
      </c>
      <c r="E561" s="41">
        <v>3.0832793759442546E-5</v>
      </c>
    </row>
    <row r="562" spans="2:5" ht="15" customHeight="1">
      <c r="B562" s="84"/>
      <c r="C562" s="43" t="s">
        <v>47</v>
      </c>
      <c r="D562" s="42">
        <v>1</v>
      </c>
      <c r="E562" s="41">
        <v>3.0832793759442546E-5</v>
      </c>
    </row>
    <row r="563" spans="2:5" ht="15" customHeight="1">
      <c r="B563" s="84"/>
      <c r="C563" s="43" t="s">
        <v>63</v>
      </c>
      <c r="D563" s="42">
        <v>2</v>
      </c>
      <c r="E563" s="41">
        <v>6.1665587518885091E-5</v>
      </c>
    </row>
    <row r="564" spans="2:5" ht="15" customHeight="1">
      <c r="B564" s="84"/>
      <c r="C564" s="43" t="s">
        <v>69</v>
      </c>
      <c r="D564" s="42">
        <v>45</v>
      </c>
      <c r="E564" s="41">
        <v>1.3874757191749145E-3</v>
      </c>
    </row>
    <row r="565" spans="2:5" ht="15" customHeight="1">
      <c r="B565" s="84"/>
      <c r="C565" s="43" t="s">
        <v>50</v>
      </c>
      <c r="D565" s="42">
        <v>1</v>
      </c>
      <c r="E565" s="41">
        <v>3.0832793759442546E-5</v>
      </c>
    </row>
    <row r="566" spans="2:5" ht="15" customHeight="1">
      <c r="B566" s="85"/>
      <c r="C566" s="40" t="s">
        <v>23</v>
      </c>
      <c r="D566" s="39">
        <v>57</v>
      </c>
      <c r="E566" s="38">
        <v>1.7574692442882249E-3</v>
      </c>
    </row>
    <row r="567" spans="2:5" ht="15" customHeight="1">
      <c r="B567" s="83" t="s">
        <v>195</v>
      </c>
      <c r="C567" s="43" t="s">
        <v>58</v>
      </c>
      <c r="D567" s="42">
        <v>1</v>
      </c>
      <c r="E567" s="41">
        <v>3.0832793759442546E-5</v>
      </c>
    </row>
    <row r="568" spans="2:5" ht="15" customHeight="1">
      <c r="B568" s="84"/>
      <c r="C568" s="43" t="s">
        <v>44</v>
      </c>
      <c r="D568" s="42">
        <v>1</v>
      </c>
      <c r="E568" s="41">
        <v>3.0832793759442546E-5</v>
      </c>
    </row>
    <row r="569" spans="2:5" ht="15" customHeight="1">
      <c r="B569" s="84"/>
      <c r="C569" s="43" t="s">
        <v>67</v>
      </c>
      <c r="D569" s="42">
        <v>2</v>
      </c>
      <c r="E569" s="41">
        <v>6.1665587518885091E-5</v>
      </c>
    </row>
    <row r="570" spans="2:5" ht="15" customHeight="1">
      <c r="B570" s="84"/>
      <c r="C570" s="43" t="s">
        <v>56</v>
      </c>
      <c r="D570" s="42">
        <v>1</v>
      </c>
      <c r="E570" s="41">
        <v>3.0832793759442546E-5</v>
      </c>
    </row>
    <row r="571" spans="2:5" ht="15" customHeight="1">
      <c r="B571" s="84"/>
      <c r="C571" s="43" t="s">
        <v>36</v>
      </c>
      <c r="D571" s="42">
        <v>1</v>
      </c>
      <c r="E571" s="41">
        <v>3.0832793759442546E-5</v>
      </c>
    </row>
    <row r="572" spans="2:5" ht="15" customHeight="1">
      <c r="B572" s="84"/>
      <c r="C572" s="43" t="s">
        <v>68</v>
      </c>
      <c r="D572" s="42">
        <v>4</v>
      </c>
      <c r="E572" s="41">
        <v>1.2333117503777018E-4</v>
      </c>
    </row>
    <row r="573" spans="2:5" ht="15" customHeight="1">
      <c r="B573" s="84"/>
      <c r="C573" s="43" t="s">
        <v>66</v>
      </c>
      <c r="D573" s="42">
        <v>3</v>
      </c>
      <c r="E573" s="41">
        <v>9.249838127832763E-5</v>
      </c>
    </row>
    <row r="574" spans="2:5" ht="15" customHeight="1">
      <c r="B574" s="84"/>
      <c r="C574" s="43" t="s">
        <v>41</v>
      </c>
      <c r="D574" s="42">
        <v>1</v>
      </c>
      <c r="E574" s="41">
        <v>3.0832793759442546E-5</v>
      </c>
    </row>
    <row r="575" spans="2:5" ht="15" customHeight="1">
      <c r="B575" s="84"/>
      <c r="C575" s="43" t="s">
        <v>54</v>
      </c>
      <c r="D575" s="42">
        <v>1</v>
      </c>
      <c r="E575" s="41">
        <v>3.0832793759442546E-5</v>
      </c>
    </row>
    <row r="576" spans="2:5" ht="15" customHeight="1">
      <c r="B576" s="84"/>
      <c r="C576" s="43" t="s">
        <v>45</v>
      </c>
      <c r="D576" s="42">
        <v>1</v>
      </c>
      <c r="E576" s="41">
        <v>3.0832793759442546E-5</v>
      </c>
    </row>
    <row r="577" spans="2:5" ht="15" customHeight="1">
      <c r="B577" s="84"/>
      <c r="C577" s="43" t="s">
        <v>64</v>
      </c>
      <c r="D577" s="42">
        <v>2</v>
      </c>
      <c r="E577" s="41">
        <v>6.1665587518885091E-5</v>
      </c>
    </row>
    <row r="578" spans="2:5" ht="15" customHeight="1">
      <c r="B578" s="84"/>
      <c r="C578" s="43" t="s">
        <v>63</v>
      </c>
      <c r="D578" s="42">
        <v>1</v>
      </c>
      <c r="E578" s="41">
        <v>3.0832793759442546E-5</v>
      </c>
    </row>
    <row r="579" spans="2:5" ht="15" customHeight="1">
      <c r="B579" s="84"/>
      <c r="C579" s="43" t="s">
        <v>57</v>
      </c>
      <c r="D579" s="42">
        <v>3</v>
      </c>
      <c r="E579" s="41">
        <v>9.249838127832763E-5</v>
      </c>
    </row>
    <row r="580" spans="2:5" ht="15" customHeight="1">
      <c r="B580" s="84"/>
      <c r="C580" s="43" t="s">
        <v>69</v>
      </c>
      <c r="D580" s="42">
        <v>29</v>
      </c>
      <c r="E580" s="41">
        <v>8.9415101902383376E-4</v>
      </c>
    </row>
    <row r="581" spans="2:5" ht="15" customHeight="1">
      <c r="B581" s="85"/>
      <c r="C581" s="40" t="s">
        <v>23</v>
      </c>
      <c r="D581" s="39">
        <v>51</v>
      </c>
      <c r="E581" s="38">
        <v>1.5724724817315697E-3</v>
      </c>
    </row>
    <row r="582" spans="2:5" ht="15" customHeight="1">
      <c r="B582" s="83" t="s">
        <v>194</v>
      </c>
      <c r="C582" s="43" t="s">
        <v>32</v>
      </c>
      <c r="D582" s="42">
        <v>1</v>
      </c>
      <c r="E582" s="41">
        <v>3.0832793759442546E-5</v>
      </c>
    </row>
    <row r="583" spans="2:5" ht="15" customHeight="1">
      <c r="B583" s="84"/>
      <c r="C583" s="43" t="s">
        <v>66</v>
      </c>
      <c r="D583" s="42">
        <v>2</v>
      </c>
      <c r="E583" s="41">
        <v>6.1665587518885091E-5</v>
      </c>
    </row>
    <row r="584" spans="2:5" ht="15" customHeight="1">
      <c r="B584" s="84"/>
      <c r="C584" s="43" t="s">
        <v>38</v>
      </c>
      <c r="D584" s="42">
        <v>1</v>
      </c>
      <c r="E584" s="41">
        <v>3.0832793759442546E-5</v>
      </c>
    </row>
    <row r="585" spans="2:5" ht="15" customHeight="1">
      <c r="B585" s="84"/>
      <c r="C585" s="43" t="s">
        <v>69</v>
      </c>
      <c r="D585" s="42">
        <v>14</v>
      </c>
      <c r="E585" s="41">
        <v>4.316591126321956E-4</v>
      </c>
    </row>
    <row r="586" spans="2:5" ht="15" customHeight="1">
      <c r="B586" s="85"/>
      <c r="C586" s="40" t="s">
        <v>23</v>
      </c>
      <c r="D586" s="39">
        <v>18</v>
      </c>
      <c r="E586" s="38">
        <v>5.5499028766996575E-4</v>
      </c>
    </row>
    <row r="587" spans="2:5" ht="15" customHeight="1">
      <c r="B587" s="83" t="s">
        <v>193</v>
      </c>
      <c r="C587" s="43" t="s">
        <v>58</v>
      </c>
      <c r="D587" s="42">
        <v>2</v>
      </c>
      <c r="E587" s="41">
        <v>6.1665587518885091E-5</v>
      </c>
    </row>
    <row r="588" spans="2:5" ht="15" customHeight="1">
      <c r="B588" s="84"/>
      <c r="C588" s="43" t="s">
        <v>44</v>
      </c>
      <c r="D588" s="42">
        <v>1</v>
      </c>
      <c r="E588" s="41">
        <v>3.0832793759442546E-5</v>
      </c>
    </row>
    <row r="589" spans="2:5" ht="15" customHeight="1">
      <c r="B589" s="84"/>
      <c r="C589" s="43" t="s">
        <v>61</v>
      </c>
      <c r="D589" s="42">
        <v>3</v>
      </c>
      <c r="E589" s="41">
        <v>9.249838127832763E-5</v>
      </c>
    </row>
    <row r="590" spans="2:5" ht="15" customHeight="1">
      <c r="B590" s="84"/>
      <c r="C590" s="43" t="s">
        <v>67</v>
      </c>
      <c r="D590" s="42">
        <v>15</v>
      </c>
      <c r="E590" s="41">
        <v>4.6249190639163816E-4</v>
      </c>
    </row>
    <row r="591" spans="2:5" ht="15" customHeight="1">
      <c r="B591" s="84"/>
      <c r="C591" s="43" t="s">
        <v>32</v>
      </c>
      <c r="D591" s="42">
        <v>1</v>
      </c>
      <c r="E591" s="41">
        <v>3.0832793759442546E-5</v>
      </c>
    </row>
    <row r="592" spans="2:5" ht="15" customHeight="1">
      <c r="B592" s="84"/>
      <c r="C592" s="43" t="s">
        <v>65</v>
      </c>
      <c r="D592" s="42">
        <v>6</v>
      </c>
      <c r="E592" s="41">
        <v>1.8499676255665526E-4</v>
      </c>
    </row>
    <row r="593" spans="2:5" ht="15" customHeight="1">
      <c r="B593" s="84"/>
      <c r="C593" s="43" t="s">
        <v>68</v>
      </c>
      <c r="D593" s="42">
        <v>10</v>
      </c>
      <c r="E593" s="41">
        <v>3.0832793759442544E-4</v>
      </c>
    </row>
    <row r="594" spans="2:5" ht="15" customHeight="1">
      <c r="B594" s="84"/>
      <c r="C594" s="43" t="s">
        <v>66</v>
      </c>
      <c r="D594" s="42">
        <v>22</v>
      </c>
      <c r="E594" s="41">
        <v>6.7832146270773591E-4</v>
      </c>
    </row>
    <row r="595" spans="2:5" ht="15" customHeight="1">
      <c r="B595" s="84"/>
      <c r="C595" s="43" t="s">
        <v>59</v>
      </c>
      <c r="D595" s="42">
        <v>4</v>
      </c>
      <c r="E595" s="41">
        <v>1.2333117503777018E-4</v>
      </c>
    </row>
    <row r="596" spans="2:5" ht="15" customHeight="1">
      <c r="B596" s="84"/>
      <c r="C596" s="43" t="s">
        <v>41</v>
      </c>
      <c r="D596" s="42">
        <v>1</v>
      </c>
      <c r="E596" s="41">
        <v>3.0832793759442546E-5</v>
      </c>
    </row>
    <row r="597" spans="2:5" ht="15" customHeight="1">
      <c r="B597" s="84"/>
      <c r="C597" s="43" t="s">
        <v>54</v>
      </c>
      <c r="D597" s="42">
        <v>3</v>
      </c>
      <c r="E597" s="41">
        <v>9.249838127832763E-5</v>
      </c>
    </row>
    <row r="598" spans="2:5" ht="15" customHeight="1">
      <c r="B598" s="84"/>
      <c r="C598" s="43" t="s">
        <v>43</v>
      </c>
      <c r="D598" s="42">
        <v>2</v>
      </c>
      <c r="E598" s="41">
        <v>6.1665587518885091E-5</v>
      </c>
    </row>
    <row r="599" spans="2:5" ht="15" customHeight="1">
      <c r="B599" s="84"/>
      <c r="C599" s="43" t="s">
        <v>60</v>
      </c>
      <c r="D599" s="42">
        <v>6</v>
      </c>
      <c r="E599" s="41">
        <v>1.8499676255665526E-4</v>
      </c>
    </row>
    <row r="600" spans="2:5" ht="15" customHeight="1">
      <c r="B600" s="84"/>
      <c r="C600" s="43" t="s">
        <v>40</v>
      </c>
      <c r="D600" s="42">
        <v>1</v>
      </c>
      <c r="E600" s="41">
        <v>3.0832793759442546E-5</v>
      </c>
    </row>
    <row r="601" spans="2:5" ht="15" customHeight="1">
      <c r="B601" s="84"/>
      <c r="C601" s="43" t="s">
        <v>53</v>
      </c>
      <c r="D601" s="42">
        <v>3</v>
      </c>
      <c r="E601" s="41">
        <v>9.249838127832763E-5</v>
      </c>
    </row>
    <row r="602" spans="2:5" ht="15" customHeight="1">
      <c r="B602" s="84"/>
      <c r="C602" s="43" t="s">
        <v>45</v>
      </c>
      <c r="D602" s="42">
        <v>1</v>
      </c>
      <c r="E602" s="41">
        <v>3.0832793759442546E-5</v>
      </c>
    </row>
    <row r="603" spans="2:5" ht="15" customHeight="1">
      <c r="B603" s="84"/>
      <c r="C603" s="43" t="s">
        <v>51</v>
      </c>
      <c r="D603" s="42">
        <v>1</v>
      </c>
      <c r="E603" s="41">
        <v>3.0832793759442546E-5</v>
      </c>
    </row>
    <row r="604" spans="2:5" ht="15" customHeight="1">
      <c r="B604" s="84"/>
      <c r="C604" s="43" t="s">
        <v>46</v>
      </c>
      <c r="D604" s="42">
        <v>2</v>
      </c>
      <c r="E604" s="41">
        <v>6.1665587518885091E-5</v>
      </c>
    </row>
    <row r="605" spans="2:5" ht="15" customHeight="1">
      <c r="B605" s="84"/>
      <c r="C605" s="43" t="s">
        <v>48</v>
      </c>
      <c r="D605" s="42">
        <v>1</v>
      </c>
      <c r="E605" s="41">
        <v>3.0832793759442546E-5</v>
      </c>
    </row>
    <row r="606" spans="2:5" ht="15" customHeight="1">
      <c r="B606" s="84"/>
      <c r="C606" s="43" t="s">
        <v>52</v>
      </c>
      <c r="D606" s="42">
        <v>3</v>
      </c>
      <c r="E606" s="41">
        <v>9.249838127832763E-5</v>
      </c>
    </row>
    <row r="607" spans="2:5" ht="15" customHeight="1">
      <c r="B607" s="84"/>
      <c r="C607" s="43" t="s">
        <v>35</v>
      </c>
      <c r="D607" s="42">
        <v>1</v>
      </c>
      <c r="E607" s="41">
        <v>3.0832793759442546E-5</v>
      </c>
    </row>
    <row r="608" spans="2:5" ht="15" customHeight="1">
      <c r="B608" s="84"/>
      <c r="C608" s="43" t="s">
        <v>47</v>
      </c>
      <c r="D608" s="42">
        <v>1</v>
      </c>
      <c r="E608" s="41">
        <v>3.0832793759442546E-5</v>
      </c>
    </row>
    <row r="609" spans="2:5" ht="15" customHeight="1">
      <c r="B609" s="84"/>
      <c r="C609" s="43" t="s">
        <v>38</v>
      </c>
      <c r="D609" s="42">
        <v>1</v>
      </c>
      <c r="E609" s="41">
        <v>3.0832793759442546E-5</v>
      </c>
    </row>
    <row r="610" spans="2:5" ht="15" customHeight="1">
      <c r="B610" s="84"/>
      <c r="C610" s="43" t="s">
        <v>64</v>
      </c>
      <c r="D610" s="42">
        <v>7</v>
      </c>
      <c r="E610" s="41">
        <v>2.158295563160978E-4</v>
      </c>
    </row>
    <row r="611" spans="2:5" ht="15" customHeight="1">
      <c r="B611" s="84"/>
      <c r="C611" s="43" t="s">
        <v>49</v>
      </c>
      <c r="D611" s="42">
        <v>2</v>
      </c>
      <c r="E611" s="41">
        <v>6.1665587518885091E-5</v>
      </c>
    </row>
    <row r="612" spans="2:5" ht="15" customHeight="1">
      <c r="B612" s="84"/>
      <c r="C612" s="43" t="s">
        <v>63</v>
      </c>
      <c r="D612" s="42">
        <v>4</v>
      </c>
      <c r="E612" s="41">
        <v>1.2333117503777018E-4</v>
      </c>
    </row>
    <row r="613" spans="2:5" ht="15" customHeight="1">
      <c r="B613" s="84"/>
      <c r="C613" s="43" t="s">
        <v>57</v>
      </c>
      <c r="D613" s="42">
        <v>5</v>
      </c>
      <c r="E613" s="41">
        <v>1.5416396879721272E-4</v>
      </c>
    </row>
    <row r="614" spans="2:5" ht="15" customHeight="1">
      <c r="B614" s="84"/>
      <c r="C614" s="43" t="s">
        <v>62</v>
      </c>
      <c r="D614" s="42">
        <v>5</v>
      </c>
      <c r="E614" s="41">
        <v>1.5416396879721272E-4</v>
      </c>
    </row>
    <row r="615" spans="2:5" ht="15" customHeight="1">
      <c r="B615" s="84"/>
      <c r="C615" s="43" t="s">
        <v>69</v>
      </c>
      <c r="D615" s="42">
        <v>187</v>
      </c>
      <c r="E615" s="41">
        <v>5.7657324330157552E-3</v>
      </c>
    </row>
    <row r="616" spans="2:5" ht="15" customHeight="1">
      <c r="B616" s="84"/>
      <c r="C616" s="43" t="s">
        <v>50</v>
      </c>
      <c r="D616" s="42">
        <v>3</v>
      </c>
      <c r="E616" s="41">
        <v>9.249838127832763E-5</v>
      </c>
    </row>
    <row r="617" spans="2:5" ht="15" customHeight="1">
      <c r="B617" s="84"/>
      <c r="C617" s="43" t="s">
        <v>55</v>
      </c>
      <c r="D617" s="42">
        <v>3</v>
      </c>
      <c r="E617" s="41">
        <v>9.249838127832763E-5</v>
      </c>
    </row>
    <row r="618" spans="2:5" ht="15" customHeight="1">
      <c r="B618" s="84"/>
      <c r="C618" s="43" t="s">
        <v>42</v>
      </c>
      <c r="D618" s="42">
        <v>3</v>
      </c>
      <c r="E618" s="41">
        <v>9.249838127832763E-5</v>
      </c>
    </row>
    <row r="619" spans="2:5" ht="15" customHeight="1">
      <c r="B619" s="85"/>
      <c r="C619" s="40" t="s">
        <v>23</v>
      </c>
      <c r="D619" s="39">
        <v>310</v>
      </c>
      <c r="E619" s="38">
        <v>9.5581660654271879E-3</v>
      </c>
    </row>
    <row r="620" spans="2:5" ht="15" customHeight="1">
      <c r="B620" s="83" t="s">
        <v>192</v>
      </c>
      <c r="C620" s="43" t="s">
        <v>58</v>
      </c>
      <c r="D620" s="42">
        <v>2</v>
      </c>
      <c r="E620" s="41">
        <v>6.1665587518885091E-5</v>
      </c>
    </row>
    <row r="621" spans="2:5" ht="15" customHeight="1">
      <c r="B621" s="84"/>
      <c r="C621" s="43" t="s">
        <v>44</v>
      </c>
      <c r="D621" s="42">
        <v>5</v>
      </c>
      <c r="E621" s="41">
        <v>1.5416396879721272E-4</v>
      </c>
    </row>
    <row r="622" spans="2:5" ht="15" customHeight="1">
      <c r="B622" s="84"/>
      <c r="C622" s="43" t="s">
        <v>61</v>
      </c>
      <c r="D622" s="42">
        <v>7</v>
      </c>
      <c r="E622" s="41">
        <v>2.158295563160978E-4</v>
      </c>
    </row>
    <row r="623" spans="2:5" ht="15" customHeight="1">
      <c r="B623" s="84"/>
      <c r="C623" s="43" t="s">
        <v>67</v>
      </c>
      <c r="D623" s="42">
        <v>28</v>
      </c>
      <c r="E623" s="41">
        <v>8.633182252643912E-4</v>
      </c>
    </row>
    <row r="624" spans="2:5" ht="15" customHeight="1">
      <c r="B624" s="84"/>
      <c r="C624" s="43" t="s">
        <v>56</v>
      </c>
      <c r="D624" s="42">
        <v>2</v>
      </c>
      <c r="E624" s="41">
        <v>6.1665587518885091E-5</v>
      </c>
    </row>
    <row r="625" spans="2:5" ht="15" customHeight="1">
      <c r="B625" s="84"/>
      <c r="C625" s="43" t="s">
        <v>65</v>
      </c>
      <c r="D625" s="42">
        <v>8</v>
      </c>
      <c r="E625" s="41">
        <v>2.4666235007554037E-4</v>
      </c>
    </row>
    <row r="626" spans="2:5" ht="15" customHeight="1">
      <c r="B626" s="84"/>
      <c r="C626" s="43" t="s">
        <v>68</v>
      </c>
      <c r="D626" s="42">
        <v>15</v>
      </c>
      <c r="E626" s="41">
        <v>4.6249190639163816E-4</v>
      </c>
    </row>
    <row r="627" spans="2:5" ht="15" customHeight="1">
      <c r="B627" s="84"/>
      <c r="C627" s="43" t="s">
        <v>66</v>
      </c>
      <c r="D627" s="42">
        <v>41</v>
      </c>
      <c r="E627" s="41">
        <v>1.2641445441371442E-3</v>
      </c>
    </row>
    <row r="628" spans="2:5" ht="15" customHeight="1">
      <c r="B628" s="84"/>
      <c r="C628" s="43" t="s">
        <v>59</v>
      </c>
      <c r="D628" s="42">
        <v>6</v>
      </c>
      <c r="E628" s="41">
        <v>1.8499676255665526E-4</v>
      </c>
    </row>
    <row r="629" spans="2:5" ht="15" customHeight="1">
      <c r="B629" s="84"/>
      <c r="C629" s="43" t="s">
        <v>41</v>
      </c>
      <c r="D629" s="42">
        <v>1</v>
      </c>
      <c r="E629" s="41">
        <v>3.0832793759442546E-5</v>
      </c>
    </row>
    <row r="630" spans="2:5" ht="15" customHeight="1">
      <c r="B630" s="84"/>
      <c r="C630" s="43" t="s">
        <v>54</v>
      </c>
      <c r="D630" s="42">
        <v>1</v>
      </c>
      <c r="E630" s="41">
        <v>3.0832793759442546E-5</v>
      </c>
    </row>
    <row r="631" spans="2:5" ht="15" customHeight="1">
      <c r="B631" s="84"/>
      <c r="C631" s="43" t="s">
        <v>43</v>
      </c>
      <c r="D631" s="42">
        <v>3</v>
      </c>
      <c r="E631" s="41">
        <v>9.249838127832763E-5</v>
      </c>
    </row>
    <row r="632" spans="2:5" ht="15" customHeight="1">
      <c r="B632" s="84"/>
      <c r="C632" s="43" t="s">
        <v>60</v>
      </c>
      <c r="D632" s="42">
        <v>4</v>
      </c>
      <c r="E632" s="41">
        <v>1.2333117503777018E-4</v>
      </c>
    </row>
    <row r="633" spans="2:5" ht="15" customHeight="1">
      <c r="B633" s="84"/>
      <c r="C633" s="43" t="s">
        <v>53</v>
      </c>
      <c r="D633" s="42">
        <v>5</v>
      </c>
      <c r="E633" s="41">
        <v>1.5416396879721272E-4</v>
      </c>
    </row>
    <row r="634" spans="2:5" ht="15" customHeight="1">
      <c r="B634" s="84"/>
      <c r="C634" s="43" t="s">
        <v>45</v>
      </c>
      <c r="D634" s="42">
        <v>2</v>
      </c>
      <c r="E634" s="41">
        <v>6.1665587518885091E-5</v>
      </c>
    </row>
    <row r="635" spans="2:5" ht="15" customHeight="1">
      <c r="B635" s="84"/>
      <c r="C635" s="43" t="s">
        <v>46</v>
      </c>
      <c r="D635" s="42">
        <v>2</v>
      </c>
      <c r="E635" s="41">
        <v>6.1665587518885091E-5</v>
      </c>
    </row>
    <row r="636" spans="2:5" ht="15" customHeight="1">
      <c r="B636" s="84"/>
      <c r="C636" s="43" t="s">
        <v>48</v>
      </c>
      <c r="D636" s="42">
        <v>4</v>
      </c>
      <c r="E636" s="41">
        <v>1.2333117503777018E-4</v>
      </c>
    </row>
    <row r="637" spans="2:5" ht="15" customHeight="1">
      <c r="B637" s="84"/>
      <c r="C637" s="43" t="s">
        <v>52</v>
      </c>
      <c r="D637" s="42">
        <v>5</v>
      </c>
      <c r="E637" s="41">
        <v>1.5416396879721272E-4</v>
      </c>
    </row>
    <row r="638" spans="2:5" ht="15" customHeight="1">
      <c r="B638" s="84"/>
      <c r="C638" s="43" t="s">
        <v>35</v>
      </c>
      <c r="D638" s="42">
        <v>1</v>
      </c>
      <c r="E638" s="41">
        <v>3.0832793759442546E-5</v>
      </c>
    </row>
    <row r="639" spans="2:5" ht="15" customHeight="1">
      <c r="B639" s="84"/>
      <c r="C639" s="43" t="s">
        <v>47</v>
      </c>
      <c r="D639" s="42">
        <v>4</v>
      </c>
      <c r="E639" s="41">
        <v>1.2333117503777018E-4</v>
      </c>
    </row>
    <row r="640" spans="2:5" ht="15" customHeight="1">
      <c r="B640" s="84"/>
      <c r="C640" s="43" t="s">
        <v>64</v>
      </c>
      <c r="D640" s="42">
        <v>12</v>
      </c>
      <c r="E640" s="41">
        <v>3.6999352511331052E-4</v>
      </c>
    </row>
    <row r="641" spans="2:5" ht="15" customHeight="1">
      <c r="B641" s="84"/>
      <c r="C641" s="43" t="s">
        <v>49</v>
      </c>
      <c r="D641" s="42">
        <v>1</v>
      </c>
      <c r="E641" s="41">
        <v>3.0832793759442546E-5</v>
      </c>
    </row>
    <row r="642" spans="2:5" ht="15" customHeight="1">
      <c r="B642" s="84"/>
      <c r="C642" s="43" t="s">
        <v>63</v>
      </c>
      <c r="D642" s="42">
        <v>11</v>
      </c>
      <c r="E642" s="41">
        <v>3.3916073135386795E-4</v>
      </c>
    </row>
    <row r="643" spans="2:5" ht="15" customHeight="1">
      <c r="B643" s="84"/>
      <c r="C643" s="43" t="s">
        <v>37</v>
      </c>
      <c r="D643" s="42">
        <v>1</v>
      </c>
      <c r="E643" s="41">
        <v>3.0832793759442546E-5</v>
      </c>
    </row>
    <row r="644" spans="2:5" ht="15" customHeight="1">
      <c r="B644" s="84"/>
      <c r="C644" s="43" t="s">
        <v>34</v>
      </c>
      <c r="D644" s="42">
        <v>2</v>
      </c>
      <c r="E644" s="41">
        <v>6.1665587518885091E-5</v>
      </c>
    </row>
    <row r="645" spans="2:5" ht="15" customHeight="1">
      <c r="B645" s="84"/>
      <c r="C645" s="43" t="s">
        <v>57</v>
      </c>
      <c r="D645" s="42">
        <v>6</v>
      </c>
      <c r="E645" s="41">
        <v>1.8499676255665526E-4</v>
      </c>
    </row>
    <row r="646" spans="2:5" ht="15" customHeight="1">
      <c r="B646" s="84"/>
      <c r="C646" s="43" t="s">
        <v>62</v>
      </c>
      <c r="D646" s="42">
        <v>8</v>
      </c>
      <c r="E646" s="41">
        <v>2.4666235007554037E-4</v>
      </c>
    </row>
    <row r="647" spans="2:5" ht="15" customHeight="1">
      <c r="B647" s="84"/>
      <c r="C647" s="43" t="s">
        <v>69</v>
      </c>
      <c r="D647" s="42">
        <v>412</v>
      </c>
      <c r="E647" s="41">
        <v>1.2703111028890327E-2</v>
      </c>
    </row>
    <row r="648" spans="2:5" ht="15" customHeight="1">
      <c r="B648" s="84"/>
      <c r="C648" s="43" t="s">
        <v>50</v>
      </c>
      <c r="D648" s="42">
        <v>3</v>
      </c>
      <c r="E648" s="41">
        <v>9.249838127832763E-5</v>
      </c>
    </row>
    <row r="649" spans="2:5" ht="15" customHeight="1">
      <c r="B649" s="84"/>
      <c r="C649" s="43" t="s">
        <v>55</v>
      </c>
      <c r="D649" s="42">
        <v>6</v>
      </c>
      <c r="E649" s="41">
        <v>1.8499676255665526E-4</v>
      </c>
    </row>
    <row r="650" spans="2:5" ht="15" customHeight="1">
      <c r="B650" s="84"/>
      <c r="C650" s="43" t="s">
        <v>39</v>
      </c>
      <c r="D650" s="42">
        <v>1</v>
      </c>
      <c r="E650" s="41">
        <v>3.0832793759442546E-5</v>
      </c>
    </row>
    <row r="651" spans="2:5" ht="15" customHeight="1">
      <c r="B651" s="84"/>
      <c r="C651" s="43" t="s">
        <v>29</v>
      </c>
      <c r="D651" s="42">
        <v>1</v>
      </c>
      <c r="E651" s="41">
        <v>3.0832793759442546E-5</v>
      </c>
    </row>
    <row r="652" spans="2:5" ht="15" customHeight="1">
      <c r="B652" s="84"/>
      <c r="C652" s="43" t="s">
        <v>42</v>
      </c>
      <c r="D652" s="42">
        <v>3</v>
      </c>
      <c r="E652" s="41">
        <v>9.249838127832763E-5</v>
      </c>
    </row>
    <row r="653" spans="2:5" ht="15" customHeight="1">
      <c r="B653" s="85"/>
      <c r="C653" s="40" t="s">
        <v>23</v>
      </c>
      <c r="D653" s="39">
        <v>613</v>
      </c>
      <c r="E653" s="38">
        <v>1.8900502574538278E-2</v>
      </c>
    </row>
    <row r="654" spans="2:5" ht="15" customHeight="1">
      <c r="B654" s="83" t="s">
        <v>191</v>
      </c>
      <c r="C654" s="43" t="s">
        <v>61</v>
      </c>
      <c r="D654" s="42">
        <v>1</v>
      </c>
      <c r="E654" s="41">
        <v>3.0832793759442546E-5</v>
      </c>
    </row>
    <row r="655" spans="2:5" ht="15" customHeight="1">
      <c r="B655" s="84"/>
      <c r="C655" s="43" t="s">
        <v>67</v>
      </c>
      <c r="D655" s="42">
        <v>1</v>
      </c>
      <c r="E655" s="41">
        <v>3.0832793759442546E-5</v>
      </c>
    </row>
    <row r="656" spans="2:5" ht="15" customHeight="1">
      <c r="B656" s="84"/>
      <c r="C656" s="43" t="s">
        <v>65</v>
      </c>
      <c r="D656" s="42">
        <v>2</v>
      </c>
      <c r="E656" s="41">
        <v>6.1665587518885091E-5</v>
      </c>
    </row>
    <row r="657" spans="2:5" ht="15" customHeight="1">
      <c r="B657" s="84"/>
      <c r="C657" s="43" t="s">
        <v>68</v>
      </c>
      <c r="D657" s="42">
        <v>1</v>
      </c>
      <c r="E657" s="41">
        <v>3.0832793759442546E-5</v>
      </c>
    </row>
    <row r="658" spans="2:5" ht="15" customHeight="1">
      <c r="B658" s="84"/>
      <c r="C658" s="43" t="s">
        <v>66</v>
      </c>
      <c r="D658" s="42">
        <v>1</v>
      </c>
      <c r="E658" s="41">
        <v>3.0832793759442546E-5</v>
      </c>
    </row>
    <row r="659" spans="2:5" ht="15" customHeight="1">
      <c r="B659" s="84"/>
      <c r="C659" s="43" t="s">
        <v>41</v>
      </c>
      <c r="D659" s="42">
        <v>1</v>
      </c>
      <c r="E659" s="41">
        <v>3.0832793759442546E-5</v>
      </c>
    </row>
    <row r="660" spans="2:5" ht="15" customHeight="1">
      <c r="B660" s="84"/>
      <c r="C660" s="43" t="s">
        <v>54</v>
      </c>
      <c r="D660" s="42">
        <v>1</v>
      </c>
      <c r="E660" s="41">
        <v>3.0832793759442546E-5</v>
      </c>
    </row>
    <row r="661" spans="2:5" ht="15" customHeight="1">
      <c r="B661" s="84"/>
      <c r="C661" s="43" t="s">
        <v>63</v>
      </c>
      <c r="D661" s="42">
        <v>2</v>
      </c>
      <c r="E661" s="41">
        <v>6.1665587518885091E-5</v>
      </c>
    </row>
    <row r="662" spans="2:5" ht="15" customHeight="1">
      <c r="B662" s="84"/>
      <c r="C662" s="43" t="s">
        <v>62</v>
      </c>
      <c r="D662" s="42">
        <v>1</v>
      </c>
      <c r="E662" s="41">
        <v>3.0832793759442546E-5</v>
      </c>
    </row>
    <row r="663" spans="2:5" ht="15" customHeight="1">
      <c r="B663" s="84"/>
      <c r="C663" s="43" t="s">
        <v>69</v>
      </c>
      <c r="D663" s="42">
        <v>9</v>
      </c>
      <c r="E663" s="41">
        <v>2.7749514383498288E-4</v>
      </c>
    </row>
    <row r="664" spans="2:5" ht="15" customHeight="1">
      <c r="B664" s="84"/>
      <c r="C664" s="43" t="s">
        <v>39</v>
      </c>
      <c r="D664" s="42">
        <v>1</v>
      </c>
      <c r="E664" s="41">
        <v>3.0832793759442546E-5</v>
      </c>
    </row>
    <row r="665" spans="2:5" ht="15" customHeight="1">
      <c r="B665" s="85"/>
      <c r="C665" s="40" t="s">
        <v>23</v>
      </c>
      <c r="D665" s="39">
        <v>21</v>
      </c>
      <c r="E665" s="38">
        <v>6.4748866894829345E-4</v>
      </c>
    </row>
    <row r="666" spans="2:5" ht="15" customHeight="1">
      <c r="B666" s="83" t="s">
        <v>190</v>
      </c>
      <c r="C666" s="43" t="s">
        <v>61</v>
      </c>
      <c r="D666" s="42">
        <v>1</v>
      </c>
      <c r="E666" s="41">
        <v>3.0832793759442546E-5</v>
      </c>
    </row>
    <row r="667" spans="2:5" ht="15" customHeight="1">
      <c r="B667" s="84"/>
      <c r="C667" s="43" t="s">
        <v>66</v>
      </c>
      <c r="D667" s="42">
        <v>2</v>
      </c>
      <c r="E667" s="41">
        <v>6.1665587518885091E-5</v>
      </c>
    </row>
    <row r="668" spans="2:5" ht="15" customHeight="1">
      <c r="B668" s="84"/>
      <c r="C668" s="43" t="s">
        <v>62</v>
      </c>
      <c r="D668" s="42">
        <v>1</v>
      </c>
      <c r="E668" s="41">
        <v>3.0832793759442546E-5</v>
      </c>
    </row>
    <row r="669" spans="2:5" ht="15" customHeight="1">
      <c r="B669" s="84"/>
      <c r="C669" s="43" t="s">
        <v>69</v>
      </c>
      <c r="D669" s="42">
        <v>9</v>
      </c>
      <c r="E669" s="41">
        <v>2.7749514383498288E-4</v>
      </c>
    </row>
    <row r="670" spans="2:5" ht="15" customHeight="1">
      <c r="B670" s="85"/>
      <c r="C670" s="40" t="s">
        <v>23</v>
      </c>
      <c r="D670" s="39">
        <v>13</v>
      </c>
      <c r="E670" s="38">
        <v>4.0082631887275309E-4</v>
      </c>
    </row>
    <row r="671" spans="2:5" ht="15" customHeight="1">
      <c r="B671" s="83" t="s">
        <v>189</v>
      </c>
      <c r="C671" s="43" t="s">
        <v>61</v>
      </c>
      <c r="D671" s="42">
        <v>1</v>
      </c>
      <c r="E671" s="41">
        <v>3.0832793759442546E-5</v>
      </c>
    </row>
    <row r="672" spans="2:5" ht="15" customHeight="1">
      <c r="B672" s="84"/>
      <c r="C672" s="43" t="s">
        <v>66</v>
      </c>
      <c r="D672" s="42">
        <v>1</v>
      </c>
      <c r="E672" s="41">
        <v>3.0832793759442546E-5</v>
      </c>
    </row>
    <row r="673" spans="2:5" ht="15" customHeight="1">
      <c r="B673" s="84"/>
      <c r="C673" s="43" t="s">
        <v>69</v>
      </c>
      <c r="D673" s="42">
        <v>9</v>
      </c>
      <c r="E673" s="41">
        <v>2.7749514383498288E-4</v>
      </c>
    </row>
    <row r="674" spans="2:5" ht="15" customHeight="1">
      <c r="B674" s="85"/>
      <c r="C674" s="40" t="s">
        <v>23</v>
      </c>
      <c r="D674" s="39">
        <v>11</v>
      </c>
      <c r="E674" s="38">
        <v>3.3916073135386795E-4</v>
      </c>
    </row>
    <row r="675" spans="2:5" ht="15" customHeight="1">
      <c r="B675" s="95" t="s">
        <v>23</v>
      </c>
      <c r="C675" s="96"/>
      <c r="D675" s="97">
        <v>32433</v>
      </c>
      <c r="E675" s="98">
        <v>1</v>
      </c>
    </row>
    <row r="677" spans="2:5" ht="15" customHeight="1">
      <c r="B677" s="19" t="s">
        <v>22</v>
      </c>
    </row>
    <row r="678" spans="2:5" ht="15" customHeight="1">
      <c r="B678" s="21" t="s">
        <v>21</v>
      </c>
    </row>
    <row r="679" spans="2:5" ht="15" customHeight="1">
      <c r="B679" s="20" t="s">
        <v>20</v>
      </c>
    </row>
    <row r="680" spans="2:5" ht="15" customHeight="1">
      <c r="B680" s="19" t="s">
        <v>19</v>
      </c>
    </row>
    <row r="681" spans="2:5" ht="15" customHeight="1">
      <c r="B681" s="19" t="s">
        <v>18</v>
      </c>
    </row>
  </sheetData>
  <mergeCells count="26">
    <mergeCell ref="B503:B546"/>
    <mergeCell ref="B547:B555"/>
    <mergeCell ref="B556:B566"/>
    <mergeCell ref="B7:E8"/>
    <mergeCell ref="B10:B38"/>
    <mergeCell ref="B39:B68"/>
    <mergeCell ref="B69:B96"/>
    <mergeCell ref="B97:B129"/>
    <mergeCell ref="B130:B160"/>
    <mergeCell ref="B161:B197"/>
    <mergeCell ref="B198:B239"/>
    <mergeCell ref="B240:B283"/>
    <mergeCell ref="B284:B309"/>
    <mergeCell ref="B310:B345"/>
    <mergeCell ref="B346:B383"/>
    <mergeCell ref="B384:B429"/>
    <mergeCell ref="B430:B462"/>
    <mergeCell ref="B463:B502"/>
    <mergeCell ref="B671:B674"/>
    <mergeCell ref="B675:C675"/>
    <mergeCell ref="B567:B581"/>
    <mergeCell ref="B582:B586"/>
    <mergeCell ref="B587:B619"/>
    <mergeCell ref="B620:B653"/>
    <mergeCell ref="B654:B665"/>
    <mergeCell ref="B666:B67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7" manualBreakCount="17">
    <brk id="38" max="4" man="1"/>
    <brk id="68" max="4" man="1"/>
    <brk id="96" max="4" man="1"/>
    <brk id="129" max="4" man="1"/>
    <brk id="160" max="4" man="1"/>
    <brk id="197" max="4" man="1"/>
    <brk id="239" max="4" man="1"/>
    <brk id="283" max="4" man="1"/>
    <brk id="309" max="4" man="1"/>
    <brk id="345" max="4" man="1"/>
    <brk id="383" max="4" man="1"/>
    <brk id="462" max="4" man="1"/>
    <brk id="502" max="4" man="1"/>
    <brk id="546" max="4" man="1"/>
    <brk id="586" max="4" man="1"/>
    <brk id="619" max="4" man="1"/>
    <brk id="653" max="4" man="1"/>
  </rowBreaks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03"/>
  <sheetViews>
    <sheetView topLeftCell="A762" zoomScale="89" zoomScaleNormal="89" zoomScaleSheetLayoutView="85" workbookViewId="0">
      <selection activeCell="B797" sqref="B797:E79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86"/>
      <c r="C7" s="86"/>
      <c r="D7" s="86"/>
      <c r="E7" s="86"/>
    </row>
    <row r="8" spans="1:5" s="48" customFormat="1" ht="33" customHeight="1">
      <c r="A8" s="49"/>
      <c r="B8" s="86"/>
      <c r="C8" s="86"/>
      <c r="D8" s="86"/>
      <c r="E8" s="86"/>
    </row>
    <row r="9" spans="1:5" s="29" customFormat="1" ht="40.5" customHeight="1">
      <c r="B9" s="45" t="s">
        <v>124</v>
      </c>
      <c r="C9" s="47" t="s">
        <v>214</v>
      </c>
      <c r="D9" s="46" t="s">
        <v>71</v>
      </c>
      <c r="E9" s="45" t="s">
        <v>70</v>
      </c>
    </row>
    <row r="10" spans="1:5" ht="15" customHeight="1">
      <c r="B10" s="83" t="s">
        <v>87</v>
      </c>
      <c r="C10" s="43" t="s">
        <v>212</v>
      </c>
      <c r="D10" s="42">
        <v>1</v>
      </c>
      <c r="E10" s="41">
        <v>3.0832793759442546E-5</v>
      </c>
    </row>
    <row r="11" spans="1:5" ht="15" customHeight="1">
      <c r="B11" s="84"/>
      <c r="C11" s="43" t="s">
        <v>211</v>
      </c>
      <c r="D11" s="42">
        <v>3</v>
      </c>
      <c r="E11" s="41">
        <v>9.249838127832763E-5</v>
      </c>
    </row>
    <row r="12" spans="1:5" ht="15" customHeight="1">
      <c r="B12" s="84"/>
      <c r="C12" s="43" t="s">
        <v>210</v>
      </c>
      <c r="D12" s="42">
        <v>2</v>
      </c>
      <c r="E12" s="41">
        <v>6.1665587518885091E-5</v>
      </c>
    </row>
    <row r="13" spans="1:5" ht="15" customHeight="1">
      <c r="B13" s="84"/>
      <c r="C13" s="43" t="s">
        <v>209</v>
      </c>
      <c r="D13" s="42">
        <v>2</v>
      </c>
      <c r="E13" s="41">
        <v>6.1665587518885091E-5</v>
      </c>
    </row>
    <row r="14" spans="1:5" ht="15" customHeight="1">
      <c r="B14" s="84"/>
      <c r="C14" s="43" t="s">
        <v>208</v>
      </c>
      <c r="D14" s="42">
        <v>5</v>
      </c>
      <c r="E14" s="41">
        <v>1.5416396879721272E-4</v>
      </c>
    </row>
    <row r="15" spans="1:5" s="44" customFormat="1" ht="15" customHeight="1">
      <c r="A15" s="36"/>
      <c r="B15" s="84"/>
      <c r="C15" s="43" t="s">
        <v>207</v>
      </c>
      <c r="D15" s="42">
        <v>3</v>
      </c>
      <c r="E15" s="41">
        <v>9.249838127832763E-5</v>
      </c>
    </row>
    <row r="16" spans="1:5" s="44" customFormat="1" ht="15" customHeight="1">
      <c r="A16" s="36"/>
      <c r="B16" s="84"/>
      <c r="C16" s="43" t="s">
        <v>206</v>
      </c>
      <c r="D16" s="42">
        <v>9</v>
      </c>
      <c r="E16" s="41">
        <v>2.7749514383498288E-4</v>
      </c>
    </row>
    <row r="17" spans="1:5" s="44" customFormat="1" ht="15" customHeight="1">
      <c r="A17" s="36"/>
      <c r="B17" s="84"/>
      <c r="C17" s="43" t="s">
        <v>205</v>
      </c>
      <c r="D17" s="42">
        <v>20</v>
      </c>
      <c r="E17" s="41">
        <v>6.1665587518885089E-4</v>
      </c>
    </row>
    <row r="18" spans="1:5" s="44" customFormat="1" ht="15" customHeight="1">
      <c r="A18" s="36"/>
      <c r="B18" s="84"/>
      <c r="C18" s="43" t="s">
        <v>203</v>
      </c>
      <c r="D18" s="42">
        <v>3</v>
      </c>
      <c r="E18" s="41">
        <v>9.249838127832763E-5</v>
      </c>
    </row>
    <row r="19" spans="1:5" ht="15" customHeight="1">
      <c r="B19" s="84"/>
      <c r="C19" s="43" t="s">
        <v>202</v>
      </c>
      <c r="D19" s="42">
        <v>1</v>
      </c>
      <c r="E19" s="41">
        <v>3.0832793759442546E-5</v>
      </c>
    </row>
    <row r="20" spans="1:5" ht="15" customHeight="1">
      <c r="B20" s="84"/>
      <c r="C20" s="43" t="s">
        <v>201</v>
      </c>
      <c r="D20" s="42">
        <v>31</v>
      </c>
      <c r="E20" s="41">
        <v>9.5581660654271879E-4</v>
      </c>
    </row>
    <row r="21" spans="1:5" ht="15" customHeight="1">
      <c r="B21" s="84"/>
      <c r="C21" s="43" t="s">
        <v>199</v>
      </c>
      <c r="D21" s="42">
        <v>5</v>
      </c>
      <c r="E21" s="41">
        <v>1.5416396879721272E-4</v>
      </c>
    </row>
    <row r="22" spans="1:5" ht="15" customHeight="1">
      <c r="B22" s="84"/>
      <c r="C22" s="43" t="s">
        <v>198</v>
      </c>
      <c r="D22" s="42">
        <v>13</v>
      </c>
      <c r="E22" s="41">
        <v>4.0082631887275309E-4</v>
      </c>
    </row>
    <row r="23" spans="1:5" ht="15" customHeight="1">
      <c r="B23" s="84"/>
      <c r="C23" s="43" t="s">
        <v>196</v>
      </c>
      <c r="D23" s="42">
        <v>1</v>
      </c>
      <c r="E23" s="41">
        <v>3.0832793759442546E-5</v>
      </c>
    </row>
    <row r="24" spans="1:5" ht="15" customHeight="1">
      <c r="B24" s="84"/>
      <c r="C24" s="43" t="s">
        <v>193</v>
      </c>
      <c r="D24" s="42">
        <v>1</v>
      </c>
      <c r="E24" s="41">
        <v>3.0832793759442546E-5</v>
      </c>
    </row>
    <row r="25" spans="1:5" ht="15" customHeight="1">
      <c r="B25" s="84"/>
      <c r="C25" s="43" t="s">
        <v>192</v>
      </c>
      <c r="D25" s="42">
        <v>4</v>
      </c>
      <c r="E25" s="41">
        <v>1.2333117503777018E-4</v>
      </c>
    </row>
    <row r="26" spans="1:5" ht="15" customHeight="1">
      <c r="B26" s="85"/>
      <c r="C26" s="40" t="s">
        <v>23</v>
      </c>
      <c r="D26" s="39">
        <v>104</v>
      </c>
      <c r="E26" s="38">
        <v>3.2066105509820247E-3</v>
      </c>
    </row>
    <row r="27" spans="1:5" ht="15" customHeight="1">
      <c r="B27" s="83" t="s">
        <v>119</v>
      </c>
      <c r="C27" s="43" t="s">
        <v>212</v>
      </c>
      <c r="D27" s="42">
        <v>40</v>
      </c>
      <c r="E27" s="41">
        <v>1.2333117503777018E-3</v>
      </c>
    </row>
    <row r="28" spans="1:5" ht="15" customHeight="1">
      <c r="B28" s="84"/>
      <c r="C28" s="43" t="s">
        <v>211</v>
      </c>
      <c r="D28" s="42">
        <v>10</v>
      </c>
      <c r="E28" s="41">
        <v>3.0832793759442544E-4</v>
      </c>
    </row>
    <row r="29" spans="1:5" ht="15" customHeight="1">
      <c r="B29" s="84"/>
      <c r="C29" s="43" t="s">
        <v>210</v>
      </c>
      <c r="D29" s="42">
        <v>32</v>
      </c>
      <c r="E29" s="41">
        <v>9.8664940030216146E-4</v>
      </c>
    </row>
    <row r="30" spans="1:5" ht="15" customHeight="1">
      <c r="B30" s="84"/>
      <c r="C30" s="43" t="s">
        <v>209</v>
      </c>
      <c r="D30" s="42">
        <v>53</v>
      </c>
      <c r="E30" s="41">
        <v>1.6341380692504548E-3</v>
      </c>
    </row>
    <row r="31" spans="1:5" ht="15" customHeight="1">
      <c r="B31" s="84"/>
      <c r="C31" s="43" t="s">
        <v>208</v>
      </c>
      <c r="D31" s="42">
        <v>35</v>
      </c>
      <c r="E31" s="41">
        <v>1.079147781580489E-3</v>
      </c>
    </row>
    <row r="32" spans="1:5" ht="15" customHeight="1">
      <c r="B32" s="84"/>
      <c r="C32" s="43" t="s">
        <v>207</v>
      </c>
      <c r="D32" s="42">
        <v>35</v>
      </c>
      <c r="E32" s="41">
        <v>1.079147781580489E-3</v>
      </c>
    </row>
    <row r="33" spans="2:5" ht="15" customHeight="1">
      <c r="B33" s="84"/>
      <c r="C33" s="43" t="s">
        <v>206</v>
      </c>
      <c r="D33" s="42">
        <v>119</v>
      </c>
      <c r="E33" s="41">
        <v>3.6691024573736624E-3</v>
      </c>
    </row>
    <row r="34" spans="2:5" ht="15" customHeight="1">
      <c r="B34" s="84"/>
      <c r="C34" s="43" t="s">
        <v>205</v>
      </c>
      <c r="D34" s="42">
        <v>433</v>
      </c>
      <c r="E34" s="41">
        <v>1.3350599697838621E-2</v>
      </c>
    </row>
    <row r="35" spans="2:5" ht="15" customHeight="1">
      <c r="B35" s="84"/>
      <c r="C35" s="43" t="s">
        <v>204</v>
      </c>
      <c r="D35" s="42">
        <v>33</v>
      </c>
      <c r="E35" s="41">
        <v>1.0174821940616039E-3</v>
      </c>
    </row>
    <row r="36" spans="2:5" ht="15" customHeight="1">
      <c r="B36" s="84"/>
      <c r="C36" s="43" t="s">
        <v>203</v>
      </c>
      <c r="D36" s="42">
        <v>58</v>
      </c>
      <c r="E36" s="41">
        <v>1.7883020380476675E-3</v>
      </c>
    </row>
    <row r="37" spans="2:5" ht="15" customHeight="1">
      <c r="B37" s="84"/>
      <c r="C37" s="43" t="s">
        <v>202</v>
      </c>
      <c r="D37" s="42">
        <v>62</v>
      </c>
      <c r="E37" s="41">
        <v>1.9116332130854376E-3</v>
      </c>
    </row>
    <row r="38" spans="2:5" ht="15" customHeight="1">
      <c r="B38" s="84"/>
      <c r="C38" s="43" t="s">
        <v>201</v>
      </c>
      <c r="D38" s="42">
        <v>829</v>
      </c>
      <c r="E38" s="41">
        <v>2.5560386026577869E-2</v>
      </c>
    </row>
    <row r="39" spans="2:5" ht="15" customHeight="1">
      <c r="B39" s="84"/>
      <c r="C39" s="43" t="s">
        <v>200</v>
      </c>
      <c r="D39" s="42">
        <v>35</v>
      </c>
      <c r="E39" s="41">
        <v>1.079147781580489E-3</v>
      </c>
    </row>
    <row r="40" spans="2:5" ht="15" customHeight="1">
      <c r="B40" s="84"/>
      <c r="C40" s="43" t="s">
        <v>199</v>
      </c>
      <c r="D40" s="42">
        <v>68</v>
      </c>
      <c r="E40" s="41">
        <v>2.0966299756420928E-3</v>
      </c>
    </row>
    <row r="41" spans="2:5" ht="15" customHeight="1">
      <c r="B41" s="84"/>
      <c r="C41" s="43" t="s">
        <v>198</v>
      </c>
      <c r="D41" s="42">
        <v>275</v>
      </c>
      <c r="E41" s="41">
        <v>8.4790182838466992E-3</v>
      </c>
    </row>
    <row r="42" spans="2:5" ht="15" customHeight="1">
      <c r="B42" s="84"/>
      <c r="C42" s="43" t="s">
        <v>197</v>
      </c>
      <c r="D42" s="42">
        <v>3</v>
      </c>
      <c r="E42" s="41">
        <v>9.249838127832763E-5</v>
      </c>
    </row>
    <row r="43" spans="2:5" ht="15" customHeight="1">
      <c r="B43" s="84"/>
      <c r="C43" s="43" t="s">
        <v>196</v>
      </c>
      <c r="D43" s="42">
        <v>3</v>
      </c>
      <c r="E43" s="41">
        <v>9.249838127832763E-5</v>
      </c>
    </row>
    <row r="44" spans="2:5" ht="15" customHeight="1">
      <c r="B44" s="84"/>
      <c r="C44" s="43" t="s">
        <v>195</v>
      </c>
      <c r="D44" s="42">
        <v>5</v>
      </c>
      <c r="E44" s="41">
        <v>1.5416396879721272E-4</v>
      </c>
    </row>
    <row r="45" spans="2:5" ht="15" customHeight="1">
      <c r="B45" s="84"/>
      <c r="C45" s="43" t="s">
        <v>193</v>
      </c>
      <c r="D45" s="42">
        <v>14</v>
      </c>
      <c r="E45" s="41">
        <v>4.316591126321956E-4</v>
      </c>
    </row>
    <row r="46" spans="2:5" ht="15" customHeight="1">
      <c r="B46" s="84"/>
      <c r="C46" s="43" t="s">
        <v>192</v>
      </c>
      <c r="D46" s="42">
        <v>25</v>
      </c>
      <c r="E46" s="41">
        <v>7.7081984398606361E-4</v>
      </c>
    </row>
    <row r="47" spans="2:5" ht="15" customHeight="1">
      <c r="B47" s="84"/>
      <c r="C47" s="43" t="s">
        <v>217</v>
      </c>
      <c r="D47" s="42">
        <v>1</v>
      </c>
      <c r="E47" s="41">
        <v>3.0832793759442546E-5</v>
      </c>
    </row>
    <row r="48" spans="2:5" ht="15" customHeight="1">
      <c r="B48" s="85"/>
      <c r="C48" s="40" t="s">
        <v>23</v>
      </c>
      <c r="D48" s="39">
        <v>2168</v>
      </c>
      <c r="E48" s="38">
        <v>6.6845496870471435E-2</v>
      </c>
    </row>
    <row r="49" spans="2:5" ht="15" customHeight="1">
      <c r="B49" s="83" t="s">
        <v>109</v>
      </c>
      <c r="C49" s="43" t="s">
        <v>212</v>
      </c>
      <c r="D49" s="42">
        <v>34</v>
      </c>
      <c r="E49" s="41">
        <v>1.0483149878210464E-3</v>
      </c>
    </row>
    <row r="50" spans="2:5" ht="15" customHeight="1">
      <c r="B50" s="84"/>
      <c r="C50" s="43" t="s">
        <v>211</v>
      </c>
      <c r="D50" s="42">
        <v>16</v>
      </c>
      <c r="E50" s="41">
        <v>4.9332470015108073E-4</v>
      </c>
    </row>
    <row r="51" spans="2:5" ht="15" customHeight="1">
      <c r="B51" s="84"/>
      <c r="C51" s="43" t="s">
        <v>210</v>
      </c>
      <c r="D51" s="42">
        <v>22</v>
      </c>
      <c r="E51" s="41">
        <v>6.7832146270773591E-4</v>
      </c>
    </row>
    <row r="52" spans="2:5" ht="15" customHeight="1">
      <c r="B52" s="84"/>
      <c r="C52" s="43" t="s">
        <v>209</v>
      </c>
      <c r="D52" s="42">
        <v>54</v>
      </c>
      <c r="E52" s="41">
        <v>1.6649708630098973E-3</v>
      </c>
    </row>
    <row r="53" spans="2:5" ht="15" customHeight="1">
      <c r="B53" s="84"/>
      <c r="C53" s="43" t="s">
        <v>208</v>
      </c>
      <c r="D53" s="42">
        <v>49</v>
      </c>
      <c r="E53" s="41">
        <v>1.5108068942126845E-3</v>
      </c>
    </row>
    <row r="54" spans="2:5" ht="15" customHeight="1">
      <c r="B54" s="84"/>
      <c r="C54" s="43" t="s">
        <v>207</v>
      </c>
      <c r="D54" s="42">
        <v>47</v>
      </c>
      <c r="E54" s="41">
        <v>1.4491413066937996E-3</v>
      </c>
    </row>
    <row r="55" spans="2:5" ht="15" customHeight="1">
      <c r="B55" s="84"/>
      <c r="C55" s="43" t="s">
        <v>206</v>
      </c>
      <c r="D55" s="42">
        <v>151</v>
      </c>
      <c r="E55" s="41">
        <v>4.6557518576758241E-3</v>
      </c>
    </row>
    <row r="56" spans="2:5" ht="15" customHeight="1">
      <c r="B56" s="84"/>
      <c r="C56" s="43" t="s">
        <v>205</v>
      </c>
      <c r="D56" s="42">
        <v>347</v>
      </c>
      <c r="E56" s="41">
        <v>1.0698979434526563E-2</v>
      </c>
    </row>
    <row r="57" spans="2:5" ht="15" customHeight="1">
      <c r="B57" s="84"/>
      <c r="C57" s="43" t="s">
        <v>204</v>
      </c>
      <c r="D57" s="42">
        <v>21</v>
      </c>
      <c r="E57" s="41">
        <v>6.4748866894829345E-4</v>
      </c>
    </row>
    <row r="58" spans="2:5" ht="15" customHeight="1">
      <c r="B58" s="84"/>
      <c r="C58" s="43" t="s">
        <v>203</v>
      </c>
      <c r="D58" s="42">
        <v>45</v>
      </c>
      <c r="E58" s="41">
        <v>1.3874757191749145E-3</v>
      </c>
    </row>
    <row r="59" spans="2:5" ht="15" customHeight="1">
      <c r="B59" s="84"/>
      <c r="C59" s="43" t="s">
        <v>202</v>
      </c>
      <c r="D59" s="42">
        <v>77</v>
      </c>
      <c r="E59" s="41">
        <v>2.3741251194770757E-3</v>
      </c>
    </row>
    <row r="60" spans="2:5" ht="15" customHeight="1">
      <c r="B60" s="84"/>
      <c r="C60" s="43" t="s">
        <v>201</v>
      </c>
      <c r="D60" s="42">
        <v>689</v>
      </c>
      <c r="E60" s="41">
        <v>2.1243794900255911E-2</v>
      </c>
    </row>
    <row r="61" spans="2:5" ht="15" customHeight="1">
      <c r="B61" s="84"/>
      <c r="C61" s="43" t="s">
        <v>200</v>
      </c>
      <c r="D61" s="42">
        <v>17</v>
      </c>
      <c r="E61" s="41">
        <v>5.2415749391052319E-4</v>
      </c>
    </row>
    <row r="62" spans="2:5" ht="15" customHeight="1">
      <c r="B62" s="84"/>
      <c r="C62" s="43" t="s">
        <v>199</v>
      </c>
      <c r="D62" s="42">
        <v>94</v>
      </c>
      <c r="E62" s="41">
        <v>2.8982826133875992E-3</v>
      </c>
    </row>
    <row r="63" spans="2:5" ht="15" customHeight="1">
      <c r="B63" s="84"/>
      <c r="C63" s="43" t="s">
        <v>198</v>
      </c>
      <c r="D63" s="42">
        <v>305</v>
      </c>
      <c r="E63" s="41">
        <v>9.4040020966299764E-3</v>
      </c>
    </row>
    <row r="64" spans="2:5" ht="15" customHeight="1">
      <c r="B64" s="84"/>
      <c r="C64" s="43" t="s">
        <v>197</v>
      </c>
      <c r="D64" s="42">
        <v>4</v>
      </c>
      <c r="E64" s="41">
        <v>1.2333117503777018E-4</v>
      </c>
    </row>
    <row r="65" spans="2:5" ht="15" customHeight="1">
      <c r="B65" s="84"/>
      <c r="C65" s="43" t="s">
        <v>196</v>
      </c>
      <c r="D65" s="42">
        <v>6</v>
      </c>
      <c r="E65" s="41">
        <v>1.8499676255665526E-4</v>
      </c>
    </row>
    <row r="66" spans="2:5" ht="15" customHeight="1">
      <c r="B66" s="84"/>
      <c r="C66" s="43" t="s">
        <v>195</v>
      </c>
      <c r="D66" s="42">
        <v>2</v>
      </c>
      <c r="E66" s="41">
        <v>6.1665587518885091E-5</v>
      </c>
    </row>
    <row r="67" spans="2:5" ht="15" customHeight="1">
      <c r="B67" s="84"/>
      <c r="C67" s="43" t="s">
        <v>194</v>
      </c>
      <c r="D67" s="42">
        <v>1</v>
      </c>
      <c r="E67" s="41">
        <v>3.0832793759442546E-5</v>
      </c>
    </row>
    <row r="68" spans="2:5" ht="15" customHeight="1">
      <c r="B68" s="84"/>
      <c r="C68" s="43" t="s">
        <v>193</v>
      </c>
      <c r="D68" s="42">
        <v>13</v>
      </c>
      <c r="E68" s="41">
        <v>4.0082631887275309E-4</v>
      </c>
    </row>
    <row r="69" spans="2:5" ht="15" customHeight="1">
      <c r="B69" s="84"/>
      <c r="C69" s="43" t="s">
        <v>192</v>
      </c>
      <c r="D69" s="42">
        <v>35</v>
      </c>
      <c r="E69" s="41">
        <v>1.079147781580489E-3</v>
      </c>
    </row>
    <row r="70" spans="2:5" ht="15" customHeight="1">
      <c r="B70" s="84"/>
      <c r="C70" s="43" t="s">
        <v>189</v>
      </c>
      <c r="D70" s="42">
        <v>1</v>
      </c>
      <c r="E70" s="41">
        <v>3.0832793759442546E-5</v>
      </c>
    </row>
    <row r="71" spans="2:5" ht="15" customHeight="1">
      <c r="B71" s="85"/>
      <c r="C71" s="40" t="s">
        <v>23</v>
      </c>
      <c r="D71" s="39">
        <v>2030</v>
      </c>
      <c r="E71" s="38">
        <v>6.2590571331668357E-2</v>
      </c>
    </row>
    <row r="72" spans="2:5" ht="15" customHeight="1">
      <c r="B72" s="83" t="s">
        <v>85</v>
      </c>
      <c r="C72" s="43" t="s">
        <v>212</v>
      </c>
      <c r="D72" s="42">
        <v>1</v>
      </c>
      <c r="E72" s="41">
        <v>3.0832793759442546E-5</v>
      </c>
    </row>
    <row r="73" spans="2:5" ht="15" customHeight="1">
      <c r="B73" s="84"/>
      <c r="C73" s="43" t="s">
        <v>207</v>
      </c>
      <c r="D73" s="42">
        <v>1</v>
      </c>
      <c r="E73" s="41">
        <v>3.0832793759442546E-5</v>
      </c>
    </row>
    <row r="74" spans="2:5" ht="15" customHeight="1">
      <c r="B74" s="84"/>
      <c r="C74" s="43" t="s">
        <v>206</v>
      </c>
      <c r="D74" s="42">
        <v>1</v>
      </c>
      <c r="E74" s="41">
        <v>3.0832793759442546E-5</v>
      </c>
    </row>
    <row r="75" spans="2:5" ht="15" customHeight="1">
      <c r="B75" s="84"/>
      <c r="C75" s="43" t="s">
        <v>205</v>
      </c>
      <c r="D75" s="42">
        <v>8</v>
      </c>
      <c r="E75" s="41">
        <v>2.4666235007554037E-4</v>
      </c>
    </row>
    <row r="76" spans="2:5" ht="15" customHeight="1">
      <c r="B76" s="84"/>
      <c r="C76" s="43" t="s">
        <v>204</v>
      </c>
      <c r="D76" s="42">
        <v>1</v>
      </c>
      <c r="E76" s="41">
        <v>3.0832793759442546E-5</v>
      </c>
    </row>
    <row r="77" spans="2:5" ht="15" customHeight="1">
      <c r="B77" s="84"/>
      <c r="C77" s="43" t="s">
        <v>202</v>
      </c>
      <c r="D77" s="42">
        <v>2</v>
      </c>
      <c r="E77" s="41">
        <v>6.1665587518885091E-5</v>
      </c>
    </row>
    <row r="78" spans="2:5" ht="15" customHeight="1">
      <c r="B78" s="84"/>
      <c r="C78" s="43" t="s">
        <v>201</v>
      </c>
      <c r="D78" s="42">
        <v>15</v>
      </c>
      <c r="E78" s="41">
        <v>4.6249190639163816E-4</v>
      </c>
    </row>
    <row r="79" spans="2:5" ht="15" customHeight="1">
      <c r="B79" s="84"/>
      <c r="C79" s="43" t="s">
        <v>199</v>
      </c>
      <c r="D79" s="42">
        <v>2</v>
      </c>
      <c r="E79" s="41">
        <v>6.1665587518885091E-5</v>
      </c>
    </row>
    <row r="80" spans="2:5" ht="15" customHeight="1">
      <c r="B80" s="84"/>
      <c r="C80" s="43" t="s">
        <v>198</v>
      </c>
      <c r="D80" s="42">
        <v>5</v>
      </c>
      <c r="E80" s="41">
        <v>1.5416396879721272E-4</v>
      </c>
    </row>
    <row r="81" spans="2:5" ht="15" customHeight="1">
      <c r="B81" s="84"/>
      <c r="C81" s="43" t="s">
        <v>192</v>
      </c>
      <c r="D81" s="42">
        <v>1</v>
      </c>
      <c r="E81" s="41">
        <v>3.0832793759442546E-5</v>
      </c>
    </row>
    <row r="82" spans="2:5" ht="15" customHeight="1">
      <c r="B82" s="85"/>
      <c r="C82" s="40" t="s">
        <v>23</v>
      </c>
      <c r="D82" s="39">
        <v>37</v>
      </c>
      <c r="E82" s="38">
        <v>1.1408133690993742E-3</v>
      </c>
    </row>
    <row r="83" spans="2:5" ht="15" customHeight="1">
      <c r="B83" s="83" t="s">
        <v>81</v>
      </c>
      <c r="C83" s="43" t="s">
        <v>206</v>
      </c>
      <c r="D83" s="42">
        <v>1</v>
      </c>
      <c r="E83" s="41">
        <v>3.0832793759442546E-5</v>
      </c>
    </row>
    <row r="84" spans="2:5" ht="15" customHeight="1">
      <c r="B84" s="84"/>
      <c r="C84" s="43" t="s">
        <v>205</v>
      </c>
      <c r="D84" s="42">
        <v>2</v>
      </c>
      <c r="E84" s="41">
        <v>6.1665587518885091E-5</v>
      </c>
    </row>
    <row r="85" spans="2:5" ht="15" customHeight="1">
      <c r="B85" s="84"/>
      <c r="C85" s="43" t="s">
        <v>201</v>
      </c>
      <c r="D85" s="42">
        <v>10</v>
      </c>
      <c r="E85" s="41">
        <v>3.0832793759442544E-4</v>
      </c>
    </row>
    <row r="86" spans="2:5" ht="15" customHeight="1">
      <c r="B86" s="84"/>
      <c r="C86" s="43" t="s">
        <v>199</v>
      </c>
      <c r="D86" s="42">
        <v>3</v>
      </c>
      <c r="E86" s="41">
        <v>9.249838127832763E-5</v>
      </c>
    </row>
    <row r="87" spans="2:5" ht="15" customHeight="1">
      <c r="B87" s="84"/>
      <c r="C87" s="43" t="s">
        <v>198</v>
      </c>
      <c r="D87" s="42">
        <v>5</v>
      </c>
      <c r="E87" s="41">
        <v>1.5416396879721272E-4</v>
      </c>
    </row>
    <row r="88" spans="2:5" ht="15" customHeight="1">
      <c r="B88" s="85"/>
      <c r="C88" s="40" t="s">
        <v>23</v>
      </c>
      <c r="D88" s="39">
        <v>21</v>
      </c>
      <c r="E88" s="38">
        <v>6.4748866894829345E-4</v>
      </c>
    </row>
    <row r="89" spans="2:5" ht="15" customHeight="1">
      <c r="B89" s="83" t="s">
        <v>86</v>
      </c>
      <c r="C89" s="43" t="s">
        <v>212</v>
      </c>
      <c r="D89" s="42">
        <v>7</v>
      </c>
      <c r="E89" s="41">
        <v>2.158295563160978E-4</v>
      </c>
    </row>
    <row r="90" spans="2:5" ht="15" customHeight="1">
      <c r="B90" s="84"/>
      <c r="C90" s="43" t="s">
        <v>211</v>
      </c>
      <c r="D90" s="42">
        <v>5</v>
      </c>
      <c r="E90" s="41">
        <v>1.5416396879721272E-4</v>
      </c>
    </row>
    <row r="91" spans="2:5" ht="15" customHeight="1">
      <c r="B91" s="84"/>
      <c r="C91" s="43" t="s">
        <v>210</v>
      </c>
      <c r="D91" s="42">
        <v>13</v>
      </c>
      <c r="E91" s="41">
        <v>4.0082631887275309E-4</v>
      </c>
    </row>
    <row r="92" spans="2:5" ht="15" customHeight="1">
      <c r="B92" s="84"/>
      <c r="C92" s="43" t="s">
        <v>209</v>
      </c>
      <c r="D92" s="42">
        <v>16</v>
      </c>
      <c r="E92" s="41">
        <v>4.9332470015108073E-4</v>
      </c>
    </row>
    <row r="93" spans="2:5" ht="15" customHeight="1">
      <c r="B93" s="84"/>
      <c r="C93" s="43" t="s">
        <v>208</v>
      </c>
      <c r="D93" s="42">
        <v>9</v>
      </c>
      <c r="E93" s="41">
        <v>2.7749514383498288E-4</v>
      </c>
    </row>
    <row r="94" spans="2:5" ht="15" customHeight="1">
      <c r="B94" s="84"/>
      <c r="C94" s="43" t="s">
        <v>207</v>
      </c>
      <c r="D94" s="42">
        <v>12</v>
      </c>
      <c r="E94" s="41">
        <v>3.6999352511331052E-4</v>
      </c>
    </row>
    <row r="95" spans="2:5" ht="15" customHeight="1">
      <c r="B95" s="84"/>
      <c r="C95" s="43" t="s">
        <v>206</v>
      </c>
      <c r="D95" s="42">
        <v>66</v>
      </c>
      <c r="E95" s="41">
        <v>2.0349643881232078E-3</v>
      </c>
    </row>
    <row r="96" spans="2:5" ht="15" customHeight="1">
      <c r="B96" s="84"/>
      <c r="C96" s="43" t="s">
        <v>205</v>
      </c>
      <c r="D96" s="42">
        <v>43</v>
      </c>
      <c r="E96" s="41">
        <v>1.3258101316560294E-3</v>
      </c>
    </row>
    <row r="97" spans="2:5" ht="15" customHeight="1">
      <c r="B97" s="84"/>
      <c r="C97" s="43" t="s">
        <v>204</v>
      </c>
      <c r="D97" s="42">
        <v>7</v>
      </c>
      <c r="E97" s="41">
        <v>2.158295563160978E-4</v>
      </c>
    </row>
    <row r="98" spans="2:5" ht="15" customHeight="1">
      <c r="B98" s="84"/>
      <c r="C98" s="43" t="s">
        <v>203</v>
      </c>
      <c r="D98" s="42">
        <v>9</v>
      </c>
      <c r="E98" s="41">
        <v>2.7749514383498288E-4</v>
      </c>
    </row>
    <row r="99" spans="2:5" ht="15" customHeight="1">
      <c r="B99" s="84"/>
      <c r="C99" s="43" t="s">
        <v>202</v>
      </c>
      <c r="D99" s="42">
        <v>34</v>
      </c>
      <c r="E99" s="41">
        <v>1.0483149878210464E-3</v>
      </c>
    </row>
    <row r="100" spans="2:5" ht="15" customHeight="1">
      <c r="B100" s="84"/>
      <c r="C100" s="43" t="s">
        <v>201</v>
      </c>
      <c r="D100" s="42">
        <v>91</v>
      </c>
      <c r="E100" s="41">
        <v>2.8057842321092714E-3</v>
      </c>
    </row>
    <row r="101" spans="2:5" ht="15" customHeight="1">
      <c r="B101" s="84"/>
      <c r="C101" s="43" t="s">
        <v>200</v>
      </c>
      <c r="D101" s="42">
        <v>6</v>
      </c>
      <c r="E101" s="41">
        <v>1.8499676255665526E-4</v>
      </c>
    </row>
    <row r="102" spans="2:5" ht="15" customHeight="1">
      <c r="B102" s="84"/>
      <c r="C102" s="43" t="s">
        <v>199</v>
      </c>
      <c r="D102" s="42">
        <v>18</v>
      </c>
      <c r="E102" s="41">
        <v>5.5499028766996575E-4</v>
      </c>
    </row>
    <row r="103" spans="2:5" ht="15" customHeight="1">
      <c r="B103" s="84"/>
      <c r="C103" s="43" t="s">
        <v>198</v>
      </c>
      <c r="D103" s="42">
        <v>48</v>
      </c>
      <c r="E103" s="41">
        <v>1.4799741004532421E-3</v>
      </c>
    </row>
    <row r="104" spans="2:5" ht="15" customHeight="1">
      <c r="B104" s="84"/>
      <c r="C104" s="43" t="s">
        <v>196</v>
      </c>
      <c r="D104" s="42">
        <v>2</v>
      </c>
      <c r="E104" s="41">
        <v>6.1665587518885091E-5</v>
      </c>
    </row>
    <row r="105" spans="2:5" ht="15" customHeight="1">
      <c r="B105" s="84"/>
      <c r="C105" s="43" t="s">
        <v>195</v>
      </c>
      <c r="D105" s="42">
        <v>1</v>
      </c>
      <c r="E105" s="41">
        <v>3.0832793759442546E-5</v>
      </c>
    </row>
    <row r="106" spans="2:5" ht="15" customHeight="1">
      <c r="B106" s="84"/>
      <c r="C106" s="43" t="s">
        <v>193</v>
      </c>
      <c r="D106" s="42">
        <v>1</v>
      </c>
      <c r="E106" s="41">
        <v>3.0832793759442546E-5</v>
      </c>
    </row>
    <row r="107" spans="2:5" ht="15" customHeight="1">
      <c r="B107" s="84"/>
      <c r="C107" s="43" t="s">
        <v>192</v>
      </c>
      <c r="D107" s="42">
        <v>11</v>
      </c>
      <c r="E107" s="41">
        <v>3.3916073135386795E-4</v>
      </c>
    </row>
    <row r="108" spans="2:5" ht="15" customHeight="1">
      <c r="B108" s="85"/>
      <c r="C108" s="40" t="s">
        <v>23</v>
      </c>
      <c r="D108" s="39">
        <v>399</v>
      </c>
      <c r="E108" s="38">
        <v>1.2302284710017574E-2</v>
      </c>
    </row>
    <row r="109" spans="2:5" ht="15" customHeight="1">
      <c r="B109" s="83" t="s">
        <v>223</v>
      </c>
      <c r="C109" s="43" t="s">
        <v>201</v>
      </c>
      <c r="D109" s="42">
        <v>1</v>
      </c>
      <c r="E109" s="41">
        <v>3.0832793759442546E-5</v>
      </c>
    </row>
    <row r="110" spans="2:5" ht="15" customHeight="1">
      <c r="B110" s="85"/>
      <c r="C110" s="40" t="s">
        <v>23</v>
      </c>
      <c r="D110" s="39">
        <v>1</v>
      </c>
      <c r="E110" s="38">
        <v>3.0832793759442546E-5</v>
      </c>
    </row>
    <row r="111" spans="2:5" ht="15" customHeight="1">
      <c r="B111" s="83" t="s">
        <v>122</v>
      </c>
      <c r="C111" s="43" t="s">
        <v>212</v>
      </c>
      <c r="D111" s="42">
        <v>12</v>
      </c>
      <c r="E111" s="41">
        <v>3.6999352511331052E-4</v>
      </c>
    </row>
    <row r="112" spans="2:5" ht="15" customHeight="1">
      <c r="B112" s="84"/>
      <c r="C112" s="43" t="s">
        <v>211</v>
      </c>
      <c r="D112" s="42">
        <v>2</v>
      </c>
      <c r="E112" s="41">
        <v>6.1665587518885091E-5</v>
      </c>
    </row>
    <row r="113" spans="2:5" ht="15" customHeight="1">
      <c r="B113" s="84"/>
      <c r="C113" s="43" t="s">
        <v>210</v>
      </c>
      <c r="D113" s="42">
        <v>4</v>
      </c>
      <c r="E113" s="41">
        <v>1.2333117503777018E-4</v>
      </c>
    </row>
    <row r="114" spans="2:5" ht="15" customHeight="1">
      <c r="B114" s="84"/>
      <c r="C114" s="43" t="s">
        <v>209</v>
      </c>
      <c r="D114" s="42">
        <v>15</v>
      </c>
      <c r="E114" s="41">
        <v>4.6249190639163816E-4</v>
      </c>
    </row>
    <row r="115" spans="2:5" ht="15" customHeight="1">
      <c r="B115" s="84"/>
      <c r="C115" s="43" t="s">
        <v>208</v>
      </c>
      <c r="D115" s="42">
        <v>4</v>
      </c>
      <c r="E115" s="41">
        <v>1.2333117503777018E-4</v>
      </c>
    </row>
    <row r="116" spans="2:5" ht="15" customHeight="1">
      <c r="B116" s="84"/>
      <c r="C116" s="43" t="s">
        <v>207</v>
      </c>
      <c r="D116" s="42">
        <v>11</v>
      </c>
      <c r="E116" s="41">
        <v>3.3916073135386795E-4</v>
      </c>
    </row>
    <row r="117" spans="2:5" ht="15" customHeight="1">
      <c r="B117" s="84"/>
      <c r="C117" s="43" t="s">
        <v>206</v>
      </c>
      <c r="D117" s="42">
        <v>50</v>
      </c>
      <c r="E117" s="41">
        <v>1.5416396879721272E-3</v>
      </c>
    </row>
    <row r="118" spans="2:5" ht="15" customHeight="1">
      <c r="B118" s="84"/>
      <c r="C118" s="43" t="s">
        <v>205</v>
      </c>
      <c r="D118" s="42">
        <v>225</v>
      </c>
      <c r="E118" s="41">
        <v>6.937378595874572E-3</v>
      </c>
    </row>
    <row r="119" spans="2:5" ht="15" customHeight="1">
      <c r="B119" s="84"/>
      <c r="C119" s="43" t="s">
        <v>204</v>
      </c>
      <c r="D119" s="42">
        <v>4</v>
      </c>
      <c r="E119" s="41">
        <v>1.2333117503777018E-4</v>
      </c>
    </row>
    <row r="120" spans="2:5" ht="15" customHeight="1">
      <c r="B120" s="84"/>
      <c r="C120" s="43" t="s">
        <v>203</v>
      </c>
      <c r="D120" s="42">
        <v>12</v>
      </c>
      <c r="E120" s="41">
        <v>3.6999352511331052E-4</v>
      </c>
    </row>
    <row r="121" spans="2:5" ht="15" customHeight="1">
      <c r="B121" s="84"/>
      <c r="C121" s="43" t="s">
        <v>202</v>
      </c>
      <c r="D121" s="42">
        <v>20</v>
      </c>
      <c r="E121" s="41">
        <v>6.1665587518885089E-4</v>
      </c>
    </row>
    <row r="122" spans="2:5" ht="15" customHeight="1">
      <c r="B122" s="84"/>
      <c r="C122" s="43" t="s">
        <v>201</v>
      </c>
      <c r="D122" s="42">
        <v>404</v>
      </c>
      <c r="E122" s="41">
        <v>1.2456448678814788E-2</v>
      </c>
    </row>
    <row r="123" spans="2:5" ht="15" customHeight="1">
      <c r="B123" s="84"/>
      <c r="C123" s="43" t="s">
        <v>200</v>
      </c>
      <c r="D123" s="42">
        <v>41</v>
      </c>
      <c r="E123" s="41">
        <v>1.2641445441371442E-3</v>
      </c>
    </row>
    <row r="124" spans="2:5" ht="15" customHeight="1">
      <c r="B124" s="84"/>
      <c r="C124" s="43" t="s">
        <v>199</v>
      </c>
      <c r="D124" s="42">
        <v>58</v>
      </c>
      <c r="E124" s="41">
        <v>1.7883020380476675E-3</v>
      </c>
    </row>
    <row r="125" spans="2:5" ht="15" customHeight="1">
      <c r="B125" s="84"/>
      <c r="C125" s="43" t="s">
        <v>198</v>
      </c>
      <c r="D125" s="42">
        <v>177</v>
      </c>
      <c r="E125" s="41">
        <v>5.4574044954213297E-3</v>
      </c>
    </row>
    <row r="126" spans="2:5" ht="15" customHeight="1">
      <c r="B126" s="84"/>
      <c r="C126" s="43" t="s">
        <v>197</v>
      </c>
      <c r="D126" s="42">
        <v>1</v>
      </c>
      <c r="E126" s="41">
        <v>3.0832793759442546E-5</v>
      </c>
    </row>
    <row r="127" spans="2:5" ht="15" customHeight="1">
      <c r="B127" s="84"/>
      <c r="C127" s="43" t="s">
        <v>196</v>
      </c>
      <c r="D127" s="42">
        <v>2</v>
      </c>
      <c r="E127" s="41">
        <v>6.1665587518885091E-5</v>
      </c>
    </row>
    <row r="128" spans="2:5" ht="15" customHeight="1">
      <c r="B128" s="84"/>
      <c r="C128" s="43" t="s">
        <v>195</v>
      </c>
      <c r="D128" s="42">
        <v>3</v>
      </c>
      <c r="E128" s="41">
        <v>9.249838127832763E-5</v>
      </c>
    </row>
    <row r="129" spans="2:5" ht="15" customHeight="1">
      <c r="B129" s="84"/>
      <c r="C129" s="43" t="s">
        <v>194</v>
      </c>
      <c r="D129" s="42">
        <v>2</v>
      </c>
      <c r="E129" s="41">
        <v>6.1665587518885091E-5</v>
      </c>
    </row>
    <row r="130" spans="2:5" ht="15" customHeight="1">
      <c r="B130" s="84"/>
      <c r="C130" s="43" t="s">
        <v>193</v>
      </c>
      <c r="D130" s="42">
        <v>23</v>
      </c>
      <c r="E130" s="41">
        <v>7.0915425646717847E-4</v>
      </c>
    </row>
    <row r="131" spans="2:5" ht="15" customHeight="1">
      <c r="B131" s="84"/>
      <c r="C131" s="43" t="s">
        <v>192</v>
      </c>
      <c r="D131" s="42">
        <v>41</v>
      </c>
      <c r="E131" s="41">
        <v>1.2641445441371442E-3</v>
      </c>
    </row>
    <row r="132" spans="2:5" ht="15" customHeight="1">
      <c r="B132" s="84"/>
      <c r="C132" s="43" t="s">
        <v>217</v>
      </c>
      <c r="D132" s="42">
        <v>1</v>
      </c>
      <c r="E132" s="41">
        <v>3.0832793759442546E-5</v>
      </c>
    </row>
    <row r="133" spans="2:5" ht="15" customHeight="1">
      <c r="B133" s="84"/>
      <c r="C133" s="43" t="s">
        <v>190</v>
      </c>
      <c r="D133" s="42">
        <v>2</v>
      </c>
      <c r="E133" s="41">
        <v>6.1665587518885091E-5</v>
      </c>
    </row>
    <row r="134" spans="2:5" ht="15" customHeight="1">
      <c r="B134" s="84"/>
      <c r="C134" s="43" t="s">
        <v>189</v>
      </c>
      <c r="D134" s="42">
        <v>1</v>
      </c>
      <c r="E134" s="41">
        <v>3.0832793759442546E-5</v>
      </c>
    </row>
    <row r="135" spans="2:5" ht="15" customHeight="1">
      <c r="B135" s="85"/>
      <c r="C135" s="40" t="s">
        <v>23</v>
      </c>
      <c r="D135" s="39">
        <v>1115</v>
      </c>
      <c r="E135" s="38">
        <v>3.4378565041778435E-2</v>
      </c>
    </row>
    <row r="136" spans="2:5" ht="15" customHeight="1">
      <c r="B136" s="83" t="s">
        <v>120</v>
      </c>
      <c r="C136" s="43" t="s">
        <v>212</v>
      </c>
      <c r="D136" s="42">
        <v>74</v>
      </c>
      <c r="E136" s="41">
        <v>2.2816267381987484E-3</v>
      </c>
    </row>
    <row r="137" spans="2:5" ht="15" customHeight="1">
      <c r="B137" s="84"/>
      <c r="C137" s="43" t="s">
        <v>211</v>
      </c>
      <c r="D137" s="42">
        <v>32</v>
      </c>
      <c r="E137" s="41">
        <v>9.8664940030216146E-4</v>
      </c>
    </row>
    <row r="138" spans="2:5" ht="15" customHeight="1">
      <c r="B138" s="84"/>
      <c r="C138" s="43" t="s">
        <v>210</v>
      </c>
      <c r="D138" s="42">
        <v>64</v>
      </c>
      <c r="E138" s="41">
        <v>1.9732988006043229E-3</v>
      </c>
    </row>
    <row r="139" spans="2:5" ht="15" customHeight="1">
      <c r="B139" s="84"/>
      <c r="C139" s="43" t="s">
        <v>209</v>
      </c>
      <c r="D139" s="42">
        <v>116</v>
      </c>
      <c r="E139" s="41">
        <v>3.576604076095335E-3</v>
      </c>
    </row>
    <row r="140" spans="2:5" ht="15" customHeight="1">
      <c r="B140" s="84"/>
      <c r="C140" s="43" t="s">
        <v>208</v>
      </c>
      <c r="D140" s="42">
        <v>95</v>
      </c>
      <c r="E140" s="41">
        <v>2.9291154071470417E-3</v>
      </c>
    </row>
    <row r="141" spans="2:5" ht="15" customHeight="1">
      <c r="B141" s="84"/>
      <c r="C141" s="43" t="s">
        <v>207</v>
      </c>
      <c r="D141" s="42">
        <v>127</v>
      </c>
      <c r="E141" s="41">
        <v>3.9157648074492034E-3</v>
      </c>
    </row>
    <row r="142" spans="2:5" ht="15" customHeight="1">
      <c r="B142" s="84"/>
      <c r="C142" s="43" t="s">
        <v>206</v>
      </c>
      <c r="D142" s="42">
        <v>651</v>
      </c>
      <c r="E142" s="41">
        <v>2.0072148737397096E-2</v>
      </c>
    </row>
    <row r="143" spans="2:5" ht="15" customHeight="1">
      <c r="B143" s="84"/>
      <c r="C143" s="43" t="s">
        <v>205</v>
      </c>
      <c r="D143" s="42">
        <v>969</v>
      </c>
      <c r="E143" s="41">
        <v>2.9876977152899824E-2</v>
      </c>
    </row>
    <row r="144" spans="2:5" ht="15" customHeight="1">
      <c r="B144" s="84"/>
      <c r="C144" s="43" t="s">
        <v>204</v>
      </c>
      <c r="D144" s="42">
        <v>65</v>
      </c>
      <c r="E144" s="41">
        <v>2.0041315943637654E-3</v>
      </c>
    </row>
    <row r="145" spans="2:5" ht="15" customHeight="1">
      <c r="B145" s="84"/>
      <c r="C145" s="43" t="s">
        <v>203</v>
      </c>
      <c r="D145" s="42">
        <v>119</v>
      </c>
      <c r="E145" s="41">
        <v>3.6691024573736624E-3</v>
      </c>
    </row>
    <row r="146" spans="2:5" ht="15" customHeight="1">
      <c r="B146" s="84"/>
      <c r="C146" s="43" t="s">
        <v>202</v>
      </c>
      <c r="D146" s="42">
        <v>189</v>
      </c>
      <c r="E146" s="41">
        <v>5.827398020534641E-3</v>
      </c>
    </row>
    <row r="147" spans="2:5" ht="15" customHeight="1">
      <c r="B147" s="84"/>
      <c r="C147" s="43" t="s">
        <v>201</v>
      </c>
      <c r="D147" s="42">
        <v>3332</v>
      </c>
      <c r="E147" s="41">
        <v>0.10273486880646256</v>
      </c>
    </row>
    <row r="148" spans="2:5" ht="15" customHeight="1">
      <c r="B148" s="84"/>
      <c r="C148" s="43" t="s">
        <v>200</v>
      </c>
      <c r="D148" s="42">
        <v>89</v>
      </c>
      <c r="E148" s="41">
        <v>2.7441186445903865E-3</v>
      </c>
    </row>
    <row r="149" spans="2:5" ht="15" customHeight="1">
      <c r="B149" s="84"/>
      <c r="C149" s="43" t="s">
        <v>199</v>
      </c>
      <c r="D149" s="42">
        <v>310</v>
      </c>
      <c r="E149" s="41">
        <v>9.5581660654271879E-3</v>
      </c>
    </row>
    <row r="150" spans="2:5" ht="15" customHeight="1">
      <c r="B150" s="84"/>
      <c r="C150" s="43" t="s">
        <v>198</v>
      </c>
      <c r="D150" s="42">
        <v>1595</v>
      </c>
      <c r="E150" s="41">
        <v>4.9178306046310856E-2</v>
      </c>
    </row>
    <row r="151" spans="2:5" ht="15" customHeight="1">
      <c r="B151" s="84"/>
      <c r="C151" s="43" t="s">
        <v>197</v>
      </c>
      <c r="D151" s="42">
        <v>10</v>
      </c>
      <c r="E151" s="41">
        <v>3.0832793759442544E-4</v>
      </c>
    </row>
    <row r="152" spans="2:5" ht="15" customHeight="1">
      <c r="B152" s="84"/>
      <c r="C152" s="43" t="s">
        <v>196</v>
      </c>
      <c r="D152" s="42">
        <v>10</v>
      </c>
      <c r="E152" s="41">
        <v>3.0832793759442544E-4</v>
      </c>
    </row>
    <row r="153" spans="2:5" ht="15" customHeight="1">
      <c r="B153" s="84"/>
      <c r="C153" s="43" t="s">
        <v>195</v>
      </c>
      <c r="D153" s="42">
        <v>13</v>
      </c>
      <c r="E153" s="41">
        <v>4.0082631887275309E-4</v>
      </c>
    </row>
    <row r="154" spans="2:5" ht="15" customHeight="1">
      <c r="B154" s="84"/>
      <c r="C154" s="43" t="s">
        <v>194</v>
      </c>
      <c r="D154" s="42">
        <v>5</v>
      </c>
      <c r="E154" s="41">
        <v>1.5416396879721272E-4</v>
      </c>
    </row>
    <row r="155" spans="2:5" ht="15" customHeight="1">
      <c r="B155" s="84"/>
      <c r="C155" s="43" t="s">
        <v>193</v>
      </c>
      <c r="D155" s="42">
        <v>64</v>
      </c>
      <c r="E155" s="41">
        <v>1.9732988006043229E-3</v>
      </c>
    </row>
    <row r="156" spans="2:5" ht="15" customHeight="1">
      <c r="B156" s="84"/>
      <c r="C156" s="43" t="s">
        <v>192</v>
      </c>
      <c r="D156" s="42">
        <v>152</v>
      </c>
      <c r="E156" s="41">
        <v>4.6865846514352666E-3</v>
      </c>
    </row>
    <row r="157" spans="2:5" ht="15" customHeight="1">
      <c r="B157" s="84"/>
      <c r="C157" s="43" t="s">
        <v>217</v>
      </c>
      <c r="D157" s="42">
        <v>6</v>
      </c>
      <c r="E157" s="41">
        <v>1.8499676255665526E-4</v>
      </c>
    </row>
    <row r="158" spans="2:5" ht="15" customHeight="1">
      <c r="B158" s="84"/>
      <c r="C158" s="43" t="s">
        <v>190</v>
      </c>
      <c r="D158" s="42">
        <v>3</v>
      </c>
      <c r="E158" s="41">
        <v>9.249838127832763E-5</v>
      </c>
    </row>
    <row r="159" spans="2:5" ht="15" customHeight="1">
      <c r="B159" s="84"/>
      <c r="C159" s="43" t="s">
        <v>189</v>
      </c>
      <c r="D159" s="42">
        <v>2</v>
      </c>
      <c r="E159" s="41">
        <v>6.1665587518885091E-5</v>
      </c>
    </row>
    <row r="160" spans="2:5" ht="15" customHeight="1">
      <c r="B160" s="85"/>
      <c r="C160" s="40" t="s">
        <v>23</v>
      </c>
      <c r="D160" s="39">
        <v>8092</v>
      </c>
      <c r="E160" s="38">
        <v>0.24949896710140906</v>
      </c>
    </row>
    <row r="161" spans="2:5" ht="15" customHeight="1">
      <c r="B161" s="83" t="s">
        <v>222</v>
      </c>
      <c r="C161" s="43" t="s">
        <v>210</v>
      </c>
      <c r="D161" s="42">
        <v>1</v>
      </c>
      <c r="E161" s="41">
        <v>3.0832793759442546E-5</v>
      </c>
    </row>
    <row r="162" spans="2:5" ht="15" customHeight="1">
      <c r="B162" s="84"/>
      <c r="C162" s="43" t="s">
        <v>209</v>
      </c>
      <c r="D162" s="42">
        <v>1</v>
      </c>
      <c r="E162" s="41">
        <v>3.0832793759442546E-5</v>
      </c>
    </row>
    <row r="163" spans="2:5" ht="15" customHeight="1">
      <c r="B163" s="84"/>
      <c r="C163" s="43" t="s">
        <v>205</v>
      </c>
      <c r="D163" s="42">
        <v>2</v>
      </c>
      <c r="E163" s="41">
        <v>6.1665587518885091E-5</v>
      </c>
    </row>
    <row r="164" spans="2:5" ht="15" customHeight="1">
      <c r="B164" s="84"/>
      <c r="C164" s="43" t="s">
        <v>203</v>
      </c>
      <c r="D164" s="42">
        <v>1</v>
      </c>
      <c r="E164" s="41">
        <v>3.0832793759442546E-5</v>
      </c>
    </row>
    <row r="165" spans="2:5" ht="15" customHeight="1">
      <c r="B165" s="84"/>
      <c r="C165" s="43" t="s">
        <v>201</v>
      </c>
      <c r="D165" s="42">
        <v>6</v>
      </c>
      <c r="E165" s="41">
        <v>1.8499676255665526E-4</v>
      </c>
    </row>
    <row r="166" spans="2:5" ht="15" customHeight="1">
      <c r="B166" s="84"/>
      <c r="C166" s="43" t="s">
        <v>199</v>
      </c>
      <c r="D166" s="42">
        <v>2</v>
      </c>
      <c r="E166" s="41">
        <v>6.1665587518885091E-5</v>
      </c>
    </row>
    <row r="167" spans="2:5" ht="15" customHeight="1">
      <c r="B167" s="84"/>
      <c r="C167" s="43" t="s">
        <v>198</v>
      </c>
      <c r="D167" s="42">
        <v>1</v>
      </c>
      <c r="E167" s="41">
        <v>3.0832793759442546E-5</v>
      </c>
    </row>
    <row r="168" spans="2:5" ht="15" customHeight="1">
      <c r="B168" s="85"/>
      <c r="C168" s="40" t="s">
        <v>23</v>
      </c>
      <c r="D168" s="39">
        <v>14</v>
      </c>
      <c r="E168" s="38">
        <v>4.316591126321956E-4</v>
      </c>
    </row>
    <row r="169" spans="2:5" ht="15" customHeight="1">
      <c r="B169" s="83" t="s">
        <v>104</v>
      </c>
      <c r="C169" s="43" t="s">
        <v>212</v>
      </c>
      <c r="D169" s="42">
        <v>1</v>
      </c>
      <c r="E169" s="41">
        <v>3.0832793759442546E-5</v>
      </c>
    </row>
    <row r="170" spans="2:5" ht="15" customHeight="1">
      <c r="B170" s="84"/>
      <c r="C170" s="43" t="s">
        <v>211</v>
      </c>
      <c r="D170" s="42">
        <v>2</v>
      </c>
      <c r="E170" s="41">
        <v>6.1665587518885091E-5</v>
      </c>
    </row>
    <row r="171" spans="2:5" ht="15" customHeight="1">
      <c r="B171" s="84"/>
      <c r="C171" s="43" t="s">
        <v>210</v>
      </c>
      <c r="D171" s="42">
        <v>2</v>
      </c>
      <c r="E171" s="41">
        <v>6.1665587518885091E-5</v>
      </c>
    </row>
    <row r="172" spans="2:5" ht="15" customHeight="1">
      <c r="B172" s="84"/>
      <c r="C172" s="43" t="s">
        <v>209</v>
      </c>
      <c r="D172" s="42">
        <v>11</v>
      </c>
      <c r="E172" s="41">
        <v>3.3916073135386795E-4</v>
      </c>
    </row>
    <row r="173" spans="2:5" ht="15" customHeight="1">
      <c r="B173" s="84"/>
      <c r="C173" s="43" t="s">
        <v>208</v>
      </c>
      <c r="D173" s="42">
        <v>9</v>
      </c>
      <c r="E173" s="41">
        <v>2.7749514383498288E-4</v>
      </c>
    </row>
    <row r="174" spans="2:5" ht="15" customHeight="1">
      <c r="B174" s="84"/>
      <c r="C174" s="43" t="s">
        <v>207</v>
      </c>
      <c r="D174" s="42">
        <v>1</v>
      </c>
      <c r="E174" s="41">
        <v>3.0832793759442546E-5</v>
      </c>
    </row>
    <row r="175" spans="2:5" ht="15" customHeight="1">
      <c r="B175" s="84"/>
      <c r="C175" s="43" t="s">
        <v>206</v>
      </c>
      <c r="D175" s="42">
        <v>21</v>
      </c>
      <c r="E175" s="41">
        <v>6.4748866894829345E-4</v>
      </c>
    </row>
    <row r="176" spans="2:5" ht="15" customHeight="1">
      <c r="B176" s="84"/>
      <c r="C176" s="43" t="s">
        <v>205</v>
      </c>
      <c r="D176" s="42">
        <v>27</v>
      </c>
      <c r="E176" s="41">
        <v>8.3248543150494863E-4</v>
      </c>
    </row>
    <row r="177" spans="2:5" ht="15" customHeight="1">
      <c r="B177" s="84"/>
      <c r="C177" s="43" t="s">
        <v>204</v>
      </c>
      <c r="D177" s="42">
        <v>2</v>
      </c>
      <c r="E177" s="41">
        <v>6.1665587518885091E-5</v>
      </c>
    </row>
    <row r="178" spans="2:5" ht="15" customHeight="1">
      <c r="B178" s="84"/>
      <c r="C178" s="43" t="s">
        <v>203</v>
      </c>
      <c r="D178" s="42">
        <v>18</v>
      </c>
      <c r="E178" s="41">
        <v>5.5499028766996575E-4</v>
      </c>
    </row>
    <row r="179" spans="2:5" ht="15" customHeight="1">
      <c r="B179" s="84"/>
      <c r="C179" s="43" t="s">
        <v>202</v>
      </c>
      <c r="D179" s="42">
        <v>12</v>
      </c>
      <c r="E179" s="41">
        <v>3.6999352511331052E-4</v>
      </c>
    </row>
    <row r="180" spans="2:5" ht="15" customHeight="1">
      <c r="B180" s="84"/>
      <c r="C180" s="43" t="s">
        <v>201</v>
      </c>
      <c r="D180" s="42">
        <v>74</v>
      </c>
      <c r="E180" s="41">
        <v>2.2816267381987484E-3</v>
      </c>
    </row>
    <row r="181" spans="2:5" ht="15" customHeight="1">
      <c r="B181" s="84"/>
      <c r="C181" s="43" t="s">
        <v>200</v>
      </c>
      <c r="D181" s="42">
        <v>5</v>
      </c>
      <c r="E181" s="41">
        <v>1.5416396879721272E-4</v>
      </c>
    </row>
    <row r="182" spans="2:5" ht="15" customHeight="1">
      <c r="B182" s="84"/>
      <c r="C182" s="43" t="s">
        <v>199</v>
      </c>
      <c r="D182" s="42">
        <v>13</v>
      </c>
      <c r="E182" s="41">
        <v>4.0082631887275309E-4</v>
      </c>
    </row>
    <row r="183" spans="2:5" ht="15" customHeight="1">
      <c r="B183" s="84"/>
      <c r="C183" s="43" t="s">
        <v>198</v>
      </c>
      <c r="D183" s="42">
        <v>27</v>
      </c>
      <c r="E183" s="41">
        <v>8.3248543150494863E-4</v>
      </c>
    </row>
    <row r="184" spans="2:5" ht="15" customHeight="1">
      <c r="B184" s="84"/>
      <c r="C184" s="43" t="s">
        <v>195</v>
      </c>
      <c r="D184" s="42">
        <v>1</v>
      </c>
      <c r="E184" s="41">
        <v>3.0832793759442546E-5</v>
      </c>
    </row>
    <row r="185" spans="2:5" ht="15" customHeight="1">
      <c r="B185" s="84"/>
      <c r="C185" s="43" t="s">
        <v>192</v>
      </c>
      <c r="D185" s="42">
        <v>2</v>
      </c>
      <c r="E185" s="41">
        <v>6.1665587518885091E-5</v>
      </c>
    </row>
    <row r="186" spans="2:5" ht="15" customHeight="1">
      <c r="B186" s="85"/>
      <c r="C186" s="40" t="s">
        <v>23</v>
      </c>
      <c r="D186" s="39">
        <v>228</v>
      </c>
      <c r="E186" s="38">
        <v>7.0298769771528994E-3</v>
      </c>
    </row>
    <row r="187" spans="2:5" ht="15" customHeight="1">
      <c r="B187" s="83" t="s">
        <v>90</v>
      </c>
      <c r="C187" s="43" t="s">
        <v>212</v>
      </c>
      <c r="D187" s="42">
        <v>3</v>
      </c>
      <c r="E187" s="41">
        <v>9.249838127832763E-5</v>
      </c>
    </row>
    <row r="188" spans="2:5" ht="15" customHeight="1">
      <c r="B188" s="84"/>
      <c r="C188" s="43" t="s">
        <v>211</v>
      </c>
      <c r="D188" s="42">
        <v>1</v>
      </c>
      <c r="E188" s="41">
        <v>3.0832793759442546E-5</v>
      </c>
    </row>
    <row r="189" spans="2:5" ht="15" customHeight="1">
      <c r="B189" s="84"/>
      <c r="C189" s="43" t="s">
        <v>210</v>
      </c>
      <c r="D189" s="42">
        <v>3</v>
      </c>
      <c r="E189" s="41">
        <v>9.249838127832763E-5</v>
      </c>
    </row>
    <row r="190" spans="2:5" ht="15" customHeight="1">
      <c r="B190" s="84"/>
      <c r="C190" s="43" t="s">
        <v>209</v>
      </c>
      <c r="D190" s="42">
        <v>8</v>
      </c>
      <c r="E190" s="41">
        <v>2.4666235007554037E-4</v>
      </c>
    </row>
    <row r="191" spans="2:5" ht="15" customHeight="1">
      <c r="B191" s="84"/>
      <c r="C191" s="43" t="s">
        <v>208</v>
      </c>
      <c r="D191" s="42">
        <v>4</v>
      </c>
      <c r="E191" s="41">
        <v>1.2333117503777018E-4</v>
      </c>
    </row>
    <row r="192" spans="2:5" ht="15" customHeight="1">
      <c r="B192" s="84"/>
      <c r="C192" s="43" t="s">
        <v>207</v>
      </c>
      <c r="D192" s="42">
        <v>6</v>
      </c>
      <c r="E192" s="41">
        <v>1.8499676255665526E-4</v>
      </c>
    </row>
    <row r="193" spans="2:5" ht="15" customHeight="1">
      <c r="B193" s="84"/>
      <c r="C193" s="43" t="s">
        <v>206</v>
      </c>
      <c r="D193" s="42">
        <v>19</v>
      </c>
      <c r="E193" s="41">
        <v>5.8582308142940832E-4</v>
      </c>
    </row>
    <row r="194" spans="2:5" ht="15" customHeight="1">
      <c r="B194" s="84"/>
      <c r="C194" s="43" t="s">
        <v>205</v>
      </c>
      <c r="D194" s="42">
        <v>18</v>
      </c>
      <c r="E194" s="41">
        <v>5.5499028766996575E-4</v>
      </c>
    </row>
    <row r="195" spans="2:5" ht="15" customHeight="1">
      <c r="B195" s="84"/>
      <c r="C195" s="43" t="s">
        <v>204</v>
      </c>
      <c r="D195" s="42">
        <v>2</v>
      </c>
      <c r="E195" s="41">
        <v>6.1665587518885091E-5</v>
      </c>
    </row>
    <row r="196" spans="2:5" ht="15" customHeight="1">
      <c r="B196" s="84"/>
      <c r="C196" s="43" t="s">
        <v>203</v>
      </c>
      <c r="D196" s="42">
        <v>4</v>
      </c>
      <c r="E196" s="41">
        <v>1.2333117503777018E-4</v>
      </c>
    </row>
    <row r="197" spans="2:5" ht="15" customHeight="1">
      <c r="B197" s="84"/>
      <c r="C197" s="43" t="s">
        <v>202</v>
      </c>
      <c r="D197" s="42">
        <v>21</v>
      </c>
      <c r="E197" s="41">
        <v>6.4748866894829345E-4</v>
      </c>
    </row>
    <row r="198" spans="2:5" ht="15" customHeight="1">
      <c r="B198" s="84"/>
      <c r="C198" s="43" t="s">
        <v>201</v>
      </c>
      <c r="D198" s="42">
        <v>58</v>
      </c>
      <c r="E198" s="41">
        <v>1.7883020380476675E-3</v>
      </c>
    </row>
    <row r="199" spans="2:5" ht="15" customHeight="1">
      <c r="B199" s="84"/>
      <c r="C199" s="43" t="s">
        <v>200</v>
      </c>
      <c r="D199" s="42">
        <v>4</v>
      </c>
      <c r="E199" s="41">
        <v>1.2333117503777018E-4</v>
      </c>
    </row>
    <row r="200" spans="2:5" ht="15" customHeight="1">
      <c r="B200" s="84"/>
      <c r="C200" s="43" t="s">
        <v>199</v>
      </c>
      <c r="D200" s="42">
        <v>8</v>
      </c>
      <c r="E200" s="41">
        <v>2.4666235007554037E-4</v>
      </c>
    </row>
    <row r="201" spans="2:5" ht="15" customHeight="1">
      <c r="B201" s="84"/>
      <c r="C201" s="43" t="s">
        <v>198</v>
      </c>
      <c r="D201" s="42">
        <v>29</v>
      </c>
      <c r="E201" s="41">
        <v>8.9415101902383376E-4</v>
      </c>
    </row>
    <row r="202" spans="2:5" ht="15" customHeight="1">
      <c r="B202" s="84"/>
      <c r="C202" s="43" t="s">
        <v>193</v>
      </c>
      <c r="D202" s="42">
        <v>3</v>
      </c>
      <c r="E202" s="41">
        <v>9.249838127832763E-5</v>
      </c>
    </row>
    <row r="203" spans="2:5" ht="15" customHeight="1">
      <c r="B203" s="84"/>
      <c r="C203" s="43" t="s">
        <v>192</v>
      </c>
      <c r="D203" s="42">
        <v>5</v>
      </c>
      <c r="E203" s="41">
        <v>1.5416396879721272E-4</v>
      </c>
    </row>
    <row r="204" spans="2:5" ht="15" customHeight="1">
      <c r="B204" s="85"/>
      <c r="C204" s="40" t="s">
        <v>23</v>
      </c>
      <c r="D204" s="39">
        <v>196</v>
      </c>
      <c r="E204" s="38">
        <v>6.0432275768507382E-3</v>
      </c>
    </row>
    <row r="205" spans="2:5" ht="15" customHeight="1">
      <c r="B205" s="83" t="s">
        <v>75</v>
      </c>
      <c r="C205" s="43" t="s">
        <v>211</v>
      </c>
      <c r="D205" s="42">
        <v>1</v>
      </c>
      <c r="E205" s="41">
        <v>3.0832793759442546E-5</v>
      </c>
    </row>
    <row r="206" spans="2:5" ht="15" customHeight="1">
      <c r="B206" s="84"/>
      <c r="C206" s="43" t="s">
        <v>205</v>
      </c>
      <c r="D206" s="42">
        <v>1</v>
      </c>
      <c r="E206" s="41">
        <v>3.0832793759442546E-5</v>
      </c>
    </row>
    <row r="207" spans="2:5" ht="15" customHeight="1">
      <c r="B207" s="84"/>
      <c r="C207" s="43" t="s">
        <v>203</v>
      </c>
      <c r="D207" s="42">
        <v>1</v>
      </c>
      <c r="E207" s="41">
        <v>3.0832793759442546E-5</v>
      </c>
    </row>
    <row r="208" spans="2:5" ht="15" customHeight="1">
      <c r="B208" s="84"/>
      <c r="C208" s="43" t="s">
        <v>201</v>
      </c>
      <c r="D208" s="42">
        <v>1</v>
      </c>
      <c r="E208" s="41">
        <v>3.0832793759442546E-5</v>
      </c>
    </row>
    <row r="209" spans="2:5" ht="15" customHeight="1">
      <c r="B209" s="84"/>
      <c r="C209" s="43" t="s">
        <v>198</v>
      </c>
      <c r="D209" s="42">
        <v>1</v>
      </c>
      <c r="E209" s="41">
        <v>3.0832793759442546E-5</v>
      </c>
    </row>
    <row r="210" spans="2:5" ht="15" customHeight="1">
      <c r="B210" s="85"/>
      <c r="C210" s="40" t="s">
        <v>23</v>
      </c>
      <c r="D210" s="39">
        <v>5</v>
      </c>
      <c r="E210" s="38">
        <v>1.5416396879721272E-4</v>
      </c>
    </row>
    <row r="211" spans="2:5" ht="15" customHeight="1">
      <c r="B211" s="83" t="s">
        <v>88</v>
      </c>
      <c r="C211" s="43" t="s">
        <v>210</v>
      </c>
      <c r="D211" s="42">
        <v>2</v>
      </c>
      <c r="E211" s="41">
        <v>6.1665587518885091E-5</v>
      </c>
    </row>
    <row r="212" spans="2:5" ht="15" customHeight="1">
      <c r="B212" s="84"/>
      <c r="C212" s="43" t="s">
        <v>208</v>
      </c>
      <c r="D212" s="42">
        <v>1</v>
      </c>
      <c r="E212" s="41">
        <v>3.0832793759442546E-5</v>
      </c>
    </row>
    <row r="213" spans="2:5" ht="15" customHeight="1">
      <c r="B213" s="84"/>
      <c r="C213" s="43" t="s">
        <v>207</v>
      </c>
      <c r="D213" s="42">
        <v>1</v>
      </c>
      <c r="E213" s="41">
        <v>3.0832793759442546E-5</v>
      </c>
    </row>
    <row r="214" spans="2:5" ht="15" customHeight="1">
      <c r="B214" s="84"/>
      <c r="C214" s="43" t="s">
        <v>206</v>
      </c>
      <c r="D214" s="42">
        <v>3</v>
      </c>
      <c r="E214" s="41">
        <v>9.249838127832763E-5</v>
      </c>
    </row>
    <row r="215" spans="2:5" ht="15" customHeight="1">
      <c r="B215" s="84"/>
      <c r="C215" s="43" t="s">
        <v>205</v>
      </c>
      <c r="D215" s="42">
        <v>3</v>
      </c>
      <c r="E215" s="41">
        <v>9.249838127832763E-5</v>
      </c>
    </row>
    <row r="216" spans="2:5" ht="15" customHeight="1">
      <c r="B216" s="84"/>
      <c r="C216" s="43" t="s">
        <v>203</v>
      </c>
      <c r="D216" s="42">
        <v>2</v>
      </c>
      <c r="E216" s="41">
        <v>6.1665587518885091E-5</v>
      </c>
    </row>
    <row r="217" spans="2:5" ht="15" customHeight="1">
      <c r="B217" s="84"/>
      <c r="C217" s="43" t="s">
        <v>202</v>
      </c>
      <c r="D217" s="42">
        <v>1</v>
      </c>
      <c r="E217" s="41">
        <v>3.0832793759442546E-5</v>
      </c>
    </row>
    <row r="218" spans="2:5" ht="15" customHeight="1">
      <c r="B218" s="84"/>
      <c r="C218" s="43" t="s">
        <v>201</v>
      </c>
      <c r="D218" s="42">
        <v>5</v>
      </c>
      <c r="E218" s="41">
        <v>1.5416396879721272E-4</v>
      </c>
    </row>
    <row r="219" spans="2:5" ht="15" customHeight="1">
      <c r="B219" s="84"/>
      <c r="C219" s="43" t="s">
        <v>200</v>
      </c>
      <c r="D219" s="42">
        <v>1</v>
      </c>
      <c r="E219" s="41">
        <v>3.0832793759442546E-5</v>
      </c>
    </row>
    <row r="220" spans="2:5" ht="15" customHeight="1">
      <c r="B220" s="84"/>
      <c r="C220" s="43" t="s">
        <v>199</v>
      </c>
      <c r="D220" s="42">
        <v>1</v>
      </c>
      <c r="E220" s="41">
        <v>3.0832793759442546E-5</v>
      </c>
    </row>
    <row r="221" spans="2:5" ht="15" customHeight="1">
      <c r="B221" s="84"/>
      <c r="C221" s="43" t="s">
        <v>198</v>
      </c>
      <c r="D221" s="42">
        <v>2</v>
      </c>
      <c r="E221" s="41">
        <v>6.1665587518885091E-5</v>
      </c>
    </row>
    <row r="222" spans="2:5" ht="15" customHeight="1">
      <c r="B222" s="84"/>
      <c r="C222" s="43" t="s">
        <v>192</v>
      </c>
      <c r="D222" s="42">
        <v>1</v>
      </c>
      <c r="E222" s="41">
        <v>3.0832793759442546E-5</v>
      </c>
    </row>
    <row r="223" spans="2:5" ht="15" customHeight="1">
      <c r="B223" s="85"/>
      <c r="C223" s="40" t="s">
        <v>23</v>
      </c>
      <c r="D223" s="39">
        <v>23</v>
      </c>
      <c r="E223" s="38">
        <v>7.0915425646717847E-4</v>
      </c>
    </row>
    <row r="224" spans="2:5" ht="15" customHeight="1">
      <c r="B224" s="83" t="s">
        <v>101</v>
      </c>
      <c r="C224" s="43" t="s">
        <v>212</v>
      </c>
      <c r="D224" s="42">
        <v>1</v>
      </c>
      <c r="E224" s="41">
        <v>3.0832793759442546E-5</v>
      </c>
    </row>
    <row r="225" spans="2:5" ht="15" customHeight="1">
      <c r="B225" s="84"/>
      <c r="C225" s="43" t="s">
        <v>211</v>
      </c>
      <c r="D225" s="42">
        <v>2</v>
      </c>
      <c r="E225" s="41">
        <v>6.1665587518885091E-5</v>
      </c>
    </row>
    <row r="226" spans="2:5" ht="15" customHeight="1">
      <c r="B226" s="84"/>
      <c r="C226" s="43" t="s">
        <v>210</v>
      </c>
      <c r="D226" s="42">
        <v>1</v>
      </c>
      <c r="E226" s="41">
        <v>3.0832793759442546E-5</v>
      </c>
    </row>
    <row r="227" spans="2:5" ht="15" customHeight="1">
      <c r="B227" s="84"/>
      <c r="C227" s="43" t="s">
        <v>207</v>
      </c>
      <c r="D227" s="42">
        <v>2</v>
      </c>
      <c r="E227" s="41">
        <v>6.1665587518885091E-5</v>
      </c>
    </row>
    <row r="228" spans="2:5" ht="15" customHeight="1">
      <c r="B228" s="84"/>
      <c r="C228" s="43" t="s">
        <v>206</v>
      </c>
      <c r="D228" s="42">
        <v>4</v>
      </c>
      <c r="E228" s="41">
        <v>1.2333117503777018E-4</v>
      </c>
    </row>
    <row r="229" spans="2:5" ht="15" customHeight="1">
      <c r="B229" s="84"/>
      <c r="C229" s="43" t="s">
        <v>205</v>
      </c>
      <c r="D229" s="42">
        <v>10</v>
      </c>
      <c r="E229" s="41">
        <v>3.0832793759442544E-4</v>
      </c>
    </row>
    <row r="230" spans="2:5" ht="15" customHeight="1">
      <c r="B230" s="84"/>
      <c r="C230" s="43" t="s">
        <v>203</v>
      </c>
      <c r="D230" s="42">
        <v>1</v>
      </c>
      <c r="E230" s="41">
        <v>3.0832793759442546E-5</v>
      </c>
    </row>
    <row r="231" spans="2:5" ht="15" customHeight="1">
      <c r="B231" s="84"/>
      <c r="C231" s="43" t="s">
        <v>202</v>
      </c>
      <c r="D231" s="42">
        <v>2</v>
      </c>
      <c r="E231" s="41">
        <v>6.1665587518885091E-5</v>
      </c>
    </row>
    <row r="232" spans="2:5" ht="15" customHeight="1">
      <c r="B232" s="84"/>
      <c r="C232" s="43" t="s">
        <v>201</v>
      </c>
      <c r="D232" s="42">
        <v>23</v>
      </c>
      <c r="E232" s="41">
        <v>7.0915425646717847E-4</v>
      </c>
    </row>
    <row r="233" spans="2:5" ht="15" customHeight="1">
      <c r="B233" s="84"/>
      <c r="C233" s="43" t="s">
        <v>200</v>
      </c>
      <c r="D233" s="42">
        <v>3</v>
      </c>
      <c r="E233" s="41">
        <v>9.249838127832763E-5</v>
      </c>
    </row>
    <row r="234" spans="2:5" ht="15" customHeight="1">
      <c r="B234" s="84"/>
      <c r="C234" s="43" t="s">
        <v>199</v>
      </c>
      <c r="D234" s="42">
        <v>4</v>
      </c>
      <c r="E234" s="41">
        <v>1.2333117503777018E-4</v>
      </c>
    </row>
    <row r="235" spans="2:5" ht="15" customHeight="1">
      <c r="B235" s="84"/>
      <c r="C235" s="43" t="s">
        <v>198</v>
      </c>
      <c r="D235" s="42">
        <v>13</v>
      </c>
      <c r="E235" s="41">
        <v>4.0082631887275309E-4</v>
      </c>
    </row>
    <row r="236" spans="2:5" ht="15" customHeight="1">
      <c r="B236" s="84"/>
      <c r="C236" s="43" t="s">
        <v>195</v>
      </c>
      <c r="D236" s="42">
        <v>1</v>
      </c>
      <c r="E236" s="41">
        <v>3.0832793759442546E-5</v>
      </c>
    </row>
    <row r="237" spans="2:5" ht="15" customHeight="1">
      <c r="B237" s="84"/>
      <c r="C237" s="43" t="s">
        <v>192</v>
      </c>
      <c r="D237" s="42">
        <v>2</v>
      </c>
      <c r="E237" s="41">
        <v>6.1665587518885091E-5</v>
      </c>
    </row>
    <row r="238" spans="2:5" ht="15" customHeight="1">
      <c r="B238" s="85"/>
      <c r="C238" s="40" t="s">
        <v>23</v>
      </c>
      <c r="D238" s="39">
        <v>69</v>
      </c>
      <c r="E238" s="38">
        <v>2.1274627694015356E-3</v>
      </c>
    </row>
    <row r="239" spans="2:5" ht="15" customHeight="1">
      <c r="B239" s="83" t="s">
        <v>117</v>
      </c>
      <c r="C239" s="43" t="s">
        <v>212</v>
      </c>
      <c r="D239" s="42">
        <v>1</v>
      </c>
      <c r="E239" s="41">
        <v>3.0832793759442546E-5</v>
      </c>
    </row>
    <row r="240" spans="2:5" ht="15" customHeight="1">
      <c r="B240" s="84"/>
      <c r="C240" s="43" t="s">
        <v>211</v>
      </c>
      <c r="D240" s="42">
        <v>1</v>
      </c>
      <c r="E240" s="41">
        <v>3.0832793759442546E-5</v>
      </c>
    </row>
    <row r="241" spans="2:5" ht="15" customHeight="1">
      <c r="B241" s="84"/>
      <c r="C241" s="43" t="s">
        <v>210</v>
      </c>
      <c r="D241" s="42">
        <v>3</v>
      </c>
      <c r="E241" s="41">
        <v>9.249838127832763E-5</v>
      </c>
    </row>
    <row r="242" spans="2:5" ht="15" customHeight="1">
      <c r="B242" s="84"/>
      <c r="C242" s="43" t="s">
        <v>209</v>
      </c>
      <c r="D242" s="42">
        <v>2</v>
      </c>
      <c r="E242" s="41">
        <v>6.1665587518885091E-5</v>
      </c>
    </row>
    <row r="243" spans="2:5" ht="15" customHeight="1">
      <c r="B243" s="84"/>
      <c r="C243" s="43" t="s">
        <v>208</v>
      </c>
      <c r="D243" s="42">
        <v>3</v>
      </c>
      <c r="E243" s="41">
        <v>9.249838127832763E-5</v>
      </c>
    </row>
    <row r="244" spans="2:5" ht="15" customHeight="1">
      <c r="B244" s="84"/>
      <c r="C244" s="43" t="s">
        <v>207</v>
      </c>
      <c r="D244" s="42">
        <v>1</v>
      </c>
      <c r="E244" s="41">
        <v>3.0832793759442546E-5</v>
      </c>
    </row>
    <row r="245" spans="2:5" ht="15" customHeight="1">
      <c r="B245" s="84"/>
      <c r="C245" s="43" t="s">
        <v>206</v>
      </c>
      <c r="D245" s="42">
        <v>10</v>
      </c>
      <c r="E245" s="41">
        <v>3.0832793759442544E-4</v>
      </c>
    </row>
    <row r="246" spans="2:5" ht="15" customHeight="1">
      <c r="B246" s="84"/>
      <c r="C246" s="43" t="s">
        <v>205</v>
      </c>
      <c r="D246" s="42">
        <v>16</v>
      </c>
      <c r="E246" s="41">
        <v>4.9332470015108073E-4</v>
      </c>
    </row>
    <row r="247" spans="2:5" ht="15" customHeight="1">
      <c r="B247" s="84"/>
      <c r="C247" s="43" t="s">
        <v>203</v>
      </c>
      <c r="D247" s="42">
        <v>6</v>
      </c>
      <c r="E247" s="41">
        <v>1.8499676255665526E-4</v>
      </c>
    </row>
    <row r="248" spans="2:5" ht="15" customHeight="1">
      <c r="B248" s="84"/>
      <c r="C248" s="43" t="s">
        <v>202</v>
      </c>
      <c r="D248" s="42">
        <v>4</v>
      </c>
      <c r="E248" s="41">
        <v>1.2333117503777018E-4</v>
      </c>
    </row>
    <row r="249" spans="2:5" ht="15" customHeight="1">
      <c r="B249" s="84"/>
      <c r="C249" s="43" t="s">
        <v>201</v>
      </c>
      <c r="D249" s="42">
        <v>29</v>
      </c>
      <c r="E249" s="41">
        <v>8.9415101902383376E-4</v>
      </c>
    </row>
    <row r="250" spans="2:5" ht="15" customHeight="1">
      <c r="B250" s="84"/>
      <c r="C250" s="43" t="s">
        <v>199</v>
      </c>
      <c r="D250" s="42">
        <v>3</v>
      </c>
      <c r="E250" s="41">
        <v>9.249838127832763E-5</v>
      </c>
    </row>
    <row r="251" spans="2:5" ht="15" customHeight="1">
      <c r="B251" s="84"/>
      <c r="C251" s="43" t="s">
        <v>198</v>
      </c>
      <c r="D251" s="42">
        <v>15</v>
      </c>
      <c r="E251" s="41">
        <v>4.6249190639163816E-4</v>
      </c>
    </row>
    <row r="252" spans="2:5" ht="15" customHeight="1">
      <c r="B252" s="84"/>
      <c r="C252" s="43" t="s">
        <v>193</v>
      </c>
      <c r="D252" s="42">
        <v>1</v>
      </c>
      <c r="E252" s="41">
        <v>3.0832793759442546E-5</v>
      </c>
    </row>
    <row r="253" spans="2:5" ht="15" customHeight="1">
      <c r="B253" s="84"/>
      <c r="C253" s="43" t="s">
        <v>192</v>
      </c>
      <c r="D253" s="42">
        <v>5</v>
      </c>
      <c r="E253" s="41">
        <v>1.5416396879721272E-4</v>
      </c>
    </row>
    <row r="254" spans="2:5" ht="15" customHeight="1">
      <c r="B254" s="85"/>
      <c r="C254" s="40" t="s">
        <v>23</v>
      </c>
      <c r="D254" s="39">
        <v>100</v>
      </c>
      <c r="E254" s="38">
        <v>3.0832793759442544E-3</v>
      </c>
    </row>
    <row r="255" spans="2:5" ht="15" customHeight="1">
      <c r="B255" s="83" t="s">
        <v>121</v>
      </c>
      <c r="C255" s="43" t="s">
        <v>212</v>
      </c>
      <c r="D255" s="42">
        <v>130</v>
      </c>
      <c r="E255" s="41">
        <v>4.0082631887275308E-3</v>
      </c>
    </row>
    <row r="256" spans="2:5" ht="15" customHeight="1">
      <c r="B256" s="84"/>
      <c r="C256" s="43" t="s">
        <v>211</v>
      </c>
      <c r="D256" s="42">
        <v>55</v>
      </c>
      <c r="E256" s="41">
        <v>1.6958036567693399E-3</v>
      </c>
    </row>
    <row r="257" spans="2:5" ht="15" customHeight="1">
      <c r="B257" s="84"/>
      <c r="C257" s="43" t="s">
        <v>210</v>
      </c>
      <c r="D257" s="42">
        <v>95</v>
      </c>
      <c r="E257" s="41">
        <v>2.9291154071470417E-3</v>
      </c>
    </row>
    <row r="258" spans="2:5" ht="15" customHeight="1">
      <c r="B258" s="84"/>
      <c r="C258" s="43" t="s">
        <v>209</v>
      </c>
      <c r="D258" s="42">
        <v>173</v>
      </c>
      <c r="E258" s="41">
        <v>5.3340733203835599E-3</v>
      </c>
    </row>
    <row r="259" spans="2:5" ht="15" customHeight="1">
      <c r="B259" s="84"/>
      <c r="C259" s="43" t="s">
        <v>208</v>
      </c>
      <c r="D259" s="42">
        <v>117</v>
      </c>
      <c r="E259" s="41">
        <v>3.6074368698547775E-3</v>
      </c>
    </row>
    <row r="260" spans="2:5" ht="15" customHeight="1">
      <c r="B260" s="84"/>
      <c r="C260" s="43" t="s">
        <v>207</v>
      </c>
      <c r="D260" s="42">
        <v>155</v>
      </c>
      <c r="E260" s="41">
        <v>4.7790830327135939E-3</v>
      </c>
    </row>
    <row r="261" spans="2:5" ht="15" customHeight="1">
      <c r="B261" s="84"/>
      <c r="C261" s="43" t="s">
        <v>206</v>
      </c>
      <c r="D261" s="42">
        <v>794</v>
      </c>
      <c r="E261" s="41">
        <v>2.4481238244997379E-2</v>
      </c>
    </row>
    <row r="262" spans="2:5" ht="15" customHeight="1">
      <c r="B262" s="84"/>
      <c r="C262" s="43" t="s">
        <v>205</v>
      </c>
      <c r="D262" s="42">
        <v>1228</v>
      </c>
      <c r="E262" s="41">
        <v>3.7862670736595445E-2</v>
      </c>
    </row>
    <row r="263" spans="2:5" ht="15" customHeight="1">
      <c r="B263" s="84"/>
      <c r="C263" s="43" t="s">
        <v>204</v>
      </c>
      <c r="D263" s="42">
        <v>71</v>
      </c>
      <c r="E263" s="41">
        <v>2.1891283569204206E-3</v>
      </c>
    </row>
    <row r="264" spans="2:5" ht="15" customHeight="1">
      <c r="B264" s="84"/>
      <c r="C264" s="43" t="s">
        <v>203</v>
      </c>
      <c r="D264" s="42">
        <v>162</v>
      </c>
      <c r="E264" s="41">
        <v>4.994912589029692E-3</v>
      </c>
    </row>
    <row r="265" spans="2:5" ht="15" customHeight="1">
      <c r="B265" s="84"/>
      <c r="C265" s="43" t="s">
        <v>202</v>
      </c>
      <c r="D265" s="42">
        <v>358</v>
      </c>
      <c r="E265" s="41">
        <v>1.1038140165880431E-2</v>
      </c>
    </row>
    <row r="266" spans="2:5" ht="15" customHeight="1">
      <c r="B266" s="84"/>
      <c r="C266" s="43" t="s">
        <v>201</v>
      </c>
      <c r="D266" s="42">
        <v>3010</v>
      </c>
      <c r="E266" s="41">
        <v>9.2806709215922059E-2</v>
      </c>
    </row>
    <row r="267" spans="2:5" ht="15" customHeight="1">
      <c r="B267" s="84"/>
      <c r="C267" s="43" t="s">
        <v>200</v>
      </c>
      <c r="D267" s="42">
        <v>129</v>
      </c>
      <c r="E267" s="41">
        <v>3.9774303949680883E-3</v>
      </c>
    </row>
    <row r="268" spans="2:5" ht="15" customHeight="1">
      <c r="B268" s="84"/>
      <c r="C268" s="43" t="s">
        <v>199</v>
      </c>
      <c r="D268" s="42">
        <v>350</v>
      </c>
      <c r="E268" s="41">
        <v>1.079147781580489E-2</v>
      </c>
    </row>
    <row r="269" spans="2:5" ht="15" customHeight="1">
      <c r="B269" s="84"/>
      <c r="C269" s="43" t="s">
        <v>198</v>
      </c>
      <c r="D269" s="42">
        <v>1361</v>
      </c>
      <c r="E269" s="41">
        <v>4.1963432306601302E-2</v>
      </c>
    </row>
    <row r="270" spans="2:5" ht="15" customHeight="1">
      <c r="B270" s="84"/>
      <c r="C270" s="43" t="s">
        <v>197</v>
      </c>
      <c r="D270" s="42">
        <v>19</v>
      </c>
      <c r="E270" s="41">
        <v>5.8582308142940832E-4</v>
      </c>
    </row>
    <row r="271" spans="2:5" ht="15" customHeight="1">
      <c r="B271" s="84"/>
      <c r="C271" s="43" t="s">
        <v>196</v>
      </c>
      <c r="D271" s="42">
        <v>21</v>
      </c>
      <c r="E271" s="41">
        <v>6.4748866894829345E-4</v>
      </c>
    </row>
    <row r="272" spans="2:5" ht="15" customHeight="1">
      <c r="B272" s="84"/>
      <c r="C272" s="43" t="s">
        <v>195</v>
      </c>
      <c r="D272" s="42">
        <v>11</v>
      </c>
      <c r="E272" s="41">
        <v>3.3916073135386795E-4</v>
      </c>
    </row>
    <row r="273" spans="2:5" ht="15" customHeight="1">
      <c r="B273" s="84"/>
      <c r="C273" s="43" t="s">
        <v>194</v>
      </c>
      <c r="D273" s="42">
        <v>7</v>
      </c>
      <c r="E273" s="41">
        <v>2.158295563160978E-4</v>
      </c>
    </row>
    <row r="274" spans="2:5" ht="15" customHeight="1">
      <c r="B274" s="84"/>
      <c r="C274" s="43" t="s">
        <v>193</v>
      </c>
      <c r="D274" s="42">
        <v>87</v>
      </c>
      <c r="E274" s="41">
        <v>2.6824530570715012E-3</v>
      </c>
    </row>
    <row r="275" spans="2:5" ht="15" customHeight="1">
      <c r="B275" s="84"/>
      <c r="C275" s="43" t="s">
        <v>192</v>
      </c>
      <c r="D275" s="42">
        <v>148</v>
      </c>
      <c r="E275" s="41">
        <v>4.5632534763974967E-3</v>
      </c>
    </row>
    <row r="276" spans="2:5" ht="15" customHeight="1">
      <c r="B276" s="84"/>
      <c r="C276" s="43" t="s">
        <v>217</v>
      </c>
      <c r="D276" s="42">
        <v>2</v>
      </c>
      <c r="E276" s="41">
        <v>6.1665587518885091E-5</v>
      </c>
    </row>
    <row r="277" spans="2:5" ht="15" customHeight="1">
      <c r="B277" s="84"/>
      <c r="C277" s="43" t="s">
        <v>190</v>
      </c>
      <c r="D277" s="42">
        <v>6</v>
      </c>
      <c r="E277" s="41">
        <v>1.8499676255665526E-4</v>
      </c>
    </row>
    <row r="278" spans="2:5" ht="15" customHeight="1">
      <c r="B278" s="84"/>
      <c r="C278" s="43" t="s">
        <v>189</v>
      </c>
      <c r="D278" s="42">
        <v>5</v>
      </c>
      <c r="E278" s="41">
        <v>1.5416396879721272E-4</v>
      </c>
    </row>
    <row r="279" spans="2:5" ht="15" customHeight="1">
      <c r="B279" s="85"/>
      <c r="C279" s="40" t="s">
        <v>23</v>
      </c>
      <c r="D279" s="39">
        <v>8494</v>
      </c>
      <c r="E279" s="38">
        <v>0.26189375019270494</v>
      </c>
    </row>
    <row r="280" spans="2:5" ht="15" customHeight="1">
      <c r="B280" s="83" t="s">
        <v>221</v>
      </c>
      <c r="C280" s="43" t="s">
        <v>212</v>
      </c>
      <c r="D280" s="42">
        <v>7</v>
      </c>
      <c r="E280" s="41">
        <v>2.158295563160978E-4</v>
      </c>
    </row>
    <row r="281" spans="2:5" ht="15" customHeight="1">
      <c r="B281" s="84"/>
      <c r="C281" s="43" t="s">
        <v>211</v>
      </c>
      <c r="D281" s="42">
        <v>4</v>
      </c>
      <c r="E281" s="41">
        <v>1.2333117503777018E-4</v>
      </c>
    </row>
    <row r="282" spans="2:5" ht="15" customHeight="1">
      <c r="B282" s="84"/>
      <c r="C282" s="43" t="s">
        <v>210</v>
      </c>
      <c r="D282" s="42">
        <v>2</v>
      </c>
      <c r="E282" s="41">
        <v>6.1665587518885091E-5</v>
      </c>
    </row>
    <row r="283" spans="2:5" ht="15" customHeight="1">
      <c r="B283" s="84"/>
      <c r="C283" s="43" t="s">
        <v>209</v>
      </c>
      <c r="D283" s="42">
        <v>11</v>
      </c>
      <c r="E283" s="41">
        <v>3.3916073135386795E-4</v>
      </c>
    </row>
    <row r="284" spans="2:5" ht="15" customHeight="1">
      <c r="B284" s="84"/>
      <c r="C284" s="43" t="s">
        <v>208</v>
      </c>
      <c r="D284" s="42">
        <v>7</v>
      </c>
      <c r="E284" s="41">
        <v>2.158295563160978E-4</v>
      </c>
    </row>
    <row r="285" spans="2:5" ht="15" customHeight="1">
      <c r="B285" s="84"/>
      <c r="C285" s="43" t="s">
        <v>207</v>
      </c>
      <c r="D285" s="42">
        <v>12</v>
      </c>
      <c r="E285" s="41">
        <v>3.6999352511331052E-4</v>
      </c>
    </row>
    <row r="286" spans="2:5" ht="15" customHeight="1">
      <c r="B286" s="84"/>
      <c r="C286" s="43" t="s">
        <v>206</v>
      </c>
      <c r="D286" s="42">
        <v>39</v>
      </c>
      <c r="E286" s="41">
        <v>1.2024789566182591E-3</v>
      </c>
    </row>
    <row r="287" spans="2:5" ht="15" customHeight="1">
      <c r="B287" s="84"/>
      <c r="C287" s="43" t="s">
        <v>205</v>
      </c>
      <c r="D287" s="42">
        <v>101</v>
      </c>
      <c r="E287" s="41">
        <v>3.1141121697036969E-3</v>
      </c>
    </row>
    <row r="288" spans="2:5" ht="15" customHeight="1">
      <c r="B288" s="84"/>
      <c r="C288" s="43" t="s">
        <v>204</v>
      </c>
      <c r="D288" s="42">
        <v>4</v>
      </c>
      <c r="E288" s="41">
        <v>1.2333117503777018E-4</v>
      </c>
    </row>
    <row r="289" spans="2:5" ht="15" customHeight="1">
      <c r="B289" s="84"/>
      <c r="C289" s="43" t="s">
        <v>203</v>
      </c>
      <c r="D289" s="42">
        <v>12</v>
      </c>
      <c r="E289" s="41">
        <v>3.6999352511331052E-4</v>
      </c>
    </row>
    <row r="290" spans="2:5" ht="15" customHeight="1">
      <c r="B290" s="84"/>
      <c r="C290" s="43" t="s">
        <v>202</v>
      </c>
      <c r="D290" s="42">
        <v>19</v>
      </c>
      <c r="E290" s="41">
        <v>5.8582308142940832E-4</v>
      </c>
    </row>
    <row r="291" spans="2:5" ht="15" customHeight="1">
      <c r="B291" s="84"/>
      <c r="C291" s="43" t="s">
        <v>201</v>
      </c>
      <c r="D291" s="42">
        <v>156</v>
      </c>
      <c r="E291" s="41">
        <v>4.8099158264730364E-3</v>
      </c>
    </row>
    <row r="292" spans="2:5" ht="15" customHeight="1">
      <c r="B292" s="84"/>
      <c r="C292" s="43" t="s">
        <v>200</v>
      </c>
      <c r="D292" s="42">
        <v>8</v>
      </c>
      <c r="E292" s="41">
        <v>2.4666235007554037E-4</v>
      </c>
    </row>
    <row r="293" spans="2:5" ht="15" customHeight="1">
      <c r="B293" s="84"/>
      <c r="C293" s="43" t="s">
        <v>199</v>
      </c>
      <c r="D293" s="42">
        <v>9</v>
      </c>
      <c r="E293" s="41">
        <v>2.7749514383498288E-4</v>
      </c>
    </row>
    <row r="294" spans="2:5" ht="15" customHeight="1">
      <c r="B294" s="84"/>
      <c r="C294" s="43" t="s">
        <v>198</v>
      </c>
      <c r="D294" s="42">
        <v>46</v>
      </c>
      <c r="E294" s="41">
        <v>1.4183085129343569E-3</v>
      </c>
    </row>
    <row r="295" spans="2:5" ht="15" customHeight="1">
      <c r="B295" s="84"/>
      <c r="C295" s="43" t="s">
        <v>193</v>
      </c>
      <c r="D295" s="42">
        <v>7</v>
      </c>
      <c r="E295" s="41">
        <v>2.158295563160978E-4</v>
      </c>
    </row>
    <row r="296" spans="2:5" ht="15" customHeight="1">
      <c r="B296" s="84"/>
      <c r="C296" s="43" t="s">
        <v>192</v>
      </c>
      <c r="D296" s="42">
        <v>10</v>
      </c>
      <c r="E296" s="41">
        <v>3.0832793759442544E-4</v>
      </c>
    </row>
    <row r="297" spans="2:5" ht="15" customHeight="1">
      <c r="B297" s="85"/>
      <c r="C297" s="40" t="s">
        <v>23</v>
      </c>
      <c r="D297" s="39">
        <v>454</v>
      </c>
      <c r="E297" s="38">
        <v>1.3998088366786914E-2</v>
      </c>
    </row>
    <row r="298" spans="2:5" ht="15" customHeight="1">
      <c r="B298" s="83" t="s">
        <v>100</v>
      </c>
      <c r="C298" s="43" t="s">
        <v>212</v>
      </c>
      <c r="D298" s="42">
        <v>1</v>
      </c>
      <c r="E298" s="41">
        <v>3.0832793759442546E-5</v>
      </c>
    </row>
    <row r="299" spans="2:5" ht="15" customHeight="1">
      <c r="B299" s="84"/>
      <c r="C299" s="43" t="s">
        <v>210</v>
      </c>
      <c r="D299" s="42">
        <v>5</v>
      </c>
      <c r="E299" s="41">
        <v>1.5416396879721272E-4</v>
      </c>
    </row>
    <row r="300" spans="2:5" ht="15" customHeight="1">
      <c r="B300" s="84"/>
      <c r="C300" s="43" t="s">
        <v>209</v>
      </c>
      <c r="D300" s="42">
        <v>13</v>
      </c>
      <c r="E300" s="41">
        <v>4.0082631887275309E-4</v>
      </c>
    </row>
    <row r="301" spans="2:5" ht="15" customHeight="1">
      <c r="B301" s="84"/>
      <c r="C301" s="43" t="s">
        <v>208</v>
      </c>
      <c r="D301" s="42">
        <v>3</v>
      </c>
      <c r="E301" s="41">
        <v>9.249838127832763E-5</v>
      </c>
    </row>
    <row r="302" spans="2:5" ht="15" customHeight="1">
      <c r="B302" s="84"/>
      <c r="C302" s="43" t="s">
        <v>207</v>
      </c>
      <c r="D302" s="42">
        <v>7</v>
      </c>
      <c r="E302" s="41">
        <v>2.158295563160978E-4</v>
      </c>
    </row>
    <row r="303" spans="2:5" ht="15" customHeight="1">
      <c r="B303" s="84"/>
      <c r="C303" s="43" t="s">
        <v>206</v>
      </c>
      <c r="D303" s="42">
        <v>31</v>
      </c>
      <c r="E303" s="41">
        <v>9.5581660654271879E-4</v>
      </c>
    </row>
    <row r="304" spans="2:5" ht="15" customHeight="1">
      <c r="B304" s="84"/>
      <c r="C304" s="43" t="s">
        <v>205</v>
      </c>
      <c r="D304" s="42">
        <v>37</v>
      </c>
      <c r="E304" s="41">
        <v>1.1408133690993742E-3</v>
      </c>
    </row>
    <row r="305" spans="2:5" ht="15" customHeight="1">
      <c r="B305" s="84"/>
      <c r="C305" s="43" t="s">
        <v>204</v>
      </c>
      <c r="D305" s="42">
        <v>5</v>
      </c>
      <c r="E305" s="41">
        <v>1.5416396879721272E-4</v>
      </c>
    </row>
    <row r="306" spans="2:5" ht="15" customHeight="1">
      <c r="B306" s="84"/>
      <c r="C306" s="43" t="s">
        <v>203</v>
      </c>
      <c r="D306" s="42">
        <v>14</v>
      </c>
      <c r="E306" s="41">
        <v>4.316591126321956E-4</v>
      </c>
    </row>
    <row r="307" spans="2:5" ht="15" customHeight="1">
      <c r="B307" s="84"/>
      <c r="C307" s="43" t="s">
        <v>202</v>
      </c>
      <c r="D307" s="42">
        <v>19</v>
      </c>
      <c r="E307" s="41">
        <v>5.8582308142940832E-4</v>
      </c>
    </row>
    <row r="308" spans="2:5" ht="15" customHeight="1">
      <c r="B308" s="84"/>
      <c r="C308" s="43" t="s">
        <v>201</v>
      </c>
      <c r="D308" s="42">
        <v>129</v>
      </c>
      <c r="E308" s="41">
        <v>3.9774303949680883E-3</v>
      </c>
    </row>
    <row r="309" spans="2:5" ht="15" customHeight="1">
      <c r="B309" s="84"/>
      <c r="C309" s="43" t="s">
        <v>200</v>
      </c>
      <c r="D309" s="42">
        <v>4</v>
      </c>
      <c r="E309" s="41">
        <v>1.2333117503777018E-4</v>
      </c>
    </row>
    <row r="310" spans="2:5" ht="15" customHeight="1">
      <c r="B310" s="84"/>
      <c r="C310" s="43" t="s">
        <v>199</v>
      </c>
      <c r="D310" s="42">
        <v>23</v>
      </c>
      <c r="E310" s="41">
        <v>7.0915425646717847E-4</v>
      </c>
    </row>
    <row r="311" spans="2:5" ht="15" customHeight="1">
      <c r="B311" s="84"/>
      <c r="C311" s="43" t="s">
        <v>198</v>
      </c>
      <c r="D311" s="42">
        <v>58</v>
      </c>
      <c r="E311" s="41">
        <v>1.7883020380476675E-3</v>
      </c>
    </row>
    <row r="312" spans="2:5" ht="15" customHeight="1">
      <c r="B312" s="84"/>
      <c r="C312" s="43" t="s">
        <v>195</v>
      </c>
      <c r="D312" s="42">
        <v>1</v>
      </c>
      <c r="E312" s="41">
        <v>3.0832793759442546E-5</v>
      </c>
    </row>
    <row r="313" spans="2:5" ht="15" customHeight="1">
      <c r="B313" s="84"/>
      <c r="C313" s="43" t="s">
        <v>193</v>
      </c>
      <c r="D313" s="42">
        <v>5</v>
      </c>
      <c r="E313" s="41">
        <v>1.5416396879721272E-4</v>
      </c>
    </row>
    <row r="314" spans="2:5" ht="15" customHeight="1">
      <c r="B314" s="84"/>
      <c r="C314" s="43" t="s">
        <v>192</v>
      </c>
      <c r="D314" s="42">
        <v>3</v>
      </c>
      <c r="E314" s="41">
        <v>9.249838127832763E-5</v>
      </c>
    </row>
    <row r="315" spans="2:5" ht="15" customHeight="1">
      <c r="B315" s="84"/>
      <c r="C315" s="43" t="s">
        <v>217</v>
      </c>
      <c r="D315" s="42">
        <v>1</v>
      </c>
      <c r="E315" s="41">
        <v>3.0832793759442546E-5</v>
      </c>
    </row>
    <row r="316" spans="2:5" ht="15" customHeight="1">
      <c r="B316" s="85"/>
      <c r="C316" s="40" t="s">
        <v>23</v>
      </c>
      <c r="D316" s="39">
        <v>359</v>
      </c>
      <c r="E316" s="38">
        <v>1.1068972959639873E-2</v>
      </c>
    </row>
    <row r="317" spans="2:5" ht="15" customHeight="1">
      <c r="B317" s="83" t="s">
        <v>84</v>
      </c>
      <c r="C317" s="43" t="s">
        <v>212</v>
      </c>
      <c r="D317" s="42">
        <v>2</v>
      </c>
      <c r="E317" s="41">
        <v>6.1665587518885091E-5</v>
      </c>
    </row>
    <row r="318" spans="2:5" ht="15" customHeight="1">
      <c r="B318" s="84"/>
      <c r="C318" s="43" t="s">
        <v>210</v>
      </c>
      <c r="D318" s="42">
        <v>4</v>
      </c>
      <c r="E318" s="41">
        <v>1.2333117503777018E-4</v>
      </c>
    </row>
    <row r="319" spans="2:5" ht="15" customHeight="1">
      <c r="B319" s="84"/>
      <c r="C319" s="43" t="s">
        <v>209</v>
      </c>
      <c r="D319" s="42">
        <v>7</v>
      </c>
      <c r="E319" s="41">
        <v>2.158295563160978E-4</v>
      </c>
    </row>
    <row r="320" spans="2:5" ht="15" customHeight="1">
      <c r="B320" s="84"/>
      <c r="C320" s="43" t="s">
        <v>208</v>
      </c>
      <c r="D320" s="42">
        <v>6</v>
      </c>
      <c r="E320" s="41">
        <v>1.8499676255665526E-4</v>
      </c>
    </row>
    <row r="321" spans="2:5" ht="15" customHeight="1">
      <c r="B321" s="84"/>
      <c r="C321" s="43" t="s">
        <v>207</v>
      </c>
      <c r="D321" s="42">
        <v>7</v>
      </c>
      <c r="E321" s="41">
        <v>2.158295563160978E-4</v>
      </c>
    </row>
    <row r="322" spans="2:5" ht="15" customHeight="1">
      <c r="B322" s="84"/>
      <c r="C322" s="43" t="s">
        <v>206</v>
      </c>
      <c r="D322" s="42">
        <v>25</v>
      </c>
      <c r="E322" s="41">
        <v>7.7081984398606361E-4</v>
      </c>
    </row>
    <row r="323" spans="2:5" ht="15" customHeight="1">
      <c r="B323" s="84"/>
      <c r="C323" s="43" t="s">
        <v>205</v>
      </c>
      <c r="D323" s="42">
        <v>28</v>
      </c>
      <c r="E323" s="41">
        <v>8.633182252643912E-4</v>
      </c>
    </row>
    <row r="324" spans="2:5" ht="15" customHeight="1">
      <c r="B324" s="84"/>
      <c r="C324" s="43" t="s">
        <v>204</v>
      </c>
      <c r="D324" s="42">
        <v>4</v>
      </c>
      <c r="E324" s="41">
        <v>1.2333117503777018E-4</v>
      </c>
    </row>
    <row r="325" spans="2:5" ht="15" customHeight="1">
      <c r="B325" s="84"/>
      <c r="C325" s="43" t="s">
        <v>203</v>
      </c>
      <c r="D325" s="42">
        <v>18</v>
      </c>
      <c r="E325" s="41">
        <v>5.5499028766996575E-4</v>
      </c>
    </row>
    <row r="326" spans="2:5" ht="15" customHeight="1">
      <c r="B326" s="84"/>
      <c r="C326" s="43" t="s">
        <v>202</v>
      </c>
      <c r="D326" s="42">
        <v>12</v>
      </c>
      <c r="E326" s="41">
        <v>3.6999352511331052E-4</v>
      </c>
    </row>
    <row r="327" spans="2:5" ht="15" customHeight="1">
      <c r="B327" s="84"/>
      <c r="C327" s="43" t="s">
        <v>201</v>
      </c>
      <c r="D327" s="42">
        <v>63</v>
      </c>
      <c r="E327" s="41">
        <v>1.9424660068448802E-3</v>
      </c>
    </row>
    <row r="328" spans="2:5" ht="15" customHeight="1">
      <c r="B328" s="84"/>
      <c r="C328" s="43" t="s">
        <v>199</v>
      </c>
      <c r="D328" s="42">
        <v>11</v>
      </c>
      <c r="E328" s="41">
        <v>3.3916073135386795E-4</v>
      </c>
    </row>
    <row r="329" spans="2:5" ht="15" customHeight="1">
      <c r="B329" s="84"/>
      <c r="C329" s="43" t="s">
        <v>198</v>
      </c>
      <c r="D329" s="42">
        <v>24</v>
      </c>
      <c r="E329" s="41">
        <v>7.3998705022662104E-4</v>
      </c>
    </row>
    <row r="330" spans="2:5" ht="15" customHeight="1">
      <c r="B330" s="84"/>
      <c r="C330" s="43" t="s">
        <v>193</v>
      </c>
      <c r="D330" s="42">
        <v>1</v>
      </c>
      <c r="E330" s="41">
        <v>3.0832793759442546E-5</v>
      </c>
    </row>
    <row r="331" spans="2:5" ht="15" customHeight="1">
      <c r="B331" s="84"/>
      <c r="C331" s="43" t="s">
        <v>192</v>
      </c>
      <c r="D331" s="42">
        <v>6</v>
      </c>
      <c r="E331" s="41">
        <v>1.8499676255665526E-4</v>
      </c>
    </row>
    <row r="332" spans="2:5" ht="15" customHeight="1">
      <c r="B332" s="85"/>
      <c r="C332" s="40" t="s">
        <v>23</v>
      </c>
      <c r="D332" s="39">
        <v>218</v>
      </c>
      <c r="E332" s="38">
        <v>6.7215490395584748E-3</v>
      </c>
    </row>
    <row r="333" spans="2:5" ht="15" customHeight="1">
      <c r="B333" s="83" t="s">
        <v>107</v>
      </c>
      <c r="C333" s="43" t="s">
        <v>212</v>
      </c>
      <c r="D333" s="42">
        <v>2</v>
      </c>
      <c r="E333" s="41">
        <v>6.1665587518885091E-5</v>
      </c>
    </row>
    <row r="334" spans="2:5" ht="15" customHeight="1">
      <c r="B334" s="84"/>
      <c r="C334" s="43" t="s">
        <v>210</v>
      </c>
      <c r="D334" s="42">
        <v>1</v>
      </c>
      <c r="E334" s="41">
        <v>3.0832793759442546E-5</v>
      </c>
    </row>
    <row r="335" spans="2:5" ht="15" customHeight="1">
      <c r="B335" s="84"/>
      <c r="C335" s="43" t="s">
        <v>209</v>
      </c>
      <c r="D335" s="42">
        <v>2</v>
      </c>
      <c r="E335" s="41">
        <v>6.1665587518885091E-5</v>
      </c>
    </row>
    <row r="336" spans="2:5" ht="15" customHeight="1">
      <c r="B336" s="84"/>
      <c r="C336" s="43" t="s">
        <v>208</v>
      </c>
      <c r="D336" s="42">
        <v>1</v>
      </c>
      <c r="E336" s="41">
        <v>3.0832793759442546E-5</v>
      </c>
    </row>
    <row r="337" spans="2:5" ht="15" customHeight="1">
      <c r="B337" s="84"/>
      <c r="C337" s="43" t="s">
        <v>207</v>
      </c>
      <c r="D337" s="42">
        <v>2</v>
      </c>
      <c r="E337" s="41">
        <v>6.1665587518885091E-5</v>
      </c>
    </row>
    <row r="338" spans="2:5" ht="15" customHeight="1">
      <c r="B338" s="84"/>
      <c r="C338" s="43" t="s">
        <v>206</v>
      </c>
      <c r="D338" s="42">
        <v>8</v>
      </c>
      <c r="E338" s="41">
        <v>2.4666235007554037E-4</v>
      </c>
    </row>
    <row r="339" spans="2:5" ht="15" customHeight="1">
      <c r="B339" s="84"/>
      <c r="C339" s="43" t="s">
        <v>205</v>
      </c>
      <c r="D339" s="42">
        <v>15</v>
      </c>
      <c r="E339" s="41">
        <v>4.6249190639163816E-4</v>
      </c>
    </row>
    <row r="340" spans="2:5" ht="15" customHeight="1">
      <c r="B340" s="84"/>
      <c r="C340" s="43" t="s">
        <v>204</v>
      </c>
      <c r="D340" s="42">
        <v>2</v>
      </c>
      <c r="E340" s="41">
        <v>6.1665587518885091E-5</v>
      </c>
    </row>
    <row r="341" spans="2:5" ht="15" customHeight="1">
      <c r="B341" s="84"/>
      <c r="C341" s="43" t="s">
        <v>203</v>
      </c>
      <c r="D341" s="42">
        <v>3</v>
      </c>
      <c r="E341" s="41">
        <v>9.249838127832763E-5</v>
      </c>
    </row>
    <row r="342" spans="2:5" ht="15" customHeight="1">
      <c r="B342" s="84"/>
      <c r="C342" s="43" t="s">
        <v>202</v>
      </c>
      <c r="D342" s="42">
        <v>6</v>
      </c>
      <c r="E342" s="41">
        <v>1.8499676255665526E-4</v>
      </c>
    </row>
    <row r="343" spans="2:5" ht="15" customHeight="1">
      <c r="B343" s="84"/>
      <c r="C343" s="43" t="s">
        <v>201</v>
      </c>
      <c r="D343" s="42">
        <v>60</v>
      </c>
      <c r="E343" s="41">
        <v>1.8499676255665527E-3</v>
      </c>
    </row>
    <row r="344" spans="2:5" ht="15" customHeight="1">
      <c r="B344" s="84"/>
      <c r="C344" s="43" t="s">
        <v>200</v>
      </c>
      <c r="D344" s="42">
        <v>2</v>
      </c>
      <c r="E344" s="41">
        <v>6.1665587518885091E-5</v>
      </c>
    </row>
    <row r="345" spans="2:5" ht="15" customHeight="1">
      <c r="B345" s="84"/>
      <c r="C345" s="43" t="s">
        <v>199</v>
      </c>
      <c r="D345" s="42">
        <v>2</v>
      </c>
      <c r="E345" s="41">
        <v>6.1665587518885091E-5</v>
      </c>
    </row>
    <row r="346" spans="2:5" ht="15" customHeight="1">
      <c r="B346" s="84"/>
      <c r="C346" s="43" t="s">
        <v>198</v>
      </c>
      <c r="D346" s="42">
        <v>30</v>
      </c>
      <c r="E346" s="41">
        <v>9.2498381278327633E-4</v>
      </c>
    </row>
    <row r="347" spans="2:5" ht="15" customHeight="1">
      <c r="B347" s="84"/>
      <c r="C347" s="43" t="s">
        <v>193</v>
      </c>
      <c r="D347" s="42">
        <v>3</v>
      </c>
      <c r="E347" s="41">
        <v>9.249838127832763E-5</v>
      </c>
    </row>
    <row r="348" spans="2:5" ht="15" customHeight="1">
      <c r="B348" s="84"/>
      <c r="C348" s="43" t="s">
        <v>192</v>
      </c>
      <c r="D348" s="42">
        <v>4</v>
      </c>
      <c r="E348" s="41">
        <v>1.2333117503777018E-4</v>
      </c>
    </row>
    <row r="349" spans="2:5" ht="15" customHeight="1">
      <c r="B349" s="85"/>
      <c r="C349" s="40" t="s">
        <v>23</v>
      </c>
      <c r="D349" s="39">
        <v>143</v>
      </c>
      <c r="E349" s="38">
        <v>4.4090895076002836E-3</v>
      </c>
    </row>
    <row r="350" spans="2:5" ht="15" customHeight="1">
      <c r="B350" s="83" t="s">
        <v>111</v>
      </c>
      <c r="C350" s="43" t="s">
        <v>212</v>
      </c>
      <c r="D350" s="42">
        <v>16</v>
      </c>
      <c r="E350" s="41">
        <v>4.9332470015108073E-4</v>
      </c>
    </row>
    <row r="351" spans="2:5" ht="15" customHeight="1">
      <c r="B351" s="84"/>
      <c r="C351" s="43" t="s">
        <v>211</v>
      </c>
      <c r="D351" s="42">
        <v>12</v>
      </c>
      <c r="E351" s="41">
        <v>3.6999352511331052E-4</v>
      </c>
    </row>
    <row r="352" spans="2:5" ht="15" customHeight="1">
      <c r="B352" s="84"/>
      <c r="C352" s="43" t="s">
        <v>210</v>
      </c>
      <c r="D352" s="42">
        <v>11</v>
      </c>
      <c r="E352" s="41">
        <v>3.3916073135386795E-4</v>
      </c>
    </row>
    <row r="353" spans="2:5" ht="15" customHeight="1">
      <c r="B353" s="84"/>
      <c r="C353" s="43" t="s">
        <v>209</v>
      </c>
      <c r="D353" s="42">
        <v>28</v>
      </c>
      <c r="E353" s="41">
        <v>8.633182252643912E-4</v>
      </c>
    </row>
    <row r="354" spans="2:5" ht="15" customHeight="1">
      <c r="B354" s="84"/>
      <c r="C354" s="43" t="s">
        <v>208</v>
      </c>
      <c r="D354" s="42">
        <v>29</v>
      </c>
      <c r="E354" s="41">
        <v>8.9415101902383376E-4</v>
      </c>
    </row>
    <row r="355" spans="2:5" ht="15" customHeight="1">
      <c r="B355" s="84"/>
      <c r="C355" s="43" t="s">
        <v>207</v>
      </c>
      <c r="D355" s="42">
        <v>27</v>
      </c>
      <c r="E355" s="41">
        <v>8.3248543150494863E-4</v>
      </c>
    </row>
    <row r="356" spans="2:5" ht="15" customHeight="1">
      <c r="B356" s="84"/>
      <c r="C356" s="43" t="s">
        <v>206</v>
      </c>
      <c r="D356" s="42">
        <v>83</v>
      </c>
      <c r="E356" s="41">
        <v>2.5591218820337309E-3</v>
      </c>
    </row>
    <row r="357" spans="2:5" ht="15" customHeight="1">
      <c r="B357" s="84"/>
      <c r="C357" s="43" t="s">
        <v>205</v>
      </c>
      <c r="D357" s="42">
        <v>206</v>
      </c>
      <c r="E357" s="41">
        <v>6.3515555144451636E-3</v>
      </c>
    </row>
    <row r="358" spans="2:5" ht="15" customHeight="1">
      <c r="B358" s="84"/>
      <c r="C358" s="43" t="s">
        <v>204</v>
      </c>
      <c r="D358" s="42">
        <v>18</v>
      </c>
      <c r="E358" s="41">
        <v>5.5499028766996575E-4</v>
      </c>
    </row>
    <row r="359" spans="2:5" ht="15" customHeight="1">
      <c r="B359" s="84"/>
      <c r="C359" s="43" t="s">
        <v>203</v>
      </c>
      <c r="D359" s="42">
        <v>48</v>
      </c>
      <c r="E359" s="41">
        <v>1.4799741004532421E-3</v>
      </c>
    </row>
    <row r="360" spans="2:5" ht="15" customHeight="1">
      <c r="B360" s="84"/>
      <c r="C360" s="43" t="s">
        <v>202</v>
      </c>
      <c r="D360" s="42">
        <v>53</v>
      </c>
      <c r="E360" s="41">
        <v>1.6341380692504548E-3</v>
      </c>
    </row>
    <row r="361" spans="2:5" ht="15" customHeight="1">
      <c r="B361" s="84"/>
      <c r="C361" s="43" t="s">
        <v>201</v>
      </c>
      <c r="D361" s="42">
        <v>519</v>
      </c>
      <c r="E361" s="41">
        <v>1.6002219961150681E-2</v>
      </c>
    </row>
    <row r="362" spans="2:5" ht="15" customHeight="1">
      <c r="B362" s="84"/>
      <c r="C362" s="43" t="s">
        <v>200</v>
      </c>
      <c r="D362" s="42">
        <v>9</v>
      </c>
      <c r="E362" s="41">
        <v>2.7749514383498288E-4</v>
      </c>
    </row>
    <row r="363" spans="2:5" ht="15" customHeight="1">
      <c r="B363" s="84"/>
      <c r="C363" s="43" t="s">
        <v>199</v>
      </c>
      <c r="D363" s="42">
        <v>54</v>
      </c>
      <c r="E363" s="41">
        <v>1.6649708630098973E-3</v>
      </c>
    </row>
    <row r="364" spans="2:5" ht="15" customHeight="1">
      <c r="B364" s="84"/>
      <c r="C364" s="43" t="s">
        <v>198</v>
      </c>
      <c r="D364" s="42">
        <v>241</v>
      </c>
      <c r="E364" s="41">
        <v>7.4307032960256531E-3</v>
      </c>
    </row>
    <row r="365" spans="2:5" ht="15" customHeight="1">
      <c r="B365" s="84"/>
      <c r="C365" s="43" t="s">
        <v>196</v>
      </c>
      <c r="D365" s="42">
        <v>3</v>
      </c>
      <c r="E365" s="41">
        <v>9.249838127832763E-5</v>
      </c>
    </row>
    <row r="366" spans="2:5" ht="15" customHeight="1">
      <c r="B366" s="84"/>
      <c r="C366" s="43" t="s">
        <v>195</v>
      </c>
      <c r="D366" s="42">
        <v>1</v>
      </c>
      <c r="E366" s="41">
        <v>3.0832793759442546E-5</v>
      </c>
    </row>
    <row r="367" spans="2:5" ht="15" customHeight="1">
      <c r="B367" s="84"/>
      <c r="C367" s="43" t="s">
        <v>193</v>
      </c>
      <c r="D367" s="42">
        <v>9</v>
      </c>
      <c r="E367" s="41">
        <v>2.7749514383498288E-4</v>
      </c>
    </row>
    <row r="368" spans="2:5" ht="15" customHeight="1">
      <c r="B368" s="84"/>
      <c r="C368" s="43" t="s">
        <v>192</v>
      </c>
      <c r="D368" s="42">
        <v>18</v>
      </c>
      <c r="E368" s="41">
        <v>5.5499028766996575E-4</v>
      </c>
    </row>
    <row r="369" spans="2:5" ht="15" customHeight="1">
      <c r="B369" s="84"/>
      <c r="C369" s="43" t="s">
        <v>217</v>
      </c>
      <c r="D369" s="42">
        <v>4</v>
      </c>
      <c r="E369" s="41">
        <v>1.2333117503777018E-4</v>
      </c>
    </row>
    <row r="370" spans="2:5" ht="15" customHeight="1">
      <c r="B370" s="84"/>
      <c r="C370" s="43" t="s">
        <v>190</v>
      </c>
      <c r="D370" s="42">
        <v>2</v>
      </c>
      <c r="E370" s="41">
        <v>6.1665587518885091E-5</v>
      </c>
    </row>
    <row r="371" spans="2:5" ht="15" customHeight="1">
      <c r="B371" s="85"/>
      <c r="C371" s="40" t="s">
        <v>23</v>
      </c>
      <c r="D371" s="39">
        <v>1391</v>
      </c>
      <c r="E371" s="38">
        <v>4.2888416119384577E-2</v>
      </c>
    </row>
    <row r="372" spans="2:5" ht="15" customHeight="1">
      <c r="B372" s="83" t="s">
        <v>220</v>
      </c>
      <c r="C372" s="43" t="s">
        <v>212</v>
      </c>
      <c r="D372" s="42">
        <v>9</v>
      </c>
      <c r="E372" s="41">
        <v>2.7749514383498288E-4</v>
      </c>
    </row>
    <row r="373" spans="2:5" ht="15" customHeight="1">
      <c r="B373" s="84"/>
      <c r="C373" s="43" t="s">
        <v>211</v>
      </c>
      <c r="D373" s="42">
        <v>7</v>
      </c>
      <c r="E373" s="41">
        <v>2.158295563160978E-4</v>
      </c>
    </row>
    <row r="374" spans="2:5" ht="15" customHeight="1">
      <c r="B374" s="84"/>
      <c r="C374" s="43" t="s">
        <v>210</v>
      </c>
      <c r="D374" s="42">
        <v>9</v>
      </c>
      <c r="E374" s="41">
        <v>2.7749514383498288E-4</v>
      </c>
    </row>
    <row r="375" spans="2:5" ht="15" customHeight="1">
      <c r="B375" s="84"/>
      <c r="C375" s="43" t="s">
        <v>209</v>
      </c>
      <c r="D375" s="42">
        <v>9</v>
      </c>
      <c r="E375" s="41">
        <v>2.7749514383498288E-4</v>
      </c>
    </row>
    <row r="376" spans="2:5" ht="15" customHeight="1">
      <c r="B376" s="84"/>
      <c r="C376" s="43" t="s">
        <v>208</v>
      </c>
      <c r="D376" s="42">
        <v>5</v>
      </c>
      <c r="E376" s="41">
        <v>1.5416396879721272E-4</v>
      </c>
    </row>
    <row r="377" spans="2:5" ht="15" customHeight="1">
      <c r="B377" s="84"/>
      <c r="C377" s="43" t="s">
        <v>207</v>
      </c>
      <c r="D377" s="42">
        <v>4</v>
      </c>
      <c r="E377" s="41">
        <v>1.2333117503777018E-4</v>
      </c>
    </row>
    <row r="378" spans="2:5" ht="15" customHeight="1">
      <c r="B378" s="84"/>
      <c r="C378" s="43" t="s">
        <v>206</v>
      </c>
      <c r="D378" s="42">
        <v>26</v>
      </c>
      <c r="E378" s="41">
        <v>8.0165263774550617E-4</v>
      </c>
    </row>
    <row r="379" spans="2:5" ht="15" customHeight="1">
      <c r="B379" s="84"/>
      <c r="C379" s="43" t="s">
        <v>205</v>
      </c>
      <c r="D379" s="42">
        <v>92</v>
      </c>
      <c r="E379" s="41">
        <v>2.8366170258687139E-3</v>
      </c>
    </row>
    <row r="380" spans="2:5" ht="15" customHeight="1">
      <c r="B380" s="84"/>
      <c r="C380" s="43" t="s">
        <v>204</v>
      </c>
      <c r="D380" s="42">
        <v>11</v>
      </c>
      <c r="E380" s="41">
        <v>3.3916073135386795E-4</v>
      </c>
    </row>
    <row r="381" spans="2:5" ht="15" customHeight="1">
      <c r="B381" s="84"/>
      <c r="C381" s="43" t="s">
        <v>203</v>
      </c>
      <c r="D381" s="42">
        <v>11</v>
      </c>
      <c r="E381" s="41">
        <v>3.3916073135386795E-4</v>
      </c>
    </row>
    <row r="382" spans="2:5" ht="15" customHeight="1">
      <c r="B382" s="84"/>
      <c r="C382" s="43" t="s">
        <v>202</v>
      </c>
      <c r="D382" s="42">
        <v>14</v>
      </c>
      <c r="E382" s="41">
        <v>4.316591126321956E-4</v>
      </c>
    </row>
    <row r="383" spans="2:5" ht="15" customHeight="1">
      <c r="B383" s="84"/>
      <c r="C383" s="43" t="s">
        <v>201</v>
      </c>
      <c r="D383" s="42">
        <v>158</v>
      </c>
      <c r="E383" s="41">
        <v>4.8715814139919222E-3</v>
      </c>
    </row>
    <row r="384" spans="2:5" ht="15" customHeight="1">
      <c r="B384" s="84"/>
      <c r="C384" s="43" t="s">
        <v>200</v>
      </c>
      <c r="D384" s="42">
        <v>6</v>
      </c>
      <c r="E384" s="41">
        <v>1.8499676255665526E-4</v>
      </c>
    </row>
    <row r="385" spans="2:5" ht="15" customHeight="1">
      <c r="B385" s="84"/>
      <c r="C385" s="43" t="s">
        <v>199</v>
      </c>
      <c r="D385" s="42">
        <v>24</v>
      </c>
      <c r="E385" s="41">
        <v>7.3998705022662104E-4</v>
      </c>
    </row>
    <row r="386" spans="2:5" ht="15" customHeight="1">
      <c r="B386" s="84"/>
      <c r="C386" s="43" t="s">
        <v>198</v>
      </c>
      <c r="D386" s="42">
        <v>79</v>
      </c>
      <c r="E386" s="41">
        <v>2.4357907069959611E-3</v>
      </c>
    </row>
    <row r="387" spans="2:5" ht="15" customHeight="1">
      <c r="B387" s="84"/>
      <c r="C387" s="43" t="s">
        <v>197</v>
      </c>
      <c r="D387" s="42">
        <v>2</v>
      </c>
      <c r="E387" s="41">
        <v>6.1665587518885091E-5</v>
      </c>
    </row>
    <row r="388" spans="2:5" ht="15" customHeight="1">
      <c r="B388" s="84"/>
      <c r="C388" s="43" t="s">
        <v>193</v>
      </c>
      <c r="D388" s="42">
        <v>11</v>
      </c>
      <c r="E388" s="41">
        <v>3.3916073135386795E-4</v>
      </c>
    </row>
    <row r="389" spans="2:5" ht="15" customHeight="1">
      <c r="B389" s="84"/>
      <c r="C389" s="43" t="s">
        <v>192</v>
      </c>
      <c r="D389" s="42">
        <v>10</v>
      </c>
      <c r="E389" s="41">
        <v>3.0832793759442544E-4</v>
      </c>
    </row>
    <row r="390" spans="2:5" ht="15" customHeight="1">
      <c r="B390" s="84"/>
      <c r="C390" s="43" t="s">
        <v>217</v>
      </c>
      <c r="D390" s="42">
        <v>1</v>
      </c>
      <c r="E390" s="41">
        <v>3.0832793759442546E-5</v>
      </c>
    </row>
    <row r="391" spans="2:5" ht="15" customHeight="1">
      <c r="B391" s="85"/>
      <c r="C391" s="40" t="s">
        <v>23</v>
      </c>
      <c r="D391" s="39">
        <v>488</v>
      </c>
      <c r="E391" s="38">
        <v>1.5046403354607961E-2</v>
      </c>
    </row>
    <row r="392" spans="2:5" ht="15" customHeight="1">
      <c r="B392" s="83" t="s">
        <v>219</v>
      </c>
      <c r="C392" s="43" t="s">
        <v>212</v>
      </c>
      <c r="D392" s="42">
        <v>23</v>
      </c>
      <c r="E392" s="41">
        <v>7.0915425646717847E-4</v>
      </c>
    </row>
    <row r="393" spans="2:5" ht="15" customHeight="1">
      <c r="B393" s="84"/>
      <c r="C393" s="43" t="s">
        <v>211</v>
      </c>
      <c r="D393" s="42">
        <v>10</v>
      </c>
      <c r="E393" s="41">
        <v>3.0832793759442544E-4</v>
      </c>
    </row>
    <row r="394" spans="2:5" ht="15" customHeight="1">
      <c r="B394" s="84"/>
      <c r="C394" s="43" t="s">
        <v>210</v>
      </c>
      <c r="D394" s="42">
        <v>11</v>
      </c>
      <c r="E394" s="41">
        <v>3.3916073135386795E-4</v>
      </c>
    </row>
    <row r="395" spans="2:5" ht="15" customHeight="1">
      <c r="B395" s="84"/>
      <c r="C395" s="43" t="s">
        <v>209</v>
      </c>
      <c r="D395" s="42">
        <v>30</v>
      </c>
      <c r="E395" s="41">
        <v>9.2498381278327633E-4</v>
      </c>
    </row>
    <row r="396" spans="2:5" ht="15" customHeight="1">
      <c r="B396" s="84"/>
      <c r="C396" s="43" t="s">
        <v>208</v>
      </c>
      <c r="D396" s="42">
        <v>12</v>
      </c>
      <c r="E396" s="41">
        <v>3.6999352511331052E-4</v>
      </c>
    </row>
    <row r="397" spans="2:5" ht="15" customHeight="1">
      <c r="B397" s="84"/>
      <c r="C397" s="43" t="s">
        <v>207</v>
      </c>
      <c r="D397" s="42">
        <v>21</v>
      </c>
      <c r="E397" s="41">
        <v>6.4748866894829345E-4</v>
      </c>
    </row>
    <row r="398" spans="2:5" ht="15" customHeight="1">
      <c r="B398" s="84"/>
      <c r="C398" s="43" t="s">
        <v>206</v>
      </c>
      <c r="D398" s="42">
        <v>90</v>
      </c>
      <c r="E398" s="41">
        <v>2.774951438349829E-3</v>
      </c>
    </row>
    <row r="399" spans="2:5" ht="15" customHeight="1">
      <c r="B399" s="84"/>
      <c r="C399" s="43" t="s">
        <v>205</v>
      </c>
      <c r="D399" s="42">
        <v>76</v>
      </c>
      <c r="E399" s="41">
        <v>2.3432923257176333E-3</v>
      </c>
    </row>
    <row r="400" spans="2:5" ht="15" customHeight="1">
      <c r="B400" s="84"/>
      <c r="C400" s="43" t="s">
        <v>204</v>
      </c>
      <c r="D400" s="42">
        <v>5</v>
      </c>
      <c r="E400" s="41">
        <v>1.5416396879721272E-4</v>
      </c>
    </row>
    <row r="401" spans="2:5" ht="15" customHeight="1">
      <c r="B401" s="84"/>
      <c r="C401" s="43" t="s">
        <v>203</v>
      </c>
      <c r="D401" s="42">
        <v>14</v>
      </c>
      <c r="E401" s="41">
        <v>4.316591126321956E-4</v>
      </c>
    </row>
    <row r="402" spans="2:5" ht="15" customHeight="1">
      <c r="B402" s="84"/>
      <c r="C402" s="43" t="s">
        <v>202</v>
      </c>
      <c r="D402" s="42">
        <v>29</v>
      </c>
      <c r="E402" s="41">
        <v>8.9415101902383376E-4</v>
      </c>
    </row>
    <row r="403" spans="2:5" ht="15" customHeight="1">
      <c r="B403" s="84"/>
      <c r="C403" s="43" t="s">
        <v>201</v>
      </c>
      <c r="D403" s="42">
        <v>135</v>
      </c>
      <c r="E403" s="41">
        <v>4.162427157524743E-3</v>
      </c>
    </row>
    <row r="404" spans="2:5" ht="15" customHeight="1">
      <c r="B404" s="84"/>
      <c r="C404" s="43" t="s">
        <v>200</v>
      </c>
      <c r="D404" s="42">
        <v>20</v>
      </c>
      <c r="E404" s="41">
        <v>6.1665587518885089E-4</v>
      </c>
    </row>
    <row r="405" spans="2:5" ht="15" customHeight="1">
      <c r="B405" s="84"/>
      <c r="C405" s="43" t="s">
        <v>199</v>
      </c>
      <c r="D405" s="42">
        <v>8</v>
      </c>
      <c r="E405" s="41">
        <v>2.4666235007554037E-4</v>
      </c>
    </row>
    <row r="406" spans="2:5" ht="15" customHeight="1">
      <c r="B406" s="84"/>
      <c r="C406" s="43" t="s">
        <v>198</v>
      </c>
      <c r="D406" s="42">
        <v>101</v>
      </c>
      <c r="E406" s="41">
        <v>3.1141121697036969E-3</v>
      </c>
    </row>
    <row r="407" spans="2:5" ht="15" customHeight="1">
      <c r="B407" s="84"/>
      <c r="C407" s="43" t="s">
        <v>197</v>
      </c>
      <c r="D407" s="42">
        <v>2</v>
      </c>
      <c r="E407" s="41">
        <v>6.1665587518885091E-5</v>
      </c>
    </row>
    <row r="408" spans="2:5" ht="15" customHeight="1">
      <c r="B408" s="84"/>
      <c r="C408" s="43" t="s">
        <v>196</v>
      </c>
      <c r="D408" s="42">
        <v>2</v>
      </c>
      <c r="E408" s="41">
        <v>6.1665587518885091E-5</v>
      </c>
    </row>
    <row r="409" spans="2:5" ht="15" customHeight="1">
      <c r="B409" s="84"/>
      <c r="C409" s="43" t="s">
        <v>195</v>
      </c>
      <c r="D409" s="42">
        <v>1</v>
      </c>
      <c r="E409" s="41">
        <v>3.0832793759442546E-5</v>
      </c>
    </row>
    <row r="410" spans="2:5" ht="15" customHeight="1">
      <c r="B410" s="84"/>
      <c r="C410" s="43" t="s">
        <v>193</v>
      </c>
      <c r="D410" s="42">
        <v>2</v>
      </c>
      <c r="E410" s="41">
        <v>6.1665587518885091E-5</v>
      </c>
    </row>
    <row r="411" spans="2:5" ht="15" customHeight="1">
      <c r="B411" s="84"/>
      <c r="C411" s="43" t="s">
        <v>192</v>
      </c>
      <c r="D411" s="42">
        <v>19</v>
      </c>
      <c r="E411" s="41">
        <v>5.8582308142940832E-4</v>
      </c>
    </row>
    <row r="412" spans="2:5" ht="15" customHeight="1">
      <c r="B412" s="85"/>
      <c r="C412" s="40" t="s">
        <v>23</v>
      </c>
      <c r="D412" s="39">
        <v>611</v>
      </c>
      <c r="E412" s="38">
        <v>1.8838836987019394E-2</v>
      </c>
    </row>
    <row r="413" spans="2:5" ht="15" customHeight="1">
      <c r="B413" s="83" t="s">
        <v>97</v>
      </c>
      <c r="C413" s="43" t="s">
        <v>212</v>
      </c>
      <c r="D413" s="42">
        <v>6</v>
      </c>
      <c r="E413" s="41">
        <v>1.8499676255665526E-4</v>
      </c>
    </row>
    <row r="414" spans="2:5" ht="15" customHeight="1">
      <c r="B414" s="84"/>
      <c r="C414" s="43" t="s">
        <v>211</v>
      </c>
      <c r="D414" s="42">
        <v>6</v>
      </c>
      <c r="E414" s="41">
        <v>1.8499676255665526E-4</v>
      </c>
    </row>
    <row r="415" spans="2:5" ht="15" customHeight="1">
      <c r="B415" s="84"/>
      <c r="C415" s="43" t="s">
        <v>210</v>
      </c>
      <c r="D415" s="42">
        <v>5</v>
      </c>
      <c r="E415" s="41">
        <v>1.5416396879721272E-4</v>
      </c>
    </row>
    <row r="416" spans="2:5" ht="15" customHeight="1">
      <c r="B416" s="84"/>
      <c r="C416" s="43" t="s">
        <v>209</v>
      </c>
      <c r="D416" s="42">
        <v>4</v>
      </c>
      <c r="E416" s="41">
        <v>1.2333117503777018E-4</v>
      </c>
    </row>
    <row r="417" spans="2:5" ht="15" customHeight="1">
      <c r="B417" s="84"/>
      <c r="C417" s="43" t="s">
        <v>208</v>
      </c>
      <c r="D417" s="42">
        <v>7</v>
      </c>
      <c r="E417" s="41">
        <v>2.158295563160978E-4</v>
      </c>
    </row>
    <row r="418" spans="2:5" ht="15" customHeight="1">
      <c r="B418" s="84"/>
      <c r="C418" s="43" t="s">
        <v>207</v>
      </c>
      <c r="D418" s="42">
        <v>12</v>
      </c>
      <c r="E418" s="41">
        <v>3.6999352511331052E-4</v>
      </c>
    </row>
    <row r="419" spans="2:5" ht="15" customHeight="1">
      <c r="B419" s="84"/>
      <c r="C419" s="43" t="s">
        <v>206</v>
      </c>
      <c r="D419" s="42">
        <v>31</v>
      </c>
      <c r="E419" s="41">
        <v>9.5581660654271879E-4</v>
      </c>
    </row>
    <row r="420" spans="2:5" ht="15" customHeight="1">
      <c r="B420" s="84"/>
      <c r="C420" s="43" t="s">
        <v>205</v>
      </c>
      <c r="D420" s="42">
        <v>41</v>
      </c>
      <c r="E420" s="41">
        <v>1.2641445441371442E-3</v>
      </c>
    </row>
    <row r="421" spans="2:5" ht="15" customHeight="1">
      <c r="B421" s="84"/>
      <c r="C421" s="43" t="s">
        <v>204</v>
      </c>
      <c r="D421" s="42">
        <v>8</v>
      </c>
      <c r="E421" s="41">
        <v>2.4666235007554037E-4</v>
      </c>
    </row>
    <row r="422" spans="2:5" ht="15" customHeight="1">
      <c r="B422" s="84"/>
      <c r="C422" s="43" t="s">
        <v>203</v>
      </c>
      <c r="D422" s="42">
        <v>17</v>
      </c>
      <c r="E422" s="41">
        <v>5.2415749391052319E-4</v>
      </c>
    </row>
    <row r="423" spans="2:5" ht="15" customHeight="1">
      <c r="B423" s="84"/>
      <c r="C423" s="43" t="s">
        <v>202</v>
      </c>
      <c r="D423" s="42">
        <v>20</v>
      </c>
      <c r="E423" s="41">
        <v>6.1665587518885089E-4</v>
      </c>
    </row>
    <row r="424" spans="2:5" ht="15" customHeight="1">
      <c r="B424" s="84"/>
      <c r="C424" s="43" t="s">
        <v>201</v>
      </c>
      <c r="D424" s="42">
        <v>86</v>
      </c>
      <c r="E424" s="41">
        <v>2.6516202633120587E-3</v>
      </c>
    </row>
    <row r="425" spans="2:5" ht="15" customHeight="1">
      <c r="B425" s="84"/>
      <c r="C425" s="43" t="s">
        <v>199</v>
      </c>
      <c r="D425" s="42">
        <v>12</v>
      </c>
      <c r="E425" s="41">
        <v>3.6999352511331052E-4</v>
      </c>
    </row>
    <row r="426" spans="2:5" ht="15" customHeight="1">
      <c r="B426" s="84"/>
      <c r="C426" s="43" t="s">
        <v>198</v>
      </c>
      <c r="D426" s="42">
        <v>32</v>
      </c>
      <c r="E426" s="41">
        <v>9.8664940030216146E-4</v>
      </c>
    </row>
    <row r="427" spans="2:5" ht="15" customHeight="1">
      <c r="B427" s="84"/>
      <c r="C427" s="43" t="s">
        <v>193</v>
      </c>
      <c r="D427" s="42">
        <v>3</v>
      </c>
      <c r="E427" s="41">
        <v>9.249838127832763E-5</v>
      </c>
    </row>
    <row r="428" spans="2:5" ht="15" customHeight="1">
      <c r="B428" s="84"/>
      <c r="C428" s="43" t="s">
        <v>192</v>
      </c>
      <c r="D428" s="42">
        <v>4</v>
      </c>
      <c r="E428" s="41">
        <v>1.2333117503777018E-4</v>
      </c>
    </row>
    <row r="429" spans="2:5" ht="15" customHeight="1">
      <c r="B429" s="85"/>
      <c r="C429" s="40" t="s">
        <v>23</v>
      </c>
      <c r="D429" s="39">
        <v>294</v>
      </c>
      <c r="E429" s="38">
        <v>9.0648413652761068E-3</v>
      </c>
    </row>
    <row r="430" spans="2:5" ht="15" customHeight="1">
      <c r="B430" s="83" t="s">
        <v>96</v>
      </c>
      <c r="C430" s="43" t="s">
        <v>212</v>
      </c>
      <c r="D430" s="42">
        <v>2</v>
      </c>
      <c r="E430" s="41">
        <v>6.1665587518885091E-5</v>
      </c>
    </row>
    <row r="431" spans="2:5" ht="15" customHeight="1">
      <c r="B431" s="84"/>
      <c r="C431" s="43" t="s">
        <v>211</v>
      </c>
      <c r="D431" s="42">
        <v>1</v>
      </c>
      <c r="E431" s="41">
        <v>3.0832793759442546E-5</v>
      </c>
    </row>
    <row r="432" spans="2:5" ht="15" customHeight="1">
      <c r="B432" s="84"/>
      <c r="C432" s="43" t="s">
        <v>209</v>
      </c>
      <c r="D432" s="42">
        <v>1</v>
      </c>
      <c r="E432" s="41">
        <v>3.0832793759442546E-5</v>
      </c>
    </row>
    <row r="433" spans="2:5" ht="15" customHeight="1">
      <c r="B433" s="84"/>
      <c r="C433" s="43" t="s">
        <v>208</v>
      </c>
      <c r="D433" s="42">
        <v>1</v>
      </c>
      <c r="E433" s="41">
        <v>3.0832793759442546E-5</v>
      </c>
    </row>
    <row r="434" spans="2:5" ht="15" customHeight="1">
      <c r="B434" s="84"/>
      <c r="C434" s="43" t="s">
        <v>207</v>
      </c>
      <c r="D434" s="42">
        <v>1</v>
      </c>
      <c r="E434" s="41">
        <v>3.0832793759442546E-5</v>
      </c>
    </row>
    <row r="435" spans="2:5" ht="15" customHeight="1">
      <c r="B435" s="84"/>
      <c r="C435" s="43" t="s">
        <v>206</v>
      </c>
      <c r="D435" s="42">
        <v>6</v>
      </c>
      <c r="E435" s="41">
        <v>1.8499676255665526E-4</v>
      </c>
    </row>
    <row r="436" spans="2:5" ht="15" customHeight="1">
      <c r="B436" s="84"/>
      <c r="C436" s="43" t="s">
        <v>205</v>
      </c>
      <c r="D436" s="42">
        <v>10</v>
      </c>
      <c r="E436" s="41">
        <v>3.0832793759442544E-4</v>
      </c>
    </row>
    <row r="437" spans="2:5" ht="15" customHeight="1">
      <c r="B437" s="84"/>
      <c r="C437" s="43" t="s">
        <v>203</v>
      </c>
      <c r="D437" s="42">
        <v>1</v>
      </c>
      <c r="E437" s="41">
        <v>3.0832793759442546E-5</v>
      </c>
    </row>
    <row r="438" spans="2:5" ht="15" customHeight="1">
      <c r="B438" s="84"/>
      <c r="C438" s="43" t="s">
        <v>202</v>
      </c>
      <c r="D438" s="42">
        <v>1</v>
      </c>
      <c r="E438" s="41">
        <v>3.0832793759442546E-5</v>
      </c>
    </row>
    <row r="439" spans="2:5" ht="15" customHeight="1">
      <c r="B439" s="84"/>
      <c r="C439" s="43" t="s">
        <v>201</v>
      </c>
      <c r="D439" s="42">
        <v>33</v>
      </c>
      <c r="E439" s="41">
        <v>1.0174821940616039E-3</v>
      </c>
    </row>
    <row r="440" spans="2:5" ht="15" customHeight="1">
      <c r="B440" s="84"/>
      <c r="C440" s="43" t="s">
        <v>200</v>
      </c>
      <c r="D440" s="42">
        <v>2</v>
      </c>
      <c r="E440" s="41">
        <v>6.1665587518885091E-5</v>
      </c>
    </row>
    <row r="441" spans="2:5" ht="15" customHeight="1">
      <c r="B441" s="84"/>
      <c r="C441" s="43" t="s">
        <v>199</v>
      </c>
      <c r="D441" s="42">
        <v>5</v>
      </c>
      <c r="E441" s="41">
        <v>1.5416396879721272E-4</v>
      </c>
    </row>
    <row r="442" spans="2:5" ht="15" customHeight="1">
      <c r="B442" s="84"/>
      <c r="C442" s="43" t="s">
        <v>198</v>
      </c>
      <c r="D442" s="42">
        <v>17</v>
      </c>
      <c r="E442" s="41">
        <v>5.2415749391052319E-4</v>
      </c>
    </row>
    <row r="443" spans="2:5" ht="15" customHeight="1">
      <c r="B443" s="84"/>
      <c r="C443" s="43" t="s">
        <v>193</v>
      </c>
      <c r="D443" s="42">
        <v>3</v>
      </c>
      <c r="E443" s="41">
        <v>9.249838127832763E-5</v>
      </c>
    </row>
    <row r="444" spans="2:5" ht="15" customHeight="1">
      <c r="B444" s="84"/>
      <c r="C444" s="43" t="s">
        <v>192</v>
      </c>
      <c r="D444" s="42">
        <v>2</v>
      </c>
      <c r="E444" s="41">
        <v>6.1665587518885091E-5</v>
      </c>
    </row>
    <row r="445" spans="2:5" ht="15" customHeight="1">
      <c r="B445" s="85"/>
      <c r="C445" s="40" t="s">
        <v>23</v>
      </c>
      <c r="D445" s="39">
        <v>86</v>
      </c>
      <c r="E445" s="38">
        <v>2.6516202633120587E-3</v>
      </c>
    </row>
    <row r="446" spans="2:5" ht="15" customHeight="1">
      <c r="B446" s="83" t="s">
        <v>89</v>
      </c>
      <c r="C446" s="43" t="s">
        <v>212</v>
      </c>
      <c r="D446" s="42">
        <v>7</v>
      </c>
      <c r="E446" s="41">
        <v>2.158295563160978E-4</v>
      </c>
    </row>
    <row r="447" spans="2:5" ht="15" customHeight="1">
      <c r="B447" s="84"/>
      <c r="C447" s="43" t="s">
        <v>211</v>
      </c>
      <c r="D447" s="42">
        <v>4</v>
      </c>
      <c r="E447" s="41">
        <v>1.2333117503777018E-4</v>
      </c>
    </row>
    <row r="448" spans="2:5" ht="15" customHeight="1">
      <c r="B448" s="84"/>
      <c r="C448" s="43" t="s">
        <v>210</v>
      </c>
      <c r="D448" s="42">
        <v>7</v>
      </c>
      <c r="E448" s="41">
        <v>2.158295563160978E-4</v>
      </c>
    </row>
    <row r="449" spans="2:5" ht="15" customHeight="1">
      <c r="B449" s="84"/>
      <c r="C449" s="43" t="s">
        <v>209</v>
      </c>
      <c r="D449" s="42">
        <v>15</v>
      </c>
      <c r="E449" s="41">
        <v>4.6249190639163816E-4</v>
      </c>
    </row>
    <row r="450" spans="2:5" ht="15" customHeight="1">
      <c r="B450" s="84"/>
      <c r="C450" s="43" t="s">
        <v>208</v>
      </c>
      <c r="D450" s="42">
        <v>9</v>
      </c>
      <c r="E450" s="41">
        <v>2.7749514383498288E-4</v>
      </c>
    </row>
    <row r="451" spans="2:5" ht="15" customHeight="1">
      <c r="B451" s="84"/>
      <c r="C451" s="43" t="s">
        <v>207</v>
      </c>
      <c r="D451" s="42">
        <v>15</v>
      </c>
      <c r="E451" s="41">
        <v>4.6249190639163816E-4</v>
      </c>
    </row>
    <row r="452" spans="2:5" ht="15" customHeight="1">
      <c r="B452" s="84"/>
      <c r="C452" s="43" t="s">
        <v>206</v>
      </c>
      <c r="D452" s="42">
        <v>40</v>
      </c>
      <c r="E452" s="41">
        <v>1.2333117503777018E-3</v>
      </c>
    </row>
    <row r="453" spans="2:5" ht="15" customHeight="1">
      <c r="B453" s="84"/>
      <c r="C453" s="43" t="s">
        <v>205</v>
      </c>
      <c r="D453" s="42">
        <v>72</v>
      </c>
      <c r="E453" s="41">
        <v>2.219961150679863E-3</v>
      </c>
    </row>
    <row r="454" spans="2:5" ht="15" customHeight="1">
      <c r="B454" s="84"/>
      <c r="C454" s="43" t="s">
        <v>204</v>
      </c>
      <c r="D454" s="42">
        <v>8</v>
      </c>
      <c r="E454" s="41">
        <v>2.4666235007554037E-4</v>
      </c>
    </row>
    <row r="455" spans="2:5" ht="15" customHeight="1">
      <c r="B455" s="84"/>
      <c r="C455" s="43" t="s">
        <v>203</v>
      </c>
      <c r="D455" s="42">
        <v>13</v>
      </c>
      <c r="E455" s="41">
        <v>4.0082631887275309E-4</v>
      </c>
    </row>
    <row r="456" spans="2:5" ht="15" customHeight="1">
      <c r="B456" s="84"/>
      <c r="C456" s="43" t="s">
        <v>202</v>
      </c>
      <c r="D456" s="42">
        <v>17</v>
      </c>
      <c r="E456" s="41">
        <v>5.2415749391052319E-4</v>
      </c>
    </row>
    <row r="457" spans="2:5" ht="15" customHeight="1">
      <c r="B457" s="84"/>
      <c r="C457" s="43" t="s">
        <v>201</v>
      </c>
      <c r="D457" s="42">
        <v>154</v>
      </c>
      <c r="E457" s="41">
        <v>4.7482502389541515E-3</v>
      </c>
    </row>
    <row r="458" spans="2:5" ht="15" customHeight="1">
      <c r="B458" s="84"/>
      <c r="C458" s="43" t="s">
        <v>200</v>
      </c>
      <c r="D458" s="42">
        <v>11</v>
      </c>
      <c r="E458" s="41">
        <v>3.3916073135386795E-4</v>
      </c>
    </row>
    <row r="459" spans="2:5" ht="15" customHeight="1">
      <c r="B459" s="84"/>
      <c r="C459" s="43" t="s">
        <v>199</v>
      </c>
      <c r="D459" s="42">
        <v>25</v>
      </c>
      <c r="E459" s="41">
        <v>7.7081984398606361E-4</v>
      </c>
    </row>
    <row r="460" spans="2:5" ht="15" customHeight="1">
      <c r="B460" s="84"/>
      <c r="C460" s="43" t="s">
        <v>198</v>
      </c>
      <c r="D460" s="42">
        <v>63</v>
      </c>
      <c r="E460" s="41">
        <v>1.9424660068448802E-3</v>
      </c>
    </row>
    <row r="461" spans="2:5" ht="15" customHeight="1">
      <c r="B461" s="84"/>
      <c r="C461" s="43" t="s">
        <v>193</v>
      </c>
      <c r="D461" s="42">
        <v>7</v>
      </c>
      <c r="E461" s="41">
        <v>2.158295563160978E-4</v>
      </c>
    </row>
    <row r="462" spans="2:5" ht="15" customHeight="1">
      <c r="B462" s="84"/>
      <c r="C462" s="43" t="s">
        <v>192</v>
      </c>
      <c r="D462" s="42">
        <v>4</v>
      </c>
      <c r="E462" s="41">
        <v>1.2333117503777018E-4</v>
      </c>
    </row>
    <row r="463" spans="2:5" ht="15" customHeight="1">
      <c r="B463" s="84"/>
      <c r="C463" s="43" t="s">
        <v>189</v>
      </c>
      <c r="D463" s="42">
        <v>1</v>
      </c>
      <c r="E463" s="41">
        <v>3.0832793759442546E-5</v>
      </c>
    </row>
    <row r="464" spans="2:5" ht="15" customHeight="1">
      <c r="B464" s="85"/>
      <c r="C464" s="40" t="s">
        <v>23</v>
      </c>
      <c r="D464" s="39">
        <v>472</v>
      </c>
      <c r="E464" s="38">
        <v>1.455307865445688E-2</v>
      </c>
    </row>
    <row r="465" spans="2:5" ht="15" customHeight="1">
      <c r="B465" s="83" t="s">
        <v>118</v>
      </c>
      <c r="C465" s="43" t="s">
        <v>212</v>
      </c>
      <c r="D465" s="42">
        <v>1</v>
      </c>
      <c r="E465" s="41">
        <v>3.0832793759442546E-5</v>
      </c>
    </row>
    <row r="466" spans="2:5" ht="15" customHeight="1">
      <c r="B466" s="84"/>
      <c r="C466" s="43" t="s">
        <v>211</v>
      </c>
      <c r="D466" s="42">
        <v>1</v>
      </c>
      <c r="E466" s="41">
        <v>3.0832793759442546E-5</v>
      </c>
    </row>
    <row r="467" spans="2:5" ht="15" customHeight="1">
      <c r="B467" s="84"/>
      <c r="C467" s="43" t="s">
        <v>210</v>
      </c>
      <c r="D467" s="42">
        <v>1</v>
      </c>
      <c r="E467" s="41">
        <v>3.0832793759442546E-5</v>
      </c>
    </row>
    <row r="468" spans="2:5" ht="15" customHeight="1">
      <c r="B468" s="84"/>
      <c r="C468" s="43" t="s">
        <v>209</v>
      </c>
      <c r="D468" s="42">
        <v>3</v>
      </c>
      <c r="E468" s="41">
        <v>9.249838127832763E-5</v>
      </c>
    </row>
    <row r="469" spans="2:5" ht="15" customHeight="1">
      <c r="B469" s="84"/>
      <c r="C469" s="43" t="s">
        <v>208</v>
      </c>
      <c r="D469" s="42">
        <v>1</v>
      </c>
      <c r="E469" s="41">
        <v>3.0832793759442546E-5</v>
      </c>
    </row>
    <row r="470" spans="2:5" ht="15" customHeight="1">
      <c r="B470" s="84"/>
      <c r="C470" s="43" t="s">
        <v>207</v>
      </c>
      <c r="D470" s="42">
        <v>1</v>
      </c>
      <c r="E470" s="41">
        <v>3.0832793759442546E-5</v>
      </c>
    </row>
    <row r="471" spans="2:5" ht="15" customHeight="1">
      <c r="B471" s="84"/>
      <c r="C471" s="43" t="s">
        <v>206</v>
      </c>
      <c r="D471" s="42">
        <v>8</v>
      </c>
      <c r="E471" s="41">
        <v>2.4666235007554037E-4</v>
      </c>
    </row>
    <row r="472" spans="2:5" ht="15" customHeight="1">
      <c r="B472" s="84"/>
      <c r="C472" s="43" t="s">
        <v>205</v>
      </c>
      <c r="D472" s="42">
        <v>8</v>
      </c>
      <c r="E472" s="41">
        <v>2.4666235007554037E-4</v>
      </c>
    </row>
    <row r="473" spans="2:5" ht="15" customHeight="1">
      <c r="B473" s="84"/>
      <c r="C473" s="43" t="s">
        <v>203</v>
      </c>
      <c r="D473" s="42">
        <v>5</v>
      </c>
      <c r="E473" s="41">
        <v>1.5416396879721272E-4</v>
      </c>
    </row>
    <row r="474" spans="2:5" ht="15" customHeight="1">
      <c r="B474" s="84"/>
      <c r="C474" s="43" t="s">
        <v>202</v>
      </c>
      <c r="D474" s="42">
        <v>5</v>
      </c>
      <c r="E474" s="41">
        <v>1.5416396879721272E-4</v>
      </c>
    </row>
    <row r="475" spans="2:5" ht="15" customHeight="1">
      <c r="B475" s="84"/>
      <c r="C475" s="43" t="s">
        <v>201</v>
      </c>
      <c r="D475" s="42">
        <v>41</v>
      </c>
      <c r="E475" s="41">
        <v>1.2641445441371442E-3</v>
      </c>
    </row>
    <row r="476" spans="2:5" ht="15" customHeight="1">
      <c r="B476" s="84"/>
      <c r="C476" s="43" t="s">
        <v>200</v>
      </c>
      <c r="D476" s="42">
        <v>1</v>
      </c>
      <c r="E476" s="41">
        <v>3.0832793759442546E-5</v>
      </c>
    </row>
    <row r="477" spans="2:5" ht="15" customHeight="1">
      <c r="B477" s="84"/>
      <c r="C477" s="43" t="s">
        <v>199</v>
      </c>
      <c r="D477" s="42">
        <v>5</v>
      </c>
      <c r="E477" s="41">
        <v>1.5416396879721272E-4</v>
      </c>
    </row>
    <row r="478" spans="2:5" ht="15" customHeight="1">
      <c r="B478" s="84"/>
      <c r="C478" s="43" t="s">
        <v>198</v>
      </c>
      <c r="D478" s="42">
        <v>16</v>
      </c>
      <c r="E478" s="41">
        <v>4.9332470015108073E-4</v>
      </c>
    </row>
    <row r="479" spans="2:5" ht="15" customHeight="1">
      <c r="B479" s="84"/>
      <c r="C479" s="43" t="s">
        <v>197</v>
      </c>
      <c r="D479" s="42">
        <v>1</v>
      </c>
      <c r="E479" s="41">
        <v>3.0832793759442546E-5</v>
      </c>
    </row>
    <row r="480" spans="2:5" ht="15" customHeight="1">
      <c r="B480" s="84"/>
      <c r="C480" s="43" t="s">
        <v>194</v>
      </c>
      <c r="D480" s="42">
        <v>2</v>
      </c>
      <c r="E480" s="41">
        <v>6.1665587518885091E-5</v>
      </c>
    </row>
    <row r="481" spans="2:5" ht="15" customHeight="1">
      <c r="B481" s="84"/>
      <c r="C481" s="43" t="s">
        <v>193</v>
      </c>
      <c r="D481" s="42">
        <v>3</v>
      </c>
      <c r="E481" s="41">
        <v>9.249838127832763E-5</v>
      </c>
    </row>
    <row r="482" spans="2:5" ht="15" customHeight="1">
      <c r="B482" s="84"/>
      <c r="C482" s="43" t="s">
        <v>192</v>
      </c>
      <c r="D482" s="42">
        <v>1</v>
      </c>
      <c r="E482" s="41">
        <v>3.0832793759442546E-5</v>
      </c>
    </row>
    <row r="483" spans="2:5" ht="15" customHeight="1">
      <c r="B483" s="85"/>
      <c r="C483" s="40" t="s">
        <v>23</v>
      </c>
      <c r="D483" s="39">
        <v>104</v>
      </c>
      <c r="E483" s="38">
        <v>3.2066105509820247E-3</v>
      </c>
    </row>
    <row r="484" spans="2:5" ht="15" customHeight="1">
      <c r="B484" s="83" t="s">
        <v>91</v>
      </c>
      <c r="C484" s="43" t="s">
        <v>211</v>
      </c>
      <c r="D484" s="42">
        <v>2</v>
      </c>
      <c r="E484" s="41">
        <v>6.1665587518885091E-5</v>
      </c>
    </row>
    <row r="485" spans="2:5" ht="15" customHeight="1">
      <c r="B485" s="84"/>
      <c r="C485" s="43" t="s">
        <v>210</v>
      </c>
      <c r="D485" s="42">
        <v>1</v>
      </c>
      <c r="E485" s="41">
        <v>3.0832793759442546E-5</v>
      </c>
    </row>
    <row r="486" spans="2:5" ht="15" customHeight="1">
      <c r="B486" s="84"/>
      <c r="C486" s="43" t="s">
        <v>209</v>
      </c>
      <c r="D486" s="42">
        <v>4</v>
      </c>
      <c r="E486" s="41">
        <v>1.2333117503777018E-4</v>
      </c>
    </row>
    <row r="487" spans="2:5" ht="15" customHeight="1">
      <c r="B487" s="84"/>
      <c r="C487" s="43" t="s">
        <v>208</v>
      </c>
      <c r="D487" s="42">
        <v>4</v>
      </c>
      <c r="E487" s="41">
        <v>1.2333117503777018E-4</v>
      </c>
    </row>
    <row r="488" spans="2:5" ht="15" customHeight="1">
      <c r="B488" s="84"/>
      <c r="C488" s="43" t="s">
        <v>207</v>
      </c>
      <c r="D488" s="42">
        <v>6</v>
      </c>
      <c r="E488" s="41">
        <v>1.8499676255665526E-4</v>
      </c>
    </row>
    <row r="489" spans="2:5" ht="15" customHeight="1">
      <c r="B489" s="84"/>
      <c r="C489" s="43" t="s">
        <v>206</v>
      </c>
      <c r="D489" s="42">
        <v>17</v>
      </c>
      <c r="E489" s="41">
        <v>5.2415749391052319E-4</v>
      </c>
    </row>
    <row r="490" spans="2:5" ht="15" customHeight="1">
      <c r="B490" s="84"/>
      <c r="C490" s="43" t="s">
        <v>205</v>
      </c>
      <c r="D490" s="42">
        <v>29</v>
      </c>
      <c r="E490" s="41">
        <v>8.9415101902383376E-4</v>
      </c>
    </row>
    <row r="491" spans="2:5" ht="15" customHeight="1">
      <c r="B491" s="84"/>
      <c r="C491" s="43" t="s">
        <v>204</v>
      </c>
      <c r="D491" s="42">
        <v>4</v>
      </c>
      <c r="E491" s="41">
        <v>1.2333117503777018E-4</v>
      </c>
    </row>
    <row r="492" spans="2:5" ht="15" customHeight="1">
      <c r="B492" s="84"/>
      <c r="C492" s="43" t="s">
        <v>203</v>
      </c>
      <c r="D492" s="42">
        <v>5</v>
      </c>
      <c r="E492" s="41">
        <v>1.5416396879721272E-4</v>
      </c>
    </row>
    <row r="493" spans="2:5" ht="15" customHeight="1">
      <c r="B493" s="84"/>
      <c r="C493" s="43" t="s">
        <v>202</v>
      </c>
      <c r="D493" s="42">
        <v>10</v>
      </c>
      <c r="E493" s="41">
        <v>3.0832793759442544E-4</v>
      </c>
    </row>
    <row r="494" spans="2:5" ht="15" customHeight="1">
      <c r="B494" s="84"/>
      <c r="C494" s="43" t="s">
        <v>201</v>
      </c>
      <c r="D494" s="42">
        <v>76</v>
      </c>
      <c r="E494" s="41">
        <v>2.3432923257176333E-3</v>
      </c>
    </row>
    <row r="495" spans="2:5" ht="15" customHeight="1">
      <c r="B495" s="84"/>
      <c r="C495" s="43" t="s">
        <v>200</v>
      </c>
      <c r="D495" s="42">
        <v>4</v>
      </c>
      <c r="E495" s="41">
        <v>1.2333117503777018E-4</v>
      </c>
    </row>
    <row r="496" spans="2:5" ht="15" customHeight="1">
      <c r="B496" s="84"/>
      <c r="C496" s="43" t="s">
        <v>199</v>
      </c>
      <c r="D496" s="42">
        <v>9</v>
      </c>
      <c r="E496" s="41">
        <v>2.7749514383498288E-4</v>
      </c>
    </row>
    <row r="497" spans="2:5" ht="15" customHeight="1">
      <c r="B497" s="84"/>
      <c r="C497" s="43" t="s">
        <v>198</v>
      </c>
      <c r="D497" s="42">
        <v>21</v>
      </c>
      <c r="E497" s="41">
        <v>6.4748866894829345E-4</v>
      </c>
    </row>
    <row r="498" spans="2:5" ht="15" customHeight="1">
      <c r="B498" s="84"/>
      <c r="C498" s="43" t="s">
        <v>196</v>
      </c>
      <c r="D498" s="42">
        <v>1</v>
      </c>
      <c r="E498" s="41">
        <v>3.0832793759442546E-5</v>
      </c>
    </row>
    <row r="499" spans="2:5" ht="15" customHeight="1">
      <c r="B499" s="84"/>
      <c r="C499" s="43" t="s">
        <v>195</v>
      </c>
      <c r="D499" s="42">
        <v>1</v>
      </c>
      <c r="E499" s="41">
        <v>3.0832793759442546E-5</v>
      </c>
    </row>
    <row r="500" spans="2:5" ht="15" customHeight="1">
      <c r="B500" s="84"/>
      <c r="C500" s="43" t="s">
        <v>193</v>
      </c>
      <c r="D500" s="42">
        <v>2</v>
      </c>
      <c r="E500" s="41">
        <v>6.1665587518885091E-5</v>
      </c>
    </row>
    <row r="501" spans="2:5" ht="15" customHeight="1">
      <c r="B501" s="84"/>
      <c r="C501" s="43" t="s">
        <v>192</v>
      </c>
      <c r="D501" s="42">
        <v>5</v>
      </c>
      <c r="E501" s="41">
        <v>1.5416396879721272E-4</v>
      </c>
    </row>
    <row r="502" spans="2:5" ht="15" customHeight="1">
      <c r="B502" s="84"/>
      <c r="C502" s="43" t="s">
        <v>217</v>
      </c>
      <c r="D502" s="42">
        <v>1</v>
      </c>
      <c r="E502" s="41">
        <v>3.0832793759442546E-5</v>
      </c>
    </row>
    <row r="503" spans="2:5" ht="15" customHeight="1">
      <c r="B503" s="85"/>
      <c r="C503" s="40" t="s">
        <v>23</v>
      </c>
      <c r="D503" s="39">
        <v>202</v>
      </c>
      <c r="E503" s="38">
        <v>6.2282243394073938E-3</v>
      </c>
    </row>
    <row r="504" spans="2:5" ht="15" customHeight="1">
      <c r="B504" s="83" t="s">
        <v>110</v>
      </c>
      <c r="C504" s="43" t="s">
        <v>212</v>
      </c>
      <c r="D504" s="42">
        <v>12</v>
      </c>
      <c r="E504" s="41">
        <v>3.6999352511331052E-4</v>
      </c>
    </row>
    <row r="505" spans="2:5" ht="15" customHeight="1">
      <c r="B505" s="84"/>
      <c r="C505" s="43" t="s">
        <v>211</v>
      </c>
      <c r="D505" s="42">
        <v>4</v>
      </c>
      <c r="E505" s="41">
        <v>1.2333117503777018E-4</v>
      </c>
    </row>
    <row r="506" spans="2:5" ht="15" customHeight="1">
      <c r="B506" s="84"/>
      <c r="C506" s="43" t="s">
        <v>210</v>
      </c>
      <c r="D506" s="42">
        <v>10</v>
      </c>
      <c r="E506" s="41">
        <v>3.0832793759442544E-4</v>
      </c>
    </row>
    <row r="507" spans="2:5" ht="15" customHeight="1">
      <c r="B507" s="84"/>
      <c r="C507" s="43" t="s">
        <v>209</v>
      </c>
      <c r="D507" s="42">
        <v>10</v>
      </c>
      <c r="E507" s="41">
        <v>3.0832793759442544E-4</v>
      </c>
    </row>
    <row r="508" spans="2:5" ht="15" customHeight="1">
      <c r="B508" s="84"/>
      <c r="C508" s="43" t="s">
        <v>208</v>
      </c>
      <c r="D508" s="42">
        <v>15</v>
      </c>
      <c r="E508" s="41">
        <v>4.6249190639163816E-4</v>
      </c>
    </row>
    <row r="509" spans="2:5" ht="15" customHeight="1">
      <c r="B509" s="84"/>
      <c r="C509" s="43" t="s">
        <v>207</v>
      </c>
      <c r="D509" s="42">
        <v>20</v>
      </c>
      <c r="E509" s="41">
        <v>6.1665587518885089E-4</v>
      </c>
    </row>
    <row r="510" spans="2:5" ht="15" customHeight="1">
      <c r="B510" s="84"/>
      <c r="C510" s="43" t="s">
        <v>206</v>
      </c>
      <c r="D510" s="42">
        <v>54</v>
      </c>
      <c r="E510" s="41">
        <v>1.6649708630098973E-3</v>
      </c>
    </row>
    <row r="511" spans="2:5" ht="15" customHeight="1">
      <c r="B511" s="84"/>
      <c r="C511" s="43" t="s">
        <v>205</v>
      </c>
      <c r="D511" s="42">
        <v>93</v>
      </c>
      <c r="E511" s="41">
        <v>2.8674498196281564E-3</v>
      </c>
    </row>
    <row r="512" spans="2:5" ht="15" customHeight="1">
      <c r="B512" s="84"/>
      <c r="C512" s="43" t="s">
        <v>204</v>
      </c>
      <c r="D512" s="42">
        <v>7</v>
      </c>
      <c r="E512" s="41">
        <v>2.158295563160978E-4</v>
      </c>
    </row>
    <row r="513" spans="2:5" ht="15" customHeight="1">
      <c r="B513" s="84"/>
      <c r="C513" s="43" t="s">
        <v>203</v>
      </c>
      <c r="D513" s="42">
        <v>13</v>
      </c>
      <c r="E513" s="41">
        <v>4.0082631887275309E-4</v>
      </c>
    </row>
    <row r="514" spans="2:5" ht="15" customHeight="1">
      <c r="B514" s="84"/>
      <c r="C514" s="43" t="s">
        <v>202</v>
      </c>
      <c r="D514" s="42">
        <v>31</v>
      </c>
      <c r="E514" s="41">
        <v>9.5581660654271879E-4</v>
      </c>
    </row>
    <row r="515" spans="2:5" ht="15" customHeight="1">
      <c r="B515" s="84"/>
      <c r="C515" s="43" t="s">
        <v>201</v>
      </c>
      <c r="D515" s="42">
        <v>213</v>
      </c>
      <c r="E515" s="41">
        <v>6.5673850707612617E-3</v>
      </c>
    </row>
    <row r="516" spans="2:5" ht="15" customHeight="1">
      <c r="B516" s="84"/>
      <c r="C516" s="43" t="s">
        <v>200</v>
      </c>
      <c r="D516" s="42">
        <v>4</v>
      </c>
      <c r="E516" s="41">
        <v>1.2333117503777018E-4</v>
      </c>
    </row>
    <row r="517" spans="2:5" ht="15" customHeight="1">
      <c r="B517" s="84"/>
      <c r="C517" s="43" t="s">
        <v>199</v>
      </c>
      <c r="D517" s="42">
        <v>32</v>
      </c>
      <c r="E517" s="41">
        <v>9.8664940030216146E-4</v>
      </c>
    </row>
    <row r="518" spans="2:5" ht="15" customHeight="1">
      <c r="B518" s="84"/>
      <c r="C518" s="43" t="s">
        <v>198</v>
      </c>
      <c r="D518" s="42">
        <v>66</v>
      </c>
      <c r="E518" s="41">
        <v>2.0349643881232078E-3</v>
      </c>
    </row>
    <row r="519" spans="2:5" ht="15" customHeight="1">
      <c r="B519" s="84"/>
      <c r="C519" s="43" t="s">
        <v>193</v>
      </c>
      <c r="D519" s="42">
        <v>3</v>
      </c>
      <c r="E519" s="41">
        <v>9.249838127832763E-5</v>
      </c>
    </row>
    <row r="520" spans="2:5" ht="15" customHeight="1">
      <c r="B520" s="84"/>
      <c r="C520" s="43" t="s">
        <v>192</v>
      </c>
      <c r="D520" s="42">
        <v>4</v>
      </c>
      <c r="E520" s="41">
        <v>1.2333117503777018E-4</v>
      </c>
    </row>
    <row r="521" spans="2:5" ht="15" customHeight="1">
      <c r="B521" s="84"/>
      <c r="C521" s="43" t="s">
        <v>217</v>
      </c>
      <c r="D521" s="42">
        <v>2</v>
      </c>
      <c r="E521" s="41">
        <v>6.1665587518885091E-5</v>
      </c>
    </row>
    <row r="522" spans="2:5" ht="15" customHeight="1">
      <c r="B522" s="85"/>
      <c r="C522" s="40" t="s">
        <v>23</v>
      </c>
      <c r="D522" s="39">
        <v>593</v>
      </c>
      <c r="E522" s="38">
        <v>1.8283846699349428E-2</v>
      </c>
    </row>
    <row r="523" spans="2:5" ht="15" customHeight="1">
      <c r="B523" s="83" t="s">
        <v>106</v>
      </c>
      <c r="C523" s="43" t="s">
        <v>212</v>
      </c>
      <c r="D523" s="42">
        <v>2</v>
      </c>
      <c r="E523" s="41">
        <v>6.1665587518885091E-5</v>
      </c>
    </row>
    <row r="524" spans="2:5" ht="15" customHeight="1">
      <c r="B524" s="84"/>
      <c r="C524" s="43" t="s">
        <v>206</v>
      </c>
      <c r="D524" s="42">
        <v>6</v>
      </c>
      <c r="E524" s="41">
        <v>1.8499676255665526E-4</v>
      </c>
    </row>
    <row r="525" spans="2:5" ht="15" customHeight="1">
      <c r="B525" s="84"/>
      <c r="C525" s="43" t="s">
        <v>205</v>
      </c>
      <c r="D525" s="42">
        <v>5</v>
      </c>
      <c r="E525" s="41">
        <v>1.5416396879721272E-4</v>
      </c>
    </row>
    <row r="526" spans="2:5" ht="15" customHeight="1">
      <c r="B526" s="84"/>
      <c r="C526" s="43" t="s">
        <v>204</v>
      </c>
      <c r="D526" s="42">
        <v>1</v>
      </c>
      <c r="E526" s="41">
        <v>3.0832793759442546E-5</v>
      </c>
    </row>
    <row r="527" spans="2:5" ht="15" customHeight="1">
      <c r="B527" s="84"/>
      <c r="C527" s="43" t="s">
        <v>203</v>
      </c>
      <c r="D527" s="42">
        <v>2</v>
      </c>
      <c r="E527" s="41">
        <v>6.1665587518885091E-5</v>
      </c>
    </row>
    <row r="528" spans="2:5" ht="15" customHeight="1">
      <c r="B528" s="84"/>
      <c r="C528" s="43" t="s">
        <v>202</v>
      </c>
      <c r="D528" s="42">
        <v>1</v>
      </c>
      <c r="E528" s="41">
        <v>3.0832793759442546E-5</v>
      </c>
    </row>
    <row r="529" spans="2:5" ht="15" customHeight="1">
      <c r="B529" s="84"/>
      <c r="C529" s="43" t="s">
        <v>201</v>
      </c>
      <c r="D529" s="42">
        <v>16</v>
      </c>
      <c r="E529" s="41">
        <v>4.9332470015108073E-4</v>
      </c>
    </row>
    <row r="530" spans="2:5" ht="15" customHeight="1">
      <c r="B530" s="84"/>
      <c r="C530" s="43" t="s">
        <v>200</v>
      </c>
      <c r="D530" s="42">
        <v>1</v>
      </c>
      <c r="E530" s="41">
        <v>3.0832793759442546E-5</v>
      </c>
    </row>
    <row r="531" spans="2:5" ht="15" customHeight="1">
      <c r="B531" s="84"/>
      <c r="C531" s="43" t="s">
        <v>199</v>
      </c>
      <c r="D531" s="42">
        <v>3</v>
      </c>
      <c r="E531" s="41">
        <v>9.249838127832763E-5</v>
      </c>
    </row>
    <row r="532" spans="2:5" ht="15" customHeight="1">
      <c r="B532" s="84"/>
      <c r="C532" s="43" t="s">
        <v>198</v>
      </c>
      <c r="D532" s="42">
        <v>11</v>
      </c>
      <c r="E532" s="41">
        <v>3.3916073135386795E-4</v>
      </c>
    </row>
    <row r="533" spans="2:5" ht="15" customHeight="1">
      <c r="B533" s="84"/>
      <c r="C533" s="43" t="s">
        <v>192</v>
      </c>
      <c r="D533" s="42">
        <v>1</v>
      </c>
      <c r="E533" s="41">
        <v>3.0832793759442546E-5</v>
      </c>
    </row>
    <row r="534" spans="2:5" ht="15" customHeight="1">
      <c r="B534" s="85"/>
      <c r="C534" s="40" t="s">
        <v>23</v>
      </c>
      <c r="D534" s="39">
        <v>49</v>
      </c>
      <c r="E534" s="38">
        <v>1.5108068942126845E-3</v>
      </c>
    </row>
    <row r="535" spans="2:5" ht="15" customHeight="1">
      <c r="B535" s="83" t="s">
        <v>94</v>
      </c>
      <c r="C535" s="43" t="s">
        <v>212</v>
      </c>
      <c r="D535" s="42">
        <v>3</v>
      </c>
      <c r="E535" s="41">
        <v>9.249838127832763E-5</v>
      </c>
    </row>
    <row r="536" spans="2:5" ht="15" customHeight="1">
      <c r="B536" s="84"/>
      <c r="C536" s="43" t="s">
        <v>211</v>
      </c>
      <c r="D536" s="42">
        <v>1</v>
      </c>
      <c r="E536" s="41">
        <v>3.0832793759442546E-5</v>
      </c>
    </row>
    <row r="537" spans="2:5" ht="15" customHeight="1">
      <c r="B537" s="84"/>
      <c r="C537" s="43" t="s">
        <v>210</v>
      </c>
      <c r="D537" s="42">
        <v>1</v>
      </c>
      <c r="E537" s="41">
        <v>3.0832793759442546E-5</v>
      </c>
    </row>
    <row r="538" spans="2:5" ht="15" customHeight="1">
      <c r="B538" s="84"/>
      <c r="C538" s="43" t="s">
        <v>209</v>
      </c>
      <c r="D538" s="42">
        <v>1</v>
      </c>
      <c r="E538" s="41">
        <v>3.0832793759442546E-5</v>
      </c>
    </row>
    <row r="539" spans="2:5" ht="15" customHeight="1">
      <c r="B539" s="84"/>
      <c r="C539" s="43" t="s">
        <v>208</v>
      </c>
      <c r="D539" s="42">
        <v>2</v>
      </c>
      <c r="E539" s="41">
        <v>6.1665587518885091E-5</v>
      </c>
    </row>
    <row r="540" spans="2:5" ht="15" customHeight="1">
      <c r="B540" s="84"/>
      <c r="C540" s="43" t="s">
        <v>207</v>
      </c>
      <c r="D540" s="42">
        <v>2</v>
      </c>
      <c r="E540" s="41">
        <v>6.1665587518885091E-5</v>
      </c>
    </row>
    <row r="541" spans="2:5" ht="15" customHeight="1">
      <c r="B541" s="84"/>
      <c r="C541" s="43" t="s">
        <v>206</v>
      </c>
      <c r="D541" s="42">
        <v>8</v>
      </c>
      <c r="E541" s="41">
        <v>2.4666235007554037E-4</v>
      </c>
    </row>
    <row r="542" spans="2:5" ht="15" customHeight="1">
      <c r="B542" s="84"/>
      <c r="C542" s="43" t="s">
        <v>205</v>
      </c>
      <c r="D542" s="42">
        <v>11</v>
      </c>
      <c r="E542" s="41">
        <v>3.3916073135386795E-4</v>
      </c>
    </row>
    <row r="543" spans="2:5" ht="15" customHeight="1">
      <c r="B543" s="84"/>
      <c r="C543" s="43" t="s">
        <v>204</v>
      </c>
      <c r="D543" s="42">
        <v>1</v>
      </c>
      <c r="E543" s="41">
        <v>3.0832793759442546E-5</v>
      </c>
    </row>
    <row r="544" spans="2:5" ht="15" customHeight="1">
      <c r="B544" s="84"/>
      <c r="C544" s="43" t="s">
        <v>203</v>
      </c>
      <c r="D544" s="42">
        <v>3</v>
      </c>
      <c r="E544" s="41">
        <v>9.249838127832763E-5</v>
      </c>
    </row>
    <row r="545" spans="2:5" ht="15" customHeight="1">
      <c r="B545" s="84"/>
      <c r="C545" s="43" t="s">
        <v>202</v>
      </c>
      <c r="D545" s="42">
        <v>1</v>
      </c>
      <c r="E545" s="41">
        <v>3.0832793759442546E-5</v>
      </c>
    </row>
    <row r="546" spans="2:5" ht="15" customHeight="1">
      <c r="B546" s="84"/>
      <c r="C546" s="43" t="s">
        <v>201</v>
      </c>
      <c r="D546" s="42">
        <v>33</v>
      </c>
      <c r="E546" s="41">
        <v>1.0174821940616039E-3</v>
      </c>
    </row>
    <row r="547" spans="2:5" ht="15" customHeight="1">
      <c r="B547" s="84"/>
      <c r="C547" s="43" t="s">
        <v>198</v>
      </c>
      <c r="D547" s="42">
        <v>10</v>
      </c>
      <c r="E547" s="41">
        <v>3.0832793759442544E-4</v>
      </c>
    </row>
    <row r="548" spans="2:5" ht="15" customHeight="1">
      <c r="B548" s="84"/>
      <c r="C548" s="43" t="s">
        <v>195</v>
      </c>
      <c r="D548" s="42">
        <v>1</v>
      </c>
      <c r="E548" s="41">
        <v>3.0832793759442546E-5</v>
      </c>
    </row>
    <row r="549" spans="2:5" ht="15" customHeight="1">
      <c r="B549" s="84"/>
      <c r="C549" s="43" t="s">
        <v>193</v>
      </c>
      <c r="D549" s="42">
        <v>1</v>
      </c>
      <c r="E549" s="41">
        <v>3.0832793759442546E-5</v>
      </c>
    </row>
    <row r="550" spans="2:5" ht="15" customHeight="1">
      <c r="B550" s="84"/>
      <c r="C550" s="43" t="s">
        <v>192</v>
      </c>
      <c r="D550" s="42">
        <v>4</v>
      </c>
      <c r="E550" s="41">
        <v>1.2333117503777018E-4</v>
      </c>
    </row>
    <row r="551" spans="2:5" ht="15" customHeight="1">
      <c r="B551" s="85"/>
      <c r="C551" s="40" t="s">
        <v>23</v>
      </c>
      <c r="D551" s="39">
        <v>83</v>
      </c>
      <c r="E551" s="38">
        <v>2.5591218820337309E-3</v>
      </c>
    </row>
    <row r="552" spans="2:5" ht="15" customHeight="1">
      <c r="B552" s="83" t="s">
        <v>98</v>
      </c>
      <c r="C552" s="43" t="s">
        <v>212</v>
      </c>
      <c r="D552" s="42">
        <v>1</v>
      </c>
      <c r="E552" s="41">
        <v>3.0832793759442546E-5</v>
      </c>
    </row>
    <row r="553" spans="2:5" ht="15" customHeight="1">
      <c r="B553" s="84"/>
      <c r="C553" s="43" t="s">
        <v>208</v>
      </c>
      <c r="D553" s="42">
        <v>3</v>
      </c>
      <c r="E553" s="41">
        <v>9.249838127832763E-5</v>
      </c>
    </row>
    <row r="554" spans="2:5" ht="15" customHeight="1">
      <c r="B554" s="84"/>
      <c r="C554" s="43" t="s">
        <v>207</v>
      </c>
      <c r="D554" s="42">
        <v>2</v>
      </c>
      <c r="E554" s="41">
        <v>6.1665587518885091E-5</v>
      </c>
    </row>
    <row r="555" spans="2:5" ht="15" customHeight="1">
      <c r="B555" s="84"/>
      <c r="C555" s="43" t="s">
        <v>206</v>
      </c>
      <c r="D555" s="42">
        <v>8</v>
      </c>
      <c r="E555" s="41">
        <v>2.4666235007554037E-4</v>
      </c>
    </row>
    <row r="556" spans="2:5" ht="15" customHeight="1">
      <c r="B556" s="84"/>
      <c r="C556" s="43" t="s">
        <v>205</v>
      </c>
      <c r="D556" s="42">
        <v>12</v>
      </c>
      <c r="E556" s="41">
        <v>3.6999352511331052E-4</v>
      </c>
    </row>
    <row r="557" spans="2:5" ht="15" customHeight="1">
      <c r="B557" s="84"/>
      <c r="C557" s="43" t="s">
        <v>204</v>
      </c>
      <c r="D557" s="42">
        <v>1</v>
      </c>
      <c r="E557" s="41">
        <v>3.0832793759442546E-5</v>
      </c>
    </row>
    <row r="558" spans="2:5" ht="15" customHeight="1">
      <c r="B558" s="84"/>
      <c r="C558" s="43" t="s">
        <v>203</v>
      </c>
      <c r="D558" s="42">
        <v>2</v>
      </c>
      <c r="E558" s="41">
        <v>6.1665587518885091E-5</v>
      </c>
    </row>
    <row r="559" spans="2:5" ht="15" customHeight="1">
      <c r="B559" s="84"/>
      <c r="C559" s="43" t="s">
        <v>202</v>
      </c>
      <c r="D559" s="42">
        <v>6</v>
      </c>
      <c r="E559" s="41">
        <v>1.8499676255665526E-4</v>
      </c>
    </row>
    <row r="560" spans="2:5" ht="15" customHeight="1">
      <c r="B560" s="84"/>
      <c r="C560" s="43" t="s">
        <v>201</v>
      </c>
      <c r="D560" s="42">
        <v>12</v>
      </c>
      <c r="E560" s="41">
        <v>3.6999352511331052E-4</v>
      </c>
    </row>
    <row r="561" spans="2:5" ht="15" customHeight="1">
      <c r="B561" s="84"/>
      <c r="C561" s="43" t="s">
        <v>200</v>
      </c>
      <c r="D561" s="42">
        <v>1</v>
      </c>
      <c r="E561" s="41">
        <v>3.0832793759442546E-5</v>
      </c>
    </row>
    <row r="562" spans="2:5" ht="15" customHeight="1">
      <c r="B562" s="84"/>
      <c r="C562" s="43" t="s">
        <v>199</v>
      </c>
      <c r="D562" s="42">
        <v>2</v>
      </c>
      <c r="E562" s="41">
        <v>6.1665587518885091E-5</v>
      </c>
    </row>
    <row r="563" spans="2:5" ht="15" customHeight="1">
      <c r="B563" s="84"/>
      <c r="C563" s="43" t="s">
        <v>198</v>
      </c>
      <c r="D563" s="42">
        <v>4</v>
      </c>
      <c r="E563" s="41">
        <v>1.2333117503777018E-4</v>
      </c>
    </row>
    <row r="564" spans="2:5" ht="15" customHeight="1">
      <c r="B564" s="84"/>
      <c r="C564" s="43" t="s">
        <v>197</v>
      </c>
      <c r="D564" s="42">
        <v>1</v>
      </c>
      <c r="E564" s="41">
        <v>3.0832793759442546E-5</v>
      </c>
    </row>
    <row r="565" spans="2:5" ht="15" customHeight="1">
      <c r="B565" s="84"/>
      <c r="C565" s="43" t="s">
        <v>192</v>
      </c>
      <c r="D565" s="42">
        <v>1</v>
      </c>
      <c r="E565" s="41">
        <v>3.0832793759442546E-5</v>
      </c>
    </row>
    <row r="566" spans="2:5" ht="15" customHeight="1">
      <c r="B566" s="85"/>
      <c r="C566" s="40" t="s">
        <v>23</v>
      </c>
      <c r="D566" s="39">
        <v>56</v>
      </c>
      <c r="E566" s="38">
        <v>1.7266364505287824E-3</v>
      </c>
    </row>
    <row r="567" spans="2:5" ht="15" customHeight="1">
      <c r="B567" s="83" t="s">
        <v>82</v>
      </c>
      <c r="C567" s="43" t="s">
        <v>212</v>
      </c>
      <c r="D567" s="42">
        <v>1</v>
      </c>
      <c r="E567" s="41">
        <v>3.0832793759442546E-5</v>
      </c>
    </row>
    <row r="568" spans="2:5" ht="15" customHeight="1">
      <c r="B568" s="84"/>
      <c r="C568" s="43" t="s">
        <v>209</v>
      </c>
      <c r="D568" s="42">
        <v>1</v>
      </c>
      <c r="E568" s="41">
        <v>3.0832793759442546E-5</v>
      </c>
    </row>
    <row r="569" spans="2:5" ht="15" customHeight="1">
      <c r="B569" s="84"/>
      <c r="C569" s="43" t="s">
        <v>206</v>
      </c>
      <c r="D569" s="42">
        <v>3</v>
      </c>
      <c r="E569" s="41">
        <v>9.249838127832763E-5</v>
      </c>
    </row>
    <row r="570" spans="2:5" ht="15" customHeight="1">
      <c r="B570" s="84"/>
      <c r="C570" s="43" t="s">
        <v>205</v>
      </c>
      <c r="D570" s="42">
        <v>4</v>
      </c>
      <c r="E570" s="41">
        <v>1.2333117503777018E-4</v>
      </c>
    </row>
    <row r="571" spans="2:5" ht="15" customHeight="1">
      <c r="B571" s="84"/>
      <c r="C571" s="43" t="s">
        <v>203</v>
      </c>
      <c r="D571" s="42">
        <v>3</v>
      </c>
      <c r="E571" s="41">
        <v>9.249838127832763E-5</v>
      </c>
    </row>
    <row r="572" spans="2:5" ht="15" customHeight="1">
      <c r="B572" s="84"/>
      <c r="C572" s="43" t="s">
        <v>202</v>
      </c>
      <c r="D572" s="42">
        <v>4</v>
      </c>
      <c r="E572" s="41">
        <v>1.2333117503777018E-4</v>
      </c>
    </row>
    <row r="573" spans="2:5" ht="15" customHeight="1">
      <c r="B573" s="84"/>
      <c r="C573" s="43" t="s">
        <v>201</v>
      </c>
      <c r="D573" s="42">
        <v>6</v>
      </c>
      <c r="E573" s="41">
        <v>1.8499676255665526E-4</v>
      </c>
    </row>
    <row r="574" spans="2:5" ht="15" customHeight="1">
      <c r="B574" s="84"/>
      <c r="C574" s="43" t="s">
        <v>199</v>
      </c>
      <c r="D574" s="42">
        <v>1</v>
      </c>
      <c r="E574" s="41">
        <v>3.0832793759442546E-5</v>
      </c>
    </row>
    <row r="575" spans="2:5" ht="15" customHeight="1">
      <c r="B575" s="84"/>
      <c r="C575" s="43" t="s">
        <v>198</v>
      </c>
      <c r="D575" s="42">
        <v>3</v>
      </c>
      <c r="E575" s="41">
        <v>9.249838127832763E-5</v>
      </c>
    </row>
    <row r="576" spans="2:5" ht="15" customHeight="1">
      <c r="B576" s="84"/>
      <c r="C576" s="43" t="s">
        <v>192</v>
      </c>
      <c r="D576" s="42">
        <v>1</v>
      </c>
      <c r="E576" s="41">
        <v>3.0832793759442546E-5</v>
      </c>
    </row>
    <row r="577" spans="2:5" ht="15" customHeight="1">
      <c r="B577" s="85"/>
      <c r="C577" s="40" t="s">
        <v>23</v>
      </c>
      <c r="D577" s="39">
        <v>27</v>
      </c>
      <c r="E577" s="38">
        <v>8.3248543150494863E-4</v>
      </c>
    </row>
    <row r="578" spans="2:5" ht="15" customHeight="1">
      <c r="B578" s="83" t="s">
        <v>116</v>
      </c>
      <c r="C578" s="43" t="s">
        <v>212</v>
      </c>
      <c r="D578" s="42">
        <v>13</v>
      </c>
      <c r="E578" s="41">
        <v>4.0082631887275309E-4</v>
      </c>
    </row>
    <row r="579" spans="2:5" ht="15" customHeight="1">
      <c r="B579" s="84"/>
      <c r="C579" s="43" t="s">
        <v>211</v>
      </c>
      <c r="D579" s="42">
        <v>11</v>
      </c>
      <c r="E579" s="41">
        <v>3.3916073135386795E-4</v>
      </c>
    </row>
    <row r="580" spans="2:5" ht="15" customHeight="1">
      <c r="B580" s="84"/>
      <c r="C580" s="43" t="s">
        <v>210</v>
      </c>
      <c r="D580" s="42">
        <v>8</v>
      </c>
      <c r="E580" s="41">
        <v>2.4666235007554037E-4</v>
      </c>
    </row>
    <row r="581" spans="2:5" ht="15" customHeight="1">
      <c r="B581" s="84"/>
      <c r="C581" s="43" t="s">
        <v>209</v>
      </c>
      <c r="D581" s="42">
        <v>29</v>
      </c>
      <c r="E581" s="41">
        <v>8.9415101902383376E-4</v>
      </c>
    </row>
    <row r="582" spans="2:5" ht="15" customHeight="1">
      <c r="B582" s="84"/>
      <c r="C582" s="43" t="s">
        <v>208</v>
      </c>
      <c r="D582" s="42">
        <v>17</v>
      </c>
      <c r="E582" s="41">
        <v>5.2415749391052319E-4</v>
      </c>
    </row>
    <row r="583" spans="2:5" ht="15" customHeight="1">
      <c r="B583" s="84"/>
      <c r="C583" s="43" t="s">
        <v>207</v>
      </c>
      <c r="D583" s="42">
        <v>25</v>
      </c>
      <c r="E583" s="41">
        <v>7.7081984398606361E-4</v>
      </c>
    </row>
    <row r="584" spans="2:5" ht="15" customHeight="1">
      <c r="B584" s="84"/>
      <c r="C584" s="43" t="s">
        <v>206</v>
      </c>
      <c r="D584" s="42">
        <v>54</v>
      </c>
      <c r="E584" s="41">
        <v>1.6649708630098973E-3</v>
      </c>
    </row>
    <row r="585" spans="2:5" ht="15" customHeight="1">
      <c r="B585" s="84"/>
      <c r="C585" s="43" t="s">
        <v>205</v>
      </c>
      <c r="D585" s="42">
        <v>190</v>
      </c>
      <c r="E585" s="41">
        <v>5.8582308142940834E-3</v>
      </c>
    </row>
    <row r="586" spans="2:5" ht="15" customHeight="1">
      <c r="B586" s="84"/>
      <c r="C586" s="43" t="s">
        <v>204</v>
      </c>
      <c r="D586" s="42">
        <v>19</v>
      </c>
      <c r="E586" s="41">
        <v>5.8582308142940832E-4</v>
      </c>
    </row>
    <row r="587" spans="2:5" ht="15" customHeight="1">
      <c r="B587" s="84"/>
      <c r="C587" s="43" t="s">
        <v>203</v>
      </c>
      <c r="D587" s="42">
        <v>44</v>
      </c>
      <c r="E587" s="41">
        <v>1.3566429254154718E-3</v>
      </c>
    </row>
    <row r="588" spans="2:5" ht="15" customHeight="1">
      <c r="B588" s="84"/>
      <c r="C588" s="43" t="s">
        <v>202</v>
      </c>
      <c r="D588" s="42">
        <v>31</v>
      </c>
      <c r="E588" s="41">
        <v>9.5581660654271879E-4</v>
      </c>
    </row>
    <row r="589" spans="2:5" ht="15" customHeight="1">
      <c r="B589" s="84"/>
      <c r="C589" s="43" t="s">
        <v>201</v>
      </c>
      <c r="D589" s="42">
        <v>361</v>
      </c>
      <c r="E589" s="41">
        <v>1.1130638547158758E-2</v>
      </c>
    </row>
    <row r="590" spans="2:5" ht="15" customHeight="1">
      <c r="B590" s="84"/>
      <c r="C590" s="43" t="s">
        <v>200</v>
      </c>
      <c r="D590" s="42">
        <v>23</v>
      </c>
      <c r="E590" s="41">
        <v>7.0915425646717847E-4</v>
      </c>
    </row>
    <row r="591" spans="2:5" ht="15" customHeight="1">
      <c r="B591" s="84"/>
      <c r="C591" s="43" t="s">
        <v>199</v>
      </c>
      <c r="D591" s="42">
        <v>58</v>
      </c>
      <c r="E591" s="41">
        <v>1.7883020380476675E-3</v>
      </c>
    </row>
    <row r="592" spans="2:5" ht="15" customHeight="1">
      <c r="B592" s="84"/>
      <c r="C592" s="43" t="s">
        <v>198</v>
      </c>
      <c r="D592" s="42">
        <v>136</v>
      </c>
      <c r="E592" s="41">
        <v>4.1932599512841855E-3</v>
      </c>
    </row>
    <row r="593" spans="2:5" ht="15" customHeight="1">
      <c r="B593" s="84"/>
      <c r="C593" s="43" t="s">
        <v>197</v>
      </c>
      <c r="D593" s="42">
        <v>1</v>
      </c>
      <c r="E593" s="41">
        <v>3.0832793759442546E-5</v>
      </c>
    </row>
    <row r="594" spans="2:5" ht="15" customHeight="1">
      <c r="B594" s="84"/>
      <c r="C594" s="43" t="s">
        <v>195</v>
      </c>
      <c r="D594" s="42">
        <v>5</v>
      </c>
      <c r="E594" s="41">
        <v>1.5416396879721272E-4</v>
      </c>
    </row>
    <row r="595" spans="2:5" ht="15" customHeight="1">
      <c r="B595" s="84"/>
      <c r="C595" s="43" t="s">
        <v>193</v>
      </c>
      <c r="D595" s="42">
        <v>12</v>
      </c>
      <c r="E595" s="41">
        <v>3.6999352511331052E-4</v>
      </c>
    </row>
    <row r="596" spans="2:5" ht="15" customHeight="1">
      <c r="B596" s="84"/>
      <c r="C596" s="43" t="s">
        <v>192</v>
      </c>
      <c r="D596" s="42">
        <v>18</v>
      </c>
      <c r="E596" s="41">
        <v>5.5499028766996575E-4</v>
      </c>
    </row>
    <row r="597" spans="2:5" ht="15" customHeight="1">
      <c r="B597" s="85"/>
      <c r="C597" s="40" t="s">
        <v>23</v>
      </c>
      <c r="D597" s="39">
        <v>1055</v>
      </c>
      <c r="E597" s="38">
        <v>3.2528597416211884E-2</v>
      </c>
    </row>
    <row r="598" spans="2:5" ht="15" customHeight="1">
      <c r="B598" s="83" t="s">
        <v>108</v>
      </c>
      <c r="C598" s="43" t="s">
        <v>211</v>
      </c>
      <c r="D598" s="42">
        <v>2</v>
      </c>
      <c r="E598" s="41">
        <v>6.1665587518885091E-5</v>
      </c>
    </row>
    <row r="599" spans="2:5" ht="15" customHeight="1">
      <c r="B599" s="84"/>
      <c r="C599" s="43" t="s">
        <v>210</v>
      </c>
      <c r="D599" s="42">
        <v>2</v>
      </c>
      <c r="E599" s="41">
        <v>6.1665587518885091E-5</v>
      </c>
    </row>
    <row r="600" spans="2:5" ht="15" customHeight="1">
      <c r="B600" s="84"/>
      <c r="C600" s="43" t="s">
        <v>209</v>
      </c>
      <c r="D600" s="42">
        <v>1</v>
      </c>
      <c r="E600" s="41">
        <v>3.0832793759442546E-5</v>
      </c>
    </row>
    <row r="601" spans="2:5" ht="15" customHeight="1">
      <c r="B601" s="84"/>
      <c r="C601" s="43" t="s">
        <v>206</v>
      </c>
      <c r="D601" s="42">
        <v>1</v>
      </c>
      <c r="E601" s="41">
        <v>3.0832793759442546E-5</v>
      </c>
    </row>
    <row r="602" spans="2:5" ht="15" customHeight="1">
      <c r="B602" s="84"/>
      <c r="C602" s="43" t="s">
        <v>205</v>
      </c>
      <c r="D602" s="42">
        <v>8</v>
      </c>
      <c r="E602" s="41">
        <v>2.4666235007554037E-4</v>
      </c>
    </row>
    <row r="603" spans="2:5" ht="15" customHeight="1">
      <c r="B603" s="84"/>
      <c r="C603" s="43" t="s">
        <v>204</v>
      </c>
      <c r="D603" s="42">
        <v>2</v>
      </c>
      <c r="E603" s="41">
        <v>6.1665587518885091E-5</v>
      </c>
    </row>
    <row r="604" spans="2:5" ht="15" customHeight="1">
      <c r="B604" s="84"/>
      <c r="C604" s="43" t="s">
        <v>203</v>
      </c>
      <c r="D604" s="42">
        <v>2</v>
      </c>
      <c r="E604" s="41">
        <v>6.1665587518885091E-5</v>
      </c>
    </row>
    <row r="605" spans="2:5" ht="15" customHeight="1">
      <c r="B605" s="84"/>
      <c r="C605" s="43" t="s">
        <v>202</v>
      </c>
      <c r="D605" s="42">
        <v>1</v>
      </c>
      <c r="E605" s="41">
        <v>3.0832793759442546E-5</v>
      </c>
    </row>
    <row r="606" spans="2:5" ht="15" customHeight="1">
      <c r="B606" s="84"/>
      <c r="C606" s="43" t="s">
        <v>201</v>
      </c>
      <c r="D606" s="42">
        <v>20</v>
      </c>
      <c r="E606" s="41">
        <v>6.1665587518885089E-4</v>
      </c>
    </row>
    <row r="607" spans="2:5" ht="15" customHeight="1">
      <c r="B607" s="84"/>
      <c r="C607" s="43" t="s">
        <v>200</v>
      </c>
      <c r="D607" s="42">
        <v>1</v>
      </c>
      <c r="E607" s="41">
        <v>3.0832793759442546E-5</v>
      </c>
    </row>
    <row r="608" spans="2:5" ht="15" customHeight="1">
      <c r="B608" s="84"/>
      <c r="C608" s="43" t="s">
        <v>199</v>
      </c>
      <c r="D608" s="42">
        <v>1</v>
      </c>
      <c r="E608" s="41">
        <v>3.0832793759442546E-5</v>
      </c>
    </row>
    <row r="609" spans="2:5" ht="15" customHeight="1">
      <c r="B609" s="84"/>
      <c r="C609" s="43" t="s">
        <v>198</v>
      </c>
      <c r="D609" s="42">
        <v>10</v>
      </c>
      <c r="E609" s="41">
        <v>3.0832793759442544E-4</v>
      </c>
    </row>
    <row r="610" spans="2:5" ht="15" customHeight="1">
      <c r="B610" s="84"/>
      <c r="C610" s="43" t="s">
        <v>193</v>
      </c>
      <c r="D610" s="42">
        <v>1</v>
      </c>
      <c r="E610" s="41">
        <v>3.0832793759442546E-5</v>
      </c>
    </row>
    <row r="611" spans="2:5" ht="15" customHeight="1">
      <c r="B611" s="85"/>
      <c r="C611" s="40" t="s">
        <v>23</v>
      </c>
      <c r="D611" s="39">
        <v>52</v>
      </c>
      <c r="E611" s="38">
        <v>1.6033052754910123E-3</v>
      </c>
    </row>
    <row r="612" spans="2:5" ht="15" customHeight="1">
      <c r="B612" s="83" t="s">
        <v>93</v>
      </c>
      <c r="C612" s="43" t="s">
        <v>212</v>
      </c>
      <c r="D612" s="42">
        <v>1</v>
      </c>
      <c r="E612" s="41">
        <v>3.0832793759442546E-5</v>
      </c>
    </row>
    <row r="613" spans="2:5" ht="15" customHeight="1">
      <c r="B613" s="84"/>
      <c r="C613" s="43" t="s">
        <v>209</v>
      </c>
      <c r="D613" s="42">
        <v>4</v>
      </c>
      <c r="E613" s="41">
        <v>1.2333117503777018E-4</v>
      </c>
    </row>
    <row r="614" spans="2:5" ht="15" customHeight="1">
      <c r="B614" s="84"/>
      <c r="C614" s="43" t="s">
        <v>207</v>
      </c>
      <c r="D614" s="42">
        <v>1</v>
      </c>
      <c r="E614" s="41">
        <v>3.0832793759442546E-5</v>
      </c>
    </row>
    <row r="615" spans="2:5" ht="15" customHeight="1">
      <c r="B615" s="84"/>
      <c r="C615" s="43" t="s">
        <v>206</v>
      </c>
      <c r="D615" s="42">
        <v>4</v>
      </c>
      <c r="E615" s="41">
        <v>1.2333117503777018E-4</v>
      </c>
    </row>
    <row r="616" spans="2:5" ht="15" customHeight="1">
      <c r="B616" s="84"/>
      <c r="C616" s="43" t="s">
        <v>205</v>
      </c>
      <c r="D616" s="42">
        <v>37</v>
      </c>
      <c r="E616" s="41">
        <v>1.1408133690993742E-3</v>
      </c>
    </row>
    <row r="617" spans="2:5" ht="15" customHeight="1">
      <c r="B617" s="84"/>
      <c r="C617" s="43" t="s">
        <v>203</v>
      </c>
      <c r="D617" s="42">
        <v>1</v>
      </c>
      <c r="E617" s="41">
        <v>3.0832793759442546E-5</v>
      </c>
    </row>
    <row r="618" spans="2:5" ht="15" customHeight="1">
      <c r="B618" s="84"/>
      <c r="C618" s="43" t="s">
        <v>201</v>
      </c>
      <c r="D618" s="42">
        <v>54</v>
      </c>
      <c r="E618" s="41">
        <v>1.6649708630098973E-3</v>
      </c>
    </row>
    <row r="619" spans="2:5" ht="15" customHeight="1">
      <c r="B619" s="84"/>
      <c r="C619" s="43" t="s">
        <v>200</v>
      </c>
      <c r="D619" s="42">
        <v>4</v>
      </c>
      <c r="E619" s="41">
        <v>1.2333117503777018E-4</v>
      </c>
    </row>
    <row r="620" spans="2:5" ht="15" customHeight="1">
      <c r="B620" s="84"/>
      <c r="C620" s="43" t="s">
        <v>199</v>
      </c>
      <c r="D620" s="42">
        <v>2</v>
      </c>
      <c r="E620" s="41">
        <v>6.1665587518885091E-5</v>
      </c>
    </row>
    <row r="621" spans="2:5" ht="15" customHeight="1">
      <c r="B621" s="84"/>
      <c r="C621" s="43" t="s">
        <v>198</v>
      </c>
      <c r="D621" s="42">
        <v>19</v>
      </c>
      <c r="E621" s="41">
        <v>5.8582308142940832E-4</v>
      </c>
    </row>
    <row r="622" spans="2:5" ht="15" customHeight="1">
      <c r="B622" s="84"/>
      <c r="C622" s="43" t="s">
        <v>195</v>
      </c>
      <c r="D622" s="42">
        <v>1</v>
      </c>
      <c r="E622" s="41">
        <v>3.0832793759442546E-5</v>
      </c>
    </row>
    <row r="623" spans="2:5" ht="15" customHeight="1">
      <c r="B623" s="84"/>
      <c r="C623" s="43" t="s">
        <v>193</v>
      </c>
      <c r="D623" s="42">
        <v>1</v>
      </c>
      <c r="E623" s="41">
        <v>3.0832793759442546E-5</v>
      </c>
    </row>
    <row r="624" spans="2:5" ht="15" customHeight="1">
      <c r="B624" s="84"/>
      <c r="C624" s="43" t="s">
        <v>192</v>
      </c>
      <c r="D624" s="42">
        <v>3</v>
      </c>
      <c r="E624" s="41">
        <v>9.249838127832763E-5</v>
      </c>
    </row>
    <row r="625" spans="2:5" ht="15" customHeight="1">
      <c r="B625" s="85"/>
      <c r="C625" s="40" t="s">
        <v>23</v>
      </c>
      <c r="D625" s="39">
        <v>132</v>
      </c>
      <c r="E625" s="38">
        <v>4.0699287762464157E-3</v>
      </c>
    </row>
    <row r="626" spans="2:5" ht="15" customHeight="1">
      <c r="B626" s="83" t="s">
        <v>95</v>
      </c>
      <c r="C626" s="43" t="s">
        <v>212</v>
      </c>
      <c r="D626" s="42">
        <v>2</v>
      </c>
      <c r="E626" s="41">
        <v>6.1665587518885091E-5</v>
      </c>
    </row>
    <row r="627" spans="2:5" ht="15" customHeight="1">
      <c r="B627" s="84"/>
      <c r="C627" s="43" t="s">
        <v>211</v>
      </c>
      <c r="D627" s="42">
        <v>3</v>
      </c>
      <c r="E627" s="41">
        <v>9.249838127832763E-5</v>
      </c>
    </row>
    <row r="628" spans="2:5" ht="15" customHeight="1">
      <c r="B628" s="84"/>
      <c r="C628" s="43" t="s">
        <v>210</v>
      </c>
      <c r="D628" s="42">
        <v>1</v>
      </c>
      <c r="E628" s="41">
        <v>3.0832793759442546E-5</v>
      </c>
    </row>
    <row r="629" spans="2:5" ht="15" customHeight="1">
      <c r="B629" s="84"/>
      <c r="C629" s="43" t="s">
        <v>209</v>
      </c>
      <c r="D629" s="42">
        <v>5</v>
      </c>
      <c r="E629" s="41">
        <v>1.5416396879721272E-4</v>
      </c>
    </row>
    <row r="630" spans="2:5" ht="15" customHeight="1">
      <c r="B630" s="84"/>
      <c r="C630" s="43" t="s">
        <v>208</v>
      </c>
      <c r="D630" s="42">
        <v>3</v>
      </c>
      <c r="E630" s="41">
        <v>9.249838127832763E-5</v>
      </c>
    </row>
    <row r="631" spans="2:5" ht="15" customHeight="1">
      <c r="B631" s="84"/>
      <c r="C631" s="43" t="s">
        <v>207</v>
      </c>
      <c r="D631" s="42">
        <v>5</v>
      </c>
      <c r="E631" s="41">
        <v>1.5416396879721272E-4</v>
      </c>
    </row>
    <row r="632" spans="2:5" ht="15" customHeight="1">
      <c r="B632" s="84"/>
      <c r="C632" s="43" t="s">
        <v>206</v>
      </c>
      <c r="D632" s="42">
        <v>14</v>
      </c>
      <c r="E632" s="41">
        <v>4.316591126321956E-4</v>
      </c>
    </row>
    <row r="633" spans="2:5" ht="15" customHeight="1">
      <c r="B633" s="84"/>
      <c r="C633" s="43" t="s">
        <v>205</v>
      </c>
      <c r="D633" s="42">
        <v>19</v>
      </c>
      <c r="E633" s="41">
        <v>5.8582308142940832E-4</v>
      </c>
    </row>
    <row r="634" spans="2:5" ht="15" customHeight="1">
      <c r="B634" s="84"/>
      <c r="C634" s="43" t="s">
        <v>204</v>
      </c>
      <c r="D634" s="42">
        <v>1</v>
      </c>
      <c r="E634" s="41">
        <v>3.0832793759442546E-5</v>
      </c>
    </row>
    <row r="635" spans="2:5" ht="15" customHeight="1">
      <c r="B635" s="84"/>
      <c r="C635" s="43" t="s">
        <v>203</v>
      </c>
      <c r="D635" s="42">
        <v>4</v>
      </c>
      <c r="E635" s="41">
        <v>1.2333117503777018E-4</v>
      </c>
    </row>
    <row r="636" spans="2:5" ht="15" customHeight="1">
      <c r="B636" s="84"/>
      <c r="C636" s="43" t="s">
        <v>202</v>
      </c>
      <c r="D636" s="42">
        <v>7</v>
      </c>
      <c r="E636" s="41">
        <v>2.158295563160978E-4</v>
      </c>
    </row>
    <row r="637" spans="2:5" ht="15" customHeight="1">
      <c r="B637" s="84"/>
      <c r="C637" s="43" t="s">
        <v>201</v>
      </c>
      <c r="D637" s="42">
        <v>45</v>
      </c>
      <c r="E637" s="41">
        <v>1.3874757191749145E-3</v>
      </c>
    </row>
    <row r="638" spans="2:5" ht="15" customHeight="1">
      <c r="B638" s="84"/>
      <c r="C638" s="43" t="s">
        <v>200</v>
      </c>
      <c r="D638" s="42">
        <v>2</v>
      </c>
      <c r="E638" s="41">
        <v>6.1665587518885091E-5</v>
      </c>
    </row>
    <row r="639" spans="2:5" ht="15" customHeight="1">
      <c r="B639" s="84"/>
      <c r="C639" s="43" t="s">
        <v>199</v>
      </c>
      <c r="D639" s="42">
        <v>9</v>
      </c>
      <c r="E639" s="41">
        <v>2.7749514383498288E-4</v>
      </c>
    </row>
    <row r="640" spans="2:5" ht="15" customHeight="1">
      <c r="B640" s="84"/>
      <c r="C640" s="43" t="s">
        <v>198</v>
      </c>
      <c r="D640" s="42">
        <v>18</v>
      </c>
      <c r="E640" s="41">
        <v>5.5499028766996575E-4</v>
      </c>
    </row>
    <row r="641" spans="2:5" ht="15" customHeight="1">
      <c r="B641" s="84"/>
      <c r="C641" s="43" t="s">
        <v>196</v>
      </c>
      <c r="D641" s="42">
        <v>1</v>
      </c>
      <c r="E641" s="41">
        <v>3.0832793759442546E-5</v>
      </c>
    </row>
    <row r="642" spans="2:5" ht="15" customHeight="1">
      <c r="B642" s="84"/>
      <c r="C642" s="43" t="s">
        <v>193</v>
      </c>
      <c r="D642" s="42">
        <v>3</v>
      </c>
      <c r="E642" s="41">
        <v>9.249838127832763E-5</v>
      </c>
    </row>
    <row r="643" spans="2:5" ht="15" customHeight="1">
      <c r="B643" s="84"/>
      <c r="C643" s="43" t="s">
        <v>192</v>
      </c>
      <c r="D643" s="42">
        <v>3</v>
      </c>
      <c r="E643" s="41">
        <v>9.249838127832763E-5</v>
      </c>
    </row>
    <row r="644" spans="2:5" ht="15" customHeight="1">
      <c r="B644" s="85"/>
      <c r="C644" s="40" t="s">
        <v>23</v>
      </c>
      <c r="D644" s="39">
        <v>145</v>
      </c>
      <c r="E644" s="38">
        <v>4.4707550951191685E-3</v>
      </c>
    </row>
    <row r="645" spans="2:5" ht="15" customHeight="1">
      <c r="B645" s="83" t="s">
        <v>103</v>
      </c>
      <c r="C645" s="43" t="s">
        <v>212</v>
      </c>
      <c r="D645" s="42">
        <v>23</v>
      </c>
      <c r="E645" s="41">
        <v>7.0915425646717847E-4</v>
      </c>
    </row>
    <row r="646" spans="2:5" ht="15" customHeight="1">
      <c r="B646" s="84"/>
      <c r="C646" s="43" t="s">
        <v>211</v>
      </c>
      <c r="D646" s="42">
        <v>13</v>
      </c>
      <c r="E646" s="41">
        <v>4.0082631887275309E-4</v>
      </c>
    </row>
    <row r="647" spans="2:5" ht="15" customHeight="1">
      <c r="B647" s="84"/>
      <c r="C647" s="43" t="s">
        <v>210</v>
      </c>
      <c r="D647" s="42">
        <v>23</v>
      </c>
      <c r="E647" s="41">
        <v>7.0915425646717847E-4</v>
      </c>
    </row>
    <row r="648" spans="2:5" ht="15" customHeight="1">
      <c r="B648" s="84"/>
      <c r="C648" s="43" t="s">
        <v>209</v>
      </c>
      <c r="D648" s="42">
        <v>39</v>
      </c>
      <c r="E648" s="41">
        <v>1.2024789566182591E-3</v>
      </c>
    </row>
    <row r="649" spans="2:5" ht="15" customHeight="1">
      <c r="B649" s="84"/>
      <c r="C649" s="43" t="s">
        <v>208</v>
      </c>
      <c r="D649" s="42">
        <v>29</v>
      </c>
      <c r="E649" s="41">
        <v>8.9415101902383376E-4</v>
      </c>
    </row>
    <row r="650" spans="2:5" ht="15" customHeight="1">
      <c r="B650" s="84"/>
      <c r="C650" s="43" t="s">
        <v>207</v>
      </c>
      <c r="D650" s="42">
        <v>35</v>
      </c>
      <c r="E650" s="41">
        <v>1.079147781580489E-3</v>
      </c>
    </row>
    <row r="651" spans="2:5" ht="15" customHeight="1">
      <c r="B651" s="84"/>
      <c r="C651" s="43" t="s">
        <v>206</v>
      </c>
      <c r="D651" s="42">
        <v>221</v>
      </c>
      <c r="E651" s="41">
        <v>6.8140474208368022E-3</v>
      </c>
    </row>
    <row r="652" spans="2:5" ht="15" customHeight="1">
      <c r="B652" s="84"/>
      <c r="C652" s="43" t="s">
        <v>205</v>
      </c>
      <c r="D652" s="42">
        <v>102</v>
      </c>
      <c r="E652" s="41">
        <v>3.1449449634631393E-3</v>
      </c>
    </row>
    <row r="653" spans="2:5" ht="15" customHeight="1">
      <c r="B653" s="84"/>
      <c r="C653" s="43" t="s">
        <v>204</v>
      </c>
      <c r="D653" s="42">
        <v>13</v>
      </c>
      <c r="E653" s="41">
        <v>4.0082631887275309E-4</v>
      </c>
    </row>
    <row r="654" spans="2:5" ht="15" customHeight="1">
      <c r="B654" s="84"/>
      <c r="C654" s="43" t="s">
        <v>203</v>
      </c>
      <c r="D654" s="42">
        <v>29</v>
      </c>
      <c r="E654" s="41">
        <v>8.9415101902383376E-4</v>
      </c>
    </row>
    <row r="655" spans="2:5" ht="15" customHeight="1">
      <c r="B655" s="84"/>
      <c r="C655" s="43" t="s">
        <v>202</v>
      </c>
      <c r="D655" s="42">
        <v>62</v>
      </c>
      <c r="E655" s="41">
        <v>1.9116332130854376E-3</v>
      </c>
    </row>
    <row r="656" spans="2:5" ht="15" customHeight="1">
      <c r="B656" s="84"/>
      <c r="C656" s="43" t="s">
        <v>201</v>
      </c>
      <c r="D656" s="42">
        <v>375</v>
      </c>
      <c r="E656" s="41">
        <v>1.1562297659790954E-2</v>
      </c>
    </row>
    <row r="657" spans="2:5" ht="15" customHeight="1">
      <c r="B657" s="84"/>
      <c r="C657" s="43" t="s">
        <v>200</v>
      </c>
      <c r="D657" s="42">
        <v>26</v>
      </c>
      <c r="E657" s="41">
        <v>8.0165263774550617E-4</v>
      </c>
    </row>
    <row r="658" spans="2:5" ht="15" customHeight="1">
      <c r="B658" s="84"/>
      <c r="C658" s="43" t="s">
        <v>199</v>
      </c>
      <c r="D658" s="42">
        <v>41</v>
      </c>
      <c r="E658" s="41">
        <v>1.2641445441371442E-3</v>
      </c>
    </row>
    <row r="659" spans="2:5" ht="15" customHeight="1">
      <c r="B659" s="84"/>
      <c r="C659" s="43" t="s">
        <v>198</v>
      </c>
      <c r="D659" s="42">
        <v>186</v>
      </c>
      <c r="E659" s="41">
        <v>5.7348996392563127E-3</v>
      </c>
    </row>
    <row r="660" spans="2:5" ht="15" customHeight="1">
      <c r="B660" s="84"/>
      <c r="C660" s="43" t="s">
        <v>197</v>
      </c>
      <c r="D660" s="42">
        <v>1</v>
      </c>
      <c r="E660" s="41">
        <v>3.0832793759442546E-5</v>
      </c>
    </row>
    <row r="661" spans="2:5" ht="15" customHeight="1">
      <c r="B661" s="84"/>
      <c r="C661" s="43" t="s">
        <v>196</v>
      </c>
      <c r="D661" s="42">
        <v>4</v>
      </c>
      <c r="E661" s="41">
        <v>1.2333117503777018E-4</v>
      </c>
    </row>
    <row r="662" spans="2:5" ht="15" customHeight="1">
      <c r="B662" s="84"/>
      <c r="C662" s="43" t="s">
        <v>195</v>
      </c>
      <c r="D662" s="42">
        <v>1</v>
      </c>
      <c r="E662" s="41">
        <v>3.0832793759442546E-5</v>
      </c>
    </row>
    <row r="663" spans="2:5" ht="15" customHeight="1">
      <c r="B663" s="84"/>
      <c r="C663" s="43" t="s">
        <v>194</v>
      </c>
      <c r="D663" s="42">
        <v>1</v>
      </c>
      <c r="E663" s="41">
        <v>3.0832793759442546E-5</v>
      </c>
    </row>
    <row r="664" spans="2:5" ht="15" customHeight="1">
      <c r="B664" s="84"/>
      <c r="C664" s="43" t="s">
        <v>193</v>
      </c>
      <c r="D664" s="42">
        <v>20</v>
      </c>
      <c r="E664" s="41">
        <v>6.1665587518885089E-4</v>
      </c>
    </row>
    <row r="665" spans="2:5" ht="15" customHeight="1">
      <c r="B665" s="84"/>
      <c r="C665" s="43" t="s">
        <v>192</v>
      </c>
      <c r="D665" s="42">
        <v>39</v>
      </c>
      <c r="E665" s="41">
        <v>1.2024789566182591E-3</v>
      </c>
    </row>
    <row r="666" spans="2:5" ht="15" customHeight="1">
      <c r="B666" s="84"/>
      <c r="C666" s="43" t="s">
        <v>217</v>
      </c>
      <c r="D666" s="42">
        <v>1</v>
      </c>
      <c r="E666" s="41">
        <v>3.0832793759442546E-5</v>
      </c>
    </row>
    <row r="667" spans="2:5" ht="15" customHeight="1">
      <c r="B667" s="84"/>
      <c r="C667" s="43" t="s">
        <v>189</v>
      </c>
      <c r="D667" s="42">
        <v>1</v>
      </c>
      <c r="E667" s="41">
        <v>3.0832793759442546E-5</v>
      </c>
    </row>
    <row r="668" spans="2:5" ht="15" customHeight="1">
      <c r="B668" s="85"/>
      <c r="C668" s="40" t="s">
        <v>23</v>
      </c>
      <c r="D668" s="39">
        <v>1285</v>
      </c>
      <c r="E668" s="38">
        <v>3.9620139980883665E-2</v>
      </c>
    </row>
    <row r="669" spans="2:5" ht="15" customHeight="1">
      <c r="B669" s="83" t="s">
        <v>115</v>
      </c>
      <c r="C669" s="43" t="s">
        <v>212</v>
      </c>
      <c r="D669" s="42">
        <v>3</v>
      </c>
      <c r="E669" s="41">
        <v>9.249838127832763E-5</v>
      </c>
    </row>
    <row r="670" spans="2:5" ht="15" customHeight="1">
      <c r="B670" s="84"/>
      <c r="C670" s="43" t="s">
        <v>211</v>
      </c>
      <c r="D670" s="42">
        <v>3</v>
      </c>
      <c r="E670" s="41">
        <v>9.249838127832763E-5</v>
      </c>
    </row>
    <row r="671" spans="2:5" ht="15" customHeight="1">
      <c r="B671" s="84"/>
      <c r="C671" s="43" t="s">
        <v>210</v>
      </c>
      <c r="D671" s="42">
        <v>3</v>
      </c>
      <c r="E671" s="41">
        <v>9.249838127832763E-5</v>
      </c>
    </row>
    <row r="672" spans="2:5" ht="15" customHeight="1">
      <c r="B672" s="84"/>
      <c r="C672" s="43" t="s">
        <v>209</v>
      </c>
      <c r="D672" s="42">
        <v>4</v>
      </c>
      <c r="E672" s="41">
        <v>1.2333117503777018E-4</v>
      </c>
    </row>
    <row r="673" spans="2:5" ht="15" customHeight="1">
      <c r="B673" s="84"/>
      <c r="C673" s="43" t="s">
        <v>208</v>
      </c>
      <c r="D673" s="42">
        <v>2</v>
      </c>
      <c r="E673" s="41">
        <v>6.1665587518885091E-5</v>
      </c>
    </row>
    <row r="674" spans="2:5" ht="15" customHeight="1">
      <c r="B674" s="84"/>
      <c r="C674" s="43" t="s">
        <v>207</v>
      </c>
      <c r="D674" s="42">
        <v>5</v>
      </c>
      <c r="E674" s="41">
        <v>1.5416396879721272E-4</v>
      </c>
    </row>
    <row r="675" spans="2:5" ht="15" customHeight="1">
      <c r="B675" s="84"/>
      <c r="C675" s="43" t="s">
        <v>206</v>
      </c>
      <c r="D675" s="42">
        <v>29</v>
      </c>
      <c r="E675" s="41">
        <v>8.9415101902383376E-4</v>
      </c>
    </row>
    <row r="676" spans="2:5" ht="15" customHeight="1">
      <c r="B676" s="84"/>
      <c r="C676" s="43" t="s">
        <v>205</v>
      </c>
      <c r="D676" s="42">
        <v>15</v>
      </c>
      <c r="E676" s="41">
        <v>4.6249190639163816E-4</v>
      </c>
    </row>
    <row r="677" spans="2:5" ht="15" customHeight="1">
      <c r="B677" s="84"/>
      <c r="C677" s="43" t="s">
        <v>204</v>
      </c>
      <c r="D677" s="42">
        <v>3</v>
      </c>
      <c r="E677" s="41">
        <v>9.249838127832763E-5</v>
      </c>
    </row>
    <row r="678" spans="2:5" ht="15" customHeight="1">
      <c r="B678" s="84"/>
      <c r="C678" s="43" t="s">
        <v>203</v>
      </c>
      <c r="D678" s="42">
        <v>3</v>
      </c>
      <c r="E678" s="41">
        <v>9.249838127832763E-5</v>
      </c>
    </row>
    <row r="679" spans="2:5" ht="15" customHeight="1">
      <c r="B679" s="84"/>
      <c r="C679" s="43" t="s">
        <v>202</v>
      </c>
      <c r="D679" s="42">
        <v>8</v>
      </c>
      <c r="E679" s="41">
        <v>2.4666235007554037E-4</v>
      </c>
    </row>
    <row r="680" spans="2:5" ht="15" customHeight="1">
      <c r="B680" s="84"/>
      <c r="C680" s="43" t="s">
        <v>201</v>
      </c>
      <c r="D680" s="42">
        <v>44</v>
      </c>
      <c r="E680" s="41">
        <v>1.3566429254154718E-3</v>
      </c>
    </row>
    <row r="681" spans="2:5" ht="15" customHeight="1">
      <c r="B681" s="84"/>
      <c r="C681" s="43" t="s">
        <v>200</v>
      </c>
      <c r="D681" s="42">
        <v>3</v>
      </c>
      <c r="E681" s="41">
        <v>9.249838127832763E-5</v>
      </c>
    </row>
    <row r="682" spans="2:5" ht="15" customHeight="1">
      <c r="B682" s="84"/>
      <c r="C682" s="43" t="s">
        <v>199</v>
      </c>
      <c r="D682" s="42">
        <v>8</v>
      </c>
      <c r="E682" s="41">
        <v>2.4666235007554037E-4</v>
      </c>
    </row>
    <row r="683" spans="2:5" ht="15" customHeight="1">
      <c r="B683" s="84"/>
      <c r="C683" s="43" t="s">
        <v>198</v>
      </c>
      <c r="D683" s="42">
        <v>31</v>
      </c>
      <c r="E683" s="41">
        <v>9.5581660654271879E-4</v>
      </c>
    </row>
    <row r="684" spans="2:5" ht="15" customHeight="1">
      <c r="B684" s="84"/>
      <c r="C684" s="43" t="s">
        <v>197</v>
      </c>
      <c r="D684" s="42">
        <v>2</v>
      </c>
      <c r="E684" s="41">
        <v>6.1665587518885091E-5</v>
      </c>
    </row>
    <row r="685" spans="2:5" ht="15" customHeight="1">
      <c r="B685" s="84"/>
      <c r="C685" s="43" t="s">
        <v>195</v>
      </c>
      <c r="D685" s="42">
        <v>1</v>
      </c>
      <c r="E685" s="41">
        <v>3.0832793759442546E-5</v>
      </c>
    </row>
    <row r="686" spans="2:5" ht="15" customHeight="1">
      <c r="B686" s="84"/>
      <c r="C686" s="43" t="s">
        <v>192</v>
      </c>
      <c r="D686" s="42">
        <v>3</v>
      </c>
      <c r="E686" s="41">
        <v>9.249838127832763E-5</v>
      </c>
    </row>
    <row r="687" spans="2:5" ht="15" customHeight="1">
      <c r="B687" s="85"/>
      <c r="C687" s="40" t="s">
        <v>23</v>
      </c>
      <c r="D687" s="39">
        <v>170</v>
      </c>
      <c r="E687" s="38">
        <v>5.2415749391052325E-3</v>
      </c>
    </row>
    <row r="688" spans="2:5" ht="15" customHeight="1">
      <c r="B688" s="83" t="s">
        <v>99</v>
      </c>
      <c r="C688" s="43" t="s">
        <v>212</v>
      </c>
      <c r="D688" s="42">
        <v>6</v>
      </c>
      <c r="E688" s="41">
        <v>1.8499676255665526E-4</v>
      </c>
    </row>
    <row r="689" spans="2:5" ht="15" customHeight="1">
      <c r="B689" s="84"/>
      <c r="C689" s="43" t="s">
        <v>211</v>
      </c>
      <c r="D689" s="42">
        <v>1</v>
      </c>
      <c r="E689" s="41">
        <v>3.0832793759442546E-5</v>
      </c>
    </row>
    <row r="690" spans="2:5" ht="15" customHeight="1">
      <c r="B690" s="84"/>
      <c r="C690" s="43" t="s">
        <v>210</v>
      </c>
      <c r="D690" s="42">
        <v>4</v>
      </c>
      <c r="E690" s="41">
        <v>1.2333117503777018E-4</v>
      </c>
    </row>
    <row r="691" spans="2:5" ht="15" customHeight="1">
      <c r="B691" s="84"/>
      <c r="C691" s="43" t="s">
        <v>209</v>
      </c>
      <c r="D691" s="42">
        <v>6</v>
      </c>
      <c r="E691" s="41">
        <v>1.8499676255665526E-4</v>
      </c>
    </row>
    <row r="692" spans="2:5" ht="15" customHeight="1">
      <c r="B692" s="84"/>
      <c r="C692" s="43" t="s">
        <v>208</v>
      </c>
      <c r="D692" s="42">
        <v>1</v>
      </c>
      <c r="E692" s="41">
        <v>3.0832793759442546E-5</v>
      </c>
    </row>
    <row r="693" spans="2:5" ht="15" customHeight="1">
      <c r="B693" s="84"/>
      <c r="C693" s="43" t="s">
        <v>207</v>
      </c>
      <c r="D693" s="42">
        <v>8</v>
      </c>
      <c r="E693" s="41">
        <v>2.4666235007554037E-4</v>
      </c>
    </row>
    <row r="694" spans="2:5" ht="15" customHeight="1">
      <c r="B694" s="84"/>
      <c r="C694" s="43" t="s">
        <v>206</v>
      </c>
      <c r="D694" s="42">
        <v>11</v>
      </c>
      <c r="E694" s="41">
        <v>3.3916073135386795E-4</v>
      </c>
    </row>
    <row r="695" spans="2:5" ht="15" customHeight="1">
      <c r="B695" s="84"/>
      <c r="C695" s="43" t="s">
        <v>205</v>
      </c>
      <c r="D695" s="42">
        <v>44</v>
      </c>
      <c r="E695" s="41">
        <v>1.3566429254154718E-3</v>
      </c>
    </row>
    <row r="696" spans="2:5" ht="15" customHeight="1">
      <c r="B696" s="84"/>
      <c r="C696" s="43" t="s">
        <v>204</v>
      </c>
      <c r="D696" s="42">
        <v>4</v>
      </c>
      <c r="E696" s="41">
        <v>1.2333117503777018E-4</v>
      </c>
    </row>
    <row r="697" spans="2:5" ht="15" customHeight="1">
      <c r="B697" s="84"/>
      <c r="C697" s="43" t="s">
        <v>203</v>
      </c>
      <c r="D697" s="42">
        <v>7</v>
      </c>
      <c r="E697" s="41">
        <v>2.158295563160978E-4</v>
      </c>
    </row>
    <row r="698" spans="2:5" ht="15" customHeight="1">
      <c r="B698" s="84"/>
      <c r="C698" s="43" t="s">
        <v>202</v>
      </c>
      <c r="D698" s="42">
        <v>2</v>
      </c>
      <c r="E698" s="41">
        <v>6.1665587518885091E-5</v>
      </c>
    </row>
    <row r="699" spans="2:5" ht="15" customHeight="1">
      <c r="B699" s="84"/>
      <c r="C699" s="43" t="s">
        <v>201</v>
      </c>
      <c r="D699" s="42">
        <v>67</v>
      </c>
      <c r="E699" s="41">
        <v>2.0657971818826503E-3</v>
      </c>
    </row>
    <row r="700" spans="2:5" ht="15" customHeight="1">
      <c r="B700" s="84"/>
      <c r="C700" s="43" t="s">
        <v>200</v>
      </c>
      <c r="D700" s="42">
        <v>3</v>
      </c>
      <c r="E700" s="41">
        <v>9.249838127832763E-5</v>
      </c>
    </row>
    <row r="701" spans="2:5" ht="15" customHeight="1">
      <c r="B701" s="84"/>
      <c r="C701" s="43" t="s">
        <v>199</v>
      </c>
      <c r="D701" s="42">
        <v>6</v>
      </c>
      <c r="E701" s="41">
        <v>1.8499676255665526E-4</v>
      </c>
    </row>
    <row r="702" spans="2:5" ht="15" customHeight="1">
      <c r="B702" s="84"/>
      <c r="C702" s="43" t="s">
        <v>198</v>
      </c>
      <c r="D702" s="42">
        <v>32</v>
      </c>
      <c r="E702" s="41">
        <v>9.8664940030216146E-4</v>
      </c>
    </row>
    <row r="703" spans="2:5" ht="15" customHeight="1">
      <c r="B703" s="84"/>
      <c r="C703" s="43" t="s">
        <v>197</v>
      </c>
      <c r="D703" s="42">
        <v>1</v>
      </c>
      <c r="E703" s="41">
        <v>3.0832793759442546E-5</v>
      </c>
    </row>
    <row r="704" spans="2:5" ht="15" customHeight="1">
      <c r="B704" s="84"/>
      <c r="C704" s="43" t="s">
        <v>196</v>
      </c>
      <c r="D704" s="42">
        <v>1</v>
      </c>
      <c r="E704" s="41">
        <v>3.0832793759442546E-5</v>
      </c>
    </row>
    <row r="705" spans="2:5" ht="15" customHeight="1">
      <c r="B705" s="84"/>
      <c r="C705" s="43" t="s">
        <v>192</v>
      </c>
      <c r="D705" s="42">
        <v>2</v>
      </c>
      <c r="E705" s="41">
        <v>6.1665587518885091E-5</v>
      </c>
    </row>
    <row r="706" spans="2:5" ht="15" customHeight="1">
      <c r="B706" s="85"/>
      <c r="C706" s="40" t="s">
        <v>23</v>
      </c>
      <c r="D706" s="39">
        <v>206</v>
      </c>
      <c r="E706" s="38">
        <v>6.3515555144451636E-3</v>
      </c>
    </row>
    <row r="707" spans="2:5" ht="15" customHeight="1">
      <c r="B707" s="83" t="s">
        <v>112</v>
      </c>
      <c r="C707" s="43" t="s">
        <v>212</v>
      </c>
      <c r="D707" s="42">
        <v>3</v>
      </c>
      <c r="E707" s="41">
        <v>9.249838127832763E-5</v>
      </c>
    </row>
    <row r="708" spans="2:5" ht="15" customHeight="1">
      <c r="B708" s="84"/>
      <c r="C708" s="43" t="s">
        <v>209</v>
      </c>
      <c r="D708" s="42">
        <v>1</v>
      </c>
      <c r="E708" s="41">
        <v>3.0832793759442546E-5</v>
      </c>
    </row>
    <row r="709" spans="2:5" ht="15" customHeight="1">
      <c r="B709" s="84"/>
      <c r="C709" s="43" t="s">
        <v>206</v>
      </c>
      <c r="D709" s="42">
        <v>7</v>
      </c>
      <c r="E709" s="41">
        <v>2.158295563160978E-4</v>
      </c>
    </row>
    <row r="710" spans="2:5" ht="15" customHeight="1">
      <c r="B710" s="84"/>
      <c r="C710" s="43" t="s">
        <v>205</v>
      </c>
      <c r="D710" s="42">
        <v>6</v>
      </c>
      <c r="E710" s="41">
        <v>1.8499676255665526E-4</v>
      </c>
    </row>
    <row r="711" spans="2:5" ht="15" customHeight="1">
      <c r="B711" s="84"/>
      <c r="C711" s="43" t="s">
        <v>204</v>
      </c>
      <c r="D711" s="42">
        <v>2</v>
      </c>
      <c r="E711" s="41">
        <v>6.1665587518885091E-5</v>
      </c>
    </row>
    <row r="712" spans="2:5" ht="15" customHeight="1">
      <c r="B712" s="84"/>
      <c r="C712" s="43" t="s">
        <v>203</v>
      </c>
      <c r="D712" s="42">
        <v>1</v>
      </c>
      <c r="E712" s="41">
        <v>3.0832793759442546E-5</v>
      </c>
    </row>
    <row r="713" spans="2:5" ht="15" customHeight="1">
      <c r="B713" s="84"/>
      <c r="C713" s="43" t="s">
        <v>202</v>
      </c>
      <c r="D713" s="42">
        <v>2</v>
      </c>
      <c r="E713" s="41">
        <v>6.1665587518885091E-5</v>
      </c>
    </row>
    <row r="714" spans="2:5" ht="15" customHeight="1">
      <c r="B714" s="84"/>
      <c r="C714" s="43" t="s">
        <v>201</v>
      </c>
      <c r="D714" s="42">
        <v>27</v>
      </c>
      <c r="E714" s="41">
        <v>8.3248543150494863E-4</v>
      </c>
    </row>
    <row r="715" spans="2:5" ht="15" customHeight="1">
      <c r="B715" s="84"/>
      <c r="C715" s="43" t="s">
        <v>200</v>
      </c>
      <c r="D715" s="42">
        <v>5</v>
      </c>
      <c r="E715" s="41">
        <v>1.5416396879721272E-4</v>
      </c>
    </row>
    <row r="716" spans="2:5" ht="15" customHeight="1">
      <c r="B716" s="84"/>
      <c r="C716" s="43" t="s">
        <v>199</v>
      </c>
      <c r="D716" s="42">
        <v>3</v>
      </c>
      <c r="E716" s="41">
        <v>9.249838127832763E-5</v>
      </c>
    </row>
    <row r="717" spans="2:5" ht="15" customHeight="1">
      <c r="B717" s="84"/>
      <c r="C717" s="43" t="s">
        <v>198</v>
      </c>
      <c r="D717" s="42">
        <v>15</v>
      </c>
      <c r="E717" s="41">
        <v>4.6249190639163816E-4</v>
      </c>
    </row>
    <row r="718" spans="2:5" ht="15" customHeight="1">
      <c r="B718" s="84"/>
      <c r="C718" s="43" t="s">
        <v>195</v>
      </c>
      <c r="D718" s="42">
        <v>1</v>
      </c>
      <c r="E718" s="41">
        <v>3.0832793759442546E-5</v>
      </c>
    </row>
    <row r="719" spans="2:5" ht="15" customHeight="1">
      <c r="B719" s="84"/>
      <c r="C719" s="43" t="s">
        <v>192</v>
      </c>
      <c r="D719" s="42">
        <v>1</v>
      </c>
      <c r="E719" s="41">
        <v>3.0832793759442546E-5</v>
      </c>
    </row>
    <row r="720" spans="2:5" ht="15" customHeight="1">
      <c r="B720" s="85"/>
      <c r="C720" s="40" t="s">
        <v>23</v>
      </c>
      <c r="D720" s="39">
        <v>74</v>
      </c>
      <c r="E720" s="38">
        <v>2.2816267381987484E-3</v>
      </c>
    </row>
    <row r="721" spans="2:5" ht="15" customHeight="1">
      <c r="B721" s="83" t="s">
        <v>218</v>
      </c>
      <c r="C721" s="43" t="s">
        <v>212</v>
      </c>
      <c r="D721" s="42">
        <v>1</v>
      </c>
      <c r="E721" s="41">
        <v>3.0832793759442546E-5</v>
      </c>
    </row>
    <row r="722" spans="2:5" ht="15" customHeight="1">
      <c r="B722" s="84"/>
      <c r="C722" s="43" t="s">
        <v>210</v>
      </c>
      <c r="D722" s="42">
        <v>4</v>
      </c>
      <c r="E722" s="41">
        <v>1.2333117503777018E-4</v>
      </c>
    </row>
    <row r="723" spans="2:5" ht="15" customHeight="1">
      <c r="B723" s="84"/>
      <c r="C723" s="43" t="s">
        <v>209</v>
      </c>
      <c r="D723" s="42">
        <v>2</v>
      </c>
      <c r="E723" s="41">
        <v>6.1665587518885091E-5</v>
      </c>
    </row>
    <row r="724" spans="2:5" ht="15" customHeight="1">
      <c r="B724" s="84"/>
      <c r="C724" s="43" t="s">
        <v>208</v>
      </c>
      <c r="D724" s="42">
        <v>2</v>
      </c>
      <c r="E724" s="41">
        <v>6.1665587518885091E-5</v>
      </c>
    </row>
    <row r="725" spans="2:5" ht="15" customHeight="1">
      <c r="B725" s="84"/>
      <c r="C725" s="43" t="s">
        <v>207</v>
      </c>
      <c r="D725" s="42">
        <v>3</v>
      </c>
      <c r="E725" s="41">
        <v>9.249838127832763E-5</v>
      </c>
    </row>
    <row r="726" spans="2:5" ht="15" customHeight="1">
      <c r="B726" s="84"/>
      <c r="C726" s="43" t="s">
        <v>206</v>
      </c>
      <c r="D726" s="42">
        <v>11</v>
      </c>
      <c r="E726" s="41">
        <v>3.3916073135386795E-4</v>
      </c>
    </row>
    <row r="727" spans="2:5" ht="15" customHeight="1">
      <c r="B727" s="84"/>
      <c r="C727" s="43" t="s">
        <v>205</v>
      </c>
      <c r="D727" s="42">
        <v>12</v>
      </c>
      <c r="E727" s="41">
        <v>3.6999352511331052E-4</v>
      </c>
    </row>
    <row r="728" spans="2:5" ht="15" customHeight="1">
      <c r="B728" s="84"/>
      <c r="C728" s="43" t="s">
        <v>204</v>
      </c>
      <c r="D728" s="42">
        <v>5</v>
      </c>
      <c r="E728" s="41">
        <v>1.5416396879721272E-4</v>
      </c>
    </row>
    <row r="729" spans="2:5" ht="15" customHeight="1">
      <c r="B729" s="84"/>
      <c r="C729" s="43" t="s">
        <v>203</v>
      </c>
      <c r="D729" s="42">
        <v>4</v>
      </c>
      <c r="E729" s="41">
        <v>1.2333117503777018E-4</v>
      </c>
    </row>
    <row r="730" spans="2:5" ht="15" customHeight="1">
      <c r="B730" s="84"/>
      <c r="C730" s="43" t="s">
        <v>202</v>
      </c>
      <c r="D730" s="42">
        <v>2</v>
      </c>
      <c r="E730" s="41">
        <v>6.1665587518885091E-5</v>
      </c>
    </row>
    <row r="731" spans="2:5" ht="15" customHeight="1">
      <c r="B731" s="84"/>
      <c r="C731" s="43" t="s">
        <v>201</v>
      </c>
      <c r="D731" s="42">
        <v>17</v>
      </c>
      <c r="E731" s="41">
        <v>5.2415749391052319E-4</v>
      </c>
    </row>
    <row r="732" spans="2:5" ht="15" customHeight="1">
      <c r="B732" s="84"/>
      <c r="C732" s="43" t="s">
        <v>200</v>
      </c>
      <c r="D732" s="42">
        <v>4</v>
      </c>
      <c r="E732" s="41">
        <v>1.2333117503777018E-4</v>
      </c>
    </row>
    <row r="733" spans="2:5" ht="15" customHeight="1">
      <c r="B733" s="84"/>
      <c r="C733" s="43" t="s">
        <v>199</v>
      </c>
      <c r="D733" s="42">
        <v>2</v>
      </c>
      <c r="E733" s="41">
        <v>6.1665587518885091E-5</v>
      </c>
    </row>
    <row r="734" spans="2:5" ht="15" customHeight="1">
      <c r="B734" s="84"/>
      <c r="C734" s="43" t="s">
        <v>198</v>
      </c>
      <c r="D734" s="42">
        <v>17</v>
      </c>
      <c r="E734" s="41">
        <v>5.2415749391052319E-4</v>
      </c>
    </row>
    <row r="735" spans="2:5" ht="15" customHeight="1">
      <c r="B735" s="84"/>
      <c r="C735" s="43" t="s">
        <v>192</v>
      </c>
      <c r="D735" s="42">
        <v>2</v>
      </c>
      <c r="E735" s="41">
        <v>6.1665587518885091E-5</v>
      </c>
    </row>
    <row r="736" spans="2:5" ht="15" customHeight="1">
      <c r="B736" s="85"/>
      <c r="C736" s="40" t="s">
        <v>23</v>
      </c>
      <c r="D736" s="39">
        <v>88</v>
      </c>
      <c r="E736" s="38">
        <v>2.7132858508309436E-3</v>
      </c>
    </row>
    <row r="737" spans="2:5" ht="15" customHeight="1">
      <c r="B737" s="83" t="s">
        <v>114</v>
      </c>
      <c r="C737" s="43" t="s">
        <v>212</v>
      </c>
      <c r="D737" s="42">
        <v>3</v>
      </c>
      <c r="E737" s="41">
        <v>9.249838127832763E-5</v>
      </c>
    </row>
    <row r="738" spans="2:5" ht="15" customHeight="1">
      <c r="B738" s="84"/>
      <c r="C738" s="43" t="s">
        <v>211</v>
      </c>
      <c r="D738" s="42">
        <v>2</v>
      </c>
      <c r="E738" s="41">
        <v>6.1665587518885091E-5</v>
      </c>
    </row>
    <row r="739" spans="2:5" ht="15" customHeight="1">
      <c r="B739" s="84"/>
      <c r="C739" s="43" t="s">
        <v>210</v>
      </c>
      <c r="D739" s="42">
        <v>4</v>
      </c>
      <c r="E739" s="41">
        <v>1.2333117503777018E-4</v>
      </c>
    </row>
    <row r="740" spans="2:5" ht="15" customHeight="1">
      <c r="B740" s="84"/>
      <c r="C740" s="43" t="s">
        <v>209</v>
      </c>
      <c r="D740" s="42">
        <v>6</v>
      </c>
      <c r="E740" s="41">
        <v>1.8499676255665526E-4</v>
      </c>
    </row>
    <row r="741" spans="2:5" ht="15" customHeight="1">
      <c r="B741" s="84"/>
      <c r="C741" s="43" t="s">
        <v>208</v>
      </c>
      <c r="D741" s="42">
        <v>3</v>
      </c>
      <c r="E741" s="41">
        <v>9.249838127832763E-5</v>
      </c>
    </row>
    <row r="742" spans="2:5" ht="15" customHeight="1">
      <c r="B742" s="84"/>
      <c r="C742" s="43" t="s">
        <v>207</v>
      </c>
      <c r="D742" s="42">
        <v>2</v>
      </c>
      <c r="E742" s="41">
        <v>6.1665587518885091E-5</v>
      </c>
    </row>
    <row r="743" spans="2:5" ht="15" customHeight="1">
      <c r="B743" s="84"/>
      <c r="C743" s="43" t="s">
        <v>206</v>
      </c>
      <c r="D743" s="42">
        <v>10</v>
      </c>
      <c r="E743" s="41">
        <v>3.0832793759442544E-4</v>
      </c>
    </row>
    <row r="744" spans="2:5" ht="15" customHeight="1">
      <c r="B744" s="84"/>
      <c r="C744" s="43" t="s">
        <v>205</v>
      </c>
      <c r="D744" s="42">
        <v>24</v>
      </c>
      <c r="E744" s="41">
        <v>7.3998705022662104E-4</v>
      </c>
    </row>
    <row r="745" spans="2:5" ht="15" customHeight="1">
      <c r="B745" s="84"/>
      <c r="C745" s="43" t="s">
        <v>204</v>
      </c>
      <c r="D745" s="42">
        <v>3</v>
      </c>
      <c r="E745" s="41">
        <v>9.249838127832763E-5</v>
      </c>
    </row>
    <row r="746" spans="2:5" ht="15" customHeight="1">
      <c r="B746" s="84"/>
      <c r="C746" s="43" t="s">
        <v>203</v>
      </c>
      <c r="D746" s="42">
        <v>4</v>
      </c>
      <c r="E746" s="41">
        <v>1.2333117503777018E-4</v>
      </c>
    </row>
    <row r="747" spans="2:5" ht="15" customHeight="1">
      <c r="B747" s="84"/>
      <c r="C747" s="43" t="s">
        <v>202</v>
      </c>
      <c r="D747" s="42">
        <v>3</v>
      </c>
      <c r="E747" s="41">
        <v>9.249838127832763E-5</v>
      </c>
    </row>
    <row r="748" spans="2:5" ht="15" customHeight="1">
      <c r="B748" s="84"/>
      <c r="C748" s="43" t="s">
        <v>201</v>
      </c>
      <c r="D748" s="42">
        <v>42</v>
      </c>
      <c r="E748" s="41">
        <v>1.2949773378965869E-3</v>
      </c>
    </row>
    <row r="749" spans="2:5" ht="15" customHeight="1">
      <c r="B749" s="84"/>
      <c r="C749" s="43" t="s">
        <v>200</v>
      </c>
      <c r="D749" s="42">
        <v>2</v>
      </c>
      <c r="E749" s="41">
        <v>6.1665587518885091E-5</v>
      </c>
    </row>
    <row r="750" spans="2:5" ht="15" customHeight="1">
      <c r="B750" s="84"/>
      <c r="C750" s="43" t="s">
        <v>199</v>
      </c>
      <c r="D750" s="42">
        <v>8</v>
      </c>
      <c r="E750" s="41">
        <v>2.4666235007554037E-4</v>
      </c>
    </row>
    <row r="751" spans="2:5" ht="15" customHeight="1">
      <c r="B751" s="84"/>
      <c r="C751" s="43" t="s">
        <v>198</v>
      </c>
      <c r="D751" s="42">
        <v>23</v>
      </c>
      <c r="E751" s="41">
        <v>7.0915425646717847E-4</v>
      </c>
    </row>
    <row r="752" spans="2:5" ht="15" customHeight="1">
      <c r="B752" s="84"/>
      <c r="C752" s="43" t="s">
        <v>193</v>
      </c>
      <c r="D752" s="42">
        <v>2</v>
      </c>
      <c r="E752" s="41">
        <v>6.1665587518885091E-5</v>
      </c>
    </row>
    <row r="753" spans="2:5" ht="15" customHeight="1">
      <c r="B753" s="84"/>
      <c r="C753" s="43" t="s">
        <v>192</v>
      </c>
      <c r="D753" s="42">
        <v>4</v>
      </c>
      <c r="E753" s="41">
        <v>1.2333117503777018E-4</v>
      </c>
    </row>
    <row r="754" spans="2:5" ht="15" customHeight="1">
      <c r="B754" s="85"/>
      <c r="C754" s="40" t="s">
        <v>23</v>
      </c>
      <c r="D754" s="39">
        <v>145</v>
      </c>
      <c r="E754" s="38">
        <v>4.4707550951191685E-3</v>
      </c>
    </row>
    <row r="755" spans="2:5" ht="15" customHeight="1">
      <c r="B755" s="83" t="s">
        <v>92</v>
      </c>
      <c r="C755" s="43" t="s">
        <v>212</v>
      </c>
      <c r="D755" s="42">
        <v>3</v>
      </c>
      <c r="E755" s="41">
        <v>9.249838127832763E-5</v>
      </c>
    </row>
    <row r="756" spans="2:5" ht="15" customHeight="1">
      <c r="B756" s="84"/>
      <c r="C756" s="43" t="s">
        <v>208</v>
      </c>
      <c r="D756" s="42">
        <v>3</v>
      </c>
      <c r="E756" s="41">
        <v>9.249838127832763E-5</v>
      </c>
    </row>
    <row r="757" spans="2:5" ht="15" customHeight="1">
      <c r="B757" s="84"/>
      <c r="C757" s="43" t="s">
        <v>206</v>
      </c>
      <c r="D757" s="42">
        <v>7</v>
      </c>
      <c r="E757" s="41">
        <v>2.158295563160978E-4</v>
      </c>
    </row>
    <row r="758" spans="2:5" ht="15" customHeight="1">
      <c r="B758" s="84"/>
      <c r="C758" s="43" t="s">
        <v>205</v>
      </c>
      <c r="D758" s="42">
        <v>9</v>
      </c>
      <c r="E758" s="41">
        <v>2.7749514383498288E-4</v>
      </c>
    </row>
    <row r="759" spans="2:5" ht="15" customHeight="1">
      <c r="B759" s="84"/>
      <c r="C759" s="43" t="s">
        <v>203</v>
      </c>
      <c r="D759" s="42">
        <v>1</v>
      </c>
      <c r="E759" s="41">
        <v>3.0832793759442546E-5</v>
      </c>
    </row>
    <row r="760" spans="2:5" ht="15" customHeight="1">
      <c r="B760" s="84"/>
      <c r="C760" s="43" t="s">
        <v>202</v>
      </c>
      <c r="D760" s="42">
        <v>2</v>
      </c>
      <c r="E760" s="41">
        <v>6.1665587518885091E-5</v>
      </c>
    </row>
    <row r="761" spans="2:5" ht="15" customHeight="1">
      <c r="B761" s="84"/>
      <c r="C761" s="43" t="s">
        <v>201</v>
      </c>
      <c r="D761" s="42">
        <v>18</v>
      </c>
      <c r="E761" s="41">
        <v>5.5499028766996575E-4</v>
      </c>
    </row>
    <row r="762" spans="2:5" ht="15" customHeight="1">
      <c r="B762" s="84"/>
      <c r="C762" s="43" t="s">
        <v>200</v>
      </c>
      <c r="D762" s="42">
        <v>1</v>
      </c>
      <c r="E762" s="41">
        <v>3.0832793759442546E-5</v>
      </c>
    </row>
    <row r="763" spans="2:5" ht="15" customHeight="1">
      <c r="B763" s="84"/>
      <c r="C763" s="43" t="s">
        <v>198</v>
      </c>
      <c r="D763" s="42">
        <v>8</v>
      </c>
      <c r="E763" s="41">
        <v>2.4666235007554037E-4</v>
      </c>
    </row>
    <row r="764" spans="2:5" ht="15" customHeight="1">
      <c r="B764" s="84"/>
      <c r="C764" s="43" t="s">
        <v>192</v>
      </c>
      <c r="D764" s="42">
        <v>1</v>
      </c>
      <c r="E764" s="41">
        <v>3.0832793759442546E-5</v>
      </c>
    </row>
    <row r="765" spans="2:5" ht="15" customHeight="1">
      <c r="B765" s="84"/>
      <c r="C765" s="43" t="s">
        <v>217</v>
      </c>
      <c r="D765" s="42">
        <v>1</v>
      </c>
      <c r="E765" s="41">
        <v>3.0832793759442546E-5</v>
      </c>
    </row>
    <row r="766" spans="2:5" ht="15" customHeight="1">
      <c r="B766" s="85"/>
      <c r="C766" s="40" t="s">
        <v>23</v>
      </c>
      <c r="D766" s="39">
        <v>54</v>
      </c>
      <c r="E766" s="38">
        <v>1.6649708630098973E-3</v>
      </c>
    </row>
    <row r="767" spans="2:5" ht="15" customHeight="1">
      <c r="B767" s="83" t="s">
        <v>83</v>
      </c>
      <c r="C767" s="43" t="s">
        <v>212</v>
      </c>
      <c r="D767" s="42">
        <v>1</v>
      </c>
      <c r="E767" s="41">
        <v>3.0832793759442546E-5</v>
      </c>
    </row>
    <row r="768" spans="2:5" ht="15" customHeight="1">
      <c r="B768" s="84"/>
      <c r="C768" s="43" t="s">
        <v>210</v>
      </c>
      <c r="D768" s="42">
        <v>1</v>
      </c>
      <c r="E768" s="41">
        <v>3.0832793759442546E-5</v>
      </c>
    </row>
    <row r="769" spans="2:5" ht="15" customHeight="1">
      <c r="B769" s="84"/>
      <c r="C769" s="43" t="s">
        <v>205</v>
      </c>
      <c r="D769" s="42">
        <v>2</v>
      </c>
      <c r="E769" s="41">
        <v>6.1665587518885091E-5</v>
      </c>
    </row>
    <row r="770" spans="2:5" ht="15" customHeight="1">
      <c r="B770" s="84"/>
      <c r="C770" s="43" t="s">
        <v>202</v>
      </c>
      <c r="D770" s="42">
        <v>3</v>
      </c>
      <c r="E770" s="41">
        <v>9.249838127832763E-5</v>
      </c>
    </row>
    <row r="771" spans="2:5" ht="15" customHeight="1">
      <c r="B771" s="84"/>
      <c r="C771" s="43" t="s">
        <v>201</v>
      </c>
      <c r="D771" s="42">
        <v>4</v>
      </c>
      <c r="E771" s="41">
        <v>1.2333117503777018E-4</v>
      </c>
    </row>
    <row r="772" spans="2:5" ht="15" customHeight="1">
      <c r="B772" s="84"/>
      <c r="C772" s="43" t="s">
        <v>198</v>
      </c>
      <c r="D772" s="42">
        <v>3</v>
      </c>
      <c r="E772" s="41">
        <v>9.249838127832763E-5</v>
      </c>
    </row>
    <row r="773" spans="2:5" ht="15" customHeight="1">
      <c r="B773" s="84"/>
      <c r="C773" s="43" t="s">
        <v>192</v>
      </c>
      <c r="D773" s="42">
        <v>1</v>
      </c>
      <c r="E773" s="41">
        <v>3.0832793759442546E-5</v>
      </c>
    </row>
    <row r="774" spans="2:5" ht="15" customHeight="1">
      <c r="B774" s="85"/>
      <c r="C774" s="40" t="s">
        <v>23</v>
      </c>
      <c r="D774" s="39">
        <v>15</v>
      </c>
      <c r="E774" s="38">
        <v>4.6249190639163816E-4</v>
      </c>
    </row>
    <row r="775" spans="2:5" ht="15" customHeight="1">
      <c r="B775" s="83" t="s">
        <v>39</v>
      </c>
      <c r="C775" s="43" t="s">
        <v>212</v>
      </c>
      <c r="D775" s="42">
        <v>2</v>
      </c>
      <c r="E775" s="41">
        <v>6.1665587518885091E-5</v>
      </c>
    </row>
    <row r="776" spans="2:5" ht="15" customHeight="1">
      <c r="B776" s="84"/>
      <c r="C776" s="43" t="s">
        <v>211</v>
      </c>
      <c r="D776" s="42">
        <v>1</v>
      </c>
      <c r="E776" s="41">
        <v>3.0832793759442546E-5</v>
      </c>
    </row>
    <row r="777" spans="2:5" ht="15" customHeight="1">
      <c r="B777" s="84"/>
      <c r="C777" s="43" t="s">
        <v>210</v>
      </c>
      <c r="D777" s="42">
        <v>3</v>
      </c>
      <c r="E777" s="41">
        <v>9.249838127832763E-5</v>
      </c>
    </row>
    <row r="778" spans="2:5" ht="15" customHeight="1">
      <c r="B778" s="84"/>
      <c r="C778" s="43" t="s">
        <v>209</v>
      </c>
      <c r="D778" s="42">
        <v>5</v>
      </c>
      <c r="E778" s="41">
        <v>1.5416396879721272E-4</v>
      </c>
    </row>
    <row r="779" spans="2:5" ht="15" customHeight="1">
      <c r="B779" s="84"/>
      <c r="C779" s="43" t="s">
        <v>208</v>
      </c>
      <c r="D779" s="42">
        <v>4</v>
      </c>
      <c r="E779" s="41">
        <v>1.2333117503777018E-4</v>
      </c>
    </row>
    <row r="780" spans="2:5" ht="15" customHeight="1">
      <c r="B780" s="84"/>
      <c r="C780" s="43" t="s">
        <v>207</v>
      </c>
      <c r="D780" s="42">
        <v>3</v>
      </c>
      <c r="E780" s="41">
        <v>9.249838127832763E-5</v>
      </c>
    </row>
    <row r="781" spans="2:5" ht="15" customHeight="1">
      <c r="B781" s="84"/>
      <c r="C781" s="43" t="s">
        <v>206</v>
      </c>
      <c r="D781" s="42">
        <v>27</v>
      </c>
      <c r="E781" s="41">
        <v>8.3248543150494863E-4</v>
      </c>
    </row>
    <row r="782" spans="2:5" ht="15" customHeight="1">
      <c r="B782" s="84"/>
      <c r="C782" s="43" t="s">
        <v>205</v>
      </c>
      <c r="D782" s="42">
        <v>54</v>
      </c>
      <c r="E782" s="41">
        <v>1.6649708630098973E-3</v>
      </c>
    </row>
    <row r="783" spans="2:5" ht="15" customHeight="1">
      <c r="B783" s="84"/>
      <c r="C783" s="43" t="s">
        <v>204</v>
      </c>
      <c r="D783" s="42">
        <v>1</v>
      </c>
      <c r="E783" s="41">
        <v>3.0832793759442546E-5</v>
      </c>
    </row>
    <row r="784" spans="2:5" ht="15" customHeight="1">
      <c r="B784" s="84"/>
      <c r="C784" s="43" t="s">
        <v>203</v>
      </c>
      <c r="D784" s="42">
        <v>10</v>
      </c>
      <c r="E784" s="41">
        <v>3.0832793759442544E-4</v>
      </c>
    </row>
    <row r="785" spans="2:5" ht="15" customHeight="1">
      <c r="B785" s="84"/>
      <c r="C785" s="43" t="s">
        <v>202</v>
      </c>
      <c r="D785" s="42">
        <v>12</v>
      </c>
      <c r="E785" s="41">
        <v>3.6999352511331052E-4</v>
      </c>
    </row>
    <row r="786" spans="2:5" ht="15" customHeight="1">
      <c r="B786" s="84"/>
      <c r="C786" s="43" t="s">
        <v>201</v>
      </c>
      <c r="D786" s="42">
        <v>98</v>
      </c>
      <c r="E786" s="41">
        <v>3.0216137884253691E-3</v>
      </c>
    </row>
    <row r="787" spans="2:5" ht="15" customHeight="1">
      <c r="B787" s="84"/>
      <c r="C787" s="43" t="s">
        <v>200</v>
      </c>
      <c r="D787" s="42">
        <v>2</v>
      </c>
      <c r="E787" s="41">
        <v>6.1665587518885091E-5</v>
      </c>
    </row>
    <row r="788" spans="2:5" ht="15" customHeight="1">
      <c r="B788" s="84"/>
      <c r="C788" s="43" t="s">
        <v>199</v>
      </c>
      <c r="D788" s="42">
        <v>11</v>
      </c>
      <c r="E788" s="41">
        <v>3.3916073135386795E-4</v>
      </c>
    </row>
    <row r="789" spans="2:5" ht="15" customHeight="1">
      <c r="B789" s="84"/>
      <c r="C789" s="43" t="s">
        <v>198</v>
      </c>
      <c r="D789" s="42">
        <v>38</v>
      </c>
      <c r="E789" s="41">
        <v>1.1716461628588166E-3</v>
      </c>
    </row>
    <row r="790" spans="2:5" ht="15" customHeight="1">
      <c r="B790" s="84"/>
      <c r="C790" s="43" t="s">
        <v>193</v>
      </c>
      <c r="D790" s="42">
        <v>4</v>
      </c>
      <c r="E790" s="41">
        <v>1.2333117503777018E-4</v>
      </c>
    </row>
    <row r="791" spans="2:5" ht="15" customHeight="1">
      <c r="B791" s="84"/>
      <c r="C791" s="43" t="s">
        <v>192</v>
      </c>
      <c r="D791" s="42">
        <v>7</v>
      </c>
      <c r="E791" s="41">
        <v>2.158295563160978E-4</v>
      </c>
    </row>
    <row r="792" spans="2:5" ht="15" customHeight="1">
      <c r="B792" s="85"/>
      <c r="C792" s="40" t="s">
        <v>23</v>
      </c>
      <c r="D792" s="39">
        <v>282</v>
      </c>
      <c r="E792" s="38">
        <v>8.6948478401627973E-3</v>
      </c>
    </row>
    <row r="793" spans="2:5" ht="15" customHeight="1">
      <c r="B793" s="83" t="s">
        <v>80</v>
      </c>
      <c r="C793" s="43" t="s">
        <v>206</v>
      </c>
      <c r="D793" s="42">
        <v>1</v>
      </c>
      <c r="E793" s="41">
        <v>3.0832793759442546E-5</v>
      </c>
    </row>
    <row r="794" spans="2:5" ht="15" customHeight="1">
      <c r="B794" s="84"/>
      <c r="C794" s="43" t="s">
        <v>204</v>
      </c>
      <c r="D794" s="42">
        <v>2</v>
      </c>
      <c r="E794" s="41">
        <v>6.1665587518885091E-5</v>
      </c>
    </row>
    <row r="795" spans="2:5" ht="15" customHeight="1">
      <c r="B795" s="84"/>
      <c r="C795" s="43" t="s">
        <v>198</v>
      </c>
      <c r="D795" s="42">
        <v>1</v>
      </c>
      <c r="E795" s="41">
        <v>3.0832793759442546E-5</v>
      </c>
    </row>
    <row r="796" spans="2:5" ht="15" customHeight="1">
      <c r="B796" s="85"/>
      <c r="C796" s="40" t="s">
        <v>23</v>
      </c>
      <c r="D796" s="39">
        <v>4</v>
      </c>
      <c r="E796" s="38">
        <v>1.2333117503777018E-4</v>
      </c>
    </row>
    <row r="797" spans="2:5" ht="15" customHeight="1">
      <c r="B797" s="95" t="s">
        <v>23</v>
      </c>
      <c r="C797" s="96"/>
      <c r="D797" s="97">
        <v>32433</v>
      </c>
      <c r="E797" s="98">
        <v>1</v>
      </c>
    </row>
    <row r="799" spans="2:5" ht="15" customHeight="1">
      <c r="B799" s="19" t="s">
        <v>22</v>
      </c>
    </row>
    <row r="800" spans="2:5" ht="15" customHeight="1">
      <c r="B800" s="21" t="s">
        <v>21</v>
      </c>
    </row>
    <row r="801" spans="2:2" ht="15" customHeight="1">
      <c r="B801" s="20" t="s">
        <v>20</v>
      </c>
    </row>
    <row r="802" spans="2:2" ht="15" customHeight="1">
      <c r="B802" s="19" t="s">
        <v>19</v>
      </c>
    </row>
    <row r="803" spans="2:2" ht="15" customHeight="1">
      <c r="B803" s="19" t="s">
        <v>18</v>
      </c>
    </row>
  </sheetData>
  <mergeCells count="50">
    <mergeCell ref="B83:B88"/>
    <mergeCell ref="B89:B108"/>
    <mergeCell ref="B109:B110"/>
    <mergeCell ref="B111:B135"/>
    <mergeCell ref="B136:B160"/>
    <mergeCell ref="B7:E8"/>
    <mergeCell ref="B10:B26"/>
    <mergeCell ref="B27:B48"/>
    <mergeCell ref="B49:B71"/>
    <mergeCell ref="B72:B82"/>
    <mergeCell ref="B224:B238"/>
    <mergeCell ref="B239:B254"/>
    <mergeCell ref="B255:B279"/>
    <mergeCell ref="B280:B297"/>
    <mergeCell ref="B298:B316"/>
    <mergeCell ref="B161:B168"/>
    <mergeCell ref="B169:B186"/>
    <mergeCell ref="B187:B204"/>
    <mergeCell ref="B205:B210"/>
    <mergeCell ref="B211:B223"/>
    <mergeCell ref="B413:B429"/>
    <mergeCell ref="B430:B445"/>
    <mergeCell ref="B446:B464"/>
    <mergeCell ref="B465:B483"/>
    <mergeCell ref="B484:B503"/>
    <mergeCell ref="B317:B332"/>
    <mergeCell ref="B333:B349"/>
    <mergeCell ref="B350:B371"/>
    <mergeCell ref="B372:B391"/>
    <mergeCell ref="B392:B412"/>
    <mergeCell ref="B578:B597"/>
    <mergeCell ref="B598:B611"/>
    <mergeCell ref="B612:B625"/>
    <mergeCell ref="B626:B644"/>
    <mergeCell ref="B645:B668"/>
    <mergeCell ref="B504:B522"/>
    <mergeCell ref="B523:B534"/>
    <mergeCell ref="B535:B551"/>
    <mergeCell ref="B552:B566"/>
    <mergeCell ref="B567:B577"/>
    <mergeCell ref="B669:B687"/>
    <mergeCell ref="B688:B706"/>
    <mergeCell ref="B793:B796"/>
    <mergeCell ref="B797:C797"/>
    <mergeCell ref="B707:B720"/>
    <mergeCell ref="B721:B736"/>
    <mergeCell ref="B737:B754"/>
    <mergeCell ref="B755:B766"/>
    <mergeCell ref="B767:B774"/>
    <mergeCell ref="B775:B79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21" manualBreakCount="21">
    <brk id="48" max="4" man="1"/>
    <brk id="88" max="4" man="1"/>
    <brk id="110" max="4" man="1"/>
    <brk id="135" max="4" man="1"/>
    <brk id="168" max="4" man="1"/>
    <brk id="210" max="4" man="1"/>
    <brk id="254" max="4" man="1"/>
    <brk id="297" max="4" man="1"/>
    <brk id="332" max="4" man="1"/>
    <brk id="371" max="4" man="1"/>
    <brk id="412" max="4" man="1"/>
    <brk id="445" max="4" man="1"/>
    <brk id="483" max="4" man="1"/>
    <brk id="522" max="4" man="1"/>
    <brk id="566" max="4" man="1"/>
    <brk id="597" max="4" man="1"/>
    <brk id="625" max="4" man="1"/>
    <brk id="668" max="4" man="1"/>
    <brk id="706" max="4" man="1"/>
    <brk id="736" max="4" man="1"/>
    <brk id="774" max="4" man="1"/>
  </rowBreaks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228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227</v>
      </c>
      <c r="C11" s="31" t="s">
        <v>71</v>
      </c>
      <c r="D11" s="30" t="s">
        <v>70</v>
      </c>
    </row>
    <row r="12" spans="1:4" ht="15" customHeight="1">
      <c r="B12" s="27" t="s">
        <v>226</v>
      </c>
      <c r="C12" s="26">
        <v>19908</v>
      </c>
      <c r="D12" s="25">
        <v>0.61381925816298211</v>
      </c>
    </row>
    <row r="13" spans="1:4" ht="15" customHeight="1">
      <c r="B13" s="27" t="s">
        <v>225</v>
      </c>
      <c r="C13" s="26">
        <v>12525</v>
      </c>
      <c r="D13" s="25">
        <v>0.38618074183701784</v>
      </c>
    </row>
    <row r="14" spans="1:4">
      <c r="B14" s="24" t="s">
        <v>224</v>
      </c>
      <c r="C14" s="23">
        <v>32433</v>
      </c>
      <c r="D14" s="22">
        <v>1</v>
      </c>
    </row>
    <row r="15" spans="1:4" s="28" customFormat="1">
      <c r="A15" s="17"/>
      <c r="C15" s="59"/>
      <c r="D15" s="59"/>
    </row>
    <row r="16" spans="1:4" s="28" customFormat="1">
      <c r="A16" s="17"/>
      <c r="B16" s="19" t="s">
        <v>22</v>
      </c>
      <c r="C16" s="59"/>
      <c r="D16" s="59"/>
    </row>
    <row r="17" spans="2:4">
      <c r="B17" s="21" t="s">
        <v>21</v>
      </c>
      <c r="C17" s="58"/>
      <c r="D17" s="58"/>
    </row>
    <row r="18" spans="2:4">
      <c r="B18" s="20" t="s">
        <v>20</v>
      </c>
      <c r="C18" s="57"/>
      <c r="D18" s="57"/>
    </row>
    <row r="19" spans="2:4">
      <c r="B19" s="19" t="s">
        <v>19</v>
      </c>
    </row>
    <row r="20" spans="2:4">
      <c r="B20" s="19" t="s">
        <v>18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1"/>
  <sheetViews>
    <sheetView showGridLines="0" topLeftCell="A145" zoomScale="84" zoomScaleNormal="84" zoomScaleSheetLayoutView="100" workbookViewId="0">
      <selection activeCell="J167" sqref="J167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60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2" customFormat="1" ht="15">
      <c r="B1" s="51"/>
      <c r="C1" s="48"/>
    </row>
    <row r="2" spans="1:6" s="48" customFormat="1">
      <c r="B2" s="66"/>
    </row>
    <row r="3" spans="1:6" ht="15" customHeight="1">
      <c r="B3" s="67"/>
      <c r="C3" s="35"/>
      <c r="D3" s="29"/>
      <c r="F3" s="48"/>
    </row>
    <row r="4" spans="1:6" ht="30" customHeight="1">
      <c r="B4" s="67"/>
      <c r="C4" s="35"/>
      <c r="D4" s="29"/>
      <c r="F4" s="48"/>
    </row>
    <row r="5" spans="1:6" ht="15" customHeight="1">
      <c r="B5" s="67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6"/>
      <c r="C7" s="51"/>
    </row>
    <row r="8" spans="1:6" s="62" customFormat="1" ht="15" customHeight="1">
      <c r="B8" s="93" t="s">
        <v>231</v>
      </c>
      <c r="C8" s="93"/>
      <c r="D8" s="93"/>
      <c r="E8" s="93"/>
    </row>
    <row r="9" spans="1:6" s="62" customFormat="1" ht="15" customHeight="1">
      <c r="A9" s="64"/>
      <c r="B9" s="93"/>
      <c r="C9" s="93"/>
      <c r="D9" s="93"/>
      <c r="E9" s="93"/>
      <c r="F9" s="65"/>
    </row>
    <row r="10" spans="1:6" s="62" customFormat="1" ht="15" customHeight="1">
      <c r="A10" s="64"/>
      <c r="B10" s="94"/>
      <c r="C10" s="94"/>
      <c r="D10" s="94"/>
      <c r="E10" s="94"/>
      <c r="F10" s="64"/>
    </row>
    <row r="11" spans="1:6" s="62" customFormat="1" ht="36.950000000000003" customHeight="1">
      <c r="B11" s="63" t="s">
        <v>124</v>
      </c>
      <c r="C11" s="63" t="s">
        <v>227</v>
      </c>
      <c r="D11" s="63" t="s">
        <v>71</v>
      </c>
      <c r="E11" s="63" t="s">
        <v>70</v>
      </c>
    </row>
    <row r="12" spans="1:6" ht="15" customHeight="1">
      <c r="B12" s="88" t="s">
        <v>87</v>
      </c>
      <c r="C12" s="61" t="s">
        <v>230</v>
      </c>
      <c r="D12" s="26">
        <v>66</v>
      </c>
      <c r="E12" s="25">
        <v>2.0349643881232078E-3</v>
      </c>
    </row>
    <row r="13" spans="1:6" ht="15" customHeight="1">
      <c r="B13" s="89"/>
      <c r="C13" s="61" t="s">
        <v>229</v>
      </c>
      <c r="D13" s="26">
        <v>38</v>
      </c>
      <c r="E13" s="25">
        <v>1.1716461628588166E-3</v>
      </c>
    </row>
    <row r="14" spans="1:6" ht="15" customHeight="1">
      <c r="B14" s="90"/>
      <c r="C14" s="68" t="s">
        <v>23</v>
      </c>
      <c r="D14" s="69">
        <v>104</v>
      </c>
      <c r="E14" s="70">
        <v>3.2066105509820247E-3</v>
      </c>
    </row>
    <row r="15" spans="1:6" ht="15" customHeight="1">
      <c r="B15" s="88" t="s">
        <v>119</v>
      </c>
      <c r="C15" s="61" t="s">
        <v>230</v>
      </c>
      <c r="D15" s="26">
        <v>1437</v>
      </c>
      <c r="E15" s="25">
        <v>4.4306724632318932E-2</v>
      </c>
    </row>
    <row r="16" spans="1:6" ht="15" customHeight="1">
      <c r="B16" s="89"/>
      <c r="C16" s="61" t="s">
        <v>229</v>
      </c>
      <c r="D16" s="26">
        <v>731</v>
      </c>
      <c r="E16" s="25">
        <v>2.25387722381525E-2</v>
      </c>
    </row>
    <row r="17" spans="1:6" s="48" customFormat="1" ht="15" customHeight="1">
      <c r="A17" s="29"/>
      <c r="B17" s="90"/>
      <c r="C17" s="68" t="s">
        <v>23</v>
      </c>
      <c r="D17" s="69">
        <v>2168</v>
      </c>
      <c r="E17" s="70">
        <v>6.6845496870471435E-2</v>
      </c>
      <c r="F17" s="29"/>
    </row>
    <row r="18" spans="1:6" s="48" customFormat="1" ht="15" customHeight="1">
      <c r="A18" s="29"/>
      <c r="B18" s="88" t="s">
        <v>109</v>
      </c>
      <c r="C18" s="61" t="s">
        <v>230</v>
      </c>
      <c r="D18" s="26">
        <v>1256</v>
      </c>
      <c r="E18" s="25">
        <v>3.8725988961859831E-2</v>
      </c>
      <c r="F18" s="29"/>
    </row>
    <row r="19" spans="1:6" s="48" customFormat="1" ht="15" customHeight="1">
      <c r="A19" s="29"/>
      <c r="B19" s="89"/>
      <c r="C19" s="61" t="s">
        <v>229</v>
      </c>
      <c r="D19" s="26">
        <v>774</v>
      </c>
      <c r="E19" s="25">
        <v>2.386458236980853E-2</v>
      </c>
      <c r="F19" s="29"/>
    </row>
    <row r="20" spans="1:6" s="48" customFormat="1" ht="15" customHeight="1">
      <c r="A20" s="29"/>
      <c r="B20" s="90"/>
      <c r="C20" s="68" t="s">
        <v>23</v>
      </c>
      <c r="D20" s="69">
        <v>2030</v>
      </c>
      <c r="E20" s="70">
        <v>6.2590571331668357E-2</v>
      </c>
      <c r="F20" s="29"/>
    </row>
    <row r="21" spans="1:6" s="48" customFormat="1" ht="15" customHeight="1">
      <c r="A21" s="29"/>
      <c r="B21" s="88" t="s">
        <v>85</v>
      </c>
      <c r="C21" s="61" t="s">
        <v>230</v>
      </c>
      <c r="D21" s="26">
        <v>29</v>
      </c>
      <c r="E21" s="25">
        <v>8.9415101902383376E-4</v>
      </c>
      <c r="F21" s="29"/>
    </row>
    <row r="22" spans="1:6" ht="13.5">
      <c r="B22" s="89"/>
      <c r="C22" s="61" t="s">
        <v>229</v>
      </c>
      <c r="D22" s="26">
        <v>8</v>
      </c>
      <c r="E22" s="25">
        <v>2.4666235007554037E-4</v>
      </c>
    </row>
    <row r="23" spans="1:6" ht="13.5">
      <c r="B23" s="90"/>
      <c r="C23" s="68" t="s">
        <v>23</v>
      </c>
      <c r="D23" s="69">
        <v>37</v>
      </c>
      <c r="E23" s="70">
        <v>1.1408133690993742E-3</v>
      </c>
    </row>
    <row r="24" spans="1:6" ht="13.5">
      <c r="B24" s="88" t="s">
        <v>81</v>
      </c>
      <c r="C24" s="61" t="s">
        <v>230</v>
      </c>
      <c r="D24" s="26">
        <v>17</v>
      </c>
      <c r="E24" s="25">
        <v>5.2415749391052319E-4</v>
      </c>
    </row>
    <row r="25" spans="1:6" ht="13.5">
      <c r="B25" s="89"/>
      <c r="C25" s="61" t="s">
        <v>229</v>
      </c>
      <c r="D25" s="26">
        <v>4</v>
      </c>
      <c r="E25" s="25">
        <v>1.2333117503777018E-4</v>
      </c>
    </row>
    <row r="26" spans="1:6" ht="13.5">
      <c r="B26" s="90"/>
      <c r="C26" s="68" t="s">
        <v>23</v>
      </c>
      <c r="D26" s="69">
        <v>21</v>
      </c>
      <c r="E26" s="70">
        <v>6.4748866894829345E-4</v>
      </c>
    </row>
    <row r="27" spans="1:6" ht="13.5">
      <c r="B27" s="88" t="s">
        <v>86</v>
      </c>
      <c r="C27" s="61" t="s">
        <v>230</v>
      </c>
      <c r="D27" s="26">
        <v>154</v>
      </c>
      <c r="E27" s="25">
        <v>4.7482502389541515E-3</v>
      </c>
    </row>
    <row r="28" spans="1:6" ht="13.5">
      <c r="B28" s="89"/>
      <c r="C28" s="61" t="s">
        <v>229</v>
      </c>
      <c r="D28" s="26">
        <v>245</v>
      </c>
      <c r="E28" s="25">
        <v>7.5540344710634229E-3</v>
      </c>
    </row>
    <row r="29" spans="1:6" ht="13.5">
      <c r="B29" s="90"/>
      <c r="C29" s="68" t="s">
        <v>23</v>
      </c>
      <c r="D29" s="69">
        <v>399</v>
      </c>
      <c r="E29" s="70">
        <v>1.2302284710017574E-2</v>
      </c>
    </row>
    <row r="30" spans="1:6" ht="13.5">
      <c r="B30" s="88" t="s">
        <v>223</v>
      </c>
      <c r="C30" s="61" t="s">
        <v>230</v>
      </c>
      <c r="D30" s="26">
        <v>1</v>
      </c>
      <c r="E30" s="25">
        <v>3.0832793759442546E-5</v>
      </c>
    </row>
    <row r="31" spans="1:6" ht="13.5">
      <c r="B31" s="90"/>
      <c r="C31" s="68" t="s">
        <v>23</v>
      </c>
      <c r="D31" s="69">
        <v>1</v>
      </c>
      <c r="E31" s="70">
        <v>3.0832793759442546E-5</v>
      </c>
    </row>
    <row r="32" spans="1:6" ht="13.5">
      <c r="B32" s="88" t="s">
        <v>122</v>
      </c>
      <c r="C32" s="61" t="s">
        <v>230</v>
      </c>
      <c r="D32" s="26">
        <v>613</v>
      </c>
      <c r="E32" s="25">
        <v>1.8900502574538278E-2</v>
      </c>
    </row>
    <row r="33" spans="2:5" ht="13.5">
      <c r="B33" s="89"/>
      <c r="C33" s="61" t="s">
        <v>229</v>
      </c>
      <c r="D33" s="26">
        <v>502</v>
      </c>
      <c r="E33" s="25">
        <v>1.5478062467240157E-2</v>
      </c>
    </row>
    <row r="34" spans="2:5" ht="13.5">
      <c r="B34" s="90"/>
      <c r="C34" s="68" t="s">
        <v>23</v>
      </c>
      <c r="D34" s="69">
        <v>1115</v>
      </c>
      <c r="E34" s="70">
        <v>3.4378565041778435E-2</v>
      </c>
    </row>
    <row r="35" spans="2:5" ht="13.5">
      <c r="B35" s="88" t="s">
        <v>120</v>
      </c>
      <c r="C35" s="61" t="s">
        <v>230</v>
      </c>
      <c r="D35" s="26">
        <v>4975</v>
      </c>
      <c r="E35" s="25">
        <v>0.15339314895322664</v>
      </c>
    </row>
    <row r="36" spans="2:5" ht="13.5">
      <c r="B36" s="89"/>
      <c r="C36" s="61" t="s">
        <v>229</v>
      </c>
      <c r="D36" s="26">
        <v>3117</v>
      </c>
      <c r="E36" s="25">
        <v>9.6105818148182406E-2</v>
      </c>
    </row>
    <row r="37" spans="2:5" ht="13.5">
      <c r="B37" s="90"/>
      <c r="C37" s="68" t="s">
        <v>23</v>
      </c>
      <c r="D37" s="69">
        <v>8092</v>
      </c>
      <c r="E37" s="70">
        <v>0.24949896710140906</v>
      </c>
    </row>
    <row r="38" spans="2:5" ht="13.5">
      <c r="B38" s="88" t="s">
        <v>222</v>
      </c>
      <c r="C38" s="61" t="s">
        <v>230</v>
      </c>
      <c r="D38" s="26">
        <v>8</v>
      </c>
      <c r="E38" s="25">
        <v>2.4666235007554037E-4</v>
      </c>
    </row>
    <row r="39" spans="2:5" ht="13.5">
      <c r="B39" s="89"/>
      <c r="C39" s="61" t="s">
        <v>229</v>
      </c>
      <c r="D39" s="26">
        <v>6</v>
      </c>
      <c r="E39" s="25">
        <v>1.8499676255665526E-4</v>
      </c>
    </row>
    <row r="40" spans="2:5" ht="13.5">
      <c r="B40" s="90"/>
      <c r="C40" s="68" t="s">
        <v>23</v>
      </c>
      <c r="D40" s="69">
        <v>14</v>
      </c>
      <c r="E40" s="70">
        <v>4.316591126321956E-4</v>
      </c>
    </row>
    <row r="41" spans="2:5" ht="13.5">
      <c r="B41" s="88" t="s">
        <v>104</v>
      </c>
      <c r="C41" s="61" t="s">
        <v>230</v>
      </c>
      <c r="D41" s="26">
        <v>152</v>
      </c>
      <c r="E41" s="25">
        <v>4.6865846514352666E-3</v>
      </c>
    </row>
    <row r="42" spans="2:5" ht="13.5">
      <c r="B42" s="89"/>
      <c r="C42" s="61" t="s">
        <v>229</v>
      </c>
      <c r="D42" s="26">
        <v>76</v>
      </c>
      <c r="E42" s="25">
        <v>2.3432923257176333E-3</v>
      </c>
    </row>
    <row r="43" spans="2:5" ht="13.5">
      <c r="B43" s="90"/>
      <c r="C43" s="68" t="s">
        <v>23</v>
      </c>
      <c r="D43" s="69">
        <v>228</v>
      </c>
      <c r="E43" s="70">
        <v>7.0298769771528994E-3</v>
      </c>
    </row>
    <row r="44" spans="2:5" ht="13.5">
      <c r="B44" s="88" t="s">
        <v>90</v>
      </c>
      <c r="C44" s="61" t="s">
        <v>230</v>
      </c>
      <c r="D44" s="26">
        <v>127</v>
      </c>
      <c r="E44" s="25">
        <v>3.9157648074492034E-3</v>
      </c>
    </row>
    <row r="45" spans="2:5" ht="13.5">
      <c r="B45" s="89"/>
      <c r="C45" s="61" t="s">
        <v>229</v>
      </c>
      <c r="D45" s="26">
        <v>69</v>
      </c>
      <c r="E45" s="25">
        <v>2.1274627694015356E-3</v>
      </c>
    </row>
    <row r="46" spans="2:5" ht="13.5">
      <c r="B46" s="90"/>
      <c r="C46" s="68" t="s">
        <v>23</v>
      </c>
      <c r="D46" s="69">
        <v>196</v>
      </c>
      <c r="E46" s="70">
        <v>6.0432275768507382E-3</v>
      </c>
    </row>
    <row r="47" spans="2:5" ht="13.5">
      <c r="B47" s="88" t="s">
        <v>75</v>
      </c>
      <c r="C47" s="61" t="s">
        <v>230</v>
      </c>
      <c r="D47" s="26">
        <v>2</v>
      </c>
      <c r="E47" s="25">
        <v>6.1665587518885091E-5</v>
      </c>
    </row>
    <row r="48" spans="2:5" ht="13.5">
      <c r="B48" s="89"/>
      <c r="C48" s="61" t="s">
        <v>229</v>
      </c>
      <c r="D48" s="26">
        <v>3</v>
      </c>
      <c r="E48" s="25">
        <v>9.249838127832763E-5</v>
      </c>
    </row>
    <row r="49" spans="2:5" ht="13.5">
      <c r="B49" s="90"/>
      <c r="C49" s="68" t="s">
        <v>23</v>
      </c>
      <c r="D49" s="69">
        <v>5</v>
      </c>
      <c r="E49" s="70">
        <v>1.5416396879721272E-4</v>
      </c>
    </row>
    <row r="50" spans="2:5" ht="13.5">
      <c r="B50" s="88" t="s">
        <v>88</v>
      </c>
      <c r="C50" s="61" t="s">
        <v>230</v>
      </c>
      <c r="D50" s="26">
        <v>14</v>
      </c>
      <c r="E50" s="25">
        <v>4.316591126321956E-4</v>
      </c>
    </row>
    <row r="51" spans="2:5" ht="13.5">
      <c r="B51" s="89"/>
      <c r="C51" s="61" t="s">
        <v>229</v>
      </c>
      <c r="D51" s="26">
        <v>9</v>
      </c>
      <c r="E51" s="25">
        <v>2.7749514383498288E-4</v>
      </c>
    </row>
    <row r="52" spans="2:5" ht="13.5">
      <c r="B52" s="90"/>
      <c r="C52" s="68" t="s">
        <v>23</v>
      </c>
      <c r="D52" s="69">
        <v>23</v>
      </c>
      <c r="E52" s="70">
        <v>7.0915425646717847E-4</v>
      </c>
    </row>
    <row r="53" spans="2:5" ht="13.5">
      <c r="B53" s="88" t="s">
        <v>101</v>
      </c>
      <c r="C53" s="61" t="s">
        <v>230</v>
      </c>
      <c r="D53" s="26">
        <v>38</v>
      </c>
      <c r="E53" s="25">
        <v>1.1716461628588166E-3</v>
      </c>
    </row>
    <row r="54" spans="2:5" ht="13.5">
      <c r="B54" s="89"/>
      <c r="C54" s="61" t="s">
        <v>229</v>
      </c>
      <c r="D54" s="26">
        <v>31</v>
      </c>
      <c r="E54" s="25">
        <v>9.5581660654271879E-4</v>
      </c>
    </row>
    <row r="55" spans="2:5" ht="13.5">
      <c r="B55" s="90"/>
      <c r="C55" s="68" t="s">
        <v>23</v>
      </c>
      <c r="D55" s="69">
        <v>69</v>
      </c>
      <c r="E55" s="70">
        <v>2.1274627694015356E-3</v>
      </c>
    </row>
    <row r="56" spans="2:5" ht="13.5">
      <c r="B56" s="88" t="s">
        <v>117</v>
      </c>
      <c r="C56" s="61" t="s">
        <v>230</v>
      </c>
      <c r="D56" s="26">
        <v>65</v>
      </c>
      <c r="E56" s="25">
        <v>2.0041315943637654E-3</v>
      </c>
    </row>
    <row r="57" spans="2:5" ht="13.5">
      <c r="B57" s="89"/>
      <c r="C57" s="61" t="s">
        <v>229</v>
      </c>
      <c r="D57" s="26">
        <v>35</v>
      </c>
      <c r="E57" s="25">
        <v>1.079147781580489E-3</v>
      </c>
    </row>
    <row r="58" spans="2:5" ht="13.5">
      <c r="B58" s="90"/>
      <c r="C58" s="68" t="s">
        <v>23</v>
      </c>
      <c r="D58" s="69">
        <v>100</v>
      </c>
      <c r="E58" s="70">
        <v>3.0832793759442544E-3</v>
      </c>
    </row>
    <row r="59" spans="2:5" ht="13.5">
      <c r="B59" s="88" t="s">
        <v>121</v>
      </c>
      <c r="C59" s="61" t="s">
        <v>230</v>
      </c>
      <c r="D59" s="26">
        <v>5136</v>
      </c>
      <c r="E59" s="25">
        <v>0.15835722874849689</v>
      </c>
    </row>
    <row r="60" spans="2:5" ht="13.5">
      <c r="B60" s="89"/>
      <c r="C60" s="61" t="s">
        <v>229</v>
      </c>
      <c r="D60" s="26">
        <v>3358</v>
      </c>
      <c r="E60" s="25">
        <v>0.10353652144420807</v>
      </c>
    </row>
    <row r="61" spans="2:5" ht="13.5">
      <c r="B61" s="90"/>
      <c r="C61" s="68" t="s">
        <v>23</v>
      </c>
      <c r="D61" s="69">
        <v>8494</v>
      </c>
      <c r="E61" s="70">
        <v>0.26189375019270494</v>
      </c>
    </row>
    <row r="62" spans="2:5" ht="13.5">
      <c r="B62" s="88" t="s">
        <v>221</v>
      </c>
      <c r="C62" s="61" t="s">
        <v>230</v>
      </c>
      <c r="D62" s="26">
        <v>330</v>
      </c>
      <c r="E62" s="25">
        <v>1.0174821940616039E-2</v>
      </c>
    </row>
    <row r="63" spans="2:5" ht="13.5">
      <c r="B63" s="89"/>
      <c r="C63" s="61" t="s">
        <v>229</v>
      </c>
      <c r="D63" s="26">
        <v>124</v>
      </c>
      <c r="E63" s="25">
        <v>3.8232664261708751E-3</v>
      </c>
    </row>
    <row r="64" spans="2:5" ht="13.5">
      <c r="B64" s="90"/>
      <c r="C64" s="68" t="s">
        <v>23</v>
      </c>
      <c r="D64" s="69">
        <v>454</v>
      </c>
      <c r="E64" s="70">
        <v>1.3998088366786914E-2</v>
      </c>
    </row>
    <row r="65" spans="2:5" ht="13.5">
      <c r="B65" s="88" t="s">
        <v>100</v>
      </c>
      <c r="C65" s="61" t="s">
        <v>230</v>
      </c>
      <c r="D65" s="26">
        <v>241</v>
      </c>
      <c r="E65" s="25">
        <v>7.4307032960256531E-3</v>
      </c>
    </row>
    <row r="66" spans="2:5" ht="13.5">
      <c r="B66" s="89"/>
      <c r="C66" s="61" t="s">
        <v>229</v>
      </c>
      <c r="D66" s="26">
        <v>118</v>
      </c>
      <c r="E66" s="25">
        <v>3.63826966361422E-3</v>
      </c>
    </row>
    <row r="67" spans="2:5" ht="13.5">
      <c r="B67" s="90"/>
      <c r="C67" s="68" t="s">
        <v>23</v>
      </c>
      <c r="D67" s="69">
        <v>359</v>
      </c>
      <c r="E67" s="70">
        <v>1.1068972959639873E-2</v>
      </c>
    </row>
    <row r="68" spans="2:5" ht="13.5">
      <c r="B68" s="88" t="s">
        <v>84</v>
      </c>
      <c r="C68" s="61" t="s">
        <v>230</v>
      </c>
      <c r="D68" s="26">
        <v>93</v>
      </c>
      <c r="E68" s="25">
        <v>2.8674498196281564E-3</v>
      </c>
    </row>
    <row r="69" spans="2:5" ht="13.5">
      <c r="B69" s="89"/>
      <c r="C69" s="61" t="s">
        <v>229</v>
      </c>
      <c r="D69" s="26">
        <v>125</v>
      </c>
      <c r="E69" s="25">
        <v>3.854099219930318E-3</v>
      </c>
    </row>
    <row r="70" spans="2:5" ht="13.5">
      <c r="B70" s="90"/>
      <c r="C70" s="68" t="s">
        <v>23</v>
      </c>
      <c r="D70" s="69">
        <v>218</v>
      </c>
      <c r="E70" s="70">
        <v>6.7215490395584748E-3</v>
      </c>
    </row>
    <row r="71" spans="2:5" ht="13.5">
      <c r="B71" s="88" t="s">
        <v>107</v>
      </c>
      <c r="C71" s="61" t="s">
        <v>230</v>
      </c>
      <c r="D71" s="26">
        <v>92</v>
      </c>
      <c r="E71" s="25">
        <v>2.8366170258687139E-3</v>
      </c>
    </row>
    <row r="72" spans="2:5" ht="13.5">
      <c r="B72" s="89"/>
      <c r="C72" s="61" t="s">
        <v>229</v>
      </c>
      <c r="D72" s="26">
        <v>51</v>
      </c>
      <c r="E72" s="25">
        <v>1.5724724817315697E-3</v>
      </c>
    </row>
    <row r="73" spans="2:5" ht="13.5">
      <c r="B73" s="90"/>
      <c r="C73" s="68" t="s">
        <v>23</v>
      </c>
      <c r="D73" s="69">
        <v>143</v>
      </c>
      <c r="E73" s="70">
        <v>4.4090895076002836E-3</v>
      </c>
    </row>
    <row r="74" spans="2:5" ht="13.5">
      <c r="B74" s="88" t="s">
        <v>111</v>
      </c>
      <c r="C74" s="61" t="s">
        <v>230</v>
      </c>
      <c r="D74" s="26">
        <v>879</v>
      </c>
      <c r="E74" s="25">
        <v>2.7102025714549994E-2</v>
      </c>
    </row>
    <row r="75" spans="2:5" ht="13.5">
      <c r="B75" s="89"/>
      <c r="C75" s="61" t="s">
        <v>229</v>
      </c>
      <c r="D75" s="26">
        <v>512</v>
      </c>
      <c r="E75" s="25">
        <v>1.5786390404834583E-2</v>
      </c>
    </row>
    <row r="76" spans="2:5" ht="13.5">
      <c r="B76" s="90"/>
      <c r="C76" s="68" t="s">
        <v>23</v>
      </c>
      <c r="D76" s="69">
        <v>1391</v>
      </c>
      <c r="E76" s="70">
        <v>4.2888416119384577E-2</v>
      </c>
    </row>
    <row r="77" spans="2:5" ht="13.5">
      <c r="B77" s="88" t="s">
        <v>220</v>
      </c>
      <c r="C77" s="61" t="s">
        <v>230</v>
      </c>
      <c r="D77" s="26">
        <v>276</v>
      </c>
      <c r="E77" s="25">
        <v>8.5098510776061426E-3</v>
      </c>
    </row>
    <row r="78" spans="2:5" ht="13.5">
      <c r="B78" s="89"/>
      <c r="C78" s="61" t="s">
        <v>229</v>
      </c>
      <c r="D78" s="26">
        <v>212</v>
      </c>
      <c r="E78" s="25">
        <v>6.5365522770018192E-3</v>
      </c>
    </row>
    <row r="79" spans="2:5" ht="13.5">
      <c r="B79" s="90"/>
      <c r="C79" s="68" t="s">
        <v>23</v>
      </c>
      <c r="D79" s="69">
        <v>488</v>
      </c>
      <c r="E79" s="70">
        <v>1.5046403354607961E-2</v>
      </c>
    </row>
    <row r="80" spans="2:5" ht="13.5">
      <c r="B80" s="88" t="s">
        <v>219</v>
      </c>
      <c r="C80" s="61" t="s">
        <v>230</v>
      </c>
      <c r="D80" s="26">
        <v>257</v>
      </c>
      <c r="E80" s="25">
        <v>7.9240279961767333E-3</v>
      </c>
    </row>
    <row r="81" spans="2:5" ht="13.5">
      <c r="B81" s="89"/>
      <c r="C81" s="61" t="s">
        <v>229</v>
      </c>
      <c r="D81" s="26">
        <v>354</v>
      </c>
      <c r="E81" s="25">
        <v>1.0914808990842659E-2</v>
      </c>
    </row>
    <row r="82" spans="2:5" ht="13.5">
      <c r="B82" s="90"/>
      <c r="C82" s="68" t="s">
        <v>23</v>
      </c>
      <c r="D82" s="69">
        <v>611</v>
      </c>
      <c r="E82" s="70">
        <v>1.8838836987019394E-2</v>
      </c>
    </row>
    <row r="83" spans="2:5" ht="13.5">
      <c r="B83" s="88" t="s">
        <v>97</v>
      </c>
      <c r="C83" s="61" t="s">
        <v>230</v>
      </c>
      <c r="D83" s="26">
        <v>215</v>
      </c>
      <c r="E83" s="25">
        <v>6.6290506582801466E-3</v>
      </c>
    </row>
    <row r="84" spans="2:5" ht="13.5">
      <c r="B84" s="89"/>
      <c r="C84" s="61" t="s">
        <v>229</v>
      </c>
      <c r="D84" s="26">
        <v>79</v>
      </c>
      <c r="E84" s="25">
        <v>2.4357907069959611E-3</v>
      </c>
    </row>
    <row r="85" spans="2:5" ht="13.5">
      <c r="B85" s="90"/>
      <c r="C85" s="68" t="s">
        <v>23</v>
      </c>
      <c r="D85" s="69">
        <v>294</v>
      </c>
      <c r="E85" s="70">
        <v>9.0648413652761068E-3</v>
      </c>
    </row>
    <row r="86" spans="2:5" ht="13.5">
      <c r="B86" s="88" t="s">
        <v>96</v>
      </c>
      <c r="C86" s="61" t="s">
        <v>230</v>
      </c>
      <c r="D86" s="26">
        <v>42</v>
      </c>
      <c r="E86" s="25">
        <v>1.2949773378965869E-3</v>
      </c>
    </row>
    <row r="87" spans="2:5" ht="13.5">
      <c r="B87" s="89"/>
      <c r="C87" s="61" t="s">
        <v>229</v>
      </c>
      <c r="D87" s="26">
        <v>44</v>
      </c>
      <c r="E87" s="25">
        <v>1.3566429254154718E-3</v>
      </c>
    </row>
    <row r="88" spans="2:5" ht="13.5">
      <c r="B88" s="90"/>
      <c r="C88" s="68" t="s">
        <v>23</v>
      </c>
      <c r="D88" s="69">
        <v>86</v>
      </c>
      <c r="E88" s="70">
        <v>2.6516202633120587E-3</v>
      </c>
    </row>
    <row r="89" spans="2:5" ht="13.5">
      <c r="B89" s="88" t="s">
        <v>89</v>
      </c>
      <c r="C89" s="61" t="s">
        <v>230</v>
      </c>
      <c r="D89" s="26">
        <v>314</v>
      </c>
      <c r="E89" s="25">
        <v>9.6814972404649577E-3</v>
      </c>
    </row>
    <row r="90" spans="2:5" ht="13.5">
      <c r="B90" s="89"/>
      <c r="C90" s="61" t="s">
        <v>229</v>
      </c>
      <c r="D90" s="26">
        <v>158</v>
      </c>
      <c r="E90" s="25">
        <v>4.8715814139919222E-3</v>
      </c>
    </row>
    <row r="91" spans="2:5" ht="13.5">
      <c r="B91" s="90"/>
      <c r="C91" s="68" t="s">
        <v>23</v>
      </c>
      <c r="D91" s="69">
        <v>472</v>
      </c>
      <c r="E91" s="70">
        <v>1.455307865445688E-2</v>
      </c>
    </row>
    <row r="92" spans="2:5" ht="13.5">
      <c r="B92" s="88" t="s">
        <v>118</v>
      </c>
      <c r="C92" s="61" t="s">
        <v>230</v>
      </c>
      <c r="D92" s="26">
        <v>79</v>
      </c>
      <c r="E92" s="25">
        <v>2.4357907069959611E-3</v>
      </c>
    </row>
    <row r="93" spans="2:5" ht="13.5">
      <c r="B93" s="89"/>
      <c r="C93" s="61" t="s">
        <v>229</v>
      </c>
      <c r="D93" s="26">
        <v>25</v>
      </c>
      <c r="E93" s="25">
        <v>7.7081984398606361E-4</v>
      </c>
    </row>
    <row r="94" spans="2:5" ht="13.5">
      <c r="B94" s="90"/>
      <c r="C94" s="68" t="s">
        <v>23</v>
      </c>
      <c r="D94" s="69">
        <v>104</v>
      </c>
      <c r="E94" s="70">
        <v>3.2066105509820247E-3</v>
      </c>
    </row>
    <row r="95" spans="2:5" ht="13.5">
      <c r="B95" s="88" t="s">
        <v>91</v>
      </c>
      <c r="C95" s="61" t="s">
        <v>230</v>
      </c>
      <c r="D95" s="26">
        <v>126</v>
      </c>
      <c r="E95" s="25">
        <v>3.8849320136897605E-3</v>
      </c>
    </row>
    <row r="96" spans="2:5" ht="13.5">
      <c r="B96" s="89"/>
      <c r="C96" s="61" t="s">
        <v>229</v>
      </c>
      <c r="D96" s="26">
        <v>76</v>
      </c>
      <c r="E96" s="25">
        <v>2.3432923257176333E-3</v>
      </c>
    </row>
    <row r="97" spans="2:5" ht="13.5">
      <c r="B97" s="90"/>
      <c r="C97" s="68" t="s">
        <v>23</v>
      </c>
      <c r="D97" s="69">
        <v>202</v>
      </c>
      <c r="E97" s="70">
        <v>6.2282243394073938E-3</v>
      </c>
    </row>
    <row r="98" spans="2:5" ht="13.5">
      <c r="B98" s="88" t="s">
        <v>110</v>
      </c>
      <c r="C98" s="61" t="s">
        <v>230</v>
      </c>
      <c r="D98" s="26">
        <v>400</v>
      </c>
      <c r="E98" s="25">
        <v>1.2333117503777018E-2</v>
      </c>
    </row>
    <row r="99" spans="2:5" ht="13.5">
      <c r="B99" s="89"/>
      <c r="C99" s="61" t="s">
        <v>229</v>
      </c>
      <c r="D99" s="26">
        <v>193</v>
      </c>
      <c r="E99" s="25">
        <v>5.9507291955724108E-3</v>
      </c>
    </row>
    <row r="100" spans="2:5" ht="13.5">
      <c r="B100" s="90"/>
      <c r="C100" s="68" t="s">
        <v>23</v>
      </c>
      <c r="D100" s="69">
        <v>593</v>
      </c>
      <c r="E100" s="70">
        <v>1.8283846699349428E-2</v>
      </c>
    </row>
    <row r="101" spans="2:5" ht="13.5">
      <c r="B101" s="88" t="s">
        <v>106</v>
      </c>
      <c r="C101" s="61" t="s">
        <v>230</v>
      </c>
      <c r="D101" s="26">
        <v>28</v>
      </c>
      <c r="E101" s="25">
        <v>8.633182252643912E-4</v>
      </c>
    </row>
    <row r="102" spans="2:5" ht="13.5">
      <c r="B102" s="89"/>
      <c r="C102" s="61" t="s">
        <v>229</v>
      </c>
      <c r="D102" s="26">
        <v>21</v>
      </c>
      <c r="E102" s="25">
        <v>6.4748866894829345E-4</v>
      </c>
    </row>
    <row r="103" spans="2:5" ht="13.5">
      <c r="B103" s="90"/>
      <c r="C103" s="68" t="s">
        <v>23</v>
      </c>
      <c r="D103" s="69">
        <v>49</v>
      </c>
      <c r="E103" s="70">
        <v>1.5108068942126845E-3</v>
      </c>
    </row>
    <row r="104" spans="2:5" ht="13.5">
      <c r="B104" s="88" t="s">
        <v>94</v>
      </c>
      <c r="C104" s="61" t="s">
        <v>230</v>
      </c>
      <c r="D104" s="26">
        <v>56</v>
      </c>
      <c r="E104" s="25">
        <v>1.7266364505287824E-3</v>
      </c>
    </row>
    <row r="105" spans="2:5" ht="13.5">
      <c r="B105" s="89"/>
      <c r="C105" s="61" t="s">
        <v>229</v>
      </c>
      <c r="D105" s="26">
        <v>27</v>
      </c>
      <c r="E105" s="25">
        <v>8.3248543150494863E-4</v>
      </c>
    </row>
    <row r="106" spans="2:5" ht="13.5">
      <c r="B106" s="90"/>
      <c r="C106" s="68" t="s">
        <v>23</v>
      </c>
      <c r="D106" s="69">
        <v>83</v>
      </c>
      <c r="E106" s="70">
        <v>2.5591218820337309E-3</v>
      </c>
    </row>
    <row r="107" spans="2:5" ht="13.5">
      <c r="B107" s="88" t="s">
        <v>98</v>
      </c>
      <c r="C107" s="61" t="s">
        <v>230</v>
      </c>
      <c r="D107" s="26">
        <v>31</v>
      </c>
      <c r="E107" s="25">
        <v>9.5581660654271879E-4</v>
      </c>
    </row>
    <row r="108" spans="2:5" ht="13.5">
      <c r="B108" s="89"/>
      <c r="C108" s="61" t="s">
        <v>229</v>
      </c>
      <c r="D108" s="26">
        <v>25</v>
      </c>
      <c r="E108" s="25">
        <v>7.7081984398606361E-4</v>
      </c>
    </row>
    <row r="109" spans="2:5" ht="13.5">
      <c r="B109" s="90"/>
      <c r="C109" s="68" t="s">
        <v>23</v>
      </c>
      <c r="D109" s="69">
        <v>56</v>
      </c>
      <c r="E109" s="70">
        <v>1.7266364505287824E-3</v>
      </c>
    </row>
    <row r="110" spans="2:5" ht="13.5">
      <c r="B110" s="88" t="s">
        <v>82</v>
      </c>
      <c r="C110" s="61" t="s">
        <v>230</v>
      </c>
      <c r="D110" s="26">
        <v>23</v>
      </c>
      <c r="E110" s="25">
        <v>7.0915425646717847E-4</v>
      </c>
    </row>
    <row r="111" spans="2:5" ht="13.5">
      <c r="B111" s="89"/>
      <c r="C111" s="61" t="s">
        <v>229</v>
      </c>
      <c r="D111" s="26">
        <v>4</v>
      </c>
      <c r="E111" s="25">
        <v>1.2333117503777018E-4</v>
      </c>
    </row>
    <row r="112" spans="2:5" ht="13.5">
      <c r="B112" s="90"/>
      <c r="C112" s="68" t="s">
        <v>23</v>
      </c>
      <c r="D112" s="69">
        <v>27</v>
      </c>
      <c r="E112" s="70">
        <v>8.3248543150494863E-4</v>
      </c>
    </row>
    <row r="113" spans="2:5" ht="13.5">
      <c r="B113" s="88" t="s">
        <v>116</v>
      </c>
      <c r="C113" s="61" t="s">
        <v>230</v>
      </c>
      <c r="D113" s="26">
        <v>704</v>
      </c>
      <c r="E113" s="25">
        <v>2.1706286806647549E-2</v>
      </c>
    </row>
    <row r="114" spans="2:5" ht="13.5">
      <c r="B114" s="89"/>
      <c r="C114" s="61" t="s">
        <v>229</v>
      </c>
      <c r="D114" s="26">
        <v>351</v>
      </c>
      <c r="E114" s="25">
        <v>1.0822310609564333E-2</v>
      </c>
    </row>
    <row r="115" spans="2:5" ht="13.5">
      <c r="B115" s="90"/>
      <c r="C115" s="68" t="s">
        <v>23</v>
      </c>
      <c r="D115" s="69">
        <v>1055</v>
      </c>
      <c r="E115" s="70">
        <v>3.2528597416211884E-2</v>
      </c>
    </row>
    <row r="116" spans="2:5" ht="13.5">
      <c r="B116" s="88" t="s">
        <v>108</v>
      </c>
      <c r="C116" s="61" t="s">
        <v>230</v>
      </c>
      <c r="D116" s="26">
        <v>35</v>
      </c>
      <c r="E116" s="25">
        <v>1.079147781580489E-3</v>
      </c>
    </row>
    <row r="117" spans="2:5" ht="13.5">
      <c r="B117" s="89"/>
      <c r="C117" s="61" t="s">
        <v>229</v>
      </c>
      <c r="D117" s="26">
        <v>17</v>
      </c>
      <c r="E117" s="25">
        <v>5.2415749391052319E-4</v>
      </c>
    </row>
    <row r="118" spans="2:5" ht="13.5">
      <c r="B118" s="90"/>
      <c r="C118" s="68" t="s">
        <v>23</v>
      </c>
      <c r="D118" s="69">
        <v>52</v>
      </c>
      <c r="E118" s="70">
        <v>1.6033052754910123E-3</v>
      </c>
    </row>
    <row r="119" spans="2:5" ht="13.5">
      <c r="B119" s="88" t="s">
        <v>93</v>
      </c>
      <c r="C119" s="61" t="s">
        <v>230</v>
      </c>
      <c r="D119" s="26">
        <v>85</v>
      </c>
      <c r="E119" s="25">
        <v>2.6207874695526163E-3</v>
      </c>
    </row>
    <row r="120" spans="2:5" ht="13.5">
      <c r="B120" s="89"/>
      <c r="C120" s="61" t="s">
        <v>229</v>
      </c>
      <c r="D120" s="26">
        <v>47</v>
      </c>
      <c r="E120" s="25">
        <v>1.4491413066937996E-3</v>
      </c>
    </row>
    <row r="121" spans="2:5" ht="13.5">
      <c r="B121" s="90"/>
      <c r="C121" s="68" t="s">
        <v>23</v>
      </c>
      <c r="D121" s="69">
        <v>132</v>
      </c>
      <c r="E121" s="70">
        <v>4.0699287762464157E-3</v>
      </c>
    </row>
    <row r="122" spans="2:5" ht="13.5">
      <c r="B122" s="88" t="s">
        <v>95</v>
      </c>
      <c r="C122" s="61" t="s">
        <v>230</v>
      </c>
      <c r="D122" s="26">
        <v>105</v>
      </c>
      <c r="E122" s="25">
        <v>3.2374433447414671E-3</v>
      </c>
    </row>
    <row r="123" spans="2:5" ht="13.5">
      <c r="B123" s="89"/>
      <c r="C123" s="61" t="s">
        <v>229</v>
      </c>
      <c r="D123" s="26">
        <v>40</v>
      </c>
      <c r="E123" s="25">
        <v>1.2333117503777018E-3</v>
      </c>
    </row>
    <row r="124" spans="2:5" ht="13.5">
      <c r="B124" s="90"/>
      <c r="C124" s="68" t="s">
        <v>23</v>
      </c>
      <c r="D124" s="69">
        <v>145</v>
      </c>
      <c r="E124" s="70">
        <v>4.4707550951191685E-3</v>
      </c>
    </row>
    <row r="125" spans="2:5" ht="13.5">
      <c r="B125" s="88" t="s">
        <v>103</v>
      </c>
      <c r="C125" s="61" t="s">
        <v>230</v>
      </c>
      <c r="D125" s="26">
        <v>798</v>
      </c>
      <c r="E125" s="25">
        <v>2.4604569420035149E-2</v>
      </c>
    </row>
    <row r="126" spans="2:5" ht="13.5">
      <c r="B126" s="89"/>
      <c r="C126" s="61" t="s">
        <v>229</v>
      </c>
      <c r="D126" s="26">
        <v>487</v>
      </c>
      <c r="E126" s="25">
        <v>1.5015570560848519E-2</v>
      </c>
    </row>
    <row r="127" spans="2:5" ht="13.5">
      <c r="B127" s="90"/>
      <c r="C127" s="68" t="s">
        <v>23</v>
      </c>
      <c r="D127" s="69">
        <v>1285</v>
      </c>
      <c r="E127" s="70">
        <v>3.9620139980883665E-2</v>
      </c>
    </row>
    <row r="128" spans="2:5" ht="13.5">
      <c r="B128" s="88" t="s">
        <v>115</v>
      </c>
      <c r="C128" s="61" t="s">
        <v>230</v>
      </c>
      <c r="D128" s="26">
        <v>86</v>
      </c>
      <c r="E128" s="25">
        <v>2.6516202633120587E-3</v>
      </c>
    </row>
    <row r="129" spans="2:5" ht="13.5">
      <c r="B129" s="89"/>
      <c r="C129" s="61" t="s">
        <v>229</v>
      </c>
      <c r="D129" s="26">
        <v>84</v>
      </c>
      <c r="E129" s="25">
        <v>2.5899546757931738E-3</v>
      </c>
    </row>
    <row r="130" spans="2:5" ht="13.5">
      <c r="B130" s="90"/>
      <c r="C130" s="68" t="s">
        <v>23</v>
      </c>
      <c r="D130" s="69">
        <v>170</v>
      </c>
      <c r="E130" s="70">
        <v>5.2415749391052325E-3</v>
      </c>
    </row>
    <row r="131" spans="2:5" ht="13.5">
      <c r="B131" s="88" t="s">
        <v>99</v>
      </c>
      <c r="C131" s="61" t="s">
        <v>230</v>
      </c>
      <c r="D131" s="26">
        <v>105</v>
      </c>
      <c r="E131" s="25">
        <v>3.2374433447414671E-3</v>
      </c>
    </row>
    <row r="132" spans="2:5" ht="13.5">
      <c r="B132" s="89"/>
      <c r="C132" s="61" t="s">
        <v>229</v>
      </c>
      <c r="D132" s="26">
        <v>101</v>
      </c>
      <c r="E132" s="25">
        <v>3.1141121697036969E-3</v>
      </c>
    </row>
    <row r="133" spans="2:5" ht="13.5">
      <c r="B133" s="90"/>
      <c r="C133" s="68" t="s">
        <v>23</v>
      </c>
      <c r="D133" s="69">
        <v>206</v>
      </c>
      <c r="E133" s="70">
        <v>6.3515555144451636E-3</v>
      </c>
    </row>
    <row r="134" spans="2:5" ht="13.5">
      <c r="B134" s="88" t="s">
        <v>112</v>
      </c>
      <c r="C134" s="61" t="s">
        <v>230</v>
      </c>
      <c r="D134" s="26">
        <v>45</v>
      </c>
      <c r="E134" s="25">
        <v>1.3874757191749145E-3</v>
      </c>
    </row>
    <row r="135" spans="2:5" ht="13.5">
      <c r="B135" s="89"/>
      <c r="C135" s="61" t="s">
        <v>229</v>
      </c>
      <c r="D135" s="26">
        <v>29</v>
      </c>
      <c r="E135" s="25">
        <v>8.9415101902383376E-4</v>
      </c>
    </row>
    <row r="136" spans="2:5" ht="13.5">
      <c r="B136" s="90"/>
      <c r="C136" s="68" t="s">
        <v>23</v>
      </c>
      <c r="D136" s="69">
        <v>74</v>
      </c>
      <c r="E136" s="70">
        <v>2.2816267381987484E-3</v>
      </c>
    </row>
    <row r="137" spans="2:5" ht="13.5">
      <c r="B137" s="88" t="s">
        <v>218</v>
      </c>
      <c r="C137" s="61" t="s">
        <v>230</v>
      </c>
      <c r="D137" s="26">
        <v>50</v>
      </c>
      <c r="E137" s="25">
        <v>1.5416396879721272E-3</v>
      </c>
    </row>
    <row r="138" spans="2:5" ht="13.5">
      <c r="B138" s="89"/>
      <c r="C138" s="61" t="s">
        <v>229</v>
      </c>
      <c r="D138" s="26">
        <v>38</v>
      </c>
      <c r="E138" s="25">
        <v>1.1716461628588166E-3</v>
      </c>
    </row>
    <row r="139" spans="2:5" ht="13.5">
      <c r="B139" s="90"/>
      <c r="C139" s="68" t="s">
        <v>23</v>
      </c>
      <c r="D139" s="69">
        <v>88</v>
      </c>
      <c r="E139" s="70">
        <v>2.7132858508309436E-3</v>
      </c>
    </row>
    <row r="140" spans="2:5" ht="13.5">
      <c r="B140" s="88" t="s">
        <v>114</v>
      </c>
      <c r="C140" s="61" t="s">
        <v>230</v>
      </c>
      <c r="D140" s="26">
        <v>69</v>
      </c>
      <c r="E140" s="25">
        <v>2.1274627694015356E-3</v>
      </c>
    </row>
    <row r="141" spans="2:5" ht="13.5">
      <c r="B141" s="89"/>
      <c r="C141" s="61" t="s">
        <v>229</v>
      </c>
      <c r="D141" s="26">
        <v>76</v>
      </c>
      <c r="E141" s="25">
        <v>2.3432923257176333E-3</v>
      </c>
    </row>
    <row r="142" spans="2:5" ht="13.5">
      <c r="B142" s="90"/>
      <c r="C142" s="68" t="s">
        <v>23</v>
      </c>
      <c r="D142" s="69">
        <v>145</v>
      </c>
      <c r="E142" s="70">
        <v>4.4707550951191685E-3</v>
      </c>
    </row>
    <row r="143" spans="2:5" ht="13.5">
      <c r="B143" s="88" t="s">
        <v>92</v>
      </c>
      <c r="C143" s="61" t="s">
        <v>230</v>
      </c>
      <c r="D143" s="26">
        <v>50</v>
      </c>
      <c r="E143" s="25">
        <v>1.5416396879721272E-3</v>
      </c>
    </row>
    <row r="144" spans="2:5" ht="13.5">
      <c r="B144" s="89"/>
      <c r="C144" s="61" t="s">
        <v>229</v>
      </c>
      <c r="D144" s="26">
        <v>4</v>
      </c>
      <c r="E144" s="25">
        <v>1.2333117503777018E-4</v>
      </c>
    </row>
    <row r="145" spans="2:5" ht="13.5">
      <c r="B145" s="90"/>
      <c r="C145" s="68" t="s">
        <v>23</v>
      </c>
      <c r="D145" s="69">
        <v>54</v>
      </c>
      <c r="E145" s="70">
        <v>1.6649708630098973E-3</v>
      </c>
    </row>
    <row r="146" spans="2:5" ht="13.5">
      <c r="B146" s="88" t="s">
        <v>83</v>
      </c>
      <c r="C146" s="61" t="s">
        <v>230</v>
      </c>
      <c r="D146" s="26">
        <v>13</v>
      </c>
      <c r="E146" s="25">
        <v>4.0082631887275309E-4</v>
      </c>
    </row>
    <row r="147" spans="2:5" ht="13.5">
      <c r="B147" s="89"/>
      <c r="C147" s="61" t="s">
        <v>229</v>
      </c>
      <c r="D147" s="26">
        <v>2</v>
      </c>
      <c r="E147" s="25">
        <v>6.1665587518885091E-5</v>
      </c>
    </row>
    <row r="148" spans="2:5" ht="13.5">
      <c r="B148" s="90"/>
      <c r="C148" s="68" t="s">
        <v>23</v>
      </c>
      <c r="D148" s="69">
        <v>15</v>
      </c>
      <c r="E148" s="70">
        <v>4.6249190639163816E-4</v>
      </c>
    </row>
    <row r="149" spans="2:5" ht="13.5">
      <c r="B149" s="88" t="s">
        <v>39</v>
      </c>
      <c r="C149" s="61" t="s">
        <v>230</v>
      </c>
      <c r="D149" s="26">
        <v>189</v>
      </c>
      <c r="E149" s="25">
        <v>5.827398020534641E-3</v>
      </c>
    </row>
    <row r="150" spans="2:5" ht="13.5">
      <c r="B150" s="89"/>
      <c r="C150" s="61" t="s">
        <v>229</v>
      </c>
      <c r="D150" s="26">
        <v>93</v>
      </c>
      <c r="E150" s="25">
        <v>2.8674498196281564E-3</v>
      </c>
    </row>
    <row r="151" spans="2:5" ht="13.5">
      <c r="B151" s="90"/>
      <c r="C151" s="68" t="s">
        <v>23</v>
      </c>
      <c r="D151" s="69">
        <v>282</v>
      </c>
      <c r="E151" s="70">
        <v>8.6948478401627973E-3</v>
      </c>
    </row>
    <row r="152" spans="2:5" ht="13.5">
      <c r="B152" s="88" t="s">
        <v>80</v>
      </c>
      <c r="C152" s="61" t="s">
        <v>230</v>
      </c>
      <c r="D152" s="26">
        <v>2</v>
      </c>
      <c r="E152" s="25">
        <v>6.1665587518885091E-5</v>
      </c>
    </row>
    <row r="153" spans="2:5" ht="13.5">
      <c r="B153" s="89"/>
      <c r="C153" s="61" t="s">
        <v>229</v>
      </c>
      <c r="D153" s="26">
        <v>2</v>
      </c>
      <c r="E153" s="25">
        <v>6.1665587518885091E-5</v>
      </c>
    </row>
    <row r="154" spans="2:5" ht="13.5">
      <c r="B154" s="90"/>
      <c r="C154" s="68" t="s">
        <v>23</v>
      </c>
      <c r="D154" s="69">
        <v>4</v>
      </c>
      <c r="E154" s="70">
        <v>1.2333117503777018E-4</v>
      </c>
    </row>
    <row r="155" spans="2:5" ht="13.5">
      <c r="B155" s="91" t="s">
        <v>224</v>
      </c>
      <c r="C155" s="92"/>
      <c r="D155" s="23">
        <v>32433</v>
      </c>
      <c r="E155" s="22">
        <v>1</v>
      </c>
    </row>
    <row r="157" spans="2:5">
      <c r="B157" s="19" t="s">
        <v>22</v>
      </c>
    </row>
    <row r="158" spans="2:5">
      <c r="B158" s="21" t="s">
        <v>21</v>
      </c>
    </row>
    <row r="159" spans="2:5">
      <c r="B159" s="20" t="s">
        <v>20</v>
      </c>
    </row>
    <row r="160" spans="2:5">
      <c r="B160" s="19" t="s">
        <v>19</v>
      </c>
    </row>
    <row r="161" spans="2:2">
      <c r="B161" s="19" t="s">
        <v>18</v>
      </c>
    </row>
  </sheetData>
  <autoFilter ref="C11:E155"/>
  <mergeCells count="50">
    <mergeCell ref="B24:B26"/>
    <mergeCell ref="B27:B29"/>
    <mergeCell ref="B30:B31"/>
    <mergeCell ref="B32:B34"/>
    <mergeCell ref="B35:B37"/>
    <mergeCell ref="B8:E10"/>
    <mergeCell ref="B12:B14"/>
    <mergeCell ref="B15:B17"/>
    <mergeCell ref="B18:B20"/>
    <mergeCell ref="B21:B23"/>
    <mergeCell ref="B53:B55"/>
    <mergeCell ref="B56:B58"/>
    <mergeCell ref="B59:B61"/>
    <mergeCell ref="B62:B64"/>
    <mergeCell ref="B65:B67"/>
    <mergeCell ref="B38:B40"/>
    <mergeCell ref="B41:B43"/>
    <mergeCell ref="B44:B46"/>
    <mergeCell ref="B47:B49"/>
    <mergeCell ref="B50:B52"/>
    <mergeCell ref="B83:B85"/>
    <mergeCell ref="B86:B88"/>
    <mergeCell ref="B89:B91"/>
    <mergeCell ref="B92:B94"/>
    <mergeCell ref="B95:B97"/>
    <mergeCell ref="B68:B70"/>
    <mergeCell ref="B71:B73"/>
    <mergeCell ref="B74:B76"/>
    <mergeCell ref="B77:B79"/>
    <mergeCell ref="B80:B82"/>
    <mergeCell ref="B113:B115"/>
    <mergeCell ref="B116:B118"/>
    <mergeCell ref="B119:B121"/>
    <mergeCell ref="B122:B124"/>
    <mergeCell ref="B125:B127"/>
    <mergeCell ref="B98:B100"/>
    <mergeCell ref="B101:B103"/>
    <mergeCell ref="B104:B106"/>
    <mergeCell ref="B107:B109"/>
    <mergeCell ref="B110:B112"/>
    <mergeCell ref="B128:B130"/>
    <mergeCell ref="B131:B133"/>
    <mergeCell ref="B152:B154"/>
    <mergeCell ref="B155:C155"/>
    <mergeCell ref="B134:B136"/>
    <mergeCell ref="B137:B139"/>
    <mergeCell ref="B140:B142"/>
    <mergeCell ref="B143:B145"/>
    <mergeCell ref="B146:B148"/>
    <mergeCell ref="B149:B151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rowBreaks count="2" manualBreakCount="2">
    <brk id="61" max="16383" man="1"/>
    <brk id="109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4"/>
  <sheetViews>
    <sheetView showGridLines="0" zoomScale="82" zoomScaleNormal="82" zoomScaleSheetLayoutView="100" workbookViewId="0">
      <selection activeCell="L34" sqref="L34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60" customWidth="1"/>
    <col min="5" max="5" width="16.5703125" style="60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2" customFormat="1" ht="15">
      <c r="B1" s="51"/>
      <c r="C1" s="48"/>
    </row>
    <row r="2" spans="1:7" s="48" customFormat="1">
      <c r="B2" s="66"/>
    </row>
    <row r="3" spans="1:7" ht="15" customHeight="1">
      <c r="B3" s="67"/>
      <c r="C3" s="35"/>
      <c r="D3" s="29"/>
      <c r="E3" s="29"/>
      <c r="G3" s="48"/>
    </row>
    <row r="4" spans="1:7" ht="30" customHeight="1">
      <c r="B4" s="67"/>
      <c r="C4" s="35"/>
      <c r="D4" s="29"/>
      <c r="E4" s="29"/>
      <c r="G4" s="48"/>
    </row>
    <row r="5" spans="1:7" ht="15" customHeight="1">
      <c r="B5" s="67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6"/>
      <c r="C7" s="51"/>
    </row>
    <row r="8" spans="1:7" s="62" customFormat="1" ht="15" customHeight="1">
      <c r="B8" s="93" t="s">
        <v>243</v>
      </c>
      <c r="C8" s="93"/>
      <c r="D8" s="93"/>
      <c r="E8" s="93"/>
      <c r="F8" s="93"/>
    </row>
    <row r="9" spans="1:7" s="62" customFormat="1" ht="15" customHeight="1">
      <c r="A9" s="64"/>
      <c r="B9" s="93"/>
      <c r="C9" s="93"/>
      <c r="D9" s="93"/>
      <c r="E9" s="93"/>
      <c r="F9" s="93"/>
      <c r="G9" s="65"/>
    </row>
    <row r="10" spans="1:7" s="62" customFormat="1" ht="15" customHeight="1">
      <c r="A10" s="64"/>
      <c r="B10" s="94"/>
      <c r="C10" s="94"/>
      <c r="D10" s="94"/>
      <c r="E10" s="94"/>
      <c r="F10" s="94"/>
      <c r="G10" s="64"/>
    </row>
    <row r="11" spans="1:7" s="62" customFormat="1" ht="36.950000000000003" customHeight="1">
      <c r="B11" s="63" t="s">
        <v>227</v>
      </c>
      <c r="C11" s="63" t="s">
        <v>242</v>
      </c>
      <c r="D11" s="63" t="s">
        <v>71</v>
      </c>
      <c r="E11" s="63" t="s">
        <v>241</v>
      </c>
      <c r="F11" s="63" t="s">
        <v>240</v>
      </c>
    </row>
    <row r="12" spans="1:7" ht="15" customHeight="1">
      <c r="B12" s="88" t="s">
        <v>230</v>
      </c>
      <c r="C12" s="61" t="s">
        <v>239</v>
      </c>
      <c r="D12" s="26">
        <v>9</v>
      </c>
      <c r="E12" s="72">
        <v>4.5207956600361662E-4</v>
      </c>
      <c r="F12" s="25">
        <f t="shared" ref="F12:F28" si="0">D12/$D$28</f>
        <v>2.7749514383498288E-4</v>
      </c>
    </row>
    <row r="13" spans="1:7" ht="15" customHeight="1">
      <c r="B13" s="89"/>
      <c r="C13" s="61" t="s">
        <v>238</v>
      </c>
      <c r="D13" s="26">
        <v>110</v>
      </c>
      <c r="E13" s="72">
        <v>5.5254169178219808E-3</v>
      </c>
      <c r="F13" s="25">
        <f t="shared" si="0"/>
        <v>3.3916073135386799E-3</v>
      </c>
    </row>
    <row r="14" spans="1:7" ht="15" customHeight="1">
      <c r="B14" s="89"/>
      <c r="C14" s="61" t="s">
        <v>237</v>
      </c>
      <c r="D14" s="26">
        <v>2941</v>
      </c>
      <c r="E14" s="72">
        <v>0.14772955595740406</v>
      </c>
      <c r="F14" s="25">
        <f t="shared" si="0"/>
        <v>9.067924644652052E-2</v>
      </c>
    </row>
    <row r="15" spans="1:7" ht="15" customHeight="1">
      <c r="B15" s="89"/>
      <c r="C15" s="61" t="s">
        <v>236</v>
      </c>
      <c r="D15" s="26">
        <v>7066</v>
      </c>
      <c r="E15" s="72">
        <v>0.35493269037572833</v>
      </c>
      <c r="F15" s="25">
        <f t="shared" si="0"/>
        <v>0.21786452070422102</v>
      </c>
    </row>
    <row r="16" spans="1:7" ht="15" customHeight="1">
      <c r="B16" s="89"/>
      <c r="C16" s="61" t="s">
        <v>235</v>
      </c>
      <c r="D16" s="26">
        <v>6341</v>
      </c>
      <c r="E16" s="72">
        <v>0.31851516978099259</v>
      </c>
      <c r="F16" s="25">
        <f t="shared" si="0"/>
        <v>0.19551074522862516</v>
      </c>
    </row>
    <row r="17" spans="1:7" s="48" customFormat="1" ht="15" customHeight="1">
      <c r="A17" s="29"/>
      <c r="B17" s="89"/>
      <c r="C17" s="61" t="s">
        <v>234</v>
      </c>
      <c r="D17" s="26">
        <v>2995</v>
      </c>
      <c r="E17" s="72">
        <v>0.15044203335342576</v>
      </c>
      <c r="F17" s="25">
        <f t="shared" si="0"/>
        <v>9.2344217309530421E-2</v>
      </c>
      <c r="G17" s="29"/>
    </row>
    <row r="18" spans="1:7" s="48" customFormat="1" ht="15" customHeight="1">
      <c r="A18" s="29"/>
      <c r="B18" s="89"/>
      <c r="C18" s="61" t="s">
        <v>233</v>
      </c>
      <c r="D18" s="26">
        <v>370</v>
      </c>
      <c r="E18" s="72">
        <v>1.8585493269037572E-2</v>
      </c>
      <c r="F18" s="25">
        <f t="shared" si="0"/>
        <v>1.1408133690993741E-2</v>
      </c>
      <c r="G18" s="29"/>
    </row>
    <row r="19" spans="1:7" s="48" customFormat="1" ht="15" customHeight="1">
      <c r="A19" s="29"/>
      <c r="B19" s="90"/>
      <c r="C19" s="61" t="s">
        <v>232</v>
      </c>
      <c r="D19" s="26">
        <v>76</v>
      </c>
      <c r="E19" s="72">
        <v>3.817560779586096E-3</v>
      </c>
      <c r="F19" s="25">
        <f t="shared" si="0"/>
        <v>2.3432923257176333E-3</v>
      </c>
      <c r="G19" s="29"/>
    </row>
    <row r="20" spans="1:7" s="48" customFormat="1" ht="15" customHeight="1">
      <c r="A20" s="29"/>
      <c r="B20" s="88" t="s">
        <v>229</v>
      </c>
      <c r="C20" s="61" t="s">
        <v>239</v>
      </c>
      <c r="D20" s="26">
        <v>13</v>
      </c>
      <c r="E20" s="71">
        <v>1.0379241516966068E-3</v>
      </c>
      <c r="F20" s="25">
        <f t="shared" si="0"/>
        <v>4.0082631887275309E-4</v>
      </c>
      <c r="G20" s="29"/>
    </row>
    <row r="21" spans="1:7" s="48" customFormat="1" ht="15" customHeight="1">
      <c r="A21" s="29"/>
      <c r="B21" s="89"/>
      <c r="C21" s="61" t="s">
        <v>238</v>
      </c>
      <c r="D21" s="26">
        <v>102</v>
      </c>
      <c r="E21" s="71">
        <v>8.1437125748503002E-3</v>
      </c>
      <c r="F21" s="25">
        <f t="shared" si="0"/>
        <v>3.1449449634631393E-3</v>
      </c>
      <c r="G21" s="29"/>
    </row>
    <row r="22" spans="1:7" ht="13.5">
      <c r="B22" s="89"/>
      <c r="C22" s="61" t="s">
        <v>237</v>
      </c>
      <c r="D22" s="26">
        <v>1262</v>
      </c>
      <c r="E22" s="71">
        <v>0.10075848303393213</v>
      </c>
      <c r="F22" s="25">
        <f t="shared" si="0"/>
        <v>3.8910985724416487E-2</v>
      </c>
    </row>
    <row r="23" spans="1:7" ht="13.5">
      <c r="B23" s="89"/>
      <c r="C23" s="61" t="s">
        <v>236</v>
      </c>
      <c r="D23" s="26">
        <v>4140</v>
      </c>
      <c r="E23" s="71">
        <v>0.33053892215568864</v>
      </c>
      <c r="F23" s="25">
        <f t="shared" si="0"/>
        <v>0.12764776616409212</v>
      </c>
    </row>
    <row r="24" spans="1:7" ht="27">
      <c r="B24" s="89"/>
      <c r="C24" s="61" t="s">
        <v>235</v>
      </c>
      <c r="D24" s="26">
        <v>4456</v>
      </c>
      <c r="E24" s="71">
        <v>0.35576846307385229</v>
      </c>
      <c r="F24" s="25">
        <f t="shared" si="0"/>
        <v>0.13739092899207597</v>
      </c>
    </row>
    <row r="25" spans="1:7" ht="13.5">
      <c r="B25" s="89"/>
      <c r="C25" s="61" t="s">
        <v>234</v>
      </c>
      <c r="D25" s="26">
        <v>2173</v>
      </c>
      <c r="E25" s="71">
        <v>0.17349301397205588</v>
      </c>
      <c r="F25" s="25">
        <f t="shared" si="0"/>
        <v>6.6999660839268643E-2</v>
      </c>
    </row>
    <row r="26" spans="1:7" ht="13.5">
      <c r="B26" s="89"/>
      <c r="C26" s="61" t="s">
        <v>233</v>
      </c>
      <c r="D26" s="26">
        <v>286</v>
      </c>
      <c r="E26" s="71">
        <v>2.2834331337325348E-2</v>
      </c>
      <c r="F26" s="25">
        <f t="shared" si="0"/>
        <v>8.8181790152005671E-3</v>
      </c>
    </row>
    <row r="27" spans="1:7" ht="13.5">
      <c r="B27" s="90"/>
      <c r="C27" s="61" t="s">
        <v>232</v>
      </c>
      <c r="D27" s="26">
        <v>93</v>
      </c>
      <c r="E27" s="71">
        <v>7.4251497005988027E-3</v>
      </c>
      <c r="F27" s="25">
        <f t="shared" si="0"/>
        <v>2.8674498196281564E-3</v>
      </c>
    </row>
    <row r="28" spans="1:7" ht="13.5">
      <c r="B28" s="24" t="s">
        <v>23</v>
      </c>
      <c r="C28" s="24"/>
      <c r="D28" s="23">
        <v>32433</v>
      </c>
      <c r="E28" s="22"/>
      <c r="F28" s="22">
        <f t="shared" si="0"/>
        <v>1</v>
      </c>
    </row>
    <row r="30" spans="1:7">
      <c r="B30" s="19" t="s">
        <v>22</v>
      </c>
    </row>
    <row r="31" spans="1:7">
      <c r="B31" s="21" t="s">
        <v>21</v>
      </c>
    </row>
    <row r="32" spans="1:7">
      <c r="B32" s="20" t="s">
        <v>20</v>
      </c>
    </row>
    <row r="33" spans="2:2">
      <c r="B33" s="19" t="s">
        <v>19</v>
      </c>
    </row>
    <row r="34" spans="2:2">
      <c r="B34" s="19" t="s">
        <v>18</v>
      </c>
    </row>
  </sheetData>
  <mergeCells count="3">
    <mergeCell ref="B8:F10"/>
    <mergeCell ref="B12:B19"/>
    <mergeCell ref="B20:B27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43"/>
  <sheetViews>
    <sheetView showGridLines="0" tabSelected="1" topLeftCell="A13" zoomScaleNormal="100" zoomScaleSheetLayoutView="115" workbookViewId="0">
      <selection activeCell="I11" sqref="I1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74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2" t="s">
        <v>269</v>
      </c>
      <c r="C7" s="82"/>
      <c r="D7" s="82"/>
    </row>
    <row r="8" spans="1:4" s="29" customFormat="1" ht="15" customHeight="1">
      <c r="B8" s="82"/>
      <c r="C8" s="82"/>
      <c r="D8" s="82"/>
    </row>
    <row r="9" spans="1:4" s="29" customFormat="1" ht="33" customHeight="1">
      <c r="B9" s="82"/>
      <c r="C9" s="82"/>
      <c r="D9" s="8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268</v>
      </c>
      <c r="C11" s="31" t="s">
        <v>71</v>
      </c>
      <c r="D11" s="30" t="s">
        <v>70</v>
      </c>
    </row>
    <row r="12" spans="1:4" ht="15" customHeight="1">
      <c r="B12" s="27" t="s">
        <v>267</v>
      </c>
      <c r="C12" s="26">
        <v>17572</v>
      </c>
      <c r="D12" s="25">
        <f t="shared" ref="D12:D35" si="0">C12/$C$35</f>
        <v>0.54179385194092433</v>
      </c>
    </row>
    <row r="13" spans="1:4">
      <c r="B13" s="27" t="s">
        <v>266</v>
      </c>
      <c r="C13" s="26">
        <v>7702</v>
      </c>
      <c r="D13" s="25">
        <f t="shared" si="0"/>
        <v>0.23747417753522646</v>
      </c>
    </row>
    <row r="14" spans="1:4" s="28" customFormat="1">
      <c r="A14" s="17"/>
      <c r="B14" s="27" t="s">
        <v>265</v>
      </c>
      <c r="C14" s="26">
        <v>2515</v>
      </c>
      <c r="D14" s="25">
        <f t="shared" si="0"/>
        <v>7.7544476304998E-2</v>
      </c>
    </row>
    <row r="15" spans="1:4" s="28" customFormat="1">
      <c r="A15" s="17"/>
      <c r="B15" s="27" t="s">
        <v>264</v>
      </c>
      <c r="C15" s="26">
        <v>940</v>
      </c>
      <c r="D15" s="25">
        <f t="shared" si="0"/>
        <v>2.898282613387599E-2</v>
      </c>
    </row>
    <row r="16" spans="1:4">
      <c r="B16" s="27" t="s">
        <v>263</v>
      </c>
      <c r="C16" s="26">
        <v>921</v>
      </c>
      <c r="D16" s="25">
        <f t="shared" si="0"/>
        <v>2.8397003052446582E-2</v>
      </c>
    </row>
    <row r="17" spans="2:4">
      <c r="B17" s="27" t="s">
        <v>262</v>
      </c>
      <c r="C17" s="26">
        <v>754</v>
      </c>
      <c r="D17" s="25">
        <f t="shared" si="0"/>
        <v>2.3247926494619677E-2</v>
      </c>
    </row>
    <row r="18" spans="2:4">
      <c r="B18" s="27" t="s">
        <v>261</v>
      </c>
      <c r="C18" s="26">
        <v>453</v>
      </c>
      <c r="D18" s="25">
        <f t="shared" si="0"/>
        <v>1.3967255573027472E-2</v>
      </c>
    </row>
    <row r="19" spans="2:4">
      <c r="B19" s="27" t="s">
        <v>260</v>
      </c>
      <c r="C19" s="26">
        <v>392</v>
      </c>
      <c r="D19" s="25">
        <f t="shared" si="0"/>
        <v>1.2086455153701476E-2</v>
      </c>
    </row>
    <row r="20" spans="2:4">
      <c r="B20" s="27" t="s">
        <v>259</v>
      </c>
      <c r="C20" s="26">
        <v>306</v>
      </c>
      <c r="D20" s="25">
        <f t="shared" si="0"/>
        <v>9.434834890389418E-3</v>
      </c>
    </row>
    <row r="21" spans="2:4">
      <c r="B21" s="27" t="s">
        <v>258</v>
      </c>
      <c r="C21" s="26">
        <v>249</v>
      </c>
      <c r="D21" s="25">
        <f t="shared" si="0"/>
        <v>7.6773656461011936E-3</v>
      </c>
    </row>
    <row r="22" spans="2:4">
      <c r="B22" s="27" t="s">
        <v>257</v>
      </c>
      <c r="C22" s="26">
        <v>118</v>
      </c>
      <c r="D22" s="25">
        <f t="shared" si="0"/>
        <v>3.63826966361422E-3</v>
      </c>
    </row>
    <row r="23" spans="2:4">
      <c r="B23" s="27" t="s">
        <v>256</v>
      </c>
      <c r="C23" s="26">
        <v>103</v>
      </c>
      <c r="D23" s="25">
        <f t="shared" si="0"/>
        <v>3.1757777572225818E-3</v>
      </c>
    </row>
    <row r="24" spans="2:4">
      <c r="B24" s="27" t="s">
        <v>255</v>
      </c>
      <c r="C24" s="26">
        <v>94</v>
      </c>
      <c r="D24" s="25">
        <f t="shared" si="0"/>
        <v>2.8982826133875992E-3</v>
      </c>
    </row>
    <row r="25" spans="2:4">
      <c r="B25" s="27" t="s">
        <v>254</v>
      </c>
      <c r="C25" s="26">
        <v>91</v>
      </c>
      <c r="D25" s="25">
        <f t="shared" si="0"/>
        <v>2.8057842321092714E-3</v>
      </c>
    </row>
    <row r="26" spans="2:4">
      <c r="B26" s="27" t="s">
        <v>253</v>
      </c>
      <c r="C26" s="26">
        <v>80</v>
      </c>
      <c r="D26" s="25">
        <f t="shared" si="0"/>
        <v>2.4666235007554035E-3</v>
      </c>
    </row>
    <row r="27" spans="2:4">
      <c r="B27" s="27" t="s">
        <v>252</v>
      </c>
      <c r="C27" s="26">
        <v>58</v>
      </c>
      <c r="D27" s="25">
        <f t="shared" si="0"/>
        <v>1.7883020380476675E-3</v>
      </c>
    </row>
    <row r="28" spans="2:4">
      <c r="B28" s="27" t="s">
        <v>251</v>
      </c>
      <c r="C28" s="26">
        <v>55</v>
      </c>
      <c r="D28" s="25">
        <f t="shared" si="0"/>
        <v>1.6958036567693399E-3</v>
      </c>
    </row>
    <row r="29" spans="2:4">
      <c r="B29" s="27" t="s">
        <v>250</v>
      </c>
      <c r="C29" s="26">
        <v>15</v>
      </c>
      <c r="D29" s="25">
        <f t="shared" si="0"/>
        <v>4.6249190639163816E-4</v>
      </c>
    </row>
    <row r="30" spans="2:4">
      <c r="B30" s="27" t="s">
        <v>249</v>
      </c>
      <c r="C30" s="26">
        <v>9</v>
      </c>
      <c r="D30" s="25">
        <f t="shared" si="0"/>
        <v>2.7749514383498288E-4</v>
      </c>
    </row>
    <row r="31" spans="2:4">
      <c r="B31" s="27" t="s">
        <v>248</v>
      </c>
      <c r="C31" s="26">
        <v>2</v>
      </c>
      <c r="D31" s="25">
        <f t="shared" si="0"/>
        <v>6.1665587518885091E-5</v>
      </c>
    </row>
    <row r="32" spans="2:4">
      <c r="B32" s="27" t="s">
        <v>247</v>
      </c>
      <c r="C32" s="26">
        <v>2</v>
      </c>
      <c r="D32" s="25">
        <f t="shared" si="0"/>
        <v>6.1665587518885091E-5</v>
      </c>
    </row>
    <row r="33" spans="1:4">
      <c r="B33" s="27" t="s">
        <v>246</v>
      </c>
      <c r="C33" s="26">
        <v>1</v>
      </c>
      <c r="D33" s="25">
        <f t="shared" si="0"/>
        <v>3.0832793759442546E-5</v>
      </c>
    </row>
    <row r="34" spans="1:4">
      <c r="B34" s="27" t="s">
        <v>245</v>
      </c>
      <c r="C34" s="26">
        <v>1</v>
      </c>
      <c r="D34" s="25">
        <f t="shared" si="0"/>
        <v>3.0832793759442546E-5</v>
      </c>
    </row>
    <row r="35" spans="1:4">
      <c r="B35" s="24" t="s">
        <v>23</v>
      </c>
      <c r="C35" s="23">
        <v>32433</v>
      </c>
      <c r="D35" s="22">
        <f t="shared" si="0"/>
        <v>1</v>
      </c>
    </row>
    <row r="37" spans="1:4">
      <c r="A37" s="56" t="s">
        <v>244</v>
      </c>
    </row>
    <row r="38" spans="1:4">
      <c r="A38" s="56" t="s">
        <v>21</v>
      </c>
    </row>
    <row r="39" spans="1:4">
      <c r="A39" s="56" t="s">
        <v>20</v>
      </c>
    </row>
    <row r="40" spans="1:4">
      <c r="A40" s="56" t="s">
        <v>19</v>
      </c>
    </row>
    <row r="41" spans="1:4">
      <c r="A41" s="56" t="s">
        <v>187</v>
      </c>
    </row>
    <row r="42" spans="1:4">
      <c r="A42" s="56"/>
    </row>
    <row r="43" spans="1:4">
      <c r="A43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San Luis Potosí_EdoUsa</vt:lpstr>
      <vt:lpstr>San Luis Potosí_Cons</vt:lpstr>
      <vt:lpstr>San Luis PotosíXCons</vt:lpstr>
      <vt:lpstr>San Luis Potosí_EdoMun</vt:lpstr>
      <vt:lpstr>San Luis Potosí_USAMuni</vt:lpstr>
      <vt:lpstr>San Luis Potosí_MUNICIPIO</vt:lpstr>
      <vt:lpstr>San Luis Potosí_educ_gral</vt:lpstr>
      <vt:lpstr>San Luis Potosí_NivelE_Cons</vt:lpstr>
      <vt:lpstr>San Luis Potosí_EducCons</vt:lpstr>
      <vt:lpstr>San Luis Potosí_GenGral</vt:lpstr>
      <vt:lpstr>San Luis Potosí_GENERO</vt:lpstr>
      <vt:lpstr>San Luis Potosí_Gen_Edad</vt:lpstr>
      <vt:lpstr>San Luis Potosí_ocup_gral</vt:lpstr>
      <vt:lpstr>'San Luis Potosí_EducCons'!Área_de_impresión</vt:lpstr>
      <vt:lpstr>'San Luis Potosí_MUNICIPIO'!Área_de_impresión</vt:lpstr>
      <vt:lpstr>'San Luis Potosí_NivelE_Cons'!Área_de_impresión</vt:lpstr>
      <vt:lpstr>'San Luis Potosí_USAMuni'!Área_de_impresión</vt:lpstr>
      <vt:lpstr>'San Luis Potosí_Cons'!Títulos_a_imprimir</vt:lpstr>
      <vt:lpstr>'San Luis Potosí_EdoMun'!Títulos_a_imprimir</vt:lpstr>
      <vt:lpstr>'San Luis Potosí_EdoUsa'!Títulos_a_imprimir</vt:lpstr>
      <vt:lpstr>'San Luis Potosí_educ_gral'!Títulos_a_imprimir</vt:lpstr>
      <vt:lpstr>'San Luis Potosí_EducCons'!Títulos_a_imprimir</vt:lpstr>
      <vt:lpstr>'San Luis Potosí_Gen_Edad'!Títulos_a_imprimir</vt:lpstr>
      <vt:lpstr>'San Luis Potosí_GENERO'!Títulos_a_imprimir</vt:lpstr>
      <vt:lpstr>'San Luis Potosí_GenGral'!Títulos_a_imprimir</vt:lpstr>
      <vt:lpstr>'San Luis Potosí_MUNICIPIO'!Títulos_a_imprimir</vt:lpstr>
      <vt:lpstr>'San Luis Potosí_NivelE_Cons'!Títulos_a_imprimir</vt:lpstr>
      <vt:lpstr>'San Luis Potosí_ocup_gral'!Títulos_a_imprimir</vt:lpstr>
      <vt:lpstr>'San Luis Potosí_USAMuni'!Títulos_a_imprimir</vt:lpstr>
      <vt:lpstr>'San Luis PotosíXCons'!Títulos_a_imprimir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2020-06-03T23:25:22Z</dcterms:created>
  <dcterms:modified xsi:type="dcterms:W3CDTF">2023-12-01T17:01:19Z</dcterms:modified>
</cp:coreProperties>
</file>