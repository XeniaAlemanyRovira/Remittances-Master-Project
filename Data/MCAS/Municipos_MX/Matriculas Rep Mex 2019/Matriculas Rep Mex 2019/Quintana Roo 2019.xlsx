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480" yWindow="345" windowWidth="19875" windowHeight="7725" firstSheet="12" activeTab="13"/>
  </bookViews>
  <sheets>
    <sheet name="Índice" sheetId="1" r:id="rId1"/>
    <sheet name="Quintana Roo_EdoUsa" sheetId="2" r:id="rId2"/>
    <sheet name="Quintana Roo_Cons" sheetId="15" r:id="rId3"/>
    <sheet name="Quintana RooXCons" sheetId="16" r:id="rId4"/>
    <sheet name="Quintana Roo_EdoMun" sheetId="5" r:id="rId5"/>
    <sheet name="Quintana Roo_USAMuni" sheetId="6" r:id="rId6"/>
    <sheet name="Quintana Roo_MUNICIPIO" sheetId="7" r:id="rId7"/>
    <sheet name="Quintana Roo_educ_gral" sheetId="8" r:id="rId8"/>
    <sheet name="Quintana Roo_NivelE_Cons" sheetId="9" r:id="rId9"/>
    <sheet name="Quintana Roo_EducCons" sheetId="10" r:id="rId10"/>
    <sheet name="Quintana Roo_GenGral" sheetId="11" r:id="rId11"/>
    <sheet name="Quintana Roo_GENERO" sheetId="12" r:id="rId12"/>
    <sheet name="Quintana Roo_Gen_Edad" sheetId="13" r:id="rId13"/>
    <sheet name="Quintana Roo_ocup_gral" sheetId="14" r:id="rId14"/>
  </sheets>
  <definedNames>
    <definedName name="_xlnm._FilterDatabase" localSheetId="2" hidden="1">'Quintana Roo_Cons'!$B$11:$D$12</definedName>
    <definedName name="_xlnm._FilterDatabase" localSheetId="4" hidden="1">'Quintana Roo_EdoMun'!$B$11:$D$12</definedName>
    <definedName name="_xlnm._FilterDatabase" localSheetId="1" hidden="1">'Quintana Roo_EdoUsa'!$B$11:$D$55</definedName>
    <definedName name="_xlnm._FilterDatabase" localSheetId="7" hidden="1">'Quintana Roo_educ_gral'!$B$11:$D$12</definedName>
    <definedName name="_xlnm._FilterDatabase" localSheetId="9" hidden="1">'Quintana Roo_EducCons'!$B$9:$E$9</definedName>
    <definedName name="_xlnm._FilterDatabase" localSheetId="11" hidden="1">'Quintana Roo_GENERO'!$C$11:$E$134</definedName>
    <definedName name="_xlnm._FilterDatabase" localSheetId="10" hidden="1">'Quintana Roo_GenGral'!$B$11:$D$12</definedName>
    <definedName name="_xlnm._FilterDatabase" localSheetId="6" hidden="1">'Quintana Roo_MUNICIPIO'!$B$9:$E$9</definedName>
    <definedName name="_xlnm._FilterDatabase" localSheetId="8" hidden="1">'Quintana Roo_NivelE_Cons'!$B$9:$E$9</definedName>
    <definedName name="_xlnm._FilterDatabase" localSheetId="13" hidden="1">'Quintana Roo_ocup_gral'!$B$11:$D$12</definedName>
    <definedName name="_xlnm._FilterDatabase" localSheetId="5" hidden="1">'Quintana Roo_USAMuni'!$B$9:$E$11</definedName>
    <definedName name="_xlnm._FilterDatabase" localSheetId="3" hidden="1">'Quintana RooXCons'!$B$11:$D$12</definedName>
    <definedName name="_xlnm.Print_Area" localSheetId="9">'Quintana Roo_EducCons'!$A$1:$E$296</definedName>
    <definedName name="_xlnm.Print_Area" localSheetId="6">'Quintana Roo_MUNICIPIO'!$A$1:$E$197</definedName>
    <definedName name="_xlnm.Print_Area" localSheetId="8">'Quintana Roo_NivelE_Cons'!$A$1:$E$239</definedName>
    <definedName name="_xlnm.Print_Area" localSheetId="5">'Quintana Roo_USAMuni'!$A$1:$E$173</definedName>
    <definedName name="_xlnm.Print_Titles" localSheetId="2">'Quintana Roo_Cons'!$1:$11</definedName>
    <definedName name="_xlnm.Print_Titles" localSheetId="4">'Quintana Roo_EdoMun'!$1:$11</definedName>
    <definedName name="_xlnm.Print_Titles" localSheetId="1">'Quintana Roo_EdoUsa'!$1:$11</definedName>
    <definedName name="_xlnm.Print_Titles" localSheetId="7">'Quintana Roo_educ_gral'!$1:$11</definedName>
    <definedName name="_xlnm.Print_Titles" localSheetId="9">'Quintana Roo_EducCons'!$1:$9</definedName>
    <definedName name="_xlnm.Print_Titles" localSheetId="12">'Quintana Roo_Gen_Edad'!$1:$11</definedName>
    <definedName name="_xlnm.Print_Titles" localSheetId="11">'Quintana Roo_GENERO'!$1:$11</definedName>
    <definedName name="_xlnm.Print_Titles" localSheetId="10">'Quintana Roo_GenGral'!$1:$11</definedName>
    <definedName name="_xlnm.Print_Titles" localSheetId="6">'Quintana Roo_MUNICIPIO'!$1:$9</definedName>
    <definedName name="_xlnm.Print_Titles" localSheetId="8">'Quintana Roo_NivelE_Cons'!$1:$9</definedName>
    <definedName name="_xlnm.Print_Titles" localSheetId="13">'Quintana Roo_ocup_gral'!$1:$11</definedName>
    <definedName name="_xlnm.Print_Titles" localSheetId="5">'Quintana Roo_USAMuni'!$1:$9</definedName>
    <definedName name="_xlnm.Print_Titles" localSheetId="3">'Quintana RooXCons'!$1:$11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2" i="16" l="1"/>
  <c r="D19" i="16"/>
  <c r="D15" i="16"/>
  <c r="D18" i="16"/>
  <c r="D14" i="16"/>
  <c r="D17" i="16"/>
  <c r="D13" i="16"/>
  <c r="D21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</calcChain>
</file>

<file path=xl/sharedStrings.xml><?xml version="1.0" encoding="utf-8"?>
<sst xmlns="http://schemas.openxmlformats.org/spreadsheetml/2006/main" count="1484" uniqueCount="205">
  <si>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</si>
  <si>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</si>
  <si>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</si>
  <si>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</si>
  <si>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</si>
  <si>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</si>
  <si>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</si>
  <si>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</si>
  <si>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</si>
  <si>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</si>
  <si>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</si>
  <si>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</si>
  <si>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</si>
  <si>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</si>
  <si>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</si>
  <si>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</si>
  <si>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</si>
  <si>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</si>
  <si>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</si>
  <si>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</si>
  <si>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</si>
  <si>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</si>
  <si>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</si>
  <si>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West Virginia</t>
  </si>
  <si>
    <t>South Dakota</t>
  </si>
  <si>
    <t>Nebraska</t>
  </si>
  <si>
    <t>Montana</t>
  </si>
  <si>
    <t>Massachusetts</t>
  </si>
  <si>
    <t>Maryland</t>
  </si>
  <si>
    <t>Delaware</t>
  </si>
  <si>
    <t>Pennsylvania</t>
  </si>
  <si>
    <t>Ohio</t>
  </si>
  <si>
    <t>North Dakota</t>
  </si>
  <si>
    <t>New Mexico</t>
  </si>
  <si>
    <t>Kentucky</t>
  </si>
  <si>
    <t>Iowa</t>
  </si>
  <si>
    <t>District of Columbia</t>
  </si>
  <si>
    <t>Connecticut</t>
  </si>
  <si>
    <t>Louisiana</t>
  </si>
  <si>
    <t>Oklahoma</t>
  </si>
  <si>
    <t>Arkansas</t>
  </si>
  <si>
    <t>Nevada</t>
  </si>
  <si>
    <t>Mississippi</t>
  </si>
  <si>
    <t>Kansas</t>
  </si>
  <si>
    <t>Missouri</t>
  </si>
  <si>
    <t>Arizona</t>
  </si>
  <si>
    <t>New York</t>
  </si>
  <si>
    <t>Washington</t>
  </si>
  <si>
    <t>Utah</t>
  </si>
  <si>
    <t>South Carolina</t>
  </si>
  <si>
    <t>Michigan</t>
  </si>
  <si>
    <t>New Jersey</t>
  </si>
  <si>
    <t>Wisconsin</t>
  </si>
  <si>
    <t>Indiana</t>
  </si>
  <si>
    <t>Tennessee</t>
  </si>
  <si>
    <t>Colorado</t>
  </si>
  <si>
    <t>Oregon</t>
  </si>
  <si>
    <t>Minnesota</t>
  </si>
  <si>
    <t>North Carolina</t>
  </si>
  <si>
    <t>Illinois</t>
  </si>
  <si>
    <t>Virginia</t>
  </si>
  <si>
    <t>Georgia</t>
  </si>
  <si>
    <t>Florida</t>
  </si>
  <si>
    <t>Alabama</t>
  </si>
  <si>
    <t>Texas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</si>
  <si>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</si>
  <si>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</si>
  <si>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</si>
  <si>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</si>
  <si>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QUINTANA ROO POR ESTADO DE LA UNIÓN AMERICANA. DURANTE EL 2019</t>
  </si>
  <si>
    <t>Aguascalientes</t>
  </si>
  <si>
    <t xml:space="preserve">  Matrículas consulares expedidas a originarios de Quintana Roo en el 2019.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</si>
  <si>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</si>
  <si>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</si>
  <si>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</si>
  <si>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</si>
  <si>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</si>
  <si>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</si>
  <si>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</si>
  <si>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</si>
  <si>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</si>
  <si>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</si>
  <si>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</si>
  <si>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</si>
  <si>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</si>
  <si>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</si>
  <si>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</si>
  <si>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</si>
  <si>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</si>
  <si>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</si>
  <si>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</si>
  <si>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</si>
  <si>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</si>
  <si>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</si>
  <si>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</si>
  <si>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</si>
  <si>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</si>
  <si>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</si>
  <si>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</si>
  <si>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</si>
  <si>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</si>
  <si>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</si>
  <si>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</si>
  <si>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</si>
  <si>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</si>
  <si>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</si>
  <si>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</si>
  <si>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</si>
  <si>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</si>
  <si>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</si>
  <si>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</si>
  <si>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</si>
  <si>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</si>
  <si>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</si>
  <si>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</si>
  <si>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</si>
  <si>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</si>
  <si>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</si>
  <si>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</si>
  <si>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</si>
  <si>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</si>
  <si>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</si>
  <si>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QUINTANA ROO EN LOS CONSULADOS DE MÉXICO EN EE.UU.</t>
  </si>
  <si>
    <t>Solidaridad</t>
  </si>
  <si>
    <t>Lázaro Cárdenas</t>
  </si>
  <si>
    <t>Isla Mujeres</t>
  </si>
  <si>
    <t>Cozumel</t>
  </si>
  <si>
    <t>Felipe Carrillo Puerto</t>
  </si>
  <si>
    <t>José María Morelos</t>
  </si>
  <si>
    <t>Benito Juárez</t>
  </si>
  <si>
    <t>Othón P. Blanco</t>
  </si>
  <si>
    <t>Municipio de origen</t>
  </si>
  <si>
    <t>MATRÍCULAS CONSULARES DE ALTA SEGURIDAD EXPEDIDAS POR MUNICIPIO A ORIGINARIOS DEL ESTADO DE QUINTANA ROO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</si>
  <si>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</si>
  <si>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</si>
  <si>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</si>
  <si>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</si>
  <si>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</si>
  <si>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</si>
  <si>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</si>
  <si>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</si>
  <si>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</si>
  <si>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</si>
  <si>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</si>
  <si>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</si>
  <si>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</si>
  <si>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</si>
  <si>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</si>
  <si>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</si>
  <si>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</si>
  <si>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</si>
  <si>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</si>
  <si>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</si>
  <si>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</si>
  <si>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</si>
  <si>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</si>
  <si>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</si>
  <si>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</si>
  <si>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</si>
  <si>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</si>
  <si>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</si>
  <si>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</si>
  <si>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QUINTANA ROO POR NIVEL DE EDUCACIÓN, 2019.</t>
  </si>
  <si>
    <t>Nivel</t>
  </si>
  <si>
    <t>San Jose</t>
  </si>
  <si>
    <t>Mc Allen</t>
  </si>
  <si>
    <t>Los Angeles</t>
  </si>
  <si>
    <t>Indianapolis</t>
  </si>
  <si>
    <t>Calexico</t>
  </si>
  <si>
    <t>Menores de edad</t>
  </si>
  <si>
    <t>TOTAL</t>
  </si>
  <si>
    <t>MUJER</t>
  </si>
  <si>
    <t>HOMBRE</t>
  </si>
  <si>
    <t>Género</t>
  </si>
  <si>
    <t>MATRÍCULAS CONSULARES EXPEDIDAS A ORIGINARIOS DE QUINTANA ROO POR GÉNERO EN EE.UU DURANTE EL 2019.</t>
  </si>
  <si>
    <t>Mujer</t>
  </si>
  <si>
    <t>Hombre</t>
  </si>
  <si>
    <t>MATRÍCULAS CONSULARES EXPEDIDAS A ORIGINARIOS DE QUINTANA ROO POR GÉNERO Y CONSULADO DE MÉXICO 2019.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</si>
  <si>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</si>
  <si>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</si>
  <si>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</si>
  <si>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</si>
  <si>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</si>
  <si>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</si>
  <si>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</si>
  <si>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</si>
  <si>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</si>
  <si>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</si>
  <si>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QUINTANA ROO POR GÉNERO Y EDAD EN EE.UU.</t>
  </si>
  <si>
    <t>Tamaño de la muestra: 826,856</t>
  </si>
  <si>
    <t>Profesionista</t>
  </si>
  <si>
    <t>Operario(a)</t>
  </si>
  <si>
    <t>Panadero(a)</t>
  </si>
  <si>
    <t>Campesino(a)</t>
  </si>
  <si>
    <t>Albañil</t>
  </si>
  <si>
    <t>Pintor(a)</t>
  </si>
  <si>
    <t>Jardinero(a)</t>
  </si>
  <si>
    <t>Otro</t>
  </si>
  <si>
    <t>Cocinero(a)</t>
  </si>
  <si>
    <t>Obrero(a)</t>
  </si>
  <si>
    <t>Estudiante</t>
  </si>
  <si>
    <t>Hogar</t>
  </si>
  <si>
    <t>Empleado(a)</t>
  </si>
  <si>
    <t>Ocupación</t>
  </si>
  <si>
    <t>MATRÍCULAS CONSULARES EXPEDIDAS EN EE.UU. A ORIGINARIOS DE QUINTANA ROO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</si>
</sst>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164" fontId="9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49" fontId="8" fillId="5" borderId="12" xfId="0" applyNumberFormat="1" applyFont="1" applyFill="1" applyBorder="1" applyAlignment="1">
      <alignment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8" borderId="13" xfId="0" applyNumberFormat="1" applyFont="1" applyFill="1" applyBorder="1" applyAlignment="1">
      <alignment horizontal="center" vertical="center" wrapText="1"/>
    </xf>
    <xf numFmtId="49" fontId="8" fillId="8" borderId="12" xfId="0" applyNumberFormat="1" applyFont="1" applyFill="1" applyBorder="1" applyAlignment="1">
      <alignment horizontal="center" vertical="center" wrapText="1"/>
    </xf>
    <xf numFmtId="3" fontId="8" fillId="8" borderId="9" xfId="0" applyNumberFormat="1" applyFont="1" applyFill="1" applyBorder="1" applyAlignment="1">
      <alignment horizontal="right" wrapText="1"/>
    </xf>
    <xf numFmtId="164" fontId="8" fillId="8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114300</xdr:rowOff>
    </xdr:from>
    <xdr:to>
      <xdr:col>5</xdr:col>
      <xdr:colOff>83472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QUINTANA ROO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76637</xdr:rowOff>
    </xdr:from>
    <xdr:to>
      <xdr:col>4</xdr:col>
      <xdr:colOff>1037614</xdr:colOff>
      <xdr:row>7</xdr:row>
      <xdr:rowOff>262757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06465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QUINTANA ROO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602602</xdr:colOff>
      <xdr:row>7</xdr:row>
      <xdr:rowOff>116632</xdr:rowOff>
    </xdr:from>
    <xdr:to>
      <xdr:col>4</xdr:col>
      <xdr:colOff>1114699</xdr:colOff>
      <xdr:row>7</xdr:row>
      <xdr:rowOff>311020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48469" y="1866122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7</xdr:row>
      <xdr:rowOff>66675</xdr:rowOff>
    </xdr:from>
    <xdr:to>
      <xdr:col>5</xdr:col>
      <xdr:colOff>35847</xdr:colOff>
      <xdr:row>8</xdr:row>
      <xdr:rowOff>66675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72000" y="15906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QUINTANA ROO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419920</xdr:colOff>
      <xdr:row>7</xdr:row>
      <xdr:rowOff>133145</xdr:rowOff>
    </xdr:from>
    <xdr:to>
      <xdr:col>4</xdr:col>
      <xdr:colOff>932017</xdr:colOff>
      <xdr:row>7</xdr:row>
      <xdr:rowOff>327742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69759" y="1894758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QUINTANA ROO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535781</xdr:colOff>
      <xdr:row>7</xdr:row>
      <xdr:rowOff>89297</xdr:rowOff>
    </xdr:from>
    <xdr:to>
      <xdr:col>4</xdr:col>
      <xdr:colOff>1047878</xdr:colOff>
      <xdr:row>7</xdr:row>
      <xdr:rowOff>277812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9219" y="1825625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47625</xdr:rowOff>
    </xdr:from>
    <xdr:to>
      <xdr:col>5</xdr:col>
      <xdr:colOff>121572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119064</xdr:colOff>
      <xdr:row>7</xdr:row>
      <xdr:rowOff>168672</xdr:rowOff>
    </xdr:from>
    <xdr:to>
      <xdr:col>6</xdr:col>
      <xdr:colOff>254129</xdr:colOff>
      <xdr:row>8</xdr:row>
      <xdr:rowOff>168672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28048" y="1527969"/>
          <a:ext cx="512097" cy="1885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8</xdr:row>
      <xdr:rowOff>0</xdr:rowOff>
    </xdr:from>
    <xdr:to>
      <xdr:col>7</xdr:col>
      <xdr:colOff>126816</xdr:colOff>
      <xdr:row>8</xdr:row>
      <xdr:rowOff>192640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43090" y="1573230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171450</xdr:rowOff>
    </xdr:from>
    <xdr:to>
      <xdr:col>5</xdr:col>
      <xdr:colOff>121572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H9" sqref="H9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5" t="s">
        <v>71</v>
      </c>
      <c r="B1" s="76"/>
      <c r="C1" s="76"/>
      <c r="D1" s="77"/>
    </row>
    <row r="2" spans="1:4">
      <c r="A2" s="2"/>
      <c r="B2" s="3"/>
      <c r="C2" s="3"/>
      <c r="D2" s="4"/>
    </row>
    <row r="3" spans="1:4">
      <c r="A3" s="78" t="s">
        <v>0</v>
      </c>
      <c r="B3" s="79"/>
      <c r="C3" s="79"/>
      <c r="D3" s="80"/>
    </row>
    <row r="4" spans="1:4">
      <c r="A4" s="78"/>
      <c r="B4" s="79"/>
      <c r="C4" s="79"/>
      <c r="D4" s="80"/>
    </row>
    <row r="5" spans="1:4">
      <c r="A5" s="5"/>
      <c r="B5" s="6"/>
      <c r="C5" s="6"/>
      <c r="D5" s="7"/>
    </row>
    <row r="6" spans="1:4">
      <c r="A6" s="81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81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81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81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Quintana Roo_USAMuni'!A1" display="3.2 Por Estado de USA"/>
    <hyperlink ref="A8:D8" location="'Quintana Roo_Cons'!A1" display="2. Por Circunscripción Consular"/>
    <hyperlink ref="B9:D9" location="'Quintana RooXCons'!A1" display="2.1 Top ten por circunscripción consular"/>
    <hyperlink ref="A6:D6" location="'Quintana Roo_EdoUsa'!A1" display="1. Por Estados de USA"/>
    <hyperlink ref="B12:D12" location="'Quintana Roo_EdoMun'!A1" display="3.1 Municipio general"/>
    <hyperlink ref="B14:D14" location="'Quintana Roo_MUNICIPIO'!A1" display="3.3 Por Circunscripción Consular"/>
    <hyperlink ref="B17:D17" location="'Quintana Roo_educ_gral'!A1" display="4.1 Educación general"/>
    <hyperlink ref="B18:D18" location="'Quintana Roo_NivelE_Cons'!A1" display="4.2 Por Estado de USA"/>
    <hyperlink ref="B19:D19" location="'Quintana Roo_EducCons'!A1" display="4.3 Por Circunscripción Consular"/>
    <hyperlink ref="B22:D22" location="'Quintana Roo_GenGral'!A1" display="5.1 Género General"/>
    <hyperlink ref="B23:D23" location="'Quintana Roo_GENERO'!A1" display="5.2 Por Circunscripción Consular"/>
    <hyperlink ref="A25:D25" location="'Quintana Roo_Gen_Edad'!A1" display="6. Por estructura de Edad"/>
    <hyperlink ref="A27:D27" location="'Quintana Roo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1"/>
  <sheetViews>
    <sheetView showGridLines="0" topLeftCell="A40" zoomScaleNormal="100" zoomScaleSheetLayoutView="115" workbookViewId="0">
      <selection activeCell="C23" sqref="C2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69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68</v>
      </c>
      <c r="C11" s="31" t="s">
        <v>67</v>
      </c>
      <c r="D11" s="30" t="s">
        <v>66</v>
      </c>
    </row>
    <row r="12" spans="1:4">
      <c r="B12" s="27" t="s">
        <v>65</v>
      </c>
      <c r="C12" s="26">
        <v>165</v>
      </c>
      <c r="D12" s="25">
        <v>0.25660964230171074</v>
      </c>
    </row>
    <row r="13" spans="1:4" s="28" customFormat="1">
      <c r="A13" s="17"/>
      <c r="B13" s="27" t="s">
        <v>64</v>
      </c>
      <c r="C13" s="26">
        <v>98</v>
      </c>
      <c r="D13" s="25">
        <v>0.15241057542768274</v>
      </c>
    </row>
    <row r="14" spans="1:4" s="28" customFormat="1">
      <c r="A14" s="17"/>
      <c r="B14" s="27" t="s">
        <v>63</v>
      </c>
      <c r="C14" s="26">
        <v>50</v>
      </c>
      <c r="D14" s="25">
        <v>7.7760497667185069E-2</v>
      </c>
    </row>
    <row r="15" spans="1:4">
      <c r="B15" s="27" t="s">
        <v>62</v>
      </c>
      <c r="C15" s="26">
        <v>37</v>
      </c>
      <c r="D15" s="25">
        <v>5.7542768273716953E-2</v>
      </c>
    </row>
    <row r="16" spans="1:4">
      <c r="B16" s="27" t="s">
        <v>61</v>
      </c>
      <c r="C16" s="26">
        <v>24</v>
      </c>
      <c r="D16" s="25">
        <v>3.7325038880248837E-2</v>
      </c>
    </row>
    <row r="17" spans="2:4">
      <c r="B17" s="27" t="s">
        <v>60</v>
      </c>
      <c r="C17" s="26">
        <v>21</v>
      </c>
      <c r="D17" s="25">
        <v>3.2659409020217731E-2</v>
      </c>
    </row>
    <row r="18" spans="2:4">
      <c r="B18" s="27" t="s">
        <v>59</v>
      </c>
      <c r="C18" s="26">
        <v>20</v>
      </c>
      <c r="D18" s="25">
        <v>3.110419906687403E-2</v>
      </c>
    </row>
    <row r="19" spans="2:4">
      <c r="B19" s="27" t="s">
        <v>58</v>
      </c>
      <c r="C19" s="26">
        <v>20</v>
      </c>
      <c r="D19" s="25">
        <v>3.110419906687403E-2</v>
      </c>
    </row>
    <row r="20" spans="2:4">
      <c r="B20" s="27" t="s">
        <v>57</v>
      </c>
      <c r="C20" s="26">
        <v>16</v>
      </c>
      <c r="D20" s="25">
        <v>2.4883359253499222E-2</v>
      </c>
    </row>
    <row r="21" spans="2:4">
      <c r="B21" s="27" t="s">
        <v>56</v>
      </c>
      <c r="C21" s="26">
        <v>16</v>
      </c>
      <c r="D21" s="25">
        <v>2.4883359253499222E-2</v>
      </c>
    </row>
    <row r="22" spans="2:4">
      <c r="B22" s="27" t="s">
        <v>55</v>
      </c>
      <c r="C22" s="26">
        <v>15</v>
      </c>
      <c r="D22" s="25">
        <v>2.3328149300155521E-2</v>
      </c>
    </row>
    <row r="23" spans="2:4">
      <c r="B23" s="27" t="s">
        <v>54</v>
      </c>
      <c r="C23" s="26">
        <v>14</v>
      </c>
      <c r="D23" s="25">
        <v>2.177293934681182E-2</v>
      </c>
    </row>
    <row r="24" spans="2:4">
      <c r="B24" s="27" t="s">
        <v>53</v>
      </c>
      <c r="C24" s="26">
        <v>13</v>
      </c>
      <c r="D24" s="25">
        <v>2.0217729393468119E-2</v>
      </c>
    </row>
    <row r="25" spans="2:4">
      <c r="B25" s="27" t="s">
        <v>52</v>
      </c>
      <c r="C25" s="26">
        <v>12</v>
      </c>
      <c r="D25" s="25">
        <v>1.8662519440124418E-2</v>
      </c>
    </row>
    <row r="26" spans="2:4">
      <c r="B26" s="27" t="s">
        <v>51</v>
      </c>
      <c r="C26" s="26">
        <v>11</v>
      </c>
      <c r="D26" s="25">
        <v>1.7107309486780714E-2</v>
      </c>
    </row>
    <row r="27" spans="2:4">
      <c r="B27" s="27" t="s">
        <v>50</v>
      </c>
      <c r="C27" s="26">
        <v>9</v>
      </c>
      <c r="D27" s="25">
        <v>1.3996889580093312E-2</v>
      </c>
    </row>
    <row r="28" spans="2:4">
      <c r="B28" s="27" t="s">
        <v>49</v>
      </c>
      <c r="C28" s="26">
        <v>9</v>
      </c>
      <c r="D28" s="25">
        <v>1.3996889580093312E-2</v>
      </c>
    </row>
    <row r="29" spans="2:4">
      <c r="B29" s="27" t="s">
        <v>48</v>
      </c>
      <c r="C29" s="26">
        <v>9</v>
      </c>
      <c r="D29" s="25">
        <v>1.3996889580093312E-2</v>
      </c>
    </row>
    <row r="30" spans="2:4">
      <c r="B30" s="27" t="s">
        <v>47</v>
      </c>
      <c r="C30" s="26">
        <v>9</v>
      </c>
      <c r="D30" s="25">
        <v>1.3996889580093312E-2</v>
      </c>
    </row>
    <row r="31" spans="2:4">
      <c r="B31" s="27" t="s">
        <v>46</v>
      </c>
      <c r="C31" s="26">
        <v>8</v>
      </c>
      <c r="D31" s="25">
        <v>1.2441679626749611E-2</v>
      </c>
    </row>
    <row r="32" spans="2:4">
      <c r="B32" s="27" t="s">
        <v>45</v>
      </c>
      <c r="C32" s="26">
        <v>7</v>
      </c>
      <c r="D32" s="25">
        <v>1.088646967340591E-2</v>
      </c>
    </row>
    <row r="33" spans="2:4">
      <c r="B33" s="27" t="s">
        <v>44</v>
      </c>
      <c r="C33" s="26">
        <v>7</v>
      </c>
      <c r="D33" s="25">
        <v>1.088646967340591E-2</v>
      </c>
    </row>
    <row r="34" spans="2:4">
      <c r="B34" s="27" t="s">
        <v>43</v>
      </c>
      <c r="C34" s="26">
        <v>6</v>
      </c>
      <c r="D34" s="25">
        <v>9.3312597200622092E-3</v>
      </c>
    </row>
    <row r="35" spans="2:4">
      <c r="B35" s="27" t="s">
        <v>42</v>
      </c>
      <c r="C35" s="26">
        <v>6</v>
      </c>
      <c r="D35" s="25">
        <v>9.3312597200622092E-3</v>
      </c>
    </row>
    <row r="36" spans="2:4">
      <c r="B36" s="27" t="s">
        <v>41</v>
      </c>
      <c r="C36" s="26">
        <v>6</v>
      </c>
      <c r="D36" s="25">
        <v>9.3312597200622092E-3</v>
      </c>
    </row>
    <row r="37" spans="2:4">
      <c r="B37" s="27" t="s">
        <v>40</v>
      </c>
      <c r="C37" s="26">
        <v>5</v>
      </c>
      <c r="D37" s="25">
        <v>7.7760497667185074E-3</v>
      </c>
    </row>
    <row r="38" spans="2:4">
      <c r="B38" s="27" t="s">
        <v>39</v>
      </c>
      <c r="C38" s="26">
        <v>4</v>
      </c>
      <c r="D38" s="25">
        <v>6.2208398133748056E-3</v>
      </c>
    </row>
    <row r="39" spans="2:4">
      <c r="B39" s="27" t="s">
        <v>38</v>
      </c>
      <c r="C39" s="26">
        <v>3</v>
      </c>
      <c r="D39" s="25">
        <v>4.6656298600311046E-3</v>
      </c>
    </row>
    <row r="40" spans="2:4">
      <c r="B40" s="27" t="s">
        <v>37</v>
      </c>
      <c r="C40" s="26">
        <v>2</v>
      </c>
      <c r="D40" s="25">
        <v>3.1104199066874028E-3</v>
      </c>
    </row>
    <row r="41" spans="2:4">
      <c r="B41" s="27" t="s">
        <v>36</v>
      </c>
      <c r="C41" s="26">
        <v>2</v>
      </c>
      <c r="D41" s="25">
        <v>3.1104199066874028E-3</v>
      </c>
    </row>
    <row r="42" spans="2:4">
      <c r="B42" s="27" t="s">
        <v>35</v>
      </c>
      <c r="C42" s="26">
        <v>2</v>
      </c>
      <c r="D42" s="25">
        <v>3.1104199066874028E-3</v>
      </c>
    </row>
    <row r="43" spans="2:4">
      <c r="B43" s="27" t="s">
        <v>34</v>
      </c>
      <c r="C43" s="26">
        <v>2</v>
      </c>
      <c r="D43" s="25">
        <v>3.1104199066874028E-3</v>
      </c>
    </row>
    <row r="44" spans="2:4">
      <c r="B44" s="27" t="s">
        <v>33</v>
      </c>
      <c r="C44" s="26">
        <v>2</v>
      </c>
      <c r="D44" s="25">
        <v>3.1104199066874028E-3</v>
      </c>
    </row>
    <row r="45" spans="2:4">
      <c r="B45" s="27" t="s">
        <v>32</v>
      </c>
      <c r="C45" s="26">
        <v>2</v>
      </c>
      <c r="D45" s="25">
        <v>3.1104199066874028E-3</v>
      </c>
    </row>
    <row r="46" spans="2:4">
      <c r="B46" s="27" t="s">
        <v>31</v>
      </c>
      <c r="C46" s="26">
        <v>2</v>
      </c>
      <c r="D46" s="25">
        <v>3.1104199066874028E-3</v>
      </c>
    </row>
    <row r="47" spans="2:4">
      <c r="B47" s="27" t="s">
        <v>30</v>
      </c>
      <c r="C47" s="26">
        <v>2</v>
      </c>
      <c r="D47" s="25">
        <v>3.1104199066874028E-3</v>
      </c>
    </row>
    <row r="48" spans="2:4">
      <c r="B48" s="27" t="s">
        <v>29</v>
      </c>
      <c r="C48" s="26">
        <v>1</v>
      </c>
      <c r="D48" s="25">
        <v>1.5552099533437014E-3</v>
      </c>
    </row>
    <row r="49" spans="2:4">
      <c r="B49" s="27" t="s">
        <v>28</v>
      </c>
      <c r="C49" s="26">
        <v>1</v>
      </c>
      <c r="D49" s="25">
        <v>1.5552099533437014E-3</v>
      </c>
    </row>
    <row r="50" spans="2:4">
      <c r="B50" s="27" t="s">
        <v>27</v>
      </c>
      <c r="C50" s="26">
        <v>1</v>
      </c>
      <c r="D50" s="25">
        <v>1.5552099533437014E-3</v>
      </c>
    </row>
    <row r="51" spans="2:4">
      <c r="B51" s="27" t="s">
        <v>26</v>
      </c>
      <c r="C51" s="26">
        <v>1</v>
      </c>
      <c r="D51" s="25">
        <v>1.5552099533437014E-3</v>
      </c>
    </row>
    <row r="52" spans="2:4">
      <c r="B52" s="27" t="s">
        <v>25</v>
      </c>
      <c r="C52" s="26">
        <v>1</v>
      </c>
      <c r="D52" s="25">
        <v>1.5552099533437014E-3</v>
      </c>
    </row>
    <row r="53" spans="2:4">
      <c r="B53" s="27" t="s">
        <v>24</v>
      </c>
      <c r="C53" s="26">
        <v>1</v>
      </c>
      <c r="D53" s="25">
        <v>1.5552099533437014E-3</v>
      </c>
    </row>
    <row r="54" spans="2:4">
      <c r="B54" s="27" t="s">
        <v>23</v>
      </c>
      <c r="C54" s="26">
        <v>1</v>
      </c>
      <c r="D54" s="25">
        <v>1.5552099533437014E-3</v>
      </c>
    </row>
    <row r="55" spans="2:4" ht="15" customHeight="1">
      <c r="B55" s="24" t="s">
        <v>22</v>
      </c>
      <c r="C55" s="23">
        <v>643</v>
      </c>
      <c r="D55" s="22">
        <v>1</v>
      </c>
    </row>
    <row r="57" spans="2:4">
      <c r="B57" s="19" t="s">
        <v>21</v>
      </c>
    </row>
    <row r="58" spans="2:4">
      <c r="B58" s="21" t="s">
        <v>20</v>
      </c>
    </row>
    <row r="59" spans="2:4">
      <c r="B59" s="20" t="s">
        <v>19</v>
      </c>
    </row>
    <row r="60" spans="2:4">
      <c r="B60" s="19" t="s">
        <v>18</v>
      </c>
    </row>
    <row r="61" spans="2:4">
      <c r="B61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37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122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121</v>
      </c>
      <c r="C11" s="31" t="s">
        <v>67</v>
      </c>
      <c r="D11" s="30" t="s">
        <v>66</v>
      </c>
    </row>
    <row r="12" spans="1:4" ht="15" customHeight="1">
      <c r="B12" s="27" t="s">
        <v>116</v>
      </c>
      <c r="C12" s="26">
        <v>82</v>
      </c>
      <c r="D12" s="25">
        <f t="shared" ref="D12:D43" si="0">C12/$C$62</f>
        <v>0.12752721617418353</v>
      </c>
    </row>
    <row r="13" spans="1:4">
      <c r="B13" s="27" t="s">
        <v>109</v>
      </c>
      <c r="C13" s="26">
        <v>71</v>
      </c>
      <c r="D13" s="25">
        <f t="shared" si="0"/>
        <v>0.1104199066874028</v>
      </c>
    </row>
    <row r="14" spans="1:4" s="28" customFormat="1">
      <c r="A14" s="17"/>
      <c r="B14" s="27" t="s">
        <v>117</v>
      </c>
      <c r="C14" s="26">
        <v>40</v>
      </c>
      <c r="D14" s="25">
        <f t="shared" si="0"/>
        <v>6.2208398133748059E-2</v>
      </c>
    </row>
    <row r="15" spans="1:4" s="28" customFormat="1">
      <c r="A15" s="17"/>
      <c r="B15" s="27" t="s">
        <v>120</v>
      </c>
      <c r="C15" s="26">
        <v>40</v>
      </c>
      <c r="D15" s="25">
        <f t="shared" si="0"/>
        <v>6.2208398133748059E-2</v>
      </c>
    </row>
    <row r="16" spans="1:4">
      <c r="B16" s="27" t="s">
        <v>118</v>
      </c>
      <c r="C16" s="26">
        <v>32</v>
      </c>
      <c r="D16" s="25">
        <f t="shared" si="0"/>
        <v>4.9766718506998445E-2</v>
      </c>
    </row>
    <row r="17" spans="2:4">
      <c r="B17" s="27" t="s">
        <v>113</v>
      </c>
      <c r="C17" s="26">
        <v>29</v>
      </c>
      <c r="D17" s="25">
        <f t="shared" si="0"/>
        <v>4.5101088646967338E-2</v>
      </c>
    </row>
    <row r="18" spans="2:4">
      <c r="B18" s="27" t="s">
        <v>119</v>
      </c>
      <c r="C18" s="26">
        <v>26</v>
      </c>
      <c r="D18" s="25">
        <f t="shared" si="0"/>
        <v>4.0435458786936239E-2</v>
      </c>
    </row>
    <row r="19" spans="2:4">
      <c r="B19" s="27" t="s">
        <v>47</v>
      </c>
      <c r="C19" s="26">
        <v>25</v>
      </c>
      <c r="D19" s="25">
        <f t="shared" si="0"/>
        <v>3.8880248833592534E-2</v>
      </c>
    </row>
    <row r="20" spans="2:4">
      <c r="B20" s="27" t="s">
        <v>107</v>
      </c>
      <c r="C20" s="26">
        <v>24</v>
      </c>
      <c r="D20" s="25">
        <f t="shared" si="0"/>
        <v>3.7325038880248837E-2</v>
      </c>
    </row>
    <row r="21" spans="2:4">
      <c r="B21" s="27" t="s">
        <v>90</v>
      </c>
      <c r="C21" s="26">
        <v>20</v>
      </c>
      <c r="D21" s="25">
        <f t="shared" si="0"/>
        <v>3.110419906687403E-2</v>
      </c>
    </row>
    <row r="22" spans="2:4">
      <c r="B22" s="27" t="s">
        <v>111</v>
      </c>
      <c r="C22" s="26">
        <v>19</v>
      </c>
      <c r="D22" s="25">
        <f t="shared" si="0"/>
        <v>2.9548989113530325E-2</v>
      </c>
    </row>
    <row r="23" spans="2:4">
      <c r="B23" s="27" t="s">
        <v>95</v>
      </c>
      <c r="C23" s="26">
        <v>17</v>
      </c>
      <c r="D23" s="25">
        <f t="shared" si="0"/>
        <v>2.6438569206842923E-2</v>
      </c>
    </row>
    <row r="24" spans="2:4">
      <c r="B24" s="27" t="s">
        <v>101</v>
      </c>
      <c r="C24" s="26">
        <v>15</v>
      </c>
      <c r="D24" s="25">
        <f t="shared" si="0"/>
        <v>2.3328149300155521E-2</v>
      </c>
    </row>
    <row r="25" spans="2:4">
      <c r="B25" s="27" t="s">
        <v>97</v>
      </c>
      <c r="C25" s="26">
        <v>14</v>
      </c>
      <c r="D25" s="25">
        <f t="shared" si="0"/>
        <v>2.177293934681182E-2</v>
      </c>
    </row>
    <row r="26" spans="2:4">
      <c r="B26" s="27" t="s">
        <v>108</v>
      </c>
      <c r="C26" s="26">
        <v>14</v>
      </c>
      <c r="D26" s="25">
        <f t="shared" si="0"/>
        <v>2.177293934681182E-2</v>
      </c>
    </row>
    <row r="27" spans="2:4">
      <c r="B27" s="27" t="s">
        <v>94</v>
      </c>
      <c r="C27" s="26">
        <v>14</v>
      </c>
      <c r="D27" s="25">
        <f t="shared" si="0"/>
        <v>2.177293934681182E-2</v>
      </c>
    </row>
    <row r="28" spans="2:4">
      <c r="B28" s="27" t="s">
        <v>115</v>
      </c>
      <c r="C28" s="26">
        <v>14</v>
      </c>
      <c r="D28" s="25">
        <f t="shared" si="0"/>
        <v>2.177293934681182E-2</v>
      </c>
    </row>
    <row r="29" spans="2:4">
      <c r="B29" s="27" t="s">
        <v>106</v>
      </c>
      <c r="C29" s="26">
        <v>11</v>
      </c>
      <c r="D29" s="25">
        <f t="shared" si="0"/>
        <v>1.7107309486780714E-2</v>
      </c>
    </row>
    <row r="30" spans="2:4">
      <c r="B30" s="27" t="s">
        <v>102</v>
      </c>
      <c r="C30" s="26">
        <v>11</v>
      </c>
      <c r="D30" s="25">
        <f t="shared" si="0"/>
        <v>1.7107309486780714E-2</v>
      </c>
    </row>
    <row r="31" spans="2:4">
      <c r="B31" s="27" t="s">
        <v>98</v>
      </c>
      <c r="C31" s="26">
        <v>10</v>
      </c>
      <c r="D31" s="25">
        <f t="shared" si="0"/>
        <v>1.5552099533437015E-2</v>
      </c>
    </row>
    <row r="32" spans="2:4">
      <c r="B32" s="27" t="s">
        <v>93</v>
      </c>
      <c r="C32" s="26">
        <v>10</v>
      </c>
      <c r="D32" s="25">
        <f t="shared" si="0"/>
        <v>1.5552099533437015E-2</v>
      </c>
    </row>
    <row r="33" spans="2:4">
      <c r="B33" s="27" t="s">
        <v>105</v>
      </c>
      <c r="C33" s="26">
        <v>10</v>
      </c>
      <c r="D33" s="25">
        <f t="shared" si="0"/>
        <v>1.5552099533437015E-2</v>
      </c>
    </row>
    <row r="34" spans="2:4">
      <c r="B34" s="27" t="s">
        <v>110</v>
      </c>
      <c r="C34" s="26">
        <v>10</v>
      </c>
      <c r="D34" s="25">
        <f t="shared" si="0"/>
        <v>1.5552099533437015E-2</v>
      </c>
    </row>
    <row r="35" spans="2:4">
      <c r="B35" s="27" t="s">
        <v>87</v>
      </c>
      <c r="C35" s="26">
        <v>9</v>
      </c>
      <c r="D35" s="25">
        <f t="shared" si="0"/>
        <v>1.3996889580093312E-2</v>
      </c>
    </row>
    <row r="36" spans="2:4">
      <c r="B36" s="27" t="s">
        <v>86</v>
      </c>
      <c r="C36" s="26">
        <v>9</v>
      </c>
      <c r="D36" s="25">
        <f t="shared" si="0"/>
        <v>1.3996889580093312E-2</v>
      </c>
    </row>
    <row r="37" spans="2:4">
      <c r="B37" s="27" t="s">
        <v>92</v>
      </c>
      <c r="C37" s="26">
        <v>9</v>
      </c>
      <c r="D37" s="25">
        <f t="shared" si="0"/>
        <v>1.3996889580093312E-2</v>
      </c>
    </row>
    <row r="38" spans="2:4">
      <c r="B38" s="27" t="s">
        <v>89</v>
      </c>
      <c r="C38" s="26">
        <v>8</v>
      </c>
      <c r="D38" s="25">
        <f t="shared" si="0"/>
        <v>1.2441679626749611E-2</v>
      </c>
    </row>
    <row r="39" spans="2:4">
      <c r="B39" s="27" t="s">
        <v>91</v>
      </c>
      <c r="C39" s="26">
        <v>7</v>
      </c>
      <c r="D39" s="25">
        <f t="shared" si="0"/>
        <v>1.088646967340591E-2</v>
      </c>
    </row>
    <row r="40" spans="2:4">
      <c r="B40" s="27" t="s">
        <v>104</v>
      </c>
      <c r="C40" s="26">
        <v>6</v>
      </c>
      <c r="D40" s="25">
        <f t="shared" si="0"/>
        <v>9.3312597200622092E-3</v>
      </c>
    </row>
    <row r="41" spans="2:4">
      <c r="B41" s="27" t="s">
        <v>99</v>
      </c>
      <c r="C41" s="26">
        <v>5</v>
      </c>
      <c r="D41" s="25">
        <f t="shared" si="0"/>
        <v>7.7760497667185074E-3</v>
      </c>
    </row>
    <row r="42" spans="2:4">
      <c r="B42" s="27" t="s">
        <v>112</v>
      </c>
      <c r="C42" s="26">
        <v>5</v>
      </c>
      <c r="D42" s="25">
        <f t="shared" si="0"/>
        <v>7.7760497667185074E-3</v>
      </c>
    </row>
    <row r="43" spans="2:4">
      <c r="B43" s="27" t="s">
        <v>114</v>
      </c>
      <c r="C43" s="26">
        <v>4</v>
      </c>
      <c r="D43" s="25">
        <f t="shared" si="0"/>
        <v>6.2208398133748056E-3</v>
      </c>
    </row>
    <row r="44" spans="2:4">
      <c r="B44" s="27" t="s">
        <v>103</v>
      </c>
      <c r="C44" s="26">
        <v>4</v>
      </c>
      <c r="D44" s="25">
        <f t="shared" ref="D44:D75" si="1">C44/$C$62</f>
        <v>6.2208398133748056E-3</v>
      </c>
    </row>
    <row r="45" spans="2:4">
      <c r="B45" s="27" t="s">
        <v>83</v>
      </c>
      <c r="C45" s="26">
        <v>3</v>
      </c>
      <c r="D45" s="25">
        <f t="shared" si="1"/>
        <v>4.6656298600311046E-3</v>
      </c>
    </row>
    <row r="46" spans="2:4">
      <c r="B46" s="27" t="s">
        <v>88</v>
      </c>
      <c r="C46" s="26">
        <v>3</v>
      </c>
      <c r="D46" s="25">
        <f t="shared" si="1"/>
        <v>4.6656298600311046E-3</v>
      </c>
    </row>
    <row r="47" spans="2:4">
      <c r="B47" s="27" t="s">
        <v>100</v>
      </c>
      <c r="C47" s="26">
        <v>3</v>
      </c>
      <c r="D47" s="25">
        <f t="shared" si="1"/>
        <v>4.6656298600311046E-3</v>
      </c>
    </row>
    <row r="48" spans="2:4">
      <c r="B48" s="27" t="s">
        <v>84</v>
      </c>
      <c r="C48" s="26">
        <v>2</v>
      </c>
      <c r="D48" s="25">
        <f t="shared" si="1"/>
        <v>3.1104199066874028E-3</v>
      </c>
    </row>
    <row r="49" spans="2:4">
      <c r="B49" s="27" t="s">
        <v>81</v>
      </c>
      <c r="C49" s="26">
        <v>2</v>
      </c>
      <c r="D49" s="25">
        <f t="shared" si="1"/>
        <v>3.1104199066874028E-3</v>
      </c>
    </row>
    <row r="50" spans="2:4">
      <c r="B50" s="27" t="s">
        <v>82</v>
      </c>
      <c r="C50" s="26">
        <v>1</v>
      </c>
      <c r="D50" s="25">
        <f t="shared" si="1"/>
        <v>1.5552099533437014E-3</v>
      </c>
    </row>
    <row r="51" spans="2:4">
      <c r="B51" s="27" t="s">
        <v>78</v>
      </c>
      <c r="C51" s="26">
        <v>1</v>
      </c>
      <c r="D51" s="25">
        <f t="shared" si="1"/>
        <v>1.5552099533437014E-3</v>
      </c>
    </row>
    <row r="52" spans="2:4">
      <c r="B52" s="27" t="s">
        <v>76</v>
      </c>
      <c r="C52" s="26">
        <v>1</v>
      </c>
      <c r="D52" s="25">
        <f t="shared" si="1"/>
        <v>1.5552099533437014E-3</v>
      </c>
    </row>
    <row r="53" spans="2:4">
      <c r="B53" s="27" t="s">
        <v>85</v>
      </c>
      <c r="C53" s="26">
        <v>1</v>
      </c>
      <c r="D53" s="25">
        <f t="shared" si="1"/>
        <v>1.5552099533437014E-3</v>
      </c>
    </row>
    <row r="54" spans="2:4">
      <c r="B54" s="27" t="s">
        <v>79</v>
      </c>
      <c r="C54" s="26">
        <v>1</v>
      </c>
      <c r="D54" s="25">
        <f t="shared" si="1"/>
        <v>1.5552099533437014E-3</v>
      </c>
    </row>
    <row r="55" spans="2:4">
      <c r="B55" s="27" t="s">
        <v>96</v>
      </c>
      <c r="C55" s="26">
        <v>1</v>
      </c>
      <c r="D55" s="25">
        <f t="shared" si="1"/>
        <v>1.5552099533437014E-3</v>
      </c>
    </row>
    <row r="56" spans="2:4">
      <c r="B56" s="27" t="s">
        <v>75</v>
      </c>
      <c r="C56" s="26">
        <v>0</v>
      </c>
      <c r="D56" s="25">
        <f t="shared" si="1"/>
        <v>0</v>
      </c>
    </row>
    <row r="57" spans="2:4">
      <c r="B57" s="27" t="s">
        <v>73</v>
      </c>
      <c r="C57" s="26">
        <v>0</v>
      </c>
      <c r="D57" s="25">
        <f t="shared" si="1"/>
        <v>0</v>
      </c>
    </row>
    <row r="58" spans="2:4">
      <c r="B58" s="27" t="s">
        <v>72</v>
      </c>
      <c r="C58" s="26">
        <v>0</v>
      </c>
      <c r="D58" s="25">
        <f t="shared" si="1"/>
        <v>0</v>
      </c>
    </row>
    <row r="59" spans="2:4">
      <c r="B59" s="27" t="s">
        <v>74</v>
      </c>
      <c r="C59" s="26">
        <v>0</v>
      </c>
      <c r="D59" s="25">
        <f t="shared" si="1"/>
        <v>0</v>
      </c>
    </row>
    <row r="60" spans="2:4">
      <c r="B60" s="27" t="s">
        <v>80</v>
      </c>
      <c r="C60" s="26">
        <v>0</v>
      </c>
      <c r="D60" s="25">
        <f t="shared" si="1"/>
        <v>0</v>
      </c>
    </row>
    <row r="61" spans="2:4">
      <c r="B61" s="27" t="s">
        <v>77</v>
      </c>
      <c r="C61" s="26">
        <v>0</v>
      </c>
      <c r="D61" s="25">
        <f t="shared" si="1"/>
        <v>0</v>
      </c>
    </row>
    <row r="62" spans="2:4">
      <c r="B62" s="24" t="s">
        <v>22</v>
      </c>
      <c r="C62" s="23">
        <v>643</v>
      </c>
      <c r="D62" s="22">
        <f t="shared" si="1"/>
        <v>1</v>
      </c>
    </row>
    <row r="64" spans="2:4">
      <c r="B64" s="19" t="s">
        <v>21</v>
      </c>
    </row>
    <row r="65" spans="2:2">
      <c r="B65" s="21" t="s">
        <v>20</v>
      </c>
    </row>
    <row r="66" spans="2:2">
      <c r="B66" s="20" t="s">
        <v>19</v>
      </c>
    </row>
    <row r="67" spans="2:2">
      <c r="B67" s="19" t="s">
        <v>18</v>
      </c>
    </row>
    <row r="68" spans="2:2">
      <c r="B6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122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121</v>
      </c>
      <c r="C11" s="31" t="s">
        <v>67</v>
      </c>
      <c r="D11" s="30" t="s">
        <v>66</v>
      </c>
    </row>
    <row r="12" spans="1:4" ht="15" customHeight="1">
      <c r="B12" s="27" t="s">
        <v>116</v>
      </c>
      <c r="C12" s="26">
        <v>82</v>
      </c>
      <c r="D12" s="25">
        <f t="shared" ref="D12:D22" si="0">C12/$C$22</f>
        <v>0.21079691516709512</v>
      </c>
    </row>
    <row r="13" spans="1:4">
      <c r="B13" s="27" t="s">
        <v>109</v>
      </c>
      <c r="C13" s="26">
        <v>71</v>
      </c>
      <c r="D13" s="25">
        <f t="shared" si="0"/>
        <v>0.18251928020565553</v>
      </c>
    </row>
    <row r="14" spans="1:4" s="28" customFormat="1">
      <c r="A14" s="17"/>
      <c r="B14" s="27" t="s">
        <v>117</v>
      </c>
      <c r="C14" s="26">
        <v>40</v>
      </c>
      <c r="D14" s="25">
        <f t="shared" si="0"/>
        <v>0.10282776349614396</v>
      </c>
    </row>
    <row r="15" spans="1:4" s="28" customFormat="1">
      <c r="A15" s="17"/>
      <c r="B15" s="27" t="s">
        <v>120</v>
      </c>
      <c r="C15" s="26">
        <v>40</v>
      </c>
      <c r="D15" s="25">
        <f t="shared" si="0"/>
        <v>0.10282776349614396</v>
      </c>
    </row>
    <row r="16" spans="1:4">
      <c r="B16" s="27" t="s">
        <v>118</v>
      </c>
      <c r="C16" s="26">
        <v>32</v>
      </c>
      <c r="D16" s="25">
        <f t="shared" si="0"/>
        <v>8.2262210796915161E-2</v>
      </c>
    </row>
    <row r="17" spans="2:4">
      <c r="B17" s="27" t="s">
        <v>113</v>
      </c>
      <c r="C17" s="26">
        <v>29</v>
      </c>
      <c r="D17" s="25">
        <f t="shared" si="0"/>
        <v>7.4550128534704371E-2</v>
      </c>
    </row>
    <row r="18" spans="2:4">
      <c r="B18" s="27" t="s">
        <v>119</v>
      </c>
      <c r="C18" s="26">
        <v>26</v>
      </c>
      <c r="D18" s="25">
        <f t="shared" si="0"/>
        <v>6.6838046272493568E-2</v>
      </c>
    </row>
    <row r="19" spans="2:4">
      <c r="B19" s="27" t="s">
        <v>47</v>
      </c>
      <c r="C19" s="26">
        <v>25</v>
      </c>
      <c r="D19" s="25">
        <f t="shared" si="0"/>
        <v>6.4267352185089971E-2</v>
      </c>
    </row>
    <row r="20" spans="2:4">
      <c r="B20" s="27" t="s">
        <v>107</v>
      </c>
      <c r="C20" s="26">
        <v>24</v>
      </c>
      <c r="D20" s="25">
        <f t="shared" si="0"/>
        <v>6.1696658097686374E-2</v>
      </c>
    </row>
    <row r="21" spans="2:4">
      <c r="B21" s="27" t="s">
        <v>90</v>
      </c>
      <c r="C21" s="26">
        <v>20</v>
      </c>
      <c r="D21" s="25">
        <f t="shared" si="0"/>
        <v>5.1413881748071981E-2</v>
      </c>
    </row>
    <row r="22" spans="2:4">
      <c r="B22" s="24" t="s">
        <v>22</v>
      </c>
      <c r="C22" s="23">
        <f>SUM(C12:C21)</f>
        <v>389</v>
      </c>
      <c r="D22" s="22">
        <f t="shared" si="0"/>
        <v>1</v>
      </c>
    </row>
    <row r="24" spans="2:4">
      <c r="B24" s="19" t="s">
        <v>21</v>
      </c>
    </row>
    <row r="25" spans="2:4">
      <c r="B25" s="21" t="s">
        <v>20</v>
      </c>
    </row>
    <row r="26" spans="2:4">
      <c r="B26" s="20" t="s">
        <v>19</v>
      </c>
    </row>
    <row r="27" spans="2:4">
      <c r="B27" s="19" t="s">
        <v>18</v>
      </c>
    </row>
    <row r="28" spans="2:4">
      <c r="B2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6"/>
  <sheetViews>
    <sheetView showGridLines="0" topLeftCell="A13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132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131</v>
      </c>
      <c r="C11" s="31" t="s">
        <v>67</v>
      </c>
      <c r="D11" s="30" t="s">
        <v>66</v>
      </c>
    </row>
    <row r="12" spans="1:4" ht="15" customHeight="1">
      <c r="B12" s="27" t="s">
        <v>130</v>
      </c>
      <c r="C12" s="26">
        <v>398</v>
      </c>
      <c r="D12" s="25">
        <v>0.61897356143079318</v>
      </c>
    </row>
    <row r="13" spans="1:4">
      <c r="B13" s="27" t="s">
        <v>129</v>
      </c>
      <c r="C13" s="26">
        <v>124</v>
      </c>
      <c r="D13" s="25">
        <v>0.19284603421461896</v>
      </c>
    </row>
    <row r="14" spans="1:4" s="28" customFormat="1">
      <c r="A14" s="17"/>
      <c r="B14" s="27" t="s">
        <v>128</v>
      </c>
      <c r="C14" s="26">
        <v>47</v>
      </c>
      <c r="D14" s="25">
        <v>7.3094867807153963E-2</v>
      </c>
    </row>
    <row r="15" spans="1:4" s="28" customFormat="1">
      <c r="A15" s="17"/>
      <c r="B15" s="27" t="s">
        <v>127</v>
      </c>
      <c r="C15" s="26">
        <v>34</v>
      </c>
      <c r="D15" s="25">
        <v>5.2877138413685847E-2</v>
      </c>
    </row>
    <row r="16" spans="1:4">
      <c r="B16" s="27" t="s">
        <v>126</v>
      </c>
      <c r="C16" s="26">
        <v>15</v>
      </c>
      <c r="D16" s="25">
        <v>2.3328149300155521E-2</v>
      </c>
    </row>
    <row r="17" spans="2:4">
      <c r="B17" s="27" t="s">
        <v>125</v>
      </c>
      <c r="C17" s="26">
        <v>12</v>
      </c>
      <c r="D17" s="25">
        <v>1.8662519440124418E-2</v>
      </c>
    </row>
    <row r="18" spans="2:4">
      <c r="B18" s="27" t="s">
        <v>124</v>
      </c>
      <c r="C18" s="26">
        <v>7</v>
      </c>
      <c r="D18" s="25">
        <v>1.088646967340591E-2</v>
      </c>
    </row>
    <row r="19" spans="2:4">
      <c r="B19" s="27" t="s">
        <v>123</v>
      </c>
      <c r="C19" s="26">
        <v>6</v>
      </c>
      <c r="D19" s="25">
        <v>9.3312597200622092E-3</v>
      </c>
    </row>
    <row r="20" spans="2:4">
      <c r="B20" s="24" t="s">
        <v>22</v>
      </c>
      <c r="C20" s="23">
        <v>643</v>
      </c>
      <c r="D20" s="22">
        <v>1</v>
      </c>
    </row>
    <row r="22" spans="2:4">
      <c r="B22" s="19" t="s">
        <v>21</v>
      </c>
    </row>
    <row r="23" spans="2:4">
      <c r="B23" s="21" t="s">
        <v>20</v>
      </c>
    </row>
    <row r="24" spans="2:4">
      <c r="B24" s="20" t="s">
        <v>19</v>
      </c>
    </row>
    <row r="25" spans="2:4">
      <c r="B25" s="19" t="s">
        <v>18</v>
      </c>
    </row>
    <row r="26" spans="2:4">
      <c r="B26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73"/>
  <sheetViews>
    <sheetView topLeftCell="A130" zoomScale="87" zoomScaleNormal="87" zoomScaleSheetLayoutView="85" workbookViewId="0">
      <selection activeCell="B167" sqref="B167:E16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134</v>
      </c>
      <c r="C9" s="47" t="s">
        <v>133</v>
      </c>
      <c r="D9" s="46" t="s">
        <v>67</v>
      </c>
      <c r="E9" s="45" t="s">
        <v>66</v>
      </c>
    </row>
    <row r="10" spans="1:5" ht="15" customHeight="1">
      <c r="B10" s="83" t="s">
        <v>63</v>
      </c>
      <c r="C10" s="43" t="s">
        <v>129</v>
      </c>
      <c r="D10" s="42">
        <v>3</v>
      </c>
      <c r="E10" s="41">
        <v>4.6656298600311046E-3</v>
      </c>
    </row>
    <row r="11" spans="1:5" ht="15" customHeight="1">
      <c r="B11" s="84"/>
      <c r="C11" s="43" t="s">
        <v>126</v>
      </c>
      <c r="D11" s="42">
        <v>1</v>
      </c>
      <c r="E11" s="41">
        <v>1.5552099533437014E-3</v>
      </c>
    </row>
    <row r="12" spans="1:5" ht="15" customHeight="1">
      <c r="B12" s="84"/>
      <c r="C12" s="43" t="s">
        <v>128</v>
      </c>
      <c r="D12" s="42">
        <v>1</v>
      </c>
      <c r="E12" s="41">
        <v>1.5552099533437014E-3</v>
      </c>
    </row>
    <row r="13" spans="1:5" s="44" customFormat="1" ht="15" customHeight="1">
      <c r="A13" s="36"/>
      <c r="B13" s="84"/>
      <c r="C13" s="43" t="s">
        <v>124</v>
      </c>
      <c r="D13" s="42">
        <v>1</v>
      </c>
      <c r="E13" s="41">
        <v>1.5552099533437014E-3</v>
      </c>
    </row>
    <row r="14" spans="1:5" s="44" customFormat="1" ht="15" customHeight="1">
      <c r="A14" s="36"/>
      <c r="B14" s="84"/>
      <c r="C14" s="43" t="s">
        <v>130</v>
      </c>
      <c r="D14" s="42">
        <v>44</v>
      </c>
      <c r="E14" s="41">
        <v>6.8429237947122856E-2</v>
      </c>
    </row>
    <row r="15" spans="1:5" s="44" customFormat="1" ht="15" customHeight="1">
      <c r="A15" s="36"/>
      <c r="B15" s="85"/>
      <c r="C15" s="40" t="s">
        <v>22</v>
      </c>
      <c r="D15" s="39">
        <v>50</v>
      </c>
      <c r="E15" s="38">
        <v>7.7760497667185069E-2</v>
      </c>
    </row>
    <row r="16" spans="1:5" ht="15" customHeight="1">
      <c r="B16" s="83" t="s">
        <v>45</v>
      </c>
      <c r="C16" s="43" t="s">
        <v>129</v>
      </c>
      <c r="D16" s="42">
        <v>2</v>
      </c>
      <c r="E16" s="41">
        <v>3.1104199066874028E-3</v>
      </c>
    </row>
    <row r="17" spans="2:5" ht="15" customHeight="1">
      <c r="B17" s="84"/>
      <c r="C17" s="43" t="s">
        <v>130</v>
      </c>
      <c r="D17" s="42">
        <v>5</v>
      </c>
      <c r="E17" s="41">
        <v>7.7760497667185074E-3</v>
      </c>
    </row>
    <row r="18" spans="2:5" ht="15" customHeight="1">
      <c r="B18" s="85"/>
      <c r="C18" s="40" t="s">
        <v>22</v>
      </c>
      <c r="D18" s="39">
        <v>7</v>
      </c>
      <c r="E18" s="38">
        <v>1.088646967340591E-2</v>
      </c>
    </row>
    <row r="19" spans="2:5" ht="15" customHeight="1">
      <c r="B19" s="83" t="s">
        <v>40</v>
      </c>
      <c r="C19" s="43" t="s">
        <v>129</v>
      </c>
      <c r="D19" s="42">
        <v>3</v>
      </c>
      <c r="E19" s="41">
        <v>4.6656298600311046E-3</v>
      </c>
    </row>
    <row r="20" spans="2:5" ht="15" customHeight="1">
      <c r="B20" s="84"/>
      <c r="C20" s="43" t="s">
        <v>130</v>
      </c>
      <c r="D20" s="42">
        <v>2</v>
      </c>
      <c r="E20" s="41">
        <v>3.1104199066874028E-3</v>
      </c>
    </row>
    <row r="21" spans="2:5" ht="15" customHeight="1">
      <c r="B21" s="85"/>
      <c r="C21" s="40" t="s">
        <v>22</v>
      </c>
      <c r="D21" s="39">
        <v>5</v>
      </c>
      <c r="E21" s="38">
        <v>7.7760497667185074E-3</v>
      </c>
    </row>
    <row r="22" spans="2:5" ht="15" customHeight="1">
      <c r="B22" s="83" t="s">
        <v>65</v>
      </c>
      <c r="C22" s="43" t="s">
        <v>129</v>
      </c>
      <c r="D22" s="42">
        <v>37</v>
      </c>
      <c r="E22" s="41">
        <v>5.7542768273716953E-2</v>
      </c>
    </row>
    <row r="23" spans="2:5" ht="15" customHeight="1">
      <c r="B23" s="84"/>
      <c r="C23" s="43" t="s">
        <v>126</v>
      </c>
      <c r="D23" s="42">
        <v>5</v>
      </c>
      <c r="E23" s="41">
        <v>7.7760497667185074E-3</v>
      </c>
    </row>
    <row r="24" spans="2:5" ht="15" customHeight="1">
      <c r="B24" s="84"/>
      <c r="C24" s="43" t="s">
        <v>127</v>
      </c>
      <c r="D24" s="42">
        <v>19</v>
      </c>
      <c r="E24" s="41">
        <v>2.9548989113530325E-2</v>
      </c>
    </row>
    <row r="25" spans="2:5" ht="15" customHeight="1">
      <c r="B25" s="84"/>
      <c r="C25" s="43" t="s">
        <v>125</v>
      </c>
      <c r="D25" s="42">
        <v>2</v>
      </c>
      <c r="E25" s="41">
        <v>3.1104199066874028E-3</v>
      </c>
    </row>
    <row r="26" spans="2:5" ht="15" customHeight="1">
      <c r="B26" s="84"/>
      <c r="C26" s="43" t="s">
        <v>128</v>
      </c>
      <c r="D26" s="42">
        <v>32</v>
      </c>
      <c r="E26" s="41">
        <v>4.9766718506998445E-2</v>
      </c>
    </row>
    <row r="27" spans="2:5" ht="15" customHeight="1">
      <c r="B27" s="84"/>
      <c r="C27" s="43" t="s">
        <v>124</v>
      </c>
      <c r="D27" s="42">
        <v>1</v>
      </c>
      <c r="E27" s="41">
        <v>1.5552099533437014E-3</v>
      </c>
    </row>
    <row r="28" spans="2:5" ht="15" customHeight="1">
      <c r="B28" s="84"/>
      <c r="C28" s="43" t="s">
        <v>130</v>
      </c>
      <c r="D28" s="42">
        <v>69</v>
      </c>
      <c r="E28" s="41">
        <v>0.10730948678071539</v>
      </c>
    </row>
    <row r="29" spans="2:5" ht="15" customHeight="1">
      <c r="B29" s="85"/>
      <c r="C29" s="40" t="s">
        <v>22</v>
      </c>
      <c r="D29" s="39">
        <v>165</v>
      </c>
      <c r="E29" s="38">
        <v>0.25660964230171074</v>
      </c>
    </row>
    <row r="30" spans="2:5" ht="15" customHeight="1">
      <c r="B30" s="83" t="s">
        <v>55</v>
      </c>
      <c r="C30" s="43" t="s">
        <v>129</v>
      </c>
      <c r="D30" s="42">
        <v>7</v>
      </c>
      <c r="E30" s="41">
        <v>1.088646967340591E-2</v>
      </c>
    </row>
    <row r="31" spans="2:5" ht="15" customHeight="1">
      <c r="B31" s="84"/>
      <c r="C31" s="43" t="s">
        <v>125</v>
      </c>
      <c r="D31" s="42">
        <v>1</v>
      </c>
      <c r="E31" s="41">
        <v>1.5552099533437014E-3</v>
      </c>
    </row>
    <row r="32" spans="2:5" ht="15" customHeight="1">
      <c r="B32" s="84"/>
      <c r="C32" s="43" t="s">
        <v>130</v>
      </c>
      <c r="D32" s="42">
        <v>7</v>
      </c>
      <c r="E32" s="41">
        <v>1.088646967340591E-2</v>
      </c>
    </row>
    <row r="33" spans="2:5" ht="15" customHeight="1">
      <c r="B33" s="85"/>
      <c r="C33" s="40" t="s">
        <v>22</v>
      </c>
      <c r="D33" s="39">
        <v>15</v>
      </c>
      <c r="E33" s="38">
        <v>2.3328149300155521E-2</v>
      </c>
    </row>
    <row r="34" spans="2:5" ht="15" customHeight="1">
      <c r="B34" s="83" t="s">
        <v>37</v>
      </c>
      <c r="C34" s="43" t="s">
        <v>129</v>
      </c>
      <c r="D34" s="42">
        <v>1</v>
      </c>
      <c r="E34" s="41">
        <v>1.5552099533437014E-3</v>
      </c>
    </row>
    <row r="35" spans="2:5" ht="15" customHeight="1">
      <c r="B35" s="84"/>
      <c r="C35" s="43" t="s">
        <v>127</v>
      </c>
      <c r="D35" s="42">
        <v>1</v>
      </c>
      <c r="E35" s="41">
        <v>1.5552099533437014E-3</v>
      </c>
    </row>
    <row r="36" spans="2:5" ht="15" customHeight="1">
      <c r="B36" s="85"/>
      <c r="C36" s="40" t="s">
        <v>22</v>
      </c>
      <c r="D36" s="39">
        <v>2</v>
      </c>
      <c r="E36" s="38">
        <v>3.1104199066874028E-3</v>
      </c>
    </row>
    <row r="37" spans="2:5" ht="15" customHeight="1">
      <c r="B37" s="83" t="s">
        <v>29</v>
      </c>
      <c r="C37" s="43" t="s">
        <v>130</v>
      </c>
      <c r="D37" s="42">
        <v>1</v>
      </c>
      <c r="E37" s="41">
        <v>1.5552099533437014E-3</v>
      </c>
    </row>
    <row r="38" spans="2:5" ht="15" customHeight="1">
      <c r="B38" s="85"/>
      <c r="C38" s="40" t="s">
        <v>22</v>
      </c>
      <c r="D38" s="39">
        <v>1</v>
      </c>
      <c r="E38" s="38">
        <v>1.5552099533437014E-3</v>
      </c>
    </row>
    <row r="39" spans="2:5" ht="15" customHeight="1">
      <c r="B39" s="83" t="s">
        <v>36</v>
      </c>
      <c r="C39" s="43" t="s">
        <v>130</v>
      </c>
      <c r="D39" s="42">
        <v>2</v>
      </c>
      <c r="E39" s="41">
        <v>3.1104199066874028E-3</v>
      </c>
    </row>
    <row r="40" spans="2:5" ht="15" customHeight="1">
      <c r="B40" s="85"/>
      <c r="C40" s="40" t="s">
        <v>22</v>
      </c>
      <c r="D40" s="39">
        <v>2</v>
      </c>
      <c r="E40" s="38">
        <v>3.1104199066874028E-3</v>
      </c>
    </row>
    <row r="41" spans="2:5" ht="15" customHeight="1">
      <c r="B41" s="83" t="s">
        <v>62</v>
      </c>
      <c r="C41" s="43" t="s">
        <v>129</v>
      </c>
      <c r="D41" s="42">
        <v>4</v>
      </c>
      <c r="E41" s="41">
        <v>6.2208398133748056E-3</v>
      </c>
    </row>
    <row r="42" spans="2:5" ht="15" customHeight="1">
      <c r="B42" s="84"/>
      <c r="C42" s="43" t="s">
        <v>126</v>
      </c>
      <c r="D42" s="42">
        <v>1</v>
      </c>
      <c r="E42" s="41">
        <v>1.5552099533437014E-3</v>
      </c>
    </row>
    <row r="43" spans="2:5" ht="15" customHeight="1">
      <c r="B43" s="84"/>
      <c r="C43" s="43" t="s">
        <v>127</v>
      </c>
      <c r="D43" s="42">
        <v>1</v>
      </c>
      <c r="E43" s="41">
        <v>1.5552099533437014E-3</v>
      </c>
    </row>
    <row r="44" spans="2:5" ht="15" customHeight="1">
      <c r="B44" s="84"/>
      <c r="C44" s="43" t="s">
        <v>125</v>
      </c>
      <c r="D44" s="42">
        <v>3</v>
      </c>
      <c r="E44" s="41">
        <v>4.6656298600311046E-3</v>
      </c>
    </row>
    <row r="45" spans="2:5" ht="15" customHeight="1">
      <c r="B45" s="84"/>
      <c r="C45" s="43" t="s">
        <v>130</v>
      </c>
      <c r="D45" s="42">
        <v>28</v>
      </c>
      <c r="E45" s="41">
        <v>4.3545878693623641E-2</v>
      </c>
    </row>
    <row r="46" spans="2:5" ht="15" customHeight="1">
      <c r="B46" s="85"/>
      <c r="C46" s="40" t="s">
        <v>22</v>
      </c>
      <c r="D46" s="39">
        <v>37</v>
      </c>
      <c r="E46" s="38">
        <v>5.7542768273716953E-2</v>
      </c>
    </row>
    <row r="47" spans="2:5" ht="15" customHeight="1">
      <c r="B47" s="83" t="s">
        <v>61</v>
      </c>
      <c r="C47" s="43" t="s">
        <v>129</v>
      </c>
      <c r="D47" s="42">
        <v>4</v>
      </c>
      <c r="E47" s="41">
        <v>6.2208398133748056E-3</v>
      </c>
    </row>
    <row r="48" spans="2:5" ht="15" customHeight="1">
      <c r="B48" s="84"/>
      <c r="C48" s="43" t="s">
        <v>125</v>
      </c>
      <c r="D48" s="42">
        <v>1</v>
      </c>
      <c r="E48" s="41">
        <v>1.5552099533437014E-3</v>
      </c>
    </row>
    <row r="49" spans="2:5" ht="15" customHeight="1">
      <c r="B49" s="84"/>
      <c r="C49" s="43" t="s">
        <v>128</v>
      </c>
      <c r="D49" s="42">
        <v>3</v>
      </c>
      <c r="E49" s="41">
        <v>4.6656298600311046E-3</v>
      </c>
    </row>
    <row r="50" spans="2:5" ht="15" customHeight="1">
      <c r="B50" s="84"/>
      <c r="C50" s="43" t="s">
        <v>130</v>
      </c>
      <c r="D50" s="42">
        <v>16</v>
      </c>
      <c r="E50" s="41">
        <v>2.4883359253499222E-2</v>
      </c>
    </row>
    <row r="51" spans="2:5" ht="15" customHeight="1">
      <c r="B51" s="85"/>
      <c r="C51" s="40" t="s">
        <v>22</v>
      </c>
      <c r="D51" s="39">
        <v>24</v>
      </c>
      <c r="E51" s="38">
        <v>3.7325038880248837E-2</v>
      </c>
    </row>
    <row r="52" spans="2:5" ht="15" customHeight="1">
      <c r="B52" s="83" t="s">
        <v>59</v>
      </c>
      <c r="C52" s="43" t="s">
        <v>129</v>
      </c>
      <c r="D52" s="42">
        <v>2</v>
      </c>
      <c r="E52" s="41">
        <v>3.1104199066874028E-3</v>
      </c>
    </row>
    <row r="53" spans="2:5" ht="15" customHeight="1">
      <c r="B53" s="84"/>
      <c r="C53" s="43" t="s">
        <v>126</v>
      </c>
      <c r="D53" s="42">
        <v>1</v>
      </c>
      <c r="E53" s="41">
        <v>1.5552099533437014E-3</v>
      </c>
    </row>
    <row r="54" spans="2:5" ht="15" customHeight="1">
      <c r="B54" s="84"/>
      <c r="C54" s="43" t="s">
        <v>127</v>
      </c>
      <c r="D54" s="42">
        <v>1</v>
      </c>
      <c r="E54" s="41">
        <v>1.5552099533437014E-3</v>
      </c>
    </row>
    <row r="55" spans="2:5" ht="15" customHeight="1">
      <c r="B55" s="84"/>
      <c r="C55" s="43" t="s">
        <v>130</v>
      </c>
      <c r="D55" s="42">
        <v>16</v>
      </c>
      <c r="E55" s="41">
        <v>2.4883359253499222E-2</v>
      </c>
    </row>
    <row r="56" spans="2:5" ht="15" customHeight="1">
      <c r="B56" s="85"/>
      <c r="C56" s="40" t="s">
        <v>22</v>
      </c>
      <c r="D56" s="39">
        <v>20</v>
      </c>
      <c r="E56" s="38">
        <v>3.110419906687403E-2</v>
      </c>
    </row>
    <row r="57" spans="2:5" ht="15" customHeight="1">
      <c r="B57" s="83" t="s">
        <v>53</v>
      </c>
      <c r="C57" s="43" t="s">
        <v>129</v>
      </c>
      <c r="D57" s="42">
        <v>5</v>
      </c>
      <c r="E57" s="41">
        <v>7.7760497667185074E-3</v>
      </c>
    </row>
    <row r="58" spans="2:5" ht="15" customHeight="1">
      <c r="B58" s="84"/>
      <c r="C58" s="43" t="s">
        <v>130</v>
      </c>
      <c r="D58" s="42">
        <v>8</v>
      </c>
      <c r="E58" s="41">
        <v>1.2441679626749611E-2</v>
      </c>
    </row>
    <row r="59" spans="2:5" ht="15" customHeight="1">
      <c r="B59" s="85"/>
      <c r="C59" s="40" t="s">
        <v>22</v>
      </c>
      <c r="D59" s="39">
        <v>13</v>
      </c>
      <c r="E59" s="38">
        <v>2.0217729393468119E-2</v>
      </c>
    </row>
    <row r="60" spans="2:5" ht="15" customHeight="1">
      <c r="B60" s="83" t="s">
        <v>35</v>
      </c>
      <c r="C60" s="43" t="s">
        <v>127</v>
      </c>
      <c r="D60" s="42">
        <v>1</v>
      </c>
      <c r="E60" s="41">
        <v>1.5552099533437014E-3</v>
      </c>
    </row>
    <row r="61" spans="2:5" ht="15" customHeight="1">
      <c r="B61" s="84"/>
      <c r="C61" s="43" t="s">
        <v>130</v>
      </c>
      <c r="D61" s="42">
        <v>1</v>
      </c>
      <c r="E61" s="41">
        <v>1.5552099533437014E-3</v>
      </c>
    </row>
    <row r="62" spans="2:5" ht="15" customHeight="1">
      <c r="B62" s="85"/>
      <c r="C62" s="40" t="s">
        <v>22</v>
      </c>
      <c r="D62" s="39">
        <v>2</v>
      </c>
      <c r="E62" s="38">
        <v>3.1104199066874028E-3</v>
      </c>
    </row>
    <row r="63" spans="2:5" ht="15" customHeight="1">
      <c r="B63" s="83" t="s">
        <v>43</v>
      </c>
      <c r="C63" s="43" t="s">
        <v>128</v>
      </c>
      <c r="D63" s="42">
        <v>1</v>
      </c>
      <c r="E63" s="41">
        <v>1.5552099533437014E-3</v>
      </c>
    </row>
    <row r="64" spans="2:5" ht="15" customHeight="1">
      <c r="B64" s="84"/>
      <c r="C64" s="43" t="s">
        <v>130</v>
      </c>
      <c r="D64" s="42">
        <v>5</v>
      </c>
      <c r="E64" s="41">
        <v>7.7760497667185074E-3</v>
      </c>
    </row>
    <row r="65" spans="2:5" ht="15" customHeight="1">
      <c r="B65" s="85"/>
      <c r="C65" s="40" t="s">
        <v>22</v>
      </c>
      <c r="D65" s="39">
        <v>6</v>
      </c>
      <c r="E65" s="38">
        <v>9.3312597200622092E-3</v>
      </c>
    </row>
    <row r="66" spans="2:5" ht="15" customHeight="1">
      <c r="B66" s="83" t="s">
        <v>34</v>
      </c>
      <c r="C66" s="43" t="s">
        <v>129</v>
      </c>
      <c r="D66" s="42">
        <v>2</v>
      </c>
      <c r="E66" s="41">
        <v>3.1104199066874028E-3</v>
      </c>
    </row>
    <row r="67" spans="2:5" ht="15" customHeight="1">
      <c r="B67" s="85"/>
      <c r="C67" s="40" t="s">
        <v>22</v>
      </c>
      <c r="D67" s="39">
        <v>2</v>
      </c>
      <c r="E67" s="38">
        <v>3.1104199066874028E-3</v>
      </c>
    </row>
    <row r="68" spans="2:5" ht="15" customHeight="1">
      <c r="B68" s="83" t="s">
        <v>38</v>
      </c>
      <c r="C68" s="43" t="s">
        <v>130</v>
      </c>
      <c r="D68" s="42">
        <v>3</v>
      </c>
      <c r="E68" s="41">
        <v>4.6656298600311046E-3</v>
      </c>
    </row>
    <row r="69" spans="2:5" ht="15" customHeight="1">
      <c r="B69" s="85"/>
      <c r="C69" s="40" t="s">
        <v>22</v>
      </c>
      <c r="D69" s="39">
        <v>3</v>
      </c>
      <c r="E69" s="38">
        <v>4.6656298600311046E-3</v>
      </c>
    </row>
    <row r="70" spans="2:5" ht="15" customHeight="1">
      <c r="B70" s="83" t="s">
        <v>28</v>
      </c>
      <c r="C70" s="43" t="s">
        <v>129</v>
      </c>
      <c r="D70" s="42">
        <v>1</v>
      </c>
      <c r="E70" s="41">
        <v>1.5552099533437014E-3</v>
      </c>
    </row>
    <row r="71" spans="2:5" ht="15" customHeight="1">
      <c r="B71" s="85"/>
      <c r="C71" s="40" t="s">
        <v>22</v>
      </c>
      <c r="D71" s="39">
        <v>1</v>
      </c>
      <c r="E71" s="38">
        <v>1.5552099533437014E-3</v>
      </c>
    </row>
    <row r="72" spans="2:5" ht="15" customHeight="1">
      <c r="B72" s="83" t="s">
        <v>27</v>
      </c>
      <c r="C72" s="43" t="s">
        <v>130</v>
      </c>
      <c r="D72" s="42">
        <v>1</v>
      </c>
      <c r="E72" s="41">
        <v>1.5552099533437014E-3</v>
      </c>
    </row>
    <row r="73" spans="2:5" ht="15" customHeight="1">
      <c r="B73" s="85"/>
      <c r="C73" s="40" t="s">
        <v>22</v>
      </c>
      <c r="D73" s="39">
        <v>1</v>
      </c>
      <c r="E73" s="38">
        <v>1.5552099533437014E-3</v>
      </c>
    </row>
    <row r="74" spans="2:5" ht="15" customHeight="1">
      <c r="B74" s="83" t="s">
        <v>50</v>
      </c>
      <c r="C74" s="43" t="s">
        <v>130</v>
      </c>
      <c r="D74" s="42">
        <v>9</v>
      </c>
      <c r="E74" s="41">
        <v>1.3996889580093312E-2</v>
      </c>
    </row>
    <row r="75" spans="2:5" ht="15" customHeight="1">
      <c r="B75" s="85"/>
      <c r="C75" s="40" t="s">
        <v>22</v>
      </c>
      <c r="D75" s="39">
        <v>9</v>
      </c>
      <c r="E75" s="38">
        <v>1.3996889580093312E-2</v>
      </c>
    </row>
    <row r="76" spans="2:5" ht="15" customHeight="1">
      <c r="B76" s="83" t="s">
        <v>57</v>
      </c>
      <c r="C76" s="43" t="s">
        <v>129</v>
      </c>
      <c r="D76" s="42">
        <v>1</v>
      </c>
      <c r="E76" s="41">
        <v>1.5552099533437014E-3</v>
      </c>
    </row>
    <row r="77" spans="2:5" ht="15" customHeight="1">
      <c r="B77" s="84"/>
      <c r="C77" s="43" t="s">
        <v>127</v>
      </c>
      <c r="D77" s="42">
        <v>1</v>
      </c>
      <c r="E77" s="41">
        <v>1.5552099533437014E-3</v>
      </c>
    </row>
    <row r="78" spans="2:5" ht="15" customHeight="1">
      <c r="B78" s="84"/>
      <c r="C78" s="43" t="s">
        <v>125</v>
      </c>
      <c r="D78" s="42">
        <v>1</v>
      </c>
      <c r="E78" s="41">
        <v>1.5552099533437014E-3</v>
      </c>
    </row>
    <row r="79" spans="2:5" ht="15" customHeight="1">
      <c r="B79" s="84"/>
      <c r="C79" s="43" t="s">
        <v>130</v>
      </c>
      <c r="D79" s="42">
        <v>13</v>
      </c>
      <c r="E79" s="41">
        <v>2.0217729393468119E-2</v>
      </c>
    </row>
    <row r="80" spans="2:5" ht="15" customHeight="1">
      <c r="B80" s="85"/>
      <c r="C80" s="40" t="s">
        <v>22</v>
      </c>
      <c r="D80" s="39">
        <v>16</v>
      </c>
      <c r="E80" s="38">
        <v>2.4883359253499222E-2</v>
      </c>
    </row>
    <row r="81" spans="2:5" ht="15" customHeight="1">
      <c r="B81" s="83" t="s">
        <v>42</v>
      </c>
      <c r="C81" s="43" t="s">
        <v>129</v>
      </c>
      <c r="D81" s="42">
        <v>1</v>
      </c>
      <c r="E81" s="41">
        <v>1.5552099533437014E-3</v>
      </c>
    </row>
    <row r="82" spans="2:5" ht="15" customHeight="1">
      <c r="B82" s="84"/>
      <c r="C82" s="43" t="s">
        <v>130</v>
      </c>
      <c r="D82" s="42">
        <v>5</v>
      </c>
      <c r="E82" s="41">
        <v>7.7760497667185074E-3</v>
      </c>
    </row>
    <row r="83" spans="2:5" ht="15" customHeight="1">
      <c r="B83" s="85"/>
      <c r="C83" s="40" t="s">
        <v>22</v>
      </c>
      <c r="D83" s="39">
        <v>6</v>
      </c>
      <c r="E83" s="38">
        <v>9.3312597200622092E-3</v>
      </c>
    </row>
    <row r="84" spans="2:5" ht="15" customHeight="1">
      <c r="B84" s="83" t="s">
        <v>44</v>
      </c>
      <c r="C84" s="43" t="s">
        <v>129</v>
      </c>
      <c r="D84" s="42">
        <v>2</v>
      </c>
      <c r="E84" s="41">
        <v>3.1104199066874028E-3</v>
      </c>
    </row>
    <row r="85" spans="2:5" ht="15" customHeight="1">
      <c r="B85" s="84"/>
      <c r="C85" s="43" t="s">
        <v>130</v>
      </c>
      <c r="D85" s="42">
        <v>5</v>
      </c>
      <c r="E85" s="41">
        <v>7.7760497667185074E-3</v>
      </c>
    </row>
    <row r="86" spans="2:5" ht="15" customHeight="1">
      <c r="B86" s="85"/>
      <c r="C86" s="40" t="s">
        <v>22</v>
      </c>
      <c r="D86" s="39">
        <v>7</v>
      </c>
      <c r="E86" s="38">
        <v>1.088646967340591E-2</v>
      </c>
    </row>
    <row r="87" spans="2:5" ht="15" customHeight="1">
      <c r="B87" s="83" t="s">
        <v>26</v>
      </c>
      <c r="C87" s="43" t="s">
        <v>130</v>
      </c>
      <c r="D87" s="42">
        <v>1</v>
      </c>
      <c r="E87" s="41">
        <v>1.5552099533437014E-3</v>
      </c>
    </row>
    <row r="88" spans="2:5" ht="15" customHeight="1">
      <c r="B88" s="85"/>
      <c r="C88" s="40" t="s">
        <v>22</v>
      </c>
      <c r="D88" s="39">
        <v>1</v>
      </c>
      <c r="E88" s="38">
        <v>1.5552099533437014E-3</v>
      </c>
    </row>
    <row r="89" spans="2:5" ht="15" customHeight="1">
      <c r="B89" s="83" t="s">
        <v>25</v>
      </c>
      <c r="C89" s="43" t="s">
        <v>130</v>
      </c>
      <c r="D89" s="42">
        <v>1</v>
      </c>
      <c r="E89" s="41">
        <v>1.5552099533437014E-3</v>
      </c>
    </row>
    <row r="90" spans="2:5" ht="15" customHeight="1">
      <c r="B90" s="85"/>
      <c r="C90" s="40" t="s">
        <v>22</v>
      </c>
      <c r="D90" s="39">
        <v>1</v>
      </c>
      <c r="E90" s="38">
        <v>1.5552099533437014E-3</v>
      </c>
    </row>
    <row r="91" spans="2:5" ht="15" customHeight="1">
      <c r="B91" s="83" t="s">
        <v>41</v>
      </c>
      <c r="C91" s="43" t="s">
        <v>129</v>
      </c>
      <c r="D91" s="42">
        <v>2</v>
      </c>
      <c r="E91" s="41">
        <v>3.1104199066874028E-3</v>
      </c>
    </row>
    <row r="92" spans="2:5" ht="15" customHeight="1">
      <c r="B92" s="84"/>
      <c r="C92" s="43" t="s">
        <v>127</v>
      </c>
      <c r="D92" s="42">
        <v>2</v>
      </c>
      <c r="E92" s="41">
        <v>3.1104199066874028E-3</v>
      </c>
    </row>
    <row r="93" spans="2:5" ht="15" customHeight="1">
      <c r="B93" s="84"/>
      <c r="C93" s="43" t="s">
        <v>130</v>
      </c>
      <c r="D93" s="42">
        <v>2</v>
      </c>
      <c r="E93" s="41">
        <v>3.1104199066874028E-3</v>
      </c>
    </row>
    <row r="94" spans="2:5" ht="15" customHeight="1">
      <c r="B94" s="85"/>
      <c r="C94" s="40" t="s">
        <v>22</v>
      </c>
      <c r="D94" s="39">
        <v>6</v>
      </c>
      <c r="E94" s="38">
        <v>9.3312597200622092E-3</v>
      </c>
    </row>
    <row r="95" spans="2:5" ht="15" customHeight="1">
      <c r="B95" s="83" t="s">
        <v>51</v>
      </c>
      <c r="C95" s="43" t="s">
        <v>129</v>
      </c>
      <c r="D95" s="42">
        <v>3</v>
      </c>
      <c r="E95" s="41">
        <v>4.6656298600311046E-3</v>
      </c>
    </row>
    <row r="96" spans="2:5" ht="15" customHeight="1">
      <c r="B96" s="84"/>
      <c r="C96" s="43" t="s">
        <v>130</v>
      </c>
      <c r="D96" s="42">
        <v>8</v>
      </c>
      <c r="E96" s="41">
        <v>1.2441679626749611E-2</v>
      </c>
    </row>
    <row r="97" spans="2:5" ht="15" customHeight="1">
      <c r="B97" s="85"/>
      <c r="C97" s="40" t="s">
        <v>22</v>
      </c>
      <c r="D97" s="39">
        <v>11</v>
      </c>
      <c r="E97" s="38">
        <v>1.7107309486780714E-2</v>
      </c>
    </row>
    <row r="98" spans="2:5" ht="15" customHeight="1">
      <c r="B98" s="83" t="s">
        <v>33</v>
      </c>
      <c r="C98" s="43" t="s">
        <v>130</v>
      </c>
      <c r="D98" s="42">
        <v>2</v>
      </c>
      <c r="E98" s="41">
        <v>3.1104199066874028E-3</v>
      </c>
    </row>
    <row r="99" spans="2:5" ht="15" customHeight="1">
      <c r="B99" s="85"/>
      <c r="C99" s="40" t="s">
        <v>22</v>
      </c>
      <c r="D99" s="39">
        <v>2</v>
      </c>
      <c r="E99" s="38">
        <v>3.1104199066874028E-3</v>
      </c>
    </row>
    <row r="100" spans="2:5" ht="15" customHeight="1">
      <c r="B100" s="83" t="s">
        <v>46</v>
      </c>
      <c r="C100" s="43" t="s">
        <v>129</v>
      </c>
      <c r="D100" s="42">
        <v>2</v>
      </c>
      <c r="E100" s="41">
        <v>3.1104199066874028E-3</v>
      </c>
    </row>
    <row r="101" spans="2:5" ht="15" customHeight="1">
      <c r="B101" s="84"/>
      <c r="C101" s="43" t="s">
        <v>127</v>
      </c>
      <c r="D101" s="42">
        <v>1</v>
      </c>
      <c r="E101" s="41">
        <v>1.5552099533437014E-3</v>
      </c>
    </row>
    <row r="102" spans="2:5" ht="15" customHeight="1">
      <c r="B102" s="84"/>
      <c r="C102" s="43" t="s">
        <v>130</v>
      </c>
      <c r="D102" s="42">
        <v>5</v>
      </c>
      <c r="E102" s="41">
        <v>7.7760497667185074E-3</v>
      </c>
    </row>
    <row r="103" spans="2:5" ht="15" customHeight="1">
      <c r="B103" s="85"/>
      <c r="C103" s="40" t="s">
        <v>22</v>
      </c>
      <c r="D103" s="39">
        <v>8</v>
      </c>
      <c r="E103" s="38">
        <v>1.2441679626749611E-2</v>
      </c>
    </row>
    <row r="104" spans="2:5" ht="15" customHeight="1">
      <c r="B104" s="83" t="s">
        <v>58</v>
      </c>
      <c r="C104" s="43" t="s">
        <v>129</v>
      </c>
      <c r="D104" s="42">
        <v>2</v>
      </c>
      <c r="E104" s="41">
        <v>3.1104199066874028E-3</v>
      </c>
    </row>
    <row r="105" spans="2:5" ht="15" customHeight="1">
      <c r="B105" s="84"/>
      <c r="C105" s="43" t="s">
        <v>127</v>
      </c>
      <c r="D105" s="42">
        <v>1</v>
      </c>
      <c r="E105" s="41">
        <v>1.5552099533437014E-3</v>
      </c>
    </row>
    <row r="106" spans="2:5" ht="15" customHeight="1">
      <c r="B106" s="84"/>
      <c r="C106" s="43" t="s">
        <v>124</v>
      </c>
      <c r="D106" s="42">
        <v>1</v>
      </c>
      <c r="E106" s="41">
        <v>1.5552099533437014E-3</v>
      </c>
    </row>
    <row r="107" spans="2:5" ht="15" customHeight="1">
      <c r="B107" s="84"/>
      <c r="C107" s="43" t="s">
        <v>130</v>
      </c>
      <c r="D107" s="42">
        <v>14</v>
      </c>
      <c r="E107" s="41">
        <v>2.177293934681182E-2</v>
      </c>
    </row>
    <row r="108" spans="2:5" ht="15" customHeight="1">
      <c r="B108" s="84"/>
      <c r="C108" s="43" t="s">
        <v>123</v>
      </c>
      <c r="D108" s="42">
        <v>2</v>
      </c>
      <c r="E108" s="41">
        <v>3.1104199066874028E-3</v>
      </c>
    </row>
    <row r="109" spans="2:5" ht="15" customHeight="1">
      <c r="B109" s="85"/>
      <c r="C109" s="40" t="s">
        <v>22</v>
      </c>
      <c r="D109" s="39">
        <v>20</v>
      </c>
      <c r="E109" s="38">
        <v>3.110419906687403E-2</v>
      </c>
    </row>
    <row r="110" spans="2:5" ht="15" customHeight="1">
      <c r="B110" s="83" t="s">
        <v>32</v>
      </c>
      <c r="C110" s="43" t="s">
        <v>129</v>
      </c>
      <c r="D110" s="42">
        <v>1</v>
      </c>
      <c r="E110" s="41">
        <v>1.5552099533437014E-3</v>
      </c>
    </row>
    <row r="111" spans="2:5" ht="15" customHeight="1">
      <c r="B111" s="84"/>
      <c r="C111" s="43" t="s">
        <v>130</v>
      </c>
      <c r="D111" s="42">
        <v>1</v>
      </c>
      <c r="E111" s="41">
        <v>1.5552099533437014E-3</v>
      </c>
    </row>
    <row r="112" spans="2:5" ht="15" customHeight="1">
      <c r="B112" s="85"/>
      <c r="C112" s="40" t="s">
        <v>22</v>
      </c>
      <c r="D112" s="39">
        <v>2</v>
      </c>
      <c r="E112" s="38">
        <v>3.1104199066874028E-3</v>
      </c>
    </row>
    <row r="113" spans="2:5" ht="15" customHeight="1">
      <c r="B113" s="83" t="s">
        <v>31</v>
      </c>
      <c r="C113" s="43" t="s">
        <v>129</v>
      </c>
      <c r="D113" s="42">
        <v>1</v>
      </c>
      <c r="E113" s="41">
        <v>1.5552099533437014E-3</v>
      </c>
    </row>
    <row r="114" spans="2:5" ht="15" customHeight="1">
      <c r="B114" s="84"/>
      <c r="C114" s="43" t="s">
        <v>130</v>
      </c>
      <c r="D114" s="42">
        <v>1</v>
      </c>
      <c r="E114" s="41">
        <v>1.5552099533437014E-3</v>
      </c>
    </row>
    <row r="115" spans="2:5" ht="15" customHeight="1">
      <c r="B115" s="85"/>
      <c r="C115" s="40" t="s">
        <v>22</v>
      </c>
      <c r="D115" s="39">
        <v>2</v>
      </c>
      <c r="E115" s="38">
        <v>3.1104199066874028E-3</v>
      </c>
    </row>
    <row r="116" spans="2:5" ht="15" customHeight="1">
      <c r="B116" s="83" t="s">
        <v>39</v>
      </c>
      <c r="C116" s="43" t="s">
        <v>129</v>
      </c>
      <c r="D116" s="42">
        <v>1</v>
      </c>
      <c r="E116" s="41">
        <v>1.5552099533437014E-3</v>
      </c>
    </row>
    <row r="117" spans="2:5" ht="15" customHeight="1">
      <c r="B117" s="84"/>
      <c r="C117" s="43" t="s">
        <v>130</v>
      </c>
      <c r="D117" s="42">
        <v>3</v>
      </c>
      <c r="E117" s="41">
        <v>4.6656298600311046E-3</v>
      </c>
    </row>
    <row r="118" spans="2:5" ht="15" customHeight="1">
      <c r="B118" s="85"/>
      <c r="C118" s="40" t="s">
        <v>22</v>
      </c>
      <c r="D118" s="39">
        <v>4</v>
      </c>
      <c r="E118" s="38">
        <v>6.2208398133748056E-3</v>
      </c>
    </row>
    <row r="119" spans="2:5" ht="15" customHeight="1">
      <c r="B119" s="83" t="s">
        <v>56</v>
      </c>
      <c r="C119" s="43" t="s">
        <v>129</v>
      </c>
      <c r="D119" s="42">
        <v>4</v>
      </c>
      <c r="E119" s="41">
        <v>6.2208398133748056E-3</v>
      </c>
    </row>
    <row r="120" spans="2:5" ht="15" customHeight="1">
      <c r="B120" s="84"/>
      <c r="C120" s="43" t="s">
        <v>126</v>
      </c>
      <c r="D120" s="42">
        <v>1</v>
      </c>
      <c r="E120" s="41">
        <v>1.5552099533437014E-3</v>
      </c>
    </row>
    <row r="121" spans="2:5" ht="15" customHeight="1">
      <c r="B121" s="84"/>
      <c r="C121" s="43" t="s">
        <v>127</v>
      </c>
      <c r="D121" s="42">
        <v>1</v>
      </c>
      <c r="E121" s="41">
        <v>1.5552099533437014E-3</v>
      </c>
    </row>
    <row r="122" spans="2:5" ht="15" customHeight="1">
      <c r="B122" s="84"/>
      <c r="C122" s="43" t="s">
        <v>128</v>
      </c>
      <c r="D122" s="42">
        <v>2</v>
      </c>
      <c r="E122" s="41">
        <v>3.1104199066874028E-3</v>
      </c>
    </row>
    <row r="123" spans="2:5" ht="15" customHeight="1">
      <c r="B123" s="84"/>
      <c r="C123" s="43" t="s">
        <v>130</v>
      </c>
      <c r="D123" s="42">
        <v>8</v>
      </c>
      <c r="E123" s="41">
        <v>1.2441679626749611E-2</v>
      </c>
    </row>
    <row r="124" spans="2:5" ht="15" customHeight="1">
      <c r="B124" s="85"/>
      <c r="C124" s="40" t="s">
        <v>22</v>
      </c>
      <c r="D124" s="39">
        <v>16</v>
      </c>
      <c r="E124" s="38">
        <v>2.4883359253499222E-2</v>
      </c>
    </row>
    <row r="125" spans="2:5" ht="15" customHeight="1">
      <c r="B125" s="83" t="s">
        <v>30</v>
      </c>
      <c r="C125" s="43" t="s">
        <v>129</v>
      </c>
      <c r="D125" s="42">
        <v>2</v>
      </c>
      <c r="E125" s="41">
        <v>3.1104199066874028E-3</v>
      </c>
    </row>
    <row r="126" spans="2:5" ht="15" customHeight="1">
      <c r="B126" s="85"/>
      <c r="C126" s="40" t="s">
        <v>22</v>
      </c>
      <c r="D126" s="39">
        <v>2</v>
      </c>
      <c r="E126" s="38">
        <v>3.1104199066874028E-3</v>
      </c>
    </row>
    <row r="127" spans="2:5" ht="15" customHeight="1">
      <c r="B127" s="83" t="s">
        <v>49</v>
      </c>
      <c r="C127" s="43" t="s">
        <v>129</v>
      </c>
      <c r="D127" s="42">
        <v>2</v>
      </c>
      <c r="E127" s="41">
        <v>3.1104199066874028E-3</v>
      </c>
    </row>
    <row r="128" spans="2:5" ht="15" customHeight="1">
      <c r="B128" s="84"/>
      <c r="C128" s="43" t="s">
        <v>126</v>
      </c>
      <c r="D128" s="42">
        <v>1</v>
      </c>
      <c r="E128" s="41">
        <v>1.5552099533437014E-3</v>
      </c>
    </row>
    <row r="129" spans="2:5" ht="15" customHeight="1">
      <c r="B129" s="84"/>
      <c r="C129" s="43" t="s">
        <v>130</v>
      </c>
      <c r="D129" s="42">
        <v>6</v>
      </c>
      <c r="E129" s="41">
        <v>9.3312597200622092E-3</v>
      </c>
    </row>
    <row r="130" spans="2:5" ht="15" customHeight="1">
      <c r="B130" s="85"/>
      <c r="C130" s="40" t="s">
        <v>22</v>
      </c>
      <c r="D130" s="39">
        <v>9</v>
      </c>
      <c r="E130" s="38">
        <v>1.3996889580093312E-2</v>
      </c>
    </row>
    <row r="131" spans="2:5" ht="15" customHeight="1">
      <c r="B131" s="83" t="s">
        <v>24</v>
      </c>
      <c r="C131" s="43" t="s">
        <v>123</v>
      </c>
      <c r="D131" s="42">
        <v>1</v>
      </c>
      <c r="E131" s="41">
        <v>1.5552099533437014E-3</v>
      </c>
    </row>
    <row r="132" spans="2:5" ht="15" customHeight="1">
      <c r="B132" s="85"/>
      <c r="C132" s="40" t="s">
        <v>22</v>
      </c>
      <c r="D132" s="39">
        <v>1</v>
      </c>
      <c r="E132" s="38">
        <v>1.5552099533437014E-3</v>
      </c>
    </row>
    <row r="133" spans="2:5" ht="15" customHeight="1">
      <c r="B133" s="83" t="s">
        <v>54</v>
      </c>
      <c r="C133" s="43" t="s">
        <v>129</v>
      </c>
      <c r="D133" s="42">
        <v>4</v>
      </c>
      <c r="E133" s="41">
        <v>6.2208398133748056E-3</v>
      </c>
    </row>
    <row r="134" spans="2:5" ht="15" customHeight="1">
      <c r="B134" s="84"/>
      <c r="C134" s="43" t="s">
        <v>130</v>
      </c>
      <c r="D134" s="42">
        <v>9</v>
      </c>
      <c r="E134" s="41">
        <v>1.3996889580093312E-2</v>
      </c>
    </row>
    <row r="135" spans="2:5" ht="15" customHeight="1">
      <c r="B135" s="84"/>
      <c r="C135" s="43" t="s">
        <v>123</v>
      </c>
      <c r="D135" s="42">
        <v>1</v>
      </c>
      <c r="E135" s="41">
        <v>1.5552099533437014E-3</v>
      </c>
    </row>
    <row r="136" spans="2:5" ht="15" customHeight="1">
      <c r="B136" s="85"/>
      <c r="C136" s="40" t="s">
        <v>22</v>
      </c>
      <c r="D136" s="39">
        <v>14</v>
      </c>
      <c r="E136" s="38">
        <v>2.177293934681182E-2</v>
      </c>
    </row>
    <row r="137" spans="2:5" ht="15" customHeight="1">
      <c r="B137" s="83" t="s">
        <v>64</v>
      </c>
      <c r="C137" s="43" t="s">
        <v>129</v>
      </c>
      <c r="D137" s="42">
        <v>19</v>
      </c>
      <c r="E137" s="41">
        <v>2.9548989113530325E-2</v>
      </c>
    </row>
    <row r="138" spans="2:5" ht="15" customHeight="1">
      <c r="B138" s="84"/>
      <c r="C138" s="43" t="s">
        <v>126</v>
      </c>
      <c r="D138" s="42">
        <v>2</v>
      </c>
      <c r="E138" s="41">
        <v>3.1104199066874028E-3</v>
      </c>
    </row>
    <row r="139" spans="2:5" ht="15" customHeight="1">
      <c r="B139" s="84"/>
      <c r="C139" s="43" t="s">
        <v>127</v>
      </c>
      <c r="D139" s="42">
        <v>4</v>
      </c>
      <c r="E139" s="41">
        <v>6.2208398133748056E-3</v>
      </c>
    </row>
    <row r="140" spans="2:5" ht="15" customHeight="1">
      <c r="B140" s="84"/>
      <c r="C140" s="43" t="s">
        <v>125</v>
      </c>
      <c r="D140" s="42">
        <v>4</v>
      </c>
      <c r="E140" s="41">
        <v>6.2208398133748056E-3</v>
      </c>
    </row>
    <row r="141" spans="2:5" ht="15" customHeight="1">
      <c r="B141" s="84"/>
      <c r="C141" s="43" t="s">
        <v>128</v>
      </c>
      <c r="D141" s="42">
        <v>4</v>
      </c>
      <c r="E141" s="41">
        <v>6.2208398133748056E-3</v>
      </c>
    </row>
    <row r="142" spans="2:5" ht="15" customHeight="1">
      <c r="B142" s="84"/>
      <c r="C142" s="43" t="s">
        <v>124</v>
      </c>
      <c r="D142" s="42">
        <v>1</v>
      </c>
      <c r="E142" s="41">
        <v>1.5552099533437014E-3</v>
      </c>
    </row>
    <row r="143" spans="2:5" ht="15" customHeight="1">
      <c r="B143" s="84"/>
      <c r="C143" s="43" t="s">
        <v>130</v>
      </c>
      <c r="D143" s="42">
        <v>64</v>
      </c>
      <c r="E143" s="41">
        <v>9.9533437013996889E-2</v>
      </c>
    </row>
    <row r="144" spans="2:5" ht="15" customHeight="1">
      <c r="B144" s="85"/>
      <c r="C144" s="40" t="s">
        <v>22</v>
      </c>
      <c r="D144" s="39">
        <v>98</v>
      </c>
      <c r="E144" s="38">
        <v>0.15241057542768274</v>
      </c>
    </row>
    <row r="145" spans="2:5" ht="15" customHeight="1">
      <c r="B145" s="83" t="s">
        <v>48</v>
      </c>
      <c r="C145" s="43" t="s">
        <v>129</v>
      </c>
      <c r="D145" s="42">
        <v>3</v>
      </c>
      <c r="E145" s="41">
        <v>4.6656298600311046E-3</v>
      </c>
    </row>
    <row r="146" spans="2:5" ht="15" customHeight="1">
      <c r="B146" s="84"/>
      <c r="C146" s="43" t="s">
        <v>126</v>
      </c>
      <c r="D146" s="42">
        <v>2</v>
      </c>
      <c r="E146" s="41">
        <v>3.1104199066874028E-3</v>
      </c>
    </row>
    <row r="147" spans="2:5" ht="15" customHeight="1">
      <c r="B147" s="84"/>
      <c r="C147" s="43" t="s">
        <v>130</v>
      </c>
      <c r="D147" s="42">
        <v>3</v>
      </c>
      <c r="E147" s="41">
        <v>4.6656298600311046E-3</v>
      </c>
    </row>
    <row r="148" spans="2:5" ht="15" customHeight="1">
      <c r="B148" s="84"/>
      <c r="C148" s="43" t="s">
        <v>123</v>
      </c>
      <c r="D148" s="42">
        <v>1</v>
      </c>
      <c r="E148" s="41">
        <v>1.5552099533437014E-3</v>
      </c>
    </row>
    <row r="149" spans="2:5" ht="15" customHeight="1">
      <c r="B149" s="85"/>
      <c r="C149" s="40" t="s">
        <v>22</v>
      </c>
      <c r="D149" s="39">
        <v>9</v>
      </c>
      <c r="E149" s="38">
        <v>1.3996889580093312E-2</v>
      </c>
    </row>
    <row r="150" spans="2:5" ht="15" customHeight="1">
      <c r="B150" s="83" t="s">
        <v>60</v>
      </c>
      <c r="C150" s="43" t="s">
        <v>129</v>
      </c>
      <c r="D150" s="42">
        <v>1</v>
      </c>
      <c r="E150" s="41">
        <v>1.5552099533437014E-3</v>
      </c>
    </row>
    <row r="151" spans="2:5" ht="15" customHeight="1">
      <c r="B151" s="84"/>
      <c r="C151" s="43" t="s">
        <v>126</v>
      </c>
      <c r="D151" s="42">
        <v>1</v>
      </c>
      <c r="E151" s="41">
        <v>1.5552099533437014E-3</v>
      </c>
    </row>
    <row r="152" spans="2:5" ht="15" customHeight="1">
      <c r="B152" s="84"/>
      <c r="C152" s="43" t="s">
        <v>128</v>
      </c>
      <c r="D152" s="42">
        <v>1</v>
      </c>
      <c r="E152" s="41">
        <v>1.5552099533437014E-3</v>
      </c>
    </row>
    <row r="153" spans="2:5" ht="15" customHeight="1">
      <c r="B153" s="84"/>
      <c r="C153" s="43" t="s">
        <v>130</v>
      </c>
      <c r="D153" s="42">
        <v>17</v>
      </c>
      <c r="E153" s="41">
        <v>2.6438569206842923E-2</v>
      </c>
    </row>
    <row r="154" spans="2:5" ht="15" customHeight="1">
      <c r="B154" s="84"/>
      <c r="C154" s="43" t="s">
        <v>123</v>
      </c>
      <c r="D154" s="42">
        <v>1</v>
      </c>
      <c r="E154" s="41">
        <v>1.5552099533437014E-3</v>
      </c>
    </row>
    <row r="155" spans="2:5" ht="15" customHeight="1">
      <c r="B155" s="85"/>
      <c r="C155" s="40" t="s">
        <v>22</v>
      </c>
      <c r="D155" s="39">
        <v>21</v>
      </c>
      <c r="E155" s="38">
        <v>3.2659409020217731E-2</v>
      </c>
    </row>
    <row r="156" spans="2:5" ht="15" customHeight="1">
      <c r="B156" s="83" t="s">
        <v>47</v>
      </c>
      <c r="C156" s="43" t="s">
        <v>128</v>
      </c>
      <c r="D156" s="42">
        <v>3</v>
      </c>
      <c r="E156" s="41">
        <v>4.6656298600311046E-3</v>
      </c>
    </row>
    <row r="157" spans="2:5" ht="15" customHeight="1">
      <c r="B157" s="84"/>
      <c r="C157" s="43" t="s">
        <v>124</v>
      </c>
      <c r="D157" s="42">
        <v>1</v>
      </c>
      <c r="E157" s="41">
        <v>1.5552099533437014E-3</v>
      </c>
    </row>
    <row r="158" spans="2:5" ht="15" customHeight="1">
      <c r="B158" s="84"/>
      <c r="C158" s="43" t="s">
        <v>130</v>
      </c>
      <c r="D158" s="42">
        <v>5</v>
      </c>
      <c r="E158" s="41">
        <v>7.7760497667185074E-3</v>
      </c>
    </row>
    <row r="159" spans="2:5" ht="15" customHeight="1">
      <c r="B159" s="85"/>
      <c r="C159" s="40" t="s">
        <v>22</v>
      </c>
      <c r="D159" s="39">
        <v>9</v>
      </c>
      <c r="E159" s="38">
        <v>1.3996889580093312E-2</v>
      </c>
    </row>
    <row r="160" spans="2:5" ht="15" customHeight="1">
      <c r="B160" s="83" t="s">
        <v>23</v>
      </c>
      <c r="C160" s="43" t="s">
        <v>129</v>
      </c>
      <c r="D160" s="42">
        <v>1</v>
      </c>
      <c r="E160" s="41">
        <v>1.5552099533437014E-3</v>
      </c>
    </row>
    <row r="161" spans="2:5" ht="15" customHeight="1">
      <c r="B161" s="85"/>
      <c r="C161" s="40" t="s">
        <v>22</v>
      </c>
      <c r="D161" s="39">
        <v>1</v>
      </c>
      <c r="E161" s="38">
        <v>1.5552099533437014E-3</v>
      </c>
    </row>
    <row r="162" spans="2:5" ht="15" customHeight="1">
      <c r="B162" s="83" t="s">
        <v>52</v>
      </c>
      <c r="C162" s="43" t="s">
        <v>129</v>
      </c>
      <c r="D162" s="42">
        <v>1</v>
      </c>
      <c r="E162" s="41">
        <v>1.5552099533437014E-3</v>
      </c>
    </row>
    <row r="163" spans="2:5" ht="15" customHeight="1">
      <c r="B163" s="84"/>
      <c r="C163" s="43" t="s">
        <v>127</v>
      </c>
      <c r="D163" s="42">
        <v>1</v>
      </c>
      <c r="E163" s="41">
        <v>1.5552099533437014E-3</v>
      </c>
    </row>
    <row r="164" spans="2:5" ht="15" customHeight="1">
      <c r="B164" s="84"/>
      <c r="C164" s="43" t="s">
        <v>124</v>
      </c>
      <c r="D164" s="42">
        <v>2</v>
      </c>
      <c r="E164" s="41">
        <v>3.1104199066874028E-3</v>
      </c>
    </row>
    <row r="165" spans="2:5" ht="15" customHeight="1">
      <c r="B165" s="84"/>
      <c r="C165" s="43" t="s">
        <v>130</v>
      </c>
      <c r="D165" s="42">
        <v>8</v>
      </c>
      <c r="E165" s="41">
        <v>1.2441679626749611E-2</v>
      </c>
    </row>
    <row r="166" spans="2:5" ht="15" customHeight="1">
      <c r="B166" s="85"/>
      <c r="C166" s="40" t="s">
        <v>22</v>
      </c>
      <c r="D166" s="39">
        <v>12</v>
      </c>
      <c r="E166" s="38">
        <v>1.8662519440124418E-2</v>
      </c>
    </row>
    <row r="167" spans="2:5" ht="15" customHeight="1">
      <c r="B167" s="95" t="s">
        <v>22</v>
      </c>
      <c r="C167" s="96"/>
      <c r="D167" s="97">
        <v>643</v>
      </c>
      <c r="E167" s="98">
        <v>1</v>
      </c>
    </row>
    <row r="169" spans="2:5" ht="15" customHeight="1">
      <c r="B169" s="19" t="s">
        <v>21</v>
      </c>
    </row>
    <row r="170" spans="2:5" ht="15" customHeight="1">
      <c r="B170" s="21" t="s">
        <v>20</v>
      </c>
    </row>
    <row r="171" spans="2:5" ht="15" customHeight="1">
      <c r="B171" s="20" t="s">
        <v>19</v>
      </c>
    </row>
    <row r="172" spans="2:5" ht="15" customHeight="1">
      <c r="B172" s="19" t="s">
        <v>18</v>
      </c>
    </row>
    <row r="173" spans="2:5" ht="15" customHeight="1">
      <c r="B173" s="19" t="s">
        <v>17</v>
      </c>
    </row>
  </sheetData>
  <mergeCells count="45">
    <mergeCell ref="B7:E8"/>
    <mergeCell ref="B10:B15"/>
    <mergeCell ref="B16:B18"/>
    <mergeCell ref="B19:B21"/>
    <mergeCell ref="B22:B29"/>
    <mergeCell ref="B47:B51"/>
    <mergeCell ref="B52:B56"/>
    <mergeCell ref="B57:B59"/>
    <mergeCell ref="B60:B62"/>
    <mergeCell ref="B63:B65"/>
    <mergeCell ref="B30:B33"/>
    <mergeCell ref="B34:B36"/>
    <mergeCell ref="B37:B38"/>
    <mergeCell ref="B39:B40"/>
    <mergeCell ref="B41:B46"/>
    <mergeCell ref="B76:B80"/>
    <mergeCell ref="B81:B83"/>
    <mergeCell ref="B84:B86"/>
    <mergeCell ref="B87:B88"/>
    <mergeCell ref="B89:B90"/>
    <mergeCell ref="B66:B67"/>
    <mergeCell ref="B68:B69"/>
    <mergeCell ref="B70:B71"/>
    <mergeCell ref="B72:B73"/>
    <mergeCell ref="B74:B75"/>
    <mergeCell ref="B110:B112"/>
    <mergeCell ref="B113:B115"/>
    <mergeCell ref="B116:B118"/>
    <mergeCell ref="B119:B124"/>
    <mergeCell ref="B125:B126"/>
    <mergeCell ref="B91:B94"/>
    <mergeCell ref="B95:B97"/>
    <mergeCell ref="B98:B99"/>
    <mergeCell ref="B100:B103"/>
    <mergeCell ref="B104:B109"/>
    <mergeCell ref="B127:B130"/>
    <mergeCell ref="B160:B161"/>
    <mergeCell ref="B162:B166"/>
    <mergeCell ref="B167:C167"/>
    <mergeCell ref="B131:B132"/>
    <mergeCell ref="B133:B136"/>
    <mergeCell ref="B137:B144"/>
    <mergeCell ref="B145:B149"/>
    <mergeCell ref="B150:B155"/>
    <mergeCell ref="B156:B15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3" manualBreakCount="3">
    <brk id="51" max="4" man="1"/>
    <brk id="94" max="4" man="1"/>
    <brk id="136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97"/>
  <sheetViews>
    <sheetView topLeftCell="A161" zoomScale="98" zoomScaleNormal="98" zoomScaleSheetLayoutView="85" workbookViewId="0">
      <selection activeCell="B191" sqref="B191:E19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121</v>
      </c>
      <c r="C9" s="47" t="s">
        <v>133</v>
      </c>
      <c r="D9" s="46" t="s">
        <v>67</v>
      </c>
      <c r="E9" s="45" t="s">
        <v>66</v>
      </c>
    </row>
    <row r="10" spans="1:5" s="44" customFormat="1" ht="15" customHeight="1">
      <c r="A10" s="36"/>
      <c r="B10" s="83" t="s">
        <v>84</v>
      </c>
      <c r="C10" s="43" t="s">
        <v>130</v>
      </c>
      <c r="D10" s="42">
        <v>2</v>
      </c>
      <c r="E10" s="41">
        <v>3.1104199066874028E-3</v>
      </c>
    </row>
    <row r="11" spans="1:5" s="44" customFormat="1" ht="15" customHeight="1">
      <c r="A11" s="36"/>
      <c r="B11" s="85"/>
      <c r="C11" s="40" t="s">
        <v>22</v>
      </c>
      <c r="D11" s="39">
        <v>2</v>
      </c>
      <c r="E11" s="38">
        <v>3.1104199066874028E-3</v>
      </c>
    </row>
    <row r="12" spans="1:5" s="44" customFormat="1" ht="15" customHeight="1">
      <c r="A12" s="36"/>
      <c r="B12" s="83" t="s">
        <v>116</v>
      </c>
      <c r="C12" s="43" t="s">
        <v>129</v>
      </c>
      <c r="D12" s="42">
        <v>9</v>
      </c>
      <c r="E12" s="41">
        <v>1.3996889580093312E-2</v>
      </c>
    </row>
    <row r="13" spans="1:5" ht="15" customHeight="1">
      <c r="B13" s="84"/>
      <c r="C13" s="43" t="s">
        <v>126</v>
      </c>
      <c r="D13" s="42">
        <v>1</v>
      </c>
      <c r="E13" s="41">
        <v>1.5552099533437014E-3</v>
      </c>
    </row>
    <row r="14" spans="1:5" ht="15" customHeight="1">
      <c r="B14" s="84"/>
      <c r="C14" s="43" t="s">
        <v>125</v>
      </c>
      <c r="D14" s="42">
        <v>1</v>
      </c>
      <c r="E14" s="41">
        <v>1.5552099533437014E-3</v>
      </c>
    </row>
    <row r="15" spans="1:5" ht="15" customHeight="1">
      <c r="B15" s="84"/>
      <c r="C15" s="43" t="s">
        <v>128</v>
      </c>
      <c r="D15" s="42">
        <v>4</v>
      </c>
      <c r="E15" s="41">
        <v>6.2208398133748056E-3</v>
      </c>
    </row>
    <row r="16" spans="1:5" ht="15" customHeight="1">
      <c r="B16" s="84"/>
      <c r="C16" s="43" t="s">
        <v>124</v>
      </c>
      <c r="D16" s="42">
        <v>1</v>
      </c>
      <c r="E16" s="41">
        <v>1.5552099533437014E-3</v>
      </c>
    </row>
    <row r="17" spans="2:5" ht="15" customHeight="1">
      <c r="B17" s="84"/>
      <c r="C17" s="43" t="s">
        <v>130</v>
      </c>
      <c r="D17" s="42">
        <v>66</v>
      </c>
      <c r="E17" s="41">
        <v>0.1026438569206843</v>
      </c>
    </row>
    <row r="18" spans="2:5" ht="15" customHeight="1">
      <c r="B18" s="85"/>
      <c r="C18" s="40" t="s">
        <v>22</v>
      </c>
      <c r="D18" s="39">
        <v>82</v>
      </c>
      <c r="E18" s="38">
        <v>0.12752721617418353</v>
      </c>
    </row>
    <row r="19" spans="2:5" ht="15" customHeight="1">
      <c r="B19" s="83" t="s">
        <v>106</v>
      </c>
      <c r="C19" s="43" t="s">
        <v>129</v>
      </c>
      <c r="D19" s="42">
        <v>3</v>
      </c>
      <c r="E19" s="41">
        <v>4.6656298600311046E-3</v>
      </c>
    </row>
    <row r="20" spans="2:5" ht="15" customHeight="1">
      <c r="B20" s="84"/>
      <c r="C20" s="43" t="s">
        <v>128</v>
      </c>
      <c r="D20" s="42">
        <v>1</v>
      </c>
      <c r="E20" s="41">
        <v>1.5552099533437014E-3</v>
      </c>
    </row>
    <row r="21" spans="2:5" ht="15" customHeight="1">
      <c r="B21" s="84"/>
      <c r="C21" s="43" t="s">
        <v>130</v>
      </c>
      <c r="D21" s="42">
        <v>7</v>
      </c>
      <c r="E21" s="41">
        <v>1.088646967340591E-2</v>
      </c>
    </row>
    <row r="22" spans="2:5" ht="15" customHeight="1">
      <c r="B22" s="85"/>
      <c r="C22" s="40" t="s">
        <v>22</v>
      </c>
      <c r="D22" s="39">
        <v>11</v>
      </c>
      <c r="E22" s="38">
        <v>1.7107309486780714E-2</v>
      </c>
    </row>
    <row r="23" spans="2:5" ht="15" customHeight="1">
      <c r="B23" s="83" t="s">
        <v>82</v>
      </c>
      <c r="C23" s="43" t="s">
        <v>130</v>
      </c>
      <c r="D23" s="42">
        <v>1</v>
      </c>
      <c r="E23" s="41">
        <v>1.5552099533437014E-3</v>
      </c>
    </row>
    <row r="24" spans="2:5" ht="15" customHeight="1">
      <c r="B24" s="85"/>
      <c r="C24" s="40" t="s">
        <v>22</v>
      </c>
      <c r="D24" s="39">
        <v>1</v>
      </c>
      <c r="E24" s="38">
        <v>1.5552099533437014E-3</v>
      </c>
    </row>
    <row r="25" spans="2:5" ht="15" customHeight="1">
      <c r="B25" s="83" t="s">
        <v>78</v>
      </c>
      <c r="C25" s="43" t="s">
        <v>130</v>
      </c>
      <c r="D25" s="42">
        <v>1</v>
      </c>
      <c r="E25" s="41">
        <v>1.5552099533437014E-3</v>
      </c>
    </row>
    <row r="26" spans="2:5" ht="15" customHeight="1">
      <c r="B26" s="85"/>
      <c r="C26" s="40" t="s">
        <v>22</v>
      </c>
      <c r="D26" s="39">
        <v>1</v>
      </c>
      <c r="E26" s="38">
        <v>1.5552099533437014E-3</v>
      </c>
    </row>
    <row r="27" spans="2:5" ht="15" customHeight="1">
      <c r="B27" s="83" t="s">
        <v>83</v>
      </c>
      <c r="C27" s="43" t="s">
        <v>125</v>
      </c>
      <c r="D27" s="42">
        <v>1</v>
      </c>
      <c r="E27" s="41">
        <v>1.5552099533437014E-3</v>
      </c>
    </row>
    <row r="28" spans="2:5" ht="15" customHeight="1">
      <c r="B28" s="84"/>
      <c r="C28" s="43" t="s">
        <v>130</v>
      </c>
      <c r="D28" s="42">
        <v>2</v>
      </c>
      <c r="E28" s="41">
        <v>3.1104199066874028E-3</v>
      </c>
    </row>
    <row r="29" spans="2:5" ht="15" customHeight="1">
      <c r="B29" s="85"/>
      <c r="C29" s="40" t="s">
        <v>22</v>
      </c>
      <c r="D29" s="39">
        <v>3</v>
      </c>
      <c r="E29" s="38">
        <v>4.6656298600311046E-3</v>
      </c>
    </row>
    <row r="30" spans="2:5" ht="15" customHeight="1">
      <c r="B30" s="83" t="s">
        <v>76</v>
      </c>
      <c r="C30" s="43" t="s">
        <v>130</v>
      </c>
      <c r="D30" s="42">
        <v>1</v>
      </c>
      <c r="E30" s="41">
        <v>1.5552099533437014E-3</v>
      </c>
    </row>
    <row r="31" spans="2:5" ht="15" customHeight="1">
      <c r="B31" s="85"/>
      <c r="C31" s="40" t="s">
        <v>22</v>
      </c>
      <c r="D31" s="39">
        <v>1</v>
      </c>
      <c r="E31" s="38">
        <v>1.5552099533437014E-3</v>
      </c>
    </row>
    <row r="32" spans="2:5" ht="15" customHeight="1">
      <c r="B32" s="83" t="s">
        <v>119</v>
      </c>
      <c r="C32" s="43" t="s">
        <v>129</v>
      </c>
      <c r="D32" s="42">
        <v>4</v>
      </c>
      <c r="E32" s="41">
        <v>6.2208398133748056E-3</v>
      </c>
    </row>
    <row r="33" spans="2:5" ht="15" customHeight="1">
      <c r="B33" s="84"/>
      <c r="C33" s="43" t="s">
        <v>126</v>
      </c>
      <c r="D33" s="42">
        <v>1</v>
      </c>
      <c r="E33" s="41">
        <v>1.5552099533437014E-3</v>
      </c>
    </row>
    <row r="34" spans="2:5" ht="15" customHeight="1">
      <c r="B34" s="84"/>
      <c r="C34" s="43" t="s">
        <v>127</v>
      </c>
      <c r="D34" s="42">
        <v>1</v>
      </c>
      <c r="E34" s="41">
        <v>1.5552099533437014E-3</v>
      </c>
    </row>
    <row r="35" spans="2:5" ht="15" customHeight="1">
      <c r="B35" s="84"/>
      <c r="C35" s="43" t="s">
        <v>130</v>
      </c>
      <c r="D35" s="42">
        <v>20</v>
      </c>
      <c r="E35" s="41">
        <v>3.110419906687403E-2</v>
      </c>
    </row>
    <row r="36" spans="2:5" ht="15" customHeight="1">
      <c r="B36" s="85"/>
      <c r="C36" s="40" t="s">
        <v>22</v>
      </c>
      <c r="D36" s="39">
        <v>26</v>
      </c>
      <c r="E36" s="38">
        <v>4.0435458786936239E-2</v>
      </c>
    </row>
    <row r="37" spans="2:5" ht="15" customHeight="1">
      <c r="B37" s="83" t="s">
        <v>117</v>
      </c>
      <c r="C37" s="43" t="s">
        <v>129</v>
      </c>
      <c r="D37" s="42">
        <v>9</v>
      </c>
      <c r="E37" s="41">
        <v>1.3996889580093312E-2</v>
      </c>
    </row>
    <row r="38" spans="2:5" ht="15" customHeight="1">
      <c r="B38" s="84"/>
      <c r="C38" s="43" t="s">
        <v>126</v>
      </c>
      <c r="D38" s="42">
        <v>1</v>
      </c>
      <c r="E38" s="41">
        <v>1.5552099533437014E-3</v>
      </c>
    </row>
    <row r="39" spans="2:5" ht="15" customHeight="1">
      <c r="B39" s="84"/>
      <c r="C39" s="43" t="s">
        <v>127</v>
      </c>
      <c r="D39" s="42">
        <v>1</v>
      </c>
      <c r="E39" s="41">
        <v>1.5552099533437014E-3</v>
      </c>
    </row>
    <row r="40" spans="2:5" ht="15" customHeight="1">
      <c r="B40" s="84"/>
      <c r="C40" s="43" t="s">
        <v>125</v>
      </c>
      <c r="D40" s="42">
        <v>1</v>
      </c>
      <c r="E40" s="41">
        <v>1.5552099533437014E-3</v>
      </c>
    </row>
    <row r="41" spans="2:5" ht="15" customHeight="1">
      <c r="B41" s="84"/>
      <c r="C41" s="43" t="s">
        <v>124</v>
      </c>
      <c r="D41" s="42">
        <v>1</v>
      </c>
      <c r="E41" s="41">
        <v>1.5552099533437014E-3</v>
      </c>
    </row>
    <row r="42" spans="2:5" ht="15" customHeight="1">
      <c r="B42" s="84"/>
      <c r="C42" s="43" t="s">
        <v>130</v>
      </c>
      <c r="D42" s="42">
        <v>27</v>
      </c>
      <c r="E42" s="41">
        <v>4.1990668740279936E-2</v>
      </c>
    </row>
    <row r="43" spans="2:5" ht="15" customHeight="1">
      <c r="B43" s="85"/>
      <c r="C43" s="40" t="s">
        <v>22</v>
      </c>
      <c r="D43" s="39">
        <v>40</v>
      </c>
      <c r="E43" s="38">
        <v>6.2208398133748059E-2</v>
      </c>
    </row>
    <row r="44" spans="2:5" ht="15" customHeight="1">
      <c r="B44" s="83" t="s">
        <v>101</v>
      </c>
      <c r="C44" s="43" t="s">
        <v>129</v>
      </c>
      <c r="D44" s="42">
        <v>7</v>
      </c>
      <c r="E44" s="41">
        <v>1.088646967340591E-2</v>
      </c>
    </row>
    <row r="45" spans="2:5" ht="15" customHeight="1">
      <c r="B45" s="84"/>
      <c r="C45" s="43" t="s">
        <v>125</v>
      </c>
      <c r="D45" s="42">
        <v>1</v>
      </c>
      <c r="E45" s="41">
        <v>1.5552099533437014E-3</v>
      </c>
    </row>
    <row r="46" spans="2:5" ht="15" customHeight="1">
      <c r="B46" s="84"/>
      <c r="C46" s="43" t="s">
        <v>130</v>
      </c>
      <c r="D46" s="42">
        <v>7</v>
      </c>
      <c r="E46" s="41">
        <v>1.088646967340591E-2</v>
      </c>
    </row>
    <row r="47" spans="2:5" ht="15" customHeight="1">
      <c r="B47" s="85"/>
      <c r="C47" s="40" t="s">
        <v>22</v>
      </c>
      <c r="D47" s="39">
        <v>15</v>
      </c>
      <c r="E47" s="38">
        <v>2.3328149300155521E-2</v>
      </c>
    </row>
    <row r="48" spans="2:5" ht="15" customHeight="1">
      <c r="B48" s="83" t="s">
        <v>87</v>
      </c>
      <c r="C48" s="43" t="s">
        <v>130</v>
      </c>
      <c r="D48" s="42">
        <v>9</v>
      </c>
      <c r="E48" s="41">
        <v>1.3996889580093312E-2</v>
      </c>
    </row>
    <row r="49" spans="2:5" ht="15" customHeight="1">
      <c r="B49" s="85"/>
      <c r="C49" s="40" t="s">
        <v>22</v>
      </c>
      <c r="D49" s="39">
        <v>9</v>
      </c>
      <c r="E49" s="38">
        <v>1.3996889580093312E-2</v>
      </c>
    </row>
    <row r="50" spans="2:5" ht="15" customHeight="1">
      <c r="B50" s="83" t="s">
        <v>85</v>
      </c>
      <c r="C50" s="43" t="s">
        <v>130</v>
      </c>
      <c r="D50" s="42">
        <v>1</v>
      </c>
      <c r="E50" s="41">
        <v>1.5552099533437014E-3</v>
      </c>
    </row>
    <row r="51" spans="2:5" ht="15" customHeight="1">
      <c r="B51" s="85"/>
      <c r="C51" s="40" t="s">
        <v>22</v>
      </c>
      <c r="D51" s="39">
        <v>1</v>
      </c>
      <c r="E51" s="38">
        <v>1.5552099533437014E-3</v>
      </c>
    </row>
    <row r="52" spans="2:5" ht="15" customHeight="1">
      <c r="B52" s="83" t="s">
        <v>98</v>
      </c>
      <c r="C52" s="43" t="s">
        <v>129</v>
      </c>
      <c r="D52" s="42">
        <v>4</v>
      </c>
      <c r="E52" s="41">
        <v>6.2208398133748056E-3</v>
      </c>
    </row>
    <row r="53" spans="2:5" ht="15" customHeight="1">
      <c r="B53" s="84"/>
      <c r="C53" s="43" t="s">
        <v>130</v>
      </c>
      <c r="D53" s="42">
        <v>6</v>
      </c>
      <c r="E53" s="41">
        <v>9.3312597200622092E-3</v>
      </c>
    </row>
    <row r="54" spans="2:5" ht="15" customHeight="1">
      <c r="B54" s="85"/>
      <c r="C54" s="40" t="s">
        <v>22</v>
      </c>
      <c r="D54" s="39">
        <v>10</v>
      </c>
      <c r="E54" s="38">
        <v>1.5552099533437015E-2</v>
      </c>
    </row>
    <row r="55" spans="2:5" ht="15" customHeight="1">
      <c r="B55" s="83" t="s">
        <v>114</v>
      </c>
      <c r="C55" s="43" t="s">
        <v>129</v>
      </c>
      <c r="D55" s="42">
        <v>1</v>
      </c>
      <c r="E55" s="41">
        <v>1.5552099533437014E-3</v>
      </c>
    </row>
    <row r="56" spans="2:5" ht="15" customHeight="1">
      <c r="B56" s="84"/>
      <c r="C56" s="43" t="s">
        <v>127</v>
      </c>
      <c r="D56" s="42">
        <v>1</v>
      </c>
      <c r="E56" s="41">
        <v>1.5552099533437014E-3</v>
      </c>
    </row>
    <row r="57" spans="2:5" ht="15" customHeight="1">
      <c r="B57" s="84"/>
      <c r="C57" s="43" t="s">
        <v>130</v>
      </c>
      <c r="D57" s="42">
        <v>2</v>
      </c>
      <c r="E57" s="41">
        <v>3.1104199066874028E-3</v>
      </c>
    </row>
    <row r="58" spans="2:5" ht="15" customHeight="1">
      <c r="B58" s="85"/>
      <c r="C58" s="40" t="s">
        <v>22</v>
      </c>
      <c r="D58" s="39">
        <v>4</v>
      </c>
      <c r="E58" s="38">
        <v>6.2208398133748056E-3</v>
      </c>
    </row>
    <row r="59" spans="2:5" ht="15" customHeight="1">
      <c r="B59" s="83" t="s">
        <v>118</v>
      </c>
      <c r="C59" s="43" t="s">
        <v>129</v>
      </c>
      <c r="D59" s="42">
        <v>4</v>
      </c>
      <c r="E59" s="41">
        <v>6.2208398133748056E-3</v>
      </c>
    </row>
    <row r="60" spans="2:5" ht="15" customHeight="1">
      <c r="B60" s="84"/>
      <c r="C60" s="43" t="s">
        <v>126</v>
      </c>
      <c r="D60" s="42">
        <v>1</v>
      </c>
      <c r="E60" s="41">
        <v>1.5552099533437014E-3</v>
      </c>
    </row>
    <row r="61" spans="2:5" ht="15" customHeight="1">
      <c r="B61" s="84"/>
      <c r="C61" s="43" t="s">
        <v>127</v>
      </c>
      <c r="D61" s="42">
        <v>3</v>
      </c>
      <c r="E61" s="41">
        <v>4.6656298600311046E-3</v>
      </c>
    </row>
    <row r="62" spans="2:5" ht="15" customHeight="1">
      <c r="B62" s="84"/>
      <c r="C62" s="43" t="s">
        <v>125</v>
      </c>
      <c r="D62" s="42">
        <v>2</v>
      </c>
      <c r="E62" s="41">
        <v>3.1104199066874028E-3</v>
      </c>
    </row>
    <row r="63" spans="2:5" ht="15" customHeight="1">
      <c r="B63" s="84"/>
      <c r="C63" s="43" t="s">
        <v>128</v>
      </c>
      <c r="D63" s="42">
        <v>1</v>
      </c>
      <c r="E63" s="41">
        <v>1.5552099533437014E-3</v>
      </c>
    </row>
    <row r="64" spans="2:5" ht="15" customHeight="1">
      <c r="B64" s="84"/>
      <c r="C64" s="43" t="s">
        <v>130</v>
      </c>
      <c r="D64" s="42">
        <v>21</v>
      </c>
      <c r="E64" s="41">
        <v>3.2659409020217731E-2</v>
      </c>
    </row>
    <row r="65" spans="2:5" ht="15" customHeight="1">
      <c r="B65" s="85"/>
      <c r="C65" s="40" t="s">
        <v>22</v>
      </c>
      <c r="D65" s="39">
        <v>32</v>
      </c>
      <c r="E65" s="38">
        <v>4.9766718506998445E-2</v>
      </c>
    </row>
    <row r="66" spans="2:5" ht="15" customHeight="1">
      <c r="B66" s="83" t="s">
        <v>102</v>
      </c>
      <c r="C66" s="43" t="s">
        <v>129</v>
      </c>
      <c r="D66" s="42">
        <v>6</v>
      </c>
      <c r="E66" s="41">
        <v>9.3312597200622092E-3</v>
      </c>
    </row>
    <row r="67" spans="2:5" ht="15" customHeight="1">
      <c r="B67" s="84"/>
      <c r="C67" s="43" t="s">
        <v>130</v>
      </c>
      <c r="D67" s="42">
        <v>5</v>
      </c>
      <c r="E67" s="41">
        <v>7.7760497667185074E-3</v>
      </c>
    </row>
    <row r="68" spans="2:5" ht="15" customHeight="1">
      <c r="B68" s="85"/>
      <c r="C68" s="40" t="s">
        <v>22</v>
      </c>
      <c r="D68" s="39">
        <v>11</v>
      </c>
      <c r="E68" s="38">
        <v>1.7107309486780714E-2</v>
      </c>
    </row>
    <row r="69" spans="2:5" ht="15" customHeight="1">
      <c r="B69" s="83" t="s">
        <v>97</v>
      </c>
      <c r="C69" s="43" t="s">
        <v>129</v>
      </c>
      <c r="D69" s="42">
        <v>2</v>
      </c>
      <c r="E69" s="41">
        <v>3.1104199066874028E-3</v>
      </c>
    </row>
    <row r="70" spans="2:5" ht="15" customHeight="1">
      <c r="B70" s="84"/>
      <c r="C70" s="43" t="s">
        <v>128</v>
      </c>
      <c r="D70" s="42">
        <v>1</v>
      </c>
      <c r="E70" s="41">
        <v>1.5552099533437014E-3</v>
      </c>
    </row>
    <row r="71" spans="2:5" ht="15" customHeight="1">
      <c r="B71" s="84"/>
      <c r="C71" s="43" t="s">
        <v>130</v>
      </c>
      <c r="D71" s="42">
        <v>11</v>
      </c>
      <c r="E71" s="41">
        <v>1.7107309486780714E-2</v>
      </c>
    </row>
    <row r="72" spans="2:5" ht="15" customHeight="1">
      <c r="B72" s="85"/>
      <c r="C72" s="40" t="s">
        <v>22</v>
      </c>
      <c r="D72" s="39">
        <v>14</v>
      </c>
      <c r="E72" s="38">
        <v>2.177293934681182E-2</v>
      </c>
    </row>
    <row r="73" spans="2:5" ht="15" customHeight="1">
      <c r="B73" s="83" t="s">
        <v>81</v>
      </c>
      <c r="C73" s="43" t="s">
        <v>128</v>
      </c>
      <c r="D73" s="42">
        <v>1</v>
      </c>
      <c r="E73" s="41">
        <v>1.5552099533437014E-3</v>
      </c>
    </row>
    <row r="74" spans="2:5" ht="15" customHeight="1">
      <c r="B74" s="84"/>
      <c r="C74" s="43" t="s">
        <v>130</v>
      </c>
      <c r="D74" s="42">
        <v>1</v>
      </c>
      <c r="E74" s="41">
        <v>1.5552099533437014E-3</v>
      </c>
    </row>
    <row r="75" spans="2:5" ht="15" customHeight="1">
      <c r="B75" s="85"/>
      <c r="C75" s="40" t="s">
        <v>22</v>
      </c>
      <c r="D75" s="39">
        <v>2</v>
      </c>
      <c r="E75" s="38">
        <v>3.1104199066874028E-3</v>
      </c>
    </row>
    <row r="76" spans="2:5" ht="15" customHeight="1">
      <c r="B76" s="83" t="s">
        <v>104</v>
      </c>
      <c r="C76" s="43" t="s">
        <v>129</v>
      </c>
      <c r="D76" s="42">
        <v>2</v>
      </c>
      <c r="E76" s="41">
        <v>3.1104199066874028E-3</v>
      </c>
    </row>
    <row r="77" spans="2:5" ht="15" customHeight="1">
      <c r="B77" s="84"/>
      <c r="C77" s="43" t="s">
        <v>127</v>
      </c>
      <c r="D77" s="42">
        <v>2</v>
      </c>
      <c r="E77" s="41">
        <v>3.1104199066874028E-3</v>
      </c>
    </row>
    <row r="78" spans="2:5" ht="15" customHeight="1">
      <c r="B78" s="84"/>
      <c r="C78" s="43" t="s">
        <v>130</v>
      </c>
      <c r="D78" s="42">
        <v>2</v>
      </c>
      <c r="E78" s="41">
        <v>3.1104199066874028E-3</v>
      </c>
    </row>
    <row r="79" spans="2:5" ht="15" customHeight="1">
      <c r="B79" s="85"/>
      <c r="C79" s="40" t="s">
        <v>22</v>
      </c>
      <c r="D79" s="39">
        <v>6</v>
      </c>
      <c r="E79" s="38">
        <v>9.3312597200622092E-3</v>
      </c>
    </row>
    <row r="80" spans="2:5" ht="15" customHeight="1">
      <c r="B80" s="83" t="s">
        <v>108</v>
      </c>
      <c r="C80" s="43" t="s">
        <v>129</v>
      </c>
      <c r="D80" s="42">
        <v>6</v>
      </c>
      <c r="E80" s="41">
        <v>9.3312597200622092E-3</v>
      </c>
    </row>
    <row r="81" spans="2:5" ht="15" customHeight="1">
      <c r="B81" s="84"/>
      <c r="C81" s="43" t="s">
        <v>130</v>
      </c>
      <c r="D81" s="42">
        <v>7</v>
      </c>
      <c r="E81" s="41">
        <v>1.088646967340591E-2</v>
      </c>
    </row>
    <row r="82" spans="2:5" ht="15" customHeight="1">
      <c r="B82" s="84"/>
      <c r="C82" s="43" t="s">
        <v>123</v>
      </c>
      <c r="D82" s="42">
        <v>1</v>
      </c>
      <c r="E82" s="41">
        <v>1.5552099533437014E-3</v>
      </c>
    </row>
    <row r="83" spans="2:5" ht="15" customHeight="1">
      <c r="B83" s="85"/>
      <c r="C83" s="40" t="s">
        <v>22</v>
      </c>
      <c r="D83" s="39">
        <v>14</v>
      </c>
      <c r="E83" s="38">
        <v>2.177293934681182E-2</v>
      </c>
    </row>
    <row r="84" spans="2:5" ht="15" customHeight="1">
      <c r="B84" s="83" t="s">
        <v>120</v>
      </c>
      <c r="C84" s="43" t="s">
        <v>129</v>
      </c>
      <c r="D84" s="42">
        <v>12</v>
      </c>
      <c r="E84" s="41">
        <v>1.8662519440124418E-2</v>
      </c>
    </row>
    <row r="85" spans="2:5" ht="15" customHeight="1">
      <c r="B85" s="84"/>
      <c r="C85" s="43" t="s">
        <v>126</v>
      </c>
      <c r="D85" s="42">
        <v>3</v>
      </c>
      <c r="E85" s="41">
        <v>4.6656298600311046E-3</v>
      </c>
    </row>
    <row r="86" spans="2:5" ht="15" customHeight="1">
      <c r="B86" s="84"/>
      <c r="C86" s="43" t="s">
        <v>127</v>
      </c>
      <c r="D86" s="42">
        <v>4</v>
      </c>
      <c r="E86" s="41">
        <v>6.2208398133748056E-3</v>
      </c>
    </row>
    <row r="87" spans="2:5" ht="15" customHeight="1">
      <c r="B87" s="84"/>
      <c r="C87" s="43" t="s">
        <v>125</v>
      </c>
      <c r="D87" s="42">
        <v>1</v>
      </c>
      <c r="E87" s="41">
        <v>1.5552099533437014E-3</v>
      </c>
    </row>
    <row r="88" spans="2:5" ht="15" customHeight="1">
      <c r="B88" s="84"/>
      <c r="C88" s="43" t="s">
        <v>128</v>
      </c>
      <c r="D88" s="42">
        <v>1</v>
      </c>
      <c r="E88" s="41">
        <v>1.5552099533437014E-3</v>
      </c>
    </row>
    <row r="89" spans="2:5" ht="15" customHeight="1">
      <c r="B89" s="84"/>
      <c r="C89" s="43" t="s">
        <v>130</v>
      </c>
      <c r="D89" s="42">
        <v>19</v>
      </c>
      <c r="E89" s="41">
        <v>2.9548989113530325E-2</v>
      </c>
    </row>
    <row r="90" spans="2:5" ht="15" customHeight="1">
      <c r="B90" s="85"/>
      <c r="C90" s="40" t="s">
        <v>22</v>
      </c>
      <c r="D90" s="39">
        <v>40</v>
      </c>
      <c r="E90" s="38">
        <v>6.2208398133748059E-2</v>
      </c>
    </row>
    <row r="91" spans="2:5" ht="15" customHeight="1">
      <c r="B91" s="83" t="s">
        <v>99</v>
      </c>
      <c r="C91" s="43" t="s">
        <v>129</v>
      </c>
      <c r="D91" s="42">
        <v>1</v>
      </c>
      <c r="E91" s="41">
        <v>1.5552099533437014E-3</v>
      </c>
    </row>
    <row r="92" spans="2:5" ht="15" customHeight="1">
      <c r="B92" s="84"/>
      <c r="C92" s="43" t="s">
        <v>130</v>
      </c>
      <c r="D92" s="42">
        <v>4</v>
      </c>
      <c r="E92" s="41">
        <v>6.2208398133748056E-3</v>
      </c>
    </row>
    <row r="93" spans="2:5" ht="15" customHeight="1">
      <c r="B93" s="85"/>
      <c r="C93" s="40" t="s">
        <v>22</v>
      </c>
      <c r="D93" s="39">
        <v>5</v>
      </c>
      <c r="E93" s="38">
        <v>7.7760497667185074E-3</v>
      </c>
    </row>
    <row r="94" spans="2:5" ht="15" customHeight="1">
      <c r="B94" s="83" t="s">
        <v>94</v>
      </c>
      <c r="C94" s="43" t="s">
        <v>129</v>
      </c>
      <c r="D94" s="42">
        <v>3</v>
      </c>
      <c r="E94" s="41">
        <v>4.6656298600311046E-3</v>
      </c>
    </row>
    <row r="95" spans="2:5" ht="15" customHeight="1">
      <c r="B95" s="84"/>
      <c r="C95" s="43" t="s">
        <v>126</v>
      </c>
      <c r="D95" s="42">
        <v>1</v>
      </c>
      <c r="E95" s="41">
        <v>1.5552099533437014E-3</v>
      </c>
    </row>
    <row r="96" spans="2:5" ht="15" customHeight="1">
      <c r="B96" s="84"/>
      <c r="C96" s="43" t="s">
        <v>125</v>
      </c>
      <c r="D96" s="42">
        <v>1</v>
      </c>
      <c r="E96" s="41">
        <v>1.5552099533437014E-3</v>
      </c>
    </row>
    <row r="97" spans="2:5" ht="15" customHeight="1">
      <c r="B97" s="84"/>
      <c r="C97" s="43" t="s">
        <v>130</v>
      </c>
      <c r="D97" s="42">
        <v>9</v>
      </c>
      <c r="E97" s="41">
        <v>1.3996889580093312E-2</v>
      </c>
    </row>
    <row r="98" spans="2:5" ht="15" customHeight="1">
      <c r="B98" s="85"/>
      <c r="C98" s="40" t="s">
        <v>22</v>
      </c>
      <c r="D98" s="39">
        <v>14</v>
      </c>
      <c r="E98" s="38">
        <v>2.177293934681182E-2</v>
      </c>
    </row>
    <row r="99" spans="2:5" ht="15" customHeight="1">
      <c r="B99" s="83" t="s">
        <v>93</v>
      </c>
      <c r="C99" s="43" t="s">
        <v>129</v>
      </c>
      <c r="D99" s="42">
        <v>1</v>
      </c>
      <c r="E99" s="41">
        <v>1.5552099533437014E-3</v>
      </c>
    </row>
    <row r="100" spans="2:5" ht="15" customHeight="1">
      <c r="B100" s="84"/>
      <c r="C100" s="43" t="s">
        <v>127</v>
      </c>
      <c r="D100" s="42">
        <v>1</v>
      </c>
      <c r="E100" s="41">
        <v>1.5552099533437014E-3</v>
      </c>
    </row>
    <row r="101" spans="2:5" ht="15" customHeight="1">
      <c r="B101" s="84"/>
      <c r="C101" s="43" t="s">
        <v>124</v>
      </c>
      <c r="D101" s="42">
        <v>2</v>
      </c>
      <c r="E101" s="41">
        <v>3.1104199066874028E-3</v>
      </c>
    </row>
    <row r="102" spans="2:5" ht="15" customHeight="1">
      <c r="B102" s="84"/>
      <c r="C102" s="43" t="s">
        <v>130</v>
      </c>
      <c r="D102" s="42">
        <v>6</v>
      </c>
      <c r="E102" s="41">
        <v>9.3312597200622092E-3</v>
      </c>
    </row>
    <row r="103" spans="2:5" ht="15" customHeight="1">
      <c r="B103" s="85"/>
      <c r="C103" s="40" t="s">
        <v>22</v>
      </c>
      <c r="D103" s="39">
        <v>10</v>
      </c>
      <c r="E103" s="38">
        <v>1.5552099533437015E-2</v>
      </c>
    </row>
    <row r="104" spans="2:5" ht="15" customHeight="1">
      <c r="B104" s="83" t="s">
        <v>86</v>
      </c>
      <c r="C104" s="43" t="s">
        <v>129</v>
      </c>
      <c r="D104" s="42">
        <v>1</v>
      </c>
      <c r="E104" s="41">
        <v>1.5552099533437014E-3</v>
      </c>
    </row>
    <row r="105" spans="2:5" ht="15" customHeight="1">
      <c r="B105" s="84"/>
      <c r="C105" s="43" t="s">
        <v>130</v>
      </c>
      <c r="D105" s="42">
        <v>8</v>
      </c>
      <c r="E105" s="41">
        <v>1.2441679626749611E-2</v>
      </c>
    </row>
    <row r="106" spans="2:5" ht="15" customHeight="1">
      <c r="B106" s="85"/>
      <c r="C106" s="40" t="s">
        <v>22</v>
      </c>
      <c r="D106" s="39">
        <v>9</v>
      </c>
      <c r="E106" s="38">
        <v>1.3996889580093312E-2</v>
      </c>
    </row>
    <row r="107" spans="2:5" ht="15" customHeight="1">
      <c r="B107" s="83" t="s">
        <v>115</v>
      </c>
      <c r="C107" s="43" t="s">
        <v>129</v>
      </c>
      <c r="D107" s="42">
        <v>4</v>
      </c>
      <c r="E107" s="41">
        <v>6.2208398133748056E-3</v>
      </c>
    </row>
    <row r="108" spans="2:5" ht="15" customHeight="1">
      <c r="B108" s="84"/>
      <c r="C108" s="43" t="s">
        <v>127</v>
      </c>
      <c r="D108" s="42">
        <v>2</v>
      </c>
      <c r="E108" s="41">
        <v>3.1104199066874028E-3</v>
      </c>
    </row>
    <row r="109" spans="2:5" ht="15" customHeight="1">
      <c r="B109" s="84"/>
      <c r="C109" s="43" t="s">
        <v>130</v>
      </c>
      <c r="D109" s="42">
        <v>8</v>
      </c>
      <c r="E109" s="41">
        <v>1.2441679626749611E-2</v>
      </c>
    </row>
    <row r="110" spans="2:5" ht="15" customHeight="1">
      <c r="B110" s="85"/>
      <c r="C110" s="40" t="s">
        <v>22</v>
      </c>
      <c r="D110" s="39">
        <v>14</v>
      </c>
      <c r="E110" s="38">
        <v>2.177293934681182E-2</v>
      </c>
    </row>
    <row r="111" spans="2:5" ht="15" customHeight="1">
      <c r="B111" s="83" t="s">
        <v>88</v>
      </c>
      <c r="C111" s="43" t="s">
        <v>127</v>
      </c>
      <c r="D111" s="42">
        <v>1</v>
      </c>
      <c r="E111" s="41">
        <v>1.5552099533437014E-3</v>
      </c>
    </row>
    <row r="112" spans="2:5" ht="15" customHeight="1">
      <c r="B112" s="84"/>
      <c r="C112" s="43" t="s">
        <v>130</v>
      </c>
      <c r="D112" s="42">
        <v>2</v>
      </c>
      <c r="E112" s="41">
        <v>3.1104199066874028E-3</v>
      </c>
    </row>
    <row r="113" spans="2:5" ht="15" customHeight="1">
      <c r="B113" s="85"/>
      <c r="C113" s="40" t="s">
        <v>22</v>
      </c>
      <c r="D113" s="39">
        <v>3</v>
      </c>
      <c r="E113" s="38">
        <v>4.6656298600311046E-3</v>
      </c>
    </row>
    <row r="114" spans="2:5" ht="15" customHeight="1">
      <c r="B114" s="83" t="s">
        <v>107</v>
      </c>
      <c r="C114" s="43" t="s">
        <v>129</v>
      </c>
      <c r="D114" s="42">
        <v>1</v>
      </c>
      <c r="E114" s="41">
        <v>1.5552099533437014E-3</v>
      </c>
    </row>
    <row r="115" spans="2:5" ht="15" customHeight="1">
      <c r="B115" s="84"/>
      <c r="C115" s="43" t="s">
        <v>127</v>
      </c>
      <c r="D115" s="42">
        <v>1</v>
      </c>
      <c r="E115" s="41">
        <v>1.5552099533437014E-3</v>
      </c>
    </row>
    <row r="116" spans="2:5" ht="15" customHeight="1">
      <c r="B116" s="84"/>
      <c r="C116" s="43" t="s">
        <v>125</v>
      </c>
      <c r="D116" s="42">
        <v>2</v>
      </c>
      <c r="E116" s="41">
        <v>3.1104199066874028E-3</v>
      </c>
    </row>
    <row r="117" spans="2:5" ht="15" customHeight="1">
      <c r="B117" s="84"/>
      <c r="C117" s="43" t="s">
        <v>130</v>
      </c>
      <c r="D117" s="42">
        <v>20</v>
      </c>
      <c r="E117" s="41">
        <v>3.110419906687403E-2</v>
      </c>
    </row>
    <row r="118" spans="2:5" ht="15" customHeight="1">
      <c r="B118" s="85"/>
      <c r="C118" s="40" t="s">
        <v>22</v>
      </c>
      <c r="D118" s="39">
        <v>24</v>
      </c>
      <c r="E118" s="38">
        <v>3.7325038880248837E-2</v>
      </c>
    </row>
    <row r="119" spans="2:5" ht="15" customHeight="1">
      <c r="B119" s="83" t="s">
        <v>103</v>
      </c>
      <c r="C119" s="43" t="s">
        <v>129</v>
      </c>
      <c r="D119" s="42">
        <v>1</v>
      </c>
      <c r="E119" s="41">
        <v>1.5552099533437014E-3</v>
      </c>
    </row>
    <row r="120" spans="2:5" ht="15" customHeight="1">
      <c r="B120" s="84"/>
      <c r="C120" s="43" t="s">
        <v>130</v>
      </c>
      <c r="D120" s="42">
        <v>3</v>
      </c>
      <c r="E120" s="41">
        <v>4.6656298600311046E-3</v>
      </c>
    </row>
    <row r="121" spans="2:5" ht="15" customHeight="1">
      <c r="B121" s="85"/>
      <c r="C121" s="40" t="s">
        <v>22</v>
      </c>
      <c r="D121" s="39">
        <v>4</v>
      </c>
      <c r="E121" s="38">
        <v>6.2208398133748056E-3</v>
      </c>
    </row>
    <row r="122" spans="2:5" ht="15" customHeight="1">
      <c r="B122" s="83" t="s">
        <v>91</v>
      </c>
      <c r="C122" s="43" t="s">
        <v>129</v>
      </c>
      <c r="D122" s="42">
        <v>2</v>
      </c>
      <c r="E122" s="41">
        <v>3.1104199066874028E-3</v>
      </c>
    </row>
    <row r="123" spans="2:5" ht="15" customHeight="1">
      <c r="B123" s="84"/>
      <c r="C123" s="43" t="s">
        <v>130</v>
      </c>
      <c r="D123" s="42">
        <v>5</v>
      </c>
      <c r="E123" s="41">
        <v>7.7760497667185074E-3</v>
      </c>
    </row>
    <row r="124" spans="2:5" ht="15" customHeight="1">
      <c r="B124" s="85"/>
      <c r="C124" s="40" t="s">
        <v>22</v>
      </c>
      <c r="D124" s="39">
        <v>7</v>
      </c>
      <c r="E124" s="38">
        <v>1.088646967340591E-2</v>
      </c>
    </row>
    <row r="125" spans="2:5" ht="15" customHeight="1">
      <c r="B125" s="83" t="s">
        <v>95</v>
      </c>
      <c r="C125" s="43" t="s">
        <v>129</v>
      </c>
      <c r="D125" s="42">
        <v>4</v>
      </c>
      <c r="E125" s="41">
        <v>6.2208398133748056E-3</v>
      </c>
    </row>
    <row r="126" spans="2:5" ht="15" customHeight="1">
      <c r="B126" s="84"/>
      <c r="C126" s="43" t="s">
        <v>126</v>
      </c>
      <c r="D126" s="42">
        <v>1</v>
      </c>
      <c r="E126" s="41">
        <v>1.5552099533437014E-3</v>
      </c>
    </row>
    <row r="127" spans="2:5" ht="15" customHeight="1">
      <c r="B127" s="84"/>
      <c r="C127" s="43" t="s">
        <v>127</v>
      </c>
      <c r="D127" s="42">
        <v>1</v>
      </c>
      <c r="E127" s="41">
        <v>1.5552099533437014E-3</v>
      </c>
    </row>
    <row r="128" spans="2:5" ht="15" customHeight="1">
      <c r="B128" s="84"/>
      <c r="C128" s="43" t="s">
        <v>128</v>
      </c>
      <c r="D128" s="42">
        <v>2</v>
      </c>
      <c r="E128" s="41">
        <v>3.1104199066874028E-3</v>
      </c>
    </row>
    <row r="129" spans="2:5" ht="15" customHeight="1">
      <c r="B129" s="84"/>
      <c r="C129" s="43" t="s">
        <v>130</v>
      </c>
      <c r="D129" s="42">
        <v>9</v>
      </c>
      <c r="E129" s="41">
        <v>1.3996889580093312E-2</v>
      </c>
    </row>
    <row r="130" spans="2:5" ht="15" customHeight="1">
      <c r="B130" s="85"/>
      <c r="C130" s="40" t="s">
        <v>22</v>
      </c>
      <c r="D130" s="39">
        <v>17</v>
      </c>
      <c r="E130" s="38">
        <v>2.6438569206842923E-2</v>
      </c>
    </row>
    <row r="131" spans="2:5" ht="15" customHeight="1">
      <c r="B131" s="83" t="s">
        <v>79</v>
      </c>
      <c r="C131" s="43" t="s">
        <v>128</v>
      </c>
      <c r="D131" s="42">
        <v>1</v>
      </c>
      <c r="E131" s="41">
        <v>1.5552099533437014E-3</v>
      </c>
    </row>
    <row r="132" spans="2:5" ht="15" customHeight="1">
      <c r="B132" s="85"/>
      <c r="C132" s="40" t="s">
        <v>22</v>
      </c>
      <c r="D132" s="39">
        <v>1</v>
      </c>
      <c r="E132" s="38">
        <v>1.5552099533437014E-3</v>
      </c>
    </row>
    <row r="133" spans="2:5" ht="15" customHeight="1">
      <c r="B133" s="83" t="s">
        <v>113</v>
      </c>
      <c r="C133" s="43" t="s">
        <v>129</v>
      </c>
      <c r="D133" s="42">
        <v>4</v>
      </c>
      <c r="E133" s="41">
        <v>6.2208398133748056E-3</v>
      </c>
    </row>
    <row r="134" spans="2:5" ht="15" customHeight="1">
      <c r="B134" s="84"/>
      <c r="C134" s="43" t="s">
        <v>126</v>
      </c>
      <c r="D134" s="42">
        <v>1</v>
      </c>
      <c r="E134" s="41">
        <v>1.5552099533437014E-3</v>
      </c>
    </row>
    <row r="135" spans="2:5" ht="15" customHeight="1">
      <c r="B135" s="84"/>
      <c r="C135" s="43" t="s">
        <v>127</v>
      </c>
      <c r="D135" s="42">
        <v>1</v>
      </c>
      <c r="E135" s="41">
        <v>1.5552099533437014E-3</v>
      </c>
    </row>
    <row r="136" spans="2:5" ht="15" customHeight="1">
      <c r="B136" s="84"/>
      <c r="C136" s="43" t="s">
        <v>124</v>
      </c>
      <c r="D136" s="42">
        <v>1</v>
      </c>
      <c r="E136" s="41">
        <v>1.5552099533437014E-3</v>
      </c>
    </row>
    <row r="137" spans="2:5" ht="15" customHeight="1">
      <c r="B137" s="84"/>
      <c r="C137" s="43" t="s">
        <v>130</v>
      </c>
      <c r="D137" s="42">
        <v>20</v>
      </c>
      <c r="E137" s="41">
        <v>3.110419906687403E-2</v>
      </c>
    </row>
    <row r="138" spans="2:5" ht="15" customHeight="1">
      <c r="B138" s="84"/>
      <c r="C138" s="43" t="s">
        <v>123</v>
      </c>
      <c r="D138" s="42">
        <v>2</v>
      </c>
      <c r="E138" s="41">
        <v>3.1104199066874028E-3</v>
      </c>
    </row>
    <row r="139" spans="2:5" ht="15" customHeight="1">
      <c r="B139" s="85"/>
      <c r="C139" s="40" t="s">
        <v>22</v>
      </c>
      <c r="D139" s="39">
        <v>29</v>
      </c>
      <c r="E139" s="38">
        <v>4.5101088646967338E-2</v>
      </c>
    </row>
    <row r="140" spans="2:5" ht="15" customHeight="1">
      <c r="B140" s="83" t="s">
        <v>105</v>
      </c>
      <c r="C140" s="43" t="s">
        <v>129</v>
      </c>
      <c r="D140" s="42">
        <v>3</v>
      </c>
      <c r="E140" s="41">
        <v>4.6656298600311046E-3</v>
      </c>
    </row>
    <row r="141" spans="2:5" ht="15" customHeight="1">
      <c r="B141" s="84"/>
      <c r="C141" s="43" t="s">
        <v>127</v>
      </c>
      <c r="D141" s="42">
        <v>1</v>
      </c>
      <c r="E141" s="41">
        <v>1.5552099533437014E-3</v>
      </c>
    </row>
    <row r="142" spans="2:5" ht="15" customHeight="1">
      <c r="B142" s="84"/>
      <c r="C142" s="43" t="s">
        <v>128</v>
      </c>
      <c r="D142" s="42">
        <v>2</v>
      </c>
      <c r="E142" s="41">
        <v>3.1104199066874028E-3</v>
      </c>
    </row>
    <row r="143" spans="2:5" ht="15" customHeight="1">
      <c r="B143" s="84"/>
      <c r="C143" s="43" t="s">
        <v>130</v>
      </c>
      <c r="D143" s="42">
        <v>4</v>
      </c>
      <c r="E143" s="41">
        <v>6.2208398133748056E-3</v>
      </c>
    </row>
    <row r="144" spans="2:5" ht="15" customHeight="1">
      <c r="B144" s="85"/>
      <c r="C144" s="40" t="s">
        <v>22</v>
      </c>
      <c r="D144" s="39">
        <v>10</v>
      </c>
      <c r="E144" s="38">
        <v>1.5552099533437015E-2</v>
      </c>
    </row>
    <row r="145" spans="2:5" ht="15" customHeight="1">
      <c r="B145" s="83" t="s">
        <v>90</v>
      </c>
      <c r="C145" s="43" t="s">
        <v>129</v>
      </c>
      <c r="D145" s="42">
        <v>2</v>
      </c>
      <c r="E145" s="41">
        <v>3.1104199066874028E-3</v>
      </c>
    </row>
    <row r="146" spans="2:5" ht="15" customHeight="1">
      <c r="B146" s="84"/>
      <c r="C146" s="43" t="s">
        <v>127</v>
      </c>
      <c r="D146" s="42">
        <v>1</v>
      </c>
      <c r="E146" s="41">
        <v>1.5552099533437014E-3</v>
      </c>
    </row>
    <row r="147" spans="2:5" ht="15" customHeight="1">
      <c r="B147" s="84"/>
      <c r="C147" s="43" t="s">
        <v>125</v>
      </c>
      <c r="D147" s="42">
        <v>1</v>
      </c>
      <c r="E147" s="41">
        <v>1.5552099533437014E-3</v>
      </c>
    </row>
    <row r="148" spans="2:5" ht="15" customHeight="1">
      <c r="B148" s="84"/>
      <c r="C148" s="43" t="s">
        <v>130</v>
      </c>
      <c r="D148" s="42">
        <v>15</v>
      </c>
      <c r="E148" s="41">
        <v>2.3328149300155521E-2</v>
      </c>
    </row>
    <row r="149" spans="2:5" ht="15" customHeight="1">
      <c r="B149" s="84"/>
      <c r="C149" s="43" t="s">
        <v>123</v>
      </c>
      <c r="D149" s="42">
        <v>1</v>
      </c>
      <c r="E149" s="41">
        <v>1.5552099533437014E-3</v>
      </c>
    </row>
    <row r="150" spans="2:5" ht="15" customHeight="1">
      <c r="B150" s="85"/>
      <c r="C150" s="40" t="s">
        <v>22</v>
      </c>
      <c r="D150" s="39">
        <v>20</v>
      </c>
      <c r="E150" s="38">
        <v>3.110419906687403E-2</v>
      </c>
    </row>
    <row r="151" spans="2:5" ht="15" customHeight="1">
      <c r="B151" s="83" t="s">
        <v>92</v>
      </c>
      <c r="C151" s="43" t="s">
        <v>129</v>
      </c>
      <c r="D151" s="42">
        <v>3</v>
      </c>
      <c r="E151" s="41">
        <v>4.6656298600311046E-3</v>
      </c>
    </row>
    <row r="152" spans="2:5" ht="15" customHeight="1">
      <c r="B152" s="84"/>
      <c r="C152" s="43" t="s">
        <v>126</v>
      </c>
      <c r="D152" s="42">
        <v>2</v>
      </c>
      <c r="E152" s="41">
        <v>3.1104199066874028E-3</v>
      </c>
    </row>
    <row r="153" spans="2:5" ht="15" customHeight="1">
      <c r="B153" s="84"/>
      <c r="C153" s="43" t="s">
        <v>130</v>
      </c>
      <c r="D153" s="42">
        <v>3</v>
      </c>
      <c r="E153" s="41">
        <v>4.6656298600311046E-3</v>
      </c>
    </row>
    <row r="154" spans="2:5" ht="15" customHeight="1">
      <c r="B154" s="84"/>
      <c r="C154" s="43" t="s">
        <v>123</v>
      </c>
      <c r="D154" s="42">
        <v>1</v>
      </c>
      <c r="E154" s="41">
        <v>1.5552099533437014E-3</v>
      </c>
    </row>
    <row r="155" spans="2:5" ht="15" customHeight="1">
      <c r="B155" s="85"/>
      <c r="C155" s="40" t="s">
        <v>22</v>
      </c>
      <c r="D155" s="39">
        <v>9</v>
      </c>
      <c r="E155" s="38">
        <v>1.3996889580093312E-2</v>
      </c>
    </row>
    <row r="156" spans="2:5" ht="15" customHeight="1">
      <c r="B156" s="83" t="s">
        <v>100</v>
      </c>
      <c r="C156" s="43" t="s">
        <v>129</v>
      </c>
      <c r="D156" s="42">
        <v>2</v>
      </c>
      <c r="E156" s="41">
        <v>3.1104199066874028E-3</v>
      </c>
    </row>
    <row r="157" spans="2:5" ht="15" customHeight="1">
      <c r="B157" s="84"/>
      <c r="C157" s="43" t="s">
        <v>130</v>
      </c>
      <c r="D157" s="42">
        <v>1</v>
      </c>
      <c r="E157" s="41">
        <v>1.5552099533437014E-3</v>
      </c>
    </row>
    <row r="158" spans="2:5" ht="15" customHeight="1">
      <c r="B158" s="85"/>
      <c r="C158" s="40" t="s">
        <v>22</v>
      </c>
      <c r="D158" s="39">
        <v>3</v>
      </c>
      <c r="E158" s="38">
        <v>4.6656298600311046E-3</v>
      </c>
    </row>
    <row r="159" spans="2:5" ht="15" customHeight="1">
      <c r="B159" s="83" t="s">
        <v>112</v>
      </c>
      <c r="C159" s="43" t="s">
        <v>129</v>
      </c>
      <c r="D159" s="42">
        <v>1</v>
      </c>
      <c r="E159" s="41">
        <v>1.5552099533437014E-3</v>
      </c>
    </row>
    <row r="160" spans="2:5" ht="15" customHeight="1">
      <c r="B160" s="84"/>
      <c r="C160" s="43" t="s">
        <v>130</v>
      </c>
      <c r="D160" s="42">
        <v>4</v>
      </c>
      <c r="E160" s="41">
        <v>6.2208398133748056E-3</v>
      </c>
    </row>
    <row r="161" spans="2:5" ht="15" customHeight="1">
      <c r="B161" s="85"/>
      <c r="C161" s="40" t="s">
        <v>22</v>
      </c>
      <c r="D161" s="39">
        <v>5</v>
      </c>
      <c r="E161" s="38">
        <v>7.7760497667185074E-3</v>
      </c>
    </row>
    <row r="162" spans="2:5" ht="15" customHeight="1">
      <c r="B162" s="83" t="s">
        <v>96</v>
      </c>
      <c r="C162" s="43" t="s">
        <v>130</v>
      </c>
      <c r="D162" s="42">
        <v>1</v>
      </c>
      <c r="E162" s="41">
        <v>1.5552099533437014E-3</v>
      </c>
    </row>
    <row r="163" spans="2:5" ht="15" customHeight="1">
      <c r="B163" s="85"/>
      <c r="C163" s="40" t="s">
        <v>22</v>
      </c>
      <c r="D163" s="39">
        <v>1</v>
      </c>
      <c r="E163" s="38">
        <v>1.5552099533437014E-3</v>
      </c>
    </row>
    <row r="164" spans="2:5" ht="15" customHeight="1">
      <c r="B164" s="83" t="s">
        <v>109</v>
      </c>
      <c r="C164" s="43" t="s">
        <v>129</v>
      </c>
      <c r="D164" s="42">
        <v>6</v>
      </c>
      <c r="E164" s="41">
        <v>9.3312597200622092E-3</v>
      </c>
    </row>
    <row r="165" spans="2:5" ht="15" customHeight="1">
      <c r="B165" s="84"/>
      <c r="C165" s="43" t="s">
        <v>126</v>
      </c>
      <c r="D165" s="42">
        <v>2</v>
      </c>
      <c r="E165" s="41">
        <v>3.1104199066874028E-3</v>
      </c>
    </row>
    <row r="166" spans="2:5" ht="15" customHeight="1">
      <c r="B166" s="84"/>
      <c r="C166" s="43" t="s">
        <v>127</v>
      </c>
      <c r="D166" s="42">
        <v>10</v>
      </c>
      <c r="E166" s="41">
        <v>1.5552099533437015E-2</v>
      </c>
    </row>
    <row r="167" spans="2:5" ht="15" customHeight="1">
      <c r="B167" s="84"/>
      <c r="C167" s="43" t="s">
        <v>128</v>
      </c>
      <c r="D167" s="42">
        <v>26</v>
      </c>
      <c r="E167" s="41">
        <v>4.0435458786936239E-2</v>
      </c>
    </row>
    <row r="168" spans="2:5" ht="15" customHeight="1">
      <c r="B168" s="84"/>
      <c r="C168" s="43" t="s">
        <v>130</v>
      </c>
      <c r="D168" s="42">
        <v>27</v>
      </c>
      <c r="E168" s="41">
        <v>4.1990668740279936E-2</v>
      </c>
    </row>
    <row r="169" spans="2:5" ht="15" customHeight="1">
      <c r="B169" s="85"/>
      <c r="C169" s="40" t="s">
        <v>22</v>
      </c>
      <c r="D169" s="39">
        <v>71</v>
      </c>
      <c r="E169" s="38">
        <v>0.1104199066874028</v>
      </c>
    </row>
    <row r="170" spans="2:5" ht="15" customHeight="1">
      <c r="B170" s="83" t="s">
        <v>110</v>
      </c>
      <c r="C170" s="43" t="s">
        <v>129</v>
      </c>
      <c r="D170" s="42">
        <v>2</v>
      </c>
      <c r="E170" s="41">
        <v>3.1104199066874028E-3</v>
      </c>
    </row>
    <row r="171" spans="2:5" ht="15" customHeight="1">
      <c r="B171" s="84"/>
      <c r="C171" s="43" t="s">
        <v>127</v>
      </c>
      <c r="D171" s="42">
        <v>1</v>
      </c>
      <c r="E171" s="41">
        <v>1.5552099533437014E-3</v>
      </c>
    </row>
    <row r="172" spans="2:5" ht="15" customHeight="1">
      <c r="B172" s="84"/>
      <c r="C172" s="43" t="s">
        <v>125</v>
      </c>
      <c r="D172" s="42">
        <v>1</v>
      </c>
      <c r="E172" s="41">
        <v>1.5552099533437014E-3</v>
      </c>
    </row>
    <row r="173" spans="2:5" ht="15" customHeight="1">
      <c r="B173" s="84"/>
      <c r="C173" s="43" t="s">
        <v>128</v>
      </c>
      <c r="D173" s="42">
        <v>3</v>
      </c>
      <c r="E173" s="41">
        <v>4.6656298600311046E-3</v>
      </c>
    </row>
    <row r="174" spans="2:5" ht="15" customHeight="1">
      <c r="B174" s="84"/>
      <c r="C174" s="43" t="s">
        <v>130</v>
      </c>
      <c r="D174" s="42">
        <v>3</v>
      </c>
      <c r="E174" s="41">
        <v>4.6656298600311046E-3</v>
      </c>
    </row>
    <row r="175" spans="2:5" ht="15" customHeight="1">
      <c r="B175" s="85"/>
      <c r="C175" s="40" t="s">
        <v>22</v>
      </c>
      <c r="D175" s="39">
        <v>10</v>
      </c>
      <c r="E175" s="38">
        <v>1.5552099533437015E-2</v>
      </c>
    </row>
    <row r="176" spans="2:5" ht="15" customHeight="1">
      <c r="B176" s="83" t="s">
        <v>111</v>
      </c>
      <c r="C176" s="43" t="s">
        <v>129</v>
      </c>
      <c r="D176" s="42">
        <v>11</v>
      </c>
      <c r="E176" s="41">
        <v>1.7107309486780714E-2</v>
      </c>
    </row>
    <row r="177" spans="2:5" ht="15" customHeight="1">
      <c r="B177" s="84"/>
      <c r="C177" s="43" t="s">
        <v>127</v>
      </c>
      <c r="D177" s="42">
        <v>2</v>
      </c>
      <c r="E177" s="41">
        <v>3.1104199066874028E-3</v>
      </c>
    </row>
    <row r="178" spans="2:5" ht="15" customHeight="1">
      <c r="B178" s="84"/>
      <c r="C178" s="43" t="s">
        <v>124</v>
      </c>
      <c r="D178" s="42">
        <v>1</v>
      </c>
      <c r="E178" s="41">
        <v>1.5552099533437014E-3</v>
      </c>
    </row>
    <row r="179" spans="2:5" ht="15" customHeight="1">
      <c r="B179" s="84"/>
      <c r="C179" s="43" t="s">
        <v>130</v>
      </c>
      <c r="D179" s="42">
        <v>5</v>
      </c>
      <c r="E179" s="41">
        <v>7.7760497667185074E-3</v>
      </c>
    </row>
    <row r="180" spans="2:5" ht="15" customHeight="1">
      <c r="B180" s="85"/>
      <c r="C180" s="40" t="s">
        <v>22</v>
      </c>
      <c r="D180" s="39">
        <v>19</v>
      </c>
      <c r="E180" s="38">
        <v>2.9548989113530325E-2</v>
      </c>
    </row>
    <row r="181" spans="2:5" ht="15" customHeight="1">
      <c r="B181" s="83" t="s">
        <v>89</v>
      </c>
      <c r="C181" s="43" t="s">
        <v>128</v>
      </c>
      <c r="D181" s="42">
        <v>3</v>
      </c>
      <c r="E181" s="41">
        <v>4.6656298600311046E-3</v>
      </c>
    </row>
    <row r="182" spans="2:5" ht="15" customHeight="1">
      <c r="B182" s="84"/>
      <c r="C182" s="43" t="s">
        <v>124</v>
      </c>
      <c r="D182" s="42">
        <v>1</v>
      </c>
      <c r="E182" s="41">
        <v>1.5552099533437014E-3</v>
      </c>
    </row>
    <row r="183" spans="2:5" ht="15" customHeight="1">
      <c r="B183" s="84"/>
      <c r="C183" s="43" t="s">
        <v>130</v>
      </c>
      <c r="D183" s="42">
        <v>4</v>
      </c>
      <c r="E183" s="41">
        <v>6.2208398133748056E-3</v>
      </c>
    </row>
    <row r="184" spans="2:5" ht="15" customHeight="1">
      <c r="B184" s="85"/>
      <c r="C184" s="40" t="s">
        <v>22</v>
      </c>
      <c r="D184" s="39">
        <v>8</v>
      </c>
      <c r="E184" s="38">
        <v>1.2441679626749611E-2</v>
      </c>
    </row>
    <row r="185" spans="2:5" ht="15" customHeight="1">
      <c r="B185" s="83" t="s">
        <v>47</v>
      </c>
      <c r="C185" s="43" t="s">
        <v>129</v>
      </c>
      <c r="D185" s="42">
        <v>3</v>
      </c>
      <c r="E185" s="41">
        <v>4.6656298600311046E-3</v>
      </c>
    </row>
    <row r="186" spans="2:5" ht="15" customHeight="1">
      <c r="B186" s="84"/>
      <c r="C186" s="43" t="s">
        <v>126</v>
      </c>
      <c r="D186" s="42">
        <v>1</v>
      </c>
      <c r="E186" s="41">
        <v>1.5552099533437014E-3</v>
      </c>
    </row>
    <row r="187" spans="2:5" ht="15" customHeight="1">
      <c r="B187" s="84"/>
      <c r="C187" s="43" t="s">
        <v>128</v>
      </c>
      <c r="D187" s="42">
        <v>1</v>
      </c>
      <c r="E187" s="41">
        <v>1.5552099533437014E-3</v>
      </c>
    </row>
    <row r="188" spans="2:5" ht="15" customHeight="1">
      <c r="B188" s="84"/>
      <c r="C188" s="43" t="s">
        <v>130</v>
      </c>
      <c r="D188" s="42">
        <v>19</v>
      </c>
      <c r="E188" s="41">
        <v>2.9548989113530325E-2</v>
      </c>
    </row>
    <row r="189" spans="2:5" ht="15" customHeight="1">
      <c r="B189" s="84"/>
      <c r="C189" s="43" t="s">
        <v>123</v>
      </c>
      <c r="D189" s="42">
        <v>1</v>
      </c>
      <c r="E189" s="41">
        <v>1.5552099533437014E-3</v>
      </c>
    </row>
    <row r="190" spans="2:5" ht="15" customHeight="1">
      <c r="B190" s="85"/>
      <c r="C190" s="40" t="s">
        <v>22</v>
      </c>
      <c r="D190" s="39">
        <v>25</v>
      </c>
      <c r="E190" s="38">
        <v>3.8880248833592534E-2</v>
      </c>
    </row>
    <row r="191" spans="2:5" ht="15" customHeight="1">
      <c r="B191" s="95" t="s">
        <v>22</v>
      </c>
      <c r="C191" s="96"/>
      <c r="D191" s="97">
        <v>643</v>
      </c>
      <c r="E191" s="98">
        <v>1</v>
      </c>
    </row>
    <row r="193" spans="2:2" ht="15" customHeight="1">
      <c r="B193" s="19" t="s">
        <v>21</v>
      </c>
    </row>
    <row r="194" spans="2:2" ht="15" customHeight="1">
      <c r="B194" s="21" t="s">
        <v>20</v>
      </c>
    </row>
    <row r="195" spans="2:2" ht="15" customHeight="1">
      <c r="B195" s="20" t="s">
        <v>19</v>
      </c>
    </row>
    <row r="196" spans="2:2" ht="15" customHeight="1">
      <c r="B196" s="19" t="s">
        <v>18</v>
      </c>
    </row>
    <row r="197" spans="2:2" ht="15" customHeight="1">
      <c r="B197" s="19" t="s">
        <v>17</v>
      </c>
    </row>
  </sheetData>
  <mergeCells count="46">
    <mergeCell ref="B25:B26"/>
    <mergeCell ref="B27:B29"/>
    <mergeCell ref="B30:B31"/>
    <mergeCell ref="B32:B36"/>
    <mergeCell ref="B37:B43"/>
    <mergeCell ref="B7:E8"/>
    <mergeCell ref="B10:B11"/>
    <mergeCell ref="B12:B18"/>
    <mergeCell ref="B19:B22"/>
    <mergeCell ref="B23:B24"/>
    <mergeCell ref="B59:B65"/>
    <mergeCell ref="B66:B68"/>
    <mergeCell ref="B69:B72"/>
    <mergeCell ref="B73:B75"/>
    <mergeCell ref="B76:B79"/>
    <mergeCell ref="B44:B47"/>
    <mergeCell ref="B48:B49"/>
    <mergeCell ref="B50:B51"/>
    <mergeCell ref="B52:B54"/>
    <mergeCell ref="B55:B58"/>
    <mergeCell ref="B145:B150"/>
    <mergeCell ref="B80:B83"/>
    <mergeCell ref="B84:B90"/>
    <mergeCell ref="B91:B93"/>
    <mergeCell ref="B94:B98"/>
    <mergeCell ref="B99:B103"/>
    <mergeCell ref="B104:B106"/>
    <mergeCell ref="B107:B110"/>
    <mergeCell ref="B111:B113"/>
    <mergeCell ref="B114:B118"/>
    <mergeCell ref="B119:B121"/>
    <mergeCell ref="B122:B124"/>
    <mergeCell ref="B125:B130"/>
    <mergeCell ref="B131:B132"/>
    <mergeCell ref="B133:B139"/>
    <mergeCell ref="B140:B144"/>
    <mergeCell ref="B176:B180"/>
    <mergeCell ref="B181:B184"/>
    <mergeCell ref="B185:B190"/>
    <mergeCell ref="B191:C191"/>
    <mergeCell ref="B151:B155"/>
    <mergeCell ref="B156:B158"/>
    <mergeCell ref="B159:B161"/>
    <mergeCell ref="B162:B163"/>
    <mergeCell ref="B164:B169"/>
    <mergeCell ref="B170:B17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4" manualBreakCount="4">
    <brk id="51" max="4" man="1"/>
    <brk id="93" max="4" man="1"/>
    <brk id="132" max="4" man="1"/>
    <brk id="175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3"/>
  <sheetViews>
    <sheetView showGridLines="0" topLeftCell="A25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162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161</v>
      </c>
      <c r="C11" s="31" t="s">
        <v>160</v>
      </c>
      <c r="D11" s="30" t="s">
        <v>66</v>
      </c>
    </row>
    <row r="12" spans="1:4" ht="15" customHeight="1">
      <c r="B12" s="27" t="s">
        <v>159</v>
      </c>
      <c r="C12" s="26">
        <v>8</v>
      </c>
      <c r="D12" s="25">
        <f t="shared" ref="D12:D35" si="0">C12/$C$35</f>
        <v>1.2441679626749611E-2</v>
      </c>
    </row>
    <row r="13" spans="1:4">
      <c r="B13" s="27" t="s">
        <v>158</v>
      </c>
      <c r="C13" s="26">
        <v>4</v>
      </c>
      <c r="D13" s="25">
        <f t="shared" si="0"/>
        <v>6.2208398133748056E-3</v>
      </c>
    </row>
    <row r="14" spans="1:4" s="28" customFormat="1">
      <c r="A14" s="17"/>
      <c r="B14" s="27" t="s">
        <v>157</v>
      </c>
      <c r="C14" s="26">
        <v>10</v>
      </c>
      <c r="D14" s="25">
        <f t="shared" si="0"/>
        <v>1.5552099533437015E-2</v>
      </c>
    </row>
    <row r="15" spans="1:4" s="28" customFormat="1">
      <c r="A15" s="17"/>
      <c r="B15" s="27" t="s">
        <v>156</v>
      </c>
      <c r="C15" s="26">
        <v>9</v>
      </c>
      <c r="D15" s="25">
        <f t="shared" si="0"/>
        <v>1.3996889580093312E-2</v>
      </c>
    </row>
    <row r="16" spans="1:4">
      <c r="B16" s="27" t="s">
        <v>155</v>
      </c>
      <c r="C16" s="26">
        <v>2</v>
      </c>
      <c r="D16" s="25">
        <f t="shared" si="0"/>
        <v>3.1104199066874028E-3</v>
      </c>
    </row>
    <row r="17" spans="2:4">
      <c r="B17" s="27" t="s">
        <v>154</v>
      </c>
      <c r="C17" s="26">
        <v>11</v>
      </c>
      <c r="D17" s="25">
        <f t="shared" si="0"/>
        <v>1.7107309486780714E-2</v>
      </c>
    </row>
    <row r="18" spans="2:4">
      <c r="B18" s="27" t="s">
        <v>153</v>
      </c>
      <c r="C18" s="26">
        <v>31</v>
      </c>
      <c r="D18" s="25">
        <f t="shared" si="0"/>
        <v>4.821150855365474E-2</v>
      </c>
    </row>
    <row r="19" spans="2:4" ht="27">
      <c r="B19" s="27" t="s">
        <v>152</v>
      </c>
      <c r="C19" s="26">
        <v>57</v>
      </c>
      <c r="D19" s="25">
        <f t="shared" si="0"/>
        <v>8.8646967340590979E-2</v>
      </c>
    </row>
    <row r="20" spans="2:4">
      <c r="B20" s="27" t="s">
        <v>151</v>
      </c>
      <c r="C20" s="26">
        <v>5</v>
      </c>
      <c r="D20" s="25">
        <f t="shared" si="0"/>
        <v>7.7760497667185074E-3</v>
      </c>
    </row>
    <row r="21" spans="2:4">
      <c r="B21" s="27" t="s">
        <v>150</v>
      </c>
      <c r="C21" s="26">
        <v>12</v>
      </c>
      <c r="D21" s="25">
        <f t="shared" si="0"/>
        <v>1.8662519440124418E-2</v>
      </c>
    </row>
    <row r="22" spans="2:4">
      <c r="B22" s="27" t="s">
        <v>149</v>
      </c>
      <c r="C22" s="26">
        <v>22</v>
      </c>
      <c r="D22" s="25">
        <f t="shared" si="0"/>
        <v>3.4214618973561428E-2</v>
      </c>
    </row>
    <row r="23" spans="2:4" ht="27">
      <c r="B23" s="27" t="s">
        <v>148</v>
      </c>
      <c r="C23" s="26">
        <v>222</v>
      </c>
      <c r="D23" s="25">
        <f t="shared" si="0"/>
        <v>0.3452566096423017</v>
      </c>
    </row>
    <row r="24" spans="2:4">
      <c r="B24" s="27" t="s">
        <v>147</v>
      </c>
      <c r="C24" s="26">
        <v>5</v>
      </c>
      <c r="D24" s="25">
        <f t="shared" si="0"/>
        <v>7.7760497667185074E-3</v>
      </c>
    </row>
    <row r="25" spans="2:4" ht="27">
      <c r="B25" s="27" t="s">
        <v>146</v>
      </c>
      <c r="C25" s="26">
        <v>62</v>
      </c>
      <c r="D25" s="25">
        <f t="shared" si="0"/>
        <v>9.6423017107309481E-2</v>
      </c>
    </row>
    <row r="26" spans="2:4" ht="27">
      <c r="B26" s="27" t="s">
        <v>145</v>
      </c>
      <c r="C26" s="26">
        <v>144</v>
      </c>
      <c r="D26" s="25">
        <f t="shared" si="0"/>
        <v>0.22395023328149299</v>
      </c>
    </row>
    <row r="27" spans="2:4">
      <c r="B27" s="27" t="s">
        <v>144</v>
      </c>
      <c r="C27" s="26">
        <v>1</v>
      </c>
      <c r="D27" s="25">
        <f t="shared" si="0"/>
        <v>1.5552099533437014E-3</v>
      </c>
    </row>
    <row r="28" spans="2:4">
      <c r="B28" s="27" t="s">
        <v>143</v>
      </c>
      <c r="C28" s="26">
        <v>2</v>
      </c>
      <c r="D28" s="25">
        <f t="shared" si="0"/>
        <v>3.1104199066874028E-3</v>
      </c>
    </row>
    <row r="29" spans="2:4">
      <c r="B29" s="27" t="s">
        <v>142</v>
      </c>
      <c r="C29" s="26">
        <v>1</v>
      </c>
      <c r="D29" s="25">
        <f t="shared" si="0"/>
        <v>1.5552099533437014E-3</v>
      </c>
    </row>
    <row r="30" spans="2:4">
      <c r="B30" s="27" t="s">
        <v>141</v>
      </c>
      <c r="C30" s="26">
        <v>12</v>
      </c>
      <c r="D30" s="25">
        <f t="shared" si="0"/>
        <v>1.8662519440124418E-2</v>
      </c>
    </row>
    <row r="31" spans="2:4">
      <c r="B31" s="27" t="s">
        <v>140</v>
      </c>
      <c r="C31" s="26">
        <v>19</v>
      </c>
      <c r="D31" s="25">
        <f t="shared" si="0"/>
        <v>2.9548989113530325E-2</v>
      </c>
    </row>
    <row r="32" spans="2:4">
      <c r="B32" s="27" t="s">
        <v>139</v>
      </c>
      <c r="C32" s="26">
        <v>1</v>
      </c>
      <c r="D32" s="25">
        <f t="shared" si="0"/>
        <v>1.5552099533437014E-3</v>
      </c>
    </row>
    <row r="33" spans="1:4">
      <c r="B33" s="27" t="s">
        <v>138</v>
      </c>
      <c r="C33" s="26">
        <v>2</v>
      </c>
      <c r="D33" s="25">
        <f t="shared" si="0"/>
        <v>3.1104199066874028E-3</v>
      </c>
    </row>
    <row r="34" spans="1:4">
      <c r="B34" s="27" t="s">
        <v>137</v>
      </c>
      <c r="C34" s="26">
        <v>1</v>
      </c>
      <c r="D34" s="25">
        <f t="shared" si="0"/>
        <v>1.5552099533437014E-3</v>
      </c>
    </row>
    <row r="35" spans="1:4">
      <c r="B35" s="24" t="s">
        <v>22</v>
      </c>
      <c r="C35" s="23">
        <v>643</v>
      </c>
      <c r="D35" s="22">
        <f t="shared" si="0"/>
        <v>1</v>
      </c>
    </row>
    <row r="37" spans="1:4">
      <c r="A37" s="56" t="s">
        <v>136</v>
      </c>
    </row>
    <row r="38" spans="1:4">
      <c r="A38" s="56" t="s">
        <v>20</v>
      </c>
    </row>
    <row r="39" spans="1:4">
      <c r="A39" s="56" t="s">
        <v>19</v>
      </c>
    </row>
    <row r="40" spans="1:4">
      <c r="A40" s="56" t="s">
        <v>18</v>
      </c>
    </row>
    <row r="41" spans="1:4">
      <c r="A41" s="56" t="s">
        <v>135</v>
      </c>
    </row>
    <row r="42" spans="1:4">
      <c r="A42" s="56"/>
    </row>
    <row r="43" spans="1:4">
      <c r="A43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39"/>
  <sheetViews>
    <sheetView topLeftCell="A201" zoomScale="93" zoomScaleNormal="93" zoomScaleSheetLayoutView="85" workbookViewId="0">
      <selection activeCell="B233" sqref="B233:E23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163</v>
      </c>
      <c r="C9" s="47" t="s">
        <v>134</v>
      </c>
      <c r="D9" s="46" t="s">
        <v>67</v>
      </c>
      <c r="E9" s="45" t="s">
        <v>66</v>
      </c>
    </row>
    <row r="10" spans="1:5" ht="15" customHeight="1">
      <c r="B10" s="83" t="s">
        <v>159</v>
      </c>
      <c r="C10" s="43" t="s">
        <v>65</v>
      </c>
      <c r="D10" s="42">
        <v>5</v>
      </c>
      <c r="E10" s="41">
        <v>7.7760497667185074E-3</v>
      </c>
    </row>
    <row r="11" spans="1:5" ht="15" customHeight="1">
      <c r="B11" s="84"/>
      <c r="C11" s="43" t="s">
        <v>61</v>
      </c>
      <c r="D11" s="42">
        <v>1</v>
      </c>
      <c r="E11" s="41">
        <v>1.5552099533437014E-3</v>
      </c>
    </row>
    <row r="12" spans="1:5" ht="15" customHeight="1">
      <c r="B12" s="84"/>
      <c r="C12" s="43" t="s">
        <v>43</v>
      </c>
      <c r="D12" s="42">
        <v>1</v>
      </c>
      <c r="E12" s="41">
        <v>1.5552099533437014E-3</v>
      </c>
    </row>
    <row r="13" spans="1:5" ht="15" customHeight="1">
      <c r="B13" s="84"/>
      <c r="C13" s="43" t="s">
        <v>51</v>
      </c>
      <c r="D13" s="42">
        <v>1</v>
      </c>
      <c r="E13" s="41">
        <v>1.5552099533437014E-3</v>
      </c>
    </row>
    <row r="14" spans="1:5" ht="15" customHeight="1">
      <c r="B14" s="85"/>
      <c r="C14" s="40" t="s">
        <v>22</v>
      </c>
      <c r="D14" s="39">
        <v>8</v>
      </c>
      <c r="E14" s="38">
        <v>1.2441679626749611E-2</v>
      </c>
    </row>
    <row r="15" spans="1:5" ht="15" customHeight="1">
      <c r="B15" s="83" t="s">
        <v>158</v>
      </c>
      <c r="C15" s="43" t="s">
        <v>65</v>
      </c>
      <c r="D15" s="42">
        <v>1</v>
      </c>
      <c r="E15" s="41">
        <v>1.5552099533437014E-3</v>
      </c>
    </row>
    <row r="16" spans="1:5" ht="15" customHeight="1">
      <c r="B16" s="84"/>
      <c r="C16" s="43" t="s">
        <v>61</v>
      </c>
      <c r="D16" s="42">
        <v>3</v>
      </c>
      <c r="E16" s="41">
        <v>4.6656298600311046E-3</v>
      </c>
    </row>
    <row r="17" spans="2:5" ht="15" customHeight="1">
      <c r="B17" s="85"/>
      <c r="C17" s="40" t="s">
        <v>22</v>
      </c>
      <c r="D17" s="39">
        <v>4</v>
      </c>
      <c r="E17" s="38">
        <v>6.2208398133748056E-3</v>
      </c>
    </row>
    <row r="18" spans="2:5" ht="15" customHeight="1">
      <c r="B18" s="83" t="s">
        <v>157</v>
      </c>
      <c r="C18" s="43" t="s">
        <v>65</v>
      </c>
      <c r="D18" s="42">
        <v>3</v>
      </c>
      <c r="E18" s="41">
        <v>4.6656298600311046E-3</v>
      </c>
    </row>
    <row r="19" spans="2:5" ht="15" customHeight="1">
      <c r="B19" s="84"/>
      <c r="C19" s="43" t="s">
        <v>62</v>
      </c>
      <c r="D19" s="42">
        <v>1</v>
      </c>
      <c r="E19" s="41">
        <v>1.5552099533437014E-3</v>
      </c>
    </row>
    <row r="20" spans="2:5" ht="15" customHeight="1">
      <c r="B20" s="84"/>
      <c r="C20" s="43" t="s">
        <v>59</v>
      </c>
      <c r="D20" s="42">
        <v>1</v>
      </c>
      <c r="E20" s="41">
        <v>1.5552099533437014E-3</v>
      </c>
    </row>
    <row r="21" spans="2:5" ht="15" customHeight="1">
      <c r="B21" s="84"/>
      <c r="C21" s="43" t="s">
        <v>57</v>
      </c>
      <c r="D21" s="42">
        <v>2</v>
      </c>
      <c r="E21" s="41">
        <v>3.1104199066874028E-3</v>
      </c>
    </row>
    <row r="22" spans="2:5" ht="15" customHeight="1">
      <c r="B22" s="84"/>
      <c r="C22" s="43" t="s">
        <v>31</v>
      </c>
      <c r="D22" s="42">
        <v>1</v>
      </c>
      <c r="E22" s="41">
        <v>1.5552099533437014E-3</v>
      </c>
    </row>
    <row r="23" spans="2:5" ht="15" customHeight="1">
      <c r="B23" s="84"/>
      <c r="C23" s="43" t="s">
        <v>24</v>
      </c>
      <c r="D23" s="42">
        <v>1</v>
      </c>
      <c r="E23" s="41">
        <v>1.5552099533437014E-3</v>
      </c>
    </row>
    <row r="24" spans="2:5" ht="15" customHeight="1">
      <c r="B24" s="84"/>
      <c r="C24" s="43" t="s">
        <v>52</v>
      </c>
      <c r="D24" s="42">
        <v>1</v>
      </c>
      <c r="E24" s="41">
        <v>1.5552099533437014E-3</v>
      </c>
    </row>
    <row r="25" spans="2:5" ht="15" customHeight="1">
      <c r="B25" s="85"/>
      <c r="C25" s="40" t="s">
        <v>22</v>
      </c>
      <c r="D25" s="39">
        <v>10</v>
      </c>
      <c r="E25" s="38">
        <v>1.5552099533437015E-2</v>
      </c>
    </row>
    <row r="26" spans="2:5" ht="15" customHeight="1">
      <c r="B26" s="83" t="s">
        <v>156</v>
      </c>
      <c r="C26" s="43" t="s">
        <v>63</v>
      </c>
      <c r="D26" s="42">
        <v>1</v>
      </c>
      <c r="E26" s="41">
        <v>1.5552099533437014E-3</v>
      </c>
    </row>
    <row r="27" spans="2:5" ht="15" customHeight="1">
      <c r="B27" s="84"/>
      <c r="C27" s="43" t="s">
        <v>62</v>
      </c>
      <c r="D27" s="42">
        <v>1</v>
      </c>
      <c r="E27" s="41">
        <v>1.5552099533437014E-3</v>
      </c>
    </row>
    <row r="28" spans="2:5" ht="15" customHeight="1">
      <c r="B28" s="84"/>
      <c r="C28" s="43" t="s">
        <v>61</v>
      </c>
      <c r="D28" s="42">
        <v>2</v>
      </c>
      <c r="E28" s="41">
        <v>3.1104199066874028E-3</v>
      </c>
    </row>
    <row r="29" spans="2:5" ht="15" customHeight="1">
      <c r="B29" s="84"/>
      <c r="C29" s="43" t="s">
        <v>51</v>
      </c>
      <c r="D29" s="42">
        <v>1</v>
      </c>
      <c r="E29" s="41">
        <v>1.5552099533437014E-3</v>
      </c>
    </row>
    <row r="30" spans="2:5" ht="15" customHeight="1">
      <c r="B30" s="84"/>
      <c r="C30" s="43" t="s">
        <v>64</v>
      </c>
      <c r="D30" s="42">
        <v>2</v>
      </c>
      <c r="E30" s="41">
        <v>3.1104199066874028E-3</v>
      </c>
    </row>
    <row r="31" spans="2:5" ht="15" customHeight="1">
      <c r="B31" s="84"/>
      <c r="C31" s="43" t="s">
        <v>60</v>
      </c>
      <c r="D31" s="42">
        <v>1</v>
      </c>
      <c r="E31" s="41">
        <v>1.5552099533437014E-3</v>
      </c>
    </row>
    <row r="32" spans="2:5" ht="15" customHeight="1">
      <c r="B32" s="84"/>
      <c r="C32" s="43" t="s">
        <v>47</v>
      </c>
      <c r="D32" s="42">
        <v>1</v>
      </c>
      <c r="E32" s="41">
        <v>1.5552099533437014E-3</v>
      </c>
    </row>
    <row r="33" spans="2:5" ht="15" customHeight="1">
      <c r="B33" s="85"/>
      <c r="C33" s="40" t="s">
        <v>22</v>
      </c>
      <c r="D33" s="39">
        <v>9</v>
      </c>
      <c r="E33" s="38">
        <v>1.3996889580093312E-2</v>
      </c>
    </row>
    <row r="34" spans="2:5" ht="15" customHeight="1">
      <c r="B34" s="83" t="s">
        <v>155</v>
      </c>
      <c r="C34" s="43" t="s">
        <v>62</v>
      </c>
      <c r="D34" s="42">
        <v>1</v>
      </c>
      <c r="E34" s="41">
        <v>1.5552099533437014E-3</v>
      </c>
    </row>
    <row r="35" spans="2:5" ht="15" customHeight="1">
      <c r="B35" s="84"/>
      <c r="C35" s="43" t="s">
        <v>52</v>
      </c>
      <c r="D35" s="42">
        <v>1</v>
      </c>
      <c r="E35" s="41">
        <v>1.5552099533437014E-3</v>
      </c>
    </row>
    <row r="36" spans="2:5" ht="15" customHeight="1">
      <c r="B36" s="85"/>
      <c r="C36" s="40" t="s">
        <v>22</v>
      </c>
      <c r="D36" s="39">
        <v>2</v>
      </c>
      <c r="E36" s="38">
        <v>3.1104199066874028E-3</v>
      </c>
    </row>
    <row r="37" spans="2:5" ht="15" customHeight="1">
      <c r="B37" s="83" t="s">
        <v>154</v>
      </c>
      <c r="C37" s="43" t="s">
        <v>65</v>
      </c>
      <c r="D37" s="42">
        <v>4</v>
      </c>
      <c r="E37" s="41">
        <v>6.2208398133748056E-3</v>
      </c>
    </row>
    <row r="38" spans="2:5" ht="15" customHeight="1">
      <c r="B38" s="84"/>
      <c r="C38" s="43" t="s">
        <v>61</v>
      </c>
      <c r="D38" s="42">
        <v>1</v>
      </c>
      <c r="E38" s="41">
        <v>1.5552099533437014E-3</v>
      </c>
    </row>
    <row r="39" spans="2:5" ht="15" customHeight="1">
      <c r="B39" s="84"/>
      <c r="C39" s="43" t="s">
        <v>59</v>
      </c>
      <c r="D39" s="42">
        <v>2</v>
      </c>
      <c r="E39" s="41">
        <v>3.1104199066874028E-3</v>
      </c>
    </row>
    <row r="40" spans="2:5" ht="15" customHeight="1">
      <c r="B40" s="84"/>
      <c r="C40" s="43" t="s">
        <v>51</v>
      </c>
      <c r="D40" s="42">
        <v>1</v>
      </c>
      <c r="E40" s="41">
        <v>1.5552099533437014E-3</v>
      </c>
    </row>
    <row r="41" spans="2:5" ht="15" customHeight="1">
      <c r="B41" s="84"/>
      <c r="C41" s="43" t="s">
        <v>56</v>
      </c>
      <c r="D41" s="42">
        <v>1</v>
      </c>
      <c r="E41" s="41">
        <v>1.5552099533437014E-3</v>
      </c>
    </row>
    <row r="42" spans="2:5" ht="15" customHeight="1">
      <c r="B42" s="84"/>
      <c r="C42" s="43" t="s">
        <v>49</v>
      </c>
      <c r="D42" s="42">
        <v>1</v>
      </c>
      <c r="E42" s="41">
        <v>1.5552099533437014E-3</v>
      </c>
    </row>
    <row r="43" spans="2:5" ht="15" customHeight="1">
      <c r="B43" s="84"/>
      <c r="C43" s="43" t="s">
        <v>64</v>
      </c>
      <c r="D43" s="42">
        <v>1</v>
      </c>
      <c r="E43" s="41">
        <v>1.5552099533437014E-3</v>
      </c>
    </row>
    <row r="44" spans="2:5" ht="15" customHeight="1">
      <c r="B44" s="85"/>
      <c r="C44" s="40" t="s">
        <v>22</v>
      </c>
      <c r="D44" s="39">
        <v>11</v>
      </c>
      <c r="E44" s="38">
        <v>1.7107309486780714E-2</v>
      </c>
    </row>
    <row r="45" spans="2:5" ht="15" customHeight="1">
      <c r="B45" s="83" t="s">
        <v>153</v>
      </c>
      <c r="C45" s="43" t="s">
        <v>63</v>
      </c>
      <c r="D45" s="42">
        <v>3</v>
      </c>
      <c r="E45" s="41">
        <v>4.6656298600311046E-3</v>
      </c>
    </row>
    <row r="46" spans="2:5" ht="15" customHeight="1">
      <c r="B46" s="84"/>
      <c r="C46" s="43" t="s">
        <v>65</v>
      </c>
      <c r="D46" s="42">
        <v>11</v>
      </c>
      <c r="E46" s="41">
        <v>1.7107309486780714E-2</v>
      </c>
    </row>
    <row r="47" spans="2:5" ht="15" customHeight="1">
      <c r="B47" s="84"/>
      <c r="C47" s="43" t="s">
        <v>62</v>
      </c>
      <c r="D47" s="42">
        <v>2</v>
      </c>
      <c r="E47" s="41">
        <v>3.1104199066874028E-3</v>
      </c>
    </row>
    <row r="48" spans="2:5" ht="15" customHeight="1">
      <c r="B48" s="84"/>
      <c r="C48" s="43" t="s">
        <v>51</v>
      </c>
      <c r="D48" s="42">
        <v>1</v>
      </c>
      <c r="E48" s="41">
        <v>1.5552099533437014E-3</v>
      </c>
    </row>
    <row r="49" spans="2:5" ht="15" customHeight="1">
      <c r="B49" s="84"/>
      <c r="C49" s="43" t="s">
        <v>39</v>
      </c>
      <c r="D49" s="42">
        <v>1</v>
      </c>
      <c r="E49" s="41">
        <v>1.5552099533437014E-3</v>
      </c>
    </row>
    <row r="50" spans="2:5" ht="15" customHeight="1">
      <c r="B50" s="84"/>
      <c r="C50" s="43" t="s">
        <v>56</v>
      </c>
      <c r="D50" s="42">
        <v>1</v>
      </c>
      <c r="E50" s="41">
        <v>1.5552099533437014E-3</v>
      </c>
    </row>
    <row r="51" spans="2:5" ht="15" customHeight="1">
      <c r="B51" s="84"/>
      <c r="C51" s="43" t="s">
        <v>54</v>
      </c>
      <c r="D51" s="42">
        <v>2</v>
      </c>
      <c r="E51" s="41">
        <v>3.1104199066874028E-3</v>
      </c>
    </row>
    <row r="52" spans="2:5" ht="15" customHeight="1">
      <c r="B52" s="84"/>
      <c r="C52" s="43" t="s">
        <v>64</v>
      </c>
      <c r="D52" s="42">
        <v>6</v>
      </c>
      <c r="E52" s="41">
        <v>9.3312597200622092E-3</v>
      </c>
    </row>
    <row r="53" spans="2:5" ht="15" customHeight="1">
      <c r="B53" s="84"/>
      <c r="C53" s="43" t="s">
        <v>48</v>
      </c>
      <c r="D53" s="42">
        <v>1</v>
      </c>
      <c r="E53" s="41">
        <v>1.5552099533437014E-3</v>
      </c>
    </row>
    <row r="54" spans="2:5" ht="15" customHeight="1">
      <c r="B54" s="84"/>
      <c r="C54" s="43" t="s">
        <v>60</v>
      </c>
      <c r="D54" s="42">
        <v>1</v>
      </c>
      <c r="E54" s="41">
        <v>1.5552099533437014E-3</v>
      </c>
    </row>
    <row r="55" spans="2:5" ht="15" customHeight="1">
      <c r="B55" s="84"/>
      <c r="C55" s="43" t="s">
        <v>52</v>
      </c>
      <c r="D55" s="42">
        <v>2</v>
      </c>
      <c r="E55" s="41">
        <v>3.1104199066874028E-3</v>
      </c>
    </row>
    <row r="56" spans="2:5" ht="15" customHeight="1">
      <c r="B56" s="85"/>
      <c r="C56" s="40" t="s">
        <v>22</v>
      </c>
      <c r="D56" s="39">
        <v>31</v>
      </c>
      <c r="E56" s="38">
        <v>4.821150855365474E-2</v>
      </c>
    </row>
    <row r="57" spans="2:5" ht="15" customHeight="1">
      <c r="B57" s="83" t="s">
        <v>152</v>
      </c>
      <c r="C57" s="43" t="s">
        <v>63</v>
      </c>
      <c r="D57" s="42">
        <v>7</v>
      </c>
      <c r="E57" s="41">
        <v>1.088646967340591E-2</v>
      </c>
    </row>
    <row r="58" spans="2:5" ht="15" customHeight="1">
      <c r="B58" s="84"/>
      <c r="C58" s="43" t="s">
        <v>65</v>
      </c>
      <c r="D58" s="42">
        <v>18</v>
      </c>
      <c r="E58" s="41">
        <v>2.7993779160186624E-2</v>
      </c>
    </row>
    <row r="59" spans="2:5" ht="15" customHeight="1">
      <c r="B59" s="84"/>
      <c r="C59" s="43" t="s">
        <v>37</v>
      </c>
      <c r="D59" s="42">
        <v>1</v>
      </c>
      <c r="E59" s="41">
        <v>1.5552099533437014E-3</v>
      </c>
    </row>
    <row r="60" spans="2:5" ht="15" customHeight="1">
      <c r="B60" s="84"/>
      <c r="C60" s="43" t="s">
        <v>62</v>
      </c>
      <c r="D60" s="42">
        <v>3</v>
      </c>
      <c r="E60" s="41">
        <v>4.6656298600311046E-3</v>
      </c>
    </row>
    <row r="61" spans="2:5" ht="15" customHeight="1">
      <c r="B61" s="84"/>
      <c r="C61" s="43" t="s">
        <v>61</v>
      </c>
      <c r="D61" s="42">
        <v>2</v>
      </c>
      <c r="E61" s="41">
        <v>3.1104199066874028E-3</v>
      </c>
    </row>
    <row r="62" spans="2:5" ht="15" customHeight="1">
      <c r="B62" s="84"/>
      <c r="C62" s="43" t="s">
        <v>59</v>
      </c>
      <c r="D62" s="42">
        <v>1</v>
      </c>
      <c r="E62" s="41">
        <v>1.5552099533437014E-3</v>
      </c>
    </row>
    <row r="63" spans="2:5" ht="15" customHeight="1">
      <c r="B63" s="84"/>
      <c r="C63" s="43" t="s">
        <v>53</v>
      </c>
      <c r="D63" s="42">
        <v>1</v>
      </c>
      <c r="E63" s="41">
        <v>1.5552099533437014E-3</v>
      </c>
    </row>
    <row r="64" spans="2:5" ht="15" customHeight="1">
      <c r="B64" s="84"/>
      <c r="C64" s="43" t="s">
        <v>57</v>
      </c>
      <c r="D64" s="42">
        <v>3</v>
      </c>
      <c r="E64" s="41">
        <v>4.6656298600311046E-3</v>
      </c>
    </row>
    <row r="65" spans="2:5" ht="15" customHeight="1">
      <c r="B65" s="84"/>
      <c r="C65" s="43" t="s">
        <v>51</v>
      </c>
      <c r="D65" s="42">
        <v>1</v>
      </c>
      <c r="E65" s="41">
        <v>1.5552099533437014E-3</v>
      </c>
    </row>
    <row r="66" spans="2:5" ht="15" customHeight="1">
      <c r="B66" s="84"/>
      <c r="C66" s="43" t="s">
        <v>58</v>
      </c>
      <c r="D66" s="42">
        <v>3</v>
      </c>
      <c r="E66" s="41">
        <v>4.6656298600311046E-3</v>
      </c>
    </row>
    <row r="67" spans="2:5" ht="15" customHeight="1">
      <c r="B67" s="84"/>
      <c r="C67" s="43" t="s">
        <v>39</v>
      </c>
      <c r="D67" s="42">
        <v>1</v>
      </c>
      <c r="E67" s="41">
        <v>1.5552099533437014E-3</v>
      </c>
    </row>
    <row r="68" spans="2:5" ht="15" customHeight="1">
      <c r="B68" s="84"/>
      <c r="C68" s="43" t="s">
        <v>56</v>
      </c>
      <c r="D68" s="42">
        <v>1</v>
      </c>
      <c r="E68" s="41">
        <v>1.5552099533437014E-3</v>
      </c>
    </row>
    <row r="69" spans="2:5" ht="15" customHeight="1">
      <c r="B69" s="84"/>
      <c r="C69" s="43" t="s">
        <v>49</v>
      </c>
      <c r="D69" s="42">
        <v>1</v>
      </c>
      <c r="E69" s="41">
        <v>1.5552099533437014E-3</v>
      </c>
    </row>
    <row r="70" spans="2:5" ht="15" customHeight="1">
      <c r="B70" s="84"/>
      <c r="C70" s="43" t="s">
        <v>54</v>
      </c>
      <c r="D70" s="42">
        <v>1</v>
      </c>
      <c r="E70" s="41">
        <v>1.5552099533437014E-3</v>
      </c>
    </row>
    <row r="71" spans="2:5" ht="15" customHeight="1">
      <c r="B71" s="84"/>
      <c r="C71" s="43" t="s">
        <v>64</v>
      </c>
      <c r="D71" s="42">
        <v>8</v>
      </c>
      <c r="E71" s="41">
        <v>1.2441679626749611E-2</v>
      </c>
    </row>
    <row r="72" spans="2:5" ht="15" customHeight="1">
      <c r="B72" s="84"/>
      <c r="C72" s="43" t="s">
        <v>60</v>
      </c>
      <c r="D72" s="42">
        <v>3</v>
      </c>
      <c r="E72" s="41">
        <v>4.6656298600311046E-3</v>
      </c>
    </row>
    <row r="73" spans="2:5" ht="15" customHeight="1">
      <c r="B73" s="84"/>
      <c r="C73" s="43" t="s">
        <v>47</v>
      </c>
      <c r="D73" s="42">
        <v>1</v>
      </c>
      <c r="E73" s="41">
        <v>1.5552099533437014E-3</v>
      </c>
    </row>
    <row r="74" spans="2:5" ht="15" customHeight="1">
      <c r="B74" s="84"/>
      <c r="C74" s="43" t="s">
        <v>52</v>
      </c>
      <c r="D74" s="42">
        <v>1</v>
      </c>
      <c r="E74" s="41">
        <v>1.5552099533437014E-3</v>
      </c>
    </row>
    <row r="75" spans="2:5" ht="15" customHeight="1">
      <c r="B75" s="85"/>
      <c r="C75" s="40" t="s">
        <v>22</v>
      </c>
      <c r="D75" s="39">
        <v>57</v>
      </c>
      <c r="E75" s="38">
        <v>8.8646967340590979E-2</v>
      </c>
    </row>
    <row r="76" spans="2:5" ht="15" customHeight="1">
      <c r="B76" s="83" t="s">
        <v>151</v>
      </c>
      <c r="C76" s="43" t="s">
        <v>45</v>
      </c>
      <c r="D76" s="42">
        <v>1</v>
      </c>
      <c r="E76" s="41">
        <v>1.5552099533437014E-3</v>
      </c>
    </row>
    <row r="77" spans="2:5" ht="15" customHeight="1">
      <c r="B77" s="84"/>
      <c r="C77" s="43" t="s">
        <v>65</v>
      </c>
      <c r="D77" s="42">
        <v>3</v>
      </c>
      <c r="E77" s="41">
        <v>4.6656298600311046E-3</v>
      </c>
    </row>
    <row r="78" spans="2:5" ht="15" customHeight="1">
      <c r="B78" s="84"/>
      <c r="C78" s="43" t="s">
        <v>62</v>
      </c>
      <c r="D78" s="42">
        <v>1</v>
      </c>
      <c r="E78" s="41">
        <v>1.5552099533437014E-3</v>
      </c>
    </row>
    <row r="79" spans="2:5" ht="15" customHeight="1">
      <c r="B79" s="85"/>
      <c r="C79" s="40" t="s">
        <v>22</v>
      </c>
      <c r="D79" s="39">
        <v>5</v>
      </c>
      <c r="E79" s="38">
        <v>7.7760497667185074E-3</v>
      </c>
    </row>
    <row r="80" spans="2:5" ht="15" customHeight="1">
      <c r="B80" s="83" t="s">
        <v>150</v>
      </c>
      <c r="C80" s="43" t="s">
        <v>63</v>
      </c>
      <c r="D80" s="42">
        <v>3</v>
      </c>
      <c r="E80" s="41">
        <v>4.6656298600311046E-3</v>
      </c>
    </row>
    <row r="81" spans="2:5" ht="15" customHeight="1">
      <c r="B81" s="84"/>
      <c r="C81" s="43" t="s">
        <v>65</v>
      </c>
      <c r="D81" s="42">
        <v>1</v>
      </c>
      <c r="E81" s="41">
        <v>1.5552099533437014E-3</v>
      </c>
    </row>
    <row r="82" spans="2:5" ht="15" customHeight="1">
      <c r="B82" s="84"/>
      <c r="C82" s="43" t="s">
        <v>62</v>
      </c>
      <c r="D82" s="42">
        <v>1</v>
      </c>
      <c r="E82" s="41">
        <v>1.5552099533437014E-3</v>
      </c>
    </row>
    <row r="83" spans="2:5" ht="15" customHeight="1">
      <c r="B83" s="84"/>
      <c r="C83" s="43" t="s">
        <v>61</v>
      </c>
      <c r="D83" s="42">
        <v>1</v>
      </c>
      <c r="E83" s="41">
        <v>1.5552099533437014E-3</v>
      </c>
    </row>
    <row r="84" spans="2:5" ht="15" customHeight="1">
      <c r="B84" s="84"/>
      <c r="C84" s="43" t="s">
        <v>43</v>
      </c>
      <c r="D84" s="42">
        <v>1</v>
      </c>
      <c r="E84" s="41">
        <v>1.5552099533437014E-3</v>
      </c>
    </row>
    <row r="85" spans="2:5" ht="15" customHeight="1">
      <c r="B85" s="84"/>
      <c r="C85" s="43" t="s">
        <v>27</v>
      </c>
      <c r="D85" s="42">
        <v>1</v>
      </c>
      <c r="E85" s="41">
        <v>1.5552099533437014E-3</v>
      </c>
    </row>
    <row r="86" spans="2:5" ht="15" customHeight="1">
      <c r="B86" s="84"/>
      <c r="C86" s="43" t="s">
        <v>57</v>
      </c>
      <c r="D86" s="42">
        <v>1</v>
      </c>
      <c r="E86" s="41">
        <v>1.5552099533437014E-3</v>
      </c>
    </row>
    <row r="87" spans="2:5" ht="15" customHeight="1">
      <c r="B87" s="84"/>
      <c r="C87" s="43" t="s">
        <v>44</v>
      </c>
      <c r="D87" s="42">
        <v>1</v>
      </c>
      <c r="E87" s="41">
        <v>1.5552099533437014E-3</v>
      </c>
    </row>
    <row r="88" spans="2:5" ht="15" customHeight="1">
      <c r="B88" s="84"/>
      <c r="C88" s="43" t="s">
        <v>49</v>
      </c>
      <c r="D88" s="42">
        <v>1</v>
      </c>
      <c r="E88" s="41">
        <v>1.5552099533437014E-3</v>
      </c>
    </row>
    <row r="89" spans="2:5" ht="15" customHeight="1">
      <c r="B89" s="84"/>
      <c r="C89" s="43" t="s">
        <v>52</v>
      </c>
      <c r="D89" s="42">
        <v>1</v>
      </c>
      <c r="E89" s="41">
        <v>1.5552099533437014E-3</v>
      </c>
    </row>
    <row r="90" spans="2:5" ht="15" customHeight="1">
      <c r="B90" s="85"/>
      <c r="C90" s="40" t="s">
        <v>22</v>
      </c>
      <c r="D90" s="39">
        <v>12</v>
      </c>
      <c r="E90" s="38">
        <v>1.8662519440124418E-2</v>
      </c>
    </row>
    <row r="91" spans="2:5" ht="15" customHeight="1">
      <c r="B91" s="83" t="s">
        <v>149</v>
      </c>
      <c r="C91" s="43" t="s">
        <v>63</v>
      </c>
      <c r="D91" s="42">
        <v>2</v>
      </c>
      <c r="E91" s="41">
        <v>3.1104199066874028E-3</v>
      </c>
    </row>
    <row r="92" spans="2:5" ht="15" customHeight="1">
      <c r="B92" s="84"/>
      <c r="C92" s="43" t="s">
        <v>45</v>
      </c>
      <c r="D92" s="42">
        <v>1</v>
      </c>
      <c r="E92" s="41">
        <v>1.5552099533437014E-3</v>
      </c>
    </row>
    <row r="93" spans="2:5" ht="15" customHeight="1">
      <c r="B93" s="84"/>
      <c r="C93" s="43" t="s">
        <v>65</v>
      </c>
      <c r="D93" s="42">
        <v>4</v>
      </c>
      <c r="E93" s="41">
        <v>6.2208398133748056E-3</v>
      </c>
    </row>
    <row r="94" spans="2:5" ht="15" customHeight="1">
      <c r="B94" s="84"/>
      <c r="C94" s="43" t="s">
        <v>37</v>
      </c>
      <c r="D94" s="42">
        <v>1</v>
      </c>
      <c r="E94" s="41">
        <v>1.5552099533437014E-3</v>
      </c>
    </row>
    <row r="95" spans="2:5" ht="15" customHeight="1">
      <c r="B95" s="84"/>
      <c r="C95" s="43" t="s">
        <v>59</v>
      </c>
      <c r="D95" s="42">
        <v>3</v>
      </c>
      <c r="E95" s="41">
        <v>4.6656298600311046E-3</v>
      </c>
    </row>
    <row r="96" spans="2:5" ht="15" customHeight="1">
      <c r="B96" s="84"/>
      <c r="C96" s="43" t="s">
        <v>50</v>
      </c>
      <c r="D96" s="42">
        <v>2</v>
      </c>
      <c r="E96" s="41">
        <v>3.1104199066874028E-3</v>
      </c>
    </row>
    <row r="97" spans="2:5" ht="15" customHeight="1">
      <c r="B97" s="84"/>
      <c r="C97" s="43" t="s">
        <v>26</v>
      </c>
      <c r="D97" s="42">
        <v>1</v>
      </c>
      <c r="E97" s="41">
        <v>1.5552099533437014E-3</v>
      </c>
    </row>
    <row r="98" spans="2:5" ht="15" customHeight="1">
      <c r="B98" s="84"/>
      <c r="C98" s="43" t="s">
        <v>51</v>
      </c>
      <c r="D98" s="42">
        <v>1</v>
      </c>
      <c r="E98" s="41">
        <v>1.5552099533437014E-3</v>
      </c>
    </row>
    <row r="99" spans="2:5" ht="15" customHeight="1">
      <c r="B99" s="84"/>
      <c r="C99" s="43" t="s">
        <v>58</v>
      </c>
      <c r="D99" s="42">
        <v>1</v>
      </c>
      <c r="E99" s="41">
        <v>1.5552099533437014E-3</v>
      </c>
    </row>
    <row r="100" spans="2:5" ht="15" customHeight="1">
      <c r="B100" s="84"/>
      <c r="C100" s="43" t="s">
        <v>56</v>
      </c>
      <c r="D100" s="42">
        <v>1</v>
      </c>
      <c r="E100" s="41">
        <v>1.5552099533437014E-3</v>
      </c>
    </row>
    <row r="101" spans="2:5" ht="15" customHeight="1">
      <c r="B101" s="84"/>
      <c r="C101" s="43" t="s">
        <v>64</v>
      </c>
      <c r="D101" s="42">
        <v>2</v>
      </c>
      <c r="E101" s="41">
        <v>3.1104199066874028E-3</v>
      </c>
    </row>
    <row r="102" spans="2:5" ht="15" customHeight="1">
      <c r="B102" s="84"/>
      <c r="C102" s="43" t="s">
        <v>60</v>
      </c>
      <c r="D102" s="42">
        <v>3</v>
      </c>
      <c r="E102" s="41">
        <v>4.6656298600311046E-3</v>
      </c>
    </row>
    <row r="103" spans="2:5" ht="15" customHeight="1">
      <c r="B103" s="85"/>
      <c r="C103" s="40" t="s">
        <v>22</v>
      </c>
      <c r="D103" s="39">
        <v>22</v>
      </c>
      <c r="E103" s="38">
        <v>3.4214618973561428E-2</v>
      </c>
    </row>
    <row r="104" spans="2:5" ht="15" customHeight="1">
      <c r="B104" s="83" t="s">
        <v>148</v>
      </c>
      <c r="C104" s="43" t="s">
        <v>63</v>
      </c>
      <c r="D104" s="42">
        <v>18</v>
      </c>
      <c r="E104" s="41">
        <v>2.7993779160186624E-2</v>
      </c>
    </row>
    <row r="105" spans="2:5" ht="15" customHeight="1">
      <c r="B105" s="84"/>
      <c r="C105" s="43" t="s">
        <v>45</v>
      </c>
      <c r="D105" s="42">
        <v>2</v>
      </c>
      <c r="E105" s="41">
        <v>3.1104199066874028E-3</v>
      </c>
    </row>
    <row r="106" spans="2:5" ht="15" customHeight="1">
      <c r="B106" s="84"/>
      <c r="C106" s="43" t="s">
        <v>40</v>
      </c>
      <c r="D106" s="42">
        <v>3</v>
      </c>
      <c r="E106" s="41">
        <v>4.6656298600311046E-3</v>
      </c>
    </row>
    <row r="107" spans="2:5" ht="15" customHeight="1">
      <c r="B107" s="84"/>
      <c r="C107" s="43" t="s">
        <v>65</v>
      </c>
      <c r="D107" s="42">
        <v>56</v>
      </c>
      <c r="E107" s="41">
        <v>8.7091757387247282E-2</v>
      </c>
    </row>
    <row r="108" spans="2:5" ht="15" customHeight="1">
      <c r="B108" s="84"/>
      <c r="C108" s="43" t="s">
        <v>55</v>
      </c>
      <c r="D108" s="42">
        <v>7</v>
      </c>
      <c r="E108" s="41">
        <v>1.088646967340591E-2</v>
      </c>
    </row>
    <row r="109" spans="2:5" ht="15" customHeight="1">
      <c r="B109" s="84"/>
      <c r="C109" s="43" t="s">
        <v>29</v>
      </c>
      <c r="D109" s="42">
        <v>1</v>
      </c>
      <c r="E109" s="41">
        <v>1.5552099533437014E-3</v>
      </c>
    </row>
    <row r="110" spans="2:5" ht="15" customHeight="1">
      <c r="B110" s="84"/>
      <c r="C110" s="43" t="s">
        <v>36</v>
      </c>
      <c r="D110" s="42">
        <v>1</v>
      </c>
      <c r="E110" s="41">
        <v>1.5552099533437014E-3</v>
      </c>
    </row>
    <row r="111" spans="2:5" ht="15" customHeight="1">
      <c r="B111" s="84"/>
      <c r="C111" s="43" t="s">
        <v>62</v>
      </c>
      <c r="D111" s="42">
        <v>17</v>
      </c>
      <c r="E111" s="41">
        <v>2.6438569206842923E-2</v>
      </c>
    </row>
    <row r="112" spans="2:5" ht="15" customHeight="1">
      <c r="B112" s="84"/>
      <c r="C112" s="43" t="s">
        <v>61</v>
      </c>
      <c r="D112" s="42">
        <v>3</v>
      </c>
      <c r="E112" s="41">
        <v>4.6656298600311046E-3</v>
      </c>
    </row>
    <row r="113" spans="2:5" ht="15" customHeight="1">
      <c r="B113" s="84"/>
      <c r="C113" s="43" t="s">
        <v>59</v>
      </c>
      <c r="D113" s="42">
        <v>7</v>
      </c>
      <c r="E113" s="41">
        <v>1.088646967340591E-2</v>
      </c>
    </row>
    <row r="114" spans="2:5" ht="15" customHeight="1">
      <c r="B114" s="84"/>
      <c r="C114" s="43" t="s">
        <v>53</v>
      </c>
      <c r="D114" s="42">
        <v>6</v>
      </c>
      <c r="E114" s="41">
        <v>9.3312597200622092E-3</v>
      </c>
    </row>
    <row r="115" spans="2:5" ht="15" customHeight="1">
      <c r="B115" s="84"/>
      <c r="C115" s="43" t="s">
        <v>35</v>
      </c>
      <c r="D115" s="42">
        <v>2</v>
      </c>
      <c r="E115" s="41">
        <v>3.1104199066874028E-3</v>
      </c>
    </row>
    <row r="116" spans="2:5" ht="15" customHeight="1">
      <c r="B116" s="84"/>
      <c r="C116" s="43" t="s">
        <v>38</v>
      </c>
      <c r="D116" s="42">
        <v>2</v>
      </c>
      <c r="E116" s="41">
        <v>3.1104199066874028E-3</v>
      </c>
    </row>
    <row r="117" spans="2:5" ht="15" customHeight="1">
      <c r="B117" s="84"/>
      <c r="C117" s="43" t="s">
        <v>50</v>
      </c>
      <c r="D117" s="42">
        <v>3</v>
      </c>
      <c r="E117" s="41">
        <v>4.6656298600311046E-3</v>
      </c>
    </row>
    <row r="118" spans="2:5" ht="15" customHeight="1">
      <c r="B118" s="84"/>
      <c r="C118" s="43" t="s">
        <v>57</v>
      </c>
      <c r="D118" s="42">
        <v>5</v>
      </c>
      <c r="E118" s="41">
        <v>7.7760497667185074E-3</v>
      </c>
    </row>
    <row r="119" spans="2:5" ht="15" customHeight="1">
      <c r="B119" s="84"/>
      <c r="C119" s="43" t="s">
        <v>42</v>
      </c>
      <c r="D119" s="42">
        <v>3</v>
      </c>
      <c r="E119" s="41">
        <v>4.6656298600311046E-3</v>
      </c>
    </row>
    <row r="120" spans="2:5" ht="15" customHeight="1">
      <c r="B120" s="84"/>
      <c r="C120" s="43" t="s">
        <v>44</v>
      </c>
      <c r="D120" s="42">
        <v>3</v>
      </c>
      <c r="E120" s="41">
        <v>4.6656298600311046E-3</v>
      </c>
    </row>
    <row r="121" spans="2:5" ht="15" customHeight="1">
      <c r="B121" s="84"/>
      <c r="C121" s="43" t="s">
        <v>25</v>
      </c>
      <c r="D121" s="42">
        <v>1</v>
      </c>
      <c r="E121" s="41">
        <v>1.5552099533437014E-3</v>
      </c>
    </row>
    <row r="122" spans="2:5" ht="15" customHeight="1">
      <c r="B122" s="84"/>
      <c r="C122" s="43" t="s">
        <v>41</v>
      </c>
      <c r="D122" s="42">
        <v>1</v>
      </c>
      <c r="E122" s="41">
        <v>1.5552099533437014E-3</v>
      </c>
    </row>
    <row r="123" spans="2:5" ht="15" customHeight="1">
      <c r="B123" s="84"/>
      <c r="C123" s="43" t="s">
        <v>51</v>
      </c>
      <c r="D123" s="42">
        <v>2</v>
      </c>
      <c r="E123" s="41">
        <v>3.1104199066874028E-3</v>
      </c>
    </row>
    <row r="124" spans="2:5" ht="15" customHeight="1">
      <c r="B124" s="84"/>
      <c r="C124" s="43" t="s">
        <v>33</v>
      </c>
      <c r="D124" s="42">
        <v>2</v>
      </c>
      <c r="E124" s="41">
        <v>3.1104199066874028E-3</v>
      </c>
    </row>
    <row r="125" spans="2:5" ht="15" customHeight="1">
      <c r="B125" s="84"/>
      <c r="C125" s="43" t="s">
        <v>46</v>
      </c>
      <c r="D125" s="42">
        <v>2</v>
      </c>
      <c r="E125" s="41">
        <v>3.1104199066874028E-3</v>
      </c>
    </row>
    <row r="126" spans="2:5" ht="15" customHeight="1">
      <c r="B126" s="84"/>
      <c r="C126" s="43" t="s">
        <v>58</v>
      </c>
      <c r="D126" s="42">
        <v>10</v>
      </c>
      <c r="E126" s="41">
        <v>1.5552099533437015E-2</v>
      </c>
    </row>
    <row r="127" spans="2:5" ht="15" customHeight="1">
      <c r="B127" s="84"/>
      <c r="C127" s="43" t="s">
        <v>31</v>
      </c>
      <c r="D127" s="42">
        <v>1</v>
      </c>
      <c r="E127" s="41">
        <v>1.5552099533437014E-3</v>
      </c>
    </row>
    <row r="128" spans="2:5" ht="15" customHeight="1">
      <c r="B128" s="84"/>
      <c r="C128" s="43" t="s">
        <v>39</v>
      </c>
      <c r="D128" s="42">
        <v>2</v>
      </c>
      <c r="E128" s="41">
        <v>3.1104199066874028E-3</v>
      </c>
    </row>
    <row r="129" spans="2:5" ht="15" customHeight="1">
      <c r="B129" s="84"/>
      <c r="C129" s="43" t="s">
        <v>56</v>
      </c>
      <c r="D129" s="42">
        <v>5</v>
      </c>
      <c r="E129" s="41">
        <v>7.7760497667185074E-3</v>
      </c>
    </row>
    <row r="130" spans="2:5" ht="15" customHeight="1">
      <c r="B130" s="84"/>
      <c r="C130" s="43" t="s">
        <v>49</v>
      </c>
      <c r="D130" s="42">
        <v>2</v>
      </c>
      <c r="E130" s="41">
        <v>3.1104199066874028E-3</v>
      </c>
    </row>
    <row r="131" spans="2:5" ht="15" customHeight="1">
      <c r="B131" s="84"/>
      <c r="C131" s="43" t="s">
        <v>54</v>
      </c>
      <c r="D131" s="42">
        <v>4</v>
      </c>
      <c r="E131" s="41">
        <v>6.2208398133748056E-3</v>
      </c>
    </row>
    <row r="132" spans="2:5" ht="15" customHeight="1">
      <c r="B132" s="84"/>
      <c r="C132" s="43" t="s">
        <v>64</v>
      </c>
      <c r="D132" s="42">
        <v>37</v>
      </c>
      <c r="E132" s="41">
        <v>5.7542768273716953E-2</v>
      </c>
    </row>
    <row r="133" spans="2:5" ht="15" customHeight="1">
      <c r="B133" s="84"/>
      <c r="C133" s="43" t="s">
        <v>48</v>
      </c>
      <c r="D133" s="42">
        <v>2</v>
      </c>
      <c r="E133" s="41">
        <v>3.1104199066874028E-3</v>
      </c>
    </row>
    <row r="134" spans="2:5" ht="15" customHeight="1">
      <c r="B134" s="84"/>
      <c r="C134" s="43" t="s">
        <v>60</v>
      </c>
      <c r="D134" s="42">
        <v>7</v>
      </c>
      <c r="E134" s="41">
        <v>1.088646967340591E-2</v>
      </c>
    </row>
    <row r="135" spans="2:5" ht="15" customHeight="1">
      <c r="B135" s="84"/>
      <c r="C135" s="43" t="s">
        <v>47</v>
      </c>
      <c r="D135" s="42">
        <v>3</v>
      </c>
      <c r="E135" s="41">
        <v>4.6656298600311046E-3</v>
      </c>
    </row>
    <row r="136" spans="2:5" ht="15" customHeight="1">
      <c r="B136" s="84"/>
      <c r="C136" s="43" t="s">
        <v>52</v>
      </c>
      <c r="D136" s="42">
        <v>2</v>
      </c>
      <c r="E136" s="41">
        <v>3.1104199066874028E-3</v>
      </c>
    </row>
    <row r="137" spans="2:5" ht="15" customHeight="1">
      <c r="B137" s="85"/>
      <c r="C137" s="40" t="s">
        <v>22</v>
      </c>
      <c r="D137" s="39">
        <v>222</v>
      </c>
      <c r="E137" s="38">
        <v>0.3452566096423017</v>
      </c>
    </row>
    <row r="138" spans="2:5" ht="15" customHeight="1">
      <c r="B138" s="83" t="s">
        <v>147</v>
      </c>
      <c r="C138" s="43" t="s">
        <v>63</v>
      </c>
      <c r="D138" s="42">
        <v>1</v>
      </c>
      <c r="E138" s="41">
        <v>1.5552099533437014E-3</v>
      </c>
    </row>
    <row r="139" spans="2:5" ht="15" customHeight="1">
      <c r="B139" s="84"/>
      <c r="C139" s="43" t="s">
        <v>45</v>
      </c>
      <c r="D139" s="42">
        <v>1</v>
      </c>
      <c r="E139" s="41">
        <v>1.5552099533437014E-3</v>
      </c>
    </row>
    <row r="140" spans="2:5" ht="15" customHeight="1">
      <c r="B140" s="84"/>
      <c r="C140" s="43" t="s">
        <v>55</v>
      </c>
      <c r="D140" s="42">
        <v>1</v>
      </c>
      <c r="E140" s="41">
        <v>1.5552099533437014E-3</v>
      </c>
    </row>
    <row r="141" spans="2:5" ht="15" customHeight="1">
      <c r="B141" s="84"/>
      <c r="C141" s="43" t="s">
        <v>43</v>
      </c>
      <c r="D141" s="42">
        <v>1</v>
      </c>
      <c r="E141" s="41">
        <v>1.5552099533437014E-3</v>
      </c>
    </row>
    <row r="142" spans="2:5" ht="15" customHeight="1">
      <c r="B142" s="84"/>
      <c r="C142" s="43" t="s">
        <v>64</v>
      </c>
      <c r="D142" s="42">
        <v>1</v>
      </c>
      <c r="E142" s="41">
        <v>1.5552099533437014E-3</v>
      </c>
    </row>
    <row r="143" spans="2:5" ht="15" customHeight="1">
      <c r="B143" s="85"/>
      <c r="C143" s="40" t="s">
        <v>22</v>
      </c>
      <c r="D143" s="39">
        <v>5</v>
      </c>
      <c r="E143" s="38">
        <v>7.7760497667185074E-3</v>
      </c>
    </row>
    <row r="144" spans="2:5" ht="15" customHeight="1">
      <c r="B144" s="83" t="s">
        <v>146</v>
      </c>
      <c r="C144" s="43" t="s">
        <v>63</v>
      </c>
      <c r="D144" s="42">
        <v>2</v>
      </c>
      <c r="E144" s="41">
        <v>3.1104199066874028E-3</v>
      </c>
    </row>
    <row r="145" spans="2:5" ht="15" customHeight="1">
      <c r="B145" s="84"/>
      <c r="C145" s="43" t="s">
        <v>65</v>
      </c>
      <c r="D145" s="42">
        <v>15</v>
      </c>
      <c r="E145" s="41">
        <v>2.3328149300155521E-2</v>
      </c>
    </row>
    <row r="146" spans="2:5" ht="15" customHeight="1">
      <c r="B146" s="84"/>
      <c r="C146" s="43" t="s">
        <v>55</v>
      </c>
      <c r="D146" s="42">
        <v>1</v>
      </c>
      <c r="E146" s="41">
        <v>1.5552099533437014E-3</v>
      </c>
    </row>
    <row r="147" spans="2:5" ht="15" customHeight="1">
      <c r="B147" s="84"/>
      <c r="C147" s="43" t="s">
        <v>62</v>
      </c>
      <c r="D147" s="42">
        <v>4</v>
      </c>
      <c r="E147" s="41">
        <v>6.2208398133748056E-3</v>
      </c>
    </row>
    <row r="148" spans="2:5" ht="15" customHeight="1">
      <c r="B148" s="84"/>
      <c r="C148" s="43" t="s">
        <v>61</v>
      </c>
      <c r="D148" s="42">
        <v>1</v>
      </c>
      <c r="E148" s="41">
        <v>1.5552099533437014E-3</v>
      </c>
    </row>
    <row r="149" spans="2:5" ht="15" customHeight="1">
      <c r="B149" s="84"/>
      <c r="C149" s="43" t="s">
        <v>59</v>
      </c>
      <c r="D149" s="42">
        <v>1</v>
      </c>
      <c r="E149" s="41">
        <v>1.5552099533437014E-3</v>
      </c>
    </row>
    <row r="150" spans="2:5" ht="15" customHeight="1">
      <c r="B150" s="84"/>
      <c r="C150" s="43" t="s">
        <v>53</v>
      </c>
      <c r="D150" s="42">
        <v>4</v>
      </c>
      <c r="E150" s="41">
        <v>6.2208398133748056E-3</v>
      </c>
    </row>
    <row r="151" spans="2:5" ht="15" customHeight="1">
      <c r="B151" s="84"/>
      <c r="C151" s="43" t="s">
        <v>43</v>
      </c>
      <c r="D151" s="42">
        <v>2</v>
      </c>
      <c r="E151" s="41">
        <v>3.1104199066874028E-3</v>
      </c>
    </row>
    <row r="152" spans="2:5" ht="15" customHeight="1">
      <c r="B152" s="84"/>
      <c r="C152" s="43" t="s">
        <v>38</v>
      </c>
      <c r="D152" s="42">
        <v>1</v>
      </c>
      <c r="E152" s="41">
        <v>1.5552099533437014E-3</v>
      </c>
    </row>
    <row r="153" spans="2:5" ht="15" customHeight="1">
      <c r="B153" s="84"/>
      <c r="C153" s="43" t="s">
        <v>50</v>
      </c>
      <c r="D153" s="42">
        <v>1</v>
      </c>
      <c r="E153" s="41">
        <v>1.5552099533437014E-3</v>
      </c>
    </row>
    <row r="154" spans="2:5" ht="15" customHeight="1">
      <c r="B154" s="84"/>
      <c r="C154" s="43" t="s">
        <v>57</v>
      </c>
      <c r="D154" s="42">
        <v>1</v>
      </c>
      <c r="E154" s="41">
        <v>1.5552099533437014E-3</v>
      </c>
    </row>
    <row r="155" spans="2:5" ht="15" customHeight="1">
      <c r="B155" s="84"/>
      <c r="C155" s="43" t="s">
        <v>42</v>
      </c>
      <c r="D155" s="42">
        <v>1</v>
      </c>
      <c r="E155" s="41">
        <v>1.5552099533437014E-3</v>
      </c>
    </row>
    <row r="156" spans="2:5" ht="15" customHeight="1">
      <c r="B156" s="84"/>
      <c r="C156" s="43" t="s">
        <v>41</v>
      </c>
      <c r="D156" s="42">
        <v>2</v>
      </c>
      <c r="E156" s="41">
        <v>3.1104199066874028E-3</v>
      </c>
    </row>
    <row r="157" spans="2:5" ht="15" customHeight="1">
      <c r="B157" s="84"/>
      <c r="C157" s="43" t="s">
        <v>51</v>
      </c>
      <c r="D157" s="42">
        <v>1</v>
      </c>
      <c r="E157" s="41">
        <v>1.5552099533437014E-3</v>
      </c>
    </row>
    <row r="158" spans="2:5" ht="15" customHeight="1">
      <c r="B158" s="84"/>
      <c r="C158" s="43" t="s">
        <v>58</v>
      </c>
      <c r="D158" s="42">
        <v>4</v>
      </c>
      <c r="E158" s="41">
        <v>6.2208398133748056E-3</v>
      </c>
    </row>
    <row r="159" spans="2:5" ht="15" customHeight="1">
      <c r="B159" s="84"/>
      <c r="C159" s="43" t="s">
        <v>56</v>
      </c>
      <c r="D159" s="42">
        <v>1</v>
      </c>
      <c r="E159" s="41">
        <v>1.5552099533437014E-3</v>
      </c>
    </row>
    <row r="160" spans="2:5" ht="15" customHeight="1">
      <c r="B160" s="84"/>
      <c r="C160" s="43" t="s">
        <v>30</v>
      </c>
      <c r="D160" s="42">
        <v>1</v>
      </c>
      <c r="E160" s="41">
        <v>1.5552099533437014E-3</v>
      </c>
    </row>
    <row r="161" spans="2:5" ht="15" customHeight="1">
      <c r="B161" s="84"/>
      <c r="C161" s="43" t="s">
        <v>49</v>
      </c>
      <c r="D161" s="42">
        <v>3</v>
      </c>
      <c r="E161" s="41">
        <v>4.6656298600311046E-3</v>
      </c>
    </row>
    <row r="162" spans="2:5" ht="15" customHeight="1">
      <c r="B162" s="84"/>
      <c r="C162" s="43" t="s">
        <v>54</v>
      </c>
      <c r="D162" s="42">
        <v>3</v>
      </c>
      <c r="E162" s="41">
        <v>4.6656298600311046E-3</v>
      </c>
    </row>
    <row r="163" spans="2:5" ht="15" customHeight="1">
      <c r="B163" s="84"/>
      <c r="C163" s="43" t="s">
        <v>64</v>
      </c>
      <c r="D163" s="42">
        <v>9</v>
      </c>
      <c r="E163" s="41">
        <v>1.3996889580093312E-2</v>
      </c>
    </row>
    <row r="164" spans="2:5" ht="15" customHeight="1">
      <c r="B164" s="84"/>
      <c r="C164" s="43" t="s">
        <v>48</v>
      </c>
      <c r="D164" s="42">
        <v>2</v>
      </c>
      <c r="E164" s="41">
        <v>3.1104199066874028E-3</v>
      </c>
    </row>
    <row r="165" spans="2:5" ht="15" customHeight="1">
      <c r="B165" s="84"/>
      <c r="C165" s="43" t="s">
        <v>60</v>
      </c>
      <c r="D165" s="42">
        <v>1</v>
      </c>
      <c r="E165" s="41">
        <v>1.5552099533437014E-3</v>
      </c>
    </row>
    <row r="166" spans="2:5" ht="15" customHeight="1">
      <c r="B166" s="84"/>
      <c r="C166" s="43" t="s">
        <v>52</v>
      </c>
      <c r="D166" s="42">
        <v>1</v>
      </c>
      <c r="E166" s="41">
        <v>1.5552099533437014E-3</v>
      </c>
    </row>
    <row r="167" spans="2:5" ht="15" customHeight="1">
      <c r="B167" s="85"/>
      <c r="C167" s="40" t="s">
        <v>22</v>
      </c>
      <c r="D167" s="39">
        <v>62</v>
      </c>
      <c r="E167" s="38">
        <v>9.6423017107309481E-2</v>
      </c>
    </row>
    <row r="168" spans="2:5" ht="15" customHeight="1">
      <c r="B168" s="83" t="s">
        <v>145</v>
      </c>
      <c r="C168" s="43" t="s">
        <v>63</v>
      </c>
      <c r="D168" s="42">
        <v>12</v>
      </c>
      <c r="E168" s="41">
        <v>1.8662519440124418E-2</v>
      </c>
    </row>
    <row r="169" spans="2:5" ht="15" customHeight="1">
      <c r="B169" s="84"/>
      <c r="C169" s="43" t="s">
        <v>45</v>
      </c>
      <c r="D169" s="42">
        <v>2</v>
      </c>
      <c r="E169" s="41">
        <v>3.1104199066874028E-3</v>
      </c>
    </row>
    <row r="170" spans="2:5" ht="15" customHeight="1">
      <c r="B170" s="84"/>
      <c r="C170" s="43" t="s">
        <v>40</v>
      </c>
      <c r="D170" s="42">
        <v>2</v>
      </c>
      <c r="E170" s="41">
        <v>3.1104199066874028E-3</v>
      </c>
    </row>
    <row r="171" spans="2:5" ht="15" customHeight="1">
      <c r="B171" s="84"/>
      <c r="C171" s="43" t="s">
        <v>65</v>
      </c>
      <c r="D171" s="42">
        <v>35</v>
      </c>
      <c r="E171" s="41">
        <v>5.4432348367029551E-2</v>
      </c>
    </row>
    <row r="172" spans="2:5" ht="15" customHeight="1">
      <c r="B172" s="84"/>
      <c r="C172" s="43" t="s">
        <v>55</v>
      </c>
      <c r="D172" s="42">
        <v>4</v>
      </c>
      <c r="E172" s="41">
        <v>6.2208398133748056E-3</v>
      </c>
    </row>
    <row r="173" spans="2:5" ht="15" customHeight="1">
      <c r="B173" s="84"/>
      <c r="C173" s="43" t="s">
        <v>62</v>
      </c>
      <c r="D173" s="42">
        <v>5</v>
      </c>
      <c r="E173" s="41">
        <v>7.7760497667185074E-3</v>
      </c>
    </row>
    <row r="174" spans="2:5" ht="15" customHeight="1">
      <c r="B174" s="84"/>
      <c r="C174" s="43" t="s">
        <v>61</v>
      </c>
      <c r="D174" s="42">
        <v>8</v>
      </c>
      <c r="E174" s="41">
        <v>1.2441679626749611E-2</v>
      </c>
    </row>
    <row r="175" spans="2:5" ht="15" customHeight="1">
      <c r="B175" s="84"/>
      <c r="C175" s="43" t="s">
        <v>59</v>
      </c>
      <c r="D175" s="42">
        <v>3</v>
      </c>
      <c r="E175" s="41">
        <v>4.6656298600311046E-3</v>
      </c>
    </row>
    <row r="176" spans="2:5" ht="15" customHeight="1">
      <c r="B176" s="84"/>
      <c r="C176" s="43" t="s">
        <v>43</v>
      </c>
      <c r="D176" s="42">
        <v>1</v>
      </c>
      <c r="E176" s="41">
        <v>1.5552099533437014E-3</v>
      </c>
    </row>
    <row r="177" spans="2:5" ht="15" customHeight="1">
      <c r="B177" s="84"/>
      <c r="C177" s="43" t="s">
        <v>34</v>
      </c>
      <c r="D177" s="42">
        <v>2</v>
      </c>
      <c r="E177" s="41">
        <v>3.1104199066874028E-3</v>
      </c>
    </row>
    <row r="178" spans="2:5" ht="15" customHeight="1">
      <c r="B178" s="84"/>
      <c r="C178" s="43" t="s">
        <v>28</v>
      </c>
      <c r="D178" s="42">
        <v>1</v>
      </c>
      <c r="E178" s="41">
        <v>1.5552099533437014E-3</v>
      </c>
    </row>
    <row r="179" spans="2:5" ht="15" customHeight="1">
      <c r="B179" s="84"/>
      <c r="C179" s="43" t="s">
        <v>50</v>
      </c>
      <c r="D179" s="42">
        <v>2</v>
      </c>
      <c r="E179" s="41">
        <v>3.1104199066874028E-3</v>
      </c>
    </row>
    <row r="180" spans="2:5" ht="15" customHeight="1">
      <c r="B180" s="84"/>
      <c r="C180" s="43" t="s">
        <v>57</v>
      </c>
      <c r="D180" s="42">
        <v>4</v>
      </c>
      <c r="E180" s="41">
        <v>6.2208398133748056E-3</v>
      </c>
    </row>
    <row r="181" spans="2:5" ht="15" customHeight="1">
      <c r="B181" s="84"/>
      <c r="C181" s="43" t="s">
        <v>42</v>
      </c>
      <c r="D181" s="42">
        <v>2</v>
      </c>
      <c r="E181" s="41">
        <v>3.1104199066874028E-3</v>
      </c>
    </row>
    <row r="182" spans="2:5" ht="15" customHeight="1">
      <c r="B182" s="84"/>
      <c r="C182" s="43" t="s">
        <v>44</v>
      </c>
      <c r="D182" s="42">
        <v>3</v>
      </c>
      <c r="E182" s="41">
        <v>4.6656298600311046E-3</v>
      </c>
    </row>
    <row r="183" spans="2:5" ht="15" customHeight="1">
      <c r="B183" s="84"/>
      <c r="C183" s="43" t="s">
        <v>41</v>
      </c>
      <c r="D183" s="42">
        <v>2</v>
      </c>
      <c r="E183" s="41">
        <v>3.1104199066874028E-3</v>
      </c>
    </row>
    <row r="184" spans="2:5" ht="15" customHeight="1">
      <c r="B184" s="84"/>
      <c r="C184" s="43" t="s">
        <v>51</v>
      </c>
      <c r="D184" s="42">
        <v>2</v>
      </c>
      <c r="E184" s="41">
        <v>3.1104199066874028E-3</v>
      </c>
    </row>
    <row r="185" spans="2:5" ht="15" customHeight="1">
      <c r="B185" s="84"/>
      <c r="C185" s="43" t="s">
        <v>46</v>
      </c>
      <c r="D185" s="42">
        <v>5</v>
      </c>
      <c r="E185" s="41">
        <v>7.7760497667185074E-3</v>
      </c>
    </row>
    <row r="186" spans="2:5" ht="15" customHeight="1">
      <c r="B186" s="84"/>
      <c r="C186" s="43" t="s">
        <v>32</v>
      </c>
      <c r="D186" s="42">
        <v>2</v>
      </c>
      <c r="E186" s="41">
        <v>3.1104199066874028E-3</v>
      </c>
    </row>
    <row r="187" spans="2:5" ht="15" customHeight="1">
      <c r="B187" s="84"/>
      <c r="C187" s="43" t="s">
        <v>56</v>
      </c>
      <c r="D187" s="42">
        <v>6</v>
      </c>
      <c r="E187" s="41">
        <v>9.3312597200622092E-3</v>
      </c>
    </row>
    <row r="188" spans="2:5" ht="15" customHeight="1">
      <c r="B188" s="84"/>
      <c r="C188" s="43" t="s">
        <v>49</v>
      </c>
      <c r="D188" s="42">
        <v>1</v>
      </c>
      <c r="E188" s="41">
        <v>1.5552099533437014E-3</v>
      </c>
    </row>
    <row r="189" spans="2:5" ht="15" customHeight="1">
      <c r="B189" s="84"/>
      <c r="C189" s="43" t="s">
        <v>54</v>
      </c>
      <c r="D189" s="42">
        <v>2</v>
      </c>
      <c r="E189" s="41">
        <v>3.1104199066874028E-3</v>
      </c>
    </row>
    <row r="190" spans="2:5" ht="15" customHeight="1">
      <c r="B190" s="84"/>
      <c r="C190" s="43" t="s">
        <v>64</v>
      </c>
      <c r="D190" s="42">
        <v>26</v>
      </c>
      <c r="E190" s="41">
        <v>4.0435458786936239E-2</v>
      </c>
    </row>
    <row r="191" spans="2:5" ht="15" customHeight="1">
      <c r="B191" s="84"/>
      <c r="C191" s="43" t="s">
        <v>48</v>
      </c>
      <c r="D191" s="42">
        <v>4</v>
      </c>
      <c r="E191" s="41">
        <v>6.2208398133748056E-3</v>
      </c>
    </row>
    <row r="192" spans="2:5" ht="15" customHeight="1">
      <c r="B192" s="84"/>
      <c r="C192" s="43" t="s">
        <v>60</v>
      </c>
      <c r="D192" s="42">
        <v>4</v>
      </c>
      <c r="E192" s="41">
        <v>6.2208398133748056E-3</v>
      </c>
    </row>
    <row r="193" spans="2:5" ht="15" customHeight="1">
      <c r="B193" s="84"/>
      <c r="C193" s="43" t="s">
        <v>47</v>
      </c>
      <c r="D193" s="42">
        <v>2</v>
      </c>
      <c r="E193" s="41">
        <v>3.1104199066874028E-3</v>
      </c>
    </row>
    <row r="194" spans="2:5" ht="15" customHeight="1">
      <c r="B194" s="84"/>
      <c r="C194" s="43" t="s">
        <v>52</v>
      </c>
      <c r="D194" s="42">
        <v>2</v>
      </c>
      <c r="E194" s="41">
        <v>3.1104199066874028E-3</v>
      </c>
    </row>
    <row r="195" spans="2:5" ht="15" customHeight="1">
      <c r="B195" s="85"/>
      <c r="C195" s="40" t="s">
        <v>22</v>
      </c>
      <c r="D195" s="39">
        <v>144</v>
      </c>
      <c r="E195" s="38">
        <v>0.22395023328149299</v>
      </c>
    </row>
    <row r="196" spans="2:5" ht="15" customHeight="1">
      <c r="B196" s="83" t="s">
        <v>144</v>
      </c>
      <c r="C196" s="43" t="s">
        <v>58</v>
      </c>
      <c r="D196" s="42">
        <v>1</v>
      </c>
      <c r="E196" s="41">
        <v>1.5552099533437014E-3</v>
      </c>
    </row>
    <row r="197" spans="2:5" ht="15" customHeight="1">
      <c r="B197" s="85"/>
      <c r="C197" s="40" t="s">
        <v>22</v>
      </c>
      <c r="D197" s="39">
        <v>1</v>
      </c>
      <c r="E197" s="38">
        <v>1.5552099533437014E-3</v>
      </c>
    </row>
    <row r="198" spans="2:5" ht="15" customHeight="1">
      <c r="B198" s="83" t="s">
        <v>143</v>
      </c>
      <c r="C198" s="43" t="s">
        <v>65</v>
      </c>
      <c r="D198" s="42">
        <v>1</v>
      </c>
      <c r="E198" s="41">
        <v>1.5552099533437014E-3</v>
      </c>
    </row>
    <row r="199" spans="2:5" ht="15" customHeight="1">
      <c r="B199" s="84"/>
      <c r="C199" s="43" t="s">
        <v>53</v>
      </c>
      <c r="D199" s="42">
        <v>1</v>
      </c>
      <c r="E199" s="41">
        <v>1.5552099533437014E-3</v>
      </c>
    </row>
    <row r="200" spans="2:5" ht="15" customHeight="1">
      <c r="B200" s="85"/>
      <c r="C200" s="40" t="s">
        <v>22</v>
      </c>
      <c r="D200" s="39">
        <v>2</v>
      </c>
      <c r="E200" s="38">
        <v>3.1104199066874028E-3</v>
      </c>
    </row>
    <row r="201" spans="2:5" ht="15" customHeight="1">
      <c r="B201" s="83" t="s">
        <v>142</v>
      </c>
      <c r="C201" s="43" t="s">
        <v>64</v>
      </c>
      <c r="D201" s="42">
        <v>1</v>
      </c>
      <c r="E201" s="41">
        <v>1.5552099533437014E-3</v>
      </c>
    </row>
    <row r="202" spans="2:5" ht="15" customHeight="1">
      <c r="B202" s="85"/>
      <c r="C202" s="40" t="s">
        <v>22</v>
      </c>
      <c r="D202" s="39">
        <v>1</v>
      </c>
      <c r="E202" s="38">
        <v>1.5552099533437014E-3</v>
      </c>
    </row>
    <row r="203" spans="2:5" ht="15" customHeight="1">
      <c r="B203" s="83" t="s">
        <v>141</v>
      </c>
      <c r="C203" s="43" t="s">
        <v>65</v>
      </c>
      <c r="D203" s="42">
        <v>3</v>
      </c>
      <c r="E203" s="41">
        <v>4.6656298600311046E-3</v>
      </c>
    </row>
    <row r="204" spans="2:5" ht="15" customHeight="1">
      <c r="B204" s="84"/>
      <c r="C204" s="43" t="s">
        <v>55</v>
      </c>
      <c r="D204" s="42">
        <v>1</v>
      </c>
      <c r="E204" s="41">
        <v>1.5552099533437014E-3</v>
      </c>
    </row>
    <row r="205" spans="2:5" ht="15" customHeight="1">
      <c r="B205" s="84"/>
      <c r="C205" s="43" t="s">
        <v>61</v>
      </c>
      <c r="D205" s="42">
        <v>1</v>
      </c>
      <c r="E205" s="41">
        <v>1.5552099533437014E-3</v>
      </c>
    </row>
    <row r="206" spans="2:5" ht="15" customHeight="1">
      <c r="B206" s="84"/>
      <c r="C206" s="43" t="s">
        <v>59</v>
      </c>
      <c r="D206" s="42">
        <v>1</v>
      </c>
      <c r="E206" s="41">
        <v>1.5552099533437014E-3</v>
      </c>
    </row>
    <row r="207" spans="2:5" ht="15" customHeight="1">
      <c r="B207" s="84"/>
      <c r="C207" s="43" t="s">
        <v>50</v>
      </c>
      <c r="D207" s="42">
        <v>1</v>
      </c>
      <c r="E207" s="41">
        <v>1.5552099533437014E-3</v>
      </c>
    </row>
    <row r="208" spans="2:5" ht="15" customHeight="1">
      <c r="B208" s="84"/>
      <c r="C208" s="43" t="s">
        <v>41</v>
      </c>
      <c r="D208" s="42">
        <v>1</v>
      </c>
      <c r="E208" s="41">
        <v>1.5552099533437014E-3</v>
      </c>
    </row>
    <row r="209" spans="2:5" ht="15" customHeight="1">
      <c r="B209" s="84"/>
      <c r="C209" s="43" t="s">
        <v>46</v>
      </c>
      <c r="D209" s="42">
        <v>1</v>
      </c>
      <c r="E209" s="41">
        <v>1.5552099533437014E-3</v>
      </c>
    </row>
    <row r="210" spans="2:5" ht="15" customHeight="1">
      <c r="B210" s="84"/>
      <c r="C210" s="43" t="s">
        <v>30</v>
      </c>
      <c r="D210" s="42">
        <v>1</v>
      </c>
      <c r="E210" s="41">
        <v>1.5552099533437014E-3</v>
      </c>
    </row>
    <row r="211" spans="2:5" ht="15" customHeight="1">
      <c r="B211" s="84"/>
      <c r="C211" s="43" t="s">
        <v>64</v>
      </c>
      <c r="D211" s="42">
        <v>2</v>
      </c>
      <c r="E211" s="41">
        <v>3.1104199066874028E-3</v>
      </c>
    </row>
    <row r="212" spans="2:5" ht="15" customHeight="1">
      <c r="B212" s="85"/>
      <c r="C212" s="40" t="s">
        <v>22</v>
      </c>
      <c r="D212" s="39">
        <v>12</v>
      </c>
      <c r="E212" s="38">
        <v>1.8662519440124418E-2</v>
      </c>
    </row>
    <row r="213" spans="2:5" ht="15" customHeight="1">
      <c r="B213" s="83" t="s">
        <v>140</v>
      </c>
      <c r="C213" s="43" t="s">
        <v>63</v>
      </c>
      <c r="D213" s="42">
        <v>1</v>
      </c>
      <c r="E213" s="41">
        <v>1.5552099533437014E-3</v>
      </c>
    </row>
    <row r="214" spans="2:5" ht="15" customHeight="1">
      <c r="B214" s="84"/>
      <c r="C214" s="43" t="s">
        <v>65</v>
      </c>
      <c r="D214" s="42">
        <v>5</v>
      </c>
      <c r="E214" s="41">
        <v>7.7760497667185074E-3</v>
      </c>
    </row>
    <row r="215" spans="2:5" ht="15" customHeight="1">
      <c r="B215" s="84"/>
      <c r="C215" s="43" t="s">
        <v>55</v>
      </c>
      <c r="D215" s="42">
        <v>1</v>
      </c>
      <c r="E215" s="41">
        <v>1.5552099533437014E-3</v>
      </c>
    </row>
    <row r="216" spans="2:5" ht="15" customHeight="1">
      <c r="B216" s="84"/>
      <c r="C216" s="43" t="s">
        <v>62</v>
      </c>
      <c r="D216" s="42">
        <v>1</v>
      </c>
      <c r="E216" s="41">
        <v>1.5552099533437014E-3</v>
      </c>
    </row>
    <row r="217" spans="2:5" ht="15" customHeight="1">
      <c r="B217" s="84"/>
      <c r="C217" s="43" t="s">
        <v>53</v>
      </c>
      <c r="D217" s="42">
        <v>1</v>
      </c>
      <c r="E217" s="41">
        <v>1.5552099533437014E-3</v>
      </c>
    </row>
    <row r="218" spans="2:5" ht="15" customHeight="1">
      <c r="B218" s="84"/>
      <c r="C218" s="43" t="s">
        <v>58</v>
      </c>
      <c r="D218" s="42">
        <v>1</v>
      </c>
      <c r="E218" s="41">
        <v>1.5552099533437014E-3</v>
      </c>
    </row>
    <row r="219" spans="2:5" ht="15" customHeight="1">
      <c r="B219" s="84"/>
      <c r="C219" s="43" t="s">
        <v>54</v>
      </c>
      <c r="D219" s="42">
        <v>1</v>
      </c>
      <c r="E219" s="41">
        <v>1.5552099533437014E-3</v>
      </c>
    </row>
    <row r="220" spans="2:5" ht="15" customHeight="1">
      <c r="B220" s="84"/>
      <c r="C220" s="43" t="s">
        <v>64</v>
      </c>
      <c r="D220" s="42">
        <v>3</v>
      </c>
      <c r="E220" s="41">
        <v>4.6656298600311046E-3</v>
      </c>
    </row>
    <row r="221" spans="2:5" ht="15" customHeight="1">
      <c r="B221" s="84"/>
      <c r="C221" s="43" t="s">
        <v>60</v>
      </c>
      <c r="D221" s="42">
        <v>1</v>
      </c>
      <c r="E221" s="41">
        <v>1.5552099533437014E-3</v>
      </c>
    </row>
    <row r="222" spans="2:5" ht="15" customHeight="1">
      <c r="B222" s="84"/>
      <c r="C222" s="43" t="s">
        <v>47</v>
      </c>
      <c r="D222" s="42">
        <v>2</v>
      </c>
      <c r="E222" s="41">
        <v>3.1104199066874028E-3</v>
      </c>
    </row>
    <row r="223" spans="2:5" ht="15" customHeight="1">
      <c r="B223" s="84"/>
      <c r="C223" s="43" t="s">
        <v>23</v>
      </c>
      <c r="D223" s="42">
        <v>1</v>
      </c>
      <c r="E223" s="41">
        <v>1.5552099533437014E-3</v>
      </c>
    </row>
    <row r="224" spans="2:5" ht="15" customHeight="1">
      <c r="B224" s="84"/>
      <c r="C224" s="43" t="s">
        <v>52</v>
      </c>
      <c r="D224" s="42">
        <v>1</v>
      </c>
      <c r="E224" s="41">
        <v>1.5552099533437014E-3</v>
      </c>
    </row>
    <row r="225" spans="2:5" ht="15" customHeight="1">
      <c r="B225" s="85"/>
      <c r="C225" s="40" t="s">
        <v>22</v>
      </c>
      <c r="D225" s="39">
        <v>19</v>
      </c>
      <c r="E225" s="38">
        <v>2.9548989113530325E-2</v>
      </c>
    </row>
    <row r="226" spans="2:5" ht="15" customHeight="1">
      <c r="B226" s="83" t="s">
        <v>139</v>
      </c>
      <c r="C226" s="43" t="s">
        <v>61</v>
      </c>
      <c r="D226" s="42">
        <v>1</v>
      </c>
      <c r="E226" s="41">
        <v>1.5552099533437014E-3</v>
      </c>
    </row>
    <row r="227" spans="2:5" ht="15" customHeight="1">
      <c r="B227" s="85"/>
      <c r="C227" s="40" t="s">
        <v>22</v>
      </c>
      <c r="D227" s="39">
        <v>1</v>
      </c>
      <c r="E227" s="38">
        <v>1.5552099533437014E-3</v>
      </c>
    </row>
    <row r="228" spans="2:5" ht="15" customHeight="1">
      <c r="B228" s="83" t="s">
        <v>138</v>
      </c>
      <c r="C228" s="43" t="s">
        <v>36</v>
      </c>
      <c r="D228" s="42">
        <v>1</v>
      </c>
      <c r="E228" s="41">
        <v>1.5552099533437014E-3</v>
      </c>
    </row>
    <row r="229" spans="2:5" ht="15" customHeight="1">
      <c r="B229" s="84"/>
      <c r="C229" s="43" t="s">
        <v>59</v>
      </c>
      <c r="D229" s="42">
        <v>1</v>
      </c>
      <c r="E229" s="41">
        <v>1.5552099533437014E-3</v>
      </c>
    </row>
    <row r="230" spans="2:5" ht="15" customHeight="1">
      <c r="B230" s="85"/>
      <c r="C230" s="40" t="s">
        <v>22</v>
      </c>
      <c r="D230" s="39">
        <v>2</v>
      </c>
      <c r="E230" s="38">
        <v>3.1104199066874028E-3</v>
      </c>
    </row>
    <row r="231" spans="2:5" ht="15" customHeight="1">
      <c r="B231" s="83" t="s">
        <v>137</v>
      </c>
      <c r="C231" s="43" t="s">
        <v>54</v>
      </c>
      <c r="D231" s="42">
        <v>1</v>
      </c>
      <c r="E231" s="41">
        <v>1.5552099533437014E-3</v>
      </c>
    </row>
    <row r="232" spans="2:5" ht="15" customHeight="1">
      <c r="B232" s="85"/>
      <c r="C232" s="40" t="s">
        <v>22</v>
      </c>
      <c r="D232" s="39">
        <v>1</v>
      </c>
      <c r="E232" s="38">
        <v>1.5552099533437014E-3</v>
      </c>
    </row>
    <row r="233" spans="2:5" ht="15" customHeight="1">
      <c r="B233" s="95" t="s">
        <v>22</v>
      </c>
      <c r="C233" s="96"/>
      <c r="D233" s="97">
        <v>643</v>
      </c>
      <c r="E233" s="98">
        <v>1</v>
      </c>
    </row>
    <row r="235" spans="2:5" ht="15" customHeight="1">
      <c r="B235" s="19" t="s">
        <v>21</v>
      </c>
    </row>
    <row r="236" spans="2:5" ht="15" customHeight="1">
      <c r="B236" s="21" t="s">
        <v>20</v>
      </c>
    </row>
    <row r="237" spans="2:5" ht="15" customHeight="1">
      <c r="B237" s="20" t="s">
        <v>19</v>
      </c>
    </row>
    <row r="238" spans="2:5" ht="15" customHeight="1">
      <c r="B238" s="19" t="s">
        <v>18</v>
      </c>
    </row>
    <row r="239" spans="2:5" ht="15" customHeight="1">
      <c r="B239" s="19" t="s">
        <v>17</v>
      </c>
    </row>
  </sheetData>
  <mergeCells count="25">
    <mergeCell ref="B7:E8"/>
    <mergeCell ref="B10:B14"/>
    <mergeCell ref="B15:B17"/>
    <mergeCell ref="B18:B25"/>
    <mergeCell ref="B26:B33"/>
    <mergeCell ref="B80:B90"/>
    <mergeCell ref="B91:B103"/>
    <mergeCell ref="B104:B137"/>
    <mergeCell ref="B138:B143"/>
    <mergeCell ref="B144:B167"/>
    <mergeCell ref="B34:B36"/>
    <mergeCell ref="B37:B44"/>
    <mergeCell ref="B45:B56"/>
    <mergeCell ref="B57:B75"/>
    <mergeCell ref="B76:B79"/>
    <mergeCell ref="B168:B195"/>
    <mergeCell ref="B196:B197"/>
    <mergeCell ref="B198:B200"/>
    <mergeCell ref="B233:C233"/>
    <mergeCell ref="B201:B202"/>
    <mergeCell ref="B203:B212"/>
    <mergeCell ref="B213:B225"/>
    <mergeCell ref="B226:B227"/>
    <mergeCell ref="B228:B230"/>
    <mergeCell ref="B231:B2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6" manualBreakCount="6">
    <brk id="44" max="4" man="1"/>
    <brk id="79" max="4" man="1"/>
    <brk id="103" max="4" man="1"/>
    <brk id="143" max="4" man="1"/>
    <brk id="167" max="4" man="1"/>
    <brk id="202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96"/>
  <sheetViews>
    <sheetView topLeftCell="A258" zoomScale="96" zoomScaleNormal="96" zoomScaleSheetLayoutView="85" workbookViewId="0">
      <selection activeCell="B290" sqref="B290:E29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121</v>
      </c>
      <c r="C9" s="47" t="s">
        <v>161</v>
      </c>
      <c r="D9" s="46" t="s">
        <v>67</v>
      </c>
      <c r="E9" s="45" t="s">
        <v>66</v>
      </c>
    </row>
    <row r="10" spans="1:5" ht="15" customHeight="1">
      <c r="B10" s="83" t="s">
        <v>84</v>
      </c>
      <c r="C10" s="43" t="s">
        <v>148</v>
      </c>
      <c r="D10" s="42">
        <v>2</v>
      </c>
      <c r="E10" s="41">
        <v>3.1201248049921998E-3</v>
      </c>
    </row>
    <row r="11" spans="1:5" ht="15" customHeight="1">
      <c r="B11" s="85"/>
      <c r="C11" s="40" t="s">
        <v>22</v>
      </c>
      <c r="D11" s="39">
        <v>2</v>
      </c>
      <c r="E11" s="38">
        <v>3.1201248049921998E-3</v>
      </c>
    </row>
    <row r="12" spans="1:5" ht="15" customHeight="1">
      <c r="B12" s="83" t="s">
        <v>116</v>
      </c>
      <c r="C12" s="43" t="s">
        <v>159</v>
      </c>
      <c r="D12" s="42">
        <v>1</v>
      </c>
      <c r="E12" s="41">
        <v>1.5600624024960999E-3</v>
      </c>
    </row>
    <row r="13" spans="1:5" ht="15" customHeight="1">
      <c r="B13" s="84"/>
      <c r="C13" s="43" t="s">
        <v>158</v>
      </c>
      <c r="D13" s="42">
        <v>3</v>
      </c>
      <c r="E13" s="41">
        <v>4.6801872074882997E-3</v>
      </c>
    </row>
    <row r="14" spans="1:5" ht="15" customHeight="1">
      <c r="B14" s="84"/>
      <c r="C14" s="43" t="s">
        <v>156</v>
      </c>
      <c r="D14" s="42">
        <v>3</v>
      </c>
      <c r="E14" s="41">
        <v>4.6801872074882997E-3</v>
      </c>
    </row>
    <row r="15" spans="1:5" ht="15" customHeight="1">
      <c r="B15" s="84"/>
      <c r="C15" s="43" t="s">
        <v>154</v>
      </c>
      <c r="D15" s="42">
        <v>1</v>
      </c>
      <c r="E15" s="41">
        <v>1.5600624024960999E-3</v>
      </c>
    </row>
    <row r="16" spans="1:5" ht="15" customHeight="1">
      <c r="B16" s="84"/>
      <c r="C16" s="43" t="s">
        <v>153</v>
      </c>
      <c r="D16" s="42">
        <v>3</v>
      </c>
      <c r="E16" s="41">
        <v>4.6801872074882997E-3</v>
      </c>
    </row>
    <row r="17" spans="2:5" ht="15" customHeight="1">
      <c r="B17" s="84"/>
      <c r="C17" s="43" t="s">
        <v>152</v>
      </c>
      <c r="D17" s="42">
        <v>10</v>
      </c>
      <c r="E17" s="41">
        <v>1.5600624024960999E-2</v>
      </c>
    </row>
    <row r="18" spans="2:5" ht="15" customHeight="1">
      <c r="B18" s="84"/>
      <c r="C18" s="43" t="s">
        <v>150</v>
      </c>
      <c r="D18" s="42">
        <v>4</v>
      </c>
      <c r="E18" s="41">
        <v>6.2402496099843996E-3</v>
      </c>
    </row>
    <row r="19" spans="2:5" ht="15" customHeight="1">
      <c r="B19" s="84"/>
      <c r="C19" s="43" t="s">
        <v>149</v>
      </c>
      <c r="D19" s="42">
        <v>2</v>
      </c>
      <c r="E19" s="41">
        <v>3.1201248049921998E-3</v>
      </c>
    </row>
    <row r="20" spans="2:5" ht="15" customHeight="1">
      <c r="B20" s="84"/>
      <c r="C20" s="43" t="s">
        <v>148</v>
      </c>
      <c r="D20" s="42">
        <v>23</v>
      </c>
      <c r="E20" s="41">
        <v>3.5881435257410298E-2</v>
      </c>
    </row>
    <row r="21" spans="2:5" ht="15" customHeight="1">
      <c r="B21" s="84"/>
      <c r="C21" s="43" t="s">
        <v>147</v>
      </c>
      <c r="D21" s="42">
        <v>1</v>
      </c>
      <c r="E21" s="41">
        <v>1.5600624024960999E-3</v>
      </c>
    </row>
    <row r="22" spans="2:5" ht="15" customHeight="1">
      <c r="B22" s="84"/>
      <c r="C22" s="43" t="s">
        <v>146</v>
      </c>
      <c r="D22" s="42">
        <v>4</v>
      </c>
      <c r="E22" s="41">
        <v>6.2402496099843996E-3</v>
      </c>
    </row>
    <row r="23" spans="2:5" ht="15" customHeight="1">
      <c r="B23" s="84"/>
      <c r="C23" s="43" t="s">
        <v>145</v>
      </c>
      <c r="D23" s="42">
        <v>22</v>
      </c>
      <c r="E23" s="41">
        <v>3.4321372854914198E-2</v>
      </c>
    </row>
    <row r="24" spans="2:5" ht="15" customHeight="1">
      <c r="B24" s="84"/>
      <c r="C24" s="43" t="s">
        <v>141</v>
      </c>
      <c r="D24" s="42">
        <v>1</v>
      </c>
      <c r="E24" s="41">
        <v>1.5600624024960999E-3</v>
      </c>
    </row>
    <row r="25" spans="2:5" ht="15" customHeight="1">
      <c r="B25" s="84"/>
      <c r="C25" s="43" t="s">
        <v>140</v>
      </c>
      <c r="D25" s="42">
        <v>2</v>
      </c>
      <c r="E25" s="41">
        <v>3.1201248049921998E-3</v>
      </c>
    </row>
    <row r="26" spans="2:5" ht="15" customHeight="1">
      <c r="B26" s="84"/>
      <c r="C26" s="43" t="s">
        <v>169</v>
      </c>
      <c r="D26" s="42">
        <v>1</v>
      </c>
      <c r="E26" s="41">
        <v>1.5600624024960999E-3</v>
      </c>
    </row>
    <row r="27" spans="2:5" ht="15" customHeight="1">
      <c r="B27" s="84"/>
      <c r="C27" s="43" t="s">
        <v>137</v>
      </c>
      <c r="D27" s="42">
        <v>1</v>
      </c>
      <c r="E27" s="41">
        <v>1.5600624024960999E-3</v>
      </c>
    </row>
    <row r="28" spans="2:5" ht="15" customHeight="1">
      <c r="B28" s="85"/>
      <c r="C28" s="40" t="s">
        <v>22</v>
      </c>
      <c r="D28" s="39">
        <v>82</v>
      </c>
      <c r="E28" s="38">
        <v>0.12792511700468018</v>
      </c>
    </row>
    <row r="29" spans="2:5" ht="15" customHeight="1">
      <c r="B29" s="83" t="s">
        <v>106</v>
      </c>
      <c r="C29" s="43" t="s">
        <v>156</v>
      </c>
      <c r="D29" s="42">
        <v>1</v>
      </c>
      <c r="E29" s="41">
        <v>1.5600624024960999E-3</v>
      </c>
    </row>
    <row r="30" spans="2:5" ht="15" customHeight="1">
      <c r="B30" s="84"/>
      <c r="C30" s="43" t="s">
        <v>152</v>
      </c>
      <c r="D30" s="42">
        <v>3</v>
      </c>
      <c r="E30" s="41">
        <v>4.6801872074882997E-3</v>
      </c>
    </row>
    <row r="31" spans="2:5" ht="15" customHeight="1">
      <c r="B31" s="84"/>
      <c r="C31" s="43" t="s">
        <v>148</v>
      </c>
      <c r="D31" s="42">
        <v>2</v>
      </c>
      <c r="E31" s="41">
        <v>3.1201248049921998E-3</v>
      </c>
    </row>
    <row r="32" spans="2:5" ht="15" customHeight="1">
      <c r="B32" s="84"/>
      <c r="C32" s="43" t="s">
        <v>146</v>
      </c>
      <c r="D32" s="42">
        <v>1</v>
      </c>
      <c r="E32" s="41">
        <v>1.5600624024960999E-3</v>
      </c>
    </row>
    <row r="33" spans="2:5" ht="15" customHeight="1">
      <c r="B33" s="84"/>
      <c r="C33" s="43" t="s">
        <v>145</v>
      </c>
      <c r="D33" s="42">
        <v>4</v>
      </c>
      <c r="E33" s="41">
        <v>6.2402496099843996E-3</v>
      </c>
    </row>
    <row r="34" spans="2:5" ht="15" customHeight="1">
      <c r="B34" s="85"/>
      <c r="C34" s="40" t="s">
        <v>22</v>
      </c>
      <c r="D34" s="39">
        <v>11</v>
      </c>
      <c r="E34" s="38">
        <v>1.7160686427457099E-2</v>
      </c>
    </row>
    <row r="35" spans="2:5" ht="15" customHeight="1">
      <c r="B35" s="83" t="s">
        <v>82</v>
      </c>
      <c r="C35" s="43" t="s">
        <v>149</v>
      </c>
      <c r="D35" s="42">
        <v>1</v>
      </c>
      <c r="E35" s="41">
        <v>1.5600624024960999E-3</v>
      </c>
    </row>
    <row r="36" spans="2:5" ht="15" customHeight="1">
      <c r="B36" s="85"/>
      <c r="C36" s="40" t="s">
        <v>22</v>
      </c>
      <c r="D36" s="39">
        <v>1</v>
      </c>
      <c r="E36" s="38">
        <v>1.5600624024960999E-3</v>
      </c>
    </row>
    <row r="37" spans="2:5" ht="15" customHeight="1">
      <c r="B37" s="83" t="s">
        <v>78</v>
      </c>
      <c r="C37" s="43" t="s">
        <v>150</v>
      </c>
      <c r="D37" s="42">
        <v>1</v>
      </c>
      <c r="E37" s="41">
        <v>1.5600624024960999E-3</v>
      </c>
    </row>
    <row r="38" spans="2:5" ht="15" customHeight="1">
      <c r="B38" s="85"/>
      <c r="C38" s="40" t="s">
        <v>22</v>
      </c>
      <c r="D38" s="39">
        <v>1</v>
      </c>
      <c r="E38" s="38">
        <v>1.5600624024960999E-3</v>
      </c>
    </row>
    <row r="39" spans="2:5" ht="15" customHeight="1">
      <c r="B39" s="83" t="s">
        <v>83</v>
      </c>
      <c r="C39" s="43" t="s">
        <v>148</v>
      </c>
      <c r="D39" s="42">
        <v>2</v>
      </c>
      <c r="E39" s="41">
        <v>3.1201248049921998E-3</v>
      </c>
    </row>
    <row r="40" spans="2:5" ht="15" customHeight="1">
      <c r="B40" s="84"/>
      <c r="C40" s="43" t="s">
        <v>145</v>
      </c>
      <c r="D40" s="42">
        <v>1</v>
      </c>
      <c r="E40" s="41">
        <v>1.5600624024960999E-3</v>
      </c>
    </row>
    <row r="41" spans="2:5" ht="15" customHeight="1">
      <c r="B41" s="85"/>
      <c r="C41" s="40" t="s">
        <v>22</v>
      </c>
      <c r="D41" s="39">
        <v>3</v>
      </c>
      <c r="E41" s="38">
        <v>4.6801872074882997E-3</v>
      </c>
    </row>
    <row r="42" spans="2:5" ht="15" customHeight="1">
      <c r="B42" s="83" t="s">
        <v>168</v>
      </c>
      <c r="C42" s="43" t="s">
        <v>148</v>
      </c>
      <c r="D42" s="42">
        <v>1</v>
      </c>
      <c r="E42" s="41">
        <v>1.5600624024960999E-3</v>
      </c>
    </row>
    <row r="43" spans="2:5" ht="15" customHeight="1">
      <c r="B43" s="85"/>
      <c r="C43" s="40" t="s">
        <v>22</v>
      </c>
      <c r="D43" s="39">
        <v>1</v>
      </c>
      <c r="E43" s="38">
        <v>1.5600624024960999E-3</v>
      </c>
    </row>
    <row r="44" spans="2:5" ht="15" customHeight="1">
      <c r="B44" s="83" t="s">
        <v>119</v>
      </c>
      <c r="C44" s="43" t="s">
        <v>157</v>
      </c>
      <c r="D44" s="42">
        <v>1</v>
      </c>
      <c r="E44" s="41">
        <v>1.5600624024960999E-3</v>
      </c>
    </row>
    <row r="45" spans="2:5" ht="15" customHeight="1">
      <c r="B45" s="84"/>
      <c r="C45" s="43" t="s">
        <v>154</v>
      </c>
      <c r="D45" s="42">
        <v>2</v>
      </c>
      <c r="E45" s="41">
        <v>3.1201248049921998E-3</v>
      </c>
    </row>
    <row r="46" spans="2:5" ht="15" customHeight="1">
      <c r="B46" s="84"/>
      <c r="C46" s="43" t="s">
        <v>152</v>
      </c>
      <c r="D46" s="42">
        <v>2</v>
      </c>
      <c r="E46" s="41">
        <v>3.1201248049921998E-3</v>
      </c>
    </row>
    <row r="47" spans="2:5" ht="15" customHeight="1">
      <c r="B47" s="84"/>
      <c r="C47" s="43" t="s">
        <v>149</v>
      </c>
      <c r="D47" s="42">
        <v>3</v>
      </c>
      <c r="E47" s="41">
        <v>4.6801872074882997E-3</v>
      </c>
    </row>
    <row r="48" spans="2:5" ht="15" customHeight="1">
      <c r="B48" s="84"/>
      <c r="C48" s="43" t="s">
        <v>148</v>
      </c>
      <c r="D48" s="42">
        <v>12</v>
      </c>
      <c r="E48" s="41">
        <v>1.8720748829953199E-2</v>
      </c>
    </row>
    <row r="49" spans="2:5" ht="15" customHeight="1">
      <c r="B49" s="84"/>
      <c r="C49" s="43" t="s">
        <v>146</v>
      </c>
      <c r="D49" s="42">
        <v>2</v>
      </c>
      <c r="E49" s="41">
        <v>3.1201248049921998E-3</v>
      </c>
    </row>
    <row r="50" spans="2:5" ht="15" customHeight="1">
      <c r="B50" s="84"/>
      <c r="C50" s="43" t="s">
        <v>145</v>
      </c>
      <c r="D50" s="42">
        <v>3</v>
      </c>
      <c r="E50" s="41">
        <v>4.6801872074882997E-3</v>
      </c>
    </row>
    <row r="51" spans="2:5" ht="15" customHeight="1">
      <c r="B51" s="84"/>
      <c r="C51" s="43" t="s">
        <v>141</v>
      </c>
      <c r="D51" s="42">
        <v>1</v>
      </c>
      <c r="E51" s="41">
        <v>1.5600624024960999E-3</v>
      </c>
    </row>
    <row r="52" spans="2:5" ht="15" customHeight="1">
      <c r="B52" s="85"/>
      <c r="C52" s="40" t="s">
        <v>22</v>
      </c>
      <c r="D52" s="39">
        <v>26</v>
      </c>
      <c r="E52" s="38">
        <v>4.0561622464898597E-2</v>
      </c>
    </row>
    <row r="53" spans="2:5" ht="15" customHeight="1">
      <c r="B53" s="83" t="s">
        <v>117</v>
      </c>
      <c r="C53" s="43" t="s">
        <v>154</v>
      </c>
      <c r="D53" s="42">
        <v>1</v>
      </c>
      <c r="E53" s="41">
        <v>1.5600624024960999E-3</v>
      </c>
    </row>
    <row r="54" spans="2:5" ht="15" customHeight="1">
      <c r="B54" s="84"/>
      <c r="C54" s="43" t="s">
        <v>153</v>
      </c>
      <c r="D54" s="42">
        <v>4</v>
      </c>
      <c r="E54" s="41">
        <v>6.2402496099843996E-3</v>
      </c>
    </row>
    <row r="55" spans="2:5" ht="15" customHeight="1">
      <c r="B55" s="84"/>
      <c r="C55" s="43" t="s">
        <v>152</v>
      </c>
      <c r="D55" s="42">
        <v>1</v>
      </c>
      <c r="E55" s="41">
        <v>1.5600624024960999E-3</v>
      </c>
    </row>
    <row r="56" spans="2:5" ht="15" customHeight="1">
      <c r="B56" s="84"/>
      <c r="C56" s="43" t="s">
        <v>149</v>
      </c>
      <c r="D56" s="42">
        <v>1</v>
      </c>
      <c r="E56" s="41">
        <v>1.5600624024960999E-3</v>
      </c>
    </row>
    <row r="57" spans="2:5" ht="15" customHeight="1">
      <c r="B57" s="84"/>
      <c r="C57" s="43" t="s">
        <v>148</v>
      </c>
      <c r="D57" s="42">
        <v>15</v>
      </c>
      <c r="E57" s="41">
        <v>2.3400936037441498E-2</v>
      </c>
    </row>
    <row r="58" spans="2:5" ht="15" customHeight="1">
      <c r="B58" s="84"/>
      <c r="C58" s="43" t="s">
        <v>147</v>
      </c>
      <c r="D58" s="42">
        <v>1</v>
      </c>
      <c r="E58" s="41">
        <v>1.5600624024960999E-3</v>
      </c>
    </row>
    <row r="59" spans="2:5" ht="15" customHeight="1">
      <c r="B59" s="84"/>
      <c r="C59" s="43" t="s">
        <v>146</v>
      </c>
      <c r="D59" s="42">
        <v>5</v>
      </c>
      <c r="E59" s="41">
        <v>7.8003120124804995E-3</v>
      </c>
    </row>
    <row r="60" spans="2:5" ht="15" customHeight="1">
      <c r="B60" s="84"/>
      <c r="C60" s="43" t="s">
        <v>145</v>
      </c>
      <c r="D60" s="42">
        <v>10</v>
      </c>
      <c r="E60" s="41">
        <v>1.5600624024960999E-2</v>
      </c>
    </row>
    <row r="61" spans="2:5" ht="15" customHeight="1">
      <c r="B61" s="84"/>
      <c r="C61" s="43" t="s">
        <v>142</v>
      </c>
      <c r="D61" s="42">
        <v>1</v>
      </c>
      <c r="E61" s="41">
        <v>1.5600624024960999E-3</v>
      </c>
    </row>
    <row r="62" spans="2:5" ht="15" customHeight="1">
      <c r="B62" s="84"/>
      <c r="C62" s="43" t="s">
        <v>141</v>
      </c>
      <c r="D62" s="42">
        <v>1</v>
      </c>
      <c r="E62" s="41">
        <v>1.5600624024960999E-3</v>
      </c>
    </row>
    <row r="63" spans="2:5" ht="15" customHeight="1">
      <c r="B63" s="85"/>
      <c r="C63" s="40" t="s">
        <v>22</v>
      </c>
      <c r="D63" s="39">
        <v>40</v>
      </c>
      <c r="E63" s="38">
        <v>6.2402496099843996E-2</v>
      </c>
    </row>
    <row r="64" spans="2:5" ht="15" customHeight="1">
      <c r="B64" s="83" t="s">
        <v>101</v>
      </c>
      <c r="C64" s="43" t="s">
        <v>148</v>
      </c>
      <c r="D64" s="42">
        <v>7</v>
      </c>
      <c r="E64" s="41">
        <v>1.0920436817472699E-2</v>
      </c>
    </row>
    <row r="65" spans="2:5" ht="15" customHeight="1">
      <c r="B65" s="84"/>
      <c r="C65" s="43" t="s">
        <v>147</v>
      </c>
      <c r="D65" s="42">
        <v>1</v>
      </c>
      <c r="E65" s="41">
        <v>1.5600624024960999E-3</v>
      </c>
    </row>
    <row r="66" spans="2:5" ht="15" customHeight="1">
      <c r="B66" s="84"/>
      <c r="C66" s="43" t="s">
        <v>146</v>
      </c>
      <c r="D66" s="42">
        <v>1</v>
      </c>
      <c r="E66" s="41">
        <v>1.5600624024960999E-3</v>
      </c>
    </row>
    <row r="67" spans="2:5" ht="15" customHeight="1">
      <c r="B67" s="84"/>
      <c r="C67" s="43" t="s">
        <v>145</v>
      </c>
      <c r="D67" s="42">
        <v>4</v>
      </c>
      <c r="E67" s="41">
        <v>6.2402496099843996E-3</v>
      </c>
    </row>
    <row r="68" spans="2:5" ht="15" customHeight="1">
      <c r="B68" s="84"/>
      <c r="C68" s="43" t="s">
        <v>141</v>
      </c>
      <c r="D68" s="42">
        <v>1</v>
      </c>
      <c r="E68" s="41">
        <v>1.5600624024960999E-3</v>
      </c>
    </row>
    <row r="69" spans="2:5" ht="15" customHeight="1">
      <c r="B69" s="84"/>
      <c r="C69" s="43" t="s">
        <v>140</v>
      </c>
      <c r="D69" s="42">
        <v>1</v>
      </c>
      <c r="E69" s="41">
        <v>1.5600624024960999E-3</v>
      </c>
    </row>
    <row r="70" spans="2:5" ht="15" customHeight="1">
      <c r="B70" s="85"/>
      <c r="C70" s="40" t="s">
        <v>22</v>
      </c>
      <c r="D70" s="39">
        <v>15</v>
      </c>
      <c r="E70" s="38">
        <v>2.3400936037441498E-2</v>
      </c>
    </row>
    <row r="71" spans="2:5" ht="15" customHeight="1">
      <c r="B71" s="83" t="s">
        <v>87</v>
      </c>
      <c r="C71" s="43" t="s">
        <v>149</v>
      </c>
      <c r="D71" s="42">
        <v>2</v>
      </c>
      <c r="E71" s="41">
        <v>3.1201248049921998E-3</v>
      </c>
    </row>
    <row r="72" spans="2:5" ht="15" customHeight="1">
      <c r="B72" s="84"/>
      <c r="C72" s="43" t="s">
        <v>148</v>
      </c>
      <c r="D72" s="42">
        <v>3</v>
      </c>
      <c r="E72" s="41">
        <v>4.6801872074882997E-3</v>
      </c>
    </row>
    <row r="73" spans="2:5" ht="15" customHeight="1">
      <c r="B73" s="84"/>
      <c r="C73" s="43" t="s">
        <v>146</v>
      </c>
      <c r="D73" s="42">
        <v>1</v>
      </c>
      <c r="E73" s="41">
        <v>1.5600624024960999E-3</v>
      </c>
    </row>
    <row r="74" spans="2:5" ht="15" customHeight="1">
      <c r="B74" s="84"/>
      <c r="C74" s="43" t="s">
        <v>145</v>
      </c>
      <c r="D74" s="42">
        <v>2</v>
      </c>
      <c r="E74" s="41">
        <v>3.1201248049921998E-3</v>
      </c>
    </row>
    <row r="75" spans="2:5" ht="15" customHeight="1">
      <c r="B75" s="84"/>
      <c r="C75" s="43" t="s">
        <v>141</v>
      </c>
      <c r="D75" s="42">
        <v>1</v>
      </c>
      <c r="E75" s="41">
        <v>1.5600624024960999E-3</v>
      </c>
    </row>
    <row r="76" spans="2:5" ht="15" customHeight="1">
      <c r="B76" s="85"/>
      <c r="C76" s="40" t="s">
        <v>22</v>
      </c>
      <c r="D76" s="39">
        <v>9</v>
      </c>
      <c r="E76" s="38">
        <v>1.4040561622464899E-2</v>
      </c>
    </row>
    <row r="77" spans="2:5" ht="15" customHeight="1">
      <c r="B77" s="83" t="s">
        <v>85</v>
      </c>
      <c r="C77" s="43" t="s">
        <v>140</v>
      </c>
      <c r="D77" s="42">
        <v>1</v>
      </c>
      <c r="E77" s="41">
        <v>1.5600624024960999E-3</v>
      </c>
    </row>
    <row r="78" spans="2:5" ht="15" customHeight="1">
      <c r="B78" s="85"/>
      <c r="C78" s="40" t="s">
        <v>22</v>
      </c>
      <c r="D78" s="39">
        <v>1</v>
      </c>
      <c r="E78" s="38">
        <v>1.5600624024960999E-3</v>
      </c>
    </row>
    <row r="79" spans="2:5" ht="15" customHeight="1">
      <c r="B79" s="83" t="s">
        <v>98</v>
      </c>
      <c r="C79" s="43" t="s">
        <v>159</v>
      </c>
      <c r="D79" s="42">
        <v>1</v>
      </c>
      <c r="E79" s="41">
        <v>1.5600624024960999E-3</v>
      </c>
    </row>
    <row r="80" spans="2:5" ht="15" customHeight="1">
      <c r="B80" s="84"/>
      <c r="C80" s="43" t="s">
        <v>154</v>
      </c>
      <c r="D80" s="42">
        <v>1</v>
      </c>
      <c r="E80" s="41">
        <v>1.5600624024960999E-3</v>
      </c>
    </row>
    <row r="81" spans="2:5" ht="15" customHeight="1">
      <c r="B81" s="84"/>
      <c r="C81" s="43" t="s">
        <v>153</v>
      </c>
      <c r="D81" s="42">
        <v>1</v>
      </c>
      <c r="E81" s="41">
        <v>1.5600624024960999E-3</v>
      </c>
    </row>
    <row r="82" spans="2:5" ht="15" customHeight="1">
      <c r="B82" s="84"/>
      <c r="C82" s="43" t="s">
        <v>152</v>
      </c>
      <c r="D82" s="42">
        <v>1</v>
      </c>
      <c r="E82" s="41">
        <v>1.5600624024960999E-3</v>
      </c>
    </row>
    <row r="83" spans="2:5" ht="15" customHeight="1">
      <c r="B83" s="84"/>
      <c r="C83" s="43" t="s">
        <v>149</v>
      </c>
      <c r="D83" s="42">
        <v>1</v>
      </c>
      <c r="E83" s="41">
        <v>1.5600624024960999E-3</v>
      </c>
    </row>
    <row r="84" spans="2:5" ht="15" customHeight="1">
      <c r="B84" s="84"/>
      <c r="C84" s="43" t="s">
        <v>148</v>
      </c>
      <c r="D84" s="42">
        <v>2</v>
      </c>
      <c r="E84" s="41">
        <v>3.1201248049921998E-3</v>
      </c>
    </row>
    <row r="85" spans="2:5" ht="15" customHeight="1">
      <c r="B85" s="84"/>
      <c r="C85" s="43" t="s">
        <v>146</v>
      </c>
      <c r="D85" s="42">
        <v>2</v>
      </c>
      <c r="E85" s="41">
        <v>3.1201248049921998E-3</v>
      </c>
    </row>
    <row r="86" spans="2:5" ht="15" customHeight="1">
      <c r="B86" s="84"/>
      <c r="C86" s="43" t="s">
        <v>141</v>
      </c>
      <c r="D86" s="42">
        <v>1</v>
      </c>
      <c r="E86" s="41">
        <v>1.5600624024960999E-3</v>
      </c>
    </row>
    <row r="87" spans="2:5" ht="15" customHeight="1">
      <c r="B87" s="85"/>
      <c r="C87" s="40" t="s">
        <v>22</v>
      </c>
      <c r="D87" s="39">
        <v>10</v>
      </c>
      <c r="E87" s="38">
        <v>1.5600624024960999E-2</v>
      </c>
    </row>
    <row r="88" spans="2:5" ht="15" customHeight="1">
      <c r="B88" s="83" t="s">
        <v>114</v>
      </c>
      <c r="C88" s="43" t="s">
        <v>159</v>
      </c>
      <c r="D88" s="42">
        <v>2</v>
      </c>
      <c r="E88" s="41">
        <v>3.1201248049921998E-3</v>
      </c>
    </row>
    <row r="89" spans="2:5" ht="15" customHeight="1">
      <c r="B89" s="84"/>
      <c r="C89" s="43" t="s">
        <v>153</v>
      </c>
      <c r="D89" s="42">
        <v>1</v>
      </c>
      <c r="E89" s="41">
        <v>1.5600624024960999E-3</v>
      </c>
    </row>
    <row r="90" spans="2:5" ht="15" customHeight="1">
      <c r="B90" s="84"/>
      <c r="C90" s="43" t="s">
        <v>146</v>
      </c>
      <c r="D90" s="42">
        <v>1</v>
      </c>
      <c r="E90" s="41">
        <v>1.5600624024960999E-3</v>
      </c>
    </row>
    <row r="91" spans="2:5" ht="15" customHeight="1">
      <c r="B91" s="85"/>
      <c r="C91" s="40" t="s">
        <v>22</v>
      </c>
      <c r="D91" s="39">
        <v>4</v>
      </c>
      <c r="E91" s="38">
        <v>6.2402496099843996E-3</v>
      </c>
    </row>
    <row r="92" spans="2:5" ht="15" customHeight="1">
      <c r="B92" s="83" t="s">
        <v>118</v>
      </c>
      <c r="C92" s="43" t="s">
        <v>156</v>
      </c>
      <c r="D92" s="42">
        <v>1</v>
      </c>
      <c r="E92" s="41">
        <v>1.5600624024960999E-3</v>
      </c>
    </row>
    <row r="93" spans="2:5" ht="15" customHeight="1">
      <c r="B93" s="84"/>
      <c r="C93" s="43" t="s">
        <v>153</v>
      </c>
      <c r="D93" s="42">
        <v>1</v>
      </c>
      <c r="E93" s="41">
        <v>1.5600624024960999E-3</v>
      </c>
    </row>
    <row r="94" spans="2:5" ht="15" customHeight="1">
      <c r="B94" s="84"/>
      <c r="C94" s="43" t="s">
        <v>152</v>
      </c>
      <c r="D94" s="42">
        <v>3</v>
      </c>
      <c r="E94" s="41">
        <v>4.6801872074882997E-3</v>
      </c>
    </row>
    <row r="95" spans="2:5" ht="15" customHeight="1">
      <c r="B95" s="84"/>
      <c r="C95" s="43" t="s">
        <v>149</v>
      </c>
      <c r="D95" s="42">
        <v>1</v>
      </c>
      <c r="E95" s="41">
        <v>1.5600624024960999E-3</v>
      </c>
    </row>
    <row r="96" spans="2:5" ht="15" customHeight="1">
      <c r="B96" s="84"/>
      <c r="C96" s="43" t="s">
        <v>148</v>
      </c>
      <c r="D96" s="42">
        <v>15</v>
      </c>
      <c r="E96" s="41">
        <v>2.3400936037441498E-2</v>
      </c>
    </row>
    <row r="97" spans="2:5" ht="15" customHeight="1">
      <c r="B97" s="84"/>
      <c r="C97" s="43" t="s">
        <v>146</v>
      </c>
      <c r="D97" s="42">
        <v>1</v>
      </c>
      <c r="E97" s="41">
        <v>1.5600624024960999E-3</v>
      </c>
    </row>
    <row r="98" spans="2:5" ht="15" customHeight="1">
      <c r="B98" s="84"/>
      <c r="C98" s="43" t="s">
        <v>145</v>
      </c>
      <c r="D98" s="42">
        <v>8</v>
      </c>
      <c r="E98" s="41">
        <v>1.2480499219968799E-2</v>
      </c>
    </row>
    <row r="99" spans="2:5" ht="15" customHeight="1">
      <c r="B99" s="84"/>
      <c r="C99" s="43" t="s">
        <v>141</v>
      </c>
      <c r="D99" s="42">
        <v>1</v>
      </c>
      <c r="E99" s="41">
        <v>1.5600624024960999E-3</v>
      </c>
    </row>
    <row r="100" spans="2:5" ht="15" customHeight="1">
      <c r="B100" s="84"/>
      <c r="C100" s="43" t="s">
        <v>140</v>
      </c>
      <c r="D100" s="42">
        <v>1</v>
      </c>
      <c r="E100" s="41">
        <v>1.5600624024960999E-3</v>
      </c>
    </row>
    <row r="101" spans="2:5" ht="15" customHeight="1">
      <c r="B101" s="85"/>
      <c r="C101" s="40" t="s">
        <v>22</v>
      </c>
      <c r="D101" s="39">
        <v>32</v>
      </c>
      <c r="E101" s="38">
        <v>4.9921996879875197E-2</v>
      </c>
    </row>
    <row r="102" spans="2:5" ht="15" customHeight="1">
      <c r="B102" s="83" t="s">
        <v>167</v>
      </c>
      <c r="C102" s="43" t="s">
        <v>157</v>
      </c>
      <c r="D102" s="42">
        <v>1</v>
      </c>
      <c r="E102" s="41">
        <v>1.5600624024960999E-3</v>
      </c>
    </row>
    <row r="103" spans="2:5" ht="15" customHeight="1">
      <c r="B103" s="84"/>
      <c r="C103" s="43" t="s">
        <v>148</v>
      </c>
      <c r="D103" s="42">
        <v>2</v>
      </c>
      <c r="E103" s="41">
        <v>3.1201248049921998E-3</v>
      </c>
    </row>
    <row r="104" spans="2:5" ht="15" customHeight="1">
      <c r="B104" s="84"/>
      <c r="C104" s="43" t="s">
        <v>146</v>
      </c>
      <c r="D104" s="42">
        <v>3</v>
      </c>
      <c r="E104" s="41">
        <v>4.6801872074882997E-3</v>
      </c>
    </row>
    <row r="105" spans="2:5" ht="15" customHeight="1">
      <c r="B105" s="84"/>
      <c r="C105" s="43" t="s">
        <v>145</v>
      </c>
      <c r="D105" s="42">
        <v>2</v>
      </c>
      <c r="E105" s="41">
        <v>3.1201248049921998E-3</v>
      </c>
    </row>
    <row r="106" spans="2:5" ht="15" customHeight="1">
      <c r="B106" s="84"/>
      <c r="C106" s="43" t="s">
        <v>143</v>
      </c>
      <c r="D106" s="42">
        <v>1</v>
      </c>
      <c r="E106" s="41">
        <v>1.5600624024960999E-3</v>
      </c>
    </row>
    <row r="107" spans="2:5" ht="15" customHeight="1">
      <c r="B107" s="84"/>
      <c r="C107" s="43" t="s">
        <v>140</v>
      </c>
      <c r="D107" s="42">
        <v>1</v>
      </c>
      <c r="E107" s="41">
        <v>1.5600624024960999E-3</v>
      </c>
    </row>
    <row r="108" spans="2:5" ht="15" customHeight="1">
      <c r="B108" s="84"/>
      <c r="C108" s="43" t="s">
        <v>138</v>
      </c>
      <c r="D108" s="42">
        <v>1</v>
      </c>
      <c r="E108" s="41">
        <v>1.5600624024960999E-3</v>
      </c>
    </row>
    <row r="109" spans="2:5" ht="15" customHeight="1">
      <c r="B109" s="85"/>
      <c r="C109" s="40" t="s">
        <v>22</v>
      </c>
      <c r="D109" s="39">
        <v>11</v>
      </c>
      <c r="E109" s="38">
        <v>1.7160686427457099E-2</v>
      </c>
    </row>
    <row r="110" spans="2:5" ht="15" customHeight="1">
      <c r="B110" s="83" t="s">
        <v>97</v>
      </c>
      <c r="C110" s="43" t="s">
        <v>159</v>
      </c>
      <c r="D110" s="42">
        <v>1</v>
      </c>
      <c r="E110" s="41">
        <v>1.5600624024960999E-3</v>
      </c>
    </row>
    <row r="111" spans="2:5" ht="15" customHeight="1">
      <c r="B111" s="84"/>
      <c r="C111" s="43" t="s">
        <v>153</v>
      </c>
      <c r="D111" s="42">
        <v>1</v>
      </c>
      <c r="E111" s="41">
        <v>1.5600624024960999E-3</v>
      </c>
    </row>
    <row r="112" spans="2:5" ht="15" customHeight="1">
      <c r="B112" s="84"/>
      <c r="C112" s="43" t="s">
        <v>150</v>
      </c>
      <c r="D112" s="42">
        <v>2</v>
      </c>
      <c r="E112" s="41">
        <v>3.1201248049921998E-3</v>
      </c>
    </row>
    <row r="113" spans="2:5" ht="15" customHeight="1">
      <c r="B113" s="84"/>
      <c r="C113" s="43" t="s">
        <v>148</v>
      </c>
      <c r="D113" s="42">
        <v>3</v>
      </c>
      <c r="E113" s="41">
        <v>4.6801872074882997E-3</v>
      </c>
    </row>
    <row r="114" spans="2:5" ht="15" customHeight="1">
      <c r="B114" s="84"/>
      <c r="C114" s="43" t="s">
        <v>147</v>
      </c>
      <c r="D114" s="42">
        <v>1</v>
      </c>
      <c r="E114" s="41">
        <v>1.5600624024960999E-3</v>
      </c>
    </row>
    <row r="115" spans="2:5" ht="15" customHeight="1">
      <c r="B115" s="84"/>
      <c r="C115" s="43" t="s">
        <v>146</v>
      </c>
      <c r="D115" s="42">
        <v>2</v>
      </c>
      <c r="E115" s="41">
        <v>3.1201248049921998E-3</v>
      </c>
    </row>
    <row r="116" spans="2:5" ht="15" customHeight="1">
      <c r="B116" s="84"/>
      <c r="C116" s="43" t="s">
        <v>145</v>
      </c>
      <c r="D116" s="42">
        <v>4</v>
      </c>
      <c r="E116" s="41">
        <v>6.2402496099843996E-3</v>
      </c>
    </row>
    <row r="117" spans="2:5" ht="15" customHeight="1">
      <c r="B117" s="85"/>
      <c r="C117" s="40" t="s">
        <v>22</v>
      </c>
      <c r="D117" s="39">
        <v>14</v>
      </c>
      <c r="E117" s="38">
        <v>2.1840873634945399E-2</v>
      </c>
    </row>
    <row r="118" spans="2:5" ht="15" customHeight="1">
      <c r="B118" s="83" t="s">
        <v>81</v>
      </c>
      <c r="C118" s="43" t="s">
        <v>146</v>
      </c>
      <c r="D118" s="42">
        <v>1</v>
      </c>
      <c r="E118" s="41">
        <v>1.5600624024960999E-3</v>
      </c>
    </row>
    <row r="119" spans="2:5" ht="15" customHeight="1">
      <c r="B119" s="84"/>
      <c r="C119" s="43" t="s">
        <v>145</v>
      </c>
      <c r="D119" s="42">
        <v>1</v>
      </c>
      <c r="E119" s="41">
        <v>1.5600624024960999E-3</v>
      </c>
    </row>
    <row r="120" spans="2:5" ht="15" customHeight="1">
      <c r="B120" s="85"/>
      <c r="C120" s="40" t="s">
        <v>22</v>
      </c>
      <c r="D120" s="39">
        <v>2</v>
      </c>
      <c r="E120" s="38">
        <v>3.1201248049921998E-3</v>
      </c>
    </row>
    <row r="121" spans="2:5" ht="15" customHeight="1">
      <c r="B121" s="83" t="s">
        <v>104</v>
      </c>
      <c r="C121" s="43" t="s">
        <v>148</v>
      </c>
      <c r="D121" s="42">
        <v>1</v>
      </c>
      <c r="E121" s="41">
        <v>1.5600624024960999E-3</v>
      </c>
    </row>
    <row r="122" spans="2:5" ht="15" customHeight="1">
      <c r="B122" s="84"/>
      <c r="C122" s="43" t="s">
        <v>146</v>
      </c>
      <c r="D122" s="42">
        <v>2</v>
      </c>
      <c r="E122" s="41">
        <v>3.1201248049921998E-3</v>
      </c>
    </row>
    <row r="123" spans="2:5" ht="15" customHeight="1">
      <c r="B123" s="84"/>
      <c r="C123" s="43" t="s">
        <v>145</v>
      </c>
      <c r="D123" s="42">
        <v>2</v>
      </c>
      <c r="E123" s="41">
        <v>3.1201248049921998E-3</v>
      </c>
    </row>
    <row r="124" spans="2:5" ht="15" customHeight="1">
      <c r="B124" s="84"/>
      <c r="C124" s="43" t="s">
        <v>141</v>
      </c>
      <c r="D124" s="42">
        <v>1</v>
      </c>
      <c r="E124" s="41">
        <v>1.5600624024960999E-3</v>
      </c>
    </row>
    <row r="125" spans="2:5" ht="15" customHeight="1">
      <c r="B125" s="85"/>
      <c r="C125" s="40" t="s">
        <v>22</v>
      </c>
      <c r="D125" s="39">
        <v>6</v>
      </c>
      <c r="E125" s="38">
        <v>9.3603744149765994E-3</v>
      </c>
    </row>
    <row r="126" spans="2:5" ht="15" customHeight="1">
      <c r="B126" s="83" t="s">
        <v>108</v>
      </c>
      <c r="C126" s="43" t="s">
        <v>153</v>
      </c>
      <c r="D126" s="42">
        <v>2</v>
      </c>
      <c r="E126" s="41">
        <v>3.1201248049921998E-3</v>
      </c>
    </row>
    <row r="127" spans="2:5" ht="15" customHeight="1">
      <c r="B127" s="84"/>
      <c r="C127" s="43" t="s">
        <v>152</v>
      </c>
      <c r="D127" s="42">
        <v>1</v>
      </c>
      <c r="E127" s="41">
        <v>1.5600624024960999E-3</v>
      </c>
    </row>
    <row r="128" spans="2:5" ht="15" customHeight="1">
      <c r="B128" s="84"/>
      <c r="C128" s="43" t="s">
        <v>148</v>
      </c>
      <c r="D128" s="42">
        <v>7</v>
      </c>
      <c r="E128" s="41">
        <v>1.0920436817472699E-2</v>
      </c>
    </row>
    <row r="129" spans="2:5" ht="15" customHeight="1">
      <c r="B129" s="84"/>
      <c r="C129" s="43" t="s">
        <v>146</v>
      </c>
      <c r="D129" s="42">
        <v>2</v>
      </c>
      <c r="E129" s="41">
        <v>3.1201248049921998E-3</v>
      </c>
    </row>
    <row r="130" spans="2:5" ht="15" customHeight="1">
      <c r="B130" s="84"/>
      <c r="C130" s="43" t="s">
        <v>145</v>
      </c>
      <c r="D130" s="42">
        <v>2</v>
      </c>
      <c r="E130" s="41">
        <v>3.1201248049921998E-3</v>
      </c>
    </row>
    <row r="131" spans="2:5" ht="15" customHeight="1">
      <c r="B131" s="85"/>
      <c r="C131" s="40" t="s">
        <v>22</v>
      </c>
      <c r="D131" s="39">
        <v>14</v>
      </c>
      <c r="E131" s="38">
        <v>2.1840873634945399E-2</v>
      </c>
    </row>
    <row r="132" spans="2:5" ht="15" customHeight="1">
      <c r="B132" s="83" t="s">
        <v>166</v>
      </c>
      <c r="C132" s="43" t="s">
        <v>158</v>
      </c>
      <c r="D132" s="42">
        <v>1</v>
      </c>
      <c r="E132" s="41">
        <v>1.5600624024960999E-3</v>
      </c>
    </row>
    <row r="133" spans="2:5" ht="15" customHeight="1">
      <c r="B133" s="84"/>
      <c r="C133" s="43" t="s">
        <v>154</v>
      </c>
      <c r="D133" s="42">
        <v>2</v>
      </c>
      <c r="E133" s="41">
        <v>3.1201248049921998E-3</v>
      </c>
    </row>
    <row r="134" spans="2:5" ht="15" customHeight="1">
      <c r="B134" s="84"/>
      <c r="C134" s="43" t="s">
        <v>153</v>
      </c>
      <c r="D134" s="42">
        <v>1</v>
      </c>
      <c r="E134" s="41">
        <v>1.5600624024960999E-3</v>
      </c>
    </row>
    <row r="135" spans="2:5" ht="15" customHeight="1">
      <c r="B135" s="84"/>
      <c r="C135" s="43" t="s">
        <v>152</v>
      </c>
      <c r="D135" s="42">
        <v>4</v>
      </c>
      <c r="E135" s="41">
        <v>6.2402496099843996E-3</v>
      </c>
    </row>
    <row r="136" spans="2:5" ht="15" customHeight="1">
      <c r="B136" s="84"/>
      <c r="C136" s="43" t="s">
        <v>151</v>
      </c>
      <c r="D136" s="42">
        <v>1</v>
      </c>
      <c r="E136" s="41">
        <v>1.5600624024960999E-3</v>
      </c>
    </row>
    <row r="137" spans="2:5" ht="15" customHeight="1">
      <c r="B137" s="84"/>
      <c r="C137" s="43" t="s">
        <v>148</v>
      </c>
      <c r="D137" s="42">
        <v>12</v>
      </c>
      <c r="E137" s="41">
        <v>1.8720748829953199E-2</v>
      </c>
    </row>
    <row r="138" spans="2:5" ht="15" customHeight="1">
      <c r="B138" s="84"/>
      <c r="C138" s="43" t="s">
        <v>146</v>
      </c>
      <c r="D138" s="42">
        <v>4</v>
      </c>
      <c r="E138" s="41">
        <v>6.2402496099843996E-3</v>
      </c>
    </row>
    <row r="139" spans="2:5" ht="15" customHeight="1">
      <c r="B139" s="84"/>
      <c r="C139" s="43" t="s">
        <v>145</v>
      </c>
      <c r="D139" s="42">
        <v>12</v>
      </c>
      <c r="E139" s="41">
        <v>1.8720748829953199E-2</v>
      </c>
    </row>
    <row r="140" spans="2:5" ht="15" customHeight="1">
      <c r="B140" s="84"/>
      <c r="C140" s="43" t="s">
        <v>141</v>
      </c>
      <c r="D140" s="42">
        <v>2</v>
      </c>
      <c r="E140" s="41">
        <v>3.1201248049921998E-3</v>
      </c>
    </row>
    <row r="141" spans="2:5" ht="15" customHeight="1">
      <c r="B141" s="84"/>
      <c r="C141" s="43" t="s">
        <v>140</v>
      </c>
      <c r="D141" s="42">
        <v>1</v>
      </c>
      <c r="E141" s="41">
        <v>1.5600624024960999E-3</v>
      </c>
    </row>
    <row r="142" spans="2:5" ht="15" customHeight="1">
      <c r="B142" s="85"/>
      <c r="C142" s="40" t="s">
        <v>22</v>
      </c>
      <c r="D142" s="39">
        <v>40</v>
      </c>
      <c r="E142" s="38">
        <v>6.2402496099843996E-2</v>
      </c>
    </row>
    <row r="143" spans="2:5" ht="15" customHeight="1">
      <c r="B143" s="83" t="s">
        <v>165</v>
      </c>
      <c r="C143" s="43" t="s">
        <v>153</v>
      </c>
      <c r="D143" s="42">
        <v>1</v>
      </c>
      <c r="E143" s="41">
        <v>1.5600624024960999E-3</v>
      </c>
    </row>
    <row r="144" spans="2:5" ht="15" customHeight="1">
      <c r="B144" s="84"/>
      <c r="C144" s="43" t="s">
        <v>152</v>
      </c>
      <c r="D144" s="42">
        <v>1</v>
      </c>
      <c r="E144" s="41">
        <v>1.5600624024960999E-3</v>
      </c>
    </row>
    <row r="145" spans="2:5" ht="15" customHeight="1">
      <c r="B145" s="84"/>
      <c r="C145" s="43" t="s">
        <v>146</v>
      </c>
      <c r="D145" s="42">
        <v>1</v>
      </c>
      <c r="E145" s="41">
        <v>1.5600624024960999E-3</v>
      </c>
    </row>
    <row r="146" spans="2:5" ht="15" customHeight="1">
      <c r="B146" s="84"/>
      <c r="C146" s="43" t="s">
        <v>145</v>
      </c>
      <c r="D146" s="42">
        <v>1</v>
      </c>
      <c r="E146" s="41">
        <v>1.5600624024960999E-3</v>
      </c>
    </row>
    <row r="147" spans="2:5" ht="15" customHeight="1">
      <c r="B147" s="84"/>
      <c r="C147" s="43" t="s">
        <v>140</v>
      </c>
      <c r="D147" s="42">
        <v>1</v>
      </c>
      <c r="E147" s="41">
        <v>1.5600624024960999E-3</v>
      </c>
    </row>
    <row r="148" spans="2:5" ht="15" customHeight="1">
      <c r="B148" s="85"/>
      <c r="C148" s="40" t="s">
        <v>22</v>
      </c>
      <c r="D148" s="39">
        <v>5</v>
      </c>
      <c r="E148" s="38">
        <v>7.8003120124804995E-3</v>
      </c>
    </row>
    <row r="149" spans="2:5" ht="15" customHeight="1">
      <c r="B149" s="83" t="s">
        <v>94</v>
      </c>
      <c r="C149" s="43" t="s">
        <v>153</v>
      </c>
      <c r="D149" s="42">
        <v>1</v>
      </c>
      <c r="E149" s="41">
        <v>1.5600624024960999E-3</v>
      </c>
    </row>
    <row r="150" spans="2:5" ht="15" customHeight="1">
      <c r="B150" s="84"/>
      <c r="C150" s="43" t="s">
        <v>152</v>
      </c>
      <c r="D150" s="42">
        <v>1</v>
      </c>
      <c r="E150" s="41">
        <v>1.5600624024960999E-3</v>
      </c>
    </row>
    <row r="151" spans="2:5" ht="15" customHeight="1">
      <c r="B151" s="84"/>
      <c r="C151" s="43" t="s">
        <v>150</v>
      </c>
      <c r="D151" s="42">
        <v>1</v>
      </c>
      <c r="E151" s="41">
        <v>1.5600624024960999E-3</v>
      </c>
    </row>
    <row r="152" spans="2:5" ht="15" customHeight="1">
      <c r="B152" s="84"/>
      <c r="C152" s="43" t="s">
        <v>148</v>
      </c>
      <c r="D152" s="42">
        <v>8</v>
      </c>
      <c r="E152" s="41">
        <v>1.2480499219968799E-2</v>
      </c>
    </row>
    <row r="153" spans="2:5" ht="15" customHeight="1">
      <c r="B153" s="84"/>
      <c r="C153" s="43" t="s">
        <v>145</v>
      </c>
      <c r="D153" s="42">
        <v>2</v>
      </c>
      <c r="E153" s="41">
        <v>3.1201248049921998E-3</v>
      </c>
    </row>
    <row r="154" spans="2:5" ht="15" customHeight="1">
      <c r="B154" s="84"/>
      <c r="C154" s="43" t="s">
        <v>140</v>
      </c>
      <c r="D154" s="42">
        <v>1</v>
      </c>
      <c r="E154" s="41">
        <v>1.5600624024960999E-3</v>
      </c>
    </row>
    <row r="155" spans="2:5" ht="15" customHeight="1">
      <c r="B155" s="85"/>
      <c r="C155" s="40" t="s">
        <v>22</v>
      </c>
      <c r="D155" s="39">
        <v>14</v>
      </c>
      <c r="E155" s="38">
        <v>2.1840873634945399E-2</v>
      </c>
    </row>
    <row r="156" spans="2:5" ht="15" customHeight="1">
      <c r="B156" s="83" t="s">
        <v>93</v>
      </c>
      <c r="C156" s="43" t="s">
        <v>157</v>
      </c>
      <c r="D156" s="42">
        <v>1</v>
      </c>
      <c r="E156" s="41">
        <v>1.5600624024960999E-3</v>
      </c>
    </row>
    <row r="157" spans="2:5" ht="15" customHeight="1">
      <c r="B157" s="84"/>
      <c r="C157" s="43" t="s">
        <v>155</v>
      </c>
      <c r="D157" s="42">
        <v>1</v>
      </c>
      <c r="E157" s="41">
        <v>1.5600624024960999E-3</v>
      </c>
    </row>
    <row r="158" spans="2:5" ht="15" customHeight="1">
      <c r="B158" s="84"/>
      <c r="C158" s="43" t="s">
        <v>153</v>
      </c>
      <c r="D158" s="42">
        <v>1</v>
      </c>
      <c r="E158" s="41">
        <v>1.5600624024960999E-3</v>
      </c>
    </row>
    <row r="159" spans="2:5" ht="15" customHeight="1">
      <c r="B159" s="84"/>
      <c r="C159" s="43" t="s">
        <v>152</v>
      </c>
      <c r="D159" s="42">
        <v>1</v>
      </c>
      <c r="E159" s="41">
        <v>1.5600624024960999E-3</v>
      </c>
    </row>
    <row r="160" spans="2:5" ht="15" customHeight="1">
      <c r="B160" s="84"/>
      <c r="C160" s="43" t="s">
        <v>150</v>
      </c>
      <c r="D160" s="42">
        <v>1</v>
      </c>
      <c r="E160" s="41">
        <v>1.5600624024960999E-3</v>
      </c>
    </row>
    <row r="161" spans="2:5" ht="15" customHeight="1">
      <c r="B161" s="84"/>
      <c r="C161" s="43" t="s">
        <v>148</v>
      </c>
      <c r="D161" s="42">
        <v>1</v>
      </c>
      <c r="E161" s="41">
        <v>1.5600624024960999E-3</v>
      </c>
    </row>
    <row r="162" spans="2:5" ht="15" customHeight="1">
      <c r="B162" s="84"/>
      <c r="C162" s="43" t="s">
        <v>146</v>
      </c>
      <c r="D162" s="42">
        <v>1</v>
      </c>
      <c r="E162" s="41">
        <v>1.5600624024960999E-3</v>
      </c>
    </row>
    <row r="163" spans="2:5" ht="15" customHeight="1">
      <c r="B163" s="84"/>
      <c r="C163" s="43" t="s">
        <v>145</v>
      </c>
      <c r="D163" s="42">
        <v>2</v>
      </c>
      <c r="E163" s="41">
        <v>3.1201248049921998E-3</v>
      </c>
    </row>
    <row r="164" spans="2:5" ht="15" customHeight="1">
      <c r="B164" s="84"/>
      <c r="C164" s="43" t="s">
        <v>140</v>
      </c>
      <c r="D164" s="42">
        <v>1</v>
      </c>
      <c r="E164" s="41">
        <v>1.5600624024960999E-3</v>
      </c>
    </row>
    <row r="165" spans="2:5" ht="15" customHeight="1">
      <c r="B165" s="85"/>
      <c r="C165" s="40" t="s">
        <v>22</v>
      </c>
      <c r="D165" s="39">
        <v>10</v>
      </c>
      <c r="E165" s="38">
        <v>1.5600624024960999E-2</v>
      </c>
    </row>
    <row r="166" spans="2:5" ht="15" customHeight="1">
      <c r="B166" s="83" t="s">
        <v>86</v>
      </c>
      <c r="C166" s="43" t="s">
        <v>148</v>
      </c>
      <c r="D166" s="42">
        <v>5</v>
      </c>
      <c r="E166" s="41">
        <v>7.8003120124804995E-3</v>
      </c>
    </row>
    <row r="167" spans="2:5" ht="15" customHeight="1">
      <c r="B167" s="84"/>
      <c r="C167" s="43" t="s">
        <v>146</v>
      </c>
      <c r="D167" s="42">
        <v>2</v>
      </c>
      <c r="E167" s="41">
        <v>3.1201248049921998E-3</v>
      </c>
    </row>
    <row r="168" spans="2:5" ht="15" customHeight="1">
      <c r="B168" s="84"/>
      <c r="C168" s="43" t="s">
        <v>145</v>
      </c>
      <c r="D168" s="42">
        <v>2</v>
      </c>
      <c r="E168" s="41">
        <v>3.1201248049921998E-3</v>
      </c>
    </row>
    <row r="169" spans="2:5" ht="15" customHeight="1">
      <c r="B169" s="85"/>
      <c r="C169" s="40" t="s">
        <v>22</v>
      </c>
      <c r="D169" s="39">
        <v>9</v>
      </c>
      <c r="E169" s="38">
        <v>1.4040561622464899E-2</v>
      </c>
    </row>
    <row r="170" spans="2:5" ht="15" customHeight="1">
      <c r="B170" s="83" t="s">
        <v>115</v>
      </c>
      <c r="C170" s="43" t="s">
        <v>156</v>
      </c>
      <c r="D170" s="42">
        <v>1</v>
      </c>
      <c r="E170" s="41">
        <v>1.5600624024960999E-3</v>
      </c>
    </row>
    <row r="171" spans="2:5" ht="15" customHeight="1">
      <c r="B171" s="84"/>
      <c r="C171" s="43" t="s">
        <v>152</v>
      </c>
      <c r="D171" s="42">
        <v>1</v>
      </c>
      <c r="E171" s="41">
        <v>1.5600624024960999E-3</v>
      </c>
    </row>
    <row r="172" spans="2:5" ht="15" customHeight="1">
      <c r="B172" s="84"/>
      <c r="C172" s="43" t="s">
        <v>149</v>
      </c>
      <c r="D172" s="42">
        <v>1</v>
      </c>
      <c r="E172" s="41">
        <v>1.5600624024960999E-3</v>
      </c>
    </row>
    <row r="173" spans="2:5" ht="15" customHeight="1">
      <c r="B173" s="84"/>
      <c r="C173" s="43" t="s">
        <v>148</v>
      </c>
      <c r="D173" s="42">
        <v>3</v>
      </c>
      <c r="E173" s="41">
        <v>4.6801872074882997E-3</v>
      </c>
    </row>
    <row r="174" spans="2:5" ht="15" customHeight="1">
      <c r="B174" s="84"/>
      <c r="C174" s="43" t="s">
        <v>145</v>
      </c>
      <c r="D174" s="42">
        <v>7</v>
      </c>
      <c r="E174" s="41">
        <v>1.0920436817472699E-2</v>
      </c>
    </row>
    <row r="175" spans="2:5" ht="15" customHeight="1">
      <c r="B175" s="84"/>
      <c r="C175" s="43" t="s">
        <v>141</v>
      </c>
      <c r="D175" s="42">
        <v>1</v>
      </c>
      <c r="E175" s="41">
        <v>1.5600624024960999E-3</v>
      </c>
    </row>
    <row r="176" spans="2:5" ht="15" customHeight="1">
      <c r="B176" s="85"/>
      <c r="C176" s="40" t="s">
        <v>22</v>
      </c>
      <c r="D176" s="39">
        <v>14</v>
      </c>
      <c r="E176" s="38">
        <v>2.1840873634945399E-2</v>
      </c>
    </row>
    <row r="177" spans="2:5" ht="15" customHeight="1">
      <c r="B177" s="83" t="s">
        <v>88</v>
      </c>
      <c r="C177" s="43" t="s">
        <v>148</v>
      </c>
      <c r="D177" s="42">
        <v>3</v>
      </c>
      <c r="E177" s="41">
        <v>4.6801872074882997E-3</v>
      </c>
    </row>
    <row r="178" spans="2:5" ht="15" customHeight="1">
      <c r="B178" s="85"/>
      <c r="C178" s="40" t="s">
        <v>22</v>
      </c>
      <c r="D178" s="39">
        <v>3</v>
      </c>
      <c r="E178" s="38">
        <v>4.6801872074882997E-3</v>
      </c>
    </row>
    <row r="179" spans="2:5" ht="15" customHeight="1">
      <c r="B179" s="83" t="s">
        <v>107</v>
      </c>
      <c r="C179" s="43" t="s">
        <v>157</v>
      </c>
      <c r="D179" s="42">
        <v>1</v>
      </c>
      <c r="E179" s="41">
        <v>1.5600624024960999E-3</v>
      </c>
    </row>
    <row r="180" spans="2:5" ht="15" customHeight="1">
      <c r="B180" s="84"/>
      <c r="C180" s="43" t="s">
        <v>156</v>
      </c>
      <c r="D180" s="42">
        <v>1</v>
      </c>
      <c r="E180" s="41">
        <v>1.5600624024960999E-3</v>
      </c>
    </row>
    <row r="181" spans="2:5" ht="15" customHeight="1">
      <c r="B181" s="84"/>
      <c r="C181" s="43" t="s">
        <v>155</v>
      </c>
      <c r="D181" s="42">
        <v>1</v>
      </c>
      <c r="E181" s="41">
        <v>1.5600624024960999E-3</v>
      </c>
    </row>
    <row r="182" spans="2:5" ht="15" customHeight="1">
      <c r="B182" s="84"/>
      <c r="C182" s="43" t="s">
        <v>153</v>
      </c>
      <c r="D182" s="42">
        <v>2</v>
      </c>
      <c r="E182" s="41">
        <v>3.1201248049921998E-3</v>
      </c>
    </row>
    <row r="183" spans="2:5" ht="15" customHeight="1">
      <c r="B183" s="84"/>
      <c r="C183" s="43" t="s">
        <v>152</v>
      </c>
      <c r="D183" s="42">
        <v>2</v>
      </c>
      <c r="E183" s="41">
        <v>3.1201248049921998E-3</v>
      </c>
    </row>
    <row r="184" spans="2:5" ht="15" customHeight="1">
      <c r="B184" s="84"/>
      <c r="C184" s="43" t="s">
        <v>151</v>
      </c>
      <c r="D184" s="42">
        <v>1</v>
      </c>
      <c r="E184" s="41">
        <v>1.5600624024960999E-3</v>
      </c>
    </row>
    <row r="185" spans="2:5" ht="15" customHeight="1">
      <c r="B185" s="84"/>
      <c r="C185" s="43" t="s">
        <v>148</v>
      </c>
      <c r="D185" s="42">
        <v>9</v>
      </c>
      <c r="E185" s="41">
        <v>1.4040561622464899E-2</v>
      </c>
    </row>
    <row r="186" spans="2:5" ht="15" customHeight="1">
      <c r="B186" s="84"/>
      <c r="C186" s="43" t="s">
        <v>146</v>
      </c>
      <c r="D186" s="42">
        <v>4</v>
      </c>
      <c r="E186" s="41">
        <v>6.2402496099843996E-3</v>
      </c>
    </row>
    <row r="187" spans="2:5" ht="15" customHeight="1">
      <c r="B187" s="84"/>
      <c r="C187" s="43" t="s">
        <v>145</v>
      </c>
      <c r="D187" s="42">
        <v>3</v>
      </c>
      <c r="E187" s="41">
        <v>4.6801872074882997E-3</v>
      </c>
    </row>
    <row r="188" spans="2:5" ht="15" customHeight="1">
      <c r="B188" s="85"/>
      <c r="C188" s="40" t="s">
        <v>22</v>
      </c>
      <c r="D188" s="39">
        <v>24</v>
      </c>
      <c r="E188" s="38">
        <v>3.7441497659906398E-2</v>
      </c>
    </row>
    <row r="189" spans="2:5" ht="15" customHeight="1">
      <c r="B189" s="83" t="s">
        <v>103</v>
      </c>
      <c r="C189" s="43" t="s">
        <v>157</v>
      </c>
      <c r="D189" s="42">
        <v>1</v>
      </c>
      <c r="E189" s="41">
        <v>1.5600624024960999E-3</v>
      </c>
    </row>
    <row r="190" spans="2:5" ht="15" customHeight="1">
      <c r="B190" s="84"/>
      <c r="C190" s="43" t="s">
        <v>153</v>
      </c>
      <c r="D190" s="42">
        <v>1</v>
      </c>
      <c r="E190" s="41">
        <v>1.5600624024960999E-3</v>
      </c>
    </row>
    <row r="191" spans="2:5" ht="15" customHeight="1">
      <c r="B191" s="84"/>
      <c r="C191" s="43" t="s">
        <v>152</v>
      </c>
      <c r="D191" s="42">
        <v>1</v>
      </c>
      <c r="E191" s="41">
        <v>1.5600624024960999E-3</v>
      </c>
    </row>
    <row r="192" spans="2:5" ht="15" customHeight="1">
      <c r="B192" s="84"/>
      <c r="C192" s="43" t="s">
        <v>145</v>
      </c>
      <c r="D192" s="42">
        <v>1</v>
      </c>
      <c r="E192" s="41">
        <v>1.5600624024960999E-3</v>
      </c>
    </row>
    <row r="193" spans="2:5" ht="15" customHeight="1">
      <c r="B193" s="85"/>
      <c r="C193" s="40" t="s">
        <v>22</v>
      </c>
      <c r="D193" s="39">
        <v>4</v>
      </c>
      <c r="E193" s="38">
        <v>6.2402496099843996E-3</v>
      </c>
    </row>
    <row r="194" spans="2:5" ht="15" customHeight="1">
      <c r="B194" s="83" t="s">
        <v>91</v>
      </c>
      <c r="C194" s="43" t="s">
        <v>151</v>
      </c>
      <c r="D194" s="42">
        <v>1</v>
      </c>
      <c r="E194" s="41">
        <v>1.5600624024960999E-3</v>
      </c>
    </row>
    <row r="195" spans="2:5" ht="15" customHeight="1">
      <c r="B195" s="84"/>
      <c r="C195" s="43" t="s">
        <v>149</v>
      </c>
      <c r="D195" s="42">
        <v>1</v>
      </c>
      <c r="E195" s="41">
        <v>1.5600624024960999E-3</v>
      </c>
    </row>
    <row r="196" spans="2:5" ht="15" customHeight="1">
      <c r="B196" s="84"/>
      <c r="C196" s="43" t="s">
        <v>148</v>
      </c>
      <c r="D196" s="42">
        <v>2</v>
      </c>
      <c r="E196" s="41">
        <v>3.1201248049921998E-3</v>
      </c>
    </row>
    <row r="197" spans="2:5" ht="15" customHeight="1">
      <c r="B197" s="84"/>
      <c r="C197" s="43" t="s">
        <v>147</v>
      </c>
      <c r="D197" s="42">
        <v>1</v>
      </c>
      <c r="E197" s="41">
        <v>1.5600624024960999E-3</v>
      </c>
    </row>
    <row r="198" spans="2:5" ht="15" customHeight="1">
      <c r="B198" s="84"/>
      <c r="C198" s="43" t="s">
        <v>145</v>
      </c>
      <c r="D198" s="42">
        <v>2</v>
      </c>
      <c r="E198" s="41">
        <v>3.1201248049921998E-3</v>
      </c>
    </row>
    <row r="199" spans="2:5" ht="15" customHeight="1">
      <c r="B199" s="85"/>
      <c r="C199" s="40" t="s">
        <v>22</v>
      </c>
      <c r="D199" s="39">
        <v>7</v>
      </c>
      <c r="E199" s="38">
        <v>1.0920436817472699E-2</v>
      </c>
    </row>
    <row r="200" spans="2:5" ht="15" customHeight="1">
      <c r="B200" s="83" t="s">
        <v>95</v>
      </c>
      <c r="C200" s="43" t="s">
        <v>156</v>
      </c>
      <c r="D200" s="42">
        <v>1</v>
      </c>
      <c r="E200" s="41">
        <v>1.5600624024960999E-3</v>
      </c>
    </row>
    <row r="201" spans="2:5" ht="15" customHeight="1">
      <c r="B201" s="84"/>
      <c r="C201" s="43" t="s">
        <v>154</v>
      </c>
      <c r="D201" s="42">
        <v>1</v>
      </c>
      <c r="E201" s="41">
        <v>1.5600624024960999E-3</v>
      </c>
    </row>
    <row r="202" spans="2:5" ht="15" customHeight="1">
      <c r="B202" s="84"/>
      <c r="C202" s="43" t="s">
        <v>153</v>
      </c>
      <c r="D202" s="42">
        <v>1</v>
      </c>
      <c r="E202" s="41">
        <v>1.5600624024960999E-3</v>
      </c>
    </row>
    <row r="203" spans="2:5" ht="15" customHeight="1">
      <c r="B203" s="84"/>
      <c r="C203" s="43" t="s">
        <v>152</v>
      </c>
      <c r="D203" s="42">
        <v>1</v>
      </c>
      <c r="E203" s="41">
        <v>1.5600624024960999E-3</v>
      </c>
    </row>
    <row r="204" spans="2:5" ht="15" customHeight="1">
      <c r="B204" s="84"/>
      <c r="C204" s="43" t="s">
        <v>149</v>
      </c>
      <c r="D204" s="42">
        <v>1</v>
      </c>
      <c r="E204" s="41">
        <v>1.5600624024960999E-3</v>
      </c>
    </row>
    <row r="205" spans="2:5" ht="15" customHeight="1">
      <c r="B205" s="84"/>
      <c r="C205" s="43" t="s">
        <v>148</v>
      </c>
      <c r="D205" s="42">
        <v>5</v>
      </c>
      <c r="E205" s="41">
        <v>7.8003120124804995E-3</v>
      </c>
    </row>
    <row r="206" spans="2:5" ht="15" customHeight="1">
      <c r="B206" s="84"/>
      <c r="C206" s="43" t="s">
        <v>146</v>
      </c>
      <c r="D206" s="42">
        <v>1</v>
      </c>
      <c r="E206" s="41">
        <v>1.5600624024960999E-3</v>
      </c>
    </row>
    <row r="207" spans="2:5" ht="15" customHeight="1">
      <c r="B207" s="84"/>
      <c r="C207" s="43" t="s">
        <v>145</v>
      </c>
      <c r="D207" s="42">
        <v>6</v>
      </c>
      <c r="E207" s="41">
        <v>9.3603744149765994E-3</v>
      </c>
    </row>
    <row r="208" spans="2:5" ht="15" customHeight="1">
      <c r="B208" s="85"/>
      <c r="C208" s="40" t="s">
        <v>22</v>
      </c>
      <c r="D208" s="39">
        <v>17</v>
      </c>
      <c r="E208" s="38">
        <v>2.6521060842433698E-2</v>
      </c>
    </row>
    <row r="209" spans="2:5" ht="15" customHeight="1">
      <c r="B209" s="83" t="s">
        <v>79</v>
      </c>
      <c r="C209" s="43" t="s">
        <v>148</v>
      </c>
      <c r="D209" s="42">
        <v>1</v>
      </c>
      <c r="E209" s="41">
        <v>1.5600624024960999E-3</v>
      </c>
    </row>
    <row r="210" spans="2:5" ht="15" customHeight="1">
      <c r="B210" s="85"/>
      <c r="C210" s="40" t="s">
        <v>22</v>
      </c>
      <c r="D210" s="39">
        <v>1</v>
      </c>
      <c r="E210" s="38">
        <v>1.5600624024960999E-3</v>
      </c>
    </row>
    <row r="211" spans="2:5" ht="15" customHeight="1">
      <c r="B211" s="83" t="s">
        <v>113</v>
      </c>
      <c r="C211" s="43" t="s">
        <v>154</v>
      </c>
      <c r="D211" s="42">
        <v>1</v>
      </c>
      <c r="E211" s="41">
        <v>1.5600624024960999E-3</v>
      </c>
    </row>
    <row r="212" spans="2:5" ht="15" customHeight="1">
      <c r="B212" s="84"/>
      <c r="C212" s="43" t="s">
        <v>152</v>
      </c>
      <c r="D212" s="42">
        <v>4</v>
      </c>
      <c r="E212" s="41">
        <v>6.2402496099843996E-3</v>
      </c>
    </row>
    <row r="213" spans="2:5" ht="15" customHeight="1">
      <c r="B213" s="84"/>
      <c r="C213" s="43" t="s">
        <v>150</v>
      </c>
      <c r="D213" s="42">
        <v>1</v>
      </c>
      <c r="E213" s="41">
        <v>1.5600624024960999E-3</v>
      </c>
    </row>
    <row r="214" spans="2:5" ht="15" customHeight="1">
      <c r="B214" s="84"/>
      <c r="C214" s="43" t="s">
        <v>149</v>
      </c>
      <c r="D214" s="42">
        <v>1</v>
      </c>
      <c r="E214" s="41">
        <v>1.5600624024960999E-3</v>
      </c>
    </row>
    <row r="215" spans="2:5" ht="15" customHeight="1">
      <c r="B215" s="84"/>
      <c r="C215" s="43" t="s">
        <v>148</v>
      </c>
      <c r="D215" s="42">
        <v>12</v>
      </c>
      <c r="E215" s="41">
        <v>1.8720748829953199E-2</v>
      </c>
    </row>
    <row r="216" spans="2:5" ht="15" customHeight="1">
      <c r="B216" s="84"/>
      <c r="C216" s="43" t="s">
        <v>146</v>
      </c>
      <c r="D216" s="42">
        <v>7</v>
      </c>
      <c r="E216" s="41">
        <v>1.0920436817472699E-2</v>
      </c>
    </row>
    <row r="217" spans="2:5" ht="15" customHeight="1">
      <c r="B217" s="84"/>
      <c r="C217" s="43" t="s">
        <v>145</v>
      </c>
      <c r="D217" s="42">
        <v>1</v>
      </c>
      <c r="E217" s="41">
        <v>1.5600624024960999E-3</v>
      </c>
    </row>
    <row r="218" spans="2:5" ht="15" customHeight="1">
      <c r="B218" s="84"/>
      <c r="C218" s="43" t="s">
        <v>144</v>
      </c>
      <c r="D218" s="42">
        <v>1</v>
      </c>
      <c r="E218" s="41">
        <v>1.5600624024960999E-3</v>
      </c>
    </row>
    <row r="219" spans="2:5" ht="15" customHeight="1">
      <c r="B219" s="84"/>
      <c r="C219" s="43" t="s">
        <v>140</v>
      </c>
      <c r="D219" s="42">
        <v>1</v>
      </c>
      <c r="E219" s="41">
        <v>1.5600624024960999E-3</v>
      </c>
    </row>
    <row r="220" spans="2:5" ht="15" customHeight="1">
      <c r="B220" s="85"/>
      <c r="C220" s="40" t="s">
        <v>22</v>
      </c>
      <c r="D220" s="39">
        <v>29</v>
      </c>
      <c r="E220" s="38">
        <v>4.5241809672386897E-2</v>
      </c>
    </row>
    <row r="221" spans="2:5" ht="15" customHeight="1">
      <c r="B221" s="83" t="s">
        <v>105</v>
      </c>
      <c r="C221" s="43" t="s">
        <v>152</v>
      </c>
      <c r="D221" s="42">
        <v>2</v>
      </c>
      <c r="E221" s="41">
        <v>3.1201248049921998E-3</v>
      </c>
    </row>
    <row r="222" spans="2:5" ht="15" customHeight="1">
      <c r="B222" s="84"/>
      <c r="C222" s="43" t="s">
        <v>148</v>
      </c>
      <c r="D222" s="42">
        <v>7</v>
      </c>
      <c r="E222" s="41">
        <v>1.0920436817472699E-2</v>
      </c>
    </row>
    <row r="223" spans="2:5" ht="15" customHeight="1">
      <c r="B223" s="84"/>
      <c r="C223" s="43" t="s">
        <v>145</v>
      </c>
      <c r="D223" s="42">
        <v>1</v>
      </c>
      <c r="E223" s="41">
        <v>1.5600624024960999E-3</v>
      </c>
    </row>
    <row r="224" spans="2:5" ht="15" customHeight="1">
      <c r="B224" s="85"/>
      <c r="C224" s="40" t="s">
        <v>22</v>
      </c>
      <c r="D224" s="39">
        <v>10</v>
      </c>
      <c r="E224" s="38">
        <v>1.5600624024960999E-2</v>
      </c>
    </row>
    <row r="225" spans="2:5" ht="15" customHeight="1">
      <c r="B225" s="83" t="s">
        <v>90</v>
      </c>
      <c r="C225" s="43" t="s">
        <v>157</v>
      </c>
      <c r="D225" s="42">
        <v>3</v>
      </c>
      <c r="E225" s="41">
        <v>4.6801872074882997E-3</v>
      </c>
    </row>
    <row r="226" spans="2:5" ht="15" customHeight="1">
      <c r="B226" s="84"/>
      <c r="C226" s="43" t="s">
        <v>152</v>
      </c>
      <c r="D226" s="42">
        <v>3</v>
      </c>
      <c r="E226" s="41">
        <v>4.6801872074882997E-3</v>
      </c>
    </row>
    <row r="227" spans="2:5" ht="15" customHeight="1">
      <c r="B227" s="84"/>
      <c r="C227" s="43" t="s">
        <v>150</v>
      </c>
      <c r="D227" s="42">
        <v>1</v>
      </c>
      <c r="E227" s="41">
        <v>1.5600624024960999E-3</v>
      </c>
    </row>
    <row r="228" spans="2:5" ht="15" customHeight="1">
      <c r="B228" s="84"/>
      <c r="C228" s="43" t="s">
        <v>148</v>
      </c>
      <c r="D228" s="42">
        <v>6</v>
      </c>
      <c r="E228" s="41">
        <v>9.3603744149765994E-3</v>
      </c>
    </row>
    <row r="229" spans="2:5" ht="15" customHeight="1">
      <c r="B229" s="84"/>
      <c r="C229" s="43" t="s">
        <v>146</v>
      </c>
      <c r="D229" s="42">
        <v>1</v>
      </c>
      <c r="E229" s="41">
        <v>1.5600624024960999E-3</v>
      </c>
    </row>
    <row r="230" spans="2:5" ht="15" customHeight="1">
      <c r="B230" s="84"/>
      <c r="C230" s="43" t="s">
        <v>145</v>
      </c>
      <c r="D230" s="42">
        <v>6</v>
      </c>
      <c r="E230" s="41">
        <v>9.3603744149765994E-3</v>
      </c>
    </row>
    <row r="231" spans="2:5" ht="15" customHeight="1">
      <c r="B231" s="85"/>
      <c r="C231" s="40" t="s">
        <v>22</v>
      </c>
      <c r="D231" s="39">
        <v>20</v>
      </c>
      <c r="E231" s="38">
        <v>3.1201248049921998E-2</v>
      </c>
    </row>
    <row r="232" spans="2:5" ht="15" customHeight="1">
      <c r="B232" s="83" t="s">
        <v>92</v>
      </c>
      <c r="C232" s="43" t="s">
        <v>153</v>
      </c>
      <c r="D232" s="42">
        <v>1</v>
      </c>
      <c r="E232" s="41">
        <v>1.5600624024960999E-3</v>
      </c>
    </row>
    <row r="233" spans="2:5" ht="15" customHeight="1">
      <c r="B233" s="84"/>
      <c r="C233" s="43" t="s">
        <v>148</v>
      </c>
      <c r="D233" s="42">
        <v>2</v>
      </c>
      <c r="E233" s="41">
        <v>3.1201248049921998E-3</v>
      </c>
    </row>
    <row r="234" spans="2:5" ht="15" customHeight="1">
      <c r="B234" s="84"/>
      <c r="C234" s="43" t="s">
        <v>146</v>
      </c>
      <c r="D234" s="42">
        <v>2</v>
      </c>
      <c r="E234" s="41">
        <v>3.1201248049921998E-3</v>
      </c>
    </row>
    <row r="235" spans="2:5" ht="15" customHeight="1">
      <c r="B235" s="84"/>
      <c r="C235" s="43" t="s">
        <v>145</v>
      </c>
      <c r="D235" s="42">
        <v>4</v>
      </c>
      <c r="E235" s="41">
        <v>6.2402496099843996E-3</v>
      </c>
    </row>
    <row r="236" spans="2:5" ht="15" customHeight="1">
      <c r="B236" s="85"/>
      <c r="C236" s="40" t="s">
        <v>22</v>
      </c>
      <c r="D236" s="39">
        <v>9</v>
      </c>
      <c r="E236" s="38">
        <v>1.4040561622464899E-2</v>
      </c>
    </row>
    <row r="237" spans="2:5" ht="15" customHeight="1">
      <c r="B237" s="83" t="s">
        <v>100</v>
      </c>
      <c r="C237" s="43" t="s">
        <v>148</v>
      </c>
      <c r="D237" s="42">
        <v>2</v>
      </c>
      <c r="E237" s="41">
        <v>3.1201248049921998E-3</v>
      </c>
    </row>
    <row r="238" spans="2:5" ht="15" customHeight="1">
      <c r="B238" s="84"/>
      <c r="C238" s="43" t="s">
        <v>145</v>
      </c>
      <c r="D238" s="42">
        <v>1</v>
      </c>
      <c r="E238" s="41">
        <v>1.5600624024960999E-3</v>
      </c>
    </row>
    <row r="239" spans="2:5" ht="15" customHeight="1">
      <c r="B239" s="85"/>
      <c r="C239" s="40" t="s">
        <v>22</v>
      </c>
      <c r="D239" s="39">
        <v>3</v>
      </c>
      <c r="E239" s="38">
        <v>4.6801872074882997E-3</v>
      </c>
    </row>
    <row r="240" spans="2:5" ht="15" customHeight="1">
      <c r="B240" s="83" t="s">
        <v>112</v>
      </c>
      <c r="C240" s="43" t="s">
        <v>149</v>
      </c>
      <c r="D240" s="42">
        <v>1</v>
      </c>
      <c r="E240" s="41">
        <v>1.5600624024960999E-3</v>
      </c>
    </row>
    <row r="241" spans="2:5" ht="15" customHeight="1">
      <c r="B241" s="84"/>
      <c r="C241" s="43" t="s">
        <v>148</v>
      </c>
      <c r="D241" s="42">
        <v>1</v>
      </c>
      <c r="E241" s="41">
        <v>1.5600624024960999E-3</v>
      </c>
    </row>
    <row r="242" spans="2:5" ht="15" customHeight="1">
      <c r="B242" s="84"/>
      <c r="C242" s="43" t="s">
        <v>146</v>
      </c>
      <c r="D242" s="42">
        <v>1</v>
      </c>
      <c r="E242" s="41">
        <v>1.5600624024960999E-3</v>
      </c>
    </row>
    <row r="243" spans="2:5" ht="15" customHeight="1">
      <c r="B243" s="84"/>
      <c r="C243" s="43" t="s">
        <v>145</v>
      </c>
      <c r="D243" s="42">
        <v>2</v>
      </c>
      <c r="E243" s="41">
        <v>3.1201248049921998E-3</v>
      </c>
    </row>
    <row r="244" spans="2:5" ht="15" customHeight="1">
      <c r="B244" s="85"/>
      <c r="C244" s="40" t="s">
        <v>22</v>
      </c>
      <c r="D244" s="39">
        <v>5</v>
      </c>
      <c r="E244" s="38">
        <v>7.8003120124804995E-3</v>
      </c>
    </row>
    <row r="245" spans="2:5" ht="15" customHeight="1">
      <c r="B245" s="83" t="s">
        <v>96</v>
      </c>
      <c r="C245" s="43" t="s">
        <v>152</v>
      </c>
      <c r="D245" s="42">
        <v>1</v>
      </c>
      <c r="E245" s="41">
        <v>1.5600624024960999E-3</v>
      </c>
    </row>
    <row r="246" spans="2:5" ht="15" customHeight="1">
      <c r="B246" s="85"/>
      <c r="C246" s="40" t="s">
        <v>22</v>
      </c>
      <c r="D246" s="39">
        <v>1</v>
      </c>
      <c r="E246" s="38">
        <v>1.5600624024960999E-3</v>
      </c>
    </row>
    <row r="247" spans="2:5" ht="15" customHeight="1">
      <c r="B247" s="83" t="s">
        <v>109</v>
      </c>
      <c r="C247" s="43" t="s">
        <v>159</v>
      </c>
      <c r="D247" s="42">
        <v>2</v>
      </c>
      <c r="E247" s="41">
        <v>3.1201248049921998E-3</v>
      </c>
    </row>
    <row r="248" spans="2:5" ht="15" customHeight="1">
      <c r="B248" s="84"/>
      <c r="C248" s="43" t="s">
        <v>157</v>
      </c>
      <c r="D248" s="42">
        <v>2</v>
      </c>
      <c r="E248" s="41">
        <v>3.1201248049921998E-3</v>
      </c>
    </row>
    <row r="249" spans="2:5" ht="15" customHeight="1">
      <c r="B249" s="84"/>
      <c r="C249" s="43" t="s">
        <v>154</v>
      </c>
      <c r="D249" s="42">
        <v>1</v>
      </c>
      <c r="E249" s="41">
        <v>1.5600624024960999E-3</v>
      </c>
    </row>
    <row r="250" spans="2:5" ht="15" customHeight="1">
      <c r="B250" s="84"/>
      <c r="C250" s="43" t="s">
        <v>153</v>
      </c>
      <c r="D250" s="42">
        <v>7</v>
      </c>
      <c r="E250" s="41">
        <v>1.0920436817472699E-2</v>
      </c>
    </row>
    <row r="251" spans="2:5" ht="15" customHeight="1">
      <c r="B251" s="84"/>
      <c r="C251" s="43" t="s">
        <v>152</v>
      </c>
      <c r="D251" s="42">
        <v>7</v>
      </c>
      <c r="E251" s="41">
        <v>1.0920436817472699E-2</v>
      </c>
    </row>
    <row r="252" spans="2:5" ht="15" customHeight="1">
      <c r="B252" s="84"/>
      <c r="C252" s="43" t="s">
        <v>151</v>
      </c>
      <c r="D252" s="42">
        <v>1</v>
      </c>
      <c r="E252" s="41">
        <v>1.5600624024960999E-3</v>
      </c>
    </row>
    <row r="253" spans="2:5" ht="15" customHeight="1">
      <c r="B253" s="84"/>
      <c r="C253" s="43" t="s">
        <v>149</v>
      </c>
      <c r="D253" s="42">
        <v>3</v>
      </c>
      <c r="E253" s="41">
        <v>4.6801872074882997E-3</v>
      </c>
    </row>
    <row r="254" spans="2:5" ht="15" customHeight="1">
      <c r="B254" s="84"/>
      <c r="C254" s="43" t="s">
        <v>148</v>
      </c>
      <c r="D254" s="42">
        <v>27</v>
      </c>
      <c r="E254" s="41">
        <v>4.2121684867394697E-2</v>
      </c>
    </row>
    <row r="255" spans="2:5" ht="15" customHeight="1">
      <c r="B255" s="84"/>
      <c r="C255" s="43" t="s">
        <v>146</v>
      </c>
      <c r="D255" s="42">
        <v>4</v>
      </c>
      <c r="E255" s="41">
        <v>6.2402496099843996E-3</v>
      </c>
    </row>
    <row r="256" spans="2:5" ht="15" customHeight="1">
      <c r="B256" s="84"/>
      <c r="C256" s="43" t="s">
        <v>145</v>
      </c>
      <c r="D256" s="42">
        <v>12</v>
      </c>
      <c r="E256" s="41">
        <v>1.8720748829953199E-2</v>
      </c>
    </row>
    <row r="257" spans="2:5" ht="15" customHeight="1">
      <c r="B257" s="84"/>
      <c r="C257" s="43" t="s">
        <v>141</v>
      </c>
      <c r="D257" s="42">
        <v>1</v>
      </c>
      <c r="E257" s="41">
        <v>1.5600624024960999E-3</v>
      </c>
    </row>
    <row r="258" spans="2:5" ht="15" customHeight="1">
      <c r="B258" s="84"/>
      <c r="C258" s="43" t="s">
        <v>140</v>
      </c>
      <c r="D258" s="42">
        <v>4</v>
      </c>
      <c r="E258" s="41">
        <v>6.2402496099843996E-3</v>
      </c>
    </row>
    <row r="259" spans="2:5" ht="15" customHeight="1">
      <c r="B259" s="85"/>
      <c r="C259" s="40" t="s">
        <v>22</v>
      </c>
      <c r="D259" s="39">
        <v>71</v>
      </c>
      <c r="E259" s="38">
        <v>0.11076443057722309</v>
      </c>
    </row>
    <row r="260" spans="2:5" ht="15" customHeight="1">
      <c r="B260" s="83" t="s">
        <v>164</v>
      </c>
      <c r="C260" s="43" t="s">
        <v>159</v>
      </c>
      <c r="D260" s="42">
        <v>1</v>
      </c>
      <c r="E260" s="41">
        <v>1.5600624024960999E-3</v>
      </c>
    </row>
    <row r="261" spans="2:5" ht="15" customHeight="1">
      <c r="B261" s="84"/>
      <c r="C261" s="43" t="s">
        <v>152</v>
      </c>
      <c r="D261" s="42">
        <v>2</v>
      </c>
      <c r="E261" s="41">
        <v>3.1201248049921998E-3</v>
      </c>
    </row>
    <row r="262" spans="2:5" ht="15" customHeight="1">
      <c r="B262" s="84"/>
      <c r="C262" s="43" t="s">
        <v>151</v>
      </c>
      <c r="D262" s="42">
        <v>1</v>
      </c>
      <c r="E262" s="41">
        <v>1.5600624024960999E-3</v>
      </c>
    </row>
    <row r="263" spans="2:5" ht="15" customHeight="1">
      <c r="B263" s="84"/>
      <c r="C263" s="43" t="s">
        <v>150</v>
      </c>
      <c r="D263" s="42">
        <v>1</v>
      </c>
      <c r="E263" s="41">
        <v>1.5600624024960999E-3</v>
      </c>
    </row>
    <row r="264" spans="2:5" ht="15" customHeight="1">
      <c r="B264" s="84"/>
      <c r="C264" s="43" t="s">
        <v>148</v>
      </c>
      <c r="D264" s="42">
        <v>4</v>
      </c>
      <c r="E264" s="41">
        <v>6.2402496099843996E-3</v>
      </c>
    </row>
    <row r="265" spans="2:5" ht="15" customHeight="1">
      <c r="B265" s="84"/>
      <c r="C265" s="43" t="s">
        <v>145</v>
      </c>
      <c r="D265" s="42">
        <v>1</v>
      </c>
      <c r="E265" s="41">
        <v>1.5600624024960999E-3</v>
      </c>
    </row>
    <row r="266" spans="2:5" ht="15" customHeight="1">
      <c r="B266" s="85"/>
      <c r="C266" s="40" t="s">
        <v>22</v>
      </c>
      <c r="D266" s="39">
        <v>10</v>
      </c>
      <c r="E266" s="38">
        <v>1.5600624024960999E-2</v>
      </c>
    </row>
    <row r="267" spans="2:5" ht="15" customHeight="1">
      <c r="B267" s="83" t="s">
        <v>111</v>
      </c>
      <c r="C267" s="43" t="s">
        <v>154</v>
      </c>
      <c r="D267" s="42">
        <v>1</v>
      </c>
      <c r="E267" s="41">
        <v>1.5600624024960999E-3</v>
      </c>
    </row>
    <row r="268" spans="2:5" ht="15" customHeight="1">
      <c r="B268" s="84"/>
      <c r="C268" s="43" t="s">
        <v>153</v>
      </c>
      <c r="D268" s="42">
        <v>1</v>
      </c>
      <c r="E268" s="41">
        <v>1.5600624024960999E-3</v>
      </c>
    </row>
    <row r="269" spans="2:5" ht="15" customHeight="1">
      <c r="B269" s="84"/>
      <c r="C269" s="43" t="s">
        <v>152</v>
      </c>
      <c r="D269" s="42">
        <v>1</v>
      </c>
      <c r="E269" s="41">
        <v>1.5600624024960999E-3</v>
      </c>
    </row>
    <row r="270" spans="2:5" ht="15" customHeight="1">
      <c r="B270" s="84"/>
      <c r="C270" s="43" t="s">
        <v>148</v>
      </c>
      <c r="D270" s="42">
        <v>4</v>
      </c>
      <c r="E270" s="41">
        <v>6.2402496099843996E-3</v>
      </c>
    </row>
    <row r="271" spans="2:5" ht="15" customHeight="1">
      <c r="B271" s="84"/>
      <c r="C271" s="43" t="s">
        <v>146</v>
      </c>
      <c r="D271" s="42">
        <v>5</v>
      </c>
      <c r="E271" s="41">
        <v>7.8003120124804995E-3</v>
      </c>
    </row>
    <row r="272" spans="2:5" ht="15" customHeight="1">
      <c r="B272" s="84"/>
      <c r="C272" s="43" t="s">
        <v>145</v>
      </c>
      <c r="D272" s="42">
        <v>6</v>
      </c>
      <c r="E272" s="41">
        <v>9.3603744149765994E-3</v>
      </c>
    </row>
    <row r="273" spans="2:5" ht="15" customHeight="1">
      <c r="B273" s="84"/>
      <c r="C273" s="43" t="s">
        <v>143</v>
      </c>
      <c r="D273" s="42">
        <v>1</v>
      </c>
      <c r="E273" s="41">
        <v>1.5600624024960999E-3</v>
      </c>
    </row>
    <row r="274" spans="2:5" ht="15" customHeight="1">
      <c r="B274" s="85"/>
      <c r="C274" s="40" t="s">
        <v>22</v>
      </c>
      <c r="D274" s="39">
        <v>19</v>
      </c>
      <c r="E274" s="38">
        <v>2.9641185647425898E-2</v>
      </c>
    </row>
    <row r="275" spans="2:5" ht="15" customHeight="1">
      <c r="B275" s="83" t="s">
        <v>89</v>
      </c>
      <c r="C275" s="43" t="s">
        <v>152</v>
      </c>
      <c r="D275" s="42">
        <v>1</v>
      </c>
      <c r="E275" s="41">
        <v>1.5600624024960999E-3</v>
      </c>
    </row>
    <row r="276" spans="2:5" ht="15" customHeight="1">
      <c r="B276" s="84"/>
      <c r="C276" s="43" t="s">
        <v>148</v>
      </c>
      <c r="D276" s="42">
        <v>3</v>
      </c>
      <c r="E276" s="41">
        <v>4.6801872074882997E-3</v>
      </c>
    </row>
    <row r="277" spans="2:5" ht="15" customHeight="1">
      <c r="B277" s="84"/>
      <c r="C277" s="43" t="s">
        <v>145</v>
      </c>
      <c r="D277" s="42">
        <v>2</v>
      </c>
      <c r="E277" s="41">
        <v>3.1201248049921998E-3</v>
      </c>
    </row>
    <row r="278" spans="2:5" ht="15" customHeight="1">
      <c r="B278" s="84"/>
      <c r="C278" s="43" t="s">
        <v>140</v>
      </c>
      <c r="D278" s="42">
        <v>2</v>
      </c>
      <c r="E278" s="41">
        <v>3.1201248049921998E-3</v>
      </c>
    </row>
    <row r="279" spans="2:5" ht="15" customHeight="1">
      <c r="B279" s="85"/>
      <c r="C279" s="40" t="s">
        <v>22</v>
      </c>
      <c r="D279" s="39">
        <v>8</v>
      </c>
      <c r="E279" s="38">
        <v>1.2480499219968799E-2</v>
      </c>
    </row>
    <row r="280" spans="2:5" ht="15" customHeight="1">
      <c r="B280" s="83" t="s">
        <v>47</v>
      </c>
      <c r="C280" s="43" t="s">
        <v>156</v>
      </c>
      <c r="D280" s="42">
        <v>1</v>
      </c>
      <c r="E280" s="41">
        <v>1.5600624024960999E-3</v>
      </c>
    </row>
    <row r="281" spans="2:5" ht="15" customHeight="1">
      <c r="B281" s="84"/>
      <c r="C281" s="43" t="s">
        <v>153</v>
      </c>
      <c r="D281" s="42">
        <v>1</v>
      </c>
      <c r="E281" s="41">
        <v>1.5600624024960999E-3</v>
      </c>
    </row>
    <row r="282" spans="2:5" ht="15" customHeight="1">
      <c r="B282" s="84"/>
      <c r="C282" s="43" t="s">
        <v>152</v>
      </c>
      <c r="D282" s="42">
        <v>3</v>
      </c>
      <c r="E282" s="41">
        <v>4.6801872074882997E-3</v>
      </c>
    </row>
    <row r="283" spans="2:5" ht="15" customHeight="1">
      <c r="B283" s="84"/>
      <c r="C283" s="43" t="s">
        <v>149</v>
      </c>
      <c r="D283" s="42">
        <v>3</v>
      </c>
      <c r="E283" s="41">
        <v>4.6801872074882997E-3</v>
      </c>
    </row>
    <row r="284" spans="2:5" ht="15" customHeight="1">
      <c r="B284" s="84"/>
      <c r="C284" s="43" t="s">
        <v>148</v>
      </c>
      <c r="D284" s="42">
        <v>8</v>
      </c>
      <c r="E284" s="41">
        <v>1.2480499219968799E-2</v>
      </c>
    </row>
    <row r="285" spans="2:5" ht="15" customHeight="1">
      <c r="B285" s="84"/>
      <c r="C285" s="43" t="s">
        <v>146</v>
      </c>
      <c r="D285" s="42">
        <v>1</v>
      </c>
      <c r="E285" s="41">
        <v>1.5600624024960999E-3</v>
      </c>
    </row>
    <row r="286" spans="2:5" ht="15" customHeight="1">
      <c r="B286" s="84"/>
      <c r="C286" s="43" t="s">
        <v>145</v>
      </c>
      <c r="D286" s="42">
        <v>5</v>
      </c>
      <c r="E286" s="41">
        <v>7.8003120124804995E-3</v>
      </c>
    </row>
    <row r="287" spans="2:5" ht="15" customHeight="1">
      <c r="B287" s="84"/>
      <c r="C287" s="43" t="s">
        <v>140</v>
      </c>
      <c r="D287" s="42">
        <v>2</v>
      </c>
      <c r="E287" s="41">
        <v>3.1201248049921998E-3</v>
      </c>
    </row>
    <row r="288" spans="2:5" ht="15" customHeight="1">
      <c r="B288" s="84"/>
      <c r="C288" s="43" t="s">
        <v>138</v>
      </c>
      <c r="D288" s="42">
        <v>1</v>
      </c>
      <c r="E288" s="41">
        <v>1.5600624024960999E-3</v>
      </c>
    </row>
    <row r="289" spans="2:5" ht="15" customHeight="1">
      <c r="B289" s="85"/>
      <c r="C289" s="40" t="s">
        <v>22</v>
      </c>
      <c r="D289" s="39">
        <v>25</v>
      </c>
      <c r="E289" s="38">
        <v>3.9001560062402497E-2</v>
      </c>
    </row>
    <row r="290" spans="2:5" ht="15" customHeight="1">
      <c r="B290" s="95" t="s">
        <v>22</v>
      </c>
      <c r="C290" s="96"/>
      <c r="D290" s="97">
        <v>641</v>
      </c>
      <c r="E290" s="98">
        <v>1</v>
      </c>
    </row>
    <row r="292" spans="2:5" ht="15" customHeight="1">
      <c r="B292" s="19" t="s">
        <v>21</v>
      </c>
    </row>
    <row r="293" spans="2:5" ht="15" customHeight="1">
      <c r="B293" s="21" t="s">
        <v>20</v>
      </c>
    </row>
    <row r="294" spans="2:5" ht="15" customHeight="1">
      <c r="B294" s="20" t="s">
        <v>19</v>
      </c>
    </row>
    <row r="295" spans="2:5" ht="15" customHeight="1">
      <c r="B295" s="19" t="s">
        <v>18</v>
      </c>
    </row>
    <row r="296" spans="2:5" ht="15" customHeight="1">
      <c r="B296" s="19" t="s">
        <v>17</v>
      </c>
    </row>
  </sheetData>
  <mergeCells count="46">
    <mergeCell ref="B37:B38"/>
    <mergeCell ref="B39:B41"/>
    <mergeCell ref="B42:B43"/>
    <mergeCell ref="B44:B52"/>
    <mergeCell ref="B53:B63"/>
    <mergeCell ref="B7:E8"/>
    <mergeCell ref="B10:B11"/>
    <mergeCell ref="B12:B28"/>
    <mergeCell ref="B29:B34"/>
    <mergeCell ref="B35:B36"/>
    <mergeCell ref="B92:B101"/>
    <mergeCell ref="B102:B109"/>
    <mergeCell ref="B110:B117"/>
    <mergeCell ref="B118:B120"/>
    <mergeCell ref="B121:B125"/>
    <mergeCell ref="B64:B70"/>
    <mergeCell ref="B71:B76"/>
    <mergeCell ref="B77:B78"/>
    <mergeCell ref="B79:B87"/>
    <mergeCell ref="B88:B91"/>
    <mergeCell ref="B225:B231"/>
    <mergeCell ref="B126:B131"/>
    <mergeCell ref="B132:B142"/>
    <mergeCell ref="B143:B148"/>
    <mergeCell ref="B149:B155"/>
    <mergeCell ref="B156:B165"/>
    <mergeCell ref="B166:B169"/>
    <mergeCell ref="B170:B176"/>
    <mergeCell ref="B177:B178"/>
    <mergeCell ref="B179:B188"/>
    <mergeCell ref="B189:B193"/>
    <mergeCell ref="B194:B199"/>
    <mergeCell ref="B200:B208"/>
    <mergeCell ref="B209:B210"/>
    <mergeCell ref="B211:B220"/>
    <mergeCell ref="B221:B224"/>
    <mergeCell ref="B267:B274"/>
    <mergeCell ref="B275:B279"/>
    <mergeCell ref="B280:B289"/>
    <mergeCell ref="B290:C290"/>
    <mergeCell ref="B232:B236"/>
    <mergeCell ref="B237:B239"/>
    <mergeCell ref="B240:B244"/>
    <mergeCell ref="B245:B246"/>
    <mergeCell ref="B247:B259"/>
    <mergeCell ref="B260:B26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rowBreaks count="6" manualBreakCount="6">
    <brk id="52" max="4" man="1"/>
    <brk id="91" max="4" man="1"/>
    <brk id="131" max="4" man="1"/>
    <brk id="169" max="4" man="1"/>
    <brk id="210" max="4" man="1"/>
    <brk id="246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7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174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173</v>
      </c>
      <c r="C11" s="31" t="s">
        <v>67</v>
      </c>
      <c r="D11" s="30" t="s">
        <v>66</v>
      </c>
    </row>
    <row r="12" spans="1:4" ht="15" customHeight="1">
      <c r="B12" s="27" t="s">
        <v>172</v>
      </c>
      <c r="C12" s="26">
        <v>408</v>
      </c>
      <c r="D12" s="25">
        <v>0.63452566096423013</v>
      </c>
    </row>
    <row r="13" spans="1:4" ht="15" customHeight="1">
      <c r="B13" s="27" t="s">
        <v>171</v>
      </c>
      <c r="C13" s="26">
        <v>235</v>
      </c>
      <c r="D13" s="25">
        <v>0.36547433903576981</v>
      </c>
    </row>
    <row r="14" spans="1:4">
      <c r="B14" s="24" t="s">
        <v>170</v>
      </c>
      <c r="C14" s="23">
        <v>643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21</v>
      </c>
      <c r="C16" s="59"/>
      <c r="D16" s="59"/>
    </row>
    <row r="17" spans="2:4">
      <c r="B17" s="21" t="s">
        <v>20</v>
      </c>
      <c r="C17" s="58"/>
      <c r="D17" s="58"/>
    </row>
    <row r="18" spans="2:4">
      <c r="B18" s="20" t="s">
        <v>19</v>
      </c>
      <c r="C18" s="57"/>
      <c r="D18" s="57"/>
    </row>
    <row r="19" spans="2:4">
      <c r="B19" s="19" t="s">
        <v>18</v>
      </c>
    </row>
    <row r="20" spans="2:4">
      <c r="B20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0"/>
  <sheetViews>
    <sheetView showGridLines="0" topLeftCell="A115" zoomScale="96" zoomScaleNormal="96" zoomScaleSheetLayoutView="100" workbookViewId="0">
      <selection activeCell="G9" sqref="G9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3" t="s">
        <v>177</v>
      </c>
      <c r="C8" s="93"/>
      <c r="D8" s="93"/>
      <c r="E8" s="93"/>
    </row>
    <row r="9" spans="1:6" s="62" customFormat="1" ht="15" customHeight="1">
      <c r="A9" s="64"/>
      <c r="B9" s="93"/>
      <c r="C9" s="93"/>
      <c r="D9" s="93"/>
      <c r="E9" s="93"/>
      <c r="F9" s="65"/>
    </row>
    <row r="10" spans="1:6" s="62" customFormat="1" ht="15" customHeight="1">
      <c r="A10" s="64"/>
      <c r="B10" s="94"/>
      <c r="C10" s="94"/>
      <c r="D10" s="94"/>
      <c r="E10" s="94"/>
      <c r="F10" s="64"/>
    </row>
    <row r="11" spans="1:6" s="62" customFormat="1" ht="36.950000000000003" customHeight="1">
      <c r="B11" s="63" t="s">
        <v>121</v>
      </c>
      <c r="C11" s="63" t="s">
        <v>173</v>
      </c>
      <c r="D11" s="63" t="s">
        <v>67</v>
      </c>
      <c r="E11" s="63" t="s">
        <v>66</v>
      </c>
    </row>
    <row r="12" spans="1:6" ht="15" customHeight="1">
      <c r="B12" s="88" t="s">
        <v>84</v>
      </c>
      <c r="C12" s="61" t="s">
        <v>176</v>
      </c>
      <c r="D12" s="26">
        <v>2</v>
      </c>
      <c r="E12" s="25">
        <v>3.1104199066874028E-3</v>
      </c>
    </row>
    <row r="13" spans="1:6" ht="15" customHeight="1">
      <c r="B13" s="90"/>
      <c r="C13" s="72" t="s">
        <v>22</v>
      </c>
      <c r="D13" s="70">
        <v>2</v>
      </c>
      <c r="E13" s="71">
        <v>3.1104199066874028E-3</v>
      </c>
    </row>
    <row r="14" spans="1:6" ht="15" customHeight="1">
      <c r="B14" s="88" t="s">
        <v>116</v>
      </c>
      <c r="C14" s="61" t="s">
        <v>176</v>
      </c>
      <c r="D14" s="26">
        <v>51</v>
      </c>
      <c r="E14" s="25">
        <v>7.9315707620528766E-2</v>
      </c>
    </row>
    <row r="15" spans="1:6" ht="15" customHeight="1">
      <c r="B15" s="89"/>
      <c r="C15" s="61" t="s">
        <v>175</v>
      </c>
      <c r="D15" s="26">
        <v>31</v>
      </c>
      <c r="E15" s="25">
        <v>4.821150855365474E-2</v>
      </c>
    </row>
    <row r="16" spans="1:6" s="48" customFormat="1" ht="15" customHeight="1">
      <c r="A16" s="29"/>
      <c r="B16" s="90"/>
      <c r="C16" s="72" t="s">
        <v>22</v>
      </c>
      <c r="D16" s="70">
        <v>82</v>
      </c>
      <c r="E16" s="71">
        <v>0.12752721617418353</v>
      </c>
      <c r="F16" s="29"/>
    </row>
    <row r="17" spans="1:6" s="48" customFormat="1" ht="15" customHeight="1">
      <c r="A17" s="29"/>
      <c r="B17" s="88" t="s">
        <v>106</v>
      </c>
      <c r="C17" s="61" t="s">
        <v>176</v>
      </c>
      <c r="D17" s="26">
        <v>4</v>
      </c>
      <c r="E17" s="25">
        <v>6.2208398133748056E-3</v>
      </c>
      <c r="F17" s="29"/>
    </row>
    <row r="18" spans="1:6" s="48" customFormat="1" ht="15" customHeight="1">
      <c r="A18" s="29"/>
      <c r="B18" s="89"/>
      <c r="C18" s="61" t="s">
        <v>175</v>
      </c>
      <c r="D18" s="26">
        <v>7</v>
      </c>
      <c r="E18" s="25">
        <v>1.088646967340591E-2</v>
      </c>
      <c r="F18" s="29"/>
    </row>
    <row r="19" spans="1:6" s="48" customFormat="1" ht="15" customHeight="1">
      <c r="A19" s="29"/>
      <c r="B19" s="90"/>
      <c r="C19" s="72" t="s">
        <v>22</v>
      </c>
      <c r="D19" s="70">
        <v>11</v>
      </c>
      <c r="E19" s="71">
        <v>1.7107309486780714E-2</v>
      </c>
      <c r="F19" s="29"/>
    </row>
    <row r="20" spans="1:6" s="48" customFormat="1" ht="15" customHeight="1">
      <c r="A20" s="29"/>
      <c r="B20" s="88" t="s">
        <v>82</v>
      </c>
      <c r="C20" s="61" t="s">
        <v>176</v>
      </c>
      <c r="D20" s="26">
        <v>1</v>
      </c>
      <c r="E20" s="25">
        <v>1.5552099533437014E-3</v>
      </c>
      <c r="F20" s="29"/>
    </row>
    <row r="21" spans="1:6" ht="13.5">
      <c r="B21" s="90"/>
      <c r="C21" s="72" t="s">
        <v>22</v>
      </c>
      <c r="D21" s="70">
        <v>1</v>
      </c>
      <c r="E21" s="71">
        <v>1.5552099533437014E-3</v>
      </c>
    </row>
    <row r="22" spans="1:6" ht="13.5">
      <c r="B22" s="88" t="s">
        <v>78</v>
      </c>
      <c r="C22" s="61" t="s">
        <v>176</v>
      </c>
      <c r="D22" s="26">
        <v>1</v>
      </c>
      <c r="E22" s="25">
        <v>1.5552099533437014E-3</v>
      </c>
    </row>
    <row r="23" spans="1:6" ht="13.5">
      <c r="B23" s="90"/>
      <c r="C23" s="72" t="s">
        <v>22</v>
      </c>
      <c r="D23" s="70">
        <v>1</v>
      </c>
      <c r="E23" s="71">
        <v>1.5552099533437014E-3</v>
      </c>
    </row>
    <row r="24" spans="1:6" ht="13.5">
      <c r="B24" s="88" t="s">
        <v>83</v>
      </c>
      <c r="C24" s="61" t="s">
        <v>176</v>
      </c>
      <c r="D24" s="26">
        <v>2</v>
      </c>
      <c r="E24" s="25">
        <v>3.1104199066874028E-3</v>
      </c>
    </row>
    <row r="25" spans="1:6" ht="13.5">
      <c r="B25" s="89"/>
      <c r="C25" s="61" t="s">
        <v>175</v>
      </c>
      <c r="D25" s="26">
        <v>1</v>
      </c>
      <c r="E25" s="25">
        <v>1.5552099533437014E-3</v>
      </c>
    </row>
    <row r="26" spans="1:6" ht="13.5">
      <c r="B26" s="90"/>
      <c r="C26" s="72" t="s">
        <v>22</v>
      </c>
      <c r="D26" s="70">
        <v>3</v>
      </c>
      <c r="E26" s="71">
        <v>4.6656298600311046E-3</v>
      </c>
    </row>
    <row r="27" spans="1:6" ht="13.5">
      <c r="B27" s="88" t="s">
        <v>168</v>
      </c>
      <c r="C27" s="61" t="s">
        <v>176</v>
      </c>
      <c r="D27" s="26">
        <v>1</v>
      </c>
      <c r="E27" s="25">
        <v>1.5552099533437014E-3</v>
      </c>
    </row>
    <row r="28" spans="1:6" ht="13.5">
      <c r="B28" s="90"/>
      <c r="C28" s="72" t="s">
        <v>22</v>
      </c>
      <c r="D28" s="70">
        <v>1</v>
      </c>
      <c r="E28" s="71">
        <v>1.5552099533437014E-3</v>
      </c>
    </row>
    <row r="29" spans="1:6" ht="13.5">
      <c r="B29" s="88" t="s">
        <v>119</v>
      </c>
      <c r="C29" s="61" t="s">
        <v>176</v>
      </c>
      <c r="D29" s="26">
        <v>13</v>
      </c>
      <c r="E29" s="25">
        <v>2.0217729393468119E-2</v>
      </c>
    </row>
    <row r="30" spans="1:6" ht="13.5">
      <c r="B30" s="89"/>
      <c r="C30" s="61" t="s">
        <v>175</v>
      </c>
      <c r="D30" s="26">
        <v>13</v>
      </c>
      <c r="E30" s="25">
        <v>2.0217729393468119E-2</v>
      </c>
    </row>
    <row r="31" spans="1:6" ht="13.5">
      <c r="B31" s="90"/>
      <c r="C31" s="72" t="s">
        <v>22</v>
      </c>
      <c r="D31" s="70">
        <v>26</v>
      </c>
      <c r="E31" s="71">
        <v>4.0435458786936239E-2</v>
      </c>
    </row>
    <row r="32" spans="1:6" ht="13.5">
      <c r="B32" s="88" t="s">
        <v>117</v>
      </c>
      <c r="C32" s="61" t="s">
        <v>176</v>
      </c>
      <c r="D32" s="26">
        <v>23</v>
      </c>
      <c r="E32" s="25">
        <v>3.5769828926905133E-2</v>
      </c>
    </row>
    <row r="33" spans="2:5" ht="13.5">
      <c r="B33" s="89"/>
      <c r="C33" s="61" t="s">
        <v>175</v>
      </c>
      <c r="D33" s="26">
        <v>17</v>
      </c>
      <c r="E33" s="25">
        <v>2.6438569206842923E-2</v>
      </c>
    </row>
    <row r="34" spans="2:5" ht="13.5">
      <c r="B34" s="90"/>
      <c r="C34" s="72" t="s">
        <v>22</v>
      </c>
      <c r="D34" s="70">
        <v>40</v>
      </c>
      <c r="E34" s="71">
        <v>6.2208398133748059E-2</v>
      </c>
    </row>
    <row r="35" spans="2:5" ht="13.5">
      <c r="B35" s="88" t="s">
        <v>101</v>
      </c>
      <c r="C35" s="61" t="s">
        <v>176</v>
      </c>
      <c r="D35" s="26">
        <v>10</v>
      </c>
      <c r="E35" s="25">
        <v>1.5552099533437015E-2</v>
      </c>
    </row>
    <row r="36" spans="2:5" ht="13.5">
      <c r="B36" s="89"/>
      <c r="C36" s="61" t="s">
        <v>175</v>
      </c>
      <c r="D36" s="26">
        <v>5</v>
      </c>
      <c r="E36" s="25">
        <v>7.7760497667185074E-3</v>
      </c>
    </row>
    <row r="37" spans="2:5" ht="13.5">
      <c r="B37" s="90"/>
      <c r="C37" s="72" t="s">
        <v>22</v>
      </c>
      <c r="D37" s="70">
        <v>15</v>
      </c>
      <c r="E37" s="71">
        <v>2.3328149300155521E-2</v>
      </c>
    </row>
    <row r="38" spans="2:5" ht="13.5">
      <c r="B38" s="88" t="s">
        <v>87</v>
      </c>
      <c r="C38" s="61" t="s">
        <v>176</v>
      </c>
      <c r="D38" s="26">
        <v>6</v>
      </c>
      <c r="E38" s="25">
        <v>9.3312597200622092E-3</v>
      </c>
    </row>
    <row r="39" spans="2:5" ht="13.5">
      <c r="B39" s="89"/>
      <c r="C39" s="61" t="s">
        <v>175</v>
      </c>
      <c r="D39" s="26">
        <v>3</v>
      </c>
      <c r="E39" s="25">
        <v>4.6656298600311046E-3</v>
      </c>
    </row>
    <row r="40" spans="2:5" ht="13.5">
      <c r="B40" s="90"/>
      <c r="C40" s="72" t="s">
        <v>22</v>
      </c>
      <c r="D40" s="70">
        <v>9</v>
      </c>
      <c r="E40" s="71">
        <v>1.3996889580093312E-2</v>
      </c>
    </row>
    <row r="41" spans="2:5" ht="13.5">
      <c r="B41" s="88" t="s">
        <v>85</v>
      </c>
      <c r="C41" s="61" t="s">
        <v>176</v>
      </c>
      <c r="D41" s="26">
        <v>1</v>
      </c>
      <c r="E41" s="25">
        <v>1.5552099533437014E-3</v>
      </c>
    </row>
    <row r="42" spans="2:5" ht="13.5">
      <c r="B42" s="90"/>
      <c r="C42" s="72" t="s">
        <v>22</v>
      </c>
      <c r="D42" s="70">
        <v>1</v>
      </c>
      <c r="E42" s="71">
        <v>1.5552099533437014E-3</v>
      </c>
    </row>
    <row r="43" spans="2:5" ht="13.5">
      <c r="B43" s="88" t="s">
        <v>98</v>
      </c>
      <c r="C43" s="61" t="s">
        <v>176</v>
      </c>
      <c r="D43" s="26">
        <v>7</v>
      </c>
      <c r="E43" s="25">
        <v>1.088646967340591E-2</v>
      </c>
    </row>
    <row r="44" spans="2:5" ht="13.5">
      <c r="B44" s="89"/>
      <c r="C44" s="61" t="s">
        <v>175</v>
      </c>
      <c r="D44" s="26">
        <v>3</v>
      </c>
      <c r="E44" s="25">
        <v>4.6656298600311046E-3</v>
      </c>
    </row>
    <row r="45" spans="2:5" ht="13.5">
      <c r="B45" s="90"/>
      <c r="C45" s="72" t="s">
        <v>22</v>
      </c>
      <c r="D45" s="70">
        <v>10</v>
      </c>
      <c r="E45" s="71">
        <v>1.5552099533437015E-2</v>
      </c>
    </row>
    <row r="46" spans="2:5" ht="13.5">
      <c r="B46" s="88" t="s">
        <v>114</v>
      </c>
      <c r="C46" s="61" t="s">
        <v>176</v>
      </c>
      <c r="D46" s="26">
        <v>2</v>
      </c>
      <c r="E46" s="25">
        <v>3.1104199066874028E-3</v>
      </c>
    </row>
    <row r="47" spans="2:5" ht="13.5">
      <c r="B47" s="89"/>
      <c r="C47" s="61" t="s">
        <v>175</v>
      </c>
      <c r="D47" s="26">
        <v>2</v>
      </c>
      <c r="E47" s="25">
        <v>3.1104199066874028E-3</v>
      </c>
    </row>
    <row r="48" spans="2:5" ht="13.5">
      <c r="B48" s="90"/>
      <c r="C48" s="72" t="s">
        <v>22</v>
      </c>
      <c r="D48" s="70">
        <v>4</v>
      </c>
      <c r="E48" s="71">
        <v>6.2208398133748056E-3</v>
      </c>
    </row>
    <row r="49" spans="2:5" ht="13.5">
      <c r="B49" s="88" t="s">
        <v>118</v>
      </c>
      <c r="C49" s="61" t="s">
        <v>176</v>
      </c>
      <c r="D49" s="26">
        <v>20</v>
      </c>
      <c r="E49" s="25">
        <v>3.110419906687403E-2</v>
      </c>
    </row>
    <row r="50" spans="2:5" ht="13.5">
      <c r="B50" s="89"/>
      <c r="C50" s="61" t="s">
        <v>175</v>
      </c>
      <c r="D50" s="26">
        <v>12</v>
      </c>
      <c r="E50" s="25">
        <v>1.8662519440124418E-2</v>
      </c>
    </row>
    <row r="51" spans="2:5" ht="13.5">
      <c r="B51" s="90"/>
      <c r="C51" s="72" t="s">
        <v>22</v>
      </c>
      <c r="D51" s="70">
        <v>32</v>
      </c>
      <c r="E51" s="71">
        <v>4.9766718506998445E-2</v>
      </c>
    </row>
    <row r="52" spans="2:5" ht="13.5">
      <c r="B52" s="88" t="s">
        <v>167</v>
      </c>
      <c r="C52" s="61" t="s">
        <v>176</v>
      </c>
      <c r="D52" s="26">
        <v>6</v>
      </c>
      <c r="E52" s="25">
        <v>9.3312597200622092E-3</v>
      </c>
    </row>
    <row r="53" spans="2:5" ht="13.5">
      <c r="B53" s="89"/>
      <c r="C53" s="61" t="s">
        <v>175</v>
      </c>
      <c r="D53" s="26">
        <v>5</v>
      </c>
      <c r="E53" s="25">
        <v>7.7760497667185074E-3</v>
      </c>
    </row>
    <row r="54" spans="2:5" ht="13.5">
      <c r="B54" s="90"/>
      <c r="C54" s="72" t="s">
        <v>22</v>
      </c>
      <c r="D54" s="70">
        <v>11</v>
      </c>
      <c r="E54" s="71">
        <v>1.7107309486780714E-2</v>
      </c>
    </row>
    <row r="55" spans="2:5" ht="13.5">
      <c r="B55" s="88" t="s">
        <v>97</v>
      </c>
      <c r="C55" s="61" t="s">
        <v>176</v>
      </c>
      <c r="D55" s="26">
        <v>7</v>
      </c>
      <c r="E55" s="25">
        <v>1.088646967340591E-2</v>
      </c>
    </row>
    <row r="56" spans="2:5" ht="13.5">
      <c r="B56" s="89"/>
      <c r="C56" s="61" t="s">
        <v>175</v>
      </c>
      <c r="D56" s="26">
        <v>7</v>
      </c>
      <c r="E56" s="25">
        <v>1.088646967340591E-2</v>
      </c>
    </row>
    <row r="57" spans="2:5" ht="13.5">
      <c r="B57" s="90"/>
      <c r="C57" s="72" t="s">
        <v>22</v>
      </c>
      <c r="D57" s="70">
        <v>14</v>
      </c>
      <c r="E57" s="71">
        <v>2.177293934681182E-2</v>
      </c>
    </row>
    <row r="58" spans="2:5" ht="13.5">
      <c r="B58" s="88" t="s">
        <v>81</v>
      </c>
      <c r="C58" s="61" t="s">
        <v>176</v>
      </c>
      <c r="D58" s="26">
        <v>1</v>
      </c>
      <c r="E58" s="25">
        <v>1.5552099533437014E-3</v>
      </c>
    </row>
    <row r="59" spans="2:5" ht="13.5">
      <c r="B59" s="89"/>
      <c r="C59" s="61" t="s">
        <v>175</v>
      </c>
      <c r="D59" s="26">
        <v>1</v>
      </c>
      <c r="E59" s="25">
        <v>1.5552099533437014E-3</v>
      </c>
    </row>
    <row r="60" spans="2:5" ht="13.5">
      <c r="B60" s="90"/>
      <c r="C60" s="72" t="s">
        <v>22</v>
      </c>
      <c r="D60" s="70">
        <v>2</v>
      </c>
      <c r="E60" s="71">
        <v>3.1104199066874028E-3</v>
      </c>
    </row>
    <row r="61" spans="2:5" ht="13.5">
      <c r="B61" s="88" t="s">
        <v>104</v>
      </c>
      <c r="C61" s="61" t="s">
        <v>176</v>
      </c>
      <c r="D61" s="26">
        <v>4</v>
      </c>
      <c r="E61" s="25">
        <v>6.2208398133748056E-3</v>
      </c>
    </row>
    <row r="62" spans="2:5" ht="13.5">
      <c r="B62" s="89"/>
      <c r="C62" s="61" t="s">
        <v>175</v>
      </c>
      <c r="D62" s="26">
        <v>2</v>
      </c>
      <c r="E62" s="25">
        <v>3.1104199066874028E-3</v>
      </c>
    </row>
    <row r="63" spans="2:5" ht="13.5">
      <c r="B63" s="90"/>
      <c r="C63" s="72" t="s">
        <v>22</v>
      </c>
      <c r="D63" s="70">
        <v>6</v>
      </c>
      <c r="E63" s="71">
        <v>9.3312597200622092E-3</v>
      </c>
    </row>
    <row r="64" spans="2:5" ht="13.5">
      <c r="B64" s="88" t="s">
        <v>108</v>
      </c>
      <c r="C64" s="61" t="s">
        <v>176</v>
      </c>
      <c r="D64" s="26">
        <v>10</v>
      </c>
      <c r="E64" s="25">
        <v>1.5552099533437015E-2</v>
      </c>
    </row>
    <row r="65" spans="2:5" ht="13.5">
      <c r="B65" s="89"/>
      <c r="C65" s="61" t="s">
        <v>175</v>
      </c>
      <c r="D65" s="26">
        <v>4</v>
      </c>
      <c r="E65" s="25">
        <v>6.2208398133748056E-3</v>
      </c>
    </row>
    <row r="66" spans="2:5" ht="13.5">
      <c r="B66" s="90"/>
      <c r="C66" s="72" t="s">
        <v>22</v>
      </c>
      <c r="D66" s="70">
        <v>14</v>
      </c>
      <c r="E66" s="71">
        <v>2.177293934681182E-2</v>
      </c>
    </row>
    <row r="67" spans="2:5" ht="13.5">
      <c r="B67" s="88" t="s">
        <v>166</v>
      </c>
      <c r="C67" s="61" t="s">
        <v>176</v>
      </c>
      <c r="D67" s="26">
        <v>19</v>
      </c>
      <c r="E67" s="25">
        <v>2.9548989113530325E-2</v>
      </c>
    </row>
    <row r="68" spans="2:5" ht="13.5">
      <c r="B68" s="89"/>
      <c r="C68" s="61" t="s">
        <v>175</v>
      </c>
      <c r="D68" s="26">
        <v>21</v>
      </c>
      <c r="E68" s="25">
        <v>3.2659409020217731E-2</v>
      </c>
    </row>
    <row r="69" spans="2:5" ht="13.5">
      <c r="B69" s="90"/>
      <c r="C69" s="72" t="s">
        <v>22</v>
      </c>
      <c r="D69" s="70">
        <v>40</v>
      </c>
      <c r="E69" s="71">
        <v>6.2208398133748059E-2</v>
      </c>
    </row>
    <row r="70" spans="2:5" ht="13.5">
      <c r="B70" s="88" t="s">
        <v>165</v>
      </c>
      <c r="C70" s="61" t="s">
        <v>176</v>
      </c>
      <c r="D70" s="26">
        <v>4</v>
      </c>
      <c r="E70" s="25">
        <v>6.2208398133748056E-3</v>
      </c>
    </row>
    <row r="71" spans="2:5" ht="13.5">
      <c r="B71" s="89"/>
      <c r="C71" s="61" t="s">
        <v>175</v>
      </c>
      <c r="D71" s="26">
        <v>1</v>
      </c>
      <c r="E71" s="25">
        <v>1.5552099533437014E-3</v>
      </c>
    </row>
    <row r="72" spans="2:5" ht="13.5">
      <c r="B72" s="90"/>
      <c r="C72" s="72" t="s">
        <v>22</v>
      </c>
      <c r="D72" s="70">
        <v>5</v>
      </c>
      <c r="E72" s="71">
        <v>7.7760497667185074E-3</v>
      </c>
    </row>
    <row r="73" spans="2:5" ht="13.5">
      <c r="B73" s="88" t="s">
        <v>94</v>
      </c>
      <c r="C73" s="61" t="s">
        <v>176</v>
      </c>
      <c r="D73" s="26">
        <v>9</v>
      </c>
      <c r="E73" s="25">
        <v>1.3996889580093312E-2</v>
      </c>
    </row>
    <row r="74" spans="2:5" ht="13.5">
      <c r="B74" s="89"/>
      <c r="C74" s="61" t="s">
        <v>175</v>
      </c>
      <c r="D74" s="26">
        <v>5</v>
      </c>
      <c r="E74" s="25">
        <v>7.7760497667185074E-3</v>
      </c>
    </row>
    <row r="75" spans="2:5" ht="13.5">
      <c r="B75" s="90"/>
      <c r="C75" s="72" t="s">
        <v>22</v>
      </c>
      <c r="D75" s="70">
        <v>14</v>
      </c>
      <c r="E75" s="71">
        <v>2.177293934681182E-2</v>
      </c>
    </row>
    <row r="76" spans="2:5" ht="13.5">
      <c r="B76" s="88" t="s">
        <v>93</v>
      </c>
      <c r="C76" s="61" t="s">
        <v>176</v>
      </c>
      <c r="D76" s="26">
        <v>6</v>
      </c>
      <c r="E76" s="25">
        <v>9.3312597200622092E-3</v>
      </c>
    </row>
    <row r="77" spans="2:5" ht="13.5">
      <c r="B77" s="89"/>
      <c r="C77" s="61" t="s">
        <v>175</v>
      </c>
      <c r="D77" s="26">
        <v>4</v>
      </c>
      <c r="E77" s="25">
        <v>6.2208398133748056E-3</v>
      </c>
    </row>
    <row r="78" spans="2:5" ht="13.5">
      <c r="B78" s="90"/>
      <c r="C78" s="72" t="s">
        <v>22</v>
      </c>
      <c r="D78" s="70">
        <v>10</v>
      </c>
      <c r="E78" s="71">
        <v>1.5552099533437015E-2</v>
      </c>
    </row>
    <row r="79" spans="2:5" ht="13.5">
      <c r="B79" s="88" t="s">
        <v>86</v>
      </c>
      <c r="C79" s="61" t="s">
        <v>176</v>
      </c>
      <c r="D79" s="26">
        <v>6</v>
      </c>
      <c r="E79" s="25">
        <v>9.3312597200622092E-3</v>
      </c>
    </row>
    <row r="80" spans="2:5" ht="13.5">
      <c r="B80" s="89"/>
      <c r="C80" s="61" t="s">
        <v>175</v>
      </c>
      <c r="D80" s="26">
        <v>3</v>
      </c>
      <c r="E80" s="25">
        <v>4.6656298600311046E-3</v>
      </c>
    </row>
    <row r="81" spans="2:5" ht="13.5">
      <c r="B81" s="90"/>
      <c r="C81" s="72" t="s">
        <v>22</v>
      </c>
      <c r="D81" s="70">
        <v>9</v>
      </c>
      <c r="E81" s="71">
        <v>1.3996889580093312E-2</v>
      </c>
    </row>
    <row r="82" spans="2:5" ht="13.5">
      <c r="B82" s="88" t="s">
        <v>115</v>
      </c>
      <c r="C82" s="61" t="s">
        <v>176</v>
      </c>
      <c r="D82" s="26">
        <v>4</v>
      </c>
      <c r="E82" s="25">
        <v>6.2208398133748056E-3</v>
      </c>
    </row>
    <row r="83" spans="2:5" ht="13.5">
      <c r="B83" s="89"/>
      <c r="C83" s="61" t="s">
        <v>175</v>
      </c>
      <c r="D83" s="26">
        <v>10</v>
      </c>
      <c r="E83" s="25">
        <v>1.5552099533437015E-2</v>
      </c>
    </row>
    <row r="84" spans="2:5" ht="13.5">
      <c r="B84" s="90"/>
      <c r="C84" s="72" t="s">
        <v>22</v>
      </c>
      <c r="D84" s="70">
        <v>14</v>
      </c>
      <c r="E84" s="71">
        <v>2.177293934681182E-2</v>
      </c>
    </row>
    <row r="85" spans="2:5" ht="13.5">
      <c r="B85" s="88" t="s">
        <v>88</v>
      </c>
      <c r="C85" s="61" t="s">
        <v>176</v>
      </c>
      <c r="D85" s="26">
        <v>3</v>
      </c>
      <c r="E85" s="25">
        <v>4.6656298600311046E-3</v>
      </c>
    </row>
    <row r="86" spans="2:5" ht="13.5">
      <c r="B86" s="90"/>
      <c r="C86" s="72" t="s">
        <v>22</v>
      </c>
      <c r="D86" s="70">
        <v>3</v>
      </c>
      <c r="E86" s="71">
        <v>4.6656298600311046E-3</v>
      </c>
    </row>
    <row r="87" spans="2:5" ht="13.5">
      <c r="B87" s="88" t="s">
        <v>107</v>
      </c>
      <c r="C87" s="61" t="s">
        <v>176</v>
      </c>
      <c r="D87" s="26">
        <v>19</v>
      </c>
      <c r="E87" s="25">
        <v>2.9548989113530325E-2</v>
      </c>
    </row>
    <row r="88" spans="2:5" ht="13.5">
      <c r="B88" s="89"/>
      <c r="C88" s="61" t="s">
        <v>175</v>
      </c>
      <c r="D88" s="26">
        <v>5</v>
      </c>
      <c r="E88" s="25">
        <v>7.7760497667185074E-3</v>
      </c>
    </row>
    <row r="89" spans="2:5" ht="13.5">
      <c r="B89" s="90"/>
      <c r="C89" s="72" t="s">
        <v>22</v>
      </c>
      <c r="D89" s="70">
        <v>24</v>
      </c>
      <c r="E89" s="71">
        <v>3.7325038880248837E-2</v>
      </c>
    </row>
    <row r="90" spans="2:5" ht="13.5">
      <c r="B90" s="88" t="s">
        <v>103</v>
      </c>
      <c r="C90" s="61" t="s">
        <v>176</v>
      </c>
      <c r="D90" s="26">
        <v>3</v>
      </c>
      <c r="E90" s="25">
        <v>4.6656298600311046E-3</v>
      </c>
    </row>
    <row r="91" spans="2:5" ht="13.5">
      <c r="B91" s="89"/>
      <c r="C91" s="61" t="s">
        <v>175</v>
      </c>
      <c r="D91" s="26">
        <v>1</v>
      </c>
      <c r="E91" s="25">
        <v>1.5552099533437014E-3</v>
      </c>
    </row>
    <row r="92" spans="2:5" ht="13.5">
      <c r="B92" s="90"/>
      <c r="C92" s="72" t="s">
        <v>22</v>
      </c>
      <c r="D92" s="70">
        <v>4</v>
      </c>
      <c r="E92" s="71">
        <v>6.2208398133748056E-3</v>
      </c>
    </row>
    <row r="93" spans="2:5" ht="13.5">
      <c r="B93" s="88" t="s">
        <v>91</v>
      </c>
      <c r="C93" s="61" t="s">
        <v>176</v>
      </c>
      <c r="D93" s="26">
        <v>5</v>
      </c>
      <c r="E93" s="25">
        <v>7.7760497667185074E-3</v>
      </c>
    </row>
    <row r="94" spans="2:5" ht="13.5">
      <c r="B94" s="89"/>
      <c r="C94" s="61" t="s">
        <v>175</v>
      </c>
      <c r="D94" s="26">
        <v>2</v>
      </c>
      <c r="E94" s="25">
        <v>3.1104199066874028E-3</v>
      </c>
    </row>
    <row r="95" spans="2:5" ht="13.5">
      <c r="B95" s="90"/>
      <c r="C95" s="72" t="s">
        <v>22</v>
      </c>
      <c r="D95" s="70">
        <v>7</v>
      </c>
      <c r="E95" s="71">
        <v>1.088646967340591E-2</v>
      </c>
    </row>
    <row r="96" spans="2:5" ht="13.5">
      <c r="B96" s="88" t="s">
        <v>95</v>
      </c>
      <c r="C96" s="61" t="s">
        <v>176</v>
      </c>
      <c r="D96" s="26">
        <v>11</v>
      </c>
      <c r="E96" s="25">
        <v>1.7107309486780714E-2</v>
      </c>
    </row>
    <row r="97" spans="2:5" ht="13.5">
      <c r="B97" s="89"/>
      <c r="C97" s="61" t="s">
        <v>175</v>
      </c>
      <c r="D97" s="26">
        <v>6</v>
      </c>
      <c r="E97" s="25">
        <v>9.3312597200622092E-3</v>
      </c>
    </row>
    <row r="98" spans="2:5" ht="13.5">
      <c r="B98" s="90"/>
      <c r="C98" s="72" t="s">
        <v>22</v>
      </c>
      <c r="D98" s="70">
        <v>17</v>
      </c>
      <c r="E98" s="71">
        <v>2.6438569206842923E-2</v>
      </c>
    </row>
    <row r="99" spans="2:5" ht="13.5">
      <c r="B99" s="88" t="s">
        <v>79</v>
      </c>
      <c r="C99" s="61" t="s">
        <v>175</v>
      </c>
      <c r="D99" s="26">
        <v>1</v>
      </c>
      <c r="E99" s="25">
        <v>1.5552099533437014E-3</v>
      </c>
    </row>
    <row r="100" spans="2:5" ht="13.5">
      <c r="B100" s="90"/>
      <c r="C100" s="72" t="s">
        <v>22</v>
      </c>
      <c r="D100" s="70">
        <v>1</v>
      </c>
      <c r="E100" s="71">
        <v>1.5552099533437014E-3</v>
      </c>
    </row>
    <row r="101" spans="2:5" ht="13.5">
      <c r="B101" s="88" t="s">
        <v>113</v>
      </c>
      <c r="C101" s="61" t="s">
        <v>176</v>
      </c>
      <c r="D101" s="26">
        <v>15</v>
      </c>
      <c r="E101" s="25">
        <v>2.3328149300155521E-2</v>
      </c>
    </row>
    <row r="102" spans="2:5" ht="13.5">
      <c r="B102" s="89"/>
      <c r="C102" s="61" t="s">
        <v>175</v>
      </c>
      <c r="D102" s="26">
        <v>14</v>
      </c>
      <c r="E102" s="25">
        <v>2.177293934681182E-2</v>
      </c>
    </row>
    <row r="103" spans="2:5" ht="13.5">
      <c r="B103" s="90"/>
      <c r="C103" s="72" t="s">
        <v>22</v>
      </c>
      <c r="D103" s="70">
        <v>29</v>
      </c>
      <c r="E103" s="71">
        <v>4.5101088646967338E-2</v>
      </c>
    </row>
    <row r="104" spans="2:5" ht="13.5">
      <c r="B104" s="88" t="s">
        <v>105</v>
      </c>
      <c r="C104" s="61" t="s">
        <v>176</v>
      </c>
      <c r="D104" s="26">
        <v>7</v>
      </c>
      <c r="E104" s="25">
        <v>1.088646967340591E-2</v>
      </c>
    </row>
    <row r="105" spans="2:5" ht="13.5">
      <c r="B105" s="89"/>
      <c r="C105" s="61" t="s">
        <v>175</v>
      </c>
      <c r="D105" s="26">
        <v>3</v>
      </c>
      <c r="E105" s="25">
        <v>4.6656298600311046E-3</v>
      </c>
    </row>
    <row r="106" spans="2:5" ht="13.5">
      <c r="B106" s="90"/>
      <c r="C106" s="72" t="s">
        <v>22</v>
      </c>
      <c r="D106" s="70">
        <v>10</v>
      </c>
      <c r="E106" s="71">
        <v>1.5552099533437015E-2</v>
      </c>
    </row>
    <row r="107" spans="2:5" ht="13.5">
      <c r="B107" s="88" t="s">
        <v>90</v>
      </c>
      <c r="C107" s="61" t="s">
        <v>176</v>
      </c>
      <c r="D107" s="26">
        <v>15</v>
      </c>
      <c r="E107" s="25">
        <v>2.3328149300155521E-2</v>
      </c>
    </row>
    <row r="108" spans="2:5" ht="13.5">
      <c r="B108" s="89"/>
      <c r="C108" s="61" t="s">
        <v>175</v>
      </c>
      <c r="D108" s="26">
        <v>5</v>
      </c>
      <c r="E108" s="25">
        <v>7.7760497667185074E-3</v>
      </c>
    </row>
    <row r="109" spans="2:5" ht="13.5">
      <c r="B109" s="90"/>
      <c r="C109" s="72" t="s">
        <v>22</v>
      </c>
      <c r="D109" s="70">
        <v>20</v>
      </c>
      <c r="E109" s="71">
        <v>3.110419906687403E-2</v>
      </c>
    </row>
    <row r="110" spans="2:5" ht="13.5">
      <c r="B110" s="88" t="s">
        <v>92</v>
      </c>
      <c r="C110" s="61" t="s">
        <v>176</v>
      </c>
      <c r="D110" s="26">
        <v>8</v>
      </c>
      <c r="E110" s="25">
        <v>1.2441679626749611E-2</v>
      </c>
    </row>
    <row r="111" spans="2:5" ht="13.5">
      <c r="B111" s="89"/>
      <c r="C111" s="61" t="s">
        <v>175</v>
      </c>
      <c r="D111" s="26">
        <v>1</v>
      </c>
      <c r="E111" s="25">
        <v>1.5552099533437014E-3</v>
      </c>
    </row>
    <row r="112" spans="2:5" ht="13.5">
      <c r="B112" s="90"/>
      <c r="C112" s="72" t="s">
        <v>22</v>
      </c>
      <c r="D112" s="70">
        <v>9</v>
      </c>
      <c r="E112" s="71">
        <v>1.3996889580093312E-2</v>
      </c>
    </row>
    <row r="113" spans="2:5" ht="13.5">
      <c r="B113" s="88" t="s">
        <v>100</v>
      </c>
      <c r="C113" s="61" t="s">
        <v>176</v>
      </c>
      <c r="D113" s="26">
        <v>3</v>
      </c>
      <c r="E113" s="25">
        <v>4.6656298600311046E-3</v>
      </c>
    </row>
    <row r="114" spans="2:5" ht="13.5">
      <c r="B114" s="90"/>
      <c r="C114" s="72" t="s">
        <v>22</v>
      </c>
      <c r="D114" s="70">
        <v>3</v>
      </c>
      <c r="E114" s="71">
        <v>4.6656298600311046E-3</v>
      </c>
    </row>
    <row r="115" spans="2:5" ht="13.5">
      <c r="B115" s="88" t="s">
        <v>112</v>
      </c>
      <c r="C115" s="61" t="s">
        <v>176</v>
      </c>
      <c r="D115" s="26">
        <v>4</v>
      </c>
      <c r="E115" s="25">
        <v>6.2208398133748056E-3</v>
      </c>
    </row>
    <row r="116" spans="2:5" ht="13.5">
      <c r="B116" s="89"/>
      <c r="C116" s="61" t="s">
        <v>175</v>
      </c>
      <c r="D116" s="26">
        <v>1</v>
      </c>
      <c r="E116" s="25">
        <v>1.5552099533437014E-3</v>
      </c>
    </row>
    <row r="117" spans="2:5" ht="13.5">
      <c r="B117" s="90"/>
      <c r="C117" s="72" t="s">
        <v>22</v>
      </c>
      <c r="D117" s="70">
        <v>5</v>
      </c>
      <c r="E117" s="71">
        <v>7.7760497667185074E-3</v>
      </c>
    </row>
    <row r="118" spans="2:5" ht="13.5">
      <c r="B118" s="88" t="s">
        <v>96</v>
      </c>
      <c r="C118" s="61" t="s">
        <v>175</v>
      </c>
      <c r="D118" s="26">
        <v>1</v>
      </c>
      <c r="E118" s="25">
        <v>1.5552099533437014E-3</v>
      </c>
    </row>
    <row r="119" spans="2:5" ht="13.5">
      <c r="B119" s="90"/>
      <c r="C119" s="72" t="s">
        <v>22</v>
      </c>
      <c r="D119" s="70">
        <v>1</v>
      </c>
      <c r="E119" s="71">
        <v>1.5552099533437014E-3</v>
      </c>
    </row>
    <row r="120" spans="2:5" ht="13.5">
      <c r="B120" s="88" t="s">
        <v>109</v>
      </c>
      <c r="C120" s="61" t="s">
        <v>176</v>
      </c>
      <c r="D120" s="26">
        <v>54</v>
      </c>
      <c r="E120" s="25">
        <v>8.3981337480559873E-2</v>
      </c>
    </row>
    <row r="121" spans="2:5" ht="13.5">
      <c r="B121" s="89"/>
      <c r="C121" s="61" t="s">
        <v>175</v>
      </c>
      <c r="D121" s="26">
        <v>17</v>
      </c>
      <c r="E121" s="25">
        <v>2.6438569206842923E-2</v>
      </c>
    </row>
    <row r="122" spans="2:5" ht="13.5">
      <c r="B122" s="90"/>
      <c r="C122" s="72" t="s">
        <v>22</v>
      </c>
      <c r="D122" s="70">
        <v>71</v>
      </c>
      <c r="E122" s="71">
        <v>0.1104199066874028</v>
      </c>
    </row>
    <row r="123" spans="2:5" ht="13.5">
      <c r="B123" s="88" t="s">
        <v>164</v>
      </c>
      <c r="C123" s="61" t="s">
        <v>176</v>
      </c>
      <c r="D123" s="26">
        <v>8</v>
      </c>
      <c r="E123" s="25">
        <v>1.2441679626749611E-2</v>
      </c>
    </row>
    <row r="124" spans="2:5" ht="13.5">
      <c r="B124" s="89"/>
      <c r="C124" s="61" t="s">
        <v>175</v>
      </c>
      <c r="D124" s="26">
        <v>2</v>
      </c>
      <c r="E124" s="25">
        <v>3.1104199066874028E-3</v>
      </c>
    </row>
    <row r="125" spans="2:5" ht="13.5">
      <c r="B125" s="90"/>
      <c r="C125" s="72" t="s">
        <v>22</v>
      </c>
      <c r="D125" s="70">
        <v>10</v>
      </c>
      <c r="E125" s="71">
        <v>1.5552099533437015E-2</v>
      </c>
    </row>
    <row r="126" spans="2:5" ht="13.5">
      <c r="B126" s="88" t="s">
        <v>111</v>
      </c>
      <c r="C126" s="61" t="s">
        <v>176</v>
      </c>
      <c r="D126" s="26">
        <v>9</v>
      </c>
      <c r="E126" s="25">
        <v>1.3996889580093312E-2</v>
      </c>
    </row>
    <row r="127" spans="2:5" ht="13.5">
      <c r="B127" s="89"/>
      <c r="C127" s="61" t="s">
        <v>175</v>
      </c>
      <c r="D127" s="26">
        <v>10</v>
      </c>
      <c r="E127" s="25">
        <v>1.5552099533437015E-2</v>
      </c>
    </row>
    <row r="128" spans="2:5" ht="13.5">
      <c r="B128" s="90"/>
      <c r="C128" s="72" t="s">
        <v>22</v>
      </c>
      <c r="D128" s="70">
        <v>19</v>
      </c>
      <c r="E128" s="71">
        <v>2.9548989113530325E-2</v>
      </c>
    </row>
    <row r="129" spans="2:5" ht="13.5">
      <c r="B129" s="88" t="s">
        <v>89</v>
      </c>
      <c r="C129" s="61" t="s">
        <v>176</v>
      </c>
      <c r="D129" s="26">
        <v>8</v>
      </c>
      <c r="E129" s="25">
        <v>1.2441679626749611E-2</v>
      </c>
    </row>
    <row r="130" spans="2:5" ht="13.5">
      <c r="B130" s="90"/>
      <c r="C130" s="72" t="s">
        <v>22</v>
      </c>
      <c r="D130" s="70">
        <v>8</v>
      </c>
      <c r="E130" s="71">
        <v>1.2441679626749611E-2</v>
      </c>
    </row>
    <row r="131" spans="2:5" ht="13.5">
      <c r="B131" s="88" t="s">
        <v>47</v>
      </c>
      <c r="C131" s="61" t="s">
        <v>176</v>
      </c>
      <c r="D131" s="26">
        <v>16</v>
      </c>
      <c r="E131" s="25">
        <v>2.4883359253499222E-2</v>
      </c>
    </row>
    <row r="132" spans="2:5" ht="13.5">
      <c r="B132" s="89"/>
      <c r="C132" s="61" t="s">
        <v>175</v>
      </c>
      <c r="D132" s="26">
        <v>9</v>
      </c>
      <c r="E132" s="25">
        <v>1.3996889580093312E-2</v>
      </c>
    </row>
    <row r="133" spans="2:5" ht="13.5">
      <c r="B133" s="90"/>
      <c r="C133" s="72" t="s">
        <v>22</v>
      </c>
      <c r="D133" s="70">
        <v>25</v>
      </c>
      <c r="E133" s="71">
        <v>3.8880248833592534E-2</v>
      </c>
    </row>
    <row r="134" spans="2:5" ht="13.5">
      <c r="B134" s="91" t="s">
        <v>170</v>
      </c>
      <c r="C134" s="92"/>
      <c r="D134" s="23">
        <v>643</v>
      </c>
      <c r="E134" s="22">
        <v>1</v>
      </c>
    </row>
    <row r="136" spans="2:5">
      <c r="B136" s="19" t="s">
        <v>21</v>
      </c>
    </row>
    <row r="137" spans="2:5">
      <c r="B137" s="21" t="s">
        <v>20</v>
      </c>
    </row>
    <row r="138" spans="2:5">
      <c r="B138" s="20" t="s">
        <v>19</v>
      </c>
    </row>
    <row r="139" spans="2:5">
      <c r="B139" s="19" t="s">
        <v>18</v>
      </c>
    </row>
    <row r="140" spans="2:5">
      <c r="B140" s="19" t="s">
        <v>17</v>
      </c>
    </row>
  </sheetData>
  <mergeCells count="46">
    <mergeCell ref="B22:B23"/>
    <mergeCell ref="B24:B26"/>
    <mergeCell ref="B27:B28"/>
    <mergeCell ref="B29:B31"/>
    <mergeCell ref="B32:B34"/>
    <mergeCell ref="B8:E10"/>
    <mergeCell ref="B12:B13"/>
    <mergeCell ref="B14:B16"/>
    <mergeCell ref="B17:B19"/>
    <mergeCell ref="B20:B21"/>
    <mergeCell ref="B49:B51"/>
    <mergeCell ref="B52:B54"/>
    <mergeCell ref="B55:B57"/>
    <mergeCell ref="B58:B60"/>
    <mergeCell ref="B61:B63"/>
    <mergeCell ref="B35:B37"/>
    <mergeCell ref="B38:B40"/>
    <mergeCell ref="B41:B42"/>
    <mergeCell ref="B43:B45"/>
    <mergeCell ref="B46:B48"/>
    <mergeCell ref="B107:B109"/>
    <mergeCell ref="B64:B66"/>
    <mergeCell ref="B67:B69"/>
    <mergeCell ref="B70:B72"/>
    <mergeCell ref="B73:B75"/>
    <mergeCell ref="B76:B78"/>
    <mergeCell ref="B79:B81"/>
    <mergeCell ref="B82:B84"/>
    <mergeCell ref="B85:B86"/>
    <mergeCell ref="B87:B89"/>
    <mergeCell ref="B90:B92"/>
    <mergeCell ref="B93:B95"/>
    <mergeCell ref="B96:B98"/>
    <mergeCell ref="B99:B100"/>
    <mergeCell ref="B101:B103"/>
    <mergeCell ref="B104:B106"/>
    <mergeCell ref="B126:B128"/>
    <mergeCell ref="B129:B130"/>
    <mergeCell ref="B131:B133"/>
    <mergeCell ref="B134:C134"/>
    <mergeCell ref="B110:B112"/>
    <mergeCell ref="B113:B114"/>
    <mergeCell ref="B115:B117"/>
    <mergeCell ref="B118:B119"/>
    <mergeCell ref="B120:B122"/>
    <mergeCell ref="B123:B125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rowBreaks count="2" manualBreakCount="2">
    <brk id="60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2"/>
  <sheetViews>
    <sheetView showGridLines="0" topLeftCell="A4" zoomScale="89" zoomScaleNormal="89" zoomScaleSheetLayoutView="100" workbookViewId="0">
      <selection activeCell="E40" sqref="E40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3" t="s">
        <v>188</v>
      </c>
      <c r="C8" s="93"/>
      <c r="D8" s="93"/>
      <c r="E8" s="93"/>
      <c r="F8" s="93"/>
    </row>
    <row r="9" spans="1:7" s="62" customFormat="1" ht="15" customHeight="1">
      <c r="A9" s="64"/>
      <c r="B9" s="93"/>
      <c r="C9" s="93"/>
      <c r="D9" s="93"/>
      <c r="E9" s="93"/>
      <c r="F9" s="93"/>
      <c r="G9" s="65"/>
    </row>
    <row r="10" spans="1:7" s="62" customFormat="1" ht="15" customHeight="1">
      <c r="A10" s="64"/>
      <c r="B10" s="94"/>
      <c r="C10" s="94"/>
      <c r="D10" s="94"/>
      <c r="E10" s="94"/>
      <c r="F10" s="94"/>
      <c r="G10" s="64"/>
    </row>
    <row r="11" spans="1:7" s="62" customFormat="1" ht="36.950000000000003" customHeight="1">
      <c r="B11" s="63" t="s">
        <v>173</v>
      </c>
      <c r="C11" s="63" t="s">
        <v>187</v>
      </c>
      <c r="D11" s="63" t="s">
        <v>67</v>
      </c>
      <c r="E11" s="63" t="s">
        <v>186</v>
      </c>
      <c r="F11" s="63" t="s">
        <v>185</v>
      </c>
    </row>
    <row r="12" spans="1:7" ht="15" customHeight="1">
      <c r="B12" s="88" t="s">
        <v>176</v>
      </c>
      <c r="C12" s="61" t="s">
        <v>184</v>
      </c>
      <c r="D12" s="26">
        <v>1</v>
      </c>
      <c r="E12" s="68">
        <v>2.4509803921568627E-3</v>
      </c>
      <c r="F12" s="25">
        <f t="shared" ref="F12:F26" si="0">D12/$D$26</f>
        <v>1.5552099533437014E-3</v>
      </c>
    </row>
    <row r="13" spans="1:7" ht="15" customHeight="1">
      <c r="B13" s="89"/>
      <c r="C13" s="61" t="s">
        <v>183</v>
      </c>
      <c r="D13" s="26">
        <v>8</v>
      </c>
      <c r="E13" s="68">
        <v>1.9607843137254902E-2</v>
      </c>
      <c r="F13" s="25">
        <f t="shared" si="0"/>
        <v>1.2441679626749611E-2</v>
      </c>
    </row>
    <row r="14" spans="1:7" ht="15" customHeight="1">
      <c r="B14" s="89"/>
      <c r="C14" s="61" t="s">
        <v>182</v>
      </c>
      <c r="D14" s="26">
        <v>104</v>
      </c>
      <c r="E14" s="68">
        <v>0.25490196078431371</v>
      </c>
      <c r="F14" s="25">
        <f t="shared" si="0"/>
        <v>0.16174183514774496</v>
      </c>
    </row>
    <row r="15" spans="1:7" ht="15" customHeight="1">
      <c r="B15" s="89"/>
      <c r="C15" s="61" t="s">
        <v>181</v>
      </c>
      <c r="D15" s="26">
        <v>218</v>
      </c>
      <c r="E15" s="68">
        <v>0.53431372549019607</v>
      </c>
      <c r="F15" s="25">
        <f t="shared" si="0"/>
        <v>0.33903576982892691</v>
      </c>
    </row>
    <row r="16" spans="1:7" ht="15" customHeight="1">
      <c r="B16" s="89"/>
      <c r="C16" s="61" t="s">
        <v>180</v>
      </c>
      <c r="D16" s="26">
        <v>71</v>
      </c>
      <c r="E16" s="68">
        <v>0.17401960784313725</v>
      </c>
      <c r="F16" s="25">
        <f t="shared" si="0"/>
        <v>0.1104199066874028</v>
      </c>
    </row>
    <row r="17" spans="1:7" s="48" customFormat="1" ht="15" customHeight="1">
      <c r="A17" s="29"/>
      <c r="B17" s="89"/>
      <c r="C17" s="61" t="s">
        <v>179</v>
      </c>
      <c r="D17" s="26">
        <v>5</v>
      </c>
      <c r="E17" s="68">
        <v>1.2254901960784314E-2</v>
      </c>
      <c r="F17" s="25">
        <f t="shared" si="0"/>
        <v>7.7760497667185074E-3</v>
      </c>
      <c r="G17" s="29"/>
    </row>
    <row r="18" spans="1:7" s="48" customFormat="1" ht="15" customHeight="1">
      <c r="A18" s="29"/>
      <c r="B18" s="90"/>
      <c r="C18" s="61" t="s">
        <v>178</v>
      </c>
      <c r="D18" s="26">
        <v>1</v>
      </c>
      <c r="E18" s="68">
        <v>2.4509803921568627E-3</v>
      </c>
      <c r="F18" s="25">
        <f t="shared" si="0"/>
        <v>1.5552099533437014E-3</v>
      </c>
      <c r="G18" s="29"/>
    </row>
    <row r="19" spans="1:7" s="48" customFormat="1" ht="15" customHeight="1">
      <c r="A19" s="29"/>
      <c r="B19" s="88" t="s">
        <v>175</v>
      </c>
      <c r="C19" s="61" t="s">
        <v>184</v>
      </c>
      <c r="D19" s="26">
        <v>4</v>
      </c>
      <c r="E19" s="69">
        <v>1.7021276595744681E-2</v>
      </c>
      <c r="F19" s="25">
        <f t="shared" si="0"/>
        <v>6.2208398133748056E-3</v>
      </c>
      <c r="G19" s="29"/>
    </row>
    <row r="20" spans="1:7" s="48" customFormat="1" ht="15" customHeight="1">
      <c r="A20" s="29"/>
      <c r="B20" s="89"/>
      <c r="C20" s="61" t="s">
        <v>183</v>
      </c>
      <c r="D20" s="26">
        <v>6</v>
      </c>
      <c r="E20" s="69">
        <v>2.553191489361702E-2</v>
      </c>
      <c r="F20" s="25">
        <f t="shared" si="0"/>
        <v>9.3312597200622092E-3</v>
      </c>
      <c r="G20" s="29"/>
    </row>
    <row r="21" spans="1:7" s="48" customFormat="1" ht="15" customHeight="1">
      <c r="A21" s="29"/>
      <c r="B21" s="89"/>
      <c r="C21" s="61" t="s">
        <v>182</v>
      </c>
      <c r="D21" s="26">
        <v>75</v>
      </c>
      <c r="E21" s="69">
        <v>0.31914893617021278</v>
      </c>
      <c r="F21" s="25">
        <f t="shared" si="0"/>
        <v>0.1166407465007776</v>
      </c>
      <c r="G21" s="29"/>
    </row>
    <row r="22" spans="1:7" ht="13.5">
      <c r="B22" s="89"/>
      <c r="C22" s="61" t="s">
        <v>181</v>
      </c>
      <c r="D22" s="26">
        <v>90</v>
      </c>
      <c r="E22" s="69">
        <v>0.38297872340425532</v>
      </c>
      <c r="F22" s="25">
        <f t="shared" si="0"/>
        <v>0.13996889580093314</v>
      </c>
    </row>
    <row r="23" spans="1:7" ht="27">
      <c r="B23" s="89"/>
      <c r="C23" s="61" t="s">
        <v>180</v>
      </c>
      <c r="D23" s="26">
        <v>46</v>
      </c>
      <c r="E23" s="69">
        <v>0.19574468085106383</v>
      </c>
      <c r="F23" s="25">
        <f t="shared" si="0"/>
        <v>7.1539657853810265E-2</v>
      </c>
    </row>
    <row r="24" spans="1:7" ht="13.5">
      <c r="B24" s="89"/>
      <c r="C24" s="61" t="s">
        <v>179</v>
      </c>
      <c r="D24" s="26">
        <v>12</v>
      </c>
      <c r="E24" s="69">
        <v>5.106382978723404E-2</v>
      </c>
      <c r="F24" s="25">
        <f t="shared" si="0"/>
        <v>1.8662519440124418E-2</v>
      </c>
    </row>
    <row r="25" spans="1:7" ht="13.5">
      <c r="B25" s="90"/>
      <c r="C25" s="61" t="s">
        <v>178</v>
      </c>
      <c r="D25" s="26">
        <v>2</v>
      </c>
      <c r="E25" s="69">
        <v>8.5106382978723406E-3</v>
      </c>
      <c r="F25" s="25">
        <f t="shared" si="0"/>
        <v>3.1104199066874028E-3</v>
      </c>
    </row>
    <row r="26" spans="1:7" ht="13.5">
      <c r="B26" s="24" t="s">
        <v>22</v>
      </c>
      <c r="C26" s="24"/>
      <c r="D26" s="23">
        <v>643</v>
      </c>
      <c r="E26" s="22"/>
      <c r="F26" s="22">
        <f t="shared" si="0"/>
        <v>1</v>
      </c>
    </row>
    <row r="28" spans="1:7">
      <c r="B28" s="19" t="s">
        <v>21</v>
      </c>
    </row>
    <row r="29" spans="1:7">
      <c r="B29" s="21" t="s">
        <v>20</v>
      </c>
    </row>
    <row r="30" spans="1:7">
      <c r="B30" s="20" t="s">
        <v>19</v>
      </c>
    </row>
    <row r="31" spans="1:7">
      <c r="B31" s="19" t="s">
        <v>18</v>
      </c>
    </row>
    <row r="32" spans="1:7">
      <c r="B32" s="19" t="s">
        <v>17</v>
      </c>
    </row>
  </sheetData>
  <mergeCells count="3">
    <mergeCell ref="B8:F10"/>
    <mergeCell ref="B12:B18"/>
    <mergeCell ref="B19:B25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3"/>
  <sheetViews>
    <sheetView showGridLines="0" tabSelected="1" topLeftCell="A4" zoomScaleNormal="100" zoomScaleSheetLayoutView="115" workbookViewId="0">
      <selection activeCell="E15" sqref="E1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204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203</v>
      </c>
      <c r="C11" s="31" t="s">
        <v>67</v>
      </c>
      <c r="D11" s="30" t="s">
        <v>66</v>
      </c>
    </row>
    <row r="12" spans="1:4" ht="15" customHeight="1">
      <c r="B12" s="27" t="s">
        <v>202</v>
      </c>
      <c r="C12" s="26">
        <v>361</v>
      </c>
      <c r="D12" s="25">
        <f t="shared" ref="D12:D25" si="0">C12/$C$25</f>
        <v>0.56143079315707622</v>
      </c>
    </row>
    <row r="13" spans="1:4">
      <c r="B13" s="27" t="s">
        <v>201</v>
      </c>
      <c r="C13" s="26">
        <v>115</v>
      </c>
      <c r="D13" s="25">
        <f t="shared" si="0"/>
        <v>0.17884914463452567</v>
      </c>
    </row>
    <row r="14" spans="1:4" s="28" customFormat="1">
      <c r="A14" s="17"/>
      <c r="B14" s="27" t="s">
        <v>200</v>
      </c>
      <c r="C14" s="26">
        <v>59</v>
      </c>
      <c r="D14" s="25">
        <f t="shared" si="0"/>
        <v>9.1757387247278388E-2</v>
      </c>
    </row>
    <row r="15" spans="1:4" s="28" customFormat="1">
      <c r="A15" s="17"/>
      <c r="B15" s="27" t="s">
        <v>199</v>
      </c>
      <c r="C15" s="26">
        <v>33</v>
      </c>
      <c r="D15" s="25">
        <f t="shared" si="0"/>
        <v>5.1321928460342149E-2</v>
      </c>
    </row>
    <row r="16" spans="1:4">
      <c r="B16" s="27" t="s">
        <v>198</v>
      </c>
      <c r="C16" s="26">
        <v>23</v>
      </c>
      <c r="D16" s="25">
        <f t="shared" si="0"/>
        <v>3.5769828926905133E-2</v>
      </c>
    </row>
    <row r="17" spans="1:4">
      <c r="B17" s="27" t="s">
        <v>197</v>
      </c>
      <c r="C17" s="26">
        <v>21</v>
      </c>
      <c r="D17" s="25">
        <f t="shared" si="0"/>
        <v>3.2659409020217731E-2</v>
      </c>
    </row>
    <row r="18" spans="1:4">
      <c r="B18" s="27" t="s">
        <v>196</v>
      </c>
      <c r="C18" s="26">
        <v>10</v>
      </c>
      <c r="D18" s="25">
        <f t="shared" si="0"/>
        <v>1.5552099533437015E-2</v>
      </c>
    </row>
    <row r="19" spans="1:4">
      <c r="B19" s="27" t="s">
        <v>195</v>
      </c>
      <c r="C19" s="26">
        <v>8</v>
      </c>
      <c r="D19" s="25">
        <f t="shared" si="0"/>
        <v>1.2441679626749611E-2</v>
      </c>
    </row>
    <row r="20" spans="1:4">
      <c r="B20" s="27" t="s">
        <v>194</v>
      </c>
      <c r="C20" s="26">
        <v>5</v>
      </c>
      <c r="D20" s="25">
        <f t="shared" si="0"/>
        <v>7.7760497667185074E-3</v>
      </c>
    </row>
    <row r="21" spans="1:4">
      <c r="B21" s="27" t="s">
        <v>193</v>
      </c>
      <c r="C21" s="26">
        <v>4</v>
      </c>
      <c r="D21" s="25">
        <f t="shared" si="0"/>
        <v>6.2208398133748056E-3</v>
      </c>
    </row>
    <row r="22" spans="1:4">
      <c r="B22" s="27" t="s">
        <v>192</v>
      </c>
      <c r="C22" s="26">
        <v>2</v>
      </c>
      <c r="D22" s="25">
        <f t="shared" si="0"/>
        <v>3.1104199066874028E-3</v>
      </c>
    </row>
    <row r="23" spans="1:4">
      <c r="B23" s="27" t="s">
        <v>191</v>
      </c>
      <c r="C23" s="26">
        <v>1</v>
      </c>
      <c r="D23" s="25">
        <f t="shared" si="0"/>
        <v>1.5552099533437014E-3</v>
      </c>
    </row>
    <row r="24" spans="1:4">
      <c r="B24" s="27" t="s">
        <v>190</v>
      </c>
      <c r="C24" s="26">
        <v>1</v>
      </c>
      <c r="D24" s="25">
        <f t="shared" si="0"/>
        <v>1.5552099533437014E-3</v>
      </c>
    </row>
    <row r="25" spans="1:4">
      <c r="B25" s="24" t="s">
        <v>22</v>
      </c>
      <c r="C25" s="23">
        <v>643</v>
      </c>
      <c r="D25" s="22">
        <f t="shared" si="0"/>
        <v>1</v>
      </c>
    </row>
    <row r="27" spans="1:4">
      <c r="A27" s="56" t="s">
        <v>189</v>
      </c>
    </row>
    <row r="28" spans="1:4">
      <c r="A28" s="56" t="s">
        <v>20</v>
      </c>
    </row>
    <row r="29" spans="1:4">
      <c r="A29" s="56" t="s">
        <v>19</v>
      </c>
    </row>
    <row r="30" spans="1:4">
      <c r="A30" s="56" t="s">
        <v>18</v>
      </c>
    </row>
    <row r="31" spans="1:4">
      <c r="A31" s="56" t="s">
        <v>135</v>
      </c>
    </row>
    <row r="32" spans="1:4">
      <c r="A32" s="56"/>
    </row>
    <row r="33" spans="1:1">
      <c r="A33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Quintana Roo_EdoUsa</vt:lpstr>
      <vt:lpstr>Quintana Roo_Cons</vt:lpstr>
      <vt:lpstr>Quintana RooXCons</vt:lpstr>
      <vt:lpstr>Quintana Roo_EdoMun</vt:lpstr>
      <vt:lpstr>Quintana Roo_USAMuni</vt:lpstr>
      <vt:lpstr>Quintana Roo_MUNICIPIO</vt:lpstr>
      <vt:lpstr>Quintana Roo_educ_gral</vt:lpstr>
      <vt:lpstr>Quintana Roo_NivelE_Cons</vt:lpstr>
      <vt:lpstr>Quintana Roo_EducCons</vt:lpstr>
      <vt:lpstr>Quintana Roo_GenGral</vt:lpstr>
      <vt:lpstr>Quintana Roo_GENERO</vt:lpstr>
      <vt:lpstr>Quintana Roo_Gen_Edad</vt:lpstr>
      <vt:lpstr>Quintana Roo_ocup_gral</vt:lpstr>
      <vt:lpstr>'Quintana Roo_EducCons'!Área_de_impresión</vt:lpstr>
      <vt:lpstr>'Quintana Roo_MUNICIPIO'!Área_de_impresión</vt:lpstr>
      <vt:lpstr>'Quintana Roo_NivelE_Cons'!Área_de_impresión</vt:lpstr>
      <vt:lpstr>'Quintana Roo_USAMuni'!Área_de_impresión</vt:lpstr>
      <vt:lpstr>'Quintana Roo_Cons'!Títulos_a_imprimir</vt:lpstr>
      <vt:lpstr>'Quintana Roo_EdoMun'!Títulos_a_imprimir</vt:lpstr>
      <vt:lpstr>'Quintana Roo_EdoUsa'!Títulos_a_imprimir</vt:lpstr>
      <vt:lpstr>'Quintana Roo_educ_gral'!Títulos_a_imprimir</vt:lpstr>
      <vt:lpstr>'Quintana Roo_EducCons'!Títulos_a_imprimir</vt:lpstr>
      <vt:lpstr>'Quintana Roo_Gen_Edad'!Títulos_a_imprimir</vt:lpstr>
      <vt:lpstr>'Quintana Roo_GENERO'!Títulos_a_imprimir</vt:lpstr>
      <vt:lpstr>'Quintana Roo_GenGral'!Títulos_a_imprimir</vt:lpstr>
      <vt:lpstr>'Quintana Roo_MUNICIPIO'!Títulos_a_imprimir</vt:lpstr>
      <vt:lpstr>'Quintana Roo_NivelE_Cons'!Títulos_a_imprimir</vt:lpstr>
      <vt:lpstr>'Quintana Roo_ocup_gral'!Títulos_a_imprimir</vt:lpstr>
      <vt:lpstr>'Quintana Roo_USAMuni'!Títulos_a_imprimir</vt:lpstr>
      <vt:lpstr>'Quintana RooXCons'!Títulos_a_imprimir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2020-06-03T23:03:53Z</dcterms:created>
  <dcterms:modified xsi:type="dcterms:W3CDTF">2023-12-01T16:58:46Z</dcterms:modified>
</cp:coreProperties>
</file>