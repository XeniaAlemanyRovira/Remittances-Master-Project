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1" activeTab="13"/>
  </bookViews>
  <sheets>
    <sheet name="Índice" sheetId="1" r:id="rId1"/>
    <sheet name="Colima_EdoUsa" sheetId="2" r:id="rId2"/>
    <sheet name="Colima_Cons" sheetId="15" r:id="rId3"/>
    <sheet name="ColimaXCons" sheetId="16" r:id="rId4"/>
    <sheet name="Colima_EdoMun" sheetId="5" r:id="rId5"/>
    <sheet name="Colima_USAMuni" sheetId="6" r:id="rId6"/>
    <sheet name="Colima_MUNICIPIO" sheetId="7" r:id="rId7"/>
    <sheet name="Colima_educ_gral" sheetId="8" r:id="rId8"/>
    <sheet name="Colima_NivelE_Cons" sheetId="9" r:id="rId9"/>
    <sheet name="Colima_EducCons" sheetId="10" r:id="rId10"/>
    <sheet name="Colima_GenGral" sheetId="11" r:id="rId11"/>
    <sheet name="Colima_GENERO" sheetId="12" r:id="rId12"/>
    <sheet name="Colima_Gen_Edad" sheetId="13" r:id="rId13"/>
    <sheet name="Colima_ocup_gral" sheetId="14" r:id="rId14"/>
  </sheets>
  <definedNames>
    <definedName name="_xlnm._FilterDatabase" localSheetId="2" hidden="1">Colima_Cons!$B$11:$D$12</definedName>
    <definedName name="_xlnm._FilterDatabase" localSheetId="4" hidden="1">Colima_EdoMun!$B$11:$D$12</definedName>
    <definedName name="_xlnm._FilterDatabase" localSheetId="1" hidden="1">Colima_EdoUsa!$B$11:$D$57</definedName>
    <definedName name="_xlnm._FilterDatabase" localSheetId="7" hidden="1">Colima_educ_gral!$B$11:$D$12</definedName>
    <definedName name="_xlnm._FilterDatabase" localSheetId="9" hidden="1">Colima_EducCons!$B$9:$E$9</definedName>
    <definedName name="_xlnm._FilterDatabase" localSheetId="11" hidden="1">Colima_GENERO!$B$11:$E$147</definedName>
    <definedName name="_xlnm._FilterDatabase" localSheetId="10" hidden="1">Colima_GenGral!$B$11:$D$12</definedName>
    <definedName name="_xlnm._FilterDatabase" localSheetId="6" hidden="1">Colima_MUNICIPIO!$B$9:$E$10</definedName>
    <definedName name="_xlnm._FilterDatabase" localSheetId="8" hidden="1">Colima_NivelE_Cons!$B$9:$E$9</definedName>
    <definedName name="_xlnm._FilterDatabase" localSheetId="13" hidden="1">Colima_ocup_gral!$B$11:$D$12</definedName>
    <definedName name="_xlnm._FilterDatabase" localSheetId="5" hidden="1">Colima_USAMuni!$B$9:$E$11</definedName>
    <definedName name="_xlnm._FilterDatabase" localSheetId="3" hidden="1">ColimaXCons!$B$11:$D$12</definedName>
    <definedName name="_xlnm.Print_Area" localSheetId="9">Colima_EducCons!$A$1:$E$554</definedName>
    <definedName name="_xlnm.Print_Area" localSheetId="6">Colima_MUNICIPIO!$A$1:$E$362</definedName>
    <definedName name="_xlnm.Print_Area" localSheetId="8">Colima_NivelE_Cons!$A$1:$E$391</definedName>
    <definedName name="_xlnm.Print_Area" localSheetId="5">Colima_USAMuni!$A$1:$E$287</definedName>
    <definedName name="_xlnm.Print_Titles" localSheetId="2">Colima_Cons!$1:$11</definedName>
    <definedName name="_xlnm.Print_Titles" localSheetId="4">Colima_EdoMun!$1:$11</definedName>
    <definedName name="_xlnm.Print_Titles" localSheetId="1">Colima_EdoUsa!$1:$11</definedName>
    <definedName name="_xlnm.Print_Titles" localSheetId="7">Colima_educ_gral!$1:$11</definedName>
    <definedName name="_xlnm.Print_Titles" localSheetId="9">Colima_EducCons!$1:$9</definedName>
    <definedName name="_xlnm.Print_Titles" localSheetId="12">Colima_Gen_Edad!$1:$11</definedName>
    <definedName name="_xlnm.Print_Titles" localSheetId="11">Colima_GENERO!$1:$11</definedName>
    <definedName name="_xlnm.Print_Titles" localSheetId="10">Colima_GenGral!$1:$11</definedName>
    <definedName name="_xlnm.Print_Titles" localSheetId="6">Colima_MUNICIPIO!$1:$9</definedName>
    <definedName name="_xlnm.Print_Titles" localSheetId="8">Colima_NivelE_Cons!$1:$9</definedName>
    <definedName name="_xlnm.Print_Titles" localSheetId="13">Colima_ocup_gral!$1:$11</definedName>
    <definedName name="_xlnm.Print_Titles" localSheetId="5">Colima_USAMuni!$1:$9</definedName>
    <definedName name="_xlnm.Print_Titles" localSheetId="3">ColimaXCons!$1:$11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1" i="16" l="1"/>
  <c r="D22" i="16"/>
  <c r="D19" i="16"/>
  <c r="D15" i="16"/>
  <c r="D18" i="16"/>
  <c r="D14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</calcChain>
</file>

<file path=xl/sharedStrings.xml><?xml version="1.0" encoding="utf-8"?>
<sst xmlns="http://schemas.openxmlformats.org/spreadsheetml/2006/main" count="2207" uniqueCount="217">
  <si>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</si>
  <si>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</si>
  <si>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</si>
  <si>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</si>
  <si>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</si>
  <si>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</si>
  <si>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</si>
  <si>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</si>
  <si>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</si>
  <si>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</si>
  <si>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</si>
  <si>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</si>
  <si>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</si>
  <si>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</si>
  <si>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</si>
  <si>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</si>
  <si>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</si>
  <si>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Matrículas consulares expedidas a originarios de Colima 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</si>
  <si>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</si>
  <si>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</si>
  <si>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</si>
  <si>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</si>
  <si>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</si>
  <si>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</si>
  <si>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Vermont</t>
  </si>
  <si>
    <t>South Dakota</t>
  </si>
  <si>
    <t>Pennsylvania</t>
  </si>
  <si>
    <t>District of Columbia</t>
  </si>
  <si>
    <t>Alaska</t>
  </si>
  <si>
    <t>Massachusetts</t>
  </si>
  <si>
    <t>Hawaii</t>
  </si>
  <si>
    <t>Maryland</t>
  </si>
  <si>
    <t>Wyoming</t>
  </si>
  <si>
    <t>New Jersey</t>
  </si>
  <si>
    <t>New Hampshire</t>
  </si>
  <si>
    <t>Louisiana</t>
  </si>
  <si>
    <t>Connecticut</t>
  </si>
  <si>
    <t>Mississippi</t>
  </si>
  <si>
    <t>New York</t>
  </si>
  <si>
    <t>Kentucky</t>
  </si>
  <si>
    <t>South Carolina</t>
  </si>
  <si>
    <t>Ohio</t>
  </si>
  <si>
    <t>Alabama</t>
  </si>
  <si>
    <t>Wisconsin</t>
  </si>
  <si>
    <t>Michigan</t>
  </si>
  <si>
    <t>New Mexico</t>
  </si>
  <si>
    <t>Nebraska</t>
  </si>
  <si>
    <t>Iowa</t>
  </si>
  <si>
    <t>Minnesota</t>
  </si>
  <si>
    <t>Kansas</t>
  </si>
  <si>
    <t>Arkansas</t>
  </si>
  <si>
    <t>Virginia</t>
  </si>
  <si>
    <t>Oklahoma</t>
  </si>
  <si>
    <t>Missouri</t>
  </si>
  <si>
    <t>Tennessee</t>
  </si>
  <si>
    <t>North Carolina</t>
  </si>
  <si>
    <t>Indiana</t>
  </si>
  <si>
    <t>Idaho</t>
  </si>
  <si>
    <t>Colorado</t>
  </si>
  <si>
    <t>Florida</t>
  </si>
  <si>
    <t>Georgia</t>
  </si>
  <si>
    <t>Arizona</t>
  </si>
  <si>
    <t>Utah</t>
  </si>
  <si>
    <t>Oregon</t>
  </si>
  <si>
    <t>Illinois</t>
  </si>
  <si>
    <t>Washington</t>
  </si>
  <si>
    <t>Nevada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</si>
  <si>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</si>
  <si>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</si>
  <si>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</si>
  <si>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</si>
  <si>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</si>
  <si>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COLIMA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</si>
  <si>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</si>
  <si>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</si>
  <si>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</si>
  <si>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</si>
  <si>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</si>
  <si>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</si>
  <si>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</si>
  <si>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</si>
  <si>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</si>
  <si>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</si>
  <si>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</si>
  <si>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</si>
  <si>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</si>
  <si>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</si>
  <si>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</si>
  <si>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</si>
  <si>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</si>
  <si>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</si>
  <si>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</si>
  <si>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</si>
  <si>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</si>
  <si>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</si>
  <si>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</si>
  <si>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</si>
  <si>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</si>
  <si>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</si>
  <si>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</si>
  <si>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</si>
  <si>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</si>
  <si>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</si>
  <si>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</si>
  <si>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</si>
  <si>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</si>
  <si>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</si>
  <si>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</si>
  <si>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</si>
  <si>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</si>
  <si>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</si>
  <si>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</si>
  <si>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</si>
  <si>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</si>
  <si>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</si>
  <si>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</si>
  <si>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</si>
  <si>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</si>
  <si>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</si>
  <si>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</si>
  <si>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</si>
  <si>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</si>
  <si>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</si>
  <si>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</si>
  <si>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COLIMA EN LOS CONSULADOS DE MÉXICO EN EE.UU.</t>
  </si>
  <si>
    <t>Minatitlán</t>
  </si>
  <si>
    <t>Ixtlahuacán</t>
  </si>
  <si>
    <t>Comala</t>
  </si>
  <si>
    <t>Cuauhtémoc</t>
  </si>
  <si>
    <t>Coquimatlán</t>
  </si>
  <si>
    <t>Villa de Álvarez</t>
  </si>
  <si>
    <t>Armería</t>
  </si>
  <si>
    <t>Manzanillo</t>
  </si>
  <si>
    <t>Tecomán</t>
  </si>
  <si>
    <t>Colima</t>
  </si>
  <si>
    <t>Municipio de origen</t>
  </si>
  <si>
    <t>MATRÍCULAS CONSULARES DE ALTA SEGURIDAD EXPEDIDAS POR MUNICIPIO A ORIGINARIOS DEL ESTADO DE COLIMA EN LOS CONSULADOS DE MÉXICO EN EE.UU. 2019</t>
  </si>
  <si>
    <t>Municipio de Origen</t>
  </si>
  <si>
    <t>Estado</t>
  </si>
  <si>
    <t>Marzo de 2020</t>
  </si>
  <si>
    <t>Tamaño de la muestra: 814,748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</si>
  <si>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</si>
  <si>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</si>
  <si>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</si>
  <si>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</si>
  <si>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</si>
  <si>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</si>
  <si>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</si>
  <si>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</si>
  <si>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</si>
  <si>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</si>
  <si>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</si>
  <si>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</si>
  <si>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</si>
  <si>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</si>
  <si>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</si>
  <si>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</si>
  <si>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</si>
  <si>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</si>
  <si>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</si>
  <si>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</si>
  <si>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</si>
  <si>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</si>
  <si>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</si>
  <si>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</si>
  <si>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</si>
  <si>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COLIMA POR NIVEL DE EDUCACIÓN, 2019.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</si>
  <si>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</si>
  <si>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</si>
  <si>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</si>
  <si>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</si>
  <si>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</si>
  <si>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</si>
  <si>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</si>
  <si>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</si>
  <si>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</si>
  <si>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</si>
  <si>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</si>
  <si>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MATRÍCULAS CONSULARES EXPEDIDAS A ORIGINARIOS DE COLIMA POR GÉNERO EN EE.UU DURANTE EL 2019.</t>
  </si>
  <si>
    <t>Mujer</t>
  </si>
  <si>
    <t>Hombre</t>
  </si>
  <si>
    <t>MATRÍCULAS CONSULARES EXPEDIDAS A ORIGINARIOS DE COLIMA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</si>
  <si>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</si>
  <si>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</si>
  <si>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</si>
  <si>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</si>
  <si>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</si>
  <si>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</si>
  <si>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</si>
  <si>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</si>
  <si>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</si>
  <si>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</si>
  <si>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</si>
  <si>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COLIMA POR GÉNERO Y EDAD EN EE.UU.</t>
  </si>
  <si>
    <t>Tamaño de la muestra: 826,856</t>
  </si>
  <si>
    <t>Sacerdote</t>
  </si>
  <si>
    <t>Carnicero</t>
  </si>
  <si>
    <t>Panadero(a)</t>
  </si>
  <si>
    <t>Operario(a)</t>
  </si>
  <si>
    <t>Mesero(a)</t>
  </si>
  <si>
    <t>Profesionista</t>
  </si>
  <si>
    <t>Jubilado(a)</t>
  </si>
  <si>
    <t>Chofer</t>
  </si>
  <si>
    <t>Cajero(a)</t>
  </si>
  <si>
    <t>Comerciante</t>
  </si>
  <si>
    <t>Pintor(a)</t>
  </si>
  <si>
    <t>Albañil</t>
  </si>
  <si>
    <t>Cocinero(a)</t>
  </si>
  <si>
    <t>Jardinero(a)</t>
  </si>
  <si>
    <t>Otro</t>
  </si>
  <si>
    <t>Obrero(a)</t>
  </si>
  <si>
    <t>Campesino(a)</t>
  </si>
  <si>
    <t>Estudiante</t>
  </si>
  <si>
    <t>Hogar</t>
  </si>
  <si>
    <t>Empleado(a)</t>
  </si>
  <si>
    <t>Ocupación</t>
  </si>
  <si>
    <t>MATRÍCULAS CONSULARES EXPEDIDAS EN EE.UU. A ORIGINARIOS DE COLIMA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</si>
</sst>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49" fontId="8" fillId="8" borderId="12" xfId="0" applyNumberFormat="1" applyFont="1" applyFill="1" applyBorder="1" applyAlignment="1">
      <alignment vertical="center" wrapText="1"/>
    </xf>
    <xf numFmtId="3" fontId="8" fillId="8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171450</xdr:rowOff>
    </xdr:from>
    <xdr:to>
      <xdr:col>5</xdr:col>
      <xdr:colOff>83472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COLIMA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433551</xdr:colOff>
      <xdr:row>7</xdr:row>
      <xdr:rowOff>78827</xdr:rowOff>
    </xdr:from>
    <xdr:to>
      <xdr:col>4</xdr:col>
      <xdr:colOff>945648</xdr:colOff>
      <xdr:row>7</xdr:row>
      <xdr:rowOff>263182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1241" y="18196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COLIMA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499241</xdr:colOff>
      <xdr:row>7</xdr:row>
      <xdr:rowOff>131379</xdr:rowOff>
    </xdr:from>
    <xdr:to>
      <xdr:col>4</xdr:col>
      <xdr:colOff>1011338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6931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COLIMA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COLIMA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440121</xdr:colOff>
      <xdr:row>7</xdr:row>
      <xdr:rowOff>151086</xdr:rowOff>
    </xdr:from>
    <xdr:to>
      <xdr:col>4</xdr:col>
      <xdr:colOff>952218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7811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123825</xdr:rowOff>
    </xdr:from>
    <xdr:to>
      <xdr:col>5</xdr:col>
      <xdr:colOff>112047</xdr:colOff>
      <xdr:row>8</xdr:row>
      <xdr:rowOff>308180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8383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408214</xdr:colOff>
      <xdr:row>8</xdr:row>
      <xdr:rowOff>136071</xdr:rowOff>
    </xdr:from>
    <xdr:to>
      <xdr:col>4</xdr:col>
      <xdr:colOff>920311</xdr:colOff>
      <xdr:row>9</xdr:row>
      <xdr:rowOff>136071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0361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478971</xdr:colOff>
      <xdr:row>8</xdr:row>
      <xdr:rowOff>108857</xdr:rowOff>
    </xdr:from>
    <xdr:to>
      <xdr:col>5</xdr:col>
      <xdr:colOff>991068</xdr:colOff>
      <xdr:row>9</xdr:row>
      <xdr:rowOff>102712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19057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17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olima_USAMuni!A1" display="3.2 Por Estado de USA"/>
    <hyperlink ref="A8:D8" location="Colima_Cons!A1" display="2. Por Circunscripción Consular"/>
    <hyperlink ref="B9:D9" location="ColimaXCons!A1" display="2.1 Top ten por circunscripción consular"/>
    <hyperlink ref="A6:D6" location="Colima_EdoUsa!A1" display="1. Por Estados de USA"/>
    <hyperlink ref="B12:D12" location="Colima_EdoMun!A1" display="3.1 Municipio general"/>
    <hyperlink ref="B14:D14" location="Colima_MUNICIPIO!A1" display="3.3 Por Circunscripción Consular"/>
    <hyperlink ref="B17:D17" location="Colima_educ_gral!A1" display="4.1 Educación general"/>
    <hyperlink ref="B18:D18" location="Colima_NivelE_Cons!A1" display="4.2 Por Estado de USA"/>
    <hyperlink ref="B19:D19" location="Colima_EducCons!A1" display="4.3 Por Circunscripción Consular"/>
    <hyperlink ref="B22:D22" location="Colima_GenGral!A1" display="5.1 Género General"/>
    <hyperlink ref="B23:D23" location="Colima_GENERO!A1" display="5.2 Por Circunscripción Consular"/>
    <hyperlink ref="A25:D25" location="Colima_Gen_Edad!A1" display="6. Por estructura de Edad"/>
    <hyperlink ref="A27:D27" location="Colim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3"/>
  <sheetViews>
    <sheetView showGridLines="0" topLeftCell="A37" zoomScaleNormal="100" zoomScaleSheetLayoutView="115" workbookViewId="0">
      <selection activeCell="D12" sqref="D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71</v>
      </c>
      <c r="C11" s="31" t="s">
        <v>70</v>
      </c>
      <c r="D11" s="30" t="s">
        <v>69</v>
      </c>
    </row>
    <row r="12" spans="1:4">
      <c r="B12" s="27" t="s">
        <v>68</v>
      </c>
      <c r="C12" s="26">
        <v>2977</v>
      </c>
      <c r="D12" s="25">
        <v>0.6528508771929824</v>
      </c>
    </row>
    <row r="13" spans="1:4" s="28" customFormat="1">
      <c r="A13" s="17"/>
      <c r="B13" s="27" t="s">
        <v>67</v>
      </c>
      <c r="C13" s="26">
        <v>322</v>
      </c>
      <c r="D13" s="25">
        <v>7.0614035087719296E-2</v>
      </c>
    </row>
    <row r="14" spans="1:4" s="28" customFormat="1">
      <c r="A14" s="17"/>
      <c r="B14" s="27" t="s">
        <v>66</v>
      </c>
      <c r="C14" s="26">
        <v>214</v>
      </c>
      <c r="D14" s="25">
        <v>4.6929824561403509E-2</v>
      </c>
    </row>
    <row r="15" spans="1:4">
      <c r="B15" s="27" t="s">
        <v>65</v>
      </c>
      <c r="C15" s="26">
        <v>180</v>
      </c>
      <c r="D15" s="25">
        <v>3.9473684210526314E-2</v>
      </c>
    </row>
    <row r="16" spans="1:4">
      <c r="B16" s="27" t="s">
        <v>64</v>
      </c>
      <c r="C16" s="26">
        <v>124</v>
      </c>
      <c r="D16" s="25">
        <v>2.7192982456140352E-2</v>
      </c>
    </row>
    <row r="17" spans="2:4">
      <c r="B17" s="27" t="s">
        <v>63</v>
      </c>
      <c r="C17" s="26">
        <v>120</v>
      </c>
      <c r="D17" s="25">
        <v>2.6315789473684209E-2</v>
      </c>
    </row>
    <row r="18" spans="2:4">
      <c r="B18" s="27" t="s">
        <v>62</v>
      </c>
      <c r="C18" s="26">
        <v>73</v>
      </c>
      <c r="D18" s="25">
        <v>1.6008771929824563E-2</v>
      </c>
    </row>
    <row r="19" spans="2:4">
      <c r="B19" s="27" t="s">
        <v>61</v>
      </c>
      <c r="C19" s="26">
        <v>58</v>
      </c>
      <c r="D19" s="25">
        <v>1.2719298245614035E-2</v>
      </c>
    </row>
    <row r="20" spans="2:4">
      <c r="B20" s="27" t="s">
        <v>60</v>
      </c>
      <c r="C20" s="26">
        <v>49</v>
      </c>
      <c r="D20" s="25">
        <v>1.074561403508772E-2</v>
      </c>
    </row>
    <row r="21" spans="2:4">
      <c r="B21" s="27" t="s">
        <v>59</v>
      </c>
      <c r="C21" s="26">
        <v>43</v>
      </c>
      <c r="D21" s="25">
        <v>9.4298245614035086E-3</v>
      </c>
    </row>
    <row r="22" spans="2:4">
      <c r="B22" s="27" t="s">
        <v>58</v>
      </c>
      <c r="C22" s="26">
        <v>42</v>
      </c>
      <c r="D22" s="25">
        <v>9.2105263157894728E-3</v>
      </c>
    </row>
    <row r="23" spans="2:4">
      <c r="B23" s="27" t="s">
        <v>57</v>
      </c>
      <c r="C23" s="26">
        <v>34</v>
      </c>
      <c r="D23" s="25">
        <v>7.4561403508771927E-3</v>
      </c>
    </row>
    <row r="24" spans="2:4">
      <c r="B24" s="27" t="s">
        <v>56</v>
      </c>
      <c r="C24" s="26">
        <v>33</v>
      </c>
      <c r="D24" s="25">
        <v>7.2368421052631578E-3</v>
      </c>
    </row>
    <row r="25" spans="2:4">
      <c r="B25" s="27" t="s">
        <v>55</v>
      </c>
      <c r="C25" s="26">
        <v>30</v>
      </c>
      <c r="D25" s="25">
        <v>6.5789473684210523E-3</v>
      </c>
    </row>
    <row r="26" spans="2:4">
      <c r="B26" s="27" t="s">
        <v>54</v>
      </c>
      <c r="C26" s="26">
        <v>26</v>
      </c>
      <c r="D26" s="25">
        <v>5.7017543859649127E-3</v>
      </c>
    </row>
    <row r="27" spans="2:4">
      <c r="B27" s="27" t="s">
        <v>53</v>
      </c>
      <c r="C27" s="26">
        <v>24</v>
      </c>
      <c r="D27" s="25">
        <v>5.263157894736842E-3</v>
      </c>
    </row>
    <row r="28" spans="2:4">
      <c r="B28" s="27" t="s">
        <v>52</v>
      </c>
      <c r="C28" s="26">
        <v>24</v>
      </c>
      <c r="D28" s="25">
        <v>5.263157894736842E-3</v>
      </c>
    </row>
    <row r="29" spans="2:4">
      <c r="B29" s="27" t="s">
        <v>51</v>
      </c>
      <c r="C29" s="26">
        <v>14</v>
      </c>
      <c r="D29" s="25">
        <v>3.0701754385964912E-3</v>
      </c>
    </row>
    <row r="30" spans="2:4">
      <c r="B30" s="27" t="s">
        <v>50</v>
      </c>
      <c r="C30" s="26">
        <v>13</v>
      </c>
      <c r="D30" s="25">
        <v>2.8508771929824563E-3</v>
      </c>
    </row>
    <row r="31" spans="2:4">
      <c r="B31" s="27" t="s">
        <v>49</v>
      </c>
      <c r="C31" s="26">
        <v>12</v>
      </c>
      <c r="D31" s="25">
        <v>2.631578947368421E-3</v>
      </c>
    </row>
    <row r="32" spans="2:4">
      <c r="B32" s="27" t="s">
        <v>48</v>
      </c>
      <c r="C32" s="26">
        <v>12</v>
      </c>
      <c r="D32" s="25">
        <v>2.631578947368421E-3</v>
      </c>
    </row>
    <row r="33" spans="2:4">
      <c r="B33" s="27" t="s">
        <v>47</v>
      </c>
      <c r="C33" s="26">
        <v>11</v>
      </c>
      <c r="D33" s="25">
        <v>2.4122807017543861E-3</v>
      </c>
    </row>
    <row r="34" spans="2:4">
      <c r="B34" s="27" t="s">
        <v>46</v>
      </c>
      <c r="C34" s="26">
        <v>11</v>
      </c>
      <c r="D34" s="25">
        <v>2.4122807017543861E-3</v>
      </c>
    </row>
    <row r="35" spans="2:4">
      <c r="B35" s="27" t="s">
        <v>45</v>
      </c>
      <c r="C35" s="26">
        <v>11</v>
      </c>
      <c r="D35" s="25">
        <v>2.4122807017543861E-3</v>
      </c>
    </row>
    <row r="36" spans="2:4">
      <c r="B36" s="27" t="s">
        <v>44</v>
      </c>
      <c r="C36" s="26">
        <v>10</v>
      </c>
      <c r="D36" s="25">
        <v>2.1929824561403508E-3</v>
      </c>
    </row>
    <row r="37" spans="2:4">
      <c r="B37" s="27" t="s">
        <v>43</v>
      </c>
      <c r="C37" s="26">
        <v>10</v>
      </c>
      <c r="D37" s="25">
        <v>2.1929824561403508E-3</v>
      </c>
    </row>
    <row r="38" spans="2:4">
      <c r="B38" s="27" t="s">
        <v>42</v>
      </c>
      <c r="C38" s="26">
        <v>9</v>
      </c>
      <c r="D38" s="25">
        <v>1.9736842105263159E-3</v>
      </c>
    </row>
    <row r="39" spans="2:4">
      <c r="B39" s="27" t="s">
        <v>41</v>
      </c>
      <c r="C39" s="26">
        <v>8</v>
      </c>
      <c r="D39" s="25">
        <v>1.7543859649122807E-3</v>
      </c>
    </row>
    <row r="40" spans="2:4">
      <c r="B40" s="27" t="s">
        <v>40</v>
      </c>
      <c r="C40" s="26">
        <v>8</v>
      </c>
      <c r="D40" s="25">
        <v>1.7543859649122807E-3</v>
      </c>
    </row>
    <row r="41" spans="2:4">
      <c r="B41" s="27" t="s">
        <v>39</v>
      </c>
      <c r="C41" s="26">
        <v>7</v>
      </c>
      <c r="D41" s="25">
        <v>1.5350877192982456E-3</v>
      </c>
    </row>
    <row r="42" spans="2:4">
      <c r="B42" s="27" t="s">
        <v>38</v>
      </c>
      <c r="C42" s="26">
        <v>7</v>
      </c>
      <c r="D42" s="25">
        <v>1.5350877192982456E-3</v>
      </c>
    </row>
    <row r="43" spans="2:4">
      <c r="B43" s="27" t="s">
        <v>37</v>
      </c>
      <c r="C43" s="26">
        <v>6</v>
      </c>
      <c r="D43" s="25">
        <v>1.3157894736842105E-3</v>
      </c>
    </row>
    <row r="44" spans="2:4">
      <c r="B44" s="27" t="s">
        <v>36</v>
      </c>
      <c r="C44" s="26">
        <v>5</v>
      </c>
      <c r="D44" s="25">
        <v>1.0964912280701754E-3</v>
      </c>
    </row>
    <row r="45" spans="2:4">
      <c r="B45" s="27" t="s">
        <v>35</v>
      </c>
      <c r="C45" s="26">
        <v>5</v>
      </c>
      <c r="D45" s="25">
        <v>1.0964912280701754E-3</v>
      </c>
    </row>
    <row r="46" spans="2:4">
      <c r="B46" s="27" t="s">
        <v>34</v>
      </c>
      <c r="C46" s="26">
        <v>5</v>
      </c>
      <c r="D46" s="25">
        <v>1.0964912280701754E-3</v>
      </c>
    </row>
    <row r="47" spans="2:4">
      <c r="B47" s="27" t="s">
        <v>33</v>
      </c>
      <c r="C47" s="26">
        <v>5</v>
      </c>
      <c r="D47" s="25">
        <v>1.0964912280701754E-3</v>
      </c>
    </row>
    <row r="48" spans="2:4">
      <c r="B48" s="27" t="s">
        <v>32</v>
      </c>
      <c r="C48" s="26">
        <v>5</v>
      </c>
      <c r="D48" s="25">
        <v>1.0964912280701754E-3</v>
      </c>
    </row>
    <row r="49" spans="2:4">
      <c r="B49" s="27" t="s">
        <v>31</v>
      </c>
      <c r="C49" s="26">
        <v>4</v>
      </c>
      <c r="D49" s="25">
        <v>8.7719298245614037E-4</v>
      </c>
    </row>
    <row r="50" spans="2:4">
      <c r="B50" s="27" t="s">
        <v>30</v>
      </c>
      <c r="C50" s="26">
        <v>2</v>
      </c>
      <c r="D50" s="25">
        <v>4.3859649122807018E-4</v>
      </c>
    </row>
    <row r="51" spans="2:4">
      <c r="B51" s="27" t="s">
        <v>29</v>
      </c>
      <c r="C51" s="26">
        <v>2</v>
      </c>
      <c r="D51" s="25">
        <v>4.3859649122807018E-4</v>
      </c>
    </row>
    <row r="52" spans="2:4">
      <c r="B52" s="27" t="s">
        <v>28</v>
      </c>
      <c r="C52" s="26">
        <v>1</v>
      </c>
      <c r="D52" s="25">
        <v>2.1929824561403509E-4</v>
      </c>
    </row>
    <row r="53" spans="2:4">
      <c r="B53" s="27" t="s">
        <v>27</v>
      </c>
      <c r="C53" s="26">
        <v>1</v>
      </c>
      <c r="D53" s="25">
        <v>2.1929824561403509E-4</v>
      </c>
    </row>
    <row r="54" spans="2:4">
      <c r="B54" s="27" t="s">
        <v>26</v>
      </c>
      <c r="C54" s="26">
        <v>1</v>
      </c>
      <c r="D54" s="25">
        <v>2.1929824561403509E-4</v>
      </c>
    </row>
    <row r="55" spans="2:4">
      <c r="B55" s="27" t="s">
        <v>25</v>
      </c>
      <c r="C55" s="26">
        <v>1</v>
      </c>
      <c r="D55" s="25">
        <v>2.1929824561403509E-4</v>
      </c>
    </row>
    <row r="56" spans="2:4">
      <c r="B56" s="27" t="s">
        <v>24</v>
      </c>
      <c r="C56" s="26">
        <v>1</v>
      </c>
      <c r="D56" s="25">
        <v>2.1929824561403509E-4</v>
      </c>
    </row>
    <row r="57" spans="2:4" ht="15" customHeight="1">
      <c r="B57" s="24" t="s">
        <v>23</v>
      </c>
      <c r="C57" s="23">
        <v>4560</v>
      </c>
      <c r="D57" s="22">
        <v>1</v>
      </c>
    </row>
    <row r="59" spans="2:4">
      <c r="B59" s="19" t="s">
        <v>22</v>
      </c>
    </row>
    <row r="60" spans="2:4">
      <c r="B60" s="21" t="s">
        <v>21</v>
      </c>
    </row>
    <row r="61" spans="2:4">
      <c r="B61" s="20" t="s">
        <v>20</v>
      </c>
    </row>
    <row r="62" spans="2:4">
      <c r="B62" s="19" t="s">
        <v>19</v>
      </c>
    </row>
    <row r="63" spans="2:4">
      <c r="B63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B49" zoomScaleNormal="100" zoomScaleSheetLayoutView="115" workbookViewId="0">
      <selection activeCell="B12" sqref="B12: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123</v>
      </c>
      <c r="C11" s="31" t="s">
        <v>70</v>
      </c>
      <c r="D11" s="30" t="s">
        <v>69</v>
      </c>
    </row>
    <row r="12" spans="1:4" ht="15" customHeight="1">
      <c r="B12" s="27" t="s">
        <v>122</v>
      </c>
      <c r="C12" s="26">
        <v>1043</v>
      </c>
      <c r="D12" s="25">
        <f t="shared" ref="D12:D43" si="0">C12/$C$62</f>
        <v>0.22872807017543859</v>
      </c>
    </row>
    <row r="13" spans="1:4">
      <c r="B13" s="27" t="s">
        <v>116</v>
      </c>
      <c r="C13" s="26">
        <v>702</v>
      </c>
      <c r="D13" s="25">
        <f t="shared" si="0"/>
        <v>0.15394736842105264</v>
      </c>
    </row>
    <row r="14" spans="1:4" s="28" customFormat="1">
      <c r="A14" s="17"/>
      <c r="B14" s="27" t="s">
        <v>114</v>
      </c>
      <c r="C14" s="26">
        <v>343</v>
      </c>
      <c r="D14" s="25">
        <f t="shared" si="0"/>
        <v>7.5219298245614033E-2</v>
      </c>
    </row>
    <row r="15" spans="1:4" s="28" customFormat="1">
      <c r="A15" s="17"/>
      <c r="B15" s="27" t="s">
        <v>107</v>
      </c>
      <c r="C15" s="26">
        <v>283</v>
      </c>
      <c r="D15" s="25">
        <f t="shared" si="0"/>
        <v>6.2061403508771928E-2</v>
      </c>
    </row>
    <row r="16" spans="1:4">
      <c r="B16" s="27" t="s">
        <v>106</v>
      </c>
      <c r="C16" s="26">
        <v>216</v>
      </c>
      <c r="D16" s="25">
        <f t="shared" si="0"/>
        <v>4.736842105263158E-2</v>
      </c>
    </row>
    <row r="17" spans="2:4">
      <c r="B17" s="27" t="s">
        <v>112</v>
      </c>
      <c r="C17" s="26">
        <v>161</v>
      </c>
      <c r="D17" s="25">
        <f t="shared" si="0"/>
        <v>3.5307017543859648E-2</v>
      </c>
    </row>
    <row r="18" spans="2:4">
      <c r="B18" s="27" t="s">
        <v>91</v>
      </c>
      <c r="C18" s="26">
        <v>160</v>
      </c>
      <c r="D18" s="25">
        <f t="shared" si="0"/>
        <v>3.5087719298245612E-2</v>
      </c>
    </row>
    <row r="19" spans="2:4">
      <c r="B19" s="27" t="s">
        <v>111</v>
      </c>
      <c r="C19" s="26">
        <v>148</v>
      </c>
      <c r="D19" s="25">
        <f t="shared" si="0"/>
        <v>3.245614035087719E-2</v>
      </c>
    </row>
    <row r="20" spans="2:4">
      <c r="B20" s="27" t="s">
        <v>113</v>
      </c>
      <c r="C20" s="26">
        <v>146</v>
      </c>
      <c r="D20" s="25">
        <f t="shared" si="0"/>
        <v>3.2017543859649125E-2</v>
      </c>
    </row>
    <row r="21" spans="2:4">
      <c r="B21" s="27" t="s">
        <v>121</v>
      </c>
      <c r="C21" s="26">
        <v>140</v>
      </c>
      <c r="D21" s="25">
        <f t="shared" si="0"/>
        <v>3.0701754385964911E-2</v>
      </c>
    </row>
    <row r="22" spans="2:4">
      <c r="B22" s="27" t="s">
        <v>120</v>
      </c>
      <c r="C22" s="26">
        <v>140</v>
      </c>
      <c r="D22" s="25">
        <f t="shared" si="0"/>
        <v>3.0701754385964911E-2</v>
      </c>
    </row>
    <row r="23" spans="2:4">
      <c r="B23" s="27" t="s">
        <v>97</v>
      </c>
      <c r="C23" s="26">
        <v>140</v>
      </c>
      <c r="D23" s="25">
        <f t="shared" si="0"/>
        <v>3.0701754385964911E-2</v>
      </c>
    </row>
    <row r="24" spans="2:4">
      <c r="B24" s="27" t="s">
        <v>119</v>
      </c>
      <c r="C24" s="26">
        <v>110</v>
      </c>
      <c r="D24" s="25">
        <f t="shared" si="0"/>
        <v>2.4122807017543858E-2</v>
      </c>
    </row>
    <row r="25" spans="2:4">
      <c r="B25" s="27" t="s">
        <v>98</v>
      </c>
      <c r="C25" s="26">
        <v>78</v>
      </c>
      <c r="D25" s="25">
        <f t="shared" si="0"/>
        <v>1.7105263157894738E-2</v>
      </c>
    </row>
    <row r="26" spans="2:4">
      <c r="B26" s="27" t="s">
        <v>94</v>
      </c>
      <c r="C26" s="26">
        <v>75</v>
      </c>
      <c r="D26" s="25">
        <f t="shared" si="0"/>
        <v>1.6447368421052631E-2</v>
      </c>
    </row>
    <row r="27" spans="2:4">
      <c r="B27" s="27" t="s">
        <v>105</v>
      </c>
      <c r="C27" s="26">
        <v>73</v>
      </c>
      <c r="D27" s="25">
        <f t="shared" si="0"/>
        <v>1.6008771929824563E-2</v>
      </c>
    </row>
    <row r="28" spans="2:4">
      <c r="B28" s="27" t="s">
        <v>118</v>
      </c>
      <c r="C28" s="26">
        <v>67</v>
      </c>
      <c r="D28" s="25">
        <f t="shared" si="0"/>
        <v>1.4692982456140351E-2</v>
      </c>
    </row>
    <row r="29" spans="2:4">
      <c r="B29" s="27" t="s">
        <v>110</v>
      </c>
      <c r="C29" s="26">
        <v>53</v>
      </c>
      <c r="D29" s="25">
        <f t="shared" si="0"/>
        <v>1.1622807017543859E-2</v>
      </c>
    </row>
    <row r="30" spans="2:4">
      <c r="B30" s="27" t="s">
        <v>93</v>
      </c>
      <c r="C30" s="26">
        <v>48</v>
      </c>
      <c r="D30" s="25">
        <f t="shared" si="0"/>
        <v>1.0526315789473684E-2</v>
      </c>
    </row>
    <row r="31" spans="2:4">
      <c r="B31" s="27" t="s">
        <v>103</v>
      </c>
      <c r="C31" s="26">
        <v>43</v>
      </c>
      <c r="D31" s="25">
        <f t="shared" si="0"/>
        <v>9.4298245614035086E-3</v>
      </c>
    </row>
    <row r="32" spans="2:4">
      <c r="B32" s="27" t="s">
        <v>115</v>
      </c>
      <c r="C32" s="26">
        <v>38</v>
      </c>
      <c r="D32" s="25">
        <f t="shared" si="0"/>
        <v>8.3333333333333332E-3</v>
      </c>
    </row>
    <row r="33" spans="2:4">
      <c r="B33" s="27" t="s">
        <v>84</v>
      </c>
      <c r="C33" s="26">
        <v>36</v>
      </c>
      <c r="D33" s="25">
        <f t="shared" si="0"/>
        <v>7.8947368421052634E-3</v>
      </c>
    </row>
    <row r="34" spans="2:4">
      <c r="B34" s="27" t="s">
        <v>99</v>
      </c>
      <c r="C34" s="26">
        <v>36</v>
      </c>
      <c r="D34" s="25">
        <f t="shared" si="0"/>
        <v>7.8947368421052634E-3</v>
      </c>
    </row>
    <row r="35" spans="2:4">
      <c r="B35" s="27" t="s">
        <v>104</v>
      </c>
      <c r="C35" s="26">
        <v>30</v>
      </c>
      <c r="D35" s="25">
        <f t="shared" si="0"/>
        <v>6.5789473684210523E-3</v>
      </c>
    </row>
    <row r="36" spans="2:4">
      <c r="B36" s="27" t="s">
        <v>109</v>
      </c>
      <c r="C36" s="26">
        <v>25</v>
      </c>
      <c r="D36" s="25">
        <f t="shared" si="0"/>
        <v>5.4824561403508769E-3</v>
      </c>
    </row>
    <row r="37" spans="2:4">
      <c r="B37" s="27" t="s">
        <v>108</v>
      </c>
      <c r="C37" s="26">
        <v>22</v>
      </c>
      <c r="D37" s="25">
        <f t="shared" si="0"/>
        <v>4.8245614035087722E-3</v>
      </c>
    </row>
    <row r="38" spans="2:4">
      <c r="B38" s="27" t="s">
        <v>90</v>
      </c>
      <c r="C38" s="26">
        <v>22</v>
      </c>
      <c r="D38" s="25">
        <f t="shared" si="0"/>
        <v>4.8245614035087722E-3</v>
      </c>
    </row>
    <row r="39" spans="2:4">
      <c r="B39" s="27" t="s">
        <v>65</v>
      </c>
      <c r="C39" s="26">
        <v>19</v>
      </c>
      <c r="D39" s="25">
        <f t="shared" si="0"/>
        <v>4.1666666666666666E-3</v>
      </c>
    </row>
    <row r="40" spans="2:4">
      <c r="B40" s="27" t="s">
        <v>96</v>
      </c>
      <c r="C40" s="26">
        <v>18</v>
      </c>
      <c r="D40" s="25">
        <f t="shared" si="0"/>
        <v>3.9473684210526317E-3</v>
      </c>
    </row>
    <row r="41" spans="2:4">
      <c r="B41" s="27" t="s">
        <v>102</v>
      </c>
      <c r="C41" s="26">
        <v>18</v>
      </c>
      <c r="D41" s="25">
        <f t="shared" si="0"/>
        <v>3.9473684210526317E-3</v>
      </c>
    </row>
    <row r="42" spans="2:4">
      <c r="B42" s="27" t="s">
        <v>101</v>
      </c>
      <c r="C42" s="26">
        <v>16</v>
      </c>
      <c r="D42" s="25">
        <f t="shared" si="0"/>
        <v>3.5087719298245615E-3</v>
      </c>
    </row>
    <row r="43" spans="2:4">
      <c r="B43" s="27" t="s">
        <v>117</v>
      </c>
      <c r="C43" s="26">
        <v>14</v>
      </c>
      <c r="D43" s="25">
        <f t="shared" si="0"/>
        <v>3.0701754385964912E-3</v>
      </c>
    </row>
    <row r="44" spans="2:4">
      <c r="B44" s="27" t="s">
        <v>92</v>
      </c>
      <c r="C44" s="26">
        <v>14</v>
      </c>
      <c r="D44" s="25">
        <f t="shared" ref="D44:D62" si="1">C44/$C$62</f>
        <v>3.0701754385964912E-3</v>
      </c>
    </row>
    <row r="45" spans="2:4">
      <c r="B45" s="27" t="s">
        <v>89</v>
      </c>
      <c r="C45" s="26">
        <v>12</v>
      </c>
      <c r="D45" s="25">
        <f t="shared" si="1"/>
        <v>2.631578947368421E-3</v>
      </c>
    </row>
    <row r="46" spans="2:4">
      <c r="B46" s="27" t="s">
        <v>88</v>
      </c>
      <c r="C46" s="26">
        <v>11</v>
      </c>
      <c r="D46" s="25">
        <f t="shared" si="1"/>
        <v>2.4122807017543861E-3</v>
      </c>
    </row>
    <row r="47" spans="2:4">
      <c r="B47" s="27" t="s">
        <v>95</v>
      </c>
      <c r="C47" s="26">
        <v>9</v>
      </c>
      <c r="D47" s="25">
        <f t="shared" si="1"/>
        <v>1.9736842105263159E-3</v>
      </c>
    </row>
    <row r="48" spans="2:4">
      <c r="B48" s="27" t="s">
        <v>82</v>
      </c>
      <c r="C48" s="26">
        <v>9</v>
      </c>
      <c r="D48" s="25">
        <f t="shared" si="1"/>
        <v>1.9736842105263159E-3</v>
      </c>
    </row>
    <row r="49" spans="2:4">
      <c r="B49" s="27" t="s">
        <v>80</v>
      </c>
      <c r="C49" s="26">
        <v>8</v>
      </c>
      <c r="D49" s="25">
        <f t="shared" si="1"/>
        <v>1.7543859649122807E-3</v>
      </c>
    </row>
    <row r="50" spans="2:4">
      <c r="B50" s="27" t="s">
        <v>86</v>
      </c>
      <c r="C50" s="26">
        <v>7</v>
      </c>
      <c r="D50" s="25">
        <f t="shared" si="1"/>
        <v>1.5350877192982456E-3</v>
      </c>
    </row>
    <row r="51" spans="2:4">
      <c r="B51" s="27" t="s">
        <v>87</v>
      </c>
      <c r="C51" s="26">
        <v>7</v>
      </c>
      <c r="D51" s="25">
        <f t="shared" si="1"/>
        <v>1.5350877192982456E-3</v>
      </c>
    </row>
    <row r="52" spans="2:4">
      <c r="B52" s="27" t="s">
        <v>85</v>
      </c>
      <c r="C52" s="26">
        <v>6</v>
      </c>
      <c r="D52" s="25">
        <f t="shared" si="1"/>
        <v>1.3157894736842105E-3</v>
      </c>
    </row>
    <row r="53" spans="2:4">
      <c r="B53" s="27" t="s">
        <v>83</v>
      </c>
      <c r="C53" s="26">
        <v>6</v>
      </c>
      <c r="D53" s="25">
        <f t="shared" si="1"/>
        <v>1.3157894736842105E-3</v>
      </c>
    </row>
    <row r="54" spans="2:4">
      <c r="B54" s="27" t="s">
        <v>100</v>
      </c>
      <c r="C54" s="26">
        <v>4</v>
      </c>
      <c r="D54" s="25">
        <f t="shared" si="1"/>
        <v>8.7719298245614037E-4</v>
      </c>
    </row>
    <row r="55" spans="2:4">
      <c r="B55" s="27" t="s">
        <v>78</v>
      </c>
      <c r="C55" s="26">
        <v>2</v>
      </c>
      <c r="D55" s="25">
        <f t="shared" si="1"/>
        <v>4.3859649122807018E-4</v>
      </c>
    </row>
    <row r="56" spans="2:4">
      <c r="B56" s="27" t="s">
        <v>76</v>
      </c>
      <c r="C56" s="26">
        <v>1</v>
      </c>
      <c r="D56" s="25">
        <f t="shared" si="1"/>
        <v>2.1929824561403509E-4</v>
      </c>
    </row>
    <row r="57" spans="2:4">
      <c r="B57" s="27" t="s">
        <v>81</v>
      </c>
      <c r="C57" s="26">
        <v>1</v>
      </c>
      <c r="D57" s="25">
        <f t="shared" si="1"/>
        <v>2.1929824561403509E-4</v>
      </c>
    </row>
    <row r="58" spans="2:4">
      <c r="B58" s="27" t="s">
        <v>77</v>
      </c>
      <c r="C58" s="26">
        <v>0</v>
      </c>
      <c r="D58" s="25">
        <f t="shared" si="1"/>
        <v>0</v>
      </c>
    </row>
    <row r="59" spans="2:4">
      <c r="B59" s="27" t="s">
        <v>75</v>
      </c>
      <c r="C59" s="26">
        <v>0</v>
      </c>
      <c r="D59" s="25">
        <f t="shared" si="1"/>
        <v>0</v>
      </c>
    </row>
    <row r="60" spans="2:4">
      <c r="B60" s="27" t="s">
        <v>74</v>
      </c>
      <c r="C60" s="26">
        <v>0</v>
      </c>
      <c r="D60" s="25">
        <f t="shared" si="1"/>
        <v>0</v>
      </c>
    </row>
    <row r="61" spans="2:4">
      <c r="B61" s="27" t="s">
        <v>79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4560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B1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123</v>
      </c>
      <c r="C11" s="31" t="s">
        <v>70</v>
      </c>
      <c r="D11" s="30" t="s">
        <v>69</v>
      </c>
    </row>
    <row r="12" spans="1:4" ht="15" customHeight="1">
      <c r="B12" s="27" t="s">
        <v>122</v>
      </c>
      <c r="C12" s="26">
        <v>1043</v>
      </c>
      <c r="D12" s="25">
        <f t="shared" ref="D12:D22" si="0">C12/$C$22</f>
        <v>0.31208856971873128</v>
      </c>
    </row>
    <row r="13" spans="1:4">
      <c r="B13" s="27" t="s">
        <v>116</v>
      </c>
      <c r="C13" s="26">
        <v>702</v>
      </c>
      <c r="D13" s="25">
        <f t="shared" si="0"/>
        <v>0.21005385996409337</v>
      </c>
    </row>
    <row r="14" spans="1:4" s="28" customFormat="1">
      <c r="A14" s="17"/>
      <c r="B14" s="27" t="s">
        <v>114</v>
      </c>
      <c r="C14" s="26">
        <v>343</v>
      </c>
      <c r="D14" s="25">
        <f t="shared" si="0"/>
        <v>0.10263315380011968</v>
      </c>
    </row>
    <row r="15" spans="1:4" s="28" customFormat="1">
      <c r="A15" s="17"/>
      <c r="B15" s="27" t="s">
        <v>107</v>
      </c>
      <c r="C15" s="26">
        <v>283</v>
      </c>
      <c r="D15" s="25">
        <f t="shared" si="0"/>
        <v>8.4679832435667263E-2</v>
      </c>
    </row>
    <row r="16" spans="1:4">
      <c r="B16" s="27" t="s">
        <v>106</v>
      </c>
      <c r="C16" s="26">
        <v>216</v>
      </c>
      <c r="D16" s="25">
        <f t="shared" si="0"/>
        <v>6.4631956912028721E-2</v>
      </c>
    </row>
    <row r="17" spans="2:4">
      <c r="B17" s="27" t="s">
        <v>112</v>
      </c>
      <c r="C17" s="26">
        <v>161</v>
      </c>
      <c r="D17" s="25">
        <f t="shared" si="0"/>
        <v>4.8174745661280667E-2</v>
      </c>
    </row>
    <row r="18" spans="2:4">
      <c r="B18" s="27" t="s">
        <v>91</v>
      </c>
      <c r="C18" s="26">
        <v>160</v>
      </c>
      <c r="D18" s="25">
        <f t="shared" si="0"/>
        <v>4.7875523638539794E-2</v>
      </c>
    </row>
    <row r="19" spans="2:4">
      <c r="B19" s="27" t="s">
        <v>111</v>
      </c>
      <c r="C19" s="26">
        <v>148</v>
      </c>
      <c r="D19" s="25">
        <f t="shared" si="0"/>
        <v>4.4284859365649312E-2</v>
      </c>
    </row>
    <row r="20" spans="2:4">
      <c r="B20" s="27" t="s">
        <v>113</v>
      </c>
      <c r="C20" s="26">
        <v>146</v>
      </c>
      <c r="D20" s="25">
        <f t="shared" si="0"/>
        <v>4.3686415320167565E-2</v>
      </c>
    </row>
    <row r="21" spans="2:4">
      <c r="B21" s="27" t="s">
        <v>121</v>
      </c>
      <c r="C21" s="26">
        <v>140</v>
      </c>
      <c r="D21" s="25">
        <f t="shared" si="0"/>
        <v>4.1891083183722325E-2</v>
      </c>
    </row>
    <row r="22" spans="2:4">
      <c r="B22" s="24" t="s">
        <v>23</v>
      </c>
      <c r="C22" s="23">
        <f>SUM(C12:C21)</f>
        <v>3342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8"/>
  <sheetViews>
    <sheetView showGridLines="0" topLeftCell="A10" zoomScaleNormal="100" zoomScaleSheetLayoutView="115" workbookViewId="0">
      <selection activeCell="B12" sqref="B12: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136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135</v>
      </c>
      <c r="C11" s="31" t="s">
        <v>70</v>
      </c>
      <c r="D11" s="30" t="s">
        <v>69</v>
      </c>
    </row>
    <row r="12" spans="1:4" ht="15" customHeight="1">
      <c r="B12" s="27" t="s">
        <v>134</v>
      </c>
      <c r="C12" s="26">
        <v>1287</v>
      </c>
      <c r="D12" s="25">
        <v>0.28223684210526317</v>
      </c>
    </row>
    <row r="13" spans="1:4">
      <c r="B13" s="27" t="s">
        <v>133</v>
      </c>
      <c r="C13" s="26">
        <v>1244</v>
      </c>
      <c r="D13" s="25">
        <v>0.27280701754385966</v>
      </c>
    </row>
    <row r="14" spans="1:4" s="28" customFormat="1">
      <c r="A14" s="17"/>
      <c r="B14" s="27" t="s">
        <v>132</v>
      </c>
      <c r="C14" s="26">
        <v>804</v>
      </c>
      <c r="D14" s="25">
        <v>0.1763157894736842</v>
      </c>
    </row>
    <row r="15" spans="1:4" s="28" customFormat="1">
      <c r="A15" s="17"/>
      <c r="B15" s="27" t="s">
        <v>131</v>
      </c>
      <c r="C15" s="26">
        <v>275</v>
      </c>
      <c r="D15" s="25">
        <v>6.0307017543859649E-2</v>
      </c>
    </row>
    <row r="16" spans="1:4">
      <c r="B16" s="27" t="s">
        <v>130</v>
      </c>
      <c r="C16" s="26">
        <v>228</v>
      </c>
      <c r="D16" s="25">
        <v>0.05</v>
      </c>
    </row>
    <row r="17" spans="2:4">
      <c r="B17" s="27" t="s">
        <v>129</v>
      </c>
      <c r="C17" s="26">
        <v>199</v>
      </c>
      <c r="D17" s="25">
        <v>4.3640350877192979E-2</v>
      </c>
    </row>
    <row r="18" spans="2:4">
      <c r="B18" s="27" t="s">
        <v>128</v>
      </c>
      <c r="C18" s="26">
        <v>176</v>
      </c>
      <c r="D18" s="25">
        <v>3.8596491228070177E-2</v>
      </c>
    </row>
    <row r="19" spans="2:4">
      <c r="B19" s="27" t="s">
        <v>127</v>
      </c>
      <c r="C19" s="26">
        <v>162</v>
      </c>
      <c r="D19" s="25">
        <v>3.5526315789473684E-2</v>
      </c>
    </row>
    <row r="20" spans="2:4">
      <c r="B20" s="27" t="s">
        <v>126</v>
      </c>
      <c r="C20" s="26">
        <v>106</v>
      </c>
      <c r="D20" s="25">
        <v>2.3245614035087719E-2</v>
      </c>
    </row>
    <row r="21" spans="2:4">
      <c r="B21" s="27" t="s">
        <v>125</v>
      </c>
      <c r="C21" s="26">
        <v>79</v>
      </c>
      <c r="D21" s="25">
        <v>1.732456140350877E-2</v>
      </c>
    </row>
    <row r="22" spans="2:4">
      <c r="B22" s="24" t="s">
        <v>23</v>
      </c>
      <c r="C22" s="23">
        <v>4560</v>
      </c>
      <c r="D22" s="22"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87"/>
  <sheetViews>
    <sheetView topLeftCell="A263" zoomScale="145" zoomScaleNormal="145" zoomScaleSheetLayoutView="85" workbookViewId="0">
      <selection activeCell="B281" sqref="B281:E28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138</v>
      </c>
      <c r="C9" s="47" t="s">
        <v>137</v>
      </c>
      <c r="D9" s="46" t="s">
        <v>70</v>
      </c>
      <c r="E9" s="45" t="s">
        <v>69</v>
      </c>
    </row>
    <row r="10" spans="1:5" ht="15" customHeight="1">
      <c r="B10" s="83" t="s">
        <v>42</v>
      </c>
      <c r="C10" s="43" t="s">
        <v>134</v>
      </c>
      <c r="D10" s="42">
        <v>1</v>
      </c>
      <c r="E10" s="41">
        <v>2.1929824561403509E-4</v>
      </c>
    </row>
    <row r="11" spans="1:5" ht="15" customHeight="1">
      <c r="B11" s="85"/>
      <c r="C11" s="43" t="s">
        <v>127</v>
      </c>
      <c r="D11" s="42">
        <v>1</v>
      </c>
      <c r="E11" s="41">
        <v>2.1929824561403509E-4</v>
      </c>
    </row>
    <row r="12" spans="1:5" ht="15" customHeight="1">
      <c r="B12" s="85"/>
      <c r="C12" s="43" t="s">
        <v>128</v>
      </c>
      <c r="D12" s="42">
        <v>1</v>
      </c>
      <c r="E12" s="41">
        <v>2.1929824561403509E-4</v>
      </c>
    </row>
    <row r="13" spans="1:5" s="44" customFormat="1" ht="15" customHeight="1">
      <c r="A13" s="36"/>
      <c r="B13" s="85"/>
      <c r="C13" s="43" t="s">
        <v>132</v>
      </c>
      <c r="D13" s="42">
        <v>3</v>
      </c>
      <c r="E13" s="41">
        <v>6.5789473684210525E-4</v>
      </c>
    </row>
    <row r="14" spans="1:5" s="44" customFormat="1" ht="15" customHeight="1">
      <c r="A14" s="36"/>
      <c r="B14" s="85"/>
      <c r="C14" s="43" t="s">
        <v>133</v>
      </c>
      <c r="D14" s="42">
        <v>2</v>
      </c>
      <c r="E14" s="41">
        <v>4.3859649122807018E-4</v>
      </c>
    </row>
    <row r="15" spans="1:5" s="44" customFormat="1" ht="15" customHeight="1">
      <c r="A15" s="36"/>
      <c r="B15" s="85"/>
      <c r="C15" s="43" t="s">
        <v>130</v>
      </c>
      <c r="D15" s="42">
        <v>1</v>
      </c>
      <c r="E15" s="41">
        <v>2.1929824561403509E-4</v>
      </c>
    </row>
    <row r="16" spans="1:5" ht="15" customHeight="1">
      <c r="B16" s="84"/>
      <c r="C16" s="40" t="s">
        <v>23</v>
      </c>
      <c r="D16" s="39">
        <v>9</v>
      </c>
      <c r="E16" s="38">
        <v>1.9736842105263159E-3</v>
      </c>
    </row>
    <row r="17" spans="2:5" ht="15" customHeight="1">
      <c r="B17" s="83" t="s">
        <v>28</v>
      </c>
      <c r="C17" s="43" t="s">
        <v>134</v>
      </c>
      <c r="D17" s="42">
        <v>1</v>
      </c>
      <c r="E17" s="41">
        <v>2.1929824561403509E-4</v>
      </c>
    </row>
    <row r="18" spans="2:5" ht="15" customHeight="1">
      <c r="B18" s="84"/>
      <c r="C18" s="40" t="s">
        <v>23</v>
      </c>
      <c r="D18" s="39">
        <v>1</v>
      </c>
      <c r="E18" s="38">
        <v>2.1929824561403509E-4</v>
      </c>
    </row>
    <row r="19" spans="2:5" ht="15" customHeight="1">
      <c r="B19" s="83" t="s">
        <v>61</v>
      </c>
      <c r="C19" s="43" t="s">
        <v>131</v>
      </c>
      <c r="D19" s="42">
        <v>10</v>
      </c>
      <c r="E19" s="41">
        <v>2.1929824561403508E-3</v>
      </c>
    </row>
    <row r="20" spans="2:5" ht="15" customHeight="1">
      <c r="B20" s="85"/>
      <c r="C20" s="43" t="s">
        <v>134</v>
      </c>
      <c r="D20" s="42">
        <v>12</v>
      </c>
      <c r="E20" s="41">
        <v>2.631578947368421E-3</v>
      </c>
    </row>
    <row r="21" spans="2:5" ht="15" customHeight="1">
      <c r="B21" s="85"/>
      <c r="C21" s="43" t="s">
        <v>129</v>
      </c>
      <c r="D21" s="42">
        <v>1</v>
      </c>
      <c r="E21" s="41">
        <v>2.1929824561403509E-4</v>
      </c>
    </row>
    <row r="22" spans="2:5" ht="15" customHeight="1">
      <c r="B22" s="85"/>
      <c r="C22" s="43" t="s">
        <v>128</v>
      </c>
      <c r="D22" s="42">
        <v>1</v>
      </c>
      <c r="E22" s="41">
        <v>2.1929824561403509E-4</v>
      </c>
    </row>
    <row r="23" spans="2:5" ht="15" customHeight="1">
      <c r="B23" s="85"/>
      <c r="C23" s="43" t="s">
        <v>132</v>
      </c>
      <c r="D23" s="42">
        <v>12</v>
      </c>
      <c r="E23" s="41">
        <v>2.631578947368421E-3</v>
      </c>
    </row>
    <row r="24" spans="2:5" ht="15" customHeight="1">
      <c r="B24" s="85"/>
      <c r="C24" s="43" t="s">
        <v>133</v>
      </c>
      <c r="D24" s="42">
        <v>20</v>
      </c>
      <c r="E24" s="41">
        <v>4.3859649122807015E-3</v>
      </c>
    </row>
    <row r="25" spans="2:5" ht="15" customHeight="1">
      <c r="B25" s="85"/>
      <c r="C25" s="43" t="s">
        <v>130</v>
      </c>
      <c r="D25" s="42">
        <v>2</v>
      </c>
      <c r="E25" s="41">
        <v>4.3859649122807018E-4</v>
      </c>
    </row>
    <row r="26" spans="2:5" ht="15" customHeight="1">
      <c r="B26" s="84"/>
      <c r="C26" s="40" t="s">
        <v>23</v>
      </c>
      <c r="D26" s="39">
        <v>58</v>
      </c>
      <c r="E26" s="38">
        <v>1.2719298245614035E-2</v>
      </c>
    </row>
    <row r="27" spans="2:5" ht="15" customHeight="1">
      <c r="B27" s="83" t="s">
        <v>50</v>
      </c>
      <c r="C27" s="43" t="s">
        <v>131</v>
      </c>
      <c r="D27" s="42">
        <v>1</v>
      </c>
      <c r="E27" s="41">
        <v>2.1929824561403509E-4</v>
      </c>
    </row>
    <row r="28" spans="2:5" ht="15" customHeight="1">
      <c r="B28" s="85"/>
      <c r="C28" s="43" t="s">
        <v>134</v>
      </c>
      <c r="D28" s="42">
        <v>9</v>
      </c>
      <c r="E28" s="41">
        <v>1.9736842105263159E-3</v>
      </c>
    </row>
    <row r="29" spans="2:5" ht="15" customHeight="1">
      <c r="B29" s="85"/>
      <c r="C29" s="43" t="s">
        <v>133</v>
      </c>
      <c r="D29" s="42">
        <v>3</v>
      </c>
      <c r="E29" s="41">
        <v>6.5789473684210525E-4</v>
      </c>
    </row>
    <row r="30" spans="2:5" ht="15" customHeight="1">
      <c r="B30" s="84"/>
      <c r="C30" s="40" t="s">
        <v>23</v>
      </c>
      <c r="D30" s="39">
        <v>13</v>
      </c>
      <c r="E30" s="38">
        <v>2.8508771929824563E-3</v>
      </c>
    </row>
    <row r="31" spans="2:5" ht="15" customHeight="1">
      <c r="B31" s="83" t="s">
        <v>68</v>
      </c>
      <c r="C31" s="43" t="s">
        <v>131</v>
      </c>
      <c r="D31" s="42">
        <v>187</v>
      </c>
      <c r="E31" s="41">
        <v>4.1008771929824564E-2</v>
      </c>
    </row>
    <row r="32" spans="2:5" ht="15" customHeight="1">
      <c r="B32" s="85"/>
      <c r="C32" s="43" t="s">
        <v>134</v>
      </c>
      <c r="D32" s="42">
        <v>860</v>
      </c>
      <c r="E32" s="41">
        <v>0.18859649122807018</v>
      </c>
    </row>
    <row r="33" spans="2:5" ht="15" customHeight="1">
      <c r="B33" s="85"/>
      <c r="C33" s="43" t="s">
        <v>127</v>
      </c>
      <c r="D33" s="42">
        <v>115</v>
      </c>
      <c r="E33" s="41">
        <v>2.5219298245614034E-2</v>
      </c>
    </row>
    <row r="34" spans="2:5" ht="15" customHeight="1">
      <c r="B34" s="85"/>
      <c r="C34" s="43" t="s">
        <v>129</v>
      </c>
      <c r="D34" s="42">
        <v>162</v>
      </c>
      <c r="E34" s="41">
        <v>3.5526315789473684E-2</v>
      </c>
    </row>
    <row r="35" spans="2:5" ht="15" customHeight="1">
      <c r="B35" s="85"/>
      <c r="C35" s="43" t="s">
        <v>128</v>
      </c>
      <c r="D35" s="42">
        <v>131</v>
      </c>
      <c r="E35" s="41">
        <v>2.8728070175438596E-2</v>
      </c>
    </row>
    <row r="36" spans="2:5" ht="15" customHeight="1">
      <c r="B36" s="85"/>
      <c r="C36" s="43" t="s">
        <v>126</v>
      </c>
      <c r="D36" s="42">
        <v>61</v>
      </c>
      <c r="E36" s="41">
        <v>1.337719298245614E-2</v>
      </c>
    </row>
    <row r="37" spans="2:5" ht="15" customHeight="1">
      <c r="B37" s="85"/>
      <c r="C37" s="43" t="s">
        <v>132</v>
      </c>
      <c r="D37" s="42">
        <v>478</v>
      </c>
      <c r="E37" s="41">
        <v>0.10482456140350878</v>
      </c>
    </row>
    <row r="38" spans="2:5" ht="15" customHeight="1">
      <c r="B38" s="85"/>
      <c r="C38" s="43" t="s">
        <v>125</v>
      </c>
      <c r="D38" s="42">
        <v>40</v>
      </c>
      <c r="E38" s="41">
        <v>8.771929824561403E-3</v>
      </c>
    </row>
    <row r="39" spans="2:5" ht="15" customHeight="1">
      <c r="B39" s="85"/>
      <c r="C39" s="43" t="s">
        <v>133</v>
      </c>
      <c r="D39" s="42">
        <v>814</v>
      </c>
      <c r="E39" s="41">
        <v>0.17850877192982456</v>
      </c>
    </row>
    <row r="40" spans="2:5" ht="15" customHeight="1">
      <c r="B40" s="85"/>
      <c r="C40" s="43" t="s">
        <v>130</v>
      </c>
      <c r="D40" s="42">
        <v>129</v>
      </c>
      <c r="E40" s="41">
        <v>2.8289473684210528E-2</v>
      </c>
    </row>
    <row r="41" spans="2:5" ht="15" customHeight="1">
      <c r="B41" s="84"/>
      <c r="C41" s="40" t="s">
        <v>23</v>
      </c>
      <c r="D41" s="39">
        <v>2977</v>
      </c>
      <c r="E41" s="38">
        <v>0.6528508771929824</v>
      </c>
    </row>
    <row r="42" spans="2:5" ht="15" customHeight="1">
      <c r="B42" s="83" t="s">
        <v>58</v>
      </c>
      <c r="C42" s="43" t="s">
        <v>134</v>
      </c>
      <c r="D42" s="42">
        <v>16</v>
      </c>
      <c r="E42" s="41">
        <v>3.5087719298245615E-3</v>
      </c>
    </row>
    <row r="43" spans="2:5" ht="15" customHeight="1">
      <c r="B43" s="85"/>
      <c r="C43" s="43" t="s">
        <v>128</v>
      </c>
      <c r="D43" s="42">
        <v>1</v>
      </c>
      <c r="E43" s="41">
        <v>2.1929824561403509E-4</v>
      </c>
    </row>
    <row r="44" spans="2:5" ht="15" customHeight="1">
      <c r="B44" s="85"/>
      <c r="C44" s="43" t="s">
        <v>126</v>
      </c>
      <c r="D44" s="42">
        <v>2</v>
      </c>
      <c r="E44" s="41">
        <v>4.3859649122807018E-4</v>
      </c>
    </row>
    <row r="45" spans="2:5" ht="15" customHeight="1">
      <c r="B45" s="85"/>
      <c r="C45" s="43" t="s">
        <v>132</v>
      </c>
      <c r="D45" s="42">
        <v>7</v>
      </c>
      <c r="E45" s="41">
        <v>1.5350877192982456E-3</v>
      </c>
    </row>
    <row r="46" spans="2:5" ht="15" customHeight="1">
      <c r="B46" s="85"/>
      <c r="C46" s="43" t="s">
        <v>125</v>
      </c>
      <c r="D46" s="42">
        <v>2</v>
      </c>
      <c r="E46" s="41">
        <v>4.3859649122807018E-4</v>
      </c>
    </row>
    <row r="47" spans="2:5" ht="15" customHeight="1">
      <c r="B47" s="85"/>
      <c r="C47" s="43" t="s">
        <v>133</v>
      </c>
      <c r="D47" s="42">
        <v>10</v>
      </c>
      <c r="E47" s="41">
        <v>2.1929824561403508E-3</v>
      </c>
    </row>
    <row r="48" spans="2:5" ht="15" customHeight="1">
      <c r="B48" s="85"/>
      <c r="C48" s="43" t="s">
        <v>130</v>
      </c>
      <c r="D48" s="42">
        <v>4</v>
      </c>
      <c r="E48" s="41">
        <v>8.7719298245614037E-4</v>
      </c>
    </row>
    <row r="49" spans="2:5" ht="15" customHeight="1">
      <c r="B49" s="84"/>
      <c r="C49" s="40" t="s">
        <v>23</v>
      </c>
      <c r="D49" s="39">
        <v>42</v>
      </c>
      <c r="E49" s="38">
        <v>9.2105263157894728E-3</v>
      </c>
    </row>
    <row r="50" spans="2:5" ht="15" customHeight="1">
      <c r="B50" s="83" t="s">
        <v>36</v>
      </c>
      <c r="C50" s="43" t="s">
        <v>134</v>
      </c>
      <c r="D50" s="42">
        <v>2</v>
      </c>
      <c r="E50" s="41">
        <v>4.3859649122807018E-4</v>
      </c>
    </row>
    <row r="51" spans="2:5" ht="15" customHeight="1">
      <c r="B51" s="85"/>
      <c r="C51" s="43" t="s">
        <v>132</v>
      </c>
      <c r="D51" s="42">
        <v>1</v>
      </c>
      <c r="E51" s="41">
        <v>2.1929824561403509E-4</v>
      </c>
    </row>
    <row r="52" spans="2:5" ht="15" customHeight="1">
      <c r="B52" s="85"/>
      <c r="C52" s="43" t="s">
        <v>133</v>
      </c>
      <c r="D52" s="42">
        <v>1</v>
      </c>
      <c r="E52" s="41">
        <v>2.1929824561403509E-4</v>
      </c>
    </row>
    <row r="53" spans="2:5" ht="15" customHeight="1">
      <c r="B53" s="85"/>
      <c r="C53" s="43" t="s">
        <v>130</v>
      </c>
      <c r="D53" s="42">
        <v>1</v>
      </c>
      <c r="E53" s="41">
        <v>2.1929824561403509E-4</v>
      </c>
    </row>
    <row r="54" spans="2:5" ht="15" customHeight="1">
      <c r="B54" s="84"/>
      <c r="C54" s="40" t="s">
        <v>23</v>
      </c>
      <c r="D54" s="39">
        <v>5</v>
      </c>
      <c r="E54" s="38">
        <v>1.0964912280701754E-3</v>
      </c>
    </row>
    <row r="55" spans="2:5" ht="15" customHeight="1">
      <c r="B55" s="83" t="s">
        <v>27</v>
      </c>
      <c r="C55" s="43" t="s">
        <v>134</v>
      </c>
      <c r="D55" s="42">
        <v>1</v>
      </c>
      <c r="E55" s="41">
        <v>2.1929824561403509E-4</v>
      </c>
    </row>
    <row r="56" spans="2:5" ht="15" customHeight="1">
      <c r="B56" s="84"/>
      <c r="C56" s="40" t="s">
        <v>23</v>
      </c>
      <c r="D56" s="39">
        <v>1</v>
      </c>
      <c r="E56" s="38">
        <v>2.1929824561403509E-4</v>
      </c>
    </row>
    <row r="57" spans="2:5" ht="15" customHeight="1">
      <c r="B57" s="83" t="s">
        <v>59</v>
      </c>
      <c r="C57" s="43" t="s">
        <v>131</v>
      </c>
      <c r="D57" s="42">
        <v>1</v>
      </c>
      <c r="E57" s="41">
        <v>2.1929824561403509E-4</v>
      </c>
    </row>
    <row r="58" spans="2:5" ht="15" customHeight="1">
      <c r="B58" s="85"/>
      <c r="C58" s="43" t="s">
        <v>134</v>
      </c>
      <c r="D58" s="42">
        <v>11</v>
      </c>
      <c r="E58" s="41">
        <v>2.4122807017543861E-3</v>
      </c>
    </row>
    <row r="59" spans="2:5" ht="15" customHeight="1">
      <c r="B59" s="85"/>
      <c r="C59" s="43" t="s">
        <v>129</v>
      </c>
      <c r="D59" s="42">
        <v>1</v>
      </c>
      <c r="E59" s="41">
        <v>2.1929824561403509E-4</v>
      </c>
    </row>
    <row r="60" spans="2:5" ht="15" customHeight="1">
      <c r="B60" s="85"/>
      <c r="C60" s="43" t="s">
        <v>128</v>
      </c>
      <c r="D60" s="42">
        <v>2</v>
      </c>
      <c r="E60" s="41">
        <v>4.3859649122807018E-4</v>
      </c>
    </row>
    <row r="61" spans="2:5" ht="15" customHeight="1">
      <c r="B61" s="85"/>
      <c r="C61" s="43" t="s">
        <v>132</v>
      </c>
      <c r="D61" s="42">
        <v>10</v>
      </c>
      <c r="E61" s="41">
        <v>2.1929824561403508E-3</v>
      </c>
    </row>
    <row r="62" spans="2:5" ht="15" customHeight="1">
      <c r="B62" s="85"/>
      <c r="C62" s="43" t="s">
        <v>125</v>
      </c>
      <c r="D62" s="42">
        <v>1</v>
      </c>
      <c r="E62" s="41">
        <v>2.1929824561403509E-4</v>
      </c>
    </row>
    <row r="63" spans="2:5" ht="15" customHeight="1">
      <c r="B63" s="85"/>
      <c r="C63" s="43" t="s">
        <v>133</v>
      </c>
      <c r="D63" s="42">
        <v>12</v>
      </c>
      <c r="E63" s="41">
        <v>2.631578947368421E-3</v>
      </c>
    </row>
    <row r="64" spans="2:5" ht="15" customHeight="1">
      <c r="B64" s="85"/>
      <c r="C64" s="43" t="s">
        <v>130</v>
      </c>
      <c r="D64" s="42">
        <v>5</v>
      </c>
      <c r="E64" s="41">
        <v>1.0964912280701754E-3</v>
      </c>
    </row>
    <row r="65" spans="2:5" ht="15" customHeight="1">
      <c r="B65" s="84"/>
      <c r="C65" s="40" t="s">
        <v>23</v>
      </c>
      <c r="D65" s="39">
        <v>43</v>
      </c>
      <c r="E65" s="38">
        <v>9.4298245614035086E-3</v>
      </c>
    </row>
    <row r="66" spans="2:5" ht="15" customHeight="1">
      <c r="B66" s="83" t="s">
        <v>60</v>
      </c>
      <c r="C66" s="43" t="s">
        <v>131</v>
      </c>
      <c r="D66" s="42">
        <v>6</v>
      </c>
      <c r="E66" s="41">
        <v>1.3157894736842105E-3</v>
      </c>
    </row>
    <row r="67" spans="2:5" ht="15" customHeight="1">
      <c r="B67" s="85"/>
      <c r="C67" s="43" t="s">
        <v>134</v>
      </c>
      <c r="D67" s="42">
        <v>14</v>
      </c>
      <c r="E67" s="41">
        <v>3.0701754385964912E-3</v>
      </c>
    </row>
    <row r="68" spans="2:5" ht="15" customHeight="1">
      <c r="B68" s="85"/>
      <c r="C68" s="43" t="s">
        <v>127</v>
      </c>
      <c r="D68" s="42">
        <v>3</v>
      </c>
      <c r="E68" s="41">
        <v>6.5789473684210525E-4</v>
      </c>
    </row>
    <row r="69" spans="2:5" ht="15" customHeight="1">
      <c r="B69" s="85"/>
      <c r="C69" s="43" t="s">
        <v>128</v>
      </c>
      <c r="D69" s="42">
        <v>1</v>
      </c>
      <c r="E69" s="41">
        <v>2.1929824561403509E-4</v>
      </c>
    </row>
    <row r="70" spans="2:5" ht="15" customHeight="1">
      <c r="B70" s="85"/>
      <c r="C70" s="43" t="s">
        <v>126</v>
      </c>
      <c r="D70" s="42">
        <v>1</v>
      </c>
      <c r="E70" s="41">
        <v>2.1929824561403509E-4</v>
      </c>
    </row>
    <row r="71" spans="2:5" ht="15" customHeight="1">
      <c r="B71" s="85"/>
      <c r="C71" s="43" t="s">
        <v>132</v>
      </c>
      <c r="D71" s="42">
        <v>14</v>
      </c>
      <c r="E71" s="41">
        <v>3.0701754385964912E-3</v>
      </c>
    </row>
    <row r="72" spans="2:5" ht="15" customHeight="1">
      <c r="B72" s="85"/>
      <c r="C72" s="43" t="s">
        <v>133</v>
      </c>
      <c r="D72" s="42">
        <v>9</v>
      </c>
      <c r="E72" s="41">
        <v>1.9736842105263159E-3</v>
      </c>
    </row>
    <row r="73" spans="2:5" ht="15" customHeight="1">
      <c r="B73" s="85"/>
      <c r="C73" s="43" t="s">
        <v>130</v>
      </c>
      <c r="D73" s="42">
        <v>1</v>
      </c>
      <c r="E73" s="41">
        <v>2.1929824561403509E-4</v>
      </c>
    </row>
    <row r="74" spans="2:5" ht="15" customHeight="1">
      <c r="B74" s="84"/>
      <c r="C74" s="40" t="s">
        <v>23</v>
      </c>
      <c r="D74" s="39">
        <v>49</v>
      </c>
      <c r="E74" s="38">
        <v>1.074561403508772E-2</v>
      </c>
    </row>
    <row r="75" spans="2:5" ht="15" customHeight="1">
      <c r="B75" s="83" t="s">
        <v>30</v>
      </c>
      <c r="C75" s="43" t="s">
        <v>130</v>
      </c>
      <c r="D75" s="42">
        <v>2</v>
      </c>
      <c r="E75" s="41">
        <v>4.3859649122807018E-4</v>
      </c>
    </row>
    <row r="76" spans="2:5" ht="15" customHeight="1">
      <c r="B76" s="84"/>
      <c r="C76" s="40" t="s">
        <v>23</v>
      </c>
      <c r="D76" s="39">
        <v>2</v>
      </c>
      <c r="E76" s="38">
        <v>4.3859649122807018E-4</v>
      </c>
    </row>
    <row r="77" spans="2:5" ht="15" customHeight="1">
      <c r="B77" s="83" t="s">
        <v>57</v>
      </c>
      <c r="C77" s="43" t="s">
        <v>131</v>
      </c>
      <c r="D77" s="42">
        <v>1</v>
      </c>
      <c r="E77" s="41">
        <v>2.1929824561403509E-4</v>
      </c>
    </row>
    <row r="78" spans="2:5" ht="15" customHeight="1">
      <c r="B78" s="85"/>
      <c r="C78" s="43" t="s">
        <v>134</v>
      </c>
      <c r="D78" s="42">
        <v>14</v>
      </c>
      <c r="E78" s="41">
        <v>3.0701754385964912E-3</v>
      </c>
    </row>
    <row r="79" spans="2:5" ht="15" customHeight="1">
      <c r="B79" s="85"/>
      <c r="C79" s="43" t="s">
        <v>129</v>
      </c>
      <c r="D79" s="42">
        <v>1</v>
      </c>
      <c r="E79" s="41">
        <v>2.1929824561403509E-4</v>
      </c>
    </row>
    <row r="80" spans="2:5" ht="15" customHeight="1">
      <c r="B80" s="85"/>
      <c r="C80" s="43" t="s">
        <v>126</v>
      </c>
      <c r="D80" s="42">
        <v>1</v>
      </c>
      <c r="E80" s="41">
        <v>2.1929824561403509E-4</v>
      </c>
    </row>
    <row r="81" spans="2:5" ht="15" customHeight="1">
      <c r="B81" s="85"/>
      <c r="C81" s="43" t="s">
        <v>132</v>
      </c>
      <c r="D81" s="42">
        <v>5</v>
      </c>
      <c r="E81" s="41">
        <v>1.0964912280701754E-3</v>
      </c>
    </row>
    <row r="82" spans="2:5" ht="15" customHeight="1">
      <c r="B82" s="85"/>
      <c r="C82" s="43" t="s">
        <v>125</v>
      </c>
      <c r="D82" s="42">
        <v>1</v>
      </c>
      <c r="E82" s="41">
        <v>2.1929824561403509E-4</v>
      </c>
    </row>
    <row r="83" spans="2:5" ht="15" customHeight="1">
      <c r="B83" s="85"/>
      <c r="C83" s="43" t="s">
        <v>133</v>
      </c>
      <c r="D83" s="42">
        <v>7</v>
      </c>
      <c r="E83" s="41">
        <v>1.5350877192982456E-3</v>
      </c>
    </row>
    <row r="84" spans="2:5" ht="15" customHeight="1">
      <c r="B84" s="85"/>
      <c r="C84" s="43" t="s">
        <v>130</v>
      </c>
      <c r="D84" s="42">
        <v>4</v>
      </c>
      <c r="E84" s="41">
        <v>8.7719298245614037E-4</v>
      </c>
    </row>
    <row r="85" spans="2:5" ht="15" customHeight="1">
      <c r="B85" s="84"/>
      <c r="C85" s="40" t="s">
        <v>23</v>
      </c>
      <c r="D85" s="39">
        <v>34</v>
      </c>
      <c r="E85" s="38">
        <v>7.4561403508771927E-3</v>
      </c>
    </row>
    <row r="86" spans="2:5" ht="15" customHeight="1">
      <c r="B86" s="83" t="s">
        <v>64</v>
      </c>
      <c r="C86" s="43" t="s">
        <v>131</v>
      </c>
      <c r="D86" s="42">
        <v>4</v>
      </c>
      <c r="E86" s="41">
        <v>8.7719298245614037E-4</v>
      </c>
    </row>
    <row r="87" spans="2:5" ht="15" customHeight="1">
      <c r="B87" s="85"/>
      <c r="C87" s="43" t="s">
        <v>134</v>
      </c>
      <c r="D87" s="42">
        <v>24</v>
      </c>
      <c r="E87" s="41">
        <v>5.263157894736842E-3</v>
      </c>
    </row>
    <row r="88" spans="2:5" ht="15" customHeight="1">
      <c r="B88" s="85"/>
      <c r="C88" s="43" t="s">
        <v>127</v>
      </c>
      <c r="D88" s="42">
        <v>1</v>
      </c>
      <c r="E88" s="41">
        <v>2.1929824561403509E-4</v>
      </c>
    </row>
    <row r="89" spans="2:5" ht="15" customHeight="1">
      <c r="B89" s="85"/>
      <c r="C89" s="43" t="s">
        <v>129</v>
      </c>
      <c r="D89" s="42">
        <v>4</v>
      </c>
      <c r="E89" s="41">
        <v>8.7719298245614037E-4</v>
      </c>
    </row>
    <row r="90" spans="2:5" ht="15" customHeight="1">
      <c r="B90" s="85"/>
      <c r="C90" s="43" t="s">
        <v>128</v>
      </c>
      <c r="D90" s="42">
        <v>2</v>
      </c>
      <c r="E90" s="41">
        <v>4.3859649122807018E-4</v>
      </c>
    </row>
    <row r="91" spans="2:5" ht="15" customHeight="1">
      <c r="B91" s="85"/>
      <c r="C91" s="43" t="s">
        <v>126</v>
      </c>
      <c r="D91" s="42">
        <v>2</v>
      </c>
      <c r="E91" s="41">
        <v>4.3859649122807018E-4</v>
      </c>
    </row>
    <row r="92" spans="2:5" ht="15" customHeight="1">
      <c r="B92" s="85"/>
      <c r="C92" s="43" t="s">
        <v>132</v>
      </c>
      <c r="D92" s="42">
        <v>36</v>
      </c>
      <c r="E92" s="41">
        <v>7.8947368421052634E-3</v>
      </c>
    </row>
    <row r="93" spans="2:5" ht="15" customHeight="1">
      <c r="B93" s="85"/>
      <c r="C93" s="43" t="s">
        <v>125</v>
      </c>
      <c r="D93" s="42">
        <v>5</v>
      </c>
      <c r="E93" s="41">
        <v>1.0964912280701754E-3</v>
      </c>
    </row>
    <row r="94" spans="2:5" ht="15" customHeight="1">
      <c r="B94" s="85"/>
      <c r="C94" s="43" t="s">
        <v>133</v>
      </c>
      <c r="D94" s="42">
        <v>42</v>
      </c>
      <c r="E94" s="41">
        <v>9.2105263157894728E-3</v>
      </c>
    </row>
    <row r="95" spans="2:5" ht="15" customHeight="1">
      <c r="B95" s="85"/>
      <c r="C95" s="43" t="s">
        <v>130</v>
      </c>
      <c r="D95" s="42">
        <v>4</v>
      </c>
      <c r="E95" s="41">
        <v>8.7719298245614037E-4</v>
      </c>
    </row>
    <row r="96" spans="2:5" ht="15" customHeight="1">
      <c r="B96" s="84"/>
      <c r="C96" s="40" t="s">
        <v>23</v>
      </c>
      <c r="D96" s="39">
        <v>124</v>
      </c>
      <c r="E96" s="38">
        <v>2.7192982456140352E-2</v>
      </c>
    </row>
    <row r="97" spans="2:5" ht="15" customHeight="1">
      <c r="B97" s="83" t="s">
        <v>56</v>
      </c>
      <c r="C97" s="43" t="s">
        <v>131</v>
      </c>
      <c r="D97" s="42">
        <v>1</v>
      </c>
      <c r="E97" s="41">
        <v>2.1929824561403509E-4</v>
      </c>
    </row>
    <row r="98" spans="2:5" ht="15" customHeight="1">
      <c r="B98" s="85"/>
      <c r="C98" s="43" t="s">
        <v>134</v>
      </c>
      <c r="D98" s="42">
        <v>7</v>
      </c>
      <c r="E98" s="41">
        <v>1.5350877192982456E-3</v>
      </c>
    </row>
    <row r="99" spans="2:5" ht="15" customHeight="1">
      <c r="B99" s="85"/>
      <c r="C99" s="43" t="s">
        <v>129</v>
      </c>
      <c r="D99" s="42">
        <v>2</v>
      </c>
      <c r="E99" s="41">
        <v>4.3859649122807018E-4</v>
      </c>
    </row>
    <row r="100" spans="2:5" ht="15" customHeight="1">
      <c r="B100" s="85"/>
      <c r="C100" s="43" t="s">
        <v>132</v>
      </c>
      <c r="D100" s="42">
        <v>10</v>
      </c>
      <c r="E100" s="41">
        <v>2.1929824561403508E-3</v>
      </c>
    </row>
    <row r="101" spans="2:5" ht="15" customHeight="1">
      <c r="B101" s="85"/>
      <c r="C101" s="43" t="s">
        <v>125</v>
      </c>
      <c r="D101" s="42">
        <v>2</v>
      </c>
      <c r="E101" s="41">
        <v>4.3859649122807018E-4</v>
      </c>
    </row>
    <row r="102" spans="2:5" ht="15" customHeight="1">
      <c r="B102" s="85"/>
      <c r="C102" s="43" t="s">
        <v>133</v>
      </c>
      <c r="D102" s="42">
        <v>8</v>
      </c>
      <c r="E102" s="41">
        <v>1.7543859649122807E-3</v>
      </c>
    </row>
    <row r="103" spans="2:5" ht="15" customHeight="1">
      <c r="B103" s="85"/>
      <c r="C103" s="43" t="s">
        <v>130</v>
      </c>
      <c r="D103" s="42">
        <v>3</v>
      </c>
      <c r="E103" s="41">
        <v>6.5789473684210525E-4</v>
      </c>
    </row>
    <row r="104" spans="2:5" ht="15" customHeight="1">
      <c r="B104" s="84"/>
      <c r="C104" s="40" t="s">
        <v>23</v>
      </c>
      <c r="D104" s="39">
        <v>33</v>
      </c>
      <c r="E104" s="38">
        <v>7.2368421052631578E-3</v>
      </c>
    </row>
    <row r="105" spans="2:5" ht="15" customHeight="1">
      <c r="B105" s="83" t="s">
        <v>47</v>
      </c>
      <c r="C105" s="43" t="s">
        <v>134</v>
      </c>
      <c r="D105" s="42">
        <v>3</v>
      </c>
      <c r="E105" s="41">
        <v>6.5789473684210525E-4</v>
      </c>
    </row>
    <row r="106" spans="2:5" ht="15" customHeight="1">
      <c r="B106" s="85"/>
      <c r="C106" s="43" t="s">
        <v>125</v>
      </c>
      <c r="D106" s="42">
        <v>1</v>
      </c>
      <c r="E106" s="41">
        <v>2.1929824561403509E-4</v>
      </c>
    </row>
    <row r="107" spans="2:5" ht="15" customHeight="1">
      <c r="B107" s="85"/>
      <c r="C107" s="43" t="s">
        <v>133</v>
      </c>
      <c r="D107" s="42">
        <v>5</v>
      </c>
      <c r="E107" s="41">
        <v>1.0964912280701754E-3</v>
      </c>
    </row>
    <row r="108" spans="2:5" ht="15" customHeight="1">
      <c r="B108" s="85"/>
      <c r="C108" s="43" t="s">
        <v>130</v>
      </c>
      <c r="D108" s="42">
        <v>2</v>
      </c>
      <c r="E108" s="41">
        <v>4.3859649122807018E-4</v>
      </c>
    </row>
    <row r="109" spans="2:5" ht="15" customHeight="1">
      <c r="B109" s="84"/>
      <c r="C109" s="40" t="s">
        <v>23</v>
      </c>
      <c r="D109" s="39">
        <v>11</v>
      </c>
      <c r="E109" s="38">
        <v>2.4122807017543861E-3</v>
      </c>
    </row>
    <row r="110" spans="2:5" ht="15" customHeight="1">
      <c r="B110" s="83" t="s">
        <v>49</v>
      </c>
      <c r="C110" s="43" t="s">
        <v>134</v>
      </c>
      <c r="D110" s="42">
        <v>1</v>
      </c>
      <c r="E110" s="41">
        <v>2.1929824561403509E-4</v>
      </c>
    </row>
    <row r="111" spans="2:5" ht="15" customHeight="1">
      <c r="B111" s="85"/>
      <c r="C111" s="43" t="s">
        <v>128</v>
      </c>
      <c r="D111" s="42">
        <v>1</v>
      </c>
      <c r="E111" s="41">
        <v>2.1929824561403509E-4</v>
      </c>
    </row>
    <row r="112" spans="2:5" ht="15" customHeight="1">
      <c r="B112" s="85"/>
      <c r="C112" s="43" t="s">
        <v>132</v>
      </c>
      <c r="D112" s="42">
        <v>3</v>
      </c>
      <c r="E112" s="41">
        <v>6.5789473684210525E-4</v>
      </c>
    </row>
    <row r="113" spans="2:5" ht="15" customHeight="1">
      <c r="B113" s="85"/>
      <c r="C113" s="43" t="s">
        <v>125</v>
      </c>
      <c r="D113" s="42">
        <v>2</v>
      </c>
      <c r="E113" s="41">
        <v>4.3859649122807018E-4</v>
      </c>
    </row>
    <row r="114" spans="2:5" ht="15" customHeight="1">
      <c r="B114" s="85"/>
      <c r="C114" s="43" t="s">
        <v>133</v>
      </c>
      <c r="D114" s="42">
        <v>4</v>
      </c>
      <c r="E114" s="41">
        <v>8.7719298245614037E-4</v>
      </c>
    </row>
    <row r="115" spans="2:5" ht="15" customHeight="1">
      <c r="B115" s="85"/>
      <c r="C115" s="43" t="s">
        <v>130</v>
      </c>
      <c r="D115" s="42">
        <v>1</v>
      </c>
      <c r="E115" s="41">
        <v>2.1929824561403509E-4</v>
      </c>
    </row>
    <row r="116" spans="2:5" ht="15" customHeight="1">
      <c r="B116" s="84"/>
      <c r="C116" s="40" t="s">
        <v>23</v>
      </c>
      <c r="D116" s="39">
        <v>12</v>
      </c>
      <c r="E116" s="38">
        <v>2.631578947368421E-3</v>
      </c>
    </row>
    <row r="117" spans="2:5" ht="15" customHeight="1">
      <c r="B117" s="83" t="s">
        <v>39</v>
      </c>
      <c r="C117" s="43" t="s">
        <v>131</v>
      </c>
      <c r="D117" s="42">
        <v>1</v>
      </c>
      <c r="E117" s="41">
        <v>2.1929824561403509E-4</v>
      </c>
    </row>
    <row r="118" spans="2:5" ht="15" customHeight="1">
      <c r="B118" s="85"/>
      <c r="C118" s="43" t="s">
        <v>134</v>
      </c>
      <c r="D118" s="42">
        <v>1</v>
      </c>
      <c r="E118" s="41">
        <v>2.1929824561403509E-4</v>
      </c>
    </row>
    <row r="119" spans="2:5" ht="15" customHeight="1">
      <c r="B119" s="85"/>
      <c r="C119" s="43" t="s">
        <v>128</v>
      </c>
      <c r="D119" s="42">
        <v>1</v>
      </c>
      <c r="E119" s="41">
        <v>2.1929824561403509E-4</v>
      </c>
    </row>
    <row r="120" spans="2:5" ht="15" customHeight="1">
      <c r="B120" s="85"/>
      <c r="C120" s="43" t="s">
        <v>133</v>
      </c>
      <c r="D120" s="42">
        <v>3</v>
      </c>
      <c r="E120" s="41">
        <v>6.5789473684210525E-4</v>
      </c>
    </row>
    <row r="121" spans="2:5" ht="15" customHeight="1">
      <c r="B121" s="85"/>
      <c r="C121" s="43" t="s">
        <v>130</v>
      </c>
      <c r="D121" s="42">
        <v>1</v>
      </c>
      <c r="E121" s="41">
        <v>2.1929824561403509E-4</v>
      </c>
    </row>
    <row r="122" spans="2:5" ht="15" customHeight="1">
      <c r="B122" s="84"/>
      <c r="C122" s="40" t="s">
        <v>23</v>
      </c>
      <c r="D122" s="39">
        <v>7</v>
      </c>
      <c r="E122" s="38">
        <v>1.5350877192982456E-3</v>
      </c>
    </row>
    <row r="123" spans="2:5" ht="15" customHeight="1">
      <c r="B123" s="83" t="s">
        <v>35</v>
      </c>
      <c r="C123" s="43" t="s">
        <v>134</v>
      </c>
      <c r="D123" s="42">
        <v>1</v>
      </c>
      <c r="E123" s="41">
        <v>2.1929824561403509E-4</v>
      </c>
    </row>
    <row r="124" spans="2:5" ht="15" customHeight="1">
      <c r="B124" s="85"/>
      <c r="C124" s="43" t="s">
        <v>132</v>
      </c>
      <c r="D124" s="42">
        <v>1</v>
      </c>
      <c r="E124" s="41">
        <v>2.1929824561403509E-4</v>
      </c>
    </row>
    <row r="125" spans="2:5" ht="15" customHeight="1">
      <c r="B125" s="85"/>
      <c r="C125" s="43" t="s">
        <v>133</v>
      </c>
      <c r="D125" s="42">
        <v>3</v>
      </c>
      <c r="E125" s="41">
        <v>6.5789473684210525E-4</v>
      </c>
    </row>
    <row r="126" spans="2:5" ht="15" customHeight="1">
      <c r="B126" s="84"/>
      <c r="C126" s="40" t="s">
        <v>23</v>
      </c>
      <c r="D126" s="39">
        <v>5</v>
      </c>
      <c r="E126" s="38">
        <v>1.0964912280701754E-3</v>
      </c>
    </row>
    <row r="127" spans="2:5" ht="15" customHeight="1">
      <c r="B127" s="83" t="s">
        <v>31</v>
      </c>
      <c r="C127" s="43" t="s">
        <v>134</v>
      </c>
      <c r="D127" s="42">
        <v>3</v>
      </c>
      <c r="E127" s="41">
        <v>6.5789473684210525E-4</v>
      </c>
    </row>
    <row r="128" spans="2:5" ht="15" customHeight="1">
      <c r="B128" s="85"/>
      <c r="C128" s="43" t="s">
        <v>133</v>
      </c>
      <c r="D128" s="42">
        <v>1</v>
      </c>
      <c r="E128" s="41">
        <v>2.1929824561403509E-4</v>
      </c>
    </row>
    <row r="129" spans="2:5" ht="15" customHeight="1">
      <c r="B129" s="84"/>
      <c r="C129" s="40" t="s">
        <v>23</v>
      </c>
      <c r="D129" s="39">
        <v>4</v>
      </c>
      <c r="E129" s="38">
        <v>8.7719298245614037E-4</v>
      </c>
    </row>
    <row r="130" spans="2:5" ht="15" customHeight="1">
      <c r="B130" s="83" t="s">
        <v>29</v>
      </c>
      <c r="C130" s="43" t="s">
        <v>134</v>
      </c>
      <c r="D130" s="42">
        <v>2</v>
      </c>
      <c r="E130" s="41">
        <v>4.3859649122807018E-4</v>
      </c>
    </row>
    <row r="131" spans="2:5" ht="15" customHeight="1">
      <c r="B131" s="84"/>
      <c r="C131" s="40" t="s">
        <v>23</v>
      </c>
      <c r="D131" s="39">
        <v>2</v>
      </c>
      <c r="E131" s="38">
        <v>4.3859649122807018E-4</v>
      </c>
    </row>
    <row r="132" spans="2:5" ht="15" customHeight="1">
      <c r="B132" s="83" t="s">
        <v>44</v>
      </c>
      <c r="C132" s="43" t="s">
        <v>134</v>
      </c>
      <c r="D132" s="42">
        <v>1</v>
      </c>
      <c r="E132" s="41">
        <v>2.1929824561403509E-4</v>
      </c>
    </row>
    <row r="133" spans="2:5" ht="15" customHeight="1">
      <c r="B133" s="85"/>
      <c r="C133" s="43" t="s">
        <v>132</v>
      </c>
      <c r="D133" s="42">
        <v>1</v>
      </c>
      <c r="E133" s="41">
        <v>2.1929824561403509E-4</v>
      </c>
    </row>
    <row r="134" spans="2:5" ht="15" customHeight="1">
      <c r="B134" s="85"/>
      <c r="C134" s="43" t="s">
        <v>125</v>
      </c>
      <c r="D134" s="42">
        <v>1</v>
      </c>
      <c r="E134" s="41">
        <v>2.1929824561403509E-4</v>
      </c>
    </row>
    <row r="135" spans="2:5" ht="15" customHeight="1">
      <c r="B135" s="85"/>
      <c r="C135" s="43" t="s">
        <v>133</v>
      </c>
      <c r="D135" s="42">
        <v>7</v>
      </c>
      <c r="E135" s="41">
        <v>1.5350877192982456E-3</v>
      </c>
    </row>
    <row r="136" spans="2:5" ht="15" customHeight="1">
      <c r="B136" s="84"/>
      <c r="C136" s="40" t="s">
        <v>23</v>
      </c>
      <c r="D136" s="39">
        <v>10</v>
      </c>
      <c r="E136" s="38">
        <v>2.1929824561403508E-3</v>
      </c>
    </row>
    <row r="137" spans="2:5" ht="15" customHeight="1">
      <c r="B137" s="83" t="s">
        <v>48</v>
      </c>
      <c r="C137" s="43" t="s">
        <v>131</v>
      </c>
      <c r="D137" s="42">
        <v>2</v>
      </c>
      <c r="E137" s="41">
        <v>4.3859649122807018E-4</v>
      </c>
    </row>
    <row r="138" spans="2:5" ht="15" customHeight="1">
      <c r="B138" s="85"/>
      <c r="C138" s="43" t="s">
        <v>134</v>
      </c>
      <c r="D138" s="42">
        <v>5</v>
      </c>
      <c r="E138" s="41">
        <v>1.0964912280701754E-3</v>
      </c>
    </row>
    <row r="139" spans="2:5" ht="15" customHeight="1">
      <c r="B139" s="85"/>
      <c r="C139" s="43" t="s">
        <v>132</v>
      </c>
      <c r="D139" s="42">
        <v>1</v>
      </c>
      <c r="E139" s="41">
        <v>2.1929824561403509E-4</v>
      </c>
    </row>
    <row r="140" spans="2:5" ht="15" customHeight="1">
      <c r="B140" s="85"/>
      <c r="C140" s="43" t="s">
        <v>133</v>
      </c>
      <c r="D140" s="42">
        <v>4</v>
      </c>
      <c r="E140" s="41">
        <v>8.7719298245614037E-4</v>
      </c>
    </row>
    <row r="141" spans="2:5" ht="15" customHeight="1">
      <c r="B141" s="84"/>
      <c r="C141" s="40" t="s">
        <v>23</v>
      </c>
      <c r="D141" s="39">
        <v>12</v>
      </c>
      <c r="E141" s="38">
        <v>2.631578947368421E-3</v>
      </c>
    </row>
    <row r="142" spans="2:5" ht="15" customHeight="1">
      <c r="B142" s="83" t="s">
        <v>37</v>
      </c>
      <c r="C142" s="43" t="s">
        <v>131</v>
      </c>
      <c r="D142" s="42">
        <v>1</v>
      </c>
      <c r="E142" s="41">
        <v>2.1929824561403509E-4</v>
      </c>
    </row>
    <row r="143" spans="2:5" ht="15" customHeight="1">
      <c r="B143" s="85"/>
      <c r="C143" s="43" t="s">
        <v>132</v>
      </c>
      <c r="D143" s="42">
        <v>1</v>
      </c>
      <c r="E143" s="41">
        <v>2.1929824561403509E-4</v>
      </c>
    </row>
    <row r="144" spans="2:5" ht="15" customHeight="1">
      <c r="B144" s="85"/>
      <c r="C144" s="43" t="s">
        <v>133</v>
      </c>
      <c r="D144" s="42">
        <v>4</v>
      </c>
      <c r="E144" s="41">
        <v>8.7719298245614037E-4</v>
      </c>
    </row>
    <row r="145" spans="2:5" ht="15" customHeight="1">
      <c r="B145" s="84"/>
      <c r="C145" s="40" t="s">
        <v>23</v>
      </c>
      <c r="D145" s="39">
        <v>6</v>
      </c>
      <c r="E145" s="38">
        <v>1.3157894736842105E-3</v>
      </c>
    </row>
    <row r="146" spans="2:5" ht="15" customHeight="1">
      <c r="B146" s="83" t="s">
        <v>53</v>
      </c>
      <c r="C146" s="43" t="s">
        <v>131</v>
      </c>
      <c r="D146" s="42">
        <v>8</v>
      </c>
      <c r="E146" s="41">
        <v>1.7543859649122807E-3</v>
      </c>
    </row>
    <row r="147" spans="2:5" ht="15" customHeight="1">
      <c r="B147" s="85"/>
      <c r="C147" s="43" t="s">
        <v>134</v>
      </c>
      <c r="D147" s="42">
        <v>2</v>
      </c>
      <c r="E147" s="41">
        <v>4.3859649122807018E-4</v>
      </c>
    </row>
    <row r="148" spans="2:5" ht="15" customHeight="1">
      <c r="B148" s="85"/>
      <c r="C148" s="43" t="s">
        <v>132</v>
      </c>
      <c r="D148" s="42">
        <v>2</v>
      </c>
      <c r="E148" s="41">
        <v>4.3859649122807018E-4</v>
      </c>
    </row>
    <row r="149" spans="2:5" ht="15" customHeight="1">
      <c r="B149" s="85"/>
      <c r="C149" s="43" t="s">
        <v>133</v>
      </c>
      <c r="D149" s="42">
        <v>12</v>
      </c>
      <c r="E149" s="41">
        <v>2.631578947368421E-3</v>
      </c>
    </row>
    <row r="150" spans="2:5" ht="15" customHeight="1">
      <c r="B150" s="84"/>
      <c r="C150" s="40" t="s">
        <v>23</v>
      </c>
      <c r="D150" s="39">
        <v>24</v>
      </c>
      <c r="E150" s="38">
        <v>5.263157894736842E-3</v>
      </c>
    </row>
    <row r="151" spans="2:5" ht="15" customHeight="1">
      <c r="B151" s="83" t="s">
        <v>46</v>
      </c>
      <c r="C151" s="43" t="s">
        <v>131</v>
      </c>
      <c r="D151" s="42">
        <v>1</v>
      </c>
      <c r="E151" s="41">
        <v>2.1929824561403509E-4</v>
      </c>
    </row>
    <row r="152" spans="2:5" ht="15" customHeight="1">
      <c r="B152" s="85"/>
      <c r="C152" s="43" t="s">
        <v>134</v>
      </c>
      <c r="D152" s="42">
        <v>5</v>
      </c>
      <c r="E152" s="41">
        <v>1.0964912280701754E-3</v>
      </c>
    </row>
    <row r="153" spans="2:5" ht="15" customHeight="1">
      <c r="B153" s="85"/>
      <c r="C153" s="43" t="s">
        <v>128</v>
      </c>
      <c r="D153" s="42">
        <v>1</v>
      </c>
      <c r="E153" s="41">
        <v>2.1929824561403509E-4</v>
      </c>
    </row>
    <row r="154" spans="2:5" ht="15" customHeight="1">
      <c r="B154" s="85"/>
      <c r="C154" s="43" t="s">
        <v>132</v>
      </c>
      <c r="D154" s="42">
        <v>2</v>
      </c>
      <c r="E154" s="41">
        <v>4.3859649122807018E-4</v>
      </c>
    </row>
    <row r="155" spans="2:5" ht="15" customHeight="1">
      <c r="B155" s="85"/>
      <c r="C155" s="43" t="s">
        <v>133</v>
      </c>
      <c r="D155" s="42">
        <v>2</v>
      </c>
      <c r="E155" s="41">
        <v>4.3859649122807018E-4</v>
      </c>
    </row>
    <row r="156" spans="2:5" ht="15" customHeight="1">
      <c r="B156" s="84"/>
      <c r="C156" s="40" t="s">
        <v>23</v>
      </c>
      <c r="D156" s="39">
        <v>11</v>
      </c>
      <c r="E156" s="38">
        <v>2.4122807017543861E-3</v>
      </c>
    </row>
    <row r="157" spans="2:5" ht="15" customHeight="1">
      <c r="B157" s="83" t="s">
        <v>66</v>
      </c>
      <c r="C157" s="43" t="s">
        <v>131</v>
      </c>
      <c r="D157" s="42">
        <v>12</v>
      </c>
      <c r="E157" s="41">
        <v>2.631578947368421E-3</v>
      </c>
    </row>
    <row r="158" spans="2:5" ht="15" customHeight="1">
      <c r="B158" s="85"/>
      <c r="C158" s="43" t="s">
        <v>134</v>
      </c>
      <c r="D158" s="42">
        <v>50</v>
      </c>
      <c r="E158" s="41">
        <v>1.0964912280701754E-2</v>
      </c>
    </row>
    <row r="159" spans="2:5" ht="15" customHeight="1">
      <c r="B159" s="85"/>
      <c r="C159" s="43" t="s">
        <v>127</v>
      </c>
      <c r="D159" s="42">
        <v>15</v>
      </c>
      <c r="E159" s="41">
        <v>3.2894736842105261E-3</v>
      </c>
    </row>
    <row r="160" spans="2:5" ht="15" customHeight="1">
      <c r="B160" s="85"/>
      <c r="C160" s="43" t="s">
        <v>129</v>
      </c>
      <c r="D160" s="42">
        <v>5</v>
      </c>
      <c r="E160" s="41">
        <v>1.0964912280701754E-3</v>
      </c>
    </row>
    <row r="161" spans="2:5" ht="15" customHeight="1">
      <c r="B161" s="85"/>
      <c r="C161" s="43" t="s">
        <v>128</v>
      </c>
      <c r="D161" s="42">
        <v>11</v>
      </c>
      <c r="E161" s="41">
        <v>2.4122807017543861E-3</v>
      </c>
    </row>
    <row r="162" spans="2:5" ht="15" customHeight="1">
      <c r="B162" s="85"/>
      <c r="C162" s="43" t="s">
        <v>126</v>
      </c>
      <c r="D162" s="42">
        <v>8</v>
      </c>
      <c r="E162" s="41">
        <v>1.7543859649122807E-3</v>
      </c>
    </row>
    <row r="163" spans="2:5" ht="15" customHeight="1">
      <c r="B163" s="85"/>
      <c r="C163" s="43" t="s">
        <v>132</v>
      </c>
      <c r="D163" s="42">
        <v>42</v>
      </c>
      <c r="E163" s="41">
        <v>9.2105263157894728E-3</v>
      </c>
    </row>
    <row r="164" spans="2:5" ht="15" customHeight="1">
      <c r="B164" s="85"/>
      <c r="C164" s="43" t="s">
        <v>125</v>
      </c>
      <c r="D164" s="42">
        <v>14</v>
      </c>
      <c r="E164" s="41">
        <v>3.0701754385964912E-3</v>
      </c>
    </row>
    <row r="165" spans="2:5" ht="15" customHeight="1">
      <c r="B165" s="85"/>
      <c r="C165" s="43" t="s">
        <v>133</v>
      </c>
      <c r="D165" s="42">
        <v>28</v>
      </c>
      <c r="E165" s="41">
        <v>6.1403508771929825E-3</v>
      </c>
    </row>
    <row r="166" spans="2:5" ht="15" customHeight="1">
      <c r="B166" s="85"/>
      <c r="C166" s="43" t="s">
        <v>130</v>
      </c>
      <c r="D166" s="42">
        <v>29</v>
      </c>
      <c r="E166" s="41">
        <v>6.3596491228070174E-3</v>
      </c>
    </row>
    <row r="167" spans="2:5" ht="15" customHeight="1">
      <c r="B167" s="84"/>
      <c r="C167" s="40" t="s">
        <v>23</v>
      </c>
      <c r="D167" s="39">
        <v>214</v>
      </c>
      <c r="E167" s="38">
        <v>4.6929824561403509E-2</v>
      </c>
    </row>
    <row r="168" spans="2:5" ht="15" customHeight="1">
      <c r="B168" s="83" t="s">
        <v>34</v>
      </c>
      <c r="C168" s="43" t="s">
        <v>132</v>
      </c>
      <c r="D168" s="42">
        <v>5</v>
      </c>
      <c r="E168" s="41">
        <v>1.0964912280701754E-3</v>
      </c>
    </row>
    <row r="169" spans="2:5" ht="15" customHeight="1">
      <c r="B169" s="84"/>
      <c r="C169" s="40" t="s">
        <v>23</v>
      </c>
      <c r="D169" s="39">
        <v>5</v>
      </c>
      <c r="E169" s="38">
        <v>1.0964912280701754E-3</v>
      </c>
    </row>
    <row r="170" spans="2:5" ht="15" customHeight="1">
      <c r="B170" s="83" t="s">
        <v>33</v>
      </c>
      <c r="C170" s="43" t="s">
        <v>134</v>
      </c>
      <c r="D170" s="42">
        <v>1</v>
      </c>
      <c r="E170" s="41">
        <v>2.1929824561403509E-4</v>
      </c>
    </row>
    <row r="171" spans="2:5" ht="15" customHeight="1">
      <c r="B171" s="85"/>
      <c r="C171" s="43" t="s">
        <v>126</v>
      </c>
      <c r="D171" s="42">
        <v>1</v>
      </c>
      <c r="E171" s="41">
        <v>2.1929824561403509E-4</v>
      </c>
    </row>
    <row r="172" spans="2:5" ht="15" customHeight="1">
      <c r="B172" s="85"/>
      <c r="C172" s="43" t="s">
        <v>132</v>
      </c>
      <c r="D172" s="42">
        <v>2</v>
      </c>
      <c r="E172" s="41">
        <v>4.3859649122807018E-4</v>
      </c>
    </row>
    <row r="173" spans="2:5" ht="15" customHeight="1">
      <c r="B173" s="85"/>
      <c r="C173" s="43" t="s">
        <v>133</v>
      </c>
      <c r="D173" s="42">
        <v>1</v>
      </c>
      <c r="E173" s="41">
        <v>2.1929824561403509E-4</v>
      </c>
    </row>
    <row r="174" spans="2:5" ht="15" customHeight="1">
      <c r="B174" s="84"/>
      <c r="C174" s="40" t="s">
        <v>23</v>
      </c>
      <c r="D174" s="39">
        <v>5</v>
      </c>
      <c r="E174" s="38">
        <v>1.0964912280701754E-3</v>
      </c>
    </row>
    <row r="175" spans="2:5" ht="15" customHeight="1">
      <c r="B175" s="83" t="s">
        <v>45</v>
      </c>
      <c r="C175" s="43" t="s">
        <v>134</v>
      </c>
      <c r="D175" s="42">
        <v>2</v>
      </c>
      <c r="E175" s="41">
        <v>4.3859649122807018E-4</v>
      </c>
    </row>
    <row r="176" spans="2:5" ht="15" customHeight="1">
      <c r="B176" s="85"/>
      <c r="C176" s="43" t="s">
        <v>126</v>
      </c>
      <c r="D176" s="42">
        <v>2</v>
      </c>
      <c r="E176" s="41">
        <v>4.3859649122807018E-4</v>
      </c>
    </row>
    <row r="177" spans="2:5" ht="15" customHeight="1">
      <c r="B177" s="85"/>
      <c r="C177" s="43" t="s">
        <v>132</v>
      </c>
      <c r="D177" s="42">
        <v>1</v>
      </c>
      <c r="E177" s="41">
        <v>2.1929824561403509E-4</v>
      </c>
    </row>
    <row r="178" spans="2:5" ht="15" customHeight="1">
      <c r="B178" s="85"/>
      <c r="C178" s="43" t="s">
        <v>133</v>
      </c>
      <c r="D178" s="42">
        <v>6</v>
      </c>
      <c r="E178" s="41">
        <v>1.3157894736842105E-3</v>
      </c>
    </row>
    <row r="179" spans="2:5" ht="15" customHeight="1">
      <c r="B179" s="84"/>
      <c r="C179" s="40" t="s">
        <v>23</v>
      </c>
      <c r="D179" s="39">
        <v>11</v>
      </c>
      <c r="E179" s="38">
        <v>2.4122807017543861E-3</v>
      </c>
    </row>
    <row r="180" spans="2:5" ht="15" customHeight="1">
      <c r="B180" s="83" t="s">
        <v>38</v>
      </c>
      <c r="C180" s="43" t="s">
        <v>134</v>
      </c>
      <c r="D180" s="42">
        <v>1</v>
      </c>
      <c r="E180" s="41">
        <v>2.1929824561403509E-4</v>
      </c>
    </row>
    <row r="181" spans="2:5" ht="15" customHeight="1">
      <c r="B181" s="85"/>
      <c r="C181" s="43" t="s">
        <v>132</v>
      </c>
      <c r="D181" s="42">
        <v>4</v>
      </c>
      <c r="E181" s="41">
        <v>8.7719298245614037E-4</v>
      </c>
    </row>
    <row r="182" spans="2:5" ht="15" customHeight="1">
      <c r="B182" s="85"/>
      <c r="C182" s="43" t="s">
        <v>133</v>
      </c>
      <c r="D182" s="42">
        <v>2</v>
      </c>
      <c r="E182" s="41">
        <v>4.3859649122807018E-4</v>
      </c>
    </row>
    <row r="183" spans="2:5" ht="15" customHeight="1">
      <c r="B183" s="84"/>
      <c r="C183" s="40" t="s">
        <v>23</v>
      </c>
      <c r="D183" s="39">
        <v>7</v>
      </c>
      <c r="E183" s="38">
        <v>1.5350877192982456E-3</v>
      </c>
    </row>
    <row r="184" spans="2:5" ht="15" customHeight="1">
      <c r="B184" s="83" t="s">
        <v>55</v>
      </c>
      <c r="C184" s="43" t="s">
        <v>131</v>
      </c>
      <c r="D184" s="42">
        <v>2</v>
      </c>
      <c r="E184" s="41">
        <v>4.3859649122807018E-4</v>
      </c>
    </row>
    <row r="185" spans="2:5" ht="15" customHeight="1">
      <c r="B185" s="85"/>
      <c r="C185" s="43" t="s">
        <v>134</v>
      </c>
      <c r="D185" s="42">
        <v>8</v>
      </c>
      <c r="E185" s="41">
        <v>1.7543859649122807E-3</v>
      </c>
    </row>
    <row r="186" spans="2:5" ht="15" customHeight="1">
      <c r="B186" s="85"/>
      <c r="C186" s="43" t="s">
        <v>127</v>
      </c>
      <c r="D186" s="42">
        <v>1</v>
      </c>
      <c r="E186" s="41">
        <v>2.1929824561403509E-4</v>
      </c>
    </row>
    <row r="187" spans="2:5" ht="15" customHeight="1">
      <c r="B187" s="85"/>
      <c r="C187" s="43" t="s">
        <v>128</v>
      </c>
      <c r="D187" s="42">
        <v>1</v>
      </c>
      <c r="E187" s="41">
        <v>2.1929824561403509E-4</v>
      </c>
    </row>
    <row r="188" spans="2:5" ht="15" customHeight="1">
      <c r="B188" s="85"/>
      <c r="C188" s="43" t="s">
        <v>126</v>
      </c>
      <c r="D188" s="42">
        <v>3</v>
      </c>
      <c r="E188" s="41">
        <v>6.5789473684210525E-4</v>
      </c>
    </row>
    <row r="189" spans="2:5" ht="15" customHeight="1">
      <c r="B189" s="85"/>
      <c r="C189" s="43" t="s">
        <v>132</v>
      </c>
      <c r="D189" s="42">
        <v>11</v>
      </c>
      <c r="E189" s="41">
        <v>2.4122807017543861E-3</v>
      </c>
    </row>
    <row r="190" spans="2:5" ht="15" customHeight="1">
      <c r="B190" s="85"/>
      <c r="C190" s="43" t="s">
        <v>133</v>
      </c>
      <c r="D190" s="42">
        <v>4</v>
      </c>
      <c r="E190" s="41">
        <v>8.7719298245614037E-4</v>
      </c>
    </row>
    <row r="191" spans="2:5" ht="15" customHeight="1">
      <c r="B191" s="84"/>
      <c r="C191" s="40" t="s">
        <v>23</v>
      </c>
      <c r="D191" s="39">
        <v>30</v>
      </c>
      <c r="E191" s="38">
        <v>6.5789473684210523E-3</v>
      </c>
    </row>
    <row r="192" spans="2:5" ht="15" customHeight="1">
      <c r="B192" s="83" t="s">
        <v>41</v>
      </c>
      <c r="C192" s="43" t="s">
        <v>134</v>
      </c>
      <c r="D192" s="42">
        <v>3</v>
      </c>
      <c r="E192" s="41">
        <v>6.5789473684210525E-4</v>
      </c>
    </row>
    <row r="193" spans="2:5" ht="15" customHeight="1">
      <c r="B193" s="85"/>
      <c r="C193" s="43" t="s">
        <v>132</v>
      </c>
      <c r="D193" s="42">
        <v>1</v>
      </c>
      <c r="E193" s="41">
        <v>2.1929824561403509E-4</v>
      </c>
    </row>
    <row r="194" spans="2:5" ht="15" customHeight="1">
      <c r="B194" s="85"/>
      <c r="C194" s="43" t="s">
        <v>133</v>
      </c>
      <c r="D194" s="42">
        <v>3</v>
      </c>
      <c r="E194" s="41">
        <v>6.5789473684210525E-4</v>
      </c>
    </row>
    <row r="195" spans="2:5" ht="15" customHeight="1">
      <c r="B195" s="85"/>
      <c r="C195" s="43" t="s">
        <v>130</v>
      </c>
      <c r="D195" s="42">
        <v>1</v>
      </c>
      <c r="E195" s="41">
        <v>2.1929824561403509E-4</v>
      </c>
    </row>
    <row r="196" spans="2:5" ht="15" customHeight="1">
      <c r="B196" s="84"/>
      <c r="C196" s="40" t="s">
        <v>23</v>
      </c>
      <c r="D196" s="39">
        <v>8</v>
      </c>
      <c r="E196" s="38">
        <v>1.7543859649122807E-3</v>
      </c>
    </row>
    <row r="197" spans="2:5" ht="15" customHeight="1">
      <c r="B197" s="83" t="s">
        <v>52</v>
      </c>
      <c r="C197" s="43" t="s">
        <v>131</v>
      </c>
      <c r="D197" s="42">
        <v>2</v>
      </c>
      <c r="E197" s="41">
        <v>4.3859649122807018E-4</v>
      </c>
    </row>
    <row r="198" spans="2:5" ht="15" customHeight="1">
      <c r="B198" s="85"/>
      <c r="C198" s="43" t="s">
        <v>134</v>
      </c>
      <c r="D198" s="42">
        <v>12</v>
      </c>
      <c r="E198" s="41">
        <v>2.631578947368421E-3</v>
      </c>
    </row>
    <row r="199" spans="2:5" ht="15" customHeight="1">
      <c r="B199" s="85"/>
      <c r="C199" s="43" t="s">
        <v>129</v>
      </c>
      <c r="D199" s="42">
        <v>3</v>
      </c>
      <c r="E199" s="41">
        <v>6.5789473684210525E-4</v>
      </c>
    </row>
    <row r="200" spans="2:5" ht="15" customHeight="1">
      <c r="B200" s="85"/>
      <c r="C200" s="43" t="s">
        <v>132</v>
      </c>
      <c r="D200" s="42">
        <v>1</v>
      </c>
      <c r="E200" s="41">
        <v>2.1929824561403509E-4</v>
      </c>
    </row>
    <row r="201" spans="2:5" ht="15" customHeight="1">
      <c r="B201" s="85"/>
      <c r="C201" s="43" t="s">
        <v>133</v>
      </c>
      <c r="D201" s="42">
        <v>5</v>
      </c>
      <c r="E201" s="41">
        <v>1.0964912280701754E-3</v>
      </c>
    </row>
    <row r="202" spans="2:5" ht="15" customHeight="1">
      <c r="B202" s="85"/>
      <c r="C202" s="43" t="s">
        <v>130</v>
      </c>
      <c r="D202" s="42">
        <v>1</v>
      </c>
      <c r="E202" s="41">
        <v>2.1929824561403509E-4</v>
      </c>
    </row>
    <row r="203" spans="2:5" ht="15" customHeight="1">
      <c r="B203" s="84"/>
      <c r="C203" s="40" t="s">
        <v>23</v>
      </c>
      <c r="D203" s="39">
        <v>24</v>
      </c>
      <c r="E203" s="38">
        <v>5.263157894736842E-3</v>
      </c>
    </row>
    <row r="204" spans="2:5" ht="15" customHeight="1">
      <c r="B204" s="83" t="s">
        <v>63</v>
      </c>
      <c r="C204" s="43" t="s">
        <v>131</v>
      </c>
      <c r="D204" s="42">
        <v>8</v>
      </c>
      <c r="E204" s="41">
        <v>1.7543859649122807E-3</v>
      </c>
    </row>
    <row r="205" spans="2:5" ht="15" customHeight="1">
      <c r="B205" s="85"/>
      <c r="C205" s="43" t="s">
        <v>134</v>
      </c>
      <c r="D205" s="42">
        <v>35</v>
      </c>
      <c r="E205" s="41">
        <v>7.6754385964912276E-3</v>
      </c>
    </row>
    <row r="206" spans="2:5" ht="15" customHeight="1">
      <c r="B206" s="85"/>
      <c r="C206" s="43" t="s">
        <v>127</v>
      </c>
      <c r="D206" s="42">
        <v>8</v>
      </c>
      <c r="E206" s="41">
        <v>1.7543859649122807E-3</v>
      </c>
    </row>
    <row r="207" spans="2:5" ht="15" customHeight="1">
      <c r="B207" s="85"/>
      <c r="C207" s="43" t="s">
        <v>129</v>
      </c>
      <c r="D207" s="42">
        <v>3</v>
      </c>
      <c r="E207" s="41">
        <v>6.5789473684210525E-4</v>
      </c>
    </row>
    <row r="208" spans="2:5" ht="15" customHeight="1">
      <c r="B208" s="85"/>
      <c r="C208" s="43" t="s">
        <v>128</v>
      </c>
      <c r="D208" s="42">
        <v>4</v>
      </c>
      <c r="E208" s="41">
        <v>8.7719298245614037E-4</v>
      </c>
    </row>
    <row r="209" spans="2:5" ht="15" customHeight="1">
      <c r="B209" s="85"/>
      <c r="C209" s="43" t="s">
        <v>126</v>
      </c>
      <c r="D209" s="42">
        <v>3</v>
      </c>
      <c r="E209" s="41">
        <v>6.5789473684210525E-4</v>
      </c>
    </row>
    <row r="210" spans="2:5" ht="15" customHeight="1">
      <c r="B210" s="85"/>
      <c r="C210" s="43" t="s">
        <v>132</v>
      </c>
      <c r="D210" s="42">
        <v>9</v>
      </c>
      <c r="E210" s="41">
        <v>1.9736842105263159E-3</v>
      </c>
    </row>
    <row r="211" spans="2:5" ht="15" customHeight="1">
      <c r="B211" s="85"/>
      <c r="C211" s="43" t="s">
        <v>125</v>
      </c>
      <c r="D211" s="42">
        <v>2</v>
      </c>
      <c r="E211" s="41">
        <v>4.3859649122807018E-4</v>
      </c>
    </row>
    <row r="212" spans="2:5" ht="15" customHeight="1">
      <c r="B212" s="85"/>
      <c r="C212" s="43" t="s">
        <v>133</v>
      </c>
      <c r="D212" s="42">
        <v>37</v>
      </c>
      <c r="E212" s="41">
        <v>8.1140350877192974E-3</v>
      </c>
    </row>
    <row r="213" spans="2:5" ht="15" customHeight="1">
      <c r="B213" s="85"/>
      <c r="C213" s="43" t="s">
        <v>130</v>
      </c>
      <c r="D213" s="42">
        <v>11</v>
      </c>
      <c r="E213" s="41">
        <v>2.4122807017543861E-3</v>
      </c>
    </row>
    <row r="214" spans="2:5" ht="15" customHeight="1">
      <c r="B214" s="84"/>
      <c r="C214" s="40" t="s">
        <v>23</v>
      </c>
      <c r="D214" s="39">
        <v>120</v>
      </c>
      <c r="E214" s="38">
        <v>2.6315789473684209E-2</v>
      </c>
    </row>
    <row r="215" spans="2:5" ht="15" customHeight="1">
      <c r="B215" s="83" t="s">
        <v>26</v>
      </c>
      <c r="C215" s="43" t="s">
        <v>133</v>
      </c>
      <c r="D215" s="42">
        <v>1</v>
      </c>
      <c r="E215" s="41">
        <v>2.1929824561403509E-4</v>
      </c>
    </row>
    <row r="216" spans="2:5" ht="15" customHeight="1">
      <c r="B216" s="84"/>
      <c r="C216" s="40" t="s">
        <v>23</v>
      </c>
      <c r="D216" s="39">
        <v>1</v>
      </c>
      <c r="E216" s="38">
        <v>2.1929824561403509E-4</v>
      </c>
    </row>
    <row r="217" spans="2:5" ht="15" customHeight="1">
      <c r="B217" s="83" t="s">
        <v>40</v>
      </c>
      <c r="C217" s="43" t="s">
        <v>134</v>
      </c>
      <c r="D217" s="42">
        <v>4</v>
      </c>
      <c r="E217" s="41">
        <v>8.7719298245614037E-4</v>
      </c>
    </row>
    <row r="218" spans="2:5" ht="15" customHeight="1">
      <c r="B218" s="85"/>
      <c r="C218" s="43" t="s">
        <v>127</v>
      </c>
      <c r="D218" s="42">
        <v>1</v>
      </c>
      <c r="E218" s="41">
        <v>2.1929824561403509E-4</v>
      </c>
    </row>
    <row r="219" spans="2:5" ht="15" customHeight="1">
      <c r="B219" s="85"/>
      <c r="C219" s="43" t="s">
        <v>129</v>
      </c>
      <c r="D219" s="42">
        <v>2</v>
      </c>
      <c r="E219" s="41">
        <v>4.3859649122807018E-4</v>
      </c>
    </row>
    <row r="220" spans="2:5" ht="15" customHeight="1">
      <c r="B220" s="85"/>
      <c r="C220" s="43" t="s">
        <v>133</v>
      </c>
      <c r="D220" s="42">
        <v>1</v>
      </c>
      <c r="E220" s="41">
        <v>2.1929824561403509E-4</v>
      </c>
    </row>
    <row r="221" spans="2:5" ht="15" customHeight="1">
      <c r="B221" s="84"/>
      <c r="C221" s="40" t="s">
        <v>23</v>
      </c>
      <c r="D221" s="39">
        <v>8</v>
      </c>
      <c r="E221" s="38">
        <v>1.7543859649122807E-3</v>
      </c>
    </row>
    <row r="222" spans="2:5" ht="15" customHeight="1">
      <c r="B222" s="83" t="s">
        <v>25</v>
      </c>
      <c r="C222" s="43" t="s">
        <v>131</v>
      </c>
      <c r="D222" s="42">
        <v>1</v>
      </c>
      <c r="E222" s="41">
        <v>2.1929824561403509E-4</v>
      </c>
    </row>
    <row r="223" spans="2:5" ht="15" customHeight="1">
      <c r="B223" s="84"/>
      <c r="C223" s="40" t="s">
        <v>23</v>
      </c>
      <c r="D223" s="39">
        <v>1</v>
      </c>
      <c r="E223" s="38">
        <v>2.1929824561403509E-4</v>
      </c>
    </row>
    <row r="224" spans="2:5" ht="15" customHeight="1">
      <c r="B224" s="83" t="s">
        <v>54</v>
      </c>
      <c r="C224" s="43" t="s">
        <v>134</v>
      </c>
      <c r="D224" s="42">
        <v>7</v>
      </c>
      <c r="E224" s="41">
        <v>1.5350877192982456E-3</v>
      </c>
    </row>
    <row r="225" spans="2:5" ht="15" customHeight="1">
      <c r="B225" s="85"/>
      <c r="C225" s="43" t="s">
        <v>127</v>
      </c>
      <c r="D225" s="42">
        <v>5</v>
      </c>
      <c r="E225" s="41">
        <v>1.0964912280701754E-3</v>
      </c>
    </row>
    <row r="226" spans="2:5" ht="15" customHeight="1">
      <c r="B226" s="85"/>
      <c r="C226" s="43" t="s">
        <v>129</v>
      </c>
      <c r="D226" s="42">
        <v>1</v>
      </c>
      <c r="E226" s="41">
        <v>2.1929824561403509E-4</v>
      </c>
    </row>
    <row r="227" spans="2:5" ht="15" customHeight="1">
      <c r="B227" s="85"/>
      <c r="C227" s="43" t="s">
        <v>126</v>
      </c>
      <c r="D227" s="42">
        <v>1</v>
      </c>
      <c r="E227" s="41">
        <v>2.1929824561403509E-4</v>
      </c>
    </row>
    <row r="228" spans="2:5" ht="15" customHeight="1">
      <c r="B228" s="85"/>
      <c r="C228" s="43" t="s">
        <v>132</v>
      </c>
      <c r="D228" s="42">
        <v>3</v>
      </c>
      <c r="E228" s="41">
        <v>6.5789473684210525E-4</v>
      </c>
    </row>
    <row r="229" spans="2:5" ht="15" customHeight="1">
      <c r="B229" s="85"/>
      <c r="C229" s="43" t="s">
        <v>133</v>
      </c>
      <c r="D229" s="42">
        <v>9</v>
      </c>
      <c r="E229" s="41">
        <v>1.9736842105263159E-3</v>
      </c>
    </row>
    <row r="230" spans="2:5" ht="15" customHeight="1">
      <c r="B230" s="84"/>
      <c r="C230" s="40" t="s">
        <v>23</v>
      </c>
      <c r="D230" s="39">
        <v>26</v>
      </c>
      <c r="E230" s="38">
        <v>5.7017543859649127E-3</v>
      </c>
    </row>
    <row r="231" spans="2:5" ht="15" customHeight="1">
      <c r="B231" s="83" t="s">
        <v>67</v>
      </c>
      <c r="C231" s="43" t="s">
        <v>131</v>
      </c>
      <c r="D231" s="42">
        <v>9</v>
      </c>
      <c r="E231" s="41">
        <v>1.9736842105263159E-3</v>
      </c>
    </row>
    <row r="232" spans="2:5" ht="15" customHeight="1">
      <c r="B232" s="85"/>
      <c r="C232" s="43" t="s">
        <v>134</v>
      </c>
      <c r="D232" s="42">
        <v>84</v>
      </c>
      <c r="E232" s="41">
        <v>1.8421052631578946E-2</v>
      </c>
    </row>
    <row r="233" spans="2:5" ht="15" customHeight="1">
      <c r="B233" s="85"/>
      <c r="C233" s="43" t="s">
        <v>127</v>
      </c>
      <c r="D233" s="42">
        <v>5</v>
      </c>
      <c r="E233" s="41">
        <v>1.0964912280701754E-3</v>
      </c>
    </row>
    <row r="234" spans="2:5" ht="15" customHeight="1">
      <c r="B234" s="85"/>
      <c r="C234" s="43" t="s">
        <v>129</v>
      </c>
      <c r="D234" s="42">
        <v>8</v>
      </c>
      <c r="E234" s="41">
        <v>1.7543859649122807E-3</v>
      </c>
    </row>
    <row r="235" spans="2:5" ht="15" customHeight="1">
      <c r="B235" s="85"/>
      <c r="C235" s="43" t="s">
        <v>128</v>
      </c>
      <c r="D235" s="42">
        <v>9</v>
      </c>
      <c r="E235" s="41">
        <v>1.9736842105263159E-3</v>
      </c>
    </row>
    <row r="236" spans="2:5" ht="15" customHeight="1">
      <c r="B236" s="85"/>
      <c r="C236" s="43" t="s">
        <v>126</v>
      </c>
      <c r="D236" s="42">
        <v>8</v>
      </c>
      <c r="E236" s="41">
        <v>1.7543859649122807E-3</v>
      </c>
    </row>
    <row r="237" spans="2:5" ht="15" customHeight="1">
      <c r="B237" s="85"/>
      <c r="C237" s="43" t="s">
        <v>132</v>
      </c>
      <c r="D237" s="42">
        <v>88</v>
      </c>
      <c r="E237" s="41">
        <v>1.9298245614035089E-2</v>
      </c>
    </row>
    <row r="238" spans="2:5" ht="15" customHeight="1">
      <c r="B238" s="85"/>
      <c r="C238" s="43" t="s">
        <v>125</v>
      </c>
      <c r="D238" s="42">
        <v>4</v>
      </c>
      <c r="E238" s="41">
        <v>8.7719298245614037E-4</v>
      </c>
    </row>
    <row r="239" spans="2:5" ht="15" customHeight="1">
      <c r="B239" s="85"/>
      <c r="C239" s="43" t="s">
        <v>133</v>
      </c>
      <c r="D239" s="42">
        <v>97</v>
      </c>
      <c r="E239" s="41">
        <v>2.1271929824561404E-2</v>
      </c>
    </row>
    <row r="240" spans="2:5" ht="15" customHeight="1">
      <c r="B240" s="85"/>
      <c r="C240" s="43" t="s">
        <v>130</v>
      </c>
      <c r="D240" s="42">
        <v>10</v>
      </c>
      <c r="E240" s="41">
        <v>2.1929824561403508E-3</v>
      </c>
    </row>
    <row r="241" spans="2:5" ht="15" customHeight="1">
      <c r="B241" s="84"/>
      <c r="C241" s="40" t="s">
        <v>23</v>
      </c>
      <c r="D241" s="39">
        <v>322</v>
      </c>
      <c r="E241" s="38">
        <v>7.0614035087719296E-2</v>
      </c>
    </row>
    <row r="242" spans="2:5" ht="15" customHeight="1">
      <c r="B242" s="83" t="s">
        <v>62</v>
      </c>
      <c r="C242" s="43" t="s">
        <v>131</v>
      </c>
      <c r="D242" s="42">
        <v>6</v>
      </c>
      <c r="E242" s="41">
        <v>1.3157894736842105E-3</v>
      </c>
    </row>
    <row r="243" spans="2:5" ht="15" customHeight="1">
      <c r="B243" s="85"/>
      <c r="C243" s="43" t="s">
        <v>134</v>
      </c>
      <c r="D243" s="42">
        <v>21</v>
      </c>
      <c r="E243" s="41">
        <v>4.6052631578947364E-3</v>
      </c>
    </row>
    <row r="244" spans="2:5" ht="15" customHeight="1">
      <c r="B244" s="85"/>
      <c r="C244" s="43" t="s">
        <v>127</v>
      </c>
      <c r="D244" s="42">
        <v>1</v>
      </c>
      <c r="E244" s="41">
        <v>2.1929824561403509E-4</v>
      </c>
    </row>
    <row r="245" spans="2:5" ht="15" customHeight="1">
      <c r="B245" s="85"/>
      <c r="C245" s="43" t="s">
        <v>129</v>
      </c>
      <c r="D245" s="42">
        <v>2</v>
      </c>
      <c r="E245" s="41">
        <v>4.3859649122807018E-4</v>
      </c>
    </row>
    <row r="246" spans="2:5" ht="15" customHeight="1">
      <c r="B246" s="85"/>
      <c r="C246" s="43" t="s">
        <v>128</v>
      </c>
      <c r="D246" s="42">
        <v>4</v>
      </c>
      <c r="E246" s="41">
        <v>8.7719298245614037E-4</v>
      </c>
    </row>
    <row r="247" spans="2:5" ht="15" customHeight="1">
      <c r="B247" s="85"/>
      <c r="C247" s="43" t="s">
        <v>126</v>
      </c>
      <c r="D247" s="42">
        <v>1</v>
      </c>
      <c r="E247" s="41">
        <v>2.1929824561403509E-4</v>
      </c>
    </row>
    <row r="248" spans="2:5" ht="15" customHeight="1">
      <c r="B248" s="85"/>
      <c r="C248" s="43" t="s">
        <v>132</v>
      </c>
      <c r="D248" s="42">
        <v>20</v>
      </c>
      <c r="E248" s="41">
        <v>4.3859649122807015E-3</v>
      </c>
    </row>
    <row r="249" spans="2:5" ht="15" customHeight="1">
      <c r="B249" s="85"/>
      <c r="C249" s="43" t="s">
        <v>125</v>
      </c>
      <c r="D249" s="42">
        <v>1</v>
      </c>
      <c r="E249" s="41">
        <v>2.1929824561403509E-4</v>
      </c>
    </row>
    <row r="250" spans="2:5" ht="15" customHeight="1">
      <c r="B250" s="85"/>
      <c r="C250" s="43" t="s">
        <v>133</v>
      </c>
      <c r="D250" s="42">
        <v>12</v>
      </c>
      <c r="E250" s="41">
        <v>2.631578947368421E-3</v>
      </c>
    </row>
    <row r="251" spans="2:5" ht="15" customHeight="1">
      <c r="B251" s="85"/>
      <c r="C251" s="43" t="s">
        <v>130</v>
      </c>
      <c r="D251" s="42">
        <v>5</v>
      </c>
      <c r="E251" s="41">
        <v>1.0964912280701754E-3</v>
      </c>
    </row>
    <row r="252" spans="2:5" ht="15" customHeight="1">
      <c r="B252" s="84"/>
      <c r="C252" s="40" t="s">
        <v>23</v>
      </c>
      <c r="D252" s="39">
        <v>73</v>
      </c>
      <c r="E252" s="38">
        <v>1.6008771929824563E-2</v>
      </c>
    </row>
    <row r="253" spans="2:5" ht="15" customHeight="1">
      <c r="B253" s="83" t="s">
        <v>24</v>
      </c>
      <c r="C253" s="43" t="s">
        <v>132</v>
      </c>
      <c r="D253" s="42">
        <v>1</v>
      </c>
      <c r="E253" s="41">
        <v>2.1929824561403509E-4</v>
      </c>
    </row>
    <row r="254" spans="2:5" ht="15" customHeight="1">
      <c r="B254" s="84"/>
      <c r="C254" s="40" t="s">
        <v>23</v>
      </c>
      <c r="D254" s="39">
        <v>1</v>
      </c>
      <c r="E254" s="38">
        <v>2.1929824561403509E-4</v>
      </c>
    </row>
    <row r="255" spans="2:5" ht="15" customHeight="1">
      <c r="B255" s="83" t="s">
        <v>51</v>
      </c>
      <c r="C255" s="43" t="s">
        <v>131</v>
      </c>
      <c r="D255" s="42">
        <v>1</v>
      </c>
      <c r="E255" s="41">
        <v>2.1929824561403509E-4</v>
      </c>
    </row>
    <row r="256" spans="2:5" ht="15" customHeight="1">
      <c r="B256" s="85"/>
      <c r="C256" s="43" t="s">
        <v>134</v>
      </c>
      <c r="D256" s="42">
        <v>5</v>
      </c>
      <c r="E256" s="41">
        <v>1.0964912280701754E-3</v>
      </c>
    </row>
    <row r="257" spans="2:5" ht="15" customHeight="1">
      <c r="B257" s="85"/>
      <c r="C257" s="43" t="s">
        <v>127</v>
      </c>
      <c r="D257" s="42">
        <v>1</v>
      </c>
      <c r="E257" s="41">
        <v>2.1929824561403509E-4</v>
      </c>
    </row>
    <row r="258" spans="2:5" ht="15" customHeight="1">
      <c r="B258" s="85"/>
      <c r="C258" s="43" t="s">
        <v>132</v>
      </c>
      <c r="D258" s="42">
        <v>1</v>
      </c>
      <c r="E258" s="41">
        <v>2.1929824561403509E-4</v>
      </c>
    </row>
    <row r="259" spans="2:5" ht="15" customHeight="1">
      <c r="B259" s="85"/>
      <c r="C259" s="43" t="s">
        <v>133</v>
      </c>
      <c r="D259" s="42">
        <v>6</v>
      </c>
      <c r="E259" s="41">
        <v>1.3157894736842105E-3</v>
      </c>
    </row>
    <row r="260" spans="2:5" ht="15" customHeight="1">
      <c r="B260" s="84"/>
      <c r="C260" s="40" t="s">
        <v>23</v>
      </c>
      <c r="D260" s="39">
        <v>14</v>
      </c>
      <c r="E260" s="38">
        <v>3.0701754385964912E-3</v>
      </c>
    </row>
    <row r="261" spans="2:5" ht="15" customHeight="1">
      <c r="B261" s="83" t="s">
        <v>65</v>
      </c>
      <c r="C261" s="43" t="s">
        <v>131</v>
      </c>
      <c r="D261" s="42">
        <v>10</v>
      </c>
      <c r="E261" s="41">
        <v>2.1929824561403508E-3</v>
      </c>
    </row>
    <row r="262" spans="2:5" ht="15" customHeight="1">
      <c r="B262" s="85"/>
      <c r="C262" s="43" t="s">
        <v>134</v>
      </c>
      <c r="D262" s="42">
        <v>51</v>
      </c>
      <c r="E262" s="41">
        <v>1.118421052631579E-2</v>
      </c>
    </row>
    <row r="263" spans="2:5" ht="15" customHeight="1">
      <c r="B263" s="85"/>
      <c r="C263" s="43" t="s">
        <v>127</v>
      </c>
      <c r="D263" s="42">
        <v>5</v>
      </c>
      <c r="E263" s="41">
        <v>1.0964912280701754E-3</v>
      </c>
    </row>
    <row r="264" spans="2:5" ht="15" customHeight="1">
      <c r="B264" s="85"/>
      <c r="C264" s="43" t="s">
        <v>129</v>
      </c>
      <c r="D264" s="42">
        <v>4</v>
      </c>
      <c r="E264" s="41">
        <v>8.7719298245614037E-4</v>
      </c>
    </row>
    <row r="265" spans="2:5" ht="15" customHeight="1">
      <c r="B265" s="85"/>
      <c r="C265" s="43" t="s">
        <v>128</v>
      </c>
      <c r="D265" s="42">
        <v>4</v>
      </c>
      <c r="E265" s="41">
        <v>8.7719298245614037E-4</v>
      </c>
    </row>
    <row r="266" spans="2:5" ht="15" customHeight="1">
      <c r="B266" s="85"/>
      <c r="C266" s="43" t="s">
        <v>126</v>
      </c>
      <c r="D266" s="42">
        <v>12</v>
      </c>
      <c r="E266" s="41">
        <v>2.631578947368421E-3</v>
      </c>
    </row>
    <row r="267" spans="2:5" ht="15" customHeight="1">
      <c r="B267" s="85"/>
      <c r="C267" s="43" t="s">
        <v>132</v>
      </c>
      <c r="D267" s="42">
        <v>26</v>
      </c>
      <c r="E267" s="41">
        <v>5.7017543859649127E-3</v>
      </c>
    </row>
    <row r="268" spans="2:5" ht="15" customHeight="1">
      <c r="B268" s="85"/>
      <c r="C268" s="43" t="s">
        <v>125</v>
      </c>
      <c r="D268" s="42">
        <v>2</v>
      </c>
      <c r="E268" s="41">
        <v>4.3859649122807018E-4</v>
      </c>
    </row>
    <row r="269" spans="2:5" ht="15" customHeight="1">
      <c r="B269" s="85"/>
      <c r="C269" s="43" t="s">
        <v>133</v>
      </c>
      <c r="D269" s="42">
        <v>56</v>
      </c>
      <c r="E269" s="41">
        <v>1.2280701754385965E-2</v>
      </c>
    </row>
    <row r="270" spans="2:5" ht="15" customHeight="1">
      <c r="B270" s="85"/>
      <c r="C270" s="43" t="s">
        <v>130</v>
      </c>
      <c r="D270" s="42">
        <v>10</v>
      </c>
      <c r="E270" s="41">
        <v>2.1929824561403508E-3</v>
      </c>
    </row>
    <row r="271" spans="2:5" ht="15" customHeight="1">
      <c r="B271" s="84"/>
      <c r="C271" s="40" t="s">
        <v>23</v>
      </c>
      <c r="D271" s="39">
        <v>180</v>
      </c>
      <c r="E271" s="38">
        <v>3.9473684210526314E-2</v>
      </c>
    </row>
    <row r="272" spans="2:5" ht="15" customHeight="1">
      <c r="B272" s="83" t="s">
        <v>43</v>
      </c>
      <c r="C272" s="43" t="s">
        <v>134</v>
      </c>
      <c r="D272" s="42">
        <v>2</v>
      </c>
      <c r="E272" s="41">
        <v>4.3859649122807018E-4</v>
      </c>
    </row>
    <row r="273" spans="2:5" ht="15" customHeight="1">
      <c r="B273" s="85"/>
      <c r="C273" s="43" t="s">
        <v>128</v>
      </c>
      <c r="D273" s="42">
        <v>1</v>
      </c>
      <c r="E273" s="41">
        <v>2.1929824561403509E-4</v>
      </c>
    </row>
    <row r="274" spans="2:5" ht="15" customHeight="1">
      <c r="B274" s="85"/>
      <c r="C274" s="43" t="s">
        <v>132</v>
      </c>
      <c r="D274" s="42">
        <v>2</v>
      </c>
      <c r="E274" s="41">
        <v>4.3859649122807018E-4</v>
      </c>
    </row>
    <row r="275" spans="2:5" ht="15" customHeight="1">
      <c r="B275" s="85"/>
      <c r="C275" s="43" t="s">
        <v>125</v>
      </c>
      <c r="D275" s="42">
        <v>1</v>
      </c>
      <c r="E275" s="41">
        <v>2.1929824561403509E-4</v>
      </c>
    </row>
    <row r="276" spans="2:5" ht="15" customHeight="1">
      <c r="B276" s="85"/>
      <c r="C276" s="43" t="s">
        <v>133</v>
      </c>
      <c r="D276" s="42">
        <v>3</v>
      </c>
      <c r="E276" s="41">
        <v>6.5789473684210525E-4</v>
      </c>
    </row>
    <row r="277" spans="2:5" ht="15" customHeight="1">
      <c r="B277" s="85"/>
      <c r="C277" s="43" t="s">
        <v>130</v>
      </c>
      <c r="D277" s="42">
        <v>1</v>
      </c>
      <c r="E277" s="41">
        <v>2.1929824561403509E-4</v>
      </c>
    </row>
    <row r="278" spans="2:5" ht="15" customHeight="1">
      <c r="B278" s="84"/>
      <c r="C278" s="40" t="s">
        <v>23</v>
      </c>
      <c r="D278" s="39">
        <v>10</v>
      </c>
      <c r="E278" s="38">
        <v>2.1929824561403508E-3</v>
      </c>
    </row>
    <row r="279" spans="2:5" ht="15" customHeight="1">
      <c r="B279" s="83" t="s">
        <v>32</v>
      </c>
      <c r="C279" s="43" t="s">
        <v>134</v>
      </c>
      <c r="D279" s="42">
        <v>5</v>
      </c>
      <c r="E279" s="41">
        <v>1.0964912280701754E-3</v>
      </c>
    </row>
    <row r="280" spans="2:5" ht="15" customHeight="1">
      <c r="B280" s="84"/>
      <c r="C280" s="40" t="s">
        <v>23</v>
      </c>
      <c r="D280" s="39">
        <v>5</v>
      </c>
      <c r="E280" s="38">
        <v>1.0964912280701754E-3</v>
      </c>
    </row>
    <row r="281" spans="2:5" ht="15" customHeight="1">
      <c r="B281" s="95" t="s">
        <v>23</v>
      </c>
      <c r="C281" s="96"/>
      <c r="D281" s="97">
        <v>4560</v>
      </c>
      <c r="E281" s="98">
        <v>1</v>
      </c>
    </row>
    <row r="283" spans="2:5" ht="15" customHeight="1">
      <c r="B283" s="19" t="s">
        <v>22</v>
      </c>
    </row>
    <row r="284" spans="2:5" ht="15" customHeight="1">
      <c r="B284" s="21" t="s">
        <v>21</v>
      </c>
    </row>
    <row r="285" spans="2:5" ht="15" customHeight="1">
      <c r="B285" s="20" t="s">
        <v>20</v>
      </c>
    </row>
    <row r="286" spans="2:5" ht="15" customHeight="1">
      <c r="B286" s="19" t="s">
        <v>19</v>
      </c>
    </row>
    <row r="287" spans="2:5" ht="15" customHeight="1">
      <c r="B287" s="19" t="s">
        <v>18</v>
      </c>
    </row>
  </sheetData>
  <mergeCells count="47">
    <mergeCell ref="B7:E8"/>
    <mergeCell ref="B10:B16"/>
    <mergeCell ref="B17:B18"/>
    <mergeCell ref="B19:B26"/>
    <mergeCell ref="B27:B30"/>
    <mergeCell ref="B66:B74"/>
    <mergeCell ref="B75:B76"/>
    <mergeCell ref="B77:B85"/>
    <mergeCell ref="B86:B96"/>
    <mergeCell ref="B97:B104"/>
    <mergeCell ref="B31:B41"/>
    <mergeCell ref="B42:B49"/>
    <mergeCell ref="B50:B54"/>
    <mergeCell ref="B55:B56"/>
    <mergeCell ref="B57:B65"/>
    <mergeCell ref="B130:B131"/>
    <mergeCell ref="B132:B136"/>
    <mergeCell ref="B137:B141"/>
    <mergeCell ref="B142:B145"/>
    <mergeCell ref="B146:B150"/>
    <mergeCell ref="B105:B109"/>
    <mergeCell ref="B110:B116"/>
    <mergeCell ref="B117:B122"/>
    <mergeCell ref="B123:B126"/>
    <mergeCell ref="B127:B129"/>
    <mergeCell ref="B151:B156"/>
    <mergeCell ref="B157:B167"/>
    <mergeCell ref="B168:B169"/>
    <mergeCell ref="B170:B174"/>
    <mergeCell ref="B175:B179"/>
    <mergeCell ref="B180:B183"/>
    <mergeCell ref="B184:B191"/>
    <mergeCell ref="B192:B196"/>
    <mergeCell ref="B197:B203"/>
    <mergeCell ref="B204:B214"/>
    <mergeCell ref="B281:C281"/>
    <mergeCell ref="B253:B254"/>
    <mergeCell ref="B215:B216"/>
    <mergeCell ref="B255:B260"/>
    <mergeCell ref="B261:B271"/>
    <mergeCell ref="B272:B278"/>
    <mergeCell ref="B279:B280"/>
    <mergeCell ref="B217:B221"/>
    <mergeCell ref="B222:B223"/>
    <mergeCell ref="B224:B230"/>
    <mergeCell ref="B231:B241"/>
    <mergeCell ref="B242:B2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6" manualBreakCount="6">
    <brk id="49" max="4" man="1"/>
    <brk id="85" max="4" man="1"/>
    <brk id="129" max="4" man="1"/>
    <brk id="169" max="4" man="1"/>
    <brk id="203" max="4" man="1"/>
    <brk id="241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2"/>
  <sheetViews>
    <sheetView topLeftCell="A338" zoomScale="145" zoomScaleNormal="145" zoomScaleSheetLayoutView="85" workbookViewId="0">
      <selection activeCell="B356" sqref="B356:E35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123</v>
      </c>
      <c r="C9" s="47" t="s">
        <v>137</v>
      </c>
      <c r="D9" s="46" t="s">
        <v>70</v>
      </c>
      <c r="E9" s="45" t="s">
        <v>69</v>
      </c>
    </row>
    <row r="10" spans="1:5" ht="15" customHeight="1">
      <c r="B10" s="83" t="s">
        <v>86</v>
      </c>
      <c r="C10" s="43" t="s">
        <v>134</v>
      </c>
      <c r="D10" s="42">
        <v>2</v>
      </c>
      <c r="E10" s="41">
        <v>4.3859649122807018E-4</v>
      </c>
    </row>
    <row r="11" spans="1:5" s="44" customFormat="1" ht="15" customHeight="1">
      <c r="A11" s="36"/>
      <c r="B11" s="85"/>
      <c r="C11" s="43" t="s">
        <v>132</v>
      </c>
      <c r="D11" s="42">
        <v>1</v>
      </c>
      <c r="E11" s="41">
        <v>2.1929824561403509E-4</v>
      </c>
    </row>
    <row r="12" spans="1:5" s="44" customFormat="1" ht="15" customHeight="1">
      <c r="A12" s="36"/>
      <c r="B12" s="85"/>
      <c r="C12" s="43" t="s">
        <v>133</v>
      </c>
      <c r="D12" s="42">
        <v>4</v>
      </c>
      <c r="E12" s="41">
        <v>8.7719298245614037E-4</v>
      </c>
    </row>
    <row r="13" spans="1:5" ht="15" customHeight="1">
      <c r="B13" s="84"/>
      <c r="C13" s="40" t="s">
        <v>23</v>
      </c>
      <c r="D13" s="39">
        <v>7</v>
      </c>
      <c r="E13" s="38">
        <v>1.5350877192982456E-3</v>
      </c>
    </row>
    <row r="14" spans="1:5" ht="15" customHeight="1">
      <c r="B14" s="83" t="s">
        <v>118</v>
      </c>
      <c r="C14" s="43" t="s">
        <v>131</v>
      </c>
      <c r="D14" s="42">
        <v>6</v>
      </c>
      <c r="E14" s="41">
        <v>1.3157894736842105E-3</v>
      </c>
    </row>
    <row r="15" spans="1:5" ht="15" customHeight="1">
      <c r="B15" s="85"/>
      <c r="C15" s="43" t="s">
        <v>134</v>
      </c>
      <c r="D15" s="42">
        <v>18</v>
      </c>
      <c r="E15" s="41">
        <v>3.9473684210526317E-3</v>
      </c>
    </row>
    <row r="16" spans="1:5" ht="15" customHeight="1">
      <c r="B16" s="85"/>
      <c r="C16" s="43" t="s">
        <v>127</v>
      </c>
      <c r="D16" s="42">
        <v>4</v>
      </c>
      <c r="E16" s="41">
        <v>8.7719298245614037E-4</v>
      </c>
    </row>
    <row r="17" spans="2:5" ht="15" customHeight="1">
      <c r="B17" s="85"/>
      <c r="C17" s="43" t="s">
        <v>128</v>
      </c>
      <c r="D17" s="42">
        <v>2</v>
      </c>
      <c r="E17" s="41">
        <v>4.3859649122807018E-4</v>
      </c>
    </row>
    <row r="18" spans="2:5" ht="15" customHeight="1">
      <c r="B18" s="85"/>
      <c r="C18" s="43" t="s">
        <v>126</v>
      </c>
      <c r="D18" s="42">
        <v>2</v>
      </c>
      <c r="E18" s="41">
        <v>4.3859649122807018E-4</v>
      </c>
    </row>
    <row r="19" spans="2:5" ht="15" customHeight="1">
      <c r="B19" s="85"/>
      <c r="C19" s="43" t="s">
        <v>132</v>
      </c>
      <c r="D19" s="42">
        <v>18</v>
      </c>
      <c r="E19" s="41">
        <v>3.9473684210526317E-3</v>
      </c>
    </row>
    <row r="20" spans="2:5" ht="15" customHeight="1">
      <c r="B20" s="85"/>
      <c r="C20" s="43" t="s">
        <v>133</v>
      </c>
      <c r="D20" s="42">
        <v>16</v>
      </c>
      <c r="E20" s="41">
        <v>3.5087719298245615E-3</v>
      </c>
    </row>
    <row r="21" spans="2:5" ht="15" customHeight="1">
      <c r="B21" s="85"/>
      <c r="C21" s="43" t="s">
        <v>130</v>
      </c>
      <c r="D21" s="42">
        <v>1</v>
      </c>
      <c r="E21" s="41">
        <v>2.1929824561403509E-4</v>
      </c>
    </row>
    <row r="22" spans="2:5" ht="15" customHeight="1">
      <c r="B22" s="84"/>
      <c r="C22" s="40" t="s">
        <v>23</v>
      </c>
      <c r="D22" s="39">
        <v>67</v>
      </c>
      <c r="E22" s="38">
        <v>1.4692982456140351E-2</v>
      </c>
    </row>
    <row r="23" spans="2:5" ht="15" customHeight="1">
      <c r="B23" s="83" t="s">
        <v>108</v>
      </c>
      <c r="C23" s="43" t="s">
        <v>134</v>
      </c>
      <c r="D23" s="42">
        <v>5</v>
      </c>
      <c r="E23" s="41">
        <v>1.0964912280701754E-3</v>
      </c>
    </row>
    <row r="24" spans="2:5" ht="15" customHeight="1">
      <c r="B24" s="85"/>
      <c r="C24" s="43" t="s">
        <v>129</v>
      </c>
      <c r="D24" s="42">
        <v>2</v>
      </c>
      <c r="E24" s="41">
        <v>4.3859649122807018E-4</v>
      </c>
    </row>
    <row r="25" spans="2:5" ht="15" customHeight="1">
      <c r="B25" s="85"/>
      <c r="C25" s="43" t="s">
        <v>126</v>
      </c>
      <c r="D25" s="42">
        <v>1</v>
      </c>
      <c r="E25" s="41">
        <v>2.1929824561403509E-4</v>
      </c>
    </row>
    <row r="26" spans="2:5" ht="15" customHeight="1">
      <c r="B26" s="85"/>
      <c r="C26" s="43" t="s">
        <v>132</v>
      </c>
      <c r="D26" s="42">
        <v>5</v>
      </c>
      <c r="E26" s="41">
        <v>1.0964912280701754E-3</v>
      </c>
    </row>
    <row r="27" spans="2:5" ht="15" customHeight="1">
      <c r="B27" s="85"/>
      <c r="C27" s="43" t="s">
        <v>133</v>
      </c>
      <c r="D27" s="42">
        <v>8</v>
      </c>
      <c r="E27" s="41">
        <v>1.7543859649122807E-3</v>
      </c>
    </row>
    <row r="28" spans="2:5" ht="15" customHeight="1">
      <c r="B28" s="85"/>
      <c r="C28" s="43" t="s">
        <v>130</v>
      </c>
      <c r="D28" s="42">
        <v>1</v>
      </c>
      <c r="E28" s="41">
        <v>2.1929824561403509E-4</v>
      </c>
    </row>
    <row r="29" spans="2:5" ht="15" customHeight="1">
      <c r="B29" s="84"/>
      <c r="C29" s="40" t="s">
        <v>23</v>
      </c>
      <c r="D29" s="39">
        <v>22</v>
      </c>
      <c r="E29" s="38">
        <v>4.8245614035087722E-3</v>
      </c>
    </row>
    <row r="30" spans="2:5" ht="15" customHeight="1">
      <c r="B30" s="83" t="s">
        <v>84</v>
      </c>
      <c r="C30" s="43" t="s">
        <v>131</v>
      </c>
      <c r="D30" s="42">
        <v>2</v>
      </c>
      <c r="E30" s="41">
        <v>4.3859649122807018E-4</v>
      </c>
    </row>
    <row r="31" spans="2:5" ht="15" customHeight="1">
      <c r="B31" s="85"/>
      <c r="C31" s="43" t="s">
        <v>134</v>
      </c>
      <c r="D31" s="42">
        <v>14</v>
      </c>
      <c r="E31" s="41">
        <v>3.0701754385964912E-3</v>
      </c>
    </row>
    <row r="32" spans="2:5" ht="15" customHeight="1">
      <c r="B32" s="85"/>
      <c r="C32" s="43" t="s">
        <v>129</v>
      </c>
      <c r="D32" s="42">
        <v>1</v>
      </c>
      <c r="E32" s="41">
        <v>2.1929824561403509E-4</v>
      </c>
    </row>
    <row r="33" spans="2:5" ht="15" customHeight="1">
      <c r="B33" s="85"/>
      <c r="C33" s="43" t="s">
        <v>126</v>
      </c>
      <c r="D33" s="42">
        <v>1</v>
      </c>
      <c r="E33" s="41">
        <v>2.1929824561403509E-4</v>
      </c>
    </row>
    <row r="34" spans="2:5" ht="15" customHeight="1">
      <c r="B34" s="85"/>
      <c r="C34" s="43" t="s">
        <v>132</v>
      </c>
      <c r="D34" s="42">
        <v>6</v>
      </c>
      <c r="E34" s="41">
        <v>1.3157894736842105E-3</v>
      </c>
    </row>
    <row r="35" spans="2:5" ht="15" customHeight="1">
      <c r="B35" s="85"/>
      <c r="C35" s="43" t="s">
        <v>125</v>
      </c>
      <c r="D35" s="42">
        <v>1</v>
      </c>
      <c r="E35" s="41">
        <v>2.1929824561403509E-4</v>
      </c>
    </row>
    <row r="36" spans="2:5" ht="15" customHeight="1">
      <c r="B36" s="85"/>
      <c r="C36" s="43" t="s">
        <v>133</v>
      </c>
      <c r="D36" s="42">
        <v>7</v>
      </c>
      <c r="E36" s="41">
        <v>1.5350877192982456E-3</v>
      </c>
    </row>
    <row r="37" spans="2:5" ht="15" customHeight="1">
      <c r="B37" s="85"/>
      <c r="C37" s="43" t="s">
        <v>130</v>
      </c>
      <c r="D37" s="42">
        <v>4</v>
      </c>
      <c r="E37" s="41">
        <v>8.7719298245614037E-4</v>
      </c>
    </row>
    <row r="38" spans="2:5" ht="15" customHeight="1">
      <c r="B38" s="84"/>
      <c r="C38" s="40" t="s">
        <v>23</v>
      </c>
      <c r="D38" s="39">
        <v>36</v>
      </c>
      <c r="E38" s="38">
        <v>7.8947368421052634E-3</v>
      </c>
    </row>
    <row r="39" spans="2:5" ht="15" customHeight="1">
      <c r="B39" s="83" t="s">
        <v>80</v>
      </c>
      <c r="C39" s="43" t="s">
        <v>134</v>
      </c>
      <c r="D39" s="42">
        <v>2</v>
      </c>
      <c r="E39" s="41">
        <v>4.3859649122807018E-4</v>
      </c>
    </row>
    <row r="40" spans="2:5" ht="15" customHeight="1">
      <c r="B40" s="85"/>
      <c r="C40" s="43" t="s">
        <v>132</v>
      </c>
      <c r="D40" s="42">
        <v>6</v>
      </c>
      <c r="E40" s="41">
        <v>1.3157894736842105E-3</v>
      </c>
    </row>
    <row r="41" spans="2:5" ht="15" customHeight="1">
      <c r="B41" s="84"/>
      <c r="C41" s="40" t="s">
        <v>23</v>
      </c>
      <c r="D41" s="39">
        <v>8</v>
      </c>
      <c r="E41" s="38">
        <v>1.7543859649122807E-3</v>
      </c>
    </row>
    <row r="42" spans="2:5" ht="15" customHeight="1">
      <c r="B42" s="83" t="s">
        <v>85</v>
      </c>
      <c r="C42" s="43" t="s">
        <v>134</v>
      </c>
      <c r="D42" s="42">
        <v>1</v>
      </c>
      <c r="E42" s="41">
        <v>2.1929824561403509E-4</v>
      </c>
    </row>
    <row r="43" spans="2:5" ht="15" customHeight="1">
      <c r="B43" s="85"/>
      <c r="C43" s="43" t="s">
        <v>133</v>
      </c>
      <c r="D43" s="42">
        <v>5</v>
      </c>
      <c r="E43" s="41">
        <v>1.0964912280701754E-3</v>
      </c>
    </row>
    <row r="44" spans="2:5" ht="15" customHeight="1">
      <c r="B44" s="84"/>
      <c r="C44" s="40" t="s">
        <v>23</v>
      </c>
      <c r="D44" s="39">
        <v>6</v>
      </c>
      <c r="E44" s="38">
        <v>1.3157894736842105E-3</v>
      </c>
    </row>
    <row r="45" spans="2:5" ht="15" customHeight="1">
      <c r="B45" s="83" t="s">
        <v>78</v>
      </c>
      <c r="C45" s="43" t="s">
        <v>134</v>
      </c>
      <c r="D45" s="42">
        <v>2</v>
      </c>
      <c r="E45" s="41">
        <v>4.3859649122807018E-4</v>
      </c>
    </row>
    <row r="46" spans="2:5" ht="15" customHeight="1">
      <c r="B46" s="84"/>
      <c r="C46" s="40" t="s">
        <v>23</v>
      </c>
      <c r="D46" s="39">
        <v>2</v>
      </c>
      <c r="E46" s="38">
        <v>4.3859649122807018E-4</v>
      </c>
    </row>
    <row r="47" spans="2:5" ht="15" customHeight="1">
      <c r="B47" s="83" t="s">
        <v>121</v>
      </c>
      <c r="C47" s="43" t="s">
        <v>131</v>
      </c>
      <c r="D47" s="42">
        <v>5</v>
      </c>
      <c r="E47" s="41">
        <v>1.0964912280701754E-3</v>
      </c>
    </row>
    <row r="48" spans="2:5" ht="15" customHeight="1">
      <c r="B48" s="85"/>
      <c r="C48" s="43" t="s">
        <v>134</v>
      </c>
      <c r="D48" s="42">
        <v>29</v>
      </c>
      <c r="E48" s="41">
        <v>6.3596491228070174E-3</v>
      </c>
    </row>
    <row r="49" spans="2:5" ht="15" customHeight="1">
      <c r="B49" s="85"/>
      <c r="C49" s="43" t="s">
        <v>127</v>
      </c>
      <c r="D49" s="42">
        <v>1</v>
      </c>
      <c r="E49" s="41">
        <v>2.1929824561403509E-4</v>
      </c>
    </row>
    <row r="50" spans="2:5" ht="15" customHeight="1">
      <c r="B50" s="85"/>
      <c r="C50" s="43" t="s">
        <v>129</v>
      </c>
      <c r="D50" s="42">
        <v>4</v>
      </c>
      <c r="E50" s="41">
        <v>8.7719298245614037E-4</v>
      </c>
    </row>
    <row r="51" spans="2:5" ht="15" customHeight="1">
      <c r="B51" s="85"/>
      <c r="C51" s="43" t="s">
        <v>128</v>
      </c>
      <c r="D51" s="42">
        <v>2</v>
      </c>
      <c r="E51" s="41">
        <v>4.3859649122807018E-4</v>
      </c>
    </row>
    <row r="52" spans="2:5" ht="15" customHeight="1">
      <c r="B52" s="85"/>
      <c r="C52" s="43" t="s">
        <v>126</v>
      </c>
      <c r="D52" s="42">
        <v>2</v>
      </c>
      <c r="E52" s="41">
        <v>4.3859649122807018E-4</v>
      </c>
    </row>
    <row r="53" spans="2:5" ht="15" customHeight="1">
      <c r="B53" s="85"/>
      <c r="C53" s="43" t="s">
        <v>132</v>
      </c>
      <c r="D53" s="42">
        <v>40</v>
      </c>
      <c r="E53" s="41">
        <v>8.771929824561403E-3</v>
      </c>
    </row>
    <row r="54" spans="2:5" ht="15" customHeight="1">
      <c r="B54" s="85"/>
      <c r="C54" s="43" t="s">
        <v>125</v>
      </c>
      <c r="D54" s="42">
        <v>7</v>
      </c>
      <c r="E54" s="41">
        <v>1.5350877192982456E-3</v>
      </c>
    </row>
    <row r="55" spans="2:5" ht="15" customHeight="1">
      <c r="B55" s="85"/>
      <c r="C55" s="43" t="s">
        <v>133</v>
      </c>
      <c r="D55" s="42">
        <v>43</v>
      </c>
      <c r="E55" s="41">
        <v>9.4298245614035086E-3</v>
      </c>
    </row>
    <row r="56" spans="2:5" ht="15" customHeight="1">
      <c r="B56" s="85"/>
      <c r="C56" s="43" t="s">
        <v>130</v>
      </c>
      <c r="D56" s="42">
        <v>7</v>
      </c>
      <c r="E56" s="41">
        <v>1.5350877192982456E-3</v>
      </c>
    </row>
    <row r="57" spans="2:5" ht="15" customHeight="1">
      <c r="B57" s="84"/>
      <c r="C57" s="40" t="s">
        <v>23</v>
      </c>
      <c r="D57" s="39">
        <v>140</v>
      </c>
      <c r="E57" s="38">
        <v>3.0701754385964911E-2</v>
      </c>
    </row>
    <row r="58" spans="2:5" ht="15" customHeight="1">
      <c r="B58" s="83" t="s">
        <v>119</v>
      </c>
      <c r="C58" s="43" t="s">
        <v>131</v>
      </c>
      <c r="D58" s="42">
        <v>4</v>
      </c>
      <c r="E58" s="41">
        <v>8.7719298245614037E-4</v>
      </c>
    </row>
    <row r="59" spans="2:5" ht="15" customHeight="1">
      <c r="B59" s="85"/>
      <c r="C59" s="43" t="s">
        <v>134</v>
      </c>
      <c r="D59" s="42">
        <v>18</v>
      </c>
      <c r="E59" s="41">
        <v>3.9473684210526317E-3</v>
      </c>
    </row>
    <row r="60" spans="2:5" ht="15" customHeight="1">
      <c r="B60" s="85"/>
      <c r="C60" s="43" t="s">
        <v>127</v>
      </c>
      <c r="D60" s="42">
        <v>3</v>
      </c>
      <c r="E60" s="41">
        <v>6.5789473684210525E-4</v>
      </c>
    </row>
    <row r="61" spans="2:5" ht="15" customHeight="1">
      <c r="B61" s="85"/>
      <c r="C61" s="43" t="s">
        <v>129</v>
      </c>
      <c r="D61" s="42">
        <v>1</v>
      </c>
      <c r="E61" s="41">
        <v>2.1929824561403509E-4</v>
      </c>
    </row>
    <row r="62" spans="2:5" ht="15" customHeight="1">
      <c r="B62" s="85"/>
      <c r="C62" s="43" t="s">
        <v>128</v>
      </c>
      <c r="D62" s="42">
        <v>7</v>
      </c>
      <c r="E62" s="41">
        <v>1.5350877192982456E-3</v>
      </c>
    </row>
    <row r="63" spans="2:5" ht="15" customHeight="1">
      <c r="B63" s="85"/>
      <c r="C63" s="43" t="s">
        <v>132</v>
      </c>
      <c r="D63" s="42">
        <v>39</v>
      </c>
      <c r="E63" s="41">
        <v>8.552631578947369E-3</v>
      </c>
    </row>
    <row r="64" spans="2:5" ht="15" customHeight="1">
      <c r="B64" s="85"/>
      <c r="C64" s="43" t="s">
        <v>125</v>
      </c>
      <c r="D64" s="42">
        <v>3</v>
      </c>
      <c r="E64" s="41">
        <v>6.5789473684210525E-4</v>
      </c>
    </row>
    <row r="65" spans="2:5" ht="15" customHeight="1">
      <c r="B65" s="85"/>
      <c r="C65" s="43" t="s">
        <v>133</v>
      </c>
      <c r="D65" s="42">
        <v>32</v>
      </c>
      <c r="E65" s="41">
        <v>7.0175438596491229E-3</v>
      </c>
    </row>
    <row r="66" spans="2:5" ht="15" customHeight="1">
      <c r="B66" s="85"/>
      <c r="C66" s="43" t="s">
        <v>130</v>
      </c>
      <c r="D66" s="42">
        <v>3</v>
      </c>
      <c r="E66" s="41">
        <v>6.5789473684210525E-4</v>
      </c>
    </row>
    <row r="67" spans="2:5" ht="15" customHeight="1">
      <c r="B67" s="84"/>
      <c r="C67" s="40" t="s">
        <v>23</v>
      </c>
      <c r="D67" s="39">
        <v>110</v>
      </c>
      <c r="E67" s="38">
        <v>2.4122807017543858E-2</v>
      </c>
    </row>
    <row r="68" spans="2:5" ht="15" customHeight="1">
      <c r="B68" s="83" t="s">
        <v>103</v>
      </c>
      <c r="C68" s="43" t="s">
        <v>134</v>
      </c>
      <c r="D68" s="42">
        <v>17</v>
      </c>
      <c r="E68" s="41">
        <v>3.7280701754385964E-3</v>
      </c>
    </row>
    <row r="69" spans="2:5" ht="15" customHeight="1">
      <c r="B69" s="85"/>
      <c r="C69" s="43" t="s">
        <v>128</v>
      </c>
      <c r="D69" s="42">
        <v>1</v>
      </c>
      <c r="E69" s="41">
        <v>2.1929824561403509E-4</v>
      </c>
    </row>
    <row r="70" spans="2:5" ht="15" customHeight="1">
      <c r="B70" s="85"/>
      <c r="C70" s="43" t="s">
        <v>126</v>
      </c>
      <c r="D70" s="42">
        <v>2</v>
      </c>
      <c r="E70" s="41">
        <v>4.3859649122807018E-4</v>
      </c>
    </row>
    <row r="71" spans="2:5" ht="15" customHeight="1">
      <c r="B71" s="85"/>
      <c r="C71" s="43" t="s">
        <v>132</v>
      </c>
      <c r="D71" s="42">
        <v>7</v>
      </c>
      <c r="E71" s="41">
        <v>1.5350877192982456E-3</v>
      </c>
    </row>
    <row r="72" spans="2:5" ht="15" customHeight="1">
      <c r="B72" s="85"/>
      <c r="C72" s="43" t="s">
        <v>125</v>
      </c>
      <c r="D72" s="42">
        <v>2</v>
      </c>
      <c r="E72" s="41">
        <v>4.3859649122807018E-4</v>
      </c>
    </row>
    <row r="73" spans="2:5" ht="15" customHeight="1">
      <c r="B73" s="85"/>
      <c r="C73" s="43" t="s">
        <v>133</v>
      </c>
      <c r="D73" s="42">
        <v>10</v>
      </c>
      <c r="E73" s="41">
        <v>2.1929824561403508E-3</v>
      </c>
    </row>
    <row r="74" spans="2:5" ht="15" customHeight="1">
      <c r="B74" s="85"/>
      <c r="C74" s="43" t="s">
        <v>130</v>
      </c>
      <c r="D74" s="42">
        <v>4</v>
      </c>
      <c r="E74" s="41">
        <v>8.7719298245614037E-4</v>
      </c>
    </row>
    <row r="75" spans="2:5" ht="15" customHeight="1">
      <c r="B75" s="84"/>
      <c r="C75" s="40" t="s">
        <v>23</v>
      </c>
      <c r="D75" s="39">
        <v>43</v>
      </c>
      <c r="E75" s="38">
        <v>9.4298245614035086E-3</v>
      </c>
    </row>
    <row r="76" spans="2:5" ht="15" customHeight="1">
      <c r="B76" s="83" t="s">
        <v>89</v>
      </c>
      <c r="C76" s="43" t="s">
        <v>134</v>
      </c>
      <c r="D76" s="42">
        <v>2</v>
      </c>
      <c r="E76" s="41">
        <v>4.3859649122807018E-4</v>
      </c>
    </row>
    <row r="77" spans="2:5" ht="15" customHeight="1">
      <c r="B77" s="85"/>
      <c r="C77" s="43" t="s">
        <v>132</v>
      </c>
      <c r="D77" s="42">
        <v>1</v>
      </c>
      <c r="E77" s="41">
        <v>2.1929824561403509E-4</v>
      </c>
    </row>
    <row r="78" spans="2:5" ht="15" customHeight="1">
      <c r="B78" s="85"/>
      <c r="C78" s="43" t="s">
        <v>125</v>
      </c>
      <c r="D78" s="42">
        <v>1</v>
      </c>
      <c r="E78" s="41">
        <v>2.1929824561403509E-4</v>
      </c>
    </row>
    <row r="79" spans="2:5" ht="15" customHeight="1">
      <c r="B79" s="85"/>
      <c r="C79" s="43" t="s">
        <v>133</v>
      </c>
      <c r="D79" s="42">
        <v>8</v>
      </c>
      <c r="E79" s="41">
        <v>1.7543859649122807E-3</v>
      </c>
    </row>
    <row r="80" spans="2:5" ht="15" customHeight="1">
      <c r="B80" s="84"/>
      <c r="C80" s="40" t="s">
        <v>23</v>
      </c>
      <c r="D80" s="39">
        <v>12</v>
      </c>
      <c r="E80" s="38">
        <v>2.631578947368421E-3</v>
      </c>
    </row>
    <row r="81" spans="2:5" ht="15" customHeight="1">
      <c r="B81" s="83" t="s">
        <v>87</v>
      </c>
      <c r="C81" s="43" t="s">
        <v>134</v>
      </c>
      <c r="D81" s="42">
        <v>2</v>
      </c>
      <c r="E81" s="41">
        <v>4.3859649122807018E-4</v>
      </c>
    </row>
    <row r="82" spans="2:5" ht="15" customHeight="1">
      <c r="B82" s="85"/>
      <c r="C82" s="43" t="s">
        <v>126</v>
      </c>
      <c r="D82" s="42">
        <v>2</v>
      </c>
      <c r="E82" s="41">
        <v>4.3859649122807018E-4</v>
      </c>
    </row>
    <row r="83" spans="2:5" ht="15" customHeight="1">
      <c r="B83" s="85"/>
      <c r="C83" s="43" t="s">
        <v>133</v>
      </c>
      <c r="D83" s="42">
        <v>3</v>
      </c>
      <c r="E83" s="41">
        <v>6.5789473684210525E-4</v>
      </c>
    </row>
    <row r="84" spans="2:5" ht="15" customHeight="1">
      <c r="B84" s="84"/>
      <c r="C84" s="40" t="s">
        <v>23</v>
      </c>
      <c r="D84" s="39">
        <v>7</v>
      </c>
      <c r="E84" s="38">
        <v>1.5350877192982456E-3</v>
      </c>
    </row>
    <row r="85" spans="2:5" ht="15" customHeight="1">
      <c r="B85" s="83" t="s">
        <v>100</v>
      </c>
      <c r="C85" s="43" t="s">
        <v>134</v>
      </c>
      <c r="D85" s="42">
        <v>1</v>
      </c>
      <c r="E85" s="41">
        <v>2.1929824561403509E-4</v>
      </c>
    </row>
    <row r="86" spans="2:5" ht="15" customHeight="1">
      <c r="B86" s="85"/>
      <c r="C86" s="43" t="s">
        <v>126</v>
      </c>
      <c r="D86" s="42">
        <v>1</v>
      </c>
      <c r="E86" s="41">
        <v>2.1929824561403509E-4</v>
      </c>
    </row>
    <row r="87" spans="2:5" ht="15" customHeight="1">
      <c r="B87" s="85"/>
      <c r="C87" s="43" t="s">
        <v>133</v>
      </c>
      <c r="D87" s="42">
        <v>2</v>
      </c>
      <c r="E87" s="41">
        <v>4.3859649122807018E-4</v>
      </c>
    </row>
    <row r="88" spans="2:5" ht="15" customHeight="1">
      <c r="B88" s="84"/>
      <c r="C88" s="40" t="s">
        <v>23</v>
      </c>
      <c r="D88" s="39">
        <v>4</v>
      </c>
      <c r="E88" s="38">
        <v>8.7719298245614037E-4</v>
      </c>
    </row>
    <row r="89" spans="2:5" ht="15" customHeight="1">
      <c r="B89" s="83" t="s">
        <v>116</v>
      </c>
      <c r="C89" s="43" t="s">
        <v>131</v>
      </c>
      <c r="D89" s="42">
        <v>37</v>
      </c>
      <c r="E89" s="41">
        <v>8.1140350877192974E-3</v>
      </c>
    </row>
    <row r="90" spans="2:5" ht="15" customHeight="1">
      <c r="B90" s="85"/>
      <c r="C90" s="43" t="s">
        <v>134</v>
      </c>
      <c r="D90" s="42">
        <v>196</v>
      </c>
      <c r="E90" s="41">
        <v>4.2982456140350879E-2</v>
      </c>
    </row>
    <row r="91" spans="2:5" ht="15" customHeight="1">
      <c r="B91" s="85"/>
      <c r="C91" s="43" t="s">
        <v>127</v>
      </c>
      <c r="D91" s="42">
        <v>7</v>
      </c>
      <c r="E91" s="41">
        <v>1.5350877192982456E-3</v>
      </c>
    </row>
    <row r="92" spans="2:5" ht="15" customHeight="1">
      <c r="B92" s="85"/>
      <c r="C92" s="43" t="s">
        <v>129</v>
      </c>
      <c r="D92" s="42">
        <v>57</v>
      </c>
      <c r="E92" s="41">
        <v>1.2500000000000001E-2</v>
      </c>
    </row>
    <row r="93" spans="2:5" ht="15" customHeight="1">
      <c r="B93" s="85"/>
      <c r="C93" s="43" t="s">
        <v>128</v>
      </c>
      <c r="D93" s="42">
        <v>29</v>
      </c>
      <c r="E93" s="41">
        <v>6.3596491228070174E-3</v>
      </c>
    </row>
    <row r="94" spans="2:5" ht="15" customHeight="1">
      <c r="B94" s="85"/>
      <c r="C94" s="43" t="s">
        <v>126</v>
      </c>
      <c r="D94" s="42">
        <v>16</v>
      </c>
      <c r="E94" s="41">
        <v>3.5087719298245615E-3</v>
      </c>
    </row>
    <row r="95" spans="2:5" ht="15" customHeight="1">
      <c r="B95" s="85"/>
      <c r="C95" s="43" t="s">
        <v>132</v>
      </c>
      <c r="D95" s="42">
        <v>91</v>
      </c>
      <c r="E95" s="41">
        <v>1.9956140350877193E-2</v>
      </c>
    </row>
    <row r="96" spans="2:5" ht="15" customHeight="1">
      <c r="B96" s="85"/>
      <c r="C96" s="43" t="s">
        <v>125</v>
      </c>
      <c r="D96" s="42">
        <v>7</v>
      </c>
      <c r="E96" s="41">
        <v>1.5350877192982456E-3</v>
      </c>
    </row>
    <row r="97" spans="2:5" ht="15" customHeight="1">
      <c r="B97" s="85"/>
      <c r="C97" s="43" t="s">
        <v>133</v>
      </c>
      <c r="D97" s="42">
        <v>232</v>
      </c>
      <c r="E97" s="41">
        <v>5.0877192982456139E-2</v>
      </c>
    </row>
    <row r="98" spans="2:5" ht="15" customHeight="1">
      <c r="B98" s="85"/>
      <c r="C98" s="43" t="s">
        <v>130</v>
      </c>
      <c r="D98" s="42">
        <v>30</v>
      </c>
      <c r="E98" s="41">
        <v>6.5789473684210523E-3</v>
      </c>
    </row>
    <row r="99" spans="2:5" ht="15" customHeight="1">
      <c r="B99" s="84"/>
      <c r="C99" s="40" t="s">
        <v>23</v>
      </c>
      <c r="D99" s="39">
        <v>702</v>
      </c>
      <c r="E99" s="38">
        <v>0.15394736842105264</v>
      </c>
    </row>
    <row r="100" spans="2:5" ht="15" customHeight="1">
      <c r="B100" s="83" t="s">
        <v>120</v>
      </c>
      <c r="C100" s="43" t="s">
        <v>131</v>
      </c>
      <c r="D100" s="42">
        <v>3</v>
      </c>
      <c r="E100" s="41">
        <v>6.5789473684210525E-4</v>
      </c>
    </row>
    <row r="101" spans="2:5" ht="15" customHeight="1">
      <c r="B101" s="85"/>
      <c r="C101" s="43" t="s">
        <v>134</v>
      </c>
      <c r="D101" s="42">
        <v>49</v>
      </c>
      <c r="E101" s="41">
        <v>1.074561403508772E-2</v>
      </c>
    </row>
    <row r="102" spans="2:5" ht="15" customHeight="1">
      <c r="B102" s="85"/>
      <c r="C102" s="43" t="s">
        <v>127</v>
      </c>
      <c r="D102" s="42">
        <v>2</v>
      </c>
      <c r="E102" s="41">
        <v>4.3859649122807018E-4</v>
      </c>
    </row>
    <row r="103" spans="2:5" ht="15" customHeight="1">
      <c r="B103" s="85"/>
      <c r="C103" s="43" t="s">
        <v>129</v>
      </c>
      <c r="D103" s="42">
        <v>1</v>
      </c>
      <c r="E103" s="41">
        <v>2.1929824561403509E-4</v>
      </c>
    </row>
    <row r="104" spans="2:5" ht="15" customHeight="1">
      <c r="B104" s="85"/>
      <c r="C104" s="43" t="s">
        <v>128</v>
      </c>
      <c r="D104" s="42">
        <v>1</v>
      </c>
      <c r="E104" s="41">
        <v>2.1929824561403509E-4</v>
      </c>
    </row>
    <row r="105" spans="2:5" ht="15" customHeight="1">
      <c r="B105" s="85"/>
      <c r="C105" s="43" t="s">
        <v>126</v>
      </c>
      <c r="D105" s="42">
        <v>4</v>
      </c>
      <c r="E105" s="41">
        <v>8.7719298245614037E-4</v>
      </c>
    </row>
    <row r="106" spans="2:5" ht="15" customHeight="1">
      <c r="B106" s="85"/>
      <c r="C106" s="43" t="s">
        <v>132</v>
      </c>
      <c r="D106" s="42">
        <v>35</v>
      </c>
      <c r="E106" s="41">
        <v>7.6754385964912276E-3</v>
      </c>
    </row>
    <row r="107" spans="2:5" ht="15" customHeight="1">
      <c r="B107" s="85"/>
      <c r="C107" s="43" t="s">
        <v>125</v>
      </c>
      <c r="D107" s="42">
        <v>1</v>
      </c>
      <c r="E107" s="41">
        <v>2.1929824561403509E-4</v>
      </c>
    </row>
    <row r="108" spans="2:5" ht="15" customHeight="1">
      <c r="B108" s="85"/>
      <c r="C108" s="43" t="s">
        <v>133</v>
      </c>
      <c r="D108" s="42">
        <v>40</v>
      </c>
      <c r="E108" s="41">
        <v>8.771929824561403E-3</v>
      </c>
    </row>
    <row r="109" spans="2:5" ht="15" customHeight="1">
      <c r="B109" s="85"/>
      <c r="C109" s="43" t="s">
        <v>130</v>
      </c>
      <c r="D109" s="42">
        <v>4</v>
      </c>
      <c r="E109" s="41">
        <v>8.7719298245614037E-4</v>
      </c>
    </row>
    <row r="110" spans="2:5" ht="15" customHeight="1">
      <c r="B110" s="84"/>
      <c r="C110" s="40" t="s">
        <v>23</v>
      </c>
      <c r="D110" s="39">
        <v>140</v>
      </c>
      <c r="E110" s="38">
        <v>3.0701754385964911E-2</v>
      </c>
    </row>
    <row r="111" spans="2:5" ht="15" customHeight="1">
      <c r="B111" s="83" t="s">
        <v>104</v>
      </c>
      <c r="C111" s="43" t="s">
        <v>131</v>
      </c>
      <c r="D111" s="42">
        <v>1</v>
      </c>
      <c r="E111" s="41">
        <v>2.1929824561403509E-4</v>
      </c>
    </row>
    <row r="112" spans="2:5" ht="15" customHeight="1">
      <c r="B112" s="85"/>
      <c r="C112" s="43" t="s">
        <v>134</v>
      </c>
      <c r="D112" s="42">
        <v>5</v>
      </c>
      <c r="E112" s="41">
        <v>1.0964912280701754E-3</v>
      </c>
    </row>
    <row r="113" spans="2:5" ht="15" customHeight="1">
      <c r="B113" s="85"/>
      <c r="C113" s="43" t="s">
        <v>129</v>
      </c>
      <c r="D113" s="42">
        <v>2</v>
      </c>
      <c r="E113" s="41">
        <v>4.3859649122807018E-4</v>
      </c>
    </row>
    <row r="114" spans="2:5" ht="15" customHeight="1">
      <c r="B114" s="85"/>
      <c r="C114" s="43" t="s">
        <v>128</v>
      </c>
      <c r="D114" s="42">
        <v>1</v>
      </c>
      <c r="E114" s="41">
        <v>2.1929824561403509E-4</v>
      </c>
    </row>
    <row r="115" spans="2:5" ht="15" customHeight="1">
      <c r="B115" s="85"/>
      <c r="C115" s="43" t="s">
        <v>132</v>
      </c>
      <c r="D115" s="42">
        <v>7</v>
      </c>
      <c r="E115" s="41">
        <v>1.5350877192982456E-3</v>
      </c>
    </row>
    <row r="116" spans="2:5" ht="15" customHeight="1">
      <c r="B116" s="85"/>
      <c r="C116" s="43" t="s">
        <v>133</v>
      </c>
      <c r="D116" s="42">
        <v>12</v>
      </c>
      <c r="E116" s="41">
        <v>2.631578947368421E-3</v>
      </c>
    </row>
    <row r="117" spans="2:5" ht="15" customHeight="1">
      <c r="B117" s="85"/>
      <c r="C117" s="43" t="s">
        <v>130</v>
      </c>
      <c r="D117" s="42">
        <v>2</v>
      </c>
      <c r="E117" s="41">
        <v>4.3859649122807018E-4</v>
      </c>
    </row>
    <row r="118" spans="2:5" ht="15" customHeight="1">
      <c r="B118" s="84"/>
      <c r="C118" s="40" t="s">
        <v>23</v>
      </c>
      <c r="D118" s="39">
        <v>30</v>
      </c>
      <c r="E118" s="38">
        <v>6.5789473684210523E-3</v>
      </c>
    </row>
    <row r="119" spans="2:5" ht="15" customHeight="1">
      <c r="B119" s="83" t="s">
        <v>99</v>
      </c>
      <c r="C119" s="43" t="s">
        <v>131</v>
      </c>
      <c r="D119" s="42">
        <v>8</v>
      </c>
      <c r="E119" s="41">
        <v>1.7543859649122807E-3</v>
      </c>
    </row>
    <row r="120" spans="2:5" ht="15" customHeight="1">
      <c r="B120" s="85"/>
      <c r="C120" s="43" t="s">
        <v>134</v>
      </c>
      <c r="D120" s="42">
        <v>3</v>
      </c>
      <c r="E120" s="41">
        <v>6.5789473684210525E-4</v>
      </c>
    </row>
    <row r="121" spans="2:5" ht="15" customHeight="1">
      <c r="B121" s="85"/>
      <c r="C121" s="43" t="s">
        <v>128</v>
      </c>
      <c r="D121" s="42">
        <v>1</v>
      </c>
      <c r="E121" s="41">
        <v>2.1929824561403509E-4</v>
      </c>
    </row>
    <row r="122" spans="2:5" ht="15" customHeight="1">
      <c r="B122" s="85"/>
      <c r="C122" s="43" t="s">
        <v>132</v>
      </c>
      <c r="D122" s="42">
        <v>5</v>
      </c>
      <c r="E122" s="41">
        <v>1.0964912280701754E-3</v>
      </c>
    </row>
    <row r="123" spans="2:5" ht="15" customHeight="1">
      <c r="B123" s="85"/>
      <c r="C123" s="43" t="s">
        <v>125</v>
      </c>
      <c r="D123" s="42">
        <v>2</v>
      </c>
      <c r="E123" s="41">
        <v>4.3859649122807018E-4</v>
      </c>
    </row>
    <row r="124" spans="2:5" ht="15" customHeight="1">
      <c r="B124" s="85"/>
      <c r="C124" s="43" t="s">
        <v>133</v>
      </c>
      <c r="D124" s="42">
        <v>16</v>
      </c>
      <c r="E124" s="41">
        <v>3.5087719298245615E-3</v>
      </c>
    </row>
    <row r="125" spans="2:5" ht="15" customHeight="1">
      <c r="B125" s="85"/>
      <c r="C125" s="43" t="s">
        <v>130</v>
      </c>
      <c r="D125" s="42">
        <v>1</v>
      </c>
      <c r="E125" s="41">
        <v>2.1929824561403509E-4</v>
      </c>
    </row>
    <row r="126" spans="2:5" ht="15" customHeight="1">
      <c r="B126" s="84"/>
      <c r="C126" s="40" t="s">
        <v>23</v>
      </c>
      <c r="D126" s="39">
        <v>36</v>
      </c>
      <c r="E126" s="38">
        <v>7.8947368421052634E-3</v>
      </c>
    </row>
    <row r="127" spans="2:5" ht="15" customHeight="1">
      <c r="B127" s="83" t="s">
        <v>83</v>
      </c>
      <c r="C127" s="43" t="s">
        <v>132</v>
      </c>
      <c r="D127" s="42">
        <v>2</v>
      </c>
      <c r="E127" s="41">
        <v>4.3859649122807018E-4</v>
      </c>
    </row>
    <row r="128" spans="2:5" ht="15" customHeight="1">
      <c r="B128" s="85"/>
      <c r="C128" s="43" t="s">
        <v>133</v>
      </c>
      <c r="D128" s="42">
        <v>4</v>
      </c>
      <c r="E128" s="41">
        <v>8.7719298245614037E-4</v>
      </c>
    </row>
    <row r="129" spans="2:5" ht="15" customHeight="1">
      <c r="B129" s="84"/>
      <c r="C129" s="40" t="s">
        <v>23</v>
      </c>
      <c r="D129" s="39">
        <v>6</v>
      </c>
      <c r="E129" s="38">
        <v>1.3157894736842105E-3</v>
      </c>
    </row>
    <row r="130" spans="2:5" ht="15" customHeight="1">
      <c r="B130" s="83" t="s">
        <v>106</v>
      </c>
      <c r="C130" s="43" t="s">
        <v>131</v>
      </c>
      <c r="D130" s="42">
        <v>13</v>
      </c>
      <c r="E130" s="41">
        <v>2.8508771929824563E-3</v>
      </c>
    </row>
    <row r="131" spans="2:5" ht="15" customHeight="1">
      <c r="B131" s="85"/>
      <c r="C131" s="43" t="s">
        <v>134</v>
      </c>
      <c r="D131" s="42">
        <v>50</v>
      </c>
      <c r="E131" s="41">
        <v>1.0964912280701754E-2</v>
      </c>
    </row>
    <row r="132" spans="2:5" ht="15" customHeight="1">
      <c r="B132" s="85"/>
      <c r="C132" s="43" t="s">
        <v>127</v>
      </c>
      <c r="D132" s="42">
        <v>15</v>
      </c>
      <c r="E132" s="41">
        <v>3.2894736842105261E-3</v>
      </c>
    </row>
    <row r="133" spans="2:5" ht="15" customHeight="1">
      <c r="B133" s="85"/>
      <c r="C133" s="43" t="s">
        <v>129</v>
      </c>
      <c r="D133" s="42">
        <v>5</v>
      </c>
      <c r="E133" s="41">
        <v>1.0964912280701754E-3</v>
      </c>
    </row>
    <row r="134" spans="2:5" ht="15" customHeight="1">
      <c r="B134" s="85"/>
      <c r="C134" s="43" t="s">
        <v>128</v>
      </c>
      <c r="D134" s="42">
        <v>11</v>
      </c>
      <c r="E134" s="41">
        <v>2.4122807017543861E-3</v>
      </c>
    </row>
    <row r="135" spans="2:5" ht="15" customHeight="1">
      <c r="B135" s="85"/>
      <c r="C135" s="43" t="s">
        <v>126</v>
      </c>
      <c r="D135" s="42">
        <v>8</v>
      </c>
      <c r="E135" s="41">
        <v>1.7543859649122807E-3</v>
      </c>
    </row>
    <row r="136" spans="2:5" ht="15" customHeight="1">
      <c r="B136" s="85"/>
      <c r="C136" s="43" t="s">
        <v>132</v>
      </c>
      <c r="D136" s="42">
        <v>41</v>
      </c>
      <c r="E136" s="41">
        <v>8.9912280701754388E-3</v>
      </c>
    </row>
    <row r="137" spans="2:5" ht="15" customHeight="1">
      <c r="B137" s="85"/>
      <c r="C137" s="43" t="s">
        <v>125</v>
      </c>
      <c r="D137" s="42">
        <v>14</v>
      </c>
      <c r="E137" s="41">
        <v>3.0701754385964912E-3</v>
      </c>
    </row>
    <row r="138" spans="2:5" ht="15" customHeight="1">
      <c r="B138" s="85"/>
      <c r="C138" s="43" t="s">
        <v>133</v>
      </c>
      <c r="D138" s="42">
        <v>29</v>
      </c>
      <c r="E138" s="41">
        <v>6.3596491228070174E-3</v>
      </c>
    </row>
    <row r="139" spans="2:5" ht="15" customHeight="1">
      <c r="B139" s="85"/>
      <c r="C139" s="43" t="s">
        <v>130</v>
      </c>
      <c r="D139" s="42">
        <v>30</v>
      </c>
      <c r="E139" s="41">
        <v>6.5789473684210523E-3</v>
      </c>
    </row>
    <row r="140" spans="2:5" ht="15" customHeight="1">
      <c r="B140" s="84"/>
      <c r="C140" s="40" t="s">
        <v>23</v>
      </c>
      <c r="D140" s="39">
        <v>216</v>
      </c>
      <c r="E140" s="38">
        <v>4.736842105263158E-2</v>
      </c>
    </row>
    <row r="141" spans="2:5" ht="15" customHeight="1">
      <c r="B141" s="83" t="s">
        <v>110</v>
      </c>
      <c r="C141" s="43" t="s">
        <v>131</v>
      </c>
      <c r="D141" s="42">
        <v>3</v>
      </c>
      <c r="E141" s="41">
        <v>6.5789473684210525E-4</v>
      </c>
    </row>
    <row r="142" spans="2:5" ht="15" customHeight="1">
      <c r="B142" s="85"/>
      <c r="C142" s="43" t="s">
        <v>134</v>
      </c>
      <c r="D142" s="42">
        <v>25</v>
      </c>
      <c r="E142" s="41">
        <v>5.4824561403508769E-3</v>
      </c>
    </row>
    <row r="143" spans="2:5" ht="15" customHeight="1">
      <c r="B143" s="85"/>
      <c r="C143" s="43" t="s">
        <v>127</v>
      </c>
      <c r="D143" s="42">
        <v>5</v>
      </c>
      <c r="E143" s="41">
        <v>1.0964912280701754E-3</v>
      </c>
    </row>
    <row r="144" spans="2:5" ht="15" customHeight="1">
      <c r="B144" s="85"/>
      <c r="C144" s="43" t="s">
        <v>129</v>
      </c>
      <c r="D144" s="42">
        <v>4</v>
      </c>
      <c r="E144" s="41">
        <v>8.7719298245614037E-4</v>
      </c>
    </row>
    <row r="145" spans="2:5" ht="15" customHeight="1">
      <c r="B145" s="85"/>
      <c r="C145" s="43" t="s">
        <v>132</v>
      </c>
      <c r="D145" s="42">
        <v>3</v>
      </c>
      <c r="E145" s="41">
        <v>6.5789473684210525E-4</v>
      </c>
    </row>
    <row r="146" spans="2:5" ht="15" customHeight="1">
      <c r="B146" s="85"/>
      <c r="C146" s="43" t="s">
        <v>133</v>
      </c>
      <c r="D146" s="42">
        <v>12</v>
      </c>
      <c r="E146" s="41">
        <v>2.631578947368421E-3</v>
      </c>
    </row>
    <row r="147" spans="2:5" ht="15" customHeight="1">
      <c r="B147" s="85"/>
      <c r="C147" s="43" t="s">
        <v>130</v>
      </c>
      <c r="D147" s="42">
        <v>1</v>
      </c>
      <c r="E147" s="41">
        <v>2.1929824561403509E-4</v>
      </c>
    </row>
    <row r="148" spans="2:5" ht="15" customHeight="1">
      <c r="B148" s="84"/>
      <c r="C148" s="40" t="s">
        <v>23</v>
      </c>
      <c r="D148" s="39">
        <v>53</v>
      </c>
      <c r="E148" s="38">
        <v>1.1622807017543859E-2</v>
      </c>
    </row>
    <row r="149" spans="2:5" ht="15" customHeight="1">
      <c r="B149" s="83" t="s">
        <v>122</v>
      </c>
      <c r="C149" s="43" t="s">
        <v>131</v>
      </c>
      <c r="D149" s="42">
        <v>71</v>
      </c>
      <c r="E149" s="41">
        <v>1.5570175438596491E-2</v>
      </c>
    </row>
    <row r="150" spans="2:5" ht="15" customHeight="1">
      <c r="B150" s="85"/>
      <c r="C150" s="43" t="s">
        <v>134</v>
      </c>
      <c r="D150" s="42">
        <v>322</v>
      </c>
      <c r="E150" s="41">
        <v>7.0614035087719296E-2</v>
      </c>
    </row>
    <row r="151" spans="2:5" ht="15" customHeight="1">
      <c r="B151" s="85"/>
      <c r="C151" s="43" t="s">
        <v>127</v>
      </c>
      <c r="D151" s="42">
        <v>57</v>
      </c>
      <c r="E151" s="41">
        <v>1.2500000000000001E-2</v>
      </c>
    </row>
    <row r="152" spans="2:5" ht="15" customHeight="1">
      <c r="B152" s="85"/>
      <c r="C152" s="43" t="s">
        <v>129</v>
      </c>
      <c r="D152" s="42">
        <v>57</v>
      </c>
      <c r="E152" s="41">
        <v>1.2500000000000001E-2</v>
      </c>
    </row>
    <row r="153" spans="2:5" ht="15" customHeight="1">
      <c r="B153" s="85"/>
      <c r="C153" s="43" t="s">
        <v>128</v>
      </c>
      <c r="D153" s="42">
        <v>49</v>
      </c>
      <c r="E153" s="41">
        <v>1.074561403508772E-2</v>
      </c>
    </row>
    <row r="154" spans="2:5" ht="15" customHeight="1">
      <c r="B154" s="85"/>
      <c r="C154" s="43" t="s">
        <v>126</v>
      </c>
      <c r="D154" s="42">
        <v>29</v>
      </c>
      <c r="E154" s="41">
        <v>6.3596491228070174E-3</v>
      </c>
    </row>
    <row r="155" spans="2:5" ht="15" customHeight="1">
      <c r="B155" s="85"/>
      <c r="C155" s="43" t="s">
        <v>132</v>
      </c>
      <c r="D155" s="42">
        <v>145</v>
      </c>
      <c r="E155" s="41">
        <v>3.1798245614035089E-2</v>
      </c>
    </row>
    <row r="156" spans="2:5" ht="15" customHeight="1">
      <c r="B156" s="85"/>
      <c r="C156" s="43" t="s">
        <v>125</v>
      </c>
      <c r="D156" s="42">
        <v>5</v>
      </c>
      <c r="E156" s="41">
        <v>1.0964912280701754E-3</v>
      </c>
    </row>
    <row r="157" spans="2:5" ht="15" customHeight="1">
      <c r="B157" s="85"/>
      <c r="C157" s="43" t="s">
        <v>133</v>
      </c>
      <c r="D157" s="42">
        <v>254</v>
      </c>
      <c r="E157" s="41">
        <v>5.5701754385964912E-2</v>
      </c>
    </row>
    <row r="158" spans="2:5" ht="15" customHeight="1">
      <c r="B158" s="85"/>
      <c r="C158" s="43" t="s">
        <v>130</v>
      </c>
      <c r="D158" s="42">
        <v>54</v>
      </c>
      <c r="E158" s="41">
        <v>1.1842105263157895E-2</v>
      </c>
    </row>
    <row r="159" spans="2:5" ht="15" customHeight="1">
      <c r="B159" s="84"/>
      <c r="C159" s="40" t="s">
        <v>23</v>
      </c>
      <c r="D159" s="39">
        <v>1043</v>
      </c>
      <c r="E159" s="38">
        <v>0.22872807017543859</v>
      </c>
    </row>
    <row r="160" spans="2:5" ht="15" customHeight="1">
      <c r="B160" s="83" t="s">
        <v>101</v>
      </c>
      <c r="C160" s="43" t="s">
        <v>131</v>
      </c>
      <c r="D160" s="42">
        <v>2</v>
      </c>
      <c r="E160" s="41">
        <v>4.3859649122807018E-4</v>
      </c>
    </row>
    <row r="161" spans="2:5" ht="15" customHeight="1">
      <c r="B161" s="85"/>
      <c r="C161" s="43" t="s">
        <v>134</v>
      </c>
      <c r="D161" s="42">
        <v>2</v>
      </c>
      <c r="E161" s="41">
        <v>4.3859649122807018E-4</v>
      </c>
    </row>
    <row r="162" spans="2:5" ht="15" customHeight="1">
      <c r="B162" s="85"/>
      <c r="C162" s="43" t="s">
        <v>129</v>
      </c>
      <c r="D162" s="42">
        <v>3</v>
      </c>
      <c r="E162" s="41">
        <v>6.5789473684210525E-4</v>
      </c>
    </row>
    <row r="163" spans="2:5" ht="15" customHeight="1">
      <c r="B163" s="85"/>
      <c r="C163" s="43" t="s">
        <v>126</v>
      </c>
      <c r="D163" s="42">
        <v>1</v>
      </c>
      <c r="E163" s="41">
        <v>2.1929824561403509E-4</v>
      </c>
    </row>
    <row r="164" spans="2:5" ht="15" customHeight="1">
      <c r="B164" s="85"/>
      <c r="C164" s="43" t="s">
        <v>132</v>
      </c>
      <c r="D164" s="42">
        <v>3</v>
      </c>
      <c r="E164" s="41">
        <v>6.5789473684210525E-4</v>
      </c>
    </row>
    <row r="165" spans="2:5" ht="15" customHeight="1">
      <c r="B165" s="85"/>
      <c r="C165" s="43" t="s">
        <v>133</v>
      </c>
      <c r="D165" s="42">
        <v>5</v>
      </c>
      <c r="E165" s="41">
        <v>1.0964912280701754E-3</v>
      </c>
    </row>
    <row r="166" spans="2:5" ht="15" customHeight="1">
      <c r="B166" s="84"/>
      <c r="C166" s="40" t="s">
        <v>23</v>
      </c>
      <c r="D166" s="39">
        <v>16</v>
      </c>
      <c r="E166" s="38">
        <v>3.5087719298245615E-3</v>
      </c>
    </row>
    <row r="167" spans="2:5" ht="15" customHeight="1">
      <c r="B167" s="83" t="s">
        <v>96</v>
      </c>
      <c r="C167" s="43" t="s">
        <v>131</v>
      </c>
      <c r="D167" s="42">
        <v>1</v>
      </c>
      <c r="E167" s="41">
        <v>2.1929824561403509E-4</v>
      </c>
    </row>
    <row r="168" spans="2:5" ht="15" customHeight="1">
      <c r="B168" s="85"/>
      <c r="C168" s="43" t="s">
        <v>134</v>
      </c>
      <c r="D168" s="42">
        <v>4</v>
      </c>
      <c r="E168" s="41">
        <v>8.7719298245614037E-4</v>
      </c>
    </row>
    <row r="169" spans="2:5" ht="15" customHeight="1">
      <c r="B169" s="85"/>
      <c r="C169" s="43" t="s">
        <v>128</v>
      </c>
      <c r="D169" s="42">
        <v>1</v>
      </c>
      <c r="E169" s="41">
        <v>2.1929824561403509E-4</v>
      </c>
    </row>
    <row r="170" spans="2:5" ht="15" customHeight="1">
      <c r="B170" s="85"/>
      <c r="C170" s="43" t="s">
        <v>132</v>
      </c>
      <c r="D170" s="42">
        <v>3</v>
      </c>
      <c r="E170" s="41">
        <v>6.5789473684210525E-4</v>
      </c>
    </row>
    <row r="171" spans="2:5" ht="15" customHeight="1">
      <c r="B171" s="85"/>
      <c r="C171" s="43" t="s">
        <v>125</v>
      </c>
      <c r="D171" s="42">
        <v>1</v>
      </c>
      <c r="E171" s="41">
        <v>2.1929824561403509E-4</v>
      </c>
    </row>
    <row r="172" spans="2:5" ht="15" customHeight="1">
      <c r="B172" s="85"/>
      <c r="C172" s="43" t="s">
        <v>133</v>
      </c>
      <c r="D172" s="42">
        <v>4</v>
      </c>
      <c r="E172" s="41">
        <v>8.7719298245614037E-4</v>
      </c>
    </row>
    <row r="173" spans="2:5" ht="15" customHeight="1">
      <c r="B173" s="85"/>
      <c r="C173" s="43" t="s">
        <v>130</v>
      </c>
      <c r="D173" s="42">
        <v>4</v>
      </c>
      <c r="E173" s="41">
        <v>8.7719298245614037E-4</v>
      </c>
    </row>
    <row r="174" spans="2:5" ht="15" customHeight="1">
      <c r="B174" s="84"/>
      <c r="C174" s="40" t="s">
        <v>23</v>
      </c>
      <c r="D174" s="39">
        <v>18</v>
      </c>
      <c r="E174" s="38">
        <v>3.9473684210526317E-3</v>
      </c>
    </row>
    <row r="175" spans="2:5" ht="15" customHeight="1">
      <c r="B175" s="83" t="s">
        <v>95</v>
      </c>
      <c r="C175" s="43" t="s">
        <v>134</v>
      </c>
      <c r="D175" s="42">
        <v>2</v>
      </c>
      <c r="E175" s="41">
        <v>4.3859649122807018E-4</v>
      </c>
    </row>
    <row r="176" spans="2:5" ht="15" customHeight="1">
      <c r="B176" s="85"/>
      <c r="C176" s="43" t="s">
        <v>128</v>
      </c>
      <c r="D176" s="42">
        <v>1</v>
      </c>
      <c r="E176" s="41">
        <v>2.1929824561403509E-4</v>
      </c>
    </row>
    <row r="177" spans="2:5" ht="15" customHeight="1">
      <c r="B177" s="85"/>
      <c r="C177" s="43" t="s">
        <v>132</v>
      </c>
      <c r="D177" s="42">
        <v>2</v>
      </c>
      <c r="E177" s="41">
        <v>4.3859649122807018E-4</v>
      </c>
    </row>
    <row r="178" spans="2:5" ht="15" customHeight="1">
      <c r="B178" s="85"/>
      <c r="C178" s="43" t="s">
        <v>125</v>
      </c>
      <c r="D178" s="42">
        <v>1</v>
      </c>
      <c r="E178" s="41">
        <v>2.1929824561403509E-4</v>
      </c>
    </row>
    <row r="179" spans="2:5" ht="15" customHeight="1">
      <c r="B179" s="85"/>
      <c r="C179" s="43" t="s">
        <v>133</v>
      </c>
      <c r="D179" s="42">
        <v>3</v>
      </c>
      <c r="E179" s="41">
        <v>6.5789473684210525E-4</v>
      </c>
    </row>
    <row r="180" spans="2:5" ht="15" customHeight="1">
      <c r="B180" s="84"/>
      <c r="C180" s="40" t="s">
        <v>23</v>
      </c>
      <c r="D180" s="39">
        <v>9</v>
      </c>
      <c r="E180" s="38">
        <v>1.9736842105263159E-3</v>
      </c>
    </row>
    <row r="181" spans="2:5" ht="15" customHeight="1">
      <c r="B181" s="83" t="s">
        <v>76</v>
      </c>
      <c r="C181" s="43" t="s">
        <v>134</v>
      </c>
      <c r="D181" s="42">
        <v>1</v>
      </c>
      <c r="E181" s="41">
        <v>2.1929824561403509E-4</v>
      </c>
    </row>
    <row r="182" spans="2:5" ht="15" customHeight="1">
      <c r="B182" s="84"/>
      <c r="C182" s="40" t="s">
        <v>23</v>
      </c>
      <c r="D182" s="39">
        <v>1</v>
      </c>
      <c r="E182" s="38">
        <v>2.1929824561403509E-4</v>
      </c>
    </row>
    <row r="183" spans="2:5" ht="15" customHeight="1">
      <c r="B183" s="83" t="s">
        <v>88</v>
      </c>
      <c r="C183" s="43" t="s">
        <v>131</v>
      </c>
      <c r="D183" s="42">
        <v>1</v>
      </c>
      <c r="E183" s="41">
        <v>2.1929824561403509E-4</v>
      </c>
    </row>
    <row r="184" spans="2:5" ht="15" customHeight="1">
      <c r="B184" s="85"/>
      <c r="C184" s="43" t="s">
        <v>134</v>
      </c>
      <c r="D184" s="42">
        <v>1</v>
      </c>
      <c r="E184" s="41">
        <v>2.1929824561403509E-4</v>
      </c>
    </row>
    <row r="185" spans="2:5" ht="15" customHeight="1">
      <c r="B185" s="85"/>
      <c r="C185" s="43" t="s">
        <v>132</v>
      </c>
      <c r="D185" s="42">
        <v>2</v>
      </c>
      <c r="E185" s="41">
        <v>4.3859649122807018E-4</v>
      </c>
    </row>
    <row r="186" spans="2:5" ht="15" customHeight="1">
      <c r="B186" s="85"/>
      <c r="C186" s="43" t="s">
        <v>133</v>
      </c>
      <c r="D186" s="42">
        <v>7</v>
      </c>
      <c r="E186" s="41">
        <v>1.5350877192982456E-3</v>
      </c>
    </row>
    <row r="187" spans="2:5" ht="15" customHeight="1">
      <c r="B187" s="84"/>
      <c r="C187" s="40" t="s">
        <v>23</v>
      </c>
      <c r="D187" s="39">
        <v>11</v>
      </c>
      <c r="E187" s="38">
        <v>2.4122807017543861E-3</v>
      </c>
    </row>
    <row r="188" spans="2:5" ht="15" customHeight="1">
      <c r="B188" s="83" t="s">
        <v>117</v>
      </c>
      <c r="C188" s="43" t="s">
        <v>134</v>
      </c>
      <c r="D188" s="42">
        <v>3</v>
      </c>
      <c r="E188" s="41">
        <v>6.5789473684210525E-4</v>
      </c>
    </row>
    <row r="189" spans="2:5" ht="15" customHeight="1">
      <c r="B189" s="85"/>
      <c r="C189" s="43" t="s">
        <v>132</v>
      </c>
      <c r="D189" s="42">
        <v>7</v>
      </c>
      <c r="E189" s="41">
        <v>1.5350877192982456E-3</v>
      </c>
    </row>
    <row r="190" spans="2:5" ht="15" customHeight="1">
      <c r="B190" s="85"/>
      <c r="C190" s="43" t="s">
        <v>133</v>
      </c>
      <c r="D190" s="42">
        <v>3</v>
      </c>
      <c r="E190" s="41">
        <v>6.5789473684210525E-4</v>
      </c>
    </row>
    <row r="191" spans="2:5" ht="15" customHeight="1">
      <c r="B191" s="85"/>
      <c r="C191" s="43" t="s">
        <v>130</v>
      </c>
      <c r="D191" s="42">
        <v>1</v>
      </c>
      <c r="E191" s="41">
        <v>2.1929824561403509E-4</v>
      </c>
    </row>
    <row r="192" spans="2:5" ht="15" customHeight="1">
      <c r="B192" s="84"/>
      <c r="C192" s="40" t="s">
        <v>23</v>
      </c>
      <c r="D192" s="39">
        <v>14</v>
      </c>
      <c r="E192" s="38">
        <v>3.0701754385964912E-3</v>
      </c>
    </row>
    <row r="193" spans="2:5" ht="15" customHeight="1">
      <c r="B193" s="83" t="s">
        <v>90</v>
      </c>
      <c r="C193" s="43" t="s">
        <v>131</v>
      </c>
      <c r="D193" s="42">
        <v>1</v>
      </c>
      <c r="E193" s="41">
        <v>2.1929824561403509E-4</v>
      </c>
    </row>
    <row r="194" spans="2:5" ht="15" customHeight="1">
      <c r="B194" s="85"/>
      <c r="C194" s="43" t="s">
        <v>134</v>
      </c>
      <c r="D194" s="42">
        <v>8</v>
      </c>
      <c r="E194" s="41">
        <v>1.7543859649122807E-3</v>
      </c>
    </row>
    <row r="195" spans="2:5" ht="15" customHeight="1">
      <c r="B195" s="85"/>
      <c r="C195" s="43" t="s">
        <v>128</v>
      </c>
      <c r="D195" s="42">
        <v>1</v>
      </c>
      <c r="E195" s="41">
        <v>2.1929824561403509E-4</v>
      </c>
    </row>
    <row r="196" spans="2:5" ht="15" customHeight="1">
      <c r="B196" s="85"/>
      <c r="C196" s="43" t="s">
        <v>132</v>
      </c>
      <c r="D196" s="42">
        <v>2</v>
      </c>
      <c r="E196" s="41">
        <v>4.3859649122807018E-4</v>
      </c>
    </row>
    <row r="197" spans="2:5" ht="15" customHeight="1">
      <c r="B197" s="85"/>
      <c r="C197" s="43" t="s">
        <v>125</v>
      </c>
      <c r="D197" s="42">
        <v>1</v>
      </c>
      <c r="E197" s="41">
        <v>2.1929824561403509E-4</v>
      </c>
    </row>
    <row r="198" spans="2:5" ht="15" customHeight="1">
      <c r="B198" s="85"/>
      <c r="C198" s="43" t="s">
        <v>133</v>
      </c>
      <c r="D198" s="42">
        <v>7</v>
      </c>
      <c r="E198" s="41">
        <v>1.5350877192982456E-3</v>
      </c>
    </row>
    <row r="199" spans="2:5" ht="15" customHeight="1">
      <c r="B199" s="85"/>
      <c r="C199" s="43" t="s">
        <v>130</v>
      </c>
      <c r="D199" s="42">
        <v>2</v>
      </c>
      <c r="E199" s="41">
        <v>4.3859649122807018E-4</v>
      </c>
    </row>
    <row r="200" spans="2:5" ht="15" customHeight="1">
      <c r="B200" s="84"/>
      <c r="C200" s="40" t="s">
        <v>23</v>
      </c>
      <c r="D200" s="39">
        <v>22</v>
      </c>
      <c r="E200" s="38">
        <v>4.8245614035087722E-3</v>
      </c>
    </row>
    <row r="201" spans="2:5" ht="15" customHeight="1">
      <c r="B201" s="83" t="s">
        <v>109</v>
      </c>
      <c r="C201" s="43" t="s">
        <v>134</v>
      </c>
      <c r="D201" s="42">
        <v>7</v>
      </c>
      <c r="E201" s="41">
        <v>1.5350877192982456E-3</v>
      </c>
    </row>
    <row r="202" spans="2:5" ht="15" customHeight="1">
      <c r="B202" s="85"/>
      <c r="C202" s="43" t="s">
        <v>129</v>
      </c>
      <c r="D202" s="42">
        <v>1</v>
      </c>
      <c r="E202" s="41">
        <v>2.1929824561403509E-4</v>
      </c>
    </row>
    <row r="203" spans="2:5" ht="15" customHeight="1">
      <c r="B203" s="85"/>
      <c r="C203" s="43" t="s">
        <v>128</v>
      </c>
      <c r="D203" s="42">
        <v>1</v>
      </c>
      <c r="E203" s="41">
        <v>2.1929824561403509E-4</v>
      </c>
    </row>
    <row r="204" spans="2:5" ht="15" customHeight="1">
      <c r="B204" s="85"/>
      <c r="C204" s="43" t="s">
        <v>132</v>
      </c>
      <c r="D204" s="42">
        <v>7</v>
      </c>
      <c r="E204" s="41">
        <v>1.5350877192982456E-3</v>
      </c>
    </row>
    <row r="205" spans="2:5" ht="15" customHeight="1">
      <c r="B205" s="85"/>
      <c r="C205" s="43" t="s">
        <v>133</v>
      </c>
      <c r="D205" s="42">
        <v>8</v>
      </c>
      <c r="E205" s="41">
        <v>1.7543859649122807E-3</v>
      </c>
    </row>
    <row r="206" spans="2:5" ht="15" customHeight="1">
      <c r="B206" s="85"/>
      <c r="C206" s="43" t="s">
        <v>130</v>
      </c>
      <c r="D206" s="42">
        <v>1</v>
      </c>
      <c r="E206" s="41">
        <v>2.1929824561403509E-4</v>
      </c>
    </row>
    <row r="207" spans="2:5" ht="15" customHeight="1">
      <c r="B207" s="84"/>
      <c r="C207" s="40" t="s">
        <v>23</v>
      </c>
      <c r="D207" s="39">
        <v>25</v>
      </c>
      <c r="E207" s="38">
        <v>5.4824561403508769E-3</v>
      </c>
    </row>
    <row r="208" spans="2:5" ht="15" customHeight="1">
      <c r="B208" s="83" t="s">
        <v>105</v>
      </c>
      <c r="C208" s="43" t="s">
        <v>131</v>
      </c>
      <c r="D208" s="42">
        <v>3</v>
      </c>
      <c r="E208" s="41">
        <v>6.5789473684210525E-4</v>
      </c>
    </row>
    <row r="209" spans="2:5" ht="15" customHeight="1">
      <c r="B209" s="85"/>
      <c r="C209" s="43" t="s">
        <v>134</v>
      </c>
      <c r="D209" s="42">
        <v>19</v>
      </c>
      <c r="E209" s="41">
        <v>4.1666666666666666E-3</v>
      </c>
    </row>
    <row r="210" spans="2:5" ht="15" customHeight="1">
      <c r="B210" s="85"/>
      <c r="C210" s="43" t="s">
        <v>127</v>
      </c>
      <c r="D210" s="42">
        <v>3</v>
      </c>
      <c r="E210" s="41">
        <v>6.5789473684210525E-4</v>
      </c>
    </row>
    <row r="211" spans="2:5" ht="15" customHeight="1">
      <c r="B211" s="85"/>
      <c r="C211" s="43" t="s">
        <v>129</v>
      </c>
      <c r="D211" s="42">
        <v>3</v>
      </c>
      <c r="E211" s="41">
        <v>6.5789473684210525E-4</v>
      </c>
    </row>
    <row r="212" spans="2:5" ht="15" customHeight="1">
      <c r="B212" s="85"/>
      <c r="C212" s="43" t="s">
        <v>128</v>
      </c>
      <c r="D212" s="42">
        <v>5</v>
      </c>
      <c r="E212" s="41">
        <v>1.0964912280701754E-3</v>
      </c>
    </row>
    <row r="213" spans="2:5" ht="15" customHeight="1">
      <c r="B213" s="85"/>
      <c r="C213" s="43" t="s">
        <v>126</v>
      </c>
      <c r="D213" s="42">
        <v>4</v>
      </c>
      <c r="E213" s="41">
        <v>8.7719298245614037E-4</v>
      </c>
    </row>
    <row r="214" spans="2:5" ht="15" customHeight="1">
      <c r="B214" s="85"/>
      <c r="C214" s="43" t="s">
        <v>132</v>
      </c>
      <c r="D214" s="42">
        <v>6</v>
      </c>
      <c r="E214" s="41">
        <v>1.3157894736842105E-3</v>
      </c>
    </row>
    <row r="215" spans="2:5" ht="15" customHeight="1">
      <c r="B215" s="85"/>
      <c r="C215" s="43" t="s">
        <v>125</v>
      </c>
      <c r="D215" s="42">
        <v>1</v>
      </c>
      <c r="E215" s="41">
        <v>2.1929824561403509E-4</v>
      </c>
    </row>
    <row r="216" spans="2:5" ht="15" customHeight="1">
      <c r="B216" s="85"/>
      <c r="C216" s="43" t="s">
        <v>133</v>
      </c>
      <c r="D216" s="42">
        <v>26</v>
      </c>
      <c r="E216" s="41">
        <v>5.7017543859649127E-3</v>
      </c>
    </row>
    <row r="217" spans="2:5" ht="15" customHeight="1">
      <c r="B217" s="85"/>
      <c r="C217" s="43" t="s">
        <v>130</v>
      </c>
      <c r="D217" s="42">
        <v>3</v>
      </c>
      <c r="E217" s="41">
        <v>6.5789473684210525E-4</v>
      </c>
    </row>
    <row r="218" spans="2:5" ht="15" customHeight="1">
      <c r="B218" s="84"/>
      <c r="C218" s="40" t="s">
        <v>23</v>
      </c>
      <c r="D218" s="39">
        <v>73</v>
      </c>
      <c r="E218" s="38">
        <v>1.6008771929824563E-2</v>
      </c>
    </row>
    <row r="219" spans="2:5" ht="15" customHeight="1">
      <c r="B219" s="83" t="s">
        <v>93</v>
      </c>
      <c r="C219" s="43" t="s">
        <v>131</v>
      </c>
      <c r="D219" s="42">
        <v>10</v>
      </c>
      <c r="E219" s="41">
        <v>2.1929824561403508E-3</v>
      </c>
    </row>
    <row r="220" spans="2:5" ht="15" customHeight="1">
      <c r="B220" s="85"/>
      <c r="C220" s="43" t="s">
        <v>134</v>
      </c>
      <c r="D220" s="42">
        <v>11</v>
      </c>
      <c r="E220" s="41">
        <v>2.4122807017543861E-3</v>
      </c>
    </row>
    <row r="221" spans="2:5" ht="15" customHeight="1">
      <c r="B221" s="85"/>
      <c r="C221" s="43" t="s">
        <v>129</v>
      </c>
      <c r="D221" s="42">
        <v>1</v>
      </c>
      <c r="E221" s="41">
        <v>2.1929824561403509E-4</v>
      </c>
    </row>
    <row r="222" spans="2:5" ht="15" customHeight="1">
      <c r="B222" s="85"/>
      <c r="C222" s="43" t="s">
        <v>128</v>
      </c>
      <c r="D222" s="42">
        <v>1</v>
      </c>
      <c r="E222" s="41">
        <v>2.1929824561403509E-4</v>
      </c>
    </row>
    <row r="223" spans="2:5" ht="15" customHeight="1">
      <c r="B223" s="85"/>
      <c r="C223" s="43" t="s">
        <v>132</v>
      </c>
      <c r="D223" s="42">
        <v>7</v>
      </c>
      <c r="E223" s="41">
        <v>1.5350877192982456E-3</v>
      </c>
    </row>
    <row r="224" spans="2:5" ht="15" customHeight="1">
      <c r="B224" s="85"/>
      <c r="C224" s="43" t="s">
        <v>133</v>
      </c>
      <c r="D224" s="42">
        <v>16</v>
      </c>
      <c r="E224" s="41">
        <v>3.5087719298245615E-3</v>
      </c>
    </row>
    <row r="225" spans="2:5" ht="15" customHeight="1">
      <c r="B225" s="85"/>
      <c r="C225" s="43" t="s">
        <v>130</v>
      </c>
      <c r="D225" s="42">
        <v>2</v>
      </c>
      <c r="E225" s="41">
        <v>4.3859649122807018E-4</v>
      </c>
    </row>
    <row r="226" spans="2:5" ht="15" customHeight="1">
      <c r="B226" s="84"/>
      <c r="C226" s="40" t="s">
        <v>23</v>
      </c>
      <c r="D226" s="39">
        <v>48</v>
      </c>
      <c r="E226" s="38">
        <v>1.0526315789473684E-2</v>
      </c>
    </row>
    <row r="227" spans="2:5" ht="15" customHeight="1">
      <c r="B227" s="83" t="s">
        <v>97</v>
      </c>
      <c r="C227" s="43" t="s">
        <v>131</v>
      </c>
      <c r="D227" s="42">
        <v>7</v>
      </c>
      <c r="E227" s="41">
        <v>1.5350877192982456E-3</v>
      </c>
    </row>
    <row r="228" spans="2:5" ht="15" customHeight="1">
      <c r="B228" s="85"/>
      <c r="C228" s="43" t="s">
        <v>134</v>
      </c>
      <c r="D228" s="42">
        <v>41</v>
      </c>
      <c r="E228" s="41">
        <v>8.9912280701754388E-3</v>
      </c>
    </row>
    <row r="229" spans="2:5" ht="15" customHeight="1">
      <c r="B229" s="85"/>
      <c r="C229" s="43" t="s">
        <v>127</v>
      </c>
      <c r="D229" s="42">
        <v>8</v>
      </c>
      <c r="E229" s="41">
        <v>1.7543859649122807E-3</v>
      </c>
    </row>
    <row r="230" spans="2:5" ht="15" customHeight="1">
      <c r="B230" s="85"/>
      <c r="C230" s="43" t="s">
        <v>129</v>
      </c>
      <c r="D230" s="42">
        <v>3</v>
      </c>
      <c r="E230" s="41">
        <v>6.5789473684210525E-4</v>
      </c>
    </row>
    <row r="231" spans="2:5" ht="15" customHeight="1">
      <c r="B231" s="85"/>
      <c r="C231" s="43" t="s">
        <v>128</v>
      </c>
      <c r="D231" s="42">
        <v>6</v>
      </c>
      <c r="E231" s="41">
        <v>1.3157894736842105E-3</v>
      </c>
    </row>
    <row r="232" spans="2:5" ht="15" customHeight="1">
      <c r="B232" s="85"/>
      <c r="C232" s="43" t="s">
        <v>126</v>
      </c>
      <c r="D232" s="42">
        <v>3</v>
      </c>
      <c r="E232" s="41">
        <v>6.5789473684210525E-4</v>
      </c>
    </row>
    <row r="233" spans="2:5" ht="15" customHeight="1">
      <c r="B233" s="85"/>
      <c r="C233" s="43" t="s">
        <v>132</v>
      </c>
      <c r="D233" s="42">
        <v>10</v>
      </c>
      <c r="E233" s="41">
        <v>2.1929824561403508E-3</v>
      </c>
    </row>
    <row r="234" spans="2:5" ht="15" customHeight="1">
      <c r="B234" s="85"/>
      <c r="C234" s="43" t="s">
        <v>125</v>
      </c>
      <c r="D234" s="42">
        <v>2</v>
      </c>
      <c r="E234" s="41">
        <v>4.3859649122807018E-4</v>
      </c>
    </row>
    <row r="235" spans="2:5" ht="15" customHeight="1">
      <c r="B235" s="85"/>
      <c r="C235" s="43" t="s">
        <v>133</v>
      </c>
      <c r="D235" s="42">
        <v>42</v>
      </c>
      <c r="E235" s="41">
        <v>9.2105263157894728E-3</v>
      </c>
    </row>
    <row r="236" spans="2:5" ht="15" customHeight="1">
      <c r="B236" s="85"/>
      <c r="C236" s="43" t="s">
        <v>130</v>
      </c>
      <c r="D236" s="42">
        <v>18</v>
      </c>
      <c r="E236" s="41">
        <v>3.9473684210526317E-3</v>
      </c>
    </row>
    <row r="237" spans="2:5" ht="15" customHeight="1">
      <c r="B237" s="84"/>
      <c r="C237" s="40" t="s">
        <v>23</v>
      </c>
      <c r="D237" s="39">
        <v>140</v>
      </c>
      <c r="E237" s="38">
        <v>3.0701754385964911E-2</v>
      </c>
    </row>
    <row r="238" spans="2:5" ht="15" customHeight="1">
      <c r="B238" s="83" t="s">
        <v>81</v>
      </c>
      <c r="C238" s="43" t="s">
        <v>134</v>
      </c>
      <c r="D238" s="42">
        <v>1</v>
      </c>
      <c r="E238" s="41">
        <v>2.1929824561403509E-4</v>
      </c>
    </row>
    <row r="239" spans="2:5" ht="15" customHeight="1">
      <c r="B239" s="84"/>
      <c r="C239" s="40" t="s">
        <v>23</v>
      </c>
      <c r="D239" s="39">
        <v>1</v>
      </c>
      <c r="E239" s="38">
        <v>2.1929824561403509E-4</v>
      </c>
    </row>
    <row r="240" spans="2:5" ht="15" customHeight="1">
      <c r="B240" s="83" t="s">
        <v>115</v>
      </c>
      <c r="C240" s="43" t="s">
        <v>131</v>
      </c>
      <c r="D240" s="42">
        <v>2</v>
      </c>
      <c r="E240" s="41">
        <v>4.3859649122807018E-4</v>
      </c>
    </row>
    <row r="241" spans="2:5" ht="15" customHeight="1">
      <c r="B241" s="85"/>
      <c r="C241" s="43" t="s">
        <v>134</v>
      </c>
      <c r="D241" s="42">
        <v>12</v>
      </c>
      <c r="E241" s="41">
        <v>2.631578947368421E-3</v>
      </c>
    </row>
    <row r="242" spans="2:5" ht="15" customHeight="1">
      <c r="B242" s="85"/>
      <c r="C242" s="43" t="s">
        <v>127</v>
      </c>
      <c r="D242" s="42">
        <v>2</v>
      </c>
      <c r="E242" s="41">
        <v>4.3859649122807018E-4</v>
      </c>
    </row>
    <row r="243" spans="2:5" ht="15" customHeight="1">
      <c r="B243" s="85"/>
      <c r="C243" s="43" t="s">
        <v>129</v>
      </c>
      <c r="D243" s="42">
        <v>2</v>
      </c>
      <c r="E243" s="41">
        <v>4.3859649122807018E-4</v>
      </c>
    </row>
    <row r="244" spans="2:5" ht="15" customHeight="1">
      <c r="B244" s="85"/>
      <c r="C244" s="43" t="s">
        <v>128</v>
      </c>
      <c r="D244" s="42">
        <v>1</v>
      </c>
      <c r="E244" s="41">
        <v>2.1929824561403509E-4</v>
      </c>
    </row>
    <row r="245" spans="2:5" ht="15" customHeight="1">
      <c r="B245" s="85"/>
      <c r="C245" s="43" t="s">
        <v>126</v>
      </c>
      <c r="D245" s="42">
        <v>3</v>
      </c>
      <c r="E245" s="41">
        <v>6.5789473684210525E-4</v>
      </c>
    </row>
    <row r="246" spans="2:5" ht="15" customHeight="1">
      <c r="B246" s="85"/>
      <c r="C246" s="43" t="s">
        <v>132</v>
      </c>
      <c r="D246" s="42">
        <v>11</v>
      </c>
      <c r="E246" s="41">
        <v>2.4122807017543861E-3</v>
      </c>
    </row>
    <row r="247" spans="2:5" ht="15" customHeight="1">
      <c r="B247" s="85"/>
      <c r="C247" s="43" t="s">
        <v>133</v>
      </c>
      <c r="D247" s="42">
        <v>5</v>
      </c>
      <c r="E247" s="41">
        <v>1.0964912280701754E-3</v>
      </c>
    </row>
    <row r="248" spans="2:5" ht="15" customHeight="1">
      <c r="B248" s="84"/>
      <c r="C248" s="40" t="s">
        <v>23</v>
      </c>
      <c r="D248" s="39">
        <v>38</v>
      </c>
      <c r="E248" s="38">
        <v>8.3333333333333332E-3</v>
      </c>
    </row>
    <row r="249" spans="2:5" ht="15" customHeight="1">
      <c r="B249" s="83" t="s">
        <v>107</v>
      </c>
      <c r="C249" s="43" t="s">
        <v>131</v>
      </c>
      <c r="D249" s="42">
        <v>16</v>
      </c>
      <c r="E249" s="41">
        <v>3.5087719298245615E-3</v>
      </c>
    </row>
    <row r="250" spans="2:5" ht="15" customHeight="1">
      <c r="B250" s="85"/>
      <c r="C250" s="43" t="s">
        <v>134</v>
      </c>
      <c r="D250" s="42">
        <v>82</v>
      </c>
      <c r="E250" s="41">
        <v>1.7982456140350878E-2</v>
      </c>
    </row>
    <row r="251" spans="2:5" ht="15" customHeight="1">
      <c r="B251" s="85"/>
      <c r="C251" s="43" t="s">
        <v>127</v>
      </c>
      <c r="D251" s="42">
        <v>14</v>
      </c>
      <c r="E251" s="41">
        <v>3.0701754385964912E-3</v>
      </c>
    </row>
    <row r="252" spans="2:5" ht="15" customHeight="1">
      <c r="B252" s="85"/>
      <c r="C252" s="43" t="s">
        <v>129</v>
      </c>
      <c r="D252" s="42">
        <v>7</v>
      </c>
      <c r="E252" s="41">
        <v>1.5350877192982456E-3</v>
      </c>
    </row>
    <row r="253" spans="2:5" ht="15" customHeight="1">
      <c r="B253" s="85"/>
      <c r="C253" s="43" t="s">
        <v>128</v>
      </c>
      <c r="D253" s="42">
        <v>6</v>
      </c>
      <c r="E253" s="41">
        <v>1.3157894736842105E-3</v>
      </c>
    </row>
    <row r="254" spans="2:5" ht="15" customHeight="1">
      <c r="B254" s="85"/>
      <c r="C254" s="43" t="s">
        <v>126</v>
      </c>
      <c r="D254" s="42">
        <v>1</v>
      </c>
      <c r="E254" s="41">
        <v>2.1929824561403509E-4</v>
      </c>
    </row>
    <row r="255" spans="2:5" ht="15" customHeight="1">
      <c r="B255" s="85"/>
      <c r="C255" s="43" t="s">
        <v>132</v>
      </c>
      <c r="D255" s="42">
        <v>51</v>
      </c>
      <c r="E255" s="41">
        <v>1.118421052631579E-2</v>
      </c>
    </row>
    <row r="256" spans="2:5" ht="15" customHeight="1">
      <c r="B256" s="85"/>
      <c r="C256" s="43" t="s">
        <v>125</v>
      </c>
      <c r="D256" s="42">
        <v>4</v>
      </c>
      <c r="E256" s="41">
        <v>8.7719298245614037E-4</v>
      </c>
    </row>
    <row r="257" spans="2:5" ht="15" customHeight="1">
      <c r="B257" s="85"/>
      <c r="C257" s="43" t="s">
        <v>133</v>
      </c>
      <c r="D257" s="42">
        <v>94</v>
      </c>
      <c r="E257" s="41">
        <v>2.06140350877193E-2</v>
      </c>
    </row>
    <row r="258" spans="2:5" ht="15" customHeight="1">
      <c r="B258" s="85"/>
      <c r="C258" s="43" t="s">
        <v>130</v>
      </c>
      <c r="D258" s="42">
        <v>8</v>
      </c>
      <c r="E258" s="41">
        <v>1.7543859649122807E-3</v>
      </c>
    </row>
    <row r="259" spans="2:5" ht="15" customHeight="1">
      <c r="B259" s="84"/>
      <c r="C259" s="40" t="s">
        <v>23</v>
      </c>
      <c r="D259" s="39">
        <v>283</v>
      </c>
      <c r="E259" s="38">
        <v>6.2061403508771928E-2</v>
      </c>
    </row>
    <row r="260" spans="2:5" ht="15" customHeight="1">
      <c r="B260" s="83" t="s">
        <v>92</v>
      </c>
      <c r="C260" s="43" t="s">
        <v>131</v>
      </c>
      <c r="D260" s="42">
        <v>3</v>
      </c>
      <c r="E260" s="41">
        <v>6.5789473684210525E-4</v>
      </c>
    </row>
    <row r="261" spans="2:5" ht="15" customHeight="1">
      <c r="B261" s="85"/>
      <c r="C261" s="43" t="s">
        <v>134</v>
      </c>
      <c r="D261" s="42">
        <v>5</v>
      </c>
      <c r="E261" s="41">
        <v>1.0964912280701754E-3</v>
      </c>
    </row>
    <row r="262" spans="2:5" ht="15" customHeight="1">
      <c r="B262" s="85"/>
      <c r="C262" s="43" t="s">
        <v>132</v>
      </c>
      <c r="D262" s="42">
        <v>1</v>
      </c>
      <c r="E262" s="41">
        <v>2.1929824561403509E-4</v>
      </c>
    </row>
    <row r="263" spans="2:5" ht="15" customHeight="1">
      <c r="B263" s="85"/>
      <c r="C263" s="43" t="s">
        <v>133</v>
      </c>
      <c r="D263" s="42">
        <v>4</v>
      </c>
      <c r="E263" s="41">
        <v>8.7719298245614037E-4</v>
      </c>
    </row>
    <row r="264" spans="2:5" ht="15" customHeight="1">
      <c r="B264" s="85"/>
      <c r="C264" s="43" t="s">
        <v>130</v>
      </c>
      <c r="D264" s="42">
        <v>1</v>
      </c>
      <c r="E264" s="41">
        <v>2.1929824561403509E-4</v>
      </c>
    </row>
    <row r="265" spans="2:5" ht="15" customHeight="1">
      <c r="B265" s="84"/>
      <c r="C265" s="40" t="s">
        <v>23</v>
      </c>
      <c r="D265" s="39">
        <v>14</v>
      </c>
      <c r="E265" s="38">
        <v>3.0701754385964912E-3</v>
      </c>
    </row>
    <row r="266" spans="2:5" ht="15" customHeight="1">
      <c r="B266" s="83" t="s">
        <v>94</v>
      </c>
      <c r="C266" s="43" t="s">
        <v>131</v>
      </c>
      <c r="D266" s="42">
        <v>5</v>
      </c>
      <c r="E266" s="41">
        <v>1.0964912280701754E-3</v>
      </c>
    </row>
    <row r="267" spans="2:5" ht="15" customHeight="1">
      <c r="B267" s="85"/>
      <c r="C267" s="43" t="s">
        <v>134</v>
      </c>
      <c r="D267" s="42">
        <v>25</v>
      </c>
      <c r="E267" s="41">
        <v>5.4824561403508769E-3</v>
      </c>
    </row>
    <row r="268" spans="2:5" ht="15" customHeight="1">
      <c r="B268" s="85"/>
      <c r="C268" s="43" t="s">
        <v>127</v>
      </c>
      <c r="D268" s="42">
        <v>1</v>
      </c>
      <c r="E268" s="41">
        <v>2.1929824561403509E-4</v>
      </c>
    </row>
    <row r="269" spans="2:5" ht="15" customHeight="1">
      <c r="B269" s="85"/>
      <c r="C269" s="43" t="s">
        <v>129</v>
      </c>
      <c r="D269" s="42">
        <v>2</v>
      </c>
      <c r="E269" s="41">
        <v>4.3859649122807018E-4</v>
      </c>
    </row>
    <row r="270" spans="2:5" ht="15" customHeight="1">
      <c r="B270" s="85"/>
      <c r="C270" s="43" t="s">
        <v>128</v>
      </c>
      <c r="D270" s="42">
        <v>4</v>
      </c>
      <c r="E270" s="41">
        <v>8.7719298245614037E-4</v>
      </c>
    </row>
    <row r="271" spans="2:5" ht="15" customHeight="1">
      <c r="B271" s="85"/>
      <c r="C271" s="43" t="s">
        <v>126</v>
      </c>
      <c r="D271" s="42">
        <v>1</v>
      </c>
      <c r="E271" s="41">
        <v>2.1929824561403509E-4</v>
      </c>
    </row>
    <row r="272" spans="2:5" ht="15" customHeight="1">
      <c r="B272" s="85"/>
      <c r="C272" s="43" t="s">
        <v>132</v>
      </c>
      <c r="D272" s="42">
        <v>20</v>
      </c>
      <c r="E272" s="41">
        <v>4.3859649122807015E-3</v>
      </c>
    </row>
    <row r="273" spans="2:5" ht="15" customHeight="1">
      <c r="B273" s="85"/>
      <c r="C273" s="43" t="s">
        <v>125</v>
      </c>
      <c r="D273" s="42">
        <v>1</v>
      </c>
      <c r="E273" s="41">
        <v>2.1929824561403509E-4</v>
      </c>
    </row>
    <row r="274" spans="2:5" ht="15" customHeight="1">
      <c r="B274" s="85"/>
      <c r="C274" s="43" t="s">
        <v>133</v>
      </c>
      <c r="D274" s="42">
        <v>11</v>
      </c>
      <c r="E274" s="41">
        <v>2.4122807017543861E-3</v>
      </c>
    </row>
    <row r="275" spans="2:5" ht="15" customHeight="1">
      <c r="B275" s="85"/>
      <c r="C275" s="43" t="s">
        <v>130</v>
      </c>
      <c r="D275" s="42">
        <v>5</v>
      </c>
      <c r="E275" s="41">
        <v>1.0964912280701754E-3</v>
      </c>
    </row>
    <row r="276" spans="2:5" ht="15" customHeight="1">
      <c r="B276" s="84"/>
      <c r="C276" s="40" t="s">
        <v>23</v>
      </c>
      <c r="D276" s="39">
        <v>75</v>
      </c>
      <c r="E276" s="38">
        <v>1.6447368421052631E-2</v>
      </c>
    </row>
    <row r="277" spans="2:5" ht="15" customHeight="1">
      <c r="B277" s="83" t="s">
        <v>102</v>
      </c>
      <c r="C277" s="43" t="s">
        <v>134</v>
      </c>
      <c r="D277" s="42">
        <v>6</v>
      </c>
      <c r="E277" s="41">
        <v>1.3157894736842105E-3</v>
      </c>
    </row>
    <row r="278" spans="2:5" ht="15" customHeight="1">
      <c r="B278" s="85"/>
      <c r="C278" s="43" t="s">
        <v>129</v>
      </c>
      <c r="D278" s="42">
        <v>1</v>
      </c>
      <c r="E278" s="41">
        <v>2.1929824561403509E-4</v>
      </c>
    </row>
    <row r="279" spans="2:5" ht="15" customHeight="1">
      <c r="B279" s="85"/>
      <c r="C279" s="43" t="s">
        <v>128</v>
      </c>
      <c r="D279" s="42">
        <v>1</v>
      </c>
      <c r="E279" s="41">
        <v>2.1929824561403509E-4</v>
      </c>
    </row>
    <row r="280" spans="2:5" ht="15" customHeight="1">
      <c r="B280" s="85"/>
      <c r="C280" s="43" t="s">
        <v>126</v>
      </c>
      <c r="D280" s="42">
        <v>2</v>
      </c>
      <c r="E280" s="41">
        <v>4.3859649122807018E-4</v>
      </c>
    </row>
    <row r="281" spans="2:5" ht="15" customHeight="1">
      <c r="B281" s="85"/>
      <c r="C281" s="43" t="s">
        <v>132</v>
      </c>
      <c r="D281" s="42">
        <v>4</v>
      </c>
      <c r="E281" s="41">
        <v>8.7719298245614037E-4</v>
      </c>
    </row>
    <row r="282" spans="2:5" ht="15" customHeight="1">
      <c r="B282" s="85"/>
      <c r="C282" s="43" t="s">
        <v>133</v>
      </c>
      <c r="D282" s="42">
        <v>2</v>
      </c>
      <c r="E282" s="41">
        <v>4.3859649122807018E-4</v>
      </c>
    </row>
    <row r="283" spans="2:5" ht="15" customHeight="1">
      <c r="B283" s="85"/>
      <c r="C283" s="43" t="s">
        <v>130</v>
      </c>
      <c r="D283" s="42">
        <v>2</v>
      </c>
      <c r="E283" s="41">
        <v>4.3859649122807018E-4</v>
      </c>
    </row>
    <row r="284" spans="2:5" ht="15" customHeight="1">
      <c r="B284" s="84"/>
      <c r="C284" s="40" t="s">
        <v>23</v>
      </c>
      <c r="D284" s="39">
        <v>18</v>
      </c>
      <c r="E284" s="38">
        <v>3.9473684210526317E-3</v>
      </c>
    </row>
    <row r="285" spans="2:5" ht="15" customHeight="1">
      <c r="B285" s="83" t="s">
        <v>114</v>
      </c>
      <c r="C285" s="43" t="s">
        <v>131</v>
      </c>
      <c r="D285" s="42">
        <v>17</v>
      </c>
      <c r="E285" s="41">
        <v>3.7280701754385964E-3</v>
      </c>
    </row>
    <row r="286" spans="2:5" ht="15" customHeight="1">
      <c r="B286" s="85"/>
      <c r="C286" s="43" t="s">
        <v>134</v>
      </c>
      <c r="D286" s="42">
        <v>111</v>
      </c>
      <c r="E286" s="41">
        <v>2.4342105263157894E-2</v>
      </c>
    </row>
    <row r="287" spans="2:5" ht="15" customHeight="1">
      <c r="B287" s="85"/>
      <c r="C287" s="43" t="s">
        <v>127</v>
      </c>
      <c r="D287" s="42">
        <v>8</v>
      </c>
      <c r="E287" s="41">
        <v>1.7543859649122807E-3</v>
      </c>
    </row>
    <row r="288" spans="2:5" ht="15" customHeight="1">
      <c r="B288" s="85"/>
      <c r="C288" s="43" t="s">
        <v>129</v>
      </c>
      <c r="D288" s="42">
        <v>20</v>
      </c>
      <c r="E288" s="41">
        <v>4.3859649122807015E-3</v>
      </c>
    </row>
    <row r="289" spans="2:5" ht="15" customHeight="1">
      <c r="B289" s="85"/>
      <c r="C289" s="43" t="s">
        <v>128</v>
      </c>
      <c r="D289" s="42">
        <v>19</v>
      </c>
      <c r="E289" s="41">
        <v>4.1666666666666666E-3</v>
      </c>
    </row>
    <row r="290" spans="2:5" ht="15" customHeight="1">
      <c r="B290" s="85"/>
      <c r="C290" s="43" t="s">
        <v>126</v>
      </c>
      <c r="D290" s="42">
        <v>5</v>
      </c>
      <c r="E290" s="41">
        <v>1.0964912280701754E-3</v>
      </c>
    </row>
    <row r="291" spans="2:5" ht="15" customHeight="1">
      <c r="B291" s="85"/>
      <c r="C291" s="43" t="s">
        <v>132</v>
      </c>
      <c r="D291" s="42">
        <v>70</v>
      </c>
      <c r="E291" s="41">
        <v>1.5350877192982455E-2</v>
      </c>
    </row>
    <row r="292" spans="2:5" ht="15" customHeight="1">
      <c r="B292" s="85"/>
      <c r="C292" s="43" t="s">
        <v>125</v>
      </c>
      <c r="D292" s="42">
        <v>5</v>
      </c>
      <c r="E292" s="41">
        <v>1.0964912280701754E-3</v>
      </c>
    </row>
    <row r="293" spans="2:5" ht="15" customHeight="1">
      <c r="B293" s="85"/>
      <c r="C293" s="43" t="s">
        <v>133</v>
      </c>
      <c r="D293" s="42">
        <v>75</v>
      </c>
      <c r="E293" s="41">
        <v>1.6447368421052631E-2</v>
      </c>
    </row>
    <row r="294" spans="2:5" ht="15" customHeight="1">
      <c r="B294" s="85"/>
      <c r="C294" s="43" t="s">
        <v>130</v>
      </c>
      <c r="D294" s="42">
        <v>13</v>
      </c>
      <c r="E294" s="41">
        <v>2.8508771929824563E-3</v>
      </c>
    </row>
    <row r="295" spans="2:5" ht="15" customHeight="1">
      <c r="B295" s="84"/>
      <c r="C295" s="40" t="s">
        <v>23</v>
      </c>
      <c r="D295" s="39">
        <v>343</v>
      </c>
      <c r="E295" s="38">
        <v>7.5219298245614033E-2</v>
      </c>
    </row>
    <row r="296" spans="2:5" ht="15" customHeight="1">
      <c r="B296" s="83" t="s">
        <v>98</v>
      </c>
      <c r="C296" s="43" t="s">
        <v>131</v>
      </c>
      <c r="D296" s="42">
        <v>10</v>
      </c>
      <c r="E296" s="41">
        <v>2.1929824561403508E-3</v>
      </c>
    </row>
    <row r="297" spans="2:5" ht="15" customHeight="1">
      <c r="B297" s="85"/>
      <c r="C297" s="43" t="s">
        <v>134</v>
      </c>
      <c r="D297" s="42">
        <v>18</v>
      </c>
      <c r="E297" s="41">
        <v>3.9473684210526317E-3</v>
      </c>
    </row>
    <row r="298" spans="2:5" ht="15" customHeight="1">
      <c r="B298" s="85"/>
      <c r="C298" s="43" t="s">
        <v>127</v>
      </c>
      <c r="D298" s="42">
        <v>6</v>
      </c>
      <c r="E298" s="41">
        <v>1.3157894736842105E-3</v>
      </c>
    </row>
    <row r="299" spans="2:5" ht="15" customHeight="1">
      <c r="B299" s="85"/>
      <c r="C299" s="43" t="s">
        <v>129</v>
      </c>
      <c r="D299" s="42">
        <v>4</v>
      </c>
      <c r="E299" s="41">
        <v>8.7719298245614037E-4</v>
      </c>
    </row>
    <row r="300" spans="2:5" ht="15" customHeight="1">
      <c r="B300" s="85"/>
      <c r="C300" s="43" t="s">
        <v>128</v>
      </c>
      <c r="D300" s="42">
        <v>4</v>
      </c>
      <c r="E300" s="41">
        <v>8.7719298245614037E-4</v>
      </c>
    </row>
    <row r="301" spans="2:5" ht="15" customHeight="1">
      <c r="B301" s="85"/>
      <c r="C301" s="43" t="s">
        <v>126</v>
      </c>
      <c r="D301" s="42">
        <v>2</v>
      </c>
      <c r="E301" s="41">
        <v>4.3859649122807018E-4</v>
      </c>
    </row>
    <row r="302" spans="2:5" ht="15" customHeight="1">
      <c r="B302" s="85"/>
      <c r="C302" s="43" t="s">
        <v>132</v>
      </c>
      <c r="D302" s="42">
        <v>19</v>
      </c>
      <c r="E302" s="41">
        <v>4.1666666666666666E-3</v>
      </c>
    </row>
    <row r="303" spans="2:5" ht="15" customHeight="1">
      <c r="B303" s="85"/>
      <c r="C303" s="43" t="s">
        <v>133</v>
      </c>
      <c r="D303" s="42">
        <v>15</v>
      </c>
      <c r="E303" s="41">
        <v>3.2894736842105261E-3</v>
      </c>
    </row>
    <row r="304" spans="2:5" ht="15" customHeight="1">
      <c r="B304" s="84"/>
      <c r="C304" s="40" t="s">
        <v>23</v>
      </c>
      <c r="D304" s="39">
        <v>78</v>
      </c>
      <c r="E304" s="38">
        <v>1.7105263157894738E-2</v>
      </c>
    </row>
    <row r="305" spans="2:5" ht="15" customHeight="1">
      <c r="B305" s="83" t="s">
        <v>111</v>
      </c>
      <c r="C305" s="43" t="s">
        <v>131</v>
      </c>
      <c r="D305" s="42">
        <v>13</v>
      </c>
      <c r="E305" s="41">
        <v>2.8508771929824563E-3</v>
      </c>
    </row>
    <row r="306" spans="2:5" ht="15" customHeight="1">
      <c r="B306" s="85"/>
      <c r="C306" s="43" t="s">
        <v>134</v>
      </c>
      <c r="D306" s="42">
        <v>43</v>
      </c>
      <c r="E306" s="41">
        <v>9.4298245614035086E-3</v>
      </c>
    </row>
    <row r="307" spans="2:5" ht="15" customHeight="1">
      <c r="B307" s="85"/>
      <c r="C307" s="43" t="s">
        <v>127</v>
      </c>
      <c r="D307" s="42">
        <v>3</v>
      </c>
      <c r="E307" s="41">
        <v>6.5789473684210525E-4</v>
      </c>
    </row>
    <row r="308" spans="2:5" ht="15" customHeight="1">
      <c r="B308" s="85"/>
      <c r="C308" s="43" t="s">
        <v>129</v>
      </c>
      <c r="D308" s="42">
        <v>2</v>
      </c>
      <c r="E308" s="41">
        <v>4.3859649122807018E-4</v>
      </c>
    </row>
    <row r="309" spans="2:5" ht="15" customHeight="1">
      <c r="B309" s="85"/>
      <c r="C309" s="43" t="s">
        <v>128</v>
      </c>
      <c r="D309" s="42">
        <v>4</v>
      </c>
      <c r="E309" s="41">
        <v>8.7719298245614037E-4</v>
      </c>
    </row>
    <row r="310" spans="2:5" ht="15" customHeight="1">
      <c r="B310" s="85"/>
      <c r="C310" s="43" t="s">
        <v>132</v>
      </c>
      <c r="D310" s="42">
        <v>32</v>
      </c>
      <c r="E310" s="41">
        <v>7.0175438596491229E-3</v>
      </c>
    </row>
    <row r="311" spans="2:5" ht="15" customHeight="1">
      <c r="B311" s="85"/>
      <c r="C311" s="43" t="s">
        <v>125</v>
      </c>
      <c r="D311" s="42">
        <v>4</v>
      </c>
      <c r="E311" s="41">
        <v>8.7719298245614037E-4</v>
      </c>
    </row>
    <row r="312" spans="2:5" ht="15" customHeight="1">
      <c r="B312" s="85"/>
      <c r="C312" s="43" t="s">
        <v>133</v>
      </c>
      <c r="D312" s="42">
        <v>38</v>
      </c>
      <c r="E312" s="41">
        <v>8.3333333333333332E-3</v>
      </c>
    </row>
    <row r="313" spans="2:5" ht="15" customHeight="1">
      <c r="B313" s="85"/>
      <c r="C313" s="43" t="s">
        <v>130</v>
      </c>
      <c r="D313" s="42">
        <v>9</v>
      </c>
      <c r="E313" s="41">
        <v>1.9736842105263159E-3</v>
      </c>
    </row>
    <row r="314" spans="2:5" ht="15" customHeight="1">
      <c r="B314" s="84"/>
      <c r="C314" s="40" t="s">
        <v>23</v>
      </c>
      <c r="D314" s="39">
        <v>148</v>
      </c>
      <c r="E314" s="38">
        <v>3.245614035087719E-2</v>
      </c>
    </row>
    <row r="315" spans="2:5" ht="15" customHeight="1">
      <c r="B315" s="83" t="s">
        <v>112</v>
      </c>
      <c r="C315" s="43" t="s">
        <v>131</v>
      </c>
      <c r="D315" s="42">
        <v>10</v>
      </c>
      <c r="E315" s="41">
        <v>2.1929824561403508E-3</v>
      </c>
    </row>
    <row r="316" spans="2:5" ht="15" customHeight="1">
      <c r="B316" s="85"/>
      <c r="C316" s="43" t="s">
        <v>134</v>
      </c>
      <c r="D316" s="42">
        <v>33</v>
      </c>
      <c r="E316" s="41">
        <v>7.2368421052631578E-3</v>
      </c>
    </row>
    <row r="317" spans="2:5" ht="15" customHeight="1">
      <c r="B317" s="85"/>
      <c r="C317" s="43" t="s">
        <v>127</v>
      </c>
      <c r="D317" s="42">
        <v>8</v>
      </c>
      <c r="E317" s="41">
        <v>1.7543859649122807E-3</v>
      </c>
    </row>
    <row r="318" spans="2:5" ht="15" customHeight="1">
      <c r="B318" s="85"/>
      <c r="C318" s="43" t="s">
        <v>129</v>
      </c>
      <c r="D318" s="42">
        <v>5</v>
      </c>
      <c r="E318" s="41">
        <v>1.0964912280701754E-3</v>
      </c>
    </row>
    <row r="319" spans="2:5" ht="15" customHeight="1">
      <c r="B319" s="85"/>
      <c r="C319" s="43" t="s">
        <v>128</v>
      </c>
      <c r="D319" s="42">
        <v>7</v>
      </c>
      <c r="E319" s="41">
        <v>1.5350877192982456E-3</v>
      </c>
    </row>
    <row r="320" spans="2:5" ht="15" customHeight="1">
      <c r="B320" s="85"/>
      <c r="C320" s="43" t="s">
        <v>126</v>
      </c>
      <c r="D320" s="42">
        <v>2</v>
      </c>
      <c r="E320" s="41">
        <v>4.3859649122807018E-4</v>
      </c>
    </row>
    <row r="321" spans="2:5" ht="15" customHeight="1">
      <c r="B321" s="85"/>
      <c r="C321" s="43" t="s">
        <v>132</v>
      </c>
      <c r="D321" s="42">
        <v>35</v>
      </c>
      <c r="E321" s="41">
        <v>7.6754385964912276E-3</v>
      </c>
    </row>
    <row r="322" spans="2:5" ht="15" customHeight="1">
      <c r="B322" s="85"/>
      <c r="C322" s="43" t="s">
        <v>125</v>
      </c>
      <c r="D322" s="42">
        <v>14</v>
      </c>
      <c r="E322" s="41">
        <v>3.0701754385964912E-3</v>
      </c>
    </row>
    <row r="323" spans="2:5" ht="15" customHeight="1">
      <c r="B323" s="85"/>
      <c r="C323" s="43" t="s">
        <v>133</v>
      </c>
      <c r="D323" s="42">
        <v>41</v>
      </c>
      <c r="E323" s="41">
        <v>8.9912280701754388E-3</v>
      </c>
    </row>
    <row r="324" spans="2:5" ht="15" customHeight="1">
      <c r="B324" s="85"/>
      <c r="C324" s="43" t="s">
        <v>130</v>
      </c>
      <c r="D324" s="42">
        <v>6</v>
      </c>
      <c r="E324" s="41">
        <v>1.3157894736842105E-3</v>
      </c>
    </row>
    <row r="325" spans="2:5" ht="15" customHeight="1">
      <c r="B325" s="84"/>
      <c r="C325" s="40" t="s">
        <v>23</v>
      </c>
      <c r="D325" s="39">
        <v>161</v>
      </c>
      <c r="E325" s="38">
        <v>3.5307017543859648E-2</v>
      </c>
    </row>
    <row r="326" spans="2:5" ht="15" customHeight="1">
      <c r="B326" s="83" t="s">
        <v>113</v>
      </c>
      <c r="C326" s="43" t="s">
        <v>131</v>
      </c>
      <c r="D326" s="42">
        <v>10</v>
      </c>
      <c r="E326" s="41">
        <v>2.1929824561403508E-3</v>
      </c>
    </row>
    <row r="327" spans="2:5" ht="15" customHeight="1">
      <c r="B327" s="85"/>
      <c r="C327" s="43" t="s">
        <v>134</v>
      </c>
      <c r="D327" s="42">
        <v>34</v>
      </c>
      <c r="E327" s="41">
        <v>7.4561403508771927E-3</v>
      </c>
    </row>
    <row r="328" spans="2:5" ht="15" customHeight="1">
      <c r="B328" s="85"/>
      <c r="C328" s="43" t="s">
        <v>127</v>
      </c>
      <c r="D328" s="42">
        <v>9</v>
      </c>
      <c r="E328" s="41">
        <v>1.9736842105263159E-3</v>
      </c>
    </row>
    <row r="329" spans="2:5" ht="15" customHeight="1">
      <c r="B329" s="85"/>
      <c r="C329" s="43" t="s">
        <v>129</v>
      </c>
      <c r="D329" s="42">
        <v>7</v>
      </c>
      <c r="E329" s="41">
        <v>1.5350877192982456E-3</v>
      </c>
    </row>
    <row r="330" spans="2:5" ht="15" customHeight="1">
      <c r="B330" s="85"/>
      <c r="C330" s="43" t="s">
        <v>128</v>
      </c>
      <c r="D330" s="42">
        <v>8</v>
      </c>
      <c r="E330" s="41">
        <v>1.7543859649122807E-3</v>
      </c>
    </row>
    <row r="331" spans="2:5" ht="15" customHeight="1">
      <c r="B331" s="85"/>
      <c r="C331" s="43" t="s">
        <v>126</v>
      </c>
      <c r="D331" s="42">
        <v>2</v>
      </c>
      <c r="E331" s="41">
        <v>4.3859649122807018E-4</v>
      </c>
    </row>
    <row r="332" spans="2:5" ht="15" customHeight="1">
      <c r="B332" s="85"/>
      <c r="C332" s="43" t="s">
        <v>132</v>
      </c>
      <c r="D332" s="42">
        <v>29</v>
      </c>
      <c r="E332" s="41">
        <v>6.3596491228070174E-3</v>
      </c>
    </row>
    <row r="333" spans="2:5" ht="15" customHeight="1">
      <c r="B333" s="85"/>
      <c r="C333" s="43" t="s">
        <v>133</v>
      </c>
      <c r="D333" s="42">
        <v>39</v>
      </c>
      <c r="E333" s="41">
        <v>8.552631578947369E-3</v>
      </c>
    </row>
    <row r="334" spans="2:5" ht="15" customHeight="1">
      <c r="B334" s="85"/>
      <c r="C334" s="43" t="s">
        <v>130</v>
      </c>
      <c r="D334" s="42">
        <v>8</v>
      </c>
      <c r="E334" s="41">
        <v>1.7543859649122807E-3</v>
      </c>
    </row>
    <row r="335" spans="2:5" ht="15" customHeight="1">
      <c r="B335" s="84"/>
      <c r="C335" s="40" t="s">
        <v>23</v>
      </c>
      <c r="D335" s="39">
        <v>146</v>
      </c>
      <c r="E335" s="38">
        <v>3.2017543859649125E-2</v>
      </c>
    </row>
    <row r="336" spans="2:5" ht="15" customHeight="1">
      <c r="B336" s="83" t="s">
        <v>91</v>
      </c>
      <c r="C336" s="43" t="s">
        <v>131</v>
      </c>
      <c r="D336" s="42">
        <v>10</v>
      </c>
      <c r="E336" s="41">
        <v>2.1929824561403508E-3</v>
      </c>
    </row>
    <row r="337" spans="2:5" ht="15" customHeight="1">
      <c r="B337" s="85"/>
      <c r="C337" s="43" t="s">
        <v>134</v>
      </c>
      <c r="D337" s="42">
        <v>46</v>
      </c>
      <c r="E337" s="41">
        <v>1.0087719298245614E-2</v>
      </c>
    </row>
    <row r="338" spans="2:5" ht="15" customHeight="1">
      <c r="B338" s="85"/>
      <c r="C338" s="43" t="s">
        <v>127</v>
      </c>
      <c r="D338" s="42">
        <v>5</v>
      </c>
      <c r="E338" s="41">
        <v>1.0964912280701754E-3</v>
      </c>
    </row>
    <row r="339" spans="2:5" ht="15" customHeight="1">
      <c r="B339" s="85"/>
      <c r="C339" s="43" t="s">
        <v>129</v>
      </c>
      <c r="D339" s="42">
        <v>4</v>
      </c>
      <c r="E339" s="41">
        <v>8.7719298245614037E-4</v>
      </c>
    </row>
    <row r="340" spans="2:5" ht="15" customHeight="1">
      <c r="B340" s="85"/>
      <c r="C340" s="43" t="s">
        <v>128</v>
      </c>
      <c r="D340" s="42">
        <v>2</v>
      </c>
      <c r="E340" s="41">
        <v>4.3859649122807018E-4</v>
      </c>
    </row>
    <row r="341" spans="2:5" ht="15" customHeight="1">
      <c r="B341" s="85"/>
      <c r="C341" s="43" t="s">
        <v>126</v>
      </c>
      <c r="D341" s="42">
        <v>12</v>
      </c>
      <c r="E341" s="41">
        <v>2.631578947368421E-3</v>
      </c>
    </row>
    <row r="342" spans="2:5" ht="15" customHeight="1">
      <c r="B342" s="85"/>
      <c r="C342" s="43" t="s">
        <v>132</v>
      </c>
      <c r="D342" s="42">
        <v>25</v>
      </c>
      <c r="E342" s="41">
        <v>5.4824561403508769E-3</v>
      </c>
    </row>
    <row r="343" spans="2:5" ht="15" customHeight="1">
      <c r="B343" s="85"/>
      <c r="C343" s="43" t="s">
        <v>125</v>
      </c>
      <c r="D343" s="42">
        <v>2</v>
      </c>
      <c r="E343" s="41">
        <v>4.3859649122807018E-4</v>
      </c>
    </row>
    <row r="344" spans="2:5" ht="15" customHeight="1">
      <c r="B344" s="85"/>
      <c r="C344" s="43" t="s">
        <v>133</v>
      </c>
      <c r="D344" s="42">
        <v>51</v>
      </c>
      <c r="E344" s="41">
        <v>1.118421052631579E-2</v>
      </c>
    </row>
    <row r="345" spans="2:5" ht="15" customHeight="1">
      <c r="B345" s="85"/>
      <c r="C345" s="43" t="s">
        <v>130</v>
      </c>
      <c r="D345" s="42">
        <v>3</v>
      </c>
      <c r="E345" s="41">
        <v>6.5789473684210525E-4</v>
      </c>
    </row>
    <row r="346" spans="2:5" ht="15" customHeight="1">
      <c r="B346" s="84"/>
      <c r="C346" s="40" t="s">
        <v>23</v>
      </c>
      <c r="D346" s="39">
        <v>160</v>
      </c>
      <c r="E346" s="38">
        <v>3.5087719298245612E-2</v>
      </c>
    </row>
    <row r="347" spans="2:5" ht="15" customHeight="1">
      <c r="B347" s="83" t="s">
        <v>82</v>
      </c>
      <c r="C347" s="43" t="s">
        <v>132</v>
      </c>
      <c r="D347" s="42">
        <v>5</v>
      </c>
      <c r="E347" s="41">
        <v>1.0964912280701754E-3</v>
      </c>
    </row>
    <row r="348" spans="2:5" ht="15" customHeight="1">
      <c r="B348" s="85"/>
      <c r="C348" s="43" t="s">
        <v>133</v>
      </c>
      <c r="D348" s="42">
        <v>4</v>
      </c>
      <c r="E348" s="41">
        <v>8.7719298245614037E-4</v>
      </c>
    </row>
    <row r="349" spans="2:5" ht="15" customHeight="1">
      <c r="B349" s="84"/>
      <c r="C349" s="40" t="s">
        <v>23</v>
      </c>
      <c r="D349" s="39">
        <v>9</v>
      </c>
      <c r="E349" s="38">
        <v>1.9736842105263159E-3</v>
      </c>
    </row>
    <row r="350" spans="2:5" ht="15" customHeight="1">
      <c r="B350" s="83" t="s">
        <v>65</v>
      </c>
      <c r="C350" s="43" t="s">
        <v>131</v>
      </c>
      <c r="D350" s="42">
        <v>1</v>
      </c>
      <c r="E350" s="41">
        <v>2.1929824561403509E-4</v>
      </c>
    </row>
    <row r="351" spans="2:5" ht="15" customHeight="1">
      <c r="B351" s="85"/>
      <c r="C351" s="43" t="s">
        <v>134</v>
      </c>
      <c r="D351" s="42">
        <v>9</v>
      </c>
      <c r="E351" s="41">
        <v>1.9736842105263159E-3</v>
      </c>
    </row>
    <row r="352" spans="2:5" ht="15" customHeight="1">
      <c r="B352" s="85"/>
      <c r="C352" s="43" t="s">
        <v>127</v>
      </c>
      <c r="D352" s="42">
        <v>1</v>
      </c>
      <c r="E352" s="41">
        <v>2.1929824561403509E-4</v>
      </c>
    </row>
    <row r="353" spans="2:5" ht="15" customHeight="1">
      <c r="B353" s="85"/>
      <c r="C353" s="43" t="s">
        <v>132</v>
      </c>
      <c r="D353" s="42">
        <v>1</v>
      </c>
      <c r="E353" s="41">
        <v>2.1929824561403509E-4</v>
      </c>
    </row>
    <row r="354" spans="2:5" ht="15" customHeight="1">
      <c r="B354" s="85"/>
      <c r="C354" s="43" t="s">
        <v>133</v>
      </c>
      <c r="D354" s="42">
        <v>7</v>
      </c>
      <c r="E354" s="41">
        <v>1.5350877192982456E-3</v>
      </c>
    </row>
    <row r="355" spans="2:5" ht="15" customHeight="1">
      <c r="B355" s="84"/>
      <c r="C355" s="40" t="s">
        <v>23</v>
      </c>
      <c r="D355" s="39">
        <v>19</v>
      </c>
      <c r="E355" s="38">
        <v>4.1666666666666666E-3</v>
      </c>
    </row>
    <row r="356" spans="2:5" ht="15" customHeight="1">
      <c r="B356" s="95" t="s">
        <v>23</v>
      </c>
      <c r="C356" s="96"/>
      <c r="D356" s="97">
        <v>4560</v>
      </c>
      <c r="E356" s="98">
        <v>1</v>
      </c>
    </row>
    <row r="358" spans="2:5" ht="15" customHeight="1">
      <c r="B358" s="19" t="s">
        <v>22</v>
      </c>
    </row>
    <row r="359" spans="2:5" ht="15" customHeight="1">
      <c r="B359" s="21" t="s">
        <v>21</v>
      </c>
    </row>
    <row r="360" spans="2:5" ht="15" customHeight="1">
      <c r="B360" s="20" t="s">
        <v>20</v>
      </c>
    </row>
    <row r="361" spans="2:5" ht="15" customHeight="1">
      <c r="B361" s="19" t="s">
        <v>19</v>
      </c>
    </row>
    <row r="362" spans="2:5" ht="15" customHeight="1">
      <c r="B362" s="19" t="s">
        <v>18</v>
      </c>
    </row>
  </sheetData>
  <mergeCells count="48">
    <mergeCell ref="B39:B41"/>
    <mergeCell ref="B42:B44"/>
    <mergeCell ref="B45:B46"/>
    <mergeCell ref="B47:B57"/>
    <mergeCell ref="B58:B67"/>
    <mergeCell ref="B7:E8"/>
    <mergeCell ref="B10:B13"/>
    <mergeCell ref="B14:B22"/>
    <mergeCell ref="B23:B29"/>
    <mergeCell ref="B30:B38"/>
    <mergeCell ref="B100:B110"/>
    <mergeCell ref="B111:B118"/>
    <mergeCell ref="B119:B126"/>
    <mergeCell ref="B127:B129"/>
    <mergeCell ref="B130:B140"/>
    <mergeCell ref="B68:B75"/>
    <mergeCell ref="B76:B80"/>
    <mergeCell ref="B81:B84"/>
    <mergeCell ref="B85:B88"/>
    <mergeCell ref="B89:B99"/>
    <mergeCell ref="B181:B182"/>
    <mergeCell ref="B183:B187"/>
    <mergeCell ref="B188:B192"/>
    <mergeCell ref="B193:B200"/>
    <mergeCell ref="B201:B207"/>
    <mergeCell ref="B141:B148"/>
    <mergeCell ref="B149:B159"/>
    <mergeCell ref="B160:B166"/>
    <mergeCell ref="B167:B174"/>
    <mergeCell ref="B175:B180"/>
    <mergeCell ref="B249:B259"/>
    <mergeCell ref="B260:B265"/>
    <mergeCell ref="B266:B276"/>
    <mergeCell ref="B277:B284"/>
    <mergeCell ref="B285:B295"/>
    <mergeCell ref="B208:B218"/>
    <mergeCell ref="B219:B226"/>
    <mergeCell ref="B227:B237"/>
    <mergeCell ref="B238:B239"/>
    <mergeCell ref="B240:B248"/>
    <mergeCell ref="B347:B349"/>
    <mergeCell ref="B350:B355"/>
    <mergeCell ref="B356:C356"/>
    <mergeCell ref="B296:B304"/>
    <mergeCell ref="B305:B314"/>
    <mergeCell ref="B315:B325"/>
    <mergeCell ref="B326:B335"/>
    <mergeCell ref="B336:B3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46" max="4" man="1"/>
    <brk id="88" max="4" man="1"/>
    <brk id="129" max="4" man="1"/>
    <brk id="166" max="4" man="1"/>
    <brk id="207" max="4" man="1"/>
    <brk id="248" max="4" man="1"/>
    <brk id="284" max="4" man="1"/>
    <brk id="32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3"/>
  <sheetViews>
    <sheetView showGridLines="0" topLeftCell="A22" zoomScaleNormal="100" zoomScaleSheetLayoutView="115" workbookViewId="0">
      <selection activeCell="G26" sqref="G2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8" width="11.42578125" style="17"/>
    <col min="9" max="9" width="22.7109375" style="17" customWidth="1"/>
    <col min="10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166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165</v>
      </c>
      <c r="C11" s="31" t="s">
        <v>164</v>
      </c>
      <c r="D11" s="30" t="s">
        <v>69</v>
      </c>
    </row>
    <row r="12" spans="1:4" ht="15" customHeight="1">
      <c r="B12" s="27" t="s">
        <v>163</v>
      </c>
      <c r="C12" s="26">
        <v>56</v>
      </c>
      <c r="D12" s="25">
        <f t="shared" ref="D12:D35" si="0">C12/$C$35</f>
        <v>1.2280701754385965E-2</v>
      </c>
    </row>
    <row r="13" spans="1:4">
      <c r="B13" s="27" t="s">
        <v>162</v>
      </c>
      <c r="C13" s="26">
        <v>36</v>
      </c>
      <c r="D13" s="25">
        <f t="shared" si="0"/>
        <v>7.8947368421052634E-3</v>
      </c>
    </row>
    <row r="14" spans="1:4" s="28" customFormat="1">
      <c r="A14" s="17"/>
      <c r="B14" s="27" t="s">
        <v>161</v>
      </c>
      <c r="C14" s="26">
        <v>57</v>
      </c>
      <c r="D14" s="25">
        <f t="shared" si="0"/>
        <v>1.2500000000000001E-2</v>
      </c>
    </row>
    <row r="15" spans="1:4" s="28" customFormat="1">
      <c r="A15" s="17"/>
      <c r="B15" s="27" t="s">
        <v>160</v>
      </c>
      <c r="C15" s="26">
        <v>75</v>
      </c>
      <c r="D15" s="25">
        <f t="shared" si="0"/>
        <v>1.6447368421052631E-2</v>
      </c>
    </row>
    <row r="16" spans="1:4">
      <c r="B16" s="27" t="s">
        <v>159</v>
      </c>
      <c r="C16" s="26">
        <v>58</v>
      </c>
      <c r="D16" s="25">
        <f t="shared" si="0"/>
        <v>1.2719298245614035E-2</v>
      </c>
    </row>
    <row r="17" spans="2:4">
      <c r="B17" s="27" t="s">
        <v>158</v>
      </c>
      <c r="C17" s="26">
        <v>90</v>
      </c>
      <c r="D17" s="25">
        <f t="shared" si="0"/>
        <v>1.9736842105263157E-2</v>
      </c>
    </row>
    <row r="18" spans="2:4">
      <c r="B18" s="27" t="s">
        <v>157</v>
      </c>
      <c r="C18" s="26">
        <v>376</v>
      </c>
      <c r="D18" s="25">
        <f t="shared" si="0"/>
        <v>8.24561403508772E-2</v>
      </c>
    </row>
    <row r="19" spans="2:4" ht="27">
      <c r="B19" s="27" t="s">
        <v>156</v>
      </c>
      <c r="C19" s="26">
        <v>551</v>
      </c>
      <c r="D19" s="25">
        <f t="shared" si="0"/>
        <v>0.12083333333333333</v>
      </c>
    </row>
    <row r="20" spans="2:4">
      <c r="B20" s="27" t="s">
        <v>155</v>
      </c>
      <c r="C20" s="26">
        <v>61</v>
      </c>
      <c r="D20" s="25">
        <f t="shared" si="0"/>
        <v>1.337719298245614E-2</v>
      </c>
    </row>
    <row r="21" spans="2:4">
      <c r="B21" s="27" t="s">
        <v>154</v>
      </c>
      <c r="C21" s="26">
        <v>144</v>
      </c>
      <c r="D21" s="25">
        <f t="shared" si="0"/>
        <v>3.1578947368421054E-2</v>
      </c>
    </row>
    <row r="22" spans="2:4">
      <c r="B22" s="27" t="s">
        <v>153</v>
      </c>
      <c r="C22" s="26">
        <v>134</v>
      </c>
      <c r="D22" s="25">
        <f t="shared" si="0"/>
        <v>2.9385964912280703E-2</v>
      </c>
    </row>
    <row r="23" spans="2:4" ht="27">
      <c r="B23" s="27" t="s">
        <v>152</v>
      </c>
      <c r="C23" s="26">
        <v>1364</v>
      </c>
      <c r="D23" s="25">
        <f t="shared" si="0"/>
        <v>0.29912280701754385</v>
      </c>
    </row>
    <row r="24" spans="2:4">
      <c r="B24" s="27" t="s">
        <v>151</v>
      </c>
      <c r="C24" s="26">
        <v>84</v>
      </c>
      <c r="D24" s="25">
        <f t="shared" si="0"/>
        <v>1.8421052631578946E-2</v>
      </c>
    </row>
    <row r="25" spans="2:4" ht="27">
      <c r="B25" s="27" t="s">
        <v>150</v>
      </c>
      <c r="C25" s="26">
        <v>308</v>
      </c>
      <c r="D25" s="25">
        <f t="shared" si="0"/>
        <v>6.7543859649122809E-2</v>
      </c>
    </row>
    <row r="26" spans="2:4" ht="27">
      <c r="B26" s="27" t="s">
        <v>149</v>
      </c>
      <c r="C26" s="26">
        <v>893</v>
      </c>
      <c r="D26" s="25">
        <f t="shared" si="0"/>
        <v>0.19583333333333333</v>
      </c>
    </row>
    <row r="27" spans="2:4">
      <c r="B27" s="27" t="s">
        <v>148</v>
      </c>
      <c r="C27" s="26">
        <v>14</v>
      </c>
      <c r="D27" s="25">
        <f t="shared" si="0"/>
        <v>3.0701754385964912E-3</v>
      </c>
    </row>
    <row r="28" spans="2:4">
      <c r="B28" s="27" t="s">
        <v>147</v>
      </c>
      <c r="C28" s="26">
        <v>15</v>
      </c>
      <c r="D28" s="25">
        <f t="shared" si="0"/>
        <v>3.2894736842105261E-3</v>
      </c>
    </row>
    <row r="29" spans="2:4">
      <c r="B29" s="27" t="s">
        <v>146</v>
      </c>
      <c r="C29" s="26">
        <v>11</v>
      </c>
      <c r="D29" s="25">
        <f t="shared" si="0"/>
        <v>2.4122807017543861E-3</v>
      </c>
    </row>
    <row r="30" spans="2:4">
      <c r="B30" s="27" t="s">
        <v>145</v>
      </c>
      <c r="C30" s="26">
        <v>7</v>
      </c>
      <c r="D30" s="25">
        <f t="shared" si="0"/>
        <v>1.5350877192982456E-3</v>
      </c>
    </row>
    <row r="31" spans="2:4">
      <c r="B31" s="27" t="s">
        <v>144</v>
      </c>
      <c r="C31" s="26">
        <v>67</v>
      </c>
      <c r="D31" s="25">
        <f t="shared" si="0"/>
        <v>1.4692982456140351E-2</v>
      </c>
    </row>
    <row r="32" spans="2:4">
      <c r="B32" s="27" t="s">
        <v>143</v>
      </c>
      <c r="C32" s="26">
        <v>148</v>
      </c>
      <c r="D32" s="25">
        <f t="shared" si="0"/>
        <v>3.245614035087719E-2</v>
      </c>
    </row>
    <row r="33" spans="1:4">
      <c r="B33" s="27" t="s">
        <v>142</v>
      </c>
      <c r="C33" s="26">
        <v>5</v>
      </c>
      <c r="D33" s="25">
        <f t="shared" si="0"/>
        <v>1.0964912280701754E-3</v>
      </c>
    </row>
    <row r="34" spans="1:4">
      <c r="B34" s="27" t="s">
        <v>141</v>
      </c>
      <c r="C34" s="26">
        <v>6</v>
      </c>
      <c r="D34" s="25">
        <f t="shared" si="0"/>
        <v>1.3157894736842105E-3</v>
      </c>
    </row>
    <row r="35" spans="1:4">
      <c r="B35" s="24" t="s">
        <v>23</v>
      </c>
      <c r="C35" s="23">
        <v>4560</v>
      </c>
      <c r="D35" s="22">
        <f t="shared" si="0"/>
        <v>1</v>
      </c>
    </row>
    <row r="37" spans="1:4">
      <c r="A37" s="56" t="s">
        <v>140</v>
      </c>
    </row>
    <row r="38" spans="1:4">
      <c r="A38" s="56" t="s">
        <v>21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139</v>
      </c>
    </row>
    <row r="42" spans="1:4">
      <c r="A42" s="56"/>
    </row>
    <row r="43" spans="1:4">
      <c r="A43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91"/>
  <sheetViews>
    <sheetView topLeftCell="A367" zoomScale="145" zoomScaleNormal="145" zoomScaleSheetLayoutView="85" workbookViewId="0">
      <selection activeCell="B385" sqref="B385:E38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167</v>
      </c>
      <c r="C9" s="47" t="s">
        <v>138</v>
      </c>
      <c r="D9" s="46" t="s">
        <v>70</v>
      </c>
      <c r="E9" s="45" t="s">
        <v>69</v>
      </c>
    </row>
    <row r="10" spans="1:5" ht="15" customHeight="1">
      <c r="B10" s="83" t="s">
        <v>163</v>
      </c>
      <c r="C10" s="43" t="s">
        <v>68</v>
      </c>
      <c r="D10" s="42">
        <v>44</v>
      </c>
      <c r="E10" s="41">
        <v>9.6491228070175444E-3</v>
      </c>
    </row>
    <row r="11" spans="1:5" s="44" customFormat="1" ht="15" customHeight="1">
      <c r="A11" s="36"/>
      <c r="B11" s="85"/>
      <c r="C11" s="43" t="s">
        <v>59</v>
      </c>
      <c r="D11" s="42">
        <v>2</v>
      </c>
      <c r="E11" s="41">
        <v>4.3859649122807018E-4</v>
      </c>
    </row>
    <row r="12" spans="1:5" ht="15" customHeight="1">
      <c r="B12" s="85"/>
      <c r="C12" s="43" t="s">
        <v>60</v>
      </c>
      <c r="D12" s="42">
        <v>1</v>
      </c>
      <c r="E12" s="41">
        <v>2.1929824561403509E-4</v>
      </c>
    </row>
    <row r="13" spans="1:5" ht="15" customHeight="1">
      <c r="B13" s="85"/>
      <c r="C13" s="43" t="s">
        <v>44</v>
      </c>
      <c r="D13" s="42">
        <v>2</v>
      </c>
      <c r="E13" s="41">
        <v>4.3859649122807018E-4</v>
      </c>
    </row>
    <row r="14" spans="1:5" ht="15" customHeight="1">
      <c r="B14" s="85"/>
      <c r="C14" s="43" t="s">
        <v>66</v>
      </c>
      <c r="D14" s="42">
        <v>1</v>
      </c>
      <c r="E14" s="41">
        <v>2.1929824561403509E-4</v>
      </c>
    </row>
    <row r="15" spans="1:5" ht="15" customHeight="1">
      <c r="B15" s="85"/>
      <c r="C15" s="43" t="s">
        <v>45</v>
      </c>
      <c r="D15" s="42">
        <v>1</v>
      </c>
      <c r="E15" s="41">
        <v>2.1929824561403509E-4</v>
      </c>
    </row>
    <row r="16" spans="1:5" ht="15" customHeight="1">
      <c r="B16" s="85"/>
      <c r="C16" s="43" t="s">
        <v>55</v>
      </c>
      <c r="D16" s="42">
        <v>1</v>
      </c>
      <c r="E16" s="41">
        <v>2.1929824561403509E-4</v>
      </c>
    </row>
    <row r="17" spans="2:5" ht="15" customHeight="1">
      <c r="B17" s="85"/>
      <c r="C17" s="43" t="s">
        <v>63</v>
      </c>
      <c r="D17" s="42">
        <v>2</v>
      </c>
      <c r="E17" s="41">
        <v>4.3859649122807018E-4</v>
      </c>
    </row>
    <row r="18" spans="2:5" ht="15" customHeight="1">
      <c r="B18" s="85"/>
      <c r="C18" s="43" t="s">
        <v>65</v>
      </c>
      <c r="D18" s="42">
        <v>2</v>
      </c>
      <c r="E18" s="41">
        <v>4.3859649122807018E-4</v>
      </c>
    </row>
    <row r="19" spans="2:5" ht="15" customHeight="1">
      <c r="B19" s="84"/>
      <c r="C19" s="40" t="s">
        <v>23</v>
      </c>
      <c r="D19" s="39">
        <v>56</v>
      </c>
      <c r="E19" s="38">
        <v>1.2280701754385965E-2</v>
      </c>
    </row>
    <row r="20" spans="2:5" ht="15" customHeight="1">
      <c r="B20" s="83" t="s">
        <v>162</v>
      </c>
      <c r="C20" s="43" t="s">
        <v>61</v>
      </c>
      <c r="D20" s="42">
        <v>2</v>
      </c>
      <c r="E20" s="41">
        <v>4.3859649122807018E-4</v>
      </c>
    </row>
    <row r="21" spans="2:5" ht="15" customHeight="1">
      <c r="B21" s="85"/>
      <c r="C21" s="43" t="s">
        <v>68</v>
      </c>
      <c r="D21" s="42">
        <v>29</v>
      </c>
      <c r="E21" s="41">
        <v>6.3596491228070174E-3</v>
      </c>
    </row>
    <row r="22" spans="2:5" ht="15" customHeight="1">
      <c r="B22" s="85"/>
      <c r="C22" s="43" t="s">
        <v>36</v>
      </c>
      <c r="D22" s="42">
        <v>1</v>
      </c>
      <c r="E22" s="41">
        <v>2.1929824561403509E-4</v>
      </c>
    </row>
    <row r="23" spans="2:5" ht="15" customHeight="1">
      <c r="B23" s="85"/>
      <c r="C23" s="43" t="s">
        <v>66</v>
      </c>
      <c r="D23" s="42">
        <v>1</v>
      </c>
      <c r="E23" s="41">
        <v>2.1929824561403509E-4</v>
      </c>
    </row>
    <row r="24" spans="2:5" ht="15" customHeight="1">
      <c r="B24" s="85"/>
      <c r="C24" s="43" t="s">
        <v>67</v>
      </c>
      <c r="D24" s="42">
        <v>1</v>
      </c>
      <c r="E24" s="41">
        <v>2.1929824561403509E-4</v>
      </c>
    </row>
    <row r="25" spans="2:5" ht="15" customHeight="1">
      <c r="B25" s="85"/>
      <c r="C25" s="43" t="s">
        <v>65</v>
      </c>
      <c r="D25" s="42">
        <v>2</v>
      </c>
      <c r="E25" s="41">
        <v>4.3859649122807018E-4</v>
      </c>
    </row>
    <row r="26" spans="2:5" ht="15" customHeight="1">
      <c r="B26" s="84"/>
      <c r="C26" s="40" t="s">
        <v>23</v>
      </c>
      <c r="D26" s="39">
        <v>36</v>
      </c>
      <c r="E26" s="38">
        <v>7.8947368421052634E-3</v>
      </c>
    </row>
    <row r="27" spans="2:5" ht="15" customHeight="1">
      <c r="B27" s="83" t="s">
        <v>161</v>
      </c>
      <c r="C27" s="43" t="s">
        <v>61</v>
      </c>
      <c r="D27" s="42">
        <v>2</v>
      </c>
      <c r="E27" s="41">
        <v>4.3859649122807018E-4</v>
      </c>
    </row>
    <row r="28" spans="2:5" ht="15" customHeight="1">
      <c r="B28" s="85"/>
      <c r="C28" s="43" t="s">
        <v>68</v>
      </c>
      <c r="D28" s="42">
        <v>44</v>
      </c>
      <c r="E28" s="41">
        <v>9.6491228070175444E-3</v>
      </c>
    </row>
    <row r="29" spans="2:5" ht="15" customHeight="1">
      <c r="B29" s="85"/>
      <c r="C29" s="43" t="s">
        <v>58</v>
      </c>
      <c r="D29" s="42">
        <v>1</v>
      </c>
      <c r="E29" s="41">
        <v>2.1929824561403509E-4</v>
      </c>
    </row>
    <row r="30" spans="2:5" ht="15" customHeight="1">
      <c r="B30" s="85"/>
      <c r="C30" s="43" t="s">
        <v>59</v>
      </c>
      <c r="D30" s="42">
        <v>1</v>
      </c>
      <c r="E30" s="41">
        <v>2.1929824561403509E-4</v>
      </c>
    </row>
    <row r="31" spans="2:5" ht="15" customHeight="1">
      <c r="B31" s="85"/>
      <c r="C31" s="43" t="s">
        <v>57</v>
      </c>
      <c r="D31" s="42">
        <v>2</v>
      </c>
      <c r="E31" s="41">
        <v>4.3859649122807018E-4</v>
      </c>
    </row>
    <row r="32" spans="2:5" ht="15" customHeight="1">
      <c r="B32" s="85"/>
      <c r="C32" s="43" t="s">
        <v>56</v>
      </c>
      <c r="D32" s="42">
        <v>1</v>
      </c>
      <c r="E32" s="41">
        <v>2.1929824561403509E-4</v>
      </c>
    </row>
    <row r="33" spans="2:5" ht="15" customHeight="1">
      <c r="B33" s="85"/>
      <c r="C33" s="43" t="s">
        <v>48</v>
      </c>
      <c r="D33" s="42">
        <v>1</v>
      </c>
      <c r="E33" s="41">
        <v>2.1929824561403509E-4</v>
      </c>
    </row>
    <row r="34" spans="2:5" ht="15" customHeight="1">
      <c r="B34" s="85"/>
      <c r="C34" s="43" t="s">
        <v>63</v>
      </c>
      <c r="D34" s="42">
        <v>1</v>
      </c>
      <c r="E34" s="41">
        <v>2.1929824561403509E-4</v>
      </c>
    </row>
    <row r="35" spans="2:5" ht="15" customHeight="1">
      <c r="B35" s="85"/>
      <c r="C35" s="43" t="s">
        <v>54</v>
      </c>
      <c r="D35" s="42">
        <v>1</v>
      </c>
      <c r="E35" s="41">
        <v>2.1929824561403509E-4</v>
      </c>
    </row>
    <row r="36" spans="2:5" ht="15" customHeight="1">
      <c r="B36" s="85"/>
      <c r="C36" s="43" t="s">
        <v>67</v>
      </c>
      <c r="D36" s="42">
        <v>3</v>
      </c>
      <c r="E36" s="41">
        <v>6.5789473684210525E-4</v>
      </c>
    </row>
    <row r="37" spans="2:5" ht="15" customHeight="1">
      <c r="B37" s="84"/>
      <c r="C37" s="40" t="s">
        <v>23</v>
      </c>
      <c r="D37" s="39">
        <v>57</v>
      </c>
      <c r="E37" s="38">
        <v>1.2500000000000001E-2</v>
      </c>
    </row>
    <row r="38" spans="2:5" ht="15" customHeight="1">
      <c r="B38" s="83" t="s">
        <v>160</v>
      </c>
      <c r="C38" s="43" t="s">
        <v>61</v>
      </c>
      <c r="D38" s="42">
        <v>1</v>
      </c>
      <c r="E38" s="41">
        <v>2.1929824561403509E-4</v>
      </c>
    </row>
    <row r="39" spans="2:5" ht="15" customHeight="1">
      <c r="B39" s="85"/>
      <c r="C39" s="43" t="s">
        <v>68</v>
      </c>
      <c r="D39" s="42">
        <v>55</v>
      </c>
      <c r="E39" s="41">
        <v>1.2061403508771929E-2</v>
      </c>
    </row>
    <row r="40" spans="2:5" ht="15" customHeight="1">
      <c r="B40" s="85"/>
      <c r="C40" s="43" t="s">
        <v>58</v>
      </c>
      <c r="D40" s="42">
        <v>1</v>
      </c>
      <c r="E40" s="41">
        <v>2.1929824561403509E-4</v>
      </c>
    </row>
    <row r="41" spans="2:5" ht="15" customHeight="1">
      <c r="B41" s="85"/>
      <c r="C41" s="43" t="s">
        <v>59</v>
      </c>
      <c r="D41" s="42">
        <v>4</v>
      </c>
      <c r="E41" s="41">
        <v>8.7719298245614037E-4</v>
      </c>
    </row>
    <row r="42" spans="2:5" ht="15" customHeight="1">
      <c r="B42" s="85"/>
      <c r="C42" s="43" t="s">
        <v>57</v>
      </c>
      <c r="D42" s="42">
        <v>1</v>
      </c>
      <c r="E42" s="41">
        <v>2.1929824561403509E-4</v>
      </c>
    </row>
    <row r="43" spans="2:5" ht="15" customHeight="1">
      <c r="B43" s="85"/>
      <c r="C43" s="43" t="s">
        <v>39</v>
      </c>
      <c r="D43" s="42">
        <v>1</v>
      </c>
      <c r="E43" s="41">
        <v>2.1929824561403509E-4</v>
      </c>
    </row>
    <row r="44" spans="2:5" ht="15" customHeight="1">
      <c r="B44" s="85"/>
      <c r="C44" s="43" t="s">
        <v>66</v>
      </c>
      <c r="D44" s="42">
        <v>3</v>
      </c>
      <c r="E44" s="41">
        <v>6.5789473684210525E-4</v>
      </c>
    </row>
    <row r="45" spans="2:5" ht="15" customHeight="1">
      <c r="B45" s="85"/>
      <c r="C45" s="43" t="s">
        <v>33</v>
      </c>
      <c r="D45" s="42">
        <v>1</v>
      </c>
      <c r="E45" s="41">
        <v>2.1929824561403509E-4</v>
      </c>
    </row>
    <row r="46" spans="2:5" ht="15" customHeight="1">
      <c r="B46" s="85"/>
      <c r="C46" s="43" t="s">
        <v>55</v>
      </c>
      <c r="D46" s="42">
        <v>1</v>
      </c>
      <c r="E46" s="41">
        <v>2.1929824561403509E-4</v>
      </c>
    </row>
    <row r="47" spans="2:5" ht="15" customHeight="1">
      <c r="B47" s="85"/>
      <c r="C47" s="43" t="s">
        <v>63</v>
      </c>
      <c r="D47" s="42">
        <v>3</v>
      </c>
      <c r="E47" s="41">
        <v>6.5789473684210525E-4</v>
      </c>
    </row>
    <row r="48" spans="2:5" ht="15" customHeight="1">
      <c r="B48" s="85"/>
      <c r="C48" s="43" t="s">
        <v>54</v>
      </c>
      <c r="D48" s="42">
        <v>1</v>
      </c>
      <c r="E48" s="41">
        <v>2.1929824561403509E-4</v>
      </c>
    </row>
    <row r="49" spans="2:5" ht="15" customHeight="1">
      <c r="B49" s="85"/>
      <c r="C49" s="43" t="s">
        <v>67</v>
      </c>
      <c r="D49" s="42">
        <v>1</v>
      </c>
      <c r="E49" s="41">
        <v>2.1929824561403509E-4</v>
      </c>
    </row>
    <row r="50" spans="2:5" ht="15" customHeight="1">
      <c r="B50" s="85"/>
      <c r="C50" s="43" t="s">
        <v>62</v>
      </c>
      <c r="D50" s="42">
        <v>1</v>
      </c>
      <c r="E50" s="41">
        <v>2.1929824561403509E-4</v>
      </c>
    </row>
    <row r="51" spans="2:5" ht="15" customHeight="1">
      <c r="B51" s="85"/>
      <c r="C51" s="43" t="s">
        <v>65</v>
      </c>
      <c r="D51" s="42">
        <v>1</v>
      </c>
      <c r="E51" s="41">
        <v>2.1929824561403509E-4</v>
      </c>
    </row>
    <row r="52" spans="2:5" ht="15" customHeight="1">
      <c r="B52" s="84"/>
      <c r="C52" s="40" t="s">
        <v>23</v>
      </c>
      <c r="D52" s="39">
        <v>75</v>
      </c>
      <c r="E52" s="38">
        <v>1.6447368421052631E-2</v>
      </c>
    </row>
    <row r="53" spans="2:5" ht="15" customHeight="1">
      <c r="B53" s="83" t="s">
        <v>159</v>
      </c>
      <c r="C53" s="43" t="s">
        <v>68</v>
      </c>
      <c r="D53" s="42">
        <v>38</v>
      </c>
      <c r="E53" s="41">
        <v>8.3333333333333332E-3</v>
      </c>
    </row>
    <row r="54" spans="2:5" ht="15" customHeight="1">
      <c r="B54" s="85"/>
      <c r="C54" s="43" t="s">
        <v>59</v>
      </c>
      <c r="D54" s="42">
        <v>1</v>
      </c>
      <c r="E54" s="41">
        <v>2.1929824561403509E-4</v>
      </c>
    </row>
    <row r="55" spans="2:5" ht="15" customHeight="1">
      <c r="B55" s="85"/>
      <c r="C55" s="43" t="s">
        <v>60</v>
      </c>
      <c r="D55" s="42">
        <v>2</v>
      </c>
      <c r="E55" s="41">
        <v>4.3859649122807018E-4</v>
      </c>
    </row>
    <row r="56" spans="2:5" ht="15" customHeight="1">
      <c r="B56" s="85"/>
      <c r="C56" s="43" t="s">
        <v>64</v>
      </c>
      <c r="D56" s="42">
        <v>1</v>
      </c>
      <c r="E56" s="41">
        <v>2.1929824561403509E-4</v>
      </c>
    </row>
    <row r="57" spans="2:5" ht="15" customHeight="1">
      <c r="B57" s="85"/>
      <c r="C57" s="43" t="s">
        <v>48</v>
      </c>
      <c r="D57" s="42">
        <v>1</v>
      </c>
      <c r="E57" s="41">
        <v>2.1929824561403509E-4</v>
      </c>
    </row>
    <row r="58" spans="2:5" ht="15" customHeight="1">
      <c r="B58" s="85"/>
      <c r="C58" s="43" t="s">
        <v>66</v>
      </c>
      <c r="D58" s="42">
        <v>1</v>
      </c>
      <c r="E58" s="41">
        <v>2.1929824561403509E-4</v>
      </c>
    </row>
    <row r="59" spans="2:5" ht="15" customHeight="1">
      <c r="B59" s="85"/>
      <c r="C59" s="43" t="s">
        <v>55</v>
      </c>
      <c r="D59" s="42">
        <v>1</v>
      </c>
      <c r="E59" s="41">
        <v>2.1929824561403509E-4</v>
      </c>
    </row>
    <row r="60" spans="2:5" ht="15" customHeight="1">
      <c r="B60" s="85"/>
      <c r="C60" s="43" t="s">
        <v>52</v>
      </c>
      <c r="D60" s="42">
        <v>1</v>
      </c>
      <c r="E60" s="41">
        <v>2.1929824561403509E-4</v>
      </c>
    </row>
    <row r="61" spans="2:5" ht="15" customHeight="1">
      <c r="B61" s="85"/>
      <c r="C61" s="43" t="s">
        <v>63</v>
      </c>
      <c r="D61" s="42">
        <v>3</v>
      </c>
      <c r="E61" s="41">
        <v>6.5789473684210525E-4</v>
      </c>
    </row>
    <row r="62" spans="2:5" ht="15" customHeight="1">
      <c r="B62" s="85"/>
      <c r="C62" s="43" t="s">
        <v>54</v>
      </c>
      <c r="D62" s="42">
        <v>1</v>
      </c>
      <c r="E62" s="41">
        <v>2.1929824561403509E-4</v>
      </c>
    </row>
    <row r="63" spans="2:5" ht="15" customHeight="1">
      <c r="B63" s="85"/>
      <c r="C63" s="43" t="s">
        <v>67</v>
      </c>
      <c r="D63" s="42">
        <v>5</v>
      </c>
      <c r="E63" s="41">
        <v>1.0964912280701754E-3</v>
      </c>
    </row>
    <row r="64" spans="2:5" ht="15" customHeight="1">
      <c r="B64" s="85"/>
      <c r="C64" s="43" t="s">
        <v>65</v>
      </c>
      <c r="D64" s="42">
        <v>3</v>
      </c>
      <c r="E64" s="41">
        <v>6.5789473684210525E-4</v>
      </c>
    </row>
    <row r="65" spans="2:5" ht="15" customHeight="1">
      <c r="B65" s="84"/>
      <c r="C65" s="40" t="s">
        <v>23</v>
      </c>
      <c r="D65" s="39">
        <v>58</v>
      </c>
      <c r="E65" s="38">
        <v>1.2719298245614035E-2</v>
      </c>
    </row>
    <row r="66" spans="2:5" ht="15" customHeight="1">
      <c r="B66" s="83" t="s">
        <v>158</v>
      </c>
      <c r="C66" s="43" t="s">
        <v>61</v>
      </c>
      <c r="D66" s="42">
        <v>1</v>
      </c>
      <c r="E66" s="41">
        <v>2.1929824561403509E-4</v>
      </c>
    </row>
    <row r="67" spans="2:5" ht="15" customHeight="1">
      <c r="B67" s="85"/>
      <c r="C67" s="43" t="s">
        <v>68</v>
      </c>
      <c r="D67" s="42">
        <v>61</v>
      </c>
      <c r="E67" s="41">
        <v>1.337719298245614E-2</v>
      </c>
    </row>
    <row r="68" spans="2:5" ht="15" customHeight="1">
      <c r="B68" s="85"/>
      <c r="C68" s="43" t="s">
        <v>60</v>
      </c>
      <c r="D68" s="42">
        <v>1</v>
      </c>
      <c r="E68" s="41">
        <v>2.1929824561403509E-4</v>
      </c>
    </row>
    <row r="69" spans="2:5" ht="15" customHeight="1">
      <c r="B69" s="85"/>
      <c r="C69" s="43" t="s">
        <v>57</v>
      </c>
      <c r="D69" s="42">
        <v>1</v>
      </c>
      <c r="E69" s="41">
        <v>2.1929824561403509E-4</v>
      </c>
    </row>
    <row r="70" spans="2:5" ht="15" customHeight="1">
      <c r="B70" s="85"/>
      <c r="C70" s="43" t="s">
        <v>64</v>
      </c>
      <c r="D70" s="42">
        <v>1</v>
      </c>
      <c r="E70" s="41">
        <v>2.1929824561403509E-4</v>
      </c>
    </row>
    <row r="71" spans="2:5" ht="15" customHeight="1">
      <c r="B71" s="85"/>
      <c r="C71" s="43" t="s">
        <v>44</v>
      </c>
      <c r="D71" s="42">
        <v>1</v>
      </c>
      <c r="E71" s="41">
        <v>2.1929824561403509E-4</v>
      </c>
    </row>
    <row r="72" spans="2:5" ht="15" customHeight="1">
      <c r="B72" s="85"/>
      <c r="C72" s="43" t="s">
        <v>53</v>
      </c>
      <c r="D72" s="42">
        <v>2</v>
      </c>
      <c r="E72" s="41">
        <v>4.3859649122807018E-4</v>
      </c>
    </row>
    <row r="73" spans="2:5" ht="15" customHeight="1">
      <c r="B73" s="85"/>
      <c r="C73" s="43" t="s">
        <v>66</v>
      </c>
      <c r="D73" s="42">
        <v>6</v>
      </c>
      <c r="E73" s="41">
        <v>1.3157894736842105E-3</v>
      </c>
    </row>
    <row r="74" spans="2:5" ht="15" customHeight="1">
      <c r="B74" s="85"/>
      <c r="C74" s="43" t="s">
        <v>63</v>
      </c>
      <c r="D74" s="42">
        <v>2</v>
      </c>
      <c r="E74" s="41">
        <v>4.3859649122807018E-4</v>
      </c>
    </row>
    <row r="75" spans="2:5" ht="15" customHeight="1">
      <c r="B75" s="85"/>
      <c r="C75" s="43" t="s">
        <v>54</v>
      </c>
      <c r="D75" s="42">
        <v>1</v>
      </c>
      <c r="E75" s="41">
        <v>2.1929824561403509E-4</v>
      </c>
    </row>
    <row r="76" spans="2:5" ht="15" customHeight="1">
      <c r="B76" s="85"/>
      <c r="C76" s="43" t="s">
        <v>67</v>
      </c>
      <c r="D76" s="42">
        <v>6</v>
      </c>
      <c r="E76" s="41">
        <v>1.3157894736842105E-3</v>
      </c>
    </row>
    <row r="77" spans="2:5" ht="15" customHeight="1">
      <c r="B77" s="85"/>
      <c r="C77" s="43" t="s">
        <v>62</v>
      </c>
      <c r="D77" s="42">
        <v>1</v>
      </c>
      <c r="E77" s="41">
        <v>2.1929824561403509E-4</v>
      </c>
    </row>
    <row r="78" spans="2:5" ht="15" customHeight="1">
      <c r="B78" s="85"/>
      <c r="C78" s="43" t="s">
        <v>65</v>
      </c>
      <c r="D78" s="42">
        <v>6</v>
      </c>
      <c r="E78" s="41">
        <v>1.3157894736842105E-3</v>
      </c>
    </row>
    <row r="79" spans="2:5" ht="15" customHeight="1">
      <c r="B79" s="84"/>
      <c r="C79" s="40" t="s">
        <v>23</v>
      </c>
      <c r="D79" s="39">
        <v>90</v>
      </c>
      <c r="E79" s="38">
        <v>1.9736842105263157E-2</v>
      </c>
    </row>
    <row r="80" spans="2:5" ht="15" customHeight="1">
      <c r="B80" s="83" t="s">
        <v>157</v>
      </c>
      <c r="C80" s="43" t="s">
        <v>61</v>
      </c>
      <c r="D80" s="42">
        <v>6</v>
      </c>
      <c r="E80" s="41">
        <v>1.3157894736842105E-3</v>
      </c>
    </row>
    <row r="81" spans="2:5" ht="15" customHeight="1">
      <c r="B81" s="85"/>
      <c r="C81" s="43" t="s">
        <v>50</v>
      </c>
      <c r="D81" s="42">
        <v>1</v>
      </c>
      <c r="E81" s="41">
        <v>2.1929824561403509E-4</v>
      </c>
    </row>
    <row r="82" spans="2:5" ht="15" customHeight="1">
      <c r="B82" s="85"/>
      <c r="C82" s="43" t="s">
        <v>68</v>
      </c>
      <c r="D82" s="42">
        <v>245</v>
      </c>
      <c r="E82" s="41">
        <v>5.3728070175438597E-2</v>
      </c>
    </row>
    <row r="83" spans="2:5" ht="15" customHeight="1">
      <c r="B83" s="85"/>
      <c r="C83" s="43" t="s">
        <v>58</v>
      </c>
      <c r="D83" s="42">
        <v>3</v>
      </c>
      <c r="E83" s="41">
        <v>6.5789473684210525E-4</v>
      </c>
    </row>
    <row r="84" spans="2:5" ht="15" customHeight="1">
      <c r="B84" s="85"/>
      <c r="C84" s="43" t="s">
        <v>36</v>
      </c>
      <c r="D84" s="42">
        <v>1</v>
      </c>
      <c r="E84" s="41">
        <v>2.1929824561403509E-4</v>
      </c>
    </row>
    <row r="85" spans="2:5" ht="15" customHeight="1">
      <c r="B85" s="85"/>
      <c r="C85" s="43" t="s">
        <v>59</v>
      </c>
      <c r="D85" s="42">
        <v>2</v>
      </c>
      <c r="E85" s="41">
        <v>4.3859649122807018E-4</v>
      </c>
    </row>
    <row r="86" spans="2:5" ht="15" customHeight="1">
      <c r="B86" s="85"/>
      <c r="C86" s="43" t="s">
        <v>60</v>
      </c>
      <c r="D86" s="42">
        <v>2</v>
      </c>
      <c r="E86" s="41">
        <v>4.3859649122807018E-4</v>
      </c>
    </row>
    <row r="87" spans="2:5" ht="15" customHeight="1">
      <c r="B87" s="85"/>
      <c r="C87" s="43" t="s">
        <v>57</v>
      </c>
      <c r="D87" s="42">
        <v>3</v>
      </c>
      <c r="E87" s="41">
        <v>6.5789473684210525E-4</v>
      </c>
    </row>
    <row r="88" spans="2:5" ht="15" customHeight="1">
      <c r="B88" s="85"/>
      <c r="C88" s="43" t="s">
        <v>64</v>
      </c>
      <c r="D88" s="42">
        <v>7</v>
      </c>
      <c r="E88" s="41">
        <v>1.5350877192982456E-3</v>
      </c>
    </row>
    <row r="89" spans="2:5" ht="15" customHeight="1">
      <c r="B89" s="85"/>
      <c r="C89" s="43" t="s">
        <v>56</v>
      </c>
      <c r="D89" s="42">
        <v>3</v>
      </c>
      <c r="E89" s="41">
        <v>6.5789473684210525E-4</v>
      </c>
    </row>
    <row r="90" spans="2:5" ht="15" customHeight="1">
      <c r="B90" s="85"/>
      <c r="C90" s="43" t="s">
        <v>47</v>
      </c>
      <c r="D90" s="42">
        <v>1</v>
      </c>
      <c r="E90" s="41">
        <v>2.1929824561403509E-4</v>
      </c>
    </row>
    <row r="91" spans="2:5" ht="15" customHeight="1">
      <c r="B91" s="85"/>
      <c r="C91" s="43" t="s">
        <v>49</v>
      </c>
      <c r="D91" s="42">
        <v>1</v>
      </c>
      <c r="E91" s="41">
        <v>2.1929824561403509E-4</v>
      </c>
    </row>
    <row r="92" spans="2:5" ht="15" customHeight="1">
      <c r="B92" s="85"/>
      <c r="C92" s="43" t="s">
        <v>31</v>
      </c>
      <c r="D92" s="42">
        <v>2</v>
      </c>
      <c r="E92" s="41">
        <v>4.3859649122807018E-4</v>
      </c>
    </row>
    <row r="93" spans="2:5" ht="15" customHeight="1">
      <c r="B93" s="85"/>
      <c r="C93" s="43" t="s">
        <v>44</v>
      </c>
      <c r="D93" s="42">
        <v>2</v>
      </c>
      <c r="E93" s="41">
        <v>4.3859649122807018E-4</v>
      </c>
    </row>
    <row r="94" spans="2:5" ht="15" customHeight="1">
      <c r="B94" s="85"/>
      <c r="C94" s="43" t="s">
        <v>53</v>
      </c>
      <c r="D94" s="42">
        <v>3</v>
      </c>
      <c r="E94" s="41">
        <v>6.5789473684210525E-4</v>
      </c>
    </row>
    <row r="95" spans="2:5" ht="15" customHeight="1">
      <c r="B95" s="85"/>
      <c r="C95" s="43" t="s">
        <v>66</v>
      </c>
      <c r="D95" s="42">
        <v>20</v>
      </c>
      <c r="E95" s="41">
        <v>4.3859649122807015E-3</v>
      </c>
    </row>
    <row r="96" spans="2:5" ht="15" customHeight="1">
      <c r="B96" s="85"/>
      <c r="C96" s="43" t="s">
        <v>33</v>
      </c>
      <c r="D96" s="42">
        <v>1</v>
      </c>
      <c r="E96" s="41">
        <v>2.1929824561403509E-4</v>
      </c>
    </row>
    <row r="97" spans="2:5" ht="15" customHeight="1">
      <c r="B97" s="85"/>
      <c r="C97" s="43" t="s">
        <v>45</v>
      </c>
      <c r="D97" s="42">
        <v>3</v>
      </c>
      <c r="E97" s="41">
        <v>6.5789473684210525E-4</v>
      </c>
    </row>
    <row r="98" spans="2:5" ht="15" customHeight="1">
      <c r="B98" s="85"/>
      <c r="C98" s="43" t="s">
        <v>38</v>
      </c>
      <c r="D98" s="42">
        <v>1</v>
      </c>
      <c r="E98" s="41">
        <v>2.1929824561403509E-4</v>
      </c>
    </row>
    <row r="99" spans="2:5" ht="15" customHeight="1">
      <c r="B99" s="85"/>
      <c r="C99" s="43" t="s">
        <v>55</v>
      </c>
      <c r="D99" s="42">
        <v>1</v>
      </c>
      <c r="E99" s="41">
        <v>2.1929824561403509E-4</v>
      </c>
    </row>
    <row r="100" spans="2:5" ht="15" customHeight="1">
      <c r="B100" s="85"/>
      <c r="C100" s="43" t="s">
        <v>63</v>
      </c>
      <c r="D100" s="42">
        <v>8</v>
      </c>
      <c r="E100" s="41">
        <v>1.7543859649122807E-3</v>
      </c>
    </row>
    <row r="101" spans="2:5" ht="15" customHeight="1">
      <c r="B101" s="85"/>
      <c r="C101" s="43" t="s">
        <v>54</v>
      </c>
      <c r="D101" s="42">
        <v>2</v>
      </c>
      <c r="E101" s="41">
        <v>4.3859649122807018E-4</v>
      </c>
    </row>
    <row r="102" spans="2:5" ht="15" customHeight="1">
      <c r="B102" s="85"/>
      <c r="C102" s="43" t="s">
        <v>67</v>
      </c>
      <c r="D102" s="42">
        <v>30</v>
      </c>
      <c r="E102" s="41">
        <v>6.5789473684210523E-3</v>
      </c>
    </row>
    <row r="103" spans="2:5" ht="15" customHeight="1">
      <c r="B103" s="85"/>
      <c r="C103" s="43" t="s">
        <v>62</v>
      </c>
      <c r="D103" s="42">
        <v>8</v>
      </c>
      <c r="E103" s="41">
        <v>1.7543859649122807E-3</v>
      </c>
    </row>
    <row r="104" spans="2:5" ht="15" customHeight="1">
      <c r="B104" s="85"/>
      <c r="C104" s="43" t="s">
        <v>51</v>
      </c>
      <c r="D104" s="42">
        <v>2</v>
      </c>
      <c r="E104" s="41">
        <v>4.3859649122807018E-4</v>
      </c>
    </row>
    <row r="105" spans="2:5" ht="15" customHeight="1">
      <c r="B105" s="85"/>
      <c r="C105" s="43" t="s">
        <v>65</v>
      </c>
      <c r="D105" s="42">
        <v>18</v>
      </c>
      <c r="E105" s="41">
        <v>3.9473684210526317E-3</v>
      </c>
    </row>
    <row r="106" spans="2:5" ht="15" customHeight="1">
      <c r="B106" s="84"/>
      <c r="C106" s="40" t="s">
        <v>23</v>
      </c>
      <c r="D106" s="39">
        <v>376</v>
      </c>
      <c r="E106" s="38">
        <v>8.24561403508772E-2</v>
      </c>
    </row>
    <row r="107" spans="2:5" ht="15" customHeight="1">
      <c r="B107" s="83" t="s">
        <v>156</v>
      </c>
      <c r="C107" s="43" t="s">
        <v>42</v>
      </c>
      <c r="D107" s="42">
        <v>1</v>
      </c>
      <c r="E107" s="41">
        <v>2.1929824561403509E-4</v>
      </c>
    </row>
    <row r="108" spans="2:5" ht="15" customHeight="1">
      <c r="B108" s="85"/>
      <c r="C108" s="43" t="s">
        <v>61</v>
      </c>
      <c r="D108" s="42">
        <v>6</v>
      </c>
      <c r="E108" s="41">
        <v>1.3157894736842105E-3</v>
      </c>
    </row>
    <row r="109" spans="2:5" ht="15" customHeight="1">
      <c r="B109" s="85"/>
      <c r="C109" s="43" t="s">
        <v>68</v>
      </c>
      <c r="D109" s="42">
        <v>371</v>
      </c>
      <c r="E109" s="41">
        <v>8.1359649122807021E-2</v>
      </c>
    </row>
    <row r="110" spans="2:5" ht="15" customHeight="1">
      <c r="B110" s="85"/>
      <c r="C110" s="43" t="s">
        <v>58</v>
      </c>
      <c r="D110" s="42">
        <v>4</v>
      </c>
      <c r="E110" s="41">
        <v>8.7719298245614037E-4</v>
      </c>
    </row>
    <row r="111" spans="2:5" ht="15" customHeight="1">
      <c r="B111" s="85"/>
      <c r="C111" s="43" t="s">
        <v>59</v>
      </c>
      <c r="D111" s="42">
        <v>4</v>
      </c>
      <c r="E111" s="41">
        <v>8.7719298245614037E-4</v>
      </c>
    </row>
    <row r="112" spans="2:5" ht="15" customHeight="1">
      <c r="B112" s="85"/>
      <c r="C112" s="43" t="s">
        <v>60</v>
      </c>
      <c r="D112" s="42">
        <v>7</v>
      </c>
      <c r="E112" s="41">
        <v>1.5350877192982456E-3</v>
      </c>
    </row>
    <row r="113" spans="2:5" ht="15" customHeight="1">
      <c r="B113" s="85"/>
      <c r="C113" s="43" t="s">
        <v>57</v>
      </c>
      <c r="D113" s="42">
        <v>5</v>
      </c>
      <c r="E113" s="41">
        <v>1.0964912280701754E-3</v>
      </c>
    </row>
    <row r="114" spans="2:5" ht="15" customHeight="1">
      <c r="B114" s="85"/>
      <c r="C114" s="43" t="s">
        <v>64</v>
      </c>
      <c r="D114" s="42">
        <v>23</v>
      </c>
      <c r="E114" s="41">
        <v>5.0438596491228071E-3</v>
      </c>
    </row>
    <row r="115" spans="2:5" ht="15" customHeight="1">
      <c r="B115" s="85"/>
      <c r="C115" s="43" t="s">
        <v>56</v>
      </c>
      <c r="D115" s="42">
        <v>4</v>
      </c>
      <c r="E115" s="41">
        <v>8.7719298245614037E-4</v>
      </c>
    </row>
    <row r="116" spans="2:5" ht="15" customHeight="1">
      <c r="B116" s="85"/>
      <c r="C116" s="43" t="s">
        <v>47</v>
      </c>
      <c r="D116" s="42">
        <v>1</v>
      </c>
      <c r="E116" s="41">
        <v>2.1929824561403509E-4</v>
      </c>
    </row>
    <row r="117" spans="2:5" ht="15" customHeight="1">
      <c r="B117" s="85"/>
      <c r="C117" s="43" t="s">
        <v>49</v>
      </c>
      <c r="D117" s="42">
        <v>3</v>
      </c>
      <c r="E117" s="41">
        <v>6.5789473684210525E-4</v>
      </c>
    </row>
    <row r="118" spans="2:5" ht="15" customHeight="1">
      <c r="B118" s="85"/>
      <c r="C118" s="43" t="s">
        <v>39</v>
      </c>
      <c r="D118" s="42">
        <v>1</v>
      </c>
      <c r="E118" s="41">
        <v>2.1929824561403509E-4</v>
      </c>
    </row>
    <row r="119" spans="2:5" ht="15" customHeight="1">
      <c r="B119" s="85"/>
      <c r="C119" s="43" t="s">
        <v>35</v>
      </c>
      <c r="D119" s="42">
        <v>1</v>
      </c>
      <c r="E119" s="41">
        <v>2.1929824561403509E-4</v>
      </c>
    </row>
    <row r="120" spans="2:5" ht="15" customHeight="1">
      <c r="B120" s="85"/>
      <c r="C120" s="43" t="s">
        <v>44</v>
      </c>
      <c r="D120" s="42">
        <v>1</v>
      </c>
      <c r="E120" s="41">
        <v>2.1929824561403509E-4</v>
      </c>
    </row>
    <row r="121" spans="2:5" ht="15" customHeight="1">
      <c r="B121" s="85"/>
      <c r="C121" s="43" t="s">
        <v>48</v>
      </c>
      <c r="D121" s="42">
        <v>2</v>
      </c>
      <c r="E121" s="41">
        <v>4.3859649122807018E-4</v>
      </c>
    </row>
    <row r="122" spans="2:5" ht="15" customHeight="1">
      <c r="B122" s="85"/>
      <c r="C122" s="43" t="s">
        <v>37</v>
      </c>
      <c r="D122" s="42">
        <v>1</v>
      </c>
      <c r="E122" s="41">
        <v>2.1929824561403509E-4</v>
      </c>
    </row>
    <row r="123" spans="2:5" ht="15" customHeight="1">
      <c r="B123" s="85"/>
      <c r="C123" s="43" t="s">
        <v>53</v>
      </c>
      <c r="D123" s="42">
        <v>2</v>
      </c>
      <c r="E123" s="41">
        <v>4.3859649122807018E-4</v>
      </c>
    </row>
    <row r="124" spans="2:5" ht="15" customHeight="1">
      <c r="B124" s="85"/>
      <c r="C124" s="43" t="s">
        <v>66</v>
      </c>
      <c r="D124" s="42">
        <v>19</v>
      </c>
      <c r="E124" s="41">
        <v>4.1666666666666666E-3</v>
      </c>
    </row>
    <row r="125" spans="2:5" ht="15" customHeight="1">
      <c r="B125" s="85"/>
      <c r="C125" s="43" t="s">
        <v>34</v>
      </c>
      <c r="D125" s="42">
        <v>1</v>
      </c>
      <c r="E125" s="41">
        <v>2.1929824561403509E-4</v>
      </c>
    </row>
    <row r="126" spans="2:5" ht="15" customHeight="1">
      <c r="B126" s="85"/>
      <c r="C126" s="43" t="s">
        <v>55</v>
      </c>
      <c r="D126" s="42">
        <v>5</v>
      </c>
      <c r="E126" s="41">
        <v>1.0964912280701754E-3</v>
      </c>
    </row>
    <row r="127" spans="2:5" ht="15" customHeight="1">
      <c r="B127" s="85"/>
      <c r="C127" s="43" t="s">
        <v>41</v>
      </c>
      <c r="D127" s="42">
        <v>1</v>
      </c>
      <c r="E127" s="41">
        <v>2.1929824561403509E-4</v>
      </c>
    </row>
    <row r="128" spans="2:5" ht="15" customHeight="1">
      <c r="B128" s="85"/>
      <c r="C128" s="43" t="s">
        <v>52</v>
      </c>
      <c r="D128" s="42">
        <v>7</v>
      </c>
      <c r="E128" s="41">
        <v>1.5350877192982456E-3</v>
      </c>
    </row>
    <row r="129" spans="2:5" ht="15" customHeight="1">
      <c r="B129" s="85"/>
      <c r="C129" s="43" t="s">
        <v>63</v>
      </c>
      <c r="D129" s="42">
        <v>13</v>
      </c>
      <c r="E129" s="41">
        <v>2.8508771929824563E-3</v>
      </c>
    </row>
    <row r="130" spans="2:5" ht="15" customHeight="1">
      <c r="B130" s="85"/>
      <c r="C130" s="43" t="s">
        <v>54</v>
      </c>
      <c r="D130" s="42">
        <v>5</v>
      </c>
      <c r="E130" s="41">
        <v>1.0964912280701754E-3</v>
      </c>
    </row>
    <row r="131" spans="2:5" ht="15" customHeight="1">
      <c r="B131" s="85"/>
      <c r="C131" s="43" t="s">
        <v>67</v>
      </c>
      <c r="D131" s="42">
        <v>33</v>
      </c>
      <c r="E131" s="41">
        <v>7.2368421052631578E-3</v>
      </c>
    </row>
    <row r="132" spans="2:5" ht="15" customHeight="1">
      <c r="B132" s="85"/>
      <c r="C132" s="43" t="s">
        <v>62</v>
      </c>
      <c r="D132" s="42">
        <v>6</v>
      </c>
      <c r="E132" s="41">
        <v>1.3157894736842105E-3</v>
      </c>
    </row>
    <row r="133" spans="2:5" ht="15" customHeight="1">
      <c r="B133" s="85"/>
      <c r="C133" s="43" t="s">
        <v>51</v>
      </c>
      <c r="D133" s="42">
        <v>2</v>
      </c>
      <c r="E133" s="41">
        <v>4.3859649122807018E-4</v>
      </c>
    </row>
    <row r="134" spans="2:5" ht="15" customHeight="1">
      <c r="B134" s="85"/>
      <c r="C134" s="43" t="s">
        <v>65</v>
      </c>
      <c r="D134" s="42">
        <v>20</v>
      </c>
      <c r="E134" s="41">
        <v>4.3859649122807015E-3</v>
      </c>
    </row>
    <row r="135" spans="2:5" ht="15" customHeight="1">
      <c r="B135" s="85"/>
      <c r="C135" s="43" t="s">
        <v>43</v>
      </c>
      <c r="D135" s="42">
        <v>1</v>
      </c>
      <c r="E135" s="41">
        <v>2.1929824561403509E-4</v>
      </c>
    </row>
    <row r="136" spans="2:5" ht="15" customHeight="1">
      <c r="B136" s="85"/>
      <c r="C136" s="43" t="s">
        <v>32</v>
      </c>
      <c r="D136" s="42">
        <v>1</v>
      </c>
      <c r="E136" s="41">
        <v>2.1929824561403509E-4</v>
      </c>
    </row>
    <row r="137" spans="2:5" ht="15" customHeight="1">
      <c r="B137" s="84"/>
      <c r="C137" s="40" t="s">
        <v>23</v>
      </c>
      <c r="D137" s="39">
        <v>551</v>
      </c>
      <c r="E137" s="38">
        <v>0.12083333333333333</v>
      </c>
    </row>
    <row r="138" spans="2:5" ht="15" customHeight="1">
      <c r="B138" s="83" t="s">
        <v>155</v>
      </c>
      <c r="C138" s="43" t="s">
        <v>68</v>
      </c>
      <c r="D138" s="42">
        <v>37</v>
      </c>
      <c r="E138" s="41">
        <v>8.1140350877192974E-3</v>
      </c>
    </row>
    <row r="139" spans="2:5" ht="15" customHeight="1">
      <c r="B139" s="85"/>
      <c r="C139" s="43" t="s">
        <v>59</v>
      </c>
      <c r="D139" s="42">
        <v>1</v>
      </c>
      <c r="E139" s="41">
        <v>2.1929824561403509E-4</v>
      </c>
    </row>
    <row r="140" spans="2:5" ht="15" customHeight="1">
      <c r="B140" s="85"/>
      <c r="C140" s="43" t="s">
        <v>64</v>
      </c>
      <c r="D140" s="42">
        <v>4</v>
      </c>
      <c r="E140" s="41">
        <v>8.7719298245614037E-4</v>
      </c>
    </row>
    <row r="141" spans="2:5" ht="15" customHeight="1">
      <c r="B141" s="85"/>
      <c r="C141" s="43" t="s">
        <v>35</v>
      </c>
      <c r="D141" s="42">
        <v>1</v>
      </c>
      <c r="E141" s="41">
        <v>2.1929824561403509E-4</v>
      </c>
    </row>
    <row r="142" spans="2:5" ht="15" customHeight="1">
      <c r="B142" s="85"/>
      <c r="C142" s="43" t="s">
        <v>66</v>
      </c>
      <c r="D142" s="42">
        <v>2</v>
      </c>
      <c r="E142" s="41">
        <v>4.3859649122807018E-4</v>
      </c>
    </row>
    <row r="143" spans="2:5" ht="15" customHeight="1">
      <c r="B143" s="85"/>
      <c r="C143" s="43" t="s">
        <v>41</v>
      </c>
      <c r="D143" s="42">
        <v>1</v>
      </c>
      <c r="E143" s="41">
        <v>2.1929824561403509E-4</v>
      </c>
    </row>
    <row r="144" spans="2:5" ht="15" customHeight="1">
      <c r="B144" s="85"/>
      <c r="C144" s="43" t="s">
        <v>63</v>
      </c>
      <c r="D144" s="42">
        <v>4</v>
      </c>
      <c r="E144" s="41">
        <v>8.7719298245614037E-4</v>
      </c>
    </row>
    <row r="145" spans="2:5" ht="15" customHeight="1">
      <c r="B145" s="85"/>
      <c r="C145" s="43" t="s">
        <v>54</v>
      </c>
      <c r="D145" s="42">
        <v>2</v>
      </c>
      <c r="E145" s="41">
        <v>4.3859649122807018E-4</v>
      </c>
    </row>
    <row r="146" spans="2:5" ht="15" customHeight="1">
      <c r="B146" s="85"/>
      <c r="C146" s="43" t="s">
        <v>67</v>
      </c>
      <c r="D146" s="42">
        <v>7</v>
      </c>
      <c r="E146" s="41">
        <v>1.5350877192982456E-3</v>
      </c>
    </row>
    <row r="147" spans="2:5" ht="15" customHeight="1">
      <c r="B147" s="85"/>
      <c r="C147" s="43" t="s">
        <v>62</v>
      </c>
      <c r="D147" s="42">
        <v>1</v>
      </c>
      <c r="E147" s="41">
        <v>2.1929824561403509E-4</v>
      </c>
    </row>
    <row r="148" spans="2:5" ht="15" customHeight="1">
      <c r="B148" s="85"/>
      <c r="C148" s="43" t="s">
        <v>65</v>
      </c>
      <c r="D148" s="42">
        <v>1</v>
      </c>
      <c r="E148" s="41">
        <v>2.1929824561403509E-4</v>
      </c>
    </row>
    <row r="149" spans="2:5" ht="15" customHeight="1">
      <c r="B149" s="84"/>
      <c r="C149" s="40" t="s">
        <v>23</v>
      </c>
      <c r="D149" s="39">
        <v>61</v>
      </c>
      <c r="E149" s="38">
        <v>1.337719298245614E-2</v>
      </c>
    </row>
    <row r="150" spans="2:5" ht="15" customHeight="1">
      <c r="B150" s="83" t="s">
        <v>154</v>
      </c>
      <c r="C150" s="43" t="s">
        <v>50</v>
      </c>
      <c r="D150" s="42">
        <v>2</v>
      </c>
      <c r="E150" s="41">
        <v>4.3859649122807018E-4</v>
      </c>
    </row>
    <row r="151" spans="2:5" ht="15" customHeight="1">
      <c r="B151" s="85"/>
      <c r="C151" s="43" t="s">
        <v>68</v>
      </c>
      <c r="D151" s="42">
        <v>84</v>
      </c>
      <c r="E151" s="41">
        <v>1.8421052631578946E-2</v>
      </c>
    </row>
    <row r="152" spans="2:5" ht="15" customHeight="1">
      <c r="B152" s="85"/>
      <c r="C152" s="43" t="s">
        <v>58</v>
      </c>
      <c r="D152" s="42">
        <v>6</v>
      </c>
      <c r="E152" s="41">
        <v>1.3157894736842105E-3</v>
      </c>
    </row>
    <row r="153" spans="2:5" ht="15" customHeight="1">
      <c r="B153" s="85"/>
      <c r="C153" s="43" t="s">
        <v>59</v>
      </c>
      <c r="D153" s="42">
        <v>1</v>
      </c>
      <c r="E153" s="41">
        <v>2.1929824561403509E-4</v>
      </c>
    </row>
    <row r="154" spans="2:5" ht="15" customHeight="1">
      <c r="B154" s="85"/>
      <c r="C154" s="43" t="s">
        <v>57</v>
      </c>
      <c r="D154" s="42">
        <v>3</v>
      </c>
      <c r="E154" s="41">
        <v>6.5789473684210525E-4</v>
      </c>
    </row>
    <row r="155" spans="2:5" ht="15" customHeight="1">
      <c r="B155" s="85"/>
      <c r="C155" s="43" t="s">
        <v>64</v>
      </c>
      <c r="D155" s="42">
        <v>3</v>
      </c>
      <c r="E155" s="41">
        <v>6.5789473684210525E-4</v>
      </c>
    </row>
    <row r="156" spans="2:5" ht="15" customHeight="1">
      <c r="B156" s="85"/>
      <c r="C156" s="43" t="s">
        <v>47</v>
      </c>
      <c r="D156" s="42">
        <v>1</v>
      </c>
      <c r="E156" s="41">
        <v>2.1929824561403509E-4</v>
      </c>
    </row>
    <row r="157" spans="2:5" ht="15" customHeight="1">
      <c r="B157" s="85"/>
      <c r="C157" s="43" t="s">
        <v>39</v>
      </c>
      <c r="D157" s="42">
        <v>1</v>
      </c>
      <c r="E157" s="41">
        <v>2.1929824561403509E-4</v>
      </c>
    </row>
    <row r="158" spans="2:5" ht="15" customHeight="1">
      <c r="B158" s="85"/>
      <c r="C158" s="43" t="s">
        <v>35</v>
      </c>
      <c r="D158" s="42">
        <v>1</v>
      </c>
      <c r="E158" s="41">
        <v>2.1929824561403509E-4</v>
      </c>
    </row>
    <row r="159" spans="2:5" ht="15" customHeight="1">
      <c r="B159" s="85"/>
      <c r="C159" s="43" t="s">
        <v>31</v>
      </c>
      <c r="D159" s="42">
        <v>1</v>
      </c>
      <c r="E159" s="41">
        <v>2.1929824561403509E-4</v>
      </c>
    </row>
    <row r="160" spans="2:5" ht="15" customHeight="1">
      <c r="B160" s="85"/>
      <c r="C160" s="43" t="s">
        <v>53</v>
      </c>
      <c r="D160" s="42">
        <v>1</v>
      </c>
      <c r="E160" s="41">
        <v>2.1929824561403509E-4</v>
      </c>
    </row>
    <row r="161" spans="2:5" ht="15" customHeight="1">
      <c r="B161" s="85"/>
      <c r="C161" s="43" t="s">
        <v>46</v>
      </c>
      <c r="D161" s="42">
        <v>1</v>
      </c>
      <c r="E161" s="41">
        <v>2.1929824561403509E-4</v>
      </c>
    </row>
    <row r="162" spans="2:5" ht="15" customHeight="1">
      <c r="B162" s="85"/>
      <c r="C162" s="43" t="s">
        <v>66</v>
      </c>
      <c r="D162" s="42">
        <v>11</v>
      </c>
      <c r="E162" s="41">
        <v>2.4122807017543861E-3</v>
      </c>
    </row>
    <row r="163" spans="2:5" ht="15" customHeight="1">
      <c r="B163" s="85"/>
      <c r="C163" s="43" t="s">
        <v>45</v>
      </c>
      <c r="D163" s="42">
        <v>1</v>
      </c>
      <c r="E163" s="41">
        <v>2.1929824561403509E-4</v>
      </c>
    </row>
    <row r="164" spans="2:5" ht="15" customHeight="1">
      <c r="B164" s="85"/>
      <c r="C164" s="43" t="s">
        <v>41</v>
      </c>
      <c r="D164" s="42">
        <v>1</v>
      </c>
      <c r="E164" s="41">
        <v>2.1929824561403509E-4</v>
      </c>
    </row>
    <row r="165" spans="2:5" ht="15" customHeight="1">
      <c r="B165" s="85"/>
      <c r="C165" s="43" t="s">
        <v>63</v>
      </c>
      <c r="D165" s="42">
        <v>6</v>
      </c>
      <c r="E165" s="41">
        <v>1.3157894736842105E-3</v>
      </c>
    </row>
    <row r="166" spans="2:5" ht="15" customHeight="1">
      <c r="B166" s="85"/>
      <c r="C166" s="43" t="s">
        <v>40</v>
      </c>
      <c r="D166" s="42">
        <v>1</v>
      </c>
      <c r="E166" s="41">
        <v>2.1929824561403509E-4</v>
      </c>
    </row>
    <row r="167" spans="2:5" ht="15" customHeight="1">
      <c r="B167" s="85"/>
      <c r="C167" s="43" t="s">
        <v>54</v>
      </c>
      <c r="D167" s="42">
        <v>3</v>
      </c>
      <c r="E167" s="41">
        <v>6.5789473684210525E-4</v>
      </c>
    </row>
    <row r="168" spans="2:5" ht="15" customHeight="1">
      <c r="B168" s="85"/>
      <c r="C168" s="43" t="s">
        <v>67</v>
      </c>
      <c r="D168" s="42">
        <v>7</v>
      </c>
      <c r="E168" s="41">
        <v>1.5350877192982456E-3</v>
      </c>
    </row>
    <row r="169" spans="2:5" ht="15" customHeight="1">
      <c r="B169" s="85"/>
      <c r="C169" s="43" t="s">
        <v>62</v>
      </c>
      <c r="D169" s="42">
        <v>2</v>
      </c>
      <c r="E169" s="41">
        <v>4.3859649122807018E-4</v>
      </c>
    </row>
    <row r="170" spans="2:5" ht="15" customHeight="1">
      <c r="B170" s="85"/>
      <c r="C170" s="43" t="s">
        <v>51</v>
      </c>
      <c r="D170" s="42">
        <v>1</v>
      </c>
      <c r="E170" s="41">
        <v>2.1929824561403509E-4</v>
      </c>
    </row>
    <row r="171" spans="2:5" ht="15" customHeight="1">
      <c r="B171" s="85"/>
      <c r="C171" s="43" t="s">
        <v>65</v>
      </c>
      <c r="D171" s="42">
        <v>5</v>
      </c>
      <c r="E171" s="41">
        <v>1.0964912280701754E-3</v>
      </c>
    </row>
    <row r="172" spans="2:5" ht="15" customHeight="1">
      <c r="B172" s="85"/>
      <c r="C172" s="43" t="s">
        <v>32</v>
      </c>
      <c r="D172" s="42">
        <v>1</v>
      </c>
      <c r="E172" s="41">
        <v>2.1929824561403509E-4</v>
      </c>
    </row>
    <row r="173" spans="2:5" ht="15" customHeight="1">
      <c r="B173" s="84"/>
      <c r="C173" s="40" t="s">
        <v>23</v>
      </c>
      <c r="D173" s="39">
        <v>144</v>
      </c>
      <c r="E173" s="38">
        <v>3.1578947368421054E-2</v>
      </c>
    </row>
    <row r="174" spans="2:5" ht="15" customHeight="1">
      <c r="B174" s="83" t="s">
        <v>153</v>
      </c>
      <c r="C174" s="43" t="s">
        <v>42</v>
      </c>
      <c r="D174" s="42">
        <v>1</v>
      </c>
      <c r="E174" s="41">
        <v>2.1929824561403509E-4</v>
      </c>
    </row>
    <row r="175" spans="2:5" ht="15" customHeight="1">
      <c r="B175" s="85"/>
      <c r="C175" s="43" t="s">
        <v>61</v>
      </c>
      <c r="D175" s="42">
        <v>1</v>
      </c>
      <c r="E175" s="41">
        <v>2.1929824561403509E-4</v>
      </c>
    </row>
    <row r="176" spans="2:5" ht="15" customHeight="1">
      <c r="B176" s="85"/>
      <c r="C176" s="43" t="s">
        <v>68</v>
      </c>
      <c r="D176" s="42">
        <v>73</v>
      </c>
      <c r="E176" s="41">
        <v>1.6008771929824563E-2</v>
      </c>
    </row>
    <row r="177" spans="2:5" ht="15" customHeight="1">
      <c r="B177" s="85"/>
      <c r="C177" s="43" t="s">
        <v>58</v>
      </c>
      <c r="D177" s="42">
        <v>4</v>
      </c>
      <c r="E177" s="41">
        <v>8.7719298245614037E-4</v>
      </c>
    </row>
    <row r="178" spans="2:5" ht="15" customHeight="1">
      <c r="B178" s="85"/>
      <c r="C178" s="43" t="s">
        <v>59</v>
      </c>
      <c r="D178" s="42">
        <v>3</v>
      </c>
      <c r="E178" s="41">
        <v>6.5789473684210525E-4</v>
      </c>
    </row>
    <row r="179" spans="2:5" ht="15" customHeight="1">
      <c r="B179" s="85"/>
      <c r="C179" s="43" t="s">
        <v>60</v>
      </c>
      <c r="D179" s="42">
        <v>1</v>
      </c>
      <c r="E179" s="41">
        <v>2.1929824561403509E-4</v>
      </c>
    </row>
    <row r="180" spans="2:5" ht="15" customHeight="1">
      <c r="B180" s="85"/>
      <c r="C180" s="43" t="s">
        <v>57</v>
      </c>
      <c r="D180" s="42">
        <v>3</v>
      </c>
      <c r="E180" s="41">
        <v>6.5789473684210525E-4</v>
      </c>
    </row>
    <row r="181" spans="2:5" ht="15" customHeight="1">
      <c r="B181" s="85"/>
      <c r="C181" s="43" t="s">
        <v>64</v>
      </c>
      <c r="D181" s="42">
        <v>5</v>
      </c>
      <c r="E181" s="41">
        <v>1.0964912280701754E-3</v>
      </c>
    </row>
    <row r="182" spans="2:5" ht="15" customHeight="1">
      <c r="B182" s="85"/>
      <c r="C182" s="43" t="s">
        <v>56</v>
      </c>
      <c r="D182" s="42">
        <v>2</v>
      </c>
      <c r="E182" s="41">
        <v>4.3859649122807018E-4</v>
      </c>
    </row>
    <row r="183" spans="2:5" ht="15" customHeight="1">
      <c r="B183" s="85"/>
      <c r="C183" s="43" t="s">
        <v>49</v>
      </c>
      <c r="D183" s="42">
        <v>1</v>
      </c>
      <c r="E183" s="41">
        <v>2.1929824561403509E-4</v>
      </c>
    </row>
    <row r="184" spans="2:5" ht="15" customHeight="1">
      <c r="B184" s="85"/>
      <c r="C184" s="43" t="s">
        <v>44</v>
      </c>
      <c r="D184" s="42">
        <v>1</v>
      </c>
      <c r="E184" s="41">
        <v>2.1929824561403509E-4</v>
      </c>
    </row>
    <row r="185" spans="2:5" ht="15" customHeight="1">
      <c r="B185" s="85"/>
      <c r="C185" s="43" t="s">
        <v>46</v>
      </c>
      <c r="D185" s="42">
        <v>3</v>
      </c>
      <c r="E185" s="41">
        <v>6.5789473684210525E-4</v>
      </c>
    </row>
    <row r="186" spans="2:5" ht="15" customHeight="1">
      <c r="B186" s="85"/>
      <c r="C186" s="43" t="s">
        <v>66</v>
      </c>
      <c r="D186" s="42">
        <v>10</v>
      </c>
      <c r="E186" s="41">
        <v>2.1929824561403508E-3</v>
      </c>
    </row>
    <row r="187" spans="2:5" ht="15" customHeight="1">
      <c r="B187" s="85"/>
      <c r="C187" s="43" t="s">
        <v>45</v>
      </c>
      <c r="D187" s="42">
        <v>1</v>
      </c>
      <c r="E187" s="41">
        <v>2.1929824561403509E-4</v>
      </c>
    </row>
    <row r="188" spans="2:5" ht="15" customHeight="1">
      <c r="B188" s="85"/>
      <c r="C188" s="43" t="s">
        <v>55</v>
      </c>
      <c r="D188" s="42">
        <v>1</v>
      </c>
      <c r="E188" s="41">
        <v>2.1929824561403509E-4</v>
      </c>
    </row>
    <row r="189" spans="2:5" ht="15" customHeight="1">
      <c r="B189" s="85"/>
      <c r="C189" s="43" t="s">
        <v>63</v>
      </c>
      <c r="D189" s="42">
        <v>4</v>
      </c>
      <c r="E189" s="41">
        <v>8.7719298245614037E-4</v>
      </c>
    </row>
    <row r="190" spans="2:5" ht="15" customHeight="1">
      <c r="B190" s="85"/>
      <c r="C190" s="43" t="s">
        <v>67</v>
      </c>
      <c r="D190" s="42">
        <v>10</v>
      </c>
      <c r="E190" s="41">
        <v>2.1929824561403508E-3</v>
      </c>
    </row>
    <row r="191" spans="2:5" ht="15" customHeight="1">
      <c r="B191" s="85"/>
      <c r="C191" s="43" t="s">
        <v>62</v>
      </c>
      <c r="D191" s="42">
        <v>2</v>
      </c>
      <c r="E191" s="41">
        <v>4.3859649122807018E-4</v>
      </c>
    </row>
    <row r="192" spans="2:5" ht="15" customHeight="1">
      <c r="B192" s="85"/>
      <c r="C192" s="43" t="s">
        <v>65</v>
      </c>
      <c r="D192" s="42">
        <v>8</v>
      </c>
      <c r="E192" s="41">
        <v>1.7543859649122807E-3</v>
      </c>
    </row>
    <row r="193" spans="2:5" ht="15" customHeight="1">
      <c r="B193" s="84"/>
      <c r="C193" s="40" t="s">
        <v>23</v>
      </c>
      <c r="D193" s="39">
        <v>134</v>
      </c>
      <c r="E193" s="38">
        <v>2.9385964912280703E-2</v>
      </c>
    </row>
    <row r="194" spans="2:5" ht="15" customHeight="1">
      <c r="B194" s="83" t="s">
        <v>152</v>
      </c>
      <c r="C194" s="43" t="s">
        <v>42</v>
      </c>
      <c r="D194" s="42">
        <v>2</v>
      </c>
      <c r="E194" s="41">
        <v>4.3859649122807018E-4</v>
      </c>
    </row>
    <row r="195" spans="2:5" ht="15" customHeight="1">
      <c r="B195" s="85"/>
      <c r="C195" s="43" t="s">
        <v>61</v>
      </c>
      <c r="D195" s="42">
        <v>16</v>
      </c>
      <c r="E195" s="41">
        <v>3.5087719298245615E-3</v>
      </c>
    </row>
    <row r="196" spans="2:5" ht="15" customHeight="1">
      <c r="B196" s="85"/>
      <c r="C196" s="43" t="s">
        <v>50</v>
      </c>
      <c r="D196" s="42">
        <v>5</v>
      </c>
      <c r="E196" s="41">
        <v>1.0964912280701754E-3</v>
      </c>
    </row>
    <row r="197" spans="2:5" ht="15" customHeight="1">
      <c r="B197" s="85"/>
      <c r="C197" s="43" t="s">
        <v>68</v>
      </c>
      <c r="D197" s="42">
        <v>875</v>
      </c>
      <c r="E197" s="41">
        <v>0.19188596491228072</v>
      </c>
    </row>
    <row r="198" spans="2:5" ht="15" customHeight="1">
      <c r="B198" s="85"/>
      <c r="C198" s="43" t="s">
        <v>58</v>
      </c>
      <c r="D198" s="42">
        <v>10</v>
      </c>
      <c r="E198" s="41">
        <v>2.1929824561403508E-3</v>
      </c>
    </row>
    <row r="199" spans="2:5" ht="15" customHeight="1">
      <c r="B199" s="85"/>
      <c r="C199" s="43" t="s">
        <v>59</v>
      </c>
      <c r="D199" s="42">
        <v>16</v>
      </c>
      <c r="E199" s="41">
        <v>3.5087719298245615E-3</v>
      </c>
    </row>
    <row r="200" spans="2:5" ht="15" customHeight="1">
      <c r="B200" s="85"/>
      <c r="C200" s="43" t="s">
        <v>60</v>
      </c>
      <c r="D200" s="42">
        <v>20</v>
      </c>
      <c r="E200" s="41">
        <v>4.3859649122807015E-3</v>
      </c>
    </row>
    <row r="201" spans="2:5" ht="15" customHeight="1">
      <c r="B201" s="85"/>
      <c r="C201" s="43" t="s">
        <v>30</v>
      </c>
      <c r="D201" s="42">
        <v>2</v>
      </c>
      <c r="E201" s="41">
        <v>4.3859649122807018E-4</v>
      </c>
    </row>
    <row r="202" spans="2:5" ht="15" customHeight="1">
      <c r="B202" s="85"/>
      <c r="C202" s="43" t="s">
        <v>57</v>
      </c>
      <c r="D202" s="42">
        <v>9</v>
      </c>
      <c r="E202" s="41">
        <v>1.9736842105263159E-3</v>
      </c>
    </row>
    <row r="203" spans="2:5" ht="15" customHeight="1">
      <c r="B203" s="85"/>
      <c r="C203" s="43" t="s">
        <v>64</v>
      </c>
      <c r="D203" s="42">
        <v>41</v>
      </c>
      <c r="E203" s="41">
        <v>8.9912280701754388E-3</v>
      </c>
    </row>
    <row r="204" spans="2:5" ht="15" customHeight="1">
      <c r="B204" s="85"/>
      <c r="C204" s="43" t="s">
        <v>56</v>
      </c>
      <c r="D204" s="42">
        <v>13</v>
      </c>
      <c r="E204" s="41">
        <v>2.8508771929824563E-3</v>
      </c>
    </row>
    <row r="205" spans="2:5" ht="15" customHeight="1">
      <c r="B205" s="85"/>
      <c r="C205" s="43" t="s">
        <v>47</v>
      </c>
      <c r="D205" s="42">
        <v>1</v>
      </c>
      <c r="E205" s="41">
        <v>2.1929824561403509E-4</v>
      </c>
    </row>
    <row r="206" spans="2:5" ht="15" customHeight="1">
      <c r="B206" s="85"/>
      <c r="C206" s="43" t="s">
        <v>49</v>
      </c>
      <c r="D206" s="42">
        <v>3</v>
      </c>
      <c r="E206" s="41">
        <v>6.5789473684210525E-4</v>
      </c>
    </row>
    <row r="207" spans="2:5" ht="15" customHeight="1">
      <c r="B207" s="85"/>
      <c r="C207" s="43" t="s">
        <v>39</v>
      </c>
      <c r="D207" s="42">
        <v>1</v>
      </c>
      <c r="E207" s="41">
        <v>2.1929824561403509E-4</v>
      </c>
    </row>
    <row r="208" spans="2:5" ht="15" customHeight="1">
      <c r="B208" s="85"/>
      <c r="C208" s="43" t="s">
        <v>31</v>
      </c>
      <c r="D208" s="42">
        <v>1</v>
      </c>
      <c r="E208" s="41">
        <v>2.1929824561403509E-4</v>
      </c>
    </row>
    <row r="209" spans="2:5" ht="15" customHeight="1">
      <c r="B209" s="85"/>
      <c r="C209" s="43" t="s">
        <v>29</v>
      </c>
      <c r="D209" s="42">
        <v>1</v>
      </c>
      <c r="E209" s="41">
        <v>2.1929824561403509E-4</v>
      </c>
    </row>
    <row r="210" spans="2:5" ht="15" customHeight="1">
      <c r="B210" s="85"/>
      <c r="C210" s="43" t="s">
        <v>44</v>
      </c>
      <c r="D210" s="42">
        <v>2</v>
      </c>
      <c r="E210" s="41">
        <v>4.3859649122807018E-4</v>
      </c>
    </row>
    <row r="211" spans="2:5" ht="15" customHeight="1">
      <c r="B211" s="85"/>
      <c r="C211" s="43" t="s">
        <v>48</v>
      </c>
      <c r="D211" s="42">
        <v>4</v>
      </c>
      <c r="E211" s="41">
        <v>8.7719298245614037E-4</v>
      </c>
    </row>
    <row r="212" spans="2:5" ht="15" customHeight="1">
      <c r="B212" s="85"/>
      <c r="C212" s="43" t="s">
        <v>37</v>
      </c>
      <c r="D212" s="42">
        <v>3</v>
      </c>
      <c r="E212" s="41">
        <v>6.5789473684210525E-4</v>
      </c>
    </row>
    <row r="213" spans="2:5" ht="15" customHeight="1">
      <c r="B213" s="85"/>
      <c r="C213" s="43" t="s">
        <v>53</v>
      </c>
      <c r="D213" s="42">
        <v>12</v>
      </c>
      <c r="E213" s="41">
        <v>2.631578947368421E-3</v>
      </c>
    </row>
    <row r="214" spans="2:5" ht="15" customHeight="1">
      <c r="B214" s="85"/>
      <c r="C214" s="43" t="s">
        <v>46</v>
      </c>
      <c r="D214" s="42">
        <v>3</v>
      </c>
      <c r="E214" s="41">
        <v>6.5789473684210525E-4</v>
      </c>
    </row>
    <row r="215" spans="2:5" ht="15" customHeight="1">
      <c r="B215" s="85"/>
      <c r="C215" s="43" t="s">
        <v>66</v>
      </c>
      <c r="D215" s="42">
        <v>77</v>
      </c>
      <c r="E215" s="41">
        <v>1.6885964912280702E-2</v>
      </c>
    </row>
    <row r="216" spans="2:5" ht="15" customHeight="1">
      <c r="B216" s="85"/>
      <c r="C216" s="43" t="s">
        <v>34</v>
      </c>
      <c r="D216" s="42">
        <v>1</v>
      </c>
      <c r="E216" s="41">
        <v>2.1929824561403509E-4</v>
      </c>
    </row>
    <row r="217" spans="2:5" ht="15" customHeight="1">
      <c r="B217" s="85"/>
      <c r="C217" s="43" t="s">
        <v>33</v>
      </c>
      <c r="D217" s="42">
        <v>1</v>
      </c>
      <c r="E217" s="41">
        <v>2.1929824561403509E-4</v>
      </c>
    </row>
    <row r="218" spans="2:5" ht="15" customHeight="1">
      <c r="B218" s="85"/>
      <c r="C218" s="43" t="s">
        <v>45</v>
      </c>
      <c r="D218" s="42">
        <v>1</v>
      </c>
      <c r="E218" s="41">
        <v>2.1929824561403509E-4</v>
      </c>
    </row>
    <row r="219" spans="2:5" ht="15" customHeight="1">
      <c r="B219" s="85"/>
      <c r="C219" s="43" t="s">
        <v>38</v>
      </c>
      <c r="D219" s="42">
        <v>2</v>
      </c>
      <c r="E219" s="41">
        <v>4.3859649122807018E-4</v>
      </c>
    </row>
    <row r="220" spans="2:5" ht="15" customHeight="1">
      <c r="B220" s="85"/>
      <c r="C220" s="43" t="s">
        <v>55</v>
      </c>
      <c r="D220" s="42">
        <v>10</v>
      </c>
      <c r="E220" s="41">
        <v>2.1929824561403508E-3</v>
      </c>
    </row>
    <row r="221" spans="2:5" ht="15" customHeight="1">
      <c r="B221" s="85"/>
      <c r="C221" s="43" t="s">
        <v>41</v>
      </c>
      <c r="D221" s="42">
        <v>1</v>
      </c>
      <c r="E221" s="41">
        <v>2.1929824561403509E-4</v>
      </c>
    </row>
    <row r="222" spans="2:5" ht="15" customHeight="1">
      <c r="B222" s="85"/>
      <c r="C222" s="43" t="s">
        <v>52</v>
      </c>
      <c r="D222" s="42">
        <v>9</v>
      </c>
      <c r="E222" s="41">
        <v>1.9736842105263159E-3</v>
      </c>
    </row>
    <row r="223" spans="2:5" ht="15" customHeight="1">
      <c r="B223" s="85"/>
      <c r="C223" s="43" t="s">
        <v>63</v>
      </c>
      <c r="D223" s="42">
        <v>31</v>
      </c>
      <c r="E223" s="41">
        <v>6.798245614035088E-3</v>
      </c>
    </row>
    <row r="224" spans="2:5" ht="15" customHeight="1">
      <c r="B224" s="85"/>
      <c r="C224" s="43" t="s">
        <v>26</v>
      </c>
      <c r="D224" s="42">
        <v>1</v>
      </c>
      <c r="E224" s="41">
        <v>2.1929824561403509E-4</v>
      </c>
    </row>
    <row r="225" spans="2:5" ht="15" customHeight="1">
      <c r="B225" s="85"/>
      <c r="C225" s="43" t="s">
        <v>40</v>
      </c>
      <c r="D225" s="42">
        <v>5</v>
      </c>
      <c r="E225" s="41">
        <v>1.0964912280701754E-3</v>
      </c>
    </row>
    <row r="226" spans="2:5" ht="15" customHeight="1">
      <c r="B226" s="85"/>
      <c r="C226" s="43" t="s">
        <v>25</v>
      </c>
      <c r="D226" s="42">
        <v>1</v>
      </c>
      <c r="E226" s="41">
        <v>2.1929824561403509E-4</v>
      </c>
    </row>
    <row r="227" spans="2:5" ht="15" customHeight="1">
      <c r="B227" s="85"/>
      <c r="C227" s="43" t="s">
        <v>54</v>
      </c>
      <c r="D227" s="42">
        <v>4</v>
      </c>
      <c r="E227" s="41">
        <v>8.7719298245614037E-4</v>
      </c>
    </row>
    <row r="228" spans="2:5" ht="15" customHeight="1">
      <c r="B228" s="85"/>
      <c r="C228" s="43" t="s">
        <v>67</v>
      </c>
      <c r="D228" s="42">
        <v>109</v>
      </c>
      <c r="E228" s="41">
        <v>2.3903508771929826E-2</v>
      </c>
    </row>
    <row r="229" spans="2:5" ht="15" customHeight="1">
      <c r="B229" s="85"/>
      <c r="C229" s="43" t="s">
        <v>62</v>
      </c>
      <c r="D229" s="42">
        <v>17</v>
      </c>
      <c r="E229" s="41">
        <v>3.7280701754385964E-3</v>
      </c>
    </row>
    <row r="230" spans="2:5" ht="15" customHeight="1">
      <c r="B230" s="85"/>
      <c r="C230" s="43" t="s">
        <v>24</v>
      </c>
      <c r="D230" s="42">
        <v>1</v>
      </c>
      <c r="E230" s="41">
        <v>2.1929824561403509E-4</v>
      </c>
    </row>
    <row r="231" spans="2:5" ht="15" customHeight="1">
      <c r="B231" s="85"/>
      <c r="C231" s="43" t="s">
        <v>51</v>
      </c>
      <c r="D231" s="42">
        <v>5</v>
      </c>
      <c r="E231" s="41">
        <v>1.0964912280701754E-3</v>
      </c>
    </row>
    <row r="232" spans="2:5" ht="15" customHeight="1">
      <c r="B232" s="85"/>
      <c r="C232" s="43" t="s">
        <v>65</v>
      </c>
      <c r="D232" s="42">
        <v>44</v>
      </c>
      <c r="E232" s="41">
        <v>9.6491228070175444E-3</v>
      </c>
    </row>
    <row r="233" spans="2:5" ht="15" customHeight="1">
      <c r="B233" s="85"/>
      <c r="C233" s="43" t="s">
        <v>43</v>
      </c>
      <c r="D233" s="42">
        <v>3</v>
      </c>
      <c r="E233" s="41">
        <v>6.5789473684210525E-4</v>
      </c>
    </row>
    <row r="234" spans="2:5" ht="15" customHeight="1">
      <c r="B234" s="85"/>
      <c r="C234" s="43" t="s">
        <v>32</v>
      </c>
      <c r="D234" s="42">
        <v>1</v>
      </c>
      <c r="E234" s="41">
        <v>2.1929824561403509E-4</v>
      </c>
    </row>
    <row r="235" spans="2:5" ht="15" customHeight="1">
      <c r="B235" s="84"/>
      <c r="C235" s="40" t="s">
        <v>23</v>
      </c>
      <c r="D235" s="39">
        <v>1364</v>
      </c>
      <c r="E235" s="38">
        <v>0.29912280701754385</v>
      </c>
    </row>
    <row r="236" spans="2:5" ht="15" customHeight="1">
      <c r="B236" s="83" t="s">
        <v>151</v>
      </c>
      <c r="C236" s="43" t="s">
        <v>61</v>
      </c>
      <c r="D236" s="42">
        <v>2</v>
      </c>
      <c r="E236" s="41">
        <v>4.3859649122807018E-4</v>
      </c>
    </row>
    <row r="237" spans="2:5" ht="15" customHeight="1">
      <c r="B237" s="85"/>
      <c r="C237" s="43" t="s">
        <v>68</v>
      </c>
      <c r="D237" s="42">
        <v>53</v>
      </c>
      <c r="E237" s="41">
        <v>1.1622807017543859E-2</v>
      </c>
    </row>
    <row r="238" spans="2:5" ht="15" customHeight="1">
      <c r="B238" s="85"/>
      <c r="C238" s="43" t="s">
        <v>58</v>
      </c>
      <c r="D238" s="42">
        <v>1</v>
      </c>
      <c r="E238" s="41">
        <v>2.1929824561403509E-4</v>
      </c>
    </row>
    <row r="239" spans="2:5" ht="15" customHeight="1">
      <c r="B239" s="85"/>
      <c r="C239" s="43" t="s">
        <v>60</v>
      </c>
      <c r="D239" s="42">
        <v>1</v>
      </c>
      <c r="E239" s="41">
        <v>2.1929824561403509E-4</v>
      </c>
    </row>
    <row r="240" spans="2:5" ht="15" customHeight="1">
      <c r="B240" s="85"/>
      <c r="C240" s="43" t="s">
        <v>64</v>
      </c>
      <c r="D240" s="42">
        <v>5</v>
      </c>
      <c r="E240" s="41">
        <v>1.0964912280701754E-3</v>
      </c>
    </row>
    <row r="241" spans="2:5" ht="15" customHeight="1">
      <c r="B241" s="85"/>
      <c r="C241" s="43" t="s">
        <v>49</v>
      </c>
      <c r="D241" s="42">
        <v>1</v>
      </c>
      <c r="E241" s="41">
        <v>2.1929824561403509E-4</v>
      </c>
    </row>
    <row r="242" spans="2:5" ht="15" customHeight="1">
      <c r="B242" s="85"/>
      <c r="C242" s="43" t="s">
        <v>37</v>
      </c>
      <c r="D242" s="42">
        <v>1</v>
      </c>
      <c r="E242" s="41">
        <v>2.1929824561403509E-4</v>
      </c>
    </row>
    <row r="243" spans="2:5" ht="15" customHeight="1">
      <c r="B243" s="85"/>
      <c r="C243" s="43" t="s">
        <v>66</v>
      </c>
      <c r="D243" s="42">
        <v>3</v>
      </c>
      <c r="E243" s="41">
        <v>6.5789473684210525E-4</v>
      </c>
    </row>
    <row r="244" spans="2:5" ht="15" customHeight="1">
      <c r="B244" s="85"/>
      <c r="C244" s="43" t="s">
        <v>55</v>
      </c>
      <c r="D244" s="42">
        <v>1</v>
      </c>
      <c r="E244" s="41">
        <v>2.1929824561403509E-4</v>
      </c>
    </row>
    <row r="245" spans="2:5" ht="15" customHeight="1">
      <c r="B245" s="85"/>
      <c r="C245" s="43" t="s">
        <v>63</v>
      </c>
      <c r="D245" s="42">
        <v>3</v>
      </c>
      <c r="E245" s="41">
        <v>6.5789473684210525E-4</v>
      </c>
    </row>
    <row r="246" spans="2:5" ht="15" customHeight="1">
      <c r="B246" s="85"/>
      <c r="C246" s="43" t="s">
        <v>67</v>
      </c>
      <c r="D246" s="42">
        <v>8</v>
      </c>
      <c r="E246" s="41">
        <v>1.7543859649122807E-3</v>
      </c>
    </row>
    <row r="247" spans="2:5" ht="15" customHeight="1">
      <c r="B247" s="85"/>
      <c r="C247" s="43" t="s">
        <v>62</v>
      </c>
      <c r="D247" s="42">
        <v>1</v>
      </c>
      <c r="E247" s="41">
        <v>2.1929824561403509E-4</v>
      </c>
    </row>
    <row r="248" spans="2:5" ht="15" customHeight="1">
      <c r="B248" s="85"/>
      <c r="C248" s="43" t="s">
        <v>65</v>
      </c>
      <c r="D248" s="42">
        <v>4</v>
      </c>
      <c r="E248" s="41">
        <v>8.7719298245614037E-4</v>
      </c>
    </row>
    <row r="249" spans="2:5" ht="15" customHeight="1">
      <c r="B249" s="84"/>
      <c r="C249" s="40" t="s">
        <v>23</v>
      </c>
      <c r="D249" s="39">
        <v>84</v>
      </c>
      <c r="E249" s="38">
        <v>1.8421052631578946E-2</v>
      </c>
    </row>
    <row r="250" spans="2:5" ht="15" customHeight="1">
      <c r="B250" s="83" t="s">
        <v>150</v>
      </c>
      <c r="C250" s="43" t="s">
        <v>42</v>
      </c>
      <c r="D250" s="42">
        <v>2</v>
      </c>
      <c r="E250" s="41">
        <v>4.3859649122807018E-4</v>
      </c>
    </row>
    <row r="251" spans="2:5" ht="15" customHeight="1">
      <c r="B251" s="85"/>
      <c r="C251" s="43" t="s">
        <v>61</v>
      </c>
      <c r="D251" s="42">
        <v>3</v>
      </c>
      <c r="E251" s="41">
        <v>6.5789473684210525E-4</v>
      </c>
    </row>
    <row r="252" spans="2:5" ht="15" customHeight="1">
      <c r="B252" s="85"/>
      <c r="C252" s="43" t="s">
        <v>50</v>
      </c>
      <c r="D252" s="42">
        <v>1</v>
      </c>
      <c r="E252" s="41">
        <v>2.1929824561403509E-4</v>
      </c>
    </row>
    <row r="253" spans="2:5" ht="15" customHeight="1">
      <c r="B253" s="85"/>
      <c r="C253" s="43" t="s">
        <v>68</v>
      </c>
      <c r="D253" s="42">
        <v>190</v>
      </c>
      <c r="E253" s="41">
        <v>4.1666666666666664E-2</v>
      </c>
    </row>
    <row r="254" spans="2:5" ht="15" customHeight="1">
      <c r="B254" s="85"/>
      <c r="C254" s="43" t="s">
        <v>58</v>
      </c>
      <c r="D254" s="42">
        <v>8</v>
      </c>
      <c r="E254" s="41">
        <v>1.7543859649122807E-3</v>
      </c>
    </row>
    <row r="255" spans="2:5" ht="15" customHeight="1">
      <c r="B255" s="85"/>
      <c r="C255" s="43" t="s">
        <v>36</v>
      </c>
      <c r="D255" s="42">
        <v>1</v>
      </c>
      <c r="E255" s="41">
        <v>2.1929824561403509E-4</v>
      </c>
    </row>
    <row r="256" spans="2:5" ht="15" customHeight="1">
      <c r="B256" s="85"/>
      <c r="C256" s="43" t="s">
        <v>59</v>
      </c>
      <c r="D256" s="42">
        <v>2</v>
      </c>
      <c r="E256" s="41">
        <v>4.3859649122807018E-4</v>
      </c>
    </row>
    <row r="257" spans="2:5" ht="15" customHeight="1">
      <c r="B257" s="85"/>
      <c r="C257" s="43" t="s">
        <v>60</v>
      </c>
      <c r="D257" s="42">
        <v>3</v>
      </c>
      <c r="E257" s="41">
        <v>6.5789473684210525E-4</v>
      </c>
    </row>
    <row r="258" spans="2:5" ht="15" customHeight="1">
      <c r="B258" s="85"/>
      <c r="C258" s="43" t="s">
        <v>57</v>
      </c>
      <c r="D258" s="42">
        <v>2</v>
      </c>
      <c r="E258" s="41">
        <v>4.3859649122807018E-4</v>
      </c>
    </row>
    <row r="259" spans="2:5" ht="15" customHeight="1">
      <c r="B259" s="85"/>
      <c r="C259" s="43" t="s">
        <v>64</v>
      </c>
      <c r="D259" s="42">
        <v>8</v>
      </c>
      <c r="E259" s="41">
        <v>1.7543859649122807E-3</v>
      </c>
    </row>
    <row r="260" spans="2:5" ht="15" customHeight="1">
      <c r="B260" s="85"/>
      <c r="C260" s="43" t="s">
        <v>56</v>
      </c>
      <c r="D260" s="42">
        <v>2</v>
      </c>
      <c r="E260" s="41">
        <v>4.3859649122807018E-4</v>
      </c>
    </row>
    <row r="261" spans="2:5" ht="15" customHeight="1">
      <c r="B261" s="85"/>
      <c r="C261" s="43" t="s">
        <v>49</v>
      </c>
      <c r="D261" s="42">
        <v>2</v>
      </c>
      <c r="E261" s="41">
        <v>4.3859649122807018E-4</v>
      </c>
    </row>
    <row r="262" spans="2:5" ht="15" customHeight="1">
      <c r="B262" s="85"/>
      <c r="C262" s="43" t="s">
        <v>35</v>
      </c>
      <c r="D262" s="42">
        <v>1</v>
      </c>
      <c r="E262" s="41">
        <v>2.1929824561403509E-4</v>
      </c>
    </row>
    <row r="263" spans="2:5" ht="15" customHeight="1">
      <c r="B263" s="85"/>
      <c r="C263" s="43" t="s">
        <v>44</v>
      </c>
      <c r="D263" s="42">
        <v>1</v>
      </c>
      <c r="E263" s="41">
        <v>2.1929824561403509E-4</v>
      </c>
    </row>
    <row r="264" spans="2:5" ht="15" customHeight="1">
      <c r="B264" s="85"/>
      <c r="C264" s="43" t="s">
        <v>48</v>
      </c>
      <c r="D264" s="42">
        <v>1</v>
      </c>
      <c r="E264" s="41">
        <v>2.1929824561403509E-4</v>
      </c>
    </row>
    <row r="265" spans="2:5" ht="15" customHeight="1">
      <c r="B265" s="85"/>
      <c r="C265" s="43" t="s">
        <v>53</v>
      </c>
      <c r="D265" s="42">
        <v>2</v>
      </c>
      <c r="E265" s="41">
        <v>4.3859649122807018E-4</v>
      </c>
    </row>
    <row r="266" spans="2:5" ht="15" customHeight="1">
      <c r="B266" s="85"/>
      <c r="C266" s="43" t="s">
        <v>46</v>
      </c>
      <c r="D266" s="42">
        <v>2</v>
      </c>
      <c r="E266" s="41">
        <v>4.3859649122807018E-4</v>
      </c>
    </row>
    <row r="267" spans="2:5" ht="15" customHeight="1">
      <c r="B267" s="85"/>
      <c r="C267" s="43" t="s">
        <v>66</v>
      </c>
      <c r="D267" s="42">
        <v>14</v>
      </c>
      <c r="E267" s="41">
        <v>3.0701754385964912E-3</v>
      </c>
    </row>
    <row r="268" spans="2:5" ht="15" customHeight="1">
      <c r="B268" s="85"/>
      <c r="C268" s="43" t="s">
        <v>34</v>
      </c>
      <c r="D268" s="42">
        <v>1</v>
      </c>
      <c r="E268" s="41">
        <v>2.1929824561403509E-4</v>
      </c>
    </row>
    <row r="269" spans="2:5" ht="15" customHeight="1">
      <c r="B269" s="85"/>
      <c r="C269" s="43" t="s">
        <v>38</v>
      </c>
      <c r="D269" s="42">
        <v>1</v>
      </c>
      <c r="E269" s="41">
        <v>2.1929824561403509E-4</v>
      </c>
    </row>
    <row r="270" spans="2:5" ht="15" customHeight="1">
      <c r="B270" s="85"/>
      <c r="C270" s="43" t="s">
        <v>55</v>
      </c>
      <c r="D270" s="42">
        <v>3</v>
      </c>
      <c r="E270" s="41">
        <v>6.5789473684210525E-4</v>
      </c>
    </row>
    <row r="271" spans="2:5" ht="15" customHeight="1">
      <c r="B271" s="85"/>
      <c r="C271" s="43" t="s">
        <v>41</v>
      </c>
      <c r="D271" s="42">
        <v>3</v>
      </c>
      <c r="E271" s="41">
        <v>6.5789473684210525E-4</v>
      </c>
    </row>
    <row r="272" spans="2:5" ht="15" customHeight="1">
      <c r="B272" s="85"/>
      <c r="C272" s="43" t="s">
        <v>52</v>
      </c>
      <c r="D272" s="42">
        <v>1</v>
      </c>
      <c r="E272" s="41">
        <v>2.1929824561403509E-4</v>
      </c>
    </row>
    <row r="273" spans="2:5" ht="15" customHeight="1">
      <c r="B273" s="85"/>
      <c r="C273" s="43" t="s">
        <v>63</v>
      </c>
      <c r="D273" s="42">
        <v>17</v>
      </c>
      <c r="E273" s="41">
        <v>3.7280701754385964E-3</v>
      </c>
    </row>
    <row r="274" spans="2:5" ht="15" customHeight="1">
      <c r="B274" s="85"/>
      <c r="C274" s="43" t="s">
        <v>54</v>
      </c>
      <c r="D274" s="42">
        <v>1</v>
      </c>
      <c r="E274" s="41">
        <v>2.1929824561403509E-4</v>
      </c>
    </row>
    <row r="275" spans="2:5" ht="15" customHeight="1">
      <c r="B275" s="85"/>
      <c r="C275" s="43" t="s">
        <v>67</v>
      </c>
      <c r="D275" s="42">
        <v>17</v>
      </c>
      <c r="E275" s="41">
        <v>3.7280701754385964E-3</v>
      </c>
    </row>
    <row r="276" spans="2:5" ht="15" customHeight="1">
      <c r="B276" s="85"/>
      <c r="C276" s="43" t="s">
        <v>62</v>
      </c>
      <c r="D276" s="42">
        <v>2</v>
      </c>
      <c r="E276" s="41">
        <v>4.3859649122807018E-4</v>
      </c>
    </row>
    <row r="277" spans="2:5" ht="15" customHeight="1">
      <c r="B277" s="85"/>
      <c r="C277" s="43" t="s">
        <v>51</v>
      </c>
      <c r="D277" s="42">
        <v>2</v>
      </c>
      <c r="E277" s="41">
        <v>4.3859649122807018E-4</v>
      </c>
    </row>
    <row r="278" spans="2:5" ht="15" customHeight="1">
      <c r="B278" s="85"/>
      <c r="C278" s="43" t="s">
        <v>65</v>
      </c>
      <c r="D278" s="42">
        <v>12</v>
      </c>
      <c r="E278" s="41">
        <v>2.631578947368421E-3</v>
      </c>
    </row>
    <row r="279" spans="2:5" ht="15" customHeight="1">
      <c r="B279" s="85"/>
      <c r="C279" s="43" t="s">
        <v>43</v>
      </c>
      <c r="D279" s="42">
        <v>2</v>
      </c>
      <c r="E279" s="41">
        <v>4.3859649122807018E-4</v>
      </c>
    </row>
    <row r="280" spans="2:5" ht="15" customHeight="1">
      <c r="B280" s="85"/>
      <c r="C280" s="43" t="s">
        <v>32</v>
      </c>
      <c r="D280" s="42">
        <v>1</v>
      </c>
      <c r="E280" s="41">
        <v>2.1929824561403509E-4</v>
      </c>
    </row>
    <row r="281" spans="2:5" ht="15" customHeight="1">
      <c r="B281" s="84"/>
      <c r="C281" s="40" t="s">
        <v>23</v>
      </c>
      <c r="D281" s="39">
        <v>308</v>
      </c>
      <c r="E281" s="38">
        <v>6.7543859649122809E-2</v>
      </c>
    </row>
    <row r="282" spans="2:5" ht="15" customHeight="1">
      <c r="B282" s="83" t="s">
        <v>149</v>
      </c>
      <c r="C282" s="43" t="s">
        <v>42</v>
      </c>
      <c r="D282" s="42">
        <v>3</v>
      </c>
      <c r="E282" s="41">
        <v>6.5789473684210525E-4</v>
      </c>
    </row>
    <row r="283" spans="2:5" ht="15" customHeight="1">
      <c r="B283" s="85"/>
      <c r="C283" s="43" t="s">
        <v>28</v>
      </c>
      <c r="D283" s="42">
        <v>1</v>
      </c>
      <c r="E283" s="41">
        <v>2.1929824561403509E-4</v>
      </c>
    </row>
    <row r="284" spans="2:5" ht="15" customHeight="1">
      <c r="B284" s="85"/>
      <c r="C284" s="43" t="s">
        <v>61</v>
      </c>
      <c r="D284" s="42">
        <v>10</v>
      </c>
      <c r="E284" s="41">
        <v>2.1929824561403508E-3</v>
      </c>
    </row>
    <row r="285" spans="2:5" ht="15" customHeight="1">
      <c r="B285" s="85"/>
      <c r="C285" s="43" t="s">
        <v>50</v>
      </c>
      <c r="D285" s="42">
        <v>4</v>
      </c>
      <c r="E285" s="41">
        <v>8.7719298245614037E-4</v>
      </c>
    </row>
    <row r="286" spans="2:5" ht="15" customHeight="1">
      <c r="B286" s="85"/>
      <c r="C286" s="43" t="s">
        <v>68</v>
      </c>
      <c r="D286" s="42">
        <v>610</v>
      </c>
      <c r="E286" s="41">
        <v>0.1337719298245614</v>
      </c>
    </row>
    <row r="287" spans="2:5" ht="15" customHeight="1">
      <c r="B287" s="85"/>
      <c r="C287" s="43" t="s">
        <v>58</v>
      </c>
      <c r="D287" s="42">
        <v>2</v>
      </c>
      <c r="E287" s="41">
        <v>4.3859649122807018E-4</v>
      </c>
    </row>
    <row r="288" spans="2:5" ht="15" customHeight="1">
      <c r="B288" s="85"/>
      <c r="C288" s="43" t="s">
        <v>59</v>
      </c>
      <c r="D288" s="42">
        <v>5</v>
      </c>
      <c r="E288" s="41">
        <v>1.0964912280701754E-3</v>
      </c>
    </row>
    <row r="289" spans="2:5" ht="15" customHeight="1">
      <c r="B289" s="85"/>
      <c r="C289" s="43" t="s">
        <v>60</v>
      </c>
      <c r="D289" s="42">
        <v>7</v>
      </c>
      <c r="E289" s="41">
        <v>1.5350877192982456E-3</v>
      </c>
    </row>
    <row r="290" spans="2:5" ht="15" customHeight="1">
      <c r="B290" s="85"/>
      <c r="C290" s="43" t="s">
        <v>57</v>
      </c>
      <c r="D290" s="42">
        <v>3</v>
      </c>
      <c r="E290" s="41">
        <v>6.5789473684210525E-4</v>
      </c>
    </row>
    <row r="291" spans="2:5" ht="15" customHeight="1">
      <c r="B291" s="85"/>
      <c r="C291" s="43" t="s">
        <v>64</v>
      </c>
      <c r="D291" s="42">
        <v>22</v>
      </c>
      <c r="E291" s="41">
        <v>4.8245614035087722E-3</v>
      </c>
    </row>
    <row r="292" spans="2:5" ht="15" customHeight="1">
      <c r="B292" s="85"/>
      <c r="C292" s="43" t="s">
        <v>56</v>
      </c>
      <c r="D292" s="42">
        <v>4</v>
      </c>
      <c r="E292" s="41">
        <v>8.7719298245614037E-4</v>
      </c>
    </row>
    <row r="293" spans="2:5" ht="15" customHeight="1">
      <c r="B293" s="85"/>
      <c r="C293" s="43" t="s">
        <v>47</v>
      </c>
      <c r="D293" s="42">
        <v>4</v>
      </c>
      <c r="E293" s="41">
        <v>8.7719298245614037E-4</v>
      </c>
    </row>
    <row r="294" spans="2:5" ht="15" customHeight="1">
      <c r="B294" s="85"/>
      <c r="C294" s="43" t="s">
        <v>49</v>
      </c>
      <c r="D294" s="42">
        <v>1</v>
      </c>
      <c r="E294" s="41">
        <v>2.1929824561403509E-4</v>
      </c>
    </row>
    <row r="295" spans="2:5" ht="15" customHeight="1">
      <c r="B295" s="85"/>
      <c r="C295" s="43" t="s">
        <v>39</v>
      </c>
      <c r="D295" s="42">
        <v>2</v>
      </c>
      <c r="E295" s="41">
        <v>4.3859649122807018E-4</v>
      </c>
    </row>
    <row r="296" spans="2:5" ht="15" customHeight="1">
      <c r="B296" s="85"/>
      <c r="C296" s="43" t="s">
        <v>35</v>
      </c>
      <c r="D296" s="42">
        <v>1</v>
      </c>
      <c r="E296" s="41">
        <v>2.1929824561403509E-4</v>
      </c>
    </row>
    <row r="297" spans="2:5" ht="15" customHeight="1">
      <c r="B297" s="85"/>
      <c r="C297" s="43" t="s">
        <v>29</v>
      </c>
      <c r="D297" s="42">
        <v>1</v>
      </c>
      <c r="E297" s="41">
        <v>2.1929824561403509E-4</v>
      </c>
    </row>
    <row r="298" spans="2:5" ht="15" customHeight="1">
      <c r="B298" s="85"/>
      <c r="C298" s="43" t="s">
        <v>48</v>
      </c>
      <c r="D298" s="42">
        <v>2</v>
      </c>
      <c r="E298" s="41">
        <v>4.3859649122807018E-4</v>
      </c>
    </row>
    <row r="299" spans="2:5" ht="15" customHeight="1">
      <c r="B299" s="85"/>
      <c r="C299" s="43" t="s">
        <v>53</v>
      </c>
      <c r="D299" s="42">
        <v>1</v>
      </c>
      <c r="E299" s="41">
        <v>2.1929824561403509E-4</v>
      </c>
    </row>
    <row r="300" spans="2:5" ht="15" customHeight="1">
      <c r="B300" s="85"/>
      <c r="C300" s="43" t="s">
        <v>46</v>
      </c>
      <c r="D300" s="42">
        <v>1</v>
      </c>
      <c r="E300" s="41">
        <v>2.1929824561403509E-4</v>
      </c>
    </row>
    <row r="301" spans="2:5" ht="15" customHeight="1">
      <c r="B301" s="85"/>
      <c r="C301" s="43" t="s">
        <v>66</v>
      </c>
      <c r="D301" s="42">
        <v>38</v>
      </c>
      <c r="E301" s="41">
        <v>8.3333333333333332E-3</v>
      </c>
    </row>
    <row r="302" spans="2:5" ht="15" customHeight="1">
      <c r="B302" s="85"/>
      <c r="C302" s="43" t="s">
        <v>34</v>
      </c>
      <c r="D302" s="42">
        <v>1</v>
      </c>
      <c r="E302" s="41">
        <v>2.1929824561403509E-4</v>
      </c>
    </row>
    <row r="303" spans="2:5" ht="15" customHeight="1">
      <c r="B303" s="85"/>
      <c r="C303" s="43" t="s">
        <v>33</v>
      </c>
      <c r="D303" s="42">
        <v>2</v>
      </c>
      <c r="E303" s="41">
        <v>4.3859649122807018E-4</v>
      </c>
    </row>
    <row r="304" spans="2:5" ht="15" customHeight="1">
      <c r="B304" s="85"/>
      <c r="C304" s="43" t="s">
        <v>45</v>
      </c>
      <c r="D304" s="42">
        <v>4</v>
      </c>
      <c r="E304" s="41">
        <v>8.7719298245614037E-4</v>
      </c>
    </row>
    <row r="305" spans="2:5" ht="15" customHeight="1">
      <c r="B305" s="85"/>
      <c r="C305" s="43" t="s">
        <v>38</v>
      </c>
      <c r="D305" s="42">
        <v>2</v>
      </c>
      <c r="E305" s="41">
        <v>4.3859649122807018E-4</v>
      </c>
    </row>
    <row r="306" spans="2:5" ht="15" customHeight="1">
      <c r="B306" s="85"/>
      <c r="C306" s="43" t="s">
        <v>55</v>
      </c>
      <c r="D306" s="42">
        <v>3</v>
      </c>
      <c r="E306" s="41">
        <v>6.5789473684210525E-4</v>
      </c>
    </row>
    <row r="307" spans="2:5" ht="15" customHeight="1">
      <c r="B307" s="85"/>
      <c r="C307" s="43" t="s">
        <v>41</v>
      </c>
      <c r="D307" s="42">
        <v>1</v>
      </c>
      <c r="E307" s="41">
        <v>2.1929824561403509E-4</v>
      </c>
    </row>
    <row r="308" spans="2:5" ht="15" customHeight="1">
      <c r="B308" s="85"/>
      <c r="C308" s="43" t="s">
        <v>52</v>
      </c>
      <c r="D308" s="42">
        <v>3</v>
      </c>
      <c r="E308" s="41">
        <v>6.5789473684210525E-4</v>
      </c>
    </row>
    <row r="309" spans="2:5" ht="15" customHeight="1">
      <c r="B309" s="85"/>
      <c r="C309" s="43" t="s">
        <v>63</v>
      </c>
      <c r="D309" s="42">
        <v>14</v>
      </c>
      <c r="E309" s="41">
        <v>3.0701754385964912E-3</v>
      </c>
    </row>
    <row r="310" spans="2:5" ht="15" customHeight="1">
      <c r="B310" s="85"/>
      <c r="C310" s="43" t="s">
        <v>40</v>
      </c>
      <c r="D310" s="42">
        <v>1</v>
      </c>
      <c r="E310" s="41">
        <v>2.1929824561403509E-4</v>
      </c>
    </row>
    <row r="311" spans="2:5" ht="15" customHeight="1">
      <c r="B311" s="85"/>
      <c r="C311" s="43" t="s">
        <v>54</v>
      </c>
      <c r="D311" s="42">
        <v>4</v>
      </c>
      <c r="E311" s="41">
        <v>8.7719298245614037E-4</v>
      </c>
    </row>
    <row r="312" spans="2:5" ht="15" customHeight="1">
      <c r="B312" s="85"/>
      <c r="C312" s="43" t="s">
        <v>67</v>
      </c>
      <c r="D312" s="42">
        <v>66</v>
      </c>
      <c r="E312" s="41">
        <v>1.4473684210526316E-2</v>
      </c>
    </row>
    <row r="313" spans="2:5" ht="15" customHeight="1">
      <c r="B313" s="85"/>
      <c r="C313" s="43" t="s">
        <v>62</v>
      </c>
      <c r="D313" s="42">
        <v>27</v>
      </c>
      <c r="E313" s="41">
        <v>5.9210526315789476E-3</v>
      </c>
    </row>
    <row r="314" spans="2:5" ht="15" customHeight="1">
      <c r="B314" s="85"/>
      <c r="C314" s="43" t="s">
        <v>51</v>
      </c>
      <c r="D314" s="42">
        <v>2</v>
      </c>
      <c r="E314" s="41">
        <v>4.3859649122807018E-4</v>
      </c>
    </row>
    <row r="315" spans="2:5" ht="15" customHeight="1">
      <c r="B315" s="85"/>
      <c r="C315" s="43" t="s">
        <v>65</v>
      </c>
      <c r="D315" s="42">
        <v>38</v>
      </c>
      <c r="E315" s="41">
        <v>8.3333333333333332E-3</v>
      </c>
    </row>
    <row r="316" spans="2:5" ht="15" customHeight="1">
      <c r="B316" s="85"/>
      <c r="C316" s="43" t="s">
        <v>43</v>
      </c>
      <c r="D316" s="42">
        <v>2</v>
      </c>
      <c r="E316" s="41">
        <v>4.3859649122807018E-4</v>
      </c>
    </row>
    <row r="317" spans="2:5" ht="15" customHeight="1">
      <c r="B317" s="85"/>
      <c r="C317" s="43" t="s">
        <v>32</v>
      </c>
      <c r="D317" s="42">
        <v>1</v>
      </c>
      <c r="E317" s="41">
        <v>2.1929824561403509E-4</v>
      </c>
    </row>
    <row r="318" spans="2:5" ht="15" customHeight="1">
      <c r="B318" s="84"/>
      <c r="C318" s="40" t="s">
        <v>23</v>
      </c>
      <c r="D318" s="39">
        <v>893</v>
      </c>
      <c r="E318" s="38">
        <v>0.19583333333333333</v>
      </c>
    </row>
    <row r="319" spans="2:5" ht="15" customHeight="1">
      <c r="B319" s="83" t="s">
        <v>148</v>
      </c>
      <c r="C319" s="43" t="s">
        <v>68</v>
      </c>
      <c r="D319" s="42">
        <v>9</v>
      </c>
      <c r="E319" s="41">
        <v>1.9736842105263159E-3</v>
      </c>
    </row>
    <row r="320" spans="2:5" ht="15" customHeight="1">
      <c r="B320" s="85"/>
      <c r="C320" s="43" t="s">
        <v>60</v>
      </c>
      <c r="D320" s="42">
        <v>1</v>
      </c>
      <c r="E320" s="41">
        <v>2.1929824561403509E-4</v>
      </c>
    </row>
    <row r="321" spans="2:5" ht="15" customHeight="1">
      <c r="B321" s="85"/>
      <c r="C321" s="43" t="s">
        <v>55</v>
      </c>
      <c r="D321" s="42">
        <v>1</v>
      </c>
      <c r="E321" s="41">
        <v>2.1929824561403509E-4</v>
      </c>
    </row>
    <row r="322" spans="2:5" ht="15" customHeight="1">
      <c r="B322" s="85"/>
      <c r="C322" s="43" t="s">
        <v>63</v>
      </c>
      <c r="D322" s="42">
        <v>2</v>
      </c>
      <c r="E322" s="41">
        <v>4.3859649122807018E-4</v>
      </c>
    </row>
    <row r="323" spans="2:5" ht="15" customHeight="1">
      <c r="B323" s="85"/>
      <c r="C323" s="43" t="s">
        <v>67</v>
      </c>
      <c r="D323" s="42">
        <v>1</v>
      </c>
      <c r="E323" s="41">
        <v>2.1929824561403509E-4</v>
      </c>
    </row>
    <row r="324" spans="2:5" ht="15" customHeight="1">
      <c r="B324" s="84"/>
      <c r="C324" s="40" t="s">
        <v>23</v>
      </c>
      <c r="D324" s="39">
        <v>14</v>
      </c>
      <c r="E324" s="38">
        <v>3.0701754385964912E-3</v>
      </c>
    </row>
    <row r="325" spans="2:5" ht="15" customHeight="1">
      <c r="B325" s="83" t="s">
        <v>147</v>
      </c>
      <c r="C325" s="43" t="s">
        <v>68</v>
      </c>
      <c r="D325" s="42">
        <v>12</v>
      </c>
      <c r="E325" s="41">
        <v>2.631578947368421E-3</v>
      </c>
    </row>
    <row r="326" spans="2:5" ht="15" customHeight="1">
      <c r="B326" s="85"/>
      <c r="C326" s="43" t="s">
        <v>56</v>
      </c>
      <c r="D326" s="42">
        <v>1</v>
      </c>
      <c r="E326" s="41">
        <v>2.1929824561403509E-4</v>
      </c>
    </row>
    <row r="327" spans="2:5" ht="15" customHeight="1">
      <c r="B327" s="85"/>
      <c r="C327" s="43" t="s">
        <v>47</v>
      </c>
      <c r="D327" s="42">
        <v>1</v>
      </c>
      <c r="E327" s="41">
        <v>2.1929824561403509E-4</v>
      </c>
    </row>
    <row r="328" spans="2:5" ht="15" customHeight="1">
      <c r="B328" s="85"/>
      <c r="C328" s="43" t="s">
        <v>63</v>
      </c>
      <c r="D328" s="42">
        <v>1</v>
      </c>
      <c r="E328" s="41">
        <v>2.1929824561403509E-4</v>
      </c>
    </row>
    <row r="329" spans="2:5" ht="15" customHeight="1">
      <c r="B329" s="84"/>
      <c r="C329" s="40" t="s">
        <v>23</v>
      </c>
      <c r="D329" s="39">
        <v>15</v>
      </c>
      <c r="E329" s="38">
        <v>3.2894736842105261E-3</v>
      </c>
    </row>
    <row r="330" spans="2:5" ht="15" customHeight="1">
      <c r="B330" s="83" t="s">
        <v>146</v>
      </c>
      <c r="C330" s="43" t="s">
        <v>68</v>
      </c>
      <c r="D330" s="42">
        <v>9</v>
      </c>
      <c r="E330" s="41">
        <v>1.9736842105263159E-3</v>
      </c>
    </row>
    <row r="331" spans="2:5" ht="15" customHeight="1">
      <c r="B331" s="85"/>
      <c r="C331" s="43" t="s">
        <v>64</v>
      </c>
      <c r="D331" s="42">
        <v>1</v>
      </c>
      <c r="E331" s="41">
        <v>2.1929824561403509E-4</v>
      </c>
    </row>
    <row r="332" spans="2:5" ht="15" customHeight="1">
      <c r="B332" s="85"/>
      <c r="C332" s="43" t="s">
        <v>46</v>
      </c>
      <c r="D332" s="42">
        <v>1</v>
      </c>
      <c r="E332" s="41">
        <v>2.1929824561403509E-4</v>
      </c>
    </row>
    <row r="333" spans="2:5" ht="15" customHeight="1">
      <c r="B333" s="84"/>
      <c r="C333" s="40" t="s">
        <v>23</v>
      </c>
      <c r="D333" s="39">
        <v>11</v>
      </c>
      <c r="E333" s="38">
        <v>2.4122807017543861E-3</v>
      </c>
    </row>
    <row r="334" spans="2:5" ht="15" customHeight="1">
      <c r="B334" s="83" t="s">
        <v>145</v>
      </c>
      <c r="C334" s="43" t="s">
        <v>68</v>
      </c>
      <c r="D334" s="42">
        <v>6</v>
      </c>
      <c r="E334" s="41">
        <v>1.3157894736842105E-3</v>
      </c>
    </row>
    <row r="335" spans="2:5" ht="15" customHeight="1">
      <c r="B335" s="85"/>
      <c r="C335" s="43" t="s">
        <v>43</v>
      </c>
      <c r="D335" s="42">
        <v>1</v>
      </c>
      <c r="E335" s="41">
        <v>2.1929824561403509E-4</v>
      </c>
    </row>
    <row r="336" spans="2:5" ht="15" customHeight="1">
      <c r="B336" s="84"/>
      <c r="C336" s="40" t="s">
        <v>23</v>
      </c>
      <c r="D336" s="39">
        <v>7</v>
      </c>
      <c r="E336" s="38">
        <v>1.5350877192982456E-3</v>
      </c>
    </row>
    <row r="337" spans="2:5" ht="15" customHeight="1">
      <c r="B337" s="83" t="s">
        <v>144</v>
      </c>
      <c r="C337" s="43" t="s">
        <v>61</v>
      </c>
      <c r="D337" s="42">
        <v>2</v>
      </c>
      <c r="E337" s="41">
        <v>4.3859649122807018E-4</v>
      </c>
    </row>
    <row r="338" spans="2:5" ht="15" customHeight="1">
      <c r="B338" s="85"/>
      <c r="C338" s="43" t="s">
        <v>68</v>
      </c>
      <c r="D338" s="42">
        <v>41</v>
      </c>
      <c r="E338" s="41">
        <v>8.9912280701754388E-3</v>
      </c>
    </row>
    <row r="339" spans="2:5" ht="15" customHeight="1">
      <c r="B339" s="85"/>
      <c r="C339" s="43" t="s">
        <v>58</v>
      </c>
      <c r="D339" s="42">
        <v>1</v>
      </c>
      <c r="E339" s="41">
        <v>2.1929824561403509E-4</v>
      </c>
    </row>
    <row r="340" spans="2:5" ht="15" customHeight="1">
      <c r="B340" s="85"/>
      <c r="C340" s="43" t="s">
        <v>64</v>
      </c>
      <c r="D340" s="42">
        <v>2</v>
      </c>
      <c r="E340" s="41">
        <v>4.3859649122807018E-4</v>
      </c>
    </row>
    <row r="341" spans="2:5" ht="15" customHeight="1">
      <c r="B341" s="85"/>
      <c r="C341" s="43" t="s">
        <v>53</v>
      </c>
      <c r="D341" s="42">
        <v>1</v>
      </c>
      <c r="E341" s="41">
        <v>2.1929824561403509E-4</v>
      </c>
    </row>
    <row r="342" spans="2:5" ht="15" customHeight="1">
      <c r="B342" s="85"/>
      <c r="C342" s="43" t="s">
        <v>66</v>
      </c>
      <c r="D342" s="42">
        <v>1</v>
      </c>
      <c r="E342" s="41">
        <v>2.1929824561403509E-4</v>
      </c>
    </row>
    <row r="343" spans="2:5" ht="15" customHeight="1">
      <c r="B343" s="85"/>
      <c r="C343" s="43" t="s">
        <v>55</v>
      </c>
      <c r="D343" s="42">
        <v>2</v>
      </c>
      <c r="E343" s="41">
        <v>4.3859649122807018E-4</v>
      </c>
    </row>
    <row r="344" spans="2:5" ht="15" customHeight="1">
      <c r="B344" s="85"/>
      <c r="C344" s="43" t="s">
        <v>52</v>
      </c>
      <c r="D344" s="42">
        <v>1</v>
      </c>
      <c r="E344" s="41">
        <v>2.1929824561403509E-4</v>
      </c>
    </row>
    <row r="345" spans="2:5" ht="15" customHeight="1">
      <c r="B345" s="85"/>
      <c r="C345" s="43" t="s">
        <v>63</v>
      </c>
      <c r="D345" s="42">
        <v>2</v>
      </c>
      <c r="E345" s="41">
        <v>4.3859649122807018E-4</v>
      </c>
    </row>
    <row r="346" spans="2:5" ht="15" customHeight="1">
      <c r="B346" s="85"/>
      <c r="C346" s="43" t="s">
        <v>67</v>
      </c>
      <c r="D346" s="42">
        <v>8</v>
      </c>
      <c r="E346" s="41">
        <v>1.7543859649122807E-3</v>
      </c>
    </row>
    <row r="347" spans="2:5" ht="15" customHeight="1">
      <c r="B347" s="85"/>
      <c r="C347" s="43" t="s">
        <v>62</v>
      </c>
      <c r="D347" s="42">
        <v>1</v>
      </c>
      <c r="E347" s="41">
        <v>2.1929824561403509E-4</v>
      </c>
    </row>
    <row r="348" spans="2:5" ht="15" customHeight="1">
      <c r="B348" s="85"/>
      <c r="C348" s="43" t="s">
        <v>65</v>
      </c>
      <c r="D348" s="42">
        <v>5</v>
      </c>
      <c r="E348" s="41">
        <v>1.0964912280701754E-3</v>
      </c>
    </row>
    <row r="349" spans="2:5" ht="15" customHeight="1">
      <c r="B349" s="84"/>
      <c r="C349" s="40" t="s">
        <v>23</v>
      </c>
      <c r="D349" s="39">
        <v>67</v>
      </c>
      <c r="E349" s="38">
        <v>1.4692982456140351E-2</v>
      </c>
    </row>
    <row r="350" spans="2:5" ht="15" customHeight="1">
      <c r="B350" s="83" t="s">
        <v>143</v>
      </c>
      <c r="C350" s="43" t="s">
        <v>61</v>
      </c>
      <c r="D350" s="42">
        <v>5</v>
      </c>
      <c r="E350" s="41">
        <v>1.0964912280701754E-3</v>
      </c>
    </row>
    <row r="351" spans="2:5" ht="15" customHeight="1">
      <c r="B351" s="85"/>
      <c r="C351" s="43" t="s">
        <v>68</v>
      </c>
      <c r="D351" s="42">
        <v>86</v>
      </c>
      <c r="E351" s="41">
        <v>1.8859649122807017E-2</v>
      </c>
    </row>
    <row r="352" spans="2:5" ht="15" customHeight="1">
      <c r="B352" s="85"/>
      <c r="C352" s="43" t="s">
        <v>58</v>
      </c>
      <c r="D352" s="42">
        <v>1</v>
      </c>
      <c r="E352" s="41">
        <v>2.1929824561403509E-4</v>
      </c>
    </row>
    <row r="353" spans="2:5" ht="15" customHeight="1">
      <c r="B353" s="85"/>
      <c r="C353" s="43" t="s">
        <v>36</v>
      </c>
      <c r="D353" s="42">
        <v>2</v>
      </c>
      <c r="E353" s="41">
        <v>4.3859649122807018E-4</v>
      </c>
    </row>
    <row r="354" spans="2:5" ht="15" customHeight="1">
      <c r="B354" s="85"/>
      <c r="C354" s="43" t="s">
        <v>27</v>
      </c>
      <c r="D354" s="42">
        <v>1</v>
      </c>
      <c r="E354" s="41">
        <v>2.1929824561403509E-4</v>
      </c>
    </row>
    <row r="355" spans="2:5" ht="15" customHeight="1">
      <c r="B355" s="85"/>
      <c r="C355" s="43" t="s">
        <v>59</v>
      </c>
      <c r="D355" s="42">
        <v>1</v>
      </c>
      <c r="E355" s="41">
        <v>2.1929824561403509E-4</v>
      </c>
    </row>
    <row r="356" spans="2:5" ht="15" customHeight="1">
      <c r="B356" s="85"/>
      <c r="C356" s="43" t="s">
        <v>60</v>
      </c>
      <c r="D356" s="42">
        <v>3</v>
      </c>
      <c r="E356" s="41">
        <v>6.5789473684210525E-4</v>
      </c>
    </row>
    <row r="357" spans="2:5" ht="15" customHeight="1">
      <c r="B357" s="85"/>
      <c r="C357" s="43" t="s">
        <v>57</v>
      </c>
      <c r="D357" s="42">
        <v>2</v>
      </c>
      <c r="E357" s="41">
        <v>4.3859649122807018E-4</v>
      </c>
    </row>
    <row r="358" spans="2:5" ht="15" customHeight="1">
      <c r="B358" s="85"/>
      <c r="C358" s="43" t="s">
        <v>64</v>
      </c>
      <c r="D358" s="42">
        <v>1</v>
      </c>
      <c r="E358" s="41">
        <v>2.1929824561403509E-4</v>
      </c>
    </row>
    <row r="359" spans="2:5" ht="15" customHeight="1">
      <c r="B359" s="85"/>
      <c r="C359" s="43" t="s">
        <v>56</v>
      </c>
      <c r="D359" s="42">
        <v>3</v>
      </c>
      <c r="E359" s="41">
        <v>6.5789473684210525E-4</v>
      </c>
    </row>
    <row r="360" spans="2:5" ht="15" customHeight="1">
      <c r="B360" s="85"/>
      <c r="C360" s="43" t="s">
        <v>47</v>
      </c>
      <c r="D360" s="42">
        <v>1</v>
      </c>
      <c r="E360" s="41">
        <v>2.1929824561403509E-4</v>
      </c>
    </row>
    <row r="361" spans="2:5" ht="15" customHeight="1">
      <c r="B361" s="85"/>
      <c r="C361" s="43" t="s">
        <v>39</v>
      </c>
      <c r="D361" s="42">
        <v>1</v>
      </c>
      <c r="E361" s="41">
        <v>2.1929824561403509E-4</v>
      </c>
    </row>
    <row r="362" spans="2:5" ht="15" customHeight="1">
      <c r="B362" s="85"/>
      <c r="C362" s="43" t="s">
        <v>37</v>
      </c>
      <c r="D362" s="42">
        <v>1</v>
      </c>
      <c r="E362" s="41">
        <v>2.1929824561403509E-4</v>
      </c>
    </row>
    <row r="363" spans="2:5" ht="15" customHeight="1">
      <c r="B363" s="85"/>
      <c r="C363" s="43" t="s">
        <v>66</v>
      </c>
      <c r="D363" s="42">
        <v>7</v>
      </c>
      <c r="E363" s="41">
        <v>1.5350877192982456E-3</v>
      </c>
    </row>
    <row r="364" spans="2:5" ht="15" customHeight="1">
      <c r="B364" s="85"/>
      <c r="C364" s="43" t="s">
        <v>34</v>
      </c>
      <c r="D364" s="42">
        <v>1</v>
      </c>
      <c r="E364" s="41">
        <v>2.1929824561403509E-4</v>
      </c>
    </row>
    <row r="365" spans="2:5" ht="15" customHeight="1">
      <c r="B365" s="85"/>
      <c r="C365" s="43" t="s">
        <v>38</v>
      </c>
      <c r="D365" s="42">
        <v>1</v>
      </c>
      <c r="E365" s="41">
        <v>2.1929824561403509E-4</v>
      </c>
    </row>
    <row r="366" spans="2:5" ht="15" customHeight="1">
      <c r="B366" s="85"/>
      <c r="C366" s="43" t="s">
        <v>52</v>
      </c>
      <c r="D366" s="42">
        <v>1</v>
      </c>
      <c r="E366" s="41">
        <v>2.1929824561403509E-4</v>
      </c>
    </row>
    <row r="367" spans="2:5" ht="15" customHeight="1">
      <c r="B367" s="85"/>
      <c r="C367" s="43" t="s">
        <v>63</v>
      </c>
      <c r="D367" s="42">
        <v>4</v>
      </c>
      <c r="E367" s="41">
        <v>8.7719298245614037E-4</v>
      </c>
    </row>
    <row r="368" spans="2:5" ht="15" customHeight="1">
      <c r="B368" s="85"/>
      <c r="C368" s="43" t="s">
        <v>40</v>
      </c>
      <c r="D368" s="42">
        <v>1</v>
      </c>
      <c r="E368" s="41">
        <v>2.1929824561403509E-4</v>
      </c>
    </row>
    <row r="369" spans="2:5" ht="15" customHeight="1">
      <c r="B369" s="85"/>
      <c r="C369" s="43" t="s">
        <v>54</v>
      </c>
      <c r="D369" s="42">
        <v>1</v>
      </c>
      <c r="E369" s="41">
        <v>2.1929824561403509E-4</v>
      </c>
    </row>
    <row r="370" spans="2:5" ht="15" customHeight="1">
      <c r="B370" s="85"/>
      <c r="C370" s="43" t="s">
        <v>67</v>
      </c>
      <c r="D370" s="42">
        <v>10</v>
      </c>
      <c r="E370" s="41">
        <v>2.1929824561403508E-3</v>
      </c>
    </row>
    <row r="371" spans="2:5" ht="15" customHeight="1">
      <c r="B371" s="85"/>
      <c r="C371" s="43" t="s">
        <v>62</v>
      </c>
      <c r="D371" s="42">
        <v>3</v>
      </c>
      <c r="E371" s="41">
        <v>6.5789473684210525E-4</v>
      </c>
    </row>
    <row r="372" spans="2:5" ht="15" customHeight="1">
      <c r="B372" s="85"/>
      <c r="C372" s="43" t="s">
        <v>65</v>
      </c>
      <c r="D372" s="42">
        <v>10</v>
      </c>
      <c r="E372" s="41">
        <v>2.1929824561403508E-3</v>
      </c>
    </row>
    <row r="373" spans="2:5" ht="15" customHeight="1">
      <c r="B373" s="85"/>
      <c r="C373" s="43" t="s">
        <v>43</v>
      </c>
      <c r="D373" s="42">
        <v>1</v>
      </c>
      <c r="E373" s="41">
        <v>2.1929824561403509E-4</v>
      </c>
    </row>
    <row r="374" spans="2:5" ht="15" customHeight="1">
      <c r="B374" s="84"/>
      <c r="C374" s="40" t="s">
        <v>23</v>
      </c>
      <c r="D374" s="39">
        <v>148</v>
      </c>
      <c r="E374" s="38">
        <v>3.245614035087719E-2</v>
      </c>
    </row>
    <row r="375" spans="2:5" ht="15" customHeight="1">
      <c r="B375" s="83" t="s">
        <v>142</v>
      </c>
      <c r="C375" s="43" t="s">
        <v>68</v>
      </c>
      <c r="D375" s="42">
        <v>2</v>
      </c>
      <c r="E375" s="41">
        <v>4.3859649122807018E-4</v>
      </c>
    </row>
    <row r="376" spans="2:5" ht="15" customHeight="1">
      <c r="B376" s="85"/>
      <c r="C376" s="43" t="s">
        <v>48</v>
      </c>
      <c r="D376" s="42">
        <v>1</v>
      </c>
      <c r="E376" s="41">
        <v>2.1929824561403509E-4</v>
      </c>
    </row>
    <row r="377" spans="2:5" ht="15" customHeight="1">
      <c r="B377" s="85"/>
      <c r="C377" s="43" t="s">
        <v>52</v>
      </c>
      <c r="D377" s="42">
        <v>1</v>
      </c>
      <c r="E377" s="41">
        <v>2.1929824561403509E-4</v>
      </c>
    </row>
    <row r="378" spans="2:5" ht="15" customHeight="1">
      <c r="B378" s="85"/>
      <c r="C378" s="43" t="s">
        <v>65</v>
      </c>
      <c r="D378" s="42">
        <v>1</v>
      </c>
      <c r="E378" s="41">
        <v>2.1929824561403509E-4</v>
      </c>
    </row>
    <row r="379" spans="2:5" ht="15" customHeight="1">
      <c r="B379" s="84"/>
      <c r="C379" s="40" t="s">
        <v>23</v>
      </c>
      <c r="D379" s="39">
        <v>5</v>
      </c>
      <c r="E379" s="38">
        <v>1.0964912280701754E-3</v>
      </c>
    </row>
    <row r="380" spans="2:5" ht="15" customHeight="1">
      <c r="B380" s="83" t="s">
        <v>141</v>
      </c>
      <c r="C380" s="43" t="s">
        <v>61</v>
      </c>
      <c r="D380" s="42">
        <v>1</v>
      </c>
      <c r="E380" s="41">
        <v>2.1929824561403509E-4</v>
      </c>
    </row>
    <row r="381" spans="2:5" ht="15" customHeight="1">
      <c r="B381" s="85"/>
      <c r="C381" s="43" t="s">
        <v>68</v>
      </c>
      <c r="D381" s="42">
        <v>3</v>
      </c>
      <c r="E381" s="41">
        <v>6.5789473684210525E-4</v>
      </c>
    </row>
    <row r="382" spans="2:5" ht="15" customHeight="1">
      <c r="B382" s="85"/>
      <c r="C382" s="43" t="s">
        <v>47</v>
      </c>
      <c r="D382" s="42">
        <v>1</v>
      </c>
      <c r="E382" s="41">
        <v>2.1929824561403509E-4</v>
      </c>
    </row>
    <row r="383" spans="2:5" ht="15" customHeight="1">
      <c r="B383" s="85"/>
      <c r="C383" s="43" t="s">
        <v>62</v>
      </c>
      <c r="D383" s="42">
        <v>1</v>
      </c>
      <c r="E383" s="41">
        <v>2.1929824561403509E-4</v>
      </c>
    </row>
    <row r="384" spans="2:5" ht="15" customHeight="1">
      <c r="B384" s="84"/>
      <c r="C384" s="40" t="s">
        <v>23</v>
      </c>
      <c r="D384" s="39">
        <v>6</v>
      </c>
      <c r="E384" s="38">
        <v>1.3157894736842105E-3</v>
      </c>
    </row>
    <row r="385" spans="2:5" ht="15" customHeight="1">
      <c r="B385" s="95" t="s">
        <v>23</v>
      </c>
      <c r="C385" s="96"/>
      <c r="D385" s="97">
        <v>4560</v>
      </c>
      <c r="E385" s="98">
        <v>1</v>
      </c>
    </row>
    <row r="387" spans="2:5" ht="15" customHeight="1">
      <c r="B387" s="19" t="s">
        <v>22</v>
      </c>
    </row>
    <row r="388" spans="2:5" ht="15" customHeight="1">
      <c r="B388" s="21" t="s">
        <v>21</v>
      </c>
    </row>
    <row r="389" spans="2:5" ht="15" customHeight="1">
      <c r="B389" s="20" t="s">
        <v>20</v>
      </c>
    </row>
    <row r="390" spans="2:5" ht="15" customHeight="1">
      <c r="B390" s="19" t="s">
        <v>19</v>
      </c>
    </row>
    <row r="391" spans="2:5" ht="15" customHeight="1">
      <c r="B391" s="19" t="s">
        <v>18</v>
      </c>
    </row>
  </sheetData>
  <mergeCells count="25">
    <mergeCell ref="B7:E8"/>
    <mergeCell ref="B10:B19"/>
    <mergeCell ref="B20:B26"/>
    <mergeCell ref="B27:B37"/>
    <mergeCell ref="B38:B52"/>
    <mergeCell ref="B150:B173"/>
    <mergeCell ref="B174:B193"/>
    <mergeCell ref="B194:B235"/>
    <mergeCell ref="B236:B249"/>
    <mergeCell ref="B250:B281"/>
    <mergeCell ref="B53:B65"/>
    <mergeCell ref="B66:B79"/>
    <mergeCell ref="B80:B106"/>
    <mergeCell ref="B107:B137"/>
    <mergeCell ref="B138:B149"/>
    <mergeCell ref="B282:B318"/>
    <mergeCell ref="B319:B324"/>
    <mergeCell ref="B325:B329"/>
    <mergeCell ref="B385:C385"/>
    <mergeCell ref="B330:B333"/>
    <mergeCell ref="B334:B336"/>
    <mergeCell ref="B337:B349"/>
    <mergeCell ref="B350:B374"/>
    <mergeCell ref="B375:B379"/>
    <mergeCell ref="B380:B3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10" manualBreakCount="10">
    <brk id="52" max="4" man="1"/>
    <brk id="79" max="4" man="1"/>
    <brk id="106" max="4" man="1"/>
    <brk id="149" max="4" man="1"/>
    <brk id="193" max="4" man="1"/>
    <brk id="235" max="4" man="1"/>
    <brk id="249" max="4" man="1"/>
    <brk id="281" max="4" man="1"/>
    <brk id="324" max="4" man="1"/>
    <brk id="349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54"/>
  <sheetViews>
    <sheetView topLeftCell="A530" zoomScale="145" zoomScaleNormal="145" zoomScaleSheetLayoutView="85" workbookViewId="0">
      <selection activeCell="B548" sqref="B548:E54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123</v>
      </c>
      <c r="C9" s="47" t="s">
        <v>165</v>
      </c>
      <c r="D9" s="46" t="s">
        <v>70</v>
      </c>
      <c r="E9" s="45" t="s">
        <v>69</v>
      </c>
    </row>
    <row r="10" spans="1:5" s="44" customFormat="1" ht="15" customHeight="1">
      <c r="A10" s="36"/>
      <c r="B10" s="83" t="s">
        <v>86</v>
      </c>
      <c r="C10" s="43" t="s">
        <v>157</v>
      </c>
      <c r="D10" s="42">
        <v>1</v>
      </c>
      <c r="E10" s="41">
        <v>2.1963540522732265E-4</v>
      </c>
    </row>
    <row r="11" spans="1:5" s="44" customFormat="1" ht="15" customHeight="1">
      <c r="A11" s="36"/>
      <c r="B11" s="85"/>
      <c r="C11" s="43" t="s">
        <v>154</v>
      </c>
      <c r="D11" s="42">
        <v>1</v>
      </c>
      <c r="E11" s="41">
        <v>2.1963540522732265E-4</v>
      </c>
    </row>
    <row r="12" spans="1:5" ht="15" customHeight="1">
      <c r="B12" s="85"/>
      <c r="C12" s="43" t="s">
        <v>153</v>
      </c>
      <c r="D12" s="42">
        <v>1</v>
      </c>
      <c r="E12" s="41">
        <v>2.1963540522732265E-4</v>
      </c>
    </row>
    <row r="13" spans="1:5" ht="15" customHeight="1">
      <c r="B13" s="85"/>
      <c r="C13" s="43" t="s">
        <v>152</v>
      </c>
      <c r="D13" s="42">
        <v>1</v>
      </c>
      <c r="E13" s="41">
        <v>2.1963540522732265E-4</v>
      </c>
    </row>
    <row r="14" spans="1:5" ht="15" customHeight="1">
      <c r="B14" s="85"/>
      <c r="C14" s="43" t="s">
        <v>149</v>
      </c>
      <c r="D14" s="42">
        <v>3</v>
      </c>
      <c r="E14" s="41">
        <v>6.5890621568196796E-4</v>
      </c>
    </row>
    <row r="15" spans="1:5" ht="15" customHeight="1">
      <c r="B15" s="84"/>
      <c r="C15" s="40" t="s">
        <v>23</v>
      </c>
      <c r="D15" s="39">
        <v>7</v>
      </c>
      <c r="E15" s="38">
        <v>1.5374478365912585E-3</v>
      </c>
    </row>
    <row r="16" spans="1:5" ht="15" customHeight="1">
      <c r="B16" s="83" t="s">
        <v>118</v>
      </c>
      <c r="C16" s="43" t="s">
        <v>163</v>
      </c>
      <c r="D16" s="42">
        <v>1</v>
      </c>
      <c r="E16" s="41">
        <v>2.1963540522732265E-4</v>
      </c>
    </row>
    <row r="17" spans="2:5" ht="15" customHeight="1">
      <c r="B17" s="85"/>
      <c r="C17" s="43" t="s">
        <v>161</v>
      </c>
      <c r="D17" s="42">
        <v>1</v>
      </c>
      <c r="E17" s="41">
        <v>2.1963540522732265E-4</v>
      </c>
    </row>
    <row r="18" spans="2:5" ht="15" customHeight="1">
      <c r="B18" s="85"/>
      <c r="C18" s="43" t="s">
        <v>160</v>
      </c>
      <c r="D18" s="42">
        <v>1</v>
      </c>
      <c r="E18" s="41">
        <v>2.1963540522732265E-4</v>
      </c>
    </row>
    <row r="19" spans="2:5" ht="15" customHeight="1">
      <c r="B19" s="85"/>
      <c r="C19" s="43" t="s">
        <v>159</v>
      </c>
      <c r="D19" s="42">
        <v>2</v>
      </c>
      <c r="E19" s="41">
        <v>4.392708104546453E-4</v>
      </c>
    </row>
    <row r="20" spans="2:5" ht="15" customHeight="1">
      <c r="B20" s="85"/>
      <c r="C20" s="43" t="s">
        <v>158</v>
      </c>
      <c r="D20" s="42">
        <v>2</v>
      </c>
      <c r="E20" s="41">
        <v>4.392708104546453E-4</v>
      </c>
    </row>
    <row r="21" spans="2:5" ht="15" customHeight="1">
      <c r="B21" s="85"/>
      <c r="C21" s="43" t="s">
        <v>157</v>
      </c>
      <c r="D21" s="42">
        <v>2</v>
      </c>
      <c r="E21" s="41">
        <v>4.392708104546453E-4</v>
      </c>
    </row>
    <row r="22" spans="2:5" ht="15" customHeight="1">
      <c r="B22" s="85"/>
      <c r="C22" s="43" t="s">
        <v>156</v>
      </c>
      <c r="D22" s="42">
        <v>10</v>
      </c>
      <c r="E22" s="41">
        <v>2.1963540522732263E-3</v>
      </c>
    </row>
    <row r="23" spans="2:5" ht="15" customHeight="1">
      <c r="B23" s="85"/>
      <c r="C23" s="43" t="s">
        <v>153</v>
      </c>
      <c r="D23" s="42">
        <v>1</v>
      </c>
      <c r="E23" s="41">
        <v>2.1963540522732265E-4</v>
      </c>
    </row>
    <row r="24" spans="2:5" ht="15" customHeight="1">
      <c r="B24" s="85"/>
      <c r="C24" s="43" t="s">
        <v>152</v>
      </c>
      <c r="D24" s="42">
        <v>24</v>
      </c>
      <c r="E24" s="41">
        <v>5.2712497254557436E-3</v>
      </c>
    </row>
    <row r="25" spans="2:5" ht="15" customHeight="1">
      <c r="B25" s="85"/>
      <c r="C25" s="43" t="s">
        <v>151</v>
      </c>
      <c r="D25" s="42">
        <v>1</v>
      </c>
      <c r="E25" s="41">
        <v>2.1963540522732265E-4</v>
      </c>
    </row>
    <row r="26" spans="2:5" ht="15" customHeight="1">
      <c r="B26" s="85"/>
      <c r="C26" s="43" t="s">
        <v>150</v>
      </c>
      <c r="D26" s="42">
        <v>6</v>
      </c>
      <c r="E26" s="41">
        <v>1.3178124313639359E-3</v>
      </c>
    </row>
    <row r="27" spans="2:5" ht="15" customHeight="1">
      <c r="B27" s="85"/>
      <c r="C27" s="43" t="s">
        <v>149</v>
      </c>
      <c r="D27" s="42">
        <v>12</v>
      </c>
      <c r="E27" s="41">
        <v>2.6356248627278718E-3</v>
      </c>
    </row>
    <row r="28" spans="2:5" ht="15" customHeight="1">
      <c r="B28" s="85"/>
      <c r="C28" s="43" t="s">
        <v>148</v>
      </c>
      <c r="D28" s="42">
        <v>1</v>
      </c>
      <c r="E28" s="41">
        <v>2.1963540522732265E-4</v>
      </c>
    </row>
    <row r="29" spans="2:5" ht="15" customHeight="1">
      <c r="B29" s="85"/>
      <c r="C29" s="43" t="s">
        <v>143</v>
      </c>
      <c r="D29" s="42">
        <v>3</v>
      </c>
      <c r="E29" s="41">
        <v>6.5890621568196796E-4</v>
      </c>
    </row>
    <row r="30" spans="2:5" ht="15" customHeight="1">
      <c r="B30" s="84"/>
      <c r="C30" s="40" t="s">
        <v>23</v>
      </c>
      <c r="D30" s="39">
        <v>67</v>
      </c>
      <c r="E30" s="38">
        <v>1.4715572150230618E-2</v>
      </c>
    </row>
    <row r="31" spans="2:5" ht="15" customHeight="1">
      <c r="B31" s="83" t="s">
        <v>108</v>
      </c>
      <c r="C31" s="43" t="s">
        <v>161</v>
      </c>
      <c r="D31" s="42">
        <v>1</v>
      </c>
      <c r="E31" s="41">
        <v>2.1963540522732265E-4</v>
      </c>
    </row>
    <row r="32" spans="2:5" ht="15" customHeight="1">
      <c r="B32" s="85"/>
      <c r="C32" s="43" t="s">
        <v>156</v>
      </c>
      <c r="D32" s="42">
        <v>3</v>
      </c>
      <c r="E32" s="41">
        <v>6.5890621568196796E-4</v>
      </c>
    </row>
    <row r="33" spans="2:5" ht="15" customHeight="1">
      <c r="B33" s="85"/>
      <c r="C33" s="43" t="s">
        <v>153</v>
      </c>
      <c r="D33" s="42">
        <v>2</v>
      </c>
      <c r="E33" s="41">
        <v>4.392708104546453E-4</v>
      </c>
    </row>
    <row r="34" spans="2:5" ht="15" customHeight="1">
      <c r="B34" s="85"/>
      <c r="C34" s="43" t="s">
        <v>152</v>
      </c>
      <c r="D34" s="42">
        <v>9</v>
      </c>
      <c r="E34" s="41">
        <v>1.976718647045904E-3</v>
      </c>
    </row>
    <row r="35" spans="2:5" ht="15" customHeight="1">
      <c r="B35" s="85"/>
      <c r="C35" s="43" t="s">
        <v>149</v>
      </c>
      <c r="D35" s="42">
        <v>7</v>
      </c>
      <c r="E35" s="41">
        <v>1.5374478365912585E-3</v>
      </c>
    </row>
    <row r="36" spans="2:5" ht="15" customHeight="1">
      <c r="B36" s="84"/>
      <c r="C36" s="40" t="s">
        <v>23</v>
      </c>
      <c r="D36" s="39">
        <v>22</v>
      </c>
      <c r="E36" s="38">
        <v>4.8319789150010981E-3</v>
      </c>
    </row>
    <row r="37" spans="2:5" ht="15" customHeight="1">
      <c r="B37" s="83" t="s">
        <v>84</v>
      </c>
      <c r="C37" s="43" t="s">
        <v>161</v>
      </c>
      <c r="D37" s="42">
        <v>2</v>
      </c>
      <c r="E37" s="41">
        <v>4.392708104546453E-4</v>
      </c>
    </row>
    <row r="38" spans="2:5" ht="15" customHeight="1">
      <c r="B38" s="85"/>
      <c r="C38" s="43" t="s">
        <v>160</v>
      </c>
      <c r="D38" s="42">
        <v>1</v>
      </c>
      <c r="E38" s="41">
        <v>2.1963540522732265E-4</v>
      </c>
    </row>
    <row r="39" spans="2:5" ht="15" customHeight="1">
      <c r="B39" s="85"/>
      <c r="C39" s="43" t="s">
        <v>158</v>
      </c>
      <c r="D39" s="42">
        <v>1</v>
      </c>
      <c r="E39" s="41">
        <v>2.1963540522732265E-4</v>
      </c>
    </row>
    <row r="40" spans="2:5" ht="15" customHeight="1">
      <c r="B40" s="85"/>
      <c r="C40" s="43" t="s">
        <v>157</v>
      </c>
      <c r="D40" s="42">
        <v>3</v>
      </c>
      <c r="E40" s="41">
        <v>6.5890621568196796E-4</v>
      </c>
    </row>
    <row r="41" spans="2:5" ht="15" customHeight="1">
      <c r="B41" s="85"/>
      <c r="C41" s="43" t="s">
        <v>156</v>
      </c>
      <c r="D41" s="42">
        <v>6</v>
      </c>
      <c r="E41" s="41">
        <v>1.3178124313639359E-3</v>
      </c>
    </row>
    <row r="42" spans="2:5" ht="15" customHeight="1">
      <c r="B42" s="85"/>
      <c r="C42" s="43" t="s">
        <v>154</v>
      </c>
      <c r="D42" s="42">
        <v>3</v>
      </c>
      <c r="E42" s="41">
        <v>6.5890621568196796E-4</v>
      </c>
    </row>
    <row r="43" spans="2:5" ht="15" customHeight="1">
      <c r="B43" s="85"/>
      <c r="C43" s="43" t="s">
        <v>153</v>
      </c>
      <c r="D43" s="42">
        <v>3</v>
      </c>
      <c r="E43" s="41">
        <v>6.5890621568196796E-4</v>
      </c>
    </row>
    <row r="44" spans="2:5" ht="15" customHeight="1">
      <c r="B44" s="85"/>
      <c r="C44" s="43" t="s">
        <v>152</v>
      </c>
      <c r="D44" s="42">
        <v>10</v>
      </c>
      <c r="E44" s="41">
        <v>2.1963540522732263E-3</v>
      </c>
    </row>
    <row r="45" spans="2:5" ht="15" customHeight="1">
      <c r="B45" s="85"/>
      <c r="C45" s="43" t="s">
        <v>150</v>
      </c>
      <c r="D45" s="42">
        <v>2</v>
      </c>
      <c r="E45" s="41">
        <v>4.392708104546453E-4</v>
      </c>
    </row>
    <row r="46" spans="2:5" ht="15" customHeight="1">
      <c r="B46" s="85"/>
      <c r="C46" s="43" t="s">
        <v>149</v>
      </c>
      <c r="D46" s="42">
        <v>3</v>
      </c>
      <c r="E46" s="41">
        <v>6.5890621568196796E-4</v>
      </c>
    </row>
    <row r="47" spans="2:5" ht="15" customHeight="1">
      <c r="B47" s="85"/>
      <c r="C47" s="43" t="s">
        <v>143</v>
      </c>
      <c r="D47" s="42">
        <v>2</v>
      </c>
      <c r="E47" s="41">
        <v>4.392708104546453E-4</v>
      </c>
    </row>
    <row r="48" spans="2:5" ht="15" customHeight="1">
      <c r="B48" s="84"/>
      <c r="C48" s="40" t="s">
        <v>23</v>
      </c>
      <c r="D48" s="39">
        <v>36</v>
      </c>
      <c r="E48" s="38">
        <v>7.9068745881836159E-3</v>
      </c>
    </row>
    <row r="49" spans="2:5" ht="15" customHeight="1">
      <c r="B49" s="83" t="s">
        <v>80</v>
      </c>
      <c r="C49" s="43" t="s">
        <v>156</v>
      </c>
      <c r="D49" s="42">
        <v>1</v>
      </c>
      <c r="E49" s="41">
        <v>2.1963540522732265E-4</v>
      </c>
    </row>
    <row r="50" spans="2:5" ht="15" customHeight="1">
      <c r="B50" s="85"/>
      <c r="C50" s="43" t="s">
        <v>152</v>
      </c>
      <c r="D50" s="42">
        <v>3</v>
      </c>
      <c r="E50" s="41">
        <v>6.5890621568196796E-4</v>
      </c>
    </row>
    <row r="51" spans="2:5" ht="15" customHeight="1">
      <c r="B51" s="85"/>
      <c r="C51" s="43" t="s">
        <v>150</v>
      </c>
      <c r="D51" s="42">
        <v>1</v>
      </c>
      <c r="E51" s="41">
        <v>2.1963540522732265E-4</v>
      </c>
    </row>
    <row r="52" spans="2:5" ht="15" customHeight="1">
      <c r="B52" s="85"/>
      <c r="C52" s="43" t="s">
        <v>149</v>
      </c>
      <c r="D52" s="42">
        <v>2</v>
      </c>
      <c r="E52" s="41">
        <v>4.392708104546453E-4</v>
      </c>
    </row>
    <row r="53" spans="2:5" ht="15" customHeight="1">
      <c r="B53" s="85"/>
      <c r="C53" s="43" t="s">
        <v>143</v>
      </c>
      <c r="D53" s="42">
        <v>1</v>
      </c>
      <c r="E53" s="41">
        <v>2.1963540522732265E-4</v>
      </c>
    </row>
    <row r="54" spans="2:5" ht="15" customHeight="1">
      <c r="B54" s="84"/>
      <c r="C54" s="40" t="s">
        <v>23</v>
      </c>
      <c r="D54" s="39">
        <v>8</v>
      </c>
      <c r="E54" s="38">
        <v>1.7570832418185812E-3</v>
      </c>
    </row>
    <row r="55" spans="2:5" ht="15" customHeight="1">
      <c r="B55" s="83" t="s">
        <v>85</v>
      </c>
      <c r="C55" s="43" t="s">
        <v>161</v>
      </c>
      <c r="D55" s="42">
        <v>1</v>
      </c>
      <c r="E55" s="41">
        <v>2.1963540522732265E-4</v>
      </c>
    </row>
    <row r="56" spans="2:5" ht="15" customHeight="1">
      <c r="B56" s="85"/>
      <c r="C56" s="43" t="s">
        <v>153</v>
      </c>
      <c r="D56" s="42">
        <v>1</v>
      </c>
      <c r="E56" s="41">
        <v>2.1963540522732265E-4</v>
      </c>
    </row>
    <row r="57" spans="2:5" ht="15" customHeight="1">
      <c r="B57" s="85"/>
      <c r="C57" s="43" t="s">
        <v>151</v>
      </c>
      <c r="D57" s="42">
        <v>1</v>
      </c>
      <c r="E57" s="41">
        <v>2.1963540522732265E-4</v>
      </c>
    </row>
    <row r="58" spans="2:5" ht="15" customHeight="1">
      <c r="B58" s="85"/>
      <c r="C58" s="43" t="s">
        <v>150</v>
      </c>
      <c r="D58" s="42">
        <v>1</v>
      </c>
      <c r="E58" s="41">
        <v>2.1963540522732265E-4</v>
      </c>
    </row>
    <row r="59" spans="2:5" ht="15" customHeight="1">
      <c r="B59" s="85"/>
      <c r="C59" s="43" t="s">
        <v>149</v>
      </c>
      <c r="D59" s="42">
        <v>2</v>
      </c>
      <c r="E59" s="41">
        <v>4.392708104546453E-4</v>
      </c>
    </row>
    <row r="60" spans="2:5" ht="15" customHeight="1">
      <c r="B60" s="84"/>
      <c r="C60" s="40" t="s">
        <v>23</v>
      </c>
      <c r="D60" s="39">
        <v>6</v>
      </c>
      <c r="E60" s="38">
        <v>1.3178124313639359E-3</v>
      </c>
    </row>
    <row r="61" spans="2:5" ht="15" customHeight="1">
      <c r="B61" s="83" t="s">
        <v>173</v>
      </c>
      <c r="C61" s="43" t="s">
        <v>156</v>
      </c>
      <c r="D61" s="42">
        <v>1</v>
      </c>
      <c r="E61" s="41">
        <v>2.1963540522732265E-4</v>
      </c>
    </row>
    <row r="62" spans="2:5" ht="15" customHeight="1">
      <c r="B62" s="85"/>
      <c r="C62" s="43" t="s">
        <v>152</v>
      </c>
      <c r="D62" s="42">
        <v>1</v>
      </c>
      <c r="E62" s="41">
        <v>2.1963540522732265E-4</v>
      </c>
    </row>
    <row r="63" spans="2:5" ht="15" customHeight="1">
      <c r="B63" s="84"/>
      <c r="C63" s="40" t="s">
        <v>23</v>
      </c>
      <c r="D63" s="39">
        <v>2</v>
      </c>
      <c r="E63" s="38">
        <v>4.392708104546453E-4</v>
      </c>
    </row>
    <row r="64" spans="2:5" ht="15" customHeight="1">
      <c r="B64" s="83" t="s">
        <v>121</v>
      </c>
      <c r="C64" s="43" t="s">
        <v>159</v>
      </c>
      <c r="D64" s="42">
        <v>1</v>
      </c>
      <c r="E64" s="41">
        <v>2.1963540522732265E-4</v>
      </c>
    </row>
    <row r="65" spans="2:5" ht="15" customHeight="1">
      <c r="B65" s="85"/>
      <c r="C65" s="43" t="s">
        <v>158</v>
      </c>
      <c r="D65" s="42">
        <v>1</v>
      </c>
      <c r="E65" s="41">
        <v>2.1963540522732265E-4</v>
      </c>
    </row>
    <row r="66" spans="2:5" ht="15" customHeight="1">
      <c r="B66" s="85"/>
      <c r="C66" s="43" t="s">
        <v>157</v>
      </c>
      <c r="D66" s="42">
        <v>8</v>
      </c>
      <c r="E66" s="41">
        <v>1.7570832418185812E-3</v>
      </c>
    </row>
    <row r="67" spans="2:5" ht="15" customHeight="1">
      <c r="B67" s="85"/>
      <c r="C67" s="43" t="s">
        <v>156</v>
      </c>
      <c r="D67" s="42">
        <v>25</v>
      </c>
      <c r="E67" s="41">
        <v>5.490885130683066E-3</v>
      </c>
    </row>
    <row r="68" spans="2:5" ht="15" customHeight="1">
      <c r="B68" s="85"/>
      <c r="C68" s="43" t="s">
        <v>155</v>
      </c>
      <c r="D68" s="42">
        <v>4</v>
      </c>
      <c r="E68" s="41">
        <v>8.7854162090929061E-4</v>
      </c>
    </row>
    <row r="69" spans="2:5" ht="15" customHeight="1">
      <c r="B69" s="85"/>
      <c r="C69" s="43" t="s">
        <v>154</v>
      </c>
      <c r="D69" s="42">
        <v>3</v>
      </c>
      <c r="E69" s="41">
        <v>6.5890621568196796E-4</v>
      </c>
    </row>
    <row r="70" spans="2:5" ht="15" customHeight="1">
      <c r="B70" s="85"/>
      <c r="C70" s="43" t="s">
        <v>153</v>
      </c>
      <c r="D70" s="42">
        <v>6</v>
      </c>
      <c r="E70" s="41">
        <v>1.3178124313639359E-3</v>
      </c>
    </row>
    <row r="71" spans="2:5" ht="15" customHeight="1">
      <c r="B71" s="85"/>
      <c r="C71" s="43" t="s">
        <v>152</v>
      </c>
      <c r="D71" s="42">
        <v>49</v>
      </c>
      <c r="E71" s="41">
        <v>1.0762134856138809E-2</v>
      </c>
    </row>
    <row r="72" spans="2:5" ht="15" customHeight="1">
      <c r="B72" s="85"/>
      <c r="C72" s="43" t="s">
        <v>151</v>
      </c>
      <c r="D72" s="42">
        <v>5</v>
      </c>
      <c r="E72" s="41">
        <v>1.0981770261366132E-3</v>
      </c>
    </row>
    <row r="73" spans="2:5" ht="15" customHeight="1">
      <c r="B73" s="85"/>
      <c r="C73" s="43" t="s">
        <v>150</v>
      </c>
      <c r="D73" s="42">
        <v>8</v>
      </c>
      <c r="E73" s="41">
        <v>1.7570832418185812E-3</v>
      </c>
    </row>
    <row r="74" spans="2:5" ht="15" customHeight="1">
      <c r="B74" s="85"/>
      <c r="C74" s="43" t="s">
        <v>149</v>
      </c>
      <c r="D74" s="42">
        <v>24</v>
      </c>
      <c r="E74" s="41">
        <v>5.2712497254557436E-3</v>
      </c>
    </row>
    <row r="75" spans="2:5" ht="15" customHeight="1">
      <c r="B75" s="85"/>
      <c r="C75" s="43" t="s">
        <v>146</v>
      </c>
      <c r="D75" s="42">
        <v>1</v>
      </c>
      <c r="E75" s="41">
        <v>2.1963540522732265E-4</v>
      </c>
    </row>
    <row r="76" spans="2:5" ht="15" customHeight="1">
      <c r="B76" s="85"/>
      <c r="C76" s="43" t="s">
        <v>144</v>
      </c>
      <c r="D76" s="42">
        <v>2</v>
      </c>
      <c r="E76" s="41">
        <v>4.392708104546453E-4</v>
      </c>
    </row>
    <row r="77" spans="2:5" ht="15" customHeight="1">
      <c r="B77" s="85"/>
      <c r="C77" s="43" t="s">
        <v>143</v>
      </c>
      <c r="D77" s="42">
        <v>3</v>
      </c>
      <c r="E77" s="41">
        <v>6.5890621568196796E-4</v>
      </c>
    </row>
    <row r="78" spans="2:5" ht="15" customHeight="1">
      <c r="B78" s="84"/>
      <c r="C78" s="40" t="s">
        <v>23</v>
      </c>
      <c r="D78" s="39">
        <v>140</v>
      </c>
      <c r="E78" s="38">
        <v>3.0748956731825171E-2</v>
      </c>
    </row>
    <row r="79" spans="2:5" ht="15" customHeight="1">
      <c r="B79" s="83" t="s">
        <v>119</v>
      </c>
      <c r="C79" s="43" t="s">
        <v>159</v>
      </c>
      <c r="D79" s="42">
        <v>1</v>
      </c>
      <c r="E79" s="41">
        <v>2.1963540522732265E-4</v>
      </c>
    </row>
    <row r="80" spans="2:5" ht="15" customHeight="1">
      <c r="B80" s="85"/>
      <c r="C80" s="43" t="s">
        <v>158</v>
      </c>
      <c r="D80" s="42">
        <v>3</v>
      </c>
      <c r="E80" s="41">
        <v>6.5890621568196796E-4</v>
      </c>
    </row>
    <row r="81" spans="2:5" ht="15" customHeight="1">
      <c r="B81" s="85"/>
      <c r="C81" s="43" t="s">
        <v>157</v>
      </c>
      <c r="D81" s="42">
        <v>12</v>
      </c>
      <c r="E81" s="41">
        <v>2.6356248627278718E-3</v>
      </c>
    </row>
    <row r="82" spans="2:5" ht="15" customHeight="1">
      <c r="B82" s="85"/>
      <c r="C82" s="43" t="s">
        <v>156</v>
      </c>
      <c r="D82" s="42">
        <v>14</v>
      </c>
      <c r="E82" s="41">
        <v>3.0748956731825169E-3</v>
      </c>
    </row>
    <row r="83" spans="2:5" ht="15" customHeight="1">
      <c r="B83" s="85"/>
      <c r="C83" s="43" t="s">
        <v>155</v>
      </c>
      <c r="D83" s="42">
        <v>1</v>
      </c>
      <c r="E83" s="41">
        <v>2.1963540522732265E-4</v>
      </c>
    </row>
    <row r="84" spans="2:5" ht="15" customHeight="1">
      <c r="B84" s="85"/>
      <c r="C84" s="43" t="s">
        <v>154</v>
      </c>
      <c r="D84" s="42">
        <v>3</v>
      </c>
      <c r="E84" s="41">
        <v>6.5890621568196796E-4</v>
      </c>
    </row>
    <row r="85" spans="2:5" ht="15" customHeight="1">
      <c r="B85" s="85"/>
      <c r="C85" s="43" t="s">
        <v>153</v>
      </c>
      <c r="D85" s="42">
        <v>1</v>
      </c>
      <c r="E85" s="41">
        <v>2.1963540522732265E-4</v>
      </c>
    </row>
    <row r="86" spans="2:5" ht="15" customHeight="1">
      <c r="B86" s="85"/>
      <c r="C86" s="43" t="s">
        <v>152</v>
      </c>
      <c r="D86" s="42">
        <v>40</v>
      </c>
      <c r="E86" s="41">
        <v>8.7854162090929052E-3</v>
      </c>
    </row>
    <row r="87" spans="2:5" ht="15" customHeight="1">
      <c r="B87" s="85"/>
      <c r="C87" s="43" t="s">
        <v>151</v>
      </c>
      <c r="D87" s="42">
        <v>4</v>
      </c>
      <c r="E87" s="41">
        <v>8.7854162090929061E-4</v>
      </c>
    </row>
    <row r="88" spans="2:5" ht="15" customHeight="1">
      <c r="B88" s="85"/>
      <c r="C88" s="43" t="s">
        <v>150</v>
      </c>
      <c r="D88" s="42">
        <v>5</v>
      </c>
      <c r="E88" s="41">
        <v>1.0981770261366132E-3</v>
      </c>
    </row>
    <row r="89" spans="2:5" ht="15" customHeight="1">
      <c r="B89" s="85"/>
      <c r="C89" s="43" t="s">
        <v>149</v>
      </c>
      <c r="D89" s="42">
        <v>22</v>
      </c>
      <c r="E89" s="41">
        <v>4.8319789150010981E-3</v>
      </c>
    </row>
    <row r="90" spans="2:5" ht="15" customHeight="1">
      <c r="B90" s="85"/>
      <c r="C90" s="43" t="s">
        <v>148</v>
      </c>
      <c r="D90" s="42">
        <v>1</v>
      </c>
      <c r="E90" s="41">
        <v>2.1963540522732265E-4</v>
      </c>
    </row>
    <row r="91" spans="2:5" ht="15" customHeight="1">
      <c r="B91" s="85"/>
      <c r="C91" s="43" t="s">
        <v>144</v>
      </c>
      <c r="D91" s="42">
        <v>1</v>
      </c>
      <c r="E91" s="41">
        <v>2.1963540522732265E-4</v>
      </c>
    </row>
    <row r="92" spans="2:5" ht="15" customHeight="1">
      <c r="B92" s="85"/>
      <c r="C92" s="43" t="s">
        <v>143</v>
      </c>
      <c r="D92" s="42">
        <v>2</v>
      </c>
      <c r="E92" s="41">
        <v>4.392708104546453E-4</v>
      </c>
    </row>
    <row r="93" spans="2:5" ht="15" customHeight="1">
      <c r="B93" s="84"/>
      <c r="C93" s="40" t="s">
        <v>23</v>
      </c>
      <c r="D93" s="39">
        <v>110</v>
      </c>
      <c r="E93" s="38">
        <v>2.4159894575005492E-2</v>
      </c>
    </row>
    <row r="94" spans="2:5" ht="15" customHeight="1">
      <c r="B94" s="83" t="s">
        <v>103</v>
      </c>
      <c r="C94" s="43" t="s">
        <v>161</v>
      </c>
      <c r="D94" s="42">
        <v>1</v>
      </c>
      <c r="E94" s="41">
        <v>2.1963540522732265E-4</v>
      </c>
    </row>
    <row r="95" spans="2:5" ht="15" customHeight="1">
      <c r="B95" s="85"/>
      <c r="C95" s="43" t="s">
        <v>160</v>
      </c>
      <c r="D95" s="42">
        <v>1</v>
      </c>
      <c r="E95" s="41">
        <v>2.1963540522732265E-4</v>
      </c>
    </row>
    <row r="96" spans="2:5" ht="15" customHeight="1">
      <c r="B96" s="85"/>
      <c r="C96" s="43" t="s">
        <v>157</v>
      </c>
      <c r="D96" s="42">
        <v>3</v>
      </c>
      <c r="E96" s="41">
        <v>6.5890621568196796E-4</v>
      </c>
    </row>
    <row r="97" spans="2:5" ht="15" customHeight="1">
      <c r="B97" s="85"/>
      <c r="C97" s="43" t="s">
        <v>156</v>
      </c>
      <c r="D97" s="42">
        <v>4</v>
      </c>
      <c r="E97" s="41">
        <v>8.7854162090929061E-4</v>
      </c>
    </row>
    <row r="98" spans="2:5" ht="15" customHeight="1">
      <c r="B98" s="85"/>
      <c r="C98" s="43" t="s">
        <v>154</v>
      </c>
      <c r="D98" s="42">
        <v>6</v>
      </c>
      <c r="E98" s="41">
        <v>1.3178124313639359E-3</v>
      </c>
    </row>
    <row r="99" spans="2:5" ht="15" customHeight="1">
      <c r="B99" s="85"/>
      <c r="C99" s="43" t="s">
        <v>153</v>
      </c>
      <c r="D99" s="42">
        <v>4</v>
      </c>
      <c r="E99" s="41">
        <v>8.7854162090929061E-4</v>
      </c>
    </row>
    <row r="100" spans="2:5" ht="15" customHeight="1">
      <c r="B100" s="85"/>
      <c r="C100" s="43" t="s">
        <v>152</v>
      </c>
      <c r="D100" s="42">
        <v>10</v>
      </c>
      <c r="E100" s="41">
        <v>2.1963540522732263E-3</v>
      </c>
    </row>
    <row r="101" spans="2:5" ht="15" customHeight="1">
      <c r="B101" s="85"/>
      <c r="C101" s="43" t="s">
        <v>151</v>
      </c>
      <c r="D101" s="42">
        <v>1</v>
      </c>
      <c r="E101" s="41">
        <v>2.1963540522732265E-4</v>
      </c>
    </row>
    <row r="102" spans="2:5" ht="15" customHeight="1">
      <c r="B102" s="85"/>
      <c r="C102" s="43" t="s">
        <v>150</v>
      </c>
      <c r="D102" s="42">
        <v>8</v>
      </c>
      <c r="E102" s="41">
        <v>1.7570832418185812E-3</v>
      </c>
    </row>
    <row r="103" spans="2:5" ht="15" customHeight="1">
      <c r="B103" s="85"/>
      <c r="C103" s="43" t="s">
        <v>149</v>
      </c>
      <c r="D103" s="42">
        <v>3</v>
      </c>
      <c r="E103" s="41">
        <v>6.5890621568196796E-4</v>
      </c>
    </row>
    <row r="104" spans="2:5" ht="15" customHeight="1">
      <c r="B104" s="85"/>
      <c r="C104" s="43" t="s">
        <v>144</v>
      </c>
      <c r="D104" s="42">
        <v>1</v>
      </c>
      <c r="E104" s="41">
        <v>2.1963540522732265E-4</v>
      </c>
    </row>
    <row r="105" spans="2:5" ht="15" customHeight="1">
      <c r="B105" s="85"/>
      <c r="C105" s="43" t="s">
        <v>143</v>
      </c>
      <c r="D105" s="42">
        <v>1</v>
      </c>
      <c r="E105" s="41">
        <v>2.1963540522732265E-4</v>
      </c>
    </row>
    <row r="106" spans="2:5" ht="15" customHeight="1">
      <c r="B106" s="84"/>
      <c r="C106" s="40" t="s">
        <v>23</v>
      </c>
      <c r="D106" s="39">
        <v>43</v>
      </c>
      <c r="E106" s="38">
        <v>9.444322424774873E-3</v>
      </c>
    </row>
    <row r="107" spans="2:5" ht="15" customHeight="1">
      <c r="B107" s="83" t="s">
        <v>89</v>
      </c>
      <c r="C107" s="43" t="s">
        <v>163</v>
      </c>
      <c r="D107" s="42">
        <v>2</v>
      </c>
      <c r="E107" s="41">
        <v>4.392708104546453E-4</v>
      </c>
    </row>
    <row r="108" spans="2:5" ht="15" customHeight="1">
      <c r="B108" s="85"/>
      <c r="C108" s="43" t="s">
        <v>158</v>
      </c>
      <c r="D108" s="42">
        <v>1</v>
      </c>
      <c r="E108" s="41">
        <v>2.1963540522732265E-4</v>
      </c>
    </row>
    <row r="109" spans="2:5" ht="15" customHeight="1">
      <c r="B109" s="85"/>
      <c r="C109" s="43" t="s">
        <v>157</v>
      </c>
      <c r="D109" s="42">
        <v>2</v>
      </c>
      <c r="E109" s="41">
        <v>4.392708104546453E-4</v>
      </c>
    </row>
    <row r="110" spans="2:5" ht="15" customHeight="1">
      <c r="B110" s="85"/>
      <c r="C110" s="43" t="s">
        <v>156</v>
      </c>
      <c r="D110" s="42">
        <v>1</v>
      </c>
      <c r="E110" s="41">
        <v>2.1963540522732265E-4</v>
      </c>
    </row>
    <row r="111" spans="2:5" ht="15" customHeight="1">
      <c r="B111" s="85"/>
      <c r="C111" s="43" t="s">
        <v>153</v>
      </c>
      <c r="D111" s="42">
        <v>1</v>
      </c>
      <c r="E111" s="41">
        <v>2.1963540522732265E-4</v>
      </c>
    </row>
    <row r="112" spans="2:5" ht="15" customHeight="1">
      <c r="B112" s="85"/>
      <c r="C112" s="43" t="s">
        <v>152</v>
      </c>
      <c r="D112" s="42">
        <v>2</v>
      </c>
      <c r="E112" s="41">
        <v>4.392708104546453E-4</v>
      </c>
    </row>
    <row r="113" spans="2:5" ht="15" customHeight="1">
      <c r="B113" s="85"/>
      <c r="C113" s="43" t="s">
        <v>150</v>
      </c>
      <c r="D113" s="42">
        <v>2</v>
      </c>
      <c r="E113" s="41">
        <v>4.392708104546453E-4</v>
      </c>
    </row>
    <row r="114" spans="2:5" ht="15" customHeight="1">
      <c r="B114" s="85"/>
      <c r="C114" s="43" t="s">
        <v>149</v>
      </c>
      <c r="D114" s="42">
        <v>1</v>
      </c>
      <c r="E114" s="41">
        <v>2.1963540522732265E-4</v>
      </c>
    </row>
    <row r="115" spans="2:5" ht="15" customHeight="1">
      <c r="B115" s="84"/>
      <c r="C115" s="40" t="s">
        <v>23</v>
      </c>
      <c r="D115" s="39">
        <v>12</v>
      </c>
      <c r="E115" s="38">
        <v>2.6356248627278718E-3</v>
      </c>
    </row>
    <row r="116" spans="2:5" ht="15" customHeight="1">
      <c r="B116" s="83" t="s">
        <v>87</v>
      </c>
      <c r="C116" s="43" t="s">
        <v>163</v>
      </c>
      <c r="D116" s="42">
        <v>1</v>
      </c>
      <c r="E116" s="41">
        <v>2.1963540522732265E-4</v>
      </c>
    </row>
    <row r="117" spans="2:5" ht="15" customHeight="1">
      <c r="B117" s="85"/>
      <c r="C117" s="43" t="s">
        <v>157</v>
      </c>
      <c r="D117" s="42">
        <v>2</v>
      </c>
      <c r="E117" s="41">
        <v>4.392708104546453E-4</v>
      </c>
    </row>
    <row r="118" spans="2:5" ht="15" customHeight="1">
      <c r="B118" s="85"/>
      <c r="C118" s="43" t="s">
        <v>156</v>
      </c>
      <c r="D118" s="42">
        <v>1</v>
      </c>
      <c r="E118" s="41">
        <v>2.1963540522732265E-4</v>
      </c>
    </row>
    <row r="119" spans="2:5" ht="15" customHeight="1">
      <c r="B119" s="85"/>
      <c r="C119" s="43" t="s">
        <v>153</v>
      </c>
      <c r="D119" s="42">
        <v>1</v>
      </c>
      <c r="E119" s="41">
        <v>2.1963540522732265E-4</v>
      </c>
    </row>
    <row r="120" spans="2:5" ht="15" customHeight="1">
      <c r="B120" s="85"/>
      <c r="C120" s="43" t="s">
        <v>149</v>
      </c>
      <c r="D120" s="42">
        <v>2</v>
      </c>
      <c r="E120" s="41">
        <v>4.392708104546453E-4</v>
      </c>
    </row>
    <row r="121" spans="2:5" ht="15" customHeight="1">
      <c r="B121" s="84"/>
      <c r="C121" s="40" t="s">
        <v>23</v>
      </c>
      <c r="D121" s="39">
        <v>7</v>
      </c>
      <c r="E121" s="38">
        <v>1.5374478365912585E-3</v>
      </c>
    </row>
    <row r="122" spans="2:5" ht="15" customHeight="1">
      <c r="B122" s="83" t="s">
        <v>100</v>
      </c>
      <c r="C122" s="43" t="s">
        <v>160</v>
      </c>
      <c r="D122" s="42">
        <v>1</v>
      </c>
      <c r="E122" s="41">
        <v>2.1963540522732265E-4</v>
      </c>
    </row>
    <row r="123" spans="2:5" ht="15" customHeight="1">
      <c r="B123" s="85"/>
      <c r="C123" s="43" t="s">
        <v>157</v>
      </c>
      <c r="D123" s="42">
        <v>1</v>
      </c>
      <c r="E123" s="41">
        <v>2.1963540522732265E-4</v>
      </c>
    </row>
    <row r="124" spans="2:5" ht="15" customHeight="1">
      <c r="B124" s="85"/>
      <c r="C124" s="43" t="s">
        <v>152</v>
      </c>
      <c r="D124" s="42">
        <v>2</v>
      </c>
      <c r="E124" s="41">
        <v>4.392708104546453E-4</v>
      </c>
    </row>
    <row r="125" spans="2:5" ht="15" customHeight="1">
      <c r="B125" s="84"/>
      <c r="C125" s="40" t="s">
        <v>23</v>
      </c>
      <c r="D125" s="39">
        <v>4</v>
      </c>
      <c r="E125" s="38">
        <v>8.7854162090929061E-4</v>
      </c>
    </row>
    <row r="126" spans="2:5" ht="15" customHeight="1">
      <c r="B126" s="83" t="s">
        <v>116</v>
      </c>
      <c r="C126" s="43" t="s">
        <v>163</v>
      </c>
      <c r="D126" s="42">
        <v>19</v>
      </c>
      <c r="E126" s="41">
        <v>4.1730726993191303E-3</v>
      </c>
    </row>
    <row r="127" spans="2:5" ht="15" customHeight="1">
      <c r="B127" s="85"/>
      <c r="C127" s="43" t="s">
        <v>162</v>
      </c>
      <c r="D127" s="42">
        <v>6</v>
      </c>
      <c r="E127" s="41">
        <v>1.3178124313639359E-3</v>
      </c>
    </row>
    <row r="128" spans="2:5" ht="15" customHeight="1">
      <c r="B128" s="85"/>
      <c r="C128" s="43" t="s">
        <v>161</v>
      </c>
      <c r="D128" s="42">
        <v>13</v>
      </c>
      <c r="E128" s="41">
        <v>2.8552602679551946E-3</v>
      </c>
    </row>
    <row r="129" spans="2:5" ht="15" customHeight="1">
      <c r="B129" s="85"/>
      <c r="C129" s="43" t="s">
        <v>160</v>
      </c>
      <c r="D129" s="42">
        <v>22</v>
      </c>
      <c r="E129" s="41">
        <v>4.8319789150010981E-3</v>
      </c>
    </row>
    <row r="130" spans="2:5" ht="15" customHeight="1">
      <c r="B130" s="85"/>
      <c r="C130" s="43" t="s">
        <v>159</v>
      </c>
      <c r="D130" s="42">
        <v>14</v>
      </c>
      <c r="E130" s="41">
        <v>3.0748956731825169E-3</v>
      </c>
    </row>
    <row r="131" spans="2:5" ht="15" customHeight="1">
      <c r="B131" s="85"/>
      <c r="C131" s="43" t="s">
        <v>158</v>
      </c>
      <c r="D131" s="42">
        <v>17</v>
      </c>
      <c r="E131" s="41">
        <v>3.7338018888644848E-3</v>
      </c>
    </row>
    <row r="132" spans="2:5" ht="15" customHeight="1">
      <c r="B132" s="85"/>
      <c r="C132" s="43" t="s">
        <v>157</v>
      </c>
      <c r="D132" s="42">
        <v>73</v>
      </c>
      <c r="E132" s="41">
        <v>1.6033384581594552E-2</v>
      </c>
    </row>
    <row r="133" spans="2:5" ht="15" customHeight="1">
      <c r="B133" s="85"/>
      <c r="C133" s="43" t="s">
        <v>156</v>
      </c>
      <c r="D133" s="42">
        <v>83</v>
      </c>
      <c r="E133" s="41">
        <v>1.822973863386778E-2</v>
      </c>
    </row>
    <row r="134" spans="2:5" ht="15" customHeight="1">
      <c r="B134" s="85"/>
      <c r="C134" s="43" t="s">
        <v>155</v>
      </c>
      <c r="D134" s="42">
        <v>10</v>
      </c>
      <c r="E134" s="41">
        <v>2.1963540522732263E-3</v>
      </c>
    </row>
    <row r="135" spans="2:5" ht="15" customHeight="1">
      <c r="B135" s="85"/>
      <c r="C135" s="43" t="s">
        <v>154</v>
      </c>
      <c r="D135" s="42">
        <v>28</v>
      </c>
      <c r="E135" s="41">
        <v>6.1497913463650338E-3</v>
      </c>
    </row>
    <row r="136" spans="2:5" ht="15" customHeight="1">
      <c r="B136" s="85"/>
      <c r="C136" s="43" t="s">
        <v>153</v>
      </c>
      <c r="D136" s="42">
        <v>22</v>
      </c>
      <c r="E136" s="41">
        <v>4.8319789150010981E-3</v>
      </c>
    </row>
    <row r="137" spans="2:5" ht="15" customHeight="1">
      <c r="B137" s="85"/>
      <c r="C137" s="43" t="s">
        <v>152</v>
      </c>
      <c r="D137" s="42">
        <v>162</v>
      </c>
      <c r="E137" s="41">
        <v>3.5580935646826267E-2</v>
      </c>
    </row>
    <row r="138" spans="2:5" ht="15" customHeight="1">
      <c r="B138" s="85"/>
      <c r="C138" s="43" t="s">
        <v>151</v>
      </c>
      <c r="D138" s="42">
        <v>12</v>
      </c>
      <c r="E138" s="41">
        <v>2.6356248627278718E-3</v>
      </c>
    </row>
    <row r="139" spans="2:5" ht="15" customHeight="1">
      <c r="B139" s="85"/>
      <c r="C139" s="43" t="s">
        <v>150</v>
      </c>
      <c r="D139" s="42">
        <v>53</v>
      </c>
      <c r="E139" s="41">
        <v>1.16406764770481E-2</v>
      </c>
    </row>
    <row r="140" spans="2:5" ht="15" customHeight="1">
      <c r="B140" s="85"/>
      <c r="C140" s="43" t="s">
        <v>149</v>
      </c>
      <c r="D140" s="42">
        <v>136</v>
      </c>
      <c r="E140" s="41">
        <v>2.9870415110915878E-2</v>
      </c>
    </row>
    <row r="141" spans="2:5" ht="15" customHeight="1">
      <c r="B141" s="85"/>
      <c r="C141" s="43" t="s">
        <v>148</v>
      </c>
      <c r="D141" s="42">
        <v>1</v>
      </c>
      <c r="E141" s="41">
        <v>2.1963540522732265E-4</v>
      </c>
    </row>
    <row r="142" spans="2:5" ht="15" customHeight="1">
      <c r="B142" s="85"/>
      <c r="C142" s="43" t="s">
        <v>147</v>
      </c>
      <c r="D142" s="42">
        <v>3</v>
      </c>
      <c r="E142" s="41">
        <v>6.5890621568196796E-4</v>
      </c>
    </row>
    <row r="143" spans="2:5" ht="15" customHeight="1">
      <c r="B143" s="85"/>
      <c r="C143" s="43" t="s">
        <v>146</v>
      </c>
      <c r="D143" s="42">
        <v>2</v>
      </c>
      <c r="E143" s="41">
        <v>4.392708104546453E-4</v>
      </c>
    </row>
    <row r="144" spans="2:5" ht="15" customHeight="1">
      <c r="B144" s="85"/>
      <c r="C144" s="43" t="s">
        <v>145</v>
      </c>
      <c r="D144" s="42">
        <v>2</v>
      </c>
      <c r="E144" s="41">
        <v>4.392708104546453E-4</v>
      </c>
    </row>
    <row r="145" spans="2:5" ht="15" customHeight="1">
      <c r="B145" s="85"/>
      <c r="C145" s="43" t="s">
        <v>144</v>
      </c>
      <c r="D145" s="42">
        <v>9</v>
      </c>
      <c r="E145" s="41">
        <v>1.976718647045904E-3</v>
      </c>
    </row>
    <row r="146" spans="2:5" ht="15" customHeight="1">
      <c r="B146" s="85"/>
      <c r="C146" s="43" t="s">
        <v>143</v>
      </c>
      <c r="D146" s="42">
        <v>15</v>
      </c>
      <c r="E146" s="41">
        <v>3.2945310784098397E-3</v>
      </c>
    </row>
    <row r="147" spans="2:5" ht="15" customHeight="1">
      <c r="B147" s="84"/>
      <c r="C147" s="40" t="s">
        <v>23</v>
      </c>
      <c r="D147" s="39">
        <v>702</v>
      </c>
      <c r="E147" s="38">
        <v>0.1541840544695805</v>
      </c>
    </row>
    <row r="148" spans="2:5" ht="15" customHeight="1">
      <c r="B148" s="83" t="s">
        <v>120</v>
      </c>
      <c r="C148" s="43" t="s">
        <v>161</v>
      </c>
      <c r="D148" s="42">
        <v>1</v>
      </c>
      <c r="E148" s="41">
        <v>2.1963540522732265E-4</v>
      </c>
    </row>
    <row r="149" spans="2:5" ht="15" customHeight="1">
      <c r="B149" s="85"/>
      <c r="C149" s="43" t="s">
        <v>160</v>
      </c>
      <c r="D149" s="42">
        <v>1</v>
      </c>
      <c r="E149" s="41">
        <v>2.1963540522732265E-4</v>
      </c>
    </row>
    <row r="150" spans="2:5" ht="15" customHeight="1">
      <c r="B150" s="85"/>
      <c r="C150" s="43" t="s">
        <v>159</v>
      </c>
      <c r="D150" s="42">
        <v>3</v>
      </c>
      <c r="E150" s="41">
        <v>6.5890621568196796E-4</v>
      </c>
    </row>
    <row r="151" spans="2:5" ht="15" customHeight="1">
      <c r="B151" s="85"/>
      <c r="C151" s="43" t="s">
        <v>158</v>
      </c>
      <c r="D151" s="42">
        <v>1</v>
      </c>
      <c r="E151" s="41">
        <v>2.1963540522732265E-4</v>
      </c>
    </row>
    <row r="152" spans="2:5" ht="15" customHeight="1">
      <c r="B152" s="85"/>
      <c r="C152" s="43" t="s">
        <v>157</v>
      </c>
      <c r="D152" s="42">
        <v>12</v>
      </c>
      <c r="E152" s="41">
        <v>2.6356248627278718E-3</v>
      </c>
    </row>
    <row r="153" spans="2:5" ht="15" customHeight="1">
      <c r="B153" s="85"/>
      <c r="C153" s="43" t="s">
        <v>156</v>
      </c>
      <c r="D153" s="42">
        <v>13</v>
      </c>
      <c r="E153" s="41">
        <v>2.8552602679551946E-3</v>
      </c>
    </row>
    <row r="154" spans="2:5" ht="15" customHeight="1">
      <c r="B154" s="85"/>
      <c r="C154" s="43" t="s">
        <v>155</v>
      </c>
      <c r="D154" s="42">
        <v>6</v>
      </c>
      <c r="E154" s="41">
        <v>1.3178124313639359E-3</v>
      </c>
    </row>
    <row r="155" spans="2:5" ht="15" customHeight="1">
      <c r="B155" s="85"/>
      <c r="C155" s="43" t="s">
        <v>154</v>
      </c>
      <c r="D155" s="42">
        <v>3</v>
      </c>
      <c r="E155" s="41">
        <v>6.5890621568196796E-4</v>
      </c>
    </row>
    <row r="156" spans="2:5" ht="15" customHeight="1">
      <c r="B156" s="85"/>
      <c r="C156" s="43" t="s">
        <v>153</v>
      </c>
      <c r="D156" s="42">
        <v>3</v>
      </c>
      <c r="E156" s="41">
        <v>6.5890621568196796E-4</v>
      </c>
    </row>
    <row r="157" spans="2:5" ht="15" customHeight="1">
      <c r="B157" s="85"/>
      <c r="C157" s="43" t="s">
        <v>152</v>
      </c>
      <c r="D157" s="42">
        <v>47</v>
      </c>
      <c r="E157" s="41">
        <v>1.0322864045684164E-2</v>
      </c>
    </row>
    <row r="158" spans="2:5" ht="15" customHeight="1">
      <c r="B158" s="85"/>
      <c r="C158" s="43" t="s">
        <v>151</v>
      </c>
      <c r="D158" s="42">
        <v>2</v>
      </c>
      <c r="E158" s="41">
        <v>4.392708104546453E-4</v>
      </c>
    </row>
    <row r="159" spans="2:5" ht="15" customHeight="1">
      <c r="B159" s="85"/>
      <c r="C159" s="43" t="s">
        <v>150</v>
      </c>
      <c r="D159" s="42">
        <v>8</v>
      </c>
      <c r="E159" s="41">
        <v>1.7570832418185812E-3</v>
      </c>
    </row>
    <row r="160" spans="2:5" ht="15" customHeight="1">
      <c r="B160" s="85"/>
      <c r="C160" s="43" t="s">
        <v>149</v>
      </c>
      <c r="D160" s="42">
        <v>28</v>
      </c>
      <c r="E160" s="41">
        <v>6.1497913463650338E-3</v>
      </c>
    </row>
    <row r="161" spans="2:5" ht="15" customHeight="1">
      <c r="B161" s="85"/>
      <c r="C161" s="43" t="s">
        <v>144</v>
      </c>
      <c r="D161" s="42">
        <v>6</v>
      </c>
      <c r="E161" s="41">
        <v>1.3178124313639359E-3</v>
      </c>
    </row>
    <row r="162" spans="2:5" ht="15" customHeight="1">
      <c r="B162" s="85"/>
      <c r="C162" s="43" t="s">
        <v>143</v>
      </c>
      <c r="D162" s="42">
        <v>6</v>
      </c>
      <c r="E162" s="41">
        <v>1.3178124313639359E-3</v>
      </c>
    </row>
    <row r="163" spans="2:5" ht="15" customHeight="1">
      <c r="B163" s="84"/>
      <c r="C163" s="40" t="s">
        <v>23</v>
      </c>
      <c r="D163" s="39">
        <v>140</v>
      </c>
      <c r="E163" s="38">
        <v>3.0748956731825171E-2</v>
      </c>
    </row>
    <row r="164" spans="2:5" ht="15" customHeight="1">
      <c r="B164" s="83" t="s">
        <v>172</v>
      </c>
      <c r="C164" s="43" t="s">
        <v>161</v>
      </c>
      <c r="D164" s="42">
        <v>1</v>
      </c>
      <c r="E164" s="41">
        <v>2.1963540522732265E-4</v>
      </c>
    </row>
    <row r="165" spans="2:5" ht="15" customHeight="1">
      <c r="B165" s="85"/>
      <c r="C165" s="43" t="s">
        <v>160</v>
      </c>
      <c r="D165" s="42">
        <v>1</v>
      </c>
      <c r="E165" s="41">
        <v>2.1963540522732265E-4</v>
      </c>
    </row>
    <row r="166" spans="2:5" ht="15" customHeight="1">
      <c r="B166" s="85"/>
      <c r="C166" s="43" t="s">
        <v>157</v>
      </c>
      <c r="D166" s="42">
        <v>2</v>
      </c>
      <c r="E166" s="41">
        <v>4.392708104546453E-4</v>
      </c>
    </row>
    <row r="167" spans="2:5" ht="15" customHeight="1">
      <c r="B167" s="85"/>
      <c r="C167" s="43" t="s">
        <v>156</v>
      </c>
      <c r="D167" s="42">
        <v>4</v>
      </c>
      <c r="E167" s="41">
        <v>8.7854162090929061E-4</v>
      </c>
    </row>
    <row r="168" spans="2:5" ht="15" customHeight="1">
      <c r="B168" s="85"/>
      <c r="C168" s="43" t="s">
        <v>155</v>
      </c>
      <c r="D168" s="42">
        <v>1</v>
      </c>
      <c r="E168" s="41">
        <v>2.1963540522732265E-4</v>
      </c>
    </row>
    <row r="169" spans="2:5" ht="15" customHeight="1">
      <c r="B169" s="85"/>
      <c r="C169" s="43" t="s">
        <v>154</v>
      </c>
      <c r="D169" s="42">
        <v>2</v>
      </c>
      <c r="E169" s="41">
        <v>4.392708104546453E-4</v>
      </c>
    </row>
    <row r="170" spans="2:5" ht="15" customHeight="1">
      <c r="B170" s="85"/>
      <c r="C170" s="43" t="s">
        <v>153</v>
      </c>
      <c r="D170" s="42">
        <v>1</v>
      </c>
      <c r="E170" s="41">
        <v>2.1963540522732265E-4</v>
      </c>
    </row>
    <row r="171" spans="2:5" ht="15" customHeight="1">
      <c r="B171" s="85"/>
      <c r="C171" s="43" t="s">
        <v>152</v>
      </c>
      <c r="D171" s="42">
        <v>7</v>
      </c>
      <c r="E171" s="41">
        <v>1.5374478365912585E-3</v>
      </c>
    </row>
    <row r="172" spans="2:5" ht="15" customHeight="1">
      <c r="B172" s="85"/>
      <c r="C172" s="43" t="s">
        <v>150</v>
      </c>
      <c r="D172" s="42">
        <v>4</v>
      </c>
      <c r="E172" s="41">
        <v>8.7854162090929061E-4</v>
      </c>
    </row>
    <row r="173" spans="2:5" ht="15" customHeight="1">
      <c r="B173" s="85"/>
      <c r="C173" s="43" t="s">
        <v>149</v>
      </c>
      <c r="D173" s="42">
        <v>4</v>
      </c>
      <c r="E173" s="41">
        <v>8.7854162090929061E-4</v>
      </c>
    </row>
    <row r="174" spans="2:5" ht="15" customHeight="1">
      <c r="B174" s="85"/>
      <c r="C174" s="43" t="s">
        <v>147</v>
      </c>
      <c r="D174" s="42">
        <v>1</v>
      </c>
      <c r="E174" s="41">
        <v>2.1963540522732265E-4</v>
      </c>
    </row>
    <row r="175" spans="2:5" ht="15" customHeight="1">
      <c r="B175" s="85"/>
      <c r="C175" s="43" t="s">
        <v>143</v>
      </c>
      <c r="D175" s="42">
        <v>2</v>
      </c>
      <c r="E175" s="41">
        <v>4.392708104546453E-4</v>
      </c>
    </row>
    <row r="176" spans="2:5" ht="15" customHeight="1">
      <c r="B176" s="84"/>
      <c r="C176" s="40" t="s">
        <v>23</v>
      </c>
      <c r="D176" s="39">
        <v>30</v>
      </c>
      <c r="E176" s="38">
        <v>6.5890621568196793E-3</v>
      </c>
    </row>
    <row r="177" spans="2:5" ht="15" customHeight="1">
      <c r="B177" s="83" t="s">
        <v>99</v>
      </c>
      <c r="C177" s="43" t="s">
        <v>158</v>
      </c>
      <c r="D177" s="42">
        <v>2</v>
      </c>
      <c r="E177" s="41">
        <v>4.392708104546453E-4</v>
      </c>
    </row>
    <row r="178" spans="2:5" ht="15" customHeight="1">
      <c r="B178" s="85"/>
      <c r="C178" s="43" t="s">
        <v>157</v>
      </c>
      <c r="D178" s="42">
        <v>4</v>
      </c>
      <c r="E178" s="41">
        <v>8.7854162090929061E-4</v>
      </c>
    </row>
    <row r="179" spans="2:5" ht="15" customHeight="1">
      <c r="B179" s="85"/>
      <c r="C179" s="43" t="s">
        <v>156</v>
      </c>
      <c r="D179" s="42">
        <v>5</v>
      </c>
      <c r="E179" s="41">
        <v>1.0981770261366132E-3</v>
      </c>
    </row>
    <row r="180" spans="2:5" ht="15" customHeight="1">
      <c r="B180" s="85"/>
      <c r="C180" s="43" t="s">
        <v>154</v>
      </c>
      <c r="D180" s="42">
        <v>1</v>
      </c>
      <c r="E180" s="41">
        <v>2.1963540522732265E-4</v>
      </c>
    </row>
    <row r="181" spans="2:5" ht="15" customHeight="1">
      <c r="B181" s="85"/>
      <c r="C181" s="43" t="s">
        <v>153</v>
      </c>
      <c r="D181" s="42">
        <v>1</v>
      </c>
      <c r="E181" s="41">
        <v>2.1963540522732265E-4</v>
      </c>
    </row>
    <row r="182" spans="2:5" ht="15" customHeight="1">
      <c r="B182" s="85"/>
      <c r="C182" s="43" t="s">
        <v>152</v>
      </c>
      <c r="D182" s="42">
        <v>15</v>
      </c>
      <c r="E182" s="41">
        <v>3.2945310784098397E-3</v>
      </c>
    </row>
    <row r="183" spans="2:5" ht="15" customHeight="1">
      <c r="B183" s="85"/>
      <c r="C183" s="43" t="s">
        <v>151</v>
      </c>
      <c r="D183" s="42">
        <v>1</v>
      </c>
      <c r="E183" s="41">
        <v>2.1963540522732265E-4</v>
      </c>
    </row>
    <row r="184" spans="2:5" ht="15" customHeight="1">
      <c r="B184" s="85"/>
      <c r="C184" s="43" t="s">
        <v>150</v>
      </c>
      <c r="D184" s="42">
        <v>4</v>
      </c>
      <c r="E184" s="41">
        <v>8.7854162090929061E-4</v>
      </c>
    </row>
    <row r="185" spans="2:5" ht="15" customHeight="1">
      <c r="B185" s="85"/>
      <c r="C185" s="43" t="s">
        <v>149</v>
      </c>
      <c r="D185" s="42">
        <v>2</v>
      </c>
      <c r="E185" s="41">
        <v>4.392708104546453E-4</v>
      </c>
    </row>
    <row r="186" spans="2:5" ht="15" customHeight="1">
      <c r="B186" s="85"/>
      <c r="C186" s="43" t="s">
        <v>144</v>
      </c>
      <c r="D186" s="42">
        <v>1</v>
      </c>
      <c r="E186" s="41">
        <v>2.1963540522732265E-4</v>
      </c>
    </row>
    <row r="187" spans="2:5" ht="15" customHeight="1">
      <c r="B187" s="84"/>
      <c r="C187" s="40" t="s">
        <v>23</v>
      </c>
      <c r="D187" s="39">
        <v>36</v>
      </c>
      <c r="E187" s="38">
        <v>7.9068745881836159E-3</v>
      </c>
    </row>
    <row r="188" spans="2:5" ht="15" customHeight="1">
      <c r="B188" s="83" t="s">
        <v>83</v>
      </c>
      <c r="C188" s="43" t="s">
        <v>157</v>
      </c>
      <c r="D188" s="42">
        <v>2</v>
      </c>
      <c r="E188" s="41">
        <v>4.392708104546453E-4</v>
      </c>
    </row>
    <row r="189" spans="2:5" ht="15" customHeight="1">
      <c r="B189" s="85"/>
      <c r="C189" s="43" t="s">
        <v>153</v>
      </c>
      <c r="D189" s="42">
        <v>1</v>
      </c>
      <c r="E189" s="41">
        <v>2.1963540522732265E-4</v>
      </c>
    </row>
    <row r="190" spans="2:5" ht="15" customHeight="1">
      <c r="B190" s="85"/>
      <c r="C190" s="43" t="s">
        <v>152</v>
      </c>
      <c r="D190" s="42">
        <v>1</v>
      </c>
      <c r="E190" s="41">
        <v>2.1963540522732265E-4</v>
      </c>
    </row>
    <row r="191" spans="2:5" ht="15" customHeight="1">
      <c r="B191" s="85"/>
      <c r="C191" s="43" t="s">
        <v>149</v>
      </c>
      <c r="D191" s="42">
        <v>1</v>
      </c>
      <c r="E191" s="41">
        <v>2.1963540522732265E-4</v>
      </c>
    </row>
    <row r="192" spans="2:5" ht="15" customHeight="1">
      <c r="B192" s="85"/>
      <c r="C192" s="43" t="s">
        <v>144</v>
      </c>
      <c r="D192" s="42">
        <v>1</v>
      </c>
      <c r="E192" s="41">
        <v>2.1963540522732265E-4</v>
      </c>
    </row>
    <row r="193" spans="2:5" ht="15" customHeight="1">
      <c r="B193" s="84"/>
      <c r="C193" s="40" t="s">
        <v>23</v>
      </c>
      <c r="D193" s="39">
        <v>6</v>
      </c>
      <c r="E193" s="38">
        <v>1.3178124313639359E-3</v>
      </c>
    </row>
    <row r="194" spans="2:5" ht="15" customHeight="1">
      <c r="B194" s="83" t="s">
        <v>106</v>
      </c>
      <c r="C194" s="43" t="s">
        <v>163</v>
      </c>
      <c r="D194" s="42">
        <v>1</v>
      </c>
      <c r="E194" s="41">
        <v>2.1963540522732265E-4</v>
      </c>
    </row>
    <row r="195" spans="2:5" ht="15" customHeight="1">
      <c r="B195" s="85"/>
      <c r="C195" s="43" t="s">
        <v>162</v>
      </c>
      <c r="D195" s="42">
        <v>1</v>
      </c>
      <c r="E195" s="41">
        <v>2.1963540522732265E-4</v>
      </c>
    </row>
    <row r="196" spans="2:5" ht="15" customHeight="1">
      <c r="B196" s="85"/>
      <c r="C196" s="43" t="s">
        <v>160</v>
      </c>
      <c r="D196" s="42">
        <v>3</v>
      </c>
      <c r="E196" s="41">
        <v>6.5890621568196796E-4</v>
      </c>
    </row>
    <row r="197" spans="2:5" ht="15" customHeight="1">
      <c r="B197" s="85"/>
      <c r="C197" s="43" t="s">
        <v>159</v>
      </c>
      <c r="D197" s="42">
        <v>1</v>
      </c>
      <c r="E197" s="41">
        <v>2.1963540522732265E-4</v>
      </c>
    </row>
    <row r="198" spans="2:5" ht="15" customHeight="1">
      <c r="B198" s="85"/>
      <c r="C198" s="43" t="s">
        <v>158</v>
      </c>
      <c r="D198" s="42">
        <v>7</v>
      </c>
      <c r="E198" s="41">
        <v>1.5374478365912585E-3</v>
      </c>
    </row>
    <row r="199" spans="2:5" ht="15" customHeight="1">
      <c r="B199" s="85"/>
      <c r="C199" s="43" t="s">
        <v>157</v>
      </c>
      <c r="D199" s="42">
        <v>20</v>
      </c>
      <c r="E199" s="41">
        <v>4.3927081045464526E-3</v>
      </c>
    </row>
    <row r="200" spans="2:5" ht="15" customHeight="1">
      <c r="B200" s="85"/>
      <c r="C200" s="43" t="s">
        <v>156</v>
      </c>
      <c r="D200" s="42">
        <v>19</v>
      </c>
      <c r="E200" s="41">
        <v>4.1730726993191303E-3</v>
      </c>
    </row>
    <row r="201" spans="2:5" ht="15" customHeight="1">
      <c r="B201" s="85"/>
      <c r="C201" s="43" t="s">
        <v>155</v>
      </c>
      <c r="D201" s="42">
        <v>2</v>
      </c>
      <c r="E201" s="41">
        <v>4.392708104546453E-4</v>
      </c>
    </row>
    <row r="202" spans="2:5" ht="15" customHeight="1">
      <c r="B202" s="85"/>
      <c r="C202" s="43" t="s">
        <v>154</v>
      </c>
      <c r="D202" s="42">
        <v>11</v>
      </c>
      <c r="E202" s="41">
        <v>2.4159894575005491E-3</v>
      </c>
    </row>
    <row r="203" spans="2:5" ht="15" customHeight="1">
      <c r="B203" s="85"/>
      <c r="C203" s="43" t="s">
        <v>153</v>
      </c>
      <c r="D203" s="42">
        <v>11</v>
      </c>
      <c r="E203" s="41">
        <v>2.4159894575005491E-3</v>
      </c>
    </row>
    <row r="204" spans="2:5" ht="15" customHeight="1">
      <c r="B204" s="85"/>
      <c r="C204" s="43" t="s">
        <v>152</v>
      </c>
      <c r="D204" s="42">
        <v>76</v>
      </c>
      <c r="E204" s="41">
        <v>1.6692290797276521E-2</v>
      </c>
    </row>
    <row r="205" spans="2:5" ht="15" customHeight="1">
      <c r="B205" s="85"/>
      <c r="C205" s="43" t="s">
        <v>151</v>
      </c>
      <c r="D205" s="42">
        <v>3</v>
      </c>
      <c r="E205" s="41">
        <v>6.5890621568196796E-4</v>
      </c>
    </row>
    <row r="206" spans="2:5" ht="15" customHeight="1">
      <c r="B206" s="85"/>
      <c r="C206" s="43" t="s">
        <v>150</v>
      </c>
      <c r="D206" s="42">
        <v>14</v>
      </c>
      <c r="E206" s="41">
        <v>3.0748956731825169E-3</v>
      </c>
    </row>
    <row r="207" spans="2:5" ht="15" customHeight="1">
      <c r="B207" s="85"/>
      <c r="C207" s="43" t="s">
        <v>149</v>
      </c>
      <c r="D207" s="42">
        <v>39</v>
      </c>
      <c r="E207" s="41">
        <v>8.5657808038655837E-3</v>
      </c>
    </row>
    <row r="208" spans="2:5" ht="15" customHeight="1">
      <c r="B208" s="85"/>
      <c r="C208" s="43" t="s">
        <v>144</v>
      </c>
      <c r="D208" s="42">
        <v>1</v>
      </c>
      <c r="E208" s="41">
        <v>2.1963540522732265E-4</v>
      </c>
    </row>
    <row r="209" spans="2:5" ht="15" customHeight="1">
      <c r="B209" s="85"/>
      <c r="C209" s="43" t="s">
        <v>143</v>
      </c>
      <c r="D209" s="42">
        <v>7</v>
      </c>
      <c r="E209" s="41">
        <v>1.5374478365912585E-3</v>
      </c>
    </row>
    <row r="210" spans="2:5" ht="15" customHeight="1">
      <c r="B210" s="84"/>
      <c r="C210" s="40" t="s">
        <v>23</v>
      </c>
      <c r="D210" s="39">
        <v>216</v>
      </c>
      <c r="E210" s="38">
        <v>4.7441247529101692E-2</v>
      </c>
    </row>
    <row r="211" spans="2:5" ht="15" customHeight="1">
      <c r="B211" s="83" t="s">
        <v>110</v>
      </c>
      <c r="C211" s="43" t="s">
        <v>159</v>
      </c>
      <c r="D211" s="42">
        <v>2</v>
      </c>
      <c r="E211" s="41">
        <v>4.392708104546453E-4</v>
      </c>
    </row>
    <row r="212" spans="2:5" ht="15" customHeight="1">
      <c r="B212" s="85"/>
      <c r="C212" s="43" t="s">
        <v>157</v>
      </c>
      <c r="D212" s="42">
        <v>3</v>
      </c>
      <c r="E212" s="41">
        <v>6.5890621568196796E-4</v>
      </c>
    </row>
    <row r="213" spans="2:5" ht="15" customHeight="1">
      <c r="B213" s="85"/>
      <c r="C213" s="43" t="s">
        <v>156</v>
      </c>
      <c r="D213" s="42">
        <v>10</v>
      </c>
      <c r="E213" s="41">
        <v>2.1963540522732263E-3</v>
      </c>
    </row>
    <row r="214" spans="2:5" ht="15" customHeight="1">
      <c r="B214" s="85"/>
      <c r="C214" s="43" t="s">
        <v>155</v>
      </c>
      <c r="D214" s="42">
        <v>2</v>
      </c>
      <c r="E214" s="41">
        <v>4.392708104546453E-4</v>
      </c>
    </row>
    <row r="215" spans="2:5" ht="15" customHeight="1">
      <c r="B215" s="85"/>
      <c r="C215" s="43" t="s">
        <v>154</v>
      </c>
      <c r="D215" s="42">
        <v>5</v>
      </c>
      <c r="E215" s="41">
        <v>1.0981770261366132E-3</v>
      </c>
    </row>
    <row r="216" spans="2:5" ht="15" customHeight="1">
      <c r="B216" s="85"/>
      <c r="C216" s="43" t="s">
        <v>152</v>
      </c>
      <c r="D216" s="42">
        <v>16</v>
      </c>
      <c r="E216" s="41">
        <v>3.5141664836371624E-3</v>
      </c>
    </row>
    <row r="217" spans="2:5" ht="15" customHeight="1">
      <c r="B217" s="85"/>
      <c r="C217" s="43" t="s">
        <v>150</v>
      </c>
      <c r="D217" s="42">
        <v>2</v>
      </c>
      <c r="E217" s="41">
        <v>4.392708104546453E-4</v>
      </c>
    </row>
    <row r="218" spans="2:5" ht="15" customHeight="1">
      <c r="B218" s="85"/>
      <c r="C218" s="43" t="s">
        <v>149</v>
      </c>
      <c r="D218" s="42">
        <v>9</v>
      </c>
      <c r="E218" s="41">
        <v>1.976718647045904E-3</v>
      </c>
    </row>
    <row r="219" spans="2:5" ht="15" customHeight="1">
      <c r="B219" s="85"/>
      <c r="C219" s="43" t="s">
        <v>144</v>
      </c>
      <c r="D219" s="42">
        <v>1</v>
      </c>
      <c r="E219" s="41">
        <v>2.1963540522732265E-4</v>
      </c>
    </row>
    <row r="220" spans="2:5" ht="15" customHeight="1">
      <c r="B220" s="85"/>
      <c r="C220" s="43" t="s">
        <v>143</v>
      </c>
      <c r="D220" s="42">
        <v>2</v>
      </c>
      <c r="E220" s="41">
        <v>4.392708104546453E-4</v>
      </c>
    </row>
    <row r="221" spans="2:5" ht="15" customHeight="1">
      <c r="B221" s="85"/>
      <c r="C221" s="43" t="s">
        <v>168</v>
      </c>
      <c r="D221" s="42">
        <v>1</v>
      </c>
      <c r="E221" s="41">
        <v>2.1963540522732265E-4</v>
      </c>
    </row>
    <row r="222" spans="2:5" ht="15" customHeight="1">
      <c r="B222" s="84"/>
      <c r="C222" s="40" t="s">
        <v>23</v>
      </c>
      <c r="D222" s="39">
        <v>53</v>
      </c>
      <c r="E222" s="38">
        <v>1.16406764770481E-2</v>
      </c>
    </row>
    <row r="223" spans="2:5" ht="15" customHeight="1">
      <c r="B223" s="83" t="s">
        <v>171</v>
      </c>
      <c r="C223" s="43" t="s">
        <v>163</v>
      </c>
      <c r="D223" s="42">
        <v>15</v>
      </c>
      <c r="E223" s="41">
        <v>3.2945310784098397E-3</v>
      </c>
    </row>
    <row r="224" spans="2:5" ht="15" customHeight="1">
      <c r="B224" s="85"/>
      <c r="C224" s="43" t="s">
        <v>162</v>
      </c>
      <c r="D224" s="42">
        <v>13</v>
      </c>
      <c r="E224" s="41">
        <v>2.8552602679551946E-3</v>
      </c>
    </row>
    <row r="225" spans="2:5" ht="15" customHeight="1">
      <c r="B225" s="85"/>
      <c r="C225" s="43" t="s">
        <v>161</v>
      </c>
      <c r="D225" s="42">
        <v>15</v>
      </c>
      <c r="E225" s="41">
        <v>3.2945310784098397E-3</v>
      </c>
    </row>
    <row r="226" spans="2:5" ht="15" customHeight="1">
      <c r="B226" s="85"/>
      <c r="C226" s="43" t="s">
        <v>160</v>
      </c>
      <c r="D226" s="42">
        <v>12</v>
      </c>
      <c r="E226" s="41">
        <v>2.6356248627278718E-3</v>
      </c>
    </row>
    <row r="227" spans="2:5" ht="15" customHeight="1">
      <c r="B227" s="85"/>
      <c r="C227" s="43" t="s">
        <v>159</v>
      </c>
      <c r="D227" s="42">
        <v>7</v>
      </c>
      <c r="E227" s="41">
        <v>1.5374478365912585E-3</v>
      </c>
    </row>
    <row r="228" spans="2:5" ht="15" customHeight="1">
      <c r="B228" s="85"/>
      <c r="C228" s="43" t="s">
        <v>158</v>
      </c>
      <c r="D228" s="42">
        <v>11</v>
      </c>
      <c r="E228" s="41">
        <v>2.4159894575005491E-3</v>
      </c>
    </row>
    <row r="229" spans="2:5" ht="15" customHeight="1">
      <c r="B229" s="85"/>
      <c r="C229" s="43" t="s">
        <v>157</v>
      </c>
      <c r="D229" s="42">
        <v>58</v>
      </c>
      <c r="E229" s="41">
        <v>1.2738853503184714E-2</v>
      </c>
    </row>
    <row r="230" spans="2:5" ht="15" customHeight="1">
      <c r="B230" s="85"/>
      <c r="C230" s="43" t="s">
        <v>156</v>
      </c>
      <c r="D230" s="42">
        <v>147</v>
      </c>
      <c r="E230" s="41">
        <v>3.228640456841643E-2</v>
      </c>
    </row>
    <row r="231" spans="2:5" ht="15" customHeight="1">
      <c r="B231" s="85"/>
      <c r="C231" s="43" t="s">
        <v>155</v>
      </c>
      <c r="D231" s="42">
        <v>11</v>
      </c>
      <c r="E231" s="41">
        <v>2.4159894575005491E-3</v>
      </c>
    </row>
    <row r="232" spans="2:5" ht="15" customHeight="1">
      <c r="B232" s="85"/>
      <c r="C232" s="43" t="s">
        <v>154</v>
      </c>
      <c r="D232" s="42">
        <v>27</v>
      </c>
      <c r="E232" s="41">
        <v>5.9301559411377115E-3</v>
      </c>
    </row>
    <row r="233" spans="2:5" ht="15" customHeight="1">
      <c r="B233" s="85"/>
      <c r="C233" s="43" t="s">
        <v>153</v>
      </c>
      <c r="D233" s="42">
        <v>14</v>
      </c>
      <c r="E233" s="41">
        <v>3.0748956731825169E-3</v>
      </c>
    </row>
    <row r="234" spans="2:5" ht="15" customHeight="1">
      <c r="B234" s="85"/>
      <c r="C234" s="43" t="s">
        <v>152</v>
      </c>
      <c r="D234" s="42">
        <v>345</v>
      </c>
      <c r="E234" s="41">
        <v>7.5774214803426318E-2</v>
      </c>
    </row>
    <row r="235" spans="2:5" ht="15" customHeight="1">
      <c r="B235" s="85"/>
      <c r="C235" s="43" t="s">
        <v>151</v>
      </c>
      <c r="D235" s="42">
        <v>17</v>
      </c>
      <c r="E235" s="41">
        <v>3.7338018888644848E-3</v>
      </c>
    </row>
    <row r="236" spans="2:5" ht="15" customHeight="1">
      <c r="B236" s="85"/>
      <c r="C236" s="43" t="s">
        <v>150</v>
      </c>
      <c r="D236" s="42">
        <v>59</v>
      </c>
      <c r="E236" s="41">
        <v>1.2958488908412035E-2</v>
      </c>
    </row>
    <row r="237" spans="2:5" ht="15" customHeight="1">
      <c r="B237" s="85"/>
      <c r="C237" s="43" t="s">
        <v>149</v>
      </c>
      <c r="D237" s="42">
        <v>225</v>
      </c>
      <c r="E237" s="41">
        <v>4.9417966176147597E-2</v>
      </c>
    </row>
    <row r="238" spans="2:5" ht="15" customHeight="1">
      <c r="B238" s="85"/>
      <c r="C238" s="43" t="s">
        <v>148</v>
      </c>
      <c r="D238" s="42">
        <v>3</v>
      </c>
      <c r="E238" s="41">
        <v>6.5890621568196796E-4</v>
      </c>
    </row>
    <row r="239" spans="2:5" ht="15" customHeight="1">
      <c r="B239" s="85"/>
      <c r="C239" s="43" t="s">
        <v>147</v>
      </c>
      <c r="D239" s="42">
        <v>4</v>
      </c>
      <c r="E239" s="41">
        <v>8.7854162090929061E-4</v>
      </c>
    </row>
    <row r="240" spans="2:5" ht="15" customHeight="1">
      <c r="B240" s="85"/>
      <c r="C240" s="43" t="s">
        <v>146</v>
      </c>
      <c r="D240" s="42">
        <v>5</v>
      </c>
      <c r="E240" s="41">
        <v>1.0981770261366132E-3</v>
      </c>
    </row>
    <row r="241" spans="2:5" ht="15" customHeight="1">
      <c r="B241" s="85"/>
      <c r="C241" s="43" t="s">
        <v>144</v>
      </c>
      <c r="D241" s="42">
        <v>21</v>
      </c>
      <c r="E241" s="41">
        <v>4.6123435097737758E-3</v>
      </c>
    </row>
    <row r="242" spans="2:5" ht="15" customHeight="1">
      <c r="B242" s="85"/>
      <c r="C242" s="43" t="s">
        <v>143</v>
      </c>
      <c r="D242" s="42">
        <v>32</v>
      </c>
      <c r="E242" s="41">
        <v>7.0283329672743249E-3</v>
      </c>
    </row>
    <row r="243" spans="2:5" ht="15" customHeight="1">
      <c r="B243" s="85"/>
      <c r="C243" s="43" t="s">
        <v>168</v>
      </c>
      <c r="D243" s="42">
        <v>1</v>
      </c>
      <c r="E243" s="41">
        <v>2.1963540522732265E-4</v>
      </c>
    </row>
    <row r="244" spans="2:5" ht="15" customHeight="1">
      <c r="B244" s="85"/>
      <c r="C244" s="43" t="s">
        <v>141</v>
      </c>
      <c r="D244" s="42">
        <v>1</v>
      </c>
      <c r="E244" s="41">
        <v>2.1963540522732265E-4</v>
      </c>
    </row>
    <row r="245" spans="2:5" ht="15" customHeight="1">
      <c r="B245" s="84"/>
      <c r="C245" s="40" t="s">
        <v>23</v>
      </c>
      <c r="D245" s="39">
        <v>1043</v>
      </c>
      <c r="E245" s="38">
        <v>0.22907972765209753</v>
      </c>
    </row>
    <row r="246" spans="2:5" ht="15" customHeight="1">
      <c r="B246" s="83" t="s">
        <v>170</v>
      </c>
      <c r="C246" s="43" t="s">
        <v>157</v>
      </c>
      <c r="D246" s="42">
        <v>2</v>
      </c>
      <c r="E246" s="41">
        <v>4.392708104546453E-4</v>
      </c>
    </row>
    <row r="247" spans="2:5" ht="15" customHeight="1">
      <c r="B247" s="85"/>
      <c r="C247" s="43" t="s">
        <v>156</v>
      </c>
      <c r="D247" s="42">
        <v>2</v>
      </c>
      <c r="E247" s="41">
        <v>4.392708104546453E-4</v>
      </c>
    </row>
    <row r="248" spans="2:5" ht="15" customHeight="1">
      <c r="B248" s="85"/>
      <c r="C248" s="43" t="s">
        <v>152</v>
      </c>
      <c r="D248" s="42">
        <v>6</v>
      </c>
      <c r="E248" s="41">
        <v>1.3178124313639359E-3</v>
      </c>
    </row>
    <row r="249" spans="2:5" ht="15" customHeight="1">
      <c r="B249" s="85"/>
      <c r="C249" s="43" t="s">
        <v>151</v>
      </c>
      <c r="D249" s="42">
        <v>1</v>
      </c>
      <c r="E249" s="41">
        <v>2.1963540522732265E-4</v>
      </c>
    </row>
    <row r="250" spans="2:5" ht="15" customHeight="1">
      <c r="B250" s="85"/>
      <c r="C250" s="43" t="s">
        <v>150</v>
      </c>
      <c r="D250" s="42">
        <v>2</v>
      </c>
      <c r="E250" s="41">
        <v>4.392708104546453E-4</v>
      </c>
    </row>
    <row r="251" spans="2:5" ht="15" customHeight="1">
      <c r="B251" s="85"/>
      <c r="C251" s="43" t="s">
        <v>149</v>
      </c>
      <c r="D251" s="42">
        <v>2</v>
      </c>
      <c r="E251" s="41">
        <v>4.392708104546453E-4</v>
      </c>
    </row>
    <row r="252" spans="2:5" ht="15" customHeight="1">
      <c r="B252" s="85"/>
      <c r="C252" s="43" t="s">
        <v>143</v>
      </c>
      <c r="D252" s="42">
        <v>1</v>
      </c>
      <c r="E252" s="41">
        <v>2.1963540522732265E-4</v>
      </c>
    </row>
    <row r="253" spans="2:5" ht="15" customHeight="1">
      <c r="B253" s="84"/>
      <c r="C253" s="40" t="s">
        <v>23</v>
      </c>
      <c r="D253" s="39">
        <v>16</v>
      </c>
      <c r="E253" s="38">
        <v>3.5141664836371624E-3</v>
      </c>
    </row>
    <row r="254" spans="2:5" ht="15" customHeight="1">
      <c r="B254" s="83" t="s">
        <v>96</v>
      </c>
      <c r="C254" s="43" t="s">
        <v>163</v>
      </c>
      <c r="D254" s="42">
        <v>1</v>
      </c>
      <c r="E254" s="41">
        <v>2.1963540522732265E-4</v>
      </c>
    </row>
    <row r="255" spans="2:5" ht="15" customHeight="1">
      <c r="B255" s="85"/>
      <c r="C255" s="43" t="s">
        <v>160</v>
      </c>
      <c r="D255" s="42">
        <v>1</v>
      </c>
      <c r="E255" s="41">
        <v>2.1963540522732265E-4</v>
      </c>
    </row>
    <row r="256" spans="2:5" ht="15" customHeight="1">
      <c r="B256" s="85"/>
      <c r="C256" s="43" t="s">
        <v>157</v>
      </c>
      <c r="D256" s="42">
        <v>2</v>
      </c>
      <c r="E256" s="41">
        <v>4.392708104546453E-4</v>
      </c>
    </row>
    <row r="257" spans="2:5" ht="15" customHeight="1">
      <c r="B257" s="85"/>
      <c r="C257" s="43" t="s">
        <v>156</v>
      </c>
      <c r="D257" s="42">
        <v>3</v>
      </c>
      <c r="E257" s="41">
        <v>6.5890621568196796E-4</v>
      </c>
    </row>
    <row r="258" spans="2:5" ht="15" customHeight="1">
      <c r="B258" s="85"/>
      <c r="C258" s="43" t="s">
        <v>155</v>
      </c>
      <c r="D258" s="42">
        <v>1</v>
      </c>
      <c r="E258" s="41">
        <v>2.1963540522732265E-4</v>
      </c>
    </row>
    <row r="259" spans="2:5" ht="15" customHeight="1">
      <c r="B259" s="85"/>
      <c r="C259" s="43" t="s">
        <v>153</v>
      </c>
      <c r="D259" s="42">
        <v>2</v>
      </c>
      <c r="E259" s="41">
        <v>4.392708104546453E-4</v>
      </c>
    </row>
    <row r="260" spans="2:5" ht="15" customHeight="1">
      <c r="B260" s="85"/>
      <c r="C260" s="43" t="s">
        <v>152</v>
      </c>
      <c r="D260" s="42">
        <v>5</v>
      </c>
      <c r="E260" s="41">
        <v>1.0981770261366132E-3</v>
      </c>
    </row>
    <row r="261" spans="2:5" ht="15" customHeight="1">
      <c r="B261" s="85"/>
      <c r="C261" s="43" t="s">
        <v>150</v>
      </c>
      <c r="D261" s="42">
        <v>2</v>
      </c>
      <c r="E261" s="41">
        <v>4.392708104546453E-4</v>
      </c>
    </row>
    <row r="262" spans="2:5" ht="15" customHeight="1">
      <c r="B262" s="85"/>
      <c r="C262" s="43" t="s">
        <v>149</v>
      </c>
      <c r="D262" s="42">
        <v>1</v>
      </c>
      <c r="E262" s="41">
        <v>2.1963540522732265E-4</v>
      </c>
    </row>
    <row r="263" spans="2:5" ht="15" customHeight="1">
      <c r="B263" s="84"/>
      <c r="C263" s="40" t="s">
        <v>23</v>
      </c>
      <c r="D263" s="39">
        <v>18</v>
      </c>
      <c r="E263" s="38">
        <v>3.9534372940918079E-3</v>
      </c>
    </row>
    <row r="264" spans="2:5" ht="15" customHeight="1">
      <c r="B264" s="83" t="s">
        <v>95</v>
      </c>
      <c r="C264" s="43" t="s">
        <v>156</v>
      </c>
      <c r="D264" s="42">
        <v>1</v>
      </c>
      <c r="E264" s="41">
        <v>2.1963540522732265E-4</v>
      </c>
    </row>
    <row r="265" spans="2:5" ht="15" customHeight="1">
      <c r="B265" s="85"/>
      <c r="C265" s="43" t="s">
        <v>152</v>
      </c>
      <c r="D265" s="42">
        <v>3</v>
      </c>
      <c r="E265" s="41">
        <v>6.5890621568196796E-4</v>
      </c>
    </row>
    <row r="266" spans="2:5" ht="15" customHeight="1">
      <c r="B266" s="85"/>
      <c r="C266" s="43" t="s">
        <v>150</v>
      </c>
      <c r="D266" s="42">
        <v>2</v>
      </c>
      <c r="E266" s="41">
        <v>4.392708104546453E-4</v>
      </c>
    </row>
    <row r="267" spans="2:5" ht="15" customHeight="1">
      <c r="B267" s="85"/>
      <c r="C267" s="43" t="s">
        <v>149</v>
      </c>
      <c r="D267" s="42">
        <v>2</v>
      </c>
      <c r="E267" s="41">
        <v>4.392708104546453E-4</v>
      </c>
    </row>
    <row r="268" spans="2:5" ht="15" customHeight="1">
      <c r="B268" s="85"/>
      <c r="C268" s="43" t="s">
        <v>145</v>
      </c>
      <c r="D268" s="42">
        <v>1</v>
      </c>
      <c r="E268" s="41">
        <v>2.1963540522732265E-4</v>
      </c>
    </row>
    <row r="269" spans="2:5" ht="15" customHeight="1">
      <c r="B269" s="84"/>
      <c r="C269" s="40" t="s">
        <v>23</v>
      </c>
      <c r="D269" s="39">
        <v>9</v>
      </c>
      <c r="E269" s="38">
        <v>1.976718647045904E-3</v>
      </c>
    </row>
    <row r="270" spans="2:5" ht="15" customHeight="1">
      <c r="B270" s="83" t="s">
        <v>76</v>
      </c>
      <c r="C270" s="43" t="s">
        <v>152</v>
      </c>
      <c r="D270" s="42">
        <v>1</v>
      </c>
      <c r="E270" s="41">
        <v>2.1963540522732265E-4</v>
      </c>
    </row>
    <row r="271" spans="2:5" ht="15" customHeight="1">
      <c r="B271" s="84"/>
      <c r="C271" s="40" t="s">
        <v>23</v>
      </c>
      <c r="D271" s="39">
        <v>1</v>
      </c>
      <c r="E271" s="38">
        <v>2.1963540522732265E-4</v>
      </c>
    </row>
    <row r="272" spans="2:5" ht="15" customHeight="1">
      <c r="B272" s="83" t="s">
        <v>88</v>
      </c>
      <c r="C272" s="43" t="s">
        <v>156</v>
      </c>
      <c r="D272" s="42">
        <v>2</v>
      </c>
      <c r="E272" s="41">
        <v>4.392708104546453E-4</v>
      </c>
    </row>
    <row r="273" spans="2:5" ht="15" customHeight="1">
      <c r="B273" s="85"/>
      <c r="C273" s="43" t="s">
        <v>155</v>
      </c>
      <c r="D273" s="42">
        <v>1</v>
      </c>
      <c r="E273" s="41">
        <v>2.1963540522732265E-4</v>
      </c>
    </row>
    <row r="274" spans="2:5" ht="15" customHeight="1">
      <c r="B274" s="85"/>
      <c r="C274" s="43" t="s">
        <v>154</v>
      </c>
      <c r="D274" s="42">
        <v>1</v>
      </c>
      <c r="E274" s="41">
        <v>2.1963540522732265E-4</v>
      </c>
    </row>
    <row r="275" spans="2:5" ht="15" customHeight="1">
      <c r="B275" s="85"/>
      <c r="C275" s="43" t="s">
        <v>152</v>
      </c>
      <c r="D275" s="42">
        <v>3</v>
      </c>
      <c r="E275" s="41">
        <v>6.5890621568196796E-4</v>
      </c>
    </row>
    <row r="276" spans="2:5" ht="15" customHeight="1">
      <c r="B276" s="85"/>
      <c r="C276" s="43" t="s">
        <v>151</v>
      </c>
      <c r="D276" s="42">
        <v>1</v>
      </c>
      <c r="E276" s="41">
        <v>2.1963540522732265E-4</v>
      </c>
    </row>
    <row r="277" spans="2:5" ht="15" customHeight="1">
      <c r="B277" s="85"/>
      <c r="C277" s="43" t="s">
        <v>150</v>
      </c>
      <c r="D277" s="42">
        <v>1</v>
      </c>
      <c r="E277" s="41">
        <v>2.1963540522732265E-4</v>
      </c>
    </row>
    <row r="278" spans="2:5" ht="15" customHeight="1">
      <c r="B278" s="85"/>
      <c r="C278" s="43" t="s">
        <v>149</v>
      </c>
      <c r="D278" s="42">
        <v>1</v>
      </c>
      <c r="E278" s="41">
        <v>2.1963540522732265E-4</v>
      </c>
    </row>
    <row r="279" spans="2:5" ht="15" customHeight="1">
      <c r="B279" s="85"/>
      <c r="C279" s="43" t="s">
        <v>143</v>
      </c>
      <c r="D279" s="42">
        <v>1</v>
      </c>
      <c r="E279" s="41">
        <v>2.1963540522732265E-4</v>
      </c>
    </row>
    <row r="280" spans="2:5" ht="15" customHeight="1">
      <c r="B280" s="84"/>
      <c r="C280" s="40" t="s">
        <v>23</v>
      </c>
      <c r="D280" s="39">
        <v>11</v>
      </c>
      <c r="E280" s="38">
        <v>2.4159894575005491E-3</v>
      </c>
    </row>
    <row r="281" spans="2:5" ht="15" customHeight="1">
      <c r="B281" s="83" t="s">
        <v>117</v>
      </c>
      <c r="C281" s="43" t="s">
        <v>162</v>
      </c>
      <c r="D281" s="42">
        <v>1</v>
      </c>
      <c r="E281" s="41">
        <v>2.1963540522732265E-4</v>
      </c>
    </row>
    <row r="282" spans="2:5" ht="15" customHeight="1">
      <c r="B282" s="85"/>
      <c r="C282" s="43" t="s">
        <v>157</v>
      </c>
      <c r="D282" s="42">
        <v>2</v>
      </c>
      <c r="E282" s="41">
        <v>4.392708104546453E-4</v>
      </c>
    </row>
    <row r="283" spans="2:5" ht="15" customHeight="1">
      <c r="B283" s="85"/>
      <c r="C283" s="43" t="s">
        <v>152</v>
      </c>
      <c r="D283" s="42">
        <v>2</v>
      </c>
      <c r="E283" s="41">
        <v>4.392708104546453E-4</v>
      </c>
    </row>
    <row r="284" spans="2:5" ht="15" customHeight="1">
      <c r="B284" s="85"/>
      <c r="C284" s="43" t="s">
        <v>150</v>
      </c>
      <c r="D284" s="42">
        <v>2</v>
      </c>
      <c r="E284" s="41">
        <v>4.392708104546453E-4</v>
      </c>
    </row>
    <row r="285" spans="2:5" ht="15" customHeight="1">
      <c r="B285" s="85"/>
      <c r="C285" s="43" t="s">
        <v>149</v>
      </c>
      <c r="D285" s="42">
        <v>4</v>
      </c>
      <c r="E285" s="41">
        <v>8.7854162090929061E-4</v>
      </c>
    </row>
    <row r="286" spans="2:5" ht="15" customHeight="1">
      <c r="B286" s="85"/>
      <c r="C286" s="43" t="s">
        <v>143</v>
      </c>
      <c r="D286" s="42">
        <v>3</v>
      </c>
      <c r="E286" s="41">
        <v>6.5890621568196796E-4</v>
      </c>
    </row>
    <row r="287" spans="2:5" ht="15" customHeight="1">
      <c r="B287" s="84"/>
      <c r="C287" s="40" t="s">
        <v>23</v>
      </c>
      <c r="D287" s="39">
        <v>14</v>
      </c>
      <c r="E287" s="38">
        <v>3.0748956731825169E-3</v>
      </c>
    </row>
    <row r="288" spans="2:5" ht="15" customHeight="1">
      <c r="B288" s="83" t="s">
        <v>90</v>
      </c>
      <c r="C288" s="43" t="s">
        <v>157</v>
      </c>
      <c r="D288" s="42">
        <v>1</v>
      </c>
      <c r="E288" s="41">
        <v>2.1963540522732265E-4</v>
      </c>
    </row>
    <row r="289" spans="2:5" ht="15" customHeight="1">
      <c r="B289" s="85"/>
      <c r="C289" s="43" t="s">
        <v>156</v>
      </c>
      <c r="D289" s="42">
        <v>1</v>
      </c>
      <c r="E289" s="41">
        <v>2.1963540522732265E-4</v>
      </c>
    </row>
    <row r="290" spans="2:5" ht="15" customHeight="1">
      <c r="B290" s="85"/>
      <c r="C290" s="43" t="s">
        <v>154</v>
      </c>
      <c r="D290" s="42">
        <v>2</v>
      </c>
      <c r="E290" s="41">
        <v>4.392708104546453E-4</v>
      </c>
    </row>
    <row r="291" spans="2:5" ht="15" customHeight="1">
      <c r="B291" s="85"/>
      <c r="C291" s="43" t="s">
        <v>153</v>
      </c>
      <c r="D291" s="42">
        <v>3</v>
      </c>
      <c r="E291" s="41">
        <v>6.5890621568196796E-4</v>
      </c>
    </row>
    <row r="292" spans="2:5" ht="15" customHeight="1">
      <c r="B292" s="85"/>
      <c r="C292" s="43" t="s">
        <v>152</v>
      </c>
      <c r="D292" s="42">
        <v>4</v>
      </c>
      <c r="E292" s="41">
        <v>8.7854162090929061E-4</v>
      </c>
    </row>
    <row r="293" spans="2:5" ht="15" customHeight="1">
      <c r="B293" s="85"/>
      <c r="C293" s="43" t="s">
        <v>150</v>
      </c>
      <c r="D293" s="42">
        <v>2</v>
      </c>
      <c r="E293" s="41">
        <v>4.392708104546453E-4</v>
      </c>
    </row>
    <row r="294" spans="2:5" ht="15" customHeight="1">
      <c r="B294" s="85"/>
      <c r="C294" s="43" t="s">
        <v>149</v>
      </c>
      <c r="D294" s="42">
        <v>5</v>
      </c>
      <c r="E294" s="41">
        <v>1.0981770261366132E-3</v>
      </c>
    </row>
    <row r="295" spans="2:5" ht="15" customHeight="1">
      <c r="B295" s="85"/>
      <c r="C295" s="43" t="s">
        <v>147</v>
      </c>
      <c r="D295" s="42">
        <v>1</v>
      </c>
      <c r="E295" s="41">
        <v>2.1963540522732265E-4</v>
      </c>
    </row>
    <row r="296" spans="2:5" ht="15" customHeight="1">
      <c r="B296" s="85"/>
      <c r="C296" s="43" t="s">
        <v>146</v>
      </c>
      <c r="D296" s="42">
        <v>1</v>
      </c>
      <c r="E296" s="41">
        <v>2.1963540522732265E-4</v>
      </c>
    </row>
    <row r="297" spans="2:5" ht="15" customHeight="1">
      <c r="B297" s="85"/>
      <c r="C297" s="43" t="s">
        <v>143</v>
      </c>
      <c r="D297" s="42">
        <v>1</v>
      </c>
      <c r="E297" s="41">
        <v>2.1963540522732265E-4</v>
      </c>
    </row>
    <row r="298" spans="2:5" ht="15" customHeight="1">
      <c r="B298" s="85"/>
      <c r="C298" s="43" t="s">
        <v>141</v>
      </c>
      <c r="D298" s="42">
        <v>1</v>
      </c>
      <c r="E298" s="41">
        <v>2.1963540522732265E-4</v>
      </c>
    </row>
    <row r="299" spans="2:5" ht="15" customHeight="1">
      <c r="B299" s="84"/>
      <c r="C299" s="40" t="s">
        <v>23</v>
      </c>
      <c r="D299" s="39">
        <v>22</v>
      </c>
      <c r="E299" s="38">
        <v>4.8319789150010981E-3</v>
      </c>
    </row>
    <row r="300" spans="2:5" ht="15" customHeight="1">
      <c r="B300" s="83" t="s">
        <v>109</v>
      </c>
      <c r="C300" s="43" t="s">
        <v>163</v>
      </c>
      <c r="D300" s="42">
        <v>1</v>
      </c>
      <c r="E300" s="41">
        <v>2.1963540522732265E-4</v>
      </c>
    </row>
    <row r="301" spans="2:5" ht="15" customHeight="1">
      <c r="B301" s="85"/>
      <c r="C301" s="43" t="s">
        <v>161</v>
      </c>
      <c r="D301" s="42">
        <v>1</v>
      </c>
      <c r="E301" s="41">
        <v>2.1963540522732265E-4</v>
      </c>
    </row>
    <row r="302" spans="2:5" ht="15" customHeight="1">
      <c r="B302" s="85"/>
      <c r="C302" s="43" t="s">
        <v>160</v>
      </c>
      <c r="D302" s="42">
        <v>3</v>
      </c>
      <c r="E302" s="41">
        <v>6.5890621568196796E-4</v>
      </c>
    </row>
    <row r="303" spans="2:5" ht="15" customHeight="1">
      <c r="B303" s="85"/>
      <c r="C303" s="43" t="s">
        <v>159</v>
      </c>
      <c r="D303" s="42">
        <v>1</v>
      </c>
      <c r="E303" s="41">
        <v>2.1963540522732265E-4</v>
      </c>
    </row>
    <row r="304" spans="2:5" ht="15" customHeight="1">
      <c r="B304" s="85"/>
      <c r="C304" s="43" t="s">
        <v>156</v>
      </c>
      <c r="D304" s="42">
        <v>1</v>
      </c>
      <c r="E304" s="41">
        <v>2.1963540522732265E-4</v>
      </c>
    </row>
    <row r="305" spans="2:5" ht="15" customHeight="1">
      <c r="B305" s="85"/>
      <c r="C305" s="43" t="s">
        <v>154</v>
      </c>
      <c r="D305" s="42">
        <v>1</v>
      </c>
      <c r="E305" s="41">
        <v>2.1963540522732265E-4</v>
      </c>
    </row>
    <row r="306" spans="2:5" ht="15" customHeight="1">
      <c r="B306" s="85"/>
      <c r="C306" s="43" t="s">
        <v>153</v>
      </c>
      <c r="D306" s="42">
        <v>1</v>
      </c>
      <c r="E306" s="41">
        <v>2.1963540522732265E-4</v>
      </c>
    </row>
    <row r="307" spans="2:5" ht="15" customHeight="1">
      <c r="B307" s="85"/>
      <c r="C307" s="43" t="s">
        <v>152</v>
      </c>
      <c r="D307" s="42">
        <v>11</v>
      </c>
      <c r="E307" s="41">
        <v>2.4159894575005491E-3</v>
      </c>
    </row>
    <row r="308" spans="2:5" ht="15" customHeight="1">
      <c r="B308" s="85"/>
      <c r="C308" s="43" t="s">
        <v>149</v>
      </c>
      <c r="D308" s="42">
        <v>4</v>
      </c>
      <c r="E308" s="41">
        <v>8.7854162090929061E-4</v>
      </c>
    </row>
    <row r="309" spans="2:5" ht="15" customHeight="1">
      <c r="B309" s="85"/>
      <c r="C309" s="43" t="s">
        <v>143</v>
      </c>
      <c r="D309" s="42">
        <v>1</v>
      </c>
      <c r="E309" s="41">
        <v>2.1963540522732265E-4</v>
      </c>
    </row>
    <row r="310" spans="2:5" ht="15" customHeight="1">
      <c r="B310" s="84"/>
      <c r="C310" s="40" t="s">
        <v>23</v>
      </c>
      <c r="D310" s="39">
        <v>25</v>
      </c>
      <c r="E310" s="38">
        <v>5.490885130683066E-3</v>
      </c>
    </row>
    <row r="311" spans="2:5" ht="15" customHeight="1">
      <c r="B311" s="83" t="s">
        <v>105</v>
      </c>
      <c r="C311" s="43" t="s">
        <v>163</v>
      </c>
      <c r="D311" s="42">
        <v>1</v>
      </c>
      <c r="E311" s="41">
        <v>2.1963540522732265E-4</v>
      </c>
    </row>
    <row r="312" spans="2:5" ht="15" customHeight="1">
      <c r="B312" s="85"/>
      <c r="C312" s="43" t="s">
        <v>162</v>
      </c>
      <c r="D312" s="42">
        <v>1</v>
      </c>
      <c r="E312" s="41">
        <v>2.1963540522732265E-4</v>
      </c>
    </row>
    <row r="313" spans="2:5" ht="15" customHeight="1">
      <c r="B313" s="85"/>
      <c r="C313" s="43" t="s">
        <v>160</v>
      </c>
      <c r="D313" s="42">
        <v>1</v>
      </c>
      <c r="E313" s="41">
        <v>2.1963540522732265E-4</v>
      </c>
    </row>
    <row r="314" spans="2:5" ht="15" customHeight="1">
      <c r="B314" s="85"/>
      <c r="C314" s="43" t="s">
        <v>159</v>
      </c>
      <c r="D314" s="42">
        <v>1</v>
      </c>
      <c r="E314" s="41">
        <v>2.1963540522732265E-4</v>
      </c>
    </row>
    <row r="315" spans="2:5" ht="15" customHeight="1">
      <c r="B315" s="85"/>
      <c r="C315" s="43" t="s">
        <v>158</v>
      </c>
      <c r="D315" s="42">
        <v>3</v>
      </c>
      <c r="E315" s="41">
        <v>6.5890621568196796E-4</v>
      </c>
    </row>
    <row r="316" spans="2:5" ht="15" customHeight="1">
      <c r="B316" s="85"/>
      <c r="C316" s="43" t="s">
        <v>157</v>
      </c>
      <c r="D316" s="42">
        <v>13</v>
      </c>
      <c r="E316" s="41">
        <v>2.8552602679551946E-3</v>
      </c>
    </row>
    <row r="317" spans="2:5" ht="15" customHeight="1">
      <c r="B317" s="85"/>
      <c r="C317" s="43" t="s">
        <v>156</v>
      </c>
      <c r="D317" s="42">
        <v>7</v>
      </c>
      <c r="E317" s="41">
        <v>1.5374478365912585E-3</v>
      </c>
    </row>
    <row r="318" spans="2:5" ht="15" customHeight="1">
      <c r="B318" s="85"/>
      <c r="C318" s="43" t="s">
        <v>155</v>
      </c>
      <c r="D318" s="42">
        <v>1</v>
      </c>
      <c r="E318" s="41">
        <v>2.1963540522732265E-4</v>
      </c>
    </row>
    <row r="319" spans="2:5" ht="15" customHeight="1">
      <c r="B319" s="85"/>
      <c r="C319" s="43" t="s">
        <v>153</v>
      </c>
      <c r="D319" s="42">
        <v>1</v>
      </c>
      <c r="E319" s="41">
        <v>2.1963540522732265E-4</v>
      </c>
    </row>
    <row r="320" spans="2:5" ht="15" customHeight="1">
      <c r="B320" s="85"/>
      <c r="C320" s="43" t="s">
        <v>152</v>
      </c>
      <c r="D320" s="42">
        <v>21</v>
      </c>
      <c r="E320" s="41">
        <v>4.6123435097737758E-3</v>
      </c>
    </row>
    <row r="321" spans="2:5" ht="15" customHeight="1">
      <c r="B321" s="85"/>
      <c r="C321" s="43" t="s">
        <v>150</v>
      </c>
      <c r="D321" s="42">
        <v>2</v>
      </c>
      <c r="E321" s="41">
        <v>4.392708104546453E-4</v>
      </c>
    </row>
    <row r="322" spans="2:5" ht="15" customHeight="1">
      <c r="B322" s="85"/>
      <c r="C322" s="43" t="s">
        <v>149</v>
      </c>
      <c r="D322" s="42">
        <v>17</v>
      </c>
      <c r="E322" s="41">
        <v>3.7338018888644848E-3</v>
      </c>
    </row>
    <row r="323" spans="2:5" ht="15" customHeight="1">
      <c r="B323" s="85"/>
      <c r="C323" s="43" t="s">
        <v>148</v>
      </c>
      <c r="D323" s="42">
        <v>1</v>
      </c>
      <c r="E323" s="41">
        <v>2.1963540522732265E-4</v>
      </c>
    </row>
    <row r="324" spans="2:5" ht="15" customHeight="1">
      <c r="B324" s="85"/>
      <c r="C324" s="43" t="s">
        <v>143</v>
      </c>
      <c r="D324" s="42">
        <v>3</v>
      </c>
      <c r="E324" s="41">
        <v>6.5890621568196796E-4</v>
      </c>
    </row>
    <row r="325" spans="2:5" ht="15" customHeight="1">
      <c r="B325" s="84"/>
      <c r="C325" s="40" t="s">
        <v>23</v>
      </c>
      <c r="D325" s="39">
        <v>73</v>
      </c>
      <c r="E325" s="38">
        <v>1.6033384581594552E-2</v>
      </c>
    </row>
    <row r="326" spans="2:5" ht="15" customHeight="1">
      <c r="B326" s="83" t="s">
        <v>93</v>
      </c>
      <c r="C326" s="43" t="s">
        <v>162</v>
      </c>
      <c r="D326" s="42">
        <v>2</v>
      </c>
      <c r="E326" s="41">
        <v>4.392708104546453E-4</v>
      </c>
    </row>
    <row r="327" spans="2:5" ht="15" customHeight="1">
      <c r="B327" s="85"/>
      <c r="C327" s="43" t="s">
        <v>161</v>
      </c>
      <c r="D327" s="42">
        <v>2</v>
      </c>
      <c r="E327" s="41">
        <v>4.392708104546453E-4</v>
      </c>
    </row>
    <row r="328" spans="2:5" ht="15" customHeight="1">
      <c r="B328" s="85"/>
      <c r="C328" s="43" t="s">
        <v>160</v>
      </c>
      <c r="D328" s="42">
        <v>1</v>
      </c>
      <c r="E328" s="41">
        <v>2.1963540522732265E-4</v>
      </c>
    </row>
    <row r="329" spans="2:5" ht="15" customHeight="1">
      <c r="B329" s="85"/>
      <c r="C329" s="43" t="s">
        <v>158</v>
      </c>
      <c r="D329" s="42">
        <v>1</v>
      </c>
      <c r="E329" s="41">
        <v>2.1963540522732265E-4</v>
      </c>
    </row>
    <row r="330" spans="2:5" ht="15" customHeight="1">
      <c r="B330" s="85"/>
      <c r="C330" s="43" t="s">
        <v>157</v>
      </c>
      <c r="D330" s="42">
        <v>6</v>
      </c>
      <c r="E330" s="41">
        <v>1.3178124313639359E-3</v>
      </c>
    </row>
    <row r="331" spans="2:5" ht="15" customHeight="1">
      <c r="B331" s="85"/>
      <c r="C331" s="43" t="s">
        <v>156</v>
      </c>
      <c r="D331" s="42">
        <v>5</v>
      </c>
      <c r="E331" s="41">
        <v>1.0981770261366132E-3</v>
      </c>
    </row>
    <row r="332" spans="2:5" ht="15" customHeight="1">
      <c r="B332" s="85"/>
      <c r="C332" s="43" t="s">
        <v>153</v>
      </c>
      <c r="D332" s="42">
        <v>1</v>
      </c>
      <c r="E332" s="41">
        <v>2.1963540522732265E-4</v>
      </c>
    </row>
    <row r="333" spans="2:5" ht="15" customHeight="1">
      <c r="B333" s="85"/>
      <c r="C333" s="43" t="s">
        <v>152</v>
      </c>
      <c r="D333" s="42">
        <v>13</v>
      </c>
      <c r="E333" s="41">
        <v>2.8552602679551946E-3</v>
      </c>
    </row>
    <row r="334" spans="2:5" ht="15" customHeight="1">
      <c r="B334" s="85"/>
      <c r="C334" s="43" t="s">
        <v>151</v>
      </c>
      <c r="D334" s="42">
        <v>1</v>
      </c>
      <c r="E334" s="41">
        <v>2.1963540522732265E-4</v>
      </c>
    </row>
    <row r="335" spans="2:5" ht="15" customHeight="1">
      <c r="B335" s="85"/>
      <c r="C335" s="43" t="s">
        <v>150</v>
      </c>
      <c r="D335" s="42">
        <v>2</v>
      </c>
      <c r="E335" s="41">
        <v>4.392708104546453E-4</v>
      </c>
    </row>
    <row r="336" spans="2:5" ht="15" customHeight="1">
      <c r="B336" s="85"/>
      <c r="C336" s="43" t="s">
        <v>149</v>
      </c>
      <c r="D336" s="42">
        <v>8</v>
      </c>
      <c r="E336" s="41">
        <v>1.7570832418185812E-3</v>
      </c>
    </row>
    <row r="337" spans="2:5" ht="15" customHeight="1">
      <c r="B337" s="85"/>
      <c r="C337" s="43" t="s">
        <v>144</v>
      </c>
      <c r="D337" s="42">
        <v>2</v>
      </c>
      <c r="E337" s="41">
        <v>4.392708104546453E-4</v>
      </c>
    </row>
    <row r="338" spans="2:5" ht="15" customHeight="1">
      <c r="B338" s="85"/>
      <c r="C338" s="43" t="s">
        <v>143</v>
      </c>
      <c r="D338" s="42">
        <v>3</v>
      </c>
      <c r="E338" s="41">
        <v>6.5890621568196796E-4</v>
      </c>
    </row>
    <row r="339" spans="2:5" ht="15" customHeight="1">
      <c r="B339" s="85"/>
      <c r="C339" s="43" t="s">
        <v>141</v>
      </c>
      <c r="D339" s="42">
        <v>1</v>
      </c>
      <c r="E339" s="41">
        <v>2.1963540522732265E-4</v>
      </c>
    </row>
    <row r="340" spans="2:5" ht="15" customHeight="1">
      <c r="B340" s="84"/>
      <c r="C340" s="40" t="s">
        <v>23</v>
      </c>
      <c r="D340" s="39">
        <v>48</v>
      </c>
      <c r="E340" s="38">
        <v>1.0542499450911487E-2</v>
      </c>
    </row>
    <row r="341" spans="2:5" ht="15" customHeight="1">
      <c r="B341" s="83" t="s">
        <v>97</v>
      </c>
      <c r="C341" s="43" t="s">
        <v>163</v>
      </c>
      <c r="D341" s="42">
        <v>3</v>
      </c>
      <c r="E341" s="41">
        <v>6.5890621568196796E-4</v>
      </c>
    </row>
    <row r="342" spans="2:5" ht="15" customHeight="1">
      <c r="B342" s="85"/>
      <c r="C342" s="43" t="s">
        <v>161</v>
      </c>
      <c r="D342" s="42">
        <v>1</v>
      </c>
      <c r="E342" s="41">
        <v>2.1963540522732265E-4</v>
      </c>
    </row>
    <row r="343" spans="2:5" ht="15" customHeight="1">
      <c r="B343" s="85"/>
      <c r="C343" s="43" t="s">
        <v>160</v>
      </c>
      <c r="D343" s="42">
        <v>4</v>
      </c>
      <c r="E343" s="41">
        <v>8.7854162090929061E-4</v>
      </c>
    </row>
    <row r="344" spans="2:5" ht="15" customHeight="1">
      <c r="B344" s="85"/>
      <c r="C344" s="43" t="s">
        <v>159</v>
      </c>
      <c r="D344" s="42">
        <v>3</v>
      </c>
      <c r="E344" s="41">
        <v>6.5890621568196796E-4</v>
      </c>
    </row>
    <row r="345" spans="2:5" ht="15" customHeight="1">
      <c r="B345" s="85"/>
      <c r="C345" s="43" t="s">
        <v>158</v>
      </c>
      <c r="D345" s="42">
        <v>3</v>
      </c>
      <c r="E345" s="41">
        <v>6.5890621568196796E-4</v>
      </c>
    </row>
    <row r="346" spans="2:5" ht="15" customHeight="1">
      <c r="B346" s="85"/>
      <c r="C346" s="43" t="s">
        <v>157</v>
      </c>
      <c r="D346" s="42">
        <v>9</v>
      </c>
      <c r="E346" s="41">
        <v>1.976718647045904E-3</v>
      </c>
    </row>
    <row r="347" spans="2:5" ht="15" customHeight="1">
      <c r="B347" s="85"/>
      <c r="C347" s="43" t="s">
        <v>156</v>
      </c>
      <c r="D347" s="42">
        <v>16</v>
      </c>
      <c r="E347" s="41">
        <v>3.5141664836371624E-3</v>
      </c>
    </row>
    <row r="348" spans="2:5" ht="15" customHeight="1">
      <c r="B348" s="85"/>
      <c r="C348" s="43" t="s">
        <v>155</v>
      </c>
      <c r="D348" s="42">
        <v>4</v>
      </c>
      <c r="E348" s="41">
        <v>8.7854162090929061E-4</v>
      </c>
    </row>
    <row r="349" spans="2:5" ht="15" customHeight="1">
      <c r="B349" s="85"/>
      <c r="C349" s="43" t="s">
        <v>154</v>
      </c>
      <c r="D349" s="42">
        <v>6</v>
      </c>
      <c r="E349" s="41">
        <v>1.3178124313639359E-3</v>
      </c>
    </row>
    <row r="350" spans="2:5" ht="15" customHeight="1">
      <c r="B350" s="85"/>
      <c r="C350" s="43" t="s">
        <v>153</v>
      </c>
      <c r="D350" s="42">
        <v>5</v>
      </c>
      <c r="E350" s="41">
        <v>1.0981770261366132E-3</v>
      </c>
    </row>
    <row r="351" spans="2:5" ht="15" customHeight="1">
      <c r="B351" s="85"/>
      <c r="C351" s="43" t="s">
        <v>152</v>
      </c>
      <c r="D351" s="42">
        <v>36</v>
      </c>
      <c r="E351" s="41">
        <v>7.9068745881836159E-3</v>
      </c>
    </row>
    <row r="352" spans="2:5" ht="15" customHeight="1">
      <c r="B352" s="85"/>
      <c r="C352" s="43" t="s">
        <v>151</v>
      </c>
      <c r="D352" s="42">
        <v>3</v>
      </c>
      <c r="E352" s="41">
        <v>6.5890621568196796E-4</v>
      </c>
    </row>
    <row r="353" spans="2:5" ht="15" customHeight="1">
      <c r="B353" s="85"/>
      <c r="C353" s="43" t="s">
        <v>150</v>
      </c>
      <c r="D353" s="42">
        <v>20</v>
      </c>
      <c r="E353" s="41">
        <v>4.3927081045464526E-3</v>
      </c>
    </row>
    <row r="354" spans="2:5" ht="15" customHeight="1">
      <c r="B354" s="85"/>
      <c r="C354" s="43" t="s">
        <v>149</v>
      </c>
      <c r="D354" s="42">
        <v>18</v>
      </c>
      <c r="E354" s="41">
        <v>3.9534372940918079E-3</v>
      </c>
    </row>
    <row r="355" spans="2:5" ht="15" customHeight="1">
      <c r="B355" s="85"/>
      <c r="C355" s="43" t="s">
        <v>148</v>
      </c>
      <c r="D355" s="42">
        <v>2</v>
      </c>
      <c r="E355" s="41">
        <v>4.392708104546453E-4</v>
      </c>
    </row>
    <row r="356" spans="2:5" ht="15" customHeight="1">
      <c r="B356" s="85"/>
      <c r="C356" s="43" t="s">
        <v>147</v>
      </c>
      <c r="D356" s="42">
        <v>1</v>
      </c>
      <c r="E356" s="41">
        <v>2.1963540522732265E-4</v>
      </c>
    </row>
    <row r="357" spans="2:5" ht="15" customHeight="1">
      <c r="B357" s="85"/>
      <c r="C357" s="43" t="s">
        <v>144</v>
      </c>
      <c r="D357" s="42">
        <v>2</v>
      </c>
      <c r="E357" s="41">
        <v>4.392708104546453E-4</v>
      </c>
    </row>
    <row r="358" spans="2:5" ht="15" customHeight="1">
      <c r="B358" s="85"/>
      <c r="C358" s="43" t="s">
        <v>143</v>
      </c>
      <c r="D358" s="42">
        <v>4</v>
      </c>
      <c r="E358" s="41">
        <v>8.7854162090929061E-4</v>
      </c>
    </row>
    <row r="359" spans="2:5" ht="15" customHeight="1">
      <c r="B359" s="84"/>
      <c r="C359" s="40" t="s">
        <v>23</v>
      </c>
      <c r="D359" s="39">
        <v>140</v>
      </c>
      <c r="E359" s="38">
        <v>3.0748956731825171E-2</v>
      </c>
    </row>
    <row r="360" spans="2:5" ht="15" customHeight="1">
      <c r="B360" s="83" t="s">
        <v>81</v>
      </c>
      <c r="C360" s="43" t="s">
        <v>143</v>
      </c>
      <c r="D360" s="42">
        <v>1</v>
      </c>
      <c r="E360" s="41">
        <v>2.1963540522732265E-4</v>
      </c>
    </row>
    <row r="361" spans="2:5" ht="15" customHeight="1">
      <c r="B361" s="84"/>
      <c r="C361" s="40" t="s">
        <v>23</v>
      </c>
      <c r="D361" s="39">
        <v>1</v>
      </c>
      <c r="E361" s="38">
        <v>2.1963540522732265E-4</v>
      </c>
    </row>
    <row r="362" spans="2:5" ht="15" customHeight="1">
      <c r="B362" s="83" t="s">
        <v>115</v>
      </c>
      <c r="C362" s="43" t="s">
        <v>163</v>
      </c>
      <c r="D362" s="42">
        <v>1</v>
      </c>
      <c r="E362" s="41">
        <v>2.1963540522732265E-4</v>
      </c>
    </row>
    <row r="363" spans="2:5" ht="15" customHeight="1">
      <c r="B363" s="85"/>
      <c r="C363" s="43" t="s">
        <v>160</v>
      </c>
      <c r="D363" s="42">
        <v>1</v>
      </c>
      <c r="E363" s="41">
        <v>2.1963540522732265E-4</v>
      </c>
    </row>
    <row r="364" spans="2:5" ht="15" customHeight="1">
      <c r="B364" s="85"/>
      <c r="C364" s="43" t="s">
        <v>159</v>
      </c>
      <c r="D364" s="42">
        <v>1</v>
      </c>
      <c r="E364" s="41">
        <v>2.1963540522732265E-4</v>
      </c>
    </row>
    <row r="365" spans="2:5" ht="15" customHeight="1">
      <c r="B365" s="85"/>
      <c r="C365" s="43" t="s">
        <v>157</v>
      </c>
      <c r="D365" s="42">
        <v>1</v>
      </c>
      <c r="E365" s="41">
        <v>2.1963540522732265E-4</v>
      </c>
    </row>
    <row r="366" spans="2:5" ht="15" customHeight="1">
      <c r="B366" s="85"/>
      <c r="C366" s="43" t="s">
        <v>156</v>
      </c>
      <c r="D366" s="42">
        <v>5</v>
      </c>
      <c r="E366" s="41">
        <v>1.0981770261366132E-3</v>
      </c>
    </row>
    <row r="367" spans="2:5" ht="15" customHeight="1">
      <c r="B367" s="85"/>
      <c r="C367" s="43" t="s">
        <v>154</v>
      </c>
      <c r="D367" s="42">
        <v>1</v>
      </c>
      <c r="E367" s="41">
        <v>2.1963540522732265E-4</v>
      </c>
    </row>
    <row r="368" spans="2:5" ht="15" customHeight="1">
      <c r="B368" s="85"/>
      <c r="C368" s="43" t="s">
        <v>153</v>
      </c>
      <c r="D368" s="42">
        <v>1</v>
      </c>
      <c r="E368" s="41">
        <v>2.1963540522732265E-4</v>
      </c>
    </row>
    <row r="369" spans="2:5" ht="15" customHeight="1">
      <c r="B369" s="85"/>
      <c r="C369" s="43" t="s">
        <v>152</v>
      </c>
      <c r="D369" s="42">
        <v>15</v>
      </c>
      <c r="E369" s="41">
        <v>3.2945310784098397E-3</v>
      </c>
    </row>
    <row r="370" spans="2:5" ht="15" customHeight="1">
      <c r="B370" s="85"/>
      <c r="C370" s="43" t="s">
        <v>151</v>
      </c>
      <c r="D370" s="42">
        <v>1</v>
      </c>
      <c r="E370" s="41">
        <v>2.1963540522732265E-4</v>
      </c>
    </row>
    <row r="371" spans="2:5" ht="15" customHeight="1">
      <c r="B371" s="85"/>
      <c r="C371" s="43" t="s">
        <v>150</v>
      </c>
      <c r="D371" s="42">
        <v>3</v>
      </c>
      <c r="E371" s="41">
        <v>6.5890621568196796E-4</v>
      </c>
    </row>
    <row r="372" spans="2:5" ht="15" customHeight="1">
      <c r="B372" s="85"/>
      <c r="C372" s="43" t="s">
        <v>149</v>
      </c>
      <c r="D372" s="42">
        <v>4</v>
      </c>
      <c r="E372" s="41">
        <v>8.7854162090929061E-4</v>
      </c>
    </row>
    <row r="373" spans="2:5" ht="15" customHeight="1">
      <c r="B373" s="85"/>
      <c r="C373" s="43" t="s">
        <v>148</v>
      </c>
      <c r="D373" s="42">
        <v>1</v>
      </c>
      <c r="E373" s="41">
        <v>2.1963540522732265E-4</v>
      </c>
    </row>
    <row r="374" spans="2:5" ht="15" customHeight="1">
      <c r="B374" s="85"/>
      <c r="C374" s="43" t="s">
        <v>144</v>
      </c>
      <c r="D374" s="42">
        <v>2</v>
      </c>
      <c r="E374" s="41">
        <v>4.392708104546453E-4</v>
      </c>
    </row>
    <row r="375" spans="2:5" ht="15" customHeight="1">
      <c r="B375" s="85"/>
      <c r="C375" s="43" t="s">
        <v>143</v>
      </c>
      <c r="D375" s="42">
        <v>1</v>
      </c>
      <c r="E375" s="41">
        <v>2.1963540522732265E-4</v>
      </c>
    </row>
    <row r="376" spans="2:5" ht="15" customHeight="1">
      <c r="B376" s="84"/>
      <c r="C376" s="40" t="s">
        <v>23</v>
      </c>
      <c r="D376" s="39">
        <v>38</v>
      </c>
      <c r="E376" s="38">
        <v>8.3461453986382605E-3</v>
      </c>
    </row>
    <row r="377" spans="2:5" ht="15" customHeight="1">
      <c r="B377" s="83" t="s">
        <v>107</v>
      </c>
      <c r="C377" s="43" t="s">
        <v>163</v>
      </c>
      <c r="D377" s="42">
        <v>3</v>
      </c>
      <c r="E377" s="41">
        <v>6.5890621568196796E-4</v>
      </c>
    </row>
    <row r="378" spans="2:5" ht="15" customHeight="1">
      <c r="B378" s="85"/>
      <c r="C378" s="43" t="s">
        <v>162</v>
      </c>
      <c r="D378" s="42">
        <v>3</v>
      </c>
      <c r="E378" s="41">
        <v>6.5890621568196796E-4</v>
      </c>
    </row>
    <row r="379" spans="2:5" ht="15" customHeight="1">
      <c r="B379" s="85"/>
      <c r="C379" s="43" t="s">
        <v>161</v>
      </c>
      <c r="D379" s="42">
        <v>2</v>
      </c>
      <c r="E379" s="41">
        <v>4.392708104546453E-4</v>
      </c>
    </row>
    <row r="380" spans="2:5" ht="15" customHeight="1">
      <c r="B380" s="85"/>
      <c r="C380" s="43" t="s">
        <v>160</v>
      </c>
      <c r="D380" s="42">
        <v>1</v>
      </c>
      <c r="E380" s="41">
        <v>2.1963540522732265E-4</v>
      </c>
    </row>
    <row r="381" spans="2:5" ht="15" customHeight="1">
      <c r="B381" s="85"/>
      <c r="C381" s="43" t="s">
        <v>159</v>
      </c>
      <c r="D381" s="42">
        <v>3</v>
      </c>
      <c r="E381" s="41">
        <v>6.5890621568196796E-4</v>
      </c>
    </row>
    <row r="382" spans="2:5" ht="15" customHeight="1">
      <c r="B382" s="85"/>
      <c r="C382" s="43" t="s">
        <v>158</v>
      </c>
      <c r="D382" s="42">
        <v>9</v>
      </c>
      <c r="E382" s="41">
        <v>1.976718647045904E-3</v>
      </c>
    </row>
    <row r="383" spans="2:5" ht="15" customHeight="1">
      <c r="B383" s="85"/>
      <c r="C383" s="43" t="s">
        <v>157</v>
      </c>
      <c r="D383" s="42">
        <v>23</v>
      </c>
      <c r="E383" s="41">
        <v>5.0516143202284204E-3</v>
      </c>
    </row>
    <row r="384" spans="2:5" ht="15" customHeight="1">
      <c r="B384" s="85"/>
      <c r="C384" s="43" t="s">
        <v>156</v>
      </c>
      <c r="D384" s="42">
        <v>47</v>
      </c>
      <c r="E384" s="41">
        <v>1.0322864045684164E-2</v>
      </c>
    </row>
    <row r="385" spans="2:5" ht="15" customHeight="1">
      <c r="B385" s="85"/>
      <c r="C385" s="43" t="s">
        <v>155</v>
      </c>
      <c r="D385" s="42">
        <v>1</v>
      </c>
      <c r="E385" s="41">
        <v>2.1963540522732265E-4</v>
      </c>
    </row>
    <row r="386" spans="2:5" ht="15" customHeight="1">
      <c r="B386" s="85"/>
      <c r="C386" s="43" t="s">
        <v>154</v>
      </c>
      <c r="D386" s="42">
        <v>1</v>
      </c>
      <c r="E386" s="41">
        <v>2.1963540522732265E-4</v>
      </c>
    </row>
    <row r="387" spans="2:5" ht="15" customHeight="1">
      <c r="B387" s="85"/>
      <c r="C387" s="43" t="s">
        <v>153</v>
      </c>
      <c r="D387" s="42">
        <v>7</v>
      </c>
      <c r="E387" s="41">
        <v>1.5374478365912585E-3</v>
      </c>
    </row>
    <row r="388" spans="2:5" ht="15" customHeight="1">
      <c r="B388" s="85"/>
      <c r="C388" s="43" t="s">
        <v>152</v>
      </c>
      <c r="D388" s="42">
        <v>93</v>
      </c>
      <c r="E388" s="41">
        <v>2.0426092686141005E-2</v>
      </c>
    </row>
    <row r="389" spans="2:5" ht="15" customHeight="1">
      <c r="B389" s="85"/>
      <c r="C389" s="43" t="s">
        <v>151</v>
      </c>
      <c r="D389" s="42">
        <v>5</v>
      </c>
      <c r="E389" s="41">
        <v>1.0981770261366132E-3</v>
      </c>
    </row>
    <row r="390" spans="2:5" ht="15" customHeight="1">
      <c r="B390" s="85"/>
      <c r="C390" s="43" t="s">
        <v>150</v>
      </c>
      <c r="D390" s="42">
        <v>18</v>
      </c>
      <c r="E390" s="41">
        <v>3.9534372940918079E-3</v>
      </c>
    </row>
    <row r="391" spans="2:5" ht="15" customHeight="1">
      <c r="B391" s="85"/>
      <c r="C391" s="43" t="s">
        <v>149</v>
      </c>
      <c r="D391" s="42">
        <v>60</v>
      </c>
      <c r="E391" s="41">
        <v>1.3178124313639359E-2</v>
      </c>
    </row>
    <row r="392" spans="2:5" ht="15" customHeight="1">
      <c r="B392" s="85"/>
      <c r="C392" s="43" t="s">
        <v>146</v>
      </c>
      <c r="D392" s="42">
        <v>1</v>
      </c>
      <c r="E392" s="41">
        <v>2.1963540522732265E-4</v>
      </c>
    </row>
    <row r="393" spans="2:5" ht="15" customHeight="1">
      <c r="B393" s="85"/>
      <c r="C393" s="43" t="s">
        <v>144</v>
      </c>
      <c r="D393" s="42">
        <v>2</v>
      </c>
      <c r="E393" s="41">
        <v>4.392708104546453E-4</v>
      </c>
    </row>
    <row r="394" spans="2:5" ht="15" customHeight="1">
      <c r="B394" s="85"/>
      <c r="C394" s="43" t="s">
        <v>143</v>
      </c>
      <c r="D394" s="42">
        <v>3</v>
      </c>
      <c r="E394" s="41">
        <v>6.5890621568196796E-4</v>
      </c>
    </row>
    <row r="395" spans="2:5" ht="15" customHeight="1">
      <c r="B395" s="85"/>
      <c r="C395" s="43" t="s">
        <v>168</v>
      </c>
      <c r="D395" s="42">
        <v>1</v>
      </c>
      <c r="E395" s="41">
        <v>2.1963540522732265E-4</v>
      </c>
    </row>
    <row r="396" spans="2:5" ht="15" customHeight="1">
      <c r="B396" s="84"/>
      <c r="C396" s="40" t="s">
        <v>23</v>
      </c>
      <c r="D396" s="39">
        <v>283</v>
      </c>
      <c r="E396" s="38">
        <v>6.2156819679332308E-2</v>
      </c>
    </row>
    <row r="397" spans="2:5" ht="15" customHeight="1">
      <c r="B397" s="83" t="s">
        <v>92</v>
      </c>
      <c r="C397" s="43" t="s">
        <v>161</v>
      </c>
      <c r="D397" s="42">
        <v>1</v>
      </c>
      <c r="E397" s="41">
        <v>2.1963540522732265E-4</v>
      </c>
    </row>
    <row r="398" spans="2:5" ht="15" customHeight="1">
      <c r="B398" s="85"/>
      <c r="C398" s="43" t="s">
        <v>159</v>
      </c>
      <c r="D398" s="42">
        <v>1</v>
      </c>
      <c r="E398" s="41">
        <v>2.1963540522732265E-4</v>
      </c>
    </row>
    <row r="399" spans="2:5" ht="15" customHeight="1">
      <c r="B399" s="85"/>
      <c r="C399" s="43" t="s">
        <v>156</v>
      </c>
      <c r="D399" s="42">
        <v>2</v>
      </c>
      <c r="E399" s="41">
        <v>4.392708104546453E-4</v>
      </c>
    </row>
    <row r="400" spans="2:5" ht="15" customHeight="1">
      <c r="B400" s="85"/>
      <c r="C400" s="43" t="s">
        <v>152</v>
      </c>
      <c r="D400" s="42">
        <v>5</v>
      </c>
      <c r="E400" s="41">
        <v>1.0981770261366132E-3</v>
      </c>
    </row>
    <row r="401" spans="2:5" ht="15" customHeight="1">
      <c r="B401" s="85"/>
      <c r="C401" s="43" t="s">
        <v>150</v>
      </c>
      <c r="D401" s="42">
        <v>1</v>
      </c>
      <c r="E401" s="41">
        <v>2.1963540522732265E-4</v>
      </c>
    </row>
    <row r="402" spans="2:5" ht="15" customHeight="1">
      <c r="B402" s="85"/>
      <c r="C402" s="43" t="s">
        <v>149</v>
      </c>
      <c r="D402" s="42">
        <v>2</v>
      </c>
      <c r="E402" s="41">
        <v>4.392708104546453E-4</v>
      </c>
    </row>
    <row r="403" spans="2:5" ht="15" customHeight="1">
      <c r="B403" s="85"/>
      <c r="C403" s="43" t="s">
        <v>143</v>
      </c>
      <c r="D403" s="42">
        <v>1</v>
      </c>
      <c r="E403" s="41">
        <v>2.1963540522732265E-4</v>
      </c>
    </row>
    <row r="404" spans="2:5" ht="15" customHeight="1">
      <c r="B404" s="85"/>
      <c r="C404" s="43" t="s">
        <v>168</v>
      </c>
      <c r="D404" s="42">
        <v>1</v>
      </c>
      <c r="E404" s="41">
        <v>2.1963540522732265E-4</v>
      </c>
    </row>
    <row r="405" spans="2:5" ht="15" customHeight="1">
      <c r="B405" s="84"/>
      <c r="C405" s="40" t="s">
        <v>23</v>
      </c>
      <c r="D405" s="39">
        <v>14</v>
      </c>
      <c r="E405" s="38">
        <v>3.0748956731825169E-3</v>
      </c>
    </row>
    <row r="406" spans="2:5" ht="15" customHeight="1">
      <c r="B406" s="83" t="s">
        <v>94</v>
      </c>
      <c r="C406" s="43" t="s">
        <v>160</v>
      </c>
      <c r="D406" s="42">
        <v>1</v>
      </c>
      <c r="E406" s="41">
        <v>2.1963540522732265E-4</v>
      </c>
    </row>
    <row r="407" spans="2:5" ht="15" customHeight="1">
      <c r="B407" s="85"/>
      <c r="C407" s="43" t="s">
        <v>157</v>
      </c>
      <c r="D407" s="42">
        <v>8</v>
      </c>
      <c r="E407" s="41">
        <v>1.7570832418185812E-3</v>
      </c>
    </row>
    <row r="408" spans="2:5" ht="15" customHeight="1">
      <c r="B408" s="85"/>
      <c r="C408" s="43" t="s">
        <v>156</v>
      </c>
      <c r="D408" s="42">
        <v>7</v>
      </c>
      <c r="E408" s="41">
        <v>1.5374478365912585E-3</v>
      </c>
    </row>
    <row r="409" spans="2:5" ht="15" customHeight="1">
      <c r="B409" s="85"/>
      <c r="C409" s="43" t="s">
        <v>155</v>
      </c>
      <c r="D409" s="42">
        <v>1</v>
      </c>
      <c r="E409" s="41">
        <v>2.1963540522732265E-4</v>
      </c>
    </row>
    <row r="410" spans="2:5" ht="15" customHeight="1">
      <c r="B410" s="85"/>
      <c r="C410" s="43" t="s">
        <v>154</v>
      </c>
      <c r="D410" s="42">
        <v>3</v>
      </c>
      <c r="E410" s="41">
        <v>6.5890621568196796E-4</v>
      </c>
    </row>
    <row r="411" spans="2:5" ht="15" customHeight="1">
      <c r="B411" s="85"/>
      <c r="C411" s="43" t="s">
        <v>153</v>
      </c>
      <c r="D411" s="42">
        <v>2</v>
      </c>
      <c r="E411" s="41">
        <v>4.392708104546453E-4</v>
      </c>
    </row>
    <row r="412" spans="2:5" ht="15" customHeight="1">
      <c r="B412" s="85"/>
      <c r="C412" s="43" t="s">
        <v>152</v>
      </c>
      <c r="D412" s="42">
        <v>18</v>
      </c>
      <c r="E412" s="41">
        <v>3.9534372940918079E-3</v>
      </c>
    </row>
    <row r="413" spans="2:5" ht="15" customHeight="1">
      <c r="B413" s="85"/>
      <c r="C413" s="43" t="s">
        <v>151</v>
      </c>
      <c r="D413" s="42">
        <v>1</v>
      </c>
      <c r="E413" s="41">
        <v>2.1963540522732265E-4</v>
      </c>
    </row>
    <row r="414" spans="2:5" ht="15" customHeight="1">
      <c r="B414" s="85"/>
      <c r="C414" s="43" t="s">
        <v>150</v>
      </c>
      <c r="D414" s="42">
        <v>3</v>
      </c>
      <c r="E414" s="41">
        <v>6.5890621568196796E-4</v>
      </c>
    </row>
    <row r="415" spans="2:5" ht="15" customHeight="1">
      <c r="B415" s="85"/>
      <c r="C415" s="43" t="s">
        <v>149</v>
      </c>
      <c r="D415" s="42">
        <v>26</v>
      </c>
      <c r="E415" s="41">
        <v>5.7105205359103892E-3</v>
      </c>
    </row>
    <row r="416" spans="2:5" ht="15" customHeight="1">
      <c r="B416" s="85"/>
      <c r="C416" s="43" t="s">
        <v>144</v>
      </c>
      <c r="D416" s="42">
        <v>1</v>
      </c>
      <c r="E416" s="41">
        <v>2.1963540522732265E-4</v>
      </c>
    </row>
    <row r="417" spans="2:5" ht="15" customHeight="1">
      <c r="B417" s="85"/>
      <c r="C417" s="43" t="s">
        <v>143</v>
      </c>
      <c r="D417" s="42">
        <v>3</v>
      </c>
      <c r="E417" s="41">
        <v>6.5890621568196796E-4</v>
      </c>
    </row>
    <row r="418" spans="2:5" ht="15" customHeight="1">
      <c r="B418" s="85"/>
      <c r="C418" s="43" t="s">
        <v>141</v>
      </c>
      <c r="D418" s="42">
        <v>1</v>
      </c>
      <c r="E418" s="41">
        <v>2.1963540522732265E-4</v>
      </c>
    </row>
    <row r="419" spans="2:5" ht="15" customHeight="1">
      <c r="B419" s="84"/>
      <c r="C419" s="40" t="s">
        <v>23</v>
      </c>
      <c r="D419" s="39">
        <v>75</v>
      </c>
      <c r="E419" s="38">
        <v>1.6472655392049198E-2</v>
      </c>
    </row>
    <row r="420" spans="2:5" ht="15" customHeight="1">
      <c r="B420" s="83" t="s">
        <v>102</v>
      </c>
      <c r="C420" s="43" t="s">
        <v>162</v>
      </c>
      <c r="D420" s="42">
        <v>1</v>
      </c>
      <c r="E420" s="41">
        <v>2.1963540522732265E-4</v>
      </c>
    </row>
    <row r="421" spans="2:5" ht="15" customHeight="1">
      <c r="B421" s="85"/>
      <c r="C421" s="43" t="s">
        <v>159</v>
      </c>
      <c r="D421" s="42">
        <v>1</v>
      </c>
      <c r="E421" s="41">
        <v>2.1963540522732265E-4</v>
      </c>
    </row>
    <row r="422" spans="2:5" ht="15" customHeight="1">
      <c r="B422" s="85"/>
      <c r="C422" s="43" t="s">
        <v>158</v>
      </c>
      <c r="D422" s="42">
        <v>2</v>
      </c>
      <c r="E422" s="41">
        <v>4.392708104546453E-4</v>
      </c>
    </row>
    <row r="423" spans="2:5" ht="15" customHeight="1">
      <c r="B423" s="85"/>
      <c r="C423" s="43" t="s">
        <v>157</v>
      </c>
      <c r="D423" s="42">
        <v>2</v>
      </c>
      <c r="E423" s="41">
        <v>4.392708104546453E-4</v>
      </c>
    </row>
    <row r="424" spans="2:5" ht="15" customHeight="1">
      <c r="B424" s="85"/>
      <c r="C424" s="43" t="s">
        <v>154</v>
      </c>
      <c r="D424" s="42">
        <v>1</v>
      </c>
      <c r="E424" s="41">
        <v>2.1963540522732265E-4</v>
      </c>
    </row>
    <row r="425" spans="2:5" ht="15" customHeight="1">
      <c r="B425" s="85"/>
      <c r="C425" s="43" t="s">
        <v>153</v>
      </c>
      <c r="D425" s="42">
        <v>1</v>
      </c>
      <c r="E425" s="41">
        <v>2.1963540522732265E-4</v>
      </c>
    </row>
    <row r="426" spans="2:5" ht="15" customHeight="1">
      <c r="B426" s="85"/>
      <c r="C426" s="43" t="s">
        <v>152</v>
      </c>
      <c r="D426" s="42">
        <v>6</v>
      </c>
      <c r="E426" s="41">
        <v>1.3178124313639359E-3</v>
      </c>
    </row>
    <row r="427" spans="2:5" ht="15" customHeight="1">
      <c r="B427" s="85"/>
      <c r="C427" s="43" t="s">
        <v>150</v>
      </c>
      <c r="D427" s="42">
        <v>1</v>
      </c>
      <c r="E427" s="41">
        <v>2.1963540522732265E-4</v>
      </c>
    </row>
    <row r="428" spans="2:5" ht="15" customHeight="1">
      <c r="B428" s="85"/>
      <c r="C428" s="43" t="s">
        <v>149</v>
      </c>
      <c r="D428" s="42">
        <v>3</v>
      </c>
      <c r="E428" s="41">
        <v>6.5890621568196796E-4</v>
      </c>
    </row>
    <row r="429" spans="2:5" ht="15" customHeight="1">
      <c r="B429" s="84"/>
      <c r="C429" s="40" t="s">
        <v>23</v>
      </c>
      <c r="D429" s="39">
        <v>18</v>
      </c>
      <c r="E429" s="38">
        <v>3.9534372940918079E-3</v>
      </c>
    </row>
    <row r="430" spans="2:5" ht="15" customHeight="1">
      <c r="B430" s="83" t="s">
        <v>114</v>
      </c>
      <c r="C430" s="43" t="s">
        <v>163</v>
      </c>
      <c r="D430" s="42">
        <v>3</v>
      </c>
      <c r="E430" s="41">
        <v>6.5890621568196796E-4</v>
      </c>
    </row>
    <row r="431" spans="2:5" ht="15" customHeight="1">
      <c r="B431" s="85"/>
      <c r="C431" s="43" t="s">
        <v>162</v>
      </c>
      <c r="D431" s="42">
        <v>1</v>
      </c>
      <c r="E431" s="41">
        <v>2.1963540522732265E-4</v>
      </c>
    </row>
    <row r="432" spans="2:5" ht="15" customHeight="1">
      <c r="B432" s="85"/>
      <c r="C432" s="43" t="s">
        <v>161</v>
      </c>
      <c r="D432" s="42">
        <v>10</v>
      </c>
      <c r="E432" s="41">
        <v>2.1963540522732263E-3</v>
      </c>
    </row>
    <row r="433" spans="2:5" ht="15" customHeight="1">
      <c r="B433" s="85"/>
      <c r="C433" s="43" t="s">
        <v>160</v>
      </c>
      <c r="D433" s="42">
        <v>6</v>
      </c>
      <c r="E433" s="41">
        <v>1.3178124313639359E-3</v>
      </c>
    </row>
    <row r="434" spans="2:5" ht="15" customHeight="1">
      <c r="B434" s="85"/>
      <c r="C434" s="43" t="s">
        <v>159</v>
      </c>
      <c r="D434" s="42">
        <v>6</v>
      </c>
      <c r="E434" s="41">
        <v>1.3178124313639359E-3</v>
      </c>
    </row>
    <row r="435" spans="2:5" ht="15" customHeight="1">
      <c r="B435" s="85"/>
      <c r="C435" s="43" t="s">
        <v>158</v>
      </c>
      <c r="D435" s="42">
        <v>10</v>
      </c>
      <c r="E435" s="41">
        <v>2.1963540522732263E-3</v>
      </c>
    </row>
    <row r="436" spans="2:5" ht="15" customHeight="1">
      <c r="B436" s="85"/>
      <c r="C436" s="43" t="s">
        <v>157</v>
      </c>
      <c r="D436" s="42">
        <v>38</v>
      </c>
      <c r="E436" s="41">
        <v>8.3461453986382605E-3</v>
      </c>
    </row>
    <row r="437" spans="2:5" ht="15" customHeight="1">
      <c r="B437" s="85"/>
      <c r="C437" s="43" t="s">
        <v>156</v>
      </c>
      <c r="D437" s="42">
        <v>20</v>
      </c>
      <c r="E437" s="41">
        <v>4.3927081045464526E-3</v>
      </c>
    </row>
    <row r="438" spans="2:5" ht="15" customHeight="1">
      <c r="B438" s="85"/>
      <c r="C438" s="43" t="s">
        <v>155</v>
      </c>
      <c r="D438" s="42">
        <v>3</v>
      </c>
      <c r="E438" s="41">
        <v>6.5890621568196796E-4</v>
      </c>
    </row>
    <row r="439" spans="2:5" ht="15" customHeight="1">
      <c r="B439" s="85"/>
      <c r="C439" s="43" t="s">
        <v>154</v>
      </c>
      <c r="D439" s="42">
        <v>11</v>
      </c>
      <c r="E439" s="41">
        <v>2.4159894575005491E-3</v>
      </c>
    </row>
    <row r="440" spans="2:5" ht="15" customHeight="1">
      <c r="B440" s="85"/>
      <c r="C440" s="43" t="s">
        <v>153</v>
      </c>
      <c r="D440" s="42">
        <v>19</v>
      </c>
      <c r="E440" s="41">
        <v>4.1730726993191303E-3</v>
      </c>
    </row>
    <row r="441" spans="2:5" ht="15" customHeight="1">
      <c r="B441" s="85"/>
      <c r="C441" s="43" t="s">
        <v>152</v>
      </c>
      <c r="D441" s="42">
        <v>81</v>
      </c>
      <c r="E441" s="41">
        <v>1.7790467823413134E-2</v>
      </c>
    </row>
    <row r="442" spans="2:5" ht="15" customHeight="1">
      <c r="B442" s="85"/>
      <c r="C442" s="43" t="s">
        <v>151</v>
      </c>
      <c r="D442" s="42">
        <v>10</v>
      </c>
      <c r="E442" s="41">
        <v>2.1963540522732263E-3</v>
      </c>
    </row>
    <row r="443" spans="2:5" ht="15" customHeight="1">
      <c r="B443" s="85"/>
      <c r="C443" s="43" t="s">
        <v>150</v>
      </c>
      <c r="D443" s="42">
        <v>23</v>
      </c>
      <c r="E443" s="41">
        <v>5.0516143202284204E-3</v>
      </c>
    </row>
    <row r="444" spans="2:5" ht="15" customHeight="1">
      <c r="B444" s="85"/>
      <c r="C444" s="43" t="s">
        <v>149</v>
      </c>
      <c r="D444" s="42">
        <v>74</v>
      </c>
      <c r="E444" s="41">
        <v>1.6253019986821875E-2</v>
      </c>
    </row>
    <row r="445" spans="2:5" ht="15" customHeight="1">
      <c r="B445" s="85"/>
      <c r="C445" s="43" t="s">
        <v>148</v>
      </c>
      <c r="D445" s="42">
        <v>2</v>
      </c>
      <c r="E445" s="41">
        <v>4.392708104546453E-4</v>
      </c>
    </row>
    <row r="446" spans="2:5" ht="15" customHeight="1">
      <c r="B446" s="85"/>
      <c r="C446" s="43" t="s">
        <v>147</v>
      </c>
      <c r="D446" s="42">
        <v>5</v>
      </c>
      <c r="E446" s="41">
        <v>1.0981770261366132E-3</v>
      </c>
    </row>
    <row r="447" spans="2:5" ht="15" customHeight="1">
      <c r="B447" s="85"/>
      <c r="C447" s="43" t="s">
        <v>145</v>
      </c>
      <c r="D447" s="42">
        <v>1</v>
      </c>
      <c r="E447" s="41">
        <v>2.1963540522732265E-4</v>
      </c>
    </row>
    <row r="448" spans="2:5" ht="15" customHeight="1">
      <c r="B448" s="85"/>
      <c r="C448" s="43" t="s">
        <v>144</v>
      </c>
      <c r="D448" s="42">
        <v>7</v>
      </c>
      <c r="E448" s="41">
        <v>1.5374478365912585E-3</v>
      </c>
    </row>
    <row r="449" spans="2:5" ht="15" customHeight="1">
      <c r="B449" s="85"/>
      <c r="C449" s="43" t="s">
        <v>143</v>
      </c>
      <c r="D449" s="42">
        <v>13</v>
      </c>
      <c r="E449" s="41">
        <v>2.8552602679551946E-3</v>
      </c>
    </row>
    <row r="450" spans="2:5" ht="15" customHeight="1">
      <c r="B450" s="84"/>
      <c r="C450" s="40" t="s">
        <v>23</v>
      </c>
      <c r="D450" s="39">
        <v>343</v>
      </c>
      <c r="E450" s="38">
        <v>7.5334943992971665E-2</v>
      </c>
    </row>
    <row r="451" spans="2:5" ht="15" customHeight="1">
      <c r="B451" s="83" t="s">
        <v>98</v>
      </c>
      <c r="C451" s="43" t="s">
        <v>160</v>
      </c>
      <c r="D451" s="42">
        <v>3</v>
      </c>
      <c r="E451" s="41">
        <v>6.5890621568196796E-4</v>
      </c>
    </row>
    <row r="452" spans="2:5" ht="15" customHeight="1">
      <c r="B452" s="85"/>
      <c r="C452" s="43" t="s">
        <v>158</v>
      </c>
      <c r="D452" s="42">
        <v>1</v>
      </c>
      <c r="E452" s="41">
        <v>2.1963540522732265E-4</v>
      </c>
    </row>
    <row r="453" spans="2:5" ht="15" customHeight="1">
      <c r="B453" s="85"/>
      <c r="C453" s="43" t="s">
        <v>157</v>
      </c>
      <c r="D453" s="42">
        <v>2</v>
      </c>
      <c r="E453" s="41">
        <v>4.392708104546453E-4</v>
      </c>
    </row>
    <row r="454" spans="2:5" ht="15" customHeight="1">
      <c r="B454" s="85"/>
      <c r="C454" s="43" t="s">
        <v>156</v>
      </c>
      <c r="D454" s="42">
        <v>12</v>
      </c>
      <c r="E454" s="41">
        <v>2.6356248627278718E-3</v>
      </c>
    </row>
    <row r="455" spans="2:5" ht="15" customHeight="1">
      <c r="B455" s="85"/>
      <c r="C455" s="43" t="s">
        <v>154</v>
      </c>
      <c r="D455" s="42">
        <v>3</v>
      </c>
      <c r="E455" s="41">
        <v>6.5890621568196796E-4</v>
      </c>
    </row>
    <row r="456" spans="2:5" ht="15" customHeight="1">
      <c r="B456" s="85"/>
      <c r="C456" s="43" t="s">
        <v>153</v>
      </c>
      <c r="D456" s="42">
        <v>1</v>
      </c>
      <c r="E456" s="41">
        <v>2.1963540522732265E-4</v>
      </c>
    </row>
    <row r="457" spans="2:5" ht="15" customHeight="1">
      <c r="B457" s="85"/>
      <c r="C457" s="43" t="s">
        <v>152</v>
      </c>
      <c r="D457" s="42">
        <v>28</v>
      </c>
      <c r="E457" s="41">
        <v>6.1497913463650338E-3</v>
      </c>
    </row>
    <row r="458" spans="2:5" ht="15" customHeight="1">
      <c r="B458" s="85"/>
      <c r="C458" s="43" t="s">
        <v>151</v>
      </c>
      <c r="D458" s="42">
        <v>1</v>
      </c>
      <c r="E458" s="41">
        <v>2.1963540522732265E-4</v>
      </c>
    </row>
    <row r="459" spans="2:5" ht="15" customHeight="1">
      <c r="B459" s="85"/>
      <c r="C459" s="43" t="s">
        <v>150</v>
      </c>
      <c r="D459" s="42">
        <v>1</v>
      </c>
      <c r="E459" s="41">
        <v>2.1963540522732265E-4</v>
      </c>
    </row>
    <row r="460" spans="2:5" ht="15" customHeight="1">
      <c r="B460" s="85"/>
      <c r="C460" s="43" t="s">
        <v>149</v>
      </c>
      <c r="D460" s="42">
        <v>23</v>
      </c>
      <c r="E460" s="41">
        <v>5.0516143202284204E-3</v>
      </c>
    </row>
    <row r="461" spans="2:5" ht="15" customHeight="1">
      <c r="B461" s="85"/>
      <c r="C461" s="43" t="s">
        <v>143</v>
      </c>
      <c r="D461" s="42">
        <v>2</v>
      </c>
      <c r="E461" s="41">
        <v>4.392708104546453E-4</v>
      </c>
    </row>
    <row r="462" spans="2:5" ht="15" customHeight="1">
      <c r="B462" s="85"/>
      <c r="C462" s="43" t="s">
        <v>141</v>
      </c>
      <c r="D462" s="42">
        <v>1</v>
      </c>
      <c r="E462" s="41">
        <v>2.1963540522732265E-4</v>
      </c>
    </row>
    <row r="463" spans="2:5" ht="15" customHeight="1">
      <c r="B463" s="84"/>
      <c r="C463" s="40" t="s">
        <v>23</v>
      </c>
      <c r="D463" s="39">
        <v>78</v>
      </c>
      <c r="E463" s="38">
        <v>1.7131561607731167E-2</v>
      </c>
    </row>
    <row r="464" spans="2:5" ht="15" customHeight="1">
      <c r="B464" s="83" t="s">
        <v>111</v>
      </c>
      <c r="C464" s="43" t="s">
        <v>160</v>
      </c>
      <c r="D464" s="42">
        <v>3</v>
      </c>
      <c r="E464" s="41">
        <v>6.5890621568196796E-4</v>
      </c>
    </row>
    <row r="465" spans="2:5" ht="15" customHeight="1">
      <c r="B465" s="85"/>
      <c r="C465" s="43" t="s">
        <v>159</v>
      </c>
      <c r="D465" s="42">
        <v>2</v>
      </c>
      <c r="E465" s="41">
        <v>4.392708104546453E-4</v>
      </c>
    </row>
    <row r="466" spans="2:5" ht="15" customHeight="1">
      <c r="B466" s="85"/>
      <c r="C466" s="43" t="s">
        <v>158</v>
      </c>
      <c r="D466" s="42">
        <v>5</v>
      </c>
      <c r="E466" s="41">
        <v>1.0981770261366132E-3</v>
      </c>
    </row>
    <row r="467" spans="2:5" ht="15" customHeight="1">
      <c r="B467" s="85"/>
      <c r="C467" s="43" t="s">
        <v>157</v>
      </c>
      <c r="D467" s="42">
        <v>10</v>
      </c>
      <c r="E467" s="41">
        <v>2.1963540522732263E-3</v>
      </c>
    </row>
    <row r="468" spans="2:5" ht="15" customHeight="1">
      <c r="B468" s="85"/>
      <c r="C468" s="43" t="s">
        <v>156</v>
      </c>
      <c r="D468" s="42">
        <v>20</v>
      </c>
      <c r="E468" s="41">
        <v>4.3927081045464526E-3</v>
      </c>
    </row>
    <row r="469" spans="2:5" ht="15" customHeight="1">
      <c r="B469" s="85"/>
      <c r="C469" s="43" t="s">
        <v>155</v>
      </c>
      <c r="D469" s="42">
        <v>1</v>
      </c>
      <c r="E469" s="41">
        <v>2.1963540522732265E-4</v>
      </c>
    </row>
    <row r="470" spans="2:5" ht="15" customHeight="1">
      <c r="B470" s="85"/>
      <c r="C470" s="43" t="s">
        <v>154</v>
      </c>
      <c r="D470" s="42">
        <v>1</v>
      </c>
      <c r="E470" s="41">
        <v>2.1963540522732265E-4</v>
      </c>
    </row>
    <row r="471" spans="2:5" ht="15" customHeight="1">
      <c r="B471" s="85"/>
      <c r="C471" s="43" t="s">
        <v>153</v>
      </c>
      <c r="D471" s="42">
        <v>2</v>
      </c>
      <c r="E471" s="41">
        <v>4.392708104546453E-4</v>
      </c>
    </row>
    <row r="472" spans="2:5" ht="15" customHeight="1">
      <c r="B472" s="85"/>
      <c r="C472" s="43" t="s">
        <v>152</v>
      </c>
      <c r="D472" s="42">
        <v>56</v>
      </c>
      <c r="E472" s="41">
        <v>1.2299582692730068E-2</v>
      </c>
    </row>
    <row r="473" spans="2:5" ht="15" customHeight="1">
      <c r="B473" s="85"/>
      <c r="C473" s="43" t="s">
        <v>151</v>
      </c>
      <c r="D473" s="42">
        <v>1</v>
      </c>
      <c r="E473" s="41">
        <v>2.1963540522732265E-4</v>
      </c>
    </row>
    <row r="474" spans="2:5" ht="15" customHeight="1">
      <c r="B474" s="85"/>
      <c r="C474" s="43" t="s">
        <v>150</v>
      </c>
      <c r="D474" s="42">
        <v>11</v>
      </c>
      <c r="E474" s="41">
        <v>2.4159894575005491E-3</v>
      </c>
    </row>
    <row r="475" spans="2:5" ht="15" customHeight="1">
      <c r="B475" s="85"/>
      <c r="C475" s="43" t="s">
        <v>149</v>
      </c>
      <c r="D475" s="42">
        <v>26</v>
      </c>
      <c r="E475" s="41">
        <v>5.7105205359103892E-3</v>
      </c>
    </row>
    <row r="476" spans="2:5" ht="15" customHeight="1">
      <c r="B476" s="85"/>
      <c r="C476" s="43" t="s">
        <v>145</v>
      </c>
      <c r="D476" s="42">
        <v>2</v>
      </c>
      <c r="E476" s="41">
        <v>4.392708104546453E-4</v>
      </c>
    </row>
    <row r="477" spans="2:5" ht="15" customHeight="1">
      <c r="B477" s="85"/>
      <c r="C477" s="43" t="s">
        <v>144</v>
      </c>
      <c r="D477" s="42">
        <v>1</v>
      </c>
      <c r="E477" s="41">
        <v>2.1963540522732265E-4</v>
      </c>
    </row>
    <row r="478" spans="2:5" ht="15" customHeight="1">
      <c r="B478" s="85"/>
      <c r="C478" s="43" t="s">
        <v>143</v>
      </c>
      <c r="D478" s="42">
        <v>6</v>
      </c>
      <c r="E478" s="41">
        <v>1.3178124313639359E-3</v>
      </c>
    </row>
    <row r="479" spans="2:5" ht="15" customHeight="1">
      <c r="B479" s="85"/>
      <c r="C479" s="43" t="s">
        <v>141</v>
      </c>
      <c r="D479" s="42">
        <v>1</v>
      </c>
      <c r="E479" s="41">
        <v>2.1963540522732265E-4</v>
      </c>
    </row>
    <row r="480" spans="2:5" ht="15" customHeight="1">
      <c r="B480" s="84"/>
      <c r="C480" s="40" t="s">
        <v>23</v>
      </c>
      <c r="D480" s="39">
        <v>148</v>
      </c>
      <c r="E480" s="38">
        <v>3.2506039973643749E-2</v>
      </c>
    </row>
    <row r="481" spans="2:5" ht="15" customHeight="1">
      <c r="B481" s="83" t="s">
        <v>169</v>
      </c>
      <c r="C481" s="43" t="s">
        <v>163</v>
      </c>
      <c r="D481" s="42">
        <v>2</v>
      </c>
      <c r="E481" s="41">
        <v>4.392708104546453E-4</v>
      </c>
    </row>
    <row r="482" spans="2:5" ht="15" customHeight="1">
      <c r="B482" s="85"/>
      <c r="C482" s="43" t="s">
        <v>162</v>
      </c>
      <c r="D482" s="42">
        <v>3</v>
      </c>
      <c r="E482" s="41">
        <v>6.5890621568196796E-4</v>
      </c>
    </row>
    <row r="483" spans="2:5" ht="15" customHeight="1">
      <c r="B483" s="85"/>
      <c r="C483" s="43" t="s">
        <v>161</v>
      </c>
      <c r="D483" s="42">
        <v>4</v>
      </c>
      <c r="E483" s="41">
        <v>8.7854162090929061E-4</v>
      </c>
    </row>
    <row r="484" spans="2:5" ht="15" customHeight="1">
      <c r="B484" s="85"/>
      <c r="C484" s="43" t="s">
        <v>160</v>
      </c>
      <c r="D484" s="42">
        <v>7</v>
      </c>
      <c r="E484" s="41">
        <v>1.5374478365912585E-3</v>
      </c>
    </row>
    <row r="485" spans="2:5" ht="15" customHeight="1">
      <c r="B485" s="85"/>
      <c r="C485" s="43" t="s">
        <v>159</v>
      </c>
      <c r="D485" s="42">
        <v>5</v>
      </c>
      <c r="E485" s="41">
        <v>1.0981770261366132E-3</v>
      </c>
    </row>
    <row r="486" spans="2:5" ht="15" customHeight="1">
      <c r="B486" s="85"/>
      <c r="C486" s="43" t="s">
        <v>158</v>
      </c>
      <c r="D486" s="42">
        <v>2</v>
      </c>
      <c r="E486" s="41">
        <v>4.392708104546453E-4</v>
      </c>
    </row>
    <row r="487" spans="2:5" ht="15" customHeight="1">
      <c r="B487" s="85"/>
      <c r="C487" s="43" t="s">
        <v>157</v>
      </c>
      <c r="D487" s="42">
        <v>16</v>
      </c>
      <c r="E487" s="41">
        <v>3.5141664836371624E-3</v>
      </c>
    </row>
    <row r="488" spans="2:5" ht="15" customHeight="1">
      <c r="B488" s="85"/>
      <c r="C488" s="43" t="s">
        <v>156</v>
      </c>
      <c r="D488" s="42">
        <v>19</v>
      </c>
      <c r="E488" s="41">
        <v>4.1730726993191303E-3</v>
      </c>
    </row>
    <row r="489" spans="2:5" ht="15" customHeight="1">
      <c r="B489" s="85"/>
      <c r="C489" s="43" t="s">
        <v>155</v>
      </c>
      <c r="D489" s="42">
        <v>6</v>
      </c>
      <c r="E489" s="41">
        <v>1.3178124313639359E-3</v>
      </c>
    </row>
    <row r="490" spans="2:5" ht="15" customHeight="1">
      <c r="B490" s="85"/>
      <c r="C490" s="43" t="s">
        <v>154</v>
      </c>
      <c r="D490" s="42">
        <v>7</v>
      </c>
      <c r="E490" s="41">
        <v>1.5374478365912585E-3</v>
      </c>
    </row>
    <row r="491" spans="2:5" ht="15" customHeight="1">
      <c r="B491" s="85"/>
      <c r="C491" s="43" t="s">
        <v>153</v>
      </c>
      <c r="D491" s="42">
        <v>6</v>
      </c>
      <c r="E491" s="41">
        <v>1.3178124313639359E-3</v>
      </c>
    </row>
    <row r="492" spans="2:5" ht="15" customHeight="1">
      <c r="B492" s="85"/>
      <c r="C492" s="43" t="s">
        <v>152</v>
      </c>
      <c r="D492" s="42">
        <v>39</v>
      </c>
      <c r="E492" s="41">
        <v>8.5657808038655837E-3</v>
      </c>
    </row>
    <row r="493" spans="2:5" ht="15" customHeight="1">
      <c r="B493" s="85"/>
      <c r="C493" s="43" t="s">
        <v>151</v>
      </c>
      <c r="D493" s="42">
        <v>4</v>
      </c>
      <c r="E493" s="41">
        <v>8.7854162090929061E-4</v>
      </c>
    </row>
    <row r="494" spans="2:5" ht="15" customHeight="1">
      <c r="B494" s="85"/>
      <c r="C494" s="43" t="s">
        <v>150</v>
      </c>
      <c r="D494" s="42">
        <v>15</v>
      </c>
      <c r="E494" s="41">
        <v>3.2945310784098397E-3</v>
      </c>
    </row>
    <row r="495" spans="2:5" ht="15" customHeight="1">
      <c r="B495" s="85"/>
      <c r="C495" s="43" t="s">
        <v>149</v>
      </c>
      <c r="D495" s="42">
        <v>22</v>
      </c>
      <c r="E495" s="41">
        <v>4.8319789150010981E-3</v>
      </c>
    </row>
    <row r="496" spans="2:5" ht="15" customHeight="1">
      <c r="B496" s="85"/>
      <c r="C496" s="43" t="s">
        <v>143</v>
      </c>
      <c r="D496" s="42">
        <v>4</v>
      </c>
      <c r="E496" s="41">
        <v>8.7854162090929061E-4</v>
      </c>
    </row>
    <row r="497" spans="2:5" ht="15" customHeight="1">
      <c r="B497" s="84"/>
      <c r="C497" s="40" t="s">
        <v>23</v>
      </c>
      <c r="D497" s="39">
        <v>161</v>
      </c>
      <c r="E497" s="38">
        <v>3.5361300241598947E-2</v>
      </c>
    </row>
    <row r="498" spans="2:5" ht="15" customHeight="1">
      <c r="B498" s="83" t="s">
        <v>113</v>
      </c>
      <c r="C498" s="43" t="s">
        <v>163</v>
      </c>
      <c r="D498" s="42">
        <v>1</v>
      </c>
      <c r="E498" s="41">
        <v>2.1963540522732265E-4</v>
      </c>
    </row>
    <row r="499" spans="2:5" ht="15" customHeight="1">
      <c r="B499" s="85"/>
      <c r="C499" s="43" t="s">
        <v>162</v>
      </c>
      <c r="D499" s="42">
        <v>2</v>
      </c>
      <c r="E499" s="41">
        <v>4.392708104546453E-4</v>
      </c>
    </row>
    <row r="500" spans="2:5" ht="15" customHeight="1">
      <c r="B500" s="85"/>
      <c r="C500" s="43" t="s">
        <v>158</v>
      </c>
      <c r="D500" s="42">
        <v>3</v>
      </c>
      <c r="E500" s="41">
        <v>6.5890621568196796E-4</v>
      </c>
    </row>
    <row r="501" spans="2:5" ht="15" customHeight="1">
      <c r="B501" s="85"/>
      <c r="C501" s="43" t="s">
        <v>157</v>
      </c>
      <c r="D501" s="42">
        <v>12</v>
      </c>
      <c r="E501" s="41">
        <v>2.6356248627278718E-3</v>
      </c>
    </row>
    <row r="502" spans="2:5" ht="15" customHeight="1">
      <c r="B502" s="85"/>
      <c r="C502" s="43" t="s">
        <v>156</v>
      </c>
      <c r="D502" s="42">
        <v>15</v>
      </c>
      <c r="E502" s="41">
        <v>3.2945310784098397E-3</v>
      </c>
    </row>
    <row r="503" spans="2:5" ht="15" customHeight="1">
      <c r="B503" s="85"/>
      <c r="C503" s="43" t="s">
        <v>155</v>
      </c>
      <c r="D503" s="42">
        <v>4</v>
      </c>
      <c r="E503" s="41">
        <v>8.7854162090929061E-4</v>
      </c>
    </row>
    <row r="504" spans="2:5" ht="15" customHeight="1">
      <c r="B504" s="85"/>
      <c r="C504" s="43" t="s">
        <v>154</v>
      </c>
      <c r="D504" s="42">
        <v>6</v>
      </c>
      <c r="E504" s="41">
        <v>1.3178124313639359E-3</v>
      </c>
    </row>
    <row r="505" spans="2:5" ht="15" customHeight="1">
      <c r="B505" s="85"/>
      <c r="C505" s="43" t="s">
        <v>153</v>
      </c>
      <c r="D505" s="42">
        <v>1</v>
      </c>
      <c r="E505" s="41">
        <v>2.1963540522732265E-4</v>
      </c>
    </row>
    <row r="506" spans="2:5" ht="15" customHeight="1">
      <c r="B506" s="85"/>
      <c r="C506" s="43" t="s">
        <v>152</v>
      </c>
      <c r="D506" s="42">
        <v>51</v>
      </c>
      <c r="E506" s="41">
        <v>1.1201405666593455E-2</v>
      </c>
    </row>
    <row r="507" spans="2:5" ht="15" customHeight="1">
      <c r="B507" s="85"/>
      <c r="C507" s="43" t="s">
        <v>151</v>
      </c>
      <c r="D507" s="42">
        <v>3</v>
      </c>
      <c r="E507" s="41">
        <v>6.5890621568196796E-4</v>
      </c>
    </row>
    <row r="508" spans="2:5" ht="15" customHeight="1">
      <c r="B508" s="85"/>
      <c r="C508" s="43" t="s">
        <v>150</v>
      </c>
      <c r="D508" s="42">
        <v>8</v>
      </c>
      <c r="E508" s="41">
        <v>1.7570832418185812E-3</v>
      </c>
    </row>
    <row r="509" spans="2:5" ht="15" customHeight="1">
      <c r="B509" s="85"/>
      <c r="C509" s="43" t="s">
        <v>149</v>
      </c>
      <c r="D509" s="42">
        <v>27</v>
      </c>
      <c r="E509" s="41">
        <v>5.9301559411377115E-3</v>
      </c>
    </row>
    <row r="510" spans="2:5" ht="15" customHeight="1">
      <c r="B510" s="85"/>
      <c r="C510" s="43" t="s">
        <v>148</v>
      </c>
      <c r="D510" s="42">
        <v>2</v>
      </c>
      <c r="E510" s="41">
        <v>4.392708104546453E-4</v>
      </c>
    </row>
    <row r="511" spans="2:5" ht="15" customHeight="1">
      <c r="B511" s="85"/>
      <c r="C511" s="43" t="s">
        <v>146</v>
      </c>
      <c r="D511" s="42">
        <v>1</v>
      </c>
      <c r="E511" s="41">
        <v>2.1963540522732265E-4</v>
      </c>
    </row>
    <row r="512" spans="2:5" ht="15" customHeight="1">
      <c r="B512" s="85"/>
      <c r="C512" s="43" t="s">
        <v>145</v>
      </c>
      <c r="D512" s="42">
        <v>1</v>
      </c>
      <c r="E512" s="41">
        <v>2.1963540522732265E-4</v>
      </c>
    </row>
    <row r="513" spans="2:5" ht="15" customHeight="1">
      <c r="B513" s="85"/>
      <c r="C513" s="43" t="s">
        <v>144</v>
      </c>
      <c r="D513" s="42">
        <v>1</v>
      </c>
      <c r="E513" s="41">
        <v>2.1963540522732265E-4</v>
      </c>
    </row>
    <row r="514" spans="2:5" ht="15" customHeight="1">
      <c r="B514" s="85"/>
      <c r="C514" s="43" t="s">
        <v>143</v>
      </c>
      <c r="D514" s="42">
        <v>8</v>
      </c>
      <c r="E514" s="41">
        <v>1.7570832418185812E-3</v>
      </c>
    </row>
    <row r="515" spans="2:5" ht="15" customHeight="1">
      <c r="B515" s="84"/>
      <c r="C515" s="40" t="s">
        <v>23</v>
      </c>
      <c r="D515" s="39">
        <v>146</v>
      </c>
      <c r="E515" s="38">
        <v>3.2066769163189103E-2</v>
      </c>
    </row>
    <row r="516" spans="2:5" ht="15" customHeight="1">
      <c r="B516" s="83" t="s">
        <v>91</v>
      </c>
      <c r="C516" s="43" t="s">
        <v>163</v>
      </c>
      <c r="D516" s="42">
        <v>1</v>
      </c>
      <c r="E516" s="41">
        <v>2.1963540522732265E-4</v>
      </c>
    </row>
    <row r="517" spans="2:5" ht="15" customHeight="1">
      <c r="B517" s="85"/>
      <c r="C517" s="43" t="s">
        <v>162</v>
      </c>
      <c r="D517" s="42">
        <v>2</v>
      </c>
      <c r="E517" s="41">
        <v>4.392708104546453E-4</v>
      </c>
    </row>
    <row r="518" spans="2:5" ht="15" customHeight="1">
      <c r="B518" s="85"/>
      <c r="C518" s="43" t="s">
        <v>159</v>
      </c>
      <c r="D518" s="42">
        <v>3</v>
      </c>
      <c r="E518" s="41">
        <v>6.5890621568196796E-4</v>
      </c>
    </row>
    <row r="519" spans="2:5" ht="15" customHeight="1">
      <c r="B519" s="85"/>
      <c r="C519" s="43" t="s">
        <v>158</v>
      </c>
      <c r="D519" s="42">
        <v>5</v>
      </c>
      <c r="E519" s="41">
        <v>1.0981770261366132E-3</v>
      </c>
    </row>
    <row r="520" spans="2:5" ht="15" customHeight="1">
      <c r="B520" s="85"/>
      <c r="C520" s="43" t="s">
        <v>157</v>
      </c>
      <c r="D520" s="42">
        <v>17</v>
      </c>
      <c r="E520" s="41">
        <v>3.7338018888644848E-3</v>
      </c>
    </row>
    <row r="521" spans="2:5" ht="15" customHeight="1">
      <c r="B521" s="85"/>
      <c r="C521" s="43" t="s">
        <v>156</v>
      </c>
      <c r="D521" s="42">
        <v>16</v>
      </c>
      <c r="E521" s="41">
        <v>3.5141664836371624E-3</v>
      </c>
    </row>
    <row r="522" spans="2:5" ht="15" customHeight="1">
      <c r="B522" s="85"/>
      <c r="C522" s="43" t="s">
        <v>155</v>
      </c>
      <c r="D522" s="42">
        <v>1</v>
      </c>
      <c r="E522" s="41">
        <v>2.1963540522732265E-4</v>
      </c>
    </row>
    <row r="523" spans="2:5" ht="15" customHeight="1">
      <c r="B523" s="85"/>
      <c r="C523" s="43" t="s">
        <v>154</v>
      </c>
      <c r="D523" s="42">
        <v>5</v>
      </c>
      <c r="E523" s="41">
        <v>1.0981770261366132E-3</v>
      </c>
    </row>
    <row r="524" spans="2:5" ht="15" customHeight="1">
      <c r="B524" s="85"/>
      <c r="C524" s="43" t="s">
        <v>153</v>
      </c>
      <c r="D524" s="42">
        <v>7</v>
      </c>
      <c r="E524" s="41">
        <v>1.5374478365912585E-3</v>
      </c>
    </row>
    <row r="525" spans="2:5" ht="15" customHeight="1">
      <c r="B525" s="85"/>
      <c r="C525" s="43" t="s">
        <v>152</v>
      </c>
      <c r="D525" s="42">
        <v>39</v>
      </c>
      <c r="E525" s="41">
        <v>8.5657808038655837E-3</v>
      </c>
    </row>
    <row r="526" spans="2:5" ht="15" customHeight="1">
      <c r="B526" s="85"/>
      <c r="C526" s="43" t="s">
        <v>151</v>
      </c>
      <c r="D526" s="42">
        <v>4</v>
      </c>
      <c r="E526" s="41">
        <v>8.7854162090929061E-4</v>
      </c>
    </row>
    <row r="527" spans="2:5" ht="15" customHeight="1">
      <c r="B527" s="85"/>
      <c r="C527" s="43" t="s">
        <v>150</v>
      </c>
      <c r="D527" s="42">
        <v>9</v>
      </c>
      <c r="E527" s="41">
        <v>1.976718647045904E-3</v>
      </c>
    </row>
    <row r="528" spans="2:5" ht="15" customHeight="1">
      <c r="B528" s="85"/>
      <c r="C528" s="43" t="s">
        <v>149</v>
      </c>
      <c r="D528" s="42">
        <v>35</v>
      </c>
      <c r="E528" s="41">
        <v>7.6872391829562927E-3</v>
      </c>
    </row>
    <row r="529" spans="2:5" ht="15" customHeight="1">
      <c r="B529" s="85"/>
      <c r="C529" s="43" t="s">
        <v>144</v>
      </c>
      <c r="D529" s="42">
        <v>5</v>
      </c>
      <c r="E529" s="41">
        <v>1.0981770261366132E-3</v>
      </c>
    </row>
    <row r="530" spans="2:5" ht="15" customHeight="1">
      <c r="B530" s="85"/>
      <c r="C530" s="43" t="s">
        <v>143</v>
      </c>
      <c r="D530" s="42">
        <v>10</v>
      </c>
      <c r="E530" s="41">
        <v>2.1963540522732263E-3</v>
      </c>
    </row>
    <row r="531" spans="2:5" ht="15" customHeight="1">
      <c r="B531" s="85"/>
      <c r="C531" s="43" t="s">
        <v>168</v>
      </c>
      <c r="D531" s="42">
        <v>1</v>
      </c>
      <c r="E531" s="41">
        <v>2.1963540522732265E-4</v>
      </c>
    </row>
    <row r="532" spans="2:5" ht="15" customHeight="1">
      <c r="B532" s="84"/>
      <c r="C532" s="40" t="s">
        <v>23</v>
      </c>
      <c r="D532" s="39">
        <v>160</v>
      </c>
      <c r="E532" s="38">
        <v>3.5141664836371621E-2</v>
      </c>
    </row>
    <row r="533" spans="2:5" ht="15" customHeight="1">
      <c r="B533" s="83" t="s">
        <v>82</v>
      </c>
      <c r="C533" s="43" t="s">
        <v>156</v>
      </c>
      <c r="D533" s="42">
        <v>1</v>
      </c>
      <c r="E533" s="41">
        <v>2.1963540522732265E-4</v>
      </c>
    </row>
    <row r="534" spans="2:5" ht="15" customHeight="1">
      <c r="B534" s="85"/>
      <c r="C534" s="43" t="s">
        <v>152</v>
      </c>
      <c r="D534" s="42">
        <v>2</v>
      </c>
      <c r="E534" s="41">
        <v>4.392708104546453E-4</v>
      </c>
    </row>
    <row r="535" spans="2:5" ht="15" customHeight="1">
      <c r="B535" s="85"/>
      <c r="C535" s="43" t="s">
        <v>151</v>
      </c>
      <c r="D535" s="42">
        <v>1</v>
      </c>
      <c r="E535" s="41">
        <v>2.1963540522732265E-4</v>
      </c>
    </row>
    <row r="536" spans="2:5" ht="15" customHeight="1">
      <c r="B536" s="85"/>
      <c r="C536" s="43" t="s">
        <v>150</v>
      </c>
      <c r="D536" s="42">
        <v>1</v>
      </c>
      <c r="E536" s="41">
        <v>2.1963540522732265E-4</v>
      </c>
    </row>
    <row r="537" spans="2:5" ht="15" customHeight="1">
      <c r="B537" s="85"/>
      <c r="C537" s="43" t="s">
        <v>149</v>
      </c>
      <c r="D537" s="42">
        <v>2</v>
      </c>
      <c r="E537" s="41">
        <v>4.392708104546453E-4</v>
      </c>
    </row>
    <row r="538" spans="2:5" ht="15" customHeight="1">
      <c r="B538" s="85"/>
      <c r="C538" s="43" t="s">
        <v>143</v>
      </c>
      <c r="D538" s="42">
        <v>2</v>
      </c>
      <c r="E538" s="41">
        <v>4.392708104546453E-4</v>
      </c>
    </row>
    <row r="539" spans="2:5" ht="15" customHeight="1">
      <c r="B539" s="84"/>
      <c r="C539" s="40" t="s">
        <v>23</v>
      </c>
      <c r="D539" s="39">
        <v>9</v>
      </c>
      <c r="E539" s="38">
        <v>1.976718647045904E-3</v>
      </c>
    </row>
    <row r="540" spans="2:5" ht="15" customHeight="1">
      <c r="B540" s="83" t="s">
        <v>65</v>
      </c>
      <c r="C540" s="43" t="s">
        <v>157</v>
      </c>
      <c r="D540" s="42">
        <v>4</v>
      </c>
      <c r="E540" s="41">
        <v>8.7854162090929061E-4</v>
      </c>
    </row>
    <row r="541" spans="2:5" ht="15" customHeight="1">
      <c r="B541" s="85"/>
      <c r="C541" s="43" t="s">
        <v>156</v>
      </c>
      <c r="D541" s="42">
        <v>2</v>
      </c>
      <c r="E541" s="41">
        <v>4.392708104546453E-4</v>
      </c>
    </row>
    <row r="542" spans="2:5" ht="15" customHeight="1">
      <c r="B542" s="85"/>
      <c r="C542" s="43" t="s">
        <v>154</v>
      </c>
      <c r="D542" s="42">
        <v>2</v>
      </c>
      <c r="E542" s="41">
        <v>4.392708104546453E-4</v>
      </c>
    </row>
    <row r="543" spans="2:5" ht="15" customHeight="1">
      <c r="B543" s="85"/>
      <c r="C543" s="43" t="s">
        <v>152</v>
      </c>
      <c r="D543" s="42">
        <v>6</v>
      </c>
      <c r="E543" s="41">
        <v>1.3178124313639359E-3</v>
      </c>
    </row>
    <row r="544" spans="2:5" ht="15" customHeight="1">
      <c r="B544" s="85"/>
      <c r="C544" s="43" t="s">
        <v>150</v>
      </c>
      <c r="D544" s="42">
        <v>2</v>
      </c>
      <c r="E544" s="41">
        <v>4.392708104546453E-4</v>
      </c>
    </row>
    <row r="545" spans="2:5" ht="15" customHeight="1">
      <c r="B545" s="85"/>
      <c r="C545" s="43" t="s">
        <v>149</v>
      </c>
      <c r="D545" s="42">
        <v>2</v>
      </c>
      <c r="E545" s="41">
        <v>4.392708104546453E-4</v>
      </c>
    </row>
    <row r="546" spans="2:5" ht="15" customHeight="1">
      <c r="B546" s="85"/>
      <c r="C546" s="43" t="s">
        <v>143</v>
      </c>
      <c r="D546" s="42">
        <v>1</v>
      </c>
      <c r="E546" s="41">
        <v>2.1963540522732265E-4</v>
      </c>
    </row>
    <row r="547" spans="2:5" ht="15" customHeight="1">
      <c r="B547" s="84"/>
      <c r="C547" s="40" t="s">
        <v>23</v>
      </c>
      <c r="D547" s="39">
        <v>19</v>
      </c>
      <c r="E547" s="38">
        <v>4.1730726993191303E-3</v>
      </c>
    </row>
    <row r="548" spans="2:5" ht="15" customHeight="1">
      <c r="B548" s="95" t="s">
        <v>23</v>
      </c>
      <c r="C548" s="96"/>
      <c r="D548" s="97">
        <v>4553</v>
      </c>
      <c r="E548" s="98">
        <v>1</v>
      </c>
    </row>
    <row r="550" spans="2:5" ht="15" customHeight="1">
      <c r="B550" s="19" t="s">
        <v>22</v>
      </c>
    </row>
    <row r="551" spans="2:5" ht="15" customHeight="1">
      <c r="B551" s="21" t="s">
        <v>21</v>
      </c>
    </row>
    <row r="552" spans="2:5" ht="15" customHeight="1">
      <c r="B552" s="20" t="s">
        <v>20</v>
      </c>
    </row>
    <row r="553" spans="2:5" ht="15" customHeight="1">
      <c r="B553" s="19" t="s">
        <v>19</v>
      </c>
    </row>
    <row r="554" spans="2:5" ht="15" customHeight="1">
      <c r="B554" s="19" t="s">
        <v>18</v>
      </c>
    </row>
  </sheetData>
  <mergeCells count="48">
    <mergeCell ref="B49:B54"/>
    <mergeCell ref="B55:B60"/>
    <mergeCell ref="B61:B63"/>
    <mergeCell ref="B64:B78"/>
    <mergeCell ref="B79:B93"/>
    <mergeCell ref="B7:E8"/>
    <mergeCell ref="B10:B15"/>
    <mergeCell ref="B16:B30"/>
    <mergeCell ref="B31:B36"/>
    <mergeCell ref="B37:B48"/>
    <mergeCell ref="B148:B163"/>
    <mergeCell ref="B164:B176"/>
    <mergeCell ref="B177:B187"/>
    <mergeCell ref="B188:B193"/>
    <mergeCell ref="B194:B210"/>
    <mergeCell ref="B94:B106"/>
    <mergeCell ref="B107:B115"/>
    <mergeCell ref="B116:B121"/>
    <mergeCell ref="B122:B125"/>
    <mergeCell ref="B126:B147"/>
    <mergeCell ref="B270:B271"/>
    <mergeCell ref="B272:B280"/>
    <mergeCell ref="B281:B287"/>
    <mergeCell ref="B288:B299"/>
    <mergeCell ref="B300:B310"/>
    <mergeCell ref="B211:B222"/>
    <mergeCell ref="B223:B245"/>
    <mergeCell ref="B246:B253"/>
    <mergeCell ref="B254:B263"/>
    <mergeCell ref="B264:B269"/>
    <mergeCell ref="B377:B396"/>
    <mergeCell ref="B397:B405"/>
    <mergeCell ref="B406:B419"/>
    <mergeCell ref="B420:B429"/>
    <mergeCell ref="B430:B450"/>
    <mergeCell ref="B311:B325"/>
    <mergeCell ref="B326:B340"/>
    <mergeCell ref="B341:B359"/>
    <mergeCell ref="B360:B361"/>
    <mergeCell ref="B362:B376"/>
    <mergeCell ref="B533:B539"/>
    <mergeCell ref="B540:B547"/>
    <mergeCell ref="B548:C548"/>
    <mergeCell ref="B451:B463"/>
    <mergeCell ref="B464:B480"/>
    <mergeCell ref="B481:B497"/>
    <mergeCell ref="B498:B515"/>
    <mergeCell ref="B516:B5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4" manualBreakCount="14">
    <brk id="48" max="4" man="1"/>
    <brk id="78" max="4" man="1"/>
    <brk id="121" max="4" man="1"/>
    <brk id="163" max="4" man="1"/>
    <brk id="193" max="4" man="1"/>
    <brk id="222" max="4" man="1"/>
    <brk id="263" max="4" man="1"/>
    <brk id="299" max="4" man="1"/>
    <brk id="340" max="4" man="1"/>
    <brk id="376" max="4" man="1"/>
    <brk id="419" max="4" man="1"/>
    <brk id="463" max="4" man="1"/>
    <brk id="497" max="4" man="1"/>
    <brk id="539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10" zoomScaleNormal="100" zoomScaleSheetLayoutView="115" workbookViewId="0">
      <selection activeCell="D13" sqref="D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178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177</v>
      </c>
      <c r="C11" s="31" t="s">
        <v>70</v>
      </c>
      <c r="D11" s="30" t="s">
        <v>69</v>
      </c>
    </row>
    <row r="12" spans="1:4" ht="15" customHeight="1">
      <c r="B12" s="27" t="s">
        <v>176</v>
      </c>
      <c r="C12" s="26">
        <v>2356</v>
      </c>
      <c r="D12" s="25">
        <v>0.51666666666666672</v>
      </c>
    </row>
    <row r="13" spans="1:4" ht="15" customHeight="1">
      <c r="B13" s="27" t="s">
        <v>175</v>
      </c>
      <c r="C13" s="26">
        <v>2204</v>
      </c>
      <c r="D13" s="25">
        <v>0.48333333333333334</v>
      </c>
    </row>
    <row r="14" spans="1:4">
      <c r="B14" s="24" t="s">
        <v>174</v>
      </c>
      <c r="C14" s="23">
        <v>4560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3"/>
  <sheetViews>
    <sheetView showGridLines="0" topLeftCell="A115" zoomScale="89" zoomScaleNormal="89" zoomScaleSheetLayoutView="100" workbookViewId="0">
      <selection activeCell="H129" sqref="H12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3" t="s">
        <v>181</v>
      </c>
      <c r="C8" s="93"/>
      <c r="D8" s="93"/>
      <c r="E8" s="93"/>
    </row>
    <row r="9" spans="1:6" s="62" customFormat="1" ht="15" customHeight="1">
      <c r="A9" s="64"/>
      <c r="B9" s="93"/>
      <c r="C9" s="93"/>
      <c r="D9" s="93"/>
      <c r="E9" s="93"/>
      <c r="F9" s="65"/>
    </row>
    <row r="10" spans="1:6" s="62" customFormat="1" ht="15" customHeight="1">
      <c r="A10" s="64"/>
      <c r="B10" s="94"/>
      <c r="C10" s="94"/>
      <c r="D10" s="94"/>
      <c r="E10" s="94"/>
      <c r="F10" s="64"/>
    </row>
    <row r="11" spans="1:6" s="62" customFormat="1" ht="36.950000000000003" customHeight="1">
      <c r="B11" s="63" t="s">
        <v>123</v>
      </c>
      <c r="C11" s="63" t="s">
        <v>177</v>
      </c>
      <c r="D11" s="63" t="s">
        <v>70</v>
      </c>
      <c r="E11" s="63" t="s">
        <v>69</v>
      </c>
    </row>
    <row r="12" spans="1:6" ht="15" customHeight="1">
      <c r="B12" s="88" t="s">
        <v>86</v>
      </c>
      <c r="C12" s="61" t="s">
        <v>180</v>
      </c>
      <c r="D12" s="26">
        <v>5</v>
      </c>
      <c r="E12" s="25">
        <v>1.0964912280701754E-3</v>
      </c>
    </row>
    <row r="13" spans="1:6" ht="15" customHeight="1">
      <c r="B13" s="89"/>
      <c r="C13" s="61" t="s">
        <v>179</v>
      </c>
      <c r="D13" s="26">
        <v>2</v>
      </c>
      <c r="E13" s="25">
        <v>4.3859649122807018E-4</v>
      </c>
    </row>
    <row r="14" spans="1:6" ht="15" customHeight="1">
      <c r="B14" s="90"/>
      <c r="C14" s="70" t="s">
        <v>23</v>
      </c>
      <c r="D14" s="71">
        <v>7</v>
      </c>
      <c r="E14" s="72">
        <v>1.5350877192982456E-3</v>
      </c>
    </row>
    <row r="15" spans="1:6" ht="15" customHeight="1">
      <c r="B15" s="88" t="s">
        <v>118</v>
      </c>
      <c r="C15" s="61" t="s">
        <v>180</v>
      </c>
      <c r="D15" s="26">
        <v>35</v>
      </c>
      <c r="E15" s="25">
        <v>7.6754385964912276E-3</v>
      </c>
    </row>
    <row r="16" spans="1:6" ht="15" customHeight="1">
      <c r="B16" s="89"/>
      <c r="C16" s="61" t="s">
        <v>179</v>
      </c>
      <c r="D16" s="26">
        <v>32</v>
      </c>
      <c r="E16" s="25">
        <v>7.0175438596491229E-3</v>
      </c>
    </row>
    <row r="17" spans="1:6" s="48" customFormat="1" ht="15" customHeight="1">
      <c r="A17" s="29"/>
      <c r="B17" s="90"/>
      <c r="C17" s="70" t="s">
        <v>23</v>
      </c>
      <c r="D17" s="71">
        <v>67</v>
      </c>
      <c r="E17" s="72">
        <v>1.4692982456140351E-2</v>
      </c>
      <c r="F17" s="29"/>
    </row>
    <row r="18" spans="1:6" s="48" customFormat="1" ht="15" customHeight="1">
      <c r="A18" s="29"/>
      <c r="B18" s="88" t="s">
        <v>108</v>
      </c>
      <c r="C18" s="61" t="s">
        <v>180</v>
      </c>
      <c r="D18" s="26">
        <v>15</v>
      </c>
      <c r="E18" s="25">
        <v>3.2894736842105261E-3</v>
      </c>
      <c r="F18" s="29"/>
    </row>
    <row r="19" spans="1:6" s="48" customFormat="1" ht="15" customHeight="1">
      <c r="A19" s="29"/>
      <c r="B19" s="89"/>
      <c r="C19" s="61" t="s">
        <v>179</v>
      </c>
      <c r="D19" s="26">
        <v>7</v>
      </c>
      <c r="E19" s="25">
        <v>1.5350877192982456E-3</v>
      </c>
      <c r="F19" s="29"/>
    </row>
    <row r="20" spans="1:6" s="48" customFormat="1" ht="15" customHeight="1">
      <c r="A20" s="29"/>
      <c r="B20" s="90"/>
      <c r="C20" s="70" t="s">
        <v>23</v>
      </c>
      <c r="D20" s="71">
        <v>22</v>
      </c>
      <c r="E20" s="72">
        <v>4.8245614035087722E-3</v>
      </c>
      <c r="F20" s="29"/>
    </row>
    <row r="21" spans="1:6" s="48" customFormat="1" ht="15" customHeight="1">
      <c r="A21" s="29"/>
      <c r="B21" s="88" t="s">
        <v>84</v>
      </c>
      <c r="C21" s="61" t="s">
        <v>180</v>
      </c>
      <c r="D21" s="26">
        <v>23</v>
      </c>
      <c r="E21" s="25">
        <v>5.0438596491228071E-3</v>
      </c>
      <c r="F21" s="29"/>
    </row>
    <row r="22" spans="1:6" ht="13.5">
      <c r="B22" s="89"/>
      <c r="C22" s="61" t="s">
        <v>179</v>
      </c>
      <c r="D22" s="26">
        <v>13</v>
      </c>
      <c r="E22" s="25">
        <v>2.8508771929824563E-3</v>
      </c>
    </row>
    <row r="23" spans="1:6" ht="13.5">
      <c r="B23" s="90"/>
      <c r="C23" s="70" t="s">
        <v>23</v>
      </c>
      <c r="D23" s="71">
        <v>36</v>
      </c>
      <c r="E23" s="72">
        <v>7.8947368421052634E-3</v>
      </c>
    </row>
    <row r="24" spans="1:6" ht="13.5">
      <c r="B24" s="88" t="s">
        <v>80</v>
      </c>
      <c r="C24" s="61" t="s">
        <v>180</v>
      </c>
      <c r="D24" s="26">
        <v>5</v>
      </c>
      <c r="E24" s="25">
        <v>1.0964912280701754E-3</v>
      </c>
    </row>
    <row r="25" spans="1:6" ht="13.5">
      <c r="B25" s="89"/>
      <c r="C25" s="61" t="s">
        <v>179</v>
      </c>
      <c r="D25" s="26">
        <v>3</v>
      </c>
      <c r="E25" s="25">
        <v>6.5789473684210525E-4</v>
      </c>
    </row>
    <row r="26" spans="1:6" ht="13.5">
      <c r="B26" s="90"/>
      <c r="C26" s="70" t="s">
        <v>23</v>
      </c>
      <c r="D26" s="71">
        <v>8</v>
      </c>
      <c r="E26" s="72">
        <v>1.7543859649122807E-3</v>
      </c>
    </row>
    <row r="27" spans="1:6" ht="13.5">
      <c r="B27" s="88" t="s">
        <v>85</v>
      </c>
      <c r="C27" s="61" t="s">
        <v>180</v>
      </c>
      <c r="D27" s="26">
        <v>3</v>
      </c>
      <c r="E27" s="25">
        <v>6.5789473684210525E-4</v>
      </c>
    </row>
    <row r="28" spans="1:6" ht="13.5">
      <c r="B28" s="89"/>
      <c r="C28" s="61" t="s">
        <v>179</v>
      </c>
      <c r="D28" s="26">
        <v>3</v>
      </c>
      <c r="E28" s="25">
        <v>6.5789473684210525E-4</v>
      </c>
    </row>
    <row r="29" spans="1:6" ht="13.5">
      <c r="B29" s="90"/>
      <c r="C29" s="70" t="s">
        <v>23</v>
      </c>
      <c r="D29" s="71">
        <v>6</v>
      </c>
      <c r="E29" s="72">
        <v>1.3157894736842105E-3</v>
      </c>
    </row>
    <row r="30" spans="1:6" ht="13.5">
      <c r="B30" s="88" t="s">
        <v>173</v>
      </c>
      <c r="C30" s="61" t="s">
        <v>179</v>
      </c>
      <c r="D30" s="26">
        <v>2</v>
      </c>
      <c r="E30" s="25">
        <v>4.3859649122807018E-4</v>
      </c>
    </row>
    <row r="31" spans="1:6" ht="13.5">
      <c r="B31" s="90"/>
      <c r="C31" s="70" t="s">
        <v>23</v>
      </c>
      <c r="D31" s="71">
        <v>2</v>
      </c>
      <c r="E31" s="72">
        <v>4.3859649122807018E-4</v>
      </c>
    </row>
    <row r="32" spans="1:6" ht="13.5">
      <c r="B32" s="88" t="s">
        <v>121</v>
      </c>
      <c r="C32" s="61" t="s">
        <v>180</v>
      </c>
      <c r="D32" s="26">
        <v>80</v>
      </c>
      <c r="E32" s="25">
        <v>1.7543859649122806E-2</v>
      </c>
    </row>
    <row r="33" spans="2:5" ht="13.5">
      <c r="B33" s="89"/>
      <c r="C33" s="61" t="s">
        <v>179</v>
      </c>
      <c r="D33" s="26">
        <v>60</v>
      </c>
      <c r="E33" s="25">
        <v>1.3157894736842105E-2</v>
      </c>
    </row>
    <row r="34" spans="2:5" ht="13.5">
      <c r="B34" s="90"/>
      <c r="C34" s="70" t="s">
        <v>23</v>
      </c>
      <c r="D34" s="71">
        <v>140</v>
      </c>
      <c r="E34" s="72">
        <v>3.0701754385964911E-2</v>
      </c>
    </row>
    <row r="35" spans="2:5" ht="13.5">
      <c r="B35" s="88" t="s">
        <v>119</v>
      </c>
      <c r="C35" s="61" t="s">
        <v>180</v>
      </c>
      <c r="D35" s="26">
        <v>50</v>
      </c>
      <c r="E35" s="25">
        <v>1.0964912280701754E-2</v>
      </c>
    </row>
    <row r="36" spans="2:5" ht="13.5">
      <c r="B36" s="89"/>
      <c r="C36" s="61" t="s">
        <v>179</v>
      </c>
      <c r="D36" s="26">
        <v>60</v>
      </c>
      <c r="E36" s="25">
        <v>1.3157894736842105E-2</v>
      </c>
    </row>
    <row r="37" spans="2:5" ht="13.5">
      <c r="B37" s="90"/>
      <c r="C37" s="70" t="s">
        <v>23</v>
      </c>
      <c r="D37" s="71">
        <v>110</v>
      </c>
      <c r="E37" s="72">
        <v>2.4122807017543858E-2</v>
      </c>
    </row>
    <row r="38" spans="2:5" ht="13.5">
      <c r="B38" s="88" t="s">
        <v>103</v>
      </c>
      <c r="C38" s="61" t="s">
        <v>180</v>
      </c>
      <c r="D38" s="26">
        <v>25</v>
      </c>
      <c r="E38" s="25">
        <v>5.4824561403508769E-3</v>
      </c>
    </row>
    <row r="39" spans="2:5" ht="13.5">
      <c r="B39" s="89"/>
      <c r="C39" s="61" t="s">
        <v>179</v>
      </c>
      <c r="D39" s="26">
        <v>18</v>
      </c>
      <c r="E39" s="25">
        <v>3.9473684210526317E-3</v>
      </c>
    </row>
    <row r="40" spans="2:5" ht="13.5">
      <c r="B40" s="90"/>
      <c r="C40" s="70" t="s">
        <v>23</v>
      </c>
      <c r="D40" s="71">
        <v>43</v>
      </c>
      <c r="E40" s="72">
        <v>9.4298245614035086E-3</v>
      </c>
    </row>
    <row r="41" spans="2:5" ht="13.5">
      <c r="B41" s="88" t="s">
        <v>89</v>
      </c>
      <c r="C41" s="61" t="s">
        <v>180</v>
      </c>
      <c r="D41" s="26">
        <v>9</v>
      </c>
      <c r="E41" s="25">
        <v>1.9736842105263159E-3</v>
      </c>
    </row>
    <row r="42" spans="2:5" ht="13.5">
      <c r="B42" s="89"/>
      <c r="C42" s="61" t="s">
        <v>179</v>
      </c>
      <c r="D42" s="26">
        <v>3</v>
      </c>
      <c r="E42" s="25">
        <v>6.5789473684210525E-4</v>
      </c>
    </row>
    <row r="43" spans="2:5" ht="13.5">
      <c r="B43" s="90"/>
      <c r="C43" s="70" t="s">
        <v>23</v>
      </c>
      <c r="D43" s="71">
        <v>12</v>
      </c>
      <c r="E43" s="72">
        <v>2.631578947368421E-3</v>
      </c>
    </row>
    <row r="44" spans="2:5" ht="13.5">
      <c r="B44" s="88" t="s">
        <v>87</v>
      </c>
      <c r="C44" s="61" t="s">
        <v>180</v>
      </c>
      <c r="D44" s="26">
        <v>3</v>
      </c>
      <c r="E44" s="25">
        <v>6.5789473684210525E-4</v>
      </c>
    </row>
    <row r="45" spans="2:5" ht="13.5">
      <c r="B45" s="89"/>
      <c r="C45" s="61" t="s">
        <v>179</v>
      </c>
      <c r="D45" s="26">
        <v>4</v>
      </c>
      <c r="E45" s="25">
        <v>8.7719298245614037E-4</v>
      </c>
    </row>
    <row r="46" spans="2:5" ht="13.5">
      <c r="B46" s="90"/>
      <c r="C46" s="70" t="s">
        <v>23</v>
      </c>
      <c r="D46" s="71">
        <v>7</v>
      </c>
      <c r="E46" s="72">
        <v>1.5350877192982456E-3</v>
      </c>
    </row>
    <row r="47" spans="2:5" ht="13.5">
      <c r="B47" s="88" t="s">
        <v>100</v>
      </c>
      <c r="C47" s="61" t="s">
        <v>180</v>
      </c>
      <c r="D47" s="26">
        <v>2</v>
      </c>
      <c r="E47" s="25">
        <v>4.3859649122807018E-4</v>
      </c>
    </row>
    <row r="48" spans="2:5" ht="13.5">
      <c r="B48" s="89"/>
      <c r="C48" s="61" t="s">
        <v>179</v>
      </c>
      <c r="D48" s="26">
        <v>2</v>
      </c>
      <c r="E48" s="25">
        <v>4.3859649122807018E-4</v>
      </c>
    </row>
    <row r="49" spans="2:5" ht="13.5">
      <c r="B49" s="90"/>
      <c r="C49" s="70" t="s">
        <v>23</v>
      </c>
      <c r="D49" s="71">
        <v>4</v>
      </c>
      <c r="E49" s="72">
        <v>8.7719298245614037E-4</v>
      </c>
    </row>
    <row r="50" spans="2:5" ht="13.5">
      <c r="B50" s="88" t="s">
        <v>116</v>
      </c>
      <c r="C50" s="61" t="s">
        <v>180</v>
      </c>
      <c r="D50" s="26">
        <v>367</v>
      </c>
      <c r="E50" s="25">
        <v>8.0482456140350878E-2</v>
      </c>
    </row>
    <row r="51" spans="2:5" ht="13.5">
      <c r="B51" s="89"/>
      <c r="C51" s="61" t="s">
        <v>179</v>
      </c>
      <c r="D51" s="26">
        <v>335</v>
      </c>
      <c r="E51" s="25">
        <v>7.3464912280701761E-2</v>
      </c>
    </row>
    <row r="52" spans="2:5" ht="13.5">
      <c r="B52" s="90"/>
      <c r="C52" s="70" t="s">
        <v>23</v>
      </c>
      <c r="D52" s="71">
        <v>702</v>
      </c>
      <c r="E52" s="72">
        <v>0.15394736842105264</v>
      </c>
    </row>
    <row r="53" spans="2:5" ht="13.5">
      <c r="B53" s="88" t="s">
        <v>120</v>
      </c>
      <c r="C53" s="61" t="s">
        <v>180</v>
      </c>
      <c r="D53" s="26">
        <v>74</v>
      </c>
      <c r="E53" s="25">
        <v>1.6228070175438595E-2</v>
      </c>
    </row>
    <row r="54" spans="2:5" ht="13.5">
      <c r="B54" s="89"/>
      <c r="C54" s="61" t="s">
        <v>179</v>
      </c>
      <c r="D54" s="26">
        <v>66</v>
      </c>
      <c r="E54" s="25">
        <v>1.4473684210526316E-2</v>
      </c>
    </row>
    <row r="55" spans="2:5" ht="13.5">
      <c r="B55" s="90"/>
      <c r="C55" s="70" t="s">
        <v>23</v>
      </c>
      <c r="D55" s="71">
        <v>140</v>
      </c>
      <c r="E55" s="72">
        <v>3.0701754385964911E-2</v>
      </c>
    </row>
    <row r="56" spans="2:5" ht="13.5">
      <c r="B56" s="88" t="s">
        <v>172</v>
      </c>
      <c r="C56" s="61" t="s">
        <v>180</v>
      </c>
      <c r="D56" s="26">
        <v>17</v>
      </c>
      <c r="E56" s="25">
        <v>3.7280701754385964E-3</v>
      </c>
    </row>
    <row r="57" spans="2:5" ht="13.5">
      <c r="B57" s="89"/>
      <c r="C57" s="61" t="s">
        <v>179</v>
      </c>
      <c r="D57" s="26">
        <v>13</v>
      </c>
      <c r="E57" s="25">
        <v>2.8508771929824563E-3</v>
      </c>
    </row>
    <row r="58" spans="2:5" ht="13.5">
      <c r="B58" s="90"/>
      <c r="C58" s="70" t="s">
        <v>23</v>
      </c>
      <c r="D58" s="71">
        <v>30</v>
      </c>
      <c r="E58" s="72">
        <v>6.5789473684210523E-3</v>
      </c>
    </row>
    <row r="59" spans="2:5" ht="13.5">
      <c r="B59" s="88" t="s">
        <v>99</v>
      </c>
      <c r="C59" s="61" t="s">
        <v>180</v>
      </c>
      <c r="D59" s="26">
        <v>15</v>
      </c>
      <c r="E59" s="25">
        <v>3.2894736842105261E-3</v>
      </c>
    </row>
    <row r="60" spans="2:5" ht="13.5">
      <c r="B60" s="89"/>
      <c r="C60" s="61" t="s">
        <v>179</v>
      </c>
      <c r="D60" s="26">
        <v>21</v>
      </c>
      <c r="E60" s="25">
        <v>4.6052631578947364E-3</v>
      </c>
    </row>
    <row r="61" spans="2:5" ht="13.5">
      <c r="B61" s="90"/>
      <c r="C61" s="70" t="s">
        <v>23</v>
      </c>
      <c r="D61" s="71">
        <v>36</v>
      </c>
      <c r="E61" s="72">
        <v>7.8947368421052634E-3</v>
      </c>
    </row>
    <row r="62" spans="2:5" ht="13.5">
      <c r="B62" s="88" t="s">
        <v>83</v>
      </c>
      <c r="C62" s="61" t="s">
        <v>180</v>
      </c>
      <c r="D62" s="26">
        <v>2</v>
      </c>
      <c r="E62" s="25">
        <v>4.3859649122807018E-4</v>
      </c>
    </row>
    <row r="63" spans="2:5" ht="13.5">
      <c r="B63" s="89"/>
      <c r="C63" s="61" t="s">
        <v>179</v>
      </c>
      <c r="D63" s="26">
        <v>4</v>
      </c>
      <c r="E63" s="25">
        <v>8.7719298245614037E-4</v>
      </c>
    </row>
    <row r="64" spans="2:5" ht="13.5">
      <c r="B64" s="90"/>
      <c r="C64" s="70" t="s">
        <v>23</v>
      </c>
      <c r="D64" s="71">
        <v>6</v>
      </c>
      <c r="E64" s="72">
        <v>1.3157894736842105E-3</v>
      </c>
    </row>
    <row r="65" spans="2:5" ht="13.5">
      <c r="B65" s="88" t="s">
        <v>106</v>
      </c>
      <c r="C65" s="61" t="s">
        <v>180</v>
      </c>
      <c r="D65" s="26">
        <v>119</v>
      </c>
      <c r="E65" s="25">
        <v>2.6096491228070177E-2</v>
      </c>
    </row>
    <row r="66" spans="2:5" ht="13.5">
      <c r="B66" s="89"/>
      <c r="C66" s="61" t="s">
        <v>179</v>
      </c>
      <c r="D66" s="26">
        <v>97</v>
      </c>
      <c r="E66" s="25">
        <v>2.1271929824561404E-2</v>
      </c>
    </row>
    <row r="67" spans="2:5" ht="13.5">
      <c r="B67" s="90"/>
      <c r="C67" s="70" t="s">
        <v>23</v>
      </c>
      <c r="D67" s="71">
        <v>216</v>
      </c>
      <c r="E67" s="72">
        <v>4.736842105263158E-2</v>
      </c>
    </row>
    <row r="68" spans="2:5" ht="13.5">
      <c r="B68" s="88" t="s">
        <v>110</v>
      </c>
      <c r="C68" s="61" t="s">
        <v>180</v>
      </c>
      <c r="D68" s="26">
        <v>30</v>
      </c>
      <c r="E68" s="25">
        <v>6.5789473684210523E-3</v>
      </c>
    </row>
    <row r="69" spans="2:5" ht="13.5">
      <c r="B69" s="89"/>
      <c r="C69" s="61" t="s">
        <v>179</v>
      </c>
      <c r="D69" s="26">
        <v>23</v>
      </c>
      <c r="E69" s="25">
        <v>5.0438596491228071E-3</v>
      </c>
    </row>
    <row r="70" spans="2:5" ht="13.5">
      <c r="B70" s="90"/>
      <c r="C70" s="70" t="s">
        <v>23</v>
      </c>
      <c r="D70" s="71">
        <v>53</v>
      </c>
      <c r="E70" s="72">
        <v>1.1622807017543859E-2</v>
      </c>
    </row>
    <row r="71" spans="2:5" ht="13.5">
      <c r="B71" s="88" t="s">
        <v>171</v>
      </c>
      <c r="C71" s="61" t="s">
        <v>180</v>
      </c>
      <c r="D71" s="26">
        <v>500</v>
      </c>
      <c r="E71" s="25">
        <v>0.10964912280701754</v>
      </c>
    </row>
    <row r="72" spans="2:5" ht="13.5">
      <c r="B72" s="89"/>
      <c r="C72" s="61" t="s">
        <v>179</v>
      </c>
      <c r="D72" s="26">
        <v>543</v>
      </c>
      <c r="E72" s="25">
        <v>0.11907894736842105</v>
      </c>
    </row>
    <row r="73" spans="2:5" ht="13.5">
      <c r="B73" s="90"/>
      <c r="C73" s="70" t="s">
        <v>23</v>
      </c>
      <c r="D73" s="71">
        <v>1043</v>
      </c>
      <c r="E73" s="72">
        <v>0.22872807017543859</v>
      </c>
    </row>
    <row r="74" spans="2:5" ht="13.5">
      <c r="B74" s="88" t="s">
        <v>170</v>
      </c>
      <c r="C74" s="61" t="s">
        <v>180</v>
      </c>
      <c r="D74" s="26">
        <v>5</v>
      </c>
      <c r="E74" s="25">
        <v>1.0964912280701754E-3</v>
      </c>
    </row>
    <row r="75" spans="2:5" ht="13.5">
      <c r="B75" s="89"/>
      <c r="C75" s="61" t="s">
        <v>179</v>
      </c>
      <c r="D75" s="26">
        <v>11</v>
      </c>
      <c r="E75" s="25">
        <v>2.4122807017543861E-3</v>
      </c>
    </row>
    <row r="76" spans="2:5" ht="13.5">
      <c r="B76" s="90"/>
      <c r="C76" s="70" t="s">
        <v>23</v>
      </c>
      <c r="D76" s="71">
        <v>16</v>
      </c>
      <c r="E76" s="72">
        <v>3.5087719298245615E-3</v>
      </c>
    </row>
    <row r="77" spans="2:5" ht="13.5">
      <c r="B77" s="88" t="s">
        <v>96</v>
      </c>
      <c r="C77" s="61" t="s">
        <v>180</v>
      </c>
      <c r="D77" s="26">
        <v>14</v>
      </c>
      <c r="E77" s="25">
        <v>3.0701754385964912E-3</v>
      </c>
    </row>
    <row r="78" spans="2:5" ht="13.5">
      <c r="B78" s="89"/>
      <c r="C78" s="61" t="s">
        <v>179</v>
      </c>
      <c r="D78" s="26">
        <v>4</v>
      </c>
      <c r="E78" s="25">
        <v>8.7719298245614037E-4</v>
      </c>
    </row>
    <row r="79" spans="2:5" ht="13.5">
      <c r="B79" s="90"/>
      <c r="C79" s="70" t="s">
        <v>23</v>
      </c>
      <c r="D79" s="71">
        <v>18</v>
      </c>
      <c r="E79" s="72">
        <v>3.9473684210526317E-3</v>
      </c>
    </row>
    <row r="80" spans="2:5" ht="13.5">
      <c r="B80" s="88" t="s">
        <v>95</v>
      </c>
      <c r="C80" s="61" t="s">
        <v>180</v>
      </c>
      <c r="D80" s="26">
        <v>4</v>
      </c>
      <c r="E80" s="25">
        <v>8.7719298245614037E-4</v>
      </c>
    </row>
    <row r="81" spans="2:5" ht="13.5">
      <c r="B81" s="89"/>
      <c r="C81" s="61" t="s">
        <v>179</v>
      </c>
      <c r="D81" s="26">
        <v>5</v>
      </c>
      <c r="E81" s="25">
        <v>1.0964912280701754E-3</v>
      </c>
    </row>
    <row r="82" spans="2:5" ht="13.5">
      <c r="B82" s="90"/>
      <c r="C82" s="70" t="s">
        <v>23</v>
      </c>
      <c r="D82" s="71">
        <v>9</v>
      </c>
      <c r="E82" s="72">
        <v>1.9736842105263159E-3</v>
      </c>
    </row>
    <row r="83" spans="2:5" ht="13.5">
      <c r="B83" s="88" t="s">
        <v>76</v>
      </c>
      <c r="C83" s="61" t="s">
        <v>180</v>
      </c>
      <c r="D83" s="26">
        <v>1</v>
      </c>
      <c r="E83" s="25">
        <v>2.1929824561403509E-4</v>
      </c>
    </row>
    <row r="84" spans="2:5" ht="13.5">
      <c r="B84" s="90"/>
      <c r="C84" s="70" t="s">
        <v>23</v>
      </c>
      <c r="D84" s="71">
        <v>1</v>
      </c>
      <c r="E84" s="72">
        <v>2.1929824561403509E-4</v>
      </c>
    </row>
    <row r="85" spans="2:5" ht="13.5">
      <c r="B85" s="88" t="s">
        <v>88</v>
      </c>
      <c r="C85" s="61" t="s">
        <v>180</v>
      </c>
      <c r="D85" s="26">
        <v>8</v>
      </c>
      <c r="E85" s="25">
        <v>1.7543859649122807E-3</v>
      </c>
    </row>
    <row r="86" spans="2:5" ht="13.5">
      <c r="B86" s="89"/>
      <c r="C86" s="61" t="s">
        <v>179</v>
      </c>
      <c r="D86" s="26">
        <v>3</v>
      </c>
      <c r="E86" s="25">
        <v>6.5789473684210525E-4</v>
      </c>
    </row>
    <row r="87" spans="2:5" ht="13.5">
      <c r="B87" s="90"/>
      <c r="C87" s="70" t="s">
        <v>23</v>
      </c>
      <c r="D87" s="71">
        <v>11</v>
      </c>
      <c r="E87" s="72">
        <v>2.4122807017543861E-3</v>
      </c>
    </row>
    <row r="88" spans="2:5" ht="13.5">
      <c r="B88" s="88" t="s">
        <v>117</v>
      </c>
      <c r="C88" s="61" t="s">
        <v>180</v>
      </c>
      <c r="D88" s="26">
        <v>9</v>
      </c>
      <c r="E88" s="25">
        <v>1.9736842105263159E-3</v>
      </c>
    </row>
    <row r="89" spans="2:5" ht="13.5">
      <c r="B89" s="89"/>
      <c r="C89" s="61" t="s">
        <v>179</v>
      </c>
      <c r="D89" s="26">
        <v>5</v>
      </c>
      <c r="E89" s="25">
        <v>1.0964912280701754E-3</v>
      </c>
    </row>
    <row r="90" spans="2:5" ht="13.5">
      <c r="B90" s="90"/>
      <c r="C90" s="70" t="s">
        <v>23</v>
      </c>
      <c r="D90" s="71">
        <v>14</v>
      </c>
      <c r="E90" s="72">
        <v>3.0701754385964912E-3</v>
      </c>
    </row>
    <row r="91" spans="2:5" ht="13.5">
      <c r="B91" s="88" t="s">
        <v>90</v>
      </c>
      <c r="C91" s="61" t="s">
        <v>180</v>
      </c>
      <c r="D91" s="26">
        <v>10</v>
      </c>
      <c r="E91" s="25">
        <v>2.1929824561403508E-3</v>
      </c>
    </row>
    <row r="92" spans="2:5" ht="13.5">
      <c r="B92" s="89"/>
      <c r="C92" s="61" t="s">
        <v>179</v>
      </c>
      <c r="D92" s="26">
        <v>12</v>
      </c>
      <c r="E92" s="25">
        <v>2.631578947368421E-3</v>
      </c>
    </row>
    <row r="93" spans="2:5" ht="13.5">
      <c r="B93" s="90"/>
      <c r="C93" s="70" t="s">
        <v>23</v>
      </c>
      <c r="D93" s="71">
        <v>22</v>
      </c>
      <c r="E93" s="72">
        <v>4.8245614035087722E-3</v>
      </c>
    </row>
    <row r="94" spans="2:5" ht="13.5">
      <c r="B94" s="88" t="s">
        <v>109</v>
      </c>
      <c r="C94" s="61" t="s">
        <v>180</v>
      </c>
      <c r="D94" s="26">
        <v>13</v>
      </c>
      <c r="E94" s="25">
        <v>2.8508771929824563E-3</v>
      </c>
    </row>
    <row r="95" spans="2:5" ht="13.5">
      <c r="B95" s="89"/>
      <c r="C95" s="61" t="s">
        <v>179</v>
      </c>
      <c r="D95" s="26">
        <v>12</v>
      </c>
      <c r="E95" s="25">
        <v>2.631578947368421E-3</v>
      </c>
    </row>
    <row r="96" spans="2:5" ht="13.5">
      <c r="B96" s="90"/>
      <c r="C96" s="70" t="s">
        <v>23</v>
      </c>
      <c r="D96" s="71">
        <v>25</v>
      </c>
      <c r="E96" s="72">
        <v>5.4824561403508769E-3</v>
      </c>
    </row>
    <row r="97" spans="2:5" ht="13.5">
      <c r="B97" s="88" t="s">
        <v>105</v>
      </c>
      <c r="C97" s="61" t="s">
        <v>180</v>
      </c>
      <c r="D97" s="26">
        <v>36</v>
      </c>
      <c r="E97" s="25">
        <v>7.8947368421052634E-3</v>
      </c>
    </row>
    <row r="98" spans="2:5" ht="13.5">
      <c r="B98" s="89"/>
      <c r="C98" s="61" t="s">
        <v>179</v>
      </c>
      <c r="D98" s="26">
        <v>37</v>
      </c>
      <c r="E98" s="25">
        <v>8.1140350877192974E-3</v>
      </c>
    </row>
    <row r="99" spans="2:5" ht="13.5">
      <c r="B99" s="90"/>
      <c r="C99" s="70" t="s">
        <v>23</v>
      </c>
      <c r="D99" s="71">
        <v>73</v>
      </c>
      <c r="E99" s="72">
        <v>1.6008771929824563E-2</v>
      </c>
    </row>
    <row r="100" spans="2:5" ht="13.5">
      <c r="B100" s="88" t="s">
        <v>93</v>
      </c>
      <c r="C100" s="61" t="s">
        <v>180</v>
      </c>
      <c r="D100" s="26">
        <v>26</v>
      </c>
      <c r="E100" s="25">
        <v>5.7017543859649127E-3</v>
      </c>
    </row>
    <row r="101" spans="2:5" ht="13.5">
      <c r="B101" s="89"/>
      <c r="C101" s="61" t="s">
        <v>179</v>
      </c>
      <c r="D101" s="26">
        <v>22</v>
      </c>
      <c r="E101" s="25">
        <v>4.8245614035087722E-3</v>
      </c>
    </row>
    <row r="102" spans="2:5" ht="13.5">
      <c r="B102" s="90"/>
      <c r="C102" s="70" t="s">
        <v>23</v>
      </c>
      <c r="D102" s="71">
        <v>48</v>
      </c>
      <c r="E102" s="72">
        <v>1.0526315789473684E-2</v>
      </c>
    </row>
    <row r="103" spans="2:5" ht="13.5">
      <c r="B103" s="88" t="s">
        <v>97</v>
      </c>
      <c r="C103" s="61" t="s">
        <v>180</v>
      </c>
      <c r="D103" s="26">
        <v>71</v>
      </c>
      <c r="E103" s="25">
        <v>1.5570175438596491E-2</v>
      </c>
    </row>
    <row r="104" spans="2:5" ht="13.5">
      <c r="B104" s="89"/>
      <c r="C104" s="61" t="s">
        <v>179</v>
      </c>
      <c r="D104" s="26">
        <v>69</v>
      </c>
      <c r="E104" s="25">
        <v>1.5131578947368421E-2</v>
      </c>
    </row>
    <row r="105" spans="2:5" ht="13.5">
      <c r="B105" s="90"/>
      <c r="C105" s="70" t="s">
        <v>23</v>
      </c>
      <c r="D105" s="71">
        <v>140</v>
      </c>
      <c r="E105" s="72">
        <v>3.0701754385964911E-2</v>
      </c>
    </row>
    <row r="106" spans="2:5" ht="13.5">
      <c r="B106" s="88" t="s">
        <v>81</v>
      </c>
      <c r="C106" s="61" t="s">
        <v>179</v>
      </c>
      <c r="D106" s="26">
        <v>1</v>
      </c>
      <c r="E106" s="25">
        <v>2.1929824561403509E-4</v>
      </c>
    </row>
    <row r="107" spans="2:5" ht="13.5">
      <c r="B107" s="90"/>
      <c r="C107" s="70" t="s">
        <v>23</v>
      </c>
      <c r="D107" s="71">
        <v>1</v>
      </c>
      <c r="E107" s="72">
        <v>2.1929824561403509E-4</v>
      </c>
    </row>
    <row r="108" spans="2:5" ht="13.5">
      <c r="B108" s="88" t="s">
        <v>115</v>
      </c>
      <c r="C108" s="61" t="s">
        <v>180</v>
      </c>
      <c r="D108" s="26">
        <v>20</v>
      </c>
      <c r="E108" s="25">
        <v>4.3859649122807015E-3</v>
      </c>
    </row>
    <row r="109" spans="2:5" ht="13.5">
      <c r="B109" s="89"/>
      <c r="C109" s="61" t="s">
        <v>179</v>
      </c>
      <c r="D109" s="26">
        <v>18</v>
      </c>
      <c r="E109" s="25">
        <v>3.9473684210526317E-3</v>
      </c>
    </row>
    <row r="110" spans="2:5" ht="13.5">
      <c r="B110" s="90"/>
      <c r="C110" s="70" t="s">
        <v>23</v>
      </c>
      <c r="D110" s="71">
        <v>38</v>
      </c>
      <c r="E110" s="72">
        <v>8.3333333333333332E-3</v>
      </c>
    </row>
    <row r="111" spans="2:5" ht="13.5">
      <c r="B111" s="88" t="s">
        <v>107</v>
      </c>
      <c r="C111" s="61" t="s">
        <v>180</v>
      </c>
      <c r="D111" s="26">
        <v>150</v>
      </c>
      <c r="E111" s="25">
        <v>3.2894736842105261E-2</v>
      </c>
    </row>
    <row r="112" spans="2:5" ht="13.5">
      <c r="B112" s="89"/>
      <c r="C112" s="61" t="s">
        <v>179</v>
      </c>
      <c r="D112" s="26">
        <v>133</v>
      </c>
      <c r="E112" s="25">
        <v>2.9166666666666667E-2</v>
      </c>
    </row>
    <row r="113" spans="2:5" ht="13.5">
      <c r="B113" s="90"/>
      <c r="C113" s="70" t="s">
        <v>23</v>
      </c>
      <c r="D113" s="71">
        <v>283</v>
      </c>
      <c r="E113" s="72">
        <v>6.2061403508771928E-2</v>
      </c>
    </row>
    <row r="114" spans="2:5" ht="13.5">
      <c r="B114" s="88" t="s">
        <v>92</v>
      </c>
      <c r="C114" s="61" t="s">
        <v>180</v>
      </c>
      <c r="D114" s="26">
        <v>9</v>
      </c>
      <c r="E114" s="25">
        <v>1.9736842105263159E-3</v>
      </c>
    </row>
    <row r="115" spans="2:5" ht="13.5">
      <c r="B115" s="89"/>
      <c r="C115" s="61" t="s">
        <v>179</v>
      </c>
      <c r="D115" s="26">
        <v>5</v>
      </c>
      <c r="E115" s="25">
        <v>1.0964912280701754E-3</v>
      </c>
    </row>
    <row r="116" spans="2:5" ht="13.5">
      <c r="B116" s="90"/>
      <c r="C116" s="70" t="s">
        <v>23</v>
      </c>
      <c r="D116" s="71">
        <v>14</v>
      </c>
      <c r="E116" s="72">
        <v>3.0701754385964912E-3</v>
      </c>
    </row>
    <row r="117" spans="2:5" ht="13.5">
      <c r="B117" s="88" t="s">
        <v>94</v>
      </c>
      <c r="C117" s="61" t="s">
        <v>180</v>
      </c>
      <c r="D117" s="26">
        <v>39</v>
      </c>
      <c r="E117" s="25">
        <v>8.552631578947369E-3</v>
      </c>
    </row>
    <row r="118" spans="2:5" ht="13.5">
      <c r="B118" s="89"/>
      <c r="C118" s="61" t="s">
        <v>179</v>
      </c>
      <c r="D118" s="26">
        <v>36</v>
      </c>
      <c r="E118" s="25">
        <v>7.8947368421052634E-3</v>
      </c>
    </row>
    <row r="119" spans="2:5" ht="13.5">
      <c r="B119" s="90"/>
      <c r="C119" s="70" t="s">
        <v>23</v>
      </c>
      <c r="D119" s="71">
        <v>75</v>
      </c>
      <c r="E119" s="72">
        <v>1.6447368421052631E-2</v>
      </c>
    </row>
    <row r="120" spans="2:5" ht="13.5">
      <c r="B120" s="88" t="s">
        <v>102</v>
      </c>
      <c r="C120" s="61" t="s">
        <v>180</v>
      </c>
      <c r="D120" s="26">
        <v>9</v>
      </c>
      <c r="E120" s="25">
        <v>1.9736842105263159E-3</v>
      </c>
    </row>
    <row r="121" spans="2:5" ht="13.5">
      <c r="B121" s="89"/>
      <c r="C121" s="61" t="s">
        <v>179</v>
      </c>
      <c r="D121" s="26">
        <v>9</v>
      </c>
      <c r="E121" s="25">
        <v>1.9736842105263159E-3</v>
      </c>
    </row>
    <row r="122" spans="2:5" ht="13.5">
      <c r="B122" s="90"/>
      <c r="C122" s="70" t="s">
        <v>23</v>
      </c>
      <c r="D122" s="71">
        <v>18</v>
      </c>
      <c r="E122" s="72">
        <v>3.9473684210526317E-3</v>
      </c>
    </row>
    <row r="123" spans="2:5" ht="13.5">
      <c r="B123" s="88" t="s">
        <v>114</v>
      </c>
      <c r="C123" s="61" t="s">
        <v>180</v>
      </c>
      <c r="D123" s="26">
        <v>171</v>
      </c>
      <c r="E123" s="25">
        <v>3.7499999999999999E-2</v>
      </c>
    </row>
    <row r="124" spans="2:5" ht="13.5">
      <c r="B124" s="89"/>
      <c r="C124" s="61" t="s">
        <v>179</v>
      </c>
      <c r="D124" s="26">
        <v>172</v>
      </c>
      <c r="E124" s="25">
        <v>3.7719298245614034E-2</v>
      </c>
    </row>
    <row r="125" spans="2:5" ht="13.5">
      <c r="B125" s="90"/>
      <c r="C125" s="70" t="s">
        <v>23</v>
      </c>
      <c r="D125" s="71">
        <v>343</v>
      </c>
      <c r="E125" s="72">
        <v>7.5219298245614033E-2</v>
      </c>
    </row>
    <row r="126" spans="2:5" ht="13.5">
      <c r="B126" s="88" t="s">
        <v>98</v>
      </c>
      <c r="C126" s="61" t="s">
        <v>180</v>
      </c>
      <c r="D126" s="26">
        <v>45</v>
      </c>
      <c r="E126" s="25">
        <v>9.8684210526315784E-3</v>
      </c>
    </row>
    <row r="127" spans="2:5" ht="13.5">
      <c r="B127" s="89"/>
      <c r="C127" s="61" t="s">
        <v>179</v>
      </c>
      <c r="D127" s="26">
        <v>33</v>
      </c>
      <c r="E127" s="25">
        <v>7.2368421052631578E-3</v>
      </c>
    </row>
    <row r="128" spans="2:5" ht="13.5">
      <c r="B128" s="90"/>
      <c r="C128" s="70" t="s">
        <v>23</v>
      </c>
      <c r="D128" s="71">
        <v>78</v>
      </c>
      <c r="E128" s="72">
        <v>1.7105263157894738E-2</v>
      </c>
    </row>
    <row r="129" spans="2:5" ht="13.5">
      <c r="B129" s="88" t="s">
        <v>111</v>
      </c>
      <c r="C129" s="61" t="s">
        <v>180</v>
      </c>
      <c r="D129" s="26">
        <v>73</v>
      </c>
      <c r="E129" s="25">
        <v>1.6008771929824563E-2</v>
      </c>
    </row>
    <row r="130" spans="2:5" ht="13.5">
      <c r="B130" s="89"/>
      <c r="C130" s="61" t="s">
        <v>179</v>
      </c>
      <c r="D130" s="26">
        <v>75</v>
      </c>
      <c r="E130" s="25">
        <v>1.6447368421052631E-2</v>
      </c>
    </row>
    <row r="131" spans="2:5" ht="13.5">
      <c r="B131" s="90"/>
      <c r="C131" s="70" t="s">
        <v>23</v>
      </c>
      <c r="D131" s="71">
        <v>148</v>
      </c>
      <c r="E131" s="72">
        <v>3.245614035087719E-2</v>
      </c>
    </row>
    <row r="132" spans="2:5" ht="13.5">
      <c r="B132" s="88" t="s">
        <v>169</v>
      </c>
      <c r="C132" s="61" t="s">
        <v>180</v>
      </c>
      <c r="D132" s="26">
        <v>79</v>
      </c>
      <c r="E132" s="25">
        <v>1.732456140350877E-2</v>
      </c>
    </row>
    <row r="133" spans="2:5" ht="13.5">
      <c r="B133" s="89"/>
      <c r="C133" s="61" t="s">
        <v>179</v>
      </c>
      <c r="D133" s="26">
        <v>82</v>
      </c>
      <c r="E133" s="25">
        <v>1.7982456140350878E-2</v>
      </c>
    </row>
    <row r="134" spans="2:5" ht="13.5">
      <c r="B134" s="90"/>
      <c r="C134" s="70" t="s">
        <v>23</v>
      </c>
      <c r="D134" s="71">
        <v>161</v>
      </c>
      <c r="E134" s="72">
        <v>3.5307017543859648E-2</v>
      </c>
    </row>
    <row r="135" spans="2:5" ht="13.5">
      <c r="B135" s="88" t="s">
        <v>113</v>
      </c>
      <c r="C135" s="61" t="s">
        <v>180</v>
      </c>
      <c r="D135" s="26">
        <v>70</v>
      </c>
      <c r="E135" s="25">
        <v>1.5350877192982455E-2</v>
      </c>
    </row>
    <row r="136" spans="2:5" ht="13.5">
      <c r="B136" s="89"/>
      <c r="C136" s="61" t="s">
        <v>179</v>
      </c>
      <c r="D136" s="26">
        <v>76</v>
      </c>
      <c r="E136" s="25">
        <v>1.6666666666666666E-2</v>
      </c>
    </row>
    <row r="137" spans="2:5" ht="13.5">
      <c r="B137" s="90"/>
      <c r="C137" s="70" t="s">
        <v>23</v>
      </c>
      <c r="D137" s="71">
        <v>146</v>
      </c>
      <c r="E137" s="72">
        <v>3.2017543859649125E-2</v>
      </c>
    </row>
    <row r="138" spans="2:5" ht="13.5">
      <c r="B138" s="88" t="s">
        <v>91</v>
      </c>
      <c r="C138" s="61" t="s">
        <v>180</v>
      </c>
      <c r="D138" s="26">
        <v>99</v>
      </c>
      <c r="E138" s="25">
        <v>2.1710526315789475E-2</v>
      </c>
    </row>
    <row r="139" spans="2:5" ht="13.5">
      <c r="B139" s="89"/>
      <c r="C139" s="61" t="s">
        <v>179</v>
      </c>
      <c r="D139" s="26">
        <v>61</v>
      </c>
      <c r="E139" s="25">
        <v>1.337719298245614E-2</v>
      </c>
    </row>
    <row r="140" spans="2:5" ht="13.5">
      <c r="B140" s="90"/>
      <c r="C140" s="70" t="s">
        <v>23</v>
      </c>
      <c r="D140" s="71">
        <v>160</v>
      </c>
      <c r="E140" s="72">
        <v>3.5087719298245612E-2</v>
      </c>
    </row>
    <row r="141" spans="2:5" ht="13.5">
      <c r="B141" s="88" t="s">
        <v>82</v>
      </c>
      <c r="C141" s="61" t="s">
        <v>180</v>
      </c>
      <c r="D141" s="26">
        <v>6</v>
      </c>
      <c r="E141" s="25">
        <v>1.3157894736842105E-3</v>
      </c>
    </row>
    <row r="142" spans="2:5" ht="13.5">
      <c r="B142" s="89"/>
      <c r="C142" s="61" t="s">
        <v>179</v>
      </c>
      <c r="D142" s="26">
        <v>3</v>
      </c>
      <c r="E142" s="25">
        <v>6.5789473684210525E-4</v>
      </c>
    </row>
    <row r="143" spans="2:5" ht="13.5">
      <c r="B143" s="90"/>
      <c r="C143" s="70" t="s">
        <v>23</v>
      </c>
      <c r="D143" s="71">
        <v>9</v>
      </c>
      <c r="E143" s="72">
        <v>1.9736842105263159E-3</v>
      </c>
    </row>
    <row r="144" spans="2:5" ht="13.5">
      <c r="B144" s="88" t="s">
        <v>65</v>
      </c>
      <c r="C144" s="61" t="s">
        <v>180</v>
      </c>
      <c r="D144" s="26">
        <v>10</v>
      </c>
      <c r="E144" s="25">
        <v>2.1929824561403508E-3</v>
      </c>
    </row>
    <row r="145" spans="2:5" ht="13.5">
      <c r="B145" s="89"/>
      <c r="C145" s="61" t="s">
        <v>179</v>
      </c>
      <c r="D145" s="26">
        <v>9</v>
      </c>
      <c r="E145" s="25">
        <v>1.9736842105263159E-3</v>
      </c>
    </row>
    <row r="146" spans="2:5" ht="13.5">
      <c r="B146" s="90"/>
      <c r="C146" s="70" t="s">
        <v>23</v>
      </c>
      <c r="D146" s="71">
        <v>19</v>
      </c>
      <c r="E146" s="72">
        <v>4.1666666666666666E-3</v>
      </c>
    </row>
    <row r="147" spans="2:5" ht="13.5">
      <c r="B147" s="91" t="s">
        <v>174</v>
      </c>
      <c r="C147" s="92"/>
      <c r="D147" s="23">
        <v>4560</v>
      </c>
      <c r="E147" s="22">
        <v>1</v>
      </c>
    </row>
    <row r="149" spans="2:5">
      <c r="B149" s="19" t="s">
        <v>22</v>
      </c>
    </row>
    <row r="150" spans="2:5">
      <c r="B150" s="21" t="s">
        <v>21</v>
      </c>
    </row>
    <row r="151" spans="2:5">
      <c r="B151" s="20" t="s">
        <v>20</v>
      </c>
    </row>
    <row r="152" spans="2:5">
      <c r="B152" s="19" t="s">
        <v>19</v>
      </c>
    </row>
    <row r="153" spans="2:5">
      <c r="B153" s="19" t="s">
        <v>18</v>
      </c>
    </row>
  </sheetData>
  <mergeCells count="48">
    <mergeCell ref="B24:B26"/>
    <mergeCell ref="B27:B29"/>
    <mergeCell ref="B30:B31"/>
    <mergeCell ref="B32:B34"/>
    <mergeCell ref="B35:B37"/>
    <mergeCell ref="B8:E10"/>
    <mergeCell ref="B12:B14"/>
    <mergeCell ref="B15:B17"/>
    <mergeCell ref="B18:B20"/>
    <mergeCell ref="B21:B23"/>
    <mergeCell ref="B53:B55"/>
    <mergeCell ref="B56:B58"/>
    <mergeCell ref="B59:B61"/>
    <mergeCell ref="B62:B64"/>
    <mergeCell ref="B65:B67"/>
    <mergeCell ref="B38:B40"/>
    <mergeCell ref="B41:B43"/>
    <mergeCell ref="B44:B46"/>
    <mergeCell ref="B47:B49"/>
    <mergeCell ref="B50:B52"/>
    <mergeCell ref="B83:B84"/>
    <mergeCell ref="B85:B87"/>
    <mergeCell ref="B88:B90"/>
    <mergeCell ref="B91:B93"/>
    <mergeCell ref="B94:B96"/>
    <mergeCell ref="B68:B70"/>
    <mergeCell ref="B71:B73"/>
    <mergeCell ref="B74:B76"/>
    <mergeCell ref="B77:B79"/>
    <mergeCell ref="B80:B82"/>
    <mergeCell ref="B111:B113"/>
    <mergeCell ref="B114:B116"/>
    <mergeCell ref="B117:B119"/>
    <mergeCell ref="B120:B122"/>
    <mergeCell ref="B123:B125"/>
    <mergeCell ref="B97:B99"/>
    <mergeCell ref="B100:B102"/>
    <mergeCell ref="B103:B105"/>
    <mergeCell ref="B106:B107"/>
    <mergeCell ref="B108:B110"/>
    <mergeCell ref="B141:B143"/>
    <mergeCell ref="B144:B146"/>
    <mergeCell ref="B147:C147"/>
    <mergeCell ref="B126:B128"/>
    <mergeCell ref="B129:B131"/>
    <mergeCell ref="B132:B134"/>
    <mergeCell ref="B135:B137"/>
    <mergeCell ref="B138:B14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opLeftCell="A12" zoomScale="82" zoomScaleNormal="82" zoomScaleSheetLayoutView="100" workbookViewId="0">
      <selection activeCell="E24" sqref="E2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3" t="s">
        <v>193</v>
      </c>
      <c r="C8" s="93"/>
      <c r="D8" s="93"/>
      <c r="E8" s="93"/>
      <c r="F8" s="93"/>
    </row>
    <row r="9" spans="1:7" s="62" customFormat="1" ht="15" customHeight="1">
      <c r="A9" s="64"/>
      <c r="B9" s="93"/>
      <c r="C9" s="93"/>
      <c r="D9" s="93"/>
      <c r="E9" s="93"/>
      <c r="F9" s="93"/>
      <c r="G9" s="65"/>
    </row>
    <row r="10" spans="1:7" s="62" customFormat="1" ht="15" customHeight="1">
      <c r="A10" s="64"/>
      <c r="B10" s="94"/>
      <c r="C10" s="94"/>
      <c r="D10" s="94"/>
      <c r="E10" s="94"/>
      <c r="F10" s="94"/>
      <c r="G10" s="64"/>
    </row>
    <row r="11" spans="1:7" s="62" customFormat="1" ht="36.950000000000003" customHeight="1">
      <c r="B11" s="63" t="s">
        <v>177</v>
      </c>
      <c r="C11" s="63" t="s">
        <v>192</v>
      </c>
      <c r="D11" s="63" t="s">
        <v>70</v>
      </c>
      <c r="E11" s="63" t="s">
        <v>191</v>
      </c>
      <c r="F11" s="63" t="s">
        <v>190</v>
      </c>
    </row>
    <row r="12" spans="1:7" ht="15" customHeight="1">
      <c r="B12" s="88" t="s">
        <v>180</v>
      </c>
      <c r="C12" s="61" t="s">
        <v>189</v>
      </c>
      <c r="D12" s="26">
        <v>5</v>
      </c>
      <c r="E12" s="68">
        <v>2.1222410865874364E-3</v>
      </c>
      <c r="F12" s="25">
        <f t="shared" ref="F12:F28" si="0">D12/$D$28</f>
        <v>1.0964912280701754E-3</v>
      </c>
    </row>
    <row r="13" spans="1:7" ht="15" customHeight="1">
      <c r="B13" s="89"/>
      <c r="C13" s="61" t="s">
        <v>188</v>
      </c>
      <c r="D13" s="26">
        <v>19</v>
      </c>
      <c r="E13" s="68">
        <v>8.0645161290322578E-3</v>
      </c>
      <c r="F13" s="25">
        <f t="shared" si="0"/>
        <v>4.1666666666666666E-3</v>
      </c>
    </row>
    <row r="14" spans="1:7" ht="15" customHeight="1">
      <c r="B14" s="89"/>
      <c r="C14" s="61" t="s">
        <v>187</v>
      </c>
      <c r="D14" s="26">
        <v>322</v>
      </c>
      <c r="E14" s="68">
        <v>0.13667232597623091</v>
      </c>
      <c r="F14" s="25">
        <f t="shared" si="0"/>
        <v>7.0614035087719296E-2</v>
      </c>
    </row>
    <row r="15" spans="1:7" ht="15" customHeight="1">
      <c r="B15" s="89"/>
      <c r="C15" s="61" t="s">
        <v>186</v>
      </c>
      <c r="D15" s="26">
        <v>749</v>
      </c>
      <c r="E15" s="68">
        <v>0.31791171477079794</v>
      </c>
      <c r="F15" s="25">
        <f t="shared" si="0"/>
        <v>0.16425438596491229</v>
      </c>
    </row>
    <row r="16" spans="1:7" ht="15" customHeight="1">
      <c r="B16" s="89"/>
      <c r="C16" s="61" t="s">
        <v>185</v>
      </c>
      <c r="D16" s="26">
        <v>847</v>
      </c>
      <c r="E16" s="68">
        <v>0.35950764006791169</v>
      </c>
      <c r="F16" s="25">
        <f t="shared" si="0"/>
        <v>0.18574561403508771</v>
      </c>
    </row>
    <row r="17" spans="1:7" s="48" customFormat="1" ht="15" customHeight="1">
      <c r="A17" s="29"/>
      <c r="B17" s="89"/>
      <c r="C17" s="61" t="s">
        <v>184</v>
      </c>
      <c r="D17" s="26">
        <v>376</v>
      </c>
      <c r="E17" s="68">
        <v>0.15959252971137522</v>
      </c>
      <c r="F17" s="25">
        <f t="shared" si="0"/>
        <v>8.24561403508772E-2</v>
      </c>
      <c r="G17" s="29"/>
    </row>
    <row r="18" spans="1:7" s="48" customFormat="1" ht="15" customHeight="1">
      <c r="A18" s="29"/>
      <c r="B18" s="89"/>
      <c r="C18" s="61" t="s">
        <v>183</v>
      </c>
      <c r="D18" s="26">
        <v>32</v>
      </c>
      <c r="E18" s="68">
        <v>1.3582342954159592E-2</v>
      </c>
      <c r="F18" s="25">
        <f t="shared" si="0"/>
        <v>7.0175438596491229E-3</v>
      </c>
      <c r="G18" s="29"/>
    </row>
    <row r="19" spans="1:7" s="48" customFormat="1" ht="15" customHeight="1">
      <c r="A19" s="29"/>
      <c r="B19" s="90"/>
      <c r="C19" s="61" t="s">
        <v>182</v>
      </c>
      <c r="D19" s="26">
        <v>6</v>
      </c>
      <c r="E19" s="68">
        <v>2.5466893039049238E-3</v>
      </c>
      <c r="F19" s="25">
        <f t="shared" si="0"/>
        <v>1.3157894736842105E-3</v>
      </c>
      <c r="G19" s="29"/>
    </row>
    <row r="20" spans="1:7" s="48" customFormat="1" ht="15" customHeight="1">
      <c r="A20" s="29"/>
      <c r="B20" s="88" t="s">
        <v>179</v>
      </c>
      <c r="C20" s="61" t="s">
        <v>189</v>
      </c>
      <c r="D20" s="26">
        <v>5</v>
      </c>
      <c r="E20" s="69">
        <v>2.2686025408348459E-3</v>
      </c>
      <c r="F20" s="25">
        <f t="shared" si="0"/>
        <v>1.0964912280701754E-3</v>
      </c>
      <c r="G20" s="29"/>
    </row>
    <row r="21" spans="1:7" s="48" customFormat="1" ht="15" customHeight="1">
      <c r="A21" s="29"/>
      <c r="B21" s="89"/>
      <c r="C21" s="61" t="s">
        <v>188</v>
      </c>
      <c r="D21" s="26">
        <v>19</v>
      </c>
      <c r="E21" s="69">
        <v>8.6206896551724137E-3</v>
      </c>
      <c r="F21" s="25">
        <f t="shared" si="0"/>
        <v>4.1666666666666666E-3</v>
      </c>
      <c r="G21" s="29"/>
    </row>
    <row r="22" spans="1:7" ht="13.5">
      <c r="B22" s="89"/>
      <c r="C22" s="61" t="s">
        <v>187</v>
      </c>
      <c r="D22" s="26">
        <v>264</v>
      </c>
      <c r="E22" s="69">
        <v>0.11978221415607986</v>
      </c>
      <c r="F22" s="25">
        <f t="shared" si="0"/>
        <v>5.7894736842105263E-2</v>
      </c>
    </row>
    <row r="23" spans="1:7" ht="13.5">
      <c r="B23" s="89"/>
      <c r="C23" s="61" t="s">
        <v>186</v>
      </c>
      <c r="D23" s="26">
        <v>650</v>
      </c>
      <c r="E23" s="69">
        <v>0.29491833030852993</v>
      </c>
      <c r="F23" s="25">
        <f t="shared" si="0"/>
        <v>0.14254385964912281</v>
      </c>
    </row>
    <row r="24" spans="1:7" ht="27">
      <c r="B24" s="89"/>
      <c r="C24" s="61" t="s">
        <v>185</v>
      </c>
      <c r="D24" s="26">
        <v>809</v>
      </c>
      <c r="E24" s="69">
        <v>0.36705989110707804</v>
      </c>
      <c r="F24" s="25">
        <f t="shared" si="0"/>
        <v>0.17741228070175438</v>
      </c>
    </row>
    <row r="25" spans="1:7" ht="13.5">
      <c r="B25" s="89"/>
      <c r="C25" s="61" t="s">
        <v>184</v>
      </c>
      <c r="D25" s="26">
        <v>419</v>
      </c>
      <c r="E25" s="69">
        <v>0.19010889292196007</v>
      </c>
      <c r="F25" s="25">
        <f t="shared" si="0"/>
        <v>9.1885964912280696E-2</v>
      </c>
    </row>
    <row r="26" spans="1:7" ht="13.5">
      <c r="B26" s="89"/>
      <c r="C26" s="61" t="s">
        <v>183</v>
      </c>
      <c r="D26" s="26">
        <v>34</v>
      </c>
      <c r="E26" s="69">
        <v>1.5426497277676952E-2</v>
      </c>
      <c r="F26" s="25">
        <f t="shared" si="0"/>
        <v>7.4561403508771927E-3</v>
      </c>
    </row>
    <row r="27" spans="1:7" ht="13.5">
      <c r="B27" s="90"/>
      <c r="C27" s="61" t="s">
        <v>182</v>
      </c>
      <c r="D27" s="26">
        <v>4</v>
      </c>
      <c r="E27" s="69">
        <v>1.8148820326678765E-3</v>
      </c>
      <c r="F27" s="25">
        <f t="shared" si="0"/>
        <v>8.7719298245614037E-4</v>
      </c>
    </row>
    <row r="28" spans="1:7" ht="13.5">
      <c r="B28" s="24" t="s">
        <v>23</v>
      </c>
      <c r="C28" s="24"/>
      <c r="D28" s="23">
        <v>4560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0"/>
  <sheetViews>
    <sheetView showGridLines="0" tabSelected="1" topLeftCell="B16" zoomScaleNormal="100" zoomScaleSheetLayoutView="115" workbookViewId="0">
      <selection activeCell="G43" sqref="G4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216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215</v>
      </c>
      <c r="C11" s="31" t="s">
        <v>70</v>
      </c>
      <c r="D11" s="30" t="s">
        <v>69</v>
      </c>
    </row>
    <row r="12" spans="1:4" ht="15" customHeight="1">
      <c r="B12" s="27" t="s">
        <v>214</v>
      </c>
      <c r="C12" s="26">
        <v>2408</v>
      </c>
      <c r="D12" s="25">
        <f t="shared" ref="D12:D32" si="0">C12/$C$32</f>
        <v>0.52807017543859647</v>
      </c>
    </row>
    <row r="13" spans="1:4">
      <c r="B13" s="27" t="s">
        <v>213</v>
      </c>
      <c r="C13" s="26">
        <v>1234</v>
      </c>
      <c r="D13" s="25">
        <f t="shared" si="0"/>
        <v>0.27061403508771931</v>
      </c>
    </row>
    <row r="14" spans="1:4" s="28" customFormat="1">
      <c r="A14" s="17"/>
      <c r="B14" s="27" t="s">
        <v>212</v>
      </c>
      <c r="C14" s="26">
        <v>213</v>
      </c>
      <c r="D14" s="25">
        <f t="shared" si="0"/>
        <v>4.6710526315789473E-2</v>
      </c>
    </row>
    <row r="15" spans="1:4" s="28" customFormat="1">
      <c r="A15" s="17"/>
      <c r="B15" s="27" t="s">
        <v>211</v>
      </c>
      <c r="C15" s="26">
        <v>210</v>
      </c>
      <c r="D15" s="25">
        <f t="shared" si="0"/>
        <v>4.6052631578947366E-2</v>
      </c>
    </row>
    <row r="16" spans="1:4">
      <c r="B16" s="27" t="s">
        <v>210</v>
      </c>
      <c r="C16" s="26">
        <v>134</v>
      </c>
      <c r="D16" s="25">
        <f t="shared" si="0"/>
        <v>2.9385964912280703E-2</v>
      </c>
    </row>
    <row r="17" spans="2:4">
      <c r="B17" s="27" t="s">
        <v>209</v>
      </c>
      <c r="C17" s="26">
        <v>88</v>
      </c>
      <c r="D17" s="25">
        <f t="shared" si="0"/>
        <v>1.9298245614035089E-2</v>
      </c>
    </row>
    <row r="18" spans="2:4">
      <c r="B18" s="27" t="s">
        <v>208</v>
      </c>
      <c r="C18" s="26">
        <v>57</v>
      </c>
      <c r="D18" s="25">
        <f t="shared" si="0"/>
        <v>1.2500000000000001E-2</v>
      </c>
    </row>
    <row r="19" spans="2:4">
      <c r="B19" s="27" t="s">
        <v>207</v>
      </c>
      <c r="C19" s="26">
        <v>53</v>
      </c>
      <c r="D19" s="25">
        <f t="shared" si="0"/>
        <v>1.1622807017543859E-2</v>
      </c>
    </row>
    <row r="20" spans="2:4">
      <c r="B20" s="27" t="s">
        <v>206</v>
      </c>
      <c r="C20" s="26">
        <v>41</v>
      </c>
      <c r="D20" s="25">
        <f t="shared" si="0"/>
        <v>8.9912280701754388E-3</v>
      </c>
    </row>
    <row r="21" spans="2:4">
      <c r="B21" s="27" t="s">
        <v>205</v>
      </c>
      <c r="C21" s="26">
        <v>31</v>
      </c>
      <c r="D21" s="25">
        <f t="shared" si="0"/>
        <v>6.798245614035088E-3</v>
      </c>
    </row>
    <row r="22" spans="2:4">
      <c r="B22" s="27" t="s">
        <v>204</v>
      </c>
      <c r="C22" s="26">
        <v>17</v>
      </c>
      <c r="D22" s="25">
        <f t="shared" si="0"/>
        <v>3.7280701754385964E-3</v>
      </c>
    </row>
    <row r="23" spans="2:4">
      <c r="B23" s="27" t="s">
        <v>203</v>
      </c>
      <c r="C23" s="26">
        <v>13</v>
      </c>
      <c r="D23" s="25">
        <f t="shared" si="0"/>
        <v>2.8508771929824563E-3</v>
      </c>
    </row>
    <row r="24" spans="2:4">
      <c r="B24" s="27" t="s">
        <v>202</v>
      </c>
      <c r="C24" s="26">
        <v>13</v>
      </c>
      <c r="D24" s="25">
        <f t="shared" si="0"/>
        <v>2.8508771929824563E-3</v>
      </c>
    </row>
    <row r="25" spans="2:4">
      <c r="B25" s="27" t="s">
        <v>201</v>
      </c>
      <c r="C25" s="26">
        <v>12</v>
      </c>
      <c r="D25" s="25">
        <f t="shared" si="0"/>
        <v>2.631578947368421E-3</v>
      </c>
    </row>
    <row r="26" spans="2:4">
      <c r="B26" s="27" t="s">
        <v>200</v>
      </c>
      <c r="C26" s="26">
        <v>11</v>
      </c>
      <c r="D26" s="25">
        <f t="shared" si="0"/>
        <v>2.4122807017543861E-3</v>
      </c>
    </row>
    <row r="27" spans="2:4">
      <c r="B27" s="27" t="s">
        <v>199</v>
      </c>
      <c r="C27" s="26">
        <v>10</v>
      </c>
      <c r="D27" s="25">
        <f t="shared" si="0"/>
        <v>2.1929824561403508E-3</v>
      </c>
    </row>
    <row r="28" spans="2:4">
      <c r="B28" s="27" t="s">
        <v>198</v>
      </c>
      <c r="C28" s="26">
        <v>7</v>
      </c>
      <c r="D28" s="25">
        <f t="shared" si="0"/>
        <v>1.5350877192982456E-3</v>
      </c>
    </row>
    <row r="29" spans="2:4">
      <c r="B29" s="27" t="s">
        <v>197</v>
      </c>
      <c r="C29" s="26">
        <v>5</v>
      </c>
      <c r="D29" s="25">
        <f t="shared" si="0"/>
        <v>1.0964912280701754E-3</v>
      </c>
    </row>
    <row r="30" spans="2:4">
      <c r="B30" s="27" t="s">
        <v>196</v>
      </c>
      <c r="C30" s="26">
        <v>2</v>
      </c>
      <c r="D30" s="25">
        <f t="shared" si="0"/>
        <v>4.3859649122807018E-4</v>
      </c>
    </row>
    <row r="31" spans="2:4">
      <c r="B31" s="27" t="s">
        <v>195</v>
      </c>
      <c r="C31" s="26">
        <v>1</v>
      </c>
      <c r="D31" s="25">
        <f t="shared" si="0"/>
        <v>2.1929824561403509E-4</v>
      </c>
    </row>
    <row r="32" spans="2:4">
      <c r="B32" s="24" t="s">
        <v>23</v>
      </c>
      <c r="C32" s="23">
        <v>4560</v>
      </c>
      <c r="D32" s="22">
        <f t="shared" si="0"/>
        <v>1</v>
      </c>
    </row>
    <row r="34" spans="1:1">
      <c r="A34" s="56" t="s">
        <v>194</v>
      </c>
    </row>
    <row r="35" spans="1:1">
      <c r="A35" s="56" t="s">
        <v>21</v>
      </c>
    </row>
    <row r="36" spans="1:1">
      <c r="A36" s="56" t="s">
        <v>20</v>
      </c>
    </row>
    <row r="37" spans="1:1">
      <c r="A37" s="56" t="s">
        <v>19</v>
      </c>
    </row>
    <row r="38" spans="1:1">
      <c r="A38" s="56" t="s">
        <v>139</v>
      </c>
    </row>
    <row r="39" spans="1:1">
      <c r="A39" s="56"/>
    </row>
    <row r="40" spans="1:1">
      <c r="A4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Colima_EdoUsa</vt:lpstr>
      <vt:lpstr>Colima_Cons</vt:lpstr>
      <vt:lpstr>ColimaXCons</vt:lpstr>
      <vt:lpstr>Colima_EdoMun</vt:lpstr>
      <vt:lpstr>Colima_USAMuni</vt:lpstr>
      <vt:lpstr>Colima_MUNICIPIO</vt:lpstr>
      <vt:lpstr>Colima_educ_gral</vt:lpstr>
      <vt:lpstr>Colima_NivelE_Cons</vt:lpstr>
      <vt:lpstr>Colima_EducCons</vt:lpstr>
      <vt:lpstr>Colima_GenGral</vt:lpstr>
      <vt:lpstr>Colima_GENERO</vt:lpstr>
      <vt:lpstr>Colima_Gen_Edad</vt:lpstr>
      <vt:lpstr>Colima_ocup_gral</vt:lpstr>
      <vt:lpstr>Colima_EducCons!Área_de_impresión</vt:lpstr>
      <vt:lpstr>Colima_MUNICIPIO!Área_de_impresión</vt:lpstr>
      <vt:lpstr>Colima_NivelE_Cons!Área_de_impresión</vt:lpstr>
      <vt:lpstr>Colima_USAMuni!Área_de_impresión</vt:lpstr>
      <vt:lpstr>Colima_Cons!Títulos_a_imprimir</vt:lpstr>
      <vt:lpstr>Colima_EdoMun!Títulos_a_imprimir</vt:lpstr>
      <vt:lpstr>Colima_EdoUsa!Títulos_a_imprimir</vt:lpstr>
      <vt:lpstr>Colima_educ_gral!Títulos_a_imprimir</vt:lpstr>
      <vt:lpstr>Colima_EducCons!Títulos_a_imprimir</vt:lpstr>
      <vt:lpstr>Colima_Gen_Edad!Títulos_a_imprimir</vt:lpstr>
      <vt:lpstr>Colima_GENERO!Títulos_a_imprimir</vt:lpstr>
      <vt:lpstr>Colima_GenGral!Títulos_a_imprimir</vt:lpstr>
      <vt:lpstr>Colima_MUNICIPIO!Títulos_a_imprimir</vt:lpstr>
      <vt:lpstr>Colima_NivelE_Cons!Títulos_a_imprimir</vt:lpstr>
      <vt:lpstr>Colima_ocup_gral!Títulos_a_imprimir</vt:lpstr>
      <vt:lpstr>Colima_USAMuni!Títulos_a_imprimir</vt:lpstr>
      <vt:lpstr>ColimaXCons!Títulos_a_imprimir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2020-06-03T07:03:04Z</dcterms:created>
  <dcterms:modified xsi:type="dcterms:W3CDTF">2023-12-01T15:15:41Z</dcterms:modified>
</cp:coreProperties>
</file>