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_Edad" sheetId="12" r:id="rId13"/>
    <sheet name="Aguascalientes_ocup_gral" sheetId="13" r:id="rId14"/>
  </sheets>
  <definedNames>
    <definedName name="_xlnm._FilterDatabase" localSheetId="2" hidden="1">Aguascalientes_Cons!$B$11:$D$12</definedName>
    <definedName name="_xlnm._FilterDatabase" localSheetId="4" hidden="1">Aguascalientes_EdoMun!$B$11:$D$12</definedName>
    <definedName name="_xlnm._FilterDatabase" localSheetId="1" hidden="1">Aguascalientes_EdoUsa!$B$11:$D$60</definedName>
    <definedName name="_xlnm._FilterDatabase" localSheetId="7" hidden="1">Aguascalientes_educ_gral!$B$11:$D$12</definedName>
    <definedName name="_xlnm._FilterDatabase" localSheetId="9" hidden="1">Aguascalientes_EducCons!$B$9:$E$10</definedName>
    <definedName name="_xlnm._FilterDatabase" localSheetId="11" hidden="1">Aguascalientes_GENERO!$C$11:$E$151</definedName>
    <definedName name="_xlnm._FilterDatabase" localSheetId="10" hidden="1">Aguascalientes_GenGral!$B$11:$D$12</definedName>
    <definedName name="_xlnm._FilterDatabase" localSheetId="6" hidden="1">Aguascalientes_MUNICIPIO!$B$9:$E$13</definedName>
    <definedName name="_xlnm._FilterDatabase" localSheetId="8" hidden="1">Aguascalientes_NivelE_Cons!$B$9:$E$11</definedName>
    <definedName name="_xlnm._FilterDatabase" localSheetId="13" hidden="1">Aguascalientes_ocup_gral!$B$11:$D$12</definedName>
    <definedName name="_xlnm._FilterDatabase" localSheetId="5" hidden="1">Aguascalientes_USAMuni!$B$9:$E$12</definedName>
    <definedName name="_xlnm._FilterDatabase" localSheetId="3" hidden="1">AguascalientesXCons!$B$11:$D$12</definedName>
    <definedName name="_xlnm.Print_Area" localSheetId="9">Aguascalientes_EducCons!$A$1:$E$663</definedName>
    <definedName name="_xlnm.Print_Area" localSheetId="6">Aguascalientes_MUNICIPIO!$A$1:$E$403</definedName>
    <definedName name="_xlnm.Print_Area" localSheetId="8">Aguascalientes_NivelE_Cons!$A$1:$E$537</definedName>
    <definedName name="_xlnm.Print_Area" localSheetId="5">Aguascalientes_USAMuni!$A$1:$E$342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2">Aguascalientes_Gen_Edad!$1:$11</definedName>
    <definedName name="_xlnm.Print_Titles" localSheetId="11">Aguascalientes_GENERO!$1:$11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3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52511"/>
</workbook>
</file>

<file path=xl/calcChain.xml><?xml version="1.0" encoding="utf-8"?>
<calcChain xmlns="http://schemas.openxmlformats.org/spreadsheetml/2006/main">
  <c r="C22" i="16" l="1"/>
  <c r="D12" i="16" s="1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22" i="16" l="1"/>
  <c r="D19" i="16"/>
  <c r="D15" i="16"/>
  <c r="D18" i="16"/>
  <c r="D14" i="16"/>
  <c r="D17" i="16"/>
  <c r="D13" i="16"/>
  <c r="D21" i="16"/>
  <c r="D20" i="16"/>
  <c r="D16" i="16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F12" i="12" l="1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D12" i="7" l="1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</calcChain>
</file>

<file path=xl/sharedStrings.xml><?xml version="1.0" encoding="utf-8"?>
<sst xmlns="http://schemas.openxmlformats.org/spreadsheetml/2006/main" count="2579" uniqueCount="224">
  <si>
    <t>Aguascalientes</t>
  </si>
  <si>
    <t>MATRÍCULAS CONSULARES DE ALTA SEGURIDAD EXPEDIDAS A ORIGINARIOS DE AGUASCALIENTES POR ESTADO DE LA UNIÓN AMERICANA. DURANTE EL 2019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</si>
  <si>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</si>
  <si>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</si>
  <si>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</si>
  <si>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</si>
  <si>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</si>
  <si>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</si>
  <si>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</si>
  <si>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</si>
  <si>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</si>
  <si>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</si>
  <si>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</si>
  <si>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</si>
  <si>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</si>
  <si>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</si>
  <si>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</si>
  <si>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</si>
  <si>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</si>
  <si>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</si>
  <si>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</si>
  <si>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</si>
  <si>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</si>
  <si>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</si>
  <si>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</si>
  <si>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</si>
  <si>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</si>
  <si>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</si>
  <si>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</si>
  <si>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</si>
  <si>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</si>
  <si>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</si>
  <si>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</si>
  <si>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</si>
  <si>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</si>
  <si>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</si>
  <si>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</si>
  <si>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</si>
  <si>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</si>
  <si>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</si>
  <si>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</si>
  <si>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</si>
  <si>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</si>
  <si>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</si>
  <si>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</si>
  <si>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Montana</t>
  </si>
  <si>
    <t>New Hampshire</t>
  </si>
  <si>
    <t>North Dakota</t>
  </si>
  <si>
    <t>South Dakota</t>
  </si>
  <si>
    <t>Alaska</t>
  </si>
  <si>
    <t>District of Columbia</t>
  </si>
  <si>
    <t>Hawaii</t>
  </si>
  <si>
    <t>Rhode Island</t>
  </si>
  <si>
    <t>Total</t>
  </si>
  <si>
    <t>Tamaño de la muestra: 800,811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</si>
  <si>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</si>
  <si>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</si>
  <si>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</si>
  <si>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Abril de 2020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</si>
  <si>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</si>
  <si>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</si>
  <si>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</si>
  <si>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</si>
  <si>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</si>
  <si>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</si>
  <si>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</si>
  <si>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</si>
  <si>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</si>
  <si>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</si>
  <si>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</si>
  <si>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</si>
  <si>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</si>
  <si>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</si>
  <si>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</si>
  <si>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</si>
  <si>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</si>
  <si>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</si>
  <si>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</si>
  <si>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</si>
  <si>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</si>
  <si>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</si>
  <si>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</si>
  <si>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</si>
  <si>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</si>
  <si>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</si>
  <si>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</si>
  <si>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</si>
  <si>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</si>
  <si>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</si>
  <si>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</si>
  <si>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</si>
  <si>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</si>
  <si>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</si>
  <si>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</si>
  <si>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</si>
  <si>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</si>
  <si>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</si>
  <si>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</si>
  <si>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</si>
  <si>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</si>
  <si>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</si>
  <si>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</si>
  <si>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</si>
  <si>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</si>
  <si>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</si>
  <si>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</si>
  <si>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</si>
  <si>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</si>
  <si>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</si>
  <si>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AGUASCALIENTES EN LOS CONSULADOS DE MÉXICO EN EE.UU.</t>
  </si>
  <si>
    <t>El Llano</t>
  </si>
  <si>
    <t>San José de Gracia</t>
  </si>
  <si>
    <t>Cosío</t>
  </si>
  <si>
    <t>San Francisco de los Romo</t>
  </si>
  <si>
    <t>Tepezalá</t>
  </si>
  <si>
    <t>Asientos</t>
  </si>
  <si>
    <t>Jesús María</t>
  </si>
  <si>
    <t>Pabellón de Arteaga</t>
  </si>
  <si>
    <t>Rincón de Romos</t>
  </si>
  <si>
    <t>Calvillo</t>
  </si>
  <si>
    <t>Municipio de origen</t>
  </si>
  <si>
    <t>MATRÍCULAS CONSULARES DE ALTA SEGURIDAD EXPEDIDAS POR MUNICIPIO A ORIGINARIOS DEL ESTADO DE AGUASCALIENTES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</si>
  <si>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</si>
  <si>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</si>
  <si>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</si>
  <si>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</si>
  <si>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</si>
  <si>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</si>
  <si>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</si>
  <si>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</si>
  <si>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</si>
  <si>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</si>
  <si>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</si>
  <si>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</si>
  <si>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</si>
  <si>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</si>
  <si>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</si>
  <si>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</si>
  <si>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</si>
  <si>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</si>
  <si>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</si>
  <si>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</si>
  <si>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</si>
  <si>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</si>
  <si>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</si>
  <si>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</si>
  <si>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</si>
  <si>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</si>
  <si>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</si>
  <si>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</si>
  <si>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</si>
  <si>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</si>
  <si>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AGUASCALIENTES POR NIVEL DE EDUCACIÓN, 2019.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</si>
  <si>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</si>
  <si>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</si>
  <si>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</si>
  <si>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</si>
  <si>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</si>
  <si>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</si>
  <si>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</si>
  <si>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</si>
  <si>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</si>
  <si>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</si>
  <si>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</si>
  <si>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</si>
  <si>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AGUASCALIENTES POR GÉNERO EN EE.UU DURANTE EL 2019.</t>
  </si>
  <si>
    <t>Mujer</t>
  </si>
  <si>
    <t>Hombre</t>
  </si>
  <si>
    <t>MATRÍCULAS CONSULARES EXPEDIDAS A ORIGINARIOS DE AGUASCALIENTES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</si>
  <si>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</si>
  <si>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</si>
  <si>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</si>
  <si>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</si>
  <si>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</si>
  <si>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</si>
  <si>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</si>
  <si>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</si>
  <si>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</si>
  <si>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</si>
  <si>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</si>
  <si>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AGUASCALIENTES POR GÉNERO Y EDAD EN EE.UU.</t>
  </si>
  <si>
    <t>Tamaño de la muestra: 826,856</t>
  </si>
  <si>
    <t>Ministro(a)</t>
  </si>
  <si>
    <t>Carnicero</t>
  </si>
  <si>
    <t>Planchador(a)</t>
  </si>
  <si>
    <t>Misionero(a)</t>
  </si>
  <si>
    <t>Panadero(a)</t>
  </si>
  <si>
    <t>Cajero(a)</t>
  </si>
  <si>
    <t>Profesionista</t>
  </si>
  <si>
    <t>Chofer</t>
  </si>
  <si>
    <t>Jubilado(a)</t>
  </si>
  <si>
    <t>Comerciante</t>
  </si>
  <si>
    <t>Operario(a)</t>
  </si>
  <si>
    <t>Mesero(a)</t>
  </si>
  <si>
    <t>Campesino(a)</t>
  </si>
  <si>
    <t>Pintor(a)</t>
  </si>
  <si>
    <t>Jardinero(a)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</si>
  <si>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</si>
  <si>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</si>
  <si>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</si>
  <si>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</si>
  <si>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</si>
  <si>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</si>
  <si>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</si>
  <si>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</si>
  <si>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>MATRÍCULAS CONSULARES EXPEDIDAS EN EE.UU. A ORIGINARIOS DE AGUASCALIENTES POR PERFIL OCUPACIONAL, 2019.</t>
  </si>
  <si>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</si>
  <si>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</si>
  <si>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</si>
  <si>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</si>
  <si>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</si>
  <si>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</si>
  <si>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</si>
  <si>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</si>
  <si>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</si>
  <si>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</si>
  <si>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</si>
  <si>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</si>
  <si>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</si>
  <si>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</si>
  <si>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</si>
  <si>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</si>
  <si>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</si>
  <si>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Matrículas consulares expedidas a originarios de Aguascalientes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</si>
</sst>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3" fillId="0" borderId="0"/>
    <xf numFmtId="0" fontId="23" fillId="0" borderId="0" applyNumberFormat="0" applyFill="0" applyBorder="0" applyAlignment="0" applyProtection="0"/>
  </cellStyleXfs>
  <cellXfs count="99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5" fillId="3" borderId="3" xfId="0" applyNumberFormat="1" applyFont="1" applyFill="1" applyBorder="1" applyAlignment="1">
      <alignment vertical="center" wrapText="1"/>
    </xf>
    <xf numFmtId="3" fontId="6" fillId="3" borderId="3" xfId="0" applyNumberFormat="1" applyFont="1" applyFill="1" applyBorder="1" applyAlignment="1">
      <alignment horizontal="right" vertical="center" wrapText="1"/>
    </xf>
    <xf numFmtId="164" fontId="6" fillId="3" borderId="3" xfId="0" applyNumberFormat="1" applyFont="1" applyFill="1" applyBorder="1" applyAlignment="1">
      <alignment horizontal="right" vertical="center" wrapText="1"/>
    </xf>
    <xf numFmtId="0" fontId="7" fillId="3" borderId="0" xfId="0" applyFont="1" applyFill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8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vertical="top"/>
    </xf>
    <xf numFmtId="0" fontId="9" fillId="3" borderId="0" xfId="0" applyFont="1" applyFill="1"/>
    <xf numFmtId="0" fontId="10" fillId="3" borderId="0" xfId="0" applyFont="1" applyFill="1"/>
    <xf numFmtId="164" fontId="4" fillId="5" borderId="3" xfId="1" applyNumberFormat="1" applyFont="1" applyFill="1" applyBorder="1" applyAlignment="1">
      <alignment horizontal="right" vertical="top" wrapText="1"/>
    </xf>
    <xf numFmtId="165" fontId="4" fillId="5" borderId="3" xfId="1" applyNumberFormat="1" applyFont="1" applyFill="1" applyBorder="1" applyAlignment="1">
      <alignment horizontal="right" vertical="top" wrapText="1"/>
    </xf>
    <xf numFmtId="49" fontId="4" fillId="5" borderId="3" xfId="1" applyNumberFormat="1" applyFont="1" applyFill="1" applyBorder="1" applyAlignment="1">
      <alignment vertical="top" wrapText="1"/>
    </xf>
    <xf numFmtId="164" fontId="12" fillId="3" borderId="3" xfId="1" applyNumberFormat="1" applyFont="1" applyFill="1" applyBorder="1" applyAlignment="1">
      <alignment horizontal="right" vertical="top" wrapText="1"/>
    </xf>
    <xf numFmtId="165" fontId="12" fillId="3" borderId="3" xfId="1" applyNumberFormat="1" applyFont="1" applyFill="1" applyBorder="1" applyAlignment="1">
      <alignment horizontal="right" vertical="top" wrapText="1"/>
    </xf>
    <xf numFmtId="49" fontId="12" fillId="3" borderId="3" xfId="1" applyNumberFormat="1" applyFont="1" applyFill="1" applyBorder="1" applyAlignment="1">
      <alignment vertical="top" wrapText="1"/>
    </xf>
    <xf numFmtId="0" fontId="14" fillId="2" borderId="2" xfId="2" applyFont="1" applyFill="1" applyBorder="1" applyAlignment="1">
      <alignment horizontal="center" vertical="center" wrapText="1"/>
    </xf>
    <xf numFmtId="1" fontId="14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5" fillId="3" borderId="0" xfId="0" applyFont="1" applyFill="1" applyAlignment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7" fillId="3" borderId="0" xfId="0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7" fillId="3" borderId="0" xfId="0" applyNumberFormat="1" applyFont="1" applyFill="1"/>
    <xf numFmtId="3" fontId="1" fillId="3" borderId="0" xfId="0" applyNumberFormat="1" applyFont="1" applyFill="1"/>
    <xf numFmtId="49" fontId="5" fillId="3" borderId="3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4" fillId="2" borderId="3" xfId="2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11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2" fillId="0" borderId="0" xfId="0" applyFont="1"/>
    <xf numFmtId="0" fontId="22" fillId="0" borderId="12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12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13" xfId="0" applyFont="1" applyBorder="1" applyAlignment="1">
      <alignment horizontal="left" wrapText="1"/>
    </xf>
    <xf numFmtId="0" fontId="22" fillId="0" borderId="12" xfId="0" applyFont="1" applyBorder="1" applyAlignment="1"/>
    <xf numFmtId="0" fontId="22" fillId="0" borderId="0" xfId="0" applyFont="1" applyBorder="1" applyAlignment="1"/>
    <xf numFmtId="0" fontId="22" fillId="0" borderId="13" xfId="0" applyFont="1" applyBorder="1" applyAlignment="1"/>
    <xf numFmtId="0" fontId="22" fillId="0" borderId="12" xfId="0" applyFont="1" applyBorder="1"/>
    <xf numFmtId="0" fontId="22" fillId="0" borderId="0" xfId="0" applyFont="1" applyBorder="1"/>
    <xf numFmtId="0" fontId="22" fillId="0" borderId="13" xfId="0" applyFont="1" applyBorder="1"/>
    <xf numFmtId="0" fontId="22" fillId="0" borderId="14" xfId="0" applyFont="1" applyBorder="1"/>
    <xf numFmtId="0" fontId="22" fillId="0" borderId="15" xfId="0" applyFont="1" applyBorder="1"/>
    <xf numFmtId="0" fontId="22" fillId="0" borderId="16" xfId="0" applyFont="1" applyBorder="1"/>
    <xf numFmtId="3" fontId="4" fillId="6" borderId="3" xfId="0" applyNumberFormat="1" applyFont="1" applyFill="1" applyBorder="1" applyAlignment="1">
      <alignment horizontal="right" vertical="center" wrapText="1"/>
    </xf>
    <xf numFmtId="164" fontId="4" fillId="6" borderId="3" xfId="0" applyNumberFormat="1" applyFont="1" applyFill="1" applyBorder="1" applyAlignment="1">
      <alignment horizontal="right" vertical="center" wrapText="1"/>
    </xf>
    <xf numFmtId="164" fontId="6" fillId="7" borderId="3" xfId="0" applyNumberFormat="1" applyFont="1" applyFill="1" applyBorder="1" applyAlignment="1">
      <alignment horizontal="right" vertical="center" wrapText="1"/>
    </xf>
    <xf numFmtId="164" fontId="6" fillId="8" borderId="3" xfId="0" applyNumberFormat="1" applyFont="1" applyFill="1" applyBorder="1" applyAlignment="1">
      <alignment horizontal="right" vertical="center" wrapText="1"/>
    </xf>
    <xf numFmtId="49" fontId="4" fillId="6" borderId="4" xfId="0" applyNumberFormat="1" applyFont="1" applyFill="1" applyBorder="1" applyAlignment="1">
      <alignment vertical="center" wrapText="1"/>
    </xf>
    <xf numFmtId="0" fontId="24" fillId="0" borderId="0" xfId="3" applyFont="1" applyBorder="1" applyAlignment="1">
      <alignment horizontal="left"/>
    </xf>
    <xf numFmtId="0" fontId="24" fillId="0" borderId="13" xfId="3" applyFont="1" applyBorder="1" applyAlignment="1">
      <alignment horizontal="left"/>
    </xf>
    <xf numFmtId="0" fontId="24" fillId="0" borderId="12" xfId="3" applyFont="1" applyBorder="1" applyAlignment="1">
      <alignment horizontal="left"/>
    </xf>
    <xf numFmtId="0" fontId="21" fillId="2" borderId="9" xfId="0" applyFont="1" applyFill="1" applyBorder="1" applyAlignment="1">
      <alignment horizontal="center" wrapText="1"/>
    </xf>
    <xf numFmtId="0" fontId="21" fillId="2" borderId="10" xfId="0" applyFont="1" applyFill="1" applyBorder="1" applyAlignment="1">
      <alignment horizontal="center" wrapText="1"/>
    </xf>
    <xf numFmtId="0" fontId="21" fillId="2" borderId="11" xfId="0" applyFont="1" applyFill="1" applyBorder="1" applyAlignment="1">
      <alignment horizontal="center" wrapText="1"/>
    </xf>
    <xf numFmtId="0" fontId="22" fillId="0" borderId="12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13" xfId="0" applyFont="1" applyBorder="1" applyAlignment="1">
      <alignment horizontal="left" wrapText="1"/>
    </xf>
    <xf numFmtId="0" fontId="2" fillId="0" borderId="0" xfId="0" applyFont="1" applyBorder="1" applyAlignment="1">
      <alignment horizontal="center" vertical="center" wrapText="1"/>
    </xf>
    <xf numFmtId="49" fontId="12" fillId="3" borderId="2" xfId="1" applyNumberFormat="1" applyFont="1" applyFill="1" applyBorder="1" applyAlignment="1">
      <alignment horizontal="center" vertical="center" wrapText="1"/>
    </xf>
    <xf numFmtId="49" fontId="12" fillId="3" borderId="7" xfId="1" applyNumberFormat="1" applyFont="1" applyFill="1" applyBorder="1" applyAlignment="1">
      <alignment horizontal="center" vertical="center" wrapText="1"/>
    </xf>
    <xf numFmtId="49" fontId="12" fillId="3" borderId="6" xfId="1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0" fontId="19" fillId="0" borderId="0" xfId="0" applyFont="1" applyBorder="1" applyAlignment="1">
      <alignment horizontal="center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 wrapText="1"/>
    </xf>
    <xf numFmtId="0" fontId="20" fillId="3" borderId="0" xfId="0" applyFont="1" applyFill="1" applyBorder="1" applyAlignment="1">
      <alignment horizontal="center" vertical="distributed"/>
    </xf>
    <xf numFmtId="0" fontId="20" fillId="3" borderId="8" xfId="0" applyFont="1" applyFill="1" applyBorder="1" applyAlignment="1">
      <alignment horizontal="center" vertical="distributed"/>
    </xf>
    <xf numFmtId="49" fontId="4" fillId="4" borderId="5" xfId="0" applyNumberFormat="1" applyFont="1" applyFill="1" applyBorder="1" applyAlignment="1">
      <alignment horizontal="center" vertical="center" wrapText="1"/>
    </xf>
    <xf numFmtId="49" fontId="4" fillId="4" borderId="4" xfId="0" applyNumberFormat="1" applyFont="1" applyFill="1" applyBorder="1" applyAlignment="1">
      <alignment horizontal="center" vertical="center" wrapText="1"/>
    </xf>
    <xf numFmtId="49" fontId="4" fillId="9" borderId="5" xfId="0" applyNumberFormat="1" applyFont="1" applyFill="1" applyBorder="1" applyAlignment="1">
      <alignment horizontal="center" vertical="center" wrapText="1"/>
    </xf>
    <xf numFmtId="49" fontId="4" fillId="9" borderId="4" xfId="0" applyNumberFormat="1" applyFont="1" applyFill="1" applyBorder="1" applyAlignment="1">
      <alignment horizontal="center" vertical="center" wrapText="1"/>
    </xf>
    <xf numFmtId="3" fontId="4" fillId="9" borderId="3" xfId="0" applyNumberFormat="1" applyFont="1" applyFill="1" applyBorder="1" applyAlignment="1">
      <alignment horizontal="right" wrapText="1"/>
    </xf>
    <xf numFmtId="164" fontId="4" fillId="9" borderId="3" xfId="0" applyNumberFormat="1" applyFont="1" applyFill="1" applyBorder="1" applyAlignment="1">
      <alignment horizontal="right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28628" y="72932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128428</xdr:colOff>
      <xdr:row>8</xdr:row>
      <xdr:rowOff>0</xdr:rowOff>
    </xdr:from>
    <xdr:to>
      <xdr:col>7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13" sqref="H13"/>
    </sheetView>
  </sheetViews>
  <sheetFormatPr baseColWidth="10" defaultColWidth="11.42578125" defaultRowHeight="18"/>
  <cols>
    <col min="1" max="1" width="5.140625" style="52" customWidth="1"/>
    <col min="2" max="2" width="20" style="52" customWidth="1"/>
    <col min="3" max="3" width="24.7109375" style="52" customWidth="1"/>
    <col min="4" max="4" width="20.42578125" style="52" customWidth="1"/>
    <col min="5" max="16384" width="11.42578125" style="52"/>
  </cols>
  <sheetData>
    <row r="1" spans="1:4" ht="42" customHeight="1" thickBot="1">
      <c r="A1" s="76" t="s">
        <v>223</v>
      </c>
      <c r="B1" s="77"/>
      <c r="C1" s="77"/>
      <c r="D1" s="78"/>
    </row>
    <row r="2" spans="1:4">
      <c r="A2" s="53"/>
      <c r="B2" s="54"/>
      <c r="C2" s="54"/>
      <c r="D2" s="55"/>
    </row>
    <row r="3" spans="1:4">
      <c r="A3" s="79" t="s">
        <v>206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6"/>
      <c r="B5" s="57"/>
      <c r="C5" s="57"/>
      <c r="D5" s="58"/>
    </row>
    <row r="6" spans="1:4">
      <c r="A6" s="75" t="s">
        <v>207</v>
      </c>
      <c r="B6" s="73"/>
      <c r="C6" s="73"/>
      <c r="D6" s="74"/>
    </row>
    <row r="7" spans="1:4">
      <c r="A7" s="59"/>
      <c r="B7" s="60"/>
      <c r="C7" s="60"/>
      <c r="D7" s="61"/>
    </row>
    <row r="8" spans="1:4">
      <c r="A8" s="75" t="s">
        <v>208</v>
      </c>
      <c r="B8" s="73"/>
      <c r="C8" s="73"/>
      <c r="D8" s="74"/>
    </row>
    <row r="9" spans="1:4">
      <c r="A9" s="62"/>
      <c r="B9" s="73" t="s">
        <v>209</v>
      </c>
      <c r="C9" s="73"/>
      <c r="D9" s="74"/>
    </row>
    <row r="10" spans="1:4">
      <c r="A10" s="62"/>
      <c r="B10" s="63"/>
      <c r="C10" s="63"/>
      <c r="D10" s="64"/>
    </row>
    <row r="11" spans="1:4">
      <c r="A11" s="62" t="s">
        <v>210</v>
      </c>
      <c r="B11" s="63"/>
      <c r="C11" s="63"/>
      <c r="D11" s="64"/>
    </row>
    <row r="12" spans="1:4">
      <c r="A12" s="62"/>
      <c r="B12" s="73" t="s">
        <v>211</v>
      </c>
      <c r="C12" s="73"/>
      <c r="D12" s="74"/>
    </row>
    <row r="13" spans="1:4">
      <c r="A13" s="62"/>
      <c r="B13" s="73" t="s">
        <v>212</v>
      </c>
      <c r="C13" s="73"/>
      <c r="D13" s="74"/>
    </row>
    <row r="14" spans="1:4">
      <c r="A14" s="62"/>
      <c r="B14" s="73" t="s">
        <v>213</v>
      </c>
      <c r="C14" s="73"/>
      <c r="D14" s="74"/>
    </row>
    <row r="15" spans="1:4">
      <c r="A15" s="62"/>
      <c r="B15" s="63"/>
      <c r="C15" s="63"/>
      <c r="D15" s="64"/>
    </row>
    <row r="16" spans="1:4">
      <c r="A16" s="62" t="s">
        <v>214</v>
      </c>
      <c r="B16" s="63"/>
      <c r="C16" s="63"/>
      <c r="D16" s="64"/>
    </row>
    <row r="17" spans="1:4">
      <c r="A17" s="62"/>
      <c r="B17" s="73" t="s">
        <v>215</v>
      </c>
      <c r="C17" s="73"/>
      <c r="D17" s="74"/>
    </row>
    <row r="18" spans="1:4">
      <c r="A18" s="62"/>
      <c r="B18" s="73" t="s">
        <v>216</v>
      </c>
      <c r="C18" s="73"/>
      <c r="D18" s="74"/>
    </row>
    <row r="19" spans="1:4">
      <c r="A19" s="62"/>
      <c r="B19" s="73" t="s">
        <v>217</v>
      </c>
      <c r="C19" s="73"/>
      <c r="D19" s="74"/>
    </row>
    <row r="20" spans="1:4">
      <c r="A20" s="62"/>
      <c r="B20" s="63"/>
      <c r="C20" s="63"/>
      <c r="D20" s="64"/>
    </row>
    <row r="21" spans="1:4">
      <c r="A21" s="62" t="s">
        <v>218</v>
      </c>
      <c r="B21" s="63"/>
      <c r="C21" s="63"/>
      <c r="D21" s="64"/>
    </row>
    <row r="22" spans="1:4">
      <c r="A22" s="62"/>
      <c r="B22" s="73" t="s">
        <v>219</v>
      </c>
      <c r="C22" s="73"/>
      <c r="D22" s="74"/>
    </row>
    <row r="23" spans="1:4">
      <c r="A23" s="62"/>
      <c r="B23" s="73" t="s">
        <v>220</v>
      </c>
      <c r="C23" s="73"/>
      <c r="D23" s="74"/>
    </row>
    <row r="24" spans="1:4">
      <c r="A24" s="62"/>
      <c r="B24" s="63"/>
      <c r="C24" s="63"/>
      <c r="D24" s="64"/>
    </row>
    <row r="25" spans="1:4">
      <c r="A25" s="75" t="s">
        <v>221</v>
      </c>
      <c r="B25" s="73"/>
      <c r="C25" s="73"/>
      <c r="D25" s="74"/>
    </row>
    <row r="26" spans="1:4">
      <c r="A26" s="62"/>
      <c r="B26" s="63"/>
      <c r="C26" s="63"/>
      <c r="D26" s="64"/>
    </row>
    <row r="27" spans="1:4">
      <c r="A27" s="75" t="s">
        <v>222</v>
      </c>
      <c r="B27" s="73"/>
      <c r="C27" s="73"/>
      <c r="D27" s="74"/>
    </row>
    <row r="28" spans="1:4" ht="18.75" thickBot="1">
      <c r="A28" s="65"/>
      <c r="B28" s="66"/>
      <c r="C28" s="66"/>
      <c r="D28" s="67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Aguascalientes_USAMuni!A1" display="3.2 Por Estado de USA"/>
    <hyperlink ref="A8:D8" location="Aguascalientes_Cons!A1" display="2. Por Circunscripción Consular"/>
    <hyperlink ref="B9:D9" location="AguascalientesXCons!A1" display="2.1 Top ten por circunscripción consular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D66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1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2</v>
      </c>
      <c r="C11" s="6" t="s">
        <v>3</v>
      </c>
      <c r="D11" s="7" t="s">
        <v>4</v>
      </c>
    </row>
    <row r="12" spans="1:4">
      <c r="B12" s="9" t="s">
        <v>5</v>
      </c>
      <c r="C12" s="10">
        <v>1669</v>
      </c>
      <c r="D12" s="11">
        <v>0.22226661339725662</v>
      </c>
    </row>
    <row r="13" spans="1:4" s="12" customFormat="1">
      <c r="A13" s="8"/>
      <c r="B13" s="9" t="s">
        <v>6</v>
      </c>
      <c r="C13" s="10">
        <v>1340</v>
      </c>
      <c r="D13" s="11">
        <v>0.17845252363830072</v>
      </c>
    </row>
    <row r="14" spans="1:4" s="12" customFormat="1">
      <c r="A14" s="8"/>
      <c r="B14" s="9" t="s">
        <v>7</v>
      </c>
      <c r="C14" s="10">
        <v>858</v>
      </c>
      <c r="D14" s="11">
        <v>0.11426288453855374</v>
      </c>
    </row>
    <row r="15" spans="1:4">
      <c r="B15" s="9" t="s">
        <v>8</v>
      </c>
      <c r="C15" s="10">
        <v>730</v>
      </c>
      <c r="D15" s="11">
        <v>9.7216673325342923E-2</v>
      </c>
    </row>
    <row r="16" spans="1:4">
      <c r="B16" s="9" t="s">
        <v>9</v>
      </c>
      <c r="C16" s="10">
        <v>522</v>
      </c>
      <c r="D16" s="11">
        <v>6.9516580103875347E-2</v>
      </c>
    </row>
    <row r="17" spans="2:4">
      <c r="B17" s="9" t="s">
        <v>10</v>
      </c>
      <c r="C17" s="10">
        <v>419</v>
      </c>
      <c r="D17" s="11">
        <v>5.5799707018244771E-2</v>
      </c>
    </row>
    <row r="18" spans="2:4">
      <c r="B18" s="9" t="s">
        <v>11</v>
      </c>
      <c r="C18" s="10">
        <v>187</v>
      </c>
      <c r="D18" s="11">
        <v>2.4903449194300174E-2</v>
      </c>
    </row>
    <row r="19" spans="2:4">
      <c r="B19" s="9" t="s">
        <v>12</v>
      </c>
      <c r="C19" s="10">
        <v>161</v>
      </c>
      <c r="D19" s="11">
        <v>2.1440937541616727E-2</v>
      </c>
    </row>
    <row r="20" spans="2:4">
      <c r="B20" s="9" t="s">
        <v>13</v>
      </c>
      <c r="C20" s="10">
        <v>148</v>
      </c>
      <c r="D20" s="11">
        <v>1.9709681715275002E-2</v>
      </c>
    </row>
    <row r="21" spans="2:4">
      <c r="B21" s="9" t="s">
        <v>14</v>
      </c>
      <c r="C21" s="10">
        <v>137</v>
      </c>
      <c r="D21" s="11">
        <v>1.8244772939139699E-2</v>
      </c>
    </row>
    <row r="22" spans="2:4">
      <c r="B22" s="9" t="s">
        <v>15</v>
      </c>
      <c r="C22" s="10">
        <v>120</v>
      </c>
      <c r="D22" s="11">
        <v>1.5980823012385136E-2</v>
      </c>
    </row>
    <row r="23" spans="2:4">
      <c r="B23" s="9" t="s">
        <v>16</v>
      </c>
      <c r="C23" s="10">
        <v>113</v>
      </c>
      <c r="D23" s="11">
        <v>1.5048608336662671E-2</v>
      </c>
    </row>
    <row r="24" spans="2:4">
      <c r="B24" s="9" t="s">
        <v>17</v>
      </c>
      <c r="C24" s="10">
        <v>92</v>
      </c>
      <c r="D24" s="11">
        <v>1.2251964309495272E-2</v>
      </c>
    </row>
    <row r="25" spans="2:4">
      <c r="B25" s="9" t="s">
        <v>18</v>
      </c>
      <c r="C25" s="10">
        <v>91</v>
      </c>
      <c r="D25" s="11">
        <v>1.2118790784392063E-2</v>
      </c>
    </row>
    <row r="26" spans="2:4">
      <c r="B26" s="9" t="s">
        <v>19</v>
      </c>
      <c r="C26" s="10">
        <v>89</v>
      </c>
      <c r="D26" s="11">
        <v>1.1852443734185644E-2</v>
      </c>
    </row>
    <row r="27" spans="2:4">
      <c r="B27" s="9" t="s">
        <v>20</v>
      </c>
      <c r="C27" s="10">
        <v>86</v>
      </c>
      <c r="D27" s="11">
        <v>1.1452923158876015E-2</v>
      </c>
    </row>
    <row r="28" spans="2:4">
      <c r="B28" s="9" t="s">
        <v>21</v>
      </c>
      <c r="C28" s="10">
        <v>83</v>
      </c>
      <c r="D28" s="11">
        <v>1.1053402583566387E-2</v>
      </c>
    </row>
    <row r="29" spans="2:4">
      <c r="B29" s="9" t="s">
        <v>22</v>
      </c>
      <c r="C29" s="10">
        <v>62</v>
      </c>
      <c r="D29" s="11">
        <v>8.2567585563989871E-3</v>
      </c>
    </row>
    <row r="30" spans="2:4">
      <c r="B30" s="9" t="s">
        <v>23</v>
      </c>
      <c r="C30" s="10">
        <v>61</v>
      </c>
      <c r="D30" s="11">
        <v>8.1235850312957776E-3</v>
      </c>
    </row>
    <row r="31" spans="2:4">
      <c r="B31" s="9" t="s">
        <v>24</v>
      </c>
      <c r="C31" s="10">
        <v>61</v>
      </c>
      <c r="D31" s="11">
        <v>8.1235850312957776E-3</v>
      </c>
    </row>
    <row r="32" spans="2:4">
      <c r="B32" s="9" t="s">
        <v>25</v>
      </c>
      <c r="C32" s="10">
        <v>60</v>
      </c>
      <c r="D32" s="11">
        <v>7.9904115061925681E-3</v>
      </c>
    </row>
    <row r="33" spans="2:4">
      <c r="B33" s="9" t="s">
        <v>26</v>
      </c>
      <c r="C33" s="10">
        <v>46</v>
      </c>
      <c r="D33" s="11">
        <v>6.125982154747636E-3</v>
      </c>
    </row>
    <row r="34" spans="2:4">
      <c r="B34" s="9" t="s">
        <v>27</v>
      </c>
      <c r="C34" s="10">
        <v>39</v>
      </c>
      <c r="D34" s="11">
        <v>5.1937674790251695E-3</v>
      </c>
    </row>
    <row r="35" spans="2:4">
      <c r="B35" s="9" t="s">
        <v>28</v>
      </c>
      <c r="C35" s="10">
        <v>37</v>
      </c>
      <c r="D35" s="11">
        <v>4.9274204288187505E-3</v>
      </c>
    </row>
    <row r="36" spans="2:4">
      <c r="B36" s="9" t="s">
        <v>29</v>
      </c>
      <c r="C36" s="10">
        <v>33</v>
      </c>
      <c r="D36" s="11">
        <v>4.3947263284059125E-3</v>
      </c>
    </row>
    <row r="37" spans="2:4">
      <c r="B37" s="9" t="s">
        <v>30</v>
      </c>
      <c r="C37" s="10">
        <v>31</v>
      </c>
      <c r="D37" s="11">
        <v>4.1283792781994936E-3</v>
      </c>
    </row>
    <row r="38" spans="2:4">
      <c r="B38" s="9" t="s">
        <v>31</v>
      </c>
      <c r="C38" s="10">
        <v>30</v>
      </c>
      <c r="D38" s="11">
        <v>3.9952057530962841E-3</v>
      </c>
    </row>
    <row r="39" spans="2:4">
      <c r="B39" s="9" t="s">
        <v>32</v>
      </c>
      <c r="C39" s="10">
        <v>29</v>
      </c>
      <c r="D39" s="11">
        <v>3.862032227993075E-3</v>
      </c>
    </row>
    <row r="40" spans="2:4">
      <c r="B40" s="9" t="s">
        <v>33</v>
      </c>
      <c r="C40" s="10">
        <v>25</v>
      </c>
      <c r="D40" s="11">
        <v>3.329338127580237E-3</v>
      </c>
    </row>
    <row r="41" spans="2:4">
      <c r="B41" s="9" t="s">
        <v>34</v>
      </c>
      <c r="C41" s="10">
        <v>22</v>
      </c>
      <c r="D41" s="11">
        <v>2.9298175522706085E-3</v>
      </c>
    </row>
    <row r="42" spans="2:4">
      <c r="B42" s="9" t="s">
        <v>35</v>
      </c>
      <c r="C42" s="10">
        <v>21</v>
      </c>
      <c r="D42" s="11">
        <v>2.796644027167399E-3</v>
      </c>
    </row>
    <row r="43" spans="2:4">
      <c r="B43" s="9" t="s">
        <v>36</v>
      </c>
      <c r="C43" s="10">
        <v>19</v>
      </c>
      <c r="D43" s="11">
        <v>2.53029697696098E-3</v>
      </c>
    </row>
    <row r="44" spans="2:4">
      <c r="B44" s="9" t="s">
        <v>37</v>
      </c>
      <c r="C44" s="10">
        <v>17</v>
      </c>
      <c r="D44" s="11">
        <v>2.263949926754561E-3</v>
      </c>
    </row>
    <row r="45" spans="2:4">
      <c r="B45" s="9" t="s">
        <v>38</v>
      </c>
      <c r="C45" s="10">
        <v>14</v>
      </c>
      <c r="D45" s="11">
        <v>1.8644293514449327E-3</v>
      </c>
    </row>
    <row r="46" spans="2:4">
      <c r="B46" s="9" t="s">
        <v>39</v>
      </c>
      <c r="C46" s="10">
        <v>11</v>
      </c>
      <c r="D46" s="11">
        <v>1.4649087761353043E-3</v>
      </c>
    </row>
    <row r="47" spans="2:4">
      <c r="B47" s="9" t="s">
        <v>40</v>
      </c>
      <c r="C47" s="10">
        <v>9</v>
      </c>
      <c r="D47" s="11">
        <v>1.1985617259288853E-3</v>
      </c>
    </row>
    <row r="48" spans="2:4">
      <c r="B48" s="9" t="s">
        <v>41</v>
      </c>
      <c r="C48" s="10">
        <v>8</v>
      </c>
      <c r="D48" s="11">
        <v>1.0653882008256758E-3</v>
      </c>
    </row>
    <row r="49" spans="2:4">
      <c r="B49" s="9" t="s">
        <v>42</v>
      </c>
      <c r="C49" s="10">
        <v>7</v>
      </c>
      <c r="D49" s="11">
        <v>9.3221467572246637E-4</v>
      </c>
    </row>
    <row r="50" spans="2:4">
      <c r="B50" s="9" t="s">
        <v>43</v>
      </c>
      <c r="C50" s="10">
        <v>7</v>
      </c>
      <c r="D50" s="11">
        <v>9.3221467572246637E-4</v>
      </c>
    </row>
    <row r="51" spans="2:4">
      <c r="B51" s="9" t="s">
        <v>44</v>
      </c>
      <c r="C51" s="10">
        <v>3</v>
      </c>
      <c r="D51" s="11">
        <v>3.9952057530962844E-4</v>
      </c>
    </row>
    <row r="52" spans="2:4">
      <c r="B52" s="9" t="s">
        <v>45</v>
      </c>
      <c r="C52" s="10">
        <v>2</v>
      </c>
      <c r="D52" s="11">
        <v>2.6634705020641894E-4</v>
      </c>
    </row>
    <row r="53" spans="2:4">
      <c r="B53" s="9" t="s">
        <v>46</v>
      </c>
      <c r="C53" s="10">
        <v>2</v>
      </c>
      <c r="D53" s="11">
        <v>2.6634705020641894E-4</v>
      </c>
    </row>
    <row r="54" spans="2:4">
      <c r="B54" s="9" t="s">
        <v>47</v>
      </c>
      <c r="C54" s="10">
        <v>2</v>
      </c>
      <c r="D54" s="11">
        <v>2.6634705020641894E-4</v>
      </c>
    </row>
    <row r="55" spans="2:4">
      <c r="B55" s="9" t="s">
        <v>48</v>
      </c>
      <c r="C55" s="10">
        <v>2</v>
      </c>
      <c r="D55" s="11">
        <v>2.6634705020641894E-4</v>
      </c>
    </row>
    <row r="56" spans="2:4">
      <c r="B56" s="9" t="s">
        <v>49</v>
      </c>
      <c r="C56" s="10">
        <v>1</v>
      </c>
      <c r="D56" s="11">
        <v>1.3317352510320947E-4</v>
      </c>
    </row>
    <row r="57" spans="2:4">
      <c r="B57" s="9" t="s">
        <v>50</v>
      </c>
      <c r="C57" s="10">
        <v>1</v>
      </c>
      <c r="D57" s="11">
        <v>1.3317352510320947E-4</v>
      </c>
    </row>
    <row r="58" spans="2:4">
      <c r="B58" s="9" t="s">
        <v>51</v>
      </c>
      <c r="C58" s="10">
        <v>1</v>
      </c>
      <c r="D58" s="11">
        <v>1.3317352510320947E-4</v>
      </c>
    </row>
    <row r="59" spans="2:4">
      <c r="B59" s="9" t="s">
        <v>52</v>
      </c>
      <c r="C59" s="10">
        <v>1</v>
      </c>
      <c r="D59" s="11">
        <v>1.3317352510320947E-4</v>
      </c>
    </row>
    <row r="60" spans="2:4" ht="15" customHeight="1">
      <c r="B60" s="13" t="s">
        <v>53</v>
      </c>
      <c r="C60" s="14">
        <v>7509</v>
      </c>
      <c r="D60" s="15">
        <v>1</v>
      </c>
    </row>
    <row r="62" spans="2:4">
      <c r="B62" s="17" t="s">
        <v>54</v>
      </c>
    </row>
    <row r="63" spans="2:4">
      <c r="B63" s="18" t="s">
        <v>55</v>
      </c>
    </row>
    <row r="64" spans="2:4">
      <c r="B64" s="19" t="s">
        <v>56</v>
      </c>
    </row>
    <row r="65" spans="2:2">
      <c r="B65" s="17" t="s">
        <v>57</v>
      </c>
    </row>
    <row r="66" spans="2:2">
      <c r="B66" s="17" t="s">
        <v>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109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108</v>
      </c>
      <c r="C11" s="6" t="s">
        <v>3</v>
      </c>
      <c r="D11" s="7" t="s">
        <v>4</v>
      </c>
    </row>
    <row r="12" spans="1:4" ht="15" customHeight="1">
      <c r="B12" s="9" t="s">
        <v>106</v>
      </c>
      <c r="C12" s="10">
        <v>1222</v>
      </c>
      <c r="D12" s="11">
        <f t="shared" ref="D12:D43" si="0">C12/$C$62</f>
        <v>0.16273804767612199</v>
      </c>
    </row>
    <row r="13" spans="1:4">
      <c r="B13" s="9" t="s">
        <v>95</v>
      </c>
      <c r="C13" s="10">
        <v>906</v>
      </c>
      <c r="D13" s="11">
        <f t="shared" si="0"/>
        <v>0.12065521374350779</v>
      </c>
    </row>
    <row r="14" spans="1:4" s="12" customFormat="1">
      <c r="A14" s="8"/>
      <c r="B14" s="9" t="s">
        <v>107</v>
      </c>
      <c r="C14" s="10">
        <v>678</v>
      </c>
      <c r="D14" s="11">
        <f t="shared" si="0"/>
        <v>9.0291650019976022E-2</v>
      </c>
    </row>
    <row r="15" spans="1:4" s="12" customFormat="1">
      <c r="A15" s="8"/>
      <c r="B15" s="9" t="s">
        <v>88</v>
      </c>
      <c r="C15" s="10">
        <v>525</v>
      </c>
      <c r="D15" s="11">
        <f t="shared" si="0"/>
        <v>6.9916100679184981E-2</v>
      </c>
    </row>
    <row r="16" spans="1:4">
      <c r="B16" s="9" t="s">
        <v>104</v>
      </c>
      <c r="C16" s="10">
        <v>517</v>
      </c>
      <c r="D16" s="11">
        <f t="shared" si="0"/>
        <v>6.8850712478359305E-2</v>
      </c>
    </row>
    <row r="17" spans="2:4">
      <c r="B17" s="9" t="s">
        <v>105</v>
      </c>
      <c r="C17" s="10">
        <v>511</v>
      </c>
      <c r="D17" s="11">
        <f t="shared" si="0"/>
        <v>6.8051671327740051E-2</v>
      </c>
    </row>
    <row r="18" spans="2:4">
      <c r="B18" s="9" t="s">
        <v>99</v>
      </c>
      <c r="C18" s="10">
        <v>283</v>
      </c>
      <c r="D18" s="11">
        <f t="shared" si="0"/>
        <v>3.7688107604208286E-2</v>
      </c>
    </row>
    <row r="19" spans="2:4">
      <c r="B19" s="9" t="s">
        <v>103</v>
      </c>
      <c r="C19" s="10">
        <v>240</v>
      </c>
      <c r="D19" s="11">
        <f t="shared" si="0"/>
        <v>3.1961646024770272E-2</v>
      </c>
    </row>
    <row r="20" spans="2:4">
      <c r="B20" s="9" t="s">
        <v>101</v>
      </c>
      <c r="C20" s="10">
        <v>167</v>
      </c>
      <c r="D20" s="11">
        <f t="shared" si="0"/>
        <v>2.2239978692235984E-2</v>
      </c>
    </row>
    <row r="21" spans="2:4">
      <c r="B21" s="9" t="s">
        <v>91</v>
      </c>
      <c r="C21" s="10">
        <v>158</v>
      </c>
      <c r="D21" s="11">
        <f t="shared" si="0"/>
        <v>2.1041416966307097E-2</v>
      </c>
    </row>
    <row r="22" spans="2:4">
      <c r="B22" s="9" t="s">
        <v>89</v>
      </c>
      <c r="C22" s="10">
        <v>155</v>
      </c>
      <c r="D22" s="11">
        <f t="shared" si="0"/>
        <v>2.064189639099747E-2</v>
      </c>
    </row>
    <row r="23" spans="2:4">
      <c r="B23" s="9" t="s">
        <v>84</v>
      </c>
      <c r="C23" s="10">
        <v>147</v>
      </c>
      <c r="D23" s="11">
        <f t="shared" si="0"/>
        <v>1.9576508190171794E-2</v>
      </c>
    </row>
    <row r="24" spans="2:4">
      <c r="B24" s="9" t="s">
        <v>98</v>
      </c>
      <c r="C24" s="10">
        <v>142</v>
      </c>
      <c r="D24" s="11">
        <f t="shared" si="0"/>
        <v>1.8910640564655745E-2</v>
      </c>
    </row>
    <row r="25" spans="2:4">
      <c r="B25" s="9" t="s">
        <v>100</v>
      </c>
      <c r="C25" s="10">
        <v>138</v>
      </c>
      <c r="D25" s="11">
        <f t="shared" si="0"/>
        <v>1.8377946464242907E-2</v>
      </c>
    </row>
    <row r="26" spans="2:4">
      <c r="B26" s="9" t="s">
        <v>94</v>
      </c>
      <c r="C26" s="10">
        <v>129</v>
      </c>
      <c r="D26" s="11">
        <f t="shared" si="0"/>
        <v>1.7179384738314023E-2</v>
      </c>
    </row>
    <row r="27" spans="2:4">
      <c r="B27" s="9" t="s">
        <v>93</v>
      </c>
      <c r="C27" s="10">
        <v>122</v>
      </c>
      <c r="D27" s="11">
        <f t="shared" si="0"/>
        <v>1.6247170062591555E-2</v>
      </c>
    </row>
    <row r="28" spans="2:4">
      <c r="B28" s="9" t="s">
        <v>75</v>
      </c>
      <c r="C28" s="10">
        <v>121</v>
      </c>
      <c r="D28" s="11">
        <f t="shared" si="0"/>
        <v>1.6113996537488347E-2</v>
      </c>
    </row>
    <row r="29" spans="2:4">
      <c r="B29" s="9" t="s">
        <v>90</v>
      </c>
      <c r="C29" s="10">
        <v>117</v>
      </c>
      <c r="D29" s="11">
        <f t="shared" si="0"/>
        <v>1.5581302437075509E-2</v>
      </c>
    </row>
    <row r="30" spans="2:4">
      <c r="B30" s="9" t="s">
        <v>87</v>
      </c>
      <c r="C30" s="10">
        <v>101</v>
      </c>
      <c r="D30" s="11">
        <f t="shared" si="0"/>
        <v>1.3450526035424158E-2</v>
      </c>
    </row>
    <row r="31" spans="2:4">
      <c r="B31" s="9" t="s">
        <v>96</v>
      </c>
      <c r="C31" s="10">
        <v>99</v>
      </c>
      <c r="D31" s="11">
        <f t="shared" si="0"/>
        <v>1.3184178985217739E-2</v>
      </c>
    </row>
    <row r="32" spans="2:4">
      <c r="B32" s="9" t="s">
        <v>92</v>
      </c>
      <c r="C32" s="10">
        <v>86</v>
      </c>
      <c r="D32" s="11">
        <f t="shared" si="0"/>
        <v>1.1452923158876015E-2</v>
      </c>
    </row>
    <row r="33" spans="2:4">
      <c r="B33" s="9" t="s">
        <v>79</v>
      </c>
      <c r="C33" s="10">
        <v>86</v>
      </c>
      <c r="D33" s="11">
        <f t="shared" si="0"/>
        <v>1.1452923158876015E-2</v>
      </c>
    </row>
    <row r="34" spans="2:4">
      <c r="B34" s="9" t="s">
        <v>76</v>
      </c>
      <c r="C34" s="10">
        <v>85</v>
      </c>
      <c r="D34" s="11">
        <f t="shared" si="0"/>
        <v>1.1319749633772806E-2</v>
      </c>
    </row>
    <row r="35" spans="2:4">
      <c r="B35" s="9" t="s">
        <v>71</v>
      </c>
      <c r="C35" s="10">
        <v>81</v>
      </c>
      <c r="D35" s="11">
        <f t="shared" si="0"/>
        <v>1.0787055533359968E-2</v>
      </c>
    </row>
    <row r="36" spans="2:4">
      <c r="B36" s="9" t="s">
        <v>97</v>
      </c>
      <c r="C36" s="10">
        <v>70</v>
      </c>
      <c r="D36" s="11">
        <f t="shared" si="0"/>
        <v>9.3221467572246631E-3</v>
      </c>
    </row>
    <row r="37" spans="2:4">
      <c r="B37" s="9" t="s">
        <v>80</v>
      </c>
      <c r="C37" s="10">
        <v>61</v>
      </c>
      <c r="D37" s="11">
        <f t="shared" si="0"/>
        <v>8.1235850312957776E-3</v>
      </c>
    </row>
    <row r="38" spans="2:4">
      <c r="B38" s="9" t="s">
        <v>81</v>
      </c>
      <c r="C38" s="10">
        <v>57</v>
      </c>
      <c r="D38" s="11">
        <f t="shared" si="0"/>
        <v>7.5908909308829405E-3</v>
      </c>
    </row>
    <row r="39" spans="2:4">
      <c r="B39" s="9" t="s">
        <v>78</v>
      </c>
      <c r="C39" s="10">
        <v>50</v>
      </c>
      <c r="D39" s="11">
        <f t="shared" si="0"/>
        <v>6.658676255160474E-3</v>
      </c>
    </row>
    <row r="40" spans="2:4">
      <c r="B40" s="9" t="s">
        <v>73</v>
      </c>
      <c r="C40" s="10">
        <v>48</v>
      </c>
      <c r="D40" s="11">
        <f t="shared" si="0"/>
        <v>6.392329204954055E-3</v>
      </c>
    </row>
    <row r="41" spans="2:4">
      <c r="B41" s="9" t="s">
        <v>18</v>
      </c>
      <c r="C41" s="10">
        <v>47</v>
      </c>
      <c r="D41" s="11">
        <f t="shared" si="0"/>
        <v>6.2591556798508455E-3</v>
      </c>
    </row>
    <row r="42" spans="2:4">
      <c r="B42" s="9" t="s">
        <v>69</v>
      </c>
      <c r="C42" s="10">
        <v>45</v>
      </c>
      <c r="D42" s="11">
        <f t="shared" si="0"/>
        <v>5.9928086296444265E-3</v>
      </c>
    </row>
    <row r="43" spans="2:4">
      <c r="B43" s="9" t="s">
        <v>86</v>
      </c>
      <c r="C43" s="10">
        <v>42</v>
      </c>
      <c r="D43" s="11">
        <f t="shared" si="0"/>
        <v>5.593288054334798E-3</v>
      </c>
    </row>
    <row r="44" spans="2:4">
      <c r="B44" s="9" t="s">
        <v>102</v>
      </c>
      <c r="C44" s="10">
        <v>39</v>
      </c>
      <c r="D44" s="11">
        <f t="shared" ref="D44:D75" si="1">C44/$C$62</f>
        <v>5.1937674790251695E-3</v>
      </c>
    </row>
    <row r="45" spans="2:4">
      <c r="B45" s="9" t="s">
        <v>74</v>
      </c>
      <c r="C45" s="10">
        <v>38</v>
      </c>
      <c r="D45" s="11">
        <f t="shared" si="1"/>
        <v>5.06059395392196E-3</v>
      </c>
    </row>
    <row r="46" spans="2:4">
      <c r="B46" s="9" t="s">
        <v>82</v>
      </c>
      <c r="C46" s="10">
        <v>36</v>
      </c>
      <c r="D46" s="11">
        <f t="shared" si="1"/>
        <v>4.794246903715541E-3</v>
      </c>
    </row>
    <row r="47" spans="2:4">
      <c r="B47" s="9" t="s">
        <v>77</v>
      </c>
      <c r="C47" s="10">
        <v>36</v>
      </c>
      <c r="D47" s="11">
        <f t="shared" si="1"/>
        <v>4.794246903715541E-3</v>
      </c>
    </row>
    <row r="48" spans="2:4">
      <c r="B48" s="9" t="s">
        <v>72</v>
      </c>
      <c r="C48" s="10">
        <v>28</v>
      </c>
      <c r="D48" s="11">
        <f t="shared" si="1"/>
        <v>3.7288587028898655E-3</v>
      </c>
    </row>
    <row r="49" spans="2:4">
      <c r="B49" s="9" t="s">
        <v>83</v>
      </c>
      <c r="C49" s="10">
        <v>27</v>
      </c>
      <c r="D49" s="11">
        <f t="shared" si="1"/>
        <v>3.595685177786656E-3</v>
      </c>
    </row>
    <row r="50" spans="2:4">
      <c r="B50" s="9" t="s">
        <v>85</v>
      </c>
      <c r="C50" s="10">
        <v>23</v>
      </c>
      <c r="D50" s="11">
        <f t="shared" si="1"/>
        <v>3.062991077373818E-3</v>
      </c>
    </row>
    <row r="51" spans="2:4">
      <c r="B51" s="9" t="s">
        <v>66</v>
      </c>
      <c r="C51" s="10">
        <v>16</v>
      </c>
      <c r="D51" s="11">
        <f t="shared" si="1"/>
        <v>2.1307764016513515E-3</v>
      </c>
    </row>
    <row r="52" spans="2:4">
      <c r="B52" s="9" t="s">
        <v>70</v>
      </c>
      <c r="C52" s="10">
        <v>9</v>
      </c>
      <c r="D52" s="11">
        <f t="shared" si="1"/>
        <v>1.1985617259288853E-3</v>
      </c>
    </row>
    <row r="53" spans="2:4">
      <c r="B53" s="9" t="s">
        <v>67</v>
      </c>
      <c r="C53" s="10">
        <v>9</v>
      </c>
      <c r="D53" s="11">
        <f t="shared" si="1"/>
        <v>1.1985617259288853E-3</v>
      </c>
    </row>
    <row r="54" spans="2:4">
      <c r="B54" s="9" t="s">
        <v>65</v>
      </c>
      <c r="C54" s="10">
        <v>6</v>
      </c>
      <c r="D54" s="11">
        <f t="shared" si="1"/>
        <v>7.9904115061925688E-4</v>
      </c>
    </row>
    <row r="55" spans="2:4">
      <c r="B55" s="9" t="s">
        <v>64</v>
      </c>
      <c r="C55" s="10">
        <v>2</v>
      </c>
      <c r="D55" s="11">
        <f t="shared" si="1"/>
        <v>2.6634705020641894E-4</v>
      </c>
    </row>
    <row r="56" spans="2:4">
      <c r="B56" s="9" t="s">
        <v>63</v>
      </c>
      <c r="C56" s="10">
        <v>1</v>
      </c>
      <c r="D56" s="11">
        <f t="shared" si="1"/>
        <v>1.3317352510320947E-4</v>
      </c>
    </row>
    <row r="57" spans="2:4">
      <c r="B57" s="9" t="s">
        <v>62</v>
      </c>
      <c r="C57" s="10">
        <v>1</v>
      </c>
      <c r="D57" s="11">
        <f t="shared" si="1"/>
        <v>1.3317352510320947E-4</v>
      </c>
    </row>
    <row r="58" spans="2:4">
      <c r="B58" s="9" t="s">
        <v>59</v>
      </c>
      <c r="C58" s="10">
        <v>1</v>
      </c>
      <c r="D58" s="11">
        <f t="shared" si="1"/>
        <v>1.3317352510320947E-4</v>
      </c>
    </row>
    <row r="59" spans="2:4">
      <c r="B59" s="9" t="s">
        <v>68</v>
      </c>
      <c r="C59" s="10">
        <v>1</v>
      </c>
      <c r="D59" s="11">
        <f t="shared" si="1"/>
        <v>1.3317352510320947E-4</v>
      </c>
    </row>
    <row r="60" spans="2:4">
      <c r="B60" s="9" t="s">
        <v>60</v>
      </c>
      <c r="C60" s="10">
        <v>0</v>
      </c>
      <c r="D60" s="11">
        <f t="shared" si="1"/>
        <v>0</v>
      </c>
    </row>
    <row r="61" spans="2:4">
      <c r="B61" s="9" t="s">
        <v>61</v>
      </c>
      <c r="C61" s="10">
        <v>0</v>
      </c>
      <c r="D61" s="11">
        <f t="shared" si="1"/>
        <v>0</v>
      </c>
    </row>
    <row r="62" spans="2:4">
      <c r="B62" s="13" t="s">
        <v>53</v>
      </c>
      <c r="C62" s="14">
        <v>7509</v>
      </c>
      <c r="D62" s="15">
        <f t="shared" si="1"/>
        <v>1</v>
      </c>
    </row>
    <row r="64" spans="2:4">
      <c r="B64" s="17" t="s">
        <v>54</v>
      </c>
    </row>
    <row r="65" spans="2:2">
      <c r="B65" s="18" t="s">
        <v>55</v>
      </c>
    </row>
    <row r="66" spans="2:2">
      <c r="B66" s="19" t="s">
        <v>56</v>
      </c>
    </row>
    <row r="67" spans="2:2">
      <c r="B67" s="17" t="s">
        <v>57</v>
      </c>
    </row>
    <row r="68" spans="2:2">
      <c r="B68" s="17" t="s">
        <v>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109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108</v>
      </c>
      <c r="C11" s="6" t="s">
        <v>3</v>
      </c>
      <c r="D11" s="7" t="s">
        <v>4</v>
      </c>
    </row>
    <row r="12" spans="1:4" ht="15" customHeight="1">
      <c r="B12" s="9" t="s">
        <v>106</v>
      </c>
      <c r="C12" s="10">
        <v>1222</v>
      </c>
      <c r="D12" s="11">
        <f t="shared" ref="D12:D22" si="0">C12/$C$22</f>
        <v>0.23468407912425582</v>
      </c>
    </row>
    <row r="13" spans="1:4">
      <c r="B13" s="9" t="s">
        <v>95</v>
      </c>
      <c r="C13" s="10">
        <v>906</v>
      </c>
      <c r="D13" s="11">
        <f t="shared" si="0"/>
        <v>0.17399654311503746</v>
      </c>
    </row>
    <row r="14" spans="1:4" s="12" customFormat="1">
      <c r="A14" s="8"/>
      <c r="B14" s="9" t="s">
        <v>107</v>
      </c>
      <c r="C14" s="10">
        <v>678</v>
      </c>
      <c r="D14" s="11">
        <f t="shared" si="0"/>
        <v>0.13020933358939887</v>
      </c>
    </row>
    <row r="15" spans="1:4" s="12" customFormat="1">
      <c r="A15" s="8"/>
      <c r="B15" s="9" t="s">
        <v>88</v>
      </c>
      <c r="C15" s="10">
        <v>525</v>
      </c>
      <c r="D15" s="11">
        <f t="shared" si="0"/>
        <v>0.10082581140772037</v>
      </c>
    </row>
    <row r="16" spans="1:4">
      <c r="B16" s="9" t="s">
        <v>104</v>
      </c>
      <c r="C16" s="10">
        <v>517</v>
      </c>
      <c r="D16" s="11">
        <f t="shared" si="0"/>
        <v>9.9289418091031298E-2</v>
      </c>
    </row>
    <row r="17" spans="2:4">
      <c r="B17" s="9" t="s">
        <v>105</v>
      </c>
      <c r="C17" s="10">
        <v>511</v>
      </c>
      <c r="D17" s="11">
        <f t="shared" si="0"/>
        <v>9.8137123103514495E-2</v>
      </c>
    </row>
    <row r="18" spans="2:4">
      <c r="B18" s="9" t="s">
        <v>99</v>
      </c>
      <c r="C18" s="10">
        <v>283</v>
      </c>
      <c r="D18" s="11">
        <f t="shared" si="0"/>
        <v>5.4349913577875934E-2</v>
      </c>
    </row>
    <row r="19" spans="2:4">
      <c r="B19" s="9" t="s">
        <v>103</v>
      </c>
      <c r="C19" s="10">
        <v>240</v>
      </c>
      <c r="D19" s="11">
        <f t="shared" si="0"/>
        <v>4.6091799500672173E-2</v>
      </c>
    </row>
    <row r="20" spans="2:4">
      <c r="B20" s="9" t="s">
        <v>101</v>
      </c>
      <c r="C20" s="10">
        <v>167</v>
      </c>
      <c r="D20" s="11">
        <f t="shared" si="0"/>
        <v>3.2072210485884385E-2</v>
      </c>
    </row>
    <row r="21" spans="2:4">
      <c r="B21" s="9" t="s">
        <v>91</v>
      </c>
      <c r="C21" s="10">
        <v>158</v>
      </c>
      <c r="D21" s="11">
        <f t="shared" si="0"/>
        <v>3.0343768004609181E-2</v>
      </c>
    </row>
    <row r="22" spans="2:4">
      <c r="B22" s="13" t="s">
        <v>53</v>
      </c>
      <c r="C22" s="14">
        <f>SUM(C12:C21)</f>
        <v>5207</v>
      </c>
      <c r="D22" s="15">
        <f t="shared" si="0"/>
        <v>1</v>
      </c>
    </row>
    <row r="24" spans="2:4">
      <c r="B24" s="17" t="s">
        <v>54</v>
      </c>
    </row>
    <row r="25" spans="2:4">
      <c r="B25" s="18" t="s">
        <v>55</v>
      </c>
    </row>
    <row r="26" spans="2:4">
      <c r="B26" s="19" t="s">
        <v>56</v>
      </c>
    </row>
    <row r="27" spans="2:4">
      <c r="B27" s="17" t="s">
        <v>57</v>
      </c>
    </row>
    <row r="28" spans="2:4">
      <c r="B28" s="17" t="s">
        <v>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29"/>
  <sheetViews>
    <sheetView showGridLines="0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121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120</v>
      </c>
      <c r="C11" s="6" t="s">
        <v>3</v>
      </c>
      <c r="D11" s="7" t="s">
        <v>4</v>
      </c>
    </row>
    <row r="12" spans="1:4" ht="15" customHeight="1">
      <c r="B12" s="9" t="s">
        <v>0</v>
      </c>
      <c r="C12" s="10">
        <v>4080</v>
      </c>
      <c r="D12" s="11">
        <v>0.54334798242109472</v>
      </c>
    </row>
    <row r="13" spans="1:4">
      <c r="B13" s="9" t="s">
        <v>119</v>
      </c>
      <c r="C13" s="10">
        <v>1086</v>
      </c>
      <c r="D13" s="11">
        <v>0.14462644826208551</v>
      </c>
    </row>
    <row r="14" spans="1:4" s="12" customFormat="1">
      <c r="A14" s="8"/>
      <c r="B14" s="9" t="s">
        <v>118</v>
      </c>
      <c r="C14" s="10">
        <v>700</v>
      </c>
      <c r="D14" s="11">
        <v>9.3221467572246641E-2</v>
      </c>
    </row>
    <row r="15" spans="1:4" s="12" customFormat="1">
      <c r="A15" s="8"/>
      <c r="B15" s="9" t="s">
        <v>117</v>
      </c>
      <c r="C15" s="10">
        <v>431</v>
      </c>
      <c r="D15" s="11">
        <v>5.7397789319483285E-2</v>
      </c>
    </row>
    <row r="16" spans="1:4">
      <c r="B16" s="9" t="s">
        <v>116</v>
      </c>
      <c r="C16" s="10">
        <v>347</v>
      </c>
      <c r="D16" s="11">
        <v>4.6211213210813687E-2</v>
      </c>
    </row>
    <row r="17" spans="2:4">
      <c r="B17" s="9" t="s">
        <v>115</v>
      </c>
      <c r="C17" s="10">
        <v>331</v>
      </c>
      <c r="D17" s="11">
        <v>4.4080436809162342E-2</v>
      </c>
    </row>
    <row r="18" spans="2:4">
      <c r="B18" s="9" t="s">
        <v>114</v>
      </c>
      <c r="C18" s="10">
        <v>135</v>
      </c>
      <c r="D18" s="11">
        <v>1.797842588893328E-2</v>
      </c>
    </row>
    <row r="19" spans="2:4" ht="27">
      <c r="B19" s="9" t="s">
        <v>113</v>
      </c>
      <c r="C19" s="10">
        <v>117</v>
      </c>
      <c r="D19" s="11">
        <v>1.5581302437075509E-2</v>
      </c>
    </row>
    <row r="20" spans="2:4">
      <c r="B20" s="9" t="s">
        <v>112</v>
      </c>
      <c r="C20" s="10">
        <v>112</v>
      </c>
      <c r="D20" s="11">
        <v>1.4915434811559462E-2</v>
      </c>
    </row>
    <row r="21" spans="2:4">
      <c r="B21" s="9" t="s">
        <v>111</v>
      </c>
      <c r="C21" s="10">
        <v>86</v>
      </c>
      <c r="D21" s="11">
        <v>1.1452923158876015E-2</v>
      </c>
    </row>
    <row r="22" spans="2:4">
      <c r="B22" s="9" t="s">
        <v>110</v>
      </c>
      <c r="C22" s="10">
        <v>84</v>
      </c>
      <c r="D22" s="11">
        <v>1.1186576108669596E-2</v>
      </c>
    </row>
    <row r="23" spans="2:4">
      <c r="B23" s="13" t="s">
        <v>53</v>
      </c>
      <c r="C23" s="14">
        <v>7509</v>
      </c>
      <c r="D23" s="15">
        <v>1</v>
      </c>
    </row>
    <row r="25" spans="2:4">
      <c r="B25" s="17" t="s">
        <v>54</v>
      </c>
    </row>
    <row r="26" spans="2:4">
      <c r="B26" s="18" t="s">
        <v>55</v>
      </c>
    </row>
    <row r="27" spans="2:4">
      <c r="B27" s="19" t="s">
        <v>56</v>
      </c>
    </row>
    <row r="28" spans="2:4">
      <c r="B28" s="17" t="s">
        <v>57</v>
      </c>
    </row>
    <row r="29" spans="2:4">
      <c r="B29" s="17" t="s">
        <v>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E342"/>
  <sheetViews>
    <sheetView topLeftCell="A306" zoomScaleNormal="100" zoomScaleSheetLayoutView="85" workbookViewId="0">
      <selection activeCell="B336" sqref="B336:E336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86"/>
      <c r="C7" s="86"/>
      <c r="D7" s="86"/>
      <c r="E7" s="86"/>
    </row>
    <row r="8" spans="1:5" s="31" customFormat="1" ht="33" customHeight="1">
      <c r="A8" s="32"/>
      <c r="B8" s="86"/>
      <c r="C8" s="86"/>
      <c r="D8" s="86"/>
      <c r="E8" s="86"/>
    </row>
    <row r="9" spans="1:5" s="1" customFormat="1" ht="40.5" customHeight="1">
      <c r="B9" s="28" t="s">
        <v>123</v>
      </c>
      <c r="C9" s="30" t="s">
        <v>122</v>
      </c>
      <c r="D9" s="29" t="s">
        <v>3</v>
      </c>
      <c r="E9" s="28" t="s">
        <v>4</v>
      </c>
    </row>
    <row r="10" spans="1:5" ht="15" customHeight="1">
      <c r="B10" s="83" t="s">
        <v>36</v>
      </c>
      <c r="C10" s="27" t="s">
        <v>0</v>
      </c>
      <c r="D10" s="26">
        <v>14</v>
      </c>
      <c r="E10" s="25">
        <v>1.8644293514449327E-3</v>
      </c>
    </row>
    <row r="11" spans="1:5" ht="15" customHeight="1">
      <c r="B11" s="84"/>
      <c r="C11" s="27" t="s">
        <v>119</v>
      </c>
      <c r="D11" s="26">
        <v>3</v>
      </c>
      <c r="E11" s="25">
        <v>3.9952057530962844E-4</v>
      </c>
    </row>
    <row r="12" spans="1:5" ht="15" customHeight="1">
      <c r="B12" s="84"/>
      <c r="C12" s="27" t="s">
        <v>112</v>
      </c>
      <c r="D12" s="26">
        <v>1</v>
      </c>
      <c r="E12" s="25">
        <v>1.3317352510320947E-4</v>
      </c>
    </row>
    <row r="13" spans="1:5" ht="15" customHeight="1">
      <c r="B13" s="84"/>
      <c r="C13" s="27" t="s">
        <v>114</v>
      </c>
      <c r="D13" s="26">
        <v>1</v>
      </c>
      <c r="E13" s="25">
        <v>1.3317352510320947E-4</v>
      </c>
    </row>
    <row r="14" spans="1:5" ht="15" customHeight="1">
      <c r="B14" s="85"/>
      <c r="C14" s="24" t="s">
        <v>53</v>
      </c>
      <c r="D14" s="23">
        <v>19</v>
      </c>
      <c r="E14" s="22">
        <v>2.53029697696098E-3</v>
      </c>
    </row>
    <row r="15" spans="1:5" ht="15" customHeight="1">
      <c r="B15" s="83" t="s">
        <v>49</v>
      </c>
      <c r="C15" s="27" t="s">
        <v>0</v>
      </c>
      <c r="D15" s="26">
        <v>1</v>
      </c>
      <c r="E15" s="25">
        <v>1.3317352510320947E-4</v>
      </c>
    </row>
    <row r="16" spans="1:5" ht="15" customHeight="1">
      <c r="B16" s="85"/>
      <c r="C16" s="24" t="s">
        <v>53</v>
      </c>
      <c r="D16" s="23">
        <v>1</v>
      </c>
      <c r="E16" s="22">
        <v>1.3317352510320947E-4</v>
      </c>
    </row>
    <row r="17" spans="2:5" ht="15" customHeight="1">
      <c r="B17" s="83" t="s">
        <v>23</v>
      </c>
      <c r="C17" s="27" t="s">
        <v>0</v>
      </c>
      <c r="D17" s="26">
        <v>47</v>
      </c>
      <c r="E17" s="25">
        <v>6.2591556798508455E-3</v>
      </c>
    </row>
    <row r="18" spans="2:5" ht="15" customHeight="1">
      <c r="B18" s="84"/>
      <c r="C18" s="27" t="s">
        <v>115</v>
      </c>
      <c r="D18" s="26">
        <v>1</v>
      </c>
      <c r="E18" s="25">
        <v>1.3317352510320947E-4</v>
      </c>
    </row>
    <row r="19" spans="2:5" ht="15" customHeight="1">
      <c r="B19" s="84"/>
      <c r="C19" s="27" t="s">
        <v>119</v>
      </c>
      <c r="D19" s="26">
        <v>3</v>
      </c>
      <c r="E19" s="25">
        <v>3.9952057530962844E-4</v>
      </c>
    </row>
    <row r="20" spans="2:5" ht="15" customHeight="1">
      <c r="B20" s="84"/>
      <c r="C20" s="27" t="s">
        <v>112</v>
      </c>
      <c r="D20" s="26">
        <v>2</v>
      </c>
      <c r="E20" s="25">
        <v>2.6634705020641894E-4</v>
      </c>
    </row>
    <row r="21" spans="2:5" ht="15" customHeight="1">
      <c r="B21" s="84"/>
      <c r="C21" s="27" t="s">
        <v>116</v>
      </c>
      <c r="D21" s="26">
        <v>3</v>
      </c>
      <c r="E21" s="25">
        <v>3.9952057530962844E-4</v>
      </c>
    </row>
    <row r="22" spans="2:5" ht="15" customHeight="1">
      <c r="B22" s="84"/>
      <c r="C22" s="27" t="s">
        <v>117</v>
      </c>
      <c r="D22" s="26">
        <v>2</v>
      </c>
      <c r="E22" s="25">
        <v>2.6634705020641894E-4</v>
      </c>
    </row>
    <row r="23" spans="2:5" ht="15" customHeight="1">
      <c r="B23" s="84"/>
      <c r="C23" s="27" t="s">
        <v>118</v>
      </c>
      <c r="D23" s="26">
        <v>2</v>
      </c>
      <c r="E23" s="25">
        <v>2.6634705020641894E-4</v>
      </c>
    </row>
    <row r="24" spans="2:5" ht="15" customHeight="1">
      <c r="B24" s="84"/>
      <c r="C24" s="27" t="s">
        <v>113</v>
      </c>
      <c r="D24" s="26">
        <v>1</v>
      </c>
      <c r="E24" s="25">
        <v>1.3317352510320947E-4</v>
      </c>
    </row>
    <row r="25" spans="2:5" ht="15" customHeight="1">
      <c r="B25" s="85"/>
      <c r="C25" s="24" t="s">
        <v>53</v>
      </c>
      <c r="D25" s="23">
        <v>61</v>
      </c>
      <c r="E25" s="22">
        <v>8.1235850312957776E-3</v>
      </c>
    </row>
    <row r="26" spans="2:5" ht="15" customHeight="1">
      <c r="B26" s="83" t="s">
        <v>14</v>
      </c>
      <c r="C26" s="27" t="s">
        <v>0</v>
      </c>
      <c r="D26" s="26">
        <v>62</v>
      </c>
      <c r="E26" s="25">
        <v>8.2567585563989871E-3</v>
      </c>
    </row>
    <row r="27" spans="2:5" ht="15" customHeight="1">
      <c r="B27" s="84"/>
      <c r="C27" s="27" t="s">
        <v>115</v>
      </c>
      <c r="D27" s="26">
        <v>5</v>
      </c>
      <c r="E27" s="25">
        <v>6.6586762551604738E-4</v>
      </c>
    </row>
    <row r="28" spans="2:5" ht="15" customHeight="1">
      <c r="B28" s="84"/>
      <c r="C28" s="27" t="s">
        <v>119</v>
      </c>
      <c r="D28" s="26">
        <v>12</v>
      </c>
      <c r="E28" s="25">
        <v>1.5980823012385138E-3</v>
      </c>
    </row>
    <row r="29" spans="2:5" ht="15" customHeight="1">
      <c r="B29" s="84"/>
      <c r="C29" s="27" t="s">
        <v>116</v>
      </c>
      <c r="D29" s="26">
        <v>4</v>
      </c>
      <c r="E29" s="25">
        <v>5.3269410041283788E-4</v>
      </c>
    </row>
    <row r="30" spans="2:5" ht="15" customHeight="1">
      <c r="B30" s="84"/>
      <c r="C30" s="27" t="s">
        <v>117</v>
      </c>
      <c r="D30" s="26">
        <v>11</v>
      </c>
      <c r="E30" s="25">
        <v>1.4649087761353043E-3</v>
      </c>
    </row>
    <row r="31" spans="2:5" ht="15" customHeight="1">
      <c r="B31" s="84"/>
      <c r="C31" s="27" t="s">
        <v>118</v>
      </c>
      <c r="D31" s="26">
        <v>36</v>
      </c>
      <c r="E31" s="25">
        <v>4.794246903715541E-3</v>
      </c>
    </row>
    <row r="32" spans="2:5" ht="15" customHeight="1">
      <c r="B32" s="84"/>
      <c r="C32" s="27" t="s">
        <v>113</v>
      </c>
      <c r="D32" s="26">
        <v>7</v>
      </c>
      <c r="E32" s="25">
        <v>9.3221467572246637E-4</v>
      </c>
    </row>
    <row r="33" spans="2:5" ht="15" customHeight="1">
      <c r="B33" s="85"/>
      <c r="C33" s="24" t="s">
        <v>53</v>
      </c>
      <c r="D33" s="23">
        <v>137</v>
      </c>
      <c r="E33" s="22">
        <v>1.8244772939139699E-2</v>
      </c>
    </row>
    <row r="34" spans="2:5" ht="15" customHeight="1">
      <c r="B34" s="83" t="s">
        <v>5</v>
      </c>
      <c r="C34" s="27" t="s">
        <v>0</v>
      </c>
      <c r="D34" s="26">
        <v>1028</v>
      </c>
      <c r="E34" s="25">
        <v>0.13690238380609934</v>
      </c>
    </row>
    <row r="35" spans="2:5" ht="15" customHeight="1">
      <c r="B35" s="84"/>
      <c r="C35" s="27" t="s">
        <v>115</v>
      </c>
      <c r="D35" s="26">
        <v>53</v>
      </c>
      <c r="E35" s="25">
        <v>7.0581968304701025E-3</v>
      </c>
    </row>
    <row r="36" spans="2:5" ht="15" customHeight="1">
      <c r="B36" s="84"/>
      <c r="C36" s="27" t="s">
        <v>119</v>
      </c>
      <c r="D36" s="26">
        <v>193</v>
      </c>
      <c r="E36" s="25">
        <v>2.5702490344919431E-2</v>
      </c>
    </row>
    <row r="37" spans="2:5" ht="15" customHeight="1">
      <c r="B37" s="84"/>
      <c r="C37" s="27" t="s">
        <v>112</v>
      </c>
      <c r="D37" s="26">
        <v>25</v>
      </c>
      <c r="E37" s="25">
        <v>3.329338127580237E-3</v>
      </c>
    </row>
    <row r="38" spans="2:5" ht="15" customHeight="1">
      <c r="B38" s="84"/>
      <c r="C38" s="27" t="s">
        <v>110</v>
      </c>
      <c r="D38" s="26">
        <v>11</v>
      </c>
      <c r="E38" s="25">
        <v>1.4649087761353043E-3</v>
      </c>
    </row>
    <row r="39" spans="2:5" ht="15" customHeight="1">
      <c r="B39" s="84"/>
      <c r="C39" s="27" t="s">
        <v>116</v>
      </c>
      <c r="D39" s="26">
        <v>89</v>
      </c>
      <c r="E39" s="25">
        <v>1.1852443734185644E-2</v>
      </c>
    </row>
    <row r="40" spans="2:5" ht="15" customHeight="1">
      <c r="B40" s="84"/>
      <c r="C40" s="27" t="s">
        <v>117</v>
      </c>
      <c r="D40" s="26">
        <v>63</v>
      </c>
      <c r="E40" s="25">
        <v>8.3899320815021966E-3</v>
      </c>
    </row>
    <row r="41" spans="2:5" ht="15" customHeight="1">
      <c r="B41" s="84"/>
      <c r="C41" s="27" t="s">
        <v>118</v>
      </c>
      <c r="D41" s="26">
        <v>113</v>
      </c>
      <c r="E41" s="25">
        <v>1.5048608336662671E-2</v>
      </c>
    </row>
    <row r="42" spans="2:5" ht="15" customHeight="1">
      <c r="B42" s="84"/>
      <c r="C42" s="27" t="s">
        <v>113</v>
      </c>
      <c r="D42" s="26">
        <v>11</v>
      </c>
      <c r="E42" s="25">
        <v>1.4649087761353043E-3</v>
      </c>
    </row>
    <row r="43" spans="2:5" ht="15" customHeight="1">
      <c r="B43" s="84"/>
      <c r="C43" s="27" t="s">
        <v>111</v>
      </c>
      <c r="D43" s="26">
        <v>32</v>
      </c>
      <c r="E43" s="25">
        <v>4.2615528033027031E-3</v>
      </c>
    </row>
    <row r="44" spans="2:5" ht="15" customHeight="1">
      <c r="B44" s="84"/>
      <c r="C44" s="27" t="s">
        <v>114</v>
      </c>
      <c r="D44" s="26">
        <v>51</v>
      </c>
      <c r="E44" s="25">
        <v>6.7918497802636835E-3</v>
      </c>
    </row>
    <row r="45" spans="2:5" ht="15" customHeight="1">
      <c r="B45" s="85"/>
      <c r="C45" s="24" t="s">
        <v>53</v>
      </c>
      <c r="D45" s="23">
        <v>1669</v>
      </c>
      <c r="E45" s="22">
        <v>0.22226661339725662</v>
      </c>
    </row>
    <row r="46" spans="2:5" ht="15" customHeight="1">
      <c r="B46" s="83" t="s">
        <v>9</v>
      </c>
      <c r="C46" s="27" t="s">
        <v>0</v>
      </c>
      <c r="D46" s="26">
        <v>178</v>
      </c>
      <c r="E46" s="25">
        <v>2.3704887468371287E-2</v>
      </c>
    </row>
    <row r="47" spans="2:5" ht="15" customHeight="1">
      <c r="B47" s="84"/>
      <c r="C47" s="27" t="s">
        <v>115</v>
      </c>
      <c r="D47" s="26">
        <v>19</v>
      </c>
      <c r="E47" s="25">
        <v>2.53029697696098E-3</v>
      </c>
    </row>
    <row r="48" spans="2:5" ht="15" customHeight="1">
      <c r="B48" s="84"/>
      <c r="C48" s="27" t="s">
        <v>119</v>
      </c>
      <c r="D48" s="26">
        <v>61</v>
      </c>
      <c r="E48" s="25">
        <v>8.1235850312957776E-3</v>
      </c>
    </row>
    <row r="49" spans="2:5" ht="15" customHeight="1">
      <c r="B49" s="84"/>
      <c r="C49" s="27" t="s">
        <v>112</v>
      </c>
      <c r="D49" s="26">
        <v>43</v>
      </c>
      <c r="E49" s="25">
        <v>5.7264615794380075E-3</v>
      </c>
    </row>
    <row r="50" spans="2:5" ht="15" customHeight="1">
      <c r="B50" s="84"/>
      <c r="C50" s="27" t="s">
        <v>110</v>
      </c>
      <c r="D50" s="26">
        <v>1</v>
      </c>
      <c r="E50" s="25">
        <v>1.3317352510320947E-4</v>
      </c>
    </row>
    <row r="51" spans="2:5" ht="15" customHeight="1">
      <c r="B51" s="84"/>
      <c r="C51" s="27" t="s">
        <v>116</v>
      </c>
      <c r="D51" s="26">
        <v>50</v>
      </c>
      <c r="E51" s="25">
        <v>6.658676255160474E-3</v>
      </c>
    </row>
    <row r="52" spans="2:5" ht="15" customHeight="1">
      <c r="B52" s="84"/>
      <c r="C52" s="27" t="s">
        <v>117</v>
      </c>
      <c r="D52" s="26">
        <v>35</v>
      </c>
      <c r="E52" s="25">
        <v>4.6610733786123315E-3</v>
      </c>
    </row>
    <row r="53" spans="2:5" ht="15" customHeight="1">
      <c r="B53" s="84"/>
      <c r="C53" s="27" t="s">
        <v>118</v>
      </c>
      <c r="D53" s="26">
        <v>95</v>
      </c>
      <c r="E53" s="25">
        <v>1.2651484884804901E-2</v>
      </c>
    </row>
    <row r="54" spans="2:5" ht="15" customHeight="1">
      <c r="B54" s="84"/>
      <c r="C54" s="27" t="s">
        <v>113</v>
      </c>
      <c r="D54" s="26">
        <v>8</v>
      </c>
      <c r="E54" s="25">
        <v>1.0653882008256758E-3</v>
      </c>
    </row>
    <row r="55" spans="2:5" ht="15" customHeight="1">
      <c r="B55" s="84"/>
      <c r="C55" s="27" t="s">
        <v>114</v>
      </c>
      <c r="D55" s="26">
        <v>32</v>
      </c>
      <c r="E55" s="25">
        <v>4.2615528033027031E-3</v>
      </c>
    </row>
    <row r="56" spans="2:5" ht="15" customHeight="1">
      <c r="B56" s="85"/>
      <c r="C56" s="24" t="s">
        <v>53</v>
      </c>
      <c r="D56" s="23">
        <v>522</v>
      </c>
      <c r="E56" s="22">
        <v>6.9516580103875347E-2</v>
      </c>
    </row>
    <row r="57" spans="2:5" ht="15" customHeight="1">
      <c r="B57" s="83" t="s">
        <v>39</v>
      </c>
      <c r="C57" s="27" t="s">
        <v>0</v>
      </c>
      <c r="D57" s="26">
        <v>9</v>
      </c>
      <c r="E57" s="25">
        <v>1.1985617259288853E-3</v>
      </c>
    </row>
    <row r="58" spans="2:5" ht="15" customHeight="1">
      <c r="B58" s="84"/>
      <c r="C58" s="27" t="s">
        <v>115</v>
      </c>
      <c r="D58" s="26">
        <v>1</v>
      </c>
      <c r="E58" s="25">
        <v>1.3317352510320947E-4</v>
      </c>
    </row>
    <row r="59" spans="2:5" ht="15" customHeight="1">
      <c r="B59" s="84"/>
      <c r="C59" s="27" t="s">
        <v>113</v>
      </c>
      <c r="D59" s="26">
        <v>1</v>
      </c>
      <c r="E59" s="25">
        <v>1.3317352510320947E-4</v>
      </c>
    </row>
    <row r="60" spans="2:5" ht="15" customHeight="1">
      <c r="B60" s="85"/>
      <c r="C60" s="24" t="s">
        <v>53</v>
      </c>
      <c r="D60" s="23">
        <v>11</v>
      </c>
      <c r="E60" s="22">
        <v>1.4649087761353043E-3</v>
      </c>
    </row>
    <row r="61" spans="2:5" ht="15" customHeight="1">
      <c r="B61" s="83" t="s">
        <v>42</v>
      </c>
      <c r="C61" s="27" t="s">
        <v>0</v>
      </c>
      <c r="D61" s="26">
        <v>7</v>
      </c>
      <c r="E61" s="25">
        <v>9.3221467572246637E-4</v>
      </c>
    </row>
    <row r="62" spans="2:5" ht="15" customHeight="1">
      <c r="B62" s="85"/>
      <c r="C62" s="24" t="s">
        <v>53</v>
      </c>
      <c r="D62" s="23">
        <v>7</v>
      </c>
      <c r="E62" s="22">
        <v>9.3221467572246637E-4</v>
      </c>
    </row>
    <row r="63" spans="2:5" ht="15" customHeight="1">
      <c r="B63" s="83" t="s">
        <v>50</v>
      </c>
      <c r="C63" s="27" t="s">
        <v>111</v>
      </c>
      <c r="D63" s="26">
        <v>1</v>
      </c>
      <c r="E63" s="25">
        <v>1.3317352510320947E-4</v>
      </c>
    </row>
    <row r="64" spans="2:5" ht="15" customHeight="1">
      <c r="B64" s="85"/>
      <c r="C64" s="24" t="s">
        <v>53</v>
      </c>
      <c r="D64" s="23">
        <v>1</v>
      </c>
      <c r="E64" s="22">
        <v>1.3317352510320947E-4</v>
      </c>
    </row>
    <row r="65" spans="2:5" ht="15" customHeight="1">
      <c r="B65" s="83" t="s">
        <v>11</v>
      </c>
      <c r="C65" s="27" t="s">
        <v>0</v>
      </c>
      <c r="D65" s="26">
        <v>122</v>
      </c>
      <c r="E65" s="25">
        <v>1.6247170062591555E-2</v>
      </c>
    </row>
    <row r="66" spans="2:5" ht="15" customHeight="1">
      <c r="B66" s="84"/>
      <c r="C66" s="27" t="s">
        <v>115</v>
      </c>
      <c r="D66" s="26">
        <v>5</v>
      </c>
      <c r="E66" s="25">
        <v>6.6586762551604738E-4</v>
      </c>
    </row>
    <row r="67" spans="2:5" ht="15" customHeight="1">
      <c r="B67" s="84"/>
      <c r="C67" s="27" t="s">
        <v>119</v>
      </c>
      <c r="D67" s="26">
        <v>20</v>
      </c>
      <c r="E67" s="25">
        <v>2.6634705020641895E-3</v>
      </c>
    </row>
    <row r="68" spans="2:5" ht="15" customHeight="1">
      <c r="B68" s="84"/>
      <c r="C68" s="27" t="s">
        <v>110</v>
      </c>
      <c r="D68" s="26">
        <v>8</v>
      </c>
      <c r="E68" s="25">
        <v>1.0653882008256758E-3</v>
      </c>
    </row>
    <row r="69" spans="2:5" ht="15" customHeight="1">
      <c r="B69" s="84"/>
      <c r="C69" s="27" t="s">
        <v>116</v>
      </c>
      <c r="D69" s="26">
        <v>10</v>
      </c>
      <c r="E69" s="25">
        <v>1.3317352510320948E-3</v>
      </c>
    </row>
    <row r="70" spans="2:5" ht="15" customHeight="1">
      <c r="B70" s="84"/>
      <c r="C70" s="27" t="s">
        <v>117</v>
      </c>
      <c r="D70" s="26">
        <v>11</v>
      </c>
      <c r="E70" s="25">
        <v>1.4649087761353043E-3</v>
      </c>
    </row>
    <row r="71" spans="2:5" ht="15" customHeight="1">
      <c r="B71" s="84"/>
      <c r="C71" s="27" t="s">
        <v>118</v>
      </c>
      <c r="D71" s="26">
        <v>7</v>
      </c>
      <c r="E71" s="25">
        <v>9.3221467572246637E-4</v>
      </c>
    </row>
    <row r="72" spans="2:5" ht="15" customHeight="1">
      <c r="B72" s="84"/>
      <c r="C72" s="27" t="s">
        <v>113</v>
      </c>
      <c r="D72" s="26">
        <v>3</v>
      </c>
      <c r="E72" s="25">
        <v>3.9952057530962844E-4</v>
      </c>
    </row>
    <row r="73" spans="2:5" ht="15" customHeight="1">
      <c r="B73" s="84"/>
      <c r="C73" s="27" t="s">
        <v>114</v>
      </c>
      <c r="D73" s="26">
        <v>1</v>
      </c>
      <c r="E73" s="25">
        <v>1.3317352510320947E-4</v>
      </c>
    </row>
    <row r="74" spans="2:5" ht="15" customHeight="1">
      <c r="B74" s="85"/>
      <c r="C74" s="24" t="s">
        <v>53</v>
      </c>
      <c r="D74" s="23">
        <v>187</v>
      </c>
      <c r="E74" s="22">
        <v>2.4903449194300174E-2</v>
      </c>
    </row>
    <row r="75" spans="2:5" ht="15" customHeight="1">
      <c r="B75" s="83" t="s">
        <v>13</v>
      </c>
      <c r="C75" s="27" t="s">
        <v>0</v>
      </c>
      <c r="D75" s="26">
        <v>77</v>
      </c>
      <c r="E75" s="25">
        <v>1.025436143294713E-2</v>
      </c>
    </row>
    <row r="76" spans="2:5" ht="15" customHeight="1">
      <c r="B76" s="84"/>
      <c r="C76" s="27" t="s">
        <v>115</v>
      </c>
      <c r="D76" s="26">
        <v>7</v>
      </c>
      <c r="E76" s="25">
        <v>9.3221467572246637E-4</v>
      </c>
    </row>
    <row r="77" spans="2:5" ht="15" customHeight="1">
      <c r="B77" s="84"/>
      <c r="C77" s="27" t="s">
        <v>119</v>
      </c>
      <c r="D77" s="26">
        <v>42</v>
      </c>
      <c r="E77" s="25">
        <v>5.593288054334798E-3</v>
      </c>
    </row>
    <row r="78" spans="2:5" ht="15" customHeight="1">
      <c r="B78" s="84"/>
      <c r="C78" s="27" t="s">
        <v>116</v>
      </c>
      <c r="D78" s="26">
        <v>8</v>
      </c>
      <c r="E78" s="25">
        <v>1.0653882008256758E-3</v>
      </c>
    </row>
    <row r="79" spans="2:5" ht="15" customHeight="1">
      <c r="B79" s="84"/>
      <c r="C79" s="27" t="s">
        <v>117</v>
      </c>
      <c r="D79" s="26">
        <v>3</v>
      </c>
      <c r="E79" s="25">
        <v>3.9952057530962844E-4</v>
      </c>
    </row>
    <row r="80" spans="2:5" ht="15" customHeight="1">
      <c r="B80" s="84"/>
      <c r="C80" s="27" t="s">
        <v>118</v>
      </c>
      <c r="D80" s="26">
        <v>8</v>
      </c>
      <c r="E80" s="25">
        <v>1.0653882008256758E-3</v>
      </c>
    </row>
    <row r="81" spans="2:5" ht="15" customHeight="1">
      <c r="B81" s="84"/>
      <c r="C81" s="27" t="s">
        <v>113</v>
      </c>
      <c r="D81" s="26">
        <v>1</v>
      </c>
      <c r="E81" s="25">
        <v>1.3317352510320947E-4</v>
      </c>
    </row>
    <row r="82" spans="2:5" ht="15" customHeight="1">
      <c r="B82" s="84"/>
      <c r="C82" s="27" t="s">
        <v>111</v>
      </c>
      <c r="D82" s="26">
        <v>2</v>
      </c>
      <c r="E82" s="25">
        <v>2.6634705020641894E-4</v>
      </c>
    </row>
    <row r="83" spans="2:5" ht="15" customHeight="1">
      <c r="B83" s="85"/>
      <c r="C83" s="24" t="s">
        <v>53</v>
      </c>
      <c r="D83" s="23">
        <v>148</v>
      </c>
      <c r="E83" s="22">
        <v>1.9709681715275002E-2</v>
      </c>
    </row>
    <row r="84" spans="2:5" ht="15" customHeight="1">
      <c r="B84" s="83" t="s">
        <v>51</v>
      </c>
      <c r="C84" s="27" t="s">
        <v>0</v>
      </c>
      <c r="D84" s="26">
        <v>1</v>
      </c>
      <c r="E84" s="25">
        <v>1.3317352510320947E-4</v>
      </c>
    </row>
    <row r="85" spans="2:5" ht="15" customHeight="1">
      <c r="B85" s="85"/>
      <c r="C85" s="24" t="s">
        <v>53</v>
      </c>
      <c r="D85" s="23">
        <v>1</v>
      </c>
      <c r="E85" s="22">
        <v>1.3317352510320947E-4</v>
      </c>
    </row>
    <row r="86" spans="2:5" ht="15" customHeight="1">
      <c r="B86" s="83" t="s">
        <v>27</v>
      </c>
      <c r="C86" s="27" t="s">
        <v>0</v>
      </c>
      <c r="D86" s="26">
        <v>12</v>
      </c>
      <c r="E86" s="25">
        <v>1.5980823012385138E-3</v>
      </c>
    </row>
    <row r="87" spans="2:5" ht="15" customHeight="1">
      <c r="B87" s="84"/>
      <c r="C87" s="27" t="s">
        <v>115</v>
      </c>
      <c r="D87" s="26">
        <v>1</v>
      </c>
      <c r="E87" s="25">
        <v>1.3317352510320947E-4</v>
      </c>
    </row>
    <row r="88" spans="2:5" ht="15" customHeight="1">
      <c r="B88" s="84"/>
      <c r="C88" s="27" t="s">
        <v>119</v>
      </c>
      <c r="D88" s="26">
        <v>19</v>
      </c>
      <c r="E88" s="25">
        <v>2.53029697696098E-3</v>
      </c>
    </row>
    <row r="89" spans="2:5" ht="15" customHeight="1">
      <c r="B89" s="84"/>
      <c r="C89" s="27" t="s">
        <v>112</v>
      </c>
      <c r="D89" s="26">
        <v>1</v>
      </c>
      <c r="E89" s="25">
        <v>1.3317352510320947E-4</v>
      </c>
    </row>
    <row r="90" spans="2:5" ht="15" customHeight="1">
      <c r="B90" s="84"/>
      <c r="C90" s="27" t="s">
        <v>110</v>
      </c>
      <c r="D90" s="26">
        <v>2</v>
      </c>
      <c r="E90" s="25">
        <v>2.6634705020641894E-4</v>
      </c>
    </row>
    <row r="91" spans="2:5" ht="15" customHeight="1">
      <c r="B91" s="84"/>
      <c r="C91" s="27" t="s">
        <v>118</v>
      </c>
      <c r="D91" s="26">
        <v>3</v>
      </c>
      <c r="E91" s="25">
        <v>3.9952057530962844E-4</v>
      </c>
    </row>
    <row r="92" spans="2:5" ht="15" customHeight="1">
      <c r="B92" s="84"/>
      <c r="C92" s="27" t="s">
        <v>113</v>
      </c>
      <c r="D92" s="26">
        <v>1</v>
      </c>
      <c r="E92" s="25">
        <v>1.3317352510320947E-4</v>
      </c>
    </row>
    <row r="93" spans="2:5" ht="15" customHeight="1">
      <c r="B93" s="85"/>
      <c r="C93" s="24" t="s">
        <v>53</v>
      </c>
      <c r="D93" s="23">
        <v>39</v>
      </c>
      <c r="E93" s="22">
        <v>5.1937674790251695E-3</v>
      </c>
    </row>
    <row r="94" spans="2:5" ht="15" customHeight="1">
      <c r="B94" s="83" t="s">
        <v>7</v>
      </c>
      <c r="C94" s="27" t="s">
        <v>0</v>
      </c>
      <c r="D94" s="26">
        <v>432</v>
      </c>
      <c r="E94" s="25">
        <v>5.7530962844586496E-2</v>
      </c>
    </row>
    <row r="95" spans="2:5" ht="15" customHeight="1">
      <c r="B95" s="84"/>
      <c r="C95" s="27" t="s">
        <v>115</v>
      </c>
      <c r="D95" s="26">
        <v>60</v>
      </c>
      <c r="E95" s="25">
        <v>7.9904115061925681E-3</v>
      </c>
    </row>
    <row r="96" spans="2:5" ht="15" customHeight="1">
      <c r="B96" s="84"/>
      <c r="C96" s="27" t="s">
        <v>119</v>
      </c>
      <c r="D96" s="26">
        <v>216</v>
      </c>
      <c r="E96" s="25">
        <v>2.8765481422293248E-2</v>
      </c>
    </row>
    <row r="97" spans="2:5" ht="15" customHeight="1">
      <c r="B97" s="84"/>
      <c r="C97" s="27" t="s">
        <v>112</v>
      </c>
      <c r="D97" s="26">
        <v>4</v>
      </c>
      <c r="E97" s="25">
        <v>5.3269410041283788E-4</v>
      </c>
    </row>
    <row r="98" spans="2:5" ht="15" customHeight="1">
      <c r="B98" s="84"/>
      <c r="C98" s="27" t="s">
        <v>110</v>
      </c>
      <c r="D98" s="26">
        <v>6</v>
      </c>
      <c r="E98" s="25">
        <v>7.9904115061925688E-4</v>
      </c>
    </row>
    <row r="99" spans="2:5" ht="15" customHeight="1">
      <c r="B99" s="84"/>
      <c r="C99" s="27" t="s">
        <v>116</v>
      </c>
      <c r="D99" s="26">
        <v>46</v>
      </c>
      <c r="E99" s="25">
        <v>6.125982154747636E-3</v>
      </c>
    </row>
    <row r="100" spans="2:5" ht="15" customHeight="1">
      <c r="B100" s="84"/>
      <c r="C100" s="27" t="s">
        <v>117</v>
      </c>
      <c r="D100" s="26">
        <v>36</v>
      </c>
      <c r="E100" s="25">
        <v>4.794246903715541E-3</v>
      </c>
    </row>
    <row r="101" spans="2:5" ht="15" customHeight="1">
      <c r="B101" s="84"/>
      <c r="C101" s="27" t="s">
        <v>118</v>
      </c>
      <c r="D101" s="26">
        <v>17</v>
      </c>
      <c r="E101" s="25">
        <v>2.263949926754561E-3</v>
      </c>
    </row>
    <row r="102" spans="2:5" ht="15" customHeight="1">
      <c r="B102" s="84"/>
      <c r="C102" s="27" t="s">
        <v>113</v>
      </c>
      <c r="D102" s="26">
        <v>37</v>
      </c>
      <c r="E102" s="25">
        <v>4.9274204288187505E-3</v>
      </c>
    </row>
    <row r="103" spans="2:5" ht="15" customHeight="1">
      <c r="B103" s="84"/>
      <c r="C103" s="27" t="s">
        <v>111</v>
      </c>
      <c r="D103" s="26">
        <v>2</v>
      </c>
      <c r="E103" s="25">
        <v>2.6634705020641894E-4</v>
      </c>
    </row>
    <row r="104" spans="2:5" ht="15" customHeight="1">
      <c r="B104" s="84"/>
      <c r="C104" s="27" t="s">
        <v>114</v>
      </c>
      <c r="D104" s="26">
        <v>2</v>
      </c>
      <c r="E104" s="25">
        <v>2.6634705020641894E-4</v>
      </c>
    </row>
    <row r="105" spans="2:5" ht="15" customHeight="1">
      <c r="B105" s="85"/>
      <c r="C105" s="24" t="s">
        <v>53</v>
      </c>
      <c r="D105" s="23">
        <v>858</v>
      </c>
      <c r="E105" s="22">
        <v>0.11426288453855374</v>
      </c>
    </row>
    <row r="106" spans="2:5" ht="15" customHeight="1">
      <c r="B106" s="83" t="s">
        <v>10</v>
      </c>
      <c r="C106" s="27" t="s">
        <v>0</v>
      </c>
      <c r="D106" s="26">
        <v>331</v>
      </c>
      <c r="E106" s="25">
        <v>4.4080436809162342E-2</v>
      </c>
    </row>
    <row r="107" spans="2:5" ht="15" customHeight="1">
      <c r="B107" s="84"/>
      <c r="C107" s="27" t="s">
        <v>115</v>
      </c>
      <c r="D107" s="26">
        <v>15</v>
      </c>
      <c r="E107" s="25">
        <v>1.997602876548142E-3</v>
      </c>
    </row>
    <row r="108" spans="2:5" ht="15" customHeight="1">
      <c r="B108" s="84"/>
      <c r="C108" s="27" t="s">
        <v>119</v>
      </c>
      <c r="D108" s="26">
        <v>15</v>
      </c>
      <c r="E108" s="25">
        <v>1.997602876548142E-3</v>
      </c>
    </row>
    <row r="109" spans="2:5" ht="15" customHeight="1">
      <c r="B109" s="84"/>
      <c r="C109" s="27" t="s">
        <v>112</v>
      </c>
      <c r="D109" s="26">
        <v>1</v>
      </c>
      <c r="E109" s="25">
        <v>1.3317352510320947E-4</v>
      </c>
    </row>
    <row r="110" spans="2:5" ht="15" customHeight="1">
      <c r="B110" s="84"/>
      <c r="C110" s="27" t="s">
        <v>110</v>
      </c>
      <c r="D110" s="26">
        <v>21</v>
      </c>
      <c r="E110" s="25">
        <v>2.796644027167399E-3</v>
      </c>
    </row>
    <row r="111" spans="2:5" ht="15" customHeight="1">
      <c r="B111" s="84"/>
      <c r="C111" s="27" t="s">
        <v>116</v>
      </c>
      <c r="D111" s="26">
        <v>18</v>
      </c>
      <c r="E111" s="25">
        <v>2.3971234518577705E-3</v>
      </c>
    </row>
    <row r="112" spans="2:5" ht="15" customHeight="1">
      <c r="B112" s="84"/>
      <c r="C112" s="27" t="s">
        <v>117</v>
      </c>
      <c r="D112" s="26">
        <v>8</v>
      </c>
      <c r="E112" s="25">
        <v>1.0653882008256758E-3</v>
      </c>
    </row>
    <row r="113" spans="2:5" ht="15" customHeight="1">
      <c r="B113" s="84"/>
      <c r="C113" s="27" t="s">
        <v>118</v>
      </c>
      <c r="D113" s="26">
        <v>6</v>
      </c>
      <c r="E113" s="25">
        <v>7.9904115061925688E-4</v>
      </c>
    </row>
    <row r="114" spans="2:5" ht="15" customHeight="1">
      <c r="B114" s="84"/>
      <c r="C114" s="27" t="s">
        <v>113</v>
      </c>
      <c r="D114" s="26">
        <v>1</v>
      </c>
      <c r="E114" s="25">
        <v>1.3317352510320947E-4</v>
      </c>
    </row>
    <row r="115" spans="2:5" ht="15" customHeight="1">
      <c r="B115" s="84"/>
      <c r="C115" s="27" t="s">
        <v>114</v>
      </c>
      <c r="D115" s="26">
        <v>3</v>
      </c>
      <c r="E115" s="25">
        <v>3.9952057530962844E-4</v>
      </c>
    </row>
    <row r="116" spans="2:5" ht="15" customHeight="1">
      <c r="B116" s="85"/>
      <c r="C116" s="24" t="s">
        <v>53</v>
      </c>
      <c r="D116" s="23">
        <v>419</v>
      </c>
      <c r="E116" s="22">
        <v>5.5799707018244771E-2</v>
      </c>
    </row>
    <row r="117" spans="2:5" ht="15" customHeight="1">
      <c r="B117" s="83" t="s">
        <v>25</v>
      </c>
      <c r="C117" s="27" t="s">
        <v>0</v>
      </c>
      <c r="D117" s="26">
        <v>34</v>
      </c>
      <c r="E117" s="25">
        <v>4.527899853509122E-3</v>
      </c>
    </row>
    <row r="118" spans="2:5" ht="15" customHeight="1">
      <c r="B118" s="84"/>
      <c r="C118" s="27" t="s">
        <v>119</v>
      </c>
      <c r="D118" s="26">
        <v>4</v>
      </c>
      <c r="E118" s="25">
        <v>5.3269410041283788E-4</v>
      </c>
    </row>
    <row r="119" spans="2:5" ht="15" customHeight="1">
      <c r="B119" s="84"/>
      <c r="C119" s="27" t="s">
        <v>110</v>
      </c>
      <c r="D119" s="26">
        <v>1</v>
      </c>
      <c r="E119" s="25">
        <v>1.3317352510320947E-4</v>
      </c>
    </row>
    <row r="120" spans="2:5" ht="15" customHeight="1">
      <c r="B120" s="84"/>
      <c r="C120" s="27" t="s">
        <v>116</v>
      </c>
      <c r="D120" s="26">
        <v>10</v>
      </c>
      <c r="E120" s="25">
        <v>1.3317352510320948E-3</v>
      </c>
    </row>
    <row r="121" spans="2:5" ht="15" customHeight="1">
      <c r="B121" s="84"/>
      <c r="C121" s="27" t="s">
        <v>117</v>
      </c>
      <c r="D121" s="26">
        <v>4</v>
      </c>
      <c r="E121" s="25">
        <v>5.3269410041283788E-4</v>
      </c>
    </row>
    <row r="122" spans="2:5" ht="15" customHeight="1">
      <c r="B122" s="84"/>
      <c r="C122" s="27" t="s">
        <v>118</v>
      </c>
      <c r="D122" s="26">
        <v>2</v>
      </c>
      <c r="E122" s="25">
        <v>2.6634705020641894E-4</v>
      </c>
    </row>
    <row r="123" spans="2:5" ht="15" customHeight="1">
      <c r="B123" s="84"/>
      <c r="C123" s="27" t="s">
        <v>113</v>
      </c>
      <c r="D123" s="26">
        <v>5</v>
      </c>
      <c r="E123" s="25">
        <v>6.6586762551604738E-4</v>
      </c>
    </row>
    <row r="124" spans="2:5" ht="15" customHeight="1">
      <c r="B124" s="85"/>
      <c r="C124" s="24" t="s">
        <v>53</v>
      </c>
      <c r="D124" s="23">
        <v>60</v>
      </c>
      <c r="E124" s="22">
        <v>7.9904115061925681E-3</v>
      </c>
    </row>
    <row r="125" spans="2:5" ht="15" customHeight="1">
      <c r="B125" s="83" t="s">
        <v>17</v>
      </c>
      <c r="C125" s="27" t="s">
        <v>0</v>
      </c>
      <c r="D125" s="26">
        <v>57</v>
      </c>
      <c r="E125" s="25">
        <v>7.5908909308829405E-3</v>
      </c>
    </row>
    <row r="126" spans="2:5" ht="15" customHeight="1">
      <c r="B126" s="84"/>
      <c r="C126" s="27" t="s">
        <v>115</v>
      </c>
      <c r="D126" s="26">
        <v>1</v>
      </c>
      <c r="E126" s="25">
        <v>1.3317352510320947E-4</v>
      </c>
    </row>
    <row r="127" spans="2:5" ht="15" customHeight="1">
      <c r="B127" s="84"/>
      <c r="C127" s="27" t="s">
        <v>119</v>
      </c>
      <c r="D127" s="26">
        <v>23</v>
      </c>
      <c r="E127" s="25">
        <v>3.062991077373818E-3</v>
      </c>
    </row>
    <row r="128" spans="2:5" ht="15" customHeight="1">
      <c r="B128" s="84"/>
      <c r="C128" s="27" t="s">
        <v>112</v>
      </c>
      <c r="D128" s="26">
        <v>2</v>
      </c>
      <c r="E128" s="25">
        <v>2.6634705020641894E-4</v>
      </c>
    </row>
    <row r="129" spans="2:5" ht="15" customHeight="1">
      <c r="B129" s="84"/>
      <c r="C129" s="27" t="s">
        <v>116</v>
      </c>
      <c r="D129" s="26">
        <v>2</v>
      </c>
      <c r="E129" s="25">
        <v>2.6634705020641894E-4</v>
      </c>
    </row>
    <row r="130" spans="2:5" ht="15" customHeight="1">
      <c r="B130" s="84"/>
      <c r="C130" s="27" t="s">
        <v>117</v>
      </c>
      <c r="D130" s="26">
        <v>2</v>
      </c>
      <c r="E130" s="25">
        <v>2.6634705020641894E-4</v>
      </c>
    </row>
    <row r="131" spans="2:5" ht="15" customHeight="1">
      <c r="B131" s="84"/>
      <c r="C131" s="27" t="s">
        <v>118</v>
      </c>
      <c r="D131" s="26">
        <v>5</v>
      </c>
      <c r="E131" s="25">
        <v>6.6586762551604738E-4</v>
      </c>
    </row>
    <row r="132" spans="2:5" ht="15" customHeight="1">
      <c r="B132" s="85"/>
      <c r="C132" s="24" t="s">
        <v>53</v>
      </c>
      <c r="D132" s="23">
        <v>92</v>
      </c>
      <c r="E132" s="22">
        <v>1.2251964309495272E-2</v>
      </c>
    </row>
    <row r="133" spans="2:5" ht="15" customHeight="1">
      <c r="B133" s="83" t="s">
        <v>20</v>
      </c>
      <c r="C133" s="27" t="s">
        <v>0</v>
      </c>
      <c r="D133" s="26">
        <v>41</v>
      </c>
      <c r="E133" s="25">
        <v>5.4601145292315885E-3</v>
      </c>
    </row>
    <row r="134" spans="2:5" ht="15" customHeight="1">
      <c r="B134" s="84"/>
      <c r="C134" s="27" t="s">
        <v>115</v>
      </c>
      <c r="D134" s="26">
        <v>2</v>
      </c>
      <c r="E134" s="25">
        <v>2.6634705020641894E-4</v>
      </c>
    </row>
    <row r="135" spans="2:5" ht="15" customHeight="1">
      <c r="B135" s="84"/>
      <c r="C135" s="27" t="s">
        <v>119</v>
      </c>
      <c r="D135" s="26">
        <v>2</v>
      </c>
      <c r="E135" s="25">
        <v>2.6634705020641894E-4</v>
      </c>
    </row>
    <row r="136" spans="2:5" ht="15" customHeight="1">
      <c r="B136" s="84"/>
      <c r="C136" s="27" t="s">
        <v>117</v>
      </c>
      <c r="D136" s="26">
        <v>19</v>
      </c>
      <c r="E136" s="25">
        <v>2.53029697696098E-3</v>
      </c>
    </row>
    <row r="137" spans="2:5" ht="15" customHeight="1">
      <c r="B137" s="84"/>
      <c r="C137" s="27" t="s">
        <v>118</v>
      </c>
      <c r="D137" s="26">
        <v>10</v>
      </c>
      <c r="E137" s="25">
        <v>1.3317352510320948E-3</v>
      </c>
    </row>
    <row r="138" spans="2:5" ht="15" customHeight="1">
      <c r="B138" s="84"/>
      <c r="C138" s="27" t="s">
        <v>113</v>
      </c>
      <c r="D138" s="26">
        <v>11</v>
      </c>
      <c r="E138" s="25">
        <v>1.4649087761353043E-3</v>
      </c>
    </row>
    <row r="139" spans="2:5" ht="15" customHeight="1">
      <c r="B139" s="84"/>
      <c r="C139" s="27" t="s">
        <v>114</v>
      </c>
      <c r="D139" s="26">
        <v>1</v>
      </c>
      <c r="E139" s="25">
        <v>1.3317352510320947E-4</v>
      </c>
    </row>
    <row r="140" spans="2:5" ht="15" customHeight="1">
      <c r="B140" s="85"/>
      <c r="C140" s="24" t="s">
        <v>53</v>
      </c>
      <c r="D140" s="23">
        <v>86</v>
      </c>
      <c r="E140" s="22">
        <v>1.1452923158876015E-2</v>
      </c>
    </row>
    <row r="141" spans="2:5" ht="15" customHeight="1">
      <c r="B141" s="83" t="s">
        <v>30</v>
      </c>
      <c r="C141" s="27" t="s">
        <v>0</v>
      </c>
      <c r="D141" s="26">
        <v>18</v>
      </c>
      <c r="E141" s="25">
        <v>2.3971234518577705E-3</v>
      </c>
    </row>
    <row r="142" spans="2:5" ht="15" customHeight="1">
      <c r="B142" s="84"/>
      <c r="C142" s="27" t="s">
        <v>119</v>
      </c>
      <c r="D142" s="26">
        <v>3</v>
      </c>
      <c r="E142" s="25">
        <v>3.9952057530962844E-4</v>
      </c>
    </row>
    <row r="143" spans="2:5" ht="15" customHeight="1">
      <c r="B143" s="84"/>
      <c r="C143" s="27" t="s">
        <v>110</v>
      </c>
      <c r="D143" s="26">
        <v>1</v>
      </c>
      <c r="E143" s="25">
        <v>1.3317352510320947E-4</v>
      </c>
    </row>
    <row r="144" spans="2:5" ht="15" customHeight="1">
      <c r="B144" s="84"/>
      <c r="C144" s="27" t="s">
        <v>117</v>
      </c>
      <c r="D144" s="26">
        <v>2</v>
      </c>
      <c r="E144" s="25">
        <v>2.6634705020641894E-4</v>
      </c>
    </row>
    <row r="145" spans="2:5" ht="15" customHeight="1">
      <c r="B145" s="84"/>
      <c r="C145" s="27" t="s">
        <v>118</v>
      </c>
      <c r="D145" s="26">
        <v>6</v>
      </c>
      <c r="E145" s="25">
        <v>7.9904115061925688E-4</v>
      </c>
    </row>
    <row r="146" spans="2:5" ht="15" customHeight="1">
      <c r="B146" s="84"/>
      <c r="C146" s="27" t="s">
        <v>114</v>
      </c>
      <c r="D146" s="26">
        <v>1</v>
      </c>
      <c r="E146" s="25">
        <v>1.3317352510320947E-4</v>
      </c>
    </row>
    <row r="147" spans="2:5" ht="15" customHeight="1">
      <c r="B147" s="85"/>
      <c r="C147" s="24" t="s">
        <v>53</v>
      </c>
      <c r="D147" s="23">
        <v>31</v>
      </c>
      <c r="E147" s="22">
        <v>4.1283792781994936E-3</v>
      </c>
    </row>
    <row r="148" spans="2:5" ht="15" customHeight="1">
      <c r="B148" s="83" t="s">
        <v>40</v>
      </c>
      <c r="C148" s="27" t="s">
        <v>0</v>
      </c>
      <c r="D148" s="26">
        <v>7</v>
      </c>
      <c r="E148" s="25">
        <v>9.3221467572246637E-4</v>
      </c>
    </row>
    <row r="149" spans="2:5" ht="15" customHeight="1">
      <c r="B149" s="84"/>
      <c r="C149" s="27" t="s">
        <v>117</v>
      </c>
      <c r="D149" s="26">
        <v>1</v>
      </c>
      <c r="E149" s="25">
        <v>1.3317352510320947E-4</v>
      </c>
    </row>
    <row r="150" spans="2:5" ht="15" customHeight="1">
      <c r="B150" s="84"/>
      <c r="C150" s="27" t="s">
        <v>118</v>
      </c>
      <c r="D150" s="26">
        <v>1</v>
      </c>
      <c r="E150" s="25">
        <v>1.3317352510320947E-4</v>
      </c>
    </row>
    <row r="151" spans="2:5" ht="15" customHeight="1">
      <c r="B151" s="85"/>
      <c r="C151" s="24" t="s">
        <v>53</v>
      </c>
      <c r="D151" s="23">
        <v>9</v>
      </c>
      <c r="E151" s="22">
        <v>1.1985617259288853E-3</v>
      </c>
    </row>
    <row r="152" spans="2:5" ht="15" customHeight="1">
      <c r="B152" s="83" t="s">
        <v>44</v>
      </c>
      <c r="C152" s="27" t="s">
        <v>0</v>
      </c>
      <c r="D152" s="26">
        <v>3</v>
      </c>
      <c r="E152" s="25">
        <v>3.9952057530962844E-4</v>
      </c>
    </row>
    <row r="153" spans="2:5" ht="15" customHeight="1">
      <c r="B153" s="85"/>
      <c r="C153" s="24" t="s">
        <v>53</v>
      </c>
      <c r="D153" s="23">
        <v>3</v>
      </c>
      <c r="E153" s="22">
        <v>3.9952057530962844E-4</v>
      </c>
    </row>
    <row r="154" spans="2:5" ht="15" customHeight="1">
      <c r="B154" s="83" t="s">
        <v>29</v>
      </c>
      <c r="C154" s="27" t="s">
        <v>0</v>
      </c>
      <c r="D154" s="26">
        <v>27</v>
      </c>
      <c r="E154" s="25">
        <v>3.595685177786656E-3</v>
      </c>
    </row>
    <row r="155" spans="2:5" ht="15" customHeight="1">
      <c r="B155" s="84"/>
      <c r="C155" s="27" t="s">
        <v>116</v>
      </c>
      <c r="D155" s="26">
        <v>2</v>
      </c>
      <c r="E155" s="25">
        <v>2.6634705020641894E-4</v>
      </c>
    </row>
    <row r="156" spans="2:5" ht="15" customHeight="1">
      <c r="B156" s="84"/>
      <c r="C156" s="27" t="s">
        <v>118</v>
      </c>
      <c r="D156" s="26">
        <v>3</v>
      </c>
      <c r="E156" s="25">
        <v>3.9952057530962844E-4</v>
      </c>
    </row>
    <row r="157" spans="2:5" ht="15" customHeight="1">
      <c r="B157" s="84"/>
      <c r="C157" s="27" t="s">
        <v>113</v>
      </c>
      <c r="D157" s="26">
        <v>1</v>
      </c>
      <c r="E157" s="25">
        <v>1.3317352510320947E-4</v>
      </c>
    </row>
    <row r="158" spans="2:5" ht="15" customHeight="1">
      <c r="B158" s="85"/>
      <c r="C158" s="24" t="s">
        <v>53</v>
      </c>
      <c r="D158" s="23">
        <v>33</v>
      </c>
      <c r="E158" s="22">
        <v>4.3947263284059125E-3</v>
      </c>
    </row>
    <row r="159" spans="2:5" ht="15" customHeight="1">
      <c r="B159" s="83" t="s">
        <v>31</v>
      </c>
      <c r="C159" s="27" t="s">
        <v>0</v>
      </c>
      <c r="D159" s="26">
        <v>19</v>
      </c>
      <c r="E159" s="25">
        <v>2.53029697696098E-3</v>
      </c>
    </row>
    <row r="160" spans="2:5" ht="15" customHeight="1">
      <c r="B160" s="84"/>
      <c r="C160" s="27" t="s">
        <v>115</v>
      </c>
      <c r="D160" s="26">
        <v>1</v>
      </c>
      <c r="E160" s="25">
        <v>1.3317352510320947E-4</v>
      </c>
    </row>
    <row r="161" spans="2:5" ht="15" customHeight="1">
      <c r="B161" s="84"/>
      <c r="C161" s="27" t="s">
        <v>119</v>
      </c>
      <c r="D161" s="26">
        <v>3</v>
      </c>
      <c r="E161" s="25">
        <v>3.9952057530962844E-4</v>
      </c>
    </row>
    <row r="162" spans="2:5" ht="15" customHeight="1">
      <c r="B162" s="84"/>
      <c r="C162" s="27" t="s">
        <v>116</v>
      </c>
      <c r="D162" s="26">
        <v>6</v>
      </c>
      <c r="E162" s="25">
        <v>7.9904115061925688E-4</v>
      </c>
    </row>
    <row r="163" spans="2:5" ht="15" customHeight="1">
      <c r="B163" s="84"/>
      <c r="C163" s="27" t="s">
        <v>113</v>
      </c>
      <c r="D163" s="26">
        <v>1</v>
      </c>
      <c r="E163" s="25">
        <v>1.3317352510320947E-4</v>
      </c>
    </row>
    <row r="164" spans="2:5" ht="15" customHeight="1">
      <c r="B164" s="85"/>
      <c r="C164" s="24" t="s">
        <v>53</v>
      </c>
      <c r="D164" s="23">
        <v>30</v>
      </c>
      <c r="E164" s="22">
        <v>3.9952057530962841E-3</v>
      </c>
    </row>
    <row r="165" spans="2:5" ht="15" customHeight="1">
      <c r="B165" s="83" t="s">
        <v>37</v>
      </c>
      <c r="C165" s="27" t="s">
        <v>0</v>
      </c>
      <c r="D165" s="26">
        <v>10</v>
      </c>
      <c r="E165" s="25">
        <v>1.3317352510320948E-3</v>
      </c>
    </row>
    <row r="166" spans="2:5" ht="15" customHeight="1">
      <c r="B166" s="84"/>
      <c r="C166" s="27" t="s">
        <v>119</v>
      </c>
      <c r="D166" s="26">
        <v>2</v>
      </c>
      <c r="E166" s="25">
        <v>2.6634705020641894E-4</v>
      </c>
    </row>
    <row r="167" spans="2:5" ht="15" customHeight="1">
      <c r="B167" s="84"/>
      <c r="C167" s="27" t="s">
        <v>110</v>
      </c>
      <c r="D167" s="26">
        <v>1</v>
      </c>
      <c r="E167" s="25">
        <v>1.3317352510320947E-4</v>
      </c>
    </row>
    <row r="168" spans="2:5" ht="15" customHeight="1">
      <c r="B168" s="84"/>
      <c r="C168" s="27" t="s">
        <v>117</v>
      </c>
      <c r="D168" s="26">
        <v>2</v>
      </c>
      <c r="E168" s="25">
        <v>2.6634705020641894E-4</v>
      </c>
    </row>
    <row r="169" spans="2:5" ht="15" customHeight="1">
      <c r="B169" s="84"/>
      <c r="C169" s="27" t="s">
        <v>118</v>
      </c>
      <c r="D169" s="26">
        <v>2</v>
      </c>
      <c r="E169" s="25">
        <v>2.6634705020641894E-4</v>
      </c>
    </row>
    <row r="170" spans="2:5" ht="15" customHeight="1">
      <c r="B170" s="85"/>
      <c r="C170" s="24" t="s">
        <v>53</v>
      </c>
      <c r="D170" s="23">
        <v>17</v>
      </c>
      <c r="E170" s="22">
        <v>2.263949926754561E-3</v>
      </c>
    </row>
    <row r="171" spans="2:5" ht="15" customHeight="1">
      <c r="B171" s="83" t="s">
        <v>26</v>
      </c>
      <c r="C171" s="27" t="s">
        <v>0</v>
      </c>
      <c r="D171" s="26">
        <v>24</v>
      </c>
      <c r="E171" s="25">
        <v>3.1961646024770275E-3</v>
      </c>
    </row>
    <row r="172" spans="2:5" ht="15" customHeight="1">
      <c r="B172" s="84"/>
      <c r="C172" s="27" t="s">
        <v>119</v>
      </c>
      <c r="D172" s="26">
        <v>2</v>
      </c>
      <c r="E172" s="25">
        <v>2.6634705020641894E-4</v>
      </c>
    </row>
    <row r="173" spans="2:5" ht="15" customHeight="1">
      <c r="B173" s="84"/>
      <c r="C173" s="27" t="s">
        <v>112</v>
      </c>
      <c r="D173" s="26">
        <v>2</v>
      </c>
      <c r="E173" s="25">
        <v>2.6634705020641894E-4</v>
      </c>
    </row>
    <row r="174" spans="2:5" ht="15" customHeight="1">
      <c r="B174" s="84"/>
      <c r="C174" s="27" t="s">
        <v>116</v>
      </c>
      <c r="D174" s="26">
        <v>2</v>
      </c>
      <c r="E174" s="25">
        <v>2.6634705020641894E-4</v>
      </c>
    </row>
    <row r="175" spans="2:5" ht="15" customHeight="1">
      <c r="B175" s="84"/>
      <c r="C175" s="27" t="s">
        <v>117</v>
      </c>
      <c r="D175" s="26">
        <v>4</v>
      </c>
      <c r="E175" s="25">
        <v>5.3269410041283788E-4</v>
      </c>
    </row>
    <row r="176" spans="2:5" ht="15" customHeight="1">
      <c r="B176" s="84"/>
      <c r="C176" s="27" t="s">
        <v>118</v>
      </c>
      <c r="D176" s="26">
        <v>12</v>
      </c>
      <c r="E176" s="25">
        <v>1.5980823012385138E-3</v>
      </c>
    </row>
    <row r="177" spans="2:5" ht="15" customHeight="1">
      <c r="B177" s="85"/>
      <c r="C177" s="24" t="s">
        <v>53</v>
      </c>
      <c r="D177" s="23">
        <v>46</v>
      </c>
      <c r="E177" s="22">
        <v>6.125982154747636E-3</v>
      </c>
    </row>
    <row r="178" spans="2:5" ht="15" customHeight="1">
      <c r="B178" s="83" t="s">
        <v>45</v>
      </c>
      <c r="C178" s="27" t="s">
        <v>0</v>
      </c>
      <c r="D178" s="26">
        <v>1</v>
      </c>
      <c r="E178" s="25">
        <v>1.3317352510320947E-4</v>
      </c>
    </row>
    <row r="179" spans="2:5" ht="15" customHeight="1">
      <c r="B179" s="84"/>
      <c r="C179" s="27" t="s">
        <v>119</v>
      </c>
      <c r="D179" s="26">
        <v>1</v>
      </c>
      <c r="E179" s="25">
        <v>1.3317352510320947E-4</v>
      </c>
    </row>
    <row r="180" spans="2:5" ht="15" customHeight="1">
      <c r="B180" s="85"/>
      <c r="C180" s="24" t="s">
        <v>53</v>
      </c>
      <c r="D180" s="23">
        <v>2</v>
      </c>
      <c r="E180" s="22">
        <v>2.6634705020641894E-4</v>
      </c>
    </row>
    <row r="181" spans="2:5" ht="15" customHeight="1">
      <c r="B181" s="83" t="s">
        <v>24</v>
      </c>
      <c r="C181" s="27" t="s">
        <v>0</v>
      </c>
      <c r="D181" s="26">
        <v>24</v>
      </c>
      <c r="E181" s="25">
        <v>3.1961646024770275E-3</v>
      </c>
    </row>
    <row r="182" spans="2:5" ht="15" customHeight="1">
      <c r="B182" s="84"/>
      <c r="C182" s="27" t="s">
        <v>110</v>
      </c>
      <c r="D182" s="26">
        <v>1</v>
      </c>
      <c r="E182" s="25">
        <v>1.3317352510320947E-4</v>
      </c>
    </row>
    <row r="183" spans="2:5" ht="15" customHeight="1">
      <c r="B183" s="84"/>
      <c r="C183" s="27" t="s">
        <v>116</v>
      </c>
      <c r="D183" s="26">
        <v>1</v>
      </c>
      <c r="E183" s="25">
        <v>1.3317352510320947E-4</v>
      </c>
    </row>
    <row r="184" spans="2:5" ht="15" customHeight="1">
      <c r="B184" s="84"/>
      <c r="C184" s="27" t="s">
        <v>117</v>
      </c>
      <c r="D184" s="26">
        <v>5</v>
      </c>
      <c r="E184" s="25">
        <v>6.6586762551604738E-4</v>
      </c>
    </row>
    <row r="185" spans="2:5" ht="15" customHeight="1">
      <c r="B185" s="84"/>
      <c r="C185" s="27" t="s">
        <v>118</v>
      </c>
      <c r="D185" s="26">
        <v>30</v>
      </c>
      <c r="E185" s="25">
        <v>3.9952057530962841E-3</v>
      </c>
    </row>
    <row r="186" spans="2:5" ht="15" customHeight="1">
      <c r="B186" s="85"/>
      <c r="C186" s="24" t="s">
        <v>53</v>
      </c>
      <c r="D186" s="23">
        <v>61</v>
      </c>
      <c r="E186" s="22">
        <v>8.1235850312957776E-3</v>
      </c>
    </row>
    <row r="187" spans="2:5" ht="15" customHeight="1">
      <c r="B187" s="83" t="s">
        <v>12</v>
      </c>
      <c r="C187" s="27" t="s">
        <v>0</v>
      </c>
      <c r="D187" s="26">
        <v>84</v>
      </c>
      <c r="E187" s="25">
        <v>1.1186576108669596E-2</v>
      </c>
    </row>
    <row r="188" spans="2:5" ht="15" customHeight="1">
      <c r="B188" s="84"/>
      <c r="C188" s="27" t="s">
        <v>115</v>
      </c>
      <c r="D188" s="26">
        <v>1</v>
      </c>
      <c r="E188" s="25">
        <v>1.3317352510320947E-4</v>
      </c>
    </row>
    <row r="189" spans="2:5" ht="15" customHeight="1">
      <c r="B189" s="84"/>
      <c r="C189" s="27" t="s">
        <v>119</v>
      </c>
      <c r="D189" s="26">
        <v>11</v>
      </c>
      <c r="E189" s="25">
        <v>1.4649087761353043E-3</v>
      </c>
    </row>
    <row r="190" spans="2:5" ht="15" customHeight="1">
      <c r="B190" s="84"/>
      <c r="C190" s="27" t="s">
        <v>112</v>
      </c>
      <c r="D190" s="26">
        <v>17</v>
      </c>
      <c r="E190" s="25">
        <v>2.263949926754561E-3</v>
      </c>
    </row>
    <row r="191" spans="2:5" ht="15" customHeight="1">
      <c r="B191" s="84"/>
      <c r="C191" s="27" t="s">
        <v>110</v>
      </c>
      <c r="D191" s="26">
        <v>1</v>
      </c>
      <c r="E191" s="25">
        <v>1.3317352510320947E-4</v>
      </c>
    </row>
    <row r="192" spans="2:5" ht="15" customHeight="1">
      <c r="B192" s="84"/>
      <c r="C192" s="27" t="s">
        <v>116</v>
      </c>
      <c r="D192" s="26">
        <v>5</v>
      </c>
      <c r="E192" s="25">
        <v>6.6586762551604738E-4</v>
      </c>
    </row>
    <row r="193" spans="2:5" ht="15" customHeight="1">
      <c r="B193" s="84"/>
      <c r="C193" s="27" t="s">
        <v>117</v>
      </c>
      <c r="D193" s="26">
        <v>6</v>
      </c>
      <c r="E193" s="25">
        <v>7.9904115061925688E-4</v>
      </c>
    </row>
    <row r="194" spans="2:5" ht="15" customHeight="1">
      <c r="B194" s="84"/>
      <c r="C194" s="27" t="s">
        <v>118</v>
      </c>
      <c r="D194" s="26">
        <v>32</v>
      </c>
      <c r="E194" s="25">
        <v>4.2615528033027031E-3</v>
      </c>
    </row>
    <row r="195" spans="2:5" ht="15" customHeight="1">
      <c r="B195" s="84"/>
      <c r="C195" s="27" t="s">
        <v>113</v>
      </c>
      <c r="D195" s="26">
        <v>1</v>
      </c>
      <c r="E195" s="25">
        <v>1.3317352510320947E-4</v>
      </c>
    </row>
    <row r="196" spans="2:5" ht="15" customHeight="1">
      <c r="B196" s="84"/>
      <c r="C196" s="27" t="s">
        <v>111</v>
      </c>
      <c r="D196" s="26">
        <v>1</v>
      </c>
      <c r="E196" s="25">
        <v>1.3317352510320947E-4</v>
      </c>
    </row>
    <row r="197" spans="2:5" ht="15" customHeight="1">
      <c r="B197" s="84"/>
      <c r="C197" s="27" t="s">
        <v>114</v>
      </c>
      <c r="D197" s="26">
        <v>2</v>
      </c>
      <c r="E197" s="25">
        <v>2.6634705020641894E-4</v>
      </c>
    </row>
    <row r="198" spans="2:5" ht="15" customHeight="1">
      <c r="B198" s="85"/>
      <c r="C198" s="24" t="s">
        <v>53</v>
      </c>
      <c r="D198" s="23">
        <v>161</v>
      </c>
      <c r="E198" s="22">
        <v>2.1440937541616727E-2</v>
      </c>
    </row>
    <row r="199" spans="2:5" ht="15" customHeight="1">
      <c r="B199" s="83" t="s">
        <v>46</v>
      </c>
      <c r="C199" s="27" t="s">
        <v>0</v>
      </c>
      <c r="D199" s="26">
        <v>2</v>
      </c>
      <c r="E199" s="25">
        <v>2.6634705020641894E-4</v>
      </c>
    </row>
    <row r="200" spans="2:5" ht="15" customHeight="1">
      <c r="B200" s="85"/>
      <c r="C200" s="24" t="s">
        <v>53</v>
      </c>
      <c r="D200" s="23">
        <v>2</v>
      </c>
      <c r="E200" s="22">
        <v>2.6634705020641894E-4</v>
      </c>
    </row>
    <row r="201" spans="2:5" ht="15" customHeight="1">
      <c r="B201" s="83" t="s">
        <v>41</v>
      </c>
      <c r="C201" s="27" t="s">
        <v>0</v>
      </c>
      <c r="D201" s="26">
        <v>5</v>
      </c>
      <c r="E201" s="25">
        <v>6.6586762551604738E-4</v>
      </c>
    </row>
    <row r="202" spans="2:5" ht="15" customHeight="1">
      <c r="B202" s="84"/>
      <c r="C202" s="27" t="s">
        <v>117</v>
      </c>
      <c r="D202" s="26">
        <v>1</v>
      </c>
      <c r="E202" s="25">
        <v>1.3317352510320947E-4</v>
      </c>
    </row>
    <row r="203" spans="2:5" ht="15" customHeight="1">
      <c r="B203" s="84"/>
      <c r="C203" s="27" t="s">
        <v>118</v>
      </c>
      <c r="D203" s="26">
        <v>2</v>
      </c>
      <c r="E203" s="25">
        <v>2.6634705020641894E-4</v>
      </c>
    </row>
    <row r="204" spans="2:5" ht="15" customHeight="1">
      <c r="B204" s="85"/>
      <c r="C204" s="24" t="s">
        <v>53</v>
      </c>
      <c r="D204" s="23">
        <v>8</v>
      </c>
      <c r="E204" s="22">
        <v>1.0653882008256758E-3</v>
      </c>
    </row>
    <row r="205" spans="2:5" ht="15" customHeight="1">
      <c r="B205" s="83" t="s">
        <v>19</v>
      </c>
      <c r="C205" s="27" t="s">
        <v>0</v>
      </c>
      <c r="D205" s="26">
        <v>51</v>
      </c>
      <c r="E205" s="25">
        <v>6.7918497802636835E-3</v>
      </c>
    </row>
    <row r="206" spans="2:5" ht="15" customHeight="1">
      <c r="B206" s="84"/>
      <c r="C206" s="27" t="s">
        <v>115</v>
      </c>
      <c r="D206" s="26">
        <v>3</v>
      </c>
      <c r="E206" s="25">
        <v>3.9952057530962844E-4</v>
      </c>
    </row>
    <row r="207" spans="2:5" ht="15" customHeight="1">
      <c r="B207" s="84"/>
      <c r="C207" s="27" t="s">
        <v>119</v>
      </c>
      <c r="D207" s="26">
        <v>4</v>
      </c>
      <c r="E207" s="25">
        <v>5.3269410041283788E-4</v>
      </c>
    </row>
    <row r="208" spans="2:5" ht="15" customHeight="1">
      <c r="B208" s="84"/>
      <c r="C208" s="27" t="s">
        <v>112</v>
      </c>
      <c r="D208" s="26">
        <v>5</v>
      </c>
      <c r="E208" s="25">
        <v>6.6586762551604738E-4</v>
      </c>
    </row>
    <row r="209" spans="2:5" ht="15" customHeight="1">
      <c r="B209" s="84"/>
      <c r="C209" s="27" t="s">
        <v>110</v>
      </c>
      <c r="D209" s="26">
        <v>1</v>
      </c>
      <c r="E209" s="25">
        <v>1.3317352510320947E-4</v>
      </c>
    </row>
    <row r="210" spans="2:5" ht="15" customHeight="1">
      <c r="B210" s="84"/>
      <c r="C210" s="27" t="s">
        <v>116</v>
      </c>
      <c r="D210" s="26">
        <v>12</v>
      </c>
      <c r="E210" s="25">
        <v>1.5980823012385138E-3</v>
      </c>
    </row>
    <row r="211" spans="2:5" ht="15" customHeight="1">
      <c r="B211" s="84"/>
      <c r="C211" s="27" t="s">
        <v>117</v>
      </c>
      <c r="D211" s="26">
        <v>2</v>
      </c>
      <c r="E211" s="25">
        <v>2.6634705020641894E-4</v>
      </c>
    </row>
    <row r="212" spans="2:5" ht="15" customHeight="1">
      <c r="B212" s="84"/>
      <c r="C212" s="27" t="s">
        <v>118</v>
      </c>
      <c r="D212" s="26">
        <v>10</v>
      </c>
      <c r="E212" s="25">
        <v>1.3317352510320948E-3</v>
      </c>
    </row>
    <row r="213" spans="2:5" ht="15" customHeight="1">
      <c r="B213" s="84"/>
      <c r="C213" s="27" t="s">
        <v>113</v>
      </c>
      <c r="D213" s="26">
        <v>1</v>
      </c>
      <c r="E213" s="25">
        <v>1.3317352510320947E-4</v>
      </c>
    </row>
    <row r="214" spans="2:5" ht="15" customHeight="1">
      <c r="B214" s="85"/>
      <c r="C214" s="24" t="s">
        <v>53</v>
      </c>
      <c r="D214" s="23">
        <v>89</v>
      </c>
      <c r="E214" s="22">
        <v>1.1852443734185644E-2</v>
      </c>
    </row>
    <row r="215" spans="2:5" ht="15" customHeight="1">
      <c r="B215" s="83" t="s">
        <v>34</v>
      </c>
      <c r="C215" s="27" t="s">
        <v>0</v>
      </c>
      <c r="D215" s="26">
        <v>12</v>
      </c>
      <c r="E215" s="25">
        <v>1.5980823012385138E-3</v>
      </c>
    </row>
    <row r="216" spans="2:5" ht="15" customHeight="1">
      <c r="B216" s="84"/>
      <c r="C216" s="27" t="s">
        <v>115</v>
      </c>
      <c r="D216" s="26">
        <v>4</v>
      </c>
      <c r="E216" s="25">
        <v>5.3269410041283788E-4</v>
      </c>
    </row>
    <row r="217" spans="2:5" ht="15" customHeight="1">
      <c r="B217" s="84"/>
      <c r="C217" s="27" t="s">
        <v>119</v>
      </c>
      <c r="D217" s="26">
        <v>2</v>
      </c>
      <c r="E217" s="25">
        <v>2.6634705020641894E-4</v>
      </c>
    </row>
    <row r="218" spans="2:5" ht="15" customHeight="1">
      <c r="B218" s="84"/>
      <c r="C218" s="27" t="s">
        <v>116</v>
      </c>
      <c r="D218" s="26">
        <v>1</v>
      </c>
      <c r="E218" s="25">
        <v>1.3317352510320947E-4</v>
      </c>
    </row>
    <row r="219" spans="2:5" ht="15" customHeight="1">
      <c r="B219" s="84"/>
      <c r="C219" s="27" t="s">
        <v>117</v>
      </c>
      <c r="D219" s="26">
        <v>2</v>
      </c>
      <c r="E219" s="25">
        <v>2.6634705020641894E-4</v>
      </c>
    </row>
    <row r="220" spans="2:5" ht="15" customHeight="1">
      <c r="B220" s="84"/>
      <c r="C220" s="27" t="s">
        <v>113</v>
      </c>
      <c r="D220" s="26">
        <v>1</v>
      </c>
      <c r="E220" s="25">
        <v>1.3317352510320947E-4</v>
      </c>
    </row>
    <row r="221" spans="2:5" ht="15" customHeight="1">
      <c r="B221" s="85"/>
      <c r="C221" s="24" t="s">
        <v>53</v>
      </c>
      <c r="D221" s="23">
        <v>22</v>
      </c>
      <c r="E221" s="22">
        <v>2.9298175522706085E-3</v>
      </c>
    </row>
    <row r="222" spans="2:5" ht="15" customHeight="1">
      <c r="B222" s="83" t="s">
        <v>16</v>
      </c>
      <c r="C222" s="27" t="s">
        <v>0</v>
      </c>
      <c r="D222" s="26">
        <v>61</v>
      </c>
      <c r="E222" s="25">
        <v>8.1235850312957776E-3</v>
      </c>
    </row>
    <row r="223" spans="2:5" ht="15" customHeight="1">
      <c r="B223" s="84"/>
      <c r="C223" s="27" t="s">
        <v>115</v>
      </c>
      <c r="D223" s="26">
        <v>16</v>
      </c>
      <c r="E223" s="25">
        <v>2.1307764016513515E-3</v>
      </c>
    </row>
    <row r="224" spans="2:5" ht="15" customHeight="1">
      <c r="B224" s="84"/>
      <c r="C224" s="27" t="s">
        <v>119</v>
      </c>
      <c r="D224" s="26">
        <v>18</v>
      </c>
      <c r="E224" s="25">
        <v>2.3971234518577705E-3</v>
      </c>
    </row>
    <row r="225" spans="2:5" ht="15" customHeight="1">
      <c r="B225" s="84"/>
      <c r="C225" s="27" t="s">
        <v>110</v>
      </c>
      <c r="D225" s="26">
        <v>1</v>
      </c>
      <c r="E225" s="25">
        <v>1.3317352510320947E-4</v>
      </c>
    </row>
    <row r="226" spans="2:5" ht="15" customHeight="1">
      <c r="B226" s="84"/>
      <c r="C226" s="27" t="s">
        <v>116</v>
      </c>
      <c r="D226" s="26">
        <v>2</v>
      </c>
      <c r="E226" s="25">
        <v>2.6634705020641894E-4</v>
      </c>
    </row>
    <row r="227" spans="2:5" ht="15" customHeight="1">
      <c r="B227" s="84"/>
      <c r="C227" s="27" t="s">
        <v>117</v>
      </c>
      <c r="D227" s="26">
        <v>3</v>
      </c>
      <c r="E227" s="25">
        <v>3.9952057530962844E-4</v>
      </c>
    </row>
    <row r="228" spans="2:5" ht="15" customHeight="1">
      <c r="B228" s="84"/>
      <c r="C228" s="27" t="s">
        <v>118</v>
      </c>
      <c r="D228" s="26">
        <v>12</v>
      </c>
      <c r="E228" s="25">
        <v>1.5980823012385138E-3</v>
      </c>
    </row>
    <row r="229" spans="2:5" ht="15" customHeight="1">
      <c r="B229" s="85"/>
      <c r="C229" s="24" t="s">
        <v>53</v>
      </c>
      <c r="D229" s="23">
        <v>113</v>
      </c>
      <c r="E229" s="22">
        <v>1.5048608336662671E-2</v>
      </c>
    </row>
    <row r="230" spans="2:5" ht="15" customHeight="1">
      <c r="B230" s="83" t="s">
        <v>47</v>
      </c>
      <c r="C230" s="27" t="s">
        <v>0</v>
      </c>
      <c r="D230" s="26">
        <v>1</v>
      </c>
      <c r="E230" s="25">
        <v>1.3317352510320947E-4</v>
      </c>
    </row>
    <row r="231" spans="2:5" ht="15" customHeight="1">
      <c r="B231" s="84"/>
      <c r="C231" s="27" t="s">
        <v>119</v>
      </c>
      <c r="D231" s="26">
        <v>1</v>
      </c>
      <c r="E231" s="25">
        <v>1.3317352510320947E-4</v>
      </c>
    </row>
    <row r="232" spans="2:5" ht="15" customHeight="1">
      <c r="B232" s="85"/>
      <c r="C232" s="24" t="s">
        <v>53</v>
      </c>
      <c r="D232" s="23">
        <v>2</v>
      </c>
      <c r="E232" s="22">
        <v>2.6634705020641894E-4</v>
      </c>
    </row>
    <row r="233" spans="2:5" ht="15" customHeight="1">
      <c r="B233" s="83" t="s">
        <v>35</v>
      </c>
      <c r="C233" s="27" t="s">
        <v>0</v>
      </c>
      <c r="D233" s="26">
        <v>12</v>
      </c>
      <c r="E233" s="25">
        <v>1.5980823012385138E-3</v>
      </c>
    </row>
    <row r="234" spans="2:5" ht="15" customHeight="1">
      <c r="B234" s="84"/>
      <c r="C234" s="27" t="s">
        <v>119</v>
      </c>
      <c r="D234" s="26">
        <v>4</v>
      </c>
      <c r="E234" s="25">
        <v>5.3269410041283788E-4</v>
      </c>
    </row>
    <row r="235" spans="2:5" ht="15" customHeight="1">
      <c r="B235" s="84"/>
      <c r="C235" s="27" t="s">
        <v>116</v>
      </c>
      <c r="D235" s="26">
        <v>1</v>
      </c>
      <c r="E235" s="25">
        <v>1.3317352510320947E-4</v>
      </c>
    </row>
    <row r="236" spans="2:5" ht="15" customHeight="1">
      <c r="B236" s="84"/>
      <c r="C236" s="27" t="s">
        <v>117</v>
      </c>
      <c r="D236" s="26">
        <v>1</v>
      </c>
      <c r="E236" s="25">
        <v>1.3317352510320947E-4</v>
      </c>
    </row>
    <row r="237" spans="2:5" ht="15" customHeight="1">
      <c r="B237" s="84"/>
      <c r="C237" s="27" t="s">
        <v>118</v>
      </c>
      <c r="D237" s="26">
        <v>3</v>
      </c>
      <c r="E237" s="25">
        <v>3.9952057530962844E-4</v>
      </c>
    </row>
    <row r="238" spans="2:5" ht="15" customHeight="1">
      <c r="B238" s="85"/>
      <c r="C238" s="24" t="s">
        <v>53</v>
      </c>
      <c r="D238" s="23">
        <v>21</v>
      </c>
      <c r="E238" s="22">
        <v>2.796644027167399E-3</v>
      </c>
    </row>
    <row r="239" spans="2:5" ht="15" customHeight="1">
      <c r="B239" s="83" t="s">
        <v>8</v>
      </c>
      <c r="C239" s="27" t="s">
        <v>0</v>
      </c>
      <c r="D239" s="26">
        <v>219</v>
      </c>
      <c r="E239" s="25">
        <v>2.9165001997602878E-2</v>
      </c>
    </row>
    <row r="240" spans="2:5" ht="15" customHeight="1">
      <c r="B240" s="84"/>
      <c r="C240" s="27" t="s">
        <v>115</v>
      </c>
      <c r="D240" s="26">
        <v>14</v>
      </c>
      <c r="E240" s="25">
        <v>1.8644293514449327E-3</v>
      </c>
    </row>
    <row r="241" spans="2:5" ht="15" customHeight="1">
      <c r="B241" s="84"/>
      <c r="C241" s="27" t="s">
        <v>119</v>
      </c>
      <c r="D241" s="26">
        <v>273</v>
      </c>
      <c r="E241" s="25">
        <v>3.6356372353176188E-2</v>
      </c>
    </row>
    <row r="242" spans="2:5" ht="15" customHeight="1">
      <c r="B242" s="84"/>
      <c r="C242" s="27" t="s">
        <v>112</v>
      </c>
      <c r="D242" s="26">
        <v>2</v>
      </c>
      <c r="E242" s="25">
        <v>2.6634705020641894E-4</v>
      </c>
    </row>
    <row r="243" spans="2:5" ht="15" customHeight="1">
      <c r="B243" s="84"/>
      <c r="C243" s="27" t="s">
        <v>110</v>
      </c>
      <c r="D243" s="26">
        <v>11</v>
      </c>
      <c r="E243" s="25">
        <v>1.4649087761353043E-3</v>
      </c>
    </row>
    <row r="244" spans="2:5" ht="15" customHeight="1">
      <c r="B244" s="84"/>
      <c r="C244" s="27" t="s">
        <v>116</v>
      </c>
      <c r="D244" s="26">
        <v>18</v>
      </c>
      <c r="E244" s="25">
        <v>2.3971234518577705E-3</v>
      </c>
    </row>
    <row r="245" spans="2:5" ht="15" customHeight="1">
      <c r="B245" s="84"/>
      <c r="C245" s="27" t="s">
        <v>117</v>
      </c>
      <c r="D245" s="26">
        <v>35</v>
      </c>
      <c r="E245" s="25">
        <v>4.6610733786123315E-3</v>
      </c>
    </row>
    <row r="246" spans="2:5" ht="15" customHeight="1">
      <c r="B246" s="84"/>
      <c r="C246" s="27" t="s">
        <v>118</v>
      </c>
      <c r="D246" s="26">
        <v>140</v>
      </c>
      <c r="E246" s="25">
        <v>1.8644293514449326E-2</v>
      </c>
    </row>
    <row r="247" spans="2:5" ht="15" customHeight="1">
      <c r="B247" s="84"/>
      <c r="C247" s="27" t="s">
        <v>113</v>
      </c>
      <c r="D247" s="26">
        <v>4</v>
      </c>
      <c r="E247" s="25">
        <v>5.3269410041283788E-4</v>
      </c>
    </row>
    <row r="248" spans="2:5" ht="15" customHeight="1">
      <c r="B248" s="84"/>
      <c r="C248" s="27" t="s">
        <v>111</v>
      </c>
      <c r="D248" s="26">
        <v>2</v>
      </c>
      <c r="E248" s="25">
        <v>2.6634705020641894E-4</v>
      </c>
    </row>
    <row r="249" spans="2:5" ht="15" customHeight="1">
      <c r="B249" s="84"/>
      <c r="C249" s="27" t="s">
        <v>114</v>
      </c>
      <c r="D249" s="26">
        <v>12</v>
      </c>
      <c r="E249" s="25">
        <v>1.5980823012385138E-3</v>
      </c>
    </row>
    <row r="250" spans="2:5" ht="15" customHeight="1">
      <c r="B250" s="85"/>
      <c r="C250" s="24" t="s">
        <v>53</v>
      </c>
      <c r="D250" s="23">
        <v>730</v>
      </c>
      <c r="E250" s="22">
        <v>9.7216673325342923E-2</v>
      </c>
    </row>
    <row r="251" spans="2:5" ht="15" customHeight="1">
      <c r="B251" s="83" t="s">
        <v>32</v>
      </c>
      <c r="C251" s="27" t="s">
        <v>0</v>
      </c>
      <c r="D251" s="26">
        <v>16</v>
      </c>
      <c r="E251" s="25">
        <v>2.1307764016513515E-3</v>
      </c>
    </row>
    <row r="252" spans="2:5" ht="15" customHeight="1">
      <c r="B252" s="84"/>
      <c r="C252" s="27" t="s">
        <v>119</v>
      </c>
      <c r="D252" s="26">
        <v>7</v>
      </c>
      <c r="E252" s="25">
        <v>9.3221467572246637E-4</v>
      </c>
    </row>
    <row r="253" spans="2:5" ht="15" customHeight="1">
      <c r="B253" s="84"/>
      <c r="C253" s="27" t="s">
        <v>112</v>
      </c>
      <c r="D253" s="26">
        <v>1</v>
      </c>
      <c r="E253" s="25">
        <v>1.3317352510320947E-4</v>
      </c>
    </row>
    <row r="254" spans="2:5" ht="15" customHeight="1">
      <c r="B254" s="84"/>
      <c r="C254" s="27" t="s">
        <v>116</v>
      </c>
      <c r="D254" s="26">
        <v>2</v>
      </c>
      <c r="E254" s="25">
        <v>2.6634705020641894E-4</v>
      </c>
    </row>
    <row r="255" spans="2:5" ht="15" customHeight="1">
      <c r="B255" s="84"/>
      <c r="C255" s="27" t="s">
        <v>117</v>
      </c>
      <c r="D255" s="26">
        <v>1</v>
      </c>
      <c r="E255" s="25">
        <v>1.3317352510320947E-4</v>
      </c>
    </row>
    <row r="256" spans="2:5" ht="15" customHeight="1">
      <c r="B256" s="84"/>
      <c r="C256" s="27" t="s">
        <v>118</v>
      </c>
      <c r="D256" s="26">
        <v>2</v>
      </c>
      <c r="E256" s="25">
        <v>2.6634705020641894E-4</v>
      </c>
    </row>
    <row r="257" spans="2:5" ht="15" customHeight="1">
      <c r="B257" s="85"/>
      <c r="C257" s="24" t="s">
        <v>53</v>
      </c>
      <c r="D257" s="23">
        <v>29</v>
      </c>
      <c r="E257" s="22">
        <v>3.862032227993075E-3</v>
      </c>
    </row>
    <row r="258" spans="2:5" ht="15" customHeight="1">
      <c r="B258" s="83" t="s">
        <v>38</v>
      </c>
      <c r="C258" s="27" t="s">
        <v>0</v>
      </c>
      <c r="D258" s="26">
        <v>12</v>
      </c>
      <c r="E258" s="25">
        <v>1.5980823012385138E-3</v>
      </c>
    </row>
    <row r="259" spans="2:5" ht="15" customHeight="1">
      <c r="B259" s="84"/>
      <c r="C259" s="27" t="s">
        <v>119</v>
      </c>
      <c r="D259" s="26">
        <v>1</v>
      </c>
      <c r="E259" s="25">
        <v>1.3317352510320947E-4</v>
      </c>
    </row>
    <row r="260" spans="2:5" ht="15" customHeight="1">
      <c r="B260" s="84"/>
      <c r="C260" s="27" t="s">
        <v>118</v>
      </c>
      <c r="D260" s="26">
        <v>1</v>
      </c>
      <c r="E260" s="25">
        <v>1.3317352510320947E-4</v>
      </c>
    </row>
    <row r="261" spans="2:5" ht="15" customHeight="1">
      <c r="B261" s="85"/>
      <c r="C261" s="24" t="s">
        <v>53</v>
      </c>
      <c r="D261" s="23">
        <v>14</v>
      </c>
      <c r="E261" s="22">
        <v>1.8644293514449327E-3</v>
      </c>
    </row>
    <row r="262" spans="2:5" ht="15" customHeight="1">
      <c r="B262" s="83" t="s">
        <v>52</v>
      </c>
      <c r="C262" s="27" t="s">
        <v>0</v>
      </c>
      <c r="D262" s="26">
        <v>1</v>
      </c>
      <c r="E262" s="25">
        <v>1.3317352510320947E-4</v>
      </c>
    </row>
    <row r="263" spans="2:5" ht="15" customHeight="1">
      <c r="B263" s="85"/>
      <c r="C263" s="24" t="s">
        <v>53</v>
      </c>
      <c r="D263" s="23">
        <v>1</v>
      </c>
      <c r="E263" s="22">
        <v>1.3317352510320947E-4</v>
      </c>
    </row>
    <row r="264" spans="2:5" ht="15" customHeight="1">
      <c r="B264" s="83" t="s">
        <v>33</v>
      </c>
      <c r="C264" s="27" t="s">
        <v>0</v>
      </c>
      <c r="D264" s="26">
        <v>18</v>
      </c>
      <c r="E264" s="25">
        <v>2.3971234518577705E-3</v>
      </c>
    </row>
    <row r="265" spans="2:5" ht="15" customHeight="1">
      <c r="B265" s="84"/>
      <c r="C265" s="27" t="s">
        <v>119</v>
      </c>
      <c r="D265" s="26">
        <v>3</v>
      </c>
      <c r="E265" s="25">
        <v>3.9952057530962844E-4</v>
      </c>
    </row>
    <row r="266" spans="2:5" ht="15" customHeight="1">
      <c r="B266" s="84"/>
      <c r="C266" s="27" t="s">
        <v>110</v>
      </c>
      <c r="D266" s="26">
        <v>1</v>
      </c>
      <c r="E266" s="25">
        <v>1.3317352510320947E-4</v>
      </c>
    </row>
    <row r="267" spans="2:5" ht="15" customHeight="1">
      <c r="B267" s="84"/>
      <c r="C267" s="27" t="s">
        <v>116</v>
      </c>
      <c r="D267" s="26">
        <v>1</v>
      </c>
      <c r="E267" s="25">
        <v>1.3317352510320947E-4</v>
      </c>
    </row>
    <row r="268" spans="2:5" ht="15" customHeight="1">
      <c r="B268" s="84"/>
      <c r="C268" s="27" t="s">
        <v>118</v>
      </c>
      <c r="D268" s="26">
        <v>1</v>
      </c>
      <c r="E268" s="25">
        <v>1.3317352510320947E-4</v>
      </c>
    </row>
    <row r="269" spans="2:5" ht="15" customHeight="1">
      <c r="B269" s="84"/>
      <c r="C269" s="27" t="s">
        <v>114</v>
      </c>
      <c r="D269" s="26">
        <v>1</v>
      </c>
      <c r="E269" s="25">
        <v>1.3317352510320947E-4</v>
      </c>
    </row>
    <row r="270" spans="2:5" ht="15" customHeight="1">
      <c r="B270" s="85"/>
      <c r="C270" s="24" t="s">
        <v>53</v>
      </c>
      <c r="D270" s="23">
        <v>25</v>
      </c>
      <c r="E270" s="22">
        <v>3.329338127580237E-3</v>
      </c>
    </row>
    <row r="271" spans="2:5" ht="15" customHeight="1">
      <c r="B271" s="83" t="s">
        <v>48</v>
      </c>
      <c r="C271" s="27" t="s">
        <v>119</v>
      </c>
      <c r="D271" s="26">
        <v>2</v>
      </c>
      <c r="E271" s="25">
        <v>2.6634705020641894E-4</v>
      </c>
    </row>
    <row r="272" spans="2:5" ht="15" customHeight="1">
      <c r="B272" s="85"/>
      <c r="C272" s="24" t="s">
        <v>53</v>
      </c>
      <c r="D272" s="23">
        <v>2</v>
      </c>
      <c r="E272" s="22">
        <v>2.6634705020641894E-4</v>
      </c>
    </row>
    <row r="273" spans="2:5" ht="15" customHeight="1">
      <c r="B273" s="83" t="s">
        <v>15</v>
      </c>
      <c r="C273" s="27" t="s">
        <v>0</v>
      </c>
      <c r="D273" s="26">
        <v>76</v>
      </c>
      <c r="E273" s="25">
        <v>1.012118790784392E-2</v>
      </c>
    </row>
    <row r="274" spans="2:5" ht="15" customHeight="1">
      <c r="B274" s="84"/>
      <c r="C274" s="27" t="s">
        <v>115</v>
      </c>
      <c r="D274" s="26">
        <v>10</v>
      </c>
      <c r="E274" s="25">
        <v>1.3317352510320948E-3</v>
      </c>
    </row>
    <row r="275" spans="2:5" ht="15" customHeight="1">
      <c r="B275" s="84"/>
      <c r="C275" s="27" t="s">
        <v>119</v>
      </c>
      <c r="D275" s="26">
        <v>6</v>
      </c>
      <c r="E275" s="25">
        <v>7.9904115061925688E-4</v>
      </c>
    </row>
    <row r="276" spans="2:5" ht="15" customHeight="1">
      <c r="B276" s="84"/>
      <c r="C276" s="27" t="s">
        <v>110</v>
      </c>
      <c r="D276" s="26">
        <v>1</v>
      </c>
      <c r="E276" s="25">
        <v>1.3317352510320947E-4</v>
      </c>
    </row>
    <row r="277" spans="2:5" ht="15" customHeight="1">
      <c r="B277" s="84"/>
      <c r="C277" s="27" t="s">
        <v>116</v>
      </c>
      <c r="D277" s="26">
        <v>5</v>
      </c>
      <c r="E277" s="25">
        <v>6.6586762551604738E-4</v>
      </c>
    </row>
    <row r="278" spans="2:5" ht="15" customHeight="1">
      <c r="B278" s="84"/>
      <c r="C278" s="27" t="s">
        <v>117</v>
      </c>
      <c r="D278" s="26">
        <v>5</v>
      </c>
      <c r="E278" s="25">
        <v>6.6586762551604738E-4</v>
      </c>
    </row>
    <row r="279" spans="2:5" ht="15" customHeight="1">
      <c r="B279" s="84"/>
      <c r="C279" s="27" t="s">
        <v>118</v>
      </c>
      <c r="D279" s="26">
        <v>12</v>
      </c>
      <c r="E279" s="25">
        <v>1.5980823012385138E-3</v>
      </c>
    </row>
    <row r="280" spans="2:5" ht="15" customHeight="1">
      <c r="B280" s="84"/>
      <c r="C280" s="27" t="s">
        <v>113</v>
      </c>
      <c r="D280" s="26">
        <v>3</v>
      </c>
      <c r="E280" s="25">
        <v>3.9952057530962844E-4</v>
      </c>
    </row>
    <row r="281" spans="2:5" ht="15" customHeight="1">
      <c r="B281" s="84"/>
      <c r="C281" s="27" t="s">
        <v>111</v>
      </c>
      <c r="D281" s="26">
        <v>1</v>
      </c>
      <c r="E281" s="25">
        <v>1.3317352510320947E-4</v>
      </c>
    </row>
    <row r="282" spans="2:5" ht="15" customHeight="1">
      <c r="B282" s="84"/>
      <c r="C282" s="27" t="s">
        <v>114</v>
      </c>
      <c r="D282" s="26">
        <v>1</v>
      </c>
      <c r="E282" s="25">
        <v>1.3317352510320947E-4</v>
      </c>
    </row>
    <row r="283" spans="2:5" ht="15" customHeight="1">
      <c r="B283" s="85"/>
      <c r="C283" s="24" t="s">
        <v>53</v>
      </c>
      <c r="D283" s="23">
        <v>120</v>
      </c>
      <c r="E283" s="22">
        <v>1.5980823012385136E-2</v>
      </c>
    </row>
    <row r="284" spans="2:5" ht="15" customHeight="1">
      <c r="B284" s="83" t="s">
        <v>6</v>
      </c>
      <c r="C284" s="27" t="s">
        <v>0</v>
      </c>
      <c r="D284" s="26">
        <v>774</v>
      </c>
      <c r="E284" s="25">
        <v>0.10307630842988413</v>
      </c>
    </row>
    <row r="285" spans="2:5" ht="15" customHeight="1">
      <c r="B285" s="84"/>
      <c r="C285" s="27" t="s">
        <v>115</v>
      </c>
      <c r="D285" s="26">
        <v>108</v>
      </c>
      <c r="E285" s="25">
        <v>1.4382740711146624E-2</v>
      </c>
    </row>
    <row r="286" spans="2:5" ht="15" customHeight="1">
      <c r="B286" s="84"/>
      <c r="C286" s="27" t="s">
        <v>119</v>
      </c>
      <c r="D286" s="26">
        <v>86</v>
      </c>
      <c r="E286" s="25">
        <v>1.1452923158876015E-2</v>
      </c>
    </row>
    <row r="287" spans="2:5" ht="15" customHeight="1">
      <c r="B287" s="84"/>
      <c r="C287" s="27" t="s">
        <v>112</v>
      </c>
      <c r="D287" s="26">
        <v>5</v>
      </c>
      <c r="E287" s="25">
        <v>6.6586762551604738E-4</v>
      </c>
    </row>
    <row r="288" spans="2:5" ht="15" customHeight="1">
      <c r="B288" s="84"/>
      <c r="C288" s="27" t="s">
        <v>110</v>
      </c>
      <c r="D288" s="26">
        <v>13</v>
      </c>
      <c r="E288" s="25">
        <v>1.7312558263417232E-3</v>
      </c>
    </row>
    <row r="289" spans="2:5" ht="15" customHeight="1">
      <c r="B289" s="84"/>
      <c r="C289" s="27" t="s">
        <v>116</v>
      </c>
      <c r="D289" s="26">
        <v>39</v>
      </c>
      <c r="E289" s="25">
        <v>5.1937674790251695E-3</v>
      </c>
    </row>
    <row r="290" spans="2:5" ht="15" customHeight="1">
      <c r="B290" s="84"/>
      <c r="C290" s="27" t="s">
        <v>117</v>
      </c>
      <c r="D290" s="26">
        <v>138</v>
      </c>
      <c r="E290" s="25">
        <v>1.8377946464242907E-2</v>
      </c>
    </row>
    <row r="291" spans="2:5" ht="15" customHeight="1">
      <c r="B291" s="84"/>
      <c r="C291" s="27" t="s">
        <v>118</v>
      </c>
      <c r="D291" s="26">
        <v>104</v>
      </c>
      <c r="E291" s="25">
        <v>1.3850046610733786E-2</v>
      </c>
    </row>
    <row r="292" spans="2:5" ht="15" customHeight="1">
      <c r="B292" s="84"/>
      <c r="C292" s="27" t="s">
        <v>113</v>
      </c>
      <c r="D292" s="26">
        <v>14</v>
      </c>
      <c r="E292" s="25">
        <v>1.8644293514449327E-3</v>
      </c>
    </row>
    <row r="293" spans="2:5" ht="15" customHeight="1">
      <c r="B293" s="84"/>
      <c r="C293" s="27" t="s">
        <v>111</v>
      </c>
      <c r="D293" s="26">
        <v>37</v>
      </c>
      <c r="E293" s="25">
        <v>4.9274204288187505E-3</v>
      </c>
    </row>
    <row r="294" spans="2:5" ht="15" customHeight="1">
      <c r="B294" s="84"/>
      <c r="C294" s="27" t="s">
        <v>114</v>
      </c>
      <c r="D294" s="26">
        <v>22</v>
      </c>
      <c r="E294" s="25">
        <v>2.9298175522706085E-3</v>
      </c>
    </row>
    <row r="295" spans="2:5" ht="15" customHeight="1">
      <c r="B295" s="85"/>
      <c r="C295" s="24" t="s">
        <v>53</v>
      </c>
      <c r="D295" s="23">
        <v>1340</v>
      </c>
      <c r="E295" s="22">
        <v>0.17845252363830072</v>
      </c>
    </row>
    <row r="296" spans="2:5" ht="15" customHeight="1">
      <c r="B296" s="83" t="s">
        <v>21</v>
      </c>
      <c r="C296" s="27" t="s">
        <v>0</v>
      </c>
      <c r="D296" s="26">
        <v>35</v>
      </c>
      <c r="E296" s="25">
        <v>4.6610733786123315E-3</v>
      </c>
    </row>
    <row r="297" spans="2:5" ht="15" customHeight="1">
      <c r="B297" s="84"/>
      <c r="C297" s="27" t="s">
        <v>115</v>
      </c>
      <c r="D297" s="26">
        <v>2</v>
      </c>
      <c r="E297" s="25">
        <v>2.6634705020641894E-4</v>
      </c>
    </row>
    <row r="298" spans="2:5" ht="15" customHeight="1">
      <c r="B298" s="84"/>
      <c r="C298" s="27" t="s">
        <v>119</v>
      </c>
      <c r="D298" s="26">
        <v>20</v>
      </c>
      <c r="E298" s="25">
        <v>2.6634705020641895E-3</v>
      </c>
    </row>
    <row r="299" spans="2:5" ht="15" customHeight="1">
      <c r="B299" s="84"/>
      <c r="C299" s="27" t="s">
        <v>112</v>
      </c>
      <c r="D299" s="26">
        <v>1</v>
      </c>
      <c r="E299" s="25">
        <v>1.3317352510320947E-4</v>
      </c>
    </row>
    <row r="300" spans="2:5" ht="15" customHeight="1">
      <c r="B300" s="84"/>
      <c r="C300" s="27" t="s">
        <v>116</v>
      </c>
      <c r="D300" s="26">
        <v>1</v>
      </c>
      <c r="E300" s="25">
        <v>1.3317352510320947E-4</v>
      </c>
    </row>
    <row r="301" spans="2:5" ht="15" customHeight="1">
      <c r="B301" s="84"/>
      <c r="C301" s="27" t="s">
        <v>117</v>
      </c>
      <c r="D301" s="26">
        <v>6</v>
      </c>
      <c r="E301" s="25">
        <v>7.9904115061925688E-4</v>
      </c>
    </row>
    <row r="302" spans="2:5" ht="15" customHeight="1">
      <c r="B302" s="84"/>
      <c r="C302" s="27" t="s">
        <v>118</v>
      </c>
      <c r="D302" s="26">
        <v>13</v>
      </c>
      <c r="E302" s="25">
        <v>1.7312558263417232E-3</v>
      </c>
    </row>
    <row r="303" spans="2:5" ht="15" customHeight="1">
      <c r="B303" s="84"/>
      <c r="C303" s="27" t="s">
        <v>113</v>
      </c>
      <c r="D303" s="26">
        <v>1</v>
      </c>
      <c r="E303" s="25">
        <v>1.3317352510320947E-4</v>
      </c>
    </row>
    <row r="304" spans="2:5" ht="15" customHeight="1">
      <c r="B304" s="84"/>
      <c r="C304" s="27" t="s">
        <v>114</v>
      </c>
      <c r="D304" s="26">
        <v>4</v>
      </c>
      <c r="E304" s="25">
        <v>5.3269410041283788E-4</v>
      </c>
    </row>
    <row r="305" spans="2:5" ht="15" customHeight="1">
      <c r="B305" s="85"/>
      <c r="C305" s="24" t="s">
        <v>53</v>
      </c>
      <c r="D305" s="23">
        <v>83</v>
      </c>
      <c r="E305" s="22">
        <v>1.1053402583566387E-2</v>
      </c>
    </row>
    <row r="306" spans="2:5" ht="15" customHeight="1">
      <c r="B306" s="83" t="s">
        <v>28</v>
      </c>
      <c r="C306" s="27" t="s">
        <v>0</v>
      </c>
      <c r="D306" s="26">
        <v>29</v>
      </c>
      <c r="E306" s="25">
        <v>3.862032227993075E-3</v>
      </c>
    </row>
    <row r="307" spans="2:5" ht="15" customHeight="1">
      <c r="B307" s="84"/>
      <c r="C307" s="27" t="s">
        <v>115</v>
      </c>
      <c r="D307" s="26">
        <v>1</v>
      </c>
      <c r="E307" s="25">
        <v>1.3317352510320947E-4</v>
      </c>
    </row>
    <row r="308" spans="2:5" ht="15" customHeight="1">
      <c r="B308" s="84"/>
      <c r="C308" s="27" t="s">
        <v>119</v>
      </c>
      <c r="D308" s="26">
        <v>2</v>
      </c>
      <c r="E308" s="25">
        <v>2.6634705020641894E-4</v>
      </c>
    </row>
    <row r="309" spans="2:5" ht="15" customHeight="1">
      <c r="B309" s="84"/>
      <c r="C309" s="27" t="s">
        <v>110</v>
      </c>
      <c r="D309" s="26">
        <v>1</v>
      </c>
      <c r="E309" s="25">
        <v>1.3317352510320947E-4</v>
      </c>
    </row>
    <row r="310" spans="2:5" ht="15" customHeight="1">
      <c r="B310" s="84"/>
      <c r="C310" s="27" t="s">
        <v>116</v>
      </c>
      <c r="D310" s="26">
        <v>1</v>
      </c>
      <c r="E310" s="25">
        <v>1.3317352510320947E-4</v>
      </c>
    </row>
    <row r="311" spans="2:5" ht="15" customHeight="1">
      <c r="B311" s="84"/>
      <c r="C311" s="27" t="s">
        <v>117</v>
      </c>
      <c r="D311" s="26">
        <v>1</v>
      </c>
      <c r="E311" s="25">
        <v>1.3317352510320947E-4</v>
      </c>
    </row>
    <row r="312" spans="2:5" ht="15" customHeight="1">
      <c r="B312" s="84"/>
      <c r="C312" s="27" t="s">
        <v>118</v>
      </c>
      <c r="D312" s="26">
        <v>2</v>
      </c>
      <c r="E312" s="25">
        <v>2.6634705020641894E-4</v>
      </c>
    </row>
    <row r="313" spans="2:5" ht="15" customHeight="1">
      <c r="B313" s="85"/>
      <c r="C313" s="24" t="s">
        <v>53</v>
      </c>
      <c r="D313" s="23">
        <v>37</v>
      </c>
      <c r="E313" s="22">
        <v>4.9274204288187505E-3</v>
      </c>
    </row>
    <row r="314" spans="2:5" ht="15" customHeight="1">
      <c r="B314" s="83" t="s">
        <v>18</v>
      </c>
      <c r="C314" s="27" t="s">
        <v>0</v>
      </c>
      <c r="D314" s="26">
        <v>39</v>
      </c>
      <c r="E314" s="25">
        <v>5.1937674790251695E-3</v>
      </c>
    </row>
    <row r="315" spans="2:5" ht="15" customHeight="1">
      <c r="B315" s="84"/>
      <c r="C315" s="27" t="s">
        <v>115</v>
      </c>
      <c r="D315" s="26">
        <v>1</v>
      </c>
      <c r="E315" s="25">
        <v>1.3317352510320947E-4</v>
      </c>
    </row>
    <row r="316" spans="2:5" ht="15" customHeight="1">
      <c r="B316" s="84"/>
      <c r="C316" s="27" t="s">
        <v>119</v>
      </c>
      <c r="D316" s="26">
        <v>12</v>
      </c>
      <c r="E316" s="25">
        <v>1.5980823012385138E-3</v>
      </c>
    </row>
    <row r="317" spans="2:5" ht="15" customHeight="1">
      <c r="B317" s="84"/>
      <c r="C317" s="27" t="s">
        <v>116</v>
      </c>
      <c r="D317" s="26">
        <v>6</v>
      </c>
      <c r="E317" s="25">
        <v>7.9904115061925688E-4</v>
      </c>
    </row>
    <row r="318" spans="2:5" ht="15" customHeight="1">
      <c r="B318" s="84"/>
      <c r="C318" s="27" t="s">
        <v>117</v>
      </c>
      <c r="D318" s="26">
        <v>18</v>
      </c>
      <c r="E318" s="25">
        <v>2.3971234518577705E-3</v>
      </c>
    </row>
    <row r="319" spans="2:5" ht="15" customHeight="1">
      <c r="B319" s="84"/>
      <c r="C319" s="27" t="s">
        <v>118</v>
      </c>
      <c r="D319" s="26">
        <v>6</v>
      </c>
      <c r="E319" s="25">
        <v>7.9904115061925688E-4</v>
      </c>
    </row>
    <row r="320" spans="2:5" ht="15" customHeight="1">
      <c r="B320" s="84"/>
      <c r="C320" s="27" t="s">
        <v>113</v>
      </c>
      <c r="D320" s="26">
        <v>2</v>
      </c>
      <c r="E320" s="25">
        <v>2.6634705020641894E-4</v>
      </c>
    </row>
    <row r="321" spans="2:5" ht="15" customHeight="1">
      <c r="B321" s="84"/>
      <c r="C321" s="27" t="s">
        <v>111</v>
      </c>
      <c r="D321" s="26">
        <v>6</v>
      </c>
      <c r="E321" s="25">
        <v>7.9904115061925688E-4</v>
      </c>
    </row>
    <row r="322" spans="2:5" ht="15" customHeight="1">
      <c r="B322" s="84"/>
      <c r="C322" s="27" t="s">
        <v>114</v>
      </c>
      <c r="D322" s="26">
        <v>1</v>
      </c>
      <c r="E322" s="25">
        <v>1.3317352510320947E-4</v>
      </c>
    </row>
    <row r="323" spans="2:5" ht="15" customHeight="1">
      <c r="B323" s="85"/>
      <c r="C323" s="24" t="s">
        <v>53</v>
      </c>
      <c r="D323" s="23">
        <v>91</v>
      </c>
      <c r="E323" s="22">
        <v>1.2118790784392063E-2</v>
      </c>
    </row>
    <row r="324" spans="2:5" ht="15" customHeight="1">
      <c r="B324" s="83" t="s">
        <v>22</v>
      </c>
      <c r="C324" s="27" t="s">
        <v>0</v>
      </c>
      <c r="D324" s="26">
        <v>41</v>
      </c>
      <c r="E324" s="25">
        <v>5.4601145292315885E-3</v>
      </c>
    </row>
    <row r="325" spans="2:5" ht="15" customHeight="1">
      <c r="B325" s="84"/>
      <c r="C325" s="27" t="s">
        <v>119</v>
      </c>
      <c r="D325" s="26">
        <v>10</v>
      </c>
      <c r="E325" s="25">
        <v>1.3317352510320948E-3</v>
      </c>
    </row>
    <row r="326" spans="2:5" ht="15" customHeight="1">
      <c r="B326" s="84"/>
      <c r="C326" s="27" t="s">
        <v>110</v>
      </c>
      <c r="D326" s="26">
        <v>1</v>
      </c>
      <c r="E326" s="25">
        <v>1.3317352510320947E-4</v>
      </c>
    </row>
    <row r="327" spans="2:5" ht="15" customHeight="1">
      <c r="B327" s="84"/>
      <c r="C327" s="27" t="s">
        <v>116</v>
      </c>
      <c r="D327" s="26">
        <v>1</v>
      </c>
      <c r="E327" s="25">
        <v>1.3317352510320947E-4</v>
      </c>
    </row>
    <row r="328" spans="2:5" ht="15" customHeight="1">
      <c r="B328" s="84"/>
      <c r="C328" s="27" t="s">
        <v>117</v>
      </c>
      <c r="D328" s="26">
        <v>4</v>
      </c>
      <c r="E328" s="25">
        <v>5.3269410041283788E-4</v>
      </c>
    </row>
    <row r="329" spans="2:5" ht="15" customHeight="1">
      <c r="B329" s="84"/>
      <c r="C329" s="27" t="s">
        <v>118</v>
      </c>
      <c r="D329" s="26">
        <v>2</v>
      </c>
      <c r="E329" s="25">
        <v>2.6634705020641894E-4</v>
      </c>
    </row>
    <row r="330" spans="2:5" ht="15" customHeight="1">
      <c r="B330" s="84"/>
      <c r="C330" s="27" t="s">
        <v>113</v>
      </c>
      <c r="D330" s="26">
        <v>1</v>
      </c>
      <c r="E330" s="25">
        <v>1.3317352510320947E-4</v>
      </c>
    </row>
    <row r="331" spans="2:5" ht="15" customHeight="1">
      <c r="B331" s="84"/>
      <c r="C331" s="27" t="s">
        <v>111</v>
      </c>
      <c r="D331" s="26">
        <v>2</v>
      </c>
      <c r="E331" s="25">
        <v>2.6634705020641894E-4</v>
      </c>
    </row>
    <row r="332" spans="2:5" ht="15" customHeight="1">
      <c r="B332" s="85"/>
      <c r="C332" s="24" t="s">
        <v>53</v>
      </c>
      <c r="D332" s="23">
        <v>62</v>
      </c>
      <c r="E332" s="22">
        <v>8.2567585563989871E-3</v>
      </c>
    </row>
    <row r="333" spans="2:5" ht="15" customHeight="1">
      <c r="B333" s="83" t="s">
        <v>43</v>
      </c>
      <c r="C333" s="27" t="s">
        <v>0</v>
      </c>
      <c r="D333" s="26">
        <v>6</v>
      </c>
      <c r="E333" s="25">
        <v>7.9904115061925688E-4</v>
      </c>
    </row>
    <row r="334" spans="2:5" ht="15" customHeight="1">
      <c r="B334" s="84"/>
      <c r="C334" s="27" t="s">
        <v>116</v>
      </c>
      <c r="D334" s="26">
        <v>1</v>
      </c>
      <c r="E334" s="25">
        <v>1.3317352510320947E-4</v>
      </c>
    </row>
    <row r="335" spans="2:5" ht="15" customHeight="1">
      <c r="B335" s="85"/>
      <c r="C335" s="24" t="s">
        <v>53</v>
      </c>
      <c r="D335" s="23">
        <v>7</v>
      </c>
      <c r="E335" s="22">
        <v>9.3221467572246637E-4</v>
      </c>
    </row>
    <row r="336" spans="2:5" ht="15" customHeight="1">
      <c r="B336" s="95" t="s">
        <v>53</v>
      </c>
      <c r="C336" s="96"/>
      <c r="D336" s="97">
        <v>7509</v>
      </c>
      <c r="E336" s="98">
        <v>1</v>
      </c>
    </row>
    <row r="338" spans="2:2" ht="15" customHeight="1">
      <c r="B338" s="17" t="s">
        <v>54</v>
      </c>
    </row>
    <row r="339" spans="2:2" ht="15" customHeight="1">
      <c r="B339" s="18" t="s">
        <v>55</v>
      </c>
    </row>
    <row r="340" spans="2:2" ht="15" customHeight="1">
      <c r="B340" s="19" t="s">
        <v>56</v>
      </c>
    </row>
    <row r="341" spans="2:2" ht="15" customHeight="1">
      <c r="B341" s="17" t="s">
        <v>57</v>
      </c>
    </row>
    <row r="342" spans="2:2" ht="15" customHeight="1">
      <c r="B342" s="17" t="s">
        <v>58</v>
      </c>
    </row>
  </sheetData>
  <mergeCells count="50">
    <mergeCell ref="B264:B270"/>
    <mergeCell ref="B271:B272"/>
    <mergeCell ref="B333:B335"/>
    <mergeCell ref="B336:C336"/>
    <mergeCell ref="B273:B283"/>
    <mergeCell ref="B284:B295"/>
    <mergeCell ref="B296:B305"/>
    <mergeCell ref="B306:B313"/>
    <mergeCell ref="B314:B323"/>
    <mergeCell ref="B324:B332"/>
    <mergeCell ref="B201:B204"/>
    <mergeCell ref="B205:B214"/>
    <mergeCell ref="B215:B221"/>
    <mergeCell ref="B222:B229"/>
    <mergeCell ref="B230:B232"/>
    <mergeCell ref="B233:B238"/>
    <mergeCell ref="B239:B250"/>
    <mergeCell ref="B251:B257"/>
    <mergeCell ref="B258:B261"/>
    <mergeCell ref="B262:B263"/>
    <mergeCell ref="B148:B151"/>
    <mergeCell ref="B152:B153"/>
    <mergeCell ref="B154:B158"/>
    <mergeCell ref="B159:B164"/>
    <mergeCell ref="B165:B170"/>
    <mergeCell ref="B171:B177"/>
    <mergeCell ref="B178:B180"/>
    <mergeCell ref="B181:B186"/>
    <mergeCell ref="B187:B198"/>
    <mergeCell ref="B199:B200"/>
    <mergeCell ref="B65:B74"/>
    <mergeCell ref="B75:B83"/>
    <mergeCell ref="B84:B85"/>
    <mergeCell ref="B86:B93"/>
    <mergeCell ref="B94:B105"/>
    <mergeCell ref="B106:B116"/>
    <mergeCell ref="B117:B124"/>
    <mergeCell ref="B125:B132"/>
    <mergeCell ref="B133:B140"/>
    <mergeCell ref="B141:B147"/>
    <mergeCell ref="B7:E8"/>
    <mergeCell ref="B10:B14"/>
    <mergeCell ref="B15:B16"/>
    <mergeCell ref="B17:B25"/>
    <mergeCell ref="B26:B33"/>
    <mergeCell ref="B34:B45"/>
    <mergeCell ref="B46:B56"/>
    <mergeCell ref="B57:B60"/>
    <mergeCell ref="B61:B62"/>
    <mergeCell ref="B63:B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45" max="4" man="1"/>
    <brk id="85" max="4" man="1"/>
    <brk id="124" max="4" man="1"/>
    <brk id="164" max="4" man="1"/>
    <brk id="204" max="4" man="1"/>
    <brk id="238" max="4" man="1"/>
    <brk id="272" max="4" man="1"/>
    <brk id="313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403"/>
  <sheetViews>
    <sheetView topLeftCell="A368" zoomScale="106" zoomScaleNormal="106" zoomScaleSheetLayoutView="85" workbookViewId="0">
      <selection activeCell="B397" sqref="B397:E397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86"/>
      <c r="C7" s="86"/>
      <c r="D7" s="86"/>
      <c r="E7" s="86"/>
    </row>
    <row r="8" spans="1:5" s="31" customFormat="1" ht="33" customHeight="1">
      <c r="A8" s="32"/>
      <c r="B8" s="86"/>
      <c r="C8" s="86"/>
      <c r="D8" s="86"/>
      <c r="E8" s="86"/>
    </row>
    <row r="9" spans="1:5" s="1" customFormat="1" ht="40.5" customHeight="1">
      <c r="B9" s="28" t="s">
        <v>108</v>
      </c>
      <c r="C9" s="30" t="s">
        <v>122</v>
      </c>
      <c r="D9" s="29" t="s">
        <v>3</v>
      </c>
      <c r="E9" s="28" t="s">
        <v>4</v>
      </c>
    </row>
    <row r="10" spans="1:5" ht="15" customHeight="1">
      <c r="B10" s="83" t="s">
        <v>71</v>
      </c>
      <c r="C10" s="27" t="s">
        <v>0</v>
      </c>
      <c r="D10" s="26">
        <v>45</v>
      </c>
      <c r="E10" s="25">
        <v>5.9928086296444265E-3</v>
      </c>
    </row>
    <row r="11" spans="1:5" ht="15" customHeight="1">
      <c r="B11" s="84"/>
      <c r="C11" s="27" t="s">
        <v>115</v>
      </c>
      <c r="D11" s="26">
        <v>3</v>
      </c>
      <c r="E11" s="25">
        <v>3.9952057530962844E-4</v>
      </c>
    </row>
    <row r="12" spans="1:5" ht="15" customHeight="1">
      <c r="B12" s="84"/>
      <c r="C12" s="27" t="s">
        <v>119</v>
      </c>
      <c r="D12" s="26">
        <v>3</v>
      </c>
      <c r="E12" s="25">
        <v>3.9952057530962844E-4</v>
      </c>
    </row>
    <row r="13" spans="1:5" ht="15" customHeight="1">
      <c r="B13" s="84"/>
      <c r="C13" s="27" t="s">
        <v>112</v>
      </c>
      <c r="D13" s="26">
        <v>5</v>
      </c>
      <c r="E13" s="25">
        <v>6.6586762551604738E-4</v>
      </c>
    </row>
    <row r="14" spans="1:5" ht="15" customHeight="1">
      <c r="B14" s="84"/>
      <c r="C14" s="27" t="s">
        <v>110</v>
      </c>
      <c r="D14" s="26">
        <v>1</v>
      </c>
      <c r="E14" s="25">
        <v>1.3317352510320947E-4</v>
      </c>
    </row>
    <row r="15" spans="1:5" s="33" customFormat="1" ht="15" customHeight="1">
      <c r="A15" s="20"/>
      <c r="B15" s="84"/>
      <c r="C15" s="27" t="s">
        <v>116</v>
      </c>
      <c r="D15" s="26">
        <v>12</v>
      </c>
      <c r="E15" s="25">
        <v>1.5980823012385138E-3</v>
      </c>
    </row>
    <row r="16" spans="1:5" s="33" customFormat="1" ht="15" customHeight="1">
      <c r="A16" s="20"/>
      <c r="B16" s="84"/>
      <c r="C16" s="27" t="s">
        <v>117</v>
      </c>
      <c r="D16" s="26">
        <v>2</v>
      </c>
      <c r="E16" s="25">
        <v>2.6634705020641894E-4</v>
      </c>
    </row>
    <row r="17" spans="1:5" s="33" customFormat="1" ht="15" customHeight="1">
      <c r="A17" s="20"/>
      <c r="B17" s="84"/>
      <c r="C17" s="27" t="s">
        <v>118</v>
      </c>
      <c r="D17" s="26">
        <v>9</v>
      </c>
      <c r="E17" s="25">
        <v>1.1985617259288853E-3</v>
      </c>
    </row>
    <row r="18" spans="1:5" s="33" customFormat="1" ht="15" customHeight="1">
      <c r="A18" s="20"/>
      <c r="B18" s="84"/>
      <c r="C18" s="27" t="s">
        <v>113</v>
      </c>
      <c r="D18" s="26">
        <v>1</v>
      </c>
      <c r="E18" s="25">
        <v>1.3317352510320947E-4</v>
      </c>
    </row>
    <row r="19" spans="1:5" ht="15" customHeight="1">
      <c r="B19" s="85"/>
      <c r="C19" s="24" t="s">
        <v>53</v>
      </c>
      <c r="D19" s="23">
        <v>81</v>
      </c>
      <c r="E19" s="22">
        <v>1.0787055533359968E-2</v>
      </c>
    </row>
    <row r="20" spans="1:5" ht="15" customHeight="1">
      <c r="B20" s="83" t="s">
        <v>103</v>
      </c>
      <c r="C20" s="27" t="s">
        <v>0</v>
      </c>
      <c r="D20" s="26">
        <v>137</v>
      </c>
      <c r="E20" s="25">
        <v>1.8244772939139699E-2</v>
      </c>
    </row>
    <row r="21" spans="1:5" ht="15" customHeight="1">
      <c r="B21" s="84"/>
      <c r="C21" s="27" t="s">
        <v>115</v>
      </c>
      <c r="D21" s="26">
        <v>13</v>
      </c>
      <c r="E21" s="25">
        <v>1.7312558263417232E-3</v>
      </c>
    </row>
    <row r="22" spans="1:5" ht="15" customHeight="1">
      <c r="B22" s="84"/>
      <c r="C22" s="27" t="s">
        <v>119</v>
      </c>
      <c r="D22" s="26">
        <v>47</v>
      </c>
      <c r="E22" s="25">
        <v>6.2591556798508455E-3</v>
      </c>
    </row>
    <row r="23" spans="1:5" ht="15" customHeight="1">
      <c r="B23" s="84"/>
      <c r="C23" s="27" t="s">
        <v>112</v>
      </c>
      <c r="D23" s="26">
        <v>1</v>
      </c>
      <c r="E23" s="25">
        <v>1.3317352510320947E-4</v>
      </c>
    </row>
    <row r="24" spans="1:5" ht="15" customHeight="1">
      <c r="B24" s="84"/>
      <c r="C24" s="27" t="s">
        <v>116</v>
      </c>
      <c r="D24" s="26">
        <v>12</v>
      </c>
      <c r="E24" s="25">
        <v>1.5980823012385138E-3</v>
      </c>
    </row>
    <row r="25" spans="1:5" ht="15" customHeight="1">
      <c r="B25" s="84"/>
      <c r="C25" s="27" t="s">
        <v>117</v>
      </c>
      <c r="D25" s="26">
        <v>3</v>
      </c>
      <c r="E25" s="25">
        <v>3.9952057530962844E-4</v>
      </c>
    </row>
    <row r="26" spans="1:5" ht="15" customHeight="1">
      <c r="B26" s="84"/>
      <c r="C26" s="27" t="s">
        <v>118</v>
      </c>
      <c r="D26" s="26">
        <v>20</v>
      </c>
      <c r="E26" s="25">
        <v>2.6634705020641895E-3</v>
      </c>
    </row>
    <row r="27" spans="1:5" ht="15" customHeight="1">
      <c r="B27" s="84"/>
      <c r="C27" s="27" t="s">
        <v>113</v>
      </c>
      <c r="D27" s="26">
        <v>3</v>
      </c>
      <c r="E27" s="25">
        <v>3.9952057530962844E-4</v>
      </c>
    </row>
    <row r="28" spans="1:5" ht="15" customHeight="1">
      <c r="B28" s="84"/>
      <c r="C28" s="27" t="s">
        <v>111</v>
      </c>
      <c r="D28" s="26">
        <v>2</v>
      </c>
      <c r="E28" s="25">
        <v>2.6634705020641894E-4</v>
      </c>
    </row>
    <row r="29" spans="1:5" ht="15" customHeight="1">
      <c r="B29" s="84"/>
      <c r="C29" s="27" t="s">
        <v>114</v>
      </c>
      <c r="D29" s="26">
        <v>2</v>
      </c>
      <c r="E29" s="25">
        <v>2.6634705020641894E-4</v>
      </c>
    </row>
    <row r="30" spans="1:5" ht="15" customHeight="1">
      <c r="B30" s="85"/>
      <c r="C30" s="24" t="s">
        <v>53</v>
      </c>
      <c r="D30" s="23">
        <v>240</v>
      </c>
      <c r="E30" s="22">
        <v>3.1961646024770272E-2</v>
      </c>
    </row>
    <row r="31" spans="1:5" ht="15" customHeight="1">
      <c r="B31" s="83" t="s">
        <v>93</v>
      </c>
      <c r="C31" s="27" t="s">
        <v>0</v>
      </c>
      <c r="D31" s="26">
        <v>48</v>
      </c>
      <c r="E31" s="25">
        <v>6.392329204954055E-3</v>
      </c>
    </row>
    <row r="32" spans="1:5" ht="15" customHeight="1">
      <c r="B32" s="84"/>
      <c r="C32" s="27" t="s">
        <v>115</v>
      </c>
      <c r="D32" s="26">
        <v>7</v>
      </c>
      <c r="E32" s="25">
        <v>9.3221467572246637E-4</v>
      </c>
    </row>
    <row r="33" spans="2:5" ht="15" customHeight="1">
      <c r="B33" s="84"/>
      <c r="C33" s="27" t="s">
        <v>119</v>
      </c>
      <c r="D33" s="26">
        <v>47</v>
      </c>
      <c r="E33" s="25">
        <v>6.2591556798508455E-3</v>
      </c>
    </row>
    <row r="34" spans="2:5" ht="15" customHeight="1">
      <c r="B34" s="84"/>
      <c r="C34" s="27" t="s">
        <v>110</v>
      </c>
      <c r="D34" s="26">
        <v>2</v>
      </c>
      <c r="E34" s="25">
        <v>2.6634705020641894E-4</v>
      </c>
    </row>
    <row r="35" spans="2:5" ht="15" customHeight="1">
      <c r="B35" s="84"/>
      <c r="C35" s="27" t="s">
        <v>116</v>
      </c>
      <c r="D35" s="26">
        <v>4</v>
      </c>
      <c r="E35" s="25">
        <v>5.3269410041283788E-4</v>
      </c>
    </row>
    <row r="36" spans="2:5" ht="15" customHeight="1">
      <c r="B36" s="84"/>
      <c r="C36" s="27" t="s">
        <v>117</v>
      </c>
      <c r="D36" s="26">
        <v>7</v>
      </c>
      <c r="E36" s="25">
        <v>9.3221467572246637E-4</v>
      </c>
    </row>
    <row r="37" spans="2:5" ht="15" customHeight="1">
      <c r="B37" s="84"/>
      <c r="C37" s="27" t="s">
        <v>118</v>
      </c>
      <c r="D37" s="26">
        <v>7</v>
      </c>
      <c r="E37" s="25">
        <v>9.3221467572246637E-4</v>
      </c>
    </row>
    <row r="38" spans="2:5" ht="15" customHeight="1">
      <c r="B38" s="85"/>
      <c r="C38" s="24" t="s">
        <v>53</v>
      </c>
      <c r="D38" s="23">
        <v>122</v>
      </c>
      <c r="E38" s="22">
        <v>1.6247170062591555E-2</v>
      </c>
    </row>
    <row r="39" spans="2:5" ht="15" customHeight="1">
      <c r="B39" s="83" t="s">
        <v>69</v>
      </c>
      <c r="C39" s="27" t="s">
        <v>0</v>
      </c>
      <c r="D39" s="26">
        <v>14</v>
      </c>
      <c r="E39" s="25">
        <v>1.8644293514449327E-3</v>
      </c>
    </row>
    <row r="40" spans="2:5" ht="15" customHeight="1">
      <c r="B40" s="84"/>
      <c r="C40" s="27" t="s">
        <v>115</v>
      </c>
      <c r="D40" s="26">
        <v>1</v>
      </c>
      <c r="E40" s="25">
        <v>1.3317352510320947E-4</v>
      </c>
    </row>
    <row r="41" spans="2:5" ht="15" customHeight="1">
      <c r="B41" s="84"/>
      <c r="C41" s="27" t="s">
        <v>119</v>
      </c>
      <c r="D41" s="26">
        <v>20</v>
      </c>
      <c r="E41" s="25">
        <v>2.6634705020641895E-3</v>
      </c>
    </row>
    <row r="42" spans="2:5" ht="15" customHeight="1">
      <c r="B42" s="84"/>
      <c r="C42" s="27" t="s">
        <v>112</v>
      </c>
      <c r="D42" s="26">
        <v>1</v>
      </c>
      <c r="E42" s="25">
        <v>1.3317352510320947E-4</v>
      </c>
    </row>
    <row r="43" spans="2:5" ht="15" customHeight="1">
      <c r="B43" s="84"/>
      <c r="C43" s="27" t="s">
        <v>110</v>
      </c>
      <c r="D43" s="26">
        <v>2</v>
      </c>
      <c r="E43" s="25">
        <v>2.6634705020641894E-4</v>
      </c>
    </row>
    <row r="44" spans="2:5" ht="15" customHeight="1">
      <c r="B44" s="84"/>
      <c r="C44" s="27" t="s">
        <v>118</v>
      </c>
      <c r="D44" s="26">
        <v>6</v>
      </c>
      <c r="E44" s="25">
        <v>7.9904115061925688E-4</v>
      </c>
    </row>
    <row r="45" spans="2:5" ht="15" customHeight="1">
      <c r="B45" s="84"/>
      <c r="C45" s="27" t="s">
        <v>113</v>
      </c>
      <c r="D45" s="26">
        <v>1</v>
      </c>
      <c r="E45" s="25">
        <v>1.3317352510320947E-4</v>
      </c>
    </row>
    <row r="46" spans="2:5" ht="15" customHeight="1">
      <c r="B46" s="85"/>
      <c r="C46" s="24" t="s">
        <v>53</v>
      </c>
      <c r="D46" s="23">
        <v>45</v>
      </c>
      <c r="E46" s="22">
        <v>5.9928086296444265E-3</v>
      </c>
    </row>
    <row r="47" spans="2:5" ht="15" customHeight="1">
      <c r="B47" s="83" t="s">
        <v>65</v>
      </c>
      <c r="C47" s="27" t="s">
        <v>0</v>
      </c>
      <c r="D47" s="26">
        <v>6</v>
      </c>
      <c r="E47" s="25">
        <v>7.9904115061925688E-4</v>
      </c>
    </row>
    <row r="48" spans="2:5" ht="15" customHeight="1">
      <c r="B48" s="85"/>
      <c r="C48" s="24" t="s">
        <v>53</v>
      </c>
      <c r="D48" s="23">
        <v>6</v>
      </c>
      <c r="E48" s="22">
        <v>7.9904115061925688E-4</v>
      </c>
    </row>
    <row r="49" spans="2:5" ht="15" customHeight="1">
      <c r="B49" s="83" t="s">
        <v>70</v>
      </c>
      <c r="C49" s="27" t="s">
        <v>0</v>
      </c>
      <c r="D49" s="26">
        <v>4</v>
      </c>
      <c r="E49" s="25">
        <v>5.3269410041283788E-4</v>
      </c>
    </row>
    <row r="50" spans="2:5" ht="15" customHeight="1">
      <c r="B50" s="84"/>
      <c r="C50" s="27" t="s">
        <v>119</v>
      </c>
      <c r="D50" s="26">
        <v>1</v>
      </c>
      <c r="E50" s="25">
        <v>1.3317352510320947E-4</v>
      </c>
    </row>
    <row r="51" spans="2:5" ht="15" customHeight="1">
      <c r="B51" s="84"/>
      <c r="C51" s="27" t="s">
        <v>116</v>
      </c>
      <c r="D51" s="26">
        <v>1</v>
      </c>
      <c r="E51" s="25">
        <v>1.3317352510320947E-4</v>
      </c>
    </row>
    <row r="52" spans="2:5" ht="15" customHeight="1">
      <c r="B52" s="84"/>
      <c r="C52" s="27" t="s">
        <v>117</v>
      </c>
      <c r="D52" s="26">
        <v>1</v>
      </c>
      <c r="E52" s="25">
        <v>1.3317352510320947E-4</v>
      </c>
    </row>
    <row r="53" spans="2:5" ht="15" customHeight="1">
      <c r="B53" s="84"/>
      <c r="C53" s="27" t="s">
        <v>118</v>
      </c>
      <c r="D53" s="26">
        <v>2</v>
      </c>
      <c r="E53" s="25">
        <v>2.6634705020641894E-4</v>
      </c>
    </row>
    <row r="54" spans="2:5" ht="15" customHeight="1">
      <c r="B54" s="85"/>
      <c r="C54" s="24" t="s">
        <v>53</v>
      </c>
      <c r="D54" s="23">
        <v>9</v>
      </c>
      <c r="E54" s="22">
        <v>1.1985617259288853E-3</v>
      </c>
    </row>
    <row r="55" spans="2:5" ht="15" customHeight="1">
      <c r="B55" s="83" t="s">
        <v>63</v>
      </c>
      <c r="C55" s="27" t="s">
        <v>114</v>
      </c>
      <c r="D55" s="26">
        <v>1</v>
      </c>
      <c r="E55" s="25">
        <v>1.3317352510320947E-4</v>
      </c>
    </row>
    <row r="56" spans="2:5" ht="15" customHeight="1">
      <c r="B56" s="85"/>
      <c r="C56" s="24" t="s">
        <v>53</v>
      </c>
      <c r="D56" s="23">
        <v>1</v>
      </c>
      <c r="E56" s="22">
        <v>1.3317352510320947E-4</v>
      </c>
    </row>
    <row r="57" spans="2:5" ht="15" customHeight="1">
      <c r="B57" s="83" t="s">
        <v>106</v>
      </c>
      <c r="C57" s="27" t="s">
        <v>0</v>
      </c>
      <c r="D57" s="26">
        <v>730</v>
      </c>
      <c r="E57" s="25">
        <v>9.7216673325342923E-2</v>
      </c>
    </row>
    <row r="58" spans="2:5" ht="15" customHeight="1">
      <c r="B58" s="84"/>
      <c r="C58" s="27" t="s">
        <v>115</v>
      </c>
      <c r="D58" s="26">
        <v>73</v>
      </c>
      <c r="E58" s="25">
        <v>9.7216673325342916E-3</v>
      </c>
    </row>
    <row r="59" spans="2:5" ht="15" customHeight="1">
      <c r="B59" s="84"/>
      <c r="C59" s="27" t="s">
        <v>119</v>
      </c>
      <c r="D59" s="26">
        <v>223</v>
      </c>
      <c r="E59" s="25">
        <v>2.9697696098015716E-2</v>
      </c>
    </row>
    <row r="60" spans="2:5" ht="15" customHeight="1">
      <c r="B60" s="84"/>
      <c r="C60" s="27" t="s">
        <v>112</v>
      </c>
      <c r="D60" s="26">
        <v>5</v>
      </c>
      <c r="E60" s="25">
        <v>6.6586762551604738E-4</v>
      </c>
    </row>
    <row r="61" spans="2:5" ht="15" customHeight="1">
      <c r="B61" s="84"/>
      <c r="C61" s="27" t="s">
        <v>110</v>
      </c>
      <c r="D61" s="26">
        <v>24</v>
      </c>
      <c r="E61" s="25">
        <v>3.1961646024770275E-3</v>
      </c>
    </row>
    <row r="62" spans="2:5" ht="15" customHeight="1">
      <c r="B62" s="84"/>
      <c r="C62" s="27" t="s">
        <v>116</v>
      </c>
      <c r="D62" s="26">
        <v>56</v>
      </c>
      <c r="E62" s="25">
        <v>7.457717405779731E-3</v>
      </c>
    </row>
    <row r="63" spans="2:5" ht="15" customHeight="1">
      <c r="B63" s="84"/>
      <c r="C63" s="27" t="s">
        <v>117</v>
      </c>
      <c r="D63" s="26">
        <v>44</v>
      </c>
      <c r="E63" s="25">
        <v>5.859635104541217E-3</v>
      </c>
    </row>
    <row r="64" spans="2:5" ht="15" customHeight="1">
      <c r="B64" s="84"/>
      <c r="C64" s="27" t="s">
        <v>118</v>
      </c>
      <c r="D64" s="26">
        <v>23</v>
      </c>
      <c r="E64" s="25">
        <v>3.062991077373818E-3</v>
      </c>
    </row>
    <row r="65" spans="2:5" ht="15" customHeight="1">
      <c r="B65" s="84"/>
      <c r="C65" s="27" t="s">
        <v>113</v>
      </c>
      <c r="D65" s="26">
        <v>38</v>
      </c>
      <c r="E65" s="25">
        <v>5.06059395392196E-3</v>
      </c>
    </row>
    <row r="66" spans="2:5" ht="15" customHeight="1">
      <c r="B66" s="84"/>
      <c r="C66" s="27" t="s">
        <v>111</v>
      </c>
      <c r="D66" s="26">
        <v>2</v>
      </c>
      <c r="E66" s="25">
        <v>2.6634705020641894E-4</v>
      </c>
    </row>
    <row r="67" spans="2:5" ht="15" customHeight="1">
      <c r="B67" s="84"/>
      <c r="C67" s="27" t="s">
        <v>114</v>
      </c>
      <c r="D67" s="26">
        <v>4</v>
      </c>
      <c r="E67" s="25">
        <v>5.3269410041283788E-4</v>
      </c>
    </row>
    <row r="68" spans="2:5" ht="15" customHeight="1">
      <c r="B68" s="85"/>
      <c r="C68" s="24" t="s">
        <v>53</v>
      </c>
      <c r="D68" s="23">
        <v>1222</v>
      </c>
      <c r="E68" s="22">
        <v>0.16273804767612199</v>
      </c>
    </row>
    <row r="69" spans="2:5" ht="15" customHeight="1">
      <c r="B69" s="83" t="s">
        <v>104</v>
      </c>
      <c r="C69" s="27" t="s">
        <v>0</v>
      </c>
      <c r="D69" s="26">
        <v>322</v>
      </c>
      <c r="E69" s="25">
        <v>4.2881875083233455E-2</v>
      </c>
    </row>
    <row r="70" spans="2:5" ht="15" customHeight="1">
      <c r="B70" s="84"/>
      <c r="C70" s="27" t="s">
        <v>115</v>
      </c>
      <c r="D70" s="26">
        <v>41</v>
      </c>
      <c r="E70" s="25">
        <v>5.4601145292315885E-3</v>
      </c>
    </row>
    <row r="71" spans="2:5" ht="15" customHeight="1">
      <c r="B71" s="84"/>
      <c r="C71" s="27" t="s">
        <v>119</v>
      </c>
      <c r="D71" s="26">
        <v>13</v>
      </c>
      <c r="E71" s="25">
        <v>1.7312558263417232E-3</v>
      </c>
    </row>
    <row r="72" spans="2:5" ht="15" customHeight="1">
      <c r="B72" s="84"/>
      <c r="C72" s="27" t="s">
        <v>112</v>
      </c>
      <c r="D72" s="26">
        <v>4</v>
      </c>
      <c r="E72" s="25">
        <v>5.3269410041283788E-4</v>
      </c>
    </row>
    <row r="73" spans="2:5" ht="15" customHeight="1">
      <c r="B73" s="84"/>
      <c r="C73" s="27" t="s">
        <v>110</v>
      </c>
      <c r="D73" s="26">
        <v>8</v>
      </c>
      <c r="E73" s="25">
        <v>1.0653882008256758E-3</v>
      </c>
    </row>
    <row r="74" spans="2:5" ht="15" customHeight="1">
      <c r="B74" s="84"/>
      <c r="C74" s="27" t="s">
        <v>116</v>
      </c>
      <c r="D74" s="26">
        <v>14</v>
      </c>
      <c r="E74" s="25">
        <v>1.8644293514449327E-3</v>
      </c>
    </row>
    <row r="75" spans="2:5" ht="15" customHeight="1">
      <c r="B75" s="84"/>
      <c r="C75" s="27" t="s">
        <v>117</v>
      </c>
      <c r="D75" s="26">
        <v>56</v>
      </c>
      <c r="E75" s="25">
        <v>7.457717405779731E-3</v>
      </c>
    </row>
    <row r="76" spans="2:5" ht="15" customHeight="1">
      <c r="B76" s="84"/>
      <c r="C76" s="27" t="s">
        <v>118</v>
      </c>
      <c r="D76" s="26">
        <v>41</v>
      </c>
      <c r="E76" s="25">
        <v>5.4601145292315885E-3</v>
      </c>
    </row>
    <row r="77" spans="2:5" ht="15" customHeight="1">
      <c r="B77" s="84"/>
      <c r="C77" s="27" t="s">
        <v>113</v>
      </c>
      <c r="D77" s="26">
        <v>6</v>
      </c>
      <c r="E77" s="25">
        <v>7.9904115061925688E-4</v>
      </c>
    </row>
    <row r="78" spans="2:5" ht="15" customHeight="1">
      <c r="B78" s="84"/>
      <c r="C78" s="27" t="s">
        <v>114</v>
      </c>
      <c r="D78" s="26">
        <v>12</v>
      </c>
      <c r="E78" s="25">
        <v>1.5980823012385138E-3</v>
      </c>
    </row>
    <row r="79" spans="2:5" ht="15" customHeight="1">
      <c r="B79" s="85"/>
      <c r="C79" s="24" t="s">
        <v>53</v>
      </c>
      <c r="D79" s="23">
        <v>517</v>
      </c>
      <c r="E79" s="22">
        <v>6.8850712478359305E-2</v>
      </c>
    </row>
    <row r="80" spans="2:5" ht="15" customHeight="1">
      <c r="B80" s="83" t="s">
        <v>62</v>
      </c>
      <c r="C80" s="27" t="s">
        <v>111</v>
      </c>
      <c r="D80" s="26">
        <v>1</v>
      </c>
      <c r="E80" s="25">
        <v>1.3317352510320947E-4</v>
      </c>
    </row>
    <row r="81" spans="2:5" ht="15" customHeight="1">
      <c r="B81" s="85"/>
      <c r="C81" s="24" t="s">
        <v>53</v>
      </c>
      <c r="D81" s="23">
        <v>1</v>
      </c>
      <c r="E81" s="22">
        <v>1.3317352510320947E-4</v>
      </c>
    </row>
    <row r="82" spans="2:5" ht="15" customHeight="1">
      <c r="B82" s="83" t="s">
        <v>88</v>
      </c>
      <c r="C82" s="27" t="s">
        <v>0</v>
      </c>
      <c r="D82" s="26">
        <v>180</v>
      </c>
      <c r="E82" s="25">
        <v>2.3971234518577706E-2</v>
      </c>
    </row>
    <row r="83" spans="2:5" ht="15" customHeight="1">
      <c r="B83" s="84"/>
      <c r="C83" s="27" t="s">
        <v>115</v>
      </c>
      <c r="D83" s="26">
        <v>19</v>
      </c>
      <c r="E83" s="25">
        <v>2.53029697696098E-3</v>
      </c>
    </row>
    <row r="84" spans="2:5" ht="15" customHeight="1">
      <c r="B84" s="84"/>
      <c r="C84" s="27" t="s">
        <v>119</v>
      </c>
      <c r="D84" s="26">
        <v>61</v>
      </c>
      <c r="E84" s="25">
        <v>8.1235850312957776E-3</v>
      </c>
    </row>
    <row r="85" spans="2:5" ht="15" customHeight="1">
      <c r="B85" s="84"/>
      <c r="C85" s="27" t="s">
        <v>112</v>
      </c>
      <c r="D85" s="26">
        <v>43</v>
      </c>
      <c r="E85" s="25">
        <v>5.7264615794380075E-3</v>
      </c>
    </row>
    <row r="86" spans="2:5" ht="15" customHeight="1">
      <c r="B86" s="84"/>
      <c r="C86" s="27" t="s">
        <v>110</v>
      </c>
      <c r="D86" s="26">
        <v>1</v>
      </c>
      <c r="E86" s="25">
        <v>1.3317352510320947E-4</v>
      </c>
    </row>
    <row r="87" spans="2:5" ht="15" customHeight="1">
      <c r="B87" s="84"/>
      <c r="C87" s="27" t="s">
        <v>116</v>
      </c>
      <c r="D87" s="26">
        <v>51</v>
      </c>
      <c r="E87" s="25">
        <v>6.7918497802636835E-3</v>
      </c>
    </row>
    <row r="88" spans="2:5" ht="15" customHeight="1">
      <c r="B88" s="84"/>
      <c r="C88" s="27" t="s">
        <v>117</v>
      </c>
      <c r="D88" s="26">
        <v>35</v>
      </c>
      <c r="E88" s="25">
        <v>4.6610733786123315E-3</v>
      </c>
    </row>
    <row r="89" spans="2:5" ht="15" customHeight="1">
      <c r="B89" s="84"/>
      <c r="C89" s="27" t="s">
        <v>118</v>
      </c>
      <c r="D89" s="26">
        <v>95</v>
      </c>
      <c r="E89" s="25">
        <v>1.2651484884804901E-2</v>
      </c>
    </row>
    <row r="90" spans="2:5" ht="15" customHeight="1">
      <c r="B90" s="84"/>
      <c r="C90" s="27" t="s">
        <v>113</v>
      </c>
      <c r="D90" s="26">
        <v>8</v>
      </c>
      <c r="E90" s="25">
        <v>1.0653882008256758E-3</v>
      </c>
    </row>
    <row r="91" spans="2:5" ht="15" customHeight="1">
      <c r="B91" s="84"/>
      <c r="C91" s="27" t="s">
        <v>114</v>
      </c>
      <c r="D91" s="26">
        <v>32</v>
      </c>
      <c r="E91" s="25">
        <v>4.2615528033027031E-3</v>
      </c>
    </row>
    <row r="92" spans="2:5" ht="15" customHeight="1">
      <c r="B92" s="85"/>
      <c r="C92" s="24" t="s">
        <v>53</v>
      </c>
      <c r="D92" s="23">
        <v>525</v>
      </c>
      <c r="E92" s="22">
        <v>6.9916100679184981E-2</v>
      </c>
    </row>
    <row r="93" spans="2:5" ht="15" customHeight="1">
      <c r="B93" s="83" t="s">
        <v>74</v>
      </c>
      <c r="C93" s="27" t="s">
        <v>0</v>
      </c>
      <c r="D93" s="26">
        <v>29</v>
      </c>
      <c r="E93" s="25">
        <v>3.862032227993075E-3</v>
      </c>
    </row>
    <row r="94" spans="2:5" ht="15" customHeight="1">
      <c r="B94" s="84"/>
      <c r="C94" s="27" t="s">
        <v>119</v>
      </c>
      <c r="D94" s="26">
        <v>2</v>
      </c>
      <c r="E94" s="25">
        <v>2.6634705020641894E-4</v>
      </c>
    </row>
    <row r="95" spans="2:5" ht="15" customHeight="1">
      <c r="B95" s="84"/>
      <c r="C95" s="27" t="s">
        <v>116</v>
      </c>
      <c r="D95" s="26">
        <v>3</v>
      </c>
      <c r="E95" s="25">
        <v>3.9952057530962844E-4</v>
      </c>
    </row>
    <row r="96" spans="2:5" ht="15" customHeight="1">
      <c r="B96" s="84"/>
      <c r="C96" s="27" t="s">
        <v>118</v>
      </c>
      <c r="D96" s="26">
        <v>3</v>
      </c>
      <c r="E96" s="25">
        <v>3.9952057530962844E-4</v>
      </c>
    </row>
    <row r="97" spans="2:5" ht="15" customHeight="1">
      <c r="B97" s="84"/>
      <c r="C97" s="27" t="s">
        <v>113</v>
      </c>
      <c r="D97" s="26">
        <v>1</v>
      </c>
      <c r="E97" s="25">
        <v>1.3317352510320947E-4</v>
      </c>
    </row>
    <row r="98" spans="2:5" ht="15" customHeight="1">
      <c r="B98" s="85"/>
      <c r="C98" s="24" t="s">
        <v>53</v>
      </c>
      <c r="D98" s="23">
        <v>38</v>
      </c>
      <c r="E98" s="22">
        <v>5.06059395392196E-3</v>
      </c>
    </row>
    <row r="99" spans="2:5" ht="15" customHeight="1">
      <c r="B99" s="83" t="s">
        <v>59</v>
      </c>
      <c r="C99" s="27" t="s">
        <v>119</v>
      </c>
      <c r="D99" s="26">
        <v>1</v>
      </c>
      <c r="E99" s="25">
        <v>1.3317352510320947E-4</v>
      </c>
    </row>
    <row r="100" spans="2:5" ht="15" customHeight="1">
      <c r="B100" s="85"/>
      <c r="C100" s="24" t="s">
        <v>53</v>
      </c>
      <c r="D100" s="23">
        <v>1</v>
      </c>
      <c r="E100" s="22">
        <v>1.3317352510320947E-4</v>
      </c>
    </row>
    <row r="101" spans="2:5" ht="15" customHeight="1">
      <c r="B101" s="83" t="s">
        <v>72</v>
      </c>
      <c r="C101" s="27" t="s">
        <v>0</v>
      </c>
      <c r="D101" s="26">
        <v>19</v>
      </c>
      <c r="E101" s="25">
        <v>2.53029697696098E-3</v>
      </c>
    </row>
    <row r="102" spans="2:5" ht="15" customHeight="1">
      <c r="B102" s="84"/>
      <c r="C102" s="27" t="s">
        <v>115</v>
      </c>
      <c r="D102" s="26">
        <v>2</v>
      </c>
      <c r="E102" s="25">
        <v>2.6634705020641894E-4</v>
      </c>
    </row>
    <row r="103" spans="2:5" ht="15" customHeight="1">
      <c r="B103" s="84"/>
      <c r="C103" s="27" t="s">
        <v>119</v>
      </c>
      <c r="D103" s="26">
        <v>2</v>
      </c>
      <c r="E103" s="25">
        <v>2.6634705020641894E-4</v>
      </c>
    </row>
    <row r="104" spans="2:5" ht="15" customHeight="1">
      <c r="B104" s="84"/>
      <c r="C104" s="27" t="s">
        <v>118</v>
      </c>
      <c r="D104" s="26">
        <v>3</v>
      </c>
      <c r="E104" s="25">
        <v>3.9952057530962844E-4</v>
      </c>
    </row>
    <row r="105" spans="2:5" ht="15" customHeight="1">
      <c r="B105" s="84"/>
      <c r="C105" s="27" t="s">
        <v>113</v>
      </c>
      <c r="D105" s="26">
        <v>1</v>
      </c>
      <c r="E105" s="25">
        <v>1.3317352510320947E-4</v>
      </c>
    </row>
    <row r="106" spans="2:5" ht="15" customHeight="1">
      <c r="B106" s="84"/>
      <c r="C106" s="27" t="s">
        <v>114</v>
      </c>
      <c r="D106" s="26">
        <v>1</v>
      </c>
      <c r="E106" s="25">
        <v>1.3317352510320947E-4</v>
      </c>
    </row>
    <row r="107" spans="2:5" ht="15" customHeight="1">
      <c r="B107" s="85"/>
      <c r="C107" s="24" t="s">
        <v>53</v>
      </c>
      <c r="D107" s="23">
        <v>28</v>
      </c>
      <c r="E107" s="22">
        <v>3.7288587028898655E-3</v>
      </c>
    </row>
    <row r="108" spans="2:5" ht="15" customHeight="1">
      <c r="B108" s="83" t="s">
        <v>85</v>
      </c>
      <c r="C108" s="27" t="s">
        <v>0</v>
      </c>
      <c r="D108" s="26">
        <v>20</v>
      </c>
      <c r="E108" s="25">
        <v>2.6634705020641895E-3</v>
      </c>
    </row>
    <row r="109" spans="2:5" ht="15" customHeight="1">
      <c r="B109" s="84"/>
      <c r="C109" s="27" t="s">
        <v>119</v>
      </c>
      <c r="D109" s="26">
        <v>2</v>
      </c>
      <c r="E109" s="25">
        <v>2.6634705020641894E-4</v>
      </c>
    </row>
    <row r="110" spans="2:5" ht="15" customHeight="1">
      <c r="B110" s="84"/>
      <c r="C110" s="27" t="s">
        <v>118</v>
      </c>
      <c r="D110" s="26">
        <v>1</v>
      </c>
      <c r="E110" s="25">
        <v>1.3317352510320947E-4</v>
      </c>
    </row>
    <row r="111" spans="2:5" ht="15" customHeight="1">
      <c r="B111" s="85"/>
      <c r="C111" s="24" t="s">
        <v>53</v>
      </c>
      <c r="D111" s="23">
        <v>23</v>
      </c>
      <c r="E111" s="22">
        <v>3.062991077373818E-3</v>
      </c>
    </row>
    <row r="112" spans="2:5" ht="15" customHeight="1">
      <c r="B112" s="83" t="s">
        <v>101</v>
      </c>
      <c r="C112" s="27" t="s">
        <v>0</v>
      </c>
      <c r="D112" s="26">
        <v>118</v>
      </c>
      <c r="E112" s="25">
        <v>1.5714475962178717E-2</v>
      </c>
    </row>
    <row r="113" spans="2:5" ht="15" customHeight="1">
      <c r="B113" s="84"/>
      <c r="C113" s="27" t="s">
        <v>115</v>
      </c>
      <c r="D113" s="26">
        <v>2</v>
      </c>
      <c r="E113" s="25">
        <v>2.6634705020641894E-4</v>
      </c>
    </row>
    <row r="114" spans="2:5" ht="15" customHeight="1">
      <c r="B114" s="84"/>
      <c r="C114" s="27" t="s">
        <v>119</v>
      </c>
      <c r="D114" s="26">
        <v>13</v>
      </c>
      <c r="E114" s="25">
        <v>1.7312558263417232E-3</v>
      </c>
    </row>
    <row r="115" spans="2:5" ht="15" customHeight="1">
      <c r="B115" s="84"/>
      <c r="C115" s="27" t="s">
        <v>112</v>
      </c>
      <c r="D115" s="26">
        <v>1</v>
      </c>
      <c r="E115" s="25">
        <v>1.3317352510320947E-4</v>
      </c>
    </row>
    <row r="116" spans="2:5" ht="15" customHeight="1">
      <c r="B116" s="84"/>
      <c r="C116" s="27" t="s">
        <v>110</v>
      </c>
      <c r="D116" s="26">
        <v>4</v>
      </c>
      <c r="E116" s="25">
        <v>5.3269410041283788E-4</v>
      </c>
    </row>
    <row r="117" spans="2:5" ht="15" customHeight="1">
      <c r="B117" s="84"/>
      <c r="C117" s="27" t="s">
        <v>116</v>
      </c>
      <c r="D117" s="26">
        <v>13</v>
      </c>
      <c r="E117" s="25">
        <v>1.7312558263417232E-3</v>
      </c>
    </row>
    <row r="118" spans="2:5" ht="15" customHeight="1">
      <c r="B118" s="84"/>
      <c r="C118" s="27" t="s">
        <v>117</v>
      </c>
      <c r="D118" s="26">
        <v>3</v>
      </c>
      <c r="E118" s="25">
        <v>3.9952057530962844E-4</v>
      </c>
    </row>
    <row r="119" spans="2:5" ht="15" customHeight="1">
      <c r="B119" s="84"/>
      <c r="C119" s="27" t="s">
        <v>118</v>
      </c>
      <c r="D119" s="26">
        <v>5</v>
      </c>
      <c r="E119" s="25">
        <v>6.6586762551604738E-4</v>
      </c>
    </row>
    <row r="120" spans="2:5" ht="15" customHeight="1">
      <c r="B120" s="84"/>
      <c r="C120" s="27" t="s">
        <v>113</v>
      </c>
      <c r="D120" s="26">
        <v>1</v>
      </c>
      <c r="E120" s="25">
        <v>1.3317352510320947E-4</v>
      </c>
    </row>
    <row r="121" spans="2:5" ht="15" customHeight="1">
      <c r="B121" s="84"/>
      <c r="C121" s="27" t="s">
        <v>111</v>
      </c>
      <c r="D121" s="26">
        <v>3</v>
      </c>
      <c r="E121" s="25">
        <v>3.9952057530962844E-4</v>
      </c>
    </row>
    <row r="122" spans="2:5" ht="15" customHeight="1">
      <c r="B122" s="84"/>
      <c r="C122" s="27" t="s">
        <v>114</v>
      </c>
      <c r="D122" s="26">
        <v>4</v>
      </c>
      <c r="E122" s="25">
        <v>5.3269410041283788E-4</v>
      </c>
    </row>
    <row r="123" spans="2:5" ht="15" customHeight="1">
      <c r="B123" s="85"/>
      <c r="C123" s="24" t="s">
        <v>53</v>
      </c>
      <c r="D123" s="23">
        <v>167</v>
      </c>
      <c r="E123" s="22">
        <v>2.2239978692235984E-2</v>
      </c>
    </row>
    <row r="124" spans="2:5" ht="15" customHeight="1">
      <c r="B124" s="83" t="s">
        <v>105</v>
      </c>
      <c r="C124" s="27" t="s">
        <v>0</v>
      </c>
      <c r="D124" s="26">
        <v>286</v>
      </c>
      <c r="E124" s="25">
        <v>3.8087628179517913E-2</v>
      </c>
    </row>
    <row r="125" spans="2:5" ht="15" customHeight="1">
      <c r="B125" s="84"/>
      <c r="C125" s="27" t="s">
        <v>115</v>
      </c>
      <c r="D125" s="26">
        <v>48</v>
      </c>
      <c r="E125" s="25">
        <v>6.392329204954055E-3</v>
      </c>
    </row>
    <row r="126" spans="2:5" ht="15" customHeight="1">
      <c r="B126" s="84"/>
      <c r="C126" s="27" t="s">
        <v>119</v>
      </c>
      <c r="D126" s="26">
        <v>14</v>
      </c>
      <c r="E126" s="25">
        <v>1.8644293514449327E-3</v>
      </c>
    </row>
    <row r="127" spans="2:5" ht="15" customHeight="1">
      <c r="B127" s="84"/>
      <c r="C127" s="27" t="s">
        <v>112</v>
      </c>
      <c r="D127" s="26">
        <v>1</v>
      </c>
      <c r="E127" s="25">
        <v>1.3317352510320947E-4</v>
      </c>
    </row>
    <row r="128" spans="2:5" ht="15" customHeight="1">
      <c r="B128" s="84"/>
      <c r="C128" s="27" t="s">
        <v>110</v>
      </c>
      <c r="D128" s="26">
        <v>2</v>
      </c>
      <c r="E128" s="25">
        <v>2.6634705020641894E-4</v>
      </c>
    </row>
    <row r="129" spans="2:5" ht="15" customHeight="1">
      <c r="B129" s="84"/>
      <c r="C129" s="27" t="s">
        <v>116</v>
      </c>
      <c r="D129" s="26">
        <v>15</v>
      </c>
      <c r="E129" s="25">
        <v>1.997602876548142E-3</v>
      </c>
    </row>
    <row r="130" spans="2:5" ht="15" customHeight="1">
      <c r="B130" s="84"/>
      <c r="C130" s="27" t="s">
        <v>117</v>
      </c>
      <c r="D130" s="26">
        <v>63</v>
      </c>
      <c r="E130" s="25">
        <v>8.3899320815021966E-3</v>
      </c>
    </row>
    <row r="131" spans="2:5" ht="15" customHeight="1">
      <c r="B131" s="84"/>
      <c r="C131" s="27" t="s">
        <v>118</v>
      </c>
      <c r="D131" s="26">
        <v>35</v>
      </c>
      <c r="E131" s="25">
        <v>4.6610733786123315E-3</v>
      </c>
    </row>
    <row r="132" spans="2:5" ht="15" customHeight="1">
      <c r="B132" s="84"/>
      <c r="C132" s="27" t="s">
        <v>113</v>
      </c>
      <c r="D132" s="26">
        <v>4</v>
      </c>
      <c r="E132" s="25">
        <v>5.3269410041283788E-4</v>
      </c>
    </row>
    <row r="133" spans="2:5" ht="15" customHeight="1">
      <c r="B133" s="84"/>
      <c r="C133" s="27" t="s">
        <v>111</v>
      </c>
      <c r="D133" s="26">
        <v>35</v>
      </c>
      <c r="E133" s="25">
        <v>4.6610733786123315E-3</v>
      </c>
    </row>
    <row r="134" spans="2:5" ht="15" customHeight="1">
      <c r="B134" s="84"/>
      <c r="C134" s="27" t="s">
        <v>114</v>
      </c>
      <c r="D134" s="26">
        <v>8</v>
      </c>
      <c r="E134" s="25">
        <v>1.0653882008256758E-3</v>
      </c>
    </row>
    <row r="135" spans="2:5" ht="15" customHeight="1">
      <c r="B135" s="85"/>
      <c r="C135" s="24" t="s">
        <v>53</v>
      </c>
      <c r="D135" s="23">
        <v>511</v>
      </c>
      <c r="E135" s="22">
        <v>6.8051671327740051E-2</v>
      </c>
    </row>
    <row r="136" spans="2:5" ht="15" customHeight="1">
      <c r="B136" s="83" t="s">
        <v>89</v>
      </c>
      <c r="C136" s="27" t="s">
        <v>0</v>
      </c>
      <c r="D136" s="26">
        <v>84</v>
      </c>
      <c r="E136" s="25">
        <v>1.1186576108669596E-2</v>
      </c>
    </row>
    <row r="137" spans="2:5" ht="15" customHeight="1">
      <c r="B137" s="84"/>
      <c r="C137" s="27" t="s">
        <v>115</v>
      </c>
      <c r="D137" s="26">
        <v>4</v>
      </c>
      <c r="E137" s="25">
        <v>5.3269410041283788E-4</v>
      </c>
    </row>
    <row r="138" spans="2:5" ht="15" customHeight="1">
      <c r="B138" s="84"/>
      <c r="C138" s="27" t="s">
        <v>119</v>
      </c>
      <c r="D138" s="26">
        <v>10</v>
      </c>
      <c r="E138" s="25">
        <v>1.3317352510320948E-3</v>
      </c>
    </row>
    <row r="139" spans="2:5" ht="15" customHeight="1">
      <c r="B139" s="84"/>
      <c r="C139" s="27" t="s">
        <v>110</v>
      </c>
      <c r="D139" s="26">
        <v>3</v>
      </c>
      <c r="E139" s="25">
        <v>3.9952057530962844E-4</v>
      </c>
    </row>
    <row r="140" spans="2:5" ht="15" customHeight="1">
      <c r="B140" s="84"/>
      <c r="C140" s="27" t="s">
        <v>116</v>
      </c>
      <c r="D140" s="26">
        <v>8</v>
      </c>
      <c r="E140" s="25">
        <v>1.0653882008256758E-3</v>
      </c>
    </row>
    <row r="141" spans="2:5" ht="15" customHeight="1">
      <c r="B141" s="84"/>
      <c r="C141" s="27" t="s">
        <v>117</v>
      </c>
      <c r="D141" s="26">
        <v>20</v>
      </c>
      <c r="E141" s="25">
        <v>2.6634705020641895E-3</v>
      </c>
    </row>
    <row r="142" spans="2:5" ht="15" customHeight="1">
      <c r="B142" s="84"/>
      <c r="C142" s="27" t="s">
        <v>118</v>
      </c>
      <c r="D142" s="26">
        <v>13</v>
      </c>
      <c r="E142" s="25">
        <v>1.7312558263417232E-3</v>
      </c>
    </row>
    <row r="143" spans="2:5" ht="15" customHeight="1">
      <c r="B143" s="84"/>
      <c r="C143" s="27" t="s">
        <v>113</v>
      </c>
      <c r="D143" s="26">
        <v>11</v>
      </c>
      <c r="E143" s="25">
        <v>1.4649087761353043E-3</v>
      </c>
    </row>
    <row r="144" spans="2:5" ht="15" customHeight="1">
      <c r="B144" s="84"/>
      <c r="C144" s="27" t="s">
        <v>114</v>
      </c>
      <c r="D144" s="26">
        <v>2</v>
      </c>
      <c r="E144" s="25">
        <v>2.6634705020641894E-4</v>
      </c>
    </row>
    <row r="145" spans="2:5" ht="15" customHeight="1">
      <c r="B145" s="85"/>
      <c r="C145" s="24" t="s">
        <v>53</v>
      </c>
      <c r="D145" s="23">
        <v>155</v>
      </c>
      <c r="E145" s="22">
        <v>2.064189639099747E-2</v>
      </c>
    </row>
    <row r="146" spans="2:5" ht="15" customHeight="1">
      <c r="B146" s="83" t="s">
        <v>84</v>
      </c>
      <c r="C146" s="27" t="s">
        <v>0</v>
      </c>
      <c r="D146" s="26">
        <v>85</v>
      </c>
      <c r="E146" s="25">
        <v>1.1319749633772806E-2</v>
      </c>
    </row>
    <row r="147" spans="2:5" ht="15" customHeight="1">
      <c r="B147" s="84"/>
      <c r="C147" s="27" t="s">
        <v>115</v>
      </c>
      <c r="D147" s="26">
        <v>1</v>
      </c>
      <c r="E147" s="25">
        <v>1.3317352510320947E-4</v>
      </c>
    </row>
    <row r="148" spans="2:5" ht="15" customHeight="1">
      <c r="B148" s="84"/>
      <c r="C148" s="27" t="s">
        <v>119</v>
      </c>
      <c r="D148" s="26">
        <v>27</v>
      </c>
      <c r="E148" s="25">
        <v>3.595685177786656E-3</v>
      </c>
    </row>
    <row r="149" spans="2:5" ht="15" customHeight="1">
      <c r="B149" s="84"/>
      <c r="C149" s="27" t="s">
        <v>112</v>
      </c>
      <c r="D149" s="26">
        <v>4</v>
      </c>
      <c r="E149" s="25">
        <v>5.3269410041283788E-4</v>
      </c>
    </row>
    <row r="150" spans="2:5" ht="15" customHeight="1">
      <c r="B150" s="84"/>
      <c r="C150" s="27" t="s">
        <v>116</v>
      </c>
      <c r="D150" s="26">
        <v>4</v>
      </c>
      <c r="E150" s="25">
        <v>5.3269410041283788E-4</v>
      </c>
    </row>
    <row r="151" spans="2:5" ht="15" customHeight="1">
      <c r="B151" s="84"/>
      <c r="C151" s="27" t="s">
        <v>117</v>
      </c>
      <c r="D151" s="26">
        <v>8</v>
      </c>
      <c r="E151" s="25">
        <v>1.0653882008256758E-3</v>
      </c>
    </row>
    <row r="152" spans="2:5" ht="15" customHeight="1">
      <c r="B152" s="84"/>
      <c r="C152" s="27" t="s">
        <v>118</v>
      </c>
      <c r="D152" s="26">
        <v>17</v>
      </c>
      <c r="E152" s="25">
        <v>2.263949926754561E-3</v>
      </c>
    </row>
    <row r="153" spans="2:5" ht="15" customHeight="1">
      <c r="B153" s="84"/>
      <c r="C153" s="27" t="s">
        <v>113</v>
      </c>
      <c r="D153" s="26">
        <v>1</v>
      </c>
      <c r="E153" s="25">
        <v>1.3317352510320947E-4</v>
      </c>
    </row>
    <row r="154" spans="2:5" ht="15" customHeight="1">
      <c r="B154" s="85"/>
      <c r="C154" s="24" t="s">
        <v>53</v>
      </c>
      <c r="D154" s="23">
        <v>147</v>
      </c>
      <c r="E154" s="22">
        <v>1.9576508190171794E-2</v>
      </c>
    </row>
    <row r="155" spans="2:5" ht="15" customHeight="1">
      <c r="B155" s="83" t="s">
        <v>68</v>
      </c>
      <c r="C155" s="27" t="s">
        <v>0</v>
      </c>
      <c r="D155" s="26">
        <v>1</v>
      </c>
      <c r="E155" s="25">
        <v>1.3317352510320947E-4</v>
      </c>
    </row>
    <row r="156" spans="2:5" ht="15" customHeight="1">
      <c r="B156" s="85"/>
      <c r="C156" s="24" t="s">
        <v>53</v>
      </c>
      <c r="D156" s="23">
        <v>1</v>
      </c>
      <c r="E156" s="22">
        <v>1.3317352510320947E-4</v>
      </c>
    </row>
    <row r="157" spans="2:5" ht="15" customHeight="1">
      <c r="B157" s="83" t="s">
        <v>91</v>
      </c>
      <c r="C157" s="27" t="s">
        <v>0</v>
      </c>
      <c r="D157" s="26">
        <v>84</v>
      </c>
      <c r="E157" s="25">
        <v>1.1186576108669596E-2</v>
      </c>
    </row>
    <row r="158" spans="2:5" ht="15" customHeight="1">
      <c r="B158" s="84"/>
      <c r="C158" s="27" t="s">
        <v>115</v>
      </c>
      <c r="D158" s="26">
        <v>1</v>
      </c>
      <c r="E158" s="25">
        <v>1.3317352510320947E-4</v>
      </c>
    </row>
    <row r="159" spans="2:5" ht="15" customHeight="1">
      <c r="B159" s="84"/>
      <c r="C159" s="27" t="s">
        <v>119</v>
      </c>
      <c r="D159" s="26">
        <v>11</v>
      </c>
      <c r="E159" s="25">
        <v>1.4649087761353043E-3</v>
      </c>
    </row>
    <row r="160" spans="2:5" ht="15" customHeight="1">
      <c r="B160" s="84"/>
      <c r="C160" s="27" t="s">
        <v>112</v>
      </c>
      <c r="D160" s="26">
        <v>17</v>
      </c>
      <c r="E160" s="25">
        <v>2.263949926754561E-3</v>
      </c>
    </row>
    <row r="161" spans="2:5" ht="15" customHeight="1">
      <c r="B161" s="84"/>
      <c r="C161" s="27" t="s">
        <v>110</v>
      </c>
      <c r="D161" s="26">
        <v>1</v>
      </c>
      <c r="E161" s="25">
        <v>1.3317352510320947E-4</v>
      </c>
    </row>
    <row r="162" spans="2:5" ht="15" customHeight="1">
      <c r="B162" s="84"/>
      <c r="C162" s="27" t="s">
        <v>116</v>
      </c>
      <c r="D162" s="26">
        <v>5</v>
      </c>
      <c r="E162" s="25">
        <v>6.6586762551604738E-4</v>
      </c>
    </row>
    <row r="163" spans="2:5" ht="15" customHeight="1">
      <c r="B163" s="84"/>
      <c r="C163" s="27" t="s">
        <v>117</v>
      </c>
      <c r="D163" s="26">
        <v>6</v>
      </c>
      <c r="E163" s="25">
        <v>7.9904115061925688E-4</v>
      </c>
    </row>
    <row r="164" spans="2:5" ht="15" customHeight="1">
      <c r="B164" s="84"/>
      <c r="C164" s="27" t="s">
        <v>118</v>
      </c>
      <c r="D164" s="26">
        <v>29</v>
      </c>
      <c r="E164" s="25">
        <v>3.862032227993075E-3</v>
      </c>
    </row>
    <row r="165" spans="2:5" ht="15" customHeight="1">
      <c r="B165" s="84"/>
      <c r="C165" s="27" t="s">
        <v>113</v>
      </c>
      <c r="D165" s="26">
        <v>1</v>
      </c>
      <c r="E165" s="25">
        <v>1.3317352510320947E-4</v>
      </c>
    </row>
    <row r="166" spans="2:5" ht="15" customHeight="1">
      <c r="B166" s="84"/>
      <c r="C166" s="27" t="s">
        <v>111</v>
      </c>
      <c r="D166" s="26">
        <v>1</v>
      </c>
      <c r="E166" s="25">
        <v>1.3317352510320947E-4</v>
      </c>
    </row>
    <row r="167" spans="2:5" ht="15" customHeight="1">
      <c r="B167" s="84"/>
      <c r="C167" s="27" t="s">
        <v>114</v>
      </c>
      <c r="D167" s="26">
        <v>2</v>
      </c>
      <c r="E167" s="25">
        <v>2.6634705020641894E-4</v>
      </c>
    </row>
    <row r="168" spans="2:5" ht="15" customHeight="1">
      <c r="B168" s="85"/>
      <c r="C168" s="24" t="s">
        <v>53</v>
      </c>
      <c r="D168" s="23">
        <v>158</v>
      </c>
      <c r="E168" s="22">
        <v>2.1041416966307097E-2</v>
      </c>
    </row>
    <row r="169" spans="2:5" ht="15" customHeight="1">
      <c r="B169" s="83" t="s">
        <v>95</v>
      </c>
      <c r="C169" s="27" t="s">
        <v>0</v>
      </c>
      <c r="D169" s="26">
        <v>307</v>
      </c>
      <c r="E169" s="25">
        <v>4.0884272206685314E-2</v>
      </c>
    </row>
    <row r="170" spans="2:5" ht="15" customHeight="1">
      <c r="B170" s="84"/>
      <c r="C170" s="27" t="s">
        <v>115</v>
      </c>
      <c r="D170" s="26">
        <v>23</v>
      </c>
      <c r="E170" s="25">
        <v>3.062991077373818E-3</v>
      </c>
    </row>
    <row r="171" spans="2:5" ht="15" customHeight="1">
      <c r="B171" s="84"/>
      <c r="C171" s="27" t="s">
        <v>119</v>
      </c>
      <c r="D171" s="26">
        <v>288</v>
      </c>
      <c r="E171" s="25">
        <v>3.8353975229724328E-2</v>
      </c>
    </row>
    <row r="172" spans="2:5" ht="15" customHeight="1">
      <c r="B172" s="84"/>
      <c r="C172" s="27" t="s">
        <v>112</v>
      </c>
      <c r="D172" s="26">
        <v>2</v>
      </c>
      <c r="E172" s="25">
        <v>2.6634705020641894E-4</v>
      </c>
    </row>
    <row r="173" spans="2:5" ht="15" customHeight="1">
      <c r="B173" s="84"/>
      <c r="C173" s="27" t="s">
        <v>110</v>
      </c>
      <c r="D173" s="26">
        <v>12</v>
      </c>
      <c r="E173" s="25">
        <v>1.5980823012385138E-3</v>
      </c>
    </row>
    <row r="174" spans="2:5" ht="15" customHeight="1">
      <c r="B174" s="84"/>
      <c r="C174" s="27" t="s">
        <v>116</v>
      </c>
      <c r="D174" s="26">
        <v>23</v>
      </c>
      <c r="E174" s="25">
        <v>3.062991077373818E-3</v>
      </c>
    </row>
    <row r="175" spans="2:5" ht="15" customHeight="1">
      <c r="B175" s="84"/>
      <c r="C175" s="27" t="s">
        <v>117</v>
      </c>
      <c r="D175" s="26">
        <v>49</v>
      </c>
      <c r="E175" s="25">
        <v>6.5255027300572645E-3</v>
      </c>
    </row>
    <row r="176" spans="2:5" ht="15" customHeight="1">
      <c r="B176" s="84"/>
      <c r="C176" s="27" t="s">
        <v>118</v>
      </c>
      <c r="D176" s="26">
        <v>176</v>
      </c>
      <c r="E176" s="25">
        <v>2.3438540418164868E-2</v>
      </c>
    </row>
    <row r="177" spans="2:5" ht="15" customHeight="1">
      <c r="B177" s="84"/>
      <c r="C177" s="27" t="s">
        <v>113</v>
      </c>
      <c r="D177" s="26">
        <v>11</v>
      </c>
      <c r="E177" s="25">
        <v>1.4649087761353043E-3</v>
      </c>
    </row>
    <row r="178" spans="2:5" ht="15" customHeight="1">
      <c r="B178" s="84"/>
      <c r="C178" s="27" t="s">
        <v>111</v>
      </c>
      <c r="D178" s="26">
        <v>3</v>
      </c>
      <c r="E178" s="25">
        <v>3.9952057530962844E-4</v>
      </c>
    </row>
    <row r="179" spans="2:5" ht="15" customHeight="1">
      <c r="B179" s="84"/>
      <c r="C179" s="27" t="s">
        <v>114</v>
      </c>
      <c r="D179" s="26">
        <v>12</v>
      </c>
      <c r="E179" s="25">
        <v>1.5980823012385138E-3</v>
      </c>
    </row>
    <row r="180" spans="2:5" ht="15" customHeight="1">
      <c r="B180" s="85"/>
      <c r="C180" s="24" t="s">
        <v>53</v>
      </c>
      <c r="D180" s="23">
        <v>906</v>
      </c>
      <c r="E180" s="22">
        <v>0.12065521374350779</v>
      </c>
    </row>
    <row r="181" spans="2:5" ht="15" customHeight="1">
      <c r="B181" s="83" t="s">
        <v>107</v>
      </c>
      <c r="C181" s="27" t="s">
        <v>0</v>
      </c>
      <c r="D181" s="26">
        <v>366</v>
      </c>
      <c r="E181" s="25">
        <v>4.8741510187774673E-2</v>
      </c>
    </row>
    <row r="182" spans="2:5" ht="15" customHeight="1">
      <c r="B182" s="84"/>
      <c r="C182" s="27" t="s">
        <v>115</v>
      </c>
      <c r="D182" s="26">
        <v>26</v>
      </c>
      <c r="E182" s="25">
        <v>3.4625116526834465E-3</v>
      </c>
    </row>
    <row r="183" spans="2:5" ht="15" customHeight="1">
      <c r="B183" s="84"/>
      <c r="C183" s="27" t="s">
        <v>119</v>
      </c>
      <c r="D183" s="26">
        <v>81</v>
      </c>
      <c r="E183" s="25">
        <v>1.0787055533359968E-2</v>
      </c>
    </row>
    <row r="184" spans="2:5" ht="15" customHeight="1">
      <c r="B184" s="84"/>
      <c r="C184" s="27" t="s">
        <v>112</v>
      </c>
      <c r="D184" s="26">
        <v>4</v>
      </c>
      <c r="E184" s="25">
        <v>5.3269410041283788E-4</v>
      </c>
    </row>
    <row r="185" spans="2:5" ht="15" customHeight="1">
      <c r="B185" s="84"/>
      <c r="C185" s="27" t="s">
        <v>110</v>
      </c>
      <c r="D185" s="26">
        <v>4</v>
      </c>
      <c r="E185" s="25">
        <v>5.3269410041283788E-4</v>
      </c>
    </row>
    <row r="186" spans="2:5" ht="15" customHeight="1">
      <c r="B186" s="84"/>
      <c r="C186" s="27" t="s">
        <v>116</v>
      </c>
      <c r="D186" s="26">
        <v>41</v>
      </c>
      <c r="E186" s="25">
        <v>5.4601145292315885E-3</v>
      </c>
    </row>
    <row r="187" spans="2:5" ht="15" customHeight="1">
      <c r="B187" s="84"/>
      <c r="C187" s="27" t="s">
        <v>117</v>
      </c>
      <c r="D187" s="26">
        <v>40</v>
      </c>
      <c r="E187" s="25">
        <v>5.326941004128379E-3</v>
      </c>
    </row>
    <row r="188" spans="2:5" ht="15" customHeight="1">
      <c r="B188" s="84"/>
      <c r="C188" s="27" t="s">
        <v>118</v>
      </c>
      <c r="D188" s="26">
        <v>58</v>
      </c>
      <c r="E188" s="25">
        <v>7.72406445598615E-3</v>
      </c>
    </row>
    <row r="189" spans="2:5" ht="15" customHeight="1">
      <c r="B189" s="84"/>
      <c r="C189" s="27" t="s">
        <v>113</v>
      </c>
      <c r="D189" s="26">
        <v>5</v>
      </c>
      <c r="E189" s="25">
        <v>6.6586762551604738E-4</v>
      </c>
    </row>
    <row r="190" spans="2:5" ht="15" customHeight="1">
      <c r="B190" s="84"/>
      <c r="C190" s="27" t="s">
        <v>111</v>
      </c>
      <c r="D190" s="26">
        <v>24</v>
      </c>
      <c r="E190" s="25">
        <v>3.1961646024770275E-3</v>
      </c>
    </row>
    <row r="191" spans="2:5" ht="15" customHeight="1">
      <c r="B191" s="84"/>
      <c r="C191" s="27" t="s">
        <v>114</v>
      </c>
      <c r="D191" s="26">
        <v>29</v>
      </c>
      <c r="E191" s="25">
        <v>3.862032227993075E-3</v>
      </c>
    </row>
    <row r="192" spans="2:5" ht="15" customHeight="1">
      <c r="B192" s="85"/>
      <c r="C192" s="24" t="s">
        <v>53</v>
      </c>
      <c r="D192" s="23">
        <v>678</v>
      </c>
      <c r="E192" s="22">
        <v>9.0291650019976022E-2</v>
      </c>
    </row>
    <row r="193" spans="2:5" ht="15" customHeight="1">
      <c r="B193" s="83" t="s">
        <v>86</v>
      </c>
      <c r="C193" s="27" t="s">
        <v>0</v>
      </c>
      <c r="D193" s="26">
        <v>26</v>
      </c>
      <c r="E193" s="25">
        <v>3.4625116526834465E-3</v>
      </c>
    </row>
    <row r="194" spans="2:5" ht="15" customHeight="1">
      <c r="B194" s="84"/>
      <c r="C194" s="27" t="s">
        <v>115</v>
      </c>
      <c r="D194" s="26">
        <v>3</v>
      </c>
      <c r="E194" s="25">
        <v>3.9952057530962844E-4</v>
      </c>
    </row>
    <row r="195" spans="2:5" ht="15" customHeight="1">
      <c r="B195" s="84"/>
      <c r="C195" s="27" t="s">
        <v>119</v>
      </c>
      <c r="D195" s="26">
        <v>2</v>
      </c>
      <c r="E195" s="25">
        <v>2.6634705020641894E-4</v>
      </c>
    </row>
    <row r="196" spans="2:5" ht="15" customHeight="1">
      <c r="B196" s="84"/>
      <c r="C196" s="27" t="s">
        <v>116</v>
      </c>
      <c r="D196" s="26">
        <v>3</v>
      </c>
      <c r="E196" s="25">
        <v>3.9952057530962844E-4</v>
      </c>
    </row>
    <row r="197" spans="2:5" ht="15" customHeight="1">
      <c r="B197" s="84"/>
      <c r="C197" s="27" t="s">
        <v>117</v>
      </c>
      <c r="D197" s="26">
        <v>3</v>
      </c>
      <c r="E197" s="25">
        <v>3.9952057530962844E-4</v>
      </c>
    </row>
    <row r="198" spans="2:5" ht="15" customHeight="1">
      <c r="B198" s="84"/>
      <c r="C198" s="27" t="s">
        <v>118</v>
      </c>
      <c r="D198" s="26">
        <v>5</v>
      </c>
      <c r="E198" s="25">
        <v>6.6586762551604738E-4</v>
      </c>
    </row>
    <row r="199" spans="2:5" ht="15" customHeight="1">
      <c r="B199" s="85"/>
      <c r="C199" s="24" t="s">
        <v>53</v>
      </c>
      <c r="D199" s="23">
        <v>42</v>
      </c>
      <c r="E199" s="22">
        <v>5.593288054334798E-3</v>
      </c>
    </row>
    <row r="200" spans="2:5" ht="15" customHeight="1">
      <c r="B200" s="83" t="s">
        <v>81</v>
      </c>
      <c r="C200" s="27" t="s">
        <v>0</v>
      </c>
      <c r="D200" s="26">
        <v>31</v>
      </c>
      <c r="E200" s="25">
        <v>4.1283792781994936E-3</v>
      </c>
    </row>
    <row r="201" spans="2:5" ht="15" customHeight="1">
      <c r="B201" s="84"/>
      <c r="C201" s="27" t="s">
        <v>119</v>
      </c>
      <c r="D201" s="26">
        <v>12</v>
      </c>
      <c r="E201" s="25">
        <v>1.5980823012385138E-3</v>
      </c>
    </row>
    <row r="202" spans="2:5" ht="15" customHeight="1">
      <c r="B202" s="84"/>
      <c r="C202" s="27" t="s">
        <v>110</v>
      </c>
      <c r="D202" s="26">
        <v>1</v>
      </c>
      <c r="E202" s="25">
        <v>1.3317352510320947E-4</v>
      </c>
    </row>
    <row r="203" spans="2:5" ht="15" customHeight="1">
      <c r="B203" s="84"/>
      <c r="C203" s="27" t="s">
        <v>116</v>
      </c>
      <c r="D203" s="26">
        <v>2</v>
      </c>
      <c r="E203" s="25">
        <v>2.6634705020641894E-4</v>
      </c>
    </row>
    <row r="204" spans="2:5" ht="15" customHeight="1">
      <c r="B204" s="84"/>
      <c r="C204" s="27" t="s">
        <v>117</v>
      </c>
      <c r="D204" s="26">
        <v>5</v>
      </c>
      <c r="E204" s="25">
        <v>6.6586762551604738E-4</v>
      </c>
    </row>
    <row r="205" spans="2:5" ht="15" customHeight="1">
      <c r="B205" s="84"/>
      <c r="C205" s="27" t="s">
        <v>118</v>
      </c>
      <c r="D205" s="26">
        <v>4</v>
      </c>
      <c r="E205" s="25">
        <v>5.3269410041283788E-4</v>
      </c>
    </row>
    <row r="206" spans="2:5" ht="15" customHeight="1">
      <c r="B206" s="84"/>
      <c r="C206" s="27" t="s">
        <v>113</v>
      </c>
      <c r="D206" s="26">
        <v>2</v>
      </c>
      <c r="E206" s="25">
        <v>2.6634705020641894E-4</v>
      </c>
    </row>
    <row r="207" spans="2:5" ht="15" customHeight="1">
      <c r="B207" s="85"/>
      <c r="C207" s="24" t="s">
        <v>53</v>
      </c>
      <c r="D207" s="23">
        <v>57</v>
      </c>
      <c r="E207" s="22">
        <v>7.5908909308829405E-3</v>
      </c>
    </row>
    <row r="208" spans="2:5" ht="15" customHeight="1">
      <c r="B208" s="83" t="s">
        <v>80</v>
      </c>
      <c r="C208" s="27" t="s">
        <v>0</v>
      </c>
      <c r="D208" s="26">
        <v>41</v>
      </c>
      <c r="E208" s="25">
        <v>5.4601145292315885E-3</v>
      </c>
    </row>
    <row r="209" spans="2:5" ht="15" customHeight="1">
      <c r="B209" s="84"/>
      <c r="C209" s="27" t="s">
        <v>119</v>
      </c>
      <c r="D209" s="26">
        <v>9</v>
      </c>
      <c r="E209" s="25">
        <v>1.1985617259288853E-3</v>
      </c>
    </row>
    <row r="210" spans="2:5" ht="15" customHeight="1">
      <c r="B210" s="84"/>
      <c r="C210" s="27" t="s">
        <v>110</v>
      </c>
      <c r="D210" s="26">
        <v>1</v>
      </c>
      <c r="E210" s="25">
        <v>1.3317352510320947E-4</v>
      </c>
    </row>
    <row r="211" spans="2:5" ht="15" customHeight="1">
      <c r="B211" s="84"/>
      <c r="C211" s="27" t="s">
        <v>116</v>
      </c>
      <c r="D211" s="26">
        <v>1</v>
      </c>
      <c r="E211" s="25">
        <v>1.3317352510320947E-4</v>
      </c>
    </row>
    <row r="212" spans="2:5" ht="15" customHeight="1">
      <c r="B212" s="84"/>
      <c r="C212" s="27" t="s">
        <v>117</v>
      </c>
      <c r="D212" s="26">
        <v>4</v>
      </c>
      <c r="E212" s="25">
        <v>5.3269410041283788E-4</v>
      </c>
    </row>
    <row r="213" spans="2:5" ht="15" customHeight="1">
      <c r="B213" s="84"/>
      <c r="C213" s="27" t="s">
        <v>118</v>
      </c>
      <c r="D213" s="26">
        <v>2</v>
      </c>
      <c r="E213" s="25">
        <v>2.6634705020641894E-4</v>
      </c>
    </row>
    <row r="214" spans="2:5" ht="15" customHeight="1">
      <c r="B214" s="84"/>
      <c r="C214" s="27" t="s">
        <v>113</v>
      </c>
      <c r="D214" s="26">
        <v>1</v>
      </c>
      <c r="E214" s="25">
        <v>1.3317352510320947E-4</v>
      </c>
    </row>
    <row r="215" spans="2:5" ht="15" customHeight="1">
      <c r="B215" s="84"/>
      <c r="C215" s="27" t="s">
        <v>111</v>
      </c>
      <c r="D215" s="26">
        <v>2</v>
      </c>
      <c r="E215" s="25">
        <v>2.6634705020641894E-4</v>
      </c>
    </row>
    <row r="216" spans="2:5" ht="15" customHeight="1">
      <c r="B216" s="85"/>
      <c r="C216" s="24" t="s">
        <v>53</v>
      </c>
      <c r="D216" s="23">
        <v>61</v>
      </c>
      <c r="E216" s="22">
        <v>8.1235850312957776E-3</v>
      </c>
    </row>
    <row r="217" spans="2:5" ht="15" customHeight="1">
      <c r="B217" s="83" t="s">
        <v>73</v>
      </c>
      <c r="C217" s="27" t="s">
        <v>0</v>
      </c>
      <c r="D217" s="26">
        <v>28</v>
      </c>
      <c r="E217" s="25">
        <v>3.7288587028898655E-3</v>
      </c>
    </row>
    <row r="218" spans="2:5" ht="15" customHeight="1">
      <c r="B218" s="84"/>
      <c r="C218" s="27" t="s">
        <v>119</v>
      </c>
      <c r="D218" s="26">
        <v>5</v>
      </c>
      <c r="E218" s="25">
        <v>6.6586762551604738E-4</v>
      </c>
    </row>
    <row r="219" spans="2:5" ht="15" customHeight="1">
      <c r="B219" s="84"/>
      <c r="C219" s="27" t="s">
        <v>110</v>
      </c>
      <c r="D219" s="26">
        <v>2</v>
      </c>
      <c r="E219" s="25">
        <v>2.6634705020641894E-4</v>
      </c>
    </row>
    <row r="220" spans="2:5" ht="15" customHeight="1">
      <c r="B220" s="84"/>
      <c r="C220" s="27" t="s">
        <v>117</v>
      </c>
      <c r="D220" s="26">
        <v>4</v>
      </c>
      <c r="E220" s="25">
        <v>5.3269410041283788E-4</v>
      </c>
    </row>
    <row r="221" spans="2:5" ht="15" customHeight="1">
      <c r="B221" s="84"/>
      <c r="C221" s="27" t="s">
        <v>118</v>
      </c>
      <c r="D221" s="26">
        <v>8</v>
      </c>
      <c r="E221" s="25">
        <v>1.0653882008256758E-3</v>
      </c>
    </row>
    <row r="222" spans="2:5" ht="15" customHeight="1">
      <c r="B222" s="84"/>
      <c r="C222" s="27" t="s">
        <v>114</v>
      </c>
      <c r="D222" s="26">
        <v>1</v>
      </c>
      <c r="E222" s="25">
        <v>1.3317352510320947E-4</v>
      </c>
    </row>
    <row r="223" spans="2:5" ht="15" customHeight="1">
      <c r="B223" s="85"/>
      <c r="C223" s="24" t="s">
        <v>53</v>
      </c>
      <c r="D223" s="23">
        <v>48</v>
      </c>
      <c r="E223" s="22">
        <v>6.392329204954055E-3</v>
      </c>
    </row>
    <row r="224" spans="2:5" ht="15" customHeight="1">
      <c r="B224" s="83" t="s">
        <v>102</v>
      </c>
      <c r="C224" s="27" t="s">
        <v>0</v>
      </c>
      <c r="D224" s="26">
        <v>24</v>
      </c>
      <c r="E224" s="25">
        <v>3.1961646024770275E-3</v>
      </c>
    </row>
    <row r="225" spans="2:5" ht="15" customHeight="1">
      <c r="B225" s="84"/>
      <c r="C225" s="27" t="s">
        <v>115</v>
      </c>
      <c r="D225" s="26">
        <v>5</v>
      </c>
      <c r="E225" s="25">
        <v>6.6586762551604738E-4</v>
      </c>
    </row>
    <row r="226" spans="2:5" ht="15" customHeight="1">
      <c r="B226" s="84"/>
      <c r="C226" s="27" t="s">
        <v>119</v>
      </c>
      <c r="D226" s="26">
        <v>2</v>
      </c>
      <c r="E226" s="25">
        <v>2.6634705020641894E-4</v>
      </c>
    </row>
    <row r="227" spans="2:5" ht="15" customHeight="1">
      <c r="B227" s="84"/>
      <c r="C227" s="27" t="s">
        <v>116</v>
      </c>
      <c r="D227" s="26">
        <v>1</v>
      </c>
      <c r="E227" s="25">
        <v>1.3317352510320947E-4</v>
      </c>
    </row>
    <row r="228" spans="2:5" ht="15" customHeight="1">
      <c r="B228" s="84"/>
      <c r="C228" s="27" t="s">
        <v>117</v>
      </c>
      <c r="D228" s="26">
        <v>3</v>
      </c>
      <c r="E228" s="25">
        <v>3.9952057530962844E-4</v>
      </c>
    </row>
    <row r="229" spans="2:5" ht="15" customHeight="1">
      <c r="B229" s="84"/>
      <c r="C229" s="27" t="s">
        <v>118</v>
      </c>
      <c r="D229" s="26">
        <v>2</v>
      </c>
      <c r="E229" s="25">
        <v>2.6634705020641894E-4</v>
      </c>
    </row>
    <row r="230" spans="2:5" ht="15" customHeight="1">
      <c r="B230" s="84"/>
      <c r="C230" s="27" t="s">
        <v>113</v>
      </c>
      <c r="D230" s="26">
        <v>2</v>
      </c>
      <c r="E230" s="25">
        <v>2.6634705020641894E-4</v>
      </c>
    </row>
    <row r="231" spans="2:5" ht="15" customHeight="1">
      <c r="B231" s="85"/>
      <c r="C231" s="24" t="s">
        <v>53</v>
      </c>
      <c r="D231" s="23">
        <v>39</v>
      </c>
      <c r="E231" s="22">
        <v>5.1937674790251695E-3</v>
      </c>
    </row>
    <row r="232" spans="2:5" ht="15" customHeight="1">
      <c r="B232" s="83" t="s">
        <v>75</v>
      </c>
      <c r="C232" s="27" t="s">
        <v>0</v>
      </c>
      <c r="D232" s="26">
        <v>58</v>
      </c>
      <c r="E232" s="25">
        <v>7.72406445598615E-3</v>
      </c>
    </row>
    <row r="233" spans="2:5" ht="15" customHeight="1">
      <c r="B233" s="84"/>
      <c r="C233" s="27" t="s">
        <v>119</v>
      </c>
      <c r="D233" s="26">
        <v>4</v>
      </c>
      <c r="E233" s="25">
        <v>5.3269410041283788E-4</v>
      </c>
    </row>
    <row r="234" spans="2:5" ht="15" customHeight="1">
      <c r="B234" s="84"/>
      <c r="C234" s="27" t="s">
        <v>110</v>
      </c>
      <c r="D234" s="26">
        <v>2</v>
      </c>
      <c r="E234" s="25">
        <v>2.6634705020641894E-4</v>
      </c>
    </row>
    <row r="235" spans="2:5" ht="15" customHeight="1">
      <c r="B235" s="84"/>
      <c r="C235" s="27" t="s">
        <v>116</v>
      </c>
      <c r="D235" s="26">
        <v>11</v>
      </c>
      <c r="E235" s="25">
        <v>1.4649087761353043E-3</v>
      </c>
    </row>
    <row r="236" spans="2:5" ht="15" customHeight="1">
      <c r="B236" s="84"/>
      <c r="C236" s="27" t="s">
        <v>117</v>
      </c>
      <c r="D236" s="26">
        <v>9</v>
      </c>
      <c r="E236" s="25">
        <v>1.1985617259288853E-3</v>
      </c>
    </row>
    <row r="237" spans="2:5" ht="15" customHeight="1">
      <c r="B237" s="84"/>
      <c r="C237" s="27" t="s">
        <v>118</v>
      </c>
      <c r="D237" s="26">
        <v>32</v>
      </c>
      <c r="E237" s="25">
        <v>4.2615528033027031E-3</v>
      </c>
    </row>
    <row r="238" spans="2:5" ht="15" customHeight="1">
      <c r="B238" s="84"/>
      <c r="C238" s="27" t="s">
        <v>113</v>
      </c>
      <c r="D238" s="26">
        <v>5</v>
      </c>
      <c r="E238" s="25">
        <v>6.6586762551604738E-4</v>
      </c>
    </row>
    <row r="239" spans="2:5" ht="15" customHeight="1">
      <c r="B239" s="85"/>
      <c r="C239" s="24" t="s">
        <v>53</v>
      </c>
      <c r="D239" s="23">
        <v>121</v>
      </c>
      <c r="E239" s="22">
        <v>1.6113996537488347E-2</v>
      </c>
    </row>
    <row r="240" spans="2:5" ht="15" customHeight="1">
      <c r="B240" s="83" t="s">
        <v>94</v>
      </c>
      <c r="C240" s="27" t="s">
        <v>0</v>
      </c>
      <c r="D240" s="26">
        <v>90</v>
      </c>
      <c r="E240" s="25">
        <v>1.1985617259288853E-2</v>
      </c>
    </row>
    <row r="241" spans="2:5" ht="15" customHeight="1">
      <c r="B241" s="84"/>
      <c r="C241" s="27" t="s">
        <v>115</v>
      </c>
      <c r="D241" s="26">
        <v>5</v>
      </c>
      <c r="E241" s="25">
        <v>6.6586762551604738E-4</v>
      </c>
    </row>
    <row r="242" spans="2:5" ht="15" customHeight="1">
      <c r="B242" s="84"/>
      <c r="C242" s="27" t="s">
        <v>119</v>
      </c>
      <c r="D242" s="26">
        <v>8</v>
      </c>
      <c r="E242" s="25">
        <v>1.0653882008256758E-3</v>
      </c>
    </row>
    <row r="243" spans="2:5" ht="15" customHeight="1">
      <c r="B243" s="84"/>
      <c r="C243" s="27" t="s">
        <v>110</v>
      </c>
      <c r="D243" s="26">
        <v>7</v>
      </c>
      <c r="E243" s="25">
        <v>9.3221467572246637E-4</v>
      </c>
    </row>
    <row r="244" spans="2:5" ht="15" customHeight="1">
      <c r="B244" s="84"/>
      <c r="C244" s="27" t="s">
        <v>116</v>
      </c>
      <c r="D244" s="26">
        <v>8</v>
      </c>
      <c r="E244" s="25">
        <v>1.0653882008256758E-3</v>
      </c>
    </row>
    <row r="245" spans="2:5" ht="15" customHeight="1">
      <c r="B245" s="84"/>
      <c r="C245" s="27" t="s">
        <v>117</v>
      </c>
      <c r="D245" s="26">
        <v>6</v>
      </c>
      <c r="E245" s="25">
        <v>7.9904115061925688E-4</v>
      </c>
    </row>
    <row r="246" spans="2:5" ht="15" customHeight="1">
      <c r="B246" s="84"/>
      <c r="C246" s="27" t="s">
        <v>118</v>
      </c>
      <c r="D246" s="26">
        <v>3</v>
      </c>
      <c r="E246" s="25">
        <v>3.9952057530962844E-4</v>
      </c>
    </row>
    <row r="247" spans="2:5" ht="15" customHeight="1">
      <c r="B247" s="84"/>
      <c r="C247" s="27" t="s">
        <v>113</v>
      </c>
      <c r="D247" s="26">
        <v>1</v>
      </c>
      <c r="E247" s="25">
        <v>1.3317352510320947E-4</v>
      </c>
    </row>
    <row r="248" spans="2:5" ht="15" customHeight="1">
      <c r="B248" s="84"/>
      <c r="C248" s="27" t="s">
        <v>114</v>
      </c>
      <c r="D248" s="26">
        <v>1</v>
      </c>
      <c r="E248" s="25">
        <v>1.3317352510320947E-4</v>
      </c>
    </row>
    <row r="249" spans="2:5" ht="15" customHeight="1">
      <c r="B249" s="85"/>
      <c r="C249" s="24" t="s">
        <v>53</v>
      </c>
      <c r="D249" s="23">
        <v>129</v>
      </c>
      <c r="E249" s="22">
        <v>1.7179384738314023E-2</v>
      </c>
    </row>
    <row r="250" spans="2:5" ht="15" customHeight="1">
      <c r="B250" s="83" t="s">
        <v>90</v>
      </c>
      <c r="C250" s="27" t="s">
        <v>0</v>
      </c>
      <c r="D250" s="26">
        <v>93</v>
      </c>
      <c r="E250" s="25">
        <v>1.2385137834598482E-2</v>
      </c>
    </row>
    <row r="251" spans="2:5" ht="15" customHeight="1">
      <c r="B251" s="84"/>
      <c r="C251" s="27" t="s">
        <v>115</v>
      </c>
      <c r="D251" s="26">
        <v>1</v>
      </c>
      <c r="E251" s="25">
        <v>1.3317352510320947E-4</v>
      </c>
    </row>
    <row r="252" spans="2:5" ht="15" customHeight="1">
      <c r="B252" s="84"/>
      <c r="C252" s="27" t="s">
        <v>119</v>
      </c>
      <c r="D252" s="26">
        <v>6</v>
      </c>
      <c r="E252" s="25">
        <v>7.9904115061925688E-4</v>
      </c>
    </row>
    <row r="253" spans="2:5" ht="15" customHeight="1">
      <c r="B253" s="84"/>
      <c r="C253" s="27" t="s">
        <v>112</v>
      </c>
      <c r="D253" s="26">
        <v>5</v>
      </c>
      <c r="E253" s="25">
        <v>6.6586762551604738E-4</v>
      </c>
    </row>
    <row r="254" spans="2:5" ht="15" customHeight="1">
      <c r="B254" s="84"/>
      <c r="C254" s="27" t="s">
        <v>116</v>
      </c>
      <c r="D254" s="26">
        <v>6</v>
      </c>
      <c r="E254" s="25">
        <v>7.9904115061925688E-4</v>
      </c>
    </row>
    <row r="255" spans="2:5" ht="15" customHeight="1">
      <c r="B255" s="84"/>
      <c r="C255" s="27" t="s">
        <v>118</v>
      </c>
      <c r="D255" s="26">
        <v>4</v>
      </c>
      <c r="E255" s="25">
        <v>5.3269410041283788E-4</v>
      </c>
    </row>
    <row r="256" spans="2:5" ht="15" customHeight="1">
      <c r="B256" s="84"/>
      <c r="C256" s="27" t="s">
        <v>114</v>
      </c>
      <c r="D256" s="26">
        <v>2</v>
      </c>
      <c r="E256" s="25">
        <v>2.6634705020641894E-4</v>
      </c>
    </row>
    <row r="257" spans="2:5" ht="15" customHeight="1">
      <c r="B257" s="85"/>
      <c r="C257" s="24" t="s">
        <v>53</v>
      </c>
      <c r="D257" s="23">
        <v>117</v>
      </c>
      <c r="E257" s="22">
        <v>1.5581302437075509E-2</v>
      </c>
    </row>
    <row r="258" spans="2:5" ht="15" customHeight="1">
      <c r="B258" s="83" t="s">
        <v>78</v>
      </c>
      <c r="C258" s="27" t="s">
        <v>0</v>
      </c>
      <c r="D258" s="26">
        <v>37</v>
      </c>
      <c r="E258" s="25">
        <v>4.9274204288187505E-3</v>
      </c>
    </row>
    <row r="259" spans="2:5" ht="15" customHeight="1">
      <c r="B259" s="84"/>
      <c r="C259" s="27" t="s">
        <v>115</v>
      </c>
      <c r="D259" s="26">
        <v>1</v>
      </c>
      <c r="E259" s="25">
        <v>1.3317352510320947E-4</v>
      </c>
    </row>
    <row r="260" spans="2:5" ht="15" customHeight="1">
      <c r="B260" s="84"/>
      <c r="C260" s="27" t="s">
        <v>119</v>
      </c>
      <c r="D260" s="26">
        <v>3</v>
      </c>
      <c r="E260" s="25">
        <v>3.9952057530962844E-4</v>
      </c>
    </row>
    <row r="261" spans="2:5" ht="15" customHeight="1">
      <c r="B261" s="84"/>
      <c r="C261" s="27" t="s">
        <v>112</v>
      </c>
      <c r="D261" s="26">
        <v>2</v>
      </c>
      <c r="E261" s="25">
        <v>2.6634705020641894E-4</v>
      </c>
    </row>
    <row r="262" spans="2:5" ht="15" customHeight="1">
      <c r="B262" s="84"/>
      <c r="C262" s="27" t="s">
        <v>116</v>
      </c>
      <c r="D262" s="26">
        <v>2</v>
      </c>
      <c r="E262" s="25">
        <v>2.6634705020641894E-4</v>
      </c>
    </row>
    <row r="263" spans="2:5" ht="15" customHeight="1">
      <c r="B263" s="84"/>
      <c r="C263" s="27" t="s">
        <v>117</v>
      </c>
      <c r="D263" s="26">
        <v>2</v>
      </c>
      <c r="E263" s="25">
        <v>2.6634705020641894E-4</v>
      </c>
    </row>
    <row r="264" spans="2:5" ht="15" customHeight="1">
      <c r="B264" s="84"/>
      <c r="C264" s="27" t="s">
        <v>118</v>
      </c>
      <c r="D264" s="26">
        <v>2</v>
      </c>
      <c r="E264" s="25">
        <v>2.6634705020641894E-4</v>
      </c>
    </row>
    <row r="265" spans="2:5" ht="15" customHeight="1">
      <c r="B265" s="84"/>
      <c r="C265" s="27" t="s">
        <v>113</v>
      </c>
      <c r="D265" s="26">
        <v>1</v>
      </c>
      <c r="E265" s="25">
        <v>1.3317352510320947E-4</v>
      </c>
    </row>
    <row r="266" spans="2:5" ht="15" customHeight="1">
      <c r="B266" s="85"/>
      <c r="C266" s="24" t="s">
        <v>53</v>
      </c>
      <c r="D266" s="23">
        <v>50</v>
      </c>
      <c r="E266" s="22">
        <v>6.658676255160474E-3</v>
      </c>
    </row>
    <row r="267" spans="2:5" ht="15" customHeight="1">
      <c r="B267" s="83" t="s">
        <v>82</v>
      </c>
      <c r="C267" s="27" t="s">
        <v>0</v>
      </c>
      <c r="D267" s="26">
        <v>23</v>
      </c>
      <c r="E267" s="25">
        <v>3.062991077373818E-3</v>
      </c>
    </row>
    <row r="268" spans="2:5" ht="15" customHeight="1">
      <c r="B268" s="84"/>
      <c r="C268" s="27" t="s">
        <v>119</v>
      </c>
      <c r="D268" s="26">
        <v>7</v>
      </c>
      <c r="E268" s="25">
        <v>9.3221467572246637E-4</v>
      </c>
    </row>
    <row r="269" spans="2:5" ht="15" customHeight="1">
      <c r="B269" s="84"/>
      <c r="C269" s="27" t="s">
        <v>112</v>
      </c>
      <c r="D269" s="26">
        <v>1</v>
      </c>
      <c r="E269" s="25">
        <v>1.3317352510320947E-4</v>
      </c>
    </row>
    <row r="270" spans="2:5" ht="15" customHeight="1">
      <c r="B270" s="84"/>
      <c r="C270" s="27" t="s">
        <v>116</v>
      </c>
      <c r="D270" s="26">
        <v>2</v>
      </c>
      <c r="E270" s="25">
        <v>2.6634705020641894E-4</v>
      </c>
    </row>
    <row r="271" spans="2:5" ht="15" customHeight="1">
      <c r="B271" s="84"/>
      <c r="C271" s="27" t="s">
        <v>117</v>
      </c>
      <c r="D271" s="26">
        <v>1</v>
      </c>
      <c r="E271" s="25">
        <v>1.3317352510320947E-4</v>
      </c>
    </row>
    <row r="272" spans="2:5" ht="15" customHeight="1">
      <c r="B272" s="84"/>
      <c r="C272" s="27" t="s">
        <v>118</v>
      </c>
      <c r="D272" s="26">
        <v>2</v>
      </c>
      <c r="E272" s="25">
        <v>2.6634705020641894E-4</v>
      </c>
    </row>
    <row r="273" spans="2:5" ht="15" customHeight="1">
      <c r="B273" s="85"/>
      <c r="C273" s="24" t="s">
        <v>53</v>
      </c>
      <c r="D273" s="23">
        <v>36</v>
      </c>
      <c r="E273" s="22">
        <v>4.794246903715541E-3</v>
      </c>
    </row>
    <row r="274" spans="2:5" ht="15" customHeight="1">
      <c r="B274" s="83" t="s">
        <v>66</v>
      </c>
      <c r="C274" s="27" t="s">
        <v>0</v>
      </c>
      <c r="D274" s="26">
        <v>12</v>
      </c>
      <c r="E274" s="25">
        <v>1.5980823012385138E-3</v>
      </c>
    </row>
    <row r="275" spans="2:5" ht="15" customHeight="1">
      <c r="B275" s="84"/>
      <c r="C275" s="27" t="s">
        <v>115</v>
      </c>
      <c r="D275" s="26">
        <v>1</v>
      </c>
      <c r="E275" s="25">
        <v>1.3317352510320947E-4</v>
      </c>
    </row>
    <row r="276" spans="2:5" ht="15" customHeight="1">
      <c r="B276" s="84"/>
      <c r="C276" s="27" t="s">
        <v>117</v>
      </c>
      <c r="D276" s="26">
        <v>1</v>
      </c>
      <c r="E276" s="25">
        <v>1.3317352510320947E-4</v>
      </c>
    </row>
    <row r="277" spans="2:5" ht="15" customHeight="1">
      <c r="B277" s="84"/>
      <c r="C277" s="27" t="s">
        <v>118</v>
      </c>
      <c r="D277" s="26">
        <v>1</v>
      </c>
      <c r="E277" s="25">
        <v>1.3317352510320947E-4</v>
      </c>
    </row>
    <row r="278" spans="2:5" ht="15" customHeight="1">
      <c r="B278" s="84"/>
      <c r="C278" s="27" t="s">
        <v>113</v>
      </c>
      <c r="D278" s="26">
        <v>1</v>
      </c>
      <c r="E278" s="25">
        <v>1.3317352510320947E-4</v>
      </c>
    </row>
    <row r="279" spans="2:5" ht="15" customHeight="1">
      <c r="B279" s="85"/>
      <c r="C279" s="24" t="s">
        <v>53</v>
      </c>
      <c r="D279" s="23">
        <v>16</v>
      </c>
      <c r="E279" s="22">
        <v>2.1307764016513515E-3</v>
      </c>
    </row>
    <row r="280" spans="2:5" ht="15" customHeight="1">
      <c r="B280" s="83" t="s">
        <v>100</v>
      </c>
      <c r="C280" s="27" t="s">
        <v>0</v>
      </c>
      <c r="D280" s="26">
        <v>79</v>
      </c>
      <c r="E280" s="25">
        <v>1.0520708483153549E-2</v>
      </c>
    </row>
    <row r="281" spans="2:5" ht="15" customHeight="1">
      <c r="B281" s="84"/>
      <c r="C281" s="27" t="s">
        <v>115</v>
      </c>
      <c r="D281" s="26">
        <v>16</v>
      </c>
      <c r="E281" s="25">
        <v>2.1307764016513515E-3</v>
      </c>
    </row>
    <row r="282" spans="2:5" ht="15" customHeight="1">
      <c r="B282" s="84"/>
      <c r="C282" s="27" t="s">
        <v>119</v>
      </c>
      <c r="D282" s="26">
        <v>21</v>
      </c>
      <c r="E282" s="25">
        <v>2.796644027167399E-3</v>
      </c>
    </row>
    <row r="283" spans="2:5" ht="15" customHeight="1">
      <c r="B283" s="84"/>
      <c r="C283" s="27" t="s">
        <v>110</v>
      </c>
      <c r="D283" s="26">
        <v>2</v>
      </c>
      <c r="E283" s="25">
        <v>2.6634705020641894E-4</v>
      </c>
    </row>
    <row r="284" spans="2:5" ht="15" customHeight="1">
      <c r="B284" s="84"/>
      <c r="C284" s="27" t="s">
        <v>116</v>
      </c>
      <c r="D284" s="26">
        <v>3</v>
      </c>
      <c r="E284" s="25">
        <v>3.9952057530962844E-4</v>
      </c>
    </row>
    <row r="285" spans="2:5" ht="15" customHeight="1">
      <c r="B285" s="84"/>
      <c r="C285" s="27" t="s">
        <v>117</v>
      </c>
      <c r="D285" s="26">
        <v>3</v>
      </c>
      <c r="E285" s="25">
        <v>3.9952057530962844E-4</v>
      </c>
    </row>
    <row r="286" spans="2:5" ht="15" customHeight="1">
      <c r="B286" s="84"/>
      <c r="C286" s="27" t="s">
        <v>118</v>
      </c>
      <c r="D286" s="26">
        <v>13</v>
      </c>
      <c r="E286" s="25">
        <v>1.7312558263417232E-3</v>
      </c>
    </row>
    <row r="287" spans="2:5" ht="15" customHeight="1">
      <c r="B287" s="84"/>
      <c r="C287" s="27" t="s">
        <v>114</v>
      </c>
      <c r="D287" s="26">
        <v>1</v>
      </c>
      <c r="E287" s="25">
        <v>1.3317352510320947E-4</v>
      </c>
    </row>
    <row r="288" spans="2:5" ht="15" customHeight="1">
      <c r="B288" s="85"/>
      <c r="C288" s="24" t="s">
        <v>53</v>
      </c>
      <c r="D288" s="23">
        <v>138</v>
      </c>
      <c r="E288" s="22">
        <v>1.8377946464242907E-2</v>
      </c>
    </row>
    <row r="289" spans="2:5" ht="15" customHeight="1">
      <c r="B289" s="83" t="s">
        <v>92</v>
      </c>
      <c r="C289" s="27" t="s">
        <v>0</v>
      </c>
      <c r="D289" s="26">
        <v>57</v>
      </c>
      <c r="E289" s="25">
        <v>7.5908909308829405E-3</v>
      </c>
    </row>
    <row r="290" spans="2:5" ht="15" customHeight="1">
      <c r="B290" s="84"/>
      <c r="C290" s="27" t="s">
        <v>115</v>
      </c>
      <c r="D290" s="26">
        <v>3</v>
      </c>
      <c r="E290" s="25">
        <v>3.9952057530962844E-4</v>
      </c>
    </row>
    <row r="291" spans="2:5" ht="15" customHeight="1">
      <c r="B291" s="84"/>
      <c r="C291" s="27" t="s">
        <v>119</v>
      </c>
      <c r="D291" s="26">
        <v>6</v>
      </c>
      <c r="E291" s="25">
        <v>7.9904115061925688E-4</v>
      </c>
    </row>
    <row r="292" spans="2:5" ht="15" customHeight="1">
      <c r="B292" s="84"/>
      <c r="C292" s="27" t="s">
        <v>112</v>
      </c>
      <c r="D292" s="26">
        <v>3</v>
      </c>
      <c r="E292" s="25">
        <v>3.9952057530962844E-4</v>
      </c>
    </row>
    <row r="293" spans="2:5" ht="15" customHeight="1">
      <c r="B293" s="84"/>
      <c r="C293" s="27" t="s">
        <v>116</v>
      </c>
      <c r="D293" s="26">
        <v>1</v>
      </c>
      <c r="E293" s="25">
        <v>1.3317352510320947E-4</v>
      </c>
    </row>
    <row r="294" spans="2:5" ht="15" customHeight="1">
      <c r="B294" s="84"/>
      <c r="C294" s="27" t="s">
        <v>117</v>
      </c>
      <c r="D294" s="26">
        <v>4</v>
      </c>
      <c r="E294" s="25">
        <v>5.3269410041283788E-4</v>
      </c>
    </row>
    <row r="295" spans="2:5" ht="15" customHeight="1">
      <c r="B295" s="84"/>
      <c r="C295" s="27" t="s">
        <v>118</v>
      </c>
      <c r="D295" s="26">
        <v>8</v>
      </c>
      <c r="E295" s="25">
        <v>1.0653882008256758E-3</v>
      </c>
    </row>
    <row r="296" spans="2:5" ht="15" customHeight="1">
      <c r="B296" s="84"/>
      <c r="C296" s="27" t="s">
        <v>113</v>
      </c>
      <c r="D296" s="26">
        <v>1</v>
      </c>
      <c r="E296" s="25">
        <v>1.3317352510320947E-4</v>
      </c>
    </row>
    <row r="297" spans="2:5" ht="15" customHeight="1">
      <c r="B297" s="84"/>
      <c r="C297" s="27" t="s">
        <v>114</v>
      </c>
      <c r="D297" s="26">
        <v>3</v>
      </c>
      <c r="E297" s="25">
        <v>3.9952057530962844E-4</v>
      </c>
    </row>
    <row r="298" spans="2:5" ht="15" customHeight="1">
      <c r="B298" s="85"/>
      <c r="C298" s="24" t="s">
        <v>53</v>
      </c>
      <c r="D298" s="23">
        <v>86</v>
      </c>
      <c r="E298" s="22">
        <v>1.1452923158876015E-2</v>
      </c>
    </row>
    <row r="299" spans="2:5" ht="15" customHeight="1">
      <c r="B299" s="83" t="s">
        <v>77</v>
      </c>
      <c r="C299" s="27" t="s">
        <v>0</v>
      </c>
      <c r="D299" s="26">
        <v>21</v>
      </c>
      <c r="E299" s="25">
        <v>2.796644027167399E-3</v>
      </c>
    </row>
    <row r="300" spans="2:5" ht="15" customHeight="1">
      <c r="B300" s="84"/>
      <c r="C300" s="27" t="s">
        <v>115</v>
      </c>
      <c r="D300" s="26">
        <v>1</v>
      </c>
      <c r="E300" s="25">
        <v>1.3317352510320947E-4</v>
      </c>
    </row>
    <row r="301" spans="2:5" ht="15" customHeight="1">
      <c r="B301" s="84"/>
      <c r="C301" s="27" t="s">
        <v>119</v>
      </c>
      <c r="D301" s="26">
        <v>7</v>
      </c>
      <c r="E301" s="25">
        <v>9.3221467572246637E-4</v>
      </c>
    </row>
    <row r="302" spans="2:5" ht="15" customHeight="1">
      <c r="B302" s="84"/>
      <c r="C302" s="27" t="s">
        <v>116</v>
      </c>
      <c r="D302" s="26">
        <v>6</v>
      </c>
      <c r="E302" s="25">
        <v>7.9904115061925688E-4</v>
      </c>
    </row>
    <row r="303" spans="2:5" ht="15" customHeight="1">
      <c r="B303" s="84"/>
      <c r="C303" s="27" t="s">
        <v>113</v>
      </c>
      <c r="D303" s="26">
        <v>1</v>
      </c>
      <c r="E303" s="25">
        <v>1.3317352510320947E-4</v>
      </c>
    </row>
    <row r="304" spans="2:5" ht="15" customHeight="1">
      <c r="B304" s="85"/>
      <c r="C304" s="24" t="s">
        <v>53</v>
      </c>
      <c r="D304" s="23">
        <v>36</v>
      </c>
      <c r="E304" s="22">
        <v>4.794246903715541E-3</v>
      </c>
    </row>
    <row r="305" spans="2:5" ht="15" customHeight="1">
      <c r="B305" s="83" t="s">
        <v>79</v>
      </c>
      <c r="C305" s="27" t="s">
        <v>0</v>
      </c>
      <c r="D305" s="26">
        <v>38</v>
      </c>
      <c r="E305" s="25">
        <v>5.06059395392196E-3</v>
      </c>
    </row>
    <row r="306" spans="2:5" ht="15" customHeight="1">
      <c r="B306" s="84"/>
      <c r="C306" s="27" t="s">
        <v>115</v>
      </c>
      <c r="D306" s="26">
        <v>2</v>
      </c>
      <c r="E306" s="25">
        <v>2.6634705020641894E-4</v>
      </c>
    </row>
    <row r="307" spans="2:5" ht="15" customHeight="1">
      <c r="B307" s="84"/>
      <c r="C307" s="27" t="s">
        <v>119</v>
      </c>
      <c r="D307" s="26">
        <v>20</v>
      </c>
      <c r="E307" s="25">
        <v>2.6634705020641895E-3</v>
      </c>
    </row>
    <row r="308" spans="2:5" ht="15" customHeight="1">
      <c r="B308" s="84"/>
      <c r="C308" s="27" t="s">
        <v>112</v>
      </c>
      <c r="D308" s="26">
        <v>1</v>
      </c>
      <c r="E308" s="25">
        <v>1.3317352510320947E-4</v>
      </c>
    </row>
    <row r="309" spans="2:5" ht="15" customHeight="1">
      <c r="B309" s="84"/>
      <c r="C309" s="27" t="s">
        <v>116</v>
      </c>
      <c r="D309" s="26">
        <v>1</v>
      </c>
      <c r="E309" s="25">
        <v>1.3317352510320947E-4</v>
      </c>
    </row>
    <row r="310" spans="2:5" ht="15" customHeight="1">
      <c r="B310" s="84"/>
      <c r="C310" s="27" t="s">
        <v>117</v>
      </c>
      <c r="D310" s="26">
        <v>6</v>
      </c>
      <c r="E310" s="25">
        <v>7.9904115061925688E-4</v>
      </c>
    </row>
    <row r="311" spans="2:5" ht="15" customHeight="1">
      <c r="B311" s="84"/>
      <c r="C311" s="27" t="s">
        <v>118</v>
      </c>
      <c r="D311" s="26">
        <v>13</v>
      </c>
      <c r="E311" s="25">
        <v>1.7312558263417232E-3</v>
      </c>
    </row>
    <row r="312" spans="2:5" ht="15" customHeight="1">
      <c r="B312" s="84"/>
      <c r="C312" s="27" t="s">
        <v>113</v>
      </c>
      <c r="D312" s="26">
        <v>1</v>
      </c>
      <c r="E312" s="25">
        <v>1.3317352510320947E-4</v>
      </c>
    </row>
    <row r="313" spans="2:5" ht="15" customHeight="1">
      <c r="B313" s="84"/>
      <c r="C313" s="27" t="s">
        <v>114</v>
      </c>
      <c r="D313" s="26">
        <v>4</v>
      </c>
      <c r="E313" s="25">
        <v>5.3269410041283788E-4</v>
      </c>
    </row>
    <row r="314" spans="2:5" ht="15" customHeight="1">
      <c r="B314" s="85"/>
      <c r="C314" s="24" t="s">
        <v>53</v>
      </c>
      <c r="D314" s="23">
        <v>86</v>
      </c>
      <c r="E314" s="22">
        <v>1.1452923158876015E-2</v>
      </c>
    </row>
    <row r="315" spans="2:5" ht="15" customHeight="1">
      <c r="B315" s="83" t="s">
        <v>87</v>
      </c>
      <c r="C315" s="27" t="s">
        <v>0</v>
      </c>
      <c r="D315" s="26">
        <v>63</v>
      </c>
      <c r="E315" s="25">
        <v>8.3899320815021966E-3</v>
      </c>
    </row>
    <row r="316" spans="2:5" ht="15" customHeight="1">
      <c r="B316" s="84"/>
      <c r="C316" s="27" t="s">
        <v>115</v>
      </c>
      <c r="D316" s="26">
        <v>6</v>
      </c>
      <c r="E316" s="25">
        <v>7.9904115061925688E-4</v>
      </c>
    </row>
    <row r="317" spans="2:5" ht="15" customHeight="1">
      <c r="B317" s="84"/>
      <c r="C317" s="27" t="s">
        <v>119</v>
      </c>
      <c r="D317" s="26">
        <v>7</v>
      </c>
      <c r="E317" s="25">
        <v>9.3221467572246637E-4</v>
      </c>
    </row>
    <row r="318" spans="2:5" ht="15" customHeight="1">
      <c r="B318" s="84"/>
      <c r="C318" s="27" t="s">
        <v>110</v>
      </c>
      <c r="D318" s="26">
        <v>1</v>
      </c>
      <c r="E318" s="25">
        <v>1.3317352510320947E-4</v>
      </c>
    </row>
    <row r="319" spans="2:5" ht="15" customHeight="1">
      <c r="B319" s="84"/>
      <c r="C319" s="27" t="s">
        <v>116</v>
      </c>
      <c r="D319" s="26">
        <v>2</v>
      </c>
      <c r="E319" s="25">
        <v>2.6634705020641894E-4</v>
      </c>
    </row>
    <row r="320" spans="2:5" ht="15" customHeight="1">
      <c r="B320" s="84"/>
      <c r="C320" s="27" t="s">
        <v>117</v>
      </c>
      <c r="D320" s="26">
        <v>7</v>
      </c>
      <c r="E320" s="25">
        <v>9.3221467572246637E-4</v>
      </c>
    </row>
    <row r="321" spans="2:5" ht="15" customHeight="1">
      <c r="B321" s="84"/>
      <c r="C321" s="27" t="s">
        <v>118</v>
      </c>
      <c r="D321" s="26">
        <v>11</v>
      </c>
      <c r="E321" s="25">
        <v>1.4649087761353043E-3</v>
      </c>
    </row>
    <row r="322" spans="2:5" ht="15" customHeight="1">
      <c r="B322" s="84"/>
      <c r="C322" s="27" t="s">
        <v>113</v>
      </c>
      <c r="D322" s="26">
        <v>2</v>
      </c>
      <c r="E322" s="25">
        <v>2.6634705020641894E-4</v>
      </c>
    </row>
    <row r="323" spans="2:5" ht="15" customHeight="1">
      <c r="B323" s="84"/>
      <c r="C323" s="27" t="s">
        <v>111</v>
      </c>
      <c r="D323" s="26">
        <v>1</v>
      </c>
      <c r="E323" s="25">
        <v>1.3317352510320947E-4</v>
      </c>
    </row>
    <row r="324" spans="2:5" ht="15" customHeight="1">
      <c r="B324" s="84"/>
      <c r="C324" s="27" t="s">
        <v>114</v>
      </c>
      <c r="D324" s="26">
        <v>1</v>
      </c>
      <c r="E324" s="25">
        <v>1.3317352510320947E-4</v>
      </c>
    </row>
    <row r="325" spans="2:5" ht="15" customHeight="1">
      <c r="B325" s="85"/>
      <c r="C325" s="24" t="s">
        <v>53</v>
      </c>
      <c r="D325" s="23">
        <v>101</v>
      </c>
      <c r="E325" s="22">
        <v>1.3450526035424158E-2</v>
      </c>
    </row>
    <row r="326" spans="2:5" ht="15" customHeight="1">
      <c r="B326" s="83" t="s">
        <v>99</v>
      </c>
      <c r="C326" s="27" t="s">
        <v>0</v>
      </c>
      <c r="D326" s="26">
        <v>181</v>
      </c>
      <c r="E326" s="25">
        <v>2.4104408043680917E-2</v>
      </c>
    </row>
    <row r="327" spans="2:5" ht="15" customHeight="1">
      <c r="B327" s="84"/>
      <c r="C327" s="27" t="s">
        <v>115</v>
      </c>
      <c r="D327" s="26">
        <v>8</v>
      </c>
      <c r="E327" s="25">
        <v>1.0653882008256758E-3</v>
      </c>
    </row>
    <row r="328" spans="2:5" ht="15" customHeight="1">
      <c r="B328" s="84"/>
      <c r="C328" s="27" t="s">
        <v>119</v>
      </c>
      <c r="D328" s="26">
        <v>39</v>
      </c>
      <c r="E328" s="25">
        <v>5.1937674790251695E-3</v>
      </c>
    </row>
    <row r="329" spans="2:5" ht="15" customHeight="1">
      <c r="B329" s="84"/>
      <c r="C329" s="27" t="s">
        <v>112</v>
      </c>
      <c r="D329" s="26">
        <v>4</v>
      </c>
      <c r="E329" s="25">
        <v>5.3269410041283788E-4</v>
      </c>
    </row>
    <row r="330" spans="2:5" ht="15" customHeight="1">
      <c r="B330" s="84"/>
      <c r="C330" s="27" t="s">
        <v>110</v>
      </c>
      <c r="D330" s="26">
        <v>2</v>
      </c>
      <c r="E330" s="25">
        <v>2.6634705020641894E-4</v>
      </c>
    </row>
    <row r="331" spans="2:5" ht="15" customHeight="1">
      <c r="B331" s="84"/>
      <c r="C331" s="27" t="s">
        <v>116</v>
      </c>
      <c r="D331" s="26">
        <v>12</v>
      </c>
      <c r="E331" s="25">
        <v>1.5980823012385138E-3</v>
      </c>
    </row>
    <row r="332" spans="2:5" ht="15" customHeight="1">
      <c r="B332" s="84"/>
      <c r="C332" s="27" t="s">
        <v>117</v>
      </c>
      <c r="D332" s="26">
        <v>8</v>
      </c>
      <c r="E332" s="25">
        <v>1.0653882008256758E-3</v>
      </c>
    </row>
    <row r="333" spans="2:5" ht="15" customHeight="1">
      <c r="B333" s="84"/>
      <c r="C333" s="27" t="s">
        <v>118</v>
      </c>
      <c r="D333" s="26">
        <v>16</v>
      </c>
      <c r="E333" s="25">
        <v>2.1307764016513515E-3</v>
      </c>
    </row>
    <row r="334" spans="2:5" ht="15" customHeight="1">
      <c r="B334" s="84"/>
      <c r="C334" s="27" t="s">
        <v>113</v>
      </c>
      <c r="D334" s="26">
        <v>3</v>
      </c>
      <c r="E334" s="25">
        <v>3.9952057530962844E-4</v>
      </c>
    </row>
    <row r="335" spans="2:5" ht="15" customHeight="1">
      <c r="B335" s="84"/>
      <c r="C335" s="27" t="s">
        <v>111</v>
      </c>
      <c r="D335" s="26">
        <v>5</v>
      </c>
      <c r="E335" s="25">
        <v>6.6586762551604738E-4</v>
      </c>
    </row>
    <row r="336" spans="2:5" ht="15" customHeight="1">
      <c r="B336" s="84"/>
      <c r="C336" s="27" t="s">
        <v>114</v>
      </c>
      <c r="D336" s="26">
        <v>5</v>
      </c>
      <c r="E336" s="25">
        <v>6.6586762551604738E-4</v>
      </c>
    </row>
    <row r="337" spans="2:5" ht="15" customHeight="1">
      <c r="B337" s="85"/>
      <c r="C337" s="24" t="s">
        <v>53</v>
      </c>
      <c r="D337" s="23">
        <v>283</v>
      </c>
      <c r="E337" s="22">
        <v>3.7688107604208286E-2</v>
      </c>
    </row>
    <row r="338" spans="2:5" ht="15" customHeight="1">
      <c r="B338" s="83" t="s">
        <v>83</v>
      </c>
      <c r="C338" s="27" t="s">
        <v>0</v>
      </c>
      <c r="D338" s="26">
        <v>18</v>
      </c>
      <c r="E338" s="25">
        <v>2.3971234518577705E-3</v>
      </c>
    </row>
    <row r="339" spans="2:5" ht="15" customHeight="1">
      <c r="B339" s="84"/>
      <c r="C339" s="27" t="s">
        <v>119</v>
      </c>
      <c r="D339" s="26">
        <v>3</v>
      </c>
      <c r="E339" s="25">
        <v>3.9952057530962844E-4</v>
      </c>
    </row>
    <row r="340" spans="2:5" ht="15" customHeight="1">
      <c r="B340" s="84"/>
      <c r="C340" s="27" t="s">
        <v>112</v>
      </c>
      <c r="D340" s="26">
        <v>1</v>
      </c>
      <c r="E340" s="25">
        <v>1.3317352510320947E-4</v>
      </c>
    </row>
    <row r="341" spans="2:5" ht="15" customHeight="1">
      <c r="B341" s="84"/>
      <c r="C341" s="27" t="s">
        <v>116</v>
      </c>
      <c r="D341" s="26">
        <v>2</v>
      </c>
      <c r="E341" s="25">
        <v>2.6634705020641894E-4</v>
      </c>
    </row>
    <row r="342" spans="2:5" ht="15" customHeight="1">
      <c r="B342" s="84"/>
      <c r="C342" s="27" t="s">
        <v>118</v>
      </c>
      <c r="D342" s="26">
        <v>2</v>
      </c>
      <c r="E342" s="25">
        <v>2.6634705020641894E-4</v>
      </c>
    </row>
    <row r="343" spans="2:5" ht="15" customHeight="1">
      <c r="B343" s="84"/>
      <c r="C343" s="27" t="s">
        <v>114</v>
      </c>
      <c r="D343" s="26">
        <v>1</v>
      </c>
      <c r="E343" s="25">
        <v>1.3317352510320947E-4</v>
      </c>
    </row>
    <row r="344" spans="2:5" ht="15" customHeight="1">
      <c r="B344" s="85"/>
      <c r="C344" s="24" t="s">
        <v>53</v>
      </c>
      <c r="D344" s="23">
        <v>27</v>
      </c>
      <c r="E344" s="22">
        <v>3.595685177786656E-3</v>
      </c>
    </row>
    <row r="345" spans="2:5" ht="15" customHeight="1">
      <c r="B345" s="83" t="s">
        <v>96</v>
      </c>
      <c r="C345" s="27" t="s">
        <v>0</v>
      </c>
      <c r="D345" s="26">
        <v>61</v>
      </c>
      <c r="E345" s="25">
        <v>8.1235850312957776E-3</v>
      </c>
    </row>
    <row r="346" spans="2:5" ht="15" customHeight="1">
      <c r="B346" s="84"/>
      <c r="C346" s="27" t="s">
        <v>115</v>
      </c>
      <c r="D346" s="26">
        <v>7</v>
      </c>
      <c r="E346" s="25">
        <v>9.3221467572246637E-4</v>
      </c>
    </row>
    <row r="347" spans="2:5" ht="15" customHeight="1">
      <c r="B347" s="84"/>
      <c r="C347" s="27" t="s">
        <v>119</v>
      </c>
      <c r="D347" s="26">
        <v>9</v>
      </c>
      <c r="E347" s="25">
        <v>1.1985617259288853E-3</v>
      </c>
    </row>
    <row r="348" spans="2:5" ht="15" customHeight="1">
      <c r="B348" s="84"/>
      <c r="C348" s="27" t="s">
        <v>112</v>
      </c>
      <c r="D348" s="26">
        <v>1</v>
      </c>
      <c r="E348" s="25">
        <v>1.3317352510320947E-4</v>
      </c>
    </row>
    <row r="349" spans="2:5" ht="15" customHeight="1">
      <c r="B349" s="84"/>
      <c r="C349" s="27" t="s">
        <v>110</v>
      </c>
      <c r="D349" s="26">
        <v>1</v>
      </c>
      <c r="E349" s="25">
        <v>1.3317352510320947E-4</v>
      </c>
    </row>
    <row r="350" spans="2:5" ht="15" customHeight="1">
      <c r="B350" s="84"/>
      <c r="C350" s="27" t="s">
        <v>116</v>
      </c>
      <c r="D350" s="26">
        <v>8</v>
      </c>
      <c r="E350" s="25">
        <v>1.0653882008256758E-3</v>
      </c>
    </row>
    <row r="351" spans="2:5" ht="15" customHeight="1">
      <c r="B351" s="84"/>
      <c r="C351" s="27" t="s">
        <v>117</v>
      </c>
      <c r="D351" s="26">
        <v>2</v>
      </c>
      <c r="E351" s="25">
        <v>2.6634705020641894E-4</v>
      </c>
    </row>
    <row r="352" spans="2:5" ht="15" customHeight="1">
      <c r="B352" s="84"/>
      <c r="C352" s="27" t="s">
        <v>118</v>
      </c>
      <c r="D352" s="26">
        <v>7</v>
      </c>
      <c r="E352" s="25">
        <v>9.3221467572246637E-4</v>
      </c>
    </row>
    <row r="353" spans="2:5" ht="15" customHeight="1">
      <c r="B353" s="84"/>
      <c r="C353" s="27" t="s">
        <v>113</v>
      </c>
      <c r="D353" s="26">
        <v>1</v>
      </c>
      <c r="E353" s="25">
        <v>1.3317352510320947E-4</v>
      </c>
    </row>
    <row r="354" spans="2:5" ht="15" customHeight="1">
      <c r="B354" s="84"/>
      <c r="C354" s="27" t="s">
        <v>114</v>
      </c>
      <c r="D354" s="26">
        <v>2</v>
      </c>
      <c r="E354" s="25">
        <v>2.6634705020641894E-4</v>
      </c>
    </row>
    <row r="355" spans="2:5" ht="15" customHeight="1">
      <c r="B355" s="85"/>
      <c r="C355" s="24" t="s">
        <v>53</v>
      </c>
      <c r="D355" s="23">
        <v>99</v>
      </c>
      <c r="E355" s="22">
        <v>1.3184178985217739E-2</v>
      </c>
    </row>
    <row r="356" spans="2:5" ht="15" customHeight="1">
      <c r="B356" s="83" t="s">
        <v>97</v>
      </c>
      <c r="C356" s="27" t="s">
        <v>0</v>
      </c>
      <c r="D356" s="26">
        <v>43</v>
      </c>
      <c r="E356" s="25">
        <v>5.7264615794380075E-3</v>
      </c>
    </row>
    <row r="357" spans="2:5" ht="15" customHeight="1">
      <c r="B357" s="84"/>
      <c r="C357" s="27" t="s">
        <v>115</v>
      </c>
      <c r="D357" s="26">
        <v>4</v>
      </c>
      <c r="E357" s="25">
        <v>5.3269410041283788E-4</v>
      </c>
    </row>
    <row r="358" spans="2:5" ht="15" customHeight="1">
      <c r="B358" s="84"/>
      <c r="C358" s="27" t="s">
        <v>119</v>
      </c>
      <c r="D358" s="26">
        <v>8</v>
      </c>
      <c r="E358" s="25">
        <v>1.0653882008256758E-3</v>
      </c>
    </row>
    <row r="359" spans="2:5" ht="15" customHeight="1">
      <c r="B359" s="84"/>
      <c r="C359" s="27" t="s">
        <v>112</v>
      </c>
      <c r="D359" s="26">
        <v>5</v>
      </c>
      <c r="E359" s="25">
        <v>6.6586762551604738E-4</v>
      </c>
    </row>
    <row r="360" spans="2:5" ht="15" customHeight="1">
      <c r="B360" s="84"/>
      <c r="C360" s="27" t="s">
        <v>116</v>
      </c>
      <c r="D360" s="26">
        <v>1</v>
      </c>
      <c r="E360" s="25">
        <v>1.3317352510320947E-4</v>
      </c>
    </row>
    <row r="361" spans="2:5" ht="15" customHeight="1">
      <c r="B361" s="84"/>
      <c r="C361" s="27" t="s">
        <v>117</v>
      </c>
      <c r="D361" s="26">
        <v>3</v>
      </c>
      <c r="E361" s="25">
        <v>3.9952057530962844E-4</v>
      </c>
    </row>
    <row r="362" spans="2:5" ht="15" customHeight="1">
      <c r="B362" s="84"/>
      <c r="C362" s="27" t="s">
        <v>118</v>
      </c>
      <c r="D362" s="26">
        <v>6</v>
      </c>
      <c r="E362" s="25">
        <v>7.9904115061925688E-4</v>
      </c>
    </row>
    <row r="363" spans="2:5" ht="15" customHeight="1">
      <c r="B363" s="85"/>
      <c r="C363" s="24" t="s">
        <v>53</v>
      </c>
      <c r="D363" s="23">
        <v>70</v>
      </c>
      <c r="E363" s="22">
        <v>9.3221467572246631E-3</v>
      </c>
    </row>
    <row r="364" spans="2:5" ht="15" customHeight="1">
      <c r="B364" s="83" t="s">
        <v>98</v>
      </c>
      <c r="C364" s="27" t="s">
        <v>0</v>
      </c>
      <c r="D364" s="26">
        <v>92</v>
      </c>
      <c r="E364" s="25">
        <v>1.2251964309495272E-2</v>
      </c>
    </row>
    <row r="365" spans="2:5" ht="15" customHeight="1">
      <c r="B365" s="84"/>
      <c r="C365" s="27" t="s">
        <v>115</v>
      </c>
      <c r="D365" s="26">
        <v>2</v>
      </c>
      <c r="E365" s="25">
        <v>2.6634705020641894E-4</v>
      </c>
    </row>
    <row r="366" spans="2:5" ht="15" customHeight="1">
      <c r="B366" s="84"/>
      <c r="C366" s="27" t="s">
        <v>119</v>
      </c>
      <c r="D366" s="26">
        <v>28</v>
      </c>
      <c r="E366" s="25">
        <v>3.7288587028898655E-3</v>
      </c>
    </row>
    <row r="367" spans="2:5" ht="15" customHeight="1">
      <c r="B367" s="84"/>
      <c r="C367" s="27" t="s">
        <v>112</v>
      </c>
      <c r="D367" s="26">
        <v>1</v>
      </c>
      <c r="E367" s="25">
        <v>1.3317352510320947E-4</v>
      </c>
    </row>
    <row r="368" spans="2:5" ht="15" customHeight="1">
      <c r="B368" s="84"/>
      <c r="C368" s="27" t="s">
        <v>116</v>
      </c>
      <c r="D368" s="26">
        <v>5</v>
      </c>
      <c r="E368" s="25">
        <v>6.6586762551604738E-4</v>
      </c>
    </row>
    <row r="369" spans="2:5" ht="15" customHeight="1">
      <c r="B369" s="84"/>
      <c r="C369" s="27" t="s">
        <v>117</v>
      </c>
      <c r="D369" s="26">
        <v>3</v>
      </c>
      <c r="E369" s="25">
        <v>3.9952057530962844E-4</v>
      </c>
    </row>
    <row r="370" spans="2:5" ht="15" customHeight="1">
      <c r="B370" s="84"/>
      <c r="C370" s="27" t="s">
        <v>118</v>
      </c>
      <c r="D370" s="26">
        <v>7</v>
      </c>
      <c r="E370" s="25">
        <v>9.3221467572246637E-4</v>
      </c>
    </row>
    <row r="371" spans="2:5" ht="15" customHeight="1">
      <c r="B371" s="84"/>
      <c r="C371" s="27" t="s">
        <v>114</v>
      </c>
      <c r="D371" s="26">
        <v>4</v>
      </c>
      <c r="E371" s="25">
        <v>5.3269410041283788E-4</v>
      </c>
    </row>
    <row r="372" spans="2:5" ht="15" customHeight="1">
      <c r="B372" s="85"/>
      <c r="C372" s="24" t="s">
        <v>53</v>
      </c>
      <c r="D372" s="23">
        <v>142</v>
      </c>
      <c r="E372" s="22">
        <v>1.8910640564655745E-2</v>
      </c>
    </row>
    <row r="373" spans="2:5" ht="15" customHeight="1">
      <c r="B373" s="83" t="s">
        <v>76</v>
      </c>
      <c r="C373" s="27" t="s">
        <v>0</v>
      </c>
      <c r="D373" s="26">
        <v>33</v>
      </c>
      <c r="E373" s="25">
        <v>4.3947263284059125E-3</v>
      </c>
    </row>
    <row r="374" spans="2:5" ht="15" customHeight="1">
      <c r="B374" s="84"/>
      <c r="C374" s="27" t="s">
        <v>115</v>
      </c>
      <c r="D374" s="26">
        <v>1</v>
      </c>
      <c r="E374" s="25">
        <v>1.3317352510320947E-4</v>
      </c>
    </row>
    <row r="375" spans="2:5" ht="15" customHeight="1">
      <c r="B375" s="84"/>
      <c r="C375" s="27" t="s">
        <v>119</v>
      </c>
      <c r="D375" s="26">
        <v>12</v>
      </c>
      <c r="E375" s="25">
        <v>1.5980823012385138E-3</v>
      </c>
    </row>
    <row r="376" spans="2:5" ht="15" customHeight="1">
      <c r="B376" s="84"/>
      <c r="C376" s="27" t="s">
        <v>116</v>
      </c>
      <c r="D376" s="26">
        <v>6</v>
      </c>
      <c r="E376" s="25">
        <v>7.9904115061925688E-4</v>
      </c>
    </row>
    <row r="377" spans="2:5" ht="15" customHeight="1">
      <c r="B377" s="84"/>
      <c r="C377" s="27" t="s">
        <v>117</v>
      </c>
      <c r="D377" s="26">
        <v>18</v>
      </c>
      <c r="E377" s="25">
        <v>2.3971234518577705E-3</v>
      </c>
    </row>
    <row r="378" spans="2:5" ht="15" customHeight="1">
      <c r="B378" s="84"/>
      <c r="C378" s="27" t="s">
        <v>118</v>
      </c>
      <c r="D378" s="26">
        <v>6</v>
      </c>
      <c r="E378" s="25">
        <v>7.9904115061925688E-4</v>
      </c>
    </row>
    <row r="379" spans="2:5" ht="15" customHeight="1">
      <c r="B379" s="84"/>
      <c r="C379" s="27" t="s">
        <v>113</v>
      </c>
      <c r="D379" s="26">
        <v>2</v>
      </c>
      <c r="E379" s="25">
        <v>2.6634705020641894E-4</v>
      </c>
    </row>
    <row r="380" spans="2:5" ht="15" customHeight="1">
      <c r="B380" s="84"/>
      <c r="C380" s="27" t="s">
        <v>111</v>
      </c>
      <c r="D380" s="26">
        <v>6</v>
      </c>
      <c r="E380" s="25">
        <v>7.9904115061925688E-4</v>
      </c>
    </row>
    <row r="381" spans="2:5" ht="15" customHeight="1">
      <c r="B381" s="84"/>
      <c r="C381" s="27" t="s">
        <v>114</v>
      </c>
      <c r="D381" s="26">
        <v>1</v>
      </c>
      <c r="E381" s="25">
        <v>1.3317352510320947E-4</v>
      </c>
    </row>
    <row r="382" spans="2:5" ht="15" customHeight="1">
      <c r="B382" s="85"/>
      <c r="C382" s="24" t="s">
        <v>53</v>
      </c>
      <c r="D382" s="23">
        <v>85</v>
      </c>
      <c r="E382" s="22">
        <v>1.1319749633772806E-2</v>
      </c>
    </row>
    <row r="383" spans="2:5" ht="15" customHeight="1">
      <c r="B383" s="83" t="s">
        <v>67</v>
      </c>
      <c r="C383" s="27" t="s">
        <v>0</v>
      </c>
      <c r="D383" s="26">
        <v>8</v>
      </c>
      <c r="E383" s="25">
        <v>1.0653882008256758E-3</v>
      </c>
    </row>
    <row r="384" spans="2:5" ht="15" customHeight="1">
      <c r="B384" s="84"/>
      <c r="C384" s="27" t="s">
        <v>116</v>
      </c>
      <c r="D384" s="26">
        <v>1</v>
      </c>
      <c r="E384" s="25">
        <v>1.3317352510320947E-4</v>
      </c>
    </row>
    <row r="385" spans="2:5" ht="15" customHeight="1">
      <c r="B385" s="85"/>
      <c r="C385" s="24" t="s">
        <v>53</v>
      </c>
      <c r="D385" s="23">
        <v>9</v>
      </c>
      <c r="E385" s="22">
        <v>1.1985617259288853E-3</v>
      </c>
    </row>
    <row r="386" spans="2:5" ht="15" customHeight="1">
      <c r="B386" s="83" t="s">
        <v>18</v>
      </c>
      <c r="C386" s="27" t="s">
        <v>0</v>
      </c>
      <c r="D386" s="26">
        <v>36</v>
      </c>
      <c r="E386" s="25">
        <v>4.794246903715541E-3</v>
      </c>
    </row>
    <row r="387" spans="2:5" ht="15" customHeight="1">
      <c r="B387" s="84"/>
      <c r="C387" s="27" t="s">
        <v>115</v>
      </c>
      <c r="D387" s="26">
        <v>1</v>
      </c>
      <c r="E387" s="25">
        <v>1.3317352510320947E-4</v>
      </c>
    </row>
    <row r="388" spans="2:5" ht="15" customHeight="1">
      <c r="B388" s="84"/>
      <c r="C388" s="27" t="s">
        <v>119</v>
      </c>
      <c r="D388" s="26">
        <v>2</v>
      </c>
      <c r="E388" s="25">
        <v>2.6634705020641894E-4</v>
      </c>
    </row>
    <row r="389" spans="2:5" ht="15" customHeight="1">
      <c r="B389" s="84"/>
      <c r="C389" s="27" t="s">
        <v>110</v>
      </c>
      <c r="D389" s="26">
        <v>1</v>
      </c>
      <c r="E389" s="25">
        <v>1.3317352510320947E-4</v>
      </c>
    </row>
    <row r="390" spans="2:5" ht="15" customHeight="1">
      <c r="B390" s="84"/>
      <c r="C390" s="27" t="s">
        <v>116</v>
      </c>
      <c r="D390" s="26">
        <v>1</v>
      </c>
      <c r="E390" s="25">
        <v>1.3317352510320947E-4</v>
      </c>
    </row>
    <row r="391" spans="2:5" ht="15" customHeight="1">
      <c r="B391" s="84"/>
      <c r="C391" s="27" t="s">
        <v>117</v>
      </c>
      <c r="D391" s="26">
        <v>2</v>
      </c>
      <c r="E391" s="25">
        <v>2.6634705020641894E-4</v>
      </c>
    </row>
    <row r="392" spans="2:5" ht="15" customHeight="1">
      <c r="B392" s="84"/>
      <c r="C392" s="27" t="s">
        <v>118</v>
      </c>
      <c r="D392" s="26">
        <v>3</v>
      </c>
      <c r="E392" s="25">
        <v>3.9952057530962844E-4</v>
      </c>
    </row>
    <row r="393" spans="2:5" ht="15" customHeight="1">
      <c r="B393" s="84"/>
      <c r="C393" s="27" t="s">
        <v>111</v>
      </c>
      <c r="D393" s="26">
        <v>1</v>
      </c>
      <c r="E393" s="25">
        <v>1.3317352510320947E-4</v>
      </c>
    </row>
    <row r="394" spans="2:5" ht="15" customHeight="1">
      <c r="B394" s="85"/>
      <c r="C394" s="24" t="s">
        <v>53</v>
      </c>
      <c r="D394" s="23">
        <v>47</v>
      </c>
      <c r="E394" s="22">
        <v>6.2591556798508455E-3</v>
      </c>
    </row>
    <row r="395" spans="2:5" ht="15" customHeight="1">
      <c r="B395" s="83" t="s">
        <v>64</v>
      </c>
      <c r="C395" s="27" t="s">
        <v>0</v>
      </c>
      <c r="D395" s="26">
        <v>2</v>
      </c>
      <c r="E395" s="25">
        <v>2.6634705020641894E-4</v>
      </c>
    </row>
    <row r="396" spans="2:5" ht="15" customHeight="1">
      <c r="B396" s="85"/>
      <c r="C396" s="24" t="s">
        <v>53</v>
      </c>
      <c r="D396" s="23">
        <v>2</v>
      </c>
      <c r="E396" s="22">
        <v>2.6634705020641894E-4</v>
      </c>
    </row>
    <row r="397" spans="2:5" ht="15" customHeight="1">
      <c r="B397" s="95" t="s">
        <v>53</v>
      </c>
      <c r="C397" s="96"/>
      <c r="D397" s="97">
        <v>7509</v>
      </c>
      <c r="E397" s="98">
        <v>1</v>
      </c>
    </row>
    <row r="399" spans="2:5" ht="15" customHeight="1">
      <c r="B399" s="17" t="s">
        <v>54</v>
      </c>
    </row>
    <row r="400" spans="2:5" ht="15" customHeight="1">
      <c r="B400" s="18" t="s">
        <v>55</v>
      </c>
    </row>
    <row r="401" spans="2:2" ht="15" customHeight="1">
      <c r="B401" s="19" t="s">
        <v>56</v>
      </c>
    </row>
    <row r="402" spans="2:2" ht="15" customHeight="1">
      <c r="B402" s="17" t="s">
        <v>57</v>
      </c>
    </row>
    <row r="403" spans="2:2" ht="15" customHeight="1">
      <c r="B403" s="17" t="s">
        <v>58</v>
      </c>
    </row>
  </sheetData>
  <mergeCells count="50">
    <mergeCell ref="B326:B337"/>
    <mergeCell ref="B338:B344"/>
    <mergeCell ref="B395:B396"/>
    <mergeCell ref="B397:C397"/>
    <mergeCell ref="B345:B355"/>
    <mergeCell ref="B356:B363"/>
    <mergeCell ref="B364:B372"/>
    <mergeCell ref="B373:B382"/>
    <mergeCell ref="B383:B385"/>
    <mergeCell ref="B386:B394"/>
    <mergeCell ref="B240:B249"/>
    <mergeCell ref="B250:B257"/>
    <mergeCell ref="B258:B266"/>
    <mergeCell ref="B267:B273"/>
    <mergeCell ref="B274:B279"/>
    <mergeCell ref="B280:B288"/>
    <mergeCell ref="B289:B298"/>
    <mergeCell ref="B299:B304"/>
    <mergeCell ref="B305:B314"/>
    <mergeCell ref="B315:B325"/>
    <mergeCell ref="B155:B156"/>
    <mergeCell ref="B157:B168"/>
    <mergeCell ref="B169:B180"/>
    <mergeCell ref="B181:B192"/>
    <mergeCell ref="B193:B199"/>
    <mergeCell ref="B200:B207"/>
    <mergeCell ref="B208:B216"/>
    <mergeCell ref="B217:B223"/>
    <mergeCell ref="B224:B231"/>
    <mergeCell ref="B232:B239"/>
    <mergeCell ref="B80:B81"/>
    <mergeCell ref="B82:B92"/>
    <mergeCell ref="B93:B98"/>
    <mergeCell ref="B99:B100"/>
    <mergeCell ref="B101:B107"/>
    <mergeCell ref="B108:B111"/>
    <mergeCell ref="B112:B123"/>
    <mergeCell ref="B124:B135"/>
    <mergeCell ref="B136:B145"/>
    <mergeCell ref="B146:B154"/>
    <mergeCell ref="B7:E8"/>
    <mergeCell ref="B10:B19"/>
    <mergeCell ref="B20:B30"/>
    <mergeCell ref="B31:B38"/>
    <mergeCell ref="B39:B46"/>
    <mergeCell ref="B47:B48"/>
    <mergeCell ref="B49:B54"/>
    <mergeCell ref="B55:B56"/>
    <mergeCell ref="B57:B68"/>
    <mergeCell ref="B69:B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9" manualBreakCount="9">
    <brk id="48" max="4" man="1"/>
    <brk id="92" max="4" man="1"/>
    <brk id="135" max="4" man="1"/>
    <brk id="168" max="4" man="1"/>
    <brk id="207" max="4" man="1"/>
    <brk id="249" max="4" man="1"/>
    <brk id="288" max="4" man="1"/>
    <brk id="325" max="4" man="1"/>
    <brk id="363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D44"/>
  <sheetViews>
    <sheetView showGridLines="0" topLeftCell="A16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152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151</v>
      </c>
      <c r="C11" s="6" t="s">
        <v>150</v>
      </c>
      <c r="D11" s="7" t="s">
        <v>4</v>
      </c>
    </row>
    <row r="12" spans="1:4" ht="15" customHeight="1">
      <c r="B12" s="9" t="s">
        <v>149</v>
      </c>
      <c r="C12" s="10">
        <v>65</v>
      </c>
      <c r="D12" s="11">
        <f t="shared" ref="D12:D36" si="0">C12/$C$36</f>
        <v>8.6562791317086156E-3</v>
      </c>
    </row>
    <row r="13" spans="1:4">
      <c r="B13" s="9" t="s">
        <v>148</v>
      </c>
      <c r="C13" s="10">
        <v>25</v>
      </c>
      <c r="D13" s="11">
        <f t="shared" si="0"/>
        <v>3.329338127580237E-3</v>
      </c>
    </row>
    <row r="14" spans="1:4" s="12" customFormat="1">
      <c r="A14" s="8"/>
      <c r="B14" s="9" t="s">
        <v>147</v>
      </c>
      <c r="C14" s="10">
        <v>46</v>
      </c>
      <c r="D14" s="11">
        <f t="shared" si="0"/>
        <v>6.125982154747636E-3</v>
      </c>
    </row>
    <row r="15" spans="1:4" s="12" customFormat="1">
      <c r="A15" s="8"/>
      <c r="B15" s="9" t="s">
        <v>146</v>
      </c>
      <c r="C15" s="10">
        <v>89</v>
      </c>
      <c r="D15" s="11">
        <f t="shared" si="0"/>
        <v>1.1852443734185644E-2</v>
      </c>
    </row>
    <row r="16" spans="1:4">
      <c r="B16" s="9" t="s">
        <v>145</v>
      </c>
      <c r="C16" s="10">
        <v>82</v>
      </c>
      <c r="D16" s="11">
        <f t="shared" si="0"/>
        <v>1.0920229058463177E-2</v>
      </c>
    </row>
    <row r="17" spans="2:4">
      <c r="B17" s="9" t="s">
        <v>144</v>
      </c>
      <c r="C17" s="10">
        <v>108</v>
      </c>
      <c r="D17" s="11">
        <f t="shared" si="0"/>
        <v>1.4382740711146624E-2</v>
      </c>
    </row>
    <row r="18" spans="2:4">
      <c r="B18" s="9" t="s">
        <v>143</v>
      </c>
      <c r="C18" s="10">
        <v>609</v>
      </c>
      <c r="D18" s="11">
        <f t="shared" si="0"/>
        <v>8.1102676787854572E-2</v>
      </c>
    </row>
    <row r="19" spans="2:4" ht="27">
      <c r="B19" s="9" t="s">
        <v>142</v>
      </c>
      <c r="C19" s="10">
        <v>1118</v>
      </c>
      <c r="D19" s="11">
        <f t="shared" si="0"/>
        <v>0.14888800106538821</v>
      </c>
    </row>
    <row r="20" spans="2:4">
      <c r="B20" s="9" t="s">
        <v>141</v>
      </c>
      <c r="C20" s="10">
        <v>86</v>
      </c>
      <c r="D20" s="11">
        <f t="shared" si="0"/>
        <v>1.1452923158876015E-2</v>
      </c>
    </row>
    <row r="21" spans="2:4">
      <c r="B21" s="9" t="s">
        <v>140</v>
      </c>
      <c r="C21" s="10">
        <v>185</v>
      </c>
      <c r="D21" s="11">
        <f t="shared" si="0"/>
        <v>2.4637102144093755E-2</v>
      </c>
    </row>
    <row r="22" spans="2:4">
      <c r="B22" s="9" t="s">
        <v>139</v>
      </c>
      <c r="C22" s="10">
        <v>306</v>
      </c>
      <c r="D22" s="11">
        <f t="shared" si="0"/>
        <v>4.0751098681582103E-2</v>
      </c>
    </row>
    <row r="23" spans="2:4" ht="27">
      <c r="B23" s="9" t="s">
        <v>138</v>
      </c>
      <c r="C23" s="10">
        <v>2643</v>
      </c>
      <c r="D23" s="11">
        <f t="shared" si="0"/>
        <v>0.35197762684778267</v>
      </c>
    </row>
    <row r="24" spans="2:4">
      <c r="B24" s="9" t="s">
        <v>137</v>
      </c>
      <c r="C24" s="10">
        <v>72</v>
      </c>
      <c r="D24" s="11">
        <f t="shared" si="0"/>
        <v>9.5884938074310821E-3</v>
      </c>
    </row>
    <row r="25" spans="2:4" ht="27">
      <c r="B25" s="9" t="s">
        <v>136</v>
      </c>
      <c r="C25" s="10">
        <v>464</v>
      </c>
      <c r="D25" s="11">
        <f t="shared" si="0"/>
        <v>6.17925156478892E-2</v>
      </c>
    </row>
    <row r="26" spans="2:4" ht="27">
      <c r="B26" s="9" t="s">
        <v>135</v>
      </c>
      <c r="C26" s="10">
        <v>1272</v>
      </c>
      <c r="D26" s="11">
        <f t="shared" si="0"/>
        <v>0.16939672393128247</v>
      </c>
    </row>
    <row r="27" spans="2:4">
      <c r="B27" s="9" t="s">
        <v>134</v>
      </c>
      <c r="C27" s="10">
        <v>27</v>
      </c>
      <c r="D27" s="11">
        <f t="shared" si="0"/>
        <v>3.595685177786656E-3</v>
      </c>
    </row>
    <row r="28" spans="2:4">
      <c r="B28" s="9" t="s">
        <v>133</v>
      </c>
      <c r="C28" s="10">
        <v>22</v>
      </c>
      <c r="D28" s="11">
        <f t="shared" si="0"/>
        <v>2.9298175522706085E-3</v>
      </c>
    </row>
    <row r="29" spans="2:4">
      <c r="B29" s="9" t="s">
        <v>132</v>
      </c>
      <c r="C29" s="10">
        <v>11</v>
      </c>
      <c r="D29" s="11">
        <f t="shared" si="0"/>
        <v>1.4649087761353043E-3</v>
      </c>
    </row>
    <row r="30" spans="2:4">
      <c r="B30" s="9" t="s">
        <v>131</v>
      </c>
      <c r="C30" s="10">
        <v>7</v>
      </c>
      <c r="D30" s="11">
        <f t="shared" si="0"/>
        <v>9.3221467572246637E-4</v>
      </c>
    </row>
    <row r="31" spans="2:4">
      <c r="B31" s="9" t="s">
        <v>130</v>
      </c>
      <c r="C31" s="10">
        <v>90</v>
      </c>
      <c r="D31" s="11">
        <f t="shared" si="0"/>
        <v>1.1985617259288853E-2</v>
      </c>
    </row>
    <row r="32" spans="2:4">
      <c r="B32" s="9" t="s">
        <v>129</v>
      </c>
      <c r="C32" s="10">
        <v>161</v>
      </c>
      <c r="D32" s="11">
        <f t="shared" si="0"/>
        <v>2.1440937541616727E-2</v>
      </c>
    </row>
    <row r="33" spans="1:4">
      <c r="B33" s="9" t="s">
        <v>128</v>
      </c>
      <c r="C33" s="10">
        <v>10</v>
      </c>
      <c r="D33" s="11">
        <f t="shared" si="0"/>
        <v>1.3317352510320948E-3</v>
      </c>
    </row>
    <row r="34" spans="1:4">
      <c r="B34" s="9" t="s">
        <v>127</v>
      </c>
      <c r="C34" s="10">
        <v>5</v>
      </c>
      <c r="D34" s="11">
        <f t="shared" si="0"/>
        <v>6.6586762551604738E-4</v>
      </c>
    </row>
    <row r="35" spans="1:4">
      <c r="B35" s="9" t="s">
        <v>126</v>
      </c>
      <c r="C35" s="10">
        <v>6</v>
      </c>
      <c r="D35" s="11">
        <f t="shared" si="0"/>
        <v>7.9904115061925688E-4</v>
      </c>
    </row>
    <row r="36" spans="1:4">
      <c r="B36" s="13" t="s">
        <v>53</v>
      </c>
      <c r="C36" s="14">
        <v>7509</v>
      </c>
      <c r="D36" s="15">
        <f t="shared" si="0"/>
        <v>1</v>
      </c>
    </row>
    <row r="38" spans="1:4">
      <c r="A38" s="40" t="s">
        <v>125</v>
      </c>
    </row>
    <row r="39" spans="1:4">
      <c r="A39" s="40" t="s">
        <v>55</v>
      </c>
    </row>
    <row r="40" spans="1:4">
      <c r="A40" s="40" t="s">
        <v>56</v>
      </c>
    </row>
    <row r="41" spans="1:4">
      <c r="A41" s="40" t="s">
        <v>57</v>
      </c>
    </row>
    <row r="42" spans="1:4">
      <c r="A42" s="40" t="s">
        <v>124</v>
      </c>
    </row>
    <row r="43" spans="1:4">
      <c r="A43" s="40"/>
    </row>
    <row r="44" spans="1:4">
      <c r="A44" s="4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537"/>
  <sheetViews>
    <sheetView topLeftCell="A513" zoomScale="145" zoomScaleNormal="145" zoomScaleSheetLayoutView="85" workbookViewId="0">
      <selection activeCell="B531" sqref="B531:E53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86"/>
      <c r="C7" s="86"/>
      <c r="D7" s="86"/>
      <c r="E7" s="86"/>
    </row>
    <row r="8" spans="1:5" s="31" customFormat="1" ht="33" customHeight="1">
      <c r="A8" s="32"/>
      <c r="B8" s="86"/>
      <c r="C8" s="86"/>
      <c r="D8" s="86"/>
      <c r="E8" s="86"/>
    </row>
    <row r="9" spans="1:5" s="1" customFormat="1" ht="40.5" customHeight="1">
      <c r="B9" s="28" t="s">
        <v>153</v>
      </c>
      <c r="C9" s="30" t="s">
        <v>123</v>
      </c>
      <c r="D9" s="29" t="s">
        <v>3</v>
      </c>
      <c r="E9" s="28" t="s">
        <v>4</v>
      </c>
    </row>
    <row r="10" spans="1:5" ht="15" customHeight="1">
      <c r="B10" s="83" t="s">
        <v>149</v>
      </c>
      <c r="C10" s="27" t="s">
        <v>23</v>
      </c>
      <c r="D10" s="26">
        <v>1</v>
      </c>
      <c r="E10" s="25">
        <v>1.3317352510320947E-4</v>
      </c>
    </row>
    <row r="11" spans="1:5" ht="15" customHeight="1">
      <c r="B11" s="84"/>
      <c r="C11" s="27" t="s">
        <v>14</v>
      </c>
      <c r="D11" s="26">
        <v>1</v>
      </c>
      <c r="E11" s="25">
        <v>1.3317352510320947E-4</v>
      </c>
    </row>
    <row r="12" spans="1:5" ht="15" customHeight="1">
      <c r="B12" s="84"/>
      <c r="C12" s="27" t="s">
        <v>5</v>
      </c>
      <c r="D12" s="26">
        <v>19</v>
      </c>
      <c r="E12" s="25">
        <v>2.53029697696098E-3</v>
      </c>
    </row>
    <row r="13" spans="1:5" s="33" customFormat="1" ht="15" customHeight="1">
      <c r="A13" s="20"/>
      <c r="B13" s="84"/>
      <c r="C13" s="27" t="s">
        <v>9</v>
      </c>
      <c r="D13" s="26">
        <v>4</v>
      </c>
      <c r="E13" s="25">
        <v>5.3269410041283788E-4</v>
      </c>
    </row>
    <row r="14" spans="1:5" s="33" customFormat="1" ht="15" customHeight="1">
      <c r="A14" s="20"/>
      <c r="B14" s="84"/>
      <c r="C14" s="27" t="s">
        <v>11</v>
      </c>
      <c r="D14" s="26">
        <v>1</v>
      </c>
      <c r="E14" s="25">
        <v>1.3317352510320947E-4</v>
      </c>
    </row>
    <row r="15" spans="1:5" ht="15" customHeight="1">
      <c r="B15" s="84"/>
      <c r="C15" s="27" t="s">
        <v>13</v>
      </c>
      <c r="D15" s="26">
        <v>2</v>
      </c>
      <c r="E15" s="25">
        <v>2.6634705020641894E-4</v>
      </c>
    </row>
    <row r="16" spans="1:5" ht="15" customHeight="1">
      <c r="B16" s="84"/>
      <c r="C16" s="27" t="s">
        <v>7</v>
      </c>
      <c r="D16" s="26">
        <v>7</v>
      </c>
      <c r="E16" s="25">
        <v>9.3221467572246637E-4</v>
      </c>
    </row>
    <row r="17" spans="2:5" ht="15" customHeight="1">
      <c r="B17" s="84"/>
      <c r="C17" s="27" t="s">
        <v>10</v>
      </c>
      <c r="D17" s="26">
        <v>2</v>
      </c>
      <c r="E17" s="25">
        <v>2.6634705020641894E-4</v>
      </c>
    </row>
    <row r="18" spans="2:5" ht="15" customHeight="1">
      <c r="B18" s="84"/>
      <c r="C18" s="27" t="s">
        <v>40</v>
      </c>
      <c r="D18" s="26">
        <v>1</v>
      </c>
      <c r="E18" s="25">
        <v>1.3317352510320947E-4</v>
      </c>
    </row>
    <row r="19" spans="2:5" ht="15" customHeight="1">
      <c r="B19" s="84"/>
      <c r="C19" s="27" t="s">
        <v>12</v>
      </c>
      <c r="D19" s="26">
        <v>2</v>
      </c>
      <c r="E19" s="25">
        <v>2.6634705020641894E-4</v>
      </c>
    </row>
    <row r="20" spans="2:5" ht="15" customHeight="1">
      <c r="B20" s="84"/>
      <c r="C20" s="27" t="s">
        <v>19</v>
      </c>
      <c r="D20" s="26">
        <v>2</v>
      </c>
      <c r="E20" s="25">
        <v>2.6634705020641894E-4</v>
      </c>
    </row>
    <row r="21" spans="2:5" ht="15" customHeight="1">
      <c r="B21" s="84"/>
      <c r="C21" s="27" t="s">
        <v>8</v>
      </c>
      <c r="D21" s="26">
        <v>8</v>
      </c>
      <c r="E21" s="25">
        <v>1.0653882008256758E-3</v>
      </c>
    </row>
    <row r="22" spans="2:5" ht="15" customHeight="1">
      <c r="B22" s="84"/>
      <c r="C22" s="27" t="s">
        <v>6</v>
      </c>
      <c r="D22" s="26">
        <v>13</v>
      </c>
      <c r="E22" s="25">
        <v>1.7312558263417232E-3</v>
      </c>
    </row>
    <row r="23" spans="2:5" ht="15" customHeight="1">
      <c r="B23" s="84"/>
      <c r="C23" s="27" t="s">
        <v>21</v>
      </c>
      <c r="D23" s="26">
        <v>1</v>
      </c>
      <c r="E23" s="25">
        <v>1.3317352510320947E-4</v>
      </c>
    </row>
    <row r="24" spans="2:5" ht="15" customHeight="1">
      <c r="B24" s="84"/>
      <c r="C24" s="27" t="s">
        <v>18</v>
      </c>
      <c r="D24" s="26">
        <v>1</v>
      </c>
      <c r="E24" s="25">
        <v>1.3317352510320947E-4</v>
      </c>
    </row>
    <row r="25" spans="2:5" ht="15" customHeight="1">
      <c r="B25" s="85"/>
      <c r="C25" s="24" t="s">
        <v>53</v>
      </c>
      <c r="D25" s="23">
        <v>65</v>
      </c>
      <c r="E25" s="22">
        <v>8.6562791317086156E-3</v>
      </c>
    </row>
    <row r="26" spans="2:5" ht="15" customHeight="1">
      <c r="B26" s="83" t="s">
        <v>148</v>
      </c>
      <c r="C26" s="27" t="s">
        <v>23</v>
      </c>
      <c r="D26" s="26">
        <v>1</v>
      </c>
      <c r="E26" s="25">
        <v>1.3317352510320947E-4</v>
      </c>
    </row>
    <row r="27" spans="2:5" ht="15" customHeight="1">
      <c r="B27" s="84"/>
      <c r="C27" s="27" t="s">
        <v>5</v>
      </c>
      <c r="D27" s="26">
        <v>8</v>
      </c>
      <c r="E27" s="25">
        <v>1.0653882008256758E-3</v>
      </c>
    </row>
    <row r="28" spans="2:5" ht="15" customHeight="1">
      <c r="B28" s="84"/>
      <c r="C28" s="27" t="s">
        <v>9</v>
      </c>
      <c r="D28" s="26">
        <v>4</v>
      </c>
      <c r="E28" s="25">
        <v>5.3269410041283788E-4</v>
      </c>
    </row>
    <row r="29" spans="2:5" ht="15" customHeight="1">
      <c r="B29" s="84"/>
      <c r="C29" s="27" t="s">
        <v>13</v>
      </c>
      <c r="D29" s="26">
        <v>1</v>
      </c>
      <c r="E29" s="25">
        <v>1.3317352510320947E-4</v>
      </c>
    </row>
    <row r="30" spans="2:5" ht="15" customHeight="1">
      <c r="B30" s="84"/>
      <c r="C30" s="27" t="s">
        <v>7</v>
      </c>
      <c r="D30" s="26">
        <v>1</v>
      </c>
      <c r="E30" s="25">
        <v>1.3317352510320947E-4</v>
      </c>
    </row>
    <row r="31" spans="2:5" ht="15" customHeight="1">
      <c r="B31" s="84"/>
      <c r="C31" s="27" t="s">
        <v>17</v>
      </c>
      <c r="D31" s="26">
        <v>1</v>
      </c>
      <c r="E31" s="25">
        <v>1.3317352510320947E-4</v>
      </c>
    </row>
    <row r="32" spans="2:5" ht="15" customHeight="1">
      <c r="B32" s="84"/>
      <c r="C32" s="27" t="s">
        <v>20</v>
      </c>
      <c r="D32" s="26">
        <v>1</v>
      </c>
      <c r="E32" s="25">
        <v>1.3317352510320947E-4</v>
      </c>
    </row>
    <row r="33" spans="2:5" ht="15" customHeight="1">
      <c r="B33" s="84"/>
      <c r="C33" s="27" t="s">
        <v>16</v>
      </c>
      <c r="D33" s="26">
        <v>1</v>
      </c>
      <c r="E33" s="25">
        <v>1.3317352510320947E-4</v>
      </c>
    </row>
    <row r="34" spans="2:5" ht="15" customHeight="1">
      <c r="B34" s="84"/>
      <c r="C34" s="27" t="s">
        <v>8</v>
      </c>
      <c r="D34" s="26">
        <v>3</v>
      </c>
      <c r="E34" s="25">
        <v>3.9952057530962844E-4</v>
      </c>
    </row>
    <row r="35" spans="2:5" ht="15" customHeight="1">
      <c r="B35" s="84"/>
      <c r="C35" s="27" t="s">
        <v>6</v>
      </c>
      <c r="D35" s="26">
        <v>3</v>
      </c>
      <c r="E35" s="25">
        <v>3.9952057530962844E-4</v>
      </c>
    </row>
    <row r="36" spans="2:5" ht="15" customHeight="1">
      <c r="B36" s="84"/>
      <c r="C36" s="27" t="s">
        <v>18</v>
      </c>
      <c r="D36" s="26">
        <v>1</v>
      </c>
      <c r="E36" s="25">
        <v>1.3317352510320947E-4</v>
      </c>
    </row>
    <row r="37" spans="2:5" ht="15" customHeight="1">
      <c r="B37" s="85"/>
      <c r="C37" s="24" t="s">
        <v>53</v>
      </c>
      <c r="D37" s="23">
        <v>25</v>
      </c>
      <c r="E37" s="22">
        <v>3.329338127580237E-3</v>
      </c>
    </row>
    <row r="38" spans="2:5" ht="15" customHeight="1">
      <c r="B38" s="83" t="s">
        <v>147</v>
      </c>
      <c r="C38" s="27" t="s">
        <v>23</v>
      </c>
      <c r="D38" s="26">
        <v>2</v>
      </c>
      <c r="E38" s="25">
        <v>2.6634705020641894E-4</v>
      </c>
    </row>
    <row r="39" spans="2:5" ht="15" customHeight="1">
      <c r="B39" s="84"/>
      <c r="C39" s="27" t="s">
        <v>5</v>
      </c>
      <c r="D39" s="26">
        <v>11</v>
      </c>
      <c r="E39" s="25">
        <v>1.4649087761353043E-3</v>
      </c>
    </row>
    <row r="40" spans="2:5" ht="15" customHeight="1">
      <c r="B40" s="84"/>
      <c r="C40" s="27" t="s">
        <v>9</v>
      </c>
      <c r="D40" s="26">
        <v>6</v>
      </c>
      <c r="E40" s="25">
        <v>7.9904115061925688E-4</v>
      </c>
    </row>
    <row r="41" spans="2:5" ht="15" customHeight="1">
      <c r="B41" s="84"/>
      <c r="C41" s="27" t="s">
        <v>11</v>
      </c>
      <c r="D41" s="26">
        <v>2</v>
      </c>
      <c r="E41" s="25">
        <v>2.6634705020641894E-4</v>
      </c>
    </row>
    <row r="42" spans="2:5" ht="15" customHeight="1">
      <c r="B42" s="84"/>
      <c r="C42" s="27" t="s">
        <v>7</v>
      </c>
      <c r="D42" s="26">
        <v>4</v>
      </c>
      <c r="E42" s="25">
        <v>5.3269410041283788E-4</v>
      </c>
    </row>
    <row r="43" spans="2:5" ht="15" customHeight="1">
      <c r="B43" s="84"/>
      <c r="C43" s="27" t="s">
        <v>10</v>
      </c>
      <c r="D43" s="26">
        <v>2</v>
      </c>
      <c r="E43" s="25">
        <v>2.6634705020641894E-4</v>
      </c>
    </row>
    <row r="44" spans="2:5" ht="15" customHeight="1">
      <c r="B44" s="84"/>
      <c r="C44" s="27" t="s">
        <v>25</v>
      </c>
      <c r="D44" s="26">
        <v>1</v>
      </c>
      <c r="E44" s="25">
        <v>1.3317352510320947E-4</v>
      </c>
    </row>
    <row r="45" spans="2:5" ht="15" customHeight="1">
      <c r="B45" s="84"/>
      <c r="C45" s="27" t="s">
        <v>12</v>
      </c>
      <c r="D45" s="26">
        <v>1</v>
      </c>
      <c r="E45" s="25">
        <v>1.3317352510320947E-4</v>
      </c>
    </row>
    <row r="46" spans="2:5" ht="15" customHeight="1">
      <c r="B46" s="84"/>
      <c r="C46" s="27" t="s">
        <v>16</v>
      </c>
      <c r="D46" s="26">
        <v>5</v>
      </c>
      <c r="E46" s="25">
        <v>6.6586762551604738E-4</v>
      </c>
    </row>
    <row r="47" spans="2:5" ht="15" customHeight="1">
      <c r="B47" s="84"/>
      <c r="C47" s="27" t="s">
        <v>8</v>
      </c>
      <c r="D47" s="26">
        <v>4</v>
      </c>
      <c r="E47" s="25">
        <v>5.3269410041283788E-4</v>
      </c>
    </row>
    <row r="48" spans="2:5" ht="15" customHeight="1">
      <c r="B48" s="84"/>
      <c r="C48" s="27" t="s">
        <v>6</v>
      </c>
      <c r="D48" s="26">
        <v>8</v>
      </c>
      <c r="E48" s="25">
        <v>1.0653882008256758E-3</v>
      </c>
    </row>
    <row r="49" spans="2:5" ht="15" customHeight="1">
      <c r="B49" s="85"/>
      <c r="C49" s="24" t="s">
        <v>53</v>
      </c>
      <c r="D49" s="23">
        <v>46</v>
      </c>
      <c r="E49" s="22">
        <v>6.125982154747636E-3</v>
      </c>
    </row>
    <row r="50" spans="2:5" ht="15" customHeight="1">
      <c r="B50" s="83" t="s">
        <v>146</v>
      </c>
      <c r="C50" s="27" t="s">
        <v>23</v>
      </c>
      <c r="D50" s="26">
        <v>3</v>
      </c>
      <c r="E50" s="25">
        <v>3.9952057530962844E-4</v>
      </c>
    </row>
    <row r="51" spans="2:5" ht="15" customHeight="1">
      <c r="B51" s="84"/>
      <c r="C51" s="27" t="s">
        <v>14</v>
      </c>
      <c r="D51" s="26">
        <v>2</v>
      </c>
      <c r="E51" s="25">
        <v>2.6634705020641894E-4</v>
      </c>
    </row>
    <row r="52" spans="2:5" ht="15" customHeight="1">
      <c r="B52" s="84"/>
      <c r="C52" s="27" t="s">
        <v>5</v>
      </c>
      <c r="D52" s="26">
        <v>19</v>
      </c>
      <c r="E52" s="25">
        <v>2.53029697696098E-3</v>
      </c>
    </row>
    <row r="53" spans="2:5" ht="15" customHeight="1">
      <c r="B53" s="84"/>
      <c r="C53" s="27" t="s">
        <v>9</v>
      </c>
      <c r="D53" s="26">
        <v>7</v>
      </c>
      <c r="E53" s="25">
        <v>9.3221467572246637E-4</v>
      </c>
    </row>
    <row r="54" spans="2:5" ht="15" customHeight="1">
      <c r="B54" s="84"/>
      <c r="C54" s="27" t="s">
        <v>11</v>
      </c>
      <c r="D54" s="26">
        <v>2</v>
      </c>
      <c r="E54" s="25">
        <v>2.6634705020641894E-4</v>
      </c>
    </row>
    <row r="55" spans="2:5" ht="15" customHeight="1">
      <c r="B55" s="84"/>
      <c r="C55" s="27" t="s">
        <v>13</v>
      </c>
      <c r="D55" s="26">
        <v>1</v>
      </c>
      <c r="E55" s="25">
        <v>1.3317352510320947E-4</v>
      </c>
    </row>
    <row r="56" spans="2:5" ht="15" customHeight="1">
      <c r="B56" s="84"/>
      <c r="C56" s="27" t="s">
        <v>7</v>
      </c>
      <c r="D56" s="26">
        <v>13</v>
      </c>
      <c r="E56" s="25">
        <v>1.7312558263417232E-3</v>
      </c>
    </row>
    <row r="57" spans="2:5" ht="15" customHeight="1">
      <c r="B57" s="84"/>
      <c r="C57" s="27" t="s">
        <v>10</v>
      </c>
      <c r="D57" s="26">
        <v>5</v>
      </c>
      <c r="E57" s="25">
        <v>6.6586762551604738E-4</v>
      </c>
    </row>
    <row r="58" spans="2:5" ht="15" customHeight="1">
      <c r="B58" s="84"/>
      <c r="C58" s="27" t="s">
        <v>25</v>
      </c>
      <c r="D58" s="26">
        <v>1</v>
      </c>
      <c r="E58" s="25">
        <v>1.3317352510320947E-4</v>
      </c>
    </row>
    <row r="59" spans="2:5" ht="15" customHeight="1">
      <c r="B59" s="84"/>
      <c r="C59" s="27" t="s">
        <v>17</v>
      </c>
      <c r="D59" s="26">
        <v>3</v>
      </c>
      <c r="E59" s="25">
        <v>3.9952057530962844E-4</v>
      </c>
    </row>
    <row r="60" spans="2:5" ht="15" customHeight="1">
      <c r="B60" s="84"/>
      <c r="C60" s="27" t="s">
        <v>31</v>
      </c>
      <c r="D60" s="26">
        <v>1</v>
      </c>
      <c r="E60" s="25">
        <v>1.3317352510320947E-4</v>
      </c>
    </row>
    <row r="61" spans="2:5" ht="15" customHeight="1">
      <c r="B61" s="84"/>
      <c r="C61" s="27" t="s">
        <v>26</v>
      </c>
      <c r="D61" s="26">
        <v>1</v>
      </c>
      <c r="E61" s="25">
        <v>1.3317352510320947E-4</v>
      </c>
    </row>
    <row r="62" spans="2:5" ht="15" customHeight="1">
      <c r="B62" s="84"/>
      <c r="C62" s="27" t="s">
        <v>12</v>
      </c>
      <c r="D62" s="26">
        <v>3</v>
      </c>
      <c r="E62" s="25">
        <v>3.9952057530962844E-4</v>
      </c>
    </row>
    <row r="63" spans="2:5" ht="15" customHeight="1">
      <c r="B63" s="84"/>
      <c r="C63" s="27" t="s">
        <v>16</v>
      </c>
      <c r="D63" s="26">
        <v>1</v>
      </c>
      <c r="E63" s="25">
        <v>1.3317352510320947E-4</v>
      </c>
    </row>
    <row r="64" spans="2:5" ht="15" customHeight="1">
      <c r="B64" s="84"/>
      <c r="C64" s="27" t="s">
        <v>47</v>
      </c>
      <c r="D64" s="26">
        <v>1</v>
      </c>
      <c r="E64" s="25">
        <v>1.3317352510320947E-4</v>
      </c>
    </row>
    <row r="65" spans="2:5" ht="15" customHeight="1">
      <c r="B65" s="84"/>
      <c r="C65" s="27" t="s">
        <v>8</v>
      </c>
      <c r="D65" s="26">
        <v>8</v>
      </c>
      <c r="E65" s="25">
        <v>1.0653882008256758E-3</v>
      </c>
    </row>
    <row r="66" spans="2:5" ht="15" customHeight="1">
      <c r="B66" s="84"/>
      <c r="C66" s="27" t="s">
        <v>32</v>
      </c>
      <c r="D66" s="26">
        <v>1</v>
      </c>
      <c r="E66" s="25">
        <v>1.3317352510320947E-4</v>
      </c>
    </row>
    <row r="67" spans="2:5" ht="15" customHeight="1">
      <c r="B67" s="84"/>
      <c r="C67" s="27" t="s">
        <v>33</v>
      </c>
      <c r="D67" s="26">
        <v>1</v>
      </c>
      <c r="E67" s="25">
        <v>1.3317352510320947E-4</v>
      </c>
    </row>
    <row r="68" spans="2:5" ht="15" customHeight="1">
      <c r="B68" s="84"/>
      <c r="C68" s="27" t="s">
        <v>15</v>
      </c>
      <c r="D68" s="26">
        <v>1</v>
      </c>
      <c r="E68" s="25">
        <v>1.3317352510320947E-4</v>
      </c>
    </row>
    <row r="69" spans="2:5" ht="15" customHeight="1">
      <c r="B69" s="84"/>
      <c r="C69" s="27" t="s">
        <v>6</v>
      </c>
      <c r="D69" s="26">
        <v>9</v>
      </c>
      <c r="E69" s="25">
        <v>1.1985617259288853E-3</v>
      </c>
    </row>
    <row r="70" spans="2:5" ht="15" customHeight="1">
      <c r="B70" s="84"/>
      <c r="C70" s="27" t="s">
        <v>21</v>
      </c>
      <c r="D70" s="26">
        <v>2</v>
      </c>
      <c r="E70" s="25">
        <v>2.6634705020641894E-4</v>
      </c>
    </row>
    <row r="71" spans="2:5" ht="15" customHeight="1">
      <c r="B71" s="84"/>
      <c r="C71" s="27" t="s">
        <v>22</v>
      </c>
      <c r="D71" s="26">
        <v>3</v>
      </c>
      <c r="E71" s="25">
        <v>3.9952057530962844E-4</v>
      </c>
    </row>
    <row r="72" spans="2:5" ht="15" customHeight="1">
      <c r="B72" s="84"/>
      <c r="C72" s="27" t="s">
        <v>43</v>
      </c>
      <c r="D72" s="26">
        <v>1</v>
      </c>
      <c r="E72" s="25">
        <v>1.3317352510320947E-4</v>
      </c>
    </row>
    <row r="73" spans="2:5" ht="15" customHeight="1">
      <c r="B73" s="85"/>
      <c r="C73" s="24" t="s">
        <v>53</v>
      </c>
      <c r="D73" s="23">
        <v>89</v>
      </c>
      <c r="E73" s="22">
        <v>1.1852443734185644E-2</v>
      </c>
    </row>
    <row r="74" spans="2:5" ht="15" customHeight="1">
      <c r="B74" s="83" t="s">
        <v>145</v>
      </c>
      <c r="C74" s="27" t="s">
        <v>14</v>
      </c>
      <c r="D74" s="26">
        <v>1</v>
      </c>
      <c r="E74" s="25">
        <v>1.3317352510320947E-4</v>
      </c>
    </row>
    <row r="75" spans="2:5" ht="15" customHeight="1">
      <c r="B75" s="84"/>
      <c r="C75" s="27" t="s">
        <v>5</v>
      </c>
      <c r="D75" s="26">
        <v>13</v>
      </c>
      <c r="E75" s="25">
        <v>1.7312558263417232E-3</v>
      </c>
    </row>
    <row r="76" spans="2:5" ht="15" customHeight="1">
      <c r="B76" s="84"/>
      <c r="C76" s="27" t="s">
        <v>9</v>
      </c>
      <c r="D76" s="26">
        <v>7</v>
      </c>
      <c r="E76" s="25">
        <v>9.3221467572246637E-4</v>
      </c>
    </row>
    <row r="77" spans="2:5" ht="15" customHeight="1">
      <c r="B77" s="84"/>
      <c r="C77" s="27" t="s">
        <v>11</v>
      </c>
      <c r="D77" s="26">
        <v>1</v>
      </c>
      <c r="E77" s="25">
        <v>1.3317352510320947E-4</v>
      </c>
    </row>
    <row r="78" spans="2:5" ht="15" customHeight="1">
      <c r="B78" s="84"/>
      <c r="C78" s="27" t="s">
        <v>13</v>
      </c>
      <c r="D78" s="26">
        <v>2</v>
      </c>
      <c r="E78" s="25">
        <v>2.6634705020641894E-4</v>
      </c>
    </row>
    <row r="79" spans="2:5" ht="15" customHeight="1">
      <c r="B79" s="84"/>
      <c r="C79" s="27" t="s">
        <v>27</v>
      </c>
      <c r="D79" s="26">
        <v>1</v>
      </c>
      <c r="E79" s="25">
        <v>1.3317352510320947E-4</v>
      </c>
    </row>
    <row r="80" spans="2:5" ht="15" customHeight="1">
      <c r="B80" s="84"/>
      <c r="C80" s="27" t="s">
        <v>7</v>
      </c>
      <c r="D80" s="26">
        <v>6</v>
      </c>
      <c r="E80" s="25">
        <v>7.9904115061925688E-4</v>
      </c>
    </row>
    <row r="81" spans="2:5" ht="15" customHeight="1">
      <c r="B81" s="84"/>
      <c r="C81" s="27" t="s">
        <v>10</v>
      </c>
      <c r="D81" s="26">
        <v>1</v>
      </c>
      <c r="E81" s="25">
        <v>1.3317352510320947E-4</v>
      </c>
    </row>
    <row r="82" spans="2:5" ht="15" customHeight="1">
      <c r="B82" s="84"/>
      <c r="C82" s="27" t="s">
        <v>25</v>
      </c>
      <c r="D82" s="26">
        <v>3</v>
      </c>
      <c r="E82" s="25">
        <v>3.9952057530962844E-4</v>
      </c>
    </row>
    <row r="83" spans="2:5" ht="15" customHeight="1">
      <c r="B83" s="84"/>
      <c r="C83" s="27" t="s">
        <v>17</v>
      </c>
      <c r="D83" s="26">
        <v>2</v>
      </c>
      <c r="E83" s="25">
        <v>2.6634705020641894E-4</v>
      </c>
    </row>
    <row r="84" spans="2:5" ht="15" customHeight="1">
      <c r="B84" s="84"/>
      <c r="C84" s="27" t="s">
        <v>20</v>
      </c>
      <c r="D84" s="26">
        <v>1</v>
      </c>
      <c r="E84" s="25">
        <v>1.3317352510320947E-4</v>
      </c>
    </row>
    <row r="85" spans="2:5" ht="15" customHeight="1">
      <c r="B85" s="84"/>
      <c r="C85" s="27" t="s">
        <v>37</v>
      </c>
      <c r="D85" s="26">
        <v>1</v>
      </c>
      <c r="E85" s="25">
        <v>1.3317352510320947E-4</v>
      </c>
    </row>
    <row r="86" spans="2:5" ht="15" customHeight="1">
      <c r="B86" s="84"/>
      <c r="C86" s="27" t="s">
        <v>26</v>
      </c>
      <c r="D86" s="26">
        <v>2</v>
      </c>
      <c r="E86" s="25">
        <v>2.6634705020641894E-4</v>
      </c>
    </row>
    <row r="87" spans="2:5" ht="15" customHeight="1">
      <c r="B87" s="84"/>
      <c r="C87" s="27" t="s">
        <v>24</v>
      </c>
      <c r="D87" s="26">
        <v>1</v>
      </c>
      <c r="E87" s="25">
        <v>1.3317352510320947E-4</v>
      </c>
    </row>
    <row r="88" spans="2:5" ht="15" customHeight="1">
      <c r="B88" s="84"/>
      <c r="C88" s="27" t="s">
        <v>12</v>
      </c>
      <c r="D88" s="26">
        <v>2</v>
      </c>
      <c r="E88" s="25">
        <v>2.6634705020641894E-4</v>
      </c>
    </row>
    <row r="89" spans="2:5" ht="15" customHeight="1">
      <c r="B89" s="84"/>
      <c r="C89" s="27" t="s">
        <v>35</v>
      </c>
      <c r="D89" s="26">
        <v>1</v>
      </c>
      <c r="E89" s="25">
        <v>1.3317352510320947E-4</v>
      </c>
    </row>
    <row r="90" spans="2:5" ht="15" customHeight="1">
      <c r="B90" s="84"/>
      <c r="C90" s="27" t="s">
        <v>8</v>
      </c>
      <c r="D90" s="26">
        <v>10</v>
      </c>
      <c r="E90" s="25">
        <v>1.3317352510320948E-3</v>
      </c>
    </row>
    <row r="91" spans="2:5" ht="15" customHeight="1">
      <c r="B91" s="84"/>
      <c r="C91" s="27" t="s">
        <v>33</v>
      </c>
      <c r="D91" s="26">
        <v>1</v>
      </c>
      <c r="E91" s="25">
        <v>1.3317352510320947E-4</v>
      </c>
    </row>
    <row r="92" spans="2:5" ht="15" customHeight="1">
      <c r="B92" s="84"/>
      <c r="C92" s="27" t="s">
        <v>15</v>
      </c>
      <c r="D92" s="26">
        <v>2</v>
      </c>
      <c r="E92" s="25">
        <v>2.6634705020641894E-4</v>
      </c>
    </row>
    <row r="93" spans="2:5" ht="15" customHeight="1">
      <c r="B93" s="84"/>
      <c r="C93" s="27" t="s">
        <v>6</v>
      </c>
      <c r="D93" s="26">
        <v>21</v>
      </c>
      <c r="E93" s="25">
        <v>2.796644027167399E-3</v>
      </c>
    </row>
    <row r="94" spans="2:5" ht="15" customHeight="1">
      <c r="B94" s="84"/>
      <c r="C94" s="27" t="s">
        <v>21</v>
      </c>
      <c r="D94" s="26">
        <v>2</v>
      </c>
      <c r="E94" s="25">
        <v>2.6634705020641894E-4</v>
      </c>
    </row>
    <row r="95" spans="2:5" ht="15" customHeight="1">
      <c r="B95" s="84"/>
      <c r="C95" s="27" t="s">
        <v>18</v>
      </c>
      <c r="D95" s="26">
        <v>1</v>
      </c>
      <c r="E95" s="25">
        <v>1.3317352510320947E-4</v>
      </c>
    </row>
    <row r="96" spans="2:5" ht="15" customHeight="1">
      <c r="B96" s="85"/>
      <c r="C96" s="24" t="s">
        <v>53</v>
      </c>
      <c r="D96" s="23">
        <v>82</v>
      </c>
      <c r="E96" s="22">
        <v>1.0920229058463177E-2</v>
      </c>
    </row>
    <row r="97" spans="2:5" ht="15" customHeight="1">
      <c r="B97" s="83" t="s">
        <v>144</v>
      </c>
      <c r="C97" s="27" t="s">
        <v>36</v>
      </c>
      <c r="D97" s="26">
        <v>1</v>
      </c>
      <c r="E97" s="25">
        <v>1.3317352510320947E-4</v>
      </c>
    </row>
    <row r="98" spans="2:5" ht="15" customHeight="1">
      <c r="B98" s="84"/>
      <c r="C98" s="27" t="s">
        <v>23</v>
      </c>
      <c r="D98" s="26">
        <v>3</v>
      </c>
      <c r="E98" s="25">
        <v>3.9952057530962844E-4</v>
      </c>
    </row>
    <row r="99" spans="2:5" ht="15" customHeight="1">
      <c r="B99" s="84"/>
      <c r="C99" s="27" t="s">
        <v>14</v>
      </c>
      <c r="D99" s="26">
        <v>3</v>
      </c>
      <c r="E99" s="25">
        <v>3.9952057530962844E-4</v>
      </c>
    </row>
    <row r="100" spans="2:5" ht="15" customHeight="1">
      <c r="B100" s="84"/>
      <c r="C100" s="27" t="s">
        <v>5</v>
      </c>
      <c r="D100" s="26">
        <v>19</v>
      </c>
      <c r="E100" s="25">
        <v>2.53029697696098E-3</v>
      </c>
    </row>
    <row r="101" spans="2:5" ht="15" customHeight="1">
      <c r="B101" s="84"/>
      <c r="C101" s="27" t="s">
        <v>9</v>
      </c>
      <c r="D101" s="26">
        <v>8</v>
      </c>
      <c r="E101" s="25">
        <v>1.0653882008256758E-3</v>
      </c>
    </row>
    <row r="102" spans="2:5" ht="15" customHeight="1">
      <c r="B102" s="84"/>
      <c r="C102" s="27" t="s">
        <v>11</v>
      </c>
      <c r="D102" s="26">
        <v>2</v>
      </c>
      <c r="E102" s="25">
        <v>2.6634705020641894E-4</v>
      </c>
    </row>
    <row r="103" spans="2:5" ht="15" customHeight="1">
      <c r="B103" s="84"/>
      <c r="C103" s="27" t="s">
        <v>13</v>
      </c>
      <c r="D103" s="26">
        <v>3</v>
      </c>
      <c r="E103" s="25">
        <v>3.9952057530962844E-4</v>
      </c>
    </row>
    <row r="104" spans="2:5" ht="15" customHeight="1">
      <c r="B104" s="84"/>
      <c r="C104" s="27" t="s">
        <v>27</v>
      </c>
      <c r="D104" s="26">
        <v>1</v>
      </c>
      <c r="E104" s="25">
        <v>1.3317352510320947E-4</v>
      </c>
    </row>
    <row r="105" spans="2:5" ht="15" customHeight="1">
      <c r="B105" s="84"/>
      <c r="C105" s="27" t="s">
        <v>7</v>
      </c>
      <c r="D105" s="26">
        <v>7</v>
      </c>
      <c r="E105" s="25">
        <v>9.3221467572246637E-4</v>
      </c>
    </row>
    <row r="106" spans="2:5" ht="15" customHeight="1">
      <c r="B106" s="84"/>
      <c r="C106" s="27" t="s">
        <v>10</v>
      </c>
      <c r="D106" s="26">
        <v>3</v>
      </c>
      <c r="E106" s="25">
        <v>3.9952057530962844E-4</v>
      </c>
    </row>
    <row r="107" spans="2:5" ht="15" customHeight="1">
      <c r="B107" s="84"/>
      <c r="C107" s="27" t="s">
        <v>25</v>
      </c>
      <c r="D107" s="26">
        <v>2</v>
      </c>
      <c r="E107" s="25">
        <v>2.6634705020641894E-4</v>
      </c>
    </row>
    <row r="108" spans="2:5" ht="15" customHeight="1">
      <c r="B108" s="84"/>
      <c r="C108" s="27" t="s">
        <v>30</v>
      </c>
      <c r="D108" s="26">
        <v>1</v>
      </c>
      <c r="E108" s="25">
        <v>1.3317352510320947E-4</v>
      </c>
    </row>
    <row r="109" spans="2:5" ht="15" customHeight="1">
      <c r="B109" s="84"/>
      <c r="C109" s="27" t="s">
        <v>44</v>
      </c>
      <c r="D109" s="26">
        <v>1</v>
      </c>
      <c r="E109" s="25">
        <v>1.3317352510320947E-4</v>
      </c>
    </row>
    <row r="110" spans="2:5" ht="15" customHeight="1">
      <c r="B110" s="84"/>
      <c r="C110" s="27" t="s">
        <v>29</v>
      </c>
      <c r="D110" s="26">
        <v>1</v>
      </c>
      <c r="E110" s="25">
        <v>1.3317352510320947E-4</v>
      </c>
    </row>
    <row r="111" spans="2:5" ht="15" customHeight="1">
      <c r="B111" s="84"/>
      <c r="C111" s="27" t="s">
        <v>26</v>
      </c>
      <c r="D111" s="26">
        <v>1</v>
      </c>
      <c r="E111" s="25">
        <v>1.3317352510320947E-4</v>
      </c>
    </row>
    <row r="112" spans="2:5" ht="15" customHeight="1">
      <c r="B112" s="84"/>
      <c r="C112" s="27" t="s">
        <v>12</v>
      </c>
      <c r="D112" s="26">
        <v>1</v>
      </c>
      <c r="E112" s="25">
        <v>1.3317352510320947E-4</v>
      </c>
    </row>
    <row r="113" spans="2:5" ht="15" customHeight="1">
      <c r="B113" s="84"/>
      <c r="C113" s="27" t="s">
        <v>16</v>
      </c>
      <c r="D113" s="26">
        <v>5</v>
      </c>
      <c r="E113" s="25">
        <v>6.6586762551604738E-4</v>
      </c>
    </row>
    <row r="114" spans="2:5" ht="15" customHeight="1">
      <c r="B114" s="84"/>
      <c r="C114" s="27" t="s">
        <v>8</v>
      </c>
      <c r="D114" s="26">
        <v>14</v>
      </c>
      <c r="E114" s="25">
        <v>1.8644293514449327E-3</v>
      </c>
    </row>
    <row r="115" spans="2:5" ht="15" customHeight="1">
      <c r="B115" s="84"/>
      <c r="C115" s="27" t="s">
        <v>32</v>
      </c>
      <c r="D115" s="26">
        <v>3</v>
      </c>
      <c r="E115" s="25">
        <v>3.9952057530962844E-4</v>
      </c>
    </row>
    <row r="116" spans="2:5" ht="15" customHeight="1">
      <c r="B116" s="84"/>
      <c r="C116" s="27" t="s">
        <v>15</v>
      </c>
      <c r="D116" s="26">
        <v>3</v>
      </c>
      <c r="E116" s="25">
        <v>3.9952057530962844E-4</v>
      </c>
    </row>
    <row r="117" spans="2:5" ht="15" customHeight="1">
      <c r="B117" s="84"/>
      <c r="C117" s="27" t="s">
        <v>6</v>
      </c>
      <c r="D117" s="26">
        <v>23</v>
      </c>
      <c r="E117" s="25">
        <v>3.062991077373818E-3</v>
      </c>
    </row>
    <row r="118" spans="2:5" ht="15" customHeight="1">
      <c r="B118" s="84"/>
      <c r="C118" s="27" t="s">
        <v>21</v>
      </c>
      <c r="D118" s="26">
        <v>2</v>
      </c>
      <c r="E118" s="25">
        <v>2.6634705020641894E-4</v>
      </c>
    </row>
    <row r="119" spans="2:5" ht="15" customHeight="1">
      <c r="B119" s="84"/>
      <c r="C119" s="27" t="s">
        <v>28</v>
      </c>
      <c r="D119" s="26">
        <v>1</v>
      </c>
      <c r="E119" s="25">
        <v>1.3317352510320947E-4</v>
      </c>
    </row>
    <row r="120" spans="2:5" ht="15" customHeight="1">
      <c r="B120" s="85"/>
      <c r="C120" s="24" t="s">
        <v>53</v>
      </c>
      <c r="D120" s="23">
        <v>108</v>
      </c>
      <c r="E120" s="22">
        <v>1.4382740711146624E-2</v>
      </c>
    </row>
    <row r="121" spans="2:5" ht="15" customHeight="1">
      <c r="B121" s="83" t="s">
        <v>143</v>
      </c>
      <c r="C121" s="27" t="s">
        <v>36</v>
      </c>
      <c r="D121" s="26">
        <v>2</v>
      </c>
      <c r="E121" s="25">
        <v>2.6634705020641894E-4</v>
      </c>
    </row>
    <row r="122" spans="2:5" ht="15" customHeight="1">
      <c r="B122" s="84"/>
      <c r="C122" s="27" t="s">
        <v>23</v>
      </c>
      <c r="D122" s="26">
        <v>6</v>
      </c>
      <c r="E122" s="25">
        <v>7.9904115061925688E-4</v>
      </c>
    </row>
    <row r="123" spans="2:5" ht="15" customHeight="1">
      <c r="B123" s="84"/>
      <c r="C123" s="27" t="s">
        <v>14</v>
      </c>
      <c r="D123" s="26">
        <v>9</v>
      </c>
      <c r="E123" s="25">
        <v>1.1985617259288853E-3</v>
      </c>
    </row>
    <row r="124" spans="2:5" ht="15" customHeight="1">
      <c r="B124" s="84"/>
      <c r="C124" s="27" t="s">
        <v>5</v>
      </c>
      <c r="D124" s="26">
        <v>161</v>
      </c>
      <c r="E124" s="25">
        <v>2.1440937541616727E-2</v>
      </c>
    </row>
    <row r="125" spans="2:5" ht="15" customHeight="1">
      <c r="B125" s="84"/>
      <c r="C125" s="27" t="s">
        <v>9</v>
      </c>
      <c r="D125" s="26">
        <v>49</v>
      </c>
      <c r="E125" s="25">
        <v>6.5255027300572645E-3</v>
      </c>
    </row>
    <row r="126" spans="2:5" ht="15" customHeight="1">
      <c r="B126" s="84"/>
      <c r="C126" s="27" t="s">
        <v>42</v>
      </c>
      <c r="D126" s="26">
        <v>1</v>
      </c>
      <c r="E126" s="25">
        <v>1.3317352510320947E-4</v>
      </c>
    </row>
    <row r="127" spans="2:5" ht="15" customHeight="1">
      <c r="B127" s="84"/>
      <c r="C127" s="27" t="s">
        <v>50</v>
      </c>
      <c r="D127" s="26">
        <v>1</v>
      </c>
      <c r="E127" s="25">
        <v>1.3317352510320947E-4</v>
      </c>
    </row>
    <row r="128" spans="2:5" ht="15" customHeight="1">
      <c r="B128" s="84"/>
      <c r="C128" s="27" t="s">
        <v>11</v>
      </c>
      <c r="D128" s="26">
        <v>8</v>
      </c>
      <c r="E128" s="25">
        <v>1.0653882008256758E-3</v>
      </c>
    </row>
    <row r="129" spans="2:5" ht="15" customHeight="1">
      <c r="B129" s="84"/>
      <c r="C129" s="27" t="s">
        <v>13</v>
      </c>
      <c r="D129" s="26">
        <v>11</v>
      </c>
      <c r="E129" s="25">
        <v>1.4649087761353043E-3</v>
      </c>
    </row>
    <row r="130" spans="2:5" ht="15" customHeight="1">
      <c r="B130" s="84"/>
      <c r="C130" s="27" t="s">
        <v>27</v>
      </c>
      <c r="D130" s="26">
        <v>1</v>
      </c>
      <c r="E130" s="25">
        <v>1.3317352510320947E-4</v>
      </c>
    </row>
    <row r="131" spans="2:5" ht="15" customHeight="1">
      <c r="B131" s="84"/>
      <c r="C131" s="27" t="s">
        <v>7</v>
      </c>
      <c r="D131" s="26">
        <v>44</v>
      </c>
      <c r="E131" s="25">
        <v>5.859635104541217E-3</v>
      </c>
    </row>
    <row r="132" spans="2:5" ht="15" customHeight="1">
      <c r="B132" s="84"/>
      <c r="C132" s="27" t="s">
        <v>10</v>
      </c>
      <c r="D132" s="26">
        <v>29</v>
      </c>
      <c r="E132" s="25">
        <v>3.862032227993075E-3</v>
      </c>
    </row>
    <row r="133" spans="2:5" ht="15" customHeight="1">
      <c r="B133" s="84"/>
      <c r="C133" s="27" t="s">
        <v>25</v>
      </c>
      <c r="D133" s="26">
        <v>8</v>
      </c>
      <c r="E133" s="25">
        <v>1.0653882008256758E-3</v>
      </c>
    </row>
    <row r="134" spans="2:5" ht="15" customHeight="1">
      <c r="B134" s="84"/>
      <c r="C134" s="27" t="s">
        <v>17</v>
      </c>
      <c r="D134" s="26">
        <v>3</v>
      </c>
      <c r="E134" s="25">
        <v>3.9952057530962844E-4</v>
      </c>
    </row>
    <row r="135" spans="2:5" ht="15" customHeight="1">
      <c r="B135" s="84"/>
      <c r="C135" s="27" t="s">
        <v>20</v>
      </c>
      <c r="D135" s="26">
        <v>7</v>
      </c>
      <c r="E135" s="25">
        <v>9.3221467572246637E-4</v>
      </c>
    </row>
    <row r="136" spans="2:5" ht="15" customHeight="1">
      <c r="B136" s="84"/>
      <c r="C136" s="27" t="s">
        <v>30</v>
      </c>
      <c r="D136" s="26">
        <v>1</v>
      </c>
      <c r="E136" s="25">
        <v>1.3317352510320947E-4</v>
      </c>
    </row>
    <row r="137" spans="2:5" ht="15" customHeight="1">
      <c r="B137" s="84"/>
      <c r="C137" s="27" t="s">
        <v>37</v>
      </c>
      <c r="D137" s="26">
        <v>2</v>
      </c>
      <c r="E137" s="25">
        <v>2.6634705020641894E-4</v>
      </c>
    </row>
    <row r="138" spans="2:5" ht="15" customHeight="1">
      <c r="B138" s="84"/>
      <c r="C138" s="27" t="s">
        <v>26</v>
      </c>
      <c r="D138" s="26">
        <v>4</v>
      </c>
      <c r="E138" s="25">
        <v>5.3269410041283788E-4</v>
      </c>
    </row>
    <row r="139" spans="2:5" ht="15" customHeight="1">
      <c r="B139" s="84"/>
      <c r="C139" s="27" t="s">
        <v>24</v>
      </c>
      <c r="D139" s="26">
        <v>4</v>
      </c>
      <c r="E139" s="25">
        <v>5.3269410041283788E-4</v>
      </c>
    </row>
    <row r="140" spans="2:5" ht="15" customHeight="1">
      <c r="B140" s="84"/>
      <c r="C140" s="27" t="s">
        <v>12</v>
      </c>
      <c r="D140" s="26">
        <v>13</v>
      </c>
      <c r="E140" s="25">
        <v>1.7312558263417232E-3</v>
      </c>
    </row>
    <row r="141" spans="2:5" ht="15" customHeight="1">
      <c r="B141" s="84"/>
      <c r="C141" s="27" t="s">
        <v>41</v>
      </c>
      <c r="D141" s="26">
        <v>1</v>
      </c>
      <c r="E141" s="25">
        <v>1.3317352510320947E-4</v>
      </c>
    </row>
    <row r="142" spans="2:5" ht="15" customHeight="1">
      <c r="B142" s="84"/>
      <c r="C142" s="27" t="s">
        <v>19</v>
      </c>
      <c r="D142" s="26">
        <v>8</v>
      </c>
      <c r="E142" s="25">
        <v>1.0653882008256758E-3</v>
      </c>
    </row>
    <row r="143" spans="2:5" ht="15" customHeight="1">
      <c r="B143" s="84"/>
      <c r="C143" s="27" t="s">
        <v>34</v>
      </c>
      <c r="D143" s="26">
        <v>1</v>
      </c>
      <c r="E143" s="25">
        <v>1.3317352510320947E-4</v>
      </c>
    </row>
    <row r="144" spans="2:5" ht="15" customHeight="1">
      <c r="B144" s="84"/>
      <c r="C144" s="27" t="s">
        <v>16</v>
      </c>
      <c r="D144" s="26">
        <v>10</v>
      </c>
      <c r="E144" s="25">
        <v>1.3317352510320948E-3</v>
      </c>
    </row>
    <row r="145" spans="2:5" ht="15" customHeight="1">
      <c r="B145" s="84"/>
      <c r="C145" s="27" t="s">
        <v>35</v>
      </c>
      <c r="D145" s="26">
        <v>1</v>
      </c>
      <c r="E145" s="25">
        <v>1.3317352510320947E-4</v>
      </c>
    </row>
    <row r="146" spans="2:5" ht="15" customHeight="1">
      <c r="B146" s="84"/>
      <c r="C146" s="27" t="s">
        <v>8</v>
      </c>
      <c r="D146" s="26">
        <v>55</v>
      </c>
      <c r="E146" s="25">
        <v>7.3245438806765215E-3</v>
      </c>
    </row>
    <row r="147" spans="2:5" ht="15" customHeight="1">
      <c r="B147" s="84"/>
      <c r="C147" s="27" t="s">
        <v>32</v>
      </c>
      <c r="D147" s="26">
        <v>6</v>
      </c>
      <c r="E147" s="25">
        <v>7.9904115061925688E-4</v>
      </c>
    </row>
    <row r="148" spans="2:5" ht="15" customHeight="1">
      <c r="B148" s="84"/>
      <c r="C148" s="27" t="s">
        <v>38</v>
      </c>
      <c r="D148" s="26">
        <v>2</v>
      </c>
      <c r="E148" s="25">
        <v>2.6634705020641894E-4</v>
      </c>
    </row>
    <row r="149" spans="2:5" ht="15" customHeight="1">
      <c r="B149" s="84"/>
      <c r="C149" s="27" t="s">
        <v>33</v>
      </c>
      <c r="D149" s="26">
        <v>2</v>
      </c>
      <c r="E149" s="25">
        <v>2.6634705020641894E-4</v>
      </c>
    </row>
    <row r="150" spans="2:5" ht="15" customHeight="1">
      <c r="B150" s="84"/>
      <c r="C150" s="27" t="s">
        <v>48</v>
      </c>
      <c r="D150" s="26">
        <v>1</v>
      </c>
      <c r="E150" s="25">
        <v>1.3317352510320947E-4</v>
      </c>
    </row>
    <row r="151" spans="2:5" ht="15" customHeight="1">
      <c r="B151" s="84"/>
      <c r="C151" s="27" t="s">
        <v>15</v>
      </c>
      <c r="D151" s="26">
        <v>7</v>
      </c>
      <c r="E151" s="25">
        <v>9.3221467572246637E-4</v>
      </c>
    </row>
    <row r="152" spans="2:5" ht="15" customHeight="1">
      <c r="B152" s="84"/>
      <c r="C152" s="27" t="s">
        <v>6</v>
      </c>
      <c r="D152" s="26">
        <v>126</v>
      </c>
      <c r="E152" s="25">
        <v>1.6779864163004393E-2</v>
      </c>
    </row>
    <row r="153" spans="2:5" ht="15" customHeight="1">
      <c r="B153" s="84"/>
      <c r="C153" s="27" t="s">
        <v>21</v>
      </c>
      <c r="D153" s="26">
        <v>12</v>
      </c>
      <c r="E153" s="25">
        <v>1.5980823012385138E-3</v>
      </c>
    </row>
    <row r="154" spans="2:5" ht="15" customHeight="1">
      <c r="B154" s="84"/>
      <c r="C154" s="27" t="s">
        <v>28</v>
      </c>
      <c r="D154" s="26">
        <v>2</v>
      </c>
      <c r="E154" s="25">
        <v>2.6634705020641894E-4</v>
      </c>
    </row>
    <row r="155" spans="2:5" ht="15" customHeight="1">
      <c r="B155" s="84"/>
      <c r="C155" s="27" t="s">
        <v>18</v>
      </c>
      <c r="D155" s="26">
        <v>8</v>
      </c>
      <c r="E155" s="25">
        <v>1.0653882008256758E-3</v>
      </c>
    </row>
    <row r="156" spans="2:5" ht="15" customHeight="1">
      <c r="B156" s="84"/>
      <c r="C156" s="27" t="s">
        <v>22</v>
      </c>
      <c r="D156" s="26">
        <v>3</v>
      </c>
      <c r="E156" s="25">
        <v>3.9952057530962844E-4</v>
      </c>
    </row>
    <row r="157" spans="2:5" ht="15" customHeight="1">
      <c r="B157" s="85"/>
      <c r="C157" s="24" t="s">
        <v>53</v>
      </c>
      <c r="D157" s="23">
        <v>609</v>
      </c>
      <c r="E157" s="22">
        <v>8.1102676787854572E-2</v>
      </c>
    </row>
    <row r="158" spans="2:5" ht="15" customHeight="1">
      <c r="B158" s="83" t="s">
        <v>142</v>
      </c>
      <c r="C158" s="27" t="s">
        <v>36</v>
      </c>
      <c r="D158" s="26">
        <v>3</v>
      </c>
      <c r="E158" s="25">
        <v>3.9952057530962844E-4</v>
      </c>
    </row>
    <row r="159" spans="2:5" ht="15" customHeight="1">
      <c r="B159" s="84"/>
      <c r="C159" s="27" t="s">
        <v>23</v>
      </c>
      <c r="D159" s="26">
        <v>5</v>
      </c>
      <c r="E159" s="25">
        <v>6.6586762551604738E-4</v>
      </c>
    </row>
    <row r="160" spans="2:5" ht="15" customHeight="1">
      <c r="B160" s="84"/>
      <c r="C160" s="27" t="s">
        <v>14</v>
      </c>
      <c r="D160" s="26">
        <v>18</v>
      </c>
      <c r="E160" s="25">
        <v>2.3971234518577705E-3</v>
      </c>
    </row>
    <row r="161" spans="2:5" ht="15" customHeight="1">
      <c r="B161" s="84"/>
      <c r="C161" s="27" t="s">
        <v>5</v>
      </c>
      <c r="D161" s="26">
        <v>238</v>
      </c>
      <c r="E161" s="25">
        <v>3.1695298974563857E-2</v>
      </c>
    </row>
    <row r="162" spans="2:5" ht="15" customHeight="1">
      <c r="B162" s="84"/>
      <c r="C162" s="27" t="s">
        <v>9</v>
      </c>
      <c r="D162" s="26">
        <v>95</v>
      </c>
      <c r="E162" s="25">
        <v>1.2651484884804901E-2</v>
      </c>
    </row>
    <row r="163" spans="2:5" ht="15" customHeight="1">
      <c r="B163" s="84"/>
      <c r="C163" s="27" t="s">
        <v>39</v>
      </c>
      <c r="D163" s="26">
        <v>2</v>
      </c>
      <c r="E163" s="25">
        <v>2.6634705020641894E-4</v>
      </c>
    </row>
    <row r="164" spans="2:5" ht="15" customHeight="1">
      <c r="B164" s="84"/>
      <c r="C164" s="27" t="s">
        <v>42</v>
      </c>
      <c r="D164" s="26">
        <v>2</v>
      </c>
      <c r="E164" s="25">
        <v>2.6634705020641894E-4</v>
      </c>
    </row>
    <row r="165" spans="2:5" ht="15" customHeight="1">
      <c r="B165" s="84"/>
      <c r="C165" s="27" t="s">
        <v>11</v>
      </c>
      <c r="D165" s="26">
        <v>25</v>
      </c>
      <c r="E165" s="25">
        <v>3.329338127580237E-3</v>
      </c>
    </row>
    <row r="166" spans="2:5" ht="15" customHeight="1">
      <c r="B166" s="84"/>
      <c r="C166" s="27" t="s">
        <v>13</v>
      </c>
      <c r="D166" s="26">
        <v>32</v>
      </c>
      <c r="E166" s="25">
        <v>4.2615528033027031E-3</v>
      </c>
    </row>
    <row r="167" spans="2:5" ht="15" customHeight="1">
      <c r="B167" s="84"/>
      <c r="C167" s="27" t="s">
        <v>27</v>
      </c>
      <c r="D167" s="26">
        <v>9</v>
      </c>
      <c r="E167" s="25">
        <v>1.1985617259288853E-3</v>
      </c>
    </row>
    <row r="168" spans="2:5" ht="15" customHeight="1">
      <c r="B168" s="84"/>
      <c r="C168" s="27" t="s">
        <v>7</v>
      </c>
      <c r="D168" s="26">
        <v>180</v>
      </c>
      <c r="E168" s="25">
        <v>2.3971234518577706E-2</v>
      </c>
    </row>
    <row r="169" spans="2:5" ht="15" customHeight="1">
      <c r="B169" s="84"/>
      <c r="C169" s="27" t="s">
        <v>10</v>
      </c>
      <c r="D169" s="26">
        <v>79</v>
      </c>
      <c r="E169" s="25">
        <v>1.0520708483153549E-2</v>
      </c>
    </row>
    <row r="170" spans="2:5" ht="15" customHeight="1">
      <c r="B170" s="84"/>
      <c r="C170" s="27" t="s">
        <v>25</v>
      </c>
      <c r="D170" s="26">
        <v>4</v>
      </c>
      <c r="E170" s="25">
        <v>5.3269410041283788E-4</v>
      </c>
    </row>
    <row r="171" spans="2:5" ht="15" customHeight="1">
      <c r="B171" s="84"/>
      <c r="C171" s="27" t="s">
        <v>17</v>
      </c>
      <c r="D171" s="26">
        <v>7</v>
      </c>
      <c r="E171" s="25">
        <v>9.3221467572246637E-4</v>
      </c>
    </row>
    <row r="172" spans="2:5" ht="15" customHeight="1">
      <c r="B172" s="84"/>
      <c r="C172" s="27" t="s">
        <v>20</v>
      </c>
      <c r="D172" s="26">
        <v>13</v>
      </c>
      <c r="E172" s="25">
        <v>1.7312558263417232E-3</v>
      </c>
    </row>
    <row r="173" spans="2:5" ht="15" customHeight="1">
      <c r="B173" s="84"/>
      <c r="C173" s="27" t="s">
        <v>30</v>
      </c>
      <c r="D173" s="26">
        <v>6</v>
      </c>
      <c r="E173" s="25">
        <v>7.9904115061925688E-4</v>
      </c>
    </row>
    <row r="174" spans="2:5" ht="15" customHeight="1">
      <c r="B174" s="84"/>
      <c r="C174" s="27" t="s">
        <v>40</v>
      </c>
      <c r="D174" s="26">
        <v>1</v>
      </c>
      <c r="E174" s="25">
        <v>1.3317352510320947E-4</v>
      </c>
    </row>
    <row r="175" spans="2:5" ht="15" customHeight="1">
      <c r="B175" s="84"/>
      <c r="C175" s="27" t="s">
        <v>29</v>
      </c>
      <c r="D175" s="26">
        <v>5</v>
      </c>
      <c r="E175" s="25">
        <v>6.6586762551604738E-4</v>
      </c>
    </row>
    <row r="176" spans="2:5" ht="15" customHeight="1">
      <c r="B176" s="84"/>
      <c r="C176" s="27" t="s">
        <v>31</v>
      </c>
      <c r="D176" s="26">
        <v>3</v>
      </c>
      <c r="E176" s="25">
        <v>3.9952057530962844E-4</v>
      </c>
    </row>
    <row r="177" spans="2:5" ht="15" customHeight="1">
      <c r="B177" s="84"/>
      <c r="C177" s="27" t="s">
        <v>37</v>
      </c>
      <c r="D177" s="26">
        <v>2</v>
      </c>
      <c r="E177" s="25">
        <v>2.6634705020641894E-4</v>
      </c>
    </row>
    <row r="178" spans="2:5" ht="15" customHeight="1">
      <c r="B178" s="84"/>
      <c r="C178" s="27" t="s">
        <v>26</v>
      </c>
      <c r="D178" s="26">
        <v>2</v>
      </c>
      <c r="E178" s="25">
        <v>2.6634705020641894E-4</v>
      </c>
    </row>
    <row r="179" spans="2:5" ht="15" customHeight="1">
      <c r="B179" s="84"/>
      <c r="C179" s="27" t="s">
        <v>24</v>
      </c>
      <c r="D179" s="26">
        <v>14</v>
      </c>
      <c r="E179" s="25">
        <v>1.8644293514449327E-3</v>
      </c>
    </row>
    <row r="180" spans="2:5" ht="15" customHeight="1">
      <c r="B180" s="84"/>
      <c r="C180" s="27" t="s">
        <v>12</v>
      </c>
      <c r="D180" s="26">
        <v>27</v>
      </c>
      <c r="E180" s="25">
        <v>3.595685177786656E-3</v>
      </c>
    </row>
    <row r="181" spans="2:5" ht="15" customHeight="1">
      <c r="B181" s="84"/>
      <c r="C181" s="27" t="s">
        <v>41</v>
      </c>
      <c r="D181" s="26">
        <v>1</v>
      </c>
      <c r="E181" s="25">
        <v>1.3317352510320947E-4</v>
      </c>
    </row>
    <row r="182" spans="2:5" ht="15" customHeight="1">
      <c r="B182" s="84"/>
      <c r="C182" s="27" t="s">
        <v>19</v>
      </c>
      <c r="D182" s="26">
        <v>15</v>
      </c>
      <c r="E182" s="25">
        <v>1.997602876548142E-3</v>
      </c>
    </row>
    <row r="183" spans="2:5" ht="15" customHeight="1">
      <c r="B183" s="84"/>
      <c r="C183" s="27" t="s">
        <v>34</v>
      </c>
      <c r="D183" s="26">
        <v>5</v>
      </c>
      <c r="E183" s="25">
        <v>6.6586762551604738E-4</v>
      </c>
    </row>
    <row r="184" spans="2:5" ht="15" customHeight="1">
      <c r="B184" s="84"/>
      <c r="C184" s="27" t="s">
        <v>16</v>
      </c>
      <c r="D184" s="26">
        <v>19</v>
      </c>
      <c r="E184" s="25">
        <v>2.53029697696098E-3</v>
      </c>
    </row>
    <row r="185" spans="2:5" ht="15" customHeight="1">
      <c r="B185" s="84"/>
      <c r="C185" s="27" t="s">
        <v>47</v>
      </c>
      <c r="D185" s="26">
        <v>1</v>
      </c>
      <c r="E185" s="25">
        <v>1.3317352510320947E-4</v>
      </c>
    </row>
    <row r="186" spans="2:5" ht="15" customHeight="1">
      <c r="B186" s="84"/>
      <c r="C186" s="27" t="s">
        <v>35</v>
      </c>
      <c r="D186" s="26">
        <v>3</v>
      </c>
      <c r="E186" s="25">
        <v>3.9952057530962844E-4</v>
      </c>
    </row>
    <row r="187" spans="2:5" ht="15" customHeight="1">
      <c r="B187" s="84"/>
      <c r="C187" s="27" t="s">
        <v>8</v>
      </c>
      <c r="D187" s="26">
        <v>100</v>
      </c>
      <c r="E187" s="25">
        <v>1.3317352510320948E-2</v>
      </c>
    </row>
    <row r="188" spans="2:5" ht="15" customHeight="1">
      <c r="B188" s="84"/>
      <c r="C188" s="27" t="s">
        <v>32</v>
      </c>
      <c r="D188" s="26">
        <v>4</v>
      </c>
      <c r="E188" s="25">
        <v>5.3269410041283788E-4</v>
      </c>
    </row>
    <row r="189" spans="2:5" ht="15" customHeight="1">
      <c r="B189" s="84"/>
      <c r="C189" s="27" t="s">
        <v>38</v>
      </c>
      <c r="D189" s="26">
        <v>1</v>
      </c>
      <c r="E189" s="25">
        <v>1.3317352510320947E-4</v>
      </c>
    </row>
    <row r="190" spans="2:5" ht="15" customHeight="1">
      <c r="B190" s="84"/>
      <c r="C190" s="27" t="s">
        <v>33</v>
      </c>
      <c r="D190" s="26">
        <v>1</v>
      </c>
      <c r="E190" s="25">
        <v>1.3317352510320947E-4</v>
      </c>
    </row>
    <row r="191" spans="2:5" ht="15" customHeight="1">
      <c r="B191" s="84"/>
      <c r="C191" s="27" t="s">
        <v>15</v>
      </c>
      <c r="D191" s="26">
        <v>18</v>
      </c>
      <c r="E191" s="25">
        <v>2.3971234518577705E-3</v>
      </c>
    </row>
    <row r="192" spans="2:5" ht="15" customHeight="1">
      <c r="B192" s="84"/>
      <c r="C192" s="27" t="s">
        <v>6</v>
      </c>
      <c r="D192" s="26">
        <v>128</v>
      </c>
      <c r="E192" s="25">
        <v>1.7046211213210812E-2</v>
      </c>
    </row>
    <row r="193" spans="2:5" ht="15" customHeight="1">
      <c r="B193" s="84"/>
      <c r="C193" s="27" t="s">
        <v>21</v>
      </c>
      <c r="D193" s="26">
        <v>15</v>
      </c>
      <c r="E193" s="25">
        <v>1.997602876548142E-3</v>
      </c>
    </row>
    <row r="194" spans="2:5" ht="15" customHeight="1">
      <c r="B194" s="84"/>
      <c r="C194" s="27" t="s">
        <v>28</v>
      </c>
      <c r="D194" s="26">
        <v>9</v>
      </c>
      <c r="E194" s="25">
        <v>1.1985617259288853E-3</v>
      </c>
    </row>
    <row r="195" spans="2:5" ht="15" customHeight="1">
      <c r="B195" s="84"/>
      <c r="C195" s="27" t="s">
        <v>18</v>
      </c>
      <c r="D195" s="26">
        <v>10</v>
      </c>
      <c r="E195" s="25">
        <v>1.3317352510320948E-3</v>
      </c>
    </row>
    <row r="196" spans="2:5" ht="15" customHeight="1">
      <c r="B196" s="84"/>
      <c r="C196" s="27" t="s">
        <v>22</v>
      </c>
      <c r="D196" s="26">
        <v>15</v>
      </c>
      <c r="E196" s="25">
        <v>1.997602876548142E-3</v>
      </c>
    </row>
    <row r="197" spans="2:5" ht="15" customHeight="1">
      <c r="B197" s="84"/>
      <c r="C197" s="27" t="s">
        <v>43</v>
      </c>
      <c r="D197" s="26">
        <v>1</v>
      </c>
      <c r="E197" s="25">
        <v>1.3317352510320947E-4</v>
      </c>
    </row>
    <row r="198" spans="2:5" ht="15" customHeight="1">
      <c r="B198" s="85"/>
      <c r="C198" s="24" t="s">
        <v>53</v>
      </c>
      <c r="D198" s="23">
        <v>1118</v>
      </c>
      <c r="E198" s="22">
        <v>0.14888800106538821</v>
      </c>
    </row>
    <row r="199" spans="2:5" ht="15" customHeight="1">
      <c r="B199" s="83" t="s">
        <v>141</v>
      </c>
      <c r="C199" s="27" t="s">
        <v>23</v>
      </c>
      <c r="D199" s="26">
        <v>2</v>
      </c>
      <c r="E199" s="25">
        <v>2.6634705020641894E-4</v>
      </c>
    </row>
    <row r="200" spans="2:5" ht="15" customHeight="1">
      <c r="B200" s="84"/>
      <c r="C200" s="27" t="s">
        <v>5</v>
      </c>
      <c r="D200" s="26">
        <v>18</v>
      </c>
      <c r="E200" s="25">
        <v>2.3971234518577705E-3</v>
      </c>
    </row>
    <row r="201" spans="2:5" ht="15" customHeight="1">
      <c r="B201" s="84"/>
      <c r="C201" s="27" t="s">
        <v>9</v>
      </c>
      <c r="D201" s="26">
        <v>11</v>
      </c>
      <c r="E201" s="25">
        <v>1.4649087761353043E-3</v>
      </c>
    </row>
    <row r="202" spans="2:5" ht="15" customHeight="1">
      <c r="B202" s="84"/>
      <c r="C202" s="27" t="s">
        <v>11</v>
      </c>
      <c r="D202" s="26">
        <v>2</v>
      </c>
      <c r="E202" s="25">
        <v>2.6634705020641894E-4</v>
      </c>
    </row>
    <row r="203" spans="2:5" ht="15" customHeight="1">
      <c r="B203" s="84"/>
      <c r="C203" s="27" t="s">
        <v>13</v>
      </c>
      <c r="D203" s="26">
        <v>2</v>
      </c>
      <c r="E203" s="25">
        <v>2.6634705020641894E-4</v>
      </c>
    </row>
    <row r="204" spans="2:5" ht="15" customHeight="1">
      <c r="B204" s="84"/>
      <c r="C204" s="27" t="s">
        <v>7</v>
      </c>
      <c r="D204" s="26">
        <v>9</v>
      </c>
      <c r="E204" s="25">
        <v>1.1985617259288853E-3</v>
      </c>
    </row>
    <row r="205" spans="2:5" ht="15" customHeight="1">
      <c r="B205" s="84"/>
      <c r="C205" s="27" t="s">
        <v>10</v>
      </c>
      <c r="D205" s="26">
        <v>1</v>
      </c>
      <c r="E205" s="25">
        <v>1.3317352510320947E-4</v>
      </c>
    </row>
    <row r="206" spans="2:5" ht="15" customHeight="1">
      <c r="B206" s="84"/>
      <c r="C206" s="27" t="s">
        <v>25</v>
      </c>
      <c r="D206" s="26">
        <v>2</v>
      </c>
      <c r="E206" s="25">
        <v>2.6634705020641894E-4</v>
      </c>
    </row>
    <row r="207" spans="2:5" ht="15" customHeight="1">
      <c r="B207" s="84"/>
      <c r="C207" s="27" t="s">
        <v>17</v>
      </c>
      <c r="D207" s="26">
        <v>3</v>
      </c>
      <c r="E207" s="25">
        <v>3.9952057530962844E-4</v>
      </c>
    </row>
    <row r="208" spans="2:5" ht="15" customHeight="1">
      <c r="B208" s="84"/>
      <c r="C208" s="27" t="s">
        <v>20</v>
      </c>
      <c r="D208" s="26">
        <v>1</v>
      </c>
      <c r="E208" s="25">
        <v>1.3317352510320947E-4</v>
      </c>
    </row>
    <row r="209" spans="2:5" ht="15" customHeight="1">
      <c r="B209" s="84"/>
      <c r="C209" s="27" t="s">
        <v>31</v>
      </c>
      <c r="D209" s="26">
        <v>1</v>
      </c>
      <c r="E209" s="25">
        <v>1.3317352510320947E-4</v>
      </c>
    </row>
    <row r="210" spans="2:5" ht="15" customHeight="1">
      <c r="B210" s="84"/>
      <c r="C210" s="27" t="s">
        <v>26</v>
      </c>
      <c r="D210" s="26">
        <v>4</v>
      </c>
      <c r="E210" s="25">
        <v>5.3269410041283788E-4</v>
      </c>
    </row>
    <row r="211" spans="2:5" ht="15" customHeight="1">
      <c r="B211" s="84"/>
      <c r="C211" s="27" t="s">
        <v>24</v>
      </c>
      <c r="D211" s="26">
        <v>1</v>
      </c>
      <c r="E211" s="25">
        <v>1.3317352510320947E-4</v>
      </c>
    </row>
    <row r="212" spans="2:5" ht="15" customHeight="1">
      <c r="B212" s="84"/>
      <c r="C212" s="27" t="s">
        <v>12</v>
      </c>
      <c r="D212" s="26">
        <v>2</v>
      </c>
      <c r="E212" s="25">
        <v>2.6634705020641894E-4</v>
      </c>
    </row>
    <row r="213" spans="2:5" ht="15" customHeight="1">
      <c r="B213" s="84"/>
      <c r="C213" s="27" t="s">
        <v>16</v>
      </c>
      <c r="D213" s="26">
        <v>2</v>
      </c>
      <c r="E213" s="25">
        <v>2.6634705020641894E-4</v>
      </c>
    </row>
    <row r="214" spans="2:5" ht="15" customHeight="1">
      <c r="B214" s="84"/>
      <c r="C214" s="27" t="s">
        <v>35</v>
      </c>
      <c r="D214" s="26">
        <v>2</v>
      </c>
      <c r="E214" s="25">
        <v>2.6634705020641894E-4</v>
      </c>
    </row>
    <row r="215" spans="2:5" ht="15" customHeight="1">
      <c r="B215" s="84"/>
      <c r="C215" s="27" t="s">
        <v>8</v>
      </c>
      <c r="D215" s="26">
        <v>10</v>
      </c>
      <c r="E215" s="25">
        <v>1.3317352510320948E-3</v>
      </c>
    </row>
    <row r="216" spans="2:5" ht="15" customHeight="1">
      <c r="B216" s="84"/>
      <c r="C216" s="27" t="s">
        <v>15</v>
      </c>
      <c r="D216" s="26">
        <v>1</v>
      </c>
      <c r="E216" s="25">
        <v>1.3317352510320947E-4</v>
      </c>
    </row>
    <row r="217" spans="2:5" ht="15" customHeight="1">
      <c r="B217" s="84"/>
      <c r="C217" s="27" t="s">
        <v>6</v>
      </c>
      <c r="D217" s="26">
        <v>11</v>
      </c>
      <c r="E217" s="25">
        <v>1.4649087761353043E-3</v>
      </c>
    </row>
    <row r="218" spans="2:5" ht="15" customHeight="1">
      <c r="B218" s="84"/>
      <c r="C218" s="27" t="s">
        <v>18</v>
      </c>
      <c r="D218" s="26">
        <v>1</v>
      </c>
      <c r="E218" s="25">
        <v>1.3317352510320947E-4</v>
      </c>
    </row>
    <row r="219" spans="2:5" ht="15" customHeight="1">
      <c r="B219" s="85"/>
      <c r="C219" s="24" t="s">
        <v>53</v>
      </c>
      <c r="D219" s="23">
        <v>86</v>
      </c>
      <c r="E219" s="22">
        <v>1.1452923158876015E-2</v>
      </c>
    </row>
    <row r="220" spans="2:5" ht="15" customHeight="1">
      <c r="B220" s="83" t="s">
        <v>140</v>
      </c>
      <c r="C220" s="27" t="s">
        <v>23</v>
      </c>
      <c r="D220" s="26">
        <v>2</v>
      </c>
      <c r="E220" s="25">
        <v>2.6634705020641894E-4</v>
      </c>
    </row>
    <row r="221" spans="2:5" ht="15" customHeight="1">
      <c r="B221" s="84"/>
      <c r="C221" s="27" t="s">
        <v>14</v>
      </c>
      <c r="D221" s="26">
        <v>3</v>
      </c>
      <c r="E221" s="25">
        <v>3.9952057530962844E-4</v>
      </c>
    </row>
    <row r="222" spans="2:5" ht="15" customHeight="1">
      <c r="B222" s="84"/>
      <c r="C222" s="27" t="s">
        <v>5</v>
      </c>
      <c r="D222" s="26">
        <v>34</v>
      </c>
      <c r="E222" s="25">
        <v>4.527899853509122E-3</v>
      </c>
    </row>
    <row r="223" spans="2:5" ht="15" customHeight="1">
      <c r="B223" s="84"/>
      <c r="C223" s="27" t="s">
        <v>9</v>
      </c>
      <c r="D223" s="26">
        <v>13</v>
      </c>
      <c r="E223" s="25">
        <v>1.7312558263417232E-3</v>
      </c>
    </row>
    <row r="224" spans="2:5" ht="15" customHeight="1">
      <c r="B224" s="84"/>
      <c r="C224" s="27" t="s">
        <v>39</v>
      </c>
      <c r="D224" s="26">
        <v>1</v>
      </c>
      <c r="E224" s="25">
        <v>1.3317352510320947E-4</v>
      </c>
    </row>
    <row r="225" spans="2:5" ht="15" customHeight="1">
      <c r="B225" s="84"/>
      <c r="C225" s="27" t="s">
        <v>11</v>
      </c>
      <c r="D225" s="26">
        <v>6</v>
      </c>
      <c r="E225" s="25">
        <v>7.9904115061925688E-4</v>
      </c>
    </row>
    <row r="226" spans="2:5" ht="15" customHeight="1">
      <c r="B226" s="84"/>
      <c r="C226" s="27" t="s">
        <v>13</v>
      </c>
      <c r="D226" s="26">
        <v>5</v>
      </c>
      <c r="E226" s="25">
        <v>6.6586762551604738E-4</v>
      </c>
    </row>
    <row r="227" spans="2:5" ht="15" customHeight="1">
      <c r="B227" s="84"/>
      <c r="C227" s="27" t="s">
        <v>27</v>
      </c>
      <c r="D227" s="26">
        <v>1</v>
      </c>
      <c r="E227" s="25">
        <v>1.3317352510320947E-4</v>
      </c>
    </row>
    <row r="228" spans="2:5" ht="15" customHeight="1">
      <c r="B228" s="84"/>
      <c r="C228" s="27" t="s">
        <v>7</v>
      </c>
      <c r="D228" s="26">
        <v>17</v>
      </c>
      <c r="E228" s="25">
        <v>2.263949926754561E-3</v>
      </c>
    </row>
    <row r="229" spans="2:5" ht="15" customHeight="1">
      <c r="B229" s="84"/>
      <c r="C229" s="27" t="s">
        <v>10</v>
      </c>
      <c r="D229" s="26">
        <v>8</v>
      </c>
      <c r="E229" s="25">
        <v>1.0653882008256758E-3</v>
      </c>
    </row>
    <row r="230" spans="2:5" ht="15" customHeight="1">
      <c r="B230" s="84"/>
      <c r="C230" s="27" t="s">
        <v>25</v>
      </c>
      <c r="D230" s="26">
        <v>4</v>
      </c>
      <c r="E230" s="25">
        <v>5.3269410041283788E-4</v>
      </c>
    </row>
    <row r="231" spans="2:5" ht="15" customHeight="1">
      <c r="B231" s="84"/>
      <c r="C231" s="27" t="s">
        <v>17</v>
      </c>
      <c r="D231" s="26">
        <v>5</v>
      </c>
      <c r="E231" s="25">
        <v>6.6586762551604738E-4</v>
      </c>
    </row>
    <row r="232" spans="2:5" ht="15" customHeight="1">
      <c r="B232" s="84"/>
      <c r="C232" s="27" t="s">
        <v>20</v>
      </c>
      <c r="D232" s="26">
        <v>4</v>
      </c>
      <c r="E232" s="25">
        <v>5.3269410041283788E-4</v>
      </c>
    </row>
    <row r="233" spans="2:5" ht="15" customHeight="1">
      <c r="B233" s="84"/>
      <c r="C233" s="27" t="s">
        <v>30</v>
      </c>
      <c r="D233" s="26">
        <v>2</v>
      </c>
      <c r="E233" s="25">
        <v>2.6634705020641894E-4</v>
      </c>
    </row>
    <row r="234" spans="2:5" ht="15" customHeight="1">
      <c r="B234" s="84"/>
      <c r="C234" s="27" t="s">
        <v>29</v>
      </c>
      <c r="D234" s="26">
        <v>1</v>
      </c>
      <c r="E234" s="25">
        <v>1.3317352510320947E-4</v>
      </c>
    </row>
    <row r="235" spans="2:5" ht="15" customHeight="1">
      <c r="B235" s="84"/>
      <c r="C235" s="27" t="s">
        <v>26</v>
      </c>
      <c r="D235" s="26">
        <v>1</v>
      </c>
      <c r="E235" s="25">
        <v>1.3317352510320947E-4</v>
      </c>
    </row>
    <row r="236" spans="2:5" ht="15" customHeight="1">
      <c r="B236" s="84"/>
      <c r="C236" s="27" t="s">
        <v>24</v>
      </c>
      <c r="D236" s="26">
        <v>2</v>
      </c>
      <c r="E236" s="25">
        <v>2.6634705020641894E-4</v>
      </c>
    </row>
    <row r="237" spans="2:5" ht="15" customHeight="1">
      <c r="B237" s="84"/>
      <c r="C237" s="27" t="s">
        <v>12</v>
      </c>
      <c r="D237" s="26">
        <v>2</v>
      </c>
      <c r="E237" s="25">
        <v>2.6634705020641894E-4</v>
      </c>
    </row>
    <row r="238" spans="2:5" ht="15" customHeight="1">
      <c r="B238" s="84"/>
      <c r="C238" s="27" t="s">
        <v>19</v>
      </c>
      <c r="D238" s="26">
        <v>2</v>
      </c>
      <c r="E238" s="25">
        <v>2.6634705020641894E-4</v>
      </c>
    </row>
    <row r="239" spans="2:5" ht="15" customHeight="1">
      <c r="B239" s="84"/>
      <c r="C239" s="27" t="s">
        <v>34</v>
      </c>
      <c r="D239" s="26">
        <v>1</v>
      </c>
      <c r="E239" s="25">
        <v>1.3317352510320947E-4</v>
      </c>
    </row>
    <row r="240" spans="2:5" ht="15" customHeight="1">
      <c r="B240" s="84"/>
      <c r="C240" s="27" t="s">
        <v>16</v>
      </c>
      <c r="D240" s="26">
        <v>4</v>
      </c>
      <c r="E240" s="25">
        <v>5.3269410041283788E-4</v>
      </c>
    </row>
    <row r="241" spans="2:5" ht="15" customHeight="1">
      <c r="B241" s="84"/>
      <c r="C241" s="27" t="s">
        <v>35</v>
      </c>
      <c r="D241" s="26">
        <v>1</v>
      </c>
      <c r="E241" s="25">
        <v>1.3317352510320947E-4</v>
      </c>
    </row>
    <row r="242" spans="2:5" ht="15" customHeight="1">
      <c r="B242" s="84"/>
      <c r="C242" s="27" t="s">
        <v>8</v>
      </c>
      <c r="D242" s="26">
        <v>16</v>
      </c>
      <c r="E242" s="25">
        <v>2.1307764016513515E-3</v>
      </c>
    </row>
    <row r="243" spans="2:5" ht="15" customHeight="1">
      <c r="B243" s="84"/>
      <c r="C243" s="27" t="s">
        <v>32</v>
      </c>
      <c r="D243" s="26">
        <v>1</v>
      </c>
      <c r="E243" s="25">
        <v>1.3317352510320947E-4</v>
      </c>
    </row>
    <row r="244" spans="2:5" ht="15" customHeight="1">
      <c r="B244" s="84"/>
      <c r="C244" s="27" t="s">
        <v>33</v>
      </c>
      <c r="D244" s="26">
        <v>2</v>
      </c>
      <c r="E244" s="25">
        <v>2.6634705020641894E-4</v>
      </c>
    </row>
    <row r="245" spans="2:5" ht="15" customHeight="1">
      <c r="B245" s="84"/>
      <c r="C245" s="27" t="s">
        <v>15</v>
      </c>
      <c r="D245" s="26">
        <v>6</v>
      </c>
      <c r="E245" s="25">
        <v>7.9904115061925688E-4</v>
      </c>
    </row>
    <row r="246" spans="2:5" ht="15" customHeight="1">
      <c r="B246" s="84"/>
      <c r="C246" s="27" t="s">
        <v>6</v>
      </c>
      <c r="D246" s="26">
        <v>32</v>
      </c>
      <c r="E246" s="25">
        <v>4.2615528033027031E-3</v>
      </c>
    </row>
    <row r="247" spans="2:5" ht="15" customHeight="1">
      <c r="B247" s="84"/>
      <c r="C247" s="27" t="s">
        <v>21</v>
      </c>
      <c r="D247" s="26">
        <v>4</v>
      </c>
      <c r="E247" s="25">
        <v>5.3269410041283788E-4</v>
      </c>
    </row>
    <row r="248" spans="2:5" ht="15" customHeight="1">
      <c r="B248" s="84"/>
      <c r="C248" s="27" t="s">
        <v>28</v>
      </c>
      <c r="D248" s="26">
        <v>1</v>
      </c>
      <c r="E248" s="25">
        <v>1.3317352510320947E-4</v>
      </c>
    </row>
    <row r="249" spans="2:5" ht="15" customHeight="1">
      <c r="B249" s="84"/>
      <c r="C249" s="27" t="s">
        <v>18</v>
      </c>
      <c r="D249" s="26">
        <v>1</v>
      </c>
      <c r="E249" s="25">
        <v>1.3317352510320947E-4</v>
      </c>
    </row>
    <row r="250" spans="2:5" ht="15" customHeight="1">
      <c r="B250" s="84"/>
      <c r="C250" s="27" t="s">
        <v>22</v>
      </c>
      <c r="D250" s="26">
        <v>1</v>
      </c>
      <c r="E250" s="25">
        <v>1.3317352510320947E-4</v>
      </c>
    </row>
    <row r="251" spans="2:5" ht="15" customHeight="1">
      <c r="B251" s="84"/>
      <c r="C251" s="27" t="s">
        <v>43</v>
      </c>
      <c r="D251" s="26">
        <v>2</v>
      </c>
      <c r="E251" s="25">
        <v>2.6634705020641894E-4</v>
      </c>
    </row>
    <row r="252" spans="2:5" ht="15" customHeight="1">
      <c r="B252" s="85"/>
      <c r="C252" s="24" t="s">
        <v>53</v>
      </c>
      <c r="D252" s="23">
        <v>185</v>
      </c>
      <c r="E252" s="22">
        <v>2.4637102144093755E-2</v>
      </c>
    </row>
    <row r="253" spans="2:5" ht="15" customHeight="1">
      <c r="B253" s="83" t="s">
        <v>139</v>
      </c>
      <c r="C253" s="27" t="s">
        <v>23</v>
      </c>
      <c r="D253" s="26">
        <v>1</v>
      </c>
      <c r="E253" s="25">
        <v>1.3317352510320947E-4</v>
      </c>
    </row>
    <row r="254" spans="2:5" ht="15" customHeight="1">
      <c r="B254" s="84"/>
      <c r="C254" s="27" t="s">
        <v>14</v>
      </c>
      <c r="D254" s="26">
        <v>9</v>
      </c>
      <c r="E254" s="25">
        <v>1.1985617259288853E-3</v>
      </c>
    </row>
    <row r="255" spans="2:5" ht="15" customHeight="1">
      <c r="B255" s="84"/>
      <c r="C255" s="27" t="s">
        <v>5</v>
      </c>
      <c r="D255" s="26">
        <v>70</v>
      </c>
      <c r="E255" s="25">
        <v>9.3221467572246631E-3</v>
      </c>
    </row>
    <row r="256" spans="2:5" ht="15" customHeight="1">
      <c r="B256" s="84"/>
      <c r="C256" s="27" t="s">
        <v>9</v>
      </c>
      <c r="D256" s="26">
        <v>28</v>
      </c>
      <c r="E256" s="25">
        <v>3.7288587028898655E-3</v>
      </c>
    </row>
    <row r="257" spans="2:5" ht="15" customHeight="1">
      <c r="B257" s="84"/>
      <c r="C257" s="27" t="s">
        <v>11</v>
      </c>
      <c r="D257" s="26">
        <v>10</v>
      </c>
      <c r="E257" s="25">
        <v>1.3317352510320948E-3</v>
      </c>
    </row>
    <row r="258" spans="2:5" ht="15" customHeight="1">
      <c r="B258" s="84"/>
      <c r="C258" s="27" t="s">
        <v>13</v>
      </c>
      <c r="D258" s="26">
        <v>2</v>
      </c>
      <c r="E258" s="25">
        <v>2.6634705020641894E-4</v>
      </c>
    </row>
    <row r="259" spans="2:5" ht="15" customHeight="1">
      <c r="B259" s="84"/>
      <c r="C259" s="27" t="s">
        <v>27</v>
      </c>
      <c r="D259" s="26">
        <v>1</v>
      </c>
      <c r="E259" s="25">
        <v>1.3317352510320947E-4</v>
      </c>
    </row>
    <row r="260" spans="2:5" ht="15" customHeight="1">
      <c r="B260" s="84"/>
      <c r="C260" s="27" t="s">
        <v>7</v>
      </c>
      <c r="D260" s="26">
        <v>20</v>
      </c>
      <c r="E260" s="25">
        <v>2.6634705020641895E-3</v>
      </c>
    </row>
    <row r="261" spans="2:5" ht="15" customHeight="1">
      <c r="B261" s="84"/>
      <c r="C261" s="27" t="s">
        <v>10</v>
      </c>
      <c r="D261" s="26">
        <v>11</v>
      </c>
      <c r="E261" s="25">
        <v>1.4649087761353043E-3</v>
      </c>
    </row>
    <row r="262" spans="2:5" ht="15" customHeight="1">
      <c r="B262" s="84"/>
      <c r="C262" s="27" t="s">
        <v>25</v>
      </c>
      <c r="D262" s="26">
        <v>6</v>
      </c>
      <c r="E262" s="25">
        <v>7.9904115061925688E-4</v>
      </c>
    </row>
    <row r="263" spans="2:5" ht="15" customHeight="1">
      <c r="B263" s="84"/>
      <c r="C263" s="27" t="s">
        <v>17</v>
      </c>
      <c r="D263" s="26">
        <v>11</v>
      </c>
      <c r="E263" s="25">
        <v>1.4649087761353043E-3</v>
      </c>
    </row>
    <row r="264" spans="2:5" ht="15" customHeight="1">
      <c r="B264" s="84"/>
      <c r="C264" s="27" t="s">
        <v>20</v>
      </c>
      <c r="D264" s="26">
        <v>1</v>
      </c>
      <c r="E264" s="25">
        <v>1.3317352510320947E-4</v>
      </c>
    </row>
    <row r="265" spans="2:5" ht="15" customHeight="1">
      <c r="B265" s="84"/>
      <c r="C265" s="27" t="s">
        <v>30</v>
      </c>
      <c r="D265" s="26">
        <v>3</v>
      </c>
      <c r="E265" s="25">
        <v>3.9952057530962844E-4</v>
      </c>
    </row>
    <row r="266" spans="2:5" ht="15" customHeight="1">
      <c r="B266" s="84"/>
      <c r="C266" s="27" t="s">
        <v>29</v>
      </c>
      <c r="D266" s="26">
        <v>3</v>
      </c>
      <c r="E266" s="25">
        <v>3.9952057530962844E-4</v>
      </c>
    </row>
    <row r="267" spans="2:5" ht="15" customHeight="1">
      <c r="B267" s="84"/>
      <c r="C267" s="27" t="s">
        <v>26</v>
      </c>
      <c r="D267" s="26">
        <v>1</v>
      </c>
      <c r="E267" s="25">
        <v>1.3317352510320947E-4</v>
      </c>
    </row>
    <row r="268" spans="2:5" ht="15" customHeight="1">
      <c r="B268" s="84"/>
      <c r="C268" s="27" t="s">
        <v>45</v>
      </c>
      <c r="D268" s="26">
        <v>1</v>
      </c>
      <c r="E268" s="25">
        <v>1.3317352510320947E-4</v>
      </c>
    </row>
    <row r="269" spans="2:5" ht="15" customHeight="1">
      <c r="B269" s="84"/>
      <c r="C269" s="27" t="s">
        <v>24</v>
      </c>
      <c r="D269" s="26">
        <v>2</v>
      </c>
      <c r="E269" s="25">
        <v>2.6634705020641894E-4</v>
      </c>
    </row>
    <row r="270" spans="2:5" ht="15" customHeight="1">
      <c r="B270" s="84"/>
      <c r="C270" s="27" t="s">
        <v>12</v>
      </c>
      <c r="D270" s="26">
        <v>8</v>
      </c>
      <c r="E270" s="25">
        <v>1.0653882008256758E-3</v>
      </c>
    </row>
    <row r="271" spans="2:5" ht="15" customHeight="1">
      <c r="B271" s="84"/>
      <c r="C271" s="27" t="s">
        <v>19</v>
      </c>
      <c r="D271" s="26">
        <v>3</v>
      </c>
      <c r="E271" s="25">
        <v>3.9952057530962844E-4</v>
      </c>
    </row>
    <row r="272" spans="2:5" ht="15" customHeight="1">
      <c r="B272" s="84"/>
      <c r="C272" s="27" t="s">
        <v>16</v>
      </c>
      <c r="D272" s="26">
        <v>4</v>
      </c>
      <c r="E272" s="25">
        <v>5.3269410041283788E-4</v>
      </c>
    </row>
    <row r="273" spans="2:5" ht="15" customHeight="1">
      <c r="B273" s="84"/>
      <c r="C273" s="27" t="s">
        <v>35</v>
      </c>
      <c r="D273" s="26">
        <v>1</v>
      </c>
      <c r="E273" s="25">
        <v>1.3317352510320947E-4</v>
      </c>
    </row>
    <row r="274" spans="2:5" ht="15" customHeight="1">
      <c r="B274" s="84"/>
      <c r="C274" s="27" t="s">
        <v>8</v>
      </c>
      <c r="D274" s="26">
        <v>20</v>
      </c>
      <c r="E274" s="25">
        <v>2.6634705020641895E-3</v>
      </c>
    </row>
    <row r="275" spans="2:5" ht="15" customHeight="1">
      <c r="B275" s="84"/>
      <c r="C275" s="27" t="s">
        <v>38</v>
      </c>
      <c r="D275" s="26">
        <v>1</v>
      </c>
      <c r="E275" s="25">
        <v>1.3317352510320947E-4</v>
      </c>
    </row>
    <row r="276" spans="2:5" ht="15" customHeight="1">
      <c r="B276" s="84"/>
      <c r="C276" s="27" t="s">
        <v>33</v>
      </c>
      <c r="D276" s="26">
        <v>3</v>
      </c>
      <c r="E276" s="25">
        <v>3.9952057530962844E-4</v>
      </c>
    </row>
    <row r="277" spans="2:5" ht="15" customHeight="1">
      <c r="B277" s="84"/>
      <c r="C277" s="27" t="s">
        <v>15</v>
      </c>
      <c r="D277" s="26">
        <v>8</v>
      </c>
      <c r="E277" s="25">
        <v>1.0653882008256758E-3</v>
      </c>
    </row>
    <row r="278" spans="2:5" ht="15" customHeight="1">
      <c r="B278" s="84"/>
      <c r="C278" s="27" t="s">
        <v>6</v>
      </c>
      <c r="D278" s="26">
        <v>68</v>
      </c>
      <c r="E278" s="25">
        <v>9.0557997070182441E-3</v>
      </c>
    </row>
    <row r="279" spans="2:5" ht="15" customHeight="1">
      <c r="B279" s="84"/>
      <c r="C279" s="27" t="s">
        <v>21</v>
      </c>
      <c r="D279" s="26">
        <v>5</v>
      </c>
      <c r="E279" s="25">
        <v>6.6586762551604738E-4</v>
      </c>
    </row>
    <row r="280" spans="2:5" ht="15" customHeight="1">
      <c r="B280" s="84"/>
      <c r="C280" s="27" t="s">
        <v>28</v>
      </c>
      <c r="D280" s="26">
        <v>1</v>
      </c>
      <c r="E280" s="25">
        <v>1.3317352510320947E-4</v>
      </c>
    </row>
    <row r="281" spans="2:5" ht="15" customHeight="1">
      <c r="B281" s="84"/>
      <c r="C281" s="27" t="s">
        <v>18</v>
      </c>
      <c r="D281" s="26">
        <v>3</v>
      </c>
      <c r="E281" s="25">
        <v>3.9952057530962844E-4</v>
      </c>
    </row>
    <row r="282" spans="2:5" ht="15" customHeight="1">
      <c r="B282" s="84"/>
      <c r="C282" s="27" t="s">
        <v>43</v>
      </c>
      <c r="D282" s="26">
        <v>1</v>
      </c>
      <c r="E282" s="25">
        <v>1.3317352510320947E-4</v>
      </c>
    </row>
    <row r="283" spans="2:5" ht="15" customHeight="1">
      <c r="B283" s="85"/>
      <c r="C283" s="24" t="s">
        <v>53</v>
      </c>
      <c r="D283" s="23">
        <v>306</v>
      </c>
      <c r="E283" s="22">
        <v>4.0751098681582103E-2</v>
      </c>
    </row>
    <row r="284" spans="2:5" ht="15" customHeight="1">
      <c r="B284" s="83" t="s">
        <v>138</v>
      </c>
      <c r="C284" s="27" t="s">
        <v>36</v>
      </c>
      <c r="D284" s="26">
        <v>8</v>
      </c>
      <c r="E284" s="25">
        <v>1.0653882008256758E-3</v>
      </c>
    </row>
    <row r="285" spans="2:5" ht="15" customHeight="1">
      <c r="B285" s="84"/>
      <c r="C285" s="27" t="s">
        <v>49</v>
      </c>
      <c r="D285" s="26">
        <v>1</v>
      </c>
      <c r="E285" s="25">
        <v>1.3317352510320947E-4</v>
      </c>
    </row>
    <row r="286" spans="2:5" ht="15" customHeight="1">
      <c r="B286" s="84"/>
      <c r="C286" s="27" t="s">
        <v>23</v>
      </c>
      <c r="D286" s="26">
        <v>13</v>
      </c>
      <c r="E286" s="25">
        <v>1.7312558263417232E-3</v>
      </c>
    </row>
    <row r="287" spans="2:5" ht="15" customHeight="1">
      <c r="B287" s="84"/>
      <c r="C287" s="27" t="s">
        <v>14</v>
      </c>
      <c r="D287" s="26">
        <v>45</v>
      </c>
      <c r="E287" s="25">
        <v>5.9928086296444265E-3</v>
      </c>
    </row>
    <row r="288" spans="2:5" ht="15" customHeight="1">
      <c r="B288" s="84"/>
      <c r="C288" s="27" t="s">
        <v>5</v>
      </c>
      <c r="D288" s="26">
        <v>517</v>
      </c>
      <c r="E288" s="25">
        <v>6.8850712478359305E-2</v>
      </c>
    </row>
    <row r="289" spans="2:5" ht="15" customHeight="1">
      <c r="B289" s="84"/>
      <c r="C289" s="27" t="s">
        <v>9</v>
      </c>
      <c r="D289" s="26">
        <v>165</v>
      </c>
      <c r="E289" s="25">
        <v>2.1973631642029565E-2</v>
      </c>
    </row>
    <row r="290" spans="2:5" ht="15" customHeight="1">
      <c r="B290" s="84"/>
      <c r="C290" s="27" t="s">
        <v>39</v>
      </c>
      <c r="D290" s="26">
        <v>6</v>
      </c>
      <c r="E290" s="25">
        <v>7.9904115061925688E-4</v>
      </c>
    </row>
    <row r="291" spans="2:5" ht="15" customHeight="1">
      <c r="B291" s="84"/>
      <c r="C291" s="27" t="s">
        <v>42</v>
      </c>
      <c r="D291" s="26">
        <v>2</v>
      </c>
      <c r="E291" s="25">
        <v>2.6634705020641894E-4</v>
      </c>
    </row>
    <row r="292" spans="2:5" ht="15" customHeight="1">
      <c r="B292" s="84"/>
      <c r="C292" s="27" t="s">
        <v>11</v>
      </c>
      <c r="D292" s="26">
        <v>67</v>
      </c>
      <c r="E292" s="25">
        <v>8.9226261819150346E-3</v>
      </c>
    </row>
    <row r="293" spans="2:5" ht="15" customHeight="1">
      <c r="B293" s="84"/>
      <c r="C293" s="27" t="s">
        <v>13</v>
      </c>
      <c r="D293" s="26">
        <v>51</v>
      </c>
      <c r="E293" s="25">
        <v>6.7918497802636835E-3</v>
      </c>
    </row>
    <row r="294" spans="2:5" ht="15" customHeight="1">
      <c r="B294" s="84"/>
      <c r="C294" s="27" t="s">
        <v>27</v>
      </c>
      <c r="D294" s="26">
        <v>16</v>
      </c>
      <c r="E294" s="25">
        <v>2.1307764016513515E-3</v>
      </c>
    </row>
    <row r="295" spans="2:5" ht="15" customHeight="1">
      <c r="B295" s="84"/>
      <c r="C295" s="27" t="s">
        <v>7</v>
      </c>
      <c r="D295" s="26">
        <v>330</v>
      </c>
      <c r="E295" s="25">
        <v>4.3947263284059131E-2</v>
      </c>
    </row>
    <row r="296" spans="2:5" ht="15" customHeight="1">
      <c r="B296" s="84"/>
      <c r="C296" s="27" t="s">
        <v>10</v>
      </c>
      <c r="D296" s="26">
        <v>184</v>
      </c>
      <c r="E296" s="25">
        <v>2.4503928618990544E-2</v>
      </c>
    </row>
    <row r="297" spans="2:5" ht="15" customHeight="1">
      <c r="B297" s="84"/>
      <c r="C297" s="27" t="s">
        <v>25</v>
      </c>
      <c r="D297" s="26">
        <v>16</v>
      </c>
      <c r="E297" s="25">
        <v>2.1307764016513515E-3</v>
      </c>
    </row>
    <row r="298" spans="2:5" ht="15" customHeight="1">
      <c r="B298" s="84"/>
      <c r="C298" s="27" t="s">
        <v>17</v>
      </c>
      <c r="D298" s="26">
        <v>26</v>
      </c>
      <c r="E298" s="25">
        <v>3.4625116526834465E-3</v>
      </c>
    </row>
    <row r="299" spans="2:5" ht="15" customHeight="1">
      <c r="B299" s="84"/>
      <c r="C299" s="27" t="s">
        <v>20</v>
      </c>
      <c r="D299" s="26">
        <v>34</v>
      </c>
      <c r="E299" s="25">
        <v>4.527899853509122E-3</v>
      </c>
    </row>
    <row r="300" spans="2:5" ht="15" customHeight="1">
      <c r="B300" s="84"/>
      <c r="C300" s="27" t="s">
        <v>30</v>
      </c>
      <c r="D300" s="26">
        <v>12</v>
      </c>
      <c r="E300" s="25">
        <v>1.5980823012385138E-3</v>
      </c>
    </row>
    <row r="301" spans="2:5" ht="15" customHeight="1">
      <c r="B301" s="84"/>
      <c r="C301" s="27" t="s">
        <v>40</v>
      </c>
      <c r="D301" s="26">
        <v>3</v>
      </c>
      <c r="E301" s="25">
        <v>3.9952057530962844E-4</v>
      </c>
    </row>
    <row r="302" spans="2:5" ht="15" customHeight="1">
      <c r="B302" s="84"/>
      <c r="C302" s="27" t="s">
        <v>29</v>
      </c>
      <c r="D302" s="26">
        <v>18</v>
      </c>
      <c r="E302" s="25">
        <v>2.3971234518577705E-3</v>
      </c>
    </row>
    <row r="303" spans="2:5" ht="15" customHeight="1">
      <c r="B303" s="84"/>
      <c r="C303" s="27" t="s">
        <v>31</v>
      </c>
      <c r="D303" s="26">
        <v>15</v>
      </c>
      <c r="E303" s="25">
        <v>1.997602876548142E-3</v>
      </c>
    </row>
    <row r="304" spans="2:5" ht="15" customHeight="1">
      <c r="B304" s="84"/>
      <c r="C304" s="27" t="s">
        <v>37</v>
      </c>
      <c r="D304" s="26">
        <v>6</v>
      </c>
      <c r="E304" s="25">
        <v>7.9904115061925688E-4</v>
      </c>
    </row>
    <row r="305" spans="2:5" ht="15" customHeight="1">
      <c r="B305" s="84"/>
      <c r="C305" s="27" t="s">
        <v>26</v>
      </c>
      <c r="D305" s="26">
        <v>17</v>
      </c>
      <c r="E305" s="25">
        <v>2.263949926754561E-3</v>
      </c>
    </row>
    <row r="306" spans="2:5" ht="15" customHeight="1">
      <c r="B306" s="84"/>
      <c r="C306" s="27" t="s">
        <v>45</v>
      </c>
      <c r="D306" s="26">
        <v>1</v>
      </c>
      <c r="E306" s="25">
        <v>1.3317352510320947E-4</v>
      </c>
    </row>
    <row r="307" spans="2:5" ht="15" customHeight="1">
      <c r="B307" s="84"/>
      <c r="C307" s="27" t="s">
        <v>24</v>
      </c>
      <c r="D307" s="26">
        <v>16</v>
      </c>
      <c r="E307" s="25">
        <v>2.1307764016513515E-3</v>
      </c>
    </row>
    <row r="308" spans="2:5" ht="15" customHeight="1">
      <c r="B308" s="84"/>
      <c r="C308" s="27" t="s">
        <v>12</v>
      </c>
      <c r="D308" s="26">
        <v>53</v>
      </c>
      <c r="E308" s="25">
        <v>7.0581968304701025E-3</v>
      </c>
    </row>
    <row r="309" spans="2:5" ht="15" customHeight="1">
      <c r="B309" s="84"/>
      <c r="C309" s="27" t="s">
        <v>46</v>
      </c>
      <c r="D309" s="26">
        <v>1</v>
      </c>
      <c r="E309" s="25">
        <v>1.3317352510320947E-4</v>
      </c>
    </row>
    <row r="310" spans="2:5" ht="15" customHeight="1">
      <c r="B310" s="84"/>
      <c r="C310" s="27" t="s">
        <v>41</v>
      </c>
      <c r="D310" s="26">
        <v>4</v>
      </c>
      <c r="E310" s="25">
        <v>5.3269410041283788E-4</v>
      </c>
    </row>
    <row r="311" spans="2:5" ht="15" customHeight="1">
      <c r="B311" s="84"/>
      <c r="C311" s="27" t="s">
        <v>19</v>
      </c>
      <c r="D311" s="26">
        <v>37</v>
      </c>
      <c r="E311" s="25">
        <v>4.9274204288187505E-3</v>
      </c>
    </row>
    <row r="312" spans="2:5" ht="15" customHeight="1">
      <c r="B312" s="84"/>
      <c r="C312" s="27" t="s">
        <v>34</v>
      </c>
      <c r="D312" s="26">
        <v>5</v>
      </c>
      <c r="E312" s="25">
        <v>6.6586762551604738E-4</v>
      </c>
    </row>
    <row r="313" spans="2:5" ht="15" customHeight="1">
      <c r="B313" s="84"/>
      <c r="C313" s="27" t="s">
        <v>16</v>
      </c>
      <c r="D313" s="26">
        <v>37</v>
      </c>
      <c r="E313" s="25">
        <v>4.9274204288187505E-3</v>
      </c>
    </row>
    <row r="314" spans="2:5" ht="15" customHeight="1">
      <c r="B314" s="84"/>
      <c r="C314" s="27" t="s">
        <v>35</v>
      </c>
      <c r="D314" s="26">
        <v>6</v>
      </c>
      <c r="E314" s="25">
        <v>7.9904115061925688E-4</v>
      </c>
    </row>
    <row r="315" spans="2:5" ht="15" customHeight="1">
      <c r="B315" s="84"/>
      <c r="C315" s="27" t="s">
        <v>8</v>
      </c>
      <c r="D315" s="26">
        <v>277</v>
      </c>
      <c r="E315" s="25">
        <v>3.6889066453589026E-2</v>
      </c>
    </row>
    <row r="316" spans="2:5" ht="15" customHeight="1">
      <c r="B316" s="84"/>
      <c r="C316" s="27" t="s">
        <v>32</v>
      </c>
      <c r="D316" s="26">
        <v>11</v>
      </c>
      <c r="E316" s="25">
        <v>1.4649087761353043E-3</v>
      </c>
    </row>
    <row r="317" spans="2:5" ht="15" customHeight="1">
      <c r="B317" s="84"/>
      <c r="C317" s="27" t="s">
        <v>38</v>
      </c>
      <c r="D317" s="26">
        <v>6</v>
      </c>
      <c r="E317" s="25">
        <v>7.9904115061925688E-4</v>
      </c>
    </row>
    <row r="318" spans="2:5" ht="15" customHeight="1">
      <c r="B318" s="84"/>
      <c r="C318" s="27" t="s">
        <v>33</v>
      </c>
      <c r="D318" s="26">
        <v>9</v>
      </c>
      <c r="E318" s="25">
        <v>1.1985617259288853E-3</v>
      </c>
    </row>
    <row r="319" spans="2:5" ht="15" customHeight="1">
      <c r="B319" s="84"/>
      <c r="C319" s="27" t="s">
        <v>48</v>
      </c>
      <c r="D319" s="26">
        <v>1</v>
      </c>
      <c r="E319" s="25">
        <v>1.3317352510320947E-4</v>
      </c>
    </row>
    <row r="320" spans="2:5" ht="15" customHeight="1">
      <c r="B320" s="84"/>
      <c r="C320" s="27" t="s">
        <v>15</v>
      </c>
      <c r="D320" s="26">
        <v>43</v>
      </c>
      <c r="E320" s="25">
        <v>5.7264615794380075E-3</v>
      </c>
    </row>
    <row r="321" spans="2:5" ht="15" customHeight="1">
      <c r="B321" s="84"/>
      <c r="C321" s="27" t="s">
        <v>6</v>
      </c>
      <c r="D321" s="26">
        <v>490</v>
      </c>
      <c r="E321" s="25">
        <v>6.5255027300572643E-2</v>
      </c>
    </row>
    <row r="322" spans="2:5" ht="15" customHeight="1">
      <c r="B322" s="84"/>
      <c r="C322" s="27" t="s">
        <v>21</v>
      </c>
      <c r="D322" s="26">
        <v>17</v>
      </c>
      <c r="E322" s="25">
        <v>2.263949926754561E-3</v>
      </c>
    </row>
    <row r="323" spans="2:5" ht="15" customHeight="1">
      <c r="B323" s="84"/>
      <c r="C323" s="27" t="s">
        <v>28</v>
      </c>
      <c r="D323" s="26">
        <v>12</v>
      </c>
      <c r="E323" s="25">
        <v>1.5980823012385138E-3</v>
      </c>
    </row>
    <row r="324" spans="2:5" ht="15" customHeight="1">
      <c r="B324" s="84"/>
      <c r="C324" s="27" t="s">
        <v>18</v>
      </c>
      <c r="D324" s="26">
        <v>39</v>
      </c>
      <c r="E324" s="25">
        <v>5.1937674790251695E-3</v>
      </c>
    </row>
    <row r="325" spans="2:5" ht="15" customHeight="1">
      <c r="B325" s="84"/>
      <c r="C325" s="27" t="s">
        <v>22</v>
      </c>
      <c r="D325" s="26">
        <v>25</v>
      </c>
      <c r="E325" s="25">
        <v>3.329338127580237E-3</v>
      </c>
    </row>
    <row r="326" spans="2:5" ht="15" customHeight="1">
      <c r="B326" s="84"/>
      <c r="C326" s="27" t="s">
        <v>43</v>
      </c>
      <c r="D326" s="26">
        <v>1</v>
      </c>
      <c r="E326" s="25">
        <v>1.3317352510320947E-4</v>
      </c>
    </row>
    <row r="327" spans="2:5" ht="15" customHeight="1">
      <c r="B327" s="85"/>
      <c r="C327" s="24" t="s">
        <v>53</v>
      </c>
      <c r="D327" s="23">
        <v>2643</v>
      </c>
      <c r="E327" s="22">
        <v>0.35197762684778267</v>
      </c>
    </row>
    <row r="328" spans="2:5" ht="15" customHeight="1">
      <c r="B328" s="83" t="s">
        <v>137</v>
      </c>
      <c r="C328" s="27" t="s">
        <v>23</v>
      </c>
      <c r="D328" s="26">
        <v>1</v>
      </c>
      <c r="E328" s="25">
        <v>1.3317352510320947E-4</v>
      </c>
    </row>
    <row r="329" spans="2:5" ht="15" customHeight="1">
      <c r="B329" s="84"/>
      <c r="C329" s="27" t="s">
        <v>14</v>
      </c>
      <c r="D329" s="26">
        <v>1</v>
      </c>
      <c r="E329" s="25">
        <v>1.3317352510320947E-4</v>
      </c>
    </row>
    <row r="330" spans="2:5" ht="15" customHeight="1">
      <c r="B330" s="84"/>
      <c r="C330" s="27" t="s">
        <v>5</v>
      </c>
      <c r="D330" s="26">
        <v>17</v>
      </c>
      <c r="E330" s="25">
        <v>2.263949926754561E-3</v>
      </c>
    </row>
    <row r="331" spans="2:5" ht="15" customHeight="1">
      <c r="B331" s="84"/>
      <c r="C331" s="27" t="s">
        <v>9</v>
      </c>
      <c r="D331" s="26">
        <v>3</v>
      </c>
      <c r="E331" s="25">
        <v>3.9952057530962844E-4</v>
      </c>
    </row>
    <row r="332" spans="2:5" ht="15" customHeight="1">
      <c r="B332" s="84"/>
      <c r="C332" s="27" t="s">
        <v>11</v>
      </c>
      <c r="D332" s="26">
        <v>3</v>
      </c>
      <c r="E332" s="25">
        <v>3.9952057530962844E-4</v>
      </c>
    </row>
    <row r="333" spans="2:5" ht="15" customHeight="1">
      <c r="B333" s="84"/>
      <c r="C333" s="27" t="s">
        <v>13</v>
      </c>
      <c r="D333" s="26">
        <v>3</v>
      </c>
      <c r="E333" s="25">
        <v>3.9952057530962844E-4</v>
      </c>
    </row>
    <row r="334" spans="2:5" ht="15" customHeight="1">
      <c r="B334" s="84"/>
      <c r="C334" s="27" t="s">
        <v>7</v>
      </c>
      <c r="D334" s="26">
        <v>12</v>
      </c>
      <c r="E334" s="25">
        <v>1.5980823012385138E-3</v>
      </c>
    </row>
    <row r="335" spans="2:5" ht="15" customHeight="1">
      <c r="B335" s="84"/>
      <c r="C335" s="27" t="s">
        <v>10</v>
      </c>
      <c r="D335" s="26">
        <v>8</v>
      </c>
      <c r="E335" s="25">
        <v>1.0653882008256758E-3</v>
      </c>
    </row>
    <row r="336" spans="2:5" ht="15" customHeight="1">
      <c r="B336" s="84"/>
      <c r="C336" s="27" t="s">
        <v>25</v>
      </c>
      <c r="D336" s="26">
        <v>1</v>
      </c>
      <c r="E336" s="25">
        <v>1.3317352510320947E-4</v>
      </c>
    </row>
    <row r="337" spans="2:5" ht="15" customHeight="1">
      <c r="B337" s="84"/>
      <c r="C337" s="27" t="s">
        <v>17</v>
      </c>
      <c r="D337" s="26">
        <v>1</v>
      </c>
      <c r="E337" s="25">
        <v>1.3317352510320947E-4</v>
      </c>
    </row>
    <row r="338" spans="2:5" ht="15" customHeight="1">
      <c r="B338" s="84"/>
      <c r="C338" s="27" t="s">
        <v>20</v>
      </c>
      <c r="D338" s="26">
        <v>1</v>
      </c>
      <c r="E338" s="25">
        <v>1.3317352510320947E-4</v>
      </c>
    </row>
    <row r="339" spans="2:5" ht="15" customHeight="1">
      <c r="B339" s="84"/>
      <c r="C339" s="27" t="s">
        <v>29</v>
      </c>
      <c r="D339" s="26">
        <v>1</v>
      </c>
      <c r="E339" s="25">
        <v>1.3317352510320947E-4</v>
      </c>
    </row>
    <row r="340" spans="2:5" ht="15" customHeight="1">
      <c r="B340" s="84"/>
      <c r="C340" s="27" t="s">
        <v>31</v>
      </c>
      <c r="D340" s="26">
        <v>1</v>
      </c>
      <c r="E340" s="25">
        <v>1.3317352510320947E-4</v>
      </c>
    </row>
    <row r="341" spans="2:5" ht="15" customHeight="1">
      <c r="B341" s="84"/>
      <c r="C341" s="27" t="s">
        <v>19</v>
      </c>
      <c r="D341" s="26">
        <v>2</v>
      </c>
      <c r="E341" s="25">
        <v>2.6634705020641894E-4</v>
      </c>
    </row>
    <row r="342" spans="2:5" ht="15" customHeight="1">
      <c r="B342" s="84"/>
      <c r="C342" s="27" t="s">
        <v>16</v>
      </c>
      <c r="D342" s="26">
        <v>1</v>
      </c>
      <c r="E342" s="25">
        <v>1.3317352510320947E-4</v>
      </c>
    </row>
    <row r="343" spans="2:5" ht="15" customHeight="1">
      <c r="B343" s="84"/>
      <c r="C343" s="27" t="s">
        <v>35</v>
      </c>
      <c r="D343" s="26">
        <v>1</v>
      </c>
      <c r="E343" s="25">
        <v>1.3317352510320947E-4</v>
      </c>
    </row>
    <row r="344" spans="2:5" ht="15" customHeight="1">
      <c r="B344" s="84"/>
      <c r="C344" s="27" t="s">
        <v>8</v>
      </c>
      <c r="D344" s="26">
        <v>3</v>
      </c>
      <c r="E344" s="25">
        <v>3.9952057530962844E-4</v>
      </c>
    </row>
    <row r="345" spans="2:5" ht="15" customHeight="1">
      <c r="B345" s="84"/>
      <c r="C345" s="27" t="s">
        <v>15</v>
      </c>
      <c r="D345" s="26">
        <v>1</v>
      </c>
      <c r="E345" s="25">
        <v>1.3317352510320947E-4</v>
      </c>
    </row>
    <row r="346" spans="2:5" ht="15" customHeight="1">
      <c r="B346" s="84"/>
      <c r="C346" s="27" t="s">
        <v>6</v>
      </c>
      <c r="D346" s="26">
        <v>7</v>
      </c>
      <c r="E346" s="25">
        <v>9.3221467572246637E-4</v>
      </c>
    </row>
    <row r="347" spans="2:5" ht="15" customHeight="1">
      <c r="B347" s="84"/>
      <c r="C347" s="27" t="s">
        <v>21</v>
      </c>
      <c r="D347" s="26">
        <v>1</v>
      </c>
      <c r="E347" s="25">
        <v>1.3317352510320947E-4</v>
      </c>
    </row>
    <row r="348" spans="2:5" ht="15" customHeight="1">
      <c r="B348" s="84"/>
      <c r="C348" s="27" t="s">
        <v>28</v>
      </c>
      <c r="D348" s="26">
        <v>1</v>
      </c>
      <c r="E348" s="25">
        <v>1.3317352510320947E-4</v>
      </c>
    </row>
    <row r="349" spans="2:5" ht="15" customHeight="1">
      <c r="B349" s="84"/>
      <c r="C349" s="27" t="s">
        <v>18</v>
      </c>
      <c r="D349" s="26">
        <v>1</v>
      </c>
      <c r="E349" s="25">
        <v>1.3317352510320947E-4</v>
      </c>
    </row>
    <row r="350" spans="2:5" ht="15" customHeight="1">
      <c r="B350" s="84"/>
      <c r="C350" s="27" t="s">
        <v>22</v>
      </c>
      <c r="D350" s="26">
        <v>1</v>
      </c>
      <c r="E350" s="25">
        <v>1.3317352510320947E-4</v>
      </c>
    </row>
    <row r="351" spans="2:5" ht="15" customHeight="1">
      <c r="B351" s="85"/>
      <c r="C351" s="24" t="s">
        <v>53</v>
      </c>
      <c r="D351" s="23">
        <v>72</v>
      </c>
      <c r="E351" s="22">
        <v>9.5884938074310821E-3</v>
      </c>
    </row>
    <row r="352" spans="2:5" ht="15" customHeight="1">
      <c r="B352" s="83" t="s">
        <v>136</v>
      </c>
      <c r="C352" s="27" t="s">
        <v>23</v>
      </c>
      <c r="D352" s="26">
        <v>3</v>
      </c>
      <c r="E352" s="25">
        <v>3.9952057530962844E-4</v>
      </c>
    </row>
    <row r="353" spans="2:5" ht="15" customHeight="1">
      <c r="B353" s="84"/>
      <c r="C353" s="27" t="s">
        <v>14</v>
      </c>
      <c r="D353" s="26">
        <v>17</v>
      </c>
      <c r="E353" s="25">
        <v>2.263949926754561E-3</v>
      </c>
    </row>
    <row r="354" spans="2:5" ht="15" customHeight="1">
      <c r="B354" s="84"/>
      <c r="C354" s="27" t="s">
        <v>5</v>
      </c>
      <c r="D354" s="26">
        <v>114</v>
      </c>
      <c r="E354" s="25">
        <v>1.5181781861765881E-2</v>
      </c>
    </row>
    <row r="355" spans="2:5" ht="15" customHeight="1">
      <c r="B355" s="84"/>
      <c r="C355" s="27" t="s">
        <v>9</v>
      </c>
      <c r="D355" s="26">
        <v>38</v>
      </c>
      <c r="E355" s="25">
        <v>5.06059395392196E-3</v>
      </c>
    </row>
    <row r="356" spans="2:5" ht="15" customHeight="1">
      <c r="B356" s="84"/>
      <c r="C356" s="27" t="s">
        <v>39</v>
      </c>
      <c r="D356" s="26">
        <v>2</v>
      </c>
      <c r="E356" s="25">
        <v>2.6634705020641894E-4</v>
      </c>
    </row>
    <row r="357" spans="2:5" ht="15" customHeight="1">
      <c r="B357" s="84"/>
      <c r="C357" s="27" t="s">
        <v>42</v>
      </c>
      <c r="D357" s="26">
        <v>2</v>
      </c>
      <c r="E357" s="25">
        <v>2.6634705020641894E-4</v>
      </c>
    </row>
    <row r="358" spans="2:5" ht="15" customHeight="1">
      <c r="B358" s="84"/>
      <c r="C358" s="27" t="s">
        <v>11</v>
      </c>
      <c r="D358" s="26">
        <v>22</v>
      </c>
      <c r="E358" s="25">
        <v>2.9298175522706085E-3</v>
      </c>
    </row>
    <row r="359" spans="2:5" ht="15" customHeight="1">
      <c r="B359" s="84"/>
      <c r="C359" s="27" t="s">
        <v>13</v>
      </c>
      <c r="D359" s="26">
        <v>4</v>
      </c>
      <c r="E359" s="25">
        <v>5.3269410041283788E-4</v>
      </c>
    </row>
    <row r="360" spans="2:5" ht="15" customHeight="1">
      <c r="B360" s="84"/>
      <c r="C360" s="27" t="s">
        <v>51</v>
      </c>
      <c r="D360" s="26">
        <v>1</v>
      </c>
      <c r="E360" s="25">
        <v>1.3317352510320947E-4</v>
      </c>
    </row>
    <row r="361" spans="2:5" ht="15" customHeight="1">
      <c r="B361" s="84"/>
      <c r="C361" s="27" t="s">
        <v>27</v>
      </c>
      <c r="D361" s="26">
        <v>2</v>
      </c>
      <c r="E361" s="25">
        <v>2.6634705020641894E-4</v>
      </c>
    </row>
    <row r="362" spans="2:5" ht="15" customHeight="1">
      <c r="B362" s="84"/>
      <c r="C362" s="27" t="s">
        <v>7</v>
      </c>
      <c r="D362" s="26">
        <v>34</v>
      </c>
      <c r="E362" s="25">
        <v>4.527899853509122E-3</v>
      </c>
    </row>
    <row r="363" spans="2:5" ht="15" customHeight="1">
      <c r="B363" s="84"/>
      <c r="C363" s="27" t="s">
        <v>10</v>
      </c>
      <c r="D363" s="26">
        <v>23</v>
      </c>
      <c r="E363" s="25">
        <v>3.062991077373818E-3</v>
      </c>
    </row>
    <row r="364" spans="2:5" ht="15" customHeight="1">
      <c r="B364" s="84"/>
      <c r="C364" s="27" t="s">
        <v>25</v>
      </c>
      <c r="D364" s="26">
        <v>3</v>
      </c>
      <c r="E364" s="25">
        <v>3.9952057530962844E-4</v>
      </c>
    </row>
    <row r="365" spans="2:5" ht="15" customHeight="1">
      <c r="B365" s="84"/>
      <c r="C365" s="27" t="s">
        <v>17</v>
      </c>
      <c r="D365" s="26">
        <v>9</v>
      </c>
      <c r="E365" s="25">
        <v>1.1985617259288853E-3</v>
      </c>
    </row>
    <row r="366" spans="2:5" ht="15" customHeight="1">
      <c r="B366" s="84"/>
      <c r="C366" s="27" t="s">
        <v>20</v>
      </c>
      <c r="D366" s="26">
        <v>5</v>
      </c>
      <c r="E366" s="25">
        <v>6.6586762551604738E-4</v>
      </c>
    </row>
    <row r="367" spans="2:5" ht="15" customHeight="1">
      <c r="B367" s="84"/>
      <c r="C367" s="27" t="s">
        <v>30</v>
      </c>
      <c r="D367" s="26">
        <v>2</v>
      </c>
      <c r="E367" s="25">
        <v>2.6634705020641894E-4</v>
      </c>
    </row>
    <row r="368" spans="2:5" ht="15" customHeight="1">
      <c r="B368" s="84"/>
      <c r="C368" s="27" t="s">
        <v>40</v>
      </c>
      <c r="D368" s="26">
        <v>2</v>
      </c>
      <c r="E368" s="25">
        <v>2.6634705020641894E-4</v>
      </c>
    </row>
    <row r="369" spans="2:5" ht="15" customHeight="1">
      <c r="B369" s="84"/>
      <c r="C369" s="27" t="s">
        <v>44</v>
      </c>
      <c r="D369" s="26">
        <v>1</v>
      </c>
      <c r="E369" s="25">
        <v>1.3317352510320947E-4</v>
      </c>
    </row>
    <row r="370" spans="2:5" ht="15" customHeight="1">
      <c r="B370" s="84"/>
      <c r="C370" s="27" t="s">
        <v>29</v>
      </c>
      <c r="D370" s="26">
        <v>2</v>
      </c>
      <c r="E370" s="25">
        <v>2.6634705020641894E-4</v>
      </c>
    </row>
    <row r="371" spans="2:5" ht="15" customHeight="1">
      <c r="B371" s="84"/>
      <c r="C371" s="27" t="s">
        <v>37</v>
      </c>
      <c r="D371" s="26">
        <v>1</v>
      </c>
      <c r="E371" s="25">
        <v>1.3317352510320947E-4</v>
      </c>
    </row>
    <row r="372" spans="2:5" ht="15" customHeight="1">
      <c r="B372" s="84"/>
      <c r="C372" s="27" t="s">
        <v>26</v>
      </c>
      <c r="D372" s="26">
        <v>4</v>
      </c>
      <c r="E372" s="25">
        <v>5.3269410041283788E-4</v>
      </c>
    </row>
    <row r="373" spans="2:5" ht="15" customHeight="1">
      <c r="B373" s="84"/>
      <c r="C373" s="27" t="s">
        <v>24</v>
      </c>
      <c r="D373" s="26">
        <v>3</v>
      </c>
      <c r="E373" s="25">
        <v>3.9952057530962844E-4</v>
      </c>
    </row>
    <row r="374" spans="2:5" ht="15" customHeight="1">
      <c r="B374" s="84"/>
      <c r="C374" s="27" t="s">
        <v>12</v>
      </c>
      <c r="D374" s="26">
        <v>15</v>
      </c>
      <c r="E374" s="25">
        <v>1.997602876548142E-3</v>
      </c>
    </row>
    <row r="375" spans="2:5" ht="15" customHeight="1">
      <c r="B375" s="84"/>
      <c r="C375" s="27" t="s">
        <v>19</v>
      </c>
      <c r="D375" s="26">
        <v>8</v>
      </c>
      <c r="E375" s="25">
        <v>1.0653882008256758E-3</v>
      </c>
    </row>
    <row r="376" spans="2:5" ht="15" customHeight="1">
      <c r="B376" s="84"/>
      <c r="C376" s="27" t="s">
        <v>16</v>
      </c>
      <c r="D376" s="26">
        <v>7</v>
      </c>
      <c r="E376" s="25">
        <v>9.3221467572246637E-4</v>
      </c>
    </row>
    <row r="377" spans="2:5" ht="15" customHeight="1">
      <c r="B377" s="84"/>
      <c r="C377" s="27" t="s">
        <v>35</v>
      </c>
      <c r="D377" s="26">
        <v>1</v>
      </c>
      <c r="E377" s="25">
        <v>1.3317352510320947E-4</v>
      </c>
    </row>
    <row r="378" spans="2:5" ht="15" customHeight="1">
      <c r="B378" s="84"/>
      <c r="C378" s="27" t="s">
        <v>8</v>
      </c>
      <c r="D378" s="26">
        <v>37</v>
      </c>
      <c r="E378" s="25">
        <v>4.9274204288187505E-3</v>
      </c>
    </row>
    <row r="379" spans="2:5" ht="15" customHeight="1">
      <c r="B379" s="84"/>
      <c r="C379" s="27" t="s">
        <v>32</v>
      </c>
      <c r="D379" s="26">
        <v>1</v>
      </c>
      <c r="E379" s="25">
        <v>1.3317352510320947E-4</v>
      </c>
    </row>
    <row r="380" spans="2:5" ht="15" customHeight="1">
      <c r="B380" s="84"/>
      <c r="C380" s="27" t="s">
        <v>38</v>
      </c>
      <c r="D380" s="26">
        <v>2</v>
      </c>
      <c r="E380" s="25">
        <v>2.6634705020641894E-4</v>
      </c>
    </row>
    <row r="381" spans="2:5" ht="15" customHeight="1">
      <c r="B381" s="84"/>
      <c r="C381" s="27" t="s">
        <v>52</v>
      </c>
      <c r="D381" s="26">
        <v>1</v>
      </c>
      <c r="E381" s="25">
        <v>1.3317352510320947E-4</v>
      </c>
    </row>
    <row r="382" spans="2:5" ht="15" customHeight="1">
      <c r="B382" s="84"/>
      <c r="C382" s="27" t="s">
        <v>33</v>
      </c>
      <c r="D382" s="26">
        <v>2</v>
      </c>
      <c r="E382" s="25">
        <v>2.6634705020641894E-4</v>
      </c>
    </row>
    <row r="383" spans="2:5" ht="15" customHeight="1">
      <c r="B383" s="84"/>
      <c r="C383" s="27" t="s">
        <v>15</v>
      </c>
      <c r="D383" s="26">
        <v>9</v>
      </c>
      <c r="E383" s="25">
        <v>1.1985617259288853E-3</v>
      </c>
    </row>
    <row r="384" spans="2:5" ht="15" customHeight="1">
      <c r="B384" s="84"/>
      <c r="C384" s="27" t="s">
        <v>6</v>
      </c>
      <c r="D384" s="26">
        <v>69</v>
      </c>
      <c r="E384" s="25">
        <v>9.1889732321214536E-3</v>
      </c>
    </row>
    <row r="385" spans="2:5" ht="15" customHeight="1">
      <c r="B385" s="84"/>
      <c r="C385" s="27" t="s">
        <v>21</v>
      </c>
      <c r="D385" s="26">
        <v>4</v>
      </c>
      <c r="E385" s="25">
        <v>5.3269410041283788E-4</v>
      </c>
    </row>
    <row r="386" spans="2:5" ht="15" customHeight="1">
      <c r="B386" s="84"/>
      <c r="C386" s="27" t="s">
        <v>28</v>
      </c>
      <c r="D386" s="26">
        <v>4</v>
      </c>
      <c r="E386" s="25">
        <v>5.3269410041283788E-4</v>
      </c>
    </row>
    <row r="387" spans="2:5" ht="15" customHeight="1">
      <c r="B387" s="84"/>
      <c r="C387" s="27" t="s">
        <v>18</v>
      </c>
      <c r="D387" s="26">
        <v>3</v>
      </c>
      <c r="E387" s="25">
        <v>3.9952057530962844E-4</v>
      </c>
    </row>
    <row r="388" spans="2:5" ht="15" customHeight="1">
      <c r="B388" s="84"/>
      <c r="C388" s="27" t="s">
        <v>22</v>
      </c>
      <c r="D388" s="26">
        <v>6</v>
      </c>
      <c r="E388" s="25">
        <v>7.9904115061925688E-4</v>
      </c>
    </row>
    <row r="389" spans="2:5" ht="15" customHeight="1">
      <c r="B389" s="84"/>
      <c r="C389" s="27" t="s">
        <v>43</v>
      </c>
      <c r="D389" s="26">
        <v>1</v>
      </c>
      <c r="E389" s="25">
        <v>1.3317352510320947E-4</v>
      </c>
    </row>
    <row r="390" spans="2:5" ht="15" customHeight="1">
      <c r="B390" s="85"/>
      <c r="C390" s="24" t="s">
        <v>53</v>
      </c>
      <c r="D390" s="23">
        <v>464</v>
      </c>
      <c r="E390" s="22">
        <v>6.17925156478892E-2</v>
      </c>
    </row>
    <row r="391" spans="2:5" ht="15" customHeight="1">
      <c r="B391" s="83" t="s">
        <v>135</v>
      </c>
      <c r="C391" s="27" t="s">
        <v>36</v>
      </c>
      <c r="D391" s="26">
        <v>5</v>
      </c>
      <c r="E391" s="25">
        <v>6.6586762551604738E-4</v>
      </c>
    </row>
    <row r="392" spans="2:5" ht="15" customHeight="1">
      <c r="B392" s="84"/>
      <c r="C392" s="27" t="s">
        <v>23</v>
      </c>
      <c r="D392" s="26">
        <v>13</v>
      </c>
      <c r="E392" s="25">
        <v>1.7312558263417232E-3</v>
      </c>
    </row>
    <row r="393" spans="2:5" ht="15" customHeight="1">
      <c r="B393" s="84"/>
      <c r="C393" s="27" t="s">
        <v>14</v>
      </c>
      <c r="D393" s="26">
        <v>23</v>
      </c>
      <c r="E393" s="25">
        <v>3.062991077373818E-3</v>
      </c>
    </row>
    <row r="394" spans="2:5" ht="15" customHeight="1">
      <c r="B394" s="84"/>
      <c r="C394" s="27" t="s">
        <v>5</v>
      </c>
      <c r="D394" s="26">
        <v>317</v>
      </c>
      <c r="E394" s="25">
        <v>4.2216007457717405E-2</v>
      </c>
    </row>
    <row r="395" spans="2:5" ht="15" customHeight="1">
      <c r="B395" s="84"/>
      <c r="C395" s="27" t="s">
        <v>9</v>
      </c>
      <c r="D395" s="26">
        <v>74</v>
      </c>
      <c r="E395" s="25">
        <v>9.8548408576375011E-3</v>
      </c>
    </row>
    <row r="396" spans="2:5" ht="15" customHeight="1">
      <c r="B396" s="84"/>
      <c r="C396" s="27" t="s">
        <v>11</v>
      </c>
      <c r="D396" s="26">
        <v>30</v>
      </c>
      <c r="E396" s="25">
        <v>3.9952057530962841E-3</v>
      </c>
    </row>
    <row r="397" spans="2:5" ht="15" customHeight="1">
      <c r="B397" s="84"/>
      <c r="C397" s="27" t="s">
        <v>13</v>
      </c>
      <c r="D397" s="26">
        <v>24</v>
      </c>
      <c r="E397" s="25">
        <v>3.1961646024770275E-3</v>
      </c>
    </row>
    <row r="398" spans="2:5" ht="15" customHeight="1">
      <c r="B398" s="84"/>
      <c r="C398" s="27" t="s">
        <v>27</v>
      </c>
      <c r="D398" s="26">
        <v>6</v>
      </c>
      <c r="E398" s="25">
        <v>7.9904115061925688E-4</v>
      </c>
    </row>
    <row r="399" spans="2:5" ht="15" customHeight="1">
      <c r="B399" s="84"/>
      <c r="C399" s="27" t="s">
        <v>7</v>
      </c>
      <c r="D399" s="26">
        <v>131</v>
      </c>
      <c r="E399" s="25">
        <v>1.7445731788520442E-2</v>
      </c>
    </row>
    <row r="400" spans="2:5" ht="15" customHeight="1">
      <c r="B400" s="84"/>
      <c r="C400" s="27" t="s">
        <v>10</v>
      </c>
      <c r="D400" s="26">
        <v>55</v>
      </c>
      <c r="E400" s="25">
        <v>7.3245438806765215E-3</v>
      </c>
    </row>
    <row r="401" spans="2:5" ht="15" customHeight="1">
      <c r="B401" s="84"/>
      <c r="C401" s="27" t="s">
        <v>25</v>
      </c>
      <c r="D401" s="26">
        <v>8</v>
      </c>
      <c r="E401" s="25">
        <v>1.0653882008256758E-3</v>
      </c>
    </row>
    <row r="402" spans="2:5" ht="15" customHeight="1">
      <c r="B402" s="84"/>
      <c r="C402" s="27" t="s">
        <v>17</v>
      </c>
      <c r="D402" s="26">
        <v>14</v>
      </c>
      <c r="E402" s="25">
        <v>1.8644293514449327E-3</v>
      </c>
    </row>
    <row r="403" spans="2:5" ht="15" customHeight="1">
      <c r="B403" s="84"/>
      <c r="C403" s="27" t="s">
        <v>20</v>
      </c>
      <c r="D403" s="26">
        <v>16</v>
      </c>
      <c r="E403" s="25">
        <v>2.1307764016513515E-3</v>
      </c>
    </row>
    <row r="404" spans="2:5" ht="15" customHeight="1">
      <c r="B404" s="84"/>
      <c r="C404" s="27" t="s">
        <v>30</v>
      </c>
      <c r="D404" s="26">
        <v>4</v>
      </c>
      <c r="E404" s="25">
        <v>5.3269410041283788E-4</v>
      </c>
    </row>
    <row r="405" spans="2:5" ht="15" customHeight="1">
      <c r="B405" s="84"/>
      <c r="C405" s="27" t="s">
        <v>40</v>
      </c>
      <c r="D405" s="26">
        <v>1</v>
      </c>
      <c r="E405" s="25">
        <v>1.3317352510320947E-4</v>
      </c>
    </row>
    <row r="406" spans="2:5" ht="15" customHeight="1">
      <c r="B406" s="84"/>
      <c r="C406" s="27" t="s">
        <v>44</v>
      </c>
      <c r="D406" s="26">
        <v>1</v>
      </c>
      <c r="E406" s="25">
        <v>1.3317352510320947E-4</v>
      </c>
    </row>
    <row r="407" spans="2:5" ht="15" customHeight="1">
      <c r="B407" s="84"/>
      <c r="C407" s="27" t="s">
        <v>29</v>
      </c>
      <c r="D407" s="26">
        <v>1</v>
      </c>
      <c r="E407" s="25">
        <v>1.3317352510320947E-4</v>
      </c>
    </row>
    <row r="408" spans="2:5" ht="15" customHeight="1">
      <c r="B408" s="84"/>
      <c r="C408" s="27" t="s">
        <v>31</v>
      </c>
      <c r="D408" s="26">
        <v>6</v>
      </c>
      <c r="E408" s="25">
        <v>7.9904115061925688E-4</v>
      </c>
    </row>
    <row r="409" spans="2:5" ht="15" customHeight="1">
      <c r="B409" s="84"/>
      <c r="C409" s="27" t="s">
        <v>37</v>
      </c>
      <c r="D409" s="26">
        <v>3</v>
      </c>
      <c r="E409" s="25">
        <v>3.9952057530962844E-4</v>
      </c>
    </row>
    <row r="410" spans="2:5" ht="15" customHeight="1">
      <c r="B410" s="84"/>
      <c r="C410" s="27" t="s">
        <v>26</v>
      </c>
      <c r="D410" s="26">
        <v>5</v>
      </c>
      <c r="E410" s="25">
        <v>6.6586762551604738E-4</v>
      </c>
    </row>
    <row r="411" spans="2:5" ht="15" customHeight="1">
      <c r="B411" s="84"/>
      <c r="C411" s="27" t="s">
        <v>24</v>
      </c>
      <c r="D411" s="26">
        <v>13</v>
      </c>
      <c r="E411" s="25">
        <v>1.7312558263417232E-3</v>
      </c>
    </row>
    <row r="412" spans="2:5" ht="15" customHeight="1">
      <c r="B412" s="84"/>
      <c r="C412" s="27" t="s">
        <v>12</v>
      </c>
      <c r="D412" s="26">
        <v>28</v>
      </c>
      <c r="E412" s="25">
        <v>3.7288587028898655E-3</v>
      </c>
    </row>
    <row r="413" spans="2:5" ht="15" customHeight="1">
      <c r="B413" s="84"/>
      <c r="C413" s="27" t="s">
        <v>41</v>
      </c>
      <c r="D413" s="26">
        <v>1</v>
      </c>
      <c r="E413" s="25">
        <v>1.3317352510320947E-4</v>
      </c>
    </row>
    <row r="414" spans="2:5" ht="15" customHeight="1">
      <c r="B414" s="84"/>
      <c r="C414" s="27" t="s">
        <v>19</v>
      </c>
      <c r="D414" s="26">
        <v>8</v>
      </c>
      <c r="E414" s="25">
        <v>1.0653882008256758E-3</v>
      </c>
    </row>
    <row r="415" spans="2:5" ht="15" customHeight="1">
      <c r="B415" s="84"/>
      <c r="C415" s="27" t="s">
        <v>34</v>
      </c>
      <c r="D415" s="26">
        <v>7</v>
      </c>
      <c r="E415" s="25">
        <v>9.3221467572246637E-4</v>
      </c>
    </row>
    <row r="416" spans="2:5" ht="15" customHeight="1">
      <c r="B416" s="84"/>
      <c r="C416" s="27" t="s">
        <v>16</v>
      </c>
      <c r="D416" s="26">
        <v>14</v>
      </c>
      <c r="E416" s="25">
        <v>1.8644293514449327E-3</v>
      </c>
    </row>
    <row r="417" spans="2:5" ht="15" customHeight="1">
      <c r="B417" s="84"/>
      <c r="C417" s="27" t="s">
        <v>35</v>
      </c>
      <c r="D417" s="26">
        <v>2</v>
      </c>
      <c r="E417" s="25">
        <v>2.6634705020641894E-4</v>
      </c>
    </row>
    <row r="418" spans="2:5" ht="15" customHeight="1">
      <c r="B418" s="84"/>
      <c r="C418" s="27" t="s">
        <v>8</v>
      </c>
      <c r="D418" s="26">
        <v>138</v>
      </c>
      <c r="E418" s="25">
        <v>1.8377946464242907E-2</v>
      </c>
    </row>
    <row r="419" spans="2:5" ht="15" customHeight="1">
      <c r="B419" s="84"/>
      <c r="C419" s="27" t="s">
        <v>32</v>
      </c>
      <c r="D419" s="26">
        <v>2</v>
      </c>
      <c r="E419" s="25">
        <v>2.6634705020641894E-4</v>
      </c>
    </row>
    <row r="420" spans="2:5" ht="15" customHeight="1">
      <c r="B420" s="84"/>
      <c r="C420" s="27" t="s">
        <v>38</v>
      </c>
      <c r="D420" s="26">
        <v>2</v>
      </c>
      <c r="E420" s="25">
        <v>2.6634705020641894E-4</v>
      </c>
    </row>
    <row r="421" spans="2:5" ht="15" customHeight="1">
      <c r="B421" s="84"/>
      <c r="C421" s="27" t="s">
        <v>33</v>
      </c>
      <c r="D421" s="26">
        <v>1</v>
      </c>
      <c r="E421" s="25">
        <v>1.3317352510320947E-4</v>
      </c>
    </row>
    <row r="422" spans="2:5" ht="15" customHeight="1">
      <c r="B422" s="84"/>
      <c r="C422" s="27" t="s">
        <v>15</v>
      </c>
      <c r="D422" s="26">
        <v>11</v>
      </c>
      <c r="E422" s="25">
        <v>1.4649087761353043E-3</v>
      </c>
    </row>
    <row r="423" spans="2:5" ht="15" customHeight="1">
      <c r="B423" s="84"/>
      <c r="C423" s="27" t="s">
        <v>6</v>
      </c>
      <c r="D423" s="26">
        <v>266</v>
      </c>
      <c r="E423" s="25">
        <v>3.5424157677453723E-2</v>
      </c>
    </row>
    <row r="424" spans="2:5" ht="15" customHeight="1">
      <c r="B424" s="84"/>
      <c r="C424" s="27" t="s">
        <v>21</v>
      </c>
      <c r="D424" s="26">
        <v>12</v>
      </c>
      <c r="E424" s="25">
        <v>1.5980823012385138E-3</v>
      </c>
    </row>
    <row r="425" spans="2:5" ht="15" customHeight="1">
      <c r="B425" s="84"/>
      <c r="C425" s="27" t="s">
        <v>28</v>
      </c>
      <c r="D425" s="26">
        <v>6</v>
      </c>
      <c r="E425" s="25">
        <v>7.9904115061925688E-4</v>
      </c>
    </row>
    <row r="426" spans="2:5" ht="15" customHeight="1">
      <c r="B426" s="84"/>
      <c r="C426" s="27" t="s">
        <v>18</v>
      </c>
      <c r="D426" s="26">
        <v>17</v>
      </c>
      <c r="E426" s="25">
        <v>2.263949926754561E-3</v>
      </c>
    </row>
    <row r="427" spans="2:5" ht="15" customHeight="1">
      <c r="B427" s="84"/>
      <c r="C427" s="27" t="s">
        <v>22</v>
      </c>
      <c r="D427" s="26">
        <v>7</v>
      </c>
      <c r="E427" s="25">
        <v>9.3221467572246637E-4</v>
      </c>
    </row>
    <row r="428" spans="2:5" ht="15" customHeight="1">
      <c r="B428" s="85"/>
      <c r="C428" s="24" t="s">
        <v>53</v>
      </c>
      <c r="D428" s="23">
        <v>1272</v>
      </c>
      <c r="E428" s="22">
        <v>0.16939672393128247</v>
      </c>
    </row>
    <row r="429" spans="2:5" ht="15" customHeight="1">
      <c r="B429" s="83" t="s">
        <v>134</v>
      </c>
      <c r="C429" s="27" t="s">
        <v>5</v>
      </c>
      <c r="D429" s="26">
        <v>10</v>
      </c>
      <c r="E429" s="25">
        <v>1.3317352510320948E-3</v>
      </c>
    </row>
    <row r="430" spans="2:5" ht="15" customHeight="1">
      <c r="B430" s="84"/>
      <c r="C430" s="27" t="s">
        <v>9</v>
      </c>
      <c r="D430" s="26">
        <v>2</v>
      </c>
      <c r="E430" s="25">
        <v>2.6634705020641894E-4</v>
      </c>
    </row>
    <row r="431" spans="2:5" ht="15" customHeight="1">
      <c r="B431" s="84"/>
      <c r="C431" s="27" t="s">
        <v>11</v>
      </c>
      <c r="D431" s="26">
        <v>1</v>
      </c>
      <c r="E431" s="25">
        <v>1.3317352510320947E-4</v>
      </c>
    </row>
    <row r="432" spans="2:5" ht="15" customHeight="1">
      <c r="B432" s="84"/>
      <c r="C432" s="27" t="s">
        <v>13</v>
      </c>
      <c r="D432" s="26">
        <v>1</v>
      </c>
      <c r="E432" s="25">
        <v>1.3317352510320947E-4</v>
      </c>
    </row>
    <row r="433" spans="2:5" ht="15" customHeight="1">
      <c r="B433" s="84"/>
      <c r="C433" s="27" t="s">
        <v>7</v>
      </c>
      <c r="D433" s="26">
        <v>3</v>
      </c>
      <c r="E433" s="25">
        <v>3.9952057530962844E-4</v>
      </c>
    </row>
    <row r="434" spans="2:5" ht="15" customHeight="1">
      <c r="B434" s="84"/>
      <c r="C434" s="27" t="s">
        <v>10</v>
      </c>
      <c r="D434" s="26">
        <v>1</v>
      </c>
      <c r="E434" s="25">
        <v>1.3317352510320947E-4</v>
      </c>
    </row>
    <row r="435" spans="2:5" ht="15" customHeight="1">
      <c r="B435" s="84"/>
      <c r="C435" s="27" t="s">
        <v>17</v>
      </c>
      <c r="D435" s="26">
        <v>1</v>
      </c>
      <c r="E435" s="25">
        <v>1.3317352510320947E-4</v>
      </c>
    </row>
    <row r="436" spans="2:5" ht="15" customHeight="1">
      <c r="B436" s="84"/>
      <c r="C436" s="27" t="s">
        <v>26</v>
      </c>
      <c r="D436" s="26">
        <v>2</v>
      </c>
      <c r="E436" s="25">
        <v>2.6634705020641894E-4</v>
      </c>
    </row>
    <row r="437" spans="2:5" ht="15" customHeight="1">
      <c r="B437" s="84"/>
      <c r="C437" s="27" t="s">
        <v>19</v>
      </c>
      <c r="D437" s="26">
        <v>1</v>
      </c>
      <c r="E437" s="25">
        <v>1.3317352510320947E-4</v>
      </c>
    </row>
    <row r="438" spans="2:5" ht="15" customHeight="1">
      <c r="B438" s="84"/>
      <c r="C438" s="27" t="s">
        <v>34</v>
      </c>
      <c r="D438" s="26">
        <v>1</v>
      </c>
      <c r="E438" s="25">
        <v>1.3317352510320947E-4</v>
      </c>
    </row>
    <row r="439" spans="2:5" ht="15" customHeight="1">
      <c r="B439" s="84"/>
      <c r="C439" s="27" t="s">
        <v>8</v>
      </c>
      <c r="D439" s="26">
        <v>1</v>
      </c>
      <c r="E439" s="25">
        <v>1.3317352510320947E-4</v>
      </c>
    </row>
    <row r="440" spans="2:5" ht="15" customHeight="1">
      <c r="B440" s="84"/>
      <c r="C440" s="27" t="s">
        <v>6</v>
      </c>
      <c r="D440" s="26">
        <v>2</v>
      </c>
      <c r="E440" s="25">
        <v>2.6634705020641894E-4</v>
      </c>
    </row>
    <row r="441" spans="2:5" ht="15" customHeight="1">
      <c r="B441" s="84"/>
      <c r="C441" s="27" t="s">
        <v>22</v>
      </c>
      <c r="D441" s="26">
        <v>1</v>
      </c>
      <c r="E441" s="25">
        <v>1.3317352510320947E-4</v>
      </c>
    </row>
    <row r="442" spans="2:5" ht="15" customHeight="1">
      <c r="B442" s="85"/>
      <c r="C442" s="24" t="s">
        <v>53</v>
      </c>
      <c r="D442" s="23">
        <v>27</v>
      </c>
      <c r="E442" s="22">
        <v>3.595685177786656E-3</v>
      </c>
    </row>
    <row r="443" spans="2:5" ht="15" customHeight="1">
      <c r="B443" s="83" t="s">
        <v>133</v>
      </c>
      <c r="C443" s="27" t="s">
        <v>23</v>
      </c>
      <c r="D443" s="26">
        <v>1</v>
      </c>
      <c r="E443" s="25">
        <v>1.3317352510320947E-4</v>
      </c>
    </row>
    <row r="444" spans="2:5" ht="15" customHeight="1">
      <c r="B444" s="84"/>
      <c r="C444" s="27" t="s">
        <v>14</v>
      </c>
      <c r="D444" s="26">
        <v>1</v>
      </c>
      <c r="E444" s="25">
        <v>1.3317352510320947E-4</v>
      </c>
    </row>
    <row r="445" spans="2:5" ht="15" customHeight="1">
      <c r="B445" s="84"/>
      <c r="C445" s="27" t="s">
        <v>5</v>
      </c>
      <c r="D445" s="26">
        <v>9</v>
      </c>
      <c r="E445" s="25">
        <v>1.1985617259288853E-3</v>
      </c>
    </row>
    <row r="446" spans="2:5" ht="15" customHeight="1">
      <c r="B446" s="84"/>
      <c r="C446" s="27" t="s">
        <v>9</v>
      </c>
      <c r="D446" s="26">
        <v>1</v>
      </c>
      <c r="E446" s="25">
        <v>1.3317352510320947E-4</v>
      </c>
    </row>
    <row r="447" spans="2:5" ht="15" customHeight="1">
      <c r="B447" s="84"/>
      <c r="C447" s="27" t="s">
        <v>7</v>
      </c>
      <c r="D447" s="26">
        <v>2</v>
      </c>
      <c r="E447" s="25">
        <v>2.6634705020641894E-4</v>
      </c>
    </row>
    <row r="448" spans="2:5" ht="15" customHeight="1">
      <c r="B448" s="84"/>
      <c r="C448" s="27" t="s">
        <v>10</v>
      </c>
      <c r="D448" s="26">
        <v>2</v>
      </c>
      <c r="E448" s="25">
        <v>2.6634705020641894E-4</v>
      </c>
    </row>
    <row r="449" spans="2:5" ht="15" customHeight="1">
      <c r="B449" s="84"/>
      <c r="C449" s="27" t="s">
        <v>46</v>
      </c>
      <c r="D449" s="26">
        <v>1</v>
      </c>
      <c r="E449" s="25">
        <v>1.3317352510320947E-4</v>
      </c>
    </row>
    <row r="450" spans="2:5" ht="15" customHeight="1">
      <c r="B450" s="84"/>
      <c r="C450" s="27" t="s">
        <v>34</v>
      </c>
      <c r="D450" s="26">
        <v>1</v>
      </c>
      <c r="E450" s="25">
        <v>1.3317352510320947E-4</v>
      </c>
    </row>
    <row r="451" spans="2:5" ht="15" customHeight="1">
      <c r="B451" s="84"/>
      <c r="C451" s="27" t="s">
        <v>33</v>
      </c>
      <c r="D451" s="26">
        <v>1</v>
      </c>
      <c r="E451" s="25">
        <v>1.3317352510320947E-4</v>
      </c>
    </row>
    <row r="452" spans="2:5" ht="15" customHeight="1">
      <c r="B452" s="84"/>
      <c r="C452" s="27" t="s">
        <v>6</v>
      </c>
      <c r="D452" s="26">
        <v>1</v>
      </c>
      <c r="E452" s="25">
        <v>1.3317352510320947E-4</v>
      </c>
    </row>
    <row r="453" spans="2:5" ht="15" customHeight="1">
      <c r="B453" s="84"/>
      <c r="C453" s="27" t="s">
        <v>21</v>
      </c>
      <c r="D453" s="26">
        <v>2</v>
      </c>
      <c r="E453" s="25">
        <v>2.6634705020641894E-4</v>
      </c>
    </row>
    <row r="454" spans="2:5" ht="15" customHeight="1">
      <c r="B454" s="85"/>
      <c r="C454" s="24" t="s">
        <v>53</v>
      </c>
      <c r="D454" s="23">
        <v>22</v>
      </c>
      <c r="E454" s="22">
        <v>2.9298175522706085E-3</v>
      </c>
    </row>
    <row r="455" spans="2:5" ht="15" customHeight="1">
      <c r="B455" s="83" t="s">
        <v>132</v>
      </c>
      <c r="C455" s="27" t="s">
        <v>5</v>
      </c>
      <c r="D455" s="26">
        <v>4</v>
      </c>
      <c r="E455" s="25">
        <v>5.3269410041283788E-4</v>
      </c>
    </row>
    <row r="456" spans="2:5" ht="15" customHeight="1">
      <c r="B456" s="84"/>
      <c r="C456" s="27" t="s">
        <v>11</v>
      </c>
      <c r="D456" s="26">
        <v>1</v>
      </c>
      <c r="E456" s="25">
        <v>1.3317352510320947E-4</v>
      </c>
    </row>
    <row r="457" spans="2:5" ht="15" customHeight="1">
      <c r="B457" s="84"/>
      <c r="C457" s="27" t="s">
        <v>31</v>
      </c>
      <c r="D457" s="26">
        <v>1</v>
      </c>
      <c r="E457" s="25">
        <v>1.3317352510320947E-4</v>
      </c>
    </row>
    <row r="458" spans="2:5" ht="15" customHeight="1">
      <c r="B458" s="84"/>
      <c r="C458" s="27" t="s">
        <v>15</v>
      </c>
      <c r="D458" s="26">
        <v>3</v>
      </c>
      <c r="E458" s="25">
        <v>3.9952057530962844E-4</v>
      </c>
    </row>
    <row r="459" spans="2:5" ht="15" customHeight="1">
      <c r="B459" s="84"/>
      <c r="C459" s="27" t="s">
        <v>6</v>
      </c>
      <c r="D459" s="26">
        <v>1</v>
      </c>
      <c r="E459" s="25">
        <v>1.3317352510320947E-4</v>
      </c>
    </row>
    <row r="460" spans="2:5" ht="15" customHeight="1">
      <c r="B460" s="84"/>
      <c r="C460" s="27" t="s">
        <v>21</v>
      </c>
      <c r="D460" s="26">
        <v>1</v>
      </c>
      <c r="E460" s="25">
        <v>1.3317352510320947E-4</v>
      </c>
    </row>
    <row r="461" spans="2:5" ht="15" customHeight="1">
      <c r="B461" s="85"/>
      <c r="C461" s="24" t="s">
        <v>53</v>
      </c>
      <c r="D461" s="23">
        <v>11</v>
      </c>
      <c r="E461" s="22">
        <v>1.4649087761353043E-3</v>
      </c>
    </row>
    <row r="462" spans="2:5" ht="15" customHeight="1">
      <c r="B462" s="83" t="s">
        <v>131</v>
      </c>
      <c r="C462" s="27" t="s">
        <v>5</v>
      </c>
      <c r="D462" s="26">
        <v>3</v>
      </c>
      <c r="E462" s="25">
        <v>3.9952057530962844E-4</v>
      </c>
    </row>
    <row r="463" spans="2:5" ht="15" customHeight="1">
      <c r="B463" s="84"/>
      <c r="C463" s="27" t="s">
        <v>27</v>
      </c>
      <c r="D463" s="26">
        <v>1</v>
      </c>
      <c r="E463" s="25">
        <v>1.3317352510320947E-4</v>
      </c>
    </row>
    <row r="464" spans="2:5" ht="15" customHeight="1">
      <c r="B464" s="84"/>
      <c r="C464" s="27" t="s">
        <v>7</v>
      </c>
      <c r="D464" s="26">
        <v>1</v>
      </c>
      <c r="E464" s="25">
        <v>1.3317352510320947E-4</v>
      </c>
    </row>
    <row r="465" spans="2:5" ht="15" customHeight="1">
      <c r="B465" s="84"/>
      <c r="C465" s="27" t="s">
        <v>10</v>
      </c>
      <c r="D465" s="26">
        <v>1</v>
      </c>
      <c r="E465" s="25">
        <v>1.3317352510320947E-4</v>
      </c>
    </row>
    <row r="466" spans="2:5" ht="15" customHeight="1">
      <c r="B466" s="84"/>
      <c r="C466" s="27" t="s">
        <v>33</v>
      </c>
      <c r="D466" s="26">
        <v>1</v>
      </c>
      <c r="E466" s="25">
        <v>1.3317352510320947E-4</v>
      </c>
    </row>
    <row r="467" spans="2:5" ht="15" customHeight="1">
      <c r="B467" s="85"/>
      <c r="C467" s="24" t="s">
        <v>53</v>
      </c>
      <c r="D467" s="23">
        <v>7</v>
      </c>
      <c r="E467" s="22">
        <v>9.3221467572246637E-4</v>
      </c>
    </row>
    <row r="468" spans="2:5" ht="15" customHeight="1">
      <c r="B468" s="83" t="s">
        <v>130</v>
      </c>
      <c r="C468" s="27" t="s">
        <v>5</v>
      </c>
      <c r="D468" s="26">
        <v>25</v>
      </c>
      <c r="E468" s="25">
        <v>3.329338127580237E-3</v>
      </c>
    </row>
    <row r="469" spans="2:5" ht="15" customHeight="1">
      <c r="B469" s="84"/>
      <c r="C469" s="27" t="s">
        <v>9</v>
      </c>
      <c r="D469" s="26">
        <v>2</v>
      </c>
      <c r="E469" s="25">
        <v>2.6634705020641894E-4</v>
      </c>
    </row>
    <row r="470" spans="2:5" ht="15" customHeight="1">
      <c r="B470" s="84"/>
      <c r="C470" s="27" t="s">
        <v>7</v>
      </c>
      <c r="D470" s="26">
        <v>17</v>
      </c>
      <c r="E470" s="25">
        <v>2.263949926754561E-3</v>
      </c>
    </row>
    <row r="471" spans="2:5" ht="15" customHeight="1">
      <c r="B471" s="84"/>
      <c r="C471" s="27" t="s">
        <v>10</v>
      </c>
      <c r="D471" s="26">
        <v>1</v>
      </c>
      <c r="E471" s="25">
        <v>1.3317352510320947E-4</v>
      </c>
    </row>
    <row r="472" spans="2:5" ht="15" customHeight="1">
      <c r="B472" s="84"/>
      <c r="C472" s="27" t="s">
        <v>17</v>
      </c>
      <c r="D472" s="26">
        <v>1</v>
      </c>
      <c r="E472" s="25">
        <v>1.3317352510320947E-4</v>
      </c>
    </row>
    <row r="473" spans="2:5" ht="15" customHeight="1">
      <c r="B473" s="84"/>
      <c r="C473" s="27" t="s">
        <v>31</v>
      </c>
      <c r="D473" s="26">
        <v>1</v>
      </c>
      <c r="E473" s="25">
        <v>1.3317352510320947E-4</v>
      </c>
    </row>
    <row r="474" spans="2:5" ht="15" customHeight="1">
      <c r="B474" s="84"/>
      <c r="C474" s="27" t="s">
        <v>37</v>
      </c>
      <c r="D474" s="26">
        <v>1</v>
      </c>
      <c r="E474" s="25">
        <v>1.3317352510320947E-4</v>
      </c>
    </row>
    <row r="475" spans="2:5" ht="15" customHeight="1">
      <c r="B475" s="84"/>
      <c r="C475" s="27" t="s">
        <v>26</v>
      </c>
      <c r="D475" s="26">
        <v>1</v>
      </c>
      <c r="E475" s="25">
        <v>1.3317352510320947E-4</v>
      </c>
    </row>
    <row r="476" spans="2:5" ht="15" customHeight="1">
      <c r="B476" s="84"/>
      <c r="C476" s="27" t="s">
        <v>24</v>
      </c>
      <c r="D476" s="26">
        <v>3</v>
      </c>
      <c r="E476" s="25">
        <v>3.9952057530962844E-4</v>
      </c>
    </row>
    <row r="477" spans="2:5" ht="15" customHeight="1">
      <c r="B477" s="84"/>
      <c r="C477" s="27" t="s">
        <v>12</v>
      </c>
      <c r="D477" s="26">
        <v>1</v>
      </c>
      <c r="E477" s="25">
        <v>1.3317352510320947E-4</v>
      </c>
    </row>
    <row r="478" spans="2:5" ht="15" customHeight="1">
      <c r="B478" s="84"/>
      <c r="C478" s="27" t="s">
        <v>19</v>
      </c>
      <c r="D478" s="26">
        <v>1</v>
      </c>
      <c r="E478" s="25">
        <v>1.3317352510320947E-4</v>
      </c>
    </row>
    <row r="479" spans="2:5" ht="15" customHeight="1">
      <c r="B479" s="84"/>
      <c r="C479" s="27" t="s">
        <v>16</v>
      </c>
      <c r="D479" s="26">
        <v>2</v>
      </c>
      <c r="E479" s="25">
        <v>2.6634705020641894E-4</v>
      </c>
    </row>
    <row r="480" spans="2:5" ht="15" customHeight="1">
      <c r="B480" s="84"/>
      <c r="C480" s="27" t="s">
        <v>8</v>
      </c>
      <c r="D480" s="26">
        <v>11</v>
      </c>
      <c r="E480" s="25">
        <v>1.4649087761353043E-3</v>
      </c>
    </row>
    <row r="481" spans="2:5" ht="15" customHeight="1">
      <c r="B481" s="84"/>
      <c r="C481" s="27" t="s">
        <v>15</v>
      </c>
      <c r="D481" s="26">
        <v>2</v>
      </c>
      <c r="E481" s="25">
        <v>2.6634705020641894E-4</v>
      </c>
    </row>
    <row r="482" spans="2:5" ht="15" customHeight="1">
      <c r="B482" s="84"/>
      <c r="C482" s="27" t="s">
        <v>6</v>
      </c>
      <c r="D482" s="26">
        <v>19</v>
      </c>
      <c r="E482" s="25">
        <v>2.53029697696098E-3</v>
      </c>
    </row>
    <row r="483" spans="2:5" ht="15" customHeight="1">
      <c r="B483" s="84"/>
      <c r="C483" s="27" t="s">
        <v>21</v>
      </c>
      <c r="D483" s="26">
        <v>1</v>
      </c>
      <c r="E483" s="25">
        <v>1.3317352510320947E-4</v>
      </c>
    </row>
    <row r="484" spans="2:5" ht="15" customHeight="1">
      <c r="B484" s="84"/>
      <c r="C484" s="27" t="s">
        <v>18</v>
      </c>
      <c r="D484" s="26">
        <v>1</v>
      </c>
      <c r="E484" s="25">
        <v>1.3317352510320947E-4</v>
      </c>
    </row>
    <row r="485" spans="2:5" ht="15" customHeight="1">
      <c r="B485" s="85"/>
      <c r="C485" s="24" t="s">
        <v>53</v>
      </c>
      <c r="D485" s="23">
        <v>90</v>
      </c>
      <c r="E485" s="22">
        <v>1.1985617259288853E-2</v>
      </c>
    </row>
    <row r="486" spans="2:5" ht="15" customHeight="1">
      <c r="B486" s="83" t="s">
        <v>129</v>
      </c>
      <c r="C486" s="27" t="s">
        <v>23</v>
      </c>
      <c r="D486" s="26">
        <v>3</v>
      </c>
      <c r="E486" s="25">
        <v>3.9952057530962844E-4</v>
      </c>
    </row>
    <row r="487" spans="2:5" ht="15" customHeight="1">
      <c r="B487" s="84"/>
      <c r="C487" s="27" t="s">
        <v>14</v>
      </c>
      <c r="D487" s="26">
        <v>4</v>
      </c>
      <c r="E487" s="25">
        <v>5.3269410041283788E-4</v>
      </c>
    </row>
    <row r="488" spans="2:5" ht="15" customHeight="1">
      <c r="B488" s="84"/>
      <c r="C488" s="27" t="s">
        <v>5</v>
      </c>
      <c r="D488" s="26">
        <v>39</v>
      </c>
      <c r="E488" s="25">
        <v>5.1937674790251695E-3</v>
      </c>
    </row>
    <row r="489" spans="2:5" ht="15" customHeight="1">
      <c r="B489" s="84"/>
      <c r="C489" s="27" t="s">
        <v>9</v>
      </c>
      <c r="D489" s="26">
        <v>5</v>
      </c>
      <c r="E489" s="25">
        <v>6.6586762551604738E-4</v>
      </c>
    </row>
    <row r="490" spans="2:5" ht="15" customHeight="1">
      <c r="B490" s="84"/>
      <c r="C490" s="27" t="s">
        <v>11</v>
      </c>
      <c r="D490" s="26">
        <v>4</v>
      </c>
      <c r="E490" s="25">
        <v>5.3269410041283788E-4</v>
      </c>
    </row>
    <row r="491" spans="2:5" ht="15" customHeight="1">
      <c r="B491" s="84"/>
      <c r="C491" s="27" t="s">
        <v>13</v>
      </c>
      <c r="D491" s="26">
        <v>2</v>
      </c>
      <c r="E491" s="25">
        <v>2.6634705020641894E-4</v>
      </c>
    </row>
    <row r="492" spans="2:5" ht="15" customHeight="1">
      <c r="B492" s="84"/>
      <c r="C492" s="27" t="s">
        <v>7</v>
      </c>
      <c r="D492" s="26">
        <v>20</v>
      </c>
      <c r="E492" s="25">
        <v>2.6634705020641895E-3</v>
      </c>
    </row>
    <row r="493" spans="2:5" ht="15" customHeight="1">
      <c r="B493" s="84"/>
      <c r="C493" s="27" t="s">
        <v>10</v>
      </c>
      <c r="D493" s="26">
        <v>2</v>
      </c>
      <c r="E493" s="25">
        <v>2.6634705020641894E-4</v>
      </c>
    </row>
    <row r="494" spans="2:5" ht="15" customHeight="1">
      <c r="B494" s="84"/>
      <c r="C494" s="27" t="s">
        <v>25</v>
      </c>
      <c r="D494" s="26">
        <v>1</v>
      </c>
      <c r="E494" s="25">
        <v>1.3317352510320947E-4</v>
      </c>
    </row>
    <row r="495" spans="2:5" ht="15" customHeight="1">
      <c r="B495" s="84"/>
      <c r="C495" s="27" t="s">
        <v>17</v>
      </c>
      <c r="D495" s="26">
        <v>5</v>
      </c>
      <c r="E495" s="25">
        <v>6.6586762551604738E-4</v>
      </c>
    </row>
    <row r="496" spans="2:5" ht="15" customHeight="1">
      <c r="B496" s="84"/>
      <c r="C496" s="27" t="s">
        <v>20</v>
      </c>
      <c r="D496" s="26">
        <v>2</v>
      </c>
      <c r="E496" s="25">
        <v>2.6634705020641894E-4</v>
      </c>
    </row>
    <row r="497" spans="2:5" ht="15" customHeight="1">
      <c r="B497" s="84"/>
      <c r="C497" s="27" t="s">
        <v>40</v>
      </c>
      <c r="D497" s="26">
        <v>1</v>
      </c>
      <c r="E497" s="25">
        <v>1.3317352510320947E-4</v>
      </c>
    </row>
    <row r="498" spans="2:5" ht="15" customHeight="1">
      <c r="B498" s="84"/>
      <c r="C498" s="27" t="s">
        <v>29</v>
      </c>
      <c r="D498" s="26">
        <v>1</v>
      </c>
      <c r="E498" s="25">
        <v>1.3317352510320947E-4</v>
      </c>
    </row>
    <row r="499" spans="2:5" ht="15" customHeight="1">
      <c r="B499" s="84"/>
      <c r="C499" s="27" t="s">
        <v>31</v>
      </c>
      <c r="D499" s="26">
        <v>1</v>
      </c>
      <c r="E499" s="25">
        <v>1.3317352510320947E-4</v>
      </c>
    </row>
    <row r="500" spans="2:5" ht="15" customHeight="1">
      <c r="B500" s="84"/>
      <c r="C500" s="27" t="s">
        <v>37</v>
      </c>
      <c r="D500" s="26">
        <v>1</v>
      </c>
      <c r="E500" s="25">
        <v>1.3317352510320947E-4</v>
      </c>
    </row>
    <row r="501" spans="2:5" ht="15" customHeight="1">
      <c r="B501" s="84"/>
      <c r="C501" s="27" t="s">
        <v>12</v>
      </c>
      <c r="D501" s="26">
        <v>3</v>
      </c>
      <c r="E501" s="25">
        <v>3.9952057530962844E-4</v>
      </c>
    </row>
    <row r="502" spans="2:5" ht="15" customHeight="1">
      <c r="B502" s="84"/>
      <c r="C502" s="27" t="s">
        <v>41</v>
      </c>
      <c r="D502" s="26">
        <v>1</v>
      </c>
      <c r="E502" s="25">
        <v>1.3317352510320947E-4</v>
      </c>
    </row>
    <row r="503" spans="2:5" ht="15" customHeight="1">
      <c r="B503" s="84"/>
      <c r="C503" s="27" t="s">
        <v>19</v>
      </c>
      <c r="D503" s="26">
        <v>2</v>
      </c>
      <c r="E503" s="25">
        <v>2.6634705020641894E-4</v>
      </c>
    </row>
    <row r="504" spans="2:5" ht="15" customHeight="1">
      <c r="B504" s="84"/>
      <c r="C504" s="27" t="s">
        <v>34</v>
      </c>
      <c r="D504" s="26">
        <v>1</v>
      </c>
      <c r="E504" s="25">
        <v>1.3317352510320947E-4</v>
      </c>
    </row>
    <row r="505" spans="2:5" ht="15" customHeight="1">
      <c r="B505" s="84"/>
      <c r="C505" s="27" t="s">
        <v>16</v>
      </c>
      <c r="D505" s="26">
        <v>1</v>
      </c>
      <c r="E505" s="25">
        <v>1.3317352510320947E-4</v>
      </c>
    </row>
    <row r="506" spans="2:5" ht="15" customHeight="1">
      <c r="B506" s="84"/>
      <c r="C506" s="27" t="s">
        <v>35</v>
      </c>
      <c r="D506" s="26">
        <v>1</v>
      </c>
      <c r="E506" s="25">
        <v>1.3317352510320947E-4</v>
      </c>
    </row>
    <row r="507" spans="2:5" ht="15" customHeight="1">
      <c r="B507" s="84"/>
      <c r="C507" s="27" t="s">
        <v>8</v>
      </c>
      <c r="D507" s="26">
        <v>11</v>
      </c>
      <c r="E507" s="25">
        <v>1.4649087761353043E-3</v>
      </c>
    </row>
    <row r="508" spans="2:5" ht="15" customHeight="1">
      <c r="B508" s="84"/>
      <c r="C508" s="27" t="s">
        <v>33</v>
      </c>
      <c r="D508" s="26">
        <v>1</v>
      </c>
      <c r="E508" s="25">
        <v>1.3317352510320947E-4</v>
      </c>
    </row>
    <row r="509" spans="2:5" ht="15" customHeight="1">
      <c r="B509" s="84"/>
      <c r="C509" s="27" t="s">
        <v>15</v>
      </c>
      <c r="D509" s="26">
        <v>5</v>
      </c>
      <c r="E509" s="25">
        <v>6.6586762551604738E-4</v>
      </c>
    </row>
    <row r="510" spans="2:5" ht="15" customHeight="1">
      <c r="B510" s="84"/>
      <c r="C510" s="27" t="s">
        <v>6</v>
      </c>
      <c r="D510" s="26">
        <v>38</v>
      </c>
      <c r="E510" s="25">
        <v>5.06059395392196E-3</v>
      </c>
    </row>
    <row r="511" spans="2:5" ht="15" customHeight="1">
      <c r="B511" s="84"/>
      <c r="C511" s="27" t="s">
        <v>21</v>
      </c>
      <c r="D511" s="26">
        <v>2</v>
      </c>
      <c r="E511" s="25">
        <v>2.6634705020641894E-4</v>
      </c>
    </row>
    <row r="512" spans="2:5" ht="15" customHeight="1">
      <c r="B512" s="84"/>
      <c r="C512" s="27" t="s">
        <v>18</v>
      </c>
      <c r="D512" s="26">
        <v>4</v>
      </c>
      <c r="E512" s="25">
        <v>5.3269410041283788E-4</v>
      </c>
    </row>
    <row r="513" spans="2:5" ht="15" customHeight="1">
      <c r="B513" s="85"/>
      <c r="C513" s="24" t="s">
        <v>53</v>
      </c>
      <c r="D513" s="23">
        <v>161</v>
      </c>
      <c r="E513" s="22">
        <v>2.1440937541616727E-2</v>
      </c>
    </row>
    <row r="514" spans="2:5" ht="15" customHeight="1">
      <c r="B514" s="83" t="s">
        <v>128</v>
      </c>
      <c r="C514" s="27" t="s">
        <v>5</v>
      </c>
      <c r="D514" s="26">
        <v>3</v>
      </c>
      <c r="E514" s="25">
        <v>3.9952057530962844E-4</v>
      </c>
    </row>
    <row r="515" spans="2:5" ht="15" customHeight="1">
      <c r="B515" s="84"/>
      <c r="C515" s="27" t="s">
        <v>13</v>
      </c>
      <c r="D515" s="26">
        <v>2</v>
      </c>
      <c r="E515" s="25">
        <v>2.6634705020641894E-4</v>
      </c>
    </row>
    <row r="516" spans="2:5" ht="15" customHeight="1">
      <c r="B516" s="84"/>
      <c r="C516" s="27" t="s">
        <v>24</v>
      </c>
      <c r="D516" s="26">
        <v>2</v>
      </c>
      <c r="E516" s="25">
        <v>2.6634705020641894E-4</v>
      </c>
    </row>
    <row r="517" spans="2:5" ht="15" customHeight="1">
      <c r="B517" s="84"/>
      <c r="C517" s="27" t="s">
        <v>8</v>
      </c>
      <c r="D517" s="26">
        <v>1</v>
      </c>
      <c r="E517" s="25">
        <v>1.3317352510320947E-4</v>
      </c>
    </row>
    <row r="518" spans="2:5" ht="15" customHeight="1">
      <c r="B518" s="84"/>
      <c r="C518" s="27" t="s">
        <v>6</v>
      </c>
      <c r="D518" s="26">
        <v>2</v>
      </c>
      <c r="E518" s="25">
        <v>2.6634705020641894E-4</v>
      </c>
    </row>
    <row r="519" spans="2:5" ht="15" customHeight="1">
      <c r="B519" s="85"/>
      <c r="C519" s="24" t="s">
        <v>53</v>
      </c>
      <c r="D519" s="23">
        <v>10</v>
      </c>
      <c r="E519" s="22">
        <v>1.3317352510320948E-3</v>
      </c>
    </row>
    <row r="520" spans="2:5" ht="15" customHeight="1">
      <c r="B520" s="83" t="s">
        <v>127</v>
      </c>
      <c r="C520" s="27" t="s">
        <v>10</v>
      </c>
      <c r="D520" s="26">
        <v>1</v>
      </c>
      <c r="E520" s="25">
        <v>1.3317352510320947E-4</v>
      </c>
    </row>
    <row r="521" spans="2:5" ht="15" customHeight="1">
      <c r="B521" s="84"/>
      <c r="C521" s="27" t="s">
        <v>35</v>
      </c>
      <c r="D521" s="26">
        <v>1</v>
      </c>
      <c r="E521" s="25">
        <v>1.3317352510320947E-4</v>
      </c>
    </row>
    <row r="522" spans="2:5" ht="15" customHeight="1">
      <c r="B522" s="84"/>
      <c r="C522" s="27" t="s">
        <v>8</v>
      </c>
      <c r="D522" s="26">
        <v>1</v>
      </c>
      <c r="E522" s="25">
        <v>1.3317352510320947E-4</v>
      </c>
    </row>
    <row r="523" spans="2:5" ht="15" customHeight="1">
      <c r="B523" s="84"/>
      <c r="C523" s="27" t="s">
        <v>6</v>
      </c>
      <c r="D523" s="26">
        <v>2</v>
      </c>
      <c r="E523" s="25">
        <v>2.6634705020641894E-4</v>
      </c>
    </row>
    <row r="524" spans="2:5" ht="15" customHeight="1">
      <c r="B524" s="85"/>
      <c r="C524" s="24" t="s">
        <v>53</v>
      </c>
      <c r="D524" s="23">
        <v>5</v>
      </c>
      <c r="E524" s="22">
        <v>6.6586762551604738E-4</v>
      </c>
    </row>
    <row r="525" spans="2:5" ht="15" customHeight="1">
      <c r="B525" s="83" t="s">
        <v>126</v>
      </c>
      <c r="C525" s="27" t="s">
        <v>23</v>
      </c>
      <c r="D525" s="26">
        <v>1</v>
      </c>
      <c r="E525" s="25">
        <v>1.3317352510320947E-4</v>
      </c>
    </row>
    <row r="526" spans="2:5" ht="15" customHeight="1">
      <c r="B526" s="84"/>
      <c r="C526" s="27" t="s">
        <v>5</v>
      </c>
      <c r="D526" s="26">
        <v>1</v>
      </c>
      <c r="E526" s="25">
        <v>1.3317352510320947E-4</v>
      </c>
    </row>
    <row r="527" spans="2:5" ht="15" customHeight="1">
      <c r="B527" s="84"/>
      <c r="C527" s="27" t="s">
        <v>26</v>
      </c>
      <c r="D527" s="26">
        <v>1</v>
      </c>
      <c r="E527" s="25">
        <v>1.3317352510320947E-4</v>
      </c>
    </row>
    <row r="528" spans="2:5" ht="15" customHeight="1">
      <c r="B528" s="84"/>
      <c r="C528" s="27" t="s">
        <v>8</v>
      </c>
      <c r="D528" s="26">
        <v>2</v>
      </c>
      <c r="E528" s="25">
        <v>2.6634705020641894E-4</v>
      </c>
    </row>
    <row r="529" spans="2:5" ht="15" customHeight="1">
      <c r="B529" s="84"/>
      <c r="C529" s="27" t="s">
        <v>6</v>
      </c>
      <c r="D529" s="26">
        <v>1</v>
      </c>
      <c r="E529" s="25">
        <v>1.3317352510320947E-4</v>
      </c>
    </row>
    <row r="530" spans="2:5" ht="15" customHeight="1">
      <c r="B530" s="85"/>
      <c r="C530" s="24" t="s">
        <v>53</v>
      </c>
      <c r="D530" s="23">
        <v>6</v>
      </c>
      <c r="E530" s="22">
        <v>7.9904115061925688E-4</v>
      </c>
    </row>
    <row r="531" spans="2:5" ht="15" customHeight="1">
      <c r="B531" s="95" t="s">
        <v>53</v>
      </c>
      <c r="C531" s="96"/>
      <c r="D531" s="97">
        <v>7509</v>
      </c>
      <c r="E531" s="98">
        <v>1</v>
      </c>
    </row>
    <row r="533" spans="2:5" ht="15" customHeight="1">
      <c r="B533" s="17" t="s">
        <v>54</v>
      </c>
    </row>
    <row r="534" spans="2:5" ht="15" customHeight="1">
      <c r="B534" s="18" t="s">
        <v>55</v>
      </c>
    </row>
    <row r="535" spans="2:5" ht="15" customHeight="1">
      <c r="B535" s="19" t="s">
        <v>56</v>
      </c>
    </row>
    <row r="536" spans="2:5" ht="15" customHeight="1">
      <c r="B536" s="17" t="s">
        <v>57</v>
      </c>
    </row>
    <row r="537" spans="2:5" ht="15" customHeight="1">
      <c r="B537" s="17" t="s">
        <v>58</v>
      </c>
    </row>
  </sheetData>
  <mergeCells count="26">
    <mergeCell ref="B328:B351"/>
    <mergeCell ref="B352:B390"/>
    <mergeCell ref="B525:B530"/>
    <mergeCell ref="B531:C531"/>
    <mergeCell ref="B455:B461"/>
    <mergeCell ref="B462:B467"/>
    <mergeCell ref="B468:B485"/>
    <mergeCell ref="B486:B513"/>
    <mergeCell ref="B514:B519"/>
    <mergeCell ref="B520:B524"/>
    <mergeCell ref="B391:B428"/>
    <mergeCell ref="B429:B442"/>
    <mergeCell ref="B443:B454"/>
    <mergeCell ref="B7:E8"/>
    <mergeCell ref="B10:B25"/>
    <mergeCell ref="B26:B37"/>
    <mergeCell ref="B38:B49"/>
    <mergeCell ref="B50:B73"/>
    <mergeCell ref="B74:B96"/>
    <mergeCell ref="B97:B120"/>
    <mergeCell ref="B121:B157"/>
    <mergeCell ref="B158:B198"/>
    <mergeCell ref="B199:B219"/>
    <mergeCell ref="B220:B252"/>
    <mergeCell ref="B253:B283"/>
    <mergeCell ref="B284:B32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6" manualBreakCount="16">
    <brk id="49" max="4" man="1"/>
    <brk id="73" max="4" man="1"/>
    <brk id="96" max="4" man="1"/>
    <brk id="120" max="4" man="1"/>
    <brk id="157" max="4" man="1"/>
    <brk id="198" max="4" man="1"/>
    <brk id="219" max="4" man="1"/>
    <brk id="252" max="4" man="1"/>
    <brk id="283" max="4" man="1"/>
    <brk id="327" max="4" man="1"/>
    <brk id="351" max="4" man="1"/>
    <brk id="390" max="4" man="1"/>
    <brk id="428" max="4" man="1"/>
    <brk id="467" max="4" man="1"/>
    <brk id="485" max="4" man="1"/>
    <brk id="52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663"/>
  <sheetViews>
    <sheetView topLeftCell="A635" zoomScale="145" zoomScaleNormal="145" zoomScaleSheetLayoutView="85" workbookViewId="0">
      <selection activeCell="B657" sqref="B657:E657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5" customFormat="1" ht="12" customHeight="1">
      <c r="B1" s="39"/>
      <c r="C1" s="38"/>
      <c r="D1" s="38"/>
      <c r="E1" s="38"/>
    </row>
    <row r="2" spans="1:5" s="35" customFormat="1" ht="15" customHeight="1">
      <c r="C2" s="37"/>
    </row>
    <row r="3" spans="1:5" s="35" customFormat="1" ht="15" customHeight="1">
      <c r="C3" s="37"/>
    </row>
    <row r="4" spans="1:5" s="35" customFormat="1" ht="30" customHeight="1">
      <c r="C4" s="37"/>
      <c r="D4" s="36"/>
    </row>
    <row r="5" spans="1:5" s="35" customFormat="1" ht="15" customHeight="1">
      <c r="C5" s="37"/>
      <c r="D5" s="36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86"/>
      <c r="C7" s="86"/>
      <c r="D7" s="86"/>
      <c r="E7" s="86"/>
    </row>
    <row r="8" spans="1:5" s="31" customFormat="1" ht="33" customHeight="1">
      <c r="A8" s="32"/>
      <c r="B8" s="86"/>
      <c r="C8" s="86"/>
      <c r="D8" s="86"/>
      <c r="E8" s="86"/>
    </row>
    <row r="9" spans="1:5" s="1" customFormat="1" ht="40.5" customHeight="1">
      <c r="B9" s="28" t="s">
        <v>108</v>
      </c>
      <c r="C9" s="30" t="s">
        <v>151</v>
      </c>
      <c r="D9" s="29" t="s">
        <v>3</v>
      </c>
      <c r="E9" s="28" t="s">
        <v>4</v>
      </c>
    </row>
    <row r="10" spans="1:5" ht="15" customHeight="1">
      <c r="B10" s="83" t="s">
        <v>71</v>
      </c>
      <c r="C10" s="27" t="s">
        <v>149</v>
      </c>
      <c r="D10" s="26">
        <v>2</v>
      </c>
      <c r="E10" s="25">
        <v>2.6634705020641894E-4</v>
      </c>
    </row>
    <row r="11" spans="1:5" s="33" customFormat="1" ht="15" customHeight="1">
      <c r="A11" s="20"/>
      <c r="B11" s="84"/>
      <c r="C11" s="27" t="s">
        <v>143</v>
      </c>
      <c r="D11" s="26">
        <v>7</v>
      </c>
      <c r="E11" s="25">
        <v>9.3221467572246637E-4</v>
      </c>
    </row>
    <row r="12" spans="1:5" s="33" customFormat="1" ht="15" customHeight="1">
      <c r="A12" s="20"/>
      <c r="B12" s="84"/>
      <c r="C12" s="27" t="s">
        <v>142</v>
      </c>
      <c r="D12" s="26">
        <v>14</v>
      </c>
      <c r="E12" s="25">
        <v>1.8644293514449327E-3</v>
      </c>
    </row>
    <row r="13" spans="1:5" s="33" customFormat="1" ht="15" customHeight="1">
      <c r="A13" s="20"/>
      <c r="B13" s="84"/>
      <c r="C13" s="27" t="s">
        <v>140</v>
      </c>
      <c r="D13" s="26">
        <v>1</v>
      </c>
      <c r="E13" s="25">
        <v>1.3317352510320947E-4</v>
      </c>
    </row>
    <row r="14" spans="1:5" ht="15" customHeight="1">
      <c r="B14" s="84"/>
      <c r="C14" s="27" t="s">
        <v>139</v>
      </c>
      <c r="D14" s="26">
        <v>3</v>
      </c>
      <c r="E14" s="25">
        <v>3.9952057530962844E-4</v>
      </c>
    </row>
    <row r="15" spans="1:5" ht="15" customHeight="1">
      <c r="B15" s="84"/>
      <c r="C15" s="27" t="s">
        <v>138</v>
      </c>
      <c r="D15" s="26">
        <v>34</v>
      </c>
      <c r="E15" s="25">
        <v>4.527899853509122E-3</v>
      </c>
    </row>
    <row r="16" spans="1:5" ht="15" customHeight="1">
      <c r="B16" s="84"/>
      <c r="C16" s="27" t="s">
        <v>137</v>
      </c>
      <c r="D16" s="26">
        <v>1</v>
      </c>
      <c r="E16" s="25">
        <v>1.3317352510320947E-4</v>
      </c>
    </row>
    <row r="17" spans="2:5" ht="15" customHeight="1">
      <c r="B17" s="84"/>
      <c r="C17" s="27" t="s">
        <v>136</v>
      </c>
      <c r="D17" s="26">
        <v>8</v>
      </c>
      <c r="E17" s="25">
        <v>1.0653882008256758E-3</v>
      </c>
    </row>
    <row r="18" spans="2:5" ht="15" customHeight="1">
      <c r="B18" s="84"/>
      <c r="C18" s="27" t="s">
        <v>135</v>
      </c>
      <c r="D18" s="26">
        <v>9</v>
      </c>
      <c r="E18" s="25">
        <v>1.1985617259288853E-3</v>
      </c>
    </row>
    <row r="19" spans="2:5" ht="15" customHeight="1">
      <c r="B19" s="84"/>
      <c r="C19" s="27" t="s">
        <v>134</v>
      </c>
      <c r="D19" s="26">
        <v>1</v>
      </c>
      <c r="E19" s="25">
        <v>1.3317352510320947E-4</v>
      </c>
    </row>
    <row r="20" spans="2:5" ht="15" customHeight="1">
      <c r="B20" s="84"/>
      <c r="C20" s="27" t="s">
        <v>130</v>
      </c>
      <c r="D20" s="26">
        <v>1</v>
      </c>
      <c r="E20" s="25">
        <v>1.3317352510320947E-4</v>
      </c>
    </row>
    <row r="21" spans="2:5" ht="15" customHeight="1">
      <c r="B21" s="85"/>
      <c r="C21" s="24" t="s">
        <v>53</v>
      </c>
      <c r="D21" s="23">
        <v>81</v>
      </c>
      <c r="E21" s="22">
        <v>1.0787055533359968E-2</v>
      </c>
    </row>
    <row r="22" spans="2:5" ht="15" customHeight="1">
      <c r="B22" s="83" t="s">
        <v>103</v>
      </c>
      <c r="C22" s="27" t="s">
        <v>149</v>
      </c>
      <c r="D22" s="26">
        <v>2</v>
      </c>
      <c r="E22" s="25">
        <v>2.6634705020641894E-4</v>
      </c>
    </row>
    <row r="23" spans="2:5" ht="15" customHeight="1">
      <c r="B23" s="84"/>
      <c r="C23" s="27" t="s">
        <v>148</v>
      </c>
      <c r="D23" s="26">
        <v>1</v>
      </c>
      <c r="E23" s="25">
        <v>1.3317352510320947E-4</v>
      </c>
    </row>
    <row r="24" spans="2:5" ht="15" customHeight="1">
      <c r="B24" s="84"/>
      <c r="C24" s="27" t="s">
        <v>146</v>
      </c>
      <c r="D24" s="26">
        <v>1</v>
      </c>
      <c r="E24" s="25">
        <v>1.3317352510320947E-4</v>
      </c>
    </row>
    <row r="25" spans="2:5" ht="15" customHeight="1">
      <c r="B25" s="84"/>
      <c r="C25" s="27" t="s">
        <v>145</v>
      </c>
      <c r="D25" s="26">
        <v>4</v>
      </c>
      <c r="E25" s="25">
        <v>5.3269410041283788E-4</v>
      </c>
    </row>
    <row r="26" spans="2:5" ht="15" customHeight="1">
      <c r="B26" s="84"/>
      <c r="C26" s="27" t="s">
        <v>144</v>
      </c>
      <c r="D26" s="26">
        <v>6</v>
      </c>
      <c r="E26" s="25">
        <v>7.9904115061925688E-4</v>
      </c>
    </row>
    <row r="27" spans="2:5" ht="15" customHeight="1">
      <c r="B27" s="84"/>
      <c r="C27" s="27" t="s">
        <v>143</v>
      </c>
      <c r="D27" s="26">
        <v>18</v>
      </c>
      <c r="E27" s="25">
        <v>2.3971234518577705E-3</v>
      </c>
    </row>
    <row r="28" spans="2:5" ht="15" customHeight="1">
      <c r="B28" s="84"/>
      <c r="C28" s="27" t="s">
        <v>142</v>
      </c>
      <c r="D28" s="26">
        <v>47</v>
      </c>
      <c r="E28" s="25">
        <v>6.2591556798508455E-3</v>
      </c>
    </row>
    <row r="29" spans="2:5" ht="15" customHeight="1">
      <c r="B29" s="84"/>
      <c r="C29" s="27" t="s">
        <v>141</v>
      </c>
      <c r="D29" s="26">
        <v>2</v>
      </c>
      <c r="E29" s="25">
        <v>2.6634705020641894E-4</v>
      </c>
    </row>
    <row r="30" spans="2:5" ht="15" customHeight="1">
      <c r="B30" s="84"/>
      <c r="C30" s="27" t="s">
        <v>140</v>
      </c>
      <c r="D30" s="26">
        <v>9</v>
      </c>
      <c r="E30" s="25">
        <v>1.1985617259288853E-3</v>
      </c>
    </row>
    <row r="31" spans="2:5" ht="15" customHeight="1">
      <c r="B31" s="84"/>
      <c r="C31" s="27" t="s">
        <v>139</v>
      </c>
      <c r="D31" s="26">
        <v>6</v>
      </c>
      <c r="E31" s="25">
        <v>7.9904115061925688E-4</v>
      </c>
    </row>
    <row r="32" spans="2:5" ht="15" customHeight="1">
      <c r="B32" s="84"/>
      <c r="C32" s="27" t="s">
        <v>138</v>
      </c>
      <c r="D32" s="26">
        <v>86</v>
      </c>
      <c r="E32" s="25">
        <v>1.1452923158876015E-2</v>
      </c>
    </row>
    <row r="33" spans="2:5" ht="15" customHeight="1">
      <c r="B33" s="84"/>
      <c r="C33" s="27" t="s">
        <v>137</v>
      </c>
      <c r="D33" s="26">
        <v>4</v>
      </c>
      <c r="E33" s="25">
        <v>5.3269410041283788E-4</v>
      </c>
    </row>
    <row r="34" spans="2:5" ht="15" customHeight="1">
      <c r="B34" s="84"/>
      <c r="C34" s="27" t="s">
        <v>136</v>
      </c>
      <c r="D34" s="26">
        <v>9</v>
      </c>
      <c r="E34" s="25">
        <v>1.1985617259288853E-3</v>
      </c>
    </row>
    <row r="35" spans="2:5" ht="15" customHeight="1">
      <c r="B35" s="84"/>
      <c r="C35" s="27" t="s">
        <v>135</v>
      </c>
      <c r="D35" s="26">
        <v>34</v>
      </c>
      <c r="E35" s="25">
        <v>4.527899853509122E-3</v>
      </c>
    </row>
    <row r="36" spans="2:5" ht="15" customHeight="1">
      <c r="B36" s="84"/>
      <c r="C36" s="27" t="s">
        <v>134</v>
      </c>
      <c r="D36" s="26">
        <v>1</v>
      </c>
      <c r="E36" s="25">
        <v>1.3317352510320947E-4</v>
      </c>
    </row>
    <row r="37" spans="2:5" ht="15" customHeight="1">
      <c r="B37" s="84"/>
      <c r="C37" s="27" t="s">
        <v>132</v>
      </c>
      <c r="D37" s="26">
        <v>2</v>
      </c>
      <c r="E37" s="25">
        <v>2.6634705020641894E-4</v>
      </c>
    </row>
    <row r="38" spans="2:5" ht="15" customHeight="1">
      <c r="B38" s="84"/>
      <c r="C38" s="27" t="s">
        <v>130</v>
      </c>
      <c r="D38" s="26">
        <v>2</v>
      </c>
      <c r="E38" s="25">
        <v>2.6634705020641894E-4</v>
      </c>
    </row>
    <row r="39" spans="2:5" ht="15" customHeight="1">
      <c r="B39" s="84"/>
      <c r="C39" s="27" t="s">
        <v>129</v>
      </c>
      <c r="D39" s="26">
        <v>4</v>
      </c>
      <c r="E39" s="25">
        <v>5.3269410041283788E-4</v>
      </c>
    </row>
    <row r="40" spans="2:5" ht="15" customHeight="1">
      <c r="B40" s="84"/>
      <c r="C40" s="27" t="s">
        <v>155</v>
      </c>
      <c r="D40" s="26">
        <v>2</v>
      </c>
      <c r="E40" s="25">
        <v>2.6634705020641894E-4</v>
      </c>
    </row>
    <row r="41" spans="2:5" ht="15" customHeight="1">
      <c r="B41" s="85"/>
      <c r="C41" s="24" t="s">
        <v>53</v>
      </c>
      <c r="D41" s="23">
        <v>240</v>
      </c>
      <c r="E41" s="22">
        <v>3.1961646024770272E-2</v>
      </c>
    </row>
    <row r="42" spans="2:5" ht="15" customHeight="1">
      <c r="B42" s="83" t="s">
        <v>93</v>
      </c>
      <c r="C42" s="27" t="s">
        <v>149</v>
      </c>
      <c r="D42" s="26">
        <v>3</v>
      </c>
      <c r="E42" s="25">
        <v>3.9952057530962844E-4</v>
      </c>
    </row>
    <row r="43" spans="2:5" ht="15" customHeight="1">
      <c r="B43" s="84"/>
      <c r="C43" s="27" t="s">
        <v>147</v>
      </c>
      <c r="D43" s="26">
        <v>2</v>
      </c>
      <c r="E43" s="25">
        <v>2.6634705020641894E-4</v>
      </c>
    </row>
    <row r="44" spans="2:5" ht="15" customHeight="1">
      <c r="B44" s="84"/>
      <c r="C44" s="27" t="s">
        <v>146</v>
      </c>
      <c r="D44" s="26">
        <v>1</v>
      </c>
      <c r="E44" s="25">
        <v>1.3317352510320947E-4</v>
      </c>
    </row>
    <row r="45" spans="2:5" ht="15" customHeight="1">
      <c r="B45" s="84"/>
      <c r="C45" s="27" t="s">
        <v>145</v>
      </c>
      <c r="D45" s="26">
        <v>6</v>
      </c>
      <c r="E45" s="25">
        <v>7.9904115061925688E-4</v>
      </c>
    </row>
    <row r="46" spans="2:5" ht="15" customHeight="1">
      <c r="B46" s="84"/>
      <c r="C46" s="27" t="s">
        <v>144</v>
      </c>
      <c r="D46" s="26">
        <v>2</v>
      </c>
      <c r="E46" s="25">
        <v>2.6634705020641894E-4</v>
      </c>
    </row>
    <row r="47" spans="2:5" ht="15" customHeight="1">
      <c r="B47" s="84"/>
      <c r="C47" s="27" t="s">
        <v>143</v>
      </c>
      <c r="D47" s="26">
        <v>8</v>
      </c>
      <c r="E47" s="25">
        <v>1.0653882008256758E-3</v>
      </c>
    </row>
    <row r="48" spans="2:5" ht="15" customHeight="1">
      <c r="B48" s="84"/>
      <c r="C48" s="27" t="s">
        <v>142</v>
      </c>
      <c r="D48" s="26">
        <v>17</v>
      </c>
      <c r="E48" s="25">
        <v>2.263949926754561E-3</v>
      </c>
    </row>
    <row r="49" spans="2:5" ht="15" customHeight="1">
      <c r="B49" s="84"/>
      <c r="C49" s="27" t="s">
        <v>141</v>
      </c>
      <c r="D49" s="26">
        <v>1</v>
      </c>
      <c r="E49" s="25">
        <v>1.3317352510320947E-4</v>
      </c>
    </row>
    <row r="50" spans="2:5" ht="15" customHeight="1">
      <c r="B50" s="84"/>
      <c r="C50" s="27" t="s">
        <v>140</v>
      </c>
      <c r="D50" s="26">
        <v>2</v>
      </c>
      <c r="E50" s="25">
        <v>2.6634705020641894E-4</v>
      </c>
    </row>
    <row r="51" spans="2:5" ht="15" customHeight="1">
      <c r="B51" s="84"/>
      <c r="C51" s="27" t="s">
        <v>139</v>
      </c>
      <c r="D51" s="26">
        <v>5</v>
      </c>
      <c r="E51" s="25">
        <v>6.6586762551604738E-4</v>
      </c>
    </row>
    <row r="52" spans="2:5" ht="15" customHeight="1">
      <c r="B52" s="84"/>
      <c r="C52" s="27" t="s">
        <v>138</v>
      </c>
      <c r="D52" s="26">
        <v>39</v>
      </c>
      <c r="E52" s="25">
        <v>5.1937674790251695E-3</v>
      </c>
    </row>
    <row r="53" spans="2:5" ht="15" customHeight="1">
      <c r="B53" s="84"/>
      <c r="C53" s="27" t="s">
        <v>137</v>
      </c>
      <c r="D53" s="26">
        <v>1</v>
      </c>
      <c r="E53" s="25">
        <v>1.3317352510320947E-4</v>
      </c>
    </row>
    <row r="54" spans="2:5" ht="15" customHeight="1">
      <c r="B54" s="84"/>
      <c r="C54" s="27" t="s">
        <v>136</v>
      </c>
      <c r="D54" s="26">
        <v>8</v>
      </c>
      <c r="E54" s="25">
        <v>1.0653882008256758E-3</v>
      </c>
    </row>
    <row r="55" spans="2:5" ht="15" customHeight="1">
      <c r="B55" s="84"/>
      <c r="C55" s="27" t="s">
        <v>135</v>
      </c>
      <c r="D55" s="26">
        <v>19</v>
      </c>
      <c r="E55" s="25">
        <v>2.53029697696098E-3</v>
      </c>
    </row>
    <row r="56" spans="2:5" ht="15" customHeight="1">
      <c r="B56" s="84"/>
      <c r="C56" s="27" t="s">
        <v>130</v>
      </c>
      <c r="D56" s="26">
        <v>2</v>
      </c>
      <c r="E56" s="25">
        <v>2.6634705020641894E-4</v>
      </c>
    </row>
    <row r="57" spans="2:5" ht="15" customHeight="1">
      <c r="B57" s="84"/>
      <c r="C57" s="27" t="s">
        <v>129</v>
      </c>
      <c r="D57" s="26">
        <v>6</v>
      </c>
      <c r="E57" s="25">
        <v>7.9904115061925688E-4</v>
      </c>
    </row>
    <row r="58" spans="2:5" ht="15" customHeight="1">
      <c r="B58" s="85"/>
      <c r="C58" s="24" t="s">
        <v>53</v>
      </c>
      <c r="D58" s="23">
        <v>122</v>
      </c>
      <c r="E58" s="22">
        <v>1.6247170062591555E-2</v>
      </c>
    </row>
    <row r="59" spans="2:5" ht="15" customHeight="1">
      <c r="B59" s="83" t="s">
        <v>69</v>
      </c>
      <c r="C59" s="27" t="s">
        <v>149</v>
      </c>
      <c r="D59" s="26">
        <v>1</v>
      </c>
      <c r="E59" s="25">
        <v>1.3317352510320947E-4</v>
      </c>
    </row>
    <row r="60" spans="2:5" ht="15" customHeight="1">
      <c r="B60" s="84"/>
      <c r="C60" s="27" t="s">
        <v>145</v>
      </c>
      <c r="D60" s="26">
        <v>1</v>
      </c>
      <c r="E60" s="25">
        <v>1.3317352510320947E-4</v>
      </c>
    </row>
    <row r="61" spans="2:5" ht="15" customHeight="1">
      <c r="B61" s="84"/>
      <c r="C61" s="27" t="s">
        <v>144</v>
      </c>
      <c r="D61" s="26">
        <v>1</v>
      </c>
      <c r="E61" s="25">
        <v>1.3317352510320947E-4</v>
      </c>
    </row>
    <row r="62" spans="2:5" ht="15" customHeight="1">
      <c r="B62" s="84"/>
      <c r="C62" s="27" t="s">
        <v>143</v>
      </c>
      <c r="D62" s="26">
        <v>1</v>
      </c>
      <c r="E62" s="25">
        <v>1.3317352510320947E-4</v>
      </c>
    </row>
    <row r="63" spans="2:5" ht="15" customHeight="1">
      <c r="B63" s="84"/>
      <c r="C63" s="27" t="s">
        <v>142</v>
      </c>
      <c r="D63" s="26">
        <v>9</v>
      </c>
      <c r="E63" s="25">
        <v>1.1985617259288853E-3</v>
      </c>
    </row>
    <row r="64" spans="2:5" ht="15" customHeight="1">
      <c r="B64" s="84"/>
      <c r="C64" s="27" t="s">
        <v>140</v>
      </c>
      <c r="D64" s="26">
        <v>1</v>
      </c>
      <c r="E64" s="25">
        <v>1.3317352510320947E-4</v>
      </c>
    </row>
    <row r="65" spans="2:5" ht="15" customHeight="1">
      <c r="B65" s="84"/>
      <c r="C65" s="27" t="s">
        <v>139</v>
      </c>
      <c r="D65" s="26">
        <v>2</v>
      </c>
      <c r="E65" s="25">
        <v>2.6634705020641894E-4</v>
      </c>
    </row>
    <row r="66" spans="2:5" ht="15" customHeight="1">
      <c r="B66" s="84"/>
      <c r="C66" s="27" t="s">
        <v>138</v>
      </c>
      <c r="D66" s="26">
        <v>20</v>
      </c>
      <c r="E66" s="25">
        <v>2.6634705020641895E-3</v>
      </c>
    </row>
    <row r="67" spans="2:5" ht="15" customHeight="1">
      <c r="B67" s="84"/>
      <c r="C67" s="27" t="s">
        <v>136</v>
      </c>
      <c r="D67" s="26">
        <v>2</v>
      </c>
      <c r="E67" s="25">
        <v>2.6634705020641894E-4</v>
      </c>
    </row>
    <row r="68" spans="2:5" ht="15" customHeight="1">
      <c r="B68" s="84"/>
      <c r="C68" s="27" t="s">
        <v>135</v>
      </c>
      <c r="D68" s="26">
        <v>6</v>
      </c>
      <c r="E68" s="25">
        <v>7.9904115061925688E-4</v>
      </c>
    </row>
    <row r="69" spans="2:5" ht="15" customHeight="1">
      <c r="B69" s="84"/>
      <c r="C69" s="27" t="s">
        <v>131</v>
      </c>
      <c r="D69" s="26">
        <v>1</v>
      </c>
      <c r="E69" s="25">
        <v>1.3317352510320947E-4</v>
      </c>
    </row>
    <row r="70" spans="2:5" ht="15" customHeight="1">
      <c r="B70" s="85"/>
      <c r="C70" s="24" t="s">
        <v>53</v>
      </c>
      <c r="D70" s="23">
        <v>45</v>
      </c>
      <c r="E70" s="22">
        <v>5.9928086296444265E-3</v>
      </c>
    </row>
    <row r="71" spans="2:5" ht="15" customHeight="1">
      <c r="B71" s="83" t="s">
        <v>65</v>
      </c>
      <c r="C71" s="27" t="s">
        <v>144</v>
      </c>
      <c r="D71" s="26">
        <v>1</v>
      </c>
      <c r="E71" s="25">
        <v>1.3317352510320947E-4</v>
      </c>
    </row>
    <row r="72" spans="2:5" ht="15" customHeight="1">
      <c r="B72" s="84"/>
      <c r="C72" s="27" t="s">
        <v>138</v>
      </c>
      <c r="D72" s="26">
        <v>1</v>
      </c>
      <c r="E72" s="25">
        <v>1.3317352510320947E-4</v>
      </c>
    </row>
    <row r="73" spans="2:5" ht="15" customHeight="1">
      <c r="B73" s="84"/>
      <c r="C73" s="27" t="s">
        <v>136</v>
      </c>
      <c r="D73" s="26">
        <v>2</v>
      </c>
      <c r="E73" s="25">
        <v>2.6634705020641894E-4</v>
      </c>
    </row>
    <row r="74" spans="2:5" ht="15" customHeight="1">
      <c r="B74" s="84"/>
      <c r="C74" s="27" t="s">
        <v>135</v>
      </c>
      <c r="D74" s="26">
        <v>1</v>
      </c>
      <c r="E74" s="25">
        <v>1.3317352510320947E-4</v>
      </c>
    </row>
    <row r="75" spans="2:5" ht="15" customHeight="1">
      <c r="B75" s="84"/>
      <c r="C75" s="27" t="s">
        <v>133</v>
      </c>
      <c r="D75" s="26">
        <v>1</v>
      </c>
      <c r="E75" s="25">
        <v>1.3317352510320947E-4</v>
      </c>
    </row>
    <row r="76" spans="2:5" ht="15" customHeight="1">
      <c r="B76" s="85"/>
      <c r="C76" s="24" t="s">
        <v>53</v>
      </c>
      <c r="D76" s="23">
        <v>6</v>
      </c>
      <c r="E76" s="22">
        <v>7.9904115061925688E-4</v>
      </c>
    </row>
    <row r="77" spans="2:5" ht="15" customHeight="1">
      <c r="B77" s="83" t="s">
        <v>70</v>
      </c>
      <c r="C77" s="27" t="s">
        <v>146</v>
      </c>
      <c r="D77" s="26">
        <v>1</v>
      </c>
      <c r="E77" s="25">
        <v>1.3317352510320947E-4</v>
      </c>
    </row>
    <row r="78" spans="2:5" ht="15" customHeight="1">
      <c r="B78" s="84"/>
      <c r="C78" s="27" t="s">
        <v>145</v>
      </c>
      <c r="D78" s="26">
        <v>1</v>
      </c>
      <c r="E78" s="25">
        <v>1.3317352510320947E-4</v>
      </c>
    </row>
    <row r="79" spans="2:5" ht="15" customHeight="1">
      <c r="B79" s="84"/>
      <c r="C79" s="27" t="s">
        <v>140</v>
      </c>
      <c r="D79" s="26">
        <v>1</v>
      </c>
      <c r="E79" s="25">
        <v>1.3317352510320947E-4</v>
      </c>
    </row>
    <row r="80" spans="2:5" ht="15" customHeight="1">
      <c r="B80" s="84"/>
      <c r="C80" s="27" t="s">
        <v>139</v>
      </c>
      <c r="D80" s="26">
        <v>1</v>
      </c>
      <c r="E80" s="25">
        <v>1.3317352510320947E-4</v>
      </c>
    </row>
    <row r="81" spans="2:5" ht="15" customHeight="1">
      <c r="B81" s="84"/>
      <c r="C81" s="27" t="s">
        <v>138</v>
      </c>
      <c r="D81" s="26">
        <v>2</v>
      </c>
      <c r="E81" s="25">
        <v>2.6634705020641894E-4</v>
      </c>
    </row>
    <row r="82" spans="2:5" ht="15" customHeight="1">
      <c r="B82" s="84"/>
      <c r="C82" s="27" t="s">
        <v>136</v>
      </c>
      <c r="D82" s="26">
        <v>1</v>
      </c>
      <c r="E82" s="25">
        <v>1.3317352510320947E-4</v>
      </c>
    </row>
    <row r="83" spans="2:5" ht="15" customHeight="1">
      <c r="B83" s="84"/>
      <c r="C83" s="27" t="s">
        <v>135</v>
      </c>
      <c r="D83" s="26">
        <v>2</v>
      </c>
      <c r="E83" s="25">
        <v>2.6634705020641894E-4</v>
      </c>
    </row>
    <row r="84" spans="2:5" ht="15" customHeight="1">
      <c r="B84" s="85"/>
      <c r="C84" s="24" t="s">
        <v>53</v>
      </c>
      <c r="D84" s="23">
        <v>9</v>
      </c>
      <c r="E84" s="22">
        <v>1.1985617259288853E-3</v>
      </c>
    </row>
    <row r="85" spans="2:5" ht="15" customHeight="1">
      <c r="B85" s="83" t="s">
        <v>160</v>
      </c>
      <c r="C85" s="27" t="s">
        <v>138</v>
      </c>
      <c r="D85" s="26">
        <v>1</v>
      </c>
      <c r="E85" s="25">
        <v>1.3317352510320947E-4</v>
      </c>
    </row>
    <row r="86" spans="2:5" ht="15" customHeight="1">
      <c r="B86" s="85"/>
      <c r="C86" s="24" t="s">
        <v>53</v>
      </c>
      <c r="D86" s="23">
        <v>1</v>
      </c>
      <c r="E86" s="22">
        <v>1.3317352510320947E-4</v>
      </c>
    </row>
    <row r="87" spans="2:5" ht="15" customHeight="1">
      <c r="B87" s="83" t="s">
        <v>106</v>
      </c>
      <c r="C87" s="27" t="s">
        <v>149</v>
      </c>
      <c r="D87" s="26">
        <v>9</v>
      </c>
      <c r="E87" s="25">
        <v>1.1985617259288853E-3</v>
      </c>
    </row>
    <row r="88" spans="2:5" ht="15" customHeight="1">
      <c r="B88" s="84"/>
      <c r="C88" s="27" t="s">
        <v>148</v>
      </c>
      <c r="D88" s="26">
        <v>1</v>
      </c>
      <c r="E88" s="25">
        <v>1.3317352510320947E-4</v>
      </c>
    </row>
    <row r="89" spans="2:5" ht="15" customHeight="1">
      <c r="B89" s="84"/>
      <c r="C89" s="27" t="s">
        <v>147</v>
      </c>
      <c r="D89" s="26">
        <v>4</v>
      </c>
      <c r="E89" s="25">
        <v>5.3269410041283788E-4</v>
      </c>
    </row>
    <row r="90" spans="2:5" ht="15" customHeight="1">
      <c r="B90" s="84"/>
      <c r="C90" s="27" t="s">
        <v>146</v>
      </c>
      <c r="D90" s="26">
        <v>16</v>
      </c>
      <c r="E90" s="25">
        <v>2.1307764016513515E-3</v>
      </c>
    </row>
    <row r="91" spans="2:5" ht="15" customHeight="1">
      <c r="B91" s="84"/>
      <c r="C91" s="27" t="s">
        <v>145</v>
      </c>
      <c r="D91" s="26">
        <v>7</v>
      </c>
      <c r="E91" s="25">
        <v>9.3221467572246637E-4</v>
      </c>
    </row>
    <row r="92" spans="2:5" ht="15" customHeight="1">
      <c r="B92" s="84"/>
      <c r="C92" s="27" t="s">
        <v>144</v>
      </c>
      <c r="D92" s="26">
        <v>10</v>
      </c>
      <c r="E92" s="25">
        <v>1.3317352510320948E-3</v>
      </c>
    </row>
    <row r="93" spans="2:5" ht="15" customHeight="1">
      <c r="B93" s="84"/>
      <c r="C93" s="27" t="s">
        <v>143</v>
      </c>
      <c r="D93" s="26">
        <v>66</v>
      </c>
      <c r="E93" s="25">
        <v>8.7894526568118251E-3</v>
      </c>
    </row>
    <row r="94" spans="2:5" ht="15" customHeight="1">
      <c r="B94" s="84"/>
      <c r="C94" s="27" t="s">
        <v>142</v>
      </c>
      <c r="D94" s="26">
        <v>251</v>
      </c>
      <c r="E94" s="25">
        <v>3.3426554800905582E-2</v>
      </c>
    </row>
    <row r="95" spans="2:5" ht="15" customHeight="1">
      <c r="B95" s="84"/>
      <c r="C95" s="27" t="s">
        <v>141</v>
      </c>
      <c r="D95" s="26">
        <v>10</v>
      </c>
      <c r="E95" s="25">
        <v>1.3317352510320948E-3</v>
      </c>
    </row>
    <row r="96" spans="2:5" ht="15" customHeight="1">
      <c r="B96" s="84"/>
      <c r="C96" s="27" t="s">
        <v>140</v>
      </c>
      <c r="D96" s="26">
        <v>23</v>
      </c>
      <c r="E96" s="25">
        <v>3.062991077373818E-3</v>
      </c>
    </row>
    <row r="97" spans="2:5" ht="15" customHeight="1">
      <c r="B97" s="84"/>
      <c r="C97" s="27" t="s">
        <v>139</v>
      </c>
      <c r="D97" s="26">
        <v>31</v>
      </c>
      <c r="E97" s="25">
        <v>4.1283792781994936E-3</v>
      </c>
    </row>
    <row r="98" spans="2:5" ht="15" customHeight="1">
      <c r="B98" s="84"/>
      <c r="C98" s="27" t="s">
        <v>138</v>
      </c>
      <c r="D98" s="26">
        <v>496</v>
      </c>
      <c r="E98" s="25">
        <v>6.6054068451191897E-2</v>
      </c>
    </row>
    <row r="99" spans="2:5" ht="15" customHeight="1">
      <c r="B99" s="84"/>
      <c r="C99" s="27" t="s">
        <v>137</v>
      </c>
      <c r="D99" s="26">
        <v>17</v>
      </c>
      <c r="E99" s="25">
        <v>2.263949926754561E-3</v>
      </c>
    </row>
    <row r="100" spans="2:5" ht="15" customHeight="1">
      <c r="B100" s="84"/>
      <c r="C100" s="27" t="s">
        <v>136</v>
      </c>
      <c r="D100" s="26">
        <v>54</v>
      </c>
      <c r="E100" s="25">
        <v>7.191370355573312E-3</v>
      </c>
    </row>
    <row r="101" spans="2:5" ht="15" customHeight="1">
      <c r="B101" s="84"/>
      <c r="C101" s="27" t="s">
        <v>135</v>
      </c>
      <c r="D101" s="26">
        <v>177</v>
      </c>
      <c r="E101" s="25">
        <v>2.3571713943268079E-2</v>
      </c>
    </row>
    <row r="102" spans="2:5" ht="15" customHeight="1">
      <c r="B102" s="84"/>
      <c r="C102" s="27" t="s">
        <v>134</v>
      </c>
      <c r="D102" s="26">
        <v>4</v>
      </c>
      <c r="E102" s="25">
        <v>5.3269410041283788E-4</v>
      </c>
    </row>
    <row r="103" spans="2:5" ht="15" customHeight="1">
      <c r="B103" s="84"/>
      <c r="C103" s="27" t="s">
        <v>133</v>
      </c>
      <c r="D103" s="26">
        <v>4</v>
      </c>
      <c r="E103" s="25">
        <v>5.3269410041283788E-4</v>
      </c>
    </row>
    <row r="104" spans="2:5" ht="15" customHeight="1">
      <c r="B104" s="84"/>
      <c r="C104" s="27" t="s">
        <v>131</v>
      </c>
      <c r="D104" s="26">
        <v>2</v>
      </c>
      <c r="E104" s="25">
        <v>2.6634705020641894E-4</v>
      </c>
    </row>
    <row r="105" spans="2:5" ht="15" customHeight="1">
      <c r="B105" s="84"/>
      <c r="C105" s="27" t="s">
        <v>130</v>
      </c>
      <c r="D105" s="26">
        <v>17</v>
      </c>
      <c r="E105" s="25">
        <v>2.263949926754561E-3</v>
      </c>
    </row>
    <row r="106" spans="2:5" ht="15" customHeight="1">
      <c r="B106" s="84"/>
      <c r="C106" s="27" t="s">
        <v>129</v>
      </c>
      <c r="D106" s="26">
        <v>22</v>
      </c>
      <c r="E106" s="25">
        <v>2.9298175522706085E-3</v>
      </c>
    </row>
    <row r="107" spans="2:5" ht="15" customHeight="1">
      <c r="B107" s="84"/>
      <c r="C107" s="27" t="s">
        <v>127</v>
      </c>
      <c r="D107" s="26">
        <v>1</v>
      </c>
      <c r="E107" s="25">
        <v>1.3317352510320947E-4</v>
      </c>
    </row>
    <row r="108" spans="2:5" ht="15" customHeight="1">
      <c r="B108" s="85"/>
      <c r="C108" s="24" t="s">
        <v>53</v>
      </c>
      <c r="D108" s="23">
        <v>1222</v>
      </c>
      <c r="E108" s="22">
        <v>0.16273804767612199</v>
      </c>
    </row>
    <row r="109" spans="2:5" ht="15" customHeight="1">
      <c r="B109" s="83" t="s">
        <v>104</v>
      </c>
      <c r="C109" s="27" t="s">
        <v>149</v>
      </c>
      <c r="D109" s="26">
        <v>1</v>
      </c>
      <c r="E109" s="25">
        <v>1.3317352510320947E-4</v>
      </c>
    </row>
    <row r="110" spans="2:5" ht="15" customHeight="1">
      <c r="B110" s="84"/>
      <c r="C110" s="27" t="s">
        <v>148</v>
      </c>
      <c r="D110" s="26">
        <v>2</v>
      </c>
      <c r="E110" s="25">
        <v>2.6634705020641894E-4</v>
      </c>
    </row>
    <row r="111" spans="2:5" ht="15" customHeight="1">
      <c r="B111" s="84"/>
      <c r="C111" s="27" t="s">
        <v>147</v>
      </c>
      <c r="D111" s="26">
        <v>2</v>
      </c>
      <c r="E111" s="25">
        <v>2.6634705020641894E-4</v>
      </c>
    </row>
    <row r="112" spans="2:5" ht="15" customHeight="1">
      <c r="B112" s="84"/>
      <c r="C112" s="27" t="s">
        <v>146</v>
      </c>
      <c r="D112" s="26">
        <v>2</v>
      </c>
      <c r="E112" s="25">
        <v>2.6634705020641894E-4</v>
      </c>
    </row>
    <row r="113" spans="2:5" ht="15" customHeight="1">
      <c r="B113" s="84"/>
      <c r="C113" s="27" t="s">
        <v>145</v>
      </c>
      <c r="D113" s="26">
        <v>4</v>
      </c>
      <c r="E113" s="25">
        <v>5.3269410041283788E-4</v>
      </c>
    </row>
    <row r="114" spans="2:5" ht="15" customHeight="1">
      <c r="B114" s="84"/>
      <c r="C114" s="27" t="s">
        <v>144</v>
      </c>
      <c r="D114" s="26">
        <v>8</v>
      </c>
      <c r="E114" s="25">
        <v>1.0653882008256758E-3</v>
      </c>
    </row>
    <row r="115" spans="2:5" ht="15" customHeight="1">
      <c r="B115" s="84"/>
      <c r="C115" s="27" t="s">
        <v>143</v>
      </c>
      <c r="D115" s="26">
        <v>43</v>
      </c>
      <c r="E115" s="25">
        <v>5.7264615794380075E-3</v>
      </c>
    </row>
    <row r="116" spans="2:5" ht="15" customHeight="1">
      <c r="B116" s="84"/>
      <c r="C116" s="27" t="s">
        <v>142</v>
      </c>
      <c r="D116" s="26">
        <v>32</v>
      </c>
      <c r="E116" s="25">
        <v>4.2615528033027031E-3</v>
      </c>
    </row>
    <row r="117" spans="2:5" ht="15" customHeight="1">
      <c r="B117" s="84"/>
      <c r="C117" s="27" t="s">
        <v>141</v>
      </c>
      <c r="D117" s="26">
        <v>2</v>
      </c>
      <c r="E117" s="25">
        <v>2.6634705020641894E-4</v>
      </c>
    </row>
    <row r="118" spans="2:5" ht="15" customHeight="1">
      <c r="B118" s="84"/>
      <c r="C118" s="27" t="s">
        <v>140</v>
      </c>
      <c r="D118" s="26">
        <v>14</v>
      </c>
      <c r="E118" s="25">
        <v>1.8644293514449327E-3</v>
      </c>
    </row>
    <row r="119" spans="2:5" ht="15" customHeight="1">
      <c r="B119" s="84"/>
      <c r="C119" s="27" t="s">
        <v>139</v>
      </c>
      <c r="D119" s="26">
        <v>20</v>
      </c>
      <c r="E119" s="25">
        <v>2.6634705020641895E-3</v>
      </c>
    </row>
    <row r="120" spans="2:5" ht="15" customHeight="1">
      <c r="B120" s="84"/>
      <c r="C120" s="27" t="s">
        <v>138</v>
      </c>
      <c r="D120" s="26">
        <v>193</v>
      </c>
      <c r="E120" s="25">
        <v>2.5702490344919431E-2</v>
      </c>
    </row>
    <row r="121" spans="2:5" ht="15" customHeight="1">
      <c r="B121" s="84"/>
      <c r="C121" s="27" t="s">
        <v>137</v>
      </c>
      <c r="D121" s="26">
        <v>2</v>
      </c>
      <c r="E121" s="25">
        <v>2.6634705020641894E-4</v>
      </c>
    </row>
    <row r="122" spans="2:5" ht="15" customHeight="1">
      <c r="B122" s="84"/>
      <c r="C122" s="27" t="s">
        <v>136</v>
      </c>
      <c r="D122" s="26">
        <v>25</v>
      </c>
      <c r="E122" s="25">
        <v>3.329338127580237E-3</v>
      </c>
    </row>
    <row r="123" spans="2:5" ht="15" customHeight="1">
      <c r="B123" s="84"/>
      <c r="C123" s="27" t="s">
        <v>135</v>
      </c>
      <c r="D123" s="26">
        <v>137</v>
      </c>
      <c r="E123" s="25">
        <v>1.8244772939139699E-2</v>
      </c>
    </row>
    <row r="124" spans="2:5" ht="15" customHeight="1">
      <c r="B124" s="84"/>
      <c r="C124" s="27" t="s">
        <v>132</v>
      </c>
      <c r="D124" s="26">
        <v>1</v>
      </c>
      <c r="E124" s="25">
        <v>1.3317352510320947E-4</v>
      </c>
    </row>
    <row r="125" spans="2:5" ht="15" customHeight="1">
      <c r="B125" s="84"/>
      <c r="C125" s="27" t="s">
        <v>130</v>
      </c>
      <c r="D125" s="26">
        <v>12</v>
      </c>
      <c r="E125" s="25">
        <v>1.5980823012385138E-3</v>
      </c>
    </row>
    <row r="126" spans="2:5" ht="15" customHeight="1">
      <c r="B126" s="84"/>
      <c r="C126" s="27" t="s">
        <v>129</v>
      </c>
      <c r="D126" s="26">
        <v>13</v>
      </c>
      <c r="E126" s="25">
        <v>1.7312558263417232E-3</v>
      </c>
    </row>
    <row r="127" spans="2:5" ht="15" customHeight="1">
      <c r="B127" s="84"/>
      <c r="C127" s="27" t="s">
        <v>155</v>
      </c>
      <c r="D127" s="26">
        <v>2</v>
      </c>
      <c r="E127" s="25">
        <v>2.6634705020641894E-4</v>
      </c>
    </row>
    <row r="128" spans="2:5" ht="15" customHeight="1">
      <c r="B128" s="84"/>
      <c r="C128" s="27" t="s">
        <v>127</v>
      </c>
      <c r="D128" s="26">
        <v>2</v>
      </c>
      <c r="E128" s="25">
        <v>2.6634705020641894E-4</v>
      </c>
    </row>
    <row r="129" spans="2:5" ht="15" customHeight="1">
      <c r="B129" s="85"/>
      <c r="C129" s="24" t="s">
        <v>53</v>
      </c>
      <c r="D129" s="23">
        <v>517</v>
      </c>
      <c r="E129" s="22">
        <v>6.8850712478359305E-2</v>
      </c>
    </row>
    <row r="130" spans="2:5" ht="15" customHeight="1">
      <c r="B130" s="83" t="s">
        <v>159</v>
      </c>
      <c r="C130" s="27" t="s">
        <v>138</v>
      </c>
      <c r="D130" s="26">
        <v>1</v>
      </c>
      <c r="E130" s="25">
        <v>1.3317352510320947E-4</v>
      </c>
    </row>
    <row r="131" spans="2:5" ht="15" customHeight="1">
      <c r="B131" s="85"/>
      <c r="C131" s="24" t="s">
        <v>53</v>
      </c>
      <c r="D131" s="23">
        <v>1</v>
      </c>
      <c r="E131" s="22">
        <v>1.3317352510320947E-4</v>
      </c>
    </row>
    <row r="132" spans="2:5" ht="15" customHeight="1">
      <c r="B132" s="83" t="s">
        <v>88</v>
      </c>
      <c r="C132" s="27" t="s">
        <v>149</v>
      </c>
      <c r="D132" s="26">
        <v>4</v>
      </c>
      <c r="E132" s="25">
        <v>5.3269410041283788E-4</v>
      </c>
    </row>
    <row r="133" spans="2:5" ht="15" customHeight="1">
      <c r="B133" s="84"/>
      <c r="C133" s="27" t="s">
        <v>148</v>
      </c>
      <c r="D133" s="26">
        <v>4</v>
      </c>
      <c r="E133" s="25">
        <v>5.3269410041283788E-4</v>
      </c>
    </row>
    <row r="134" spans="2:5" ht="15" customHeight="1">
      <c r="B134" s="84"/>
      <c r="C134" s="27" t="s">
        <v>147</v>
      </c>
      <c r="D134" s="26">
        <v>6</v>
      </c>
      <c r="E134" s="25">
        <v>7.9904115061925688E-4</v>
      </c>
    </row>
    <row r="135" spans="2:5" ht="15" customHeight="1">
      <c r="B135" s="84"/>
      <c r="C135" s="27" t="s">
        <v>146</v>
      </c>
      <c r="D135" s="26">
        <v>7</v>
      </c>
      <c r="E135" s="25">
        <v>9.3221467572246637E-4</v>
      </c>
    </row>
    <row r="136" spans="2:5" ht="15" customHeight="1">
      <c r="B136" s="84"/>
      <c r="C136" s="27" t="s">
        <v>145</v>
      </c>
      <c r="D136" s="26">
        <v>7</v>
      </c>
      <c r="E136" s="25">
        <v>9.3221467572246637E-4</v>
      </c>
    </row>
    <row r="137" spans="2:5" ht="15" customHeight="1">
      <c r="B137" s="84"/>
      <c r="C137" s="27" t="s">
        <v>144</v>
      </c>
      <c r="D137" s="26">
        <v>8</v>
      </c>
      <c r="E137" s="25">
        <v>1.0653882008256758E-3</v>
      </c>
    </row>
    <row r="138" spans="2:5" ht="15" customHeight="1">
      <c r="B138" s="84"/>
      <c r="C138" s="27" t="s">
        <v>143</v>
      </c>
      <c r="D138" s="26">
        <v>49</v>
      </c>
      <c r="E138" s="25">
        <v>6.5255027300572645E-3</v>
      </c>
    </row>
    <row r="139" spans="2:5" ht="15" customHeight="1">
      <c r="B139" s="84"/>
      <c r="C139" s="27" t="s">
        <v>142</v>
      </c>
      <c r="D139" s="26">
        <v>95</v>
      </c>
      <c r="E139" s="25">
        <v>1.2651484884804901E-2</v>
      </c>
    </row>
    <row r="140" spans="2:5" ht="15" customHeight="1">
      <c r="B140" s="84"/>
      <c r="C140" s="27" t="s">
        <v>141</v>
      </c>
      <c r="D140" s="26">
        <v>11</v>
      </c>
      <c r="E140" s="25">
        <v>1.4649087761353043E-3</v>
      </c>
    </row>
    <row r="141" spans="2:5" ht="15" customHeight="1">
      <c r="B141" s="84"/>
      <c r="C141" s="27" t="s">
        <v>140</v>
      </c>
      <c r="D141" s="26">
        <v>14</v>
      </c>
      <c r="E141" s="25">
        <v>1.8644293514449327E-3</v>
      </c>
    </row>
    <row r="142" spans="2:5" ht="15" customHeight="1">
      <c r="B142" s="84"/>
      <c r="C142" s="27" t="s">
        <v>139</v>
      </c>
      <c r="D142" s="26">
        <v>29</v>
      </c>
      <c r="E142" s="25">
        <v>3.862032227993075E-3</v>
      </c>
    </row>
    <row r="143" spans="2:5" ht="15" customHeight="1">
      <c r="B143" s="84"/>
      <c r="C143" s="27" t="s">
        <v>138</v>
      </c>
      <c r="D143" s="26">
        <v>165</v>
      </c>
      <c r="E143" s="25">
        <v>2.1973631642029565E-2</v>
      </c>
    </row>
    <row r="144" spans="2:5" ht="15" customHeight="1">
      <c r="B144" s="84"/>
      <c r="C144" s="27" t="s">
        <v>137</v>
      </c>
      <c r="D144" s="26">
        <v>3</v>
      </c>
      <c r="E144" s="25">
        <v>3.9952057530962844E-4</v>
      </c>
    </row>
    <row r="145" spans="2:5" ht="15" customHeight="1">
      <c r="B145" s="84"/>
      <c r="C145" s="27" t="s">
        <v>136</v>
      </c>
      <c r="D145" s="26">
        <v>39</v>
      </c>
      <c r="E145" s="25">
        <v>5.1937674790251695E-3</v>
      </c>
    </row>
    <row r="146" spans="2:5" ht="15" customHeight="1">
      <c r="B146" s="84"/>
      <c r="C146" s="27" t="s">
        <v>135</v>
      </c>
      <c r="D146" s="26">
        <v>74</v>
      </c>
      <c r="E146" s="25">
        <v>9.8548408576375011E-3</v>
      </c>
    </row>
    <row r="147" spans="2:5" ht="15" customHeight="1">
      <c r="B147" s="84"/>
      <c r="C147" s="27" t="s">
        <v>134</v>
      </c>
      <c r="D147" s="26">
        <v>2</v>
      </c>
      <c r="E147" s="25">
        <v>2.6634705020641894E-4</v>
      </c>
    </row>
    <row r="148" spans="2:5" ht="15" customHeight="1">
      <c r="B148" s="84"/>
      <c r="C148" s="27" t="s">
        <v>133</v>
      </c>
      <c r="D148" s="26">
        <v>1</v>
      </c>
      <c r="E148" s="25">
        <v>1.3317352510320947E-4</v>
      </c>
    </row>
    <row r="149" spans="2:5" ht="15" customHeight="1">
      <c r="B149" s="84"/>
      <c r="C149" s="27" t="s">
        <v>130</v>
      </c>
      <c r="D149" s="26">
        <v>2</v>
      </c>
      <c r="E149" s="25">
        <v>2.6634705020641894E-4</v>
      </c>
    </row>
    <row r="150" spans="2:5" ht="15" customHeight="1">
      <c r="B150" s="84"/>
      <c r="C150" s="27" t="s">
        <v>129</v>
      </c>
      <c r="D150" s="26">
        <v>5</v>
      </c>
      <c r="E150" s="25">
        <v>6.6586762551604738E-4</v>
      </c>
    </row>
    <row r="151" spans="2:5" ht="15" customHeight="1">
      <c r="B151" s="85"/>
      <c r="C151" s="24" t="s">
        <v>53</v>
      </c>
      <c r="D151" s="23">
        <v>525</v>
      </c>
      <c r="E151" s="22">
        <v>6.9916100679184981E-2</v>
      </c>
    </row>
    <row r="152" spans="2:5" ht="15" customHeight="1">
      <c r="B152" s="83" t="s">
        <v>74</v>
      </c>
      <c r="C152" s="27" t="s">
        <v>144</v>
      </c>
      <c r="D152" s="26">
        <v>1</v>
      </c>
      <c r="E152" s="25">
        <v>1.3317352510320947E-4</v>
      </c>
    </row>
    <row r="153" spans="2:5" ht="15" customHeight="1">
      <c r="B153" s="84"/>
      <c r="C153" s="27" t="s">
        <v>143</v>
      </c>
      <c r="D153" s="26">
        <v>1</v>
      </c>
      <c r="E153" s="25">
        <v>1.3317352510320947E-4</v>
      </c>
    </row>
    <row r="154" spans="2:5" ht="15" customHeight="1">
      <c r="B154" s="84"/>
      <c r="C154" s="27" t="s">
        <v>142</v>
      </c>
      <c r="D154" s="26">
        <v>7</v>
      </c>
      <c r="E154" s="25">
        <v>9.3221467572246637E-4</v>
      </c>
    </row>
    <row r="155" spans="2:5" ht="15" customHeight="1">
      <c r="B155" s="84"/>
      <c r="C155" s="27" t="s">
        <v>140</v>
      </c>
      <c r="D155" s="26">
        <v>1</v>
      </c>
      <c r="E155" s="25">
        <v>1.3317352510320947E-4</v>
      </c>
    </row>
    <row r="156" spans="2:5" ht="15" customHeight="1">
      <c r="B156" s="84"/>
      <c r="C156" s="27" t="s">
        <v>139</v>
      </c>
      <c r="D156" s="26">
        <v>3</v>
      </c>
      <c r="E156" s="25">
        <v>3.9952057530962844E-4</v>
      </c>
    </row>
    <row r="157" spans="2:5" ht="15" customHeight="1">
      <c r="B157" s="84"/>
      <c r="C157" s="27" t="s">
        <v>138</v>
      </c>
      <c r="D157" s="26">
        <v>19</v>
      </c>
      <c r="E157" s="25">
        <v>2.53029697696098E-3</v>
      </c>
    </row>
    <row r="158" spans="2:5" ht="15" customHeight="1">
      <c r="B158" s="84"/>
      <c r="C158" s="27" t="s">
        <v>137</v>
      </c>
      <c r="D158" s="26">
        <v>2</v>
      </c>
      <c r="E158" s="25">
        <v>2.6634705020641894E-4</v>
      </c>
    </row>
    <row r="159" spans="2:5" ht="15" customHeight="1">
      <c r="B159" s="84"/>
      <c r="C159" s="27" t="s">
        <v>136</v>
      </c>
      <c r="D159" s="26">
        <v>2</v>
      </c>
      <c r="E159" s="25">
        <v>2.6634705020641894E-4</v>
      </c>
    </row>
    <row r="160" spans="2:5" ht="15" customHeight="1">
      <c r="B160" s="84"/>
      <c r="C160" s="27" t="s">
        <v>135</v>
      </c>
      <c r="D160" s="26">
        <v>1</v>
      </c>
      <c r="E160" s="25">
        <v>1.3317352510320947E-4</v>
      </c>
    </row>
    <row r="161" spans="2:5" ht="15" customHeight="1">
      <c r="B161" s="84"/>
      <c r="C161" s="27" t="s">
        <v>129</v>
      </c>
      <c r="D161" s="26">
        <v>1</v>
      </c>
      <c r="E161" s="25">
        <v>1.3317352510320947E-4</v>
      </c>
    </row>
    <row r="162" spans="2:5" ht="15" customHeight="1">
      <c r="B162" s="85"/>
      <c r="C162" s="24" t="s">
        <v>53</v>
      </c>
      <c r="D162" s="23">
        <v>38</v>
      </c>
      <c r="E162" s="22">
        <v>5.06059395392196E-3</v>
      </c>
    </row>
    <row r="163" spans="2:5" ht="15" customHeight="1">
      <c r="B163" s="83" t="s">
        <v>59</v>
      </c>
      <c r="C163" s="27" t="s">
        <v>142</v>
      </c>
      <c r="D163" s="26">
        <v>1</v>
      </c>
      <c r="E163" s="25">
        <v>1.3317352510320947E-4</v>
      </c>
    </row>
    <row r="164" spans="2:5" ht="15" customHeight="1">
      <c r="B164" s="85"/>
      <c r="C164" s="24" t="s">
        <v>53</v>
      </c>
      <c r="D164" s="23">
        <v>1</v>
      </c>
      <c r="E164" s="22">
        <v>1.3317352510320947E-4</v>
      </c>
    </row>
    <row r="165" spans="2:5" ht="15" customHeight="1">
      <c r="B165" s="83" t="s">
        <v>72</v>
      </c>
      <c r="C165" s="27" t="s">
        <v>145</v>
      </c>
      <c r="D165" s="26">
        <v>2</v>
      </c>
      <c r="E165" s="25">
        <v>2.6634705020641894E-4</v>
      </c>
    </row>
    <row r="166" spans="2:5" ht="15" customHeight="1">
      <c r="B166" s="84"/>
      <c r="C166" s="27" t="s">
        <v>143</v>
      </c>
      <c r="D166" s="26">
        <v>3</v>
      </c>
      <c r="E166" s="25">
        <v>3.9952057530962844E-4</v>
      </c>
    </row>
    <row r="167" spans="2:5" ht="15" customHeight="1">
      <c r="B167" s="84"/>
      <c r="C167" s="27" t="s">
        <v>142</v>
      </c>
      <c r="D167" s="26">
        <v>2</v>
      </c>
      <c r="E167" s="25">
        <v>2.6634705020641894E-4</v>
      </c>
    </row>
    <row r="168" spans="2:5" ht="15" customHeight="1">
      <c r="B168" s="84"/>
      <c r="C168" s="27" t="s">
        <v>140</v>
      </c>
      <c r="D168" s="26">
        <v>3</v>
      </c>
      <c r="E168" s="25">
        <v>3.9952057530962844E-4</v>
      </c>
    </row>
    <row r="169" spans="2:5" ht="15" customHeight="1">
      <c r="B169" s="84"/>
      <c r="C169" s="27" t="s">
        <v>139</v>
      </c>
      <c r="D169" s="26">
        <v>1</v>
      </c>
      <c r="E169" s="25">
        <v>1.3317352510320947E-4</v>
      </c>
    </row>
    <row r="170" spans="2:5" ht="15" customHeight="1">
      <c r="B170" s="84"/>
      <c r="C170" s="27" t="s">
        <v>138</v>
      </c>
      <c r="D170" s="26">
        <v>8</v>
      </c>
      <c r="E170" s="25">
        <v>1.0653882008256758E-3</v>
      </c>
    </row>
    <row r="171" spans="2:5" ht="15" customHeight="1">
      <c r="B171" s="84"/>
      <c r="C171" s="27" t="s">
        <v>137</v>
      </c>
      <c r="D171" s="26">
        <v>2</v>
      </c>
      <c r="E171" s="25">
        <v>2.6634705020641894E-4</v>
      </c>
    </row>
    <row r="172" spans="2:5" ht="15" customHeight="1">
      <c r="B172" s="84"/>
      <c r="C172" s="27" t="s">
        <v>136</v>
      </c>
      <c r="D172" s="26">
        <v>1</v>
      </c>
      <c r="E172" s="25">
        <v>1.3317352510320947E-4</v>
      </c>
    </row>
    <row r="173" spans="2:5" ht="15" customHeight="1">
      <c r="B173" s="84"/>
      <c r="C173" s="27" t="s">
        <v>135</v>
      </c>
      <c r="D173" s="26">
        <v>3</v>
      </c>
      <c r="E173" s="25">
        <v>3.9952057530962844E-4</v>
      </c>
    </row>
    <row r="174" spans="2:5" ht="15" customHeight="1">
      <c r="B174" s="84"/>
      <c r="C174" s="27" t="s">
        <v>129</v>
      </c>
      <c r="D174" s="26">
        <v>3</v>
      </c>
      <c r="E174" s="25">
        <v>3.9952057530962844E-4</v>
      </c>
    </row>
    <row r="175" spans="2:5" ht="15" customHeight="1">
      <c r="B175" s="85"/>
      <c r="C175" s="24" t="s">
        <v>53</v>
      </c>
      <c r="D175" s="23">
        <v>28</v>
      </c>
      <c r="E175" s="22">
        <v>3.7288587028898655E-3</v>
      </c>
    </row>
    <row r="176" spans="2:5" ht="15" customHeight="1">
      <c r="B176" s="83" t="s">
        <v>85</v>
      </c>
      <c r="C176" s="27" t="s">
        <v>143</v>
      </c>
      <c r="D176" s="26">
        <v>3</v>
      </c>
      <c r="E176" s="25">
        <v>3.9952057530962844E-4</v>
      </c>
    </row>
    <row r="177" spans="2:5" ht="15" customHeight="1">
      <c r="B177" s="84"/>
      <c r="C177" s="27" t="s">
        <v>142</v>
      </c>
      <c r="D177" s="26">
        <v>3</v>
      </c>
      <c r="E177" s="25">
        <v>3.9952057530962844E-4</v>
      </c>
    </row>
    <row r="178" spans="2:5" ht="15" customHeight="1">
      <c r="B178" s="84"/>
      <c r="C178" s="27" t="s">
        <v>139</v>
      </c>
      <c r="D178" s="26">
        <v>1</v>
      </c>
      <c r="E178" s="25">
        <v>1.3317352510320947E-4</v>
      </c>
    </row>
    <row r="179" spans="2:5" ht="15" customHeight="1">
      <c r="B179" s="84"/>
      <c r="C179" s="27" t="s">
        <v>138</v>
      </c>
      <c r="D179" s="26">
        <v>9</v>
      </c>
      <c r="E179" s="25">
        <v>1.1985617259288853E-3</v>
      </c>
    </row>
    <row r="180" spans="2:5" ht="15" customHeight="1">
      <c r="B180" s="84"/>
      <c r="C180" s="27" t="s">
        <v>136</v>
      </c>
      <c r="D180" s="26">
        <v>4</v>
      </c>
      <c r="E180" s="25">
        <v>5.3269410041283788E-4</v>
      </c>
    </row>
    <row r="181" spans="2:5" ht="15" customHeight="1">
      <c r="B181" s="84"/>
      <c r="C181" s="27" t="s">
        <v>135</v>
      </c>
      <c r="D181" s="26">
        <v>3</v>
      </c>
      <c r="E181" s="25">
        <v>3.9952057530962844E-4</v>
      </c>
    </row>
    <row r="182" spans="2:5" ht="15" customHeight="1">
      <c r="B182" s="85"/>
      <c r="C182" s="24" t="s">
        <v>53</v>
      </c>
      <c r="D182" s="23">
        <v>23</v>
      </c>
      <c r="E182" s="22">
        <v>3.062991077373818E-3</v>
      </c>
    </row>
    <row r="183" spans="2:5" ht="15" customHeight="1">
      <c r="B183" s="83" t="s">
        <v>101</v>
      </c>
      <c r="C183" s="27" t="s">
        <v>149</v>
      </c>
      <c r="D183" s="26">
        <v>3</v>
      </c>
      <c r="E183" s="25">
        <v>3.9952057530962844E-4</v>
      </c>
    </row>
    <row r="184" spans="2:5" ht="15" customHeight="1">
      <c r="B184" s="84"/>
      <c r="C184" s="27" t="s">
        <v>148</v>
      </c>
      <c r="D184" s="26">
        <v>2</v>
      </c>
      <c r="E184" s="25">
        <v>2.6634705020641894E-4</v>
      </c>
    </row>
    <row r="185" spans="2:5" ht="15" customHeight="1">
      <c r="B185" s="84"/>
      <c r="C185" s="27" t="s">
        <v>147</v>
      </c>
      <c r="D185" s="26">
        <v>1</v>
      </c>
      <c r="E185" s="25">
        <v>1.3317352510320947E-4</v>
      </c>
    </row>
    <row r="186" spans="2:5" ht="15" customHeight="1">
      <c r="B186" s="84"/>
      <c r="C186" s="27" t="s">
        <v>146</v>
      </c>
      <c r="D186" s="26">
        <v>1</v>
      </c>
      <c r="E186" s="25">
        <v>1.3317352510320947E-4</v>
      </c>
    </row>
    <row r="187" spans="2:5" ht="15" customHeight="1">
      <c r="B187" s="84"/>
      <c r="C187" s="27" t="s">
        <v>145</v>
      </c>
      <c r="D187" s="26">
        <v>3</v>
      </c>
      <c r="E187" s="25">
        <v>3.9952057530962844E-4</v>
      </c>
    </row>
    <row r="188" spans="2:5" ht="15" customHeight="1">
      <c r="B188" s="84"/>
      <c r="C188" s="27" t="s">
        <v>144</v>
      </c>
      <c r="D188" s="26">
        <v>3</v>
      </c>
      <c r="E188" s="25">
        <v>3.9952057530962844E-4</v>
      </c>
    </row>
    <row r="189" spans="2:5" ht="15" customHeight="1">
      <c r="B189" s="84"/>
      <c r="C189" s="27" t="s">
        <v>143</v>
      </c>
      <c r="D189" s="26">
        <v>10</v>
      </c>
      <c r="E189" s="25">
        <v>1.3317352510320948E-3</v>
      </c>
    </row>
    <row r="190" spans="2:5" ht="15" customHeight="1">
      <c r="B190" s="84"/>
      <c r="C190" s="27" t="s">
        <v>142</v>
      </c>
      <c r="D190" s="26">
        <v>23</v>
      </c>
      <c r="E190" s="25">
        <v>3.062991077373818E-3</v>
      </c>
    </row>
    <row r="191" spans="2:5" ht="15" customHeight="1">
      <c r="B191" s="84"/>
      <c r="C191" s="27" t="s">
        <v>141</v>
      </c>
      <c r="D191" s="26">
        <v>3</v>
      </c>
      <c r="E191" s="25">
        <v>3.9952057530962844E-4</v>
      </c>
    </row>
    <row r="192" spans="2:5" ht="15" customHeight="1">
      <c r="B192" s="84"/>
      <c r="C192" s="27" t="s">
        <v>140</v>
      </c>
      <c r="D192" s="26">
        <v>4</v>
      </c>
      <c r="E192" s="25">
        <v>5.3269410041283788E-4</v>
      </c>
    </row>
    <row r="193" spans="2:5" ht="15" customHeight="1">
      <c r="B193" s="84"/>
      <c r="C193" s="27" t="s">
        <v>139</v>
      </c>
      <c r="D193" s="26">
        <v>10</v>
      </c>
      <c r="E193" s="25">
        <v>1.3317352510320948E-3</v>
      </c>
    </row>
    <row r="194" spans="2:5" ht="15" customHeight="1">
      <c r="B194" s="84"/>
      <c r="C194" s="27" t="s">
        <v>138</v>
      </c>
      <c r="D194" s="26">
        <v>46</v>
      </c>
      <c r="E194" s="25">
        <v>6.125982154747636E-3</v>
      </c>
    </row>
    <row r="195" spans="2:5" ht="15" customHeight="1">
      <c r="B195" s="84"/>
      <c r="C195" s="27" t="s">
        <v>137</v>
      </c>
      <c r="D195" s="26">
        <v>2</v>
      </c>
      <c r="E195" s="25">
        <v>2.6634705020641894E-4</v>
      </c>
    </row>
    <row r="196" spans="2:5" ht="15" customHeight="1">
      <c r="B196" s="84"/>
      <c r="C196" s="27" t="s">
        <v>136</v>
      </c>
      <c r="D196" s="26">
        <v>19</v>
      </c>
      <c r="E196" s="25">
        <v>2.53029697696098E-3</v>
      </c>
    </row>
    <row r="197" spans="2:5" ht="15" customHeight="1">
      <c r="B197" s="84"/>
      <c r="C197" s="27" t="s">
        <v>135</v>
      </c>
      <c r="D197" s="26">
        <v>33</v>
      </c>
      <c r="E197" s="25">
        <v>4.3947263284059125E-3</v>
      </c>
    </row>
    <row r="198" spans="2:5" ht="15" customHeight="1">
      <c r="B198" s="84"/>
      <c r="C198" s="27" t="s">
        <v>133</v>
      </c>
      <c r="D198" s="26">
        <v>1</v>
      </c>
      <c r="E198" s="25">
        <v>1.3317352510320947E-4</v>
      </c>
    </row>
    <row r="199" spans="2:5" ht="15" customHeight="1">
      <c r="B199" s="84"/>
      <c r="C199" s="27" t="s">
        <v>132</v>
      </c>
      <c r="D199" s="26">
        <v>1</v>
      </c>
      <c r="E199" s="25">
        <v>1.3317352510320947E-4</v>
      </c>
    </row>
    <row r="200" spans="2:5" ht="15" customHeight="1">
      <c r="B200" s="84"/>
      <c r="C200" s="27" t="s">
        <v>130</v>
      </c>
      <c r="D200" s="26">
        <v>1</v>
      </c>
      <c r="E200" s="25">
        <v>1.3317352510320947E-4</v>
      </c>
    </row>
    <row r="201" spans="2:5" ht="15" customHeight="1">
      <c r="B201" s="84"/>
      <c r="C201" s="27" t="s">
        <v>129</v>
      </c>
      <c r="D201" s="26">
        <v>1</v>
      </c>
      <c r="E201" s="25">
        <v>1.3317352510320947E-4</v>
      </c>
    </row>
    <row r="202" spans="2:5" ht="15" customHeight="1">
      <c r="B202" s="85"/>
      <c r="C202" s="24" t="s">
        <v>53</v>
      </c>
      <c r="D202" s="23">
        <v>167</v>
      </c>
      <c r="E202" s="22">
        <v>2.2239978692235984E-2</v>
      </c>
    </row>
    <row r="203" spans="2:5" ht="15" customHeight="1">
      <c r="B203" s="83" t="s">
        <v>105</v>
      </c>
      <c r="C203" s="27" t="s">
        <v>149</v>
      </c>
      <c r="D203" s="26">
        <v>8</v>
      </c>
      <c r="E203" s="25">
        <v>1.0653882008256758E-3</v>
      </c>
    </row>
    <row r="204" spans="2:5" ht="15" customHeight="1">
      <c r="B204" s="84"/>
      <c r="C204" s="27" t="s">
        <v>148</v>
      </c>
      <c r="D204" s="26">
        <v>1</v>
      </c>
      <c r="E204" s="25">
        <v>1.3317352510320947E-4</v>
      </c>
    </row>
    <row r="205" spans="2:5" ht="15" customHeight="1">
      <c r="B205" s="84"/>
      <c r="C205" s="27" t="s">
        <v>147</v>
      </c>
      <c r="D205" s="26">
        <v>3</v>
      </c>
      <c r="E205" s="25">
        <v>3.9952057530962844E-4</v>
      </c>
    </row>
    <row r="206" spans="2:5" ht="15" customHeight="1">
      <c r="B206" s="84"/>
      <c r="C206" s="27" t="s">
        <v>146</v>
      </c>
      <c r="D206" s="26">
        <v>3</v>
      </c>
      <c r="E206" s="25">
        <v>3.9952057530962844E-4</v>
      </c>
    </row>
    <row r="207" spans="2:5" ht="15" customHeight="1">
      <c r="B207" s="84"/>
      <c r="C207" s="27" t="s">
        <v>145</v>
      </c>
      <c r="D207" s="26">
        <v>6</v>
      </c>
      <c r="E207" s="25">
        <v>7.9904115061925688E-4</v>
      </c>
    </row>
    <row r="208" spans="2:5" ht="15" customHeight="1">
      <c r="B208" s="84"/>
      <c r="C208" s="27" t="s">
        <v>144</v>
      </c>
      <c r="D208" s="26">
        <v>12</v>
      </c>
      <c r="E208" s="25">
        <v>1.5980823012385138E-3</v>
      </c>
    </row>
    <row r="209" spans="2:5" ht="15" customHeight="1">
      <c r="B209" s="84"/>
      <c r="C209" s="27" t="s">
        <v>143</v>
      </c>
      <c r="D209" s="26">
        <v>48</v>
      </c>
      <c r="E209" s="25">
        <v>6.392329204954055E-3</v>
      </c>
    </row>
    <row r="210" spans="2:5" ht="15" customHeight="1">
      <c r="B210" s="84"/>
      <c r="C210" s="27" t="s">
        <v>142</v>
      </c>
      <c r="D210" s="26">
        <v>67</v>
      </c>
      <c r="E210" s="25">
        <v>8.9226261819150346E-3</v>
      </c>
    </row>
    <row r="211" spans="2:5" ht="15" customHeight="1">
      <c r="B211" s="84"/>
      <c r="C211" s="27" t="s">
        <v>141</v>
      </c>
      <c r="D211" s="26">
        <v>6</v>
      </c>
      <c r="E211" s="25">
        <v>7.9904115061925688E-4</v>
      </c>
    </row>
    <row r="212" spans="2:5" ht="15" customHeight="1">
      <c r="B212" s="84"/>
      <c r="C212" s="27" t="s">
        <v>140</v>
      </c>
      <c r="D212" s="26">
        <v>8</v>
      </c>
      <c r="E212" s="25">
        <v>1.0653882008256758E-3</v>
      </c>
    </row>
    <row r="213" spans="2:5" ht="15" customHeight="1">
      <c r="B213" s="84"/>
      <c r="C213" s="27" t="s">
        <v>139</v>
      </c>
      <c r="D213" s="26">
        <v>31</v>
      </c>
      <c r="E213" s="25">
        <v>4.1283792781994936E-3</v>
      </c>
    </row>
    <row r="214" spans="2:5" ht="15" customHeight="1">
      <c r="B214" s="84"/>
      <c r="C214" s="27" t="s">
        <v>138</v>
      </c>
      <c r="D214" s="26">
        <v>199</v>
      </c>
      <c r="E214" s="25">
        <v>2.6501531495538688E-2</v>
      </c>
    </row>
    <row r="215" spans="2:5" ht="15" customHeight="1">
      <c r="B215" s="84"/>
      <c r="C215" s="27" t="s">
        <v>137</v>
      </c>
      <c r="D215" s="26">
        <v>2</v>
      </c>
      <c r="E215" s="25">
        <v>2.6634705020641894E-4</v>
      </c>
    </row>
    <row r="216" spans="2:5" ht="15" customHeight="1">
      <c r="B216" s="84"/>
      <c r="C216" s="27" t="s">
        <v>136</v>
      </c>
      <c r="D216" s="26">
        <v>29</v>
      </c>
      <c r="E216" s="25">
        <v>3.862032227993075E-3</v>
      </c>
    </row>
    <row r="217" spans="2:5" ht="15" customHeight="1">
      <c r="B217" s="84"/>
      <c r="C217" s="27" t="s">
        <v>135</v>
      </c>
      <c r="D217" s="26">
        <v>74</v>
      </c>
      <c r="E217" s="25">
        <v>9.8548408576375011E-3</v>
      </c>
    </row>
    <row r="218" spans="2:5" ht="15" customHeight="1">
      <c r="B218" s="84"/>
      <c r="C218" s="27" t="s">
        <v>134</v>
      </c>
      <c r="D218" s="26">
        <v>2</v>
      </c>
      <c r="E218" s="25">
        <v>2.6634705020641894E-4</v>
      </c>
    </row>
    <row r="219" spans="2:5" ht="15" customHeight="1">
      <c r="B219" s="84"/>
      <c r="C219" s="27" t="s">
        <v>130</v>
      </c>
      <c r="D219" s="26">
        <v>3</v>
      </c>
      <c r="E219" s="25">
        <v>3.9952057530962844E-4</v>
      </c>
    </row>
    <row r="220" spans="2:5" ht="15" customHeight="1">
      <c r="B220" s="84"/>
      <c r="C220" s="27" t="s">
        <v>129</v>
      </c>
      <c r="D220" s="26">
        <v>9</v>
      </c>
      <c r="E220" s="25">
        <v>1.1985617259288853E-3</v>
      </c>
    </row>
    <row r="221" spans="2:5" ht="15" customHeight="1">
      <c r="B221" s="85"/>
      <c r="C221" s="24" t="s">
        <v>53</v>
      </c>
      <c r="D221" s="23">
        <v>511</v>
      </c>
      <c r="E221" s="22">
        <v>6.8051671327740051E-2</v>
      </c>
    </row>
    <row r="222" spans="2:5" ht="15" customHeight="1">
      <c r="B222" s="83" t="s">
        <v>158</v>
      </c>
      <c r="C222" s="27" t="s">
        <v>148</v>
      </c>
      <c r="D222" s="26">
        <v>1</v>
      </c>
      <c r="E222" s="25">
        <v>1.3317352510320947E-4</v>
      </c>
    </row>
    <row r="223" spans="2:5" ht="15" customHeight="1">
      <c r="B223" s="84"/>
      <c r="C223" s="27" t="s">
        <v>147</v>
      </c>
      <c r="D223" s="26">
        <v>2</v>
      </c>
      <c r="E223" s="25">
        <v>2.6634705020641894E-4</v>
      </c>
    </row>
    <row r="224" spans="2:5" ht="15" customHeight="1">
      <c r="B224" s="84"/>
      <c r="C224" s="27" t="s">
        <v>146</v>
      </c>
      <c r="D224" s="26">
        <v>2</v>
      </c>
      <c r="E224" s="25">
        <v>2.6634705020641894E-4</v>
      </c>
    </row>
    <row r="225" spans="2:5" ht="15" customHeight="1">
      <c r="B225" s="84"/>
      <c r="C225" s="27" t="s">
        <v>145</v>
      </c>
      <c r="D225" s="26">
        <v>2</v>
      </c>
      <c r="E225" s="25">
        <v>2.6634705020641894E-4</v>
      </c>
    </row>
    <row r="226" spans="2:5" ht="15" customHeight="1">
      <c r="B226" s="84"/>
      <c r="C226" s="27" t="s">
        <v>143</v>
      </c>
      <c r="D226" s="26">
        <v>14</v>
      </c>
      <c r="E226" s="25">
        <v>1.8644293514449327E-3</v>
      </c>
    </row>
    <row r="227" spans="2:5" ht="15" customHeight="1">
      <c r="B227" s="84"/>
      <c r="C227" s="27" t="s">
        <v>142</v>
      </c>
      <c r="D227" s="26">
        <v>22</v>
      </c>
      <c r="E227" s="25">
        <v>2.9298175522706085E-3</v>
      </c>
    </row>
    <row r="228" spans="2:5" ht="15" customHeight="1">
      <c r="B228" s="84"/>
      <c r="C228" s="27" t="s">
        <v>141</v>
      </c>
      <c r="D228" s="26">
        <v>3</v>
      </c>
      <c r="E228" s="25">
        <v>3.9952057530962844E-4</v>
      </c>
    </row>
    <row r="229" spans="2:5" ht="15" customHeight="1">
      <c r="B229" s="84"/>
      <c r="C229" s="27" t="s">
        <v>140</v>
      </c>
      <c r="D229" s="26">
        <v>7</v>
      </c>
      <c r="E229" s="25">
        <v>9.3221467572246637E-4</v>
      </c>
    </row>
    <row r="230" spans="2:5" ht="15" customHeight="1">
      <c r="B230" s="84"/>
      <c r="C230" s="27" t="s">
        <v>139</v>
      </c>
      <c r="D230" s="26">
        <v>2</v>
      </c>
      <c r="E230" s="25">
        <v>2.6634705020641894E-4</v>
      </c>
    </row>
    <row r="231" spans="2:5" ht="15" customHeight="1">
      <c r="B231" s="84"/>
      <c r="C231" s="27" t="s">
        <v>138</v>
      </c>
      <c r="D231" s="26">
        <v>56</v>
      </c>
      <c r="E231" s="25">
        <v>7.457717405779731E-3</v>
      </c>
    </row>
    <row r="232" spans="2:5" ht="15" customHeight="1">
      <c r="B232" s="84"/>
      <c r="C232" s="27" t="s">
        <v>137</v>
      </c>
      <c r="D232" s="26">
        <v>4</v>
      </c>
      <c r="E232" s="25">
        <v>5.3269410041283788E-4</v>
      </c>
    </row>
    <row r="233" spans="2:5" ht="15" customHeight="1">
      <c r="B233" s="84"/>
      <c r="C233" s="27" t="s">
        <v>136</v>
      </c>
      <c r="D233" s="26">
        <v>9</v>
      </c>
      <c r="E233" s="25">
        <v>1.1985617259288853E-3</v>
      </c>
    </row>
    <row r="234" spans="2:5" ht="15" customHeight="1">
      <c r="B234" s="84"/>
      <c r="C234" s="27" t="s">
        <v>135</v>
      </c>
      <c r="D234" s="26">
        <v>26</v>
      </c>
      <c r="E234" s="25">
        <v>3.4625116526834465E-3</v>
      </c>
    </row>
    <row r="235" spans="2:5" ht="15" customHeight="1">
      <c r="B235" s="84"/>
      <c r="C235" s="27" t="s">
        <v>130</v>
      </c>
      <c r="D235" s="26">
        <v>1</v>
      </c>
      <c r="E235" s="25">
        <v>1.3317352510320947E-4</v>
      </c>
    </row>
    <row r="236" spans="2:5" ht="15" customHeight="1">
      <c r="B236" s="84"/>
      <c r="C236" s="27" t="s">
        <v>129</v>
      </c>
      <c r="D236" s="26">
        <v>3</v>
      </c>
      <c r="E236" s="25">
        <v>3.9952057530962844E-4</v>
      </c>
    </row>
    <row r="237" spans="2:5" ht="15" customHeight="1">
      <c r="B237" s="84"/>
      <c r="C237" s="27" t="s">
        <v>127</v>
      </c>
      <c r="D237" s="26">
        <v>1</v>
      </c>
      <c r="E237" s="25">
        <v>1.3317352510320947E-4</v>
      </c>
    </row>
    <row r="238" spans="2:5" ht="15" customHeight="1">
      <c r="B238" s="85"/>
      <c r="C238" s="24" t="s">
        <v>53</v>
      </c>
      <c r="D238" s="23">
        <v>155</v>
      </c>
      <c r="E238" s="22">
        <v>2.064189639099747E-2</v>
      </c>
    </row>
    <row r="239" spans="2:5" ht="15" customHeight="1">
      <c r="B239" s="83" t="s">
        <v>84</v>
      </c>
      <c r="C239" s="27" t="s">
        <v>148</v>
      </c>
      <c r="D239" s="26">
        <v>1</v>
      </c>
      <c r="E239" s="25">
        <v>1.3317352510320947E-4</v>
      </c>
    </row>
    <row r="240" spans="2:5" ht="15" customHeight="1">
      <c r="B240" s="84"/>
      <c r="C240" s="27" t="s">
        <v>146</v>
      </c>
      <c r="D240" s="26">
        <v>4</v>
      </c>
      <c r="E240" s="25">
        <v>5.3269410041283788E-4</v>
      </c>
    </row>
    <row r="241" spans="2:5" ht="15" customHeight="1">
      <c r="B241" s="84"/>
      <c r="C241" s="27" t="s">
        <v>145</v>
      </c>
      <c r="D241" s="26">
        <v>4</v>
      </c>
      <c r="E241" s="25">
        <v>5.3269410041283788E-4</v>
      </c>
    </row>
    <row r="242" spans="2:5" ht="15" customHeight="1">
      <c r="B242" s="84"/>
      <c r="C242" s="27" t="s">
        <v>144</v>
      </c>
      <c r="D242" s="26">
        <v>1</v>
      </c>
      <c r="E242" s="25">
        <v>1.3317352510320947E-4</v>
      </c>
    </row>
    <row r="243" spans="2:5" ht="15" customHeight="1">
      <c r="B243" s="84"/>
      <c r="C243" s="27" t="s">
        <v>143</v>
      </c>
      <c r="D243" s="26">
        <v>9</v>
      </c>
      <c r="E243" s="25">
        <v>1.1985617259288853E-3</v>
      </c>
    </row>
    <row r="244" spans="2:5" ht="15" customHeight="1">
      <c r="B244" s="84"/>
      <c r="C244" s="27" t="s">
        <v>142</v>
      </c>
      <c r="D244" s="26">
        <v>11</v>
      </c>
      <c r="E244" s="25">
        <v>1.4649087761353043E-3</v>
      </c>
    </row>
    <row r="245" spans="2:5" ht="15" customHeight="1">
      <c r="B245" s="84"/>
      <c r="C245" s="27" t="s">
        <v>141</v>
      </c>
      <c r="D245" s="26">
        <v>7</v>
      </c>
      <c r="E245" s="25">
        <v>9.3221467572246637E-4</v>
      </c>
    </row>
    <row r="246" spans="2:5" ht="15" customHeight="1">
      <c r="B246" s="84"/>
      <c r="C246" s="27" t="s">
        <v>140</v>
      </c>
      <c r="D246" s="26">
        <v>6</v>
      </c>
      <c r="E246" s="25">
        <v>7.9904115061925688E-4</v>
      </c>
    </row>
    <row r="247" spans="2:5" ht="15" customHeight="1">
      <c r="B247" s="84"/>
      <c r="C247" s="27" t="s">
        <v>139</v>
      </c>
      <c r="D247" s="26">
        <v>12</v>
      </c>
      <c r="E247" s="25">
        <v>1.5980823012385138E-3</v>
      </c>
    </row>
    <row r="248" spans="2:5" ht="15" customHeight="1">
      <c r="B248" s="84"/>
      <c r="C248" s="27" t="s">
        <v>138</v>
      </c>
      <c r="D248" s="26">
        <v>44</v>
      </c>
      <c r="E248" s="25">
        <v>5.859635104541217E-3</v>
      </c>
    </row>
    <row r="249" spans="2:5" ht="15" customHeight="1">
      <c r="B249" s="84"/>
      <c r="C249" s="27" t="s">
        <v>137</v>
      </c>
      <c r="D249" s="26">
        <v>1</v>
      </c>
      <c r="E249" s="25">
        <v>1.3317352510320947E-4</v>
      </c>
    </row>
    <row r="250" spans="2:5" ht="15" customHeight="1">
      <c r="B250" s="84"/>
      <c r="C250" s="27" t="s">
        <v>136</v>
      </c>
      <c r="D250" s="26">
        <v>13</v>
      </c>
      <c r="E250" s="25">
        <v>1.7312558263417232E-3</v>
      </c>
    </row>
    <row r="251" spans="2:5" ht="15" customHeight="1">
      <c r="B251" s="84"/>
      <c r="C251" s="27" t="s">
        <v>135</v>
      </c>
      <c r="D251" s="26">
        <v>22</v>
      </c>
      <c r="E251" s="25">
        <v>2.9298175522706085E-3</v>
      </c>
    </row>
    <row r="252" spans="2:5" ht="15" customHeight="1">
      <c r="B252" s="84"/>
      <c r="C252" s="27" t="s">
        <v>134</v>
      </c>
      <c r="D252" s="26">
        <v>3</v>
      </c>
      <c r="E252" s="25">
        <v>3.9952057530962844E-4</v>
      </c>
    </row>
    <row r="253" spans="2:5" ht="15" customHeight="1">
      <c r="B253" s="84"/>
      <c r="C253" s="27" t="s">
        <v>130</v>
      </c>
      <c r="D253" s="26">
        <v>2</v>
      </c>
      <c r="E253" s="25">
        <v>2.6634705020641894E-4</v>
      </c>
    </row>
    <row r="254" spans="2:5" ht="15" customHeight="1">
      <c r="B254" s="84"/>
      <c r="C254" s="27" t="s">
        <v>129</v>
      </c>
      <c r="D254" s="26">
        <v>6</v>
      </c>
      <c r="E254" s="25">
        <v>7.9904115061925688E-4</v>
      </c>
    </row>
    <row r="255" spans="2:5" ht="15" customHeight="1">
      <c r="B255" s="84"/>
      <c r="C255" s="27" t="s">
        <v>126</v>
      </c>
      <c r="D255" s="26">
        <v>1</v>
      </c>
      <c r="E255" s="25">
        <v>1.3317352510320947E-4</v>
      </c>
    </row>
    <row r="256" spans="2:5" ht="15" customHeight="1">
      <c r="B256" s="85"/>
      <c r="C256" s="24" t="s">
        <v>53</v>
      </c>
      <c r="D256" s="23">
        <v>147</v>
      </c>
      <c r="E256" s="22">
        <v>1.9576508190171794E-2</v>
      </c>
    </row>
    <row r="257" spans="2:5" ht="15" customHeight="1">
      <c r="B257" s="83" t="s">
        <v>68</v>
      </c>
      <c r="C257" s="27" t="s">
        <v>135</v>
      </c>
      <c r="D257" s="26">
        <v>1</v>
      </c>
      <c r="E257" s="25">
        <v>1.3317352510320947E-4</v>
      </c>
    </row>
    <row r="258" spans="2:5" ht="15" customHeight="1">
      <c r="B258" s="85"/>
      <c r="C258" s="24" t="s">
        <v>53</v>
      </c>
      <c r="D258" s="23">
        <v>1</v>
      </c>
      <c r="E258" s="22">
        <v>1.3317352510320947E-4</v>
      </c>
    </row>
    <row r="259" spans="2:5" ht="15" customHeight="1">
      <c r="B259" s="83" t="s">
        <v>91</v>
      </c>
      <c r="C259" s="27" t="s">
        <v>149</v>
      </c>
      <c r="D259" s="26">
        <v>1</v>
      </c>
      <c r="E259" s="25">
        <v>1.3317352510320947E-4</v>
      </c>
    </row>
    <row r="260" spans="2:5" ht="15" customHeight="1">
      <c r="B260" s="84"/>
      <c r="C260" s="27" t="s">
        <v>147</v>
      </c>
      <c r="D260" s="26">
        <v>1</v>
      </c>
      <c r="E260" s="25">
        <v>1.3317352510320947E-4</v>
      </c>
    </row>
    <row r="261" spans="2:5" ht="15" customHeight="1">
      <c r="B261" s="84"/>
      <c r="C261" s="27" t="s">
        <v>146</v>
      </c>
      <c r="D261" s="26">
        <v>3</v>
      </c>
      <c r="E261" s="25">
        <v>3.9952057530962844E-4</v>
      </c>
    </row>
    <row r="262" spans="2:5" ht="15" customHeight="1">
      <c r="B262" s="84"/>
      <c r="C262" s="27" t="s">
        <v>145</v>
      </c>
      <c r="D262" s="26">
        <v>2</v>
      </c>
      <c r="E262" s="25">
        <v>2.6634705020641894E-4</v>
      </c>
    </row>
    <row r="263" spans="2:5" ht="15" customHeight="1">
      <c r="B263" s="84"/>
      <c r="C263" s="27" t="s">
        <v>144</v>
      </c>
      <c r="D263" s="26">
        <v>1</v>
      </c>
      <c r="E263" s="25">
        <v>1.3317352510320947E-4</v>
      </c>
    </row>
    <row r="264" spans="2:5" ht="15" customHeight="1">
      <c r="B264" s="84"/>
      <c r="C264" s="27" t="s">
        <v>143</v>
      </c>
      <c r="D264" s="26">
        <v>13</v>
      </c>
      <c r="E264" s="25">
        <v>1.7312558263417232E-3</v>
      </c>
    </row>
    <row r="265" spans="2:5" ht="15" customHeight="1">
      <c r="B265" s="84"/>
      <c r="C265" s="27" t="s">
        <v>142</v>
      </c>
      <c r="D265" s="26">
        <v>27</v>
      </c>
      <c r="E265" s="25">
        <v>3.595685177786656E-3</v>
      </c>
    </row>
    <row r="266" spans="2:5" ht="15" customHeight="1">
      <c r="B266" s="84"/>
      <c r="C266" s="27" t="s">
        <v>141</v>
      </c>
      <c r="D266" s="26">
        <v>2</v>
      </c>
      <c r="E266" s="25">
        <v>2.6634705020641894E-4</v>
      </c>
    </row>
    <row r="267" spans="2:5" ht="15" customHeight="1">
      <c r="B267" s="84"/>
      <c r="C267" s="27" t="s">
        <v>140</v>
      </c>
      <c r="D267" s="26">
        <v>2</v>
      </c>
      <c r="E267" s="25">
        <v>2.6634705020641894E-4</v>
      </c>
    </row>
    <row r="268" spans="2:5" ht="15" customHeight="1">
      <c r="B268" s="84"/>
      <c r="C268" s="27" t="s">
        <v>139</v>
      </c>
      <c r="D268" s="26">
        <v>9</v>
      </c>
      <c r="E268" s="25">
        <v>1.1985617259288853E-3</v>
      </c>
    </row>
    <row r="269" spans="2:5" ht="15" customHeight="1">
      <c r="B269" s="84"/>
      <c r="C269" s="27" t="s">
        <v>138</v>
      </c>
      <c r="D269" s="26">
        <v>50</v>
      </c>
      <c r="E269" s="25">
        <v>6.658676255160474E-3</v>
      </c>
    </row>
    <row r="270" spans="2:5" ht="15" customHeight="1">
      <c r="B270" s="84"/>
      <c r="C270" s="27" t="s">
        <v>136</v>
      </c>
      <c r="D270" s="26">
        <v>15</v>
      </c>
      <c r="E270" s="25">
        <v>1.997602876548142E-3</v>
      </c>
    </row>
    <row r="271" spans="2:5" ht="15" customHeight="1">
      <c r="B271" s="84"/>
      <c r="C271" s="27" t="s">
        <v>135</v>
      </c>
      <c r="D271" s="26">
        <v>28</v>
      </c>
      <c r="E271" s="25">
        <v>3.7288587028898655E-3</v>
      </c>
    </row>
    <row r="272" spans="2:5" ht="15" customHeight="1">
      <c r="B272" s="84"/>
      <c r="C272" s="27" t="s">
        <v>130</v>
      </c>
      <c r="D272" s="26">
        <v>1</v>
      </c>
      <c r="E272" s="25">
        <v>1.3317352510320947E-4</v>
      </c>
    </row>
    <row r="273" spans="2:5" ht="15" customHeight="1">
      <c r="B273" s="84"/>
      <c r="C273" s="27" t="s">
        <v>129</v>
      </c>
      <c r="D273" s="26">
        <v>3</v>
      </c>
      <c r="E273" s="25">
        <v>3.9952057530962844E-4</v>
      </c>
    </row>
    <row r="274" spans="2:5" ht="15" customHeight="1">
      <c r="B274" s="85"/>
      <c r="C274" s="24" t="s">
        <v>53</v>
      </c>
      <c r="D274" s="23">
        <v>158</v>
      </c>
      <c r="E274" s="22">
        <v>2.1041416966307097E-2</v>
      </c>
    </row>
    <row r="275" spans="2:5" ht="15" customHeight="1">
      <c r="B275" s="83" t="s">
        <v>95</v>
      </c>
      <c r="C275" s="27" t="s">
        <v>149</v>
      </c>
      <c r="D275" s="26">
        <v>9</v>
      </c>
      <c r="E275" s="25">
        <v>1.1985617259288853E-3</v>
      </c>
    </row>
    <row r="276" spans="2:5" ht="15" customHeight="1">
      <c r="B276" s="84"/>
      <c r="C276" s="27" t="s">
        <v>148</v>
      </c>
      <c r="D276" s="26">
        <v>3</v>
      </c>
      <c r="E276" s="25">
        <v>3.9952057530962844E-4</v>
      </c>
    </row>
    <row r="277" spans="2:5" ht="15" customHeight="1">
      <c r="B277" s="84"/>
      <c r="C277" s="27" t="s">
        <v>147</v>
      </c>
      <c r="D277" s="26">
        <v>4</v>
      </c>
      <c r="E277" s="25">
        <v>5.3269410041283788E-4</v>
      </c>
    </row>
    <row r="278" spans="2:5" ht="15" customHeight="1">
      <c r="B278" s="84"/>
      <c r="C278" s="27" t="s">
        <v>146</v>
      </c>
      <c r="D278" s="26">
        <v>11</v>
      </c>
      <c r="E278" s="25">
        <v>1.4649087761353043E-3</v>
      </c>
    </row>
    <row r="279" spans="2:5" ht="15" customHeight="1">
      <c r="B279" s="84"/>
      <c r="C279" s="27" t="s">
        <v>145</v>
      </c>
      <c r="D279" s="26">
        <v>11</v>
      </c>
      <c r="E279" s="25">
        <v>1.4649087761353043E-3</v>
      </c>
    </row>
    <row r="280" spans="2:5" ht="15" customHeight="1">
      <c r="B280" s="84"/>
      <c r="C280" s="27" t="s">
        <v>144</v>
      </c>
      <c r="D280" s="26">
        <v>18</v>
      </c>
      <c r="E280" s="25">
        <v>2.3971234518577705E-3</v>
      </c>
    </row>
    <row r="281" spans="2:5" ht="15" customHeight="1">
      <c r="B281" s="84"/>
      <c r="C281" s="27" t="s">
        <v>143</v>
      </c>
      <c r="D281" s="26">
        <v>64</v>
      </c>
      <c r="E281" s="25">
        <v>8.5231056066054061E-3</v>
      </c>
    </row>
    <row r="282" spans="2:5" ht="15" customHeight="1">
      <c r="B282" s="84"/>
      <c r="C282" s="27" t="s">
        <v>142</v>
      </c>
      <c r="D282" s="26">
        <v>122</v>
      </c>
      <c r="E282" s="25">
        <v>1.6247170062591555E-2</v>
      </c>
    </row>
    <row r="283" spans="2:5" ht="15" customHeight="1">
      <c r="B283" s="84"/>
      <c r="C283" s="27" t="s">
        <v>141</v>
      </c>
      <c r="D283" s="26">
        <v>11</v>
      </c>
      <c r="E283" s="25">
        <v>1.4649087761353043E-3</v>
      </c>
    </row>
    <row r="284" spans="2:5" ht="15" customHeight="1">
      <c r="B284" s="84"/>
      <c r="C284" s="27" t="s">
        <v>140</v>
      </c>
      <c r="D284" s="26">
        <v>21</v>
      </c>
      <c r="E284" s="25">
        <v>2.796644027167399E-3</v>
      </c>
    </row>
    <row r="285" spans="2:5" ht="15" customHeight="1">
      <c r="B285" s="84"/>
      <c r="C285" s="27" t="s">
        <v>139</v>
      </c>
      <c r="D285" s="26">
        <v>33</v>
      </c>
      <c r="E285" s="25">
        <v>4.3947263284059125E-3</v>
      </c>
    </row>
    <row r="286" spans="2:5" ht="15" customHeight="1">
      <c r="B286" s="84"/>
      <c r="C286" s="27" t="s">
        <v>138</v>
      </c>
      <c r="D286" s="26">
        <v>337</v>
      </c>
      <c r="E286" s="25">
        <v>4.4879477959781595E-2</v>
      </c>
    </row>
    <row r="287" spans="2:5" ht="15" customHeight="1">
      <c r="B287" s="84"/>
      <c r="C287" s="27" t="s">
        <v>137</v>
      </c>
      <c r="D287" s="26">
        <v>4</v>
      </c>
      <c r="E287" s="25">
        <v>5.3269410041283788E-4</v>
      </c>
    </row>
    <row r="288" spans="2:5" ht="15" customHeight="1">
      <c r="B288" s="84"/>
      <c r="C288" s="27" t="s">
        <v>136</v>
      </c>
      <c r="D288" s="26">
        <v>58</v>
      </c>
      <c r="E288" s="25">
        <v>7.72406445598615E-3</v>
      </c>
    </row>
    <row r="289" spans="2:5" ht="15" customHeight="1">
      <c r="B289" s="84"/>
      <c r="C289" s="27" t="s">
        <v>135</v>
      </c>
      <c r="D289" s="26">
        <v>165</v>
      </c>
      <c r="E289" s="25">
        <v>2.1973631642029565E-2</v>
      </c>
    </row>
    <row r="290" spans="2:5" ht="15" customHeight="1">
      <c r="B290" s="84"/>
      <c r="C290" s="27" t="s">
        <v>134</v>
      </c>
      <c r="D290" s="26">
        <v>1</v>
      </c>
      <c r="E290" s="25">
        <v>1.3317352510320947E-4</v>
      </c>
    </row>
    <row r="291" spans="2:5" ht="15" customHeight="1">
      <c r="B291" s="84"/>
      <c r="C291" s="27" t="s">
        <v>133</v>
      </c>
      <c r="D291" s="26">
        <v>1</v>
      </c>
      <c r="E291" s="25">
        <v>1.3317352510320947E-4</v>
      </c>
    </row>
    <row r="292" spans="2:5" ht="15" customHeight="1">
      <c r="B292" s="84"/>
      <c r="C292" s="27" t="s">
        <v>132</v>
      </c>
      <c r="D292" s="26">
        <v>1</v>
      </c>
      <c r="E292" s="25">
        <v>1.3317352510320947E-4</v>
      </c>
    </row>
    <row r="293" spans="2:5" ht="15" customHeight="1">
      <c r="B293" s="84"/>
      <c r="C293" s="27" t="s">
        <v>130</v>
      </c>
      <c r="D293" s="26">
        <v>11</v>
      </c>
      <c r="E293" s="25">
        <v>1.4649087761353043E-3</v>
      </c>
    </row>
    <row r="294" spans="2:5" ht="15" customHeight="1">
      <c r="B294" s="84"/>
      <c r="C294" s="27" t="s">
        <v>129</v>
      </c>
      <c r="D294" s="26">
        <v>17</v>
      </c>
      <c r="E294" s="25">
        <v>2.263949926754561E-3</v>
      </c>
    </row>
    <row r="295" spans="2:5" ht="15" customHeight="1">
      <c r="B295" s="84"/>
      <c r="C295" s="27" t="s">
        <v>155</v>
      </c>
      <c r="D295" s="26">
        <v>1</v>
      </c>
      <c r="E295" s="25">
        <v>1.3317352510320947E-4</v>
      </c>
    </row>
    <row r="296" spans="2:5" ht="15" customHeight="1">
      <c r="B296" s="84"/>
      <c r="C296" s="27" t="s">
        <v>127</v>
      </c>
      <c r="D296" s="26">
        <v>1</v>
      </c>
      <c r="E296" s="25">
        <v>1.3317352510320947E-4</v>
      </c>
    </row>
    <row r="297" spans="2:5" ht="15" customHeight="1">
      <c r="B297" s="84"/>
      <c r="C297" s="27" t="s">
        <v>126</v>
      </c>
      <c r="D297" s="26">
        <v>2</v>
      </c>
      <c r="E297" s="25">
        <v>2.6634705020641894E-4</v>
      </c>
    </row>
    <row r="298" spans="2:5" ht="15" customHeight="1">
      <c r="B298" s="85"/>
      <c r="C298" s="24" t="s">
        <v>53</v>
      </c>
      <c r="D298" s="23">
        <v>906</v>
      </c>
      <c r="E298" s="22">
        <v>0.12065521374350779</v>
      </c>
    </row>
    <row r="299" spans="2:5" ht="15" customHeight="1">
      <c r="B299" s="83" t="s">
        <v>157</v>
      </c>
      <c r="C299" s="27" t="s">
        <v>149</v>
      </c>
      <c r="D299" s="26">
        <v>11</v>
      </c>
      <c r="E299" s="25">
        <v>1.4649087761353043E-3</v>
      </c>
    </row>
    <row r="300" spans="2:5" ht="15" customHeight="1">
      <c r="B300" s="84"/>
      <c r="C300" s="27" t="s">
        <v>148</v>
      </c>
      <c r="D300" s="26">
        <v>3</v>
      </c>
      <c r="E300" s="25">
        <v>3.9952057530962844E-4</v>
      </c>
    </row>
    <row r="301" spans="2:5" ht="15" customHeight="1">
      <c r="B301" s="84"/>
      <c r="C301" s="27" t="s">
        <v>147</v>
      </c>
      <c r="D301" s="26">
        <v>3</v>
      </c>
      <c r="E301" s="25">
        <v>3.9952057530962844E-4</v>
      </c>
    </row>
    <row r="302" spans="2:5" ht="15" customHeight="1">
      <c r="B302" s="84"/>
      <c r="C302" s="27" t="s">
        <v>146</v>
      </c>
      <c r="D302" s="26">
        <v>5</v>
      </c>
      <c r="E302" s="25">
        <v>6.6586762551604738E-4</v>
      </c>
    </row>
    <row r="303" spans="2:5" ht="15" customHeight="1">
      <c r="B303" s="84"/>
      <c r="C303" s="27" t="s">
        <v>145</v>
      </c>
      <c r="D303" s="26">
        <v>3</v>
      </c>
      <c r="E303" s="25">
        <v>3.9952057530962844E-4</v>
      </c>
    </row>
    <row r="304" spans="2:5" ht="15" customHeight="1">
      <c r="B304" s="84"/>
      <c r="C304" s="27" t="s">
        <v>144</v>
      </c>
      <c r="D304" s="26">
        <v>4</v>
      </c>
      <c r="E304" s="25">
        <v>5.3269410041283788E-4</v>
      </c>
    </row>
    <row r="305" spans="2:5" ht="15" customHeight="1">
      <c r="B305" s="84"/>
      <c r="C305" s="27" t="s">
        <v>143</v>
      </c>
      <c r="D305" s="26">
        <v>66</v>
      </c>
      <c r="E305" s="25">
        <v>8.7894526568118251E-3</v>
      </c>
    </row>
    <row r="306" spans="2:5" ht="15" customHeight="1">
      <c r="B306" s="84"/>
      <c r="C306" s="27" t="s">
        <v>142</v>
      </c>
      <c r="D306" s="26">
        <v>119</v>
      </c>
      <c r="E306" s="25">
        <v>1.5847649487281928E-2</v>
      </c>
    </row>
    <row r="307" spans="2:5" ht="15" customHeight="1">
      <c r="B307" s="84"/>
      <c r="C307" s="27" t="s">
        <v>141</v>
      </c>
      <c r="D307" s="26">
        <v>8</v>
      </c>
      <c r="E307" s="25">
        <v>1.0653882008256758E-3</v>
      </c>
    </row>
    <row r="308" spans="2:5" ht="15" customHeight="1">
      <c r="B308" s="84"/>
      <c r="C308" s="27" t="s">
        <v>140</v>
      </c>
      <c r="D308" s="26">
        <v>13</v>
      </c>
      <c r="E308" s="25">
        <v>1.7312558263417232E-3</v>
      </c>
    </row>
    <row r="309" spans="2:5" ht="15" customHeight="1">
      <c r="B309" s="84"/>
      <c r="C309" s="27" t="s">
        <v>139</v>
      </c>
      <c r="D309" s="26">
        <v>22</v>
      </c>
      <c r="E309" s="25">
        <v>2.9298175522706085E-3</v>
      </c>
    </row>
    <row r="310" spans="2:5" ht="15" customHeight="1">
      <c r="B310" s="84"/>
      <c r="C310" s="27" t="s">
        <v>138</v>
      </c>
      <c r="D310" s="26">
        <v>209</v>
      </c>
      <c r="E310" s="25">
        <v>2.7833266746570783E-2</v>
      </c>
    </row>
    <row r="311" spans="2:5" ht="15" customHeight="1">
      <c r="B311" s="84"/>
      <c r="C311" s="27" t="s">
        <v>137</v>
      </c>
      <c r="D311" s="26">
        <v>2</v>
      </c>
      <c r="E311" s="25">
        <v>2.6634705020641894E-4</v>
      </c>
    </row>
    <row r="312" spans="2:5" ht="15" customHeight="1">
      <c r="B312" s="84"/>
      <c r="C312" s="27" t="s">
        <v>136</v>
      </c>
      <c r="D312" s="26">
        <v>32</v>
      </c>
      <c r="E312" s="25">
        <v>4.2615528033027031E-3</v>
      </c>
    </row>
    <row r="313" spans="2:5" ht="15" customHeight="1">
      <c r="B313" s="84"/>
      <c r="C313" s="27" t="s">
        <v>135</v>
      </c>
      <c r="D313" s="26">
        <v>140</v>
      </c>
      <c r="E313" s="25">
        <v>1.8644293514449326E-2</v>
      </c>
    </row>
    <row r="314" spans="2:5" ht="15" customHeight="1">
      <c r="B314" s="84"/>
      <c r="C314" s="27" t="s">
        <v>134</v>
      </c>
      <c r="D314" s="26">
        <v>4</v>
      </c>
      <c r="E314" s="25">
        <v>5.3269410041283788E-4</v>
      </c>
    </row>
    <row r="315" spans="2:5" ht="15" customHeight="1">
      <c r="B315" s="84"/>
      <c r="C315" s="27" t="s">
        <v>133</v>
      </c>
      <c r="D315" s="26">
        <v>2</v>
      </c>
      <c r="E315" s="25">
        <v>2.6634705020641894E-4</v>
      </c>
    </row>
    <row r="316" spans="2:5" ht="15" customHeight="1">
      <c r="B316" s="84"/>
      <c r="C316" s="27" t="s">
        <v>132</v>
      </c>
      <c r="D316" s="26">
        <v>1</v>
      </c>
      <c r="E316" s="25">
        <v>1.3317352510320947E-4</v>
      </c>
    </row>
    <row r="317" spans="2:5" ht="15" customHeight="1">
      <c r="B317" s="84"/>
      <c r="C317" s="27" t="s">
        <v>131</v>
      </c>
      <c r="D317" s="26">
        <v>1</v>
      </c>
      <c r="E317" s="25">
        <v>1.3317352510320947E-4</v>
      </c>
    </row>
    <row r="318" spans="2:5" ht="15" customHeight="1">
      <c r="B318" s="84"/>
      <c r="C318" s="27" t="s">
        <v>130</v>
      </c>
      <c r="D318" s="26">
        <v>15</v>
      </c>
      <c r="E318" s="25">
        <v>1.997602876548142E-3</v>
      </c>
    </row>
    <row r="319" spans="2:5" ht="15" customHeight="1">
      <c r="B319" s="84"/>
      <c r="C319" s="27" t="s">
        <v>129</v>
      </c>
      <c r="D319" s="26">
        <v>13</v>
      </c>
      <c r="E319" s="25">
        <v>1.7312558263417232E-3</v>
      </c>
    </row>
    <row r="320" spans="2:5" ht="15" customHeight="1">
      <c r="B320" s="84"/>
      <c r="C320" s="27" t="s">
        <v>155</v>
      </c>
      <c r="D320" s="26">
        <v>2</v>
      </c>
      <c r="E320" s="25">
        <v>2.6634705020641894E-4</v>
      </c>
    </row>
    <row r="321" spans="2:5" ht="15" customHeight="1">
      <c r="B321" s="85"/>
      <c r="C321" s="24" t="s">
        <v>53</v>
      </c>
      <c r="D321" s="23">
        <v>678</v>
      </c>
      <c r="E321" s="22">
        <v>9.0291650019976022E-2</v>
      </c>
    </row>
    <row r="322" spans="2:5" ht="15" customHeight="1">
      <c r="B322" s="83" t="s">
        <v>156</v>
      </c>
      <c r="C322" s="27" t="s">
        <v>146</v>
      </c>
      <c r="D322" s="26">
        <v>1</v>
      </c>
      <c r="E322" s="25">
        <v>1.3317352510320947E-4</v>
      </c>
    </row>
    <row r="323" spans="2:5" ht="15" customHeight="1">
      <c r="B323" s="84"/>
      <c r="C323" s="27" t="s">
        <v>145</v>
      </c>
      <c r="D323" s="26">
        <v>1</v>
      </c>
      <c r="E323" s="25">
        <v>1.3317352510320947E-4</v>
      </c>
    </row>
    <row r="324" spans="2:5" ht="15" customHeight="1">
      <c r="B324" s="84"/>
      <c r="C324" s="27" t="s">
        <v>143</v>
      </c>
      <c r="D324" s="26">
        <v>10</v>
      </c>
      <c r="E324" s="25">
        <v>1.3317352510320948E-3</v>
      </c>
    </row>
    <row r="325" spans="2:5" ht="15" customHeight="1">
      <c r="B325" s="84"/>
      <c r="C325" s="27" t="s">
        <v>142</v>
      </c>
      <c r="D325" s="26">
        <v>3</v>
      </c>
      <c r="E325" s="25">
        <v>3.9952057530962844E-4</v>
      </c>
    </row>
    <row r="326" spans="2:5" ht="15" customHeight="1">
      <c r="B326" s="84"/>
      <c r="C326" s="27" t="s">
        <v>139</v>
      </c>
      <c r="D326" s="26">
        <v>4</v>
      </c>
      <c r="E326" s="25">
        <v>5.3269410041283788E-4</v>
      </c>
    </row>
    <row r="327" spans="2:5" ht="15" customHeight="1">
      <c r="B327" s="84"/>
      <c r="C327" s="27" t="s">
        <v>138</v>
      </c>
      <c r="D327" s="26">
        <v>12</v>
      </c>
      <c r="E327" s="25">
        <v>1.5980823012385138E-3</v>
      </c>
    </row>
    <row r="328" spans="2:5" ht="15" customHeight="1">
      <c r="B328" s="84"/>
      <c r="C328" s="27" t="s">
        <v>136</v>
      </c>
      <c r="D328" s="26">
        <v>2</v>
      </c>
      <c r="E328" s="25">
        <v>2.6634705020641894E-4</v>
      </c>
    </row>
    <row r="329" spans="2:5" ht="15" customHeight="1">
      <c r="B329" s="84"/>
      <c r="C329" s="27" t="s">
        <v>135</v>
      </c>
      <c r="D329" s="26">
        <v>5</v>
      </c>
      <c r="E329" s="25">
        <v>6.6586762551604738E-4</v>
      </c>
    </row>
    <row r="330" spans="2:5" ht="15" customHeight="1">
      <c r="B330" s="84"/>
      <c r="C330" s="27" t="s">
        <v>133</v>
      </c>
      <c r="D330" s="26">
        <v>1</v>
      </c>
      <c r="E330" s="25">
        <v>1.3317352510320947E-4</v>
      </c>
    </row>
    <row r="331" spans="2:5" ht="15" customHeight="1">
      <c r="B331" s="84"/>
      <c r="C331" s="27" t="s">
        <v>129</v>
      </c>
      <c r="D331" s="26">
        <v>2</v>
      </c>
      <c r="E331" s="25">
        <v>2.6634705020641894E-4</v>
      </c>
    </row>
    <row r="332" spans="2:5" ht="15" customHeight="1">
      <c r="B332" s="84"/>
      <c r="C332" s="27" t="s">
        <v>126</v>
      </c>
      <c r="D332" s="26">
        <v>1</v>
      </c>
      <c r="E332" s="25">
        <v>1.3317352510320947E-4</v>
      </c>
    </row>
    <row r="333" spans="2:5" ht="15" customHeight="1">
      <c r="B333" s="85"/>
      <c r="C333" s="24" t="s">
        <v>53</v>
      </c>
      <c r="D333" s="23">
        <v>42</v>
      </c>
      <c r="E333" s="22">
        <v>5.593288054334798E-3</v>
      </c>
    </row>
    <row r="334" spans="2:5" ht="15" customHeight="1">
      <c r="B334" s="83" t="s">
        <v>81</v>
      </c>
      <c r="C334" s="27" t="s">
        <v>147</v>
      </c>
      <c r="D334" s="26">
        <v>2</v>
      </c>
      <c r="E334" s="25">
        <v>2.6634705020641894E-4</v>
      </c>
    </row>
    <row r="335" spans="2:5" ht="15" customHeight="1">
      <c r="B335" s="84"/>
      <c r="C335" s="27" t="s">
        <v>146</v>
      </c>
      <c r="D335" s="26">
        <v>1</v>
      </c>
      <c r="E335" s="25">
        <v>1.3317352510320947E-4</v>
      </c>
    </row>
    <row r="336" spans="2:5" ht="15" customHeight="1">
      <c r="B336" s="84"/>
      <c r="C336" s="27" t="s">
        <v>145</v>
      </c>
      <c r="D336" s="26">
        <v>1</v>
      </c>
      <c r="E336" s="25">
        <v>1.3317352510320947E-4</v>
      </c>
    </row>
    <row r="337" spans="2:5" ht="15" customHeight="1">
      <c r="B337" s="84"/>
      <c r="C337" s="27" t="s">
        <v>144</v>
      </c>
      <c r="D337" s="26">
        <v>1</v>
      </c>
      <c r="E337" s="25">
        <v>1.3317352510320947E-4</v>
      </c>
    </row>
    <row r="338" spans="2:5" ht="15" customHeight="1">
      <c r="B338" s="84"/>
      <c r="C338" s="27" t="s">
        <v>143</v>
      </c>
      <c r="D338" s="26">
        <v>3</v>
      </c>
      <c r="E338" s="25">
        <v>3.9952057530962844E-4</v>
      </c>
    </row>
    <row r="339" spans="2:5" ht="15" customHeight="1">
      <c r="B339" s="84"/>
      <c r="C339" s="27" t="s">
        <v>142</v>
      </c>
      <c r="D339" s="26">
        <v>8</v>
      </c>
      <c r="E339" s="25">
        <v>1.0653882008256758E-3</v>
      </c>
    </row>
    <row r="340" spans="2:5" ht="15" customHeight="1">
      <c r="B340" s="84"/>
      <c r="C340" s="27" t="s">
        <v>140</v>
      </c>
      <c r="D340" s="26">
        <v>2</v>
      </c>
      <c r="E340" s="25">
        <v>2.6634705020641894E-4</v>
      </c>
    </row>
    <row r="341" spans="2:5" ht="15" customHeight="1">
      <c r="B341" s="84"/>
      <c r="C341" s="27" t="s">
        <v>139</v>
      </c>
      <c r="D341" s="26">
        <v>3</v>
      </c>
      <c r="E341" s="25">
        <v>3.9952057530962844E-4</v>
      </c>
    </row>
    <row r="342" spans="2:5" ht="15" customHeight="1">
      <c r="B342" s="84"/>
      <c r="C342" s="27" t="s">
        <v>138</v>
      </c>
      <c r="D342" s="26">
        <v>19</v>
      </c>
      <c r="E342" s="25">
        <v>2.53029697696098E-3</v>
      </c>
    </row>
    <row r="343" spans="2:5" ht="15" customHeight="1">
      <c r="B343" s="84"/>
      <c r="C343" s="27" t="s">
        <v>136</v>
      </c>
      <c r="D343" s="26">
        <v>5</v>
      </c>
      <c r="E343" s="25">
        <v>6.6586762551604738E-4</v>
      </c>
    </row>
    <row r="344" spans="2:5" ht="15" customHeight="1">
      <c r="B344" s="84"/>
      <c r="C344" s="27" t="s">
        <v>135</v>
      </c>
      <c r="D344" s="26">
        <v>10</v>
      </c>
      <c r="E344" s="25">
        <v>1.3317352510320948E-3</v>
      </c>
    </row>
    <row r="345" spans="2:5" ht="15" customHeight="1">
      <c r="B345" s="84"/>
      <c r="C345" s="27" t="s">
        <v>129</v>
      </c>
      <c r="D345" s="26">
        <v>2</v>
      </c>
      <c r="E345" s="25">
        <v>2.6634705020641894E-4</v>
      </c>
    </row>
    <row r="346" spans="2:5" ht="15" customHeight="1">
      <c r="B346" s="85"/>
      <c r="C346" s="24" t="s">
        <v>53</v>
      </c>
      <c r="D346" s="23">
        <v>57</v>
      </c>
      <c r="E346" s="22">
        <v>7.5908909308829405E-3</v>
      </c>
    </row>
    <row r="347" spans="2:5" ht="15" customHeight="1">
      <c r="B347" s="83" t="s">
        <v>80</v>
      </c>
      <c r="C347" s="27" t="s">
        <v>146</v>
      </c>
      <c r="D347" s="26">
        <v>2</v>
      </c>
      <c r="E347" s="25">
        <v>2.6634705020641894E-4</v>
      </c>
    </row>
    <row r="348" spans="2:5" ht="15" customHeight="1">
      <c r="B348" s="84"/>
      <c r="C348" s="27" t="s">
        <v>143</v>
      </c>
      <c r="D348" s="26">
        <v>3</v>
      </c>
      <c r="E348" s="25">
        <v>3.9952057530962844E-4</v>
      </c>
    </row>
    <row r="349" spans="2:5" ht="15" customHeight="1">
      <c r="B349" s="84"/>
      <c r="C349" s="27" t="s">
        <v>142</v>
      </c>
      <c r="D349" s="26">
        <v>14</v>
      </c>
      <c r="E349" s="25">
        <v>1.8644293514449327E-3</v>
      </c>
    </row>
    <row r="350" spans="2:5" ht="15" customHeight="1">
      <c r="B350" s="84"/>
      <c r="C350" s="27" t="s">
        <v>140</v>
      </c>
      <c r="D350" s="26">
        <v>1</v>
      </c>
      <c r="E350" s="25">
        <v>1.3317352510320947E-4</v>
      </c>
    </row>
    <row r="351" spans="2:5" ht="15" customHeight="1">
      <c r="B351" s="84"/>
      <c r="C351" s="27" t="s">
        <v>138</v>
      </c>
      <c r="D351" s="26">
        <v>26</v>
      </c>
      <c r="E351" s="25">
        <v>3.4625116526834465E-3</v>
      </c>
    </row>
    <row r="352" spans="2:5" ht="15" customHeight="1">
      <c r="B352" s="84"/>
      <c r="C352" s="27" t="s">
        <v>137</v>
      </c>
      <c r="D352" s="26">
        <v>1</v>
      </c>
      <c r="E352" s="25">
        <v>1.3317352510320947E-4</v>
      </c>
    </row>
    <row r="353" spans="2:5" ht="15" customHeight="1">
      <c r="B353" s="84"/>
      <c r="C353" s="27" t="s">
        <v>136</v>
      </c>
      <c r="D353" s="26">
        <v>6</v>
      </c>
      <c r="E353" s="25">
        <v>7.9904115061925688E-4</v>
      </c>
    </row>
    <row r="354" spans="2:5" ht="15" customHeight="1">
      <c r="B354" s="84"/>
      <c r="C354" s="27" t="s">
        <v>135</v>
      </c>
      <c r="D354" s="26">
        <v>7</v>
      </c>
      <c r="E354" s="25">
        <v>9.3221467572246637E-4</v>
      </c>
    </row>
    <row r="355" spans="2:5" ht="15" customHeight="1">
      <c r="B355" s="84"/>
      <c r="C355" s="27" t="s">
        <v>134</v>
      </c>
      <c r="D355" s="26">
        <v>1</v>
      </c>
      <c r="E355" s="25">
        <v>1.3317352510320947E-4</v>
      </c>
    </row>
    <row r="356" spans="2:5" ht="15" customHeight="1">
      <c r="B356" s="85"/>
      <c r="C356" s="24" t="s">
        <v>53</v>
      </c>
      <c r="D356" s="23">
        <v>61</v>
      </c>
      <c r="E356" s="22">
        <v>8.1235850312957776E-3</v>
      </c>
    </row>
    <row r="357" spans="2:5" ht="15" customHeight="1">
      <c r="B357" s="83" t="s">
        <v>73</v>
      </c>
      <c r="C357" s="27" t="s">
        <v>145</v>
      </c>
      <c r="D357" s="26">
        <v>1</v>
      </c>
      <c r="E357" s="25">
        <v>1.3317352510320947E-4</v>
      </c>
    </row>
    <row r="358" spans="2:5" ht="15" customHeight="1">
      <c r="B358" s="84"/>
      <c r="C358" s="27" t="s">
        <v>144</v>
      </c>
      <c r="D358" s="26">
        <v>1</v>
      </c>
      <c r="E358" s="25">
        <v>1.3317352510320947E-4</v>
      </c>
    </row>
    <row r="359" spans="2:5" ht="15" customHeight="1">
      <c r="B359" s="84"/>
      <c r="C359" s="27" t="s">
        <v>143</v>
      </c>
      <c r="D359" s="26">
        <v>3</v>
      </c>
      <c r="E359" s="25">
        <v>3.9952057530962844E-4</v>
      </c>
    </row>
    <row r="360" spans="2:5" ht="15" customHeight="1">
      <c r="B360" s="84"/>
      <c r="C360" s="27" t="s">
        <v>142</v>
      </c>
      <c r="D360" s="26">
        <v>8</v>
      </c>
      <c r="E360" s="25">
        <v>1.0653882008256758E-3</v>
      </c>
    </row>
    <row r="361" spans="2:5" ht="15" customHeight="1">
      <c r="B361" s="84"/>
      <c r="C361" s="27" t="s">
        <v>140</v>
      </c>
      <c r="D361" s="26">
        <v>2</v>
      </c>
      <c r="E361" s="25">
        <v>2.6634705020641894E-4</v>
      </c>
    </row>
    <row r="362" spans="2:5" ht="15" customHeight="1">
      <c r="B362" s="84"/>
      <c r="C362" s="27" t="s">
        <v>139</v>
      </c>
      <c r="D362" s="26">
        <v>3</v>
      </c>
      <c r="E362" s="25">
        <v>3.9952057530962844E-4</v>
      </c>
    </row>
    <row r="363" spans="2:5" ht="15" customHeight="1">
      <c r="B363" s="84"/>
      <c r="C363" s="27" t="s">
        <v>138</v>
      </c>
      <c r="D363" s="26">
        <v>18</v>
      </c>
      <c r="E363" s="25">
        <v>2.3971234518577705E-3</v>
      </c>
    </row>
    <row r="364" spans="2:5" ht="15" customHeight="1">
      <c r="B364" s="84"/>
      <c r="C364" s="27" t="s">
        <v>136</v>
      </c>
      <c r="D364" s="26">
        <v>3</v>
      </c>
      <c r="E364" s="25">
        <v>3.9952057530962844E-4</v>
      </c>
    </row>
    <row r="365" spans="2:5" ht="15" customHeight="1">
      <c r="B365" s="84"/>
      <c r="C365" s="27" t="s">
        <v>135</v>
      </c>
      <c r="D365" s="26">
        <v>7</v>
      </c>
      <c r="E365" s="25">
        <v>9.3221467572246637E-4</v>
      </c>
    </row>
    <row r="366" spans="2:5" ht="15" customHeight="1">
      <c r="B366" s="84"/>
      <c r="C366" s="27" t="s">
        <v>130</v>
      </c>
      <c r="D366" s="26">
        <v>1</v>
      </c>
      <c r="E366" s="25">
        <v>1.3317352510320947E-4</v>
      </c>
    </row>
    <row r="367" spans="2:5" ht="15" customHeight="1">
      <c r="B367" s="84"/>
      <c r="C367" s="27" t="s">
        <v>129</v>
      </c>
      <c r="D367" s="26">
        <v>1</v>
      </c>
      <c r="E367" s="25">
        <v>1.3317352510320947E-4</v>
      </c>
    </row>
    <row r="368" spans="2:5" ht="15" customHeight="1">
      <c r="B368" s="85"/>
      <c r="C368" s="24" t="s">
        <v>53</v>
      </c>
      <c r="D368" s="23">
        <v>48</v>
      </c>
      <c r="E368" s="22">
        <v>6.392329204954055E-3</v>
      </c>
    </row>
    <row r="369" spans="2:5" ht="15" customHeight="1">
      <c r="B369" s="83" t="s">
        <v>102</v>
      </c>
      <c r="C369" s="27" t="s">
        <v>143</v>
      </c>
      <c r="D369" s="26">
        <v>2</v>
      </c>
      <c r="E369" s="25">
        <v>2.6634705020641894E-4</v>
      </c>
    </row>
    <row r="370" spans="2:5" ht="15" customHeight="1">
      <c r="B370" s="84"/>
      <c r="C370" s="27" t="s">
        <v>142</v>
      </c>
      <c r="D370" s="26">
        <v>8</v>
      </c>
      <c r="E370" s="25">
        <v>1.0653882008256758E-3</v>
      </c>
    </row>
    <row r="371" spans="2:5" ht="15" customHeight="1">
      <c r="B371" s="84"/>
      <c r="C371" s="27" t="s">
        <v>140</v>
      </c>
      <c r="D371" s="26">
        <v>2</v>
      </c>
      <c r="E371" s="25">
        <v>2.6634705020641894E-4</v>
      </c>
    </row>
    <row r="372" spans="2:5" ht="15" customHeight="1">
      <c r="B372" s="84"/>
      <c r="C372" s="27" t="s">
        <v>138</v>
      </c>
      <c r="D372" s="26">
        <v>14</v>
      </c>
      <c r="E372" s="25">
        <v>1.8644293514449327E-3</v>
      </c>
    </row>
    <row r="373" spans="2:5" ht="15" customHeight="1">
      <c r="B373" s="84"/>
      <c r="C373" s="27" t="s">
        <v>136</v>
      </c>
      <c r="D373" s="26">
        <v>2</v>
      </c>
      <c r="E373" s="25">
        <v>2.6634705020641894E-4</v>
      </c>
    </row>
    <row r="374" spans="2:5" ht="15" customHeight="1">
      <c r="B374" s="84"/>
      <c r="C374" s="27" t="s">
        <v>135</v>
      </c>
      <c r="D374" s="26">
        <v>7</v>
      </c>
      <c r="E374" s="25">
        <v>9.3221467572246637E-4</v>
      </c>
    </row>
    <row r="375" spans="2:5" ht="15" customHeight="1">
      <c r="B375" s="84"/>
      <c r="C375" s="27" t="s">
        <v>134</v>
      </c>
      <c r="D375" s="26">
        <v>1</v>
      </c>
      <c r="E375" s="25">
        <v>1.3317352510320947E-4</v>
      </c>
    </row>
    <row r="376" spans="2:5" ht="15" customHeight="1">
      <c r="B376" s="84"/>
      <c r="C376" s="27" t="s">
        <v>133</v>
      </c>
      <c r="D376" s="26">
        <v>1</v>
      </c>
      <c r="E376" s="25">
        <v>1.3317352510320947E-4</v>
      </c>
    </row>
    <row r="377" spans="2:5" ht="15" customHeight="1">
      <c r="B377" s="84"/>
      <c r="C377" s="27" t="s">
        <v>129</v>
      </c>
      <c r="D377" s="26">
        <v>2</v>
      </c>
      <c r="E377" s="25">
        <v>2.6634705020641894E-4</v>
      </c>
    </row>
    <row r="378" spans="2:5" ht="15" customHeight="1">
      <c r="B378" s="85"/>
      <c r="C378" s="24" t="s">
        <v>53</v>
      </c>
      <c r="D378" s="23">
        <v>39</v>
      </c>
      <c r="E378" s="22">
        <v>5.1937674790251695E-3</v>
      </c>
    </row>
    <row r="379" spans="2:5" ht="15" customHeight="1">
      <c r="B379" s="83" t="s">
        <v>75</v>
      </c>
      <c r="C379" s="27" t="s">
        <v>147</v>
      </c>
      <c r="D379" s="26">
        <v>1</v>
      </c>
      <c r="E379" s="25">
        <v>1.3317352510320947E-4</v>
      </c>
    </row>
    <row r="380" spans="2:5" ht="15" customHeight="1">
      <c r="B380" s="84"/>
      <c r="C380" s="27" t="s">
        <v>146</v>
      </c>
      <c r="D380" s="26">
        <v>1</v>
      </c>
      <c r="E380" s="25">
        <v>1.3317352510320947E-4</v>
      </c>
    </row>
    <row r="381" spans="2:5" ht="15" customHeight="1">
      <c r="B381" s="84"/>
      <c r="C381" s="27" t="s">
        <v>145</v>
      </c>
      <c r="D381" s="26">
        <v>4</v>
      </c>
      <c r="E381" s="25">
        <v>5.3269410041283788E-4</v>
      </c>
    </row>
    <row r="382" spans="2:5" ht="15" customHeight="1">
      <c r="B382" s="84"/>
      <c r="C382" s="27" t="s">
        <v>144</v>
      </c>
      <c r="D382" s="26">
        <v>2</v>
      </c>
      <c r="E382" s="25">
        <v>2.6634705020641894E-4</v>
      </c>
    </row>
    <row r="383" spans="2:5" ht="15" customHeight="1">
      <c r="B383" s="84"/>
      <c r="C383" s="27" t="s">
        <v>143</v>
      </c>
      <c r="D383" s="26">
        <v>12</v>
      </c>
      <c r="E383" s="25">
        <v>1.5980823012385138E-3</v>
      </c>
    </row>
    <row r="384" spans="2:5" ht="15" customHeight="1">
      <c r="B384" s="84"/>
      <c r="C384" s="27" t="s">
        <v>142</v>
      </c>
      <c r="D384" s="26">
        <v>18</v>
      </c>
      <c r="E384" s="25">
        <v>2.3971234518577705E-3</v>
      </c>
    </row>
    <row r="385" spans="2:5" ht="15" customHeight="1">
      <c r="B385" s="84"/>
      <c r="C385" s="27" t="s">
        <v>141</v>
      </c>
      <c r="D385" s="26">
        <v>3</v>
      </c>
      <c r="E385" s="25">
        <v>3.9952057530962844E-4</v>
      </c>
    </row>
    <row r="386" spans="2:5" ht="15" customHeight="1">
      <c r="B386" s="84"/>
      <c r="C386" s="27" t="s">
        <v>140</v>
      </c>
      <c r="D386" s="26">
        <v>6</v>
      </c>
      <c r="E386" s="25">
        <v>7.9904115061925688E-4</v>
      </c>
    </row>
    <row r="387" spans="2:5" ht="15" customHeight="1">
      <c r="B387" s="84"/>
      <c r="C387" s="27" t="s">
        <v>139</v>
      </c>
      <c r="D387" s="26">
        <v>8</v>
      </c>
      <c r="E387" s="25">
        <v>1.0653882008256758E-3</v>
      </c>
    </row>
    <row r="388" spans="2:5" ht="15" customHeight="1">
      <c r="B388" s="84"/>
      <c r="C388" s="27" t="s">
        <v>138</v>
      </c>
      <c r="D388" s="26">
        <v>32</v>
      </c>
      <c r="E388" s="25">
        <v>4.2615528033027031E-3</v>
      </c>
    </row>
    <row r="389" spans="2:5" ht="15" customHeight="1">
      <c r="B389" s="84"/>
      <c r="C389" s="27" t="s">
        <v>137</v>
      </c>
      <c r="D389" s="26">
        <v>1</v>
      </c>
      <c r="E389" s="25">
        <v>1.3317352510320947E-4</v>
      </c>
    </row>
    <row r="390" spans="2:5" ht="15" customHeight="1">
      <c r="B390" s="84"/>
      <c r="C390" s="27" t="s">
        <v>136</v>
      </c>
      <c r="D390" s="26">
        <v>6</v>
      </c>
      <c r="E390" s="25">
        <v>7.9904115061925688E-4</v>
      </c>
    </row>
    <row r="391" spans="2:5" ht="15" customHeight="1">
      <c r="B391" s="84"/>
      <c r="C391" s="27" t="s">
        <v>135</v>
      </c>
      <c r="D391" s="26">
        <v>21</v>
      </c>
      <c r="E391" s="25">
        <v>2.796644027167399E-3</v>
      </c>
    </row>
    <row r="392" spans="2:5" ht="15" customHeight="1">
      <c r="B392" s="84"/>
      <c r="C392" s="27" t="s">
        <v>130</v>
      </c>
      <c r="D392" s="26">
        <v>3</v>
      </c>
      <c r="E392" s="25">
        <v>3.9952057530962844E-4</v>
      </c>
    </row>
    <row r="393" spans="2:5" ht="15" customHeight="1">
      <c r="B393" s="84"/>
      <c r="C393" s="27" t="s">
        <v>129</v>
      </c>
      <c r="D393" s="26">
        <v>1</v>
      </c>
      <c r="E393" s="25">
        <v>1.3317352510320947E-4</v>
      </c>
    </row>
    <row r="394" spans="2:5" ht="15" customHeight="1">
      <c r="B394" s="84"/>
      <c r="C394" s="27" t="s">
        <v>155</v>
      </c>
      <c r="D394" s="26">
        <v>2</v>
      </c>
      <c r="E394" s="25">
        <v>2.6634705020641894E-4</v>
      </c>
    </row>
    <row r="395" spans="2:5" ht="15" customHeight="1">
      <c r="B395" s="85"/>
      <c r="C395" s="24" t="s">
        <v>53</v>
      </c>
      <c r="D395" s="23">
        <v>121</v>
      </c>
      <c r="E395" s="22">
        <v>1.6113996537488347E-2</v>
      </c>
    </row>
    <row r="396" spans="2:5" ht="15" customHeight="1">
      <c r="B396" s="83" t="s">
        <v>94</v>
      </c>
      <c r="C396" s="27" t="s">
        <v>149</v>
      </c>
      <c r="D396" s="26">
        <v>1</v>
      </c>
      <c r="E396" s="25">
        <v>1.3317352510320947E-4</v>
      </c>
    </row>
    <row r="397" spans="2:5" ht="15" customHeight="1">
      <c r="B397" s="84"/>
      <c r="C397" s="27" t="s">
        <v>146</v>
      </c>
      <c r="D397" s="26">
        <v>1</v>
      </c>
      <c r="E397" s="25">
        <v>1.3317352510320947E-4</v>
      </c>
    </row>
    <row r="398" spans="2:5" ht="15" customHeight="1">
      <c r="B398" s="84"/>
      <c r="C398" s="27" t="s">
        <v>144</v>
      </c>
      <c r="D398" s="26">
        <v>1</v>
      </c>
      <c r="E398" s="25">
        <v>1.3317352510320947E-4</v>
      </c>
    </row>
    <row r="399" spans="2:5" ht="15" customHeight="1">
      <c r="B399" s="84"/>
      <c r="C399" s="27" t="s">
        <v>143</v>
      </c>
      <c r="D399" s="26">
        <v>5</v>
      </c>
      <c r="E399" s="25">
        <v>6.6586762551604738E-4</v>
      </c>
    </row>
    <row r="400" spans="2:5" ht="15" customHeight="1">
      <c r="B400" s="84"/>
      <c r="C400" s="27" t="s">
        <v>142</v>
      </c>
      <c r="D400" s="26">
        <v>17</v>
      </c>
      <c r="E400" s="25">
        <v>2.263949926754561E-3</v>
      </c>
    </row>
    <row r="401" spans="2:5" ht="15" customHeight="1">
      <c r="B401" s="84"/>
      <c r="C401" s="27" t="s">
        <v>141</v>
      </c>
      <c r="D401" s="26">
        <v>2</v>
      </c>
      <c r="E401" s="25">
        <v>2.6634705020641894E-4</v>
      </c>
    </row>
    <row r="402" spans="2:5" ht="15" customHeight="1">
      <c r="B402" s="84"/>
      <c r="C402" s="27" t="s">
        <v>140</v>
      </c>
      <c r="D402" s="26">
        <v>4</v>
      </c>
      <c r="E402" s="25">
        <v>5.3269410041283788E-4</v>
      </c>
    </row>
    <row r="403" spans="2:5" ht="15" customHeight="1">
      <c r="B403" s="84"/>
      <c r="C403" s="27" t="s">
        <v>139</v>
      </c>
      <c r="D403" s="26">
        <v>7</v>
      </c>
      <c r="E403" s="25">
        <v>9.3221467572246637E-4</v>
      </c>
    </row>
    <row r="404" spans="2:5" ht="15" customHeight="1">
      <c r="B404" s="84"/>
      <c r="C404" s="27" t="s">
        <v>138</v>
      </c>
      <c r="D404" s="26">
        <v>48</v>
      </c>
      <c r="E404" s="25">
        <v>6.392329204954055E-3</v>
      </c>
    </row>
    <row r="405" spans="2:5" ht="15" customHeight="1">
      <c r="B405" s="84"/>
      <c r="C405" s="27" t="s">
        <v>137</v>
      </c>
      <c r="D405" s="26">
        <v>3</v>
      </c>
      <c r="E405" s="25">
        <v>3.9952057530962844E-4</v>
      </c>
    </row>
    <row r="406" spans="2:5" ht="15" customHeight="1">
      <c r="B406" s="84"/>
      <c r="C406" s="27" t="s">
        <v>136</v>
      </c>
      <c r="D406" s="26">
        <v>17</v>
      </c>
      <c r="E406" s="25">
        <v>2.263949926754561E-3</v>
      </c>
    </row>
    <row r="407" spans="2:5" ht="15" customHeight="1">
      <c r="B407" s="84"/>
      <c r="C407" s="27" t="s">
        <v>135</v>
      </c>
      <c r="D407" s="26">
        <v>19</v>
      </c>
      <c r="E407" s="25">
        <v>2.53029697696098E-3</v>
      </c>
    </row>
    <row r="408" spans="2:5" ht="15" customHeight="1">
      <c r="B408" s="84"/>
      <c r="C408" s="27" t="s">
        <v>134</v>
      </c>
      <c r="D408" s="26">
        <v>1</v>
      </c>
      <c r="E408" s="25">
        <v>1.3317352510320947E-4</v>
      </c>
    </row>
    <row r="409" spans="2:5" ht="15" customHeight="1">
      <c r="B409" s="84"/>
      <c r="C409" s="27" t="s">
        <v>132</v>
      </c>
      <c r="D409" s="26">
        <v>1</v>
      </c>
      <c r="E409" s="25">
        <v>1.3317352510320947E-4</v>
      </c>
    </row>
    <row r="410" spans="2:5" ht="15" customHeight="1">
      <c r="B410" s="84"/>
      <c r="C410" s="27" t="s">
        <v>129</v>
      </c>
      <c r="D410" s="26">
        <v>2</v>
      </c>
      <c r="E410" s="25">
        <v>2.6634705020641894E-4</v>
      </c>
    </row>
    <row r="411" spans="2:5" ht="15" customHeight="1">
      <c r="B411" s="85"/>
      <c r="C411" s="24" t="s">
        <v>53</v>
      </c>
      <c r="D411" s="23">
        <v>129</v>
      </c>
      <c r="E411" s="22">
        <v>1.7179384738314023E-2</v>
      </c>
    </row>
    <row r="412" spans="2:5" ht="15" customHeight="1">
      <c r="B412" s="83" t="s">
        <v>90</v>
      </c>
      <c r="C412" s="27" t="s">
        <v>149</v>
      </c>
      <c r="D412" s="26">
        <v>2</v>
      </c>
      <c r="E412" s="25">
        <v>2.6634705020641894E-4</v>
      </c>
    </row>
    <row r="413" spans="2:5" ht="15" customHeight="1">
      <c r="B413" s="84"/>
      <c r="C413" s="27" t="s">
        <v>148</v>
      </c>
      <c r="D413" s="26">
        <v>1</v>
      </c>
      <c r="E413" s="25">
        <v>1.3317352510320947E-4</v>
      </c>
    </row>
    <row r="414" spans="2:5" ht="15" customHeight="1">
      <c r="B414" s="84"/>
      <c r="C414" s="27" t="s">
        <v>146</v>
      </c>
      <c r="D414" s="26">
        <v>1</v>
      </c>
      <c r="E414" s="25">
        <v>1.3317352510320947E-4</v>
      </c>
    </row>
    <row r="415" spans="2:5" ht="15" customHeight="1">
      <c r="B415" s="84"/>
      <c r="C415" s="27" t="s">
        <v>145</v>
      </c>
      <c r="D415" s="26">
        <v>4</v>
      </c>
      <c r="E415" s="25">
        <v>5.3269410041283788E-4</v>
      </c>
    </row>
    <row r="416" spans="2:5" ht="15" customHeight="1">
      <c r="B416" s="84"/>
      <c r="C416" s="27" t="s">
        <v>144</v>
      </c>
      <c r="D416" s="26">
        <v>2</v>
      </c>
      <c r="E416" s="25">
        <v>2.6634705020641894E-4</v>
      </c>
    </row>
    <row r="417" spans="2:5" ht="15" customHeight="1">
      <c r="B417" s="84"/>
      <c r="C417" s="27" t="s">
        <v>143</v>
      </c>
      <c r="D417" s="26">
        <v>12</v>
      </c>
      <c r="E417" s="25">
        <v>1.5980823012385138E-3</v>
      </c>
    </row>
    <row r="418" spans="2:5" ht="15" customHeight="1">
      <c r="B418" s="84"/>
      <c r="C418" s="27" t="s">
        <v>142</v>
      </c>
      <c r="D418" s="26">
        <v>12</v>
      </c>
      <c r="E418" s="25">
        <v>1.5980823012385138E-3</v>
      </c>
    </row>
    <row r="419" spans="2:5" ht="15" customHeight="1">
      <c r="B419" s="84"/>
      <c r="C419" s="27" t="s">
        <v>140</v>
      </c>
      <c r="D419" s="26">
        <v>3</v>
      </c>
      <c r="E419" s="25">
        <v>3.9952057530962844E-4</v>
      </c>
    </row>
    <row r="420" spans="2:5" ht="15" customHeight="1">
      <c r="B420" s="84"/>
      <c r="C420" s="27" t="s">
        <v>139</v>
      </c>
      <c r="D420" s="26">
        <v>7</v>
      </c>
      <c r="E420" s="25">
        <v>9.3221467572246637E-4</v>
      </c>
    </row>
    <row r="421" spans="2:5" ht="15" customHeight="1">
      <c r="B421" s="84"/>
      <c r="C421" s="27" t="s">
        <v>138</v>
      </c>
      <c r="D421" s="26">
        <v>39</v>
      </c>
      <c r="E421" s="25">
        <v>5.1937674790251695E-3</v>
      </c>
    </row>
    <row r="422" spans="2:5" ht="15" customHeight="1">
      <c r="B422" s="84"/>
      <c r="C422" s="27" t="s">
        <v>136</v>
      </c>
      <c r="D422" s="26">
        <v>8</v>
      </c>
      <c r="E422" s="25">
        <v>1.0653882008256758E-3</v>
      </c>
    </row>
    <row r="423" spans="2:5" ht="15" customHeight="1">
      <c r="B423" s="84"/>
      <c r="C423" s="27" t="s">
        <v>135</v>
      </c>
      <c r="D423" s="26">
        <v>20</v>
      </c>
      <c r="E423" s="25">
        <v>2.6634705020641895E-3</v>
      </c>
    </row>
    <row r="424" spans="2:5" ht="15" customHeight="1">
      <c r="B424" s="84"/>
      <c r="C424" s="27" t="s">
        <v>133</v>
      </c>
      <c r="D424" s="26">
        <v>1</v>
      </c>
      <c r="E424" s="25">
        <v>1.3317352510320947E-4</v>
      </c>
    </row>
    <row r="425" spans="2:5" ht="15" customHeight="1">
      <c r="B425" s="84"/>
      <c r="C425" s="27" t="s">
        <v>131</v>
      </c>
      <c r="D425" s="26">
        <v>1</v>
      </c>
      <c r="E425" s="25">
        <v>1.3317352510320947E-4</v>
      </c>
    </row>
    <row r="426" spans="2:5" ht="15" customHeight="1">
      <c r="B426" s="84"/>
      <c r="C426" s="27" t="s">
        <v>130</v>
      </c>
      <c r="D426" s="26">
        <v>1</v>
      </c>
      <c r="E426" s="25">
        <v>1.3317352510320947E-4</v>
      </c>
    </row>
    <row r="427" spans="2:5" ht="15" customHeight="1">
      <c r="B427" s="84"/>
      <c r="C427" s="27" t="s">
        <v>129</v>
      </c>
      <c r="D427" s="26">
        <v>3</v>
      </c>
      <c r="E427" s="25">
        <v>3.9952057530962844E-4</v>
      </c>
    </row>
    <row r="428" spans="2:5" ht="15" customHeight="1">
      <c r="B428" s="85"/>
      <c r="C428" s="24" t="s">
        <v>53</v>
      </c>
      <c r="D428" s="23">
        <v>117</v>
      </c>
      <c r="E428" s="22">
        <v>1.5581302437075509E-2</v>
      </c>
    </row>
    <row r="429" spans="2:5" ht="15" customHeight="1">
      <c r="B429" s="83" t="s">
        <v>78</v>
      </c>
      <c r="C429" s="27" t="s">
        <v>147</v>
      </c>
      <c r="D429" s="26">
        <v>2</v>
      </c>
      <c r="E429" s="25">
        <v>2.6634705020641894E-4</v>
      </c>
    </row>
    <row r="430" spans="2:5" ht="15" customHeight="1">
      <c r="B430" s="84"/>
      <c r="C430" s="27" t="s">
        <v>146</v>
      </c>
      <c r="D430" s="26">
        <v>3</v>
      </c>
      <c r="E430" s="25">
        <v>3.9952057530962844E-4</v>
      </c>
    </row>
    <row r="431" spans="2:5" ht="15" customHeight="1">
      <c r="B431" s="84"/>
      <c r="C431" s="27" t="s">
        <v>144</v>
      </c>
      <c r="D431" s="26">
        <v>3</v>
      </c>
      <c r="E431" s="25">
        <v>3.9952057530962844E-4</v>
      </c>
    </row>
    <row r="432" spans="2:5" ht="15" customHeight="1">
      <c r="B432" s="84"/>
      <c r="C432" s="27" t="s">
        <v>143</v>
      </c>
      <c r="D432" s="26">
        <v>5</v>
      </c>
      <c r="E432" s="25">
        <v>6.6586762551604738E-4</v>
      </c>
    </row>
    <row r="433" spans="2:5" ht="15" customHeight="1">
      <c r="B433" s="84"/>
      <c r="C433" s="27" t="s">
        <v>142</v>
      </c>
      <c r="D433" s="26">
        <v>5</v>
      </c>
      <c r="E433" s="25">
        <v>6.6586762551604738E-4</v>
      </c>
    </row>
    <row r="434" spans="2:5" ht="15" customHeight="1">
      <c r="B434" s="84"/>
      <c r="C434" s="27" t="s">
        <v>141</v>
      </c>
      <c r="D434" s="26">
        <v>1</v>
      </c>
      <c r="E434" s="25">
        <v>1.3317352510320947E-4</v>
      </c>
    </row>
    <row r="435" spans="2:5" ht="15" customHeight="1">
      <c r="B435" s="84"/>
      <c r="C435" s="27" t="s">
        <v>140</v>
      </c>
      <c r="D435" s="26">
        <v>2</v>
      </c>
      <c r="E435" s="25">
        <v>2.6634705020641894E-4</v>
      </c>
    </row>
    <row r="436" spans="2:5" ht="15" customHeight="1">
      <c r="B436" s="84"/>
      <c r="C436" s="27" t="s">
        <v>139</v>
      </c>
      <c r="D436" s="26">
        <v>1</v>
      </c>
      <c r="E436" s="25">
        <v>1.3317352510320947E-4</v>
      </c>
    </row>
    <row r="437" spans="2:5" ht="15" customHeight="1">
      <c r="B437" s="84"/>
      <c r="C437" s="27" t="s">
        <v>138</v>
      </c>
      <c r="D437" s="26">
        <v>13</v>
      </c>
      <c r="E437" s="25">
        <v>1.7312558263417232E-3</v>
      </c>
    </row>
    <row r="438" spans="2:5" ht="15" customHeight="1">
      <c r="B438" s="84"/>
      <c r="C438" s="27" t="s">
        <v>137</v>
      </c>
      <c r="D438" s="26">
        <v>1</v>
      </c>
      <c r="E438" s="25">
        <v>1.3317352510320947E-4</v>
      </c>
    </row>
    <row r="439" spans="2:5" ht="15" customHeight="1">
      <c r="B439" s="84"/>
      <c r="C439" s="27" t="s">
        <v>136</v>
      </c>
      <c r="D439" s="26">
        <v>3</v>
      </c>
      <c r="E439" s="25">
        <v>3.9952057530962844E-4</v>
      </c>
    </row>
    <row r="440" spans="2:5" ht="15" customHeight="1">
      <c r="B440" s="84"/>
      <c r="C440" s="27" t="s">
        <v>135</v>
      </c>
      <c r="D440" s="26">
        <v>8</v>
      </c>
      <c r="E440" s="25">
        <v>1.0653882008256758E-3</v>
      </c>
    </row>
    <row r="441" spans="2:5" ht="15" customHeight="1">
      <c r="B441" s="84"/>
      <c r="C441" s="27" t="s">
        <v>129</v>
      </c>
      <c r="D441" s="26">
        <v>2</v>
      </c>
      <c r="E441" s="25">
        <v>2.6634705020641894E-4</v>
      </c>
    </row>
    <row r="442" spans="2:5" ht="15" customHeight="1">
      <c r="B442" s="84"/>
      <c r="C442" s="27" t="s">
        <v>126</v>
      </c>
      <c r="D442" s="26">
        <v>1</v>
      </c>
      <c r="E442" s="25">
        <v>1.3317352510320947E-4</v>
      </c>
    </row>
    <row r="443" spans="2:5" ht="15" customHeight="1">
      <c r="B443" s="85"/>
      <c r="C443" s="24" t="s">
        <v>53</v>
      </c>
      <c r="D443" s="23">
        <v>50</v>
      </c>
      <c r="E443" s="22">
        <v>6.658676255160474E-3</v>
      </c>
    </row>
    <row r="444" spans="2:5" ht="15" customHeight="1">
      <c r="B444" s="83" t="s">
        <v>82</v>
      </c>
      <c r="C444" s="27" t="s">
        <v>146</v>
      </c>
      <c r="D444" s="26">
        <v>1</v>
      </c>
      <c r="E444" s="25">
        <v>1.3317352510320947E-4</v>
      </c>
    </row>
    <row r="445" spans="2:5" ht="15" customHeight="1">
      <c r="B445" s="84"/>
      <c r="C445" s="27" t="s">
        <v>144</v>
      </c>
      <c r="D445" s="26">
        <v>3</v>
      </c>
      <c r="E445" s="25">
        <v>3.9952057530962844E-4</v>
      </c>
    </row>
    <row r="446" spans="2:5" ht="15" customHeight="1">
      <c r="B446" s="84"/>
      <c r="C446" s="27" t="s">
        <v>143</v>
      </c>
      <c r="D446" s="26">
        <v>7</v>
      </c>
      <c r="E446" s="25">
        <v>9.3221467572246637E-4</v>
      </c>
    </row>
    <row r="447" spans="2:5" ht="15" customHeight="1">
      <c r="B447" s="84"/>
      <c r="C447" s="27" t="s">
        <v>142</v>
      </c>
      <c r="D447" s="26">
        <v>6</v>
      </c>
      <c r="E447" s="25">
        <v>7.9904115061925688E-4</v>
      </c>
    </row>
    <row r="448" spans="2:5" ht="15" customHeight="1">
      <c r="B448" s="84"/>
      <c r="C448" s="27" t="s">
        <v>140</v>
      </c>
      <c r="D448" s="26">
        <v>1</v>
      </c>
      <c r="E448" s="25">
        <v>1.3317352510320947E-4</v>
      </c>
    </row>
    <row r="449" spans="2:5" ht="15" customHeight="1">
      <c r="B449" s="84"/>
      <c r="C449" s="27" t="s">
        <v>138</v>
      </c>
      <c r="D449" s="26">
        <v>14</v>
      </c>
      <c r="E449" s="25">
        <v>1.8644293514449327E-3</v>
      </c>
    </row>
    <row r="450" spans="2:5" ht="15" customHeight="1">
      <c r="B450" s="84"/>
      <c r="C450" s="27" t="s">
        <v>136</v>
      </c>
      <c r="D450" s="26">
        <v>1</v>
      </c>
      <c r="E450" s="25">
        <v>1.3317352510320947E-4</v>
      </c>
    </row>
    <row r="451" spans="2:5" ht="15" customHeight="1">
      <c r="B451" s="84"/>
      <c r="C451" s="27" t="s">
        <v>135</v>
      </c>
      <c r="D451" s="26">
        <v>3</v>
      </c>
      <c r="E451" s="25">
        <v>3.9952057530962844E-4</v>
      </c>
    </row>
    <row r="452" spans="2:5" ht="15" customHeight="1">
      <c r="B452" s="85"/>
      <c r="C452" s="24" t="s">
        <v>53</v>
      </c>
      <c r="D452" s="23">
        <v>36</v>
      </c>
      <c r="E452" s="22">
        <v>4.794246903715541E-3</v>
      </c>
    </row>
    <row r="453" spans="2:5" ht="15" customHeight="1">
      <c r="B453" s="83" t="s">
        <v>66</v>
      </c>
      <c r="C453" s="27" t="s">
        <v>143</v>
      </c>
      <c r="D453" s="26">
        <v>1</v>
      </c>
      <c r="E453" s="25">
        <v>1.3317352510320947E-4</v>
      </c>
    </row>
    <row r="454" spans="2:5" ht="15" customHeight="1">
      <c r="B454" s="84"/>
      <c r="C454" s="27" t="s">
        <v>142</v>
      </c>
      <c r="D454" s="26">
        <v>1</v>
      </c>
      <c r="E454" s="25">
        <v>1.3317352510320947E-4</v>
      </c>
    </row>
    <row r="455" spans="2:5" ht="15" customHeight="1">
      <c r="B455" s="84"/>
      <c r="C455" s="27" t="s">
        <v>140</v>
      </c>
      <c r="D455" s="26">
        <v>1</v>
      </c>
      <c r="E455" s="25">
        <v>1.3317352510320947E-4</v>
      </c>
    </row>
    <row r="456" spans="2:5" ht="15" customHeight="1">
      <c r="B456" s="84"/>
      <c r="C456" s="27" t="s">
        <v>139</v>
      </c>
      <c r="D456" s="26">
        <v>3</v>
      </c>
      <c r="E456" s="25">
        <v>3.9952057530962844E-4</v>
      </c>
    </row>
    <row r="457" spans="2:5" ht="15" customHeight="1">
      <c r="B457" s="84"/>
      <c r="C457" s="27" t="s">
        <v>138</v>
      </c>
      <c r="D457" s="26">
        <v>5</v>
      </c>
      <c r="E457" s="25">
        <v>6.6586762551604738E-4</v>
      </c>
    </row>
    <row r="458" spans="2:5" ht="15" customHeight="1">
      <c r="B458" s="84"/>
      <c r="C458" s="27" t="s">
        <v>136</v>
      </c>
      <c r="D458" s="26">
        <v>1</v>
      </c>
      <c r="E458" s="25">
        <v>1.3317352510320947E-4</v>
      </c>
    </row>
    <row r="459" spans="2:5" ht="15" customHeight="1">
      <c r="B459" s="84"/>
      <c r="C459" s="27" t="s">
        <v>135</v>
      </c>
      <c r="D459" s="26">
        <v>3</v>
      </c>
      <c r="E459" s="25">
        <v>3.9952057530962844E-4</v>
      </c>
    </row>
    <row r="460" spans="2:5" ht="15" customHeight="1">
      <c r="B460" s="84"/>
      <c r="C460" s="27" t="s">
        <v>129</v>
      </c>
      <c r="D460" s="26">
        <v>1</v>
      </c>
      <c r="E460" s="25">
        <v>1.3317352510320947E-4</v>
      </c>
    </row>
    <row r="461" spans="2:5" ht="15" customHeight="1">
      <c r="B461" s="85"/>
      <c r="C461" s="24" t="s">
        <v>53</v>
      </c>
      <c r="D461" s="23">
        <v>16</v>
      </c>
      <c r="E461" s="22">
        <v>2.1307764016513515E-3</v>
      </c>
    </row>
    <row r="462" spans="2:5" ht="15" customHeight="1">
      <c r="B462" s="83" t="s">
        <v>100</v>
      </c>
      <c r="C462" s="27" t="s">
        <v>148</v>
      </c>
      <c r="D462" s="26">
        <v>1</v>
      </c>
      <c r="E462" s="25">
        <v>1.3317352510320947E-4</v>
      </c>
    </row>
    <row r="463" spans="2:5" ht="15" customHeight="1">
      <c r="B463" s="84"/>
      <c r="C463" s="27" t="s">
        <v>147</v>
      </c>
      <c r="D463" s="26">
        <v>5</v>
      </c>
      <c r="E463" s="25">
        <v>6.6586762551604738E-4</v>
      </c>
    </row>
    <row r="464" spans="2:5" ht="15" customHeight="1">
      <c r="B464" s="84"/>
      <c r="C464" s="27" t="s">
        <v>146</v>
      </c>
      <c r="D464" s="26">
        <v>2</v>
      </c>
      <c r="E464" s="25">
        <v>2.6634705020641894E-4</v>
      </c>
    </row>
    <row r="465" spans="2:5" ht="15" customHeight="1">
      <c r="B465" s="84"/>
      <c r="C465" s="27" t="s">
        <v>145</v>
      </c>
      <c r="D465" s="26">
        <v>1</v>
      </c>
      <c r="E465" s="25">
        <v>1.3317352510320947E-4</v>
      </c>
    </row>
    <row r="466" spans="2:5" ht="15" customHeight="1">
      <c r="B466" s="84"/>
      <c r="C466" s="27" t="s">
        <v>144</v>
      </c>
      <c r="D466" s="26">
        <v>5</v>
      </c>
      <c r="E466" s="25">
        <v>6.6586762551604738E-4</v>
      </c>
    </row>
    <row r="467" spans="2:5" ht="15" customHeight="1">
      <c r="B467" s="84"/>
      <c r="C467" s="27" t="s">
        <v>143</v>
      </c>
      <c r="D467" s="26">
        <v>12</v>
      </c>
      <c r="E467" s="25">
        <v>1.5980823012385138E-3</v>
      </c>
    </row>
    <row r="468" spans="2:5" ht="15" customHeight="1">
      <c r="B468" s="84"/>
      <c r="C468" s="27" t="s">
        <v>142</v>
      </c>
      <c r="D468" s="26">
        <v>20</v>
      </c>
      <c r="E468" s="25">
        <v>2.6634705020641895E-3</v>
      </c>
    </row>
    <row r="469" spans="2:5" ht="15" customHeight="1">
      <c r="B469" s="84"/>
      <c r="C469" s="27" t="s">
        <v>141</v>
      </c>
      <c r="D469" s="26">
        <v>2</v>
      </c>
      <c r="E469" s="25">
        <v>2.6634705020641894E-4</v>
      </c>
    </row>
    <row r="470" spans="2:5" ht="15" customHeight="1">
      <c r="B470" s="84"/>
      <c r="C470" s="27" t="s">
        <v>140</v>
      </c>
      <c r="D470" s="26">
        <v>6</v>
      </c>
      <c r="E470" s="25">
        <v>7.9904115061925688E-4</v>
      </c>
    </row>
    <row r="471" spans="2:5" ht="15" customHeight="1">
      <c r="B471" s="84"/>
      <c r="C471" s="27" t="s">
        <v>139</v>
      </c>
      <c r="D471" s="26">
        <v>7</v>
      </c>
      <c r="E471" s="25">
        <v>9.3221467572246637E-4</v>
      </c>
    </row>
    <row r="472" spans="2:5" ht="15" customHeight="1">
      <c r="B472" s="84"/>
      <c r="C472" s="27" t="s">
        <v>138</v>
      </c>
      <c r="D472" s="26">
        <v>46</v>
      </c>
      <c r="E472" s="25">
        <v>6.125982154747636E-3</v>
      </c>
    </row>
    <row r="473" spans="2:5" ht="15" customHeight="1">
      <c r="B473" s="84"/>
      <c r="C473" s="27" t="s">
        <v>137</v>
      </c>
      <c r="D473" s="26">
        <v>1</v>
      </c>
      <c r="E473" s="25">
        <v>1.3317352510320947E-4</v>
      </c>
    </row>
    <row r="474" spans="2:5" ht="15" customHeight="1">
      <c r="B474" s="84"/>
      <c r="C474" s="27" t="s">
        <v>136</v>
      </c>
      <c r="D474" s="26">
        <v>9</v>
      </c>
      <c r="E474" s="25">
        <v>1.1985617259288853E-3</v>
      </c>
    </row>
    <row r="475" spans="2:5" ht="15" customHeight="1">
      <c r="B475" s="84"/>
      <c r="C475" s="27" t="s">
        <v>135</v>
      </c>
      <c r="D475" s="26">
        <v>15</v>
      </c>
      <c r="E475" s="25">
        <v>1.997602876548142E-3</v>
      </c>
    </row>
    <row r="476" spans="2:5" ht="15" customHeight="1">
      <c r="B476" s="84"/>
      <c r="C476" s="27" t="s">
        <v>133</v>
      </c>
      <c r="D476" s="26">
        <v>1</v>
      </c>
      <c r="E476" s="25">
        <v>1.3317352510320947E-4</v>
      </c>
    </row>
    <row r="477" spans="2:5" ht="15" customHeight="1">
      <c r="B477" s="84"/>
      <c r="C477" s="27" t="s">
        <v>131</v>
      </c>
      <c r="D477" s="26">
        <v>1</v>
      </c>
      <c r="E477" s="25">
        <v>1.3317352510320947E-4</v>
      </c>
    </row>
    <row r="478" spans="2:5" ht="15" customHeight="1">
      <c r="B478" s="84"/>
      <c r="C478" s="27" t="s">
        <v>130</v>
      </c>
      <c r="D478" s="26">
        <v>2</v>
      </c>
      <c r="E478" s="25">
        <v>2.6634705020641894E-4</v>
      </c>
    </row>
    <row r="479" spans="2:5" ht="15" customHeight="1">
      <c r="B479" s="84"/>
      <c r="C479" s="27" t="s">
        <v>129</v>
      </c>
      <c r="D479" s="26">
        <v>2</v>
      </c>
      <c r="E479" s="25">
        <v>2.6634705020641894E-4</v>
      </c>
    </row>
    <row r="480" spans="2:5" ht="15" customHeight="1">
      <c r="B480" s="85"/>
      <c r="C480" s="24" t="s">
        <v>53</v>
      </c>
      <c r="D480" s="23">
        <v>138</v>
      </c>
      <c r="E480" s="22">
        <v>1.8377946464242907E-2</v>
      </c>
    </row>
    <row r="481" spans="2:5" ht="15" customHeight="1">
      <c r="B481" s="83" t="s">
        <v>92</v>
      </c>
      <c r="C481" s="27" t="s">
        <v>146</v>
      </c>
      <c r="D481" s="26">
        <v>1</v>
      </c>
      <c r="E481" s="25">
        <v>1.3317352510320947E-4</v>
      </c>
    </row>
    <row r="482" spans="2:5" ht="15" customHeight="1">
      <c r="B482" s="84"/>
      <c r="C482" s="27" t="s">
        <v>144</v>
      </c>
      <c r="D482" s="26">
        <v>2</v>
      </c>
      <c r="E482" s="25">
        <v>2.6634705020641894E-4</v>
      </c>
    </row>
    <row r="483" spans="2:5" ht="15" customHeight="1">
      <c r="B483" s="84"/>
      <c r="C483" s="27" t="s">
        <v>143</v>
      </c>
      <c r="D483" s="26">
        <v>7</v>
      </c>
      <c r="E483" s="25">
        <v>9.3221467572246637E-4</v>
      </c>
    </row>
    <row r="484" spans="2:5" ht="15" customHeight="1">
      <c r="B484" s="84"/>
      <c r="C484" s="27" t="s">
        <v>142</v>
      </c>
      <c r="D484" s="26">
        <v>12</v>
      </c>
      <c r="E484" s="25">
        <v>1.5980823012385138E-3</v>
      </c>
    </row>
    <row r="485" spans="2:5" ht="15" customHeight="1">
      <c r="B485" s="84"/>
      <c r="C485" s="27" t="s">
        <v>141</v>
      </c>
      <c r="D485" s="26">
        <v>2</v>
      </c>
      <c r="E485" s="25">
        <v>2.6634705020641894E-4</v>
      </c>
    </row>
    <row r="486" spans="2:5" ht="15" customHeight="1">
      <c r="B486" s="84"/>
      <c r="C486" s="27" t="s">
        <v>140</v>
      </c>
      <c r="D486" s="26">
        <v>5</v>
      </c>
      <c r="E486" s="25">
        <v>6.6586762551604738E-4</v>
      </c>
    </row>
    <row r="487" spans="2:5" ht="15" customHeight="1">
      <c r="B487" s="84"/>
      <c r="C487" s="27" t="s">
        <v>139</v>
      </c>
      <c r="D487" s="26">
        <v>2</v>
      </c>
      <c r="E487" s="25">
        <v>2.6634705020641894E-4</v>
      </c>
    </row>
    <row r="488" spans="2:5" ht="15" customHeight="1">
      <c r="B488" s="84"/>
      <c r="C488" s="27" t="s">
        <v>138</v>
      </c>
      <c r="D488" s="26">
        <v>32</v>
      </c>
      <c r="E488" s="25">
        <v>4.2615528033027031E-3</v>
      </c>
    </row>
    <row r="489" spans="2:5" ht="15" customHeight="1">
      <c r="B489" s="84"/>
      <c r="C489" s="27" t="s">
        <v>136</v>
      </c>
      <c r="D489" s="26">
        <v>3</v>
      </c>
      <c r="E489" s="25">
        <v>3.9952057530962844E-4</v>
      </c>
    </row>
    <row r="490" spans="2:5" ht="15" customHeight="1">
      <c r="B490" s="84"/>
      <c r="C490" s="27" t="s">
        <v>135</v>
      </c>
      <c r="D490" s="26">
        <v>14</v>
      </c>
      <c r="E490" s="25">
        <v>1.8644293514449327E-3</v>
      </c>
    </row>
    <row r="491" spans="2:5" ht="15" customHeight="1">
      <c r="B491" s="84"/>
      <c r="C491" s="27" t="s">
        <v>134</v>
      </c>
      <c r="D491" s="26">
        <v>1</v>
      </c>
      <c r="E491" s="25">
        <v>1.3317352510320947E-4</v>
      </c>
    </row>
    <row r="492" spans="2:5" ht="15" customHeight="1">
      <c r="B492" s="84"/>
      <c r="C492" s="27" t="s">
        <v>133</v>
      </c>
      <c r="D492" s="26">
        <v>1</v>
      </c>
      <c r="E492" s="25">
        <v>1.3317352510320947E-4</v>
      </c>
    </row>
    <row r="493" spans="2:5" ht="15" customHeight="1">
      <c r="B493" s="84"/>
      <c r="C493" s="27" t="s">
        <v>130</v>
      </c>
      <c r="D493" s="26">
        <v>1</v>
      </c>
      <c r="E493" s="25">
        <v>1.3317352510320947E-4</v>
      </c>
    </row>
    <row r="494" spans="2:5" ht="15" customHeight="1">
      <c r="B494" s="84"/>
      <c r="C494" s="27" t="s">
        <v>129</v>
      </c>
      <c r="D494" s="26">
        <v>2</v>
      </c>
      <c r="E494" s="25">
        <v>2.6634705020641894E-4</v>
      </c>
    </row>
    <row r="495" spans="2:5" ht="15" customHeight="1">
      <c r="B495" s="84"/>
      <c r="C495" s="27" t="s">
        <v>155</v>
      </c>
      <c r="D495" s="26">
        <v>1</v>
      </c>
      <c r="E495" s="25">
        <v>1.3317352510320947E-4</v>
      </c>
    </row>
    <row r="496" spans="2:5" ht="15" customHeight="1">
      <c r="B496" s="85"/>
      <c r="C496" s="24" t="s">
        <v>53</v>
      </c>
      <c r="D496" s="23">
        <v>86</v>
      </c>
      <c r="E496" s="22">
        <v>1.1452923158876015E-2</v>
      </c>
    </row>
    <row r="497" spans="2:5" ht="15" customHeight="1">
      <c r="B497" s="83" t="s">
        <v>77</v>
      </c>
      <c r="C497" s="27" t="s">
        <v>146</v>
      </c>
      <c r="D497" s="26">
        <v>3</v>
      </c>
      <c r="E497" s="25">
        <v>3.9952057530962844E-4</v>
      </c>
    </row>
    <row r="498" spans="2:5" ht="15" customHeight="1">
      <c r="B498" s="84"/>
      <c r="C498" s="27" t="s">
        <v>143</v>
      </c>
      <c r="D498" s="26">
        <v>1</v>
      </c>
      <c r="E498" s="25">
        <v>1.3317352510320947E-4</v>
      </c>
    </row>
    <row r="499" spans="2:5" ht="15" customHeight="1">
      <c r="B499" s="84"/>
      <c r="C499" s="27" t="s">
        <v>142</v>
      </c>
      <c r="D499" s="26">
        <v>5</v>
      </c>
      <c r="E499" s="25">
        <v>6.6586762551604738E-4</v>
      </c>
    </row>
    <row r="500" spans="2:5" ht="15" customHeight="1">
      <c r="B500" s="84"/>
      <c r="C500" s="27" t="s">
        <v>141</v>
      </c>
      <c r="D500" s="26">
        <v>1</v>
      </c>
      <c r="E500" s="25">
        <v>1.3317352510320947E-4</v>
      </c>
    </row>
    <row r="501" spans="2:5" ht="15" customHeight="1">
      <c r="B501" s="84"/>
      <c r="C501" s="27" t="s">
        <v>138</v>
      </c>
      <c r="D501" s="26">
        <v>16</v>
      </c>
      <c r="E501" s="25">
        <v>2.1307764016513515E-3</v>
      </c>
    </row>
    <row r="502" spans="2:5" ht="15" customHeight="1">
      <c r="B502" s="84"/>
      <c r="C502" s="27" t="s">
        <v>137</v>
      </c>
      <c r="D502" s="26">
        <v>1</v>
      </c>
      <c r="E502" s="25">
        <v>1.3317352510320947E-4</v>
      </c>
    </row>
    <row r="503" spans="2:5" ht="15" customHeight="1">
      <c r="B503" s="84"/>
      <c r="C503" s="27" t="s">
        <v>135</v>
      </c>
      <c r="D503" s="26">
        <v>6</v>
      </c>
      <c r="E503" s="25">
        <v>7.9904115061925688E-4</v>
      </c>
    </row>
    <row r="504" spans="2:5" ht="15" customHeight="1">
      <c r="B504" s="84"/>
      <c r="C504" s="27" t="s">
        <v>132</v>
      </c>
      <c r="D504" s="26">
        <v>1</v>
      </c>
      <c r="E504" s="25">
        <v>1.3317352510320947E-4</v>
      </c>
    </row>
    <row r="505" spans="2:5" ht="15" customHeight="1">
      <c r="B505" s="84"/>
      <c r="C505" s="27" t="s">
        <v>130</v>
      </c>
      <c r="D505" s="26">
        <v>1</v>
      </c>
      <c r="E505" s="25">
        <v>1.3317352510320947E-4</v>
      </c>
    </row>
    <row r="506" spans="2:5" ht="15" customHeight="1">
      <c r="B506" s="84"/>
      <c r="C506" s="27" t="s">
        <v>129</v>
      </c>
      <c r="D506" s="26">
        <v>1</v>
      </c>
      <c r="E506" s="25">
        <v>1.3317352510320947E-4</v>
      </c>
    </row>
    <row r="507" spans="2:5" ht="15" customHeight="1">
      <c r="B507" s="85"/>
      <c r="C507" s="24" t="s">
        <v>53</v>
      </c>
      <c r="D507" s="23">
        <v>36</v>
      </c>
      <c r="E507" s="22">
        <v>4.794246903715541E-3</v>
      </c>
    </row>
    <row r="508" spans="2:5" ht="15" customHeight="1">
      <c r="B508" s="83" t="s">
        <v>79</v>
      </c>
      <c r="C508" s="27" t="s">
        <v>149</v>
      </c>
      <c r="D508" s="26">
        <v>1</v>
      </c>
      <c r="E508" s="25">
        <v>1.3317352510320947E-4</v>
      </c>
    </row>
    <row r="509" spans="2:5" ht="15" customHeight="1">
      <c r="B509" s="84"/>
      <c r="C509" s="27" t="s">
        <v>146</v>
      </c>
      <c r="D509" s="26">
        <v>3</v>
      </c>
      <c r="E509" s="25">
        <v>3.9952057530962844E-4</v>
      </c>
    </row>
    <row r="510" spans="2:5" ht="15" customHeight="1">
      <c r="B510" s="84"/>
      <c r="C510" s="27" t="s">
        <v>145</v>
      </c>
      <c r="D510" s="26">
        <v>2</v>
      </c>
      <c r="E510" s="25">
        <v>2.6634705020641894E-4</v>
      </c>
    </row>
    <row r="511" spans="2:5" ht="15" customHeight="1">
      <c r="B511" s="84"/>
      <c r="C511" s="27" t="s">
        <v>144</v>
      </c>
      <c r="D511" s="26">
        <v>2</v>
      </c>
      <c r="E511" s="25">
        <v>2.6634705020641894E-4</v>
      </c>
    </row>
    <row r="512" spans="2:5" ht="15" customHeight="1">
      <c r="B512" s="84"/>
      <c r="C512" s="27" t="s">
        <v>143</v>
      </c>
      <c r="D512" s="26">
        <v>12</v>
      </c>
      <c r="E512" s="25">
        <v>1.5980823012385138E-3</v>
      </c>
    </row>
    <row r="513" spans="2:5" ht="15" customHeight="1">
      <c r="B513" s="84"/>
      <c r="C513" s="27" t="s">
        <v>142</v>
      </c>
      <c r="D513" s="26">
        <v>16</v>
      </c>
      <c r="E513" s="25">
        <v>2.1307764016513515E-3</v>
      </c>
    </row>
    <row r="514" spans="2:5" ht="15" customHeight="1">
      <c r="B514" s="84"/>
      <c r="C514" s="27" t="s">
        <v>140</v>
      </c>
      <c r="D514" s="26">
        <v>5</v>
      </c>
      <c r="E514" s="25">
        <v>6.6586762551604738E-4</v>
      </c>
    </row>
    <row r="515" spans="2:5" ht="15" customHeight="1">
      <c r="B515" s="84"/>
      <c r="C515" s="27" t="s">
        <v>139</v>
      </c>
      <c r="D515" s="26">
        <v>4</v>
      </c>
      <c r="E515" s="25">
        <v>5.3269410041283788E-4</v>
      </c>
    </row>
    <row r="516" spans="2:5" ht="15" customHeight="1">
      <c r="B516" s="84"/>
      <c r="C516" s="27" t="s">
        <v>138</v>
      </c>
      <c r="D516" s="26">
        <v>18</v>
      </c>
      <c r="E516" s="25">
        <v>2.3971234518577705E-3</v>
      </c>
    </row>
    <row r="517" spans="2:5" ht="15" customHeight="1">
      <c r="B517" s="84"/>
      <c r="C517" s="27" t="s">
        <v>137</v>
      </c>
      <c r="D517" s="26">
        <v>1</v>
      </c>
      <c r="E517" s="25">
        <v>1.3317352510320947E-4</v>
      </c>
    </row>
    <row r="518" spans="2:5" ht="15" customHeight="1">
      <c r="B518" s="84"/>
      <c r="C518" s="27" t="s">
        <v>136</v>
      </c>
      <c r="D518" s="26">
        <v>4</v>
      </c>
      <c r="E518" s="25">
        <v>5.3269410041283788E-4</v>
      </c>
    </row>
    <row r="519" spans="2:5" ht="15" customHeight="1">
      <c r="B519" s="84"/>
      <c r="C519" s="27" t="s">
        <v>135</v>
      </c>
      <c r="D519" s="26">
        <v>12</v>
      </c>
      <c r="E519" s="25">
        <v>1.5980823012385138E-3</v>
      </c>
    </row>
    <row r="520" spans="2:5" ht="15" customHeight="1">
      <c r="B520" s="84"/>
      <c r="C520" s="27" t="s">
        <v>133</v>
      </c>
      <c r="D520" s="26">
        <v>2</v>
      </c>
      <c r="E520" s="25">
        <v>2.6634705020641894E-4</v>
      </c>
    </row>
    <row r="521" spans="2:5" ht="15" customHeight="1">
      <c r="B521" s="84"/>
      <c r="C521" s="27" t="s">
        <v>132</v>
      </c>
      <c r="D521" s="26">
        <v>1</v>
      </c>
      <c r="E521" s="25">
        <v>1.3317352510320947E-4</v>
      </c>
    </row>
    <row r="522" spans="2:5" ht="15" customHeight="1">
      <c r="B522" s="84"/>
      <c r="C522" s="27" t="s">
        <v>130</v>
      </c>
      <c r="D522" s="26">
        <v>1</v>
      </c>
      <c r="E522" s="25">
        <v>1.3317352510320947E-4</v>
      </c>
    </row>
    <row r="523" spans="2:5" ht="15" customHeight="1">
      <c r="B523" s="84"/>
      <c r="C523" s="27" t="s">
        <v>129</v>
      </c>
      <c r="D523" s="26">
        <v>2</v>
      </c>
      <c r="E523" s="25">
        <v>2.6634705020641894E-4</v>
      </c>
    </row>
    <row r="524" spans="2:5" ht="15" customHeight="1">
      <c r="B524" s="85"/>
      <c r="C524" s="24" t="s">
        <v>53</v>
      </c>
      <c r="D524" s="23">
        <v>86</v>
      </c>
      <c r="E524" s="22">
        <v>1.1452923158876015E-2</v>
      </c>
    </row>
    <row r="525" spans="2:5" ht="15" customHeight="1">
      <c r="B525" s="83" t="s">
        <v>87</v>
      </c>
      <c r="C525" s="27" t="s">
        <v>149</v>
      </c>
      <c r="D525" s="26">
        <v>1</v>
      </c>
      <c r="E525" s="25">
        <v>1.3317352510320947E-4</v>
      </c>
    </row>
    <row r="526" spans="2:5" ht="15" customHeight="1">
      <c r="B526" s="84"/>
      <c r="C526" s="27" t="s">
        <v>147</v>
      </c>
      <c r="D526" s="26">
        <v>1</v>
      </c>
      <c r="E526" s="25">
        <v>1.3317352510320947E-4</v>
      </c>
    </row>
    <row r="527" spans="2:5" ht="15" customHeight="1">
      <c r="B527" s="84"/>
      <c r="C527" s="27" t="s">
        <v>146</v>
      </c>
      <c r="D527" s="26">
        <v>1</v>
      </c>
      <c r="E527" s="25">
        <v>1.3317352510320947E-4</v>
      </c>
    </row>
    <row r="528" spans="2:5" ht="15" customHeight="1">
      <c r="B528" s="84"/>
      <c r="C528" s="27" t="s">
        <v>145</v>
      </c>
      <c r="D528" s="26">
        <v>1</v>
      </c>
      <c r="E528" s="25">
        <v>1.3317352510320947E-4</v>
      </c>
    </row>
    <row r="529" spans="2:5" ht="15" customHeight="1">
      <c r="B529" s="84"/>
      <c r="C529" s="27" t="s">
        <v>144</v>
      </c>
      <c r="D529" s="26">
        <v>1</v>
      </c>
      <c r="E529" s="25">
        <v>1.3317352510320947E-4</v>
      </c>
    </row>
    <row r="530" spans="2:5" ht="15" customHeight="1">
      <c r="B530" s="84"/>
      <c r="C530" s="27" t="s">
        <v>143</v>
      </c>
      <c r="D530" s="26">
        <v>14</v>
      </c>
      <c r="E530" s="25">
        <v>1.8644293514449327E-3</v>
      </c>
    </row>
    <row r="531" spans="2:5" ht="15" customHeight="1">
      <c r="B531" s="84"/>
      <c r="C531" s="27" t="s">
        <v>142</v>
      </c>
      <c r="D531" s="26">
        <v>6</v>
      </c>
      <c r="E531" s="25">
        <v>7.9904115061925688E-4</v>
      </c>
    </row>
    <row r="532" spans="2:5" ht="15" customHeight="1">
      <c r="B532" s="84"/>
      <c r="C532" s="27" t="s">
        <v>141</v>
      </c>
      <c r="D532" s="26">
        <v>2</v>
      </c>
      <c r="E532" s="25">
        <v>2.6634705020641894E-4</v>
      </c>
    </row>
    <row r="533" spans="2:5" ht="15" customHeight="1">
      <c r="B533" s="84"/>
      <c r="C533" s="27" t="s">
        <v>140</v>
      </c>
      <c r="D533" s="26">
        <v>4</v>
      </c>
      <c r="E533" s="25">
        <v>5.3269410041283788E-4</v>
      </c>
    </row>
    <row r="534" spans="2:5" ht="15" customHeight="1">
      <c r="B534" s="84"/>
      <c r="C534" s="27" t="s">
        <v>139</v>
      </c>
      <c r="D534" s="26">
        <v>3</v>
      </c>
      <c r="E534" s="25">
        <v>3.9952057530962844E-4</v>
      </c>
    </row>
    <row r="535" spans="2:5" ht="15" customHeight="1">
      <c r="B535" s="84"/>
      <c r="C535" s="27" t="s">
        <v>138</v>
      </c>
      <c r="D535" s="26">
        <v>34</v>
      </c>
      <c r="E535" s="25">
        <v>4.527899853509122E-3</v>
      </c>
    </row>
    <row r="536" spans="2:5" ht="15" customHeight="1">
      <c r="B536" s="84"/>
      <c r="C536" s="27" t="s">
        <v>137</v>
      </c>
      <c r="D536" s="26">
        <v>1</v>
      </c>
      <c r="E536" s="25">
        <v>1.3317352510320947E-4</v>
      </c>
    </row>
    <row r="537" spans="2:5" ht="15" customHeight="1">
      <c r="B537" s="84"/>
      <c r="C537" s="27" t="s">
        <v>136</v>
      </c>
      <c r="D537" s="26">
        <v>2</v>
      </c>
      <c r="E537" s="25">
        <v>2.6634705020641894E-4</v>
      </c>
    </row>
    <row r="538" spans="2:5" ht="15" customHeight="1">
      <c r="B538" s="84"/>
      <c r="C538" s="27" t="s">
        <v>135</v>
      </c>
      <c r="D538" s="26">
        <v>22</v>
      </c>
      <c r="E538" s="25">
        <v>2.9298175522706085E-3</v>
      </c>
    </row>
    <row r="539" spans="2:5" ht="15" customHeight="1">
      <c r="B539" s="84"/>
      <c r="C539" s="27" t="s">
        <v>130</v>
      </c>
      <c r="D539" s="26">
        <v>2</v>
      </c>
      <c r="E539" s="25">
        <v>2.6634705020641894E-4</v>
      </c>
    </row>
    <row r="540" spans="2:5" ht="15" customHeight="1">
      <c r="B540" s="84"/>
      <c r="C540" s="27" t="s">
        <v>129</v>
      </c>
      <c r="D540" s="26">
        <v>6</v>
      </c>
      <c r="E540" s="25">
        <v>7.9904115061925688E-4</v>
      </c>
    </row>
    <row r="541" spans="2:5" ht="15" customHeight="1">
      <c r="B541" s="85"/>
      <c r="C541" s="24" t="s">
        <v>53</v>
      </c>
      <c r="D541" s="23">
        <v>101</v>
      </c>
      <c r="E541" s="22">
        <v>1.3450526035424158E-2</v>
      </c>
    </row>
    <row r="542" spans="2:5" ht="15" customHeight="1">
      <c r="B542" s="83" t="s">
        <v>99</v>
      </c>
      <c r="C542" s="27" t="s">
        <v>149</v>
      </c>
      <c r="D542" s="26">
        <v>2</v>
      </c>
      <c r="E542" s="25">
        <v>2.6634705020641894E-4</v>
      </c>
    </row>
    <row r="543" spans="2:5" ht="15" customHeight="1">
      <c r="B543" s="84"/>
      <c r="C543" s="27" t="s">
        <v>148</v>
      </c>
      <c r="D543" s="26">
        <v>1</v>
      </c>
      <c r="E543" s="25">
        <v>1.3317352510320947E-4</v>
      </c>
    </row>
    <row r="544" spans="2:5" ht="15" customHeight="1">
      <c r="B544" s="84"/>
      <c r="C544" s="27" t="s">
        <v>147</v>
      </c>
      <c r="D544" s="26">
        <v>1</v>
      </c>
      <c r="E544" s="25">
        <v>1.3317352510320947E-4</v>
      </c>
    </row>
    <row r="545" spans="2:5" ht="15" customHeight="1">
      <c r="B545" s="84"/>
      <c r="C545" s="27" t="s">
        <v>146</v>
      </c>
      <c r="D545" s="26">
        <v>4</v>
      </c>
      <c r="E545" s="25">
        <v>5.3269410041283788E-4</v>
      </c>
    </row>
    <row r="546" spans="2:5" ht="15" customHeight="1">
      <c r="B546" s="84"/>
      <c r="C546" s="27" t="s">
        <v>145</v>
      </c>
      <c r="D546" s="26">
        <v>2</v>
      </c>
      <c r="E546" s="25">
        <v>2.6634705020641894E-4</v>
      </c>
    </row>
    <row r="547" spans="2:5" ht="15" customHeight="1">
      <c r="B547" s="84"/>
      <c r="C547" s="27" t="s">
        <v>144</v>
      </c>
      <c r="D547" s="26">
        <v>3</v>
      </c>
      <c r="E547" s="25">
        <v>3.9952057530962844E-4</v>
      </c>
    </row>
    <row r="548" spans="2:5" ht="15" customHeight="1">
      <c r="B548" s="84"/>
      <c r="C548" s="27" t="s">
        <v>143</v>
      </c>
      <c r="D548" s="26">
        <v>35</v>
      </c>
      <c r="E548" s="25">
        <v>4.6610733786123315E-3</v>
      </c>
    </row>
    <row r="549" spans="2:5" ht="15" customHeight="1">
      <c r="B549" s="84"/>
      <c r="C549" s="27" t="s">
        <v>142</v>
      </c>
      <c r="D549" s="26">
        <v>26</v>
      </c>
      <c r="E549" s="25">
        <v>3.4625116526834465E-3</v>
      </c>
    </row>
    <row r="550" spans="2:5" ht="15" customHeight="1">
      <c r="B550" s="84"/>
      <c r="C550" s="27" t="s">
        <v>140</v>
      </c>
      <c r="D550" s="26">
        <v>3</v>
      </c>
      <c r="E550" s="25">
        <v>3.9952057530962844E-4</v>
      </c>
    </row>
    <row r="551" spans="2:5" ht="15" customHeight="1">
      <c r="B551" s="84"/>
      <c r="C551" s="27" t="s">
        <v>139</v>
      </c>
      <c r="D551" s="26">
        <v>18</v>
      </c>
      <c r="E551" s="25">
        <v>2.3971234518577705E-3</v>
      </c>
    </row>
    <row r="552" spans="2:5" ht="15" customHeight="1">
      <c r="B552" s="84"/>
      <c r="C552" s="27" t="s">
        <v>138</v>
      </c>
      <c r="D552" s="26">
        <v>82</v>
      </c>
      <c r="E552" s="25">
        <v>1.0920229058463177E-2</v>
      </c>
    </row>
    <row r="553" spans="2:5" ht="15" customHeight="1">
      <c r="B553" s="84"/>
      <c r="C553" s="27" t="s">
        <v>137</v>
      </c>
      <c r="D553" s="26">
        <v>9</v>
      </c>
      <c r="E553" s="25">
        <v>1.1985617259288853E-3</v>
      </c>
    </row>
    <row r="554" spans="2:5" ht="15" customHeight="1">
      <c r="B554" s="84"/>
      <c r="C554" s="27" t="s">
        <v>136</v>
      </c>
      <c r="D554" s="26">
        <v>21</v>
      </c>
      <c r="E554" s="25">
        <v>2.796644027167399E-3</v>
      </c>
    </row>
    <row r="555" spans="2:5" ht="15" customHeight="1">
      <c r="B555" s="84"/>
      <c r="C555" s="27" t="s">
        <v>135</v>
      </c>
      <c r="D555" s="26">
        <v>54</v>
      </c>
      <c r="E555" s="25">
        <v>7.191370355573312E-3</v>
      </c>
    </row>
    <row r="556" spans="2:5" ht="15" customHeight="1">
      <c r="B556" s="84"/>
      <c r="C556" s="27" t="s">
        <v>134</v>
      </c>
      <c r="D556" s="26">
        <v>2</v>
      </c>
      <c r="E556" s="25">
        <v>2.6634705020641894E-4</v>
      </c>
    </row>
    <row r="557" spans="2:5" ht="15" customHeight="1">
      <c r="B557" s="84"/>
      <c r="C557" s="27" t="s">
        <v>133</v>
      </c>
      <c r="D557" s="26">
        <v>2</v>
      </c>
      <c r="E557" s="25">
        <v>2.6634705020641894E-4</v>
      </c>
    </row>
    <row r="558" spans="2:5" ht="15" customHeight="1">
      <c r="B558" s="84"/>
      <c r="C558" s="27" t="s">
        <v>132</v>
      </c>
      <c r="D558" s="26">
        <v>2</v>
      </c>
      <c r="E558" s="25">
        <v>2.6634705020641894E-4</v>
      </c>
    </row>
    <row r="559" spans="2:5" ht="15" customHeight="1">
      <c r="B559" s="84"/>
      <c r="C559" s="27" t="s">
        <v>131</v>
      </c>
      <c r="D559" s="26">
        <v>1</v>
      </c>
      <c r="E559" s="25">
        <v>1.3317352510320947E-4</v>
      </c>
    </row>
    <row r="560" spans="2:5" ht="15" customHeight="1">
      <c r="B560" s="84"/>
      <c r="C560" s="27" t="s">
        <v>130</v>
      </c>
      <c r="D560" s="26">
        <v>5</v>
      </c>
      <c r="E560" s="25">
        <v>6.6586762551604738E-4</v>
      </c>
    </row>
    <row r="561" spans="2:5" ht="15" customHeight="1">
      <c r="B561" s="84"/>
      <c r="C561" s="27" t="s">
        <v>129</v>
      </c>
      <c r="D561" s="26">
        <v>10</v>
      </c>
      <c r="E561" s="25">
        <v>1.3317352510320948E-3</v>
      </c>
    </row>
    <row r="562" spans="2:5" ht="15" customHeight="1">
      <c r="B562" s="85"/>
      <c r="C562" s="24" t="s">
        <v>53</v>
      </c>
      <c r="D562" s="23">
        <v>283</v>
      </c>
      <c r="E562" s="22">
        <v>3.7688107604208286E-2</v>
      </c>
    </row>
    <row r="563" spans="2:5" ht="15" customHeight="1">
      <c r="B563" s="83" t="s">
        <v>83</v>
      </c>
      <c r="C563" s="27" t="s">
        <v>147</v>
      </c>
      <c r="D563" s="26">
        <v>1</v>
      </c>
      <c r="E563" s="25">
        <v>1.3317352510320947E-4</v>
      </c>
    </row>
    <row r="564" spans="2:5" ht="15" customHeight="1">
      <c r="B564" s="84"/>
      <c r="C564" s="27" t="s">
        <v>146</v>
      </c>
      <c r="D564" s="26">
        <v>2</v>
      </c>
      <c r="E564" s="25">
        <v>2.6634705020641894E-4</v>
      </c>
    </row>
    <row r="565" spans="2:5" ht="15" customHeight="1">
      <c r="B565" s="84"/>
      <c r="C565" s="27" t="s">
        <v>144</v>
      </c>
      <c r="D565" s="26">
        <v>1</v>
      </c>
      <c r="E565" s="25">
        <v>1.3317352510320947E-4</v>
      </c>
    </row>
    <row r="566" spans="2:5" ht="15" customHeight="1">
      <c r="B566" s="84"/>
      <c r="C566" s="27" t="s">
        <v>143</v>
      </c>
      <c r="D566" s="26">
        <v>1</v>
      </c>
      <c r="E566" s="25">
        <v>1.3317352510320947E-4</v>
      </c>
    </row>
    <row r="567" spans="2:5" ht="15" customHeight="1">
      <c r="B567" s="84"/>
      <c r="C567" s="27" t="s">
        <v>142</v>
      </c>
      <c r="D567" s="26">
        <v>5</v>
      </c>
      <c r="E567" s="25">
        <v>6.6586762551604738E-4</v>
      </c>
    </row>
    <row r="568" spans="2:5" ht="15" customHeight="1">
      <c r="B568" s="84"/>
      <c r="C568" s="27" t="s">
        <v>138</v>
      </c>
      <c r="D568" s="26">
        <v>8</v>
      </c>
      <c r="E568" s="25">
        <v>1.0653882008256758E-3</v>
      </c>
    </row>
    <row r="569" spans="2:5" ht="15" customHeight="1">
      <c r="B569" s="84"/>
      <c r="C569" s="27" t="s">
        <v>136</v>
      </c>
      <c r="D569" s="26">
        <v>4</v>
      </c>
      <c r="E569" s="25">
        <v>5.3269410041283788E-4</v>
      </c>
    </row>
    <row r="570" spans="2:5" ht="15" customHeight="1">
      <c r="B570" s="84"/>
      <c r="C570" s="27" t="s">
        <v>135</v>
      </c>
      <c r="D570" s="26">
        <v>4</v>
      </c>
      <c r="E570" s="25">
        <v>5.3269410041283788E-4</v>
      </c>
    </row>
    <row r="571" spans="2:5" ht="15" customHeight="1">
      <c r="B571" s="84"/>
      <c r="C571" s="27" t="s">
        <v>126</v>
      </c>
      <c r="D571" s="26">
        <v>1</v>
      </c>
      <c r="E571" s="25">
        <v>1.3317352510320947E-4</v>
      </c>
    </row>
    <row r="572" spans="2:5" ht="15" customHeight="1">
      <c r="B572" s="85"/>
      <c r="C572" s="24" t="s">
        <v>53</v>
      </c>
      <c r="D572" s="23">
        <v>27</v>
      </c>
      <c r="E572" s="22">
        <v>3.595685177786656E-3</v>
      </c>
    </row>
    <row r="573" spans="2:5" ht="15" customHeight="1">
      <c r="B573" s="83" t="s">
        <v>96</v>
      </c>
      <c r="C573" s="27" t="s">
        <v>148</v>
      </c>
      <c r="D573" s="26">
        <v>1</v>
      </c>
      <c r="E573" s="25">
        <v>1.3317352510320947E-4</v>
      </c>
    </row>
    <row r="574" spans="2:5" ht="15" customHeight="1">
      <c r="B574" s="84"/>
      <c r="C574" s="27" t="s">
        <v>147</v>
      </c>
      <c r="D574" s="26">
        <v>2</v>
      </c>
      <c r="E574" s="25">
        <v>2.6634705020641894E-4</v>
      </c>
    </row>
    <row r="575" spans="2:5" ht="15" customHeight="1">
      <c r="B575" s="84"/>
      <c r="C575" s="27" t="s">
        <v>144</v>
      </c>
      <c r="D575" s="26">
        <v>3</v>
      </c>
      <c r="E575" s="25">
        <v>3.9952057530962844E-4</v>
      </c>
    </row>
    <row r="576" spans="2:5" ht="15" customHeight="1">
      <c r="B576" s="84"/>
      <c r="C576" s="27" t="s">
        <v>143</v>
      </c>
      <c r="D576" s="26">
        <v>9</v>
      </c>
      <c r="E576" s="25">
        <v>1.1985617259288853E-3</v>
      </c>
    </row>
    <row r="577" spans="2:5" ht="15" customHeight="1">
      <c r="B577" s="84"/>
      <c r="C577" s="27" t="s">
        <v>142</v>
      </c>
      <c r="D577" s="26">
        <v>10</v>
      </c>
      <c r="E577" s="25">
        <v>1.3317352510320948E-3</v>
      </c>
    </row>
    <row r="578" spans="2:5" ht="15" customHeight="1">
      <c r="B578" s="84"/>
      <c r="C578" s="27" t="s">
        <v>141</v>
      </c>
      <c r="D578" s="26">
        <v>1</v>
      </c>
      <c r="E578" s="25">
        <v>1.3317352510320947E-4</v>
      </c>
    </row>
    <row r="579" spans="2:5" ht="15" customHeight="1">
      <c r="B579" s="84"/>
      <c r="C579" s="27" t="s">
        <v>140</v>
      </c>
      <c r="D579" s="26">
        <v>5</v>
      </c>
      <c r="E579" s="25">
        <v>6.6586762551604738E-4</v>
      </c>
    </row>
    <row r="580" spans="2:5" ht="15" customHeight="1">
      <c r="B580" s="84"/>
      <c r="C580" s="27" t="s">
        <v>139</v>
      </c>
      <c r="D580" s="26">
        <v>2</v>
      </c>
      <c r="E580" s="25">
        <v>2.6634705020641894E-4</v>
      </c>
    </row>
    <row r="581" spans="2:5" ht="15" customHeight="1">
      <c r="B581" s="84"/>
      <c r="C581" s="27" t="s">
        <v>138</v>
      </c>
      <c r="D581" s="26">
        <v>41</v>
      </c>
      <c r="E581" s="25">
        <v>5.4601145292315885E-3</v>
      </c>
    </row>
    <row r="582" spans="2:5" ht="15" customHeight="1">
      <c r="B582" s="84"/>
      <c r="C582" s="27" t="s">
        <v>137</v>
      </c>
      <c r="D582" s="26">
        <v>1</v>
      </c>
      <c r="E582" s="25">
        <v>1.3317352510320947E-4</v>
      </c>
    </row>
    <row r="583" spans="2:5" ht="15" customHeight="1">
      <c r="B583" s="84"/>
      <c r="C583" s="27" t="s">
        <v>136</v>
      </c>
      <c r="D583" s="26">
        <v>6</v>
      </c>
      <c r="E583" s="25">
        <v>7.9904115061925688E-4</v>
      </c>
    </row>
    <row r="584" spans="2:5" ht="15" customHeight="1">
      <c r="B584" s="84"/>
      <c r="C584" s="27" t="s">
        <v>135</v>
      </c>
      <c r="D584" s="26">
        <v>15</v>
      </c>
      <c r="E584" s="25">
        <v>1.997602876548142E-3</v>
      </c>
    </row>
    <row r="585" spans="2:5" ht="15" customHeight="1">
      <c r="B585" s="84"/>
      <c r="C585" s="27" t="s">
        <v>130</v>
      </c>
      <c r="D585" s="26">
        <v>1</v>
      </c>
      <c r="E585" s="25">
        <v>1.3317352510320947E-4</v>
      </c>
    </row>
    <row r="586" spans="2:5" ht="15" customHeight="1">
      <c r="B586" s="84"/>
      <c r="C586" s="27" t="s">
        <v>129</v>
      </c>
      <c r="D586" s="26">
        <v>2</v>
      </c>
      <c r="E586" s="25">
        <v>2.6634705020641894E-4</v>
      </c>
    </row>
    <row r="587" spans="2:5" ht="15" customHeight="1">
      <c r="B587" s="85"/>
      <c r="C587" s="24" t="s">
        <v>53</v>
      </c>
      <c r="D587" s="23">
        <v>99</v>
      </c>
      <c r="E587" s="22">
        <v>1.3184178985217739E-2</v>
      </c>
    </row>
    <row r="588" spans="2:5" ht="15" customHeight="1">
      <c r="B588" s="83" t="s">
        <v>154</v>
      </c>
      <c r="C588" s="27" t="s">
        <v>147</v>
      </c>
      <c r="D588" s="26">
        <v>1</v>
      </c>
      <c r="E588" s="25">
        <v>1.3317352510320947E-4</v>
      </c>
    </row>
    <row r="589" spans="2:5" ht="15" customHeight="1">
      <c r="B589" s="84"/>
      <c r="C589" s="27" t="s">
        <v>146</v>
      </c>
      <c r="D589" s="26">
        <v>2</v>
      </c>
      <c r="E589" s="25">
        <v>2.6634705020641894E-4</v>
      </c>
    </row>
    <row r="590" spans="2:5" ht="15" customHeight="1">
      <c r="B590" s="84"/>
      <c r="C590" s="27" t="s">
        <v>145</v>
      </c>
      <c r="D590" s="26">
        <v>1</v>
      </c>
      <c r="E590" s="25">
        <v>1.3317352510320947E-4</v>
      </c>
    </row>
    <row r="591" spans="2:5" ht="15" customHeight="1">
      <c r="B591" s="84"/>
      <c r="C591" s="27" t="s">
        <v>143</v>
      </c>
      <c r="D591" s="26">
        <v>9</v>
      </c>
      <c r="E591" s="25">
        <v>1.1985617259288853E-3</v>
      </c>
    </row>
    <row r="592" spans="2:5" ht="15" customHeight="1">
      <c r="B592" s="84"/>
      <c r="C592" s="27" t="s">
        <v>142</v>
      </c>
      <c r="D592" s="26">
        <v>6</v>
      </c>
      <c r="E592" s="25">
        <v>7.9904115061925688E-4</v>
      </c>
    </row>
    <row r="593" spans="2:5" ht="15" customHeight="1">
      <c r="B593" s="84"/>
      <c r="C593" s="27" t="s">
        <v>141</v>
      </c>
      <c r="D593" s="26">
        <v>1</v>
      </c>
      <c r="E593" s="25">
        <v>1.3317352510320947E-4</v>
      </c>
    </row>
    <row r="594" spans="2:5" ht="15" customHeight="1">
      <c r="B594" s="84"/>
      <c r="C594" s="27" t="s">
        <v>140</v>
      </c>
      <c r="D594" s="26">
        <v>1</v>
      </c>
      <c r="E594" s="25">
        <v>1.3317352510320947E-4</v>
      </c>
    </row>
    <row r="595" spans="2:5" ht="15" customHeight="1">
      <c r="B595" s="84"/>
      <c r="C595" s="27" t="s">
        <v>139</v>
      </c>
      <c r="D595" s="26">
        <v>3</v>
      </c>
      <c r="E595" s="25">
        <v>3.9952057530962844E-4</v>
      </c>
    </row>
    <row r="596" spans="2:5" ht="15" customHeight="1">
      <c r="B596" s="84"/>
      <c r="C596" s="27" t="s">
        <v>138</v>
      </c>
      <c r="D596" s="26">
        <v>23</v>
      </c>
      <c r="E596" s="25">
        <v>3.062991077373818E-3</v>
      </c>
    </row>
    <row r="597" spans="2:5" ht="15" customHeight="1">
      <c r="B597" s="84"/>
      <c r="C597" s="27" t="s">
        <v>137</v>
      </c>
      <c r="D597" s="26">
        <v>1</v>
      </c>
      <c r="E597" s="25">
        <v>1.3317352510320947E-4</v>
      </c>
    </row>
    <row r="598" spans="2:5" ht="15" customHeight="1">
      <c r="B598" s="84"/>
      <c r="C598" s="27" t="s">
        <v>136</v>
      </c>
      <c r="D598" s="26">
        <v>10</v>
      </c>
      <c r="E598" s="25">
        <v>1.3317352510320948E-3</v>
      </c>
    </row>
    <row r="599" spans="2:5" ht="15" customHeight="1">
      <c r="B599" s="84"/>
      <c r="C599" s="27" t="s">
        <v>135</v>
      </c>
      <c r="D599" s="26">
        <v>10</v>
      </c>
      <c r="E599" s="25">
        <v>1.3317352510320948E-3</v>
      </c>
    </row>
    <row r="600" spans="2:5" ht="15" customHeight="1">
      <c r="B600" s="84"/>
      <c r="C600" s="27" t="s">
        <v>134</v>
      </c>
      <c r="D600" s="26">
        <v>1</v>
      </c>
      <c r="E600" s="25">
        <v>1.3317352510320947E-4</v>
      </c>
    </row>
    <row r="601" spans="2:5" ht="15" customHeight="1">
      <c r="B601" s="84"/>
      <c r="C601" s="27" t="s">
        <v>129</v>
      </c>
      <c r="D601" s="26">
        <v>1</v>
      </c>
      <c r="E601" s="25">
        <v>1.3317352510320947E-4</v>
      </c>
    </row>
    <row r="602" spans="2:5" ht="15" customHeight="1">
      <c r="B602" s="85"/>
      <c r="C602" s="24" t="s">
        <v>53</v>
      </c>
      <c r="D602" s="23">
        <v>70</v>
      </c>
      <c r="E602" s="22">
        <v>9.3221467572246631E-3</v>
      </c>
    </row>
    <row r="603" spans="2:5" ht="15" customHeight="1">
      <c r="B603" s="83" t="s">
        <v>98</v>
      </c>
      <c r="C603" s="27" t="s">
        <v>149</v>
      </c>
      <c r="D603" s="26">
        <v>1</v>
      </c>
      <c r="E603" s="25">
        <v>1.3317352510320947E-4</v>
      </c>
    </row>
    <row r="604" spans="2:5" ht="15" customHeight="1">
      <c r="B604" s="84"/>
      <c r="C604" s="27" t="s">
        <v>147</v>
      </c>
      <c r="D604" s="26">
        <v>2</v>
      </c>
      <c r="E604" s="25">
        <v>2.6634705020641894E-4</v>
      </c>
    </row>
    <row r="605" spans="2:5" ht="15" customHeight="1">
      <c r="B605" s="84"/>
      <c r="C605" s="27" t="s">
        <v>146</v>
      </c>
      <c r="D605" s="26">
        <v>3</v>
      </c>
      <c r="E605" s="25">
        <v>3.9952057530962844E-4</v>
      </c>
    </row>
    <row r="606" spans="2:5" ht="15" customHeight="1">
      <c r="B606" s="84"/>
      <c r="C606" s="27" t="s">
        <v>144</v>
      </c>
      <c r="D606" s="26">
        <v>1</v>
      </c>
      <c r="E606" s="25">
        <v>1.3317352510320947E-4</v>
      </c>
    </row>
    <row r="607" spans="2:5" ht="15" customHeight="1">
      <c r="B607" s="84"/>
      <c r="C607" s="27" t="s">
        <v>143</v>
      </c>
      <c r="D607" s="26">
        <v>12</v>
      </c>
      <c r="E607" s="25">
        <v>1.5980823012385138E-3</v>
      </c>
    </row>
    <row r="608" spans="2:5" ht="15" customHeight="1">
      <c r="B608" s="84"/>
      <c r="C608" s="27" t="s">
        <v>142</v>
      </c>
      <c r="D608" s="26">
        <v>25</v>
      </c>
      <c r="E608" s="25">
        <v>3.329338127580237E-3</v>
      </c>
    </row>
    <row r="609" spans="2:5" ht="15" customHeight="1">
      <c r="B609" s="84"/>
      <c r="C609" s="27" t="s">
        <v>141</v>
      </c>
      <c r="D609" s="26">
        <v>3</v>
      </c>
      <c r="E609" s="25">
        <v>3.9952057530962844E-4</v>
      </c>
    </row>
    <row r="610" spans="2:5" ht="15" customHeight="1">
      <c r="B610" s="84"/>
      <c r="C610" s="27" t="s">
        <v>139</v>
      </c>
      <c r="D610" s="26">
        <v>6</v>
      </c>
      <c r="E610" s="25">
        <v>7.9904115061925688E-4</v>
      </c>
    </row>
    <row r="611" spans="2:5" ht="15" customHeight="1">
      <c r="B611" s="84"/>
      <c r="C611" s="27" t="s">
        <v>138</v>
      </c>
      <c r="D611" s="26">
        <v>36</v>
      </c>
      <c r="E611" s="25">
        <v>4.794246903715541E-3</v>
      </c>
    </row>
    <row r="612" spans="2:5" ht="15" customHeight="1">
      <c r="B612" s="84"/>
      <c r="C612" s="27" t="s">
        <v>137</v>
      </c>
      <c r="D612" s="26">
        <v>2</v>
      </c>
      <c r="E612" s="25">
        <v>2.6634705020641894E-4</v>
      </c>
    </row>
    <row r="613" spans="2:5" ht="15" customHeight="1">
      <c r="B613" s="84"/>
      <c r="C613" s="27" t="s">
        <v>136</v>
      </c>
      <c r="D613" s="26">
        <v>12</v>
      </c>
      <c r="E613" s="25">
        <v>1.5980823012385138E-3</v>
      </c>
    </row>
    <row r="614" spans="2:5" ht="15" customHeight="1">
      <c r="B614" s="84"/>
      <c r="C614" s="27" t="s">
        <v>135</v>
      </c>
      <c r="D614" s="26">
        <v>27</v>
      </c>
      <c r="E614" s="25">
        <v>3.595685177786656E-3</v>
      </c>
    </row>
    <row r="615" spans="2:5" ht="15" customHeight="1">
      <c r="B615" s="84"/>
      <c r="C615" s="27" t="s">
        <v>134</v>
      </c>
      <c r="D615" s="26">
        <v>2</v>
      </c>
      <c r="E615" s="25">
        <v>2.6634705020641894E-4</v>
      </c>
    </row>
    <row r="616" spans="2:5" ht="15" customHeight="1">
      <c r="B616" s="84"/>
      <c r="C616" s="27" t="s">
        <v>133</v>
      </c>
      <c r="D616" s="26">
        <v>2</v>
      </c>
      <c r="E616" s="25">
        <v>2.6634705020641894E-4</v>
      </c>
    </row>
    <row r="617" spans="2:5" ht="15" customHeight="1">
      <c r="B617" s="84"/>
      <c r="C617" s="27" t="s">
        <v>130</v>
      </c>
      <c r="D617" s="26">
        <v>1</v>
      </c>
      <c r="E617" s="25">
        <v>1.3317352510320947E-4</v>
      </c>
    </row>
    <row r="618" spans="2:5" ht="15" customHeight="1">
      <c r="B618" s="84"/>
      <c r="C618" s="27" t="s">
        <v>129</v>
      </c>
      <c r="D618" s="26">
        <v>7</v>
      </c>
      <c r="E618" s="25">
        <v>9.3221467572246637E-4</v>
      </c>
    </row>
    <row r="619" spans="2:5" ht="15" customHeight="1">
      <c r="B619" s="85"/>
      <c r="C619" s="24" t="s">
        <v>53</v>
      </c>
      <c r="D619" s="23">
        <v>142</v>
      </c>
      <c r="E619" s="22">
        <v>1.8910640564655745E-2</v>
      </c>
    </row>
    <row r="620" spans="2:5" ht="15" customHeight="1">
      <c r="B620" s="83" t="s">
        <v>76</v>
      </c>
      <c r="C620" s="27" t="s">
        <v>149</v>
      </c>
      <c r="D620" s="26">
        <v>1</v>
      </c>
      <c r="E620" s="25">
        <v>1.3317352510320947E-4</v>
      </c>
    </row>
    <row r="621" spans="2:5" ht="15" customHeight="1">
      <c r="B621" s="84"/>
      <c r="C621" s="27" t="s">
        <v>148</v>
      </c>
      <c r="D621" s="26">
        <v>1</v>
      </c>
      <c r="E621" s="25">
        <v>1.3317352510320947E-4</v>
      </c>
    </row>
    <row r="622" spans="2:5" ht="15" customHeight="1">
      <c r="B622" s="84"/>
      <c r="C622" s="27" t="s">
        <v>145</v>
      </c>
      <c r="D622" s="26">
        <v>1</v>
      </c>
      <c r="E622" s="25">
        <v>1.3317352510320947E-4</v>
      </c>
    </row>
    <row r="623" spans="2:5" ht="15" customHeight="1">
      <c r="B623" s="84"/>
      <c r="C623" s="27" t="s">
        <v>143</v>
      </c>
      <c r="D623" s="26">
        <v>7</v>
      </c>
      <c r="E623" s="25">
        <v>9.3221467572246637E-4</v>
      </c>
    </row>
    <row r="624" spans="2:5" ht="15" customHeight="1">
      <c r="B624" s="84"/>
      <c r="C624" s="27" t="s">
        <v>142</v>
      </c>
      <c r="D624" s="26">
        <v>8</v>
      </c>
      <c r="E624" s="25">
        <v>1.0653882008256758E-3</v>
      </c>
    </row>
    <row r="625" spans="2:5" ht="15" customHeight="1">
      <c r="B625" s="84"/>
      <c r="C625" s="27" t="s">
        <v>141</v>
      </c>
      <c r="D625" s="26">
        <v>1</v>
      </c>
      <c r="E625" s="25">
        <v>1.3317352510320947E-4</v>
      </c>
    </row>
    <row r="626" spans="2:5" ht="15" customHeight="1">
      <c r="B626" s="84"/>
      <c r="C626" s="27" t="s">
        <v>140</v>
      </c>
      <c r="D626" s="26">
        <v>1</v>
      </c>
      <c r="E626" s="25">
        <v>1.3317352510320947E-4</v>
      </c>
    </row>
    <row r="627" spans="2:5" ht="15" customHeight="1">
      <c r="B627" s="84"/>
      <c r="C627" s="27" t="s">
        <v>139</v>
      </c>
      <c r="D627" s="26">
        <v>3</v>
      </c>
      <c r="E627" s="25">
        <v>3.9952057530962844E-4</v>
      </c>
    </row>
    <row r="628" spans="2:5" ht="15" customHeight="1">
      <c r="B628" s="84"/>
      <c r="C628" s="27" t="s">
        <v>138</v>
      </c>
      <c r="D628" s="26">
        <v>37</v>
      </c>
      <c r="E628" s="25">
        <v>4.9274204288187505E-3</v>
      </c>
    </row>
    <row r="629" spans="2:5" ht="15" customHeight="1">
      <c r="B629" s="84"/>
      <c r="C629" s="27" t="s">
        <v>137</v>
      </c>
      <c r="D629" s="26">
        <v>1</v>
      </c>
      <c r="E629" s="25">
        <v>1.3317352510320947E-4</v>
      </c>
    </row>
    <row r="630" spans="2:5" ht="15" customHeight="1">
      <c r="B630" s="84"/>
      <c r="C630" s="27" t="s">
        <v>136</v>
      </c>
      <c r="D630" s="26">
        <v>3</v>
      </c>
      <c r="E630" s="25">
        <v>3.9952057530962844E-4</v>
      </c>
    </row>
    <row r="631" spans="2:5" ht="15" customHeight="1">
      <c r="B631" s="84"/>
      <c r="C631" s="27" t="s">
        <v>135</v>
      </c>
      <c r="D631" s="26">
        <v>16</v>
      </c>
      <c r="E631" s="25">
        <v>2.1307764016513515E-3</v>
      </c>
    </row>
    <row r="632" spans="2:5" ht="15" customHeight="1">
      <c r="B632" s="84"/>
      <c r="C632" s="27" t="s">
        <v>130</v>
      </c>
      <c r="D632" s="26">
        <v>1</v>
      </c>
      <c r="E632" s="25">
        <v>1.3317352510320947E-4</v>
      </c>
    </row>
    <row r="633" spans="2:5" ht="15" customHeight="1">
      <c r="B633" s="84"/>
      <c r="C633" s="27" t="s">
        <v>129</v>
      </c>
      <c r="D633" s="26">
        <v>4</v>
      </c>
      <c r="E633" s="25">
        <v>5.3269410041283788E-4</v>
      </c>
    </row>
    <row r="634" spans="2:5" ht="15" customHeight="1">
      <c r="B634" s="85"/>
      <c r="C634" s="24" t="s">
        <v>53</v>
      </c>
      <c r="D634" s="23">
        <v>85</v>
      </c>
      <c r="E634" s="22">
        <v>1.1319749633772806E-2</v>
      </c>
    </row>
    <row r="635" spans="2:5" ht="15" customHeight="1">
      <c r="B635" s="83" t="s">
        <v>67</v>
      </c>
      <c r="C635" s="27" t="s">
        <v>149</v>
      </c>
      <c r="D635" s="26">
        <v>1</v>
      </c>
      <c r="E635" s="25">
        <v>1.3317352510320947E-4</v>
      </c>
    </row>
    <row r="636" spans="2:5" ht="15" customHeight="1">
      <c r="B636" s="84"/>
      <c r="C636" s="27" t="s">
        <v>148</v>
      </c>
      <c r="D636" s="26">
        <v>1</v>
      </c>
      <c r="E636" s="25">
        <v>1.3317352510320947E-4</v>
      </c>
    </row>
    <row r="637" spans="2:5" ht="15" customHeight="1">
      <c r="B637" s="84"/>
      <c r="C637" s="27" t="s">
        <v>143</v>
      </c>
      <c r="D637" s="26">
        <v>1</v>
      </c>
      <c r="E637" s="25">
        <v>1.3317352510320947E-4</v>
      </c>
    </row>
    <row r="638" spans="2:5" ht="15" customHeight="1">
      <c r="B638" s="84"/>
      <c r="C638" s="27" t="s">
        <v>141</v>
      </c>
      <c r="D638" s="26">
        <v>1</v>
      </c>
      <c r="E638" s="25">
        <v>1.3317352510320947E-4</v>
      </c>
    </row>
    <row r="639" spans="2:5" ht="15" customHeight="1">
      <c r="B639" s="84"/>
      <c r="C639" s="27" t="s">
        <v>135</v>
      </c>
      <c r="D639" s="26">
        <v>4</v>
      </c>
      <c r="E639" s="25">
        <v>5.3269410041283788E-4</v>
      </c>
    </row>
    <row r="640" spans="2:5" ht="15" customHeight="1">
      <c r="B640" s="84"/>
      <c r="C640" s="27" t="s">
        <v>133</v>
      </c>
      <c r="D640" s="26">
        <v>1</v>
      </c>
      <c r="E640" s="25">
        <v>1.3317352510320947E-4</v>
      </c>
    </row>
    <row r="641" spans="2:5" ht="15" customHeight="1">
      <c r="B641" s="85"/>
      <c r="C641" s="24" t="s">
        <v>53</v>
      </c>
      <c r="D641" s="23">
        <v>9</v>
      </c>
      <c r="E641" s="22">
        <v>1.1985617259288853E-3</v>
      </c>
    </row>
    <row r="642" spans="2:5" ht="15" customHeight="1">
      <c r="B642" s="83" t="s">
        <v>18</v>
      </c>
      <c r="C642" s="27" t="s">
        <v>149</v>
      </c>
      <c r="D642" s="26">
        <v>1</v>
      </c>
      <c r="E642" s="25">
        <v>1.3317352510320947E-4</v>
      </c>
    </row>
    <row r="643" spans="2:5" ht="15" customHeight="1">
      <c r="B643" s="84"/>
      <c r="C643" s="27" t="s">
        <v>144</v>
      </c>
      <c r="D643" s="26">
        <v>1</v>
      </c>
      <c r="E643" s="25">
        <v>1.3317352510320947E-4</v>
      </c>
    </row>
    <row r="644" spans="2:5" ht="15" customHeight="1">
      <c r="B644" s="84"/>
      <c r="C644" s="27" t="s">
        <v>143</v>
      </c>
      <c r="D644" s="26">
        <v>3</v>
      </c>
      <c r="E644" s="25">
        <v>3.9952057530962844E-4</v>
      </c>
    </row>
    <row r="645" spans="2:5" ht="15" customHeight="1">
      <c r="B645" s="84"/>
      <c r="C645" s="27" t="s">
        <v>142</v>
      </c>
      <c r="D645" s="26">
        <v>10</v>
      </c>
      <c r="E645" s="25">
        <v>1.3317352510320948E-3</v>
      </c>
    </row>
    <row r="646" spans="2:5" ht="15" customHeight="1">
      <c r="B646" s="84"/>
      <c r="C646" s="27" t="s">
        <v>140</v>
      </c>
      <c r="D646" s="26">
        <v>1</v>
      </c>
      <c r="E646" s="25">
        <v>1.3317352510320947E-4</v>
      </c>
    </row>
    <row r="647" spans="2:5" ht="15" customHeight="1">
      <c r="B647" s="84"/>
      <c r="C647" s="27" t="s">
        <v>139</v>
      </c>
      <c r="D647" s="26">
        <v>1</v>
      </c>
      <c r="E647" s="25">
        <v>1.3317352510320947E-4</v>
      </c>
    </row>
    <row r="648" spans="2:5" ht="15" customHeight="1">
      <c r="B648" s="84"/>
      <c r="C648" s="27" t="s">
        <v>138</v>
      </c>
      <c r="D648" s="26">
        <v>15</v>
      </c>
      <c r="E648" s="25">
        <v>1.997602876548142E-3</v>
      </c>
    </row>
    <row r="649" spans="2:5" ht="15" customHeight="1">
      <c r="B649" s="84"/>
      <c r="C649" s="27" t="s">
        <v>137</v>
      </c>
      <c r="D649" s="26">
        <v>1</v>
      </c>
      <c r="E649" s="25">
        <v>1.3317352510320947E-4</v>
      </c>
    </row>
    <row r="650" spans="2:5" ht="15" customHeight="1">
      <c r="B650" s="84"/>
      <c r="C650" s="27" t="s">
        <v>136</v>
      </c>
      <c r="D650" s="26">
        <v>6</v>
      </c>
      <c r="E650" s="25">
        <v>7.9904115061925688E-4</v>
      </c>
    </row>
    <row r="651" spans="2:5" ht="15" customHeight="1">
      <c r="B651" s="84"/>
      <c r="C651" s="27" t="s">
        <v>135</v>
      </c>
      <c r="D651" s="26">
        <v>7</v>
      </c>
      <c r="E651" s="25">
        <v>9.3221467572246637E-4</v>
      </c>
    </row>
    <row r="652" spans="2:5" ht="15" customHeight="1">
      <c r="B652" s="84"/>
      <c r="C652" s="27" t="s">
        <v>129</v>
      </c>
      <c r="D652" s="26">
        <v>1</v>
      </c>
      <c r="E652" s="25">
        <v>1.3317352510320947E-4</v>
      </c>
    </row>
    <row r="653" spans="2:5" ht="15" customHeight="1">
      <c r="B653" s="85"/>
      <c r="C653" s="24" t="s">
        <v>53</v>
      </c>
      <c r="D653" s="23">
        <v>47</v>
      </c>
      <c r="E653" s="22">
        <v>6.2591556798508455E-3</v>
      </c>
    </row>
    <row r="654" spans="2:5" ht="15" customHeight="1">
      <c r="B654" s="83" t="s">
        <v>64</v>
      </c>
      <c r="C654" s="27" t="s">
        <v>135</v>
      </c>
      <c r="D654" s="26">
        <v>1</v>
      </c>
      <c r="E654" s="25">
        <v>1.3317352510320947E-4</v>
      </c>
    </row>
    <row r="655" spans="2:5" ht="15" customHeight="1">
      <c r="B655" s="84"/>
      <c r="C655" s="27" t="s">
        <v>129</v>
      </c>
      <c r="D655" s="26">
        <v>1</v>
      </c>
      <c r="E655" s="25">
        <v>1.3317352510320947E-4</v>
      </c>
    </row>
    <row r="656" spans="2:5" ht="15" customHeight="1">
      <c r="B656" s="85"/>
      <c r="C656" s="24" t="s">
        <v>53</v>
      </c>
      <c r="D656" s="23">
        <v>2</v>
      </c>
      <c r="E656" s="22">
        <v>2.6634705020641894E-4</v>
      </c>
    </row>
    <row r="657" spans="2:5" ht="15" customHeight="1">
      <c r="B657" s="95" t="s">
        <v>53</v>
      </c>
      <c r="C657" s="96"/>
      <c r="D657" s="97">
        <v>7509</v>
      </c>
      <c r="E657" s="98">
        <v>1</v>
      </c>
    </row>
    <row r="659" spans="2:5" ht="15" customHeight="1">
      <c r="B659" s="17" t="s">
        <v>54</v>
      </c>
    </row>
    <row r="660" spans="2:5" ht="15" customHeight="1">
      <c r="B660" s="18" t="s">
        <v>55</v>
      </c>
    </row>
    <row r="661" spans="2:5" ht="15" customHeight="1">
      <c r="B661" s="19" t="s">
        <v>56</v>
      </c>
    </row>
    <row r="662" spans="2:5" ht="15" customHeight="1">
      <c r="B662" s="17" t="s">
        <v>57</v>
      </c>
    </row>
    <row r="663" spans="2:5" ht="15" customHeight="1">
      <c r="B663" s="17" t="s">
        <v>58</v>
      </c>
    </row>
  </sheetData>
  <mergeCells count="50">
    <mergeCell ref="B542:B562"/>
    <mergeCell ref="B563:B572"/>
    <mergeCell ref="B654:B656"/>
    <mergeCell ref="B657:C657"/>
    <mergeCell ref="B573:B587"/>
    <mergeCell ref="B588:B602"/>
    <mergeCell ref="B603:B619"/>
    <mergeCell ref="B620:B634"/>
    <mergeCell ref="B635:B641"/>
    <mergeCell ref="B642:B653"/>
    <mergeCell ref="B396:B411"/>
    <mergeCell ref="B412:B428"/>
    <mergeCell ref="B429:B443"/>
    <mergeCell ref="B444:B452"/>
    <mergeCell ref="B453:B461"/>
    <mergeCell ref="B462:B480"/>
    <mergeCell ref="B481:B496"/>
    <mergeCell ref="B497:B507"/>
    <mergeCell ref="B508:B524"/>
    <mergeCell ref="B525:B541"/>
    <mergeCell ref="B257:B258"/>
    <mergeCell ref="B259:B274"/>
    <mergeCell ref="B275:B298"/>
    <mergeCell ref="B299:B321"/>
    <mergeCell ref="B322:B333"/>
    <mergeCell ref="B334:B346"/>
    <mergeCell ref="B347:B356"/>
    <mergeCell ref="B357:B368"/>
    <mergeCell ref="B369:B378"/>
    <mergeCell ref="B379:B395"/>
    <mergeCell ref="B130:B131"/>
    <mergeCell ref="B132:B151"/>
    <mergeCell ref="B152:B162"/>
    <mergeCell ref="B163:B164"/>
    <mergeCell ref="B165:B175"/>
    <mergeCell ref="B176:B182"/>
    <mergeCell ref="B183:B202"/>
    <mergeCell ref="B203:B221"/>
    <mergeCell ref="B222:B238"/>
    <mergeCell ref="B239:B256"/>
    <mergeCell ref="B7:E8"/>
    <mergeCell ref="B10:B21"/>
    <mergeCell ref="B22:B41"/>
    <mergeCell ref="B42:B58"/>
    <mergeCell ref="B59:B70"/>
    <mergeCell ref="B71:B76"/>
    <mergeCell ref="B77:B84"/>
    <mergeCell ref="B85:B86"/>
    <mergeCell ref="B87:B108"/>
    <mergeCell ref="B109:B1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17" manualBreakCount="17">
    <brk id="41" max="4" man="1"/>
    <brk id="84" max="4" man="1"/>
    <brk id="108" max="4" man="1"/>
    <brk id="151" max="4" man="1"/>
    <brk id="182" max="4" man="1"/>
    <brk id="221" max="4" man="1"/>
    <brk id="258" max="4" man="1"/>
    <brk id="298" max="4" man="1"/>
    <brk id="333" max="4" man="1"/>
    <brk id="368" max="4" man="1"/>
    <brk id="411" max="4" man="1"/>
    <brk id="452" max="4" man="1"/>
    <brk id="496" max="4" man="1"/>
    <brk id="524" max="4" man="1"/>
    <brk id="562" max="4" man="1"/>
    <brk id="602" max="4" man="1"/>
    <brk id="641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D20"/>
  <sheetViews>
    <sheetView showGridLines="0" topLeftCell="A4" zoomScaleNormal="100" zoomScaleSheetLayoutView="115" workbookViewId="0"/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7" t="s">
        <v>165</v>
      </c>
      <c r="C7" s="87"/>
      <c r="D7" s="87"/>
    </row>
    <row r="8" spans="1:4" s="1" customFormat="1" ht="15" customHeight="1">
      <c r="B8" s="87"/>
      <c r="C8" s="87"/>
      <c r="D8" s="87"/>
    </row>
    <row r="9" spans="1:4" s="1" customFormat="1" ht="33" customHeight="1">
      <c r="B9" s="87"/>
      <c r="C9" s="87"/>
      <c r="D9" s="87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164</v>
      </c>
      <c r="C11" s="6" t="s">
        <v>3</v>
      </c>
      <c r="D11" s="7" t="s">
        <v>4</v>
      </c>
    </row>
    <row r="12" spans="1:4" ht="15" customHeight="1">
      <c r="B12" s="9" t="s">
        <v>163</v>
      </c>
      <c r="C12" s="10">
        <v>4766</v>
      </c>
      <c r="D12" s="11">
        <v>0.63470502064189638</v>
      </c>
    </row>
    <row r="13" spans="1:4" ht="15" customHeight="1">
      <c r="B13" s="9" t="s">
        <v>162</v>
      </c>
      <c r="C13" s="10">
        <v>2743</v>
      </c>
      <c r="D13" s="11">
        <v>0.36529497935810362</v>
      </c>
    </row>
    <row r="14" spans="1:4">
      <c r="B14" s="13" t="s">
        <v>161</v>
      </c>
      <c r="C14" s="14">
        <v>7509</v>
      </c>
      <c r="D14" s="15">
        <v>1</v>
      </c>
    </row>
    <row r="15" spans="1:4" s="12" customFormat="1">
      <c r="A15" s="8"/>
      <c r="C15" s="43"/>
      <c r="D15" s="43"/>
    </row>
    <row r="16" spans="1:4" s="12" customFormat="1">
      <c r="A16" s="8"/>
      <c r="B16" s="17" t="s">
        <v>54</v>
      </c>
      <c r="C16" s="43"/>
      <c r="D16" s="43"/>
    </row>
    <row r="17" spans="2:4">
      <c r="B17" s="18" t="s">
        <v>55</v>
      </c>
      <c r="C17" s="42"/>
      <c r="D17" s="42"/>
    </row>
    <row r="18" spans="2:4">
      <c r="B18" s="19" t="s">
        <v>56</v>
      </c>
      <c r="C18" s="41"/>
      <c r="D18" s="41"/>
    </row>
    <row r="19" spans="2:4">
      <c r="B19" s="17" t="s">
        <v>57</v>
      </c>
    </row>
    <row r="20" spans="2:4">
      <c r="B20" s="17" t="s">
        <v>58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F157"/>
  <sheetViews>
    <sheetView showGridLines="0" topLeftCell="A112" zoomScale="80" zoomScaleNormal="80" zoomScaleSheetLayoutView="100" workbookViewId="0">
      <selection activeCell="J15" sqref="J15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4.7109375" style="31" customWidth="1"/>
    <col min="4" max="4" width="23.5703125" style="44" customWidth="1"/>
    <col min="5" max="5" width="15.140625" style="31" bestFit="1" customWidth="1"/>
    <col min="6" max="6" width="5.7109375" style="1" customWidth="1"/>
    <col min="7" max="16384" width="11.42578125" style="1"/>
  </cols>
  <sheetData>
    <row r="1" spans="1:6" s="46" customFormat="1" ht="15">
      <c r="B1" s="35"/>
      <c r="C1" s="31"/>
    </row>
    <row r="2" spans="1:6" s="31" customFormat="1">
      <c r="B2" s="50"/>
    </row>
    <row r="3" spans="1:6" ht="15" customHeight="1">
      <c r="B3" s="51"/>
      <c r="C3" s="2"/>
      <c r="D3" s="1"/>
      <c r="F3" s="31"/>
    </row>
    <row r="4" spans="1:6" ht="30" customHeight="1">
      <c r="B4" s="51"/>
      <c r="C4" s="2"/>
      <c r="D4" s="1"/>
      <c r="F4" s="31"/>
    </row>
    <row r="5" spans="1:6" ht="15" customHeight="1">
      <c r="B5" s="51"/>
      <c r="C5" s="2"/>
      <c r="D5" s="1"/>
      <c r="F5" s="31"/>
    </row>
    <row r="6" spans="1:6" s="31" customFormat="1">
      <c r="B6" s="39"/>
      <c r="C6" s="33"/>
    </row>
    <row r="7" spans="1:6" s="31" customFormat="1">
      <c r="A7" s="35"/>
      <c r="B7" s="50"/>
      <c r="C7" s="35"/>
    </row>
    <row r="8" spans="1:6" s="46" customFormat="1" ht="15" customHeight="1">
      <c r="B8" s="91" t="s">
        <v>168</v>
      </c>
      <c r="C8" s="91"/>
      <c r="D8" s="91"/>
      <c r="E8" s="91"/>
    </row>
    <row r="9" spans="1:6" s="46" customFormat="1" ht="15" customHeight="1">
      <c r="A9" s="48"/>
      <c r="B9" s="91"/>
      <c r="C9" s="91"/>
      <c r="D9" s="91"/>
      <c r="E9" s="91"/>
      <c r="F9" s="49"/>
    </row>
    <row r="10" spans="1:6" s="46" customFormat="1" ht="15" customHeight="1">
      <c r="A10" s="48"/>
      <c r="B10" s="92"/>
      <c r="C10" s="92"/>
      <c r="D10" s="92"/>
      <c r="E10" s="92"/>
      <c r="F10" s="48"/>
    </row>
    <row r="11" spans="1:6" s="46" customFormat="1" ht="36.950000000000003" customHeight="1">
      <c r="B11" s="47" t="s">
        <v>108</v>
      </c>
      <c r="C11" s="47" t="s">
        <v>164</v>
      </c>
      <c r="D11" s="47" t="s">
        <v>3</v>
      </c>
      <c r="E11" s="47" t="s">
        <v>4</v>
      </c>
    </row>
    <row r="12" spans="1:6" ht="15" customHeight="1">
      <c r="B12" s="88" t="s">
        <v>71</v>
      </c>
      <c r="C12" s="45" t="s">
        <v>167</v>
      </c>
      <c r="D12" s="10">
        <v>58</v>
      </c>
      <c r="E12" s="11">
        <v>7.72406445598615E-3</v>
      </c>
    </row>
    <row r="13" spans="1:6" ht="15" customHeight="1">
      <c r="B13" s="89"/>
      <c r="C13" s="45" t="s">
        <v>166</v>
      </c>
      <c r="D13" s="10">
        <v>23</v>
      </c>
      <c r="E13" s="11">
        <v>3.062991077373818E-3</v>
      </c>
    </row>
    <row r="14" spans="1:6" ht="15" customHeight="1">
      <c r="B14" s="90"/>
      <c r="C14" s="72" t="s">
        <v>53</v>
      </c>
      <c r="D14" s="68">
        <v>81</v>
      </c>
      <c r="E14" s="69">
        <v>1.0787055533359968E-2</v>
      </c>
    </row>
    <row r="15" spans="1:6" ht="15" customHeight="1">
      <c r="B15" s="88" t="s">
        <v>103</v>
      </c>
      <c r="C15" s="45" t="s">
        <v>167</v>
      </c>
      <c r="D15" s="10">
        <v>157</v>
      </c>
      <c r="E15" s="11">
        <v>2.0908243441203889E-2</v>
      </c>
    </row>
    <row r="16" spans="1:6" ht="15" customHeight="1">
      <c r="B16" s="89"/>
      <c r="C16" s="45" t="s">
        <v>166</v>
      </c>
      <c r="D16" s="10">
        <v>83</v>
      </c>
      <c r="E16" s="11">
        <v>1.1053402583566387E-2</v>
      </c>
    </row>
    <row r="17" spans="1:6" s="31" customFormat="1" ht="15" customHeight="1">
      <c r="A17" s="1"/>
      <c r="B17" s="90"/>
      <c r="C17" s="72" t="s">
        <v>53</v>
      </c>
      <c r="D17" s="68">
        <v>240</v>
      </c>
      <c r="E17" s="69">
        <v>3.1961646024770272E-2</v>
      </c>
      <c r="F17" s="1"/>
    </row>
    <row r="18" spans="1:6" s="31" customFormat="1" ht="15" customHeight="1">
      <c r="A18" s="1"/>
      <c r="B18" s="88" t="s">
        <v>93</v>
      </c>
      <c r="C18" s="45" t="s">
        <v>167</v>
      </c>
      <c r="D18" s="10">
        <v>83</v>
      </c>
      <c r="E18" s="11">
        <v>1.1053402583566387E-2</v>
      </c>
      <c r="F18" s="1"/>
    </row>
    <row r="19" spans="1:6" s="31" customFormat="1" ht="15" customHeight="1">
      <c r="A19" s="1"/>
      <c r="B19" s="89"/>
      <c r="C19" s="45" t="s">
        <v>166</v>
      </c>
      <c r="D19" s="10">
        <v>39</v>
      </c>
      <c r="E19" s="11">
        <v>5.1937674790251695E-3</v>
      </c>
      <c r="F19" s="1"/>
    </row>
    <row r="20" spans="1:6" s="31" customFormat="1" ht="15" customHeight="1">
      <c r="A20" s="1"/>
      <c r="B20" s="90"/>
      <c r="C20" s="72" t="s">
        <v>53</v>
      </c>
      <c r="D20" s="68">
        <v>122</v>
      </c>
      <c r="E20" s="69">
        <v>1.6247170062591555E-2</v>
      </c>
      <c r="F20" s="1"/>
    </row>
    <row r="21" spans="1:6" s="31" customFormat="1" ht="15" customHeight="1">
      <c r="A21" s="1"/>
      <c r="B21" s="88" t="s">
        <v>69</v>
      </c>
      <c r="C21" s="45" t="s">
        <v>167</v>
      </c>
      <c r="D21" s="10">
        <v>30</v>
      </c>
      <c r="E21" s="11">
        <v>3.9952057530962841E-3</v>
      </c>
      <c r="F21" s="1"/>
    </row>
    <row r="22" spans="1:6" ht="13.5">
      <c r="B22" s="89"/>
      <c r="C22" s="45" t="s">
        <v>166</v>
      </c>
      <c r="D22" s="10">
        <v>15</v>
      </c>
      <c r="E22" s="11">
        <v>1.997602876548142E-3</v>
      </c>
    </row>
    <row r="23" spans="1:6" ht="13.5">
      <c r="B23" s="90"/>
      <c r="C23" s="72" t="s">
        <v>53</v>
      </c>
      <c r="D23" s="68">
        <v>45</v>
      </c>
      <c r="E23" s="69">
        <v>5.9928086296444265E-3</v>
      </c>
    </row>
    <row r="24" spans="1:6" ht="13.5">
      <c r="B24" s="88" t="s">
        <v>65</v>
      </c>
      <c r="C24" s="45" t="s">
        <v>167</v>
      </c>
      <c r="D24" s="10">
        <v>4</v>
      </c>
      <c r="E24" s="11">
        <v>5.3269410041283788E-4</v>
      </c>
    </row>
    <row r="25" spans="1:6" ht="13.5">
      <c r="B25" s="89"/>
      <c r="C25" s="45" t="s">
        <v>166</v>
      </c>
      <c r="D25" s="10">
        <v>2</v>
      </c>
      <c r="E25" s="11">
        <v>2.6634705020641894E-4</v>
      </c>
    </row>
    <row r="26" spans="1:6" ht="13.5">
      <c r="B26" s="90"/>
      <c r="C26" s="72" t="s">
        <v>53</v>
      </c>
      <c r="D26" s="68">
        <v>6</v>
      </c>
      <c r="E26" s="69">
        <v>7.9904115061925688E-4</v>
      </c>
    </row>
    <row r="27" spans="1:6" ht="13.5">
      <c r="B27" s="88" t="s">
        <v>70</v>
      </c>
      <c r="C27" s="45" t="s">
        <v>167</v>
      </c>
      <c r="D27" s="10">
        <v>6</v>
      </c>
      <c r="E27" s="11">
        <v>7.9904115061925688E-4</v>
      </c>
    </row>
    <row r="28" spans="1:6" ht="13.5">
      <c r="B28" s="89"/>
      <c r="C28" s="45" t="s">
        <v>166</v>
      </c>
      <c r="D28" s="10">
        <v>3</v>
      </c>
      <c r="E28" s="11">
        <v>3.9952057530962844E-4</v>
      </c>
    </row>
    <row r="29" spans="1:6" ht="13.5">
      <c r="B29" s="90"/>
      <c r="C29" s="72" t="s">
        <v>53</v>
      </c>
      <c r="D29" s="68">
        <v>9</v>
      </c>
      <c r="E29" s="69">
        <v>1.1985617259288853E-3</v>
      </c>
    </row>
    <row r="30" spans="1:6" ht="13.5">
      <c r="B30" s="88" t="s">
        <v>160</v>
      </c>
      <c r="C30" s="45" t="s">
        <v>167</v>
      </c>
      <c r="D30" s="10">
        <v>1</v>
      </c>
      <c r="E30" s="11">
        <v>1.3317352510320947E-4</v>
      </c>
    </row>
    <row r="31" spans="1:6" ht="13.5">
      <c r="B31" s="90"/>
      <c r="C31" s="72" t="s">
        <v>53</v>
      </c>
      <c r="D31" s="68">
        <v>1</v>
      </c>
      <c r="E31" s="69">
        <v>1.3317352510320947E-4</v>
      </c>
    </row>
    <row r="32" spans="1:6" ht="13.5">
      <c r="B32" s="88" t="s">
        <v>106</v>
      </c>
      <c r="C32" s="45" t="s">
        <v>167</v>
      </c>
      <c r="D32" s="10">
        <v>773</v>
      </c>
      <c r="E32" s="11">
        <v>0.10294313490478094</v>
      </c>
    </row>
    <row r="33" spans="2:5" ht="13.5">
      <c r="B33" s="89"/>
      <c r="C33" s="45" t="s">
        <v>166</v>
      </c>
      <c r="D33" s="10">
        <v>449</v>
      </c>
      <c r="E33" s="11">
        <v>5.9794912771341059E-2</v>
      </c>
    </row>
    <row r="34" spans="2:5" ht="13.5">
      <c r="B34" s="90"/>
      <c r="C34" s="72" t="s">
        <v>53</v>
      </c>
      <c r="D34" s="68">
        <v>1222</v>
      </c>
      <c r="E34" s="69">
        <v>0.16273804767612199</v>
      </c>
    </row>
    <row r="35" spans="2:5" ht="13.5">
      <c r="B35" s="88" t="s">
        <v>104</v>
      </c>
      <c r="C35" s="45" t="s">
        <v>167</v>
      </c>
      <c r="D35" s="10">
        <v>341</v>
      </c>
      <c r="E35" s="11">
        <v>4.5412172060194433E-2</v>
      </c>
    </row>
    <row r="36" spans="2:5" ht="13.5">
      <c r="B36" s="89"/>
      <c r="C36" s="45" t="s">
        <v>166</v>
      </c>
      <c r="D36" s="10">
        <v>176</v>
      </c>
      <c r="E36" s="11">
        <v>2.3438540418164868E-2</v>
      </c>
    </row>
    <row r="37" spans="2:5" ht="13.5">
      <c r="B37" s="90"/>
      <c r="C37" s="72" t="s">
        <v>53</v>
      </c>
      <c r="D37" s="68">
        <v>517</v>
      </c>
      <c r="E37" s="69">
        <v>6.8850712478359305E-2</v>
      </c>
    </row>
    <row r="38" spans="2:5" ht="13.5">
      <c r="B38" s="88" t="s">
        <v>159</v>
      </c>
      <c r="C38" s="45" t="s">
        <v>167</v>
      </c>
      <c r="D38" s="10">
        <v>1</v>
      </c>
      <c r="E38" s="11">
        <v>1.3317352510320947E-4</v>
      </c>
    </row>
    <row r="39" spans="2:5" ht="13.5">
      <c r="B39" s="90"/>
      <c r="C39" s="72" t="s">
        <v>53</v>
      </c>
      <c r="D39" s="68">
        <v>1</v>
      </c>
      <c r="E39" s="69">
        <v>1.3317352510320947E-4</v>
      </c>
    </row>
    <row r="40" spans="2:5" ht="13.5">
      <c r="B40" s="88" t="s">
        <v>88</v>
      </c>
      <c r="C40" s="45" t="s">
        <v>167</v>
      </c>
      <c r="D40" s="10">
        <v>343</v>
      </c>
      <c r="E40" s="11">
        <v>4.5678519110400849E-2</v>
      </c>
    </row>
    <row r="41" spans="2:5" ht="13.5">
      <c r="B41" s="89"/>
      <c r="C41" s="45" t="s">
        <v>166</v>
      </c>
      <c r="D41" s="10">
        <v>182</v>
      </c>
      <c r="E41" s="11">
        <v>2.4237581568784125E-2</v>
      </c>
    </row>
    <row r="42" spans="2:5" ht="13.5">
      <c r="B42" s="90"/>
      <c r="C42" s="72" t="s">
        <v>53</v>
      </c>
      <c r="D42" s="68">
        <v>525</v>
      </c>
      <c r="E42" s="69">
        <v>6.9916100679184981E-2</v>
      </c>
    </row>
    <row r="43" spans="2:5" ht="13.5">
      <c r="B43" s="88" t="s">
        <v>74</v>
      </c>
      <c r="C43" s="45" t="s">
        <v>167</v>
      </c>
      <c r="D43" s="10">
        <v>22</v>
      </c>
      <c r="E43" s="11">
        <v>2.9298175522706085E-3</v>
      </c>
    </row>
    <row r="44" spans="2:5" ht="13.5">
      <c r="B44" s="89"/>
      <c r="C44" s="45" t="s">
        <v>166</v>
      </c>
      <c r="D44" s="10">
        <v>16</v>
      </c>
      <c r="E44" s="11">
        <v>2.1307764016513515E-3</v>
      </c>
    </row>
    <row r="45" spans="2:5" ht="13.5">
      <c r="B45" s="90"/>
      <c r="C45" s="72" t="s">
        <v>53</v>
      </c>
      <c r="D45" s="68">
        <v>38</v>
      </c>
      <c r="E45" s="69">
        <v>5.06059395392196E-3</v>
      </c>
    </row>
    <row r="46" spans="2:5" ht="13.5">
      <c r="B46" s="88" t="s">
        <v>59</v>
      </c>
      <c r="C46" s="45" t="s">
        <v>167</v>
      </c>
      <c r="D46" s="10">
        <v>1</v>
      </c>
      <c r="E46" s="11">
        <v>1.3317352510320947E-4</v>
      </c>
    </row>
    <row r="47" spans="2:5" ht="13.5">
      <c r="B47" s="90"/>
      <c r="C47" s="72" t="s">
        <v>53</v>
      </c>
      <c r="D47" s="68">
        <v>1</v>
      </c>
      <c r="E47" s="69">
        <v>1.3317352510320947E-4</v>
      </c>
    </row>
    <row r="48" spans="2:5" ht="13.5">
      <c r="B48" s="88" t="s">
        <v>72</v>
      </c>
      <c r="C48" s="45" t="s">
        <v>167</v>
      </c>
      <c r="D48" s="10">
        <v>12</v>
      </c>
      <c r="E48" s="11">
        <v>1.5980823012385138E-3</v>
      </c>
    </row>
    <row r="49" spans="2:5" ht="13.5">
      <c r="B49" s="89"/>
      <c r="C49" s="45" t="s">
        <v>166</v>
      </c>
      <c r="D49" s="10">
        <v>16</v>
      </c>
      <c r="E49" s="11">
        <v>2.1307764016513515E-3</v>
      </c>
    </row>
    <row r="50" spans="2:5" ht="13.5">
      <c r="B50" s="90"/>
      <c r="C50" s="72" t="s">
        <v>53</v>
      </c>
      <c r="D50" s="68">
        <v>28</v>
      </c>
      <c r="E50" s="69">
        <v>3.7288587028898655E-3</v>
      </c>
    </row>
    <row r="51" spans="2:5" ht="13.5">
      <c r="B51" s="88" t="s">
        <v>85</v>
      </c>
      <c r="C51" s="45" t="s">
        <v>167</v>
      </c>
      <c r="D51" s="10">
        <v>14</v>
      </c>
      <c r="E51" s="11">
        <v>1.8644293514449327E-3</v>
      </c>
    </row>
    <row r="52" spans="2:5" ht="13.5">
      <c r="B52" s="89"/>
      <c r="C52" s="45" t="s">
        <v>166</v>
      </c>
      <c r="D52" s="10">
        <v>9</v>
      </c>
      <c r="E52" s="11">
        <v>1.1985617259288853E-3</v>
      </c>
    </row>
    <row r="53" spans="2:5" ht="13.5">
      <c r="B53" s="90"/>
      <c r="C53" s="72" t="s">
        <v>53</v>
      </c>
      <c r="D53" s="68">
        <v>23</v>
      </c>
      <c r="E53" s="69">
        <v>3.062991077373818E-3</v>
      </c>
    </row>
    <row r="54" spans="2:5" ht="13.5">
      <c r="B54" s="88" t="s">
        <v>101</v>
      </c>
      <c r="C54" s="45" t="s">
        <v>167</v>
      </c>
      <c r="D54" s="10">
        <v>95</v>
      </c>
      <c r="E54" s="11">
        <v>1.2651484884804901E-2</v>
      </c>
    </row>
    <row r="55" spans="2:5" ht="13.5">
      <c r="B55" s="89"/>
      <c r="C55" s="45" t="s">
        <v>166</v>
      </c>
      <c r="D55" s="10">
        <v>72</v>
      </c>
      <c r="E55" s="11">
        <v>9.5884938074310821E-3</v>
      </c>
    </row>
    <row r="56" spans="2:5" ht="13.5">
      <c r="B56" s="90"/>
      <c r="C56" s="72" t="s">
        <v>53</v>
      </c>
      <c r="D56" s="68">
        <v>167</v>
      </c>
      <c r="E56" s="69">
        <v>2.2239978692235984E-2</v>
      </c>
    </row>
    <row r="57" spans="2:5" ht="13.5">
      <c r="B57" s="88" t="s">
        <v>105</v>
      </c>
      <c r="C57" s="45" t="s">
        <v>167</v>
      </c>
      <c r="D57" s="10">
        <v>326</v>
      </c>
      <c r="E57" s="11">
        <v>4.3414569183646293E-2</v>
      </c>
    </row>
    <row r="58" spans="2:5" ht="13.5">
      <c r="B58" s="89"/>
      <c r="C58" s="45" t="s">
        <v>166</v>
      </c>
      <c r="D58" s="10">
        <v>185</v>
      </c>
      <c r="E58" s="11">
        <v>2.4637102144093755E-2</v>
      </c>
    </row>
    <row r="59" spans="2:5" ht="13.5">
      <c r="B59" s="90"/>
      <c r="C59" s="72" t="s">
        <v>53</v>
      </c>
      <c r="D59" s="68">
        <v>511</v>
      </c>
      <c r="E59" s="69">
        <v>6.8051671327740051E-2</v>
      </c>
    </row>
    <row r="60" spans="2:5" ht="13.5">
      <c r="B60" s="88" t="s">
        <v>158</v>
      </c>
      <c r="C60" s="45" t="s">
        <v>167</v>
      </c>
      <c r="D60" s="10">
        <v>97</v>
      </c>
      <c r="E60" s="11">
        <v>1.291783193501132E-2</v>
      </c>
    </row>
    <row r="61" spans="2:5" ht="13.5">
      <c r="B61" s="89"/>
      <c r="C61" s="45" t="s">
        <v>166</v>
      </c>
      <c r="D61" s="10">
        <v>58</v>
      </c>
      <c r="E61" s="11">
        <v>7.72406445598615E-3</v>
      </c>
    </row>
    <row r="62" spans="2:5" ht="13.5">
      <c r="B62" s="90"/>
      <c r="C62" s="72" t="s">
        <v>53</v>
      </c>
      <c r="D62" s="68">
        <v>155</v>
      </c>
      <c r="E62" s="69">
        <v>2.064189639099747E-2</v>
      </c>
    </row>
    <row r="63" spans="2:5" ht="13.5">
      <c r="B63" s="88" t="s">
        <v>84</v>
      </c>
      <c r="C63" s="45" t="s">
        <v>167</v>
      </c>
      <c r="D63" s="10">
        <v>98</v>
      </c>
      <c r="E63" s="11">
        <v>1.3051005460114529E-2</v>
      </c>
    </row>
    <row r="64" spans="2:5" ht="13.5">
      <c r="B64" s="89"/>
      <c r="C64" s="45" t="s">
        <v>166</v>
      </c>
      <c r="D64" s="10">
        <v>49</v>
      </c>
      <c r="E64" s="11">
        <v>6.5255027300572645E-3</v>
      </c>
    </row>
    <row r="65" spans="2:5" ht="13.5">
      <c r="B65" s="90"/>
      <c r="C65" s="72" t="s">
        <v>53</v>
      </c>
      <c r="D65" s="68">
        <v>147</v>
      </c>
      <c r="E65" s="69">
        <v>1.9576508190171794E-2</v>
      </c>
    </row>
    <row r="66" spans="2:5" ht="13.5">
      <c r="B66" s="88" t="s">
        <v>68</v>
      </c>
      <c r="C66" s="45" t="s">
        <v>166</v>
      </c>
      <c r="D66" s="10">
        <v>1</v>
      </c>
      <c r="E66" s="11">
        <v>1.3317352510320947E-4</v>
      </c>
    </row>
    <row r="67" spans="2:5" ht="13.5">
      <c r="B67" s="90"/>
      <c r="C67" s="72" t="s">
        <v>53</v>
      </c>
      <c r="D67" s="68">
        <v>1</v>
      </c>
      <c r="E67" s="69">
        <v>1.3317352510320947E-4</v>
      </c>
    </row>
    <row r="68" spans="2:5" ht="13.5">
      <c r="B68" s="88" t="s">
        <v>91</v>
      </c>
      <c r="C68" s="45" t="s">
        <v>167</v>
      </c>
      <c r="D68" s="10">
        <v>78</v>
      </c>
      <c r="E68" s="11">
        <v>1.0387534958050339E-2</v>
      </c>
    </row>
    <row r="69" spans="2:5" ht="13.5">
      <c r="B69" s="89"/>
      <c r="C69" s="45" t="s">
        <v>166</v>
      </c>
      <c r="D69" s="10">
        <v>80</v>
      </c>
      <c r="E69" s="11">
        <v>1.0653882008256758E-2</v>
      </c>
    </row>
    <row r="70" spans="2:5" ht="13.5">
      <c r="B70" s="90"/>
      <c r="C70" s="72" t="s">
        <v>53</v>
      </c>
      <c r="D70" s="68">
        <v>158</v>
      </c>
      <c r="E70" s="69">
        <v>2.1041416966307097E-2</v>
      </c>
    </row>
    <row r="71" spans="2:5" ht="13.5">
      <c r="B71" s="88" t="s">
        <v>95</v>
      </c>
      <c r="C71" s="45" t="s">
        <v>167</v>
      </c>
      <c r="D71" s="10">
        <v>569</v>
      </c>
      <c r="E71" s="11">
        <v>7.5775735783726192E-2</v>
      </c>
    </row>
    <row r="72" spans="2:5" ht="13.5">
      <c r="B72" s="89"/>
      <c r="C72" s="45" t="s">
        <v>166</v>
      </c>
      <c r="D72" s="10">
        <v>337</v>
      </c>
      <c r="E72" s="11">
        <v>4.4879477959781595E-2</v>
      </c>
    </row>
    <row r="73" spans="2:5" ht="13.5">
      <c r="B73" s="90"/>
      <c r="C73" s="72" t="s">
        <v>53</v>
      </c>
      <c r="D73" s="68">
        <v>906</v>
      </c>
      <c r="E73" s="69">
        <v>0.12065521374350779</v>
      </c>
    </row>
    <row r="74" spans="2:5" ht="13.5">
      <c r="B74" s="88" t="s">
        <v>157</v>
      </c>
      <c r="C74" s="45" t="s">
        <v>167</v>
      </c>
      <c r="D74" s="10">
        <v>399</v>
      </c>
      <c r="E74" s="11">
        <v>5.3136236516180581E-2</v>
      </c>
    </row>
    <row r="75" spans="2:5" ht="13.5">
      <c r="B75" s="89"/>
      <c r="C75" s="45" t="s">
        <v>166</v>
      </c>
      <c r="D75" s="10">
        <v>279</v>
      </c>
      <c r="E75" s="11">
        <v>3.7155413503795448E-2</v>
      </c>
    </row>
    <row r="76" spans="2:5" ht="13.5">
      <c r="B76" s="90"/>
      <c r="C76" s="72" t="s">
        <v>53</v>
      </c>
      <c r="D76" s="68">
        <v>678</v>
      </c>
      <c r="E76" s="69">
        <v>9.0291650019976022E-2</v>
      </c>
    </row>
    <row r="77" spans="2:5" ht="13.5">
      <c r="B77" s="88" t="s">
        <v>156</v>
      </c>
      <c r="C77" s="45" t="s">
        <v>167</v>
      </c>
      <c r="D77" s="10">
        <v>22</v>
      </c>
      <c r="E77" s="11">
        <v>2.9298175522706085E-3</v>
      </c>
    </row>
    <row r="78" spans="2:5" ht="13.5">
      <c r="B78" s="89"/>
      <c r="C78" s="45" t="s">
        <v>166</v>
      </c>
      <c r="D78" s="10">
        <v>20</v>
      </c>
      <c r="E78" s="11">
        <v>2.6634705020641895E-3</v>
      </c>
    </row>
    <row r="79" spans="2:5" ht="13.5">
      <c r="B79" s="90"/>
      <c r="C79" s="72" t="s">
        <v>53</v>
      </c>
      <c r="D79" s="68">
        <v>42</v>
      </c>
      <c r="E79" s="69">
        <v>5.593288054334798E-3</v>
      </c>
    </row>
    <row r="80" spans="2:5" ht="13.5">
      <c r="B80" s="88" t="s">
        <v>81</v>
      </c>
      <c r="C80" s="45" t="s">
        <v>167</v>
      </c>
      <c r="D80" s="10">
        <v>42</v>
      </c>
      <c r="E80" s="11">
        <v>5.593288054334798E-3</v>
      </c>
    </row>
    <row r="81" spans="2:5" ht="13.5">
      <c r="B81" s="89"/>
      <c r="C81" s="45" t="s">
        <v>166</v>
      </c>
      <c r="D81" s="10">
        <v>15</v>
      </c>
      <c r="E81" s="11">
        <v>1.997602876548142E-3</v>
      </c>
    </row>
    <row r="82" spans="2:5" ht="13.5">
      <c r="B82" s="90"/>
      <c r="C82" s="72" t="s">
        <v>53</v>
      </c>
      <c r="D82" s="68">
        <v>57</v>
      </c>
      <c r="E82" s="69">
        <v>7.5908909308829405E-3</v>
      </c>
    </row>
    <row r="83" spans="2:5" ht="13.5">
      <c r="B83" s="88" t="s">
        <v>80</v>
      </c>
      <c r="C83" s="45" t="s">
        <v>167</v>
      </c>
      <c r="D83" s="10">
        <v>31</v>
      </c>
      <c r="E83" s="11">
        <v>4.1283792781994936E-3</v>
      </c>
    </row>
    <row r="84" spans="2:5" ht="13.5">
      <c r="B84" s="89"/>
      <c r="C84" s="45" t="s">
        <v>166</v>
      </c>
      <c r="D84" s="10">
        <v>30</v>
      </c>
      <c r="E84" s="11">
        <v>3.9952057530962841E-3</v>
      </c>
    </row>
    <row r="85" spans="2:5" ht="13.5">
      <c r="B85" s="90"/>
      <c r="C85" s="72" t="s">
        <v>53</v>
      </c>
      <c r="D85" s="68">
        <v>61</v>
      </c>
      <c r="E85" s="69">
        <v>8.1235850312957776E-3</v>
      </c>
    </row>
    <row r="86" spans="2:5" ht="13.5">
      <c r="B86" s="88" t="s">
        <v>73</v>
      </c>
      <c r="C86" s="45" t="s">
        <v>167</v>
      </c>
      <c r="D86" s="10">
        <v>31</v>
      </c>
      <c r="E86" s="11">
        <v>4.1283792781994936E-3</v>
      </c>
    </row>
    <row r="87" spans="2:5" ht="13.5">
      <c r="B87" s="89"/>
      <c r="C87" s="45" t="s">
        <v>166</v>
      </c>
      <c r="D87" s="10">
        <v>17</v>
      </c>
      <c r="E87" s="11">
        <v>2.263949926754561E-3</v>
      </c>
    </row>
    <row r="88" spans="2:5" ht="13.5">
      <c r="B88" s="90"/>
      <c r="C88" s="72" t="s">
        <v>53</v>
      </c>
      <c r="D88" s="68">
        <v>48</v>
      </c>
      <c r="E88" s="69">
        <v>6.392329204954055E-3</v>
      </c>
    </row>
    <row r="89" spans="2:5" ht="13.5">
      <c r="B89" s="88" t="s">
        <v>102</v>
      </c>
      <c r="C89" s="45" t="s">
        <v>167</v>
      </c>
      <c r="D89" s="10">
        <v>32</v>
      </c>
      <c r="E89" s="11">
        <v>4.2615528033027031E-3</v>
      </c>
    </row>
    <row r="90" spans="2:5" ht="13.5">
      <c r="B90" s="89"/>
      <c r="C90" s="45" t="s">
        <v>166</v>
      </c>
      <c r="D90" s="10">
        <v>7</v>
      </c>
      <c r="E90" s="11">
        <v>9.3221467572246637E-4</v>
      </c>
    </row>
    <row r="91" spans="2:5" ht="13.5">
      <c r="B91" s="90"/>
      <c r="C91" s="72" t="s">
        <v>53</v>
      </c>
      <c r="D91" s="68">
        <v>39</v>
      </c>
      <c r="E91" s="69">
        <v>5.1937674790251695E-3</v>
      </c>
    </row>
    <row r="92" spans="2:5" ht="13.5">
      <c r="B92" s="88" t="s">
        <v>75</v>
      </c>
      <c r="C92" s="45" t="s">
        <v>167</v>
      </c>
      <c r="D92" s="10">
        <v>84</v>
      </c>
      <c r="E92" s="11">
        <v>1.1186576108669596E-2</v>
      </c>
    </row>
    <row r="93" spans="2:5" ht="13.5">
      <c r="B93" s="89"/>
      <c r="C93" s="45" t="s">
        <v>166</v>
      </c>
      <c r="D93" s="10">
        <v>37</v>
      </c>
      <c r="E93" s="11">
        <v>4.9274204288187505E-3</v>
      </c>
    </row>
    <row r="94" spans="2:5" ht="13.5">
      <c r="B94" s="90"/>
      <c r="C94" s="72" t="s">
        <v>53</v>
      </c>
      <c r="D94" s="68">
        <v>121</v>
      </c>
      <c r="E94" s="69">
        <v>1.6113996537488347E-2</v>
      </c>
    </row>
    <row r="95" spans="2:5" ht="13.5">
      <c r="B95" s="88" t="s">
        <v>94</v>
      </c>
      <c r="C95" s="45" t="s">
        <v>167</v>
      </c>
      <c r="D95" s="10">
        <v>100</v>
      </c>
      <c r="E95" s="11">
        <v>1.3317352510320948E-2</v>
      </c>
    </row>
    <row r="96" spans="2:5" ht="13.5">
      <c r="B96" s="89"/>
      <c r="C96" s="45" t="s">
        <v>166</v>
      </c>
      <c r="D96" s="10">
        <v>29</v>
      </c>
      <c r="E96" s="11">
        <v>3.862032227993075E-3</v>
      </c>
    </row>
    <row r="97" spans="2:5" ht="13.5">
      <c r="B97" s="90"/>
      <c r="C97" s="72" t="s">
        <v>53</v>
      </c>
      <c r="D97" s="68">
        <v>129</v>
      </c>
      <c r="E97" s="69">
        <v>1.7179384738314023E-2</v>
      </c>
    </row>
    <row r="98" spans="2:5" ht="13.5">
      <c r="B98" s="88" t="s">
        <v>90</v>
      </c>
      <c r="C98" s="45" t="s">
        <v>167</v>
      </c>
      <c r="D98" s="10">
        <v>77</v>
      </c>
      <c r="E98" s="11">
        <v>1.025436143294713E-2</v>
      </c>
    </row>
    <row r="99" spans="2:5" ht="13.5">
      <c r="B99" s="89"/>
      <c r="C99" s="45" t="s">
        <v>166</v>
      </c>
      <c r="D99" s="10">
        <v>40</v>
      </c>
      <c r="E99" s="11">
        <v>5.326941004128379E-3</v>
      </c>
    </row>
    <row r="100" spans="2:5" ht="13.5">
      <c r="B100" s="90"/>
      <c r="C100" s="72" t="s">
        <v>53</v>
      </c>
      <c r="D100" s="68">
        <v>117</v>
      </c>
      <c r="E100" s="69">
        <v>1.5581302437075509E-2</v>
      </c>
    </row>
    <row r="101" spans="2:5" ht="13.5">
      <c r="B101" s="88" t="s">
        <v>78</v>
      </c>
      <c r="C101" s="45" t="s">
        <v>167</v>
      </c>
      <c r="D101" s="10">
        <v>34</v>
      </c>
      <c r="E101" s="11">
        <v>4.527899853509122E-3</v>
      </c>
    </row>
    <row r="102" spans="2:5" ht="13.5">
      <c r="B102" s="89"/>
      <c r="C102" s="45" t="s">
        <v>166</v>
      </c>
      <c r="D102" s="10">
        <v>16</v>
      </c>
      <c r="E102" s="11">
        <v>2.1307764016513515E-3</v>
      </c>
    </row>
    <row r="103" spans="2:5" ht="13.5">
      <c r="B103" s="90"/>
      <c r="C103" s="72" t="s">
        <v>53</v>
      </c>
      <c r="D103" s="68">
        <v>50</v>
      </c>
      <c r="E103" s="69">
        <v>6.658676255160474E-3</v>
      </c>
    </row>
    <row r="104" spans="2:5" ht="13.5">
      <c r="B104" s="88" t="s">
        <v>82</v>
      </c>
      <c r="C104" s="45" t="s">
        <v>167</v>
      </c>
      <c r="D104" s="10">
        <v>21</v>
      </c>
      <c r="E104" s="11">
        <v>2.796644027167399E-3</v>
      </c>
    </row>
    <row r="105" spans="2:5" ht="13.5">
      <c r="B105" s="89"/>
      <c r="C105" s="45" t="s">
        <v>166</v>
      </c>
      <c r="D105" s="10">
        <v>15</v>
      </c>
      <c r="E105" s="11">
        <v>1.997602876548142E-3</v>
      </c>
    </row>
    <row r="106" spans="2:5" ht="13.5">
      <c r="B106" s="90"/>
      <c r="C106" s="72" t="s">
        <v>53</v>
      </c>
      <c r="D106" s="68">
        <v>36</v>
      </c>
      <c r="E106" s="69">
        <v>4.794246903715541E-3</v>
      </c>
    </row>
    <row r="107" spans="2:5" ht="13.5">
      <c r="B107" s="88" t="s">
        <v>66</v>
      </c>
      <c r="C107" s="45" t="s">
        <v>167</v>
      </c>
      <c r="D107" s="10">
        <v>12</v>
      </c>
      <c r="E107" s="11">
        <v>1.5980823012385138E-3</v>
      </c>
    </row>
    <row r="108" spans="2:5" ht="13.5">
      <c r="B108" s="89"/>
      <c r="C108" s="45" t="s">
        <v>166</v>
      </c>
      <c r="D108" s="10">
        <v>4</v>
      </c>
      <c r="E108" s="11">
        <v>5.3269410041283788E-4</v>
      </c>
    </row>
    <row r="109" spans="2:5" ht="13.5">
      <c r="B109" s="90"/>
      <c r="C109" s="72" t="s">
        <v>53</v>
      </c>
      <c r="D109" s="68">
        <v>16</v>
      </c>
      <c r="E109" s="69">
        <v>2.1307764016513515E-3</v>
      </c>
    </row>
    <row r="110" spans="2:5" ht="13.5">
      <c r="B110" s="88" t="s">
        <v>100</v>
      </c>
      <c r="C110" s="45" t="s">
        <v>167</v>
      </c>
      <c r="D110" s="10">
        <v>93</v>
      </c>
      <c r="E110" s="11">
        <v>1.2385137834598482E-2</v>
      </c>
    </row>
    <row r="111" spans="2:5" ht="13.5">
      <c r="B111" s="89"/>
      <c r="C111" s="45" t="s">
        <v>166</v>
      </c>
      <c r="D111" s="10">
        <v>45</v>
      </c>
      <c r="E111" s="11">
        <v>5.9928086296444265E-3</v>
      </c>
    </row>
    <row r="112" spans="2:5" ht="13.5">
      <c r="B112" s="90"/>
      <c r="C112" s="72" t="s">
        <v>53</v>
      </c>
      <c r="D112" s="68">
        <v>138</v>
      </c>
      <c r="E112" s="69">
        <v>1.8377946464242907E-2</v>
      </c>
    </row>
    <row r="113" spans="2:5" ht="13.5">
      <c r="B113" s="88" t="s">
        <v>92</v>
      </c>
      <c r="C113" s="45" t="s">
        <v>167</v>
      </c>
      <c r="D113" s="10">
        <v>54</v>
      </c>
      <c r="E113" s="11">
        <v>7.191370355573312E-3</v>
      </c>
    </row>
    <row r="114" spans="2:5" ht="13.5">
      <c r="B114" s="89"/>
      <c r="C114" s="45" t="s">
        <v>166</v>
      </c>
      <c r="D114" s="10">
        <v>32</v>
      </c>
      <c r="E114" s="11">
        <v>4.2615528033027031E-3</v>
      </c>
    </row>
    <row r="115" spans="2:5" ht="13.5">
      <c r="B115" s="90"/>
      <c r="C115" s="72" t="s">
        <v>53</v>
      </c>
      <c r="D115" s="68">
        <v>86</v>
      </c>
      <c r="E115" s="69">
        <v>1.1452923158876015E-2</v>
      </c>
    </row>
    <row r="116" spans="2:5" ht="13.5">
      <c r="B116" s="88" t="s">
        <v>77</v>
      </c>
      <c r="C116" s="45" t="s">
        <v>167</v>
      </c>
      <c r="D116" s="10">
        <v>28</v>
      </c>
      <c r="E116" s="11">
        <v>3.7288587028898655E-3</v>
      </c>
    </row>
    <row r="117" spans="2:5" ht="13.5">
      <c r="B117" s="89"/>
      <c r="C117" s="45" t="s">
        <v>166</v>
      </c>
      <c r="D117" s="10">
        <v>8</v>
      </c>
      <c r="E117" s="11">
        <v>1.0653882008256758E-3</v>
      </c>
    </row>
    <row r="118" spans="2:5" ht="13.5">
      <c r="B118" s="90"/>
      <c r="C118" s="72" t="s">
        <v>53</v>
      </c>
      <c r="D118" s="68">
        <v>36</v>
      </c>
      <c r="E118" s="69">
        <v>4.794246903715541E-3</v>
      </c>
    </row>
    <row r="119" spans="2:5" ht="13.5">
      <c r="B119" s="88" t="s">
        <v>79</v>
      </c>
      <c r="C119" s="45" t="s">
        <v>167</v>
      </c>
      <c r="D119" s="10">
        <v>53</v>
      </c>
      <c r="E119" s="11">
        <v>7.0581968304701025E-3</v>
      </c>
    </row>
    <row r="120" spans="2:5" ht="13.5">
      <c r="B120" s="89"/>
      <c r="C120" s="45" t="s">
        <v>166</v>
      </c>
      <c r="D120" s="10">
        <v>33</v>
      </c>
      <c r="E120" s="11">
        <v>4.3947263284059125E-3</v>
      </c>
    </row>
    <row r="121" spans="2:5" ht="13.5">
      <c r="B121" s="90"/>
      <c r="C121" s="72" t="s">
        <v>53</v>
      </c>
      <c r="D121" s="68">
        <v>86</v>
      </c>
      <c r="E121" s="69">
        <v>1.1452923158876015E-2</v>
      </c>
    </row>
    <row r="122" spans="2:5" ht="13.5">
      <c r="B122" s="88" t="s">
        <v>87</v>
      </c>
      <c r="C122" s="45" t="s">
        <v>167</v>
      </c>
      <c r="D122" s="10">
        <v>75</v>
      </c>
      <c r="E122" s="11">
        <v>9.9880143827407106E-3</v>
      </c>
    </row>
    <row r="123" spans="2:5" ht="13.5">
      <c r="B123" s="89"/>
      <c r="C123" s="45" t="s">
        <v>166</v>
      </c>
      <c r="D123" s="10">
        <v>26</v>
      </c>
      <c r="E123" s="11">
        <v>3.4625116526834465E-3</v>
      </c>
    </row>
    <row r="124" spans="2:5" ht="13.5">
      <c r="B124" s="90"/>
      <c r="C124" s="72" t="s">
        <v>53</v>
      </c>
      <c r="D124" s="68">
        <v>101</v>
      </c>
      <c r="E124" s="69">
        <v>1.3450526035424158E-2</v>
      </c>
    </row>
    <row r="125" spans="2:5" ht="13.5">
      <c r="B125" s="88" t="s">
        <v>99</v>
      </c>
      <c r="C125" s="45" t="s">
        <v>167</v>
      </c>
      <c r="D125" s="10">
        <v>159</v>
      </c>
      <c r="E125" s="11">
        <v>2.1174590491410308E-2</v>
      </c>
    </row>
    <row r="126" spans="2:5" ht="13.5">
      <c r="B126" s="89"/>
      <c r="C126" s="45" t="s">
        <v>166</v>
      </c>
      <c r="D126" s="10">
        <v>124</v>
      </c>
      <c r="E126" s="11">
        <v>1.6513517112797974E-2</v>
      </c>
    </row>
    <row r="127" spans="2:5" ht="13.5">
      <c r="B127" s="90"/>
      <c r="C127" s="72" t="s">
        <v>53</v>
      </c>
      <c r="D127" s="68">
        <v>283</v>
      </c>
      <c r="E127" s="69">
        <v>3.7688107604208286E-2</v>
      </c>
    </row>
    <row r="128" spans="2:5" ht="13.5">
      <c r="B128" s="88" t="s">
        <v>83</v>
      </c>
      <c r="C128" s="45" t="s">
        <v>167</v>
      </c>
      <c r="D128" s="10">
        <v>13</v>
      </c>
      <c r="E128" s="11">
        <v>1.7312558263417232E-3</v>
      </c>
    </row>
    <row r="129" spans="2:5" ht="13.5">
      <c r="B129" s="89"/>
      <c r="C129" s="45" t="s">
        <v>166</v>
      </c>
      <c r="D129" s="10">
        <v>14</v>
      </c>
      <c r="E129" s="11">
        <v>1.8644293514449327E-3</v>
      </c>
    </row>
    <row r="130" spans="2:5" ht="13.5">
      <c r="B130" s="90"/>
      <c r="C130" s="72" t="s">
        <v>53</v>
      </c>
      <c r="D130" s="68">
        <v>27</v>
      </c>
      <c r="E130" s="69">
        <v>3.595685177786656E-3</v>
      </c>
    </row>
    <row r="131" spans="2:5" ht="13.5">
      <c r="B131" s="88" t="s">
        <v>96</v>
      </c>
      <c r="C131" s="45" t="s">
        <v>167</v>
      </c>
      <c r="D131" s="10">
        <v>63</v>
      </c>
      <c r="E131" s="11">
        <v>8.3899320815021966E-3</v>
      </c>
    </row>
    <row r="132" spans="2:5" ht="13.5">
      <c r="B132" s="89"/>
      <c r="C132" s="45" t="s">
        <v>166</v>
      </c>
      <c r="D132" s="10">
        <v>36</v>
      </c>
      <c r="E132" s="11">
        <v>4.794246903715541E-3</v>
      </c>
    </row>
    <row r="133" spans="2:5" ht="13.5">
      <c r="B133" s="90"/>
      <c r="C133" s="72" t="s">
        <v>53</v>
      </c>
      <c r="D133" s="68">
        <v>99</v>
      </c>
      <c r="E133" s="69">
        <v>1.3184178985217739E-2</v>
      </c>
    </row>
    <row r="134" spans="2:5" ht="13.5">
      <c r="B134" s="88" t="s">
        <v>154</v>
      </c>
      <c r="C134" s="45" t="s">
        <v>167</v>
      </c>
      <c r="D134" s="10">
        <v>43</v>
      </c>
      <c r="E134" s="11">
        <v>5.7264615794380075E-3</v>
      </c>
    </row>
    <row r="135" spans="2:5" ht="13.5">
      <c r="B135" s="89"/>
      <c r="C135" s="45" t="s">
        <v>166</v>
      </c>
      <c r="D135" s="10">
        <v>27</v>
      </c>
      <c r="E135" s="11">
        <v>3.595685177786656E-3</v>
      </c>
    </row>
    <row r="136" spans="2:5" ht="13.5">
      <c r="B136" s="90"/>
      <c r="C136" s="72" t="s">
        <v>53</v>
      </c>
      <c r="D136" s="68">
        <v>70</v>
      </c>
      <c r="E136" s="69">
        <v>9.3221467572246631E-3</v>
      </c>
    </row>
    <row r="137" spans="2:5" ht="13.5">
      <c r="B137" s="88" t="s">
        <v>98</v>
      </c>
      <c r="C137" s="45" t="s">
        <v>167</v>
      </c>
      <c r="D137" s="10">
        <v>74</v>
      </c>
      <c r="E137" s="11">
        <v>9.8548408576375011E-3</v>
      </c>
    </row>
    <row r="138" spans="2:5" ht="13.5">
      <c r="B138" s="89"/>
      <c r="C138" s="45" t="s">
        <v>166</v>
      </c>
      <c r="D138" s="10">
        <v>68</v>
      </c>
      <c r="E138" s="11">
        <v>9.0557997070182441E-3</v>
      </c>
    </row>
    <row r="139" spans="2:5" ht="13.5">
      <c r="B139" s="90"/>
      <c r="C139" s="72" t="s">
        <v>53</v>
      </c>
      <c r="D139" s="68">
        <v>142</v>
      </c>
      <c r="E139" s="69">
        <v>1.8910640564655745E-2</v>
      </c>
    </row>
    <row r="140" spans="2:5" ht="13.5">
      <c r="B140" s="88" t="s">
        <v>76</v>
      </c>
      <c r="C140" s="45" t="s">
        <v>167</v>
      </c>
      <c r="D140" s="10">
        <v>73</v>
      </c>
      <c r="E140" s="11">
        <v>9.7216673325342916E-3</v>
      </c>
    </row>
    <row r="141" spans="2:5" ht="13.5">
      <c r="B141" s="89"/>
      <c r="C141" s="45" t="s">
        <v>166</v>
      </c>
      <c r="D141" s="10">
        <v>12</v>
      </c>
      <c r="E141" s="11">
        <v>1.5980823012385138E-3</v>
      </c>
    </row>
    <row r="142" spans="2:5" ht="13.5">
      <c r="B142" s="90"/>
      <c r="C142" s="72" t="s">
        <v>53</v>
      </c>
      <c r="D142" s="68">
        <v>85</v>
      </c>
      <c r="E142" s="69">
        <v>1.1319749633772806E-2</v>
      </c>
    </row>
    <row r="143" spans="2:5" ht="13.5">
      <c r="B143" s="88" t="s">
        <v>67</v>
      </c>
      <c r="C143" s="45" t="s">
        <v>167</v>
      </c>
      <c r="D143" s="10">
        <v>6</v>
      </c>
      <c r="E143" s="11">
        <v>7.9904115061925688E-4</v>
      </c>
    </row>
    <row r="144" spans="2:5" ht="13.5">
      <c r="B144" s="89"/>
      <c r="C144" s="45" t="s">
        <v>166</v>
      </c>
      <c r="D144" s="10">
        <v>3</v>
      </c>
      <c r="E144" s="11">
        <v>3.9952057530962844E-4</v>
      </c>
    </row>
    <row r="145" spans="2:5" ht="13.5">
      <c r="B145" s="90"/>
      <c r="C145" s="72" t="s">
        <v>53</v>
      </c>
      <c r="D145" s="68">
        <v>9</v>
      </c>
      <c r="E145" s="69">
        <v>1.1985617259288853E-3</v>
      </c>
    </row>
    <row r="146" spans="2:5" ht="13.5">
      <c r="B146" s="88" t="s">
        <v>18</v>
      </c>
      <c r="C146" s="45" t="s">
        <v>167</v>
      </c>
      <c r="D146" s="10">
        <v>38</v>
      </c>
      <c r="E146" s="11">
        <v>5.06059395392196E-3</v>
      </c>
    </row>
    <row r="147" spans="2:5" ht="13.5">
      <c r="B147" s="89"/>
      <c r="C147" s="45" t="s">
        <v>166</v>
      </c>
      <c r="D147" s="10">
        <v>9</v>
      </c>
      <c r="E147" s="11">
        <v>1.1985617259288853E-3</v>
      </c>
    </row>
    <row r="148" spans="2:5" ht="13.5">
      <c r="B148" s="90"/>
      <c r="C148" s="72" t="s">
        <v>53</v>
      </c>
      <c r="D148" s="68">
        <v>47</v>
      </c>
      <c r="E148" s="69">
        <v>6.2591556798508455E-3</v>
      </c>
    </row>
    <row r="149" spans="2:5" ht="13.5">
      <c r="B149" s="88" t="s">
        <v>64</v>
      </c>
      <c r="C149" s="45" t="s">
        <v>166</v>
      </c>
      <c r="D149" s="10">
        <v>2</v>
      </c>
      <c r="E149" s="11">
        <v>2.6634705020641894E-4</v>
      </c>
    </row>
    <row r="150" spans="2:5" ht="13.5">
      <c r="B150" s="90"/>
      <c r="C150" s="72" t="s">
        <v>53</v>
      </c>
      <c r="D150" s="68">
        <v>2</v>
      </c>
      <c r="E150" s="69">
        <v>2.6634705020641894E-4</v>
      </c>
    </row>
    <row r="151" spans="2:5" ht="13.5">
      <c r="B151" s="93" t="s">
        <v>161</v>
      </c>
      <c r="C151" s="94"/>
      <c r="D151" s="14">
        <v>7509</v>
      </c>
      <c r="E151" s="15">
        <v>1</v>
      </c>
    </row>
    <row r="153" spans="2:5">
      <c r="B153" s="17" t="s">
        <v>54</v>
      </c>
    </row>
    <row r="154" spans="2:5">
      <c r="B154" s="18" t="s">
        <v>55</v>
      </c>
    </row>
    <row r="155" spans="2:5">
      <c r="B155" s="19" t="s">
        <v>56</v>
      </c>
    </row>
    <row r="156" spans="2:5">
      <c r="B156" s="17" t="s">
        <v>57</v>
      </c>
    </row>
    <row r="157" spans="2:5">
      <c r="B157" s="17" t="s">
        <v>58</v>
      </c>
    </row>
  </sheetData>
  <mergeCells count="50">
    <mergeCell ref="B125:B127"/>
    <mergeCell ref="B128:B130"/>
    <mergeCell ref="B149:B150"/>
    <mergeCell ref="B151:C151"/>
    <mergeCell ref="B131:B133"/>
    <mergeCell ref="B134:B136"/>
    <mergeCell ref="B137:B139"/>
    <mergeCell ref="B140:B142"/>
    <mergeCell ref="B143:B145"/>
    <mergeCell ref="B146:B148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66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38:B39"/>
    <mergeCell ref="B40:B42"/>
    <mergeCell ref="B43:B45"/>
    <mergeCell ref="B46:B47"/>
    <mergeCell ref="B48:B50"/>
    <mergeCell ref="B51:B53"/>
    <mergeCell ref="B54:B56"/>
    <mergeCell ref="B57:B59"/>
    <mergeCell ref="B60:B62"/>
    <mergeCell ref="B63:B65"/>
    <mergeCell ref="B8:E10"/>
    <mergeCell ref="B12:B14"/>
    <mergeCell ref="B15:B17"/>
    <mergeCell ref="B18:B20"/>
    <mergeCell ref="B21:B23"/>
    <mergeCell ref="B24:B26"/>
    <mergeCell ref="B27:B29"/>
    <mergeCell ref="B30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59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G34"/>
  <sheetViews>
    <sheetView showGridLines="0" topLeftCell="A4" zoomScale="89" zoomScaleNormal="89" zoomScaleSheetLayoutView="100" workbookViewId="0">
      <selection activeCell="J17" sqref="J17"/>
    </sheetView>
  </sheetViews>
  <sheetFormatPr baseColWidth="10" defaultColWidth="11.42578125" defaultRowHeight="11.25"/>
  <cols>
    <col min="1" max="1" width="5.7109375" style="1" customWidth="1"/>
    <col min="2" max="2" width="19" style="31" customWidth="1"/>
    <col min="3" max="3" width="17.140625" style="31" customWidth="1"/>
    <col min="4" max="4" width="17.140625" style="44" customWidth="1"/>
    <col min="5" max="5" width="16.5703125" style="44" customWidth="1"/>
    <col min="6" max="6" width="16.5703125" style="31" customWidth="1"/>
    <col min="7" max="7" width="5.7109375" style="1" customWidth="1"/>
    <col min="8" max="16384" width="11.42578125" style="1"/>
  </cols>
  <sheetData>
    <row r="1" spans="1:7" s="46" customFormat="1" ht="15">
      <c r="B1" s="35"/>
      <c r="C1" s="31"/>
    </row>
    <row r="2" spans="1:7" s="31" customFormat="1">
      <c r="B2" s="50"/>
    </row>
    <row r="3" spans="1:7" ht="15" customHeight="1">
      <c r="B3" s="51"/>
      <c r="C3" s="2"/>
      <c r="D3" s="1"/>
      <c r="E3" s="1"/>
      <c r="G3" s="31"/>
    </row>
    <row r="4" spans="1:7" ht="30" customHeight="1">
      <c r="B4" s="51"/>
      <c r="C4" s="2"/>
      <c r="D4" s="1"/>
      <c r="E4" s="1"/>
      <c r="G4" s="31"/>
    </row>
    <row r="5" spans="1:7" ht="15" customHeight="1">
      <c r="B5" s="51"/>
      <c r="C5" s="2"/>
      <c r="D5" s="1"/>
      <c r="E5" s="1"/>
      <c r="G5" s="31"/>
    </row>
    <row r="6" spans="1:7" s="31" customFormat="1">
      <c r="B6" s="39"/>
      <c r="C6" s="33"/>
    </row>
    <row r="7" spans="1:7" s="31" customFormat="1">
      <c r="A7" s="35"/>
      <c r="B7" s="50"/>
      <c r="C7" s="35"/>
    </row>
    <row r="8" spans="1:7" s="46" customFormat="1" ht="15" customHeight="1">
      <c r="B8" s="91" t="s">
        <v>180</v>
      </c>
      <c r="C8" s="91"/>
      <c r="D8" s="91"/>
      <c r="E8" s="91"/>
      <c r="F8" s="91"/>
    </row>
    <row r="9" spans="1:7" s="46" customFormat="1" ht="15" customHeight="1">
      <c r="A9" s="48"/>
      <c r="B9" s="91"/>
      <c r="C9" s="91"/>
      <c r="D9" s="91"/>
      <c r="E9" s="91"/>
      <c r="F9" s="91"/>
      <c r="G9" s="49"/>
    </row>
    <row r="10" spans="1:7" s="46" customFormat="1" ht="15" customHeight="1">
      <c r="A10" s="48"/>
      <c r="B10" s="92"/>
      <c r="C10" s="92"/>
      <c r="D10" s="92"/>
      <c r="E10" s="92"/>
      <c r="F10" s="92"/>
      <c r="G10" s="48"/>
    </row>
    <row r="11" spans="1:7" s="46" customFormat="1" ht="36.950000000000003" customHeight="1">
      <c r="B11" s="47" t="s">
        <v>164</v>
      </c>
      <c r="C11" s="47" t="s">
        <v>179</v>
      </c>
      <c r="D11" s="47" t="s">
        <v>3</v>
      </c>
      <c r="E11" s="47" t="s">
        <v>178</v>
      </c>
      <c r="F11" s="47" t="s">
        <v>177</v>
      </c>
    </row>
    <row r="12" spans="1:7" ht="15" customHeight="1">
      <c r="B12" s="88" t="s">
        <v>167</v>
      </c>
      <c r="C12" s="45" t="s">
        <v>176</v>
      </c>
      <c r="D12" s="10">
        <v>4</v>
      </c>
      <c r="E12" s="70">
        <v>8.3927822073017204E-4</v>
      </c>
      <c r="F12" s="11">
        <f t="shared" ref="F12:F28" si="0">D12/$D$28</f>
        <v>5.3269410041283788E-4</v>
      </c>
    </row>
    <row r="13" spans="1:7" ht="15" customHeight="1">
      <c r="B13" s="89"/>
      <c r="C13" s="45" t="s">
        <v>175</v>
      </c>
      <c r="D13" s="10">
        <v>72</v>
      </c>
      <c r="E13" s="70">
        <v>1.5107007973143098E-2</v>
      </c>
      <c r="F13" s="11">
        <f t="shared" si="0"/>
        <v>9.5884938074310821E-3</v>
      </c>
    </row>
    <row r="14" spans="1:7" ht="15" customHeight="1">
      <c r="B14" s="89"/>
      <c r="C14" s="45" t="s">
        <v>174</v>
      </c>
      <c r="D14" s="10">
        <v>949</v>
      </c>
      <c r="E14" s="70">
        <v>0.19911875786823333</v>
      </c>
      <c r="F14" s="11">
        <f t="shared" si="0"/>
        <v>0.12638167532294581</v>
      </c>
    </row>
    <row r="15" spans="1:7" ht="15" customHeight="1">
      <c r="B15" s="89"/>
      <c r="C15" s="45" t="s">
        <v>173</v>
      </c>
      <c r="D15" s="10">
        <v>1826</v>
      </c>
      <c r="E15" s="70">
        <v>0.38313050776332352</v>
      </c>
      <c r="F15" s="11">
        <f t="shared" si="0"/>
        <v>0.24317485683846052</v>
      </c>
    </row>
    <row r="16" spans="1:7" ht="15" customHeight="1">
      <c r="B16" s="89"/>
      <c r="C16" s="45" t="s">
        <v>172</v>
      </c>
      <c r="D16" s="10">
        <v>1298</v>
      </c>
      <c r="E16" s="70">
        <v>0.27234578262694081</v>
      </c>
      <c r="F16" s="11">
        <f t="shared" si="0"/>
        <v>0.1728592355839659</v>
      </c>
    </row>
    <row r="17" spans="1:7" s="31" customFormat="1" ht="15" customHeight="1">
      <c r="A17" s="1"/>
      <c r="B17" s="89"/>
      <c r="C17" s="45" t="s">
        <v>171</v>
      </c>
      <c r="D17" s="10">
        <v>562</v>
      </c>
      <c r="E17" s="70">
        <v>0.11791859001258917</v>
      </c>
      <c r="F17" s="11">
        <f t="shared" si="0"/>
        <v>7.4843521108003727E-2</v>
      </c>
      <c r="G17" s="1"/>
    </row>
    <row r="18" spans="1:7" s="31" customFormat="1" ht="15" customHeight="1">
      <c r="A18" s="1"/>
      <c r="B18" s="89"/>
      <c r="C18" s="45" t="s">
        <v>170</v>
      </c>
      <c r="D18" s="10">
        <v>50</v>
      </c>
      <c r="E18" s="70">
        <v>1.049097775912715E-2</v>
      </c>
      <c r="F18" s="11">
        <f t="shared" si="0"/>
        <v>6.658676255160474E-3</v>
      </c>
      <c r="G18" s="1"/>
    </row>
    <row r="19" spans="1:7" s="31" customFormat="1" ht="15" customHeight="1">
      <c r="A19" s="1"/>
      <c r="B19" s="90"/>
      <c r="C19" s="45" t="s">
        <v>169</v>
      </c>
      <c r="D19" s="10">
        <v>5</v>
      </c>
      <c r="E19" s="70">
        <v>1.0490977759127151E-3</v>
      </c>
      <c r="F19" s="11">
        <f t="shared" si="0"/>
        <v>6.6586762551604738E-4</v>
      </c>
      <c r="G19" s="1"/>
    </row>
    <row r="20" spans="1:7" s="31" customFormat="1" ht="15" customHeight="1">
      <c r="A20" s="1"/>
      <c r="B20" s="88" t="s">
        <v>166</v>
      </c>
      <c r="C20" s="45" t="s">
        <v>176</v>
      </c>
      <c r="D20" s="10">
        <v>9</v>
      </c>
      <c r="E20" s="71">
        <v>3.2810791104629965E-3</v>
      </c>
      <c r="F20" s="11">
        <f t="shared" si="0"/>
        <v>1.1985617259288853E-3</v>
      </c>
      <c r="G20" s="1"/>
    </row>
    <row r="21" spans="1:7" s="31" customFormat="1" ht="15" customHeight="1">
      <c r="A21" s="1"/>
      <c r="B21" s="89"/>
      <c r="C21" s="45" t="s">
        <v>175</v>
      </c>
      <c r="D21" s="10">
        <v>62</v>
      </c>
      <c r="E21" s="71">
        <v>2.2602989427633977E-2</v>
      </c>
      <c r="F21" s="11">
        <f t="shared" si="0"/>
        <v>8.2567585563989871E-3</v>
      </c>
      <c r="G21" s="1"/>
    </row>
    <row r="22" spans="1:7" ht="13.5">
      <c r="B22" s="89"/>
      <c r="C22" s="45" t="s">
        <v>174</v>
      </c>
      <c r="D22" s="10">
        <v>385</v>
      </c>
      <c r="E22" s="71">
        <v>0.14035727305869486</v>
      </c>
      <c r="F22" s="11">
        <f t="shared" si="0"/>
        <v>5.1271807164735651E-2</v>
      </c>
    </row>
    <row r="23" spans="1:7" ht="13.5">
      <c r="B23" s="89"/>
      <c r="C23" s="45" t="s">
        <v>173</v>
      </c>
      <c r="D23" s="10">
        <v>988</v>
      </c>
      <c r="E23" s="71">
        <v>0.36018957345971564</v>
      </c>
      <c r="F23" s="11">
        <f t="shared" si="0"/>
        <v>0.13157544280197098</v>
      </c>
    </row>
    <row r="24" spans="1:7" ht="27">
      <c r="B24" s="89"/>
      <c r="C24" s="45" t="s">
        <v>172</v>
      </c>
      <c r="D24" s="10">
        <v>853</v>
      </c>
      <c r="E24" s="71">
        <v>0.3109733868027707</v>
      </c>
      <c r="F24" s="11">
        <f t="shared" si="0"/>
        <v>0.11359701691303768</v>
      </c>
    </row>
    <row r="25" spans="1:7" ht="13.5">
      <c r="B25" s="89"/>
      <c r="C25" s="45" t="s">
        <v>171</v>
      </c>
      <c r="D25" s="10">
        <v>405</v>
      </c>
      <c r="E25" s="71">
        <v>0.14764855997083484</v>
      </c>
      <c r="F25" s="11">
        <f t="shared" si="0"/>
        <v>5.3935277666799841E-2</v>
      </c>
    </row>
    <row r="26" spans="1:7" ht="13.5">
      <c r="B26" s="89"/>
      <c r="C26" s="45" t="s">
        <v>170</v>
      </c>
      <c r="D26" s="10">
        <v>32</v>
      </c>
      <c r="E26" s="71">
        <v>1.1666059059423988E-2</v>
      </c>
      <c r="F26" s="11">
        <f t="shared" si="0"/>
        <v>4.2615528033027031E-3</v>
      </c>
    </row>
    <row r="27" spans="1:7" ht="13.5">
      <c r="B27" s="90"/>
      <c r="C27" s="45" t="s">
        <v>169</v>
      </c>
      <c r="D27" s="10">
        <v>9</v>
      </c>
      <c r="E27" s="71">
        <v>3.2810791104629965E-3</v>
      </c>
      <c r="F27" s="11">
        <f t="shared" si="0"/>
        <v>1.1985617259288853E-3</v>
      </c>
    </row>
    <row r="28" spans="1:7" ht="13.5">
      <c r="B28" s="13" t="s">
        <v>53</v>
      </c>
      <c r="C28" s="13"/>
      <c r="D28" s="14">
        <v>7509</v>
      </c>
      <c r="E28" s="15"/>
      <c r="F28" s="15">
        <f t="shared" si="0"/>
        <v>1</v>
      </c>
    </row>
    <row r="30" spans="1:7">
      <c r="B30" s="17" t="s">
        <v>54</v>
      </c>
    </row>
    <row r="31" spans="1:7">
      <c r="B31" s="18" t="s">
        <v>55</v>
      </c>
    </row>
    <row r="32" spans="1:7">
      <c r="B32" s="19" t="s">
        <v>56</v>
      </c>
    </row>
    <row r="33" spans="2:2">
      <c r="B33" s="17" t="s">
        <v>57</v>
      </c>
    </row>
    <row r="34" spans="2:2">
      <c r="B34" s="17" t="s">
        <v>58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D42"/>
  <sheetViews>
    <sheetView showGridLines="0" tabSelected="1" topLeftCell="A16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16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A3" s="1" t="s">
        <v>0</v>
      </c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82" t="s">
        <v>205</v>
      </c>
      <c r="C7" s="82"/>
      <c r="D7" s="82"/>
    </row>
    <row r="8" spans="1:4" s="1" customFormat="1" ht="15" customHeight="1">
      <c r="B8" s="82"/>
      <c r="C8" s="82"/>
      <c r="D8" s="82"/>
    </row>
    <row r="9" spans="1:4" s="1" customFormat="1" ht="33" customHeight="1">
      <c r="B9" s="82"/>
      <c r="C9" s="82"/>
      <c r="D9" s="82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204</v>
      </c>
      <c r="C11" s="6" t="s">
        <v>3</v>
      </c>
      <c r="D11" s="7" t="s">
        <v>4</v>
      </c>
    </row>
    <row r="12" spans="1:4" ht="15" customHeight="1">
      <c r="B12" s="9" t="s">
        <v>203</v>
      </c>
      <c r="C12" s="10">
        <v>4384</v>
      </c>
      <c r="D12" s="11">
        <f t="shared" ref="D12:D34" si="0">C12/$C$34</f>
        <v>0.58383273405247038</v>
      </c>
    </row>
    <row r="13" spans="1:4">
      <c r="B13" s="9" t="s">
        <v>202</v>
      </c>
      <c r="C13" s="10">
        <v>1543</v>
      </c>
      <c r="D13" s="11">
        <f t="shared" si="0"/>
        <v>0.20548674923425223</v>
      </c>
    </row>
    <row r="14" spans="1:4" s="12" customFormat="1">
      <c r="A14" s="8"/>
      <c r="B14" s="9" t="s">
        <v>201</v>
      </c>
      <c r="C14" s="10">
        <v>428</v>
      </c>
      <c r="D14" s="11">
        <f t="shared" si="0"/>
        <v>5.6998268744173658E-2</v>
      </c>
    </row>
    <row r="15" spans="1:4" s="12" customFormat="1">
      <c r="A15" s="8"/>
      <c r="B15" s="9" t="s">
        <v>200</v>
      </c>
      <c r="C15" s="10">
        <v>386</v>
      </c>
      <c r="D15" s="11">
        <f t="shared" si="0"/>
        <v>5.1404980689838863E-2</v>
      </c>
    </row>
    <row r="16" spans="1:4">
      <c r="B16" s="9" t="s">
        <v>199</v>
      </c>
      <c r="C16" s="10">
        <v>176</v>
      </c>
      <c r="D16" s="11">
        <f t="shared" si="0"/>
        <v>2.3438540418164868E-2</v>
      </c>
    </row>
    <row r="17" spans="2:4">
      <c r="B17" s="9" t="s">
        <v>198</v>
      </c>
      <c r="C17" s="10">
        <v>164</v>
      </c>
      <c r="D17" s="11">
        <f t="shared" si="0"/>
        <v>2.1840458116926354E-2</v>
      </c>
    </row>
    <row r="18" spans="2:4">
      <c r="B18" s="9" t="s">
        <v>197</v>
      </c>
      <c r="C18" s="10">
        <v>97</v>
      </c>
      <c r="D18" s="11">
        <f t="shared" si="0"/>
        <v>1.291783193501132E-2</v>
      </c>
    </row>
    <row r="19" spans="2:4">
      <c r="B19" s="9" t="s">
        <v>196</v>
      </c>
      <c r="C19" s="10">
        <v>80</v>
      </c>
      <c r="D19" s="11">
        <f t="shared" si="0"/>
        <v>1.0653882008256758E-2</v>
      </c>
    </row>
    <row r="20" spans="2:4">
      <c r="B20" s="9" t="s">
        <v>195</v>
      </c>
      <c r="C20" s="10">
        <v>63</v>
      </c>
      <c r="D20" s="11">
        <f t="shared" si="0"/>
        <v>8.3899320815021966E-3</v>
      </c>
    </row>
    <row r="21" spans="2:4">
      <c r="B21" s="9" t="s">
        <v>194</v>
      </c>
      <c r="C21" s="10">
        <v>59</v>
      </c>
      <c r="D21" s="11">
        <f t="shared" si="0"/>
        <v>7.8572379810893586E-3</v>
      </c>
    </row>
    <row r="22" spans="2:4">
      <c r="B22" s="9" t="s">
        <v>193</v>
      </c>
      <c r="C22" s="10">
        <v>32</v>
      </c>
      <c r="D22" s="11">
        <f t="shared" si="0"/>
        <v>4.2615528033027031E-3</v>
      </c>
    </row>
    <row r="23" spans="2:4">
      <c r="B23" s="9" t="s">
        <v>192</v>
      </c>
      <c r="C23" s="10">
        <v>19</v>
      </c>
      <c r="D23" s="11">
        <f t="shared" si="0"/>
        <v>2.53029697696098E-3</v>
      </c>
    </row>
    <row r="24" spans="2:4">
      <c r="B24" s="9" t="s">
        <v>191</v>
      </c>
      <c r="C24" s="10">
        <v>18</v>
      </c>
      <c r="D24" s="11">
        <f t="shared" si="0"/>
        <v>2.3971234518577705E-3</v>
      </c>
    </row>
    <row r="25" spans="2:4">
      <c r="B25" s="9" t="s">
        <v>190</v>
      </c>
      <c r="C25" s="10">
        <v>15</v>
      </c>
      <c r="D25" s="11">
        <f t="shared" si="0"/>
        <v>1.997602876548142E-3</v>
      </c>
    </row>
    <row r="26" spans="2:4">
      <c r="B26" s="9" t="s">
        <v>189</v>
      </c>
      <c r="C26" s="10">
        <v>13</v>
      </c>
      <c r="D26" s="11">
        <f t="shared" si="0"/>
        <v>1.7312558263417232E-3</v>
      </c>
    </row>
    <row r="27" spans="2:4">
      <c r="B27" s="9" t="s">
        <v>188</v>
      </c>
      <c r="C27" s="10">
        <v>12</v>
      </c>
      <c r="D27" s="11">
        <f t="shared" si="0"/>
        <v>1.5980823012385138E-3</v>
      </c>
    </row>
    <row r="28" spans="2:4">
      <c r="B28" s="9" t="s">
        <v>187</v>
      </c>
      <c r="C28" s="10">
        <v>11</v>
      </c>
      <c r="D28" s="11">
        <f t="shared" si="0"/>
        <v>1.4649087761353043E-3</v>
      </c>
    </row>
    <row r="29" spans="2:4">
      <c r="B29" s="9" t="s">
        <v>186</v>
      </c>
      <c r="C29" s="10">
        <v>3</v>
      </c>
      <c r="D29" s="11">
        <f t="shared" si="0"/>
        <v>3.9952057530962844E-4</v>
      </c>
    </row>
    <row r="30" spans="2:4">
      <c r="B30" s="9" t="s">
        <v>185</v>
      </c>
      <c r="C30" s="10">
        <v>2</v>
      </c>
      <c r="D30" s="11">
        <f t="shared" si="0"/>
        <v>2.6634705020641894E-4</v>
      </c>
    </row>
    <row r="31" spans="2:4">
      <c r="B31" s="9" t="s">
        <v>184</v>
      </c>
      <c r="C31" s="10">
        <v>2</v>
      </c>
      <c r="D31" s="11">
        <f t="shared" si="0"/>
        <v>2.6634705020641894E-4</v>
      </c>
    </row>
    <row r="32" spans="2:4">
      <c r="B32" s="9" t="s">
        <v>183</v>
      </c>
      <c r="C32" s="10">
        <v>1</v>
      </c>
      <c r="D32" s="11">
        <f t="shared" si="0"/>
        <v>1.3317352510320947E-4</v>
      </c>
    </row>
    <row r="33" spans="1:4">
      <c r="B33" s="9" t="s">
        <v>182</v>
      </c>
      <c r="C33" s="10">
        <v>1</v>
      </c>
      <c r="D33" s="11">
        <f t="shared" si="0"/>
        <v>1.3317352510320947E-4</v>
      </c>
    </row>
    <row r="34" spans="1:4">
      <c r="B34" s="13" t="s">
        <v>53</v>
      </c>
      <c r="C34" s="14">
        <v>7509</v>
      </c>
      <c r="D34" s="15">
        <f t="shared" si="0"/>
        <v>1</v>
      </c>
    </row>
    <row r="36" spans="1:4">
      <c r="A36" s="40" t="s">
        <v>181</v>
      </c>
    </row>
    <row r="37" spans="1:4">
      <c r="A37" s="40" t="s">
        <v>55</v>
      </c>
    </row>
    <row r="38" spans="1:4">
      <c r="A38" s="40" t="s">
        <v>56</v>
      </c>
    </row>
    <row r="39" spans="1:4">
      <c r="A39" s="40" t="s">
        <v>57</v>
      </c>
    </row>
    <row r="40" spans="1:4">
      <c r="A40" s="40" t="s">
        <v>124</v>
      </c>
    </row>
    <row r="41" spans="1:4">
      <c r="A41" s="40"/>
    </row>
    <row r="42" spans="1:4">
      <c r="A42" s="4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Aguascalientes_Gen_Edad</vt:lpstr>
      <vt:lpstr>Aguascalientes_ocup_gral</vt:lpstr>
      <vt:lpstr>Aguascalientes_EducCons!Área_de_impresión</vt:lpstr>
      <vt:lpstr>Aguascalientes_MUNICIPIO!Área_de_impresión</vt:lpstr>
      <vt:lpstr>Aguascalientes_NivelE_Cons!Área_de_impresión</vt:lpstr>
      <vt:lpstr>Aguascalientes_USAMuni!Área_de_impresión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2023-11-30T18:30:27Z</dcterms:modified>
</cp:coreProperties>
</file>