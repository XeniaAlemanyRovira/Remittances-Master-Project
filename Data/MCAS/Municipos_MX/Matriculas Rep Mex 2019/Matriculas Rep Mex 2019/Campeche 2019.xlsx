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240" yWindow="60" windowWidth="20115" windowHeight="8010" firstSheet="12" activeTab="13"/>
  </bookViews>
  <sheets>
    <sheet name="Índice" sheetId="1" r:id="rId1"/>
    <sheet name="Campeche_EdoUsa" sheetId="2" r:id="rId2"/>
    <sheet name="Campeche_Cons" sheetId="15" r:id="rId3"/>
    <sheet name="CampecheXCons" sheetId="16" r:id="rId4"/>
    <sheet name="Campeche_EdoMun" sheetId="5" r:id="rId5"/>
    <sheet name="Campeche_USAMuni" sheetId="6" r:id="rId6"/>
    <sheet name="Campeche_MUNICIPIO" sheetId="7" r:id="rId7"/>
    <sheet name="Campeche_educ_gral" sheetId="8" r:id="rId8"/>
    <sheet name="Campeche_NivelE_Cons" sheetId="9" r:id="rId9"/>
    <sheet name="Campeche_EducCons" sheetId="10" r:id="rId10"/>
    <sheet name="Campeche_GenGral" sheetId="11" r:id="rId11"/>
    <sheet name="Campeche_GENERO" sheetId="12" r:id="rId12"/>
    <sheet name="Campeche_Gen_Edad" sheetId="13" r:id="rId13"/>
    <sheet name="Campeche_ocup_gral" sheetId="14" r:id="rId14"/>
  </sheets>
  <definedNames>
    <definedName name="_xlnm._FilterDatabase" localSheetId="2" hidden="1">Campeche_Cons!$B$11:$D$12</definedName>
    <definedName name="_xlnm._FilterDatabase" localSheetId="4" hidden="1">Campeche_EdoMun!$B$11:$D$12</definedName>
    <definedName name="_xlnm._FilterDatabase" localSheetId="1" hidden="1">Campeche_EdoUsa!$B$11:$D$54</definedName>
    <definedName name="_xlnm._FilterDatabase" localSheetId="7" hidden="1">Campeche_educ_gral!$B$11:$D$12</definedName>
    <definedName name="_xlnm._FilterDatabase" localSheetId="9" hidden="1">Campeche_EducCons!$B$9:$E$9</definedName>
    <definedName name="_xlnm._FilterDatabase" localSheetId="11" hidden="1">Campeche_GENERO!$C$11:$E$143</definedName>
    <definedName name="_xlnm._FilterDatabase" localSheetId="10" hidden="1">Campeche_GenGral!$B$11:$D$12</definedName>
    <definedName name="_xlnm._FilterDatabase" localSheetId="6" hidden="1">Campeche_MUNICIPIO!$B$9:$E$11</definedName>
    <definedName name="_xlnm._FilterDatabase" localSheetId="8" hidden="1">Campeche_NivelE_Cons!$B$9:$E$11</definedName>
    <definedName name="_xlnm._FilterDatabase" localSheetId="13" hidden="1">Campeche_ocup_gral!$B$11:$D$12</definedName>
    <definedName name="_xlnm._FilterDatabase" localSheetId="5" hidden="1">Campeche_USAMuni!$B$9:$E$13</definedName>
    <definedName name="_xlnm._FilterDatabase" localSheetId="3" hidden="1">CampecheXCons!$B$11:$D$12</definedName>
    <definedName name="_xlnm.Print_Area" localSheetId="9">Campeche_EducCons!$A$1:$E$413</definedName>
    <definedName name="_xlnm.Print_Area" localSheetId="6">Campeche_MUNICIPIO!$A$1:$E$279</definedName>
    <definedName name="_xlnm.Print_Area" localSheetId="8">Campeche_NivelE_Cons!$A$1:$E$334</definedName>
    <definedName name="_xlnm.Print_Area" localSheetId="5">Campeche_USAMuni!$A$1:$E$245</definedName>
    <definedName name="_xlnm.Print_Titles" localSheetId="2">Campeche_Cons!$1:$11</definedName>
    <definedName name="_xlnm.Print_Titles" localSheetId="4">Campeche_EdoMun!$1:$11</definedName>
    <definedName name="_xlnm.Print_Titles" localSheetId="1">Campeche_EdoUsa!$1:$11</definedName>
    <definedName name="_xlnm.Print_Titles" localSheetId="7">Campeche_educ_gral!$1:$11</definedName>
    <definedName name="_xlnm.Print_Titles" localSheetId="9">Campeche_EducCons!$1:$9</definedName>
    <definedName name="_xlnm.Print_Titles" localSheetId="12">Campeche_Gen_Edad!$1:$11</definedName>
    <definedName name="_xlnm.Print_Titles" localSheetId="11">Campeche_GENERO!$1:$11</definedName>
    <definedName name="_xlnm.Print_Titles" localSheetId="10">Campeche_GenGral!$1:$11</definedName>
    <definedName name="_xlnm.Print_Titles" localSheetId="6">Campeche_MUNICIPIO!$1:$9</definedName>
    <definedName name="_xlnm.Print_Titles" localSheetId="8">Campeche_NivelE_Cons!$1:$9</definedName>
    <definedName name="_xlnm.Print_Titles" localSheetId="13">Campeche_ocup_gral!$1:$11</definedName>
    <definedName name="_xlnm.Print_Titles" localSheetId="5">Campeche_USAMuni!$1:$9</definedName>
    <definedName name="_xlnm.Print_Titles" localSheetId="3">CampecheXCons!$1:$11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2" i="16" l="1"/>
  <c r="D19" i="16"/>
  <c r="D15" i="16"/>
  <c r="D18" i="16"/>
  <c r="D14" i="16"/>
  <c r="D21" i="16"/>
  <c r="D17" i="16"/>
  <c r="D13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</calcChain>
</file>

<file path=xl/sharedStrings.xml><?xml version="1.0" encoding="utf-8"?>
<sst xmlns="http://schemas.openxmlformats.org/spreadsheetml/2006/main" count="1862" uniqueCount="210">
  <si>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</si>
  <si>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</si>
  <si>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</si>
  <si>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</si>
  <si>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</si>
  <si>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</si>
  <si>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</si>
  <si>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</si>
  <si>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</si>
  <si>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</si>
  <si>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</si>
  <si>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</si>
  <si>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</si>
  <si>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</si>
  <si>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</si>
  <si>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</si>
  <si>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</si>
  <si>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Matrículas consulares expedidas a originarios de Campeche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</si>
  <si>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</si>
  <si>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</si>
  <si>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</si>
  <si>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</si>
  <si>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</si>
  <si>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</si>
  <si>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West Virginia</t>
  </si>
  <si>
    <t>North Dakota</t>
  </si>
  <si>
    <t>Delaware</t>
  </si>
  <si>
    <t>Massachusetts</t>
  </si>
  <si>
    <t>Pennsylvania</t>
  </si>
  <si>
    <t>District of Columbia</t>
  </si>
  <si>
    <t>Connecticut</t>
  </si>
  <si>
    <t>Utah</t>
  </si>
  <si>
    <t>Kentucky</t>
  </si>
  <si>
    <t>Oregon</t>
  </si>
  <si>
    <t>Maryland</t>
  </si>
  <si>
    <t>New Mexico</t>
  </si>
  <si>
    <t>Arizona</t>
  </si>
  <si>
    <t>Ohio</t>
  </si>
  <si>
    <t>New York</t>
  </si>
  <si>
    <t>Michigan</t>
  </si>
  <si>
    <t>New Jersey</t>
  </si>
  <si>
    <t>Idaho</t>
  </si>
  <si>
    <t>Mississippi</t>
  </si>
  <si>
    <t>Wisconsin</t>
  </si>
  <si>
    <t>Minnesota</t>
  </si>
  <si>
    <t>Washington</t>
  </si>
  <si>
    <t>Virginia</t>
  </si>
  <si>
    <t>South Carolina</t>
  </si>
  <si>
    <t>Missouri</t>
  </si>
  <si>
    <t>Louisiana</t>
  </si>
  <si>
    <t>Kansas</t>
  </si>
  <si>
    <t>Nevada</t>
  </si>
  <si>
    <t>Indiana</t>
  </si>
  <si>
    <t>Arkansas</t>
  </si>
  <si>
    <t>Iowa</t>
  </si>
  <si>
    <t>Tennessee</t>
  </si>
  <si>
    <t>Illinois</t>
  </si>
  <si>
    <t>Oklahoma</t>
  </si>
  <si>
    <t>Colorado</t>
  </si>
  <si>
    <t>North Carolina</t>
  </si>
  <si>
    <t>Alabama</t>
  </si>
  <si>
    <t>Georgia</t>
  </si>
  <si>
    <t>Nebraska</t>
  </si>
  <si>
    <t>Florida</t>
  </si>
  <si>
    <t>Texas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</si>
  <si>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</si>
  <si>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</si>
  <si>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</si>
  <si>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</si>
  <si>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CAMPECHE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</si>
  <si>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</si>
  <si>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</si>
  <si>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</si>
  <si>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</si>
  <si>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</si>
  <si>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</si>
  <si>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</si>
  <si>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</si>
  <si>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</si>
  <si>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</si>
  <si>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</si>
  <si>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</si>
  <si>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</si>
  <si>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</si>
  <si>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</si>
  <si>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</si>
  <si>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</si>
  <si>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</si>
  <si>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</si>
  <si>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</si>
  <si>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</si>
  <si>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</si>
  <si>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</si>
  <si>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</si>
  <si>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</si>
  <si>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</si>
  <si>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</si>
  <si>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</si>
  <si>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</si>
  <si>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</si>
  <si>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</si>
  <si>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</si>
  <si>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</si>
  <si>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</si>
  <si>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</si>
  <si>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</si>
  <si>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</si>
  <si>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</si>
  <si>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</si>
  <si>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</si>
  <si>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</si>
  <si>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</si>
  <si>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</si>
  <si>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</si>
  <si>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</si>
  <si>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</si>
  <si>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</si>
  <si>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</si>
  <si>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</si>
  <si>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</si>
  <si>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</si>
  <si>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CAMPECHE EN LOS CONSULADOS DE MÉXICO EN EE.UU.</t>
  </si>
  <si>
    <t>Tenabo</t>
  </si>
  <si>
    <t>Palizada</t>
  </si>
  <si>
    <t>Calkiní</t>
  </si>
  <si>
    <t>Hecelchakán</t>
  </si>
  <si>
    <t>Candelaria</t>
  </si>
  <si>
    <t>Hopelchén</t>
  </si>
  <si>
    <t>Escárcega</t>
  </si>
  <si>
    <t>Campeche</t>
  </si>
  <si>
    <t>Champotón</t>
  </si>
  <si>
    <t>Carmen</t>
  </si>
  <si>
    <t>Municipio de origen</t>
  </si>
  <si>
    <t>MATRÍCULAS CONSULARES DE ALTA SEGURIDAD EXPEDIDAS POR MUNICIPIO A ORIGINARIOS DEL ESTADO DE CAMPECHE EN LOS CONSULADOS DE MÉXICO EN EE.UU. 2019</t>
  </si>
  <si>
    <t>Municipio de Origen</t>
  </si>
  <si>
    <t>Estado</t>
  </si>
  <si>
    <t>Marzo de 2020</t>
  </si>
  <si>
    <t>Tamaño de la muestra: 814,748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</si>
  <si>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</si>
  <si>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</si>
  <si>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</si>
  <si>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</si>
  <si>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</si>
  <si>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</si>
  <si>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</si>
  <si>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</si>
  <si>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</si>
  <si>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</si>
  <si>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</si>
  <si>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</si>
  <si>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</si>
  <si>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</si>
  <si>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</si>
  <si>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</si>
  <si>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</si>
  <si>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</si>
  <si>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</si>
  <si>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</si>
  <si>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</si>
  <si>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</si>
  <si>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</si>
  <si>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</si>
  <si>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CAMPECHE POR NIVEL DE EDUCACIÓN, 2019.</t>
  </si>
  <si>
    <t>Nivel</t>
  </si>
  <si>
    <t>San Jose</t>
  </si>
  <si>
    <t>Menores de edad</t>
  </si>
  <si>
    <t>Mc Allen</t>
  </si>
  <si>
    <t>Los Angeles</t>
  </si>
  <si>
    <t>Indianapolis</t>
  </si>
  <si>
    <t>TOTAL</t>
  </si>
  <si>
    <t>MUJER</t>
  </si>
  <si>
    <t>HOMBRE</t>
  </si>
  <si>
    <t>Género</t>
  </si>
  <si>
    <t>MATRÍCULAS CONSULARES EXPEDIDAS A ORIGINARIOS DE CAMPECHE POR GÉNERO EN EE.UU DURANTE EL 2019.</t>
  </si>
  <si>
    <t>Mujer</t>
  </si>
  <si>
    <t>Hombre</t>
  </si>
  <si>
    <t>MATRÍCULAS CONSULARES EXPEDIDAS A ORIGINARIOS DE CAMPECHE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</si>
  <si>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</si>
  <si>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</si>
  <si>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</si>
  <si>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</si>
  <si>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</si>
  <si>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</si>
  <si>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</si>
  <si>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</si>
  <si>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</si>
  <si>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</si>
  <si>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</si>
  <si>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CAMPECHE POR GÉNERO Y EDAD EN EE.UU.</t>
  </si>
  <si>
    <t>Tamaño de la muestra: 826,856</t>
  </si>
  <si>
    <t>Jubilado(a)</t>
  </si>
  <si>
    <t>Carnicero</t>
  </si>
  <si>
    <t>Chofer</t>
  </si>
  <si>
    <t>Cajero(a)</t>
  </si>
  <si>
    <t>Profesionista</t>
  </si>
  <si>
    <t>Mesero(a)</t>
  </si>
  <si>
    <t>Comerciante</t>
  </si>
  <si>
    <t>Operario(a)</t>
  </si>
  <si>
    <t>Pintor(a)</t>
  </si>
  <si>
    <t>Campesino(a)</t>
  </si>
  <si>
    <t>Albañil</t>
  </si>
  <si>
    <t>Jardinero(a)</t>
  </si>
  <si>
    <t>Cocinero(a)</t>
  </si>
  <si>
    <t>Otro</t>
  </si>
  <si>
    <t>Estudiante</t>
  </si>
  <si>
    <t>Obrero(a)</t>
  </si>
  <si>
    <t>Hogar</t>
  </si>
  <si>
    <t>Empleado(a)</t>
  </si>
  <si>
    <t>Ocupación</t>
  </si>
  <si>
    <t>MATRÍCULAS CONSULARES EXPEDIDAS EN EE.UU. A ORIGINARIOS DE CAMPECHE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</si>
</sst>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3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49" fontId="8" fillId="7" borderId="12" xfId="0" applyNumberFormat="1" applyFont="1" applyFill="1" applyBorder="1" applyAlignment="1">
      <alignment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8" fillId="10" borderId="13" xfId="0" applyNumberFormat="1" applyFont="1" applyFill="1" applyBorder="1" applyAlignment="1">
      <alignment horizontal="center" vertical="center" wrapText="1"/>
    </xf>
    <xf numFmtId="49" fontId="8" fillId="10" borderId="12" xfId="0" applyNumberFormat="1" applyFont="1" applyFill="1" applyBorder="1" applyAlignment="1">
      <alignment horizontal="center" vertical="center" wrapText="1"/>
    </xf>
    <xf numFmtId="3" fontId="8" fillId="10" borderId="9" xfId="0" applyNumberFormat="1" applyFont="1" applyFill="1" applyBorder="1" applyAlignment="1">
      <alignment horizontal="right" wrapText="1"/>
    </xf>
    <xf numFmtId="164" fontId="8" fillId="10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7</xdr:row>
      <xdr:rowOff>76200</xdr:rowOff>
    </xdr:from>
    <xdr:to>
      <xdr:col>5</xdr:col>
      <xdr:colOff>16797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52950" y="16002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8</xdr:row>
      <xdr:rowOff>0</xdr:rowOff>
    </xdr:from>
    <xdr:to>
      <xdr:col>5</xdr:col>
      <xdr:colOff>180975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14700" y="1524000"/>
          <a:ext cx="67627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7</xdr:row>
      <xdr:rowOff>85725</xdr:rowOff>
    </xdr:from>
    <xdr:to>
      <xdr:col>5</xdr:col>
      <xdr:colOff>169197</xdr:colOff>
      <xdr:row>8</xdr:row>
      <xdr:rowOff>85725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24225" y="141922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CAMPECHE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892968</xdr:colOff>
      <xdr:row>6</xdr:row>
      <xdr:rowOff>297656</xdr:rowOff>
    </xdr:from>
    <xdr:to>
      <xdr:col>5</xdr:col>
      <xdr:colOff>283894</xdr:colOff>
      <xdr:row>7</xdr:row>
      <xdr:rowOff>148827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10227468" y="1335881"/>
          <a:ext cx="1724551" cy="14644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CAMPECHE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1066800</xdr:colOff>
      <xdr:row>6</xdr:row>
      <xdr:rowOff>228600</xdr:rowOff>
    </xdr:from>
    <xdr:to>
      <xdr:col>5</xdr:col>
      <xdr:colOff>454947</xdr:colOff>
      <xdr:row>7</xdr:row>
      <xdr:rowOff>85725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10401300" y="1333500"/>
          <a:ext cx="1721772" cy="857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7</xdr:row>
      <xdr:rowOff>0</xdr:rowOff>
    </xdr:from>
    <xdr:to>
      <xdr:col>4</xdr:col>
      <xdr:colOff>512097</xdr:colOff>
      <xdr:row>8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CAMPECHE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11668125" y="1333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CAMPECHE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557122</xdr:colOff>
      <xdr:row>7</xdr:row>
      <xdr:rowOff>152758</xdr:rowOff>
    </xdr:from>
    <xdr:to>
      <xdr:col>4</xdr:col>
      <xdr:colOff>1069219</xdr:colOff>
      <xdr:row>7</xdr:row>
      <xdr:rowOff>341461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1622" y="1486258"/>
          <a:ext cx="512097" cy="363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152400</xdr:rowOff>
    </xdr:from>
    <xdr:to>
      <xdr:col>5</xdr:col>
      <xdr:colOff>26322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4859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26957</xdr:colOff>
      <xdr:row>7</xdr:row>
      <xdr:rowOff>161746</xdr:rowOff>
    </xdr:from>
    <xdr:to>
      <xdr:col>6</xdr:col>
      <xdr:colOff>161649</xdr:colOff>
      <xdr:row>8</xdr:row>
      <xdr:rowOff>161746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36957" y="1495246"/>
          <a:ext cx="89669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71693</xdr:colOff>
      <xdr:row>8</xdr:row>
      <xdr:rowOff>10242</xdr:rowOff>
    </xdr:from>
    <xdr:to>
      <xdr:col>7</xdr:col>
      <xdr:colOff>204838</xdr:colOff>
      <xdr:row>9</xdr:row>
      <xdr:rowOff>10242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3693" y="1534242"/>
          <a:ext cx="89514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8"/>
  <sheetViews>
    <sheetView showGridLines="0" view="pageBreakPreview" zoomScale="93" zoomScaleNormal="100" zoomScaleSheetLayoutView="93" workbookViewId="0">
      <selection activeCell="H9" sqref="H9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8" t="s">
        <v>17</v>
      </c>
      <c r="B1" s="79"/>
      <c r="C1" s="79"/>
      <c r="D1" s="80"/>
    </row>
    <row r="2" spans="1:4">
      <c r="A2" s="2"/>
      <c r="B2" s="3"/>
      <c r="C2" s="3"/>
      <c r="D2" s="4"/>
    </row>
    <row r="3" spans="1:4">
      <c r="A3" s="81" t="s">
        <v>0</v>
      </c>
      <c r="B3" s="82"/>
      <c r="C3" s="82"/>
      <c r="D3" s="83"/>
    </row>
    <row r="4" spans="1:4">
      <c r="A4" s="81"/>
      <c r="B4" s="82"/>
      <c r="C4" s="82"/>
      <c r="D4" s="83"/>
    </row>
    <row r="5" spans="1:4">
      <c r="A5" s="5"/>
      <c r="B5" s="6"/>
      <c r="C5" s="6"/>
      <c r="D5" s="7"/>
    </row>
    <row r="6" spans="1:4">
      <c r="A6" s="77" t="s">
        <v>1</v>
      </c>
      <c r="B6" s="75"/>
      <c r="C6" s="75"/>
      <c r="D6" s="76"/>
    </row>
    <row r="7" spans="1:4">
      <c r="A7" s="8"/>
      <c r="B7" s="9"/>
      <c r="C7" s="9"/>
      <c r="D7" s="10"/>
    </row>
    <row r="8" spans="1:4">
      <c r="A8" s="77" t="s">
        <v>2</v>
      </c>
      <c r="B8" s="75"/>
      <c r="C8" s="75"/>
      <c r="D8" s="76"/>
    </row>
    <row r="9" spans="1:4">
      <c r="A9" s="11"/>
      <c r="B9" s="75" t="s">
        <v>3</v>
      </c>
      <c r="C9" s="75"/>
      <c r="D9" s="76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5" t="s">
        <v>5</v>
      </c>
      <c r="C12" s="75"/>
      <c r="D12" s="76"/>
    </row>
    <row r="13" spans="1:4">
      <c r="A13" s="11"/>
      <c r="B13" s="75" t="s">
        <v>6</v>
      </c>
      <c r="C13" s="75"/>
      <c r="D13" s="76"/>
    </row>
    <row r="14" spans="1:4">
      <c r="A14" s="11"/>
      <c r="B14" s="75" t="s">
        <v>7</v>
      </c>
      <c r="C14" s="75"/>
      <c r="D14" s="76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5" t="s">
        <v>9</v>
      </c>
      <c r="C17" s="75"/>
      <c r="D17" s="76"/>
    </row>
    <row r="18" spans="1:4">
      <c r="A18" s="11"/>
      <c r="B18" s="75" t="s">
        <v>10</v>
      </c>
      <c r="C18" s="75"/>
      <c r="D18" s="76"/>
    </row>
    <row r="19" spans="1:4">
      <c r="A19" s="11"/>
      <c r="B19" s="75" t="s">
        <v>11</v>
      </c>
      <c r="C19" s="75"/>
      <c r="D19" s="76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5" t="s">
        <v>13</v>
      </c>
      <c r="C22" s="75"/>
      <c r="D22" s="76"/>
    </row>
    <row r="23" spans="1:4">
      <c r="A23" s="11"/>
      <c r="B23" s="75" t="s">
        <v>14</v>
      </c>
      <c r="C23" s="75"/>
      <c r="D23" s="76"/>
    </row>
    <row r="24" spans="1:4">
      <c r="A24" s="11"/>
      <c r="B24" s="12"/>
      <c r="C24" s="12"/>
      <c r="D24" s="13"/>
    </row>
    <row r="25" spans="1:4">
      <c r="A25" s="77" t="s">
        <v>15</v>
      </c>
      <c r="B25" s="75"/>
      <c r="C25" s="75"/>
      <c r="D25" s="76"/>
    </row>
    <row r="26" spans="1:4">
      <c r="A26" s="11"/>
      <c r="B26" s="12"/>
      <c r="C26" s="12"/>
      <c r="D26" s="13"/>
    </row>
    <row r="27" spans="1:4">
      <c r="A27" s="77" t="s">
        <v>16</v>
      </c>
      <c r="B27" s="75"/>
      <c r="C27" s="75"/>
      <c r="D27" s="76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Campeche_USAMuni!A1" display="3.2 Por Estado de USA"/>
    <hyperlink ref="A8:D8" location="Campeche_Cons!A1" display="2. Por Circunscripción Consular"/>
    <hyperlink ref="B9:D9" location="CampecheXCons!A1" display="2.1 Top ten por circunscripción consular"/>
    <hyperlink ref="A6:D6" location="Campeche_EdoUsa!A1" display="1. Por Estados de USA"/>
    <hyperlink ref="B12:D12" location="Campeche_EdoMun!A1" display="3.1 Municipio general"/>
    <hyperlink ref="B14:D14" location="Campeche_MUNICIPIO!A1" display="3.3 Por Circunscripción Consular"/>
    <hyperlink ref="B17:D17" location="Campeche_educ_gral!A1" display="4.1 Educación general"/>
    <hyperlink ref="B18:D18" location="Campeche_NivelE_Cons!A1" display="4.2 Por Estado de USA"/>
    <hyperlink ref="B19:D19" location="Campeche_EducCons!A1" display="4.3 Por Circunscripción Consular"/>
    <hyperlink ref="B22:D22" location="Campeche_GenGral!A1" display="5.1 Género General"/>
    <hyperlink ref="B23:D23" location="Campeche_GENERO!A1" display="5.2 Por Circunscripción Consular"/>
    <hyperlink ref="A25:D25" location="Campeche_Gen_Edad!A1" display="6. Por estructura de Edad"/>
    <hyperlink ref="A27:D27" location="Campeche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FF0000"/>
  </sheetPr>
  <dimension ref="A1:D60"/>
  <sheetViews>
    <sheetView showGridLines="0" topLeftCell="A37" zoomScaleNormal="100" zoomScaleSheetLayoutView="115" workbookViewId="0">
      <selection activeCell="E11" sqref="E1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69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68</v>
      </c>
      <c r="C11" s="31" t="s">
        <v>67</v>
      </c>
      <c r="D11" s="30" t="s">
        <v>66</v>
      </c>
    </row>
    <row r="12" spans="1:4">
      <c r="B12" s="27" t="s">
        <v>65</v>
      </c>
      <c r="C12" s="26">
        <v>295</v>
      </c>
      <c r="D12" s="25">
        <v>0.22014925373134328</v>
      </c>
    </row>
    <row r="13" spans="1:4" s="28" customFormat="1">
      <c r="A13" s="17"/>
      <c r="B13" s="27" t="s">
        <v>64</v>
      </c>
      <c r="C13" s="26">
        <v>257</v>
      </c>
      <c r="D13" s="25">
        <v>0.19179104477611941</v>
      </c>
    </row>
    <row r="14" spans="1:4" s="28" customFormat="1">
      <c r="A14" s="17"/>
      <c r="B14" s="27" t="s">
        <v>63</v>
      </c>
      <c r="C14" s="26">
        <v>102</v>
      </c>
      <c r="D14" s="25">
        <v>7.6119402985074622E-2</v>
      </c>
    </row>
    <row r="15" spans="1:4">
      <c r="B15" s="27" t="s">
        <v>62</v>
      </c>
      <c r="C15" s="26">
        <v>73</v>
      </c>
      <c r="D15" s="25">
        <v>5.4477611940298508E-2</v>
      </c>
    </row>
    <row r="16" spans="1:4">
      <c r="B16" s="27" t="s">
        <v>61</v>
      </c>
      <c r="C16" s="26">
        <v>59</v>
      </c>
      <c r="D16" s="25">
        <v>4.4029850746268653E-2</v>
      </c>
    </row>
    <row r="17" spans="2:4">
      <c r="B17" s="27" t="s">
        <v>60</v>
      </c>
      <c r="C17" s="26">
        <v>56</v>
      </c>
      <c r="D17" s="25">
        <v>4.1791044776119404E-2</v>
      </c>
    </row>
    <row r="18" spans="2:4">
      <c r="B18" s="27" t="s">
        <v>59</v>
      </c>
      <c r="C18" s="26">
        <v>37</v>
      </c>
      <c r="D18" s="25">
        <v>2.7611940298507463E-2</v>
      </c>
    </row>
    <row r="19" spans="2:4">
      <c r="B19" s="27" t="s">
        <v>58</v>
      </c>
      <c r="C19" s="26">
        <v>33</v>
      </c>
      <c r="D19" s="25">
        <v>2.4626865671641792E-2</v>
      </c>
    </row>
    <row r="20" spans="2:4">
      <c r="B20" s="27" t="s">
        <v>57</v>
      </c>
      <c r="C20" s="26">
        <v>31</v>
      </c>
      <c r="D20" s="25">
        <v>2.3134328358208955E-2</v>
      </c>
    </row>
    <row r="21" spans="2:4">
      <c r="B21" s="27" t="s">
        <v>56</v>
      </c>
      <c r="C21" s="26">
        <v>28</v>
      </c>
      <c r="D21" s="25">
        <v>2.0895522388059702E-2</v>
      </c>
    </row>
    <row r="22" spans="2:4">
      <c r="B22" s="27" t="s">
        <v>55</v>
      </c>
      <c r="C22" s="26">
        <v>27</v>
      </c>
      <c r="D22" s="25">
        <v>2.0149253731343283E-2</v>
      </c>
    </row>
    <row r="23" spans="2:4">
      <c r="B23" s="27" t="s">
        <v>54</v>
      </c>
      <c r="C23" s="26">
        <v>24</v>
      </c>
      <c r="D23" s="25">
        <v>1.7910447761194031E-2</v>
      </c>
    </row>
    <row r="24" spans="2:4">
      <c r="B24" s="27" t="s">
        <v>53</v>
      </c>
      <c r="C24" s="26">
        <v>23</v>
      </c>
      <c r="D24" s="25">
        <v>1.7164179104477612E-2</v>
      </c>
    </row>
    <row r="25" spans="2:4">
      <c r="B25" s="27" t="s">
        <v>52</v>
      </c>
      <c r="C25" s="26">
        <v>22</v>
      </c>
      <c r="D25" s="25">
        <v>1.6417910447761194E-2</v>
      </c>
    </row>
    <row r="26" spans="2:4">
      <c r="B26" s="27" t="s">
        <v>51</v>
      </c>
      <c r="C26" s="26">
        <v>22</v>
      </c>
      <c r="D26" s="25">
        <v>1.6417910447761194E-2</v>
      </c>
    </row>
    <row r="27" spans="2:4">
      <c r="B27" s="27" t="s">
        <v>50</v>
      </c>
      <c r="C27" s="26">
        <v>20</v>
      </c>
      <c r="D27" s="25">
        <v>1.4925373134328358E-2</v>
      </c>
    </row>
    <row r="28" spans="2:4">
      <c r="B28" s="27" t="s">
        <v>49</v>
      </c>
      <c r="C28" s="26">
        <v>19</v>
      </c>
      <c r="D28" s="25">
        <v>1.4179104477611941E-2</v>
      </c>
    </row>
    <row r="29" spans="2:4">
      <c r="B29" s="27" t="s">
        <v>48</v>
      </c>
      <c r="C29" s="26">
        <v>17</v>
      </c>
      <c r="D29" s="25">
        <v>1.2686567164179104E-2</v>
      </c>
    </row>
    <row r="30" spans="2:4">
      <c r="B30" s="27" t="s">
        <v>47</v>
      </c>
      <c r="C30" s="26">
        <v>17</v>
      </c>
      <c r="D30" s="25">
        <v>1.2686567164179104E-2</v>
      </c>
    </row>
    <row r="31" spans="2:4">
      <c r="B31" s="27" t="s">
        <v>46</v>
      </c>
      <c r="C31" s="26">
        <v>17</v>
      </c>
      <c r="D31" s="25">
        <v>1.2686567164179104E-2</v>
      </c>
    </row>
    <row r="32" spans="2:4">
      <c r="B32" s="27" t="s">
        <v>45</v>
      </c>
      <c r="C32" s="26">
        <v>17</v>
      </c>
      <c r="D32" s="25">
        <v>1.2686567164179104E-2</v>
      </c>
    </row>
    <row r="33" spans="2:4">
      <c r="B33" s="27" t="s">
        <v>44</v>
      </c>
      <c r="C33" s="26">
        <v>14</v>
      </c>
      <c r="D33" s="25">
        <v>1.0447761194029851E-2</v>
      </c>
    </row>
    <row r="34" spans="2:4">
      <c r="B34" s="27" t="s">
        <v>43</v>
      </c>
      <c r="C34" s="26">
        <v>13</v>
      </c>
      <c r="D34" s="25">
        <v>9.7014925373134324E-3</v>
      </c>
    </row>
    <row r="35" spans="2:4">
      <c r="B35" s="27" t="s">
        <v>42</v>
      </c>
      <c r="C35" s="26">
        <v>12</v>
      </c>
      <c r="D35" s="25">
        <v>8.9552238805970154E-3</v>
      </c>
    </row>
    <row r="36" spans="2:4">
      <c r="B36" s="27" t="s">
        <v>41</v>
      </c>
      <c r="C36" s="26">
        <v>11</v>
      </c>
      <c r="D36" s="25">
        <v>8.2089552238805968E-3</v>
      </c>
    </row>
    <row r="37" spans="2:4">
      <c r="B37" s="27" t="s">
        <v>40</v>
      </c>
      <c r="C37" s="26">
        <v>11</v>
      </c>
      <c r="D37" s="25">
        <v>8.2089552238805968E-3</v>
      </c>
    </row>
    <row r="38" spans="2:4">
      <c r="B38" s="27" t="s">
        <v>39</v>
      </c>
      <c r="C38" s="26">
        <v>10</v>
      </c>
      <c r="D38" s="25">
        <v>7.462686567164179E-3</v>
      </c>
    </row>
    <row r="39" spans="2:4">
      <c r="B39" s="27" t="s">
        <v>38</v>
      </c>
      <c r="C39" s="26">
        <v>9</v>
      </c>
      <c r="D39" s="25">
        <v>6.7164179104477612E-3</v>
      </c>
    </row>
    <row r="40" spans="2:4">
      <c r="B40" s="27" t="s">
        <v>37</v>
      </c>
      <c r="C40" s="26">
        <v>9</v>
      </c>
      <c r="D40" s="25">
        <v>6.7164179104477612E-3</v>
      </c>
    </row>
    <row r="41" spans="2:4">
      <c r="B41" s="27" t="s">
        <v>36</v>
      </c>
      <c r="C41" s="26">
        <v>8</v>
      </c>
      <c r="D41" s="25">
        <v>5.9701492537313433E-3</v>
      </c>
    </row>
    <row r="42" spans="2:4">
      <c r="B42" s="27" t="s">
        <v>35</v>
      </c>
      <c r="C42" s="26">
        <v>8</v>
      </c>
      <c r="D42" s="25">
        <v>5.9701492537313433E-3</v>
      </c>
    </row>
    <row r="43" spans="2:4">
      <c r="B43" s="27" t="s">
        <v>34</v>
      </c>
      <c r="C43" s="26">
        <v>7</v>
      </c>
      <c r="D43" s="25">
        <v>5.2238805970149255E-3</v>
      </c>
    </row>
    <row r="44" spans="2:4">
      <c r="B44" s="27" t="s">
        <v>33</v>
      </c>
      <c r="C44" s="26">
        <v>7</v>
      </c>
      <c r="D44" s="25">
        <v>5.2238805970149255E-3</v>
      </c>
    </row>
    <row r="45" spans="2:4">
      <c r="B45" s="27" t="s">
        <v>32</v>
      </c>
      <c r="C45" s="26">
        <v>6</v>
      </c>
      <c r="D45" s="25">
        <v>4.4776119402985077E-3</v>
      </c>
    </row>
    <row r="46" spans="2:4">
      <c r="B46" s="27" t="s">
        <v>31</v>
      </c>
      <c r="C46" s="26">
        <v>5</v>
      </c>
      <c r="D46" s="25">
        <v>3.7313432835820895E-3</v>
      </c>
    </row>
    <row r="47" spans="2:4">
      <c r="B47" s="27" t="s">
        <v>30</v>
      </c>
      <c r="C47" s="26">
        <v>3</v>
      </c>
      <c r="D47" s="25">
        <v>2.2388059701492539E-3</v>
      </c>
    </row>
    <row r="48" spans="2:4">
      <c r="B48" s="27" t="s">
        <v>29</v>
      </c>
      <c r="C48" s="26">
        <v>3</v>
      </c>
      <c r="D48" s="25">
        <v>2.2388059701492539E-3</v>
      </c>
    </row>
    <row r="49" spans="2:4">
      <c r="B49" s="27" t="s">
        <v>28</v>
      </c>
      <c r="C49" s="26">
        <v>3</v>
      </c>
      <c r="D49" s="25">
        <v>2.2388059701492539E-3</v>
      </c>
    </row>
    <row r="50" spans="2:4">
      <c r="B50" s="27" t="s">
        <v>27</v>
      </c>
      <c r="C50" s="26">
        <v>2</v>
      </c>
      <c r="D50" s="25">
        <v>1.4925373134328358E-3</v>
      </c>
    </row>
    <row r="51" spans="2:4">
      <c r="B51" s="27" t="s">
        <v>26</v>
      </c>
      <c r="C51" s="26">
        <v>1</v>
      </c>
      <c r="D51" s="25">
        <v>7.4626865671641792E-4</v>
      </c>
    </row>
    <row r="52" spans="2:4">
      <c r="B52" s="27" t="s">
        <v>25</v>
      </c>
      <c r="C52" s="26">
        <v>1</v>
      </c>
      <c r="D52" s="25">
        <v>7.4626865671641792E-4</v>
      </c>
    </row>
    <row r="53" spans="2:4">
      <c r="B53" s="27" t="s">
        <v>24</v>
      </c>
      <c r="C53" s="26">
        <v>1</v>
      </c>
      <c r="D53" s="25">
        <v>7.4626865671641792E-4</v>
      </c>
    </row>
    <row r="54" spans="2:4" ht="15" customHeight="1">
      <c r="B54" s="24" t="s">
        <v>23</v>
      </c>
      <c r="C54" s="23">
        <v>1340</v>
      </c>
      <c r="D54" s="22">
        <v>1</v>
      </c>
    </row>
    <row r="56" spans="2:4">
      <c r="B56" s="19" t="s">
        <v>22</v>
      </c>
    </row>
    <row r="57" spans="2:4">
      <c r="B57" s="21" t="s">
        <v>21</v>
      </c>
    </row>
    <row r="58" spans="2:4">
      <c r="B58" s="20" t="s">
        <v>20</v>
      </c>
    </row>
    <row r="59" spans="2:4">
      <c r="B59" s="19" t="s">
        <v>19</v>
      </c>
    </row>
    <row r="60" spans="2:4">
      <c r="B6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46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121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120</v>
      </c>
      <c r="C11" s="31" t="s">
        <v>67</v>
      </c>
      <c r="D11" s="30" t="s">
        <v>66</v>
      </c>
    </row>
    <row r="12" spans="1:4" ht="15" customHeight="1">
      <c r="B12" s="27" t="s">
        <v>115</v>
      </c>
      <c r="C12" s="26">
        <v>137</v>
      </c>
      <c r="D12" s="25">
        <f t="shared" ref="D12:D43" si="0">C12/$C$62</f>
        <v>0.10223880597014925</v>
      </c>
    </row>
    <row r="13" spans="1:4">
      <c r="B13" s="27" t="s">
        <v>87</v>
      </c>
      <c r="C13" s="26">
        <v>97</v>
      </c>
      <c r="D13" s="25">
        <f t="shared" si="0"/>
        <v>7.2388059701492535E-2</v>
      </c>
    </row>
    <row r="14" spans="1:4" s="28" customFormat="1">
      <c r="A14" s="17"/>
      <c r="B14" s="27" t="s">
        <v>117</v>
      </c>
      <c r="C14" s="26">
        <v>76</v>
      </c>
      <c r="D14" s="25">
        <f t="shared" si="0"/>
        <v>5.6716417910447764E-2</v>
      </c>
    </row>
    <row r="15" spans="1:4" s="28" customFormat="1">
      <c r="A15" s="17"/>
      <c r="B15" s="27" t="s">
        <v>106</v>
      </c>
      <c r="C15" s="26">
        <v>75</v>
      </c>
      <c r="D15" s="25">
        <f t="shared" si="0"/>
        <v>5.5970149253731345E-2</v>
      </c>
    </row>
    <row r="16" spans="1:4">
      <c r="B16" s="27" t="s">
        <v>116</v>
      </c>
      <c r="C16" s="26">
        <v>69</v>
      </c>
      <c r="D16" s="25">
        <f t="shared" si="0"/>
        <v>5.1492537313432833E-2</v>
      </c>
    </row>
    <row r="17" spans="2:4">
      <c r="B17" s="27" t="s">
        <v>119</v>
      </c>
      <c r="C17" s="26">
        <v>60</v>
      </c>
      <c r="D17" s="25">
        <f t="shared" si="0"/>
        <v>4.4776119402985072E-2</v>
      </c>
    </row>
    <row r="18" spans="2:4">
      <c r="B18" s="27" t="s">
        <v>109</v>
      </c>
      <c r="C18" s="26">
        <v>57</v>
      </c>
      <c r="D18" s="25">
        <f t="shared" si="0"/>
        <v>4.2537313432835823E-2</v>
      </c>
    </row>
    <row r="19" spans="2:4">
      <c r="B19" s="27" t="s">
        <v>107</v>
      </c>
      <c r="C19" s="26">
        <v>56</v>
      </c>
      <c r="D19" s="25">
        <f t="shared" si="0"/>
        <v>4.1791044776119404E-2</v>
      </c>
    </row>
    <row r="20" spans="2:4">
      <c r="B20" s="27" t="s">
        <v>112</v>
      </c>
      <c r="C20" s="26">
        <v>54</v>
      </c>
      <c r="D20" s="25">
        <f t="shared" si="0"/>
        <v>4.0298507462686567E-2</v>
      </c>
    </row>
    <row r="21" spans="2:4">
      <c r="B21" s="27" t="s">
        <v>108</v>
      </c>
      <c r="C21" s="26">
        <v>51</v>
      </c>
      <c r="D21" s="25">
        <f t="shared" si="0"/>
        <v>3.8059701492537311E-2</v>
      </c>
    </row>
    <row r="22" spans="2:4">
      <c r="B22" s="27" t="s">
        <v>105</v>
      </c>
      <c r="C22" s="26">
        <v>42</v>
      </c>
      <c r="D22" s="25">
        <f t="shared" si="0"/>
        <v>3.134328358208955E-2</v>
      </c>
    </row>
    <row r="23" spans="2:4">
      <c r="B23" s="27" t="s">
        <v>99</v>
      </c>
      <c r="C23" s="26">
        <v>40</v>
      </c>
      <c r="D23" s="25">
        <f t="shared" si="0"/>
        <v>2.9850746268656716E-2</v>
      </c>
    </row>
    <row r="24" spans="2:4">
      <c r="B24" s="27" t="s">
        <v>96</v>
      </c>
      <c r="C24" s="26">
        <v>39</v>
      </c>
      <c r="D24" s="25">
        <f t="shared" si="0"/>
        <v>2.9104477611940297E-2</v>
      </c>
    </row>
    <row r="25" spans="2:4">
      <c r="B25" s="27" t="s">
        <v>104</v>
      </c>
      <c r="C25" s="26">
        <v>36</v>
      </c>
      <c r="D25" s="25">
        <f t="shared" si="0"/>
        <v>2.6865671641791045E-2</v>
      </c>
    </row>
    <row r="26" spans="2:4">
      <c r="B26" s="27" t="s">
        <v>118</v>
      </c>
      <c r="C26" s="26">
        <v>34</v>
      </c>
      <c r="D26" s="25">
        <f t="shared" si="0"/>
        <v>2.5373134328358207E-2</v>
      </c>
    </row>
    <row r="27" spans="2:4">
      <c r="B27" s="27" t="s">
        <v>100</v>
      </c>
      <c r="C27" s="26">
        <v>34</v>
      </c>
      <c r="D27" s="25">
        <f t="shared" si="0"/>
        <v>2.5373134328358207E-2</v>
      </c>
    </row>
    <row r="28" spans="2:4">
      <c r="B28" s="27" t="s">
        <v>85</v>
      </c>
      <c r="C28" s="26">
        <v>31</v>
      </c>
      <c r="D28" s="25">
        <f t="shared" si="0"/>
        <v>2.3134328358208955E-2</v>
      </c>
    </row>
    <row r="29" spans="2:4">
      <c r="B29" s="27" t="s">
        <v>45</v>
      </c>
      <c r="C29" s="26">
        <v>29</v>
      </c>
      <c r="D29" s="25">
        <f t="shared" si="0"/>
        <v>2.1641791044776121E-2</v>
      </c>
    </row>
    <row r="30" spans="2:4">
      <c r="B30" s="27" t="s">
        <v>101</v>
      </c>
      <c r="C30" s="26">
        <v>28</v>
      </c>
      <c r="D30" s="25">
        <f t="shared" si="0"/>
        <v>2.0895522388059702E-2</v>
      </c>
    </row>
    <row r="31" spans="2:4">
      <c r="B31" s="27" t="s">
        <v>93</v>
      </c>
      <c r="C31" s="26">
        <v>27</v>
      </c>
      <c r="D31" s="25">
        <f t="shared" si="0"/>
        <v>2.0149253731343283E-2</v>
      </c>
    </row>
    <row r="32" spans="2:4">
      <c r="B32" s="27" t="s">
        <v>113</v>
      </c>
      <c r="C32" s="26">
        <v>24</v>
      </c>
      <c r="D32" s="25">
        <f t="shared" si="0"/>
        <v>1.7910447761194031E-2</v>
      </c>
    </row>
    <row r="33" spans="2:4">
      <c r="B33" s="27" t="s">
        <v>103</v>
      </c>
      <c r="C33" s="26">
        <v>22</v>
      </c>
      <c r="D33" s="25">
        <f t="shared" si="0"/>
        <v>1.6417910447761194E-2</v>
      </c>
    </row>
    <row r="34" spans="2:4">
      <c r="B34" s="27" t="s">
        <v>110</v>
      </c>
      <c r="C34" s="26">
        <v>21</v>
      </c>
      <c r="D34" s="25">
        <f t="shared" si="0"/>
        <v>1.5671641791044775E-2</v>
      </c>
    </row>
    <row r="35" spans="2:4">
      <c r="B35" s="27" t="s">
        <v>102</v>
      </c>
      <c r="C35" s="26">
        <v>20</v>
      </c>
      <c r="D35" s="25">
        <f t="shared" si="0"/>
        <v>1.4925373134328358E-2</v>
      </c>
    </row>
    <row r="36" spans="2:4">
      <c r="B36" s="27" t="s">
        <v>111</v>
      </c>
      <c r="C36" s="26">
        <v>20</v>
      </c>
      <c r="D36" s="25">
        <f t="shared" si="0"/>
        <v>1.4925373134328358E-2</v>
      </c>
    </row>
    <row r="37" spans="2:4">
      <c r="B37" s="27" t="s">
        <v>114</v>
      </c>
      <c r="C37" s="26">
        <v>19</v>
      </c>
      <c r="D37" s="25">
        <f t="shared" si="0"/>
        <v>1.4179104477611941E-2</v>
      </c>
    </row>
    <row r="38" spans="2:4">
      <c r="B38" s="27" t="s">
        <v>98</v>
      </c>
      <c r="C38" s="26">
        <v>16</v>
      </c>
      <c r="D38" s="25">
        <f t="shared" si="0"/>
        <v>1.1940298507462687E-2</v>
      </c>
    </row>
    <row r="39" spans="2:4">
      <c r="B39" s="27" t="s">
        <v>89</v>
      </c>
      <c r="C39" s="26">
        <v>16</v>
      </c>
      <c r="D39" s="25">
        <f t="shared" si="0"/>
        <v>1.1940298507462687E-2</v>
      </c>
    </row>
    <row r="40" spans="2:4">
      <c r="B40" s="27" t="s">
        <v>86</v>
      </c>
      <c r="C40" s="26">
        <v>13</v>
      </c>
      <c r="D40" s="25">
        <f t="shared" si="0"/>
        <v>9.7014925373134324E-3</v>
      </c>
    </row>
    <row r="41" spans="2:4">
      <c r="B41" s="27" t="s">
        <v>94</v>
      </c>
      <c r="C41" s="26">
        <v>13</v>
      </c>
      <c r="D41" s="25">
        <f t="shared" si="0"/>
        <v>9.7014925373134324E-3</v>
      </c>
    </row>
    <row r="42" spans="2:4">
      <c r="B42" s="27" t="s">
        <v>92</v>
      </c>
      <c r="C42" s="26">
        <v>12</v>
      </c>
      <c r="D42" s="25">
        <f t="shared" si="0"/>
        <v>8.9552238805970154E-3</v>
      </c>
    </row>
    <row r="43" spans="2:4">
      <c r="B43" s="27" t="s">
        <v>81</v>
      </c>
      <c r="C43" s="26">
        <v>11</v>
      </c>
      <c r="D43" s="25">
        <f t="shared" si="0"/>
        <v>8.2089552238805968E-3</v>
      </c>
    </row>
    <row r="44" spans="2:4">
      <c r="B44" s="27" t="s">
        <v>88</v>
      </c>
      <c r="C44" s="26">
        <v>11</v>
      </c>
      <c r="D44" s="25">
        <f t="shared" ref="D44:D75" si="1">C44/$C$62</f>
        <v>8.2089552238805968E-3</v>
      </c>
    </row>
    <row r="45" spans="2:4">
      <c r="B45" s="27" t="s">
        <v>97</v>
      </c>
      <c r="C45" s="26">
        <v>7</v>
      </c>
      <c r="D45" s="25">
        <f t="shared" si="1"/>
        <v>5.2238805970149255E-3</v>
      </c>
    </row>
    <row r="46" spans="2:4">
      <c r="B46" s="27" t="s">
        <v>80</v>
      </c>
      <c r="C46" s="26">
        <v>7</v>
      </c>
      <c r="D46" s="25">
        <f t="shared" si="1"/>
        <v>5.2238805970149255E-3</v>
      </c>
    </row>
    <row r="47" spans="2:4">
      <c r="B47" s="27" t="s">
        <v>83</v>
      </c>
      <c r="C47" s="26">
        <v>6</v>
      </c>
      <c r="D47" s="25">
        <f t="shared" si="1"/>
        <v>4.4776119402985077E-3</v>
      </c>
    </row>
    <row r="48" spans="2:4">
      <c r="B48" s="27" t="s">
        <v>90</v>
      </c>
      <c r="C48" s="26">
        <v>6</v>
      </c>
      <c r="D48" s="25">
        <f t="shared" si="1"/>
        <v>4.4776119402985077E-3</v>
      </c>
    </row>
    <row r="49" spans="2:4">
      <c r="B49" s="27" t="s">
        <v>95</v>
      </c>
      <c r="C49" s="26">
        <v>6</v>
      </c>
      <c r="D49" s="25">
        <f t="shared" si="1"/>
        <v>4.4776119402985077E-3</v>
      </c>
    </row>
    <row r="50" spans="2:4">
      <c r="B50" s="27" t="s">
        <v>82</v>
      </c>
      <c r="C50" s="26">
        <v>5</v>
      </c>
      <c r="D50" s="25">
        <f t="shared" si="1"/>
        <v>3.7313432835820895E-3</v>
      </c>
    </row>
    <row r="51" spans="2:4">
      <c r="B51" s="27" t="s">
        <v>91</v>
      </c>
      <c r="C51" s="26">
        <v>5</v>
      </c>
      <c r="D51" s="25">
        <f t="shared" si="1"/>
        <v>3.7313432835820895E-3</v>
      </c>
    </row>
    <row r="52" spans="2:4">
      <c r="B52" s="27" t="s">
        <v>84</v>
      </c>
      <c r="C52" s="26">
        <v>3</v>
      </c>
      <c r="D52" s="25">
        <f t="shared" si="1"/>
        <v>2.2388059701492539E-3</v>
      </c>
    </row>
    <row r="53" spans="2:4">
      <c r="B53" s="27" t="s">
        <v>77</v>
      </c>
      <c r="C53" s="26">
        <v>2</v>
      </c>
      <c r="D53" s="25">
        <f t="shared" si="1"/>
        <v>1.4925373134328358E-3</v>
      </c>
    </row>
    <row r="54" spans="2:4">
      <c r="B54" s="27" t="s">
        <v>76</v>
      </c>
      <c r="C54" s="26">
        <v>2</v>
      </c>
      <c r="D54" s="25">
        <f t="shared" si="1"/>
        <v>1.4925373134328358E-3</v>
      </c>
    </row>
    <row r="55" spans="2:4">
      <c r="B55" s="27" t="s">
        <v>78</v>
      </c>
      <c r="C55" s="26">
        <v>1</v>
      </c>
      <c r="D55" s="25">
        <f t="shared" si="1"/>
        <v>7.4626865671641792E-4</v>
      </c>
    </row>
    <row r="56" spans="2:4">
      <c r="B56" s="27" t="s">
        <v>75</v>
      </c>
      <c r="C56" s="26">
        <v>0</v>
      </c>
      <c r="D56" s="25">
        <f t="shared" si="1"/>
        <v>0</v>
      </c>
    </row>
    <row r="57" spans="2:4">
      <c r="B57" s="27" t="s">
        <v>74</v>
      </c>
      <c r="C57" s="26">
        <v>0</v>
      </c>
      <c r="D57" s="25">
        <f t="shared" si="1"/>
        <v>0</v>
      </c>
    </row>
    <row r="58" spans="2:4">
      <c r="B58" s="27" t="s">
        <v>72</v>
      </c>
      <c r="C58" s="26">
        <v>0</v>
      </c>
      <c r="D58" s="25">
        <f t="shared" si="1"/>
        <v>0</v>
      </c>
    </row>
    <row r="59" spans="2:4">
      <c r="B59" s="27" t="s">
        <v>71</v>
      </c>
      <c r="C59" s="26">
        <v>0</v>
      </c>
      <c r="D59" s="25">
        <f t="shared" si="1"/>
        <v>0</v>
      </c>
    </row>
    <row r="60" spans="2:4">
      <c r="B60" s="27" t="s">
        <v>73</v>
      </c>
      <c r="C60" s="26">
        <v>0</v>
      </c>
      <c r="D60" s="25">
        <f t="shared" si="1"/>
        <v>0</v>
      </c>
    </row>
    <row r="61" spans="2:4">
      <c r="B61" s="27" t="s">
        <v>79</v>
      </c>
      <c r="C61" s="26">
        <v>0</v>
      </c>
      <c r="D61" s="25">
        <f t="shared" si="1"/>
        <v>0</v>
      </c>
    </row>
    <row r="62" spans="2:4">
      <c r="B62" s="24" t="s">
        <v>23</v>
      </c>
      <c r="C62" s="23">
        <v>1340</v>
      </c>
      <c r="D62" s="22">
        <f t="shared" si="1"/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topLeftCell="A4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121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120</v>
      </c>
      <c r="C11" s="31" t="s">
        <v>67</v>
      </c>
      <c r="D11" s="30" t="s">
        <v>66</v>
      </c>
    </row>
    <row r="12" spans="1:4" ht="15" customHeight="1">
      <c r="B12" s="27" t="s">
        <v>115</v>
      </c>
      <c r="C12" s="26">
        <v>137</v>
      </c>
      <c r="D12" s="25">
        <f t="shared" ref="D12:D22" si="0">C12/$C$22</f>
        <v>0.1871584699453552</v>
      </c>
    </row>
    <row r="13" spans="1:4">
      <c r="B13" s="27" t="s">
        <v>87</v>
      </c>
      <c r="C13" s="26">
        <v>97</v>
      </c>
      <c r="D13" s="25">
        <f t="shared" si="0"/>
        <v>0.1325136612021858</v>
      </c>
    </row>
    <row r="14" spans="1:4" s="28" customFormat="1">
      <c r="A14" s="17"/>
      <c r="B14" s="27" t="s">
        <v>117</v>
      </c>
      <c r="C14" s="26">
        <v>76</v>
      </c>
      <c r="D14" s="25">
        <f t="shared" si="0"/>
        <v>0.10382513661202186</v>
      </c>
    </row>
    <row r="15" spans="1:4" s="28" customFormat="1">
      <c r="A15" s="17"/>
      <c r="B15" s="27" t="s">
        <v>106</v>
      </c>
      <c r="C15" s="26">
        <v>75</v>
      </c>
      <c r="D15" s="25">
        <f t="shared" si="0"/>
        <v>0.10245901639344263</v>
      </c>
    </row>
    <row r="16" spans="1:4">
      <c r="B16" s="27" t="s">
        <v>116</v>
      </c>
      <c r="C16" s="26">
        <v>69</v>
      </c>
      <c r="D16" s="25">
        <f t="shared" si="0"/>
        <v>9.4262295081967207E-2</v>
      </c>
    </row>
    <row r="17" spans="2:4">
      <c r="B17" s="27" t="s">
        <v>119</v>
      </c>
      <c r="C17" s="26">
        <v>60</v>
      </c>
      <c r="D17" s="25">
        <f t="shared" si="0"/>
        <v>8.1967213114754092E-2</v>
      </c>
    </row>
    <row r="18" spans="2:4">
      <c r="B18" s="27" t="s">
        <v>109</v>
      </c>
      <c r="C18" s="26">
        <v>57</v>
      </c>
      <c r="D18" s="25">
        <f t="shared" si="0"/>
        <v>7.7868852459016397E-2</v>
      </c>
    </row>
    <row r="19" spans="2:4">
      <c r="B19" s="27" t="s">
        <v>107</v>
      </c>
      <c r="C19" s="26">
        <v>56</v>
      </c>
      <c r="D19" s="25">
        <f t="shared" si="0"/>
        <v>7.650273224043716E-2</v>
      </c>
    </row>
    <row r="20" spans="2:4">
      <c r="B20" s="27" t="s">
        <v>112</v>
      </c>
      <c r="C20" s="26">
        <v>54</v>
      </c>
      <c r="D20" s="25">
        <f t="shared" si="0"/>
        <v>7.3770491803278687E-2</v>
      </c>
    </row>
    <row r="21" spans="2:4">
      <c r="B21" s="27" t="s">
        <v>108</v>
      </c>
      <c r="C21" s="26">
        <v>51</v>
      </c>
      <c r="D21" s="25">
        <f t="shared" si="0"/>
        <v>6.9672131147540978E-2</v>
      </c>
    </row>
    <row r="22" spans="2:4">
      <c r="B22" s="24" t="s">
        <v>23</v>
      </c>
      <c r="C22" s="23">
        <f>SUM(C12:C21)</f>
        <v>732</v>
      </c>
      <c r="D22" s="22">
        <f t="shared" si="0"/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133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132</v>
      </c>
      <c r="C11" s="31" t="s">
        <v>67</v>
      </c>
      <c r="D11" s="30" t="s">
        <v>66</v>
      </c>
    </row>
    <row r="12" spans="1:4" ht="15" customHeight="1">
      <c r="B12" s="27" t="s">
        <v>131</v>
      </c>
      <c r="C12" s="26">
        <v>451</v>
      </c>
      <c r="D12" s="25">
        <v>0.33656716417910448</v>
      </c>
    </row>
    <row r="13" spans="1:4">
      <c r="B13" s="27" t="s">
        <v>130</v>
      </c>
      <c r="C13" s="26">
        <v>291</v>
      </c>
      <c r="D13" s="25">
        <v>0.21716417910447761</v>
      </c>
    </row>
    <row r="14" spans="1:4" s="28" customFormat="1">
      <c r="A14" s="17"/>
      <c r="B14" s="27" t="s">
        <v>129</v>
      </c>
      <c r="C14" s="26">
        <v>288</v>
      </c>
      <c r="D14" s="25">
        <v>0.21492537313432836</v>
      </c>
    </row>
    <row r="15" spans="1:4" s="28" customFormat="1">
      <c r="A15" s="17"/>
      <c r="B15" s="27" t="s">
        <v>128</v>
      </c>
      <c r="C15" s="26">
        <v>160</v>
      </c>
      <c r="D15" s="25">
        <v>0.11940298507462686</v>
      </c>
    </row>
    <row r="16" spans="1:4">
      <c r="B16" s="27" t="s">
        <v>127</v>
      </c>
      <c r="C16" s="26">
        <v>60</v>
      </c>
      <c r="D16" s="25">
        <v>4.4776119402985072E-2</v>
      </c>
    </row>
    <row r="17" spans="2:4">
      <c r="B17" s="27" t="s">
        <v>126</v>
      </c>
      <c r="C17" s="26">
        <v>44</v>
      </c>
      <c r="D17" s="25">
        <v>3.2835820895522387E-2</v>
      </c>
    </row>
    <row r="18" spans="2:4">
      <c r="B18" s="27" t="s">
        <v>125</v>
      </c>
      <c r="C18" s="26">
        <v>23</v>
      </c>
      <c r="D18" s="25">
        <v>1.7164179104477612E-2</v>
      </c>
    </row>
    <row r="19" spans="2:4">
      <c r="B19" s="27" t="s">
        <v>124</v>
      </c>
      <c r="C19" s="26">
        <v>18</v>
      </c>
      <c r="D19" s="25">
        <v>1.3432835820895522E-2</v>
      </c>
    </row>
    <row r="20" spans="2:4">
      <c r="B20" s="27" t="s">
        <v>123</v>
      </c>
      <c r="C20" s="26">
        <v>4</v>
      </c>
      <c r="D20" s="25">
        <v>2.9850746268656717E-3</v>
      </c>
    </row>
    <row r="21" spans="2:4">
      <c r="B21" s="27" t="s">
        <v>122</v>
      </c>
      <c r="C21" s="26">
        <v>1</v>
      </c>
      <c r="D21" s="25">
        <v>7.4626865671641792E-4</v>
      </c>
    </row>
    <row r="22" spans="2:4">
      <c r="B22" s="24" t="s">
        <v>23</v>
      </c>
      <c r="C22" s="23">
        <v>1340</v>
      </c>
      <c r="D22" s="22"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FF00"/>
  </sheetPr>
  <dimension ref="A1:E245"/>
  <sheetViews>
    <sheetView topLeftCell="A207" zoomScale="96" zoomScaleNormal="96" zoomScaleSheetLayoutView="85" workbookViewId="0">
      <selection activeCell="B239" sqref="B239:E23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85"/>
      <c r="C7" s="85"/>
      <c r="D7" s="85"/>
      <c r="E7" s="85"/>
    </row>
    <row r="8" spans="1:5" s="50" customFormat="1" ht="33" customHeight="1">
      <c r="A8" s="51"/>
      <c r="B8" s="85"/>
      <c r="C8" s="85"/>
      <c r="D8" s="85"/>
      <c r="E8" s="85"/>
    </row>
    <row r="9" spans="1:5" s="29" customFormat="1" ht="40.5" customHeight="1">
      <c r="B9" s="47" t="s">
        <v>135</v>
      </c>
      <c r="C9" s="49" t="s">
        <v>134</v>
      </c>
      <c r="D9" s="48" t="s">
        <v>67</v>
      </c>
      <c r="E9" s="47" t="s">
        <v>66</v>
      </c>
    </row>
    <row r="10" spans="1:5" ht="15" customHeight="1">
      <c r="B10" s="86" t="s">
        <v>60</v>
      </c>
      <c r="C10" s="45" t="s">
        <v>124</v>
      </c>
      <c r="D10" s="44">
        <v>2</v>
      </c>
      <c r="E10" s="43">
        <v>1.4925373134328358E-3</v>
      </c>
    </row>
    <row r="11" spans="1:5" ht="15" customHeight="1">
      <c r="B11" s="87"/>
      <c r="C11" s="45" t="s">
        <v>129</v>
      </c>
      <c r="D11" s="44">
        <v>5</v>
      </c>
      <c r="E11" s="43">
        <v>3.7313432835820895E-3</v>
      </c>
    </row>
    <row r="12" spans="1:5" ht="15" customHeight="1">
      <c r="B12" s="87"/>
      <c r="C12" s="45" t="s">
        <v>126</v>
      </c>
      <c r="D12" s="44">
        <v>1</v>
      </c>
      <c r="E12" s="43">
        <v>7.4626865671641792E-4</v>
      </c>
    </row>
    <row r="13" spans="1:5" ht="15" customHeight="1">
      <c r="B13" s="87"/>
      <c r="C13" s="45" t="s">
        <v>131</v>
      </c>
      <c r="D13" s="44">
        <v>21</v>
      </c>
      <c r="E13" s="43">
        <v>1.5671641791044775E-2</v>
      </c>
    </row>
    <row r="14" spans="1:5" ht="15" customHeight="1">
      <c r="B14" s="87"/>
      <c r="C14" s="45" t="s">
        <v>130</v>
      </c>
      <c r="D14" s="44">
        <v>7</v>
      </c>
      <c r="E14" s="43">
        <v>5.2238805970149255E-3</v>
      </c>
    </row>
    <row r="15" spans="1:5" s="46" customFormat="1" ht="15" customHeight="1">
      <c r="A15" s="36"/>
      <c r="B15" s="87"/>
      <c r="C15" s="45" t="s">
        <v>128</v>
      </c>
      <c r="D15" s="44">
        <v>2</v>
      </c>
      <c r="E15" s="43">
        <v>1.4925373134328358E-3</v>
      </c>
    </row>
    <row r="16" spans="1:5" s="46" customFormat="1" ht="15" customHeight="1">
      <c r="A16" s="36"/>
      <c r="B16" s="87"/>
      <c r="C16" s="45" t="s">
        <v>127</v>
      </c>
      <c r="D16" s="44">
        <v>18</v>
      </c>
      <c r="E16" s="43">
        <v>1.3432835820895522E-2</v>
      </c>
    </row>
    <row r="17" spans="2:5" ht="15" customHeight="1">
      <c r="B17" s="88"/>
      <c r="C17" s="42" t="s">
        <v>23</v>
      </c>
      <c r="D17" s="41">
        <v>56</v>
      </c>
      <c r="E17" s="40">
        <v>4.1791044776119404E-2</v>
      </c>
    </row>
    <row r="18" spans="2:5" ht="15" customHeight="1">
      <c r="B18" s="86" t="s">
        <v>36</v>
      </c>
      <c r="C18" s="45" t="s">
        <v>131</v>
      </c>
      <c r="D18" s="44">
        <v>5</v>
      </c>
      <c r="E18" s="43">
        <v>3.7313432835820895E-3</v>
      </c>
    </row>
    <row r="19" spans="2:5" ht="15" customHeight="1">
      <c r="B19" s="87"/>
      <c r="C19" s="45" t="s">
        <v>130</v>
      </c>
      <c r="D19" s="44">
        <v>3</v>
      </c>
      <c r="E19" s="43">
        <v>2.2388059701492539E-3</v>
      </c>
    </row>
    <row r="20" spans="2:5" ht="15" customHeight="1">
      <c r="B20" s="88"/>
      <c r="C20" s="42" t="s">
        <v>23</v>
      </c>
      <c r="D20" s="41">
        <v>8</v>
      </c>
      <c r="E20" s="40">
        <v>5.9701492537313433E-3</v>
      </c>
    </row>
    <row r="21" spans="2:5" ht="15" customHeight="1">
      <c r="B21" s="86" t="s">
        <v>53</v>
      </c>
      <c r="C21" s="45" t="s">
        <v>129</v>
      </c>
      <c r="D21" s="44">
        <v>5</v>
      </c>
      <c r="E21" s="43">
        <v>3.7313432835820895E-3</v>
      </c>
    </row>
    <row r="22" spans="2:5" ht="15" customHeight="1">
      <c r="B22" s="87"/>
      <c r="C22" s="45" t="s">
        <v>131</v>
      </c>
      <c r="D22" s="44">
        <v>10</v>
      </c>
      <c r="E22" s="43">
        <v>7.462686567164179E-3</v>
      </c>
    </row>
    <row r="23" spans="2:5" ht="15" customHeight="1">
      <c r="B23" s="87"/>
      <c r="C23" s="45" t="s">
        <v>130</v>
      </c>
      <c r="D23" s="44">
        <v>5</v>
      </c>
      <c r="E23" s="43">
        <v>3.7313432835820895E-3</v>
      </c>
    </row>
    <row r="24" spans="2:5" ht="15" customHeight="1">
      <c r="B24" s="87"/>
      <c r="C24" s="45" t="s">
        <v>128</v>
      </c>
      <c r="D24" s="44">
        <v>3</v>
      </c>
      <c r="E24" s="43">
        <v>2.2388059701492539E-3</v>
      </c>
    </row>
    <row r="25" spans="2:5" ht="15" customHeight="1">
      <c r="B25" s="88"/>
      <c r="C25" s="42" t="s">
        <v>23</v>
      </c>
      <c r="D25" s="41">
        <v>23</v>
      </c>
      <c r="E25" s="40">
        <v>1.7164179104477612E-2</v>
      </c>
    </row>
    <row r="26" spans="2:5" ht="15" customHeight="1">
      <c r="B26" s="86" t="s">
        <v>65</v>
      </c>
      <c r="C26" s="45" t="s">
        <v>124</v>
      </c>
      <c r="D26" s="44">
        <v>7</v>
      </c>
      <c r="E26" s="43">
        <v>5.2238805970149255E-3</v>
      </c>
    </row>
    <row r="27" spans="2:5" ht="15" customHeight="1">
      <c r="B27" s="87"/>
      <c r="C27" s="45" t="s">
        <v>129</v>
      </c>
      <c r="D27" s="44">
        <v>65</v>
      </c>
      <c r="E27" s="43">
        <v>4.8507462686567165E-2</v>
      </c>
    </row>
    <row r="28" spans="2:5" ht="15" customHeight="1">
      <c r="B28" s="87"/>
      <c r="C28" s="45" t="s">
        <v>126</v>
      </c>
      <c r="D28" s="44">
        <v>9</v>
      </c>
      <c r="E28" s="43">
        <v>6.7164179104477612E-3</v>
      </c>
    </row>
    <row r="29" spans="2:5" ht="15" customHeight="1">
      <c r="B29" s="87"/>
      <c r="C29" s="45" t="s">
        <v>131</v>
      </c>
      <c r="D29" s="44">
        <v>85</v>
      </c>
      <c r="E29" s="43">
        <v>6.3432835820895525E-2</v>
      </c>
    </row>
    <row r="30" spans="2:5" ht="15" customHeight="1">
      <c r="B30" s="87"/>
      <c r="C30" s="45" t="s">
        <v>130</v>
      </c>
      <c r="D30" s="44">
        <v>72</v>
      </c>
      <c r="E30" s="43">
        <v>5.3731343283582089E-2</v>
      </c>
    </row>
    <row r="31" spans="2:5" ht="15" customHeight="1">
      <c r="B31" s="87"/>
      <c r="C31" s="45" t="s">
        <v>128</v>
      </c>
      <c r="D31" s="44">
        <v>24</v>
      </c>
      <c r="E31" s="43">
        <v>1.7910447761194031E-2</v>
      </c>
    </row>
    <row r="32" spans="2:5" ht="15" customHeight="1">
      <c r="B32" s="87"/>
      <c r="C32" s="45" t="s">
        <v>125</v>
      </c>
      <c r="D32" s="44">
        <v>12</v>
      </c>
      <c r="E32" s="43">
        <v>8.9552238805970154E-3</v>
      </c>
    </row>
    <row r="33" spans="2:5" ht="15" customHeight="1">
      <c r="B33" s="87"/>
      <c r="C33" s="45" t="s">
        <v>127</v>
      </c>
      <c r="D33" s="44">
        <v>21</v>
      </c>
      <c r="E33" s="43">
        <v>1.5671641791044775E-2</v>
      </c>
    </row>
    <row r="34" spans="2:5" ht="15" customHeight="1">
      <c r="B34" s="88"/>
      <c r="C34" s="42" t="s">
        <v>23</v>
      </c>
      <c r="D34" s="41">
        <v>295</v>
      </c>
      <c r="E34" s="40">
        <v>0.22014925373134328</v>
      </c>
    </row>
    <row r="35" spans="2:5" ht="15" customHeight="1">
      <c r="B35" s="86" t="s">
        <v>58</v>
      </c>
      <c r="C35" s="45" t="s">
        <v>129</v>
      </c>
      <c r="D35" s="44">
        <v>2</v>
      </c>
      <c r="E35" s="43">
        <v>1.4925373134328358E-3</v>
      </c>
    </row>
    <row r="36" spans="2:5" ht="15" customHeight="1">
      <c r="B36" s="87"/>
      <c r="C36" s="45" t="s">
        <v>126</v>
      </c>
      <c r="D36" s="44">
        <v>4</v>
      </c>
      <c r="E36" s="43">
        <v>2.9850746268656717E-3</v>
      </c>
    </row>
    <row r="37" spans="2:5" ht="15" customHeight="1">
      <c r="B37" s="87"/>
      <c r="C37" s="45" t="s">
        <v>131</v>
      </c>
      <c r="D37" s="44">
        <v>21</v>
      </c>
      <c r="E37" s="43">
        <v>1.5671641791044775E-2</v>
      </c>
    </row>
    <row r="38" spans="2:5" ht="15" customHeight="1">
      <c r="B38" s="87"/>
      <c r="C38" s="45" t="s">
        <v>130</v>
      </c>
      <c r="D38" s="44">
        <v>1</v>
      </c>
      <c r="E38" s="43">
        <v>7.4626865671641792E-4</v>
      </c>
    </row>
    <row r="39" spans="2:5" ht="15" customHeight="1">
      <c r="B39" s="87"/>
      <c r="C39" s="45" t="s">
        <v>128</v>
      </c>
      <c r="D39" s="44">
        <v>3</v>
      </c>
      <c r="E39" s="43">
        <v>2.2388059701492539E-3</v>
      </c>
    </row>
    <row r="40" spans="2:5" ht="15" customHeight="1">
      <c r="B40" s="87"/>
      <c r="C40" s="45" t="s">
        <v>127</v>
      </c>
      <c r="D40" s="44">
        <v>2</v>
      </c>
      <c r="E40" s="43">
        <v>1.4925373134328358E-3</v>
      </c>
    </row>
    <row r="41" spans="2:5" ht="15" customHeight="1">
      <c r="B41" s="88"/>
      <c r="C41" s="42" t="s">
        <v>23</v>
      </c>
      <c r="D41" s="41">
        <v>33</v>
      </c>
      <c r="E41" s="40">
        <v>2.4626865671641792E-2</v>
      </c>
    </row>
    <row r="42" spans="2:5" ht="15" customHeight="1">
      <c r="B42" s="86" t="s">
        <v>30</v>
      </c>
      <c r="C42" s="45" t="s">
        <v>129</v>
      </c>
      <c r="D42" s="44">
        <v>1</v>
      </c>
      <c r="E42" s="43">
        <v>7.4626865671641792E-4</v>
      </c>
    </row>
    <row r="43" spans="2:5" ht="15" customHeight="1">
      <c r="B43" s="87"/>
      <c r="C43" s="45" t="s">
        <v>131</v>
      </c>
      <c r="D43" s="44">
        <v>1</v>
      </c>
      <c r="E43" s="43">
        <v>7.4626865671641792E-4</v>
      </c>
    </row>
    <row r="44" spans="2:5" ht="15" customHeight="1">
      <c r="B44" s="87"/>
      <c r="C44" s="45" t="s">
        <v>130</v>
      </c>
      <c r="D44" s="44">
        <v>1</v>
      </c>
      <c r="E44" s="43">
        <v>7.4626865671641792E-4</v>
      </c>
    </row>
    <row r="45" spans="2:5" ht="15" customHeight="1">
      <c r="B45" s="88"/>
      <c r="C45" s="42" t="s">
        <v>23</v>
      </c>
      <c r="D45" s="41">
        <v>3</v>
      </c>
      <c r="E45" s="40">
        <v>2.2388059701492539E-3</v>
      </c>
    </row>
    <row r="46" spans="2:5" ht="15" customHeight="1">
      <c r="B46" s="86" t="s">
        <v>26</v>
      </c>
      <c r="C46" s="45" t="s">
        <v>129</v>
      </c>
      <c r="D46" s="44">
        <v>1</v>
      </c>
      <c r="E46" s="43">
        <v>7.4626865671641792E-4</v>
      </c>
    </row>
    <row r="47" spans="2:5" ht="15" customHeight="1">
      <c r="B47" s="88"/>
      <c r="C47" s="42" t="s">
        <v>23</v>
      </c>
      <c r="D47" s="41">
        <v>1</v>
      </c>
      <c r="E47" s="40">
        <v>7.4626865671641792E-4</v>
      </c>
    </row>
    <row r="48" spans="2:5" ht="15" customHeight="1">
      <c r="B48" s="86" t="s">
        <v>29</v>
      </c>
      <c r="C48" s="45" t="s">
        <v>131</v>
      </c>
      <c r="D48" s="44">
        <v>1</v>
      </c>
      <c r="E48" s="43">
        <v>7.4626865671641792E-4</v>
      </c>
    </row>
    <row r="49" spans="2:5" ht="15" customHeight="1">
      <c r="B49" s="87"/>
      <c r="C49" s="45" t="s">
        <v>130</v>
      </c>
      <c r="D49" s="44">
        <v>1</v>
      </c>
      <c r="E49" s="43">
        <v>7.4626865671641792E-4</v>
      </c>
    </row>
    <row r="50" spans="2:5" ht="15" customHeight="1">
      <c r="B50" s="87"/>
      <c r="C50" s="45" t="s">
        <v>128</v>
      </c>
      <c r="D50" s="44">
        <v>1</v>
      </c>
      <c r="E50" s="43">
        <v>7.4626865671641792E-4</v>
      </c>
    </row>
    <row r="51" spans="2:5" ht="15" customHeight="1">
      <c r="B51" s="88"/>
      <c r="C51" s="42" t="s">
        <v>23</v>
      </c>
      <c r="D51" s="41">
        <v>3</v>
      </c>
      <c r="E51" s="40">
        <v>2.2388059701492539E-3</v>
      </c>
    </row>
    <row r="52" spans="2:5" ht="15" customHeight="1">
      <c r="B52" s="86" t="s">
        <v>63</v>
      </c>
      <c r="C52" s="45" t="s">
        <v>124</v>
      </c>
      <c r="D52" s="44">
        <v>2</v>
      </c>
      <c r="E52" s="43">
        <v>1.4925373134328358E-3</v>
      </c>
    </row>
    <row r="53" spans="2:5" ht="15" customHeight="1">
      <c r="B53" s="87"/>
      <c r="C53" s="45" t="s">
        <v>129</v>
      </c>
      <c r="D53" s="44">
        <v>16</v>
      </c>
      <c r="E53" s="43">
        <v>1.1940298507462687E-2</v>
      </c>
    </row>
    <row r="54" spans="2:5" ht="15" customHeight="1">
      <c r="B54" s="87"/>
      <c r="C54" s="45" t="s">
        <v>126</v>
      </c>
      <c r="D54" s="44">
        <v>3</v>
      </c>
      <c r="E54" s="43">
        <v>2.2388059701492539E-3</v>
      </c>
    </row>
    <row r="55" spans="2:5" ht="15" customHeight="1">
      <c r="B55" s="87"/>
      <c r="C55" s="45" t="s">
        <v>131</v>
      </c>
      <c r="D55" s="44">
        <v>42</v>
      </c>
      <c r="E55" s="43">
        <v>3.134328358208955E-2</v>
      </c>
    </row>
    <row r="56" spans="2:5" ht="15" customHeight="1">
      <c r="B56" s="87"/>
      <c r="C56" s="45" t="s">
        <v>130</v>
      </c>
      <c r="D56" s="44">
        <v>22</v>
      </c>
      <c r="E56" s="43">
        <v>1.6417910447761194E-2</v>
      </c>
    </row>
    <row r="57" spans="2:5" ht="15" customHeight="1">
      <c r="B57" s="87"/>
      <c r="C57" s="45" t="s">
        <v>128</v>
      </c>
      <c r="D57" s="44">
        <v>15</v>
      </c>
      <c r="E57" s="43">
        <v>1.1194029850746268E-2</v>
      </c>
    </row>
    <row r="58" spans="2:5" ht="15" customHeight="1">
      <c r="B58" s="87"/>
      <c r="C58" s="45" t="s">
        <v>125</v>
      </c>
      <c r="D58" s="44">
        <v>1</v>
      </c>
      <c r="E58" s="43">
        <v>7.4626865671641792E-4</v>
      </c>
    </row>
    <row r="59" spans="2:5" ht="15" customHeight="1">
      <c r="B59" s="87"/>
      <c r="C59" s="45" t="s">
        <v>127</v>
      </c>
      <c r="D59" s="44">
        <v>1</v>
      </c>
      <c r="E59" s="43">
        <v>7.4626865671641792E-4</v>
      </c>
    </row>
    <row r="60" spans="2:5" ht="15" customHeight="1">
      <c r="B60" s="88"/>
      <c r="C60" s="42" t="s">
        <v>23</v>
      </c>
      <c r="D60" s="41">
        <v>102</v>
      </c>
      <c r="E60" s="40">
        <v>7.6119402985074622E-2</v>
      </c>
    </row>
    <row r="61" spans="2:5" ht="15" customHeight="1">
      <c r="B61" s="86" t="s">
        <v>61</v>
      </c>
      <c r="C61" s="45" t="s">
        <v>124</v>
      </c>
      <c r="D61" s="44">
        <v>1</v>
      </c>
      <c r="E61" s="43">
        <v>7.4626865671641792E-4</v>
      </c>
    </row>
    <row r="62" spans="2:5" ht="15" customHeight="1">
      <c r="B62" s="87"/>
      <c r="C62" s="45" t="s">
        <v>129</v>
      </c>
      <c r="D62" s="44">
        <v>15</v>
      </c>
      <c r="E62" s="43">
        <v>1.1194029850746268E-2</v>
      </c>
    </row>
    <row r="63" spans="2:5" ht="15" customHeight="1">
      <c r="B63" s="87"/>
      <c r="C63" s="45" t="s">
        <v>126</v>
      </c>
      <c r="D63" s="44">
        <v>3</v>
      </c>
      <c r="E63" s="43">
        <v>2.2388059701492539E-3</v>
      </c>
    </row>
    <row r="64" spans="2:5" ht="15" customHeight="1">
      <c r="B64" s="87"/>
      <c r="C64" s="45" t="s">
        <v>131</v>
      </c>
      <c r="D64" s="44">
        <v>17</v>
      </c>
      <c r="E64" s="43">
        <v>1.2686567164179104E-2</v>
      </c>
    </row>
    <row r="65" spans="2:5" ht="15" customHeight="1">
      <c r="B65" s="87"/>
      <c r="C65" s="45" t="s">
        <v>130</v>
      </c>
      <c r="D65" s="44">
        <v>20</v>
      </c>
      <c r="E65" s="43">
        <v>1.4925373134328358E-2</v>
      </c>
    </row>
    <row r="66" spans="2:5" ht="15" customHeight="1">
      <c r="B66" s="87"/>
      <c r="C66" s="45" t="s">
        <v>128</v>
      </c>
      <c r="D66" s="44">
        <v>3</v>
      </c>
      <c r="E66" s="43">
        <v>2.2388059701492539E-3</v>
      </c>
    </row>
    <row r="67" spans="2:5" ht="15" customHeight="1">
      <c r="B67" s="88"/>
      <c r="C67" s="42" t="s">
        <v>23</v>
      </c>
      <c r="D67" s="41">
        <v>59</v>
      </c>
      <c r="E67" s="40">
        <v>4.4029850746268653E-2</v>
      </c>
    </row>
    <row r="68" spans="2:5" ht="15" customHeight="1">
      <c r="B68" s="86" t="s">
        <v>41</v>
      </c>
      <c r="C68" s="45" t="s">
        <v>126</v>
      </c>
      <c r="D68" s="44">
        <v>2</v>
      </c>
      <c r="E68" s="43">
        <v>1.4925373134328358E-3</v>
      </c>
    </row>
    <row r="69" spans="2:5" ht="15" customHeight="1">
      <c r="B69" s="87"/>
      <c r="C69" s="45" t="s">
        <v>131</v>
      </c>
      <c r="D69" s="44">
        <v>3</v>
      </c>
      <c r="E69" s="43">
        <v>2.2388059701492539E-3</v>
      </c>
    </row>
    <row r="70" spans="2:5" ht="15" customHeight="1">
      <c r="B70" s="87"/>
      <c r="C70" s="45" t="s">
        <v>128</v>
      </c>
      <c r="D70" s="44">
        <v>6</v>
      </c>
      <c r="E70" s="43">
        <v>4.4776119402985077E-3</v>
      </c>
    </row>
    <row r="71" spans="2:5" ht="15" customHeight="1">
      <c r="B71" s="88"/>
      <c r="C71" s="42" t="s">
        <v>23</v>
      </c>
      <c r="D71" s="41">
        <v>11</v>
      </c>
      <c r="E71" s="40">
        <v>8.2089552238805968E-3</v>
      </c>
    </row>
    <row r="72" spans="2:5" ht="15" customHeight="1">
      <c r="B72" s="86" t="s">
        <v>56</v>
      </c>
      <c r="C72" s="45" t="s">
        <v>129</v>
      </c>
      <c r="D72" s="44">
        <v>12</v>
      </c>
      <c r="E72" s="43">
        <v>8.9552238805970154E-3</v>
      </c>
    </row>
    <row r="73" spans="2:5" ht="15" customHeight="1">
      <c r="B73" s="87"/>
      <c r="C73" s="45" t="s">
        <v>126</v>
      </c>
      <c r="D73" s="44">
        <v>1</v>
      </c>
      <c r="E73" s="43">
        <v>7.4626865671641792E-4</v>
      </c>
    </row>
    <row r="74" spans="2:5" ht="15" customHeight="1">
      <c r="B74" s="87"/>
      <c r="C74" s="45" t="s">
        <v>131</v>
      </c>
      <c r="D74" s="44">
        <v>7</v>
      </c>
      <c r="E74" s="43">
        <v>5.2238805970149255E-3</v>
      </c>
    </row>
    <row r="75" spans="2:5" ht="15" customHeight="1">
      <c r="B75" s="87"/>
      <c r="C75" s="45" t="s">
        <v>130</v>
      </c>
      <c r="D75" s="44">
        <v>5</v>
      </c>
      <c r="E75" s="43">
        <v>3.7313432835820895E-3</v>
      </c>
    </row>
    <row r="76" spans="2:5" ht="15" customHeight="1">
      <c r="B76" s="87"/>
      <c r="C76" s="45" t="s">
        <v>128</v>
      </c>
      <c r="D76" s="44">
        <v>2</v>
      </c>
      <c r="E76" s="43">
        <v>1.4925373134328358E-3</v>
      </c>
    </row>
    <row r="77" spans="2:5" ht="15" customHeight="1">
      <c r="B77" s="87"/>
      <c r="C77" s="45" t="s">
        <v>127</v>
      </c>
      <c r="D77" s="44">
        <v>1</v>
      </c>
      <c r="E77" s="43">
        <v>7.4626865671641792E-4</v>
      </c>
    </row>
    <row r="78" spans="2:5" ht="15" customHeight="1">
      <c r="B78" s="88"/>
      <c r="C78" s="42" t="s">
        <v>23</v>
      </c>
      <c r="D78" s="41">
        <v>28</v>
      </c>
      <c r="E78" s="40">
        <v>2.0895522388059702E-2</v>
      </c>
    </row>
    <row r="79" spans="2:5" ht="15" customHeight="1">
      <c r="B79" s="86" t="s">
        <v>52</v>
      </c>
      <c r="C79" s="45" t="s">
        <v>129</v>
      </c>
      <c r="D79" s="44">
        <v>4</v>
      </c>
      <c r="E79" s="43">
        <v>2.9850746268656717E-3</v>
      </c>
    </row>
    <row r="80" spans="2:5" ht="15" customHeight="1">
      <c r="B80" s="87"/>
      <c r="C80" s="45" t="s">
        <v>126</v>
      </c>
      <c r="D80" s="44">
        <v>1</v>
      </c>
      <c r="E80" s="43">
        <v>7.4626865671641792E-4</v>
      </c>
    </row>
    <row r="81" spans="2:5" ht="15" customHeight="1">
      <c r="B81" s="87"/>
      <c r="C81" s="45" t="s">
        <v>131</v>
      </c>
      <c r="D81" s="44">
        <v>9</v>
      </c>
      <c r="E81" s="43">
        <v>6.7164179104477612E-3</v>
      </c>
    </row>
    <row r="82" spans="2:5" ht="15" customHeight="1">
      <c r="B82" s="87"/>
      <c r="C82" s="45" t="s">
        <v>130</v>
      </c>
      <c r="D82" s="44">
        <v>4</v>
      </c>
      <c r="E82" s="43">
        <v>2.9850746268656717E-3</v>
      </c>
    </row>
    <row r="83" spans="2:5" ht="15" customHeight="1">
      <c r="B83" s="87"/>
      <c r="C83" s="45" t="s">
        <v>128</v>
      </c>
      <c r="D83" s="44">
        <v>4</v>
      </c>
      <c r="E83" s="43">
        <v>2.9850746268656717E-3</v>
      </c>
    </row>
    <row r="84" spans="2:5" ht="15" customHeight="1">
      <c r="B84" s="88"/>
      <c r="C84" s="42" t="s">
        <v>23</v>
      </c>
      <c r="D84" s="41">
        <v>22</v>
      </c>
      <c r="E84" s="40">
        <v>1.6417910447761194E-2</v>
      </c>
    </row>
    <row r="85" spans="2:5" ht="15" customHeight="1">
      <c r="B85" s="86" t="s">
        <v>54</v>
      </c>
      <c r="C85" s="45" t="s">
        <v>129</v>
      </c>
      <c r="D85" s="44">
        <v>4</v>
      </c>
      <c r="E85" s="43">
        <v>2.9850746268656717E-3</v>
      </c>
    </row>
    <row r="86" spans="2:5" ht="15" customHeight="1">
      <c r="B86" s="87"/>
      <c r="C86" s="45" t="s">
        <v>131</v>
      </c>
      <c r="D86" s="44">
        <v>6</v>
      </c>
      <c r="E86" s="43">
        <v>4.4776119402985077E-3</v>
      </c>
    </row>
    <row r="87" spans="2:5" ht="15" customHeight="1">
      <c r="B87" s="87"/>
      <c r="C87" s="45" t="s">
        <v>130</v>
      </c>
      <c r="D87" s="44">
        <v>3</v>
      </c>
      <c r="E87" s="43">
        <v>2.2388059701492539E-3</v>
      </c>
    </row>
    <row r="88" spans="2:5" ht="15" customHeight="1">
      <c r="B88" s="87"/>
      <c r="C88" s="45" t="s">
        <v>128</v>
      </c>
      <c r="D88" s="44">
        <v>11</v>
      </c>
      <c r="E88" s="43">
        <v>8.2089552238805968E-3</v>
      </c>
    </row>
    <row r="89" spans="2:5" ht="15" customHeight="1">
      <c r="B89" s="88"/>
      <c r="C89" s="42" t="s">
        <v>23</v>
      </c>
      <c r="D89" s="41">
        <v>24</v>
      </c>
      <c r="E89" s="40">
        <v>1.7910447761194031E-2</v>
      </c>
    </row>
    <row r="90" spans="2:5" ht="15" customHeight="1">
      <c r="B90" s="86" t="s">
        <v>50</v>
      </c>
      <c r="C90" s="45" t="s">
        <v>129</v>
      </c>
      <c r="D90" s="44">
        <v>4</v>
      </c>
      <c r="E90" s="43">
        <v>2.9850746268656717E-3</v>
      </c>
    </row>
    <row r="91" spans="2:5" ht="15" customHeight="1">
      <c r="B91" s="87"/>
      <c r="C91" s="45" t="s">
        <v>131</v>
      </c>
      <c r="D91" s="44">
        <v>8</v>
      </c>
      <c r="E91" s="43">
        <v>5.9701492537313433E-3</v>
      </c>
    </row>
    <row r="92" spans="2:5" ht="15" customHeight="1">
      <c r="B92" s="87"/>
      <c r="C92" s="45" t="s">
        <v>130</v>
      </c>
      <c r="D92" s="44">
        <v>2</v>
      </c>
      <c r="E92" s="43">
        <v>1.4925373134328358E-3</v>
      </c>
    </row>
    <row r="93" spans="2:5" ht="15" customHeight="1">
      <c r="B93" s="87"/>
      <c r="C93" s="45" t="s">
        <v>128</v>
      </c>
      <c r="D93" s="44">
        <v>6</v>
      </c>
      <c r="E93" s="43">
        <v>4.4776119402985077E-3</v>
      </c>
    </row>
    <row r="94" spans="2:5" ht="15" customHeight="1">
      <c r="B94" s="88"/>
      <c r="C94" s="42" t="s">
        <v>23</v>
      </c>
      <c r="D94" s="41">
        <v>20</v>
      </c>
      <c r="E94" s="40">
        <v>1.4925373134328358E-2</v>
      </c>
    </row>
    <row r="95" spans="2:5" ht="15" customHeight="1">
      <c r="B95" s="86" t="s">
        <v>32</v>
      </c>
      <c r="C95" s="45" t="s">
        <v>129</v>
      </c>
      <c r="D95" s="44">
        <v>1</v>
      </c>
      <c r="E95" s="43">
        <v>7.4626865671641792E-4</v>
      </c>
    </row>
    <row r="96" spans="2:5" ht="15" customHeight="1">
      <c r="B96" s="87"/>
      <c r="C96" s="45" t="s">
        <v>131</v>
      </c>
      <c r="D96" s="44">
        <v>2</v>
      </c>
      <c r="E96" s="43">
        <v>1.4925373134328358E-3</v>
      </c>
    </row>
    <row r="97" spans="2:5" ht="15" customHeight="1">
      <c r="B97" s="87"/>
      <c r="C97" s="45" t="s">
        <v>130</v>
      </c>
      <c r="D97" s="44">
        <v>3</v>
      </c>
      <c r="E97" s="43">
        <v>2.2388059701492539E-3</v>
      </c>
    </row>
    <row r="98" spans="2:5" ht="15" customHeight="1">
      <c r="B98" s="88"/>
      <c r="C98" s="42" t="s">
        <v>23</v>
      </c>
      <c r="D98" s="41">
        <v>6</v>
      </c>
      <c r="E98" s="40">
        <v>4.4776119402985077E-3</v>
      </c>
    </row>
    <row r="99" spans="2:5" ht="15" customHeight="1">
      <c r="B99" s="86" t="s">
        <v>49</v>
      </c>
      <c r="C99" s="45" t="s">
        <v>129</v>
      </c>
      <c r="D99" s="44">
        <v>6</v>
      </c>
      <c r="E99" s="43">
        <v>4.4776119402985077E-3</v>
      </c>
    </row>
    <row r="100" spans="2:5" ht="15" customHeight="1">
      <c r="B100" s="87"/>
      <c r="C100" s="45" t="s">
        <v>126</v>
      </c>
      <c r="D100" s="44">
        <v>2</v>
      </c>
      <c r="E100" s="43">
        <v>1.4925373134328358E-3</v>
      </c>
    </row>
    <row r="101" spans="2:5" ht="15" customHeight="1">
      <c r="B101" s="87"/>
      <c r="C101" s="45" t="s">
        <v>131</v>
      </c>
      <c r="D101" s="44">
        <v>7</v>
      </c>
      <c r="E101" s="43">
        <v>5.2238805970149255E-3</v>
      </c>
    </row>
    <row r="102" spans="2:5" ht="15" customHeight="1">
      <c r="B102" s="87"/>
      <c r="C102" s="45" t="s">
        <v>130</v>
      </c>
      <c r="D102" s="44">
        <v>1</v>
      </c>
      <c r="E102" s="43">
        <v>7.4626865671641792E-4</v>
      </c>
    </row>
    <row r="103" spans="2:5" ht="15" customHeight="1">
      <c r="B103" s="87"/>
      <c r="C103" s="45" t="s">
        <v>128</v>
      </c>
      <c r="D103" s="44">
        <v>1</v>
      </c>
      <c r="E103" s="43">
        <v>7.4626865671641792E-4</v>
      </c>
    </row>
    <row r="104" spans="2:5" ht="15" customHeight="1">
      <c r="B104" s="87"/>
      <c r="C104" s="45" t="s">
        <v>127</v>
      </c>
      <c r="D104" s="44">
        <v>1</v>
      </c>
      <c r="E104" s="43">
        <v>7.4626865671641792E-4</v>
      </c>
    </row>
    <row r="105" spans="2:5" ht="15" customHeight="1">
      <c r="B105" s="87"/>
      <c r="C105" s="45" t="s">
        <v>123</v>
      </c>
      <c r="D105" s="44">
        <v>1</v>
      </c>
      <c r="E105" s="43">
        <v>7.4626865671641792E-4</v>
      </c>
    </row>
    <row r="106" spans="2:5" ht="15" customHeight="1">
      <c r="B106" s="88"/>
      <c r="C106" s="42" t="s">
        <v>23</v>
      </c>
      <c r="D106" s="41">
        <v>19</v>
      </c>
      <c r="E106" s="40">
        <v>1.4179104477611941E-2</v>
      </c>
    </row>
    <row r="107" spans="2:5" ht="15" customHeight="1">
      <c r="B107" s="86" t="s">
        <v>34</v>
      </c>
      <c r="C107" s="45" t="s">
        <v>129</v>
      </c>
      <c r="D107" s="44">
        <v>2</v>
      </c>
      <c r="E107" s="43">
        <v>1.4925373134328358E-3</v>
      </c>
    </row>
    <row r="108" spans="2:5" ht="15" customHeight="1">
      <c r="B108" s="87"/>
      <c r="C108" s="45" t="s">
        <v>131</v>
      </c>
      <c r="D108" s="44">
        <v>3</v>
      </c>
      <c r="E108" s="43">
        <v>2.2388059701492539E-3</v>
      </c>
    </row>
    <row r="109" spans="2:5" ht="15" customHeight="1">
      <c r="B109" s="87"/>
      <c r="C109" s="45" t="s">
        <v>130</v>
      </c>
      <c r="D109" s="44">
        <v>2</v>
      </c>
      <c r="E109" s="43">
        <v>1.4925373134328358E-3</v>
      </c>
    </row>
    <row r="110" spans="2:5" ht="15" customHeight="1">
      <c r="B110" s="88"/>
      <c r="C110" s="42" t="s">
        <v>23</v>
      </c>
      <c r="D110" s="41">
        <v>7</v>
      </c>
      <c r="E110" s="40">
        <v>5.2238805970149255E-3</v>
      </c>
    </row>
    <row r="111" spans="2:5" ht="15" customHeight="1">
      <c r="B111" s="86" t="s">
        <v>27</v>
      </c>
      <c r="C111" s="45" t="s">
        <v>129</v>
      </c>
      <c r="D111" s="44">
        <v>1</v>
      </c>
      <c r="E111" s="43">
        <v>7.4626865671641792E-4</v>
      </c>
    </row>
    <row r="112" spans="2:5" ht="15" customHeight="1">
      <c r="B112" s="87"/>
      <c r="C112" s="45" t="s">
        <v>130</v>
      </c>
      <c r="D112" s="44">
        <v>1</v>
      </c>
      <c r="E112" s="43">
        <v>7.4626865671641792E-4</v>
      </c>
    </row>
    <row r="113" spans="2:5" ht="15" customHeight="1">
      <c r="B113" s="88"/>
      <c r="C113" s="42" t="s">
        <v>23</v>
      </c>
      <c r="D113" s="41">
        <v>2</v>
      </c>
      <c r="E113" s="40">
        <v>1.4925373134328358E-3</v>
      </c>
    </row>
    <row r="114" spans="2:5" ht="15" customHeight="1">
      <c r="B114" s="86" t="s">
        <v>39</v>
      </c>
      <c r="C114" s="45" t="s">
        <v>129</v>
      </c>
      <c r="D114" s="44">
        <v>3</v>
      </c>
      <c r="E114" s="43">
        <v>2.2388059701492539E-3</v>
      </c>
    </row>
    <row r="115" spans="2:5" ht="15" customHeight="1">
      <c r="B115" s="87"/>
      <c r="C115" s="45" t="s">
        <v>131</v>
      </c>
      <c r="D115" s="44">
        <v>2</v>
      </c>
      <c r="E115" s="43">
        <v>1.4925373134328358E-3</v>
      </c>
    </row>
    <row r="116" spans="2:5" ht="15" customHeight="1">
      <c r="B116" s="87"/>
      <c r="C116" s="45" t="s">
        <v>130</v>
      </c>
      <c r="D116" s="44">
        <v>4</v>
      </c>
      <c r="E116" s="43">
        <v>2.9850746268656717E-3</v>
      </c>
    </row>
    <row r="117" spans="2:5" ht="15" customHeight="1">
      <c r="B117" s="87"/>
      <c r="C117" s="45" t="s">
        <v>128</v>
      </c>
      <c r="D117" s="44">
        <v>1</v>
      </c>
      <c r="E117" s="43">
        <v>7.4626865671641792E-4</v>
      </c>
    </row>
    <row r="118" spans="2:5" ht="15" customHeight="1">
      <c r="B118" s="88"/>
      <c r="C118" s="42" t="s">
        <v>23</v>
      </c>
      <c r="D118" s="41">
        <v>10</v>
      </c>
      <c r="E118" s="40">
        <v>7.462686567164179E-3</v>
      </c>
    </row>
    <row r="119" spans="2:5" ht="15" customHeight="1">
      <c r="B119" s="86" t="s">
        <v>44</v>
      </c>
      <c r="C119" s="45" t="s">
        <v>129</v>
      </c>
      <c r="D119" s="44">
        <v>4</v>
      </c>
      <c r="E119" s="43">
        <v>2.9850746268656717E-3</v>
      </c>
    </row>
    <row r="120" spans="2:5" ht="15" customHeight="1">
      <c r="B120" s="87"/>
      <c r="C120" s="45" t="s">
        <v>131</v>
      </c>
      <c r="D120" s="44">
        <v>3</v>
      </c>
      <c r="E120" s="43">
        <v>2.2388059701492539E-3</v>
      </c>
    </row>
    <row r="121" spans="2:5" ht="15" customHeight="1">
      <c r="B121" s="87"/>
      <c r="C121" s="45" t="s">
        <v>130</v>
      </c>
      <c r="D121" s="44">
        <v>4</v>
      </c>
      <c r="E121" s="43">
        <v>2.9850746268656717E-3</v>
      </c>
    </row>
    <row r="122" spans="2:5" ht="15" customHeight="1">
      <c r="B122" s="87"/>
      <c r="C122" s="45" t="s">
        <v>128</v>
      </c>
      <c r="D122" s="44">
        <v>3</v>
      </c>
      <c r="E122" s="43">
        <v>2.2388059701492539E-3</v>
      </c>
    </row>
    <row r="123" spans="2:5" ht="15" customHeight="1">
      <c r="B123" s="88"/>
      <c r="C123" s="42" t="s">
        <v>23</v>
      </c>
      <c r="D123" s="41">
        <v>14</v>
      </c>
      <c r="E123" s="40">
        <v>1.0447761194029851E-2</v>
      </c>
    </row>
    <row r="124" spans="2:5" ht="15" customHeight="1">
      <c r="B124" s="86" t="s">
        <v>42</v>
      </c>
      <c r="C124" s="45" t="s">
        <v>124</v>
      </c>
      <c r="D124" s="44">
        <v>2</v>
      </c>
      <c r="E124" s="43">
        <v>1.4925373134328358E-3</v>
      </c>
    </row>
    <row r="125" spans="2:5" ht="15" customHeight="1">
      <c r="B125" s="87"/>
      <c r="C125" s="45" t="s">
        <v>129</v>
      </c>
      <c r="D125" s="44">
        <v>2</v>
      </c>
      <c r="E125" s="43">
        <v>1.4925373134328358E-3</v>
      </c>
    </row>
    <row r="126" spans="2:5" ht="15" customHeight="1">
      <c r="B126" s="87"/>
      <c r="C126" s="45" t="s">
        <v>131</v>
      </c>
      <c r="D126" s="44">
        <v>3</v>
      </c>
      <c r="E126" s="43">
        <v>2.2388059701492539E-3</v>
      </c>
    </row>
    <row r="127" spans="2:5" ht="15" customHeight="1">
      <c r="B127" s="87"/>
      <c r="C127" s="45" t="s">
        <v>130</v>
      </c>
      <c r="D127" s="44">
        <v>4</v>
      </c>
      <c r="E127" s="43">
        <v>2.9850746268656717E-3</v>
      </c>
    </row>
    <row r="128" spans="2:5" ht="15" customHeight="1">
      <c r="B128" s="87"/>
      <c r="C128" s="45" t="s">
        <v>127</v>
      </c>
      <c r="D128" s="44">
        <v>1</v>
      </c>
      <c r="E128" s="43">
        <v>7.4626865671641792E-4</v>
      </c>
    </row>
    <row r="129" spans="2:5" ht="15" customHeight="1">
      <c r="B129" s="88"/>
      <c r="C129" s="42" t="s">
        <v>23</v>
      </c>
      <c r="D129" s="41">
        <v>12</v>
      </c>
      <c r="E129" s="40">
        <v>8.9552238805970154E-3</v>
      </c>
    </row>
    <row r="130" spans="2:5" ht="15" customHeight="1">
      <c r="B130" s="86" t="s">
        <v>48</v>
      </c>
      <c r="C130" s="45" t="s">
        <v>129</v>
      </c>
      <c r="D130" s="44">
        <v>8</v>
      </c>
      <c r="E130" s="43">
        <v>5.9701492537313433E-3</v>
      </c>
    </row>
    <row r="131" spans="2:5" ht="15" customHeight="1">
      <c r="B131" s="87"/>
      <c r="C131" s="45" t="s">
        <v>131</v>
      </c>
      <c r="D131" s="44">
        <v>2</v>
      </c>
      <c r="E131" s="43">
        <v>1.4925373134328358E-3</v>
      </c>
    </row>
    <row r="132" spans="2:5" ht="15" customHeight="1">
      <c r="B132" s="87"/>
      <c r="C132" s="45" t="s">
        <v>130</v>
      </c>
      <c r="D132" s="44">
        <v>2</v>
      </c>
      <c r="E132" s="43">
        <v>1.4925373134328358E-3</v>
      </c>
    </row>
    <row r="133" spans="2:5" ht="15" customHeight="1">
      <c r="B133" s="87"/>
      <c r="C133" s="45" t="s">
        <v>128</v>
      </c>
      <c r="D133" s="44">
        <v>4</v>
      </c>
      <c r="E133" s="43">
        <v>2.9850746268656717E-3</v>
      </c>
    </row>
    <row r="134" spans="2:5" ht="15" customHeight="1">
      <c r="B134" s="87"/>
      <c r="C134" s="45" t="s">
        <v>127</v>
      </c>
      <c r="D134" s="44">
        <v>1</v>
      </c>
      <c r="E134" s="43">
        <v>7.4626865671641792E-4</v>
      </c>
    </row>
    <row r="135" spans="2:5" ht="15" customHeight="1">
      <c r="B135" s="88"/>
      <c r="C135" s="42" t="s">
        <v>23</v>
      </c>
      <c r="D135" s="41">
        <v>17</v>
      </c>
      <c r="E135" s="40">
        <v>1.2686567164179104E-2</v>
      </c>
    </row>
    <row r="136" spans="2:5" ht="15" customHeight="1">
      <c r="B136" s="86" t="s">
        <v>62</v>
      </c>
      <c r="C136" s="45" t="s">
        <v>124</v>
      </c>
      <c r="D136" s="44">
        <v>1</v>
      </c>
      <c r="E136" s="43">
        <v>7.4626865671641792E-4</v>
      </c>
    </row>
    <row r="137" spans="2:5" ht="15" customHeight="1">
      <c r="B137" s="87"/>
      <c r="C137" s="45" t="s">
        <v>129</v>
      </c>
      <c r="D137" s="44">
        <v>10</v>
      </c>
      <c r="E137" s="43">
        <v>7.462686567164179E-3</v>
      </c>
    </row>
    <row r="138" spans="2:5" ht="15" customHeight="1">
      <c r="B138" s="87"/>
      <c r="C138" s="45" t="s">
        <v>131</v>
      </c>
      <c r="D138" s="44">
        <v>27</v>
      </c>
      <c r="E138" s="43">
        <v>2.0149253731343283E-2</v>
      </c>
    </row>
    <row r="139" spans="2:5" ht="15" customHeight="1">
      <c r="B139" s="87"/>
      <c r="C139" s="45" t="s">
        <v>130</v>
      </c>
      <c r="D139" s="44">
        <v>5</v>
      </c>
      <c r="E139" s="43">
        <v>3.7313432835820895E-3</v>
      </c>
    </row>
    <row r="140" spans="2:5" ht="15" customHeight="1">
      <c r="B140" s="87"/>
      <c r="C140" s="45" t="s">
        <v>128</v>
      </c>
      <c r="D140" s="44">
        <v>30</v>
      </c>
      <c r="E140" s="43">
        <v>2.2388059701492536E-2</v>
      </c>
    </row>
    <row r="141" spans="2:5" ht="15" customHeight="1">
      <c r="B141" s="88"/>
      <c r="C141" s="42" t="s">
        <v>23</v>
      </c>
      <c r="D141" s="41">
        <v>73</v>
      </c>
      <c r="E141" s="40">
        <v>5.4477611940298508E-2</v>
      </c>
    </row>
    <row r="142" spans="2:5" ht="15" customHeight="1">
      <c r="B142" s="86" t="s">
        <v>51</v>
      </c>
      <c r="C142" s="45" t="s">
        <v>129</v>
      </c>
      <c r="D142" s="44">
        <v>15</v>
      </c>
      <c r="E142" s="43">
        <v>1.1194029850746268E-2</v>
      </c>
    </row>
    <row r="143" spans="2:5" ht="15" customHeight="1">
      <c r="B143" s="87"/>
      <c r="C143" s="45" t="s">
        <v>131</v>
      </c>
      <c r="D143" s="44">
        <v>2</v>
      </c>
      <c r="E143" s="43">
        <v>1.4925373134328358E-3</v>
      </c>
    </row>
    <row r="144" spans="2:5" ht="15" customHeight="1">
      <c r="B144" s="87"/>
      <c r="C144" s="45" t="s">
        <v>130</v>
      </c>
      <c r="D144" s="44">
        <v>4</v>
      </c>
      <c r="E144" s="43">
        <v>2.9850746268656717E-3</v>
      </c>
    </row>
    <row r="145" spans="2:5" ht="15" customHeight="1">
      <c r="B145" s="87"/>
      <c r="C145" s="45" t="s">
        <v>128</v>
      </c>
      <c r="D145" s="44">
        <v>1</v>
      </c>
      <c r="E145" s="43">
        <v>7.4626865671641792E-4</v>
      </c>
    </row>
    <row r="146" spans="2:5" ht="15" customHeight="1">
      <c r="B146" s="88"/>
      <c r="C146" s="42" t="s">
        <v>23</v>
      </c>
      <c r="D146" s="41">
        <v>22</v>
      </c>
      <c r="E146" s="40">
        <v>1.6417910447761194E-2</v>
      </c>
    </row>
    <row r="147" spans="2:5" ht="15" customHeight="1">
      <c r="B147" s="86" t="s">
        <v>40</v>
      </c>
      <c r="C147" s="45" t="s">
        <v>129</v>
      </c>
      <c r="D147" s="44">
        <v>1</v>
      </c>
      <c r="E147" s="43">
        <v>7.4626865671641792E-4</v>
      </c>
    </row>
    <row r="148" spans="2:5" ht="15" customHeight="1">
      <c r="B148" s="87"/>
      <c r="C148" s="45" t="s">
        <v>131</v>
      </c>
      <c r="D148" s="44">
        <v>2</v>
      </c>
      <c r="E148" s="43">
        <v>1.4925373134328358E-3</v>
      </c>
    </row>
    <row r="149" spans="2:5" ht="15" customHeight="1">
      <c r="B149" s="87"/>
      <c r="C149" s="45" t="s">
        <v>130</v>
      </c>
      <c r="D149" s="44">
        <v>7</v>
      </c>
      <c r="E149" s="43">
        <v>5.2238805970149255E-3</v>
      </c>
    </row>
    <row r="150" spans="2:5" ht="15" customHeight="1">
      <c r="B150" s="87"/>
      <c r="C150" s="45" t="s">
        <v>125</v>
      </c>
      <c r="D150" s="44">
        <v>1</v>
      </c>
      <c r="E150" s="43">
        <v>7.4626865671641792E-4</v>
      </c>
    </row>
    <row r="151" spans="2:5" ht="15" customHeight="1">
      <c r="B151" s="88"/>
      <c r="C151" s="42" t="s">
        <v>23</v>
      </c>
      <c r="D151" s="41">
        <v>11</v>
      </c>
      <c r="E151" s="40">
        <v>8.2089552238805968E-3</v>
      </c>
    </row>
    <row r="152" spans="2:5" ht="15" customHeight="1">
      <c r="B152" s="86" t="s">
        <v>35</v>
      </c>
      <c r="C152" s="45" t="s">
        <v>129</v>
      </c>
      <c r="D152" s="44">
        <v>3</v>
      </c>
      <c r="E152" s="43">
        <v>2.2388059701492539E-3</v>
      </c>
    </row>
    <row r="153" spans="2:5" ht="15" customHeight="1">
      <c r="B153" s="87"/>
      <c r="C153" s="45" t="s">
        <v>131</v>
      </c>
      <c r="D153" s="44">
        <v>3</v>
      </c>
      <c r="E153" s="43">
        <v>2.2388059701492539E-3</v>
      </c>
    </row>
    <row r="154" spans="2:5" ht="15" customHeight="1">
      <c r="B154" s="87"/>
      <c r="C154" s="45" t="s">
        <v>130</v>
      </c>
      <c r="D154" s="44">
        <v>1</v>
      </c>
      <c r="E154" s="43">
        <v>7.4626865671641792E-4</v>
      </c>
    </row>
    <row r="155" spans="2:5" ht="15" customHeight="1">
      <c r="B155" s="87"/>
      <c r="C155" s="45" t="s">
        <v>127</v>
      </c>
      <c r="D155" s="44">
        <v>1</v>
      </c>
      <c r="E155" s="43">
        <v>7.4626865671641792E-4</v>
      </c>
    </row>
    <row r="156" spans="2:5" ht="15" customHeight="1">
      <c r="B156" s="88"/>
      <c r="C156" s="42" t="s">
        <v>23</v>
      </c>
      <c r="D156" s="41">
        <v>8</v>
      </c>
      <c r="E156" s="40">
        <v>5.9701492537313433E-3</v>
      </c>
    </row>
    <row r="157" spans="2:5" ht="15" customHeight="1">
      <c r="B157" s="86" t="s">
        <v>38</v>
      </c>
      <c r="C157" s="45" t="s">
        <v>129</v>
      </c>
      <c r="D157" s="44">
        <v>2</v>
      </c>
      <c r="E157" s="43">
        <v>1.4925373134328358E-3</v>
      </c>
    </row>
    <row r="158" spans="2:5" ht="15" customHeight="1">
      <c r="B158" s="87"/>
      <c r="C158" s="45" t="s">
        <v>131</v>
      </c>
      <c r="D158" s="44">
        <v>3</v>
      </c>
      <c r="E158" s="43">
        <v>2.2388059701492539E-3</v>
      </c>
    </row>
    <row r="159" spans="2:5" ht="15" customHeight="1">
      <c r="B159" s="87"/>
      <c r="C159" s="45" t="s">
        <v>130</v>
      </c>
      <c r="D159" s="44">
        <v>2</v>
      </c>
      <c r="E159" s="43">
        <v>1.4925373134328358E-3</v>
      </c>
    </row>
    <row r="160" spans="2:5" ht="15" customHeight="1">
      <c r="B160" s="87"/>
      <c r="C160" s="45" t="s">
        <v>125</v>
      </c>
      <c r="D160" s="44">
        <v>1</v>
      </c>
      <c r="E160" s="43">
        <v>7.4626865671641792E-4</v>
      </c>
    </row>
    <row r="161" spans="2:5" ht="15" customHeight="1">
      <c r="B161" s="87"/>
      <c r="C161" s="45" t="s">
        <v>127</v>
      </c>
      <c r="D161" s="44">
        <v>1</v>
      </c>
      <c r="E161" s="43">
        <v>7.4626865671641792E-4</v>
      </c>
    </row>
    <row r="162" spans="2:5" ht="15" customHeight="1">
      <c r="B162" s="88"/>
      <c r="C162" s="42" t="s">
        <v>23</v>
      </c>
      <c r="D162" s="41">
        <v>9</v>
      </c>
      <c r="E162" s="40">
        <v>6.7164179104477612E-3</v>
      </c>
    </row>
    <row r="163" spans="2:5" ht="15" customHeight="1">
      <c r="B163" s="86" t="s">
        <v>59</v>
      </c>
      <c r="C163" s="45" t="s">
        <v>129</v>
      </c>
      <c r="D163" s="44">
        <v>5</v>
      </c>
      <c r="E163" s="43">
        <v>3.7313432835820895E-3</v>
      </c>
    </row>
    <row r="164" spans="2:5" ht="15" customHeight="1">
      <c r="B164" s="87"/>
      <c r="C164" s="45" t="s">
        <v>126</v>
      </c>
      <c r="D164" s="44">
        <v>1</v>
      </c>
      <c r="E164" s="43">
        <v>7.4626865671641792E-4</v>
      </c>
    </row>
    <row r="165" spans="2:5" ht="15" customHeight="1">
      <c r="B165" s="87"/>
      <c r="C165" s="45" t="s">
        <v>131</v>
      </c>
      <c r="D165" s="44">
        <v>13</v>
      </c>
      <c r="E165" s="43">
        <v>9.7014925373134324E-3</v>
      </c>
    </row>
    <row r="166" spans="2:5" ht="15" customHeight="1">
      <c r="B166" s="87"/>
      <c r="C166" s="45" t="s">
        <v>130</v>
      </c>
      <c r="D166" s="44">
        <v>16</v>
      </c>
      <c r="E166" s="43">
        <v>1.1940298507462687E-2</v>
      </c>
    </row>
    <row r="167" spans="2:5" ht="15" customHeight="1">
      <c r="B167" s="87"/>
      <c r="C167" s="45" t="s">
        <v>128</v>
      </c>
      <c r="D167" s="44">
        <v>1</v>
      </c>
      <c r="E167" s="43">
        <v>7.4626865671641792E-4</v>
      </c>
    </row>
    <row r="168" spans="2:5" ht="15" customHeight="1">
      <c r="B168" s="87"/>
      <c r="C168" s="45" t="s">
        <v>127</v>
      </c>
      <c r="D168" s="44">
        <v>1</v>
      </c>
      <c r="E168" s="43">
        <v>7.4626865671641792E-4</v>
      </c>
    </row>
    <row r="169" spans="2:5" ht="15" customHeight="1">
      <c r="B169" s="88"/>
      <c r="C169" s="42" t="s">
        <v>23</v>
      </c>
      <c r="D169" s="41">
        <v>37</v>
      </c>
      <c r="E169" s="40">
        <v>2.7611940298507463E-2</v>
      </c>
    </row>
    <row r="170" spans="2:5" ht="15" customHeight="1">
      <c r="B170" s="86" t="s">
        <v>25</v>
      </c>
      <c r="C170" s="45" t="s">
        <v>129</v>
      </c>
      <c r="D170" s="44">
        <v>1</v>
      </c>
      <c r="E170" s="43">
        <v>7.4626865671641792E-4</v>
      </c>
    </row>
    <row r="171" spans="2:5" ht="15" customHeight="1">
      <c r="B171" s="88"/>
      <c r="C171" s="42" t="s">
        <v>23</v>
      </c>
      <c r="D171" s="41">
        <v>1</v>
      </c>
      <c r="E171" s="40">
        <v>7.4626865671641792E-4</v>
      </c>
    </row>
    <row r="172" spans="2:5" ht="15" customHeight="1">
      <c r="B172" s="86" t="s">
        <v>37</v>
      </c>
      <c r="C172" s="45" t="s">
        <v>129</v>
      </c>
      <c r="D172" s="44">
        <v>1</v>
      </c>
      <c r="E172" s="43">
        <v>7.4626865671641792E-4</v>
      </c>
    </row>
    <row r="173" spans="2:5" ht="15" customHeight="1">
      <c r="B173" s="87"/>
      <c r="C173" s="45" t="s">
        <v>131</v>
      </c>
      <c r="D173" s="44">
        <v>4</v>
      </c>
      <c r="E173" s="43">
        <v>2.9850746268656717E-3</v>
      </c>
    </row>
    <row r="174" spans="2:5" ht="15" customHeight="1">
      <c r="B174" s="87"/>
      <c r="C174" s="45" t="s">
        <v>130</v>
      </c>
      <c r="D174" s="44">
        <v>4</v>
      </c>
      <c r="E174" s="43">
        <v>2.9850746268656717E-3</v>
      </c>
    </row>
    <row r="175" spans="2:5" ht="15" customHeight="1">
      <c r="B175" s="88"/>
      <c r="C175" s="42" t="s">
        <v>23</v>
      </c>
      <c r="D175" s="41">
        <v>9</v>
      </c>
      <c r="E175" s="40">
        <v>6.7164179104477612E-3</v>
      </c>
    </row>
    <row r="176" spans="2:5" ht="15" customHeight="1">
      <c r="B176" s="86" t="s">
        <v>57</v>
      </c>
      <c r="C176" s="45" t="s">
        <v>129</v>
      </c>
      <c r="D176" s="44">
        <v>3</v>
      </c>
      <c r="E176" s="43">
        <v>2.2388059701492539E-3</v>
      </c>
    </row>
    <row r="177" spans="2:5" ht="15" customHeight="1">
      <c r="B177" s="87"/>
      <c r="C177" s="45" t="s">
        <v>126</v>
      </c>
      <c r="D177" s="44">
        <v>1</v>
      </c>
      <c r="E177" s="43">
        <v>7.4626865671641792E-4</v>
      </c>
    </row>
    <row r="178" spans="2:5" ht="15" customHeight="1">
      <c r="B178" s="87"/>
      <c r="C178" s="45" t="s">
        <v>131</v>
      </c>
      <c r="D178" s="44">
        <v>14</v>
      </c>
      <c r="E178" s="43">
        <v>1.0447761194029851E-2</v>
      </c>
    </row>
    <row r="179" spans="2:5" ht="15" customHeight="1">
      <c r="B179" s="87"/>
      <c r="C179" s="45" t="s">
        <v>130</v>
      </c>
      <c r="D179" s="44">
        <v>6</v>
      </c>
      <c r="E179" s="43">
        <v>4.4776119402985077E-3</v>
      </c>
    </row>
    <row r="180" spans="2:5" ht="15" customHeight="1">
      <c r="B180" s="87"/>
      <c r="C180" s="45" t="s">
        <v>128</v>
      </c>
      <c r="D180" s="44">
        <v>5</v>
      </c>
      <c r="E180" s="43">
        <v>3.7313432835820895E-3</v>
      </c>
    </row>
    <row r="181" spans="2:5" ht="15" customHeight="1">
      <c r="B181" s="87"/>
      <c r="C181" s="45" t="s">
        <v>127</v>
      </c>
      <c r="D181" s="44">
        <v>1</v>
      </c>
      <c r="E181" s="43">
        <v>7.4626865671641792E-4</v>
      </c>
    </row>
    <row r="182" spans="2:5" ht="15" customHeight="1">
      <c r="B182" s="87"/>
      <c r="C182" s="45" t="s">
        <v>123</v>
      </c>
      <c r="D182" s="44">
        <v>1</v>
      </c>
      <c r="E182" s="43">
        <v>7.4626865671641792E-4</v>
      </c>
    </row>
    <row r="183" spans="2:5" ht="15" customHeight="1">
      <c r="B183" s="88"/>
      <c r="C183" s="42" t="s">
        <v>23</v>
      </c>
      <c r="D183" s="41">
        <v>31</v>
      </c>
      <c r="E183" s="40">
        <v>2.3134328358208955E-2</v>
      </c>
    </row>
    <row r="184" spans="2:5" ht="15" customHeight="1">
      <c r="B184" s="86" t="s">
        <v>33</v>
      </c>
      <c r="C184" s="45" t="s">
        <v>124</v>
      </c>
      <c r="D184" s="44">
        <v>1</v>
      </c>
      <c r="E184" s="43">
        <v>7.4626865671641792E-4</v>
      </c>
    </row>
    <row r="185" spans="2:5" ht="15" customHeight="1">
      <c r="B185" s="87"/>
      <c r="C185" s="45" t="s">
        <v>131</v>
      </c>
      <c r="D185" s="44">
        <v>2</v>
      </c>
      <c r="E185" s="43">
        <v>1.4925373134328358E-3</v>
      </c>
    </row>
    <row r="186" spans="2:5" ht="15" customHeight="1">
      <c r="B186" s="87"/>
      <c r="C186" s="45" t="s">
        <v>130</v>
      </c>
      <c r="D186" s="44">
        <v>2</v>
      </c>
      <c r="E186" s="43">
        <v>1.4925373134328358E-3</v>
      </c>
    </row>
    <row r="187" spans="2:5" ht="15" customHeight="1">
      <c r="B187" s="87"/>
      <c r="C187" s="45" t="s">
        <v>128</v>
      </c>
      <c r="D187" s="44">
        <v>1</v>
      </c>
      <c r="E187" s="43">
        <v>7.4626865671641792E-4</v>
      </c>
    </row>
    <row r="188" spans="2:5" ht="15" customHeight="1">
      <c r="B188" s="87"/>
      <c r="C188" s="45" t="s">
        <v>125</v>
      </c>
      <c r="D188" s="44">
        <v>1</v>
      </c>
      <c r="E188" s="43">
        <v>7.4626865671641792E-4</v>
      </c>
    </row>
    <row r="189" spans="2:5" ht="15" customHeight="1">
      <c r="B189" s="88"/>
      <c r="C189" s="42" t="s">
        <v>23</v>
      </c>
      <c r="D189" s="41">
        <v>7</v>
      </c>
      <c r="E189" s="40">
        <v>5.2238805970149255E-3</v>
      </c>
    </row>
    <row r="190" spans="2:5" ht="15" customHeight="1">
      <c r="B190" s="86" t="s">
        <v>28</v>
      </c>
      <c r="C190" s="45" t="s">
        <v>124</v>
      </c>
      <c r="D190" s="44">
        <v>1</v>
      </c>
      <c r="E190" s="43">
        <v>7.4626865671641792E-4</v>
      </c>
    </row>
    <row r="191" spans="2:5" ht="15" customHeight="1">
      <c r="B191" s="87"/>
      <c r="C191" s="45" t="s">
        <v>131</v>
      </c>
      <c r="D191" s="44">
        <v>2</v>
      </c>
      <c r="E191" s="43">
        <v>1.4925373134328358E-3</v>
      </c>
    </row>
    <row r="192" spans="2:5" ht="15" customHeight="1">
      <c r="B192" s="88"/>
      <c r="C192" s="42" t="s">
        <v>23</v>
      </c>
      <c r="D192" s="41">
        <v>3</v>
      </c>
      <c r="E192" s="40">
        <v>2.2388059701492539E-3</v>
      </c>
    </row>
    <row r="193" spans="2:5" ht="15" customHeight="1">
      <c r="B193" s="86" t="s">
        <v>47</v>
      </c>
      <c r="C193" s="45" t="s">
        <v>129</v>
      </c>
      <c r="D193" s="44">
        <v>3</v>
      </c>
      <c r="E193" s="43">
        <v>2.2388059701492539E-3</v>
      </c>
    </row>
    <row r="194" spans="2:5" ht="15" customHeight="1">
      <c r="B194" s="87"/>
      <c r="C194" s="45" t="s">
        <v>131</v>
      </c>
      <c r="D194" s="44">
        <v>7</v>
      </c>
      <c r="E194" s="43">
        <v>5.2238805970149255E-3</v>
      </c>
    </row>
    <row r="195" spans="2:5" ht="15" customHeight="1">
      <c r="B195" s="87"/>
      <c r="C195" s="45" t="s">
        <v>130</v>
      </c>
      <c r="D195" s="44">
        <v>5</v>
      </c>
      <c r="E195" s="43">
        <v>3.7313432835820895E-3</v>
      </c>
    </row>
    <row r="196" spans="2:5" ht="15" customHeight="1">
      <c r="B196" s="87"/>
      <c r="C196" s="45" t="s">
        <v>128</v>
      </c>
      <c r="D196" s="44">
        <v>1</v>
      </c>
      <c r="E196" s="43">
        <v>7.4626865671641792E-4</v>
      </c>
    </row>
    <row r="197" spans="2:5" ht="15" customHeight="1">
      <c r="B197" s="87"/>
      <c r="C197" s="45" t="s">
        <v>127</v>
      </c>
      <c r="D197" s="44">
        <v>1</v>
      </c>
      <c r="E197" s="43">
        <v>7.4626865671641792E-4</v>
      </c>
    </row>
    <row r="198" spans="2:5" ht="15" customHeight="1">
      <c r="B198" s="88"/>
      <c r="C198" s="42" t="s">
        <v>23</v>
      </c>
      <c r="D198" s="41">
        <v>17</v>
      </c>
      <c r="E198" s="40">
        <v>1.2686567164179104E-2</v>
      </c>
    </row>
    <row r="199" spans="2:5" ht="15" customHeight="1">
      <c r="B199" s="86" t="s">
        <v>55</v>
      </c>
      <c r="C199" s="45" t="s">
        <v>126</v>
      </c>
      <c r="D199" s="44">
        <v>1</v>
      </c>
      <c r="E199" s="43">
        <v>7.4626865671641792E-4</v>
      </c>
    </row>
    <row r="200" spans="2:5" ht="15" customHeight="1">
      <c r="B200" s="87"/>
      <c r="C200" s="45" t="s">
        <v>131</v>
      </c>
      <c r="D200" s="44">
        <v>10</v>
      </c>
      <c r="E200" s="43">
        <v>7.462686567164179E-3</v>
      </c>
    </row>
    <row r="201" spans="2:5" ht="15" customHeight="1">
      <c r="B201" s="87"/>
      <c r="C201" s="45" t="s">
        <v>130</v>
      </c>
      <c r="D201" s="44">
        <v>10</v>
      </c>
      <c r="E201" s="43">
        <v>7.462686567164179E-3</v>
      </c>
    </row>
    <row r="202" spans="2:5" ht="15" customHeight="1">
      <c r="B202" s="87"/>
      <c r="C202" s="45" t="s">
        <v>128</v>
      </c>
      <c r="D202" s="44">
        <v>5</v>
      </c>
      <c r="E202" s="43">
        <v>3.7313432835820895E-3</v>
      </c>
    </row>
    <row r="203" spans="2:5" ht="15" customHeight="1">
      <c r="B203" s="87"/>
      <c r="C203" s="45" t="s">
        <v>123</v>
      </c>
      <c r="D203" s="44">
        <v>1</v>
      </c>
      <c r="E203" s="43">
        <v>7.4626865671641792E-4</v>
      </c>
    </row>
    <row r="204" spans="2:5" ht="15" customHeight="1">
      <c r="B204" s="88"/>
      <c r="C204" s="42" t="s">
        <v>23</v>
      </c>
      <c r="D204" s="41">
        <v>27</v>
      </c>
      <c r="E204" s="40">
        <v>2.0149253731343283E-2</v>
      </c>
    </row>
    <row r="205" spans="2:5" ht="15" customHeight="1">
      <c r="B205" s="86" t="s">
        <v>64</v>
      </c>
      <c r="C205" s="45" t="s">
        <v>124</v>
      </c>
      <c r="D205" s="44">
        <v>1</v>
      </c>
      <c r="E205" s="43">
        <v>7.4626865671641792E-4</v>
      </c>
    </row>
    <row r="206" spans="2:5" ht="15" customHeight="1">
      <c r="B206" s="87"/>
      <c r="C206" s="45" t="s">
        <v>129</v>
      </c>
      <c r="D206" s="44">
        <v>71</v>
      </c>
      <c r="E206" s="43">
        <v>5.2985074626865671E-2</v>
      </c>
    </row>
    <row r="207" spans="2:5" ht="15" customHeight="1">
      <c r="B207" s="87"/>
      <c r="C207" s="45" t="s">
        <v>126</v>
      </c>
      <c r="D207" s="44">
        <v>14</v>
      </c>
      <c r="E207" s="43">
        <v>1.0447761194029851E-2</v>
      </c>
    </row>
    <row r="208" spans="2:5" ht="15" customHeight="1">
      <c r="B208" s="87"/>
      <c r="C208" s="45" t="s">
        <v>131</v>
      </c>
      <c r="D208" s="44">
        <v>92</v>
      </c>
      <c r="E208" s="43">
        <v>6.8656716417910449E-2</v>
      </c>
    </row>
    <row r="209" spans="2:5" ht="15" customHeight="1">
      <c r="B209" s="87"/>
      <c r="C209" s="45" t="s">
        <v>130</v>
      </c>
      <c r="D209" s="44">
        <v>45</v>
      </c>
      <c r="E209" s="43">
        <v>3.3582089552238806E-2</v>
      </c>
    </row>
    <row r="210" spans="2:5" ht="15" customHeight="1">
      <c r="B210" s="87"/>
      <c r="C210" s="45" t="s">
        <v>128</v>
      </c>
      <c r="D210" s="44">
        <v>20</v>
      </c>
      <c r="E210" s="43">
        <v>1.4925373134328358E-2</v>
      </c>
    </row>
    <row r="211" spans="2:5" ht="15" customHeight="1">
      <c r="B211" s="87"/>
      <c r="C211" s="45" t="s">
        <v>125</v>
      </c>
      <c r="D211" s="44">
        <v>3</v>
      </c>
      <c r="E211" s="43">
        <v>2.2388059701492539E-3</v>
      </c>
    </row>
    <row r="212" spans="2:5" ht="15" customHeight="1">
      <c r="B212" s="87"/>
      <c r="C212" s="45" t="s">
        <v>127</v>
      </c>
      <c r="D212" s="44">
        <v>9</v>
      </c>
      <c r="E212" s="43">
        <v>6.7164179104477612E-3</v>
      </c>
    </row>
    <row r="213" spans="2:5" ht="15" customHeight="1">
      <c r="B213" s="87"/>
      <c r="C213" s="45" t="s">
        <v>123</v>
      </c>
      <c r="D213" s="44">
        <v>1</v>
      </c>
      <c r="E213" s="43">
        <v>7.4626865671641792E-4</v>
      </c>
    </row>
    <row r="214" spans="2:5" ht="15" customHeight="1">
      <c r="B214" s="87"/>
      <c r="C214" s="45" t="s">
        <v>122</v>
      </c>
      <c r="D214" s="44">
        <v>1</v>
      </c>
      <c r="E214" s="43">
        <v>7.4626865671641792E-4</v>
      </c>
    </row>
    <row r="215" spans="2:5" ht="15" customHeight="1">
      <c r="B215" s="88"/>
      <c r="C215" s="42" t="s">
        <v>23</v>
      </c>
      <c r="D215" s="41">
        <v>257</v>
      </c>
      <c r="E215" s="40">
        <v>0.19179104477611941</v>
      </c>
    </row>
    <row r="216" spans="2:5" ht="15" customHeight="1">
      <c r="B216" s="86" t="s">
        <v>31</v>
      </c>
      <c r="C216" s="45" t="s">
        <v>129</v>
      </c>
      <c r="D216" s="44">
        <v>3</v>
      </c>
      <c r="E216" s="43">
        <v>2.2388059701492539E-3</v>
      </c>
    </row>
    <row r="217" spans="2:5" ht="15" customHeight="1">
      <c r="B217" s="87"/>
      <c r="C217" s="45" t="s">
        <v>126</v>
      </c>
      <c r="D217" s="44">
        <v>1</v>
      </c>
      <c r="E217" s="43">
        <v>7.4626865671641792E-4</v>
      </c>
    </row>
    <row r="218" spans="2:5" ht="15" customHeight="1">
      <c r="B218" s="87"/>
      <c r="C218" s="45" t="s">
        <v>131</v>
      </c>
      <c r="D218" s="44">
        <v>1</v>
      </c>
      <c r="E218" s="43">
        <v>7.4626865671641792E-4</v>
      </c>
    </row>
    <row r="219" spans="2:5" ht="15" customHeight="1">
      <c r="B219" s="88"/>
      <c r="C219" s="42" t="s">
        <v>23</v>
      </c>
      <c r="D219" s="41">
        <v>5</v>
      </c>
      <c r="E219" s="40">
        <v>3.7313432835820895E-3</v>
      </c>
    </row>
    <row r="220" spans="2:5" ht="15" customHeight="1">
      <c r="B220" s="86" t="s">
        <v>46</v>
      </c>
      <c r="C220" s="45" t="s">
        <v>129</v>
      </c>
      <c r="D220" s="44">
        <v>2</v>
      </c>
      <c r="E220" s="43">
        <v>1.4925373134328358E-3</v>
      </c>
    </row>
    <row r="221" spans="2:5" ht="15" customHeight="1">
      <c r="B221" s="87"/>
      <c r="C221" s="45" t="s">
        <v>131</v>
      </c>
      <c r="D221" s="44">
        <v>3</v>
      </c>
      <c r="E221" s="43">
        <v>2.2388059701492539E-3</v>
      </c>
    </row>
    <row r="222" spans="2:5" ht="15" customHeight="1">
      <c r="B222" s="87"/>
      <c r="C222" s="45" t="s">
        <v>130</v>
      </c>
      <c r="D222" s="44">
        <v>10</v>
      </c>
      <c r="E222" s="43">
        <v>7.462686567164179E-3</v>
      </c>
    </row>
    <row r="223" spans="2:5" ht="15" customHeight="1">
      <c r="B223" s="87"/>
      <c r="C223" s="45" t="s">
        <v>128</v>
      </c>
      <c r="D223" s="44">
        <v>1</v>
      </c>
      <c r="E223" s="43">
        <v>7.4626865671641792E-4</v>
      </c>
    </row>
    <row r="224" spans="2:5" ht="15" customHeight="1">
      <c r="B224" s="87"/>
      <c r="C224" s="45" t="s">
        <v>125</v>
      </c>
      <c r="D224" s="44">
        <v>1</v>
      </c>
      <c r="E224" s="43">
        <v>7.4626865671641792E-4</v>
      </c>
    </row>
    <row r="225" spans="2:5" ht="15" customHeight="1">
      <c r="B225" s="88"/>
      <c r="C225" s="42" t="s">
        <v>23</v>
      </c>
      <c r="D225" s="41">
        <v>17</v>
      </c>
      <c r="E225" s="40">
        <v>1.2686567164179104E-2</v>
      </c>
    </row>
    <row r="226" spans="2:5" ht="15" customHeight="1">
      <c r="B226" s="86" t="s">
        <v>45</v>
      </c>
      <c r="C226" s="45" t="s">
        <v>129</v>
      </c>
      <c r="D226" s="44">
        <v>1</v>
      </c>
      <c r="E226" s="43">
        <v>7.4626865671641792E-4</v>
      </c>
    </row>
    <row r="227" spans="2:5" ht="15" customHeight="1">
      <c r="B227" s="87"/>
      <c r="C227" s="45" t="s">
        <v>131</v>
      </c>
      <c r="D227" s="44">
        <v>4</v>
      </c>
      <c r="E227" s="43">
        <v>2.9850746268656717E-3</v>
      </c>
    </row>
    <row r="228" spans="2:5" ht="15" customHeight="1">
      <c r="B228" s="87"/>
      <c r="C228" s="45" t="s">
        <v>130</v>
      </c>
      <c r="D228" s="44">
        <v>5</v>
      </c>
      <c r="E228" s="43">
        <v>3.7313432835820895E-3</v>
      </c>
    </row>
    <row r="229" spans="2:5" ht="15" customHeight="1">
      <c r="B229" s="87"/>
      <c r="C229" s="45" t="s">
        <v>128</v>
      </c>
      <c r="D229" s="44">
        <v>4</v>
      </c>
      <c r="E229" s="43">
        <v>2.9850746268656717E-3</v>
      </c>
    </row>
    <row r="230" spans="2:5" ht="15" customHeight="1">
      <c r="B230" s="87"/>
      <c r="C230" s="45" t="s">
        <v>125</v>
      </c>
      <c r="D230" s="44">
        <v>3</v>
      </c>
      <c r="E230" s="43">
        <v>2.2388059701492539E-3</v>
      </c>
    </row>
    <row r="231" spans="2:5" ht="15" customHeight="1">
      <c r="B231" s="88"/>
      <c r="C231" s="42" t="s">
        <v>23</v>
      </c>
      <c r="D231" s="41">
        <v>17</v>
      </c>
      <c r="E231" s="40">
        <v>1.2686567164179104E-2</v>
      </c>
    </row>
    <row r="232" spans="2:5" ht="15" customHeight="1">
      <c r="B232" s="86" t="s">
        <v>24</v>
      </c>
      <c r="C232" s="45" t="s">
        <v>129</v>
      </c>
      <c r="D232" s="44">
        <v>1</v>
      </c>
      <c r="E232" s="43">
        <v>7.4626865671641792E-4</v>
      </c>
    </row>
    <row r="233" spans="2:5" ht="15" customHeight="1">
      <c r="B233" s="88"/>
      <c r="C233" s="42" t="s">
        <v>23</v>
      </c>
      <c r="D233" s="41">
        <v>1</v>
      </c>
      <c r="E233" s="40">
        <v>7.4626865671641792E-4</v>
      </c>
    </row>
    <row r="234" spans="2:5" ht="15" customHeight="1">
      <c r="B234" s="86" t="s">
        <v>43</v>
      </c>
      <c r="C234" s="45" t="s">
        <v>129</v>
      </c>
      <c r="D234" s="44">
        <v>5</v>
      </c>
      <c r="E234" s="43">
        <v>3.7313432835820895E-3</v>
      </c>
    </row>
    <row r="235" spans="2:5" ht="15" customHeight="1">
      <c r="B235" s="87"/>
      <c r="C235" s="45" t="s">
        <v>131</v>
      </c>
      <c r="D235" s="44">
        <v>4</v>
      </c>
      <c r="E235" s="43">
        <v>2.9850746268656717E-3</v>
      </c>
    </row>
    <row r="236" spans="2:5" ht="15" customHeight="1">
      <c r="B236" s="87"/>
      <c r="C236" s="45" t="s">
        <v>130</v>
      </c>
      <c r="D236" s="44">
        <v>2</v>
      </c>
      <c r="E236" s="43">
        <v>1.4925373134328358E-3</v>
      </c>
    </row>
    <row r="237" spans="2:5" ht="15" customHeight="1">
      <c r="B237" s="87"/>
      <c r="C237" s="45" t="s">
        <v>128</v>
      </c>
      <c r="D237" s="44">
        <v>2</v>
      </c>
      <c r="E237" s="43">
        <v>1.4925373134328358E-3</v>
      </c>
    </row>
    <row r="238" spans="2:5" ht="15" customHeight="1">
      <c r="B238" s="88"/>
      <c r="C238" s="42" t="s">
        <v>23</v>
      </c>
      <c r="D238" s="41">
        <v>13</v>
      </c>
      <c r="E238" s="40">
        <v>9.7014925373134324E-3</v>
      </c>
    </row>
    <row r="239" spans="2:5" ht="15" customHeight="1">
      <c r="B239" s="99" t="s">
        <v>23</v>
      </c>
      <c r="C239" s="100"/>
      <c r="D239" s="101">
        <v>1340</v>
      </c>
      <c r="E239" s="102">
        <v>1</v>
      </c>
    </row>
    <row r="241" spans="2:2" ht="15" customHeight="1">
      <c r="B241" s="19" t="s">
        <v>22</v>
      </c>
    </row>
    <row r="242" spans="2:2" ht="15" customHeight="1">
      <c r="B242" s="21" t="s">
        <v>21</v>
      </c>
    </row>
    <row r="243" spans="2:2" ht="15" customHeight="1">
      <c r="B243" s="20" t="s">
        <v>20</v>
      </c>
    </row>
    <row r="244" spans="2:2" ht="15" customHeight="1">
      <c r="B244" s="19" t="s">
        <v>19</v>
      </c>
    </row>
    <row r="245" spans="2:2" ht="15" customHeight="1">
      <c r="B245" s="19" t="s">
        <v>18</v>
      </c>
    </row>
  </sheetData>
  <mergeCells count="44">
    <mergeCell ref="B193:B198"/>
    <mergeCell ref="B234:B238"/>
    <mergeCell ref="B239:C239"/>
    <mergeCell ref="B199:B204"/>
    <mergeCell ref="B205:B215"/>
    <mergeCell ref="B216:B219"/>
    <mergeCell ref="B220:B225"/>
    <mergeCell ref="B226:B231"/>
    <mergeCell ref="B232:B233"/>
    <mergeCell ref="B142:B146"/>
    <mergeCell ref="B147:B151"/>
    <mergeCell ref="B152:B156"/>
    <mergeCell ref="B157:B162"/>
    <mergeCell ref="B163:B169"/>
    <mergeCell ref="B170:B171"/>
    <mergeCell ref="B172:B175"/>
    <mergeCell ref="B176:B183"/>
    <mergeCell ref="B184:B189"/>
    <mergeCell ref="B190:B192"/>
    <mergeCell ref="B90:B94"/>
    <mergeCell ref="B95:B98"/>
    <mergeCell ref="B99:B106"/>
    <mergeCell ref="B107:B110"/>
    <mergeCell ref="B111:B113"/>
    <mergeCell ref="B114:B118"/>
    <mergeCell ref="B119:B123"/>
    <mergeCell ref="B124:B129"/>
    <mergeCell ref="B130:B135"/>
    <mergeCell ref="B136:B141"/>
    <mergeCell ref="B35:B41"/>
    <mergeCell ref="B42:B45"/>
    <mergeCell ref="B46:B47"/>
    <mergeCell ref="B48:B51"/>
    <mergeCell ref="B52:B60"/>
    <mergeCell ref="B61:B67"/>
    <mergeCell ref="B68:B71"/>
    <mergeCell ref="B72:B78"/>
    <mergeCell ref="B79:B84"/>
    <mergeCell ref="B85:B89"/>
    <mergeCell ref="B7:E8"/>
    <mergeCell ref="B10:B17"/>
    <mergeCell ref="B18:B20"/>
    <mergeCell ref="B21:B25"/>
    <mergeCell ref="B26:B3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5" manualBreakCount="5">
    <brk id="51" max="4" man="1"/>
    <brk id="94" max="4" man="1"/>
    <brk id="135" max="4" man="1"/>
    <brk id="175" max="4" man="1"/>
    <brk id="219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79"/>
  <sheetViews>
    <sheetView topLeftCell="A262" zoomScaleNormal="100" zoomScaleSheetLayoutView="85" workbookViewId="0">
      <selection activeCell="B273" sqref="B273:E27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85"/>
      <c r="C7" s="85"/>
      <c r="D7" s="85"/>
      <c r="E7" s="85"/>
    </row>
    <row r="8" spans="1:5" s="50" customFormat="1" ht="33" customHeight="1">
      <c r="A8" s="51"/>
      <c r="B8" s="85"/>
      <c r="C8" s="85"/>
      <c r="D8" s="85"/>
      <c r="E8" s="85"/>
    </row>
    <row r="9" spans="1:5" s="29" customFormat="1" ht="40.5" customHeight="1">
      <c r="B9" s="47" t="s">
        <v>120</v>
      </c>
      <c r="C9" s="49" t="s">
        <v>134</v>
      </c>
      <c r="D9" s="48" t="s">
        <v>67</v>
      </c>
      <c r="E9" s="47" t="s">
        <v>66</v>
      </c>
    </row>
    <row r="10" spans="1:5" ht="15" customHeight="1">
      <c r="B10" s="86" t="s">
        <v>83</v>
      </c>
      <c r="C10" s="45" t="s">
        <v>129</v>
      </c>
      <c r="D10" s="44">
        <v>2</v>
      </c>
      <c r="E10" s="43">
        <v>1.4925373134328358E-3</v>
      </c>
    </row>
    <row r="11" spans="1:5" ht="15" customHeight="1">
      <c r="B11" s="87"/>
      <c r="C11" s="45" t="s">
        <v>131</v>
      </c>
      <c r="D11" s="44">
        <v>2</v>
      </c>
      <c r="E11" s="43">
        <v>1.4925373134328358E-3</v>
      </c>
    </row>
    <row r="12" spans="1:5" ht="15" customHeight="1">
      <c r="B12" s="87"/>
      <c r="C12" s="45" t="s">
        <v>130</v>
      </c>
      <c r="D12" s="44">
        <v>1</v>
      </c>
      <c r="E12" s="43">
        <v>7.4626865671641792E-4</v>
      </c>
    </row>
    <row r="13" spans="1:5" s="46" customFormat="1" ht="15" customHeight="1">
      <c r="A13" s="36"/>
      <c r="B13" s="87"/>
      <c r="C13" s="45" t="s">
        <v>127</v>
      </c>
      <c r="D13" s="44">
        <v>1</v>
      </c>
      <c r="E13" s="43">
        <v>7.4626865671641792E-4</v>
      </c>
    </row>
    <row r="14" spans="1:5" ht="15" customHeight="1">
      <c r="B14" s="88"/>
      <c r="C14" s="42" t="s">
        <v>23</v>
      </c>
      <c r="D14" s="41">
        <v>6</v>
      </c>
      <c r="E14" s="40">
        <v>4.4776119402985077E-3</v>
      </c>
    </row>
    <row r="15" spans="1:5" ht="15" customHeight="1">
      <c r="B15" s="86" t="s">
        <v>115</v>
      </c>
      <c r="C15" s="45" t="s">
        <v>124</v>
      </c>
      <c r="D15" s="44">
        <v>3</v>
      </c>
      <c r="E15" s="43">
        <v>2.2388059701492539E-3</v>
      </c>
    </row>
    <row r="16" spans="1:5" ht="15" customHeight="1">
      <c r="B16" s="87"/>
      <c r="C16" s="45" t="s">
        <v>129</v>
      </c>
      <c r="D16" s="44">
        <v>20</v>
      </c>
      <c r="E16" s="43">
        <v>1.4925373134328358E-2</v>
      </c>
    </row>
    <row r="17" spans="2:5" ht="15" customHeight="1">
      <c r="B17" s="87"/>
      <c r="C17" s="45" t="s">
        <v>126</v>
      </c>
      <c r="D17" s="44">
        <v>5</v>
      </c>
      <c r="E17" s="43">
        <v>3.7313432835820895E-3</v>
      </c>
    </row>
    <row r="18" spans="2:5" ht="15" customHeight="1">
      <c r="B18" s="87"/>
      <c r="C18" s="45" t="s">
        <v>131</v>
      </c>
      <c r="D18" s="44">
        <v>45</v>
      </c>
      <c r="E18" s="43">
        <v>3.3582089552238806E-2</v>
      </c>
    </row>
    <row r="19" spans="2:5" ht="15" customHeight="1">
      <c r="B19" s="87"/>
      <c r="C19" s="45" t="s">
        <v>130</v>
      </c>
      <c r="D19" s="44">
        <v>35</v>
      </c>
      <c r="E19" s="43">
        <v>2.6119402985074626E-2</v>
      </c>
    </row>
    <row r="20" spans="2:5" ht="15" customHeight="1">
      <c r="B20" s="87"/>
      <c r="C20" s="45" t="s">
        <v>128</v>
      </c>
      <c r="D20" s="44">
        <v>10</v>
      </c>
      <c r="E20" s="43">
        <v>7.462686567164179E-3</v>
      </c>
    </row>
    <row r="21" spans="2:5" ht="15" customHeight="1">
      <c r="B21" s="87"/>
      <c r="C21" s="45" t="s">
        <v>127</v>
      </c>
      <c r="D21" s="44">
        <v>18</v>
      </c>
      <c r="E21" s="43">
        <v>1.3432835820895522E-2</v>
      </c>
    </row>
    <row r="22" spans="2:5" ht="15" customHeight="1">
      <c r="B22" s="87"/>
      <c r="C22" s="45" t="s">
        <v>123</v>
      </c>
      <c r="D22" s="44">
        <v>1</v>
      </c>
      <c r="E22" s="43">
        <v>7.4626865671641792E-4</v>
      </c>
    </row>
    <row r="23" spans="2:5" ht="15" customHeight="1">
      <c r="B23" s="88"/>
      <c r="C23" s="42" t="s">
        <v>23</v>
      </c>
      <c r="D23" s="41">
        <v>137</v>
      </c>
      <c r="E23" s="40">
        <v>0.10223880597014925</v>
      </c>
    </row>
    <row r="24" spans="2:5" ht="15" customHeight="1">
      <c r="B24" s="86" t="s">
        <v>105</v>
      </c>
      <c r="C24" s="45" t="s">
        <v>124</v>
      </c>
      <c r="D24" s="44">
        <v>1</v>
      </c>
      <c r="E24" s="43">
        <v>7.4626865671641792E-4</v>
      </c>
    </row>
    <row r="25" spans="2:5" ht="15" customHeight="1">
      <c r="B25" s="87"/>
      <c r="C25" s="45" t="s">
        <v>129</v>
      </c>
      <c r="D25" s="44">
        <v>7</v>
      </c>
      <c r="E25" s="43">
        <v>5.2238805970149255E-3</v>
      </c>
    </row>
    <row r="26" spans="2:5" ht="15" customHeight="1">
      <c r="B26" s="87"/>
      <c r="C26" s="45" t="s">
        <v>126</v>
      </c>
      <c r="D26" s="44">
        <v>2</v>
      </c>
      <c r="E26" s="43">
        <v>1.4925373134328358E-3</v>
      </c>
    </row>
    <row r="27" spans="2:5" ht="15" customHeight="1">
      <c r="B27" s="87"/>
      <c r="C27" s="45" t="s">
        <v>131</v>
      </c>
      <c r="D27" s="44">
        <v>21</v>
      </c>
      <c r="E27" s="43">
        <v>1.5671641791044775E-2</v>
      </c>
    </row>
    <row r="28" spans="2:5" ht="15" customHeight="1">
      <c r="B28" s="87"/>
      <c r="C28" s="45" t="s">
        <v>130</v>
      </c>
      <c r="D28" s="44">
        <v>7</v>
      </c>
      <c r="E28" s="43">
        <v>5.2238805970149255E-3</v>
      </c>
    </row>
    <row r="29" spans="2:5" ht="15" customHeight="1">
      <c r="B29" s="87"/>
      <c r="C29" s="45" t="s">
        <v>128</v>
      </c>
      <c r="D29" s="44">
        <v>4</v>
      </c>
      <c r="E29" s="43">
        <v>2.9850746268656717E-3</v>
      </c>
    </row>
    <row r="30" spans="2:5" ht="15" customHeight="1">
      <c r="B30" s="88"/>
      <c r="C30" s="42" t="s">
        <v>23</v>
      </c>
      <c r="D30" s="41">
        <v>42</v>
      </c>
      <c r="E30" s="40">
        <v>3.134328358208955E-2</v>
      </c>
    </row>
    <row r="31" spans="2:5" ht="15" customHeight="1">
      <c r="B31" s="86" t="s">
        <v>81</v>
      </c>
      <c r="C31" s="45" t="s">
        <v>126</v>
      </c>
      <c r="D31" s="44">
        <v>2</v>
      </c>
      <c r="E31" s="43">
        <v>1.4925373134328358E-3</v>
      </c>
    </row>
    <row r="32" spans="2:5" ht="15" customHeight="1">
      <c r="B32" s="87"/>
      <c r="C32" s="45" t="s">
        <v>131</v>
      </c>
      <c r="D32" s="44">
        <v>3</v>
      </c>
      <c r="E32" s="43">
        <v>2.2388059701492539E-3</v>
      </c>
    </row>
    <row r="33" spans="2:5" ht="15" customHeight="1">
      <c r="B33" s="87"/>
      <c r="C33" s="45" t="s">
        <v>128</v>
      </c>
      <c r="D33" s="44">
        <v>6</v>
      </c>
      <c r="E33" s="43">
        <v>4.4776119402985077E-3</v>
      </c>
    </row>
    <row r="34" spans="2:5" ht="15" customHeight="1">
      <c r="B34" s="88"/>
      <c r="C34" s="42" t="s">
        <v>23</v>
      </c>
      <c r="D34" s="41">
        <v>11</v>
      </c>
      <c r="E34" s="40">
        <v>8.2089552238805968E-3</v>
      </c>
    </row>
    <row r="35" spans="2:5" ht="15" customHeight="1">
      <c r="B35" s="86" t="s">
        <v>77</v>
      </c>
      <c r="C35" s="45" t="s">
        <v>129</v>
      </c>
      <c r="D35" s="44">
        <v>1</v>
      </c>
      <c r="E35" s="43">
        <v>7.4626865671641792E-4</v>
      </c>
    </row>
    <row r="36" spans="2:5" ht="15" customHeight="1">
      <c r="B36" s="87"/>
      <c r="C36" s="45" t="s">
        <v>130</v>
      </c>
      <c r="D36" s="44">
        <v>1</v>
      </c>
      <c r="E36" s="43">
        <v>7.4626865671641792E-4</v>
      </c>
    </row>
    <row r="37" spans="2:5" ht="15" customHeight="1">
      <c r="B37" s="88"/>
      <c r="C37" s="42" t="s">
        <v>23</v>
      </c>
      <c r="D37" s="41">
        <v>2</v>
      </c>
      <c r="E37" s="40">
        <v>1.4925373134328358E-3</v>
      </c>
    </row>
    <row r="38" spans="2:5" ht="15" customHeight="1">
      <c r="B38" s="86" t="s">
        <v>82</v>
      </c>
      <c r="C38" s="45" t="s">
        <v>131</v>
      </c>
      <c r="D38" s="44">
        <v>4</v>
      </c>
      <c r="E38" s="43">
        <v>2.9850746268656717E-3</v>
      </c>
    </row>
    <row r="39" spans="2:5" ht="15" customHeight="1">
      <c r="B39" s="87"/>
      <c r="C39" s="45" t="s">
        <v>128</v>
      </c>
      <c r="D39" s="44">
        <v>1</v>
      </c>
      <c r="E39" s="43">
        <v>7.4626865671641792E-4</v>
      </c>
    </row>
    <row r="40" spans="2:5" ht="15" customHeight="1">
      <c r="B40" s="88"/>
      <c r="C40" s="42" t="s">
        <v>23</v>
      </c>
      <c r="D40" s="41">
        <v>5</v>
      </c>
      <c r="E40" s="40">
        <v>3.7313432835820895E-3</v>
      </c>
    </row>
    <row r="41" spans="2:5" ht="15" customHeight="1">
      <c r="B41" s="86" t="s">
        <v>118</v>
      </c>
      <c r="C41" s="45" t="s">
        <v>129</v>
      </c>
      <c r="D41" s="44">
        <v>14</v>
      </c>
      <c r="E41" s="43">
        <v>1.0447761194029851E-2</v>
      </c>
    </row>
    <row r="42" spans="2:5" ht="15" customHeight="1">
      <c r="B42" s="87"/>
      <c r="C42" s="45" t="s">
        <v>126</v>
      </c>
      <c r="D42" s="44">
        <v>1</v>
      </c>
      <c r="E42" s="43">
        <v>7.4626865671641792E-4</v>
      </c>
    </row>
    <row r="43" spans="2:5" ht="15" customHeight="1">
      <c r="B43" s="87"/>
      <c r="C43" s="45" t="s">
        <v>131</v>
      </c>
      <c r="D43" s="44">
        <v>9</v>
      </c>
      <c r="E43" s="43">
        <v>6.7164179104477612E-3</v>
      </c>
    </row>
    <row r="44" spans="2:5" ht="15" customHeight="1">
      <c r="B44" s="87"/>
      <c r="C44" s="45" t="s">
        <v>130</v>
      </c>
      <c r="D44" s="44">
        <v>6</v>
      </c>
      <c r="E44" s="43">
        <v>4.4776119402985077E-3</v>
      </c>
    </row>
    <row r="45" spans="2:5" ht="15" customHeight="1">
      <c r="B45" s="87"/>
      <c r="C45" s="45" t="s">
        <v>128</v>
      </c>
      <c r="D45" s="44">
        <v>3</v>
      </c>
      <c r="E45" s="43">
        <v>2.2388059701492539E-3</v>
      </c>
    </row>
    <row r="46" spans="2:5" ht="15" customHeight="1">
      <c r="B46" s="87"/>
      <c r="C46" s="45" t="s">
        <v>127</v>
      </c>
      <c r="D46" s="44">
        <v>1</v>
      </c>
      <c r="E46" s="43">
        <v>7.4626865671641792E-4</v>
      </c>
    </row>
    <row r="47" spans="2:5" ht="15" customHeight="1">
      <c r="B47" s="88"/>
      <c r="C47" s="42" t="s">
        <v>23</v>
      </c>
      <c r="D47" s="41">
        <v>34</v>
      </c>
      <c r="E47" s="40">
        <v>2.5373134328358207E-2</v>
      </c>
    </row>
    <row r="48" spans="2:5" ht="15" customHeight="1">
      <c r="B48" s="86" t="s">
        <v>116</v>
      </c>
      <c r="C48" s="45" t="s">
        <v>129</v>
      </c>
      <c r="D48" s="44">
        <v>22</v>
      </c>
      <c r="E48" s="43">
        <v>1.6417910447761194E-2</v>
      </c>
    </row>
    <row r="49" spans="2:5" ht="15" customHeight="1">
      <c r="B49" s="87"/>
      <c r="C49" s="45" t="s">
        <v>126</v>
      </c>
      <c r="D49" s="44">
        <v>4</v>
      </c>
      <c r="E49" s="43">
        <v>2.9850746268656717E-3</v>
      </c>
    </row>
    <row r="50" spans="2:5" ht="15" customHeight="1">
      <c r="B50" s="87"/>
      <c r="C50" s="45" t="s">
        <v>131</v>
      </c>
      <c r="D50" s="44">
        <v>24</v>
      </c>
      <c r="E50" s="43">
        <v>1.7910447761194031E-2</v>
      </c>
    </row>
    <row r="51" spans="2:5" ht="15" customHeight="1">
      <c r="B51" s="87"/>
      <c r="C51" s="45" t="s">
        <v>130</v>
      </c>
      <c r="D51" s="44">
        <v>5</v>
      </c>
      <c r="E51" s="43">
        <v>3.7313432835820895E-3</v>
      </c>
    </row>
    <row r="52" spans="2:5" ht="15" customHeight="1">
      <c r="B52" s="87"/>
      <c r="C52" s="45" t="s">
        <v>128</v>
      </c>
      <c r="D52" s="44">
        <v>8</v>
      </c>
      <c r="E52" s="43">
        <v>5.9701492537313433E-3</v>
      </c>
    </row>
    <row r="53" spans="2:5" ht="15" customHeight="1">
      <c r="B53" s="87"/>
      <c r="C53" s="45" t="s">
        <v>125</v>
      </c>
      <c r="D53" s="44">
        <v>1</v>
      </c>
      <c r="E53" s="43">
        <v>7.4626865671641792E-4</v>
      </c>
    </row>
    <row r="54" spans="2:5" ht="15" customHeight="1">
      <c r="B54" s="87"/>
      <c r="C54" s="45" t="s">
        <v>127</v>
      </c>
      <c r="D54" s="44">
        <v>4</v>
      </c>
      <c r="E54" s="43">
        <v>2.9850746268656717E-3</v>
      </c>
    </row>
    <row r="55" spans="2:5" ht="15" customHeight="1">
      <c r="B55" s="87"/>
      <c r="C55" s="45" t="s">
        <v>122</v>
      </c>
      <c r="D55" s="44">
        <v>1</v>
      </c>
      <c r="E55" s="43">
        <v>7.4626865671641792E-4</v>
      </c>
    </row>
    <row r="56" spans="2:5" ht="15" customHeight="1">
      <c r="B56" s="88"/>
      <c r="C56" s="42" t="s">
        <v>23</v>
      </c>
      <c r="D56" s="41">
        <v>69</v>
      </c>
      <c r="E56" s="40">
        <v>5.1492537313432833E-2</v>
      </c>
    </row>
    <row r="57" spans="2:5" ht="15" customHeight="1">
      <c r="B57" s="86" t="s">
        <v>100</v>
      </c>
      <c r="C57" s="45" t="s">
        <v>129</v>
      </c>
      <c r="D57" s="44">
        <v>2</v>
      </c>
      <c r="E57" s="43">
        <v>1.4925373134328358E-3</v>
      </c>
    </row>
    <row r="58" spans="2:5" ht="15" customHeight="1">
      <c r="B58" s="87"/>
      <c r="C58" s="45" t="s">
        <v>126</v>
      </c>
      <c r="D58" s="44">
        <v>4</v>
      </c>
      <c r="E58" s="43">
        <v>2.9850746268656717E-3</v>
      </c>
    </row>
    <row r="59" spans="2:5" ht="15" customHeight="1">
      <c r="B59" s="87"/>
      <c r="C59" s="45" t="s">
        <v>131</v>
      </c>
      <c r="D59" s="44">
        <v>22</v>
      </c>
      <c r="E59" s="43">
        <v>1.6417910447761194E-2</v>
      </c>
    </row>
    <row r="60" spans="2:5" ht="15" customHeight="1">
      <c r="B60" s="87"/>
      <c r="C60" s="45" t="s">
        <v>130</v>
      </c>
      <c r="D60" s="44">
        <v>1</v>
      </c>
      <c r="E60" s="43">
        <v>7.4626865671641792E-4</v>
      </c>
    </row>
    <row r="61" spans="2:5" ht="15" customHeight="1">
      <c r="B61" s="87"/>
      <c r="C61" s="45" t="s">
        <v>128</v>
      </c>
      <c r="D61" s="44">
        <v>3</v>
      </c>
      <c r="E61" s="43">
        <v>2.2388059701492539E-3</v>
      </c>
    </row>
    <row r="62" spans="2:5" ht="15" customHeight="1">
      <c r="B62" s="87"/>
      <c r="C62" s="45" t="s">
        <v>127</v>
      </c>
      <c r="D62" s="44">
        <v>2</v>
      </c>
      <c r="E62" s="43">
        <v>1.4925373134328358E-3</v>
      </c>
    </row>
    <row r="63" spans="2:5" ht="15" customHeight="1">
      <c r="B63" s="88"/>
      <c r="C63" s="42" t="s">
        <v>23</v>
      </c>
      <c r="D63" s="41">
        <v>34</v>
      </c>
      <c r="E63" s="40">
        <v>2.5373134328358207E-2</v>
      </c>
    </row>
    <row r="64" spans="2:5" ht="15" customHeight="1">
      <c r="B64" s="86" t="s">
        <v>86</v>
      </c>
      <c r="C64" s="45" t="s">
        <v>129</v>
      </c>
      <c r="D64" s="44">
        <v>4</v>
      </c>
      <c r="E64" s="43">
        <v>2.9850746268656717E-3</v>
      </c>
    </row>
    <row r="65" spans="2:5" ht="15" customHeight="1">
      <c r="B65" s="87"/>
      <c r="C65" s="45" t="s">
        <v>131</v>
      </c>
      <c r="D65" s="44">
        <v>2</v>
      </c>
      <c r="E65" s="43">
        <v>1.4925373134328358E-3</v>
      </c>
    </row>
    <row r="66" spans="2:5" ht="15" customHeight="1">
      <c r="B66" s="87"/>
      <c r="C66" s="45" t="s">
        <v>130</v>
      </c>
      <c r="D66" s="44">
        <v>6</v>
      </c>
      <c r="E66" s="43">
        <v>4.4776119402985077E-3</v>
      </c>
    </row>
    <row r="67" spans="2:5" ht="15" customHeight="1">
      <c r="B67" s="87"/>
      <c r="C67" s="45" t="s">
        <v>128</v>
      </c>
      <c r="D67" s="44">
        <v>1</v>
      </c>
      <c r="E67" s="43">
        <v>7.4626865671641792E-4</v>
      </c>
    </row>
    <row r="68" spans="2:5" ht="15" customHeight="1">
      <c r="B68" s="88"/>
      <c r="C68" s="42" t="s">
        <v>23</v>
      </c>
      <c r="D68" s="41">
        <v>13</v>
      </c>
      <c r="E68" s="40">
        <v>9.7014925373134324E-3</v>
      </c>
    </row>
    <row r="69" spans="2:5" ht="15" customHeight="1">
      <c r="B69" s="86" t="s">
        <v>84</v>
      </c>
      <c r="C69" s="45" t="s">
        <v>129</v>
      </c>
      <c r="D69" s="44">
        <v>1</v>
      </c>
      <c r="E69" s="43">
        <v>7.4626865671641792E-4</v>
      </c>
    </row>
    <row r="70" spans="2:5" ht="15" customHeight="1">
      <c r="B70" s="87"/>
      <c r="C70" s="45" t="s">
        <v>131</v>
      </c>
      <c r="D70" s="44">
        <v>2</v>
      </c>
      <c r="E70" s="43">
        <v>1.4925373134328358E-3</v>
      </c>
    </row>
    <row r="71" spans="2:5" ht="15" customHeight="1">
      <c r="B71" s="88"/>
      <c r="C71" s="42" t="s">
        <v>23</v>
      </c>
      <c r="D71" s="41">
        <v>3</v>
      </c>
      <c r="E71" s="40">
        <v>2.2388059701492539E-3</v>
      </c>
    </row>
    <row r="72" spans="2:5" ht="15" customHeight="1">
      <c r="B72" s="86" t="s">
        <v>97</v>
      </c>
      <c r="C72" s="45" t="s">
        <v>124</v>
      </c>
      <c r="D72" s="44">
        <v>1</v>
      </c>
      <c r="E72" s="43">
        <v>7.4626865671641792E-4</v>
      </c>
    </row>
    <row r="73" spans="2:5" ht="15" customHeight="1">
      <c r="B73" s="87"/>
      <c r="C73" s="45" t="s">
        <v>129</v>
      </c>
      <c r="D73" s="44">
        <v>1</v>
      </c>
      <c r="E73" s="43">
        <v>7.4626865671641792E-4</v>
      </c>
    </row>
    <row r="74" spans="2:5" ht="15" customHeight="1">
      <c r="B74" s="87"/>
      <c r="C74" s="45" t="s">
        <v>131</v>
      </c>
      <c r="D74" s="44">
        <v>3</v>
      </c>
      <c r="E74" s="43">
        <v>2.2388059701492539E-3</v>
      </c>
    </row>
    <row r="75" spans="2:5" ht="15" customHeight="1">
      <c r="B75" s="87"/>
      <c r="C75" s="45" t="s">
        <v>130</v>
      </c>
      <c r="D75" s="44">
        <v>2</v>
      </c>
      <c r="E75" s="43">
        <v>1.4925373134328358E-3</v>
      </c>
    </row>
    <row r="76" spans="2:5" ht="15" customHeight="1">
      <c r="B76" s="88"/>
      <c r="C76" s="42" t="s">
        <v>23</v>
      </c>
      <c r="D76" s="41">
        <v>7</v>
      </c>
      <c r="E76" s="40">
        <v>5.2238805970149255E-3</v>
      </c>
    </row>
    <row r="77" spans="2:5" ht="15" customHeight="1">
      <c r="B77" s="86" t="s">
        <v>113</v>
      </c>
      <c r="C77" s="45" t="s">
        <v>124</v>
      </c>
      <c r="D77" s="44">
        <v>2</v>
      </c>
      <c r="E77" s="43">
        <v>1.4925373134328358E-3</v>
      </c>
    </row>
    <row r="78" spans="2:5" ht="15" customHeight="1">
      <c r="B78" s="87"/>
      <c r="C78" s="45" t="s">
        <v>129</v>
      </c>
      <c r="D78" s="44">
        <v>5</v>
      </c>
      <c r="E78" s="43">
        <v>3.7313432835820895E-3</v>
      </c>
    </row>
    <row r="79" spans="2:5" ht="15" customHeight="1">
      <c r="B79" s="87"/>
      <c r="C79" s="45" t="s">
        <v>126</v>
      </c>
      <c r="D79" s="44">
        <v>1</v>
      </c>
      <c r="E79" s="43">
        <v>7.4626865671641792E-4</v>
      </c>
    </row>
    <row r="80" spans="2:5" ht="15" customHeight="1">
      <c r="B80" s="87"/>
      <c r="C80" s="45" t="s">
        <v>131</v>
      </c>
      <c r="D80" s="44">
        <v>8</v>
      </c>
      <c r="E80" s="43">
        <v>5.9701492537313433E-3</v>
      </c>
    </row>
    <row r="81" spans="2:5" ht="15" customHeight="1">
      <c r="B81" s="87"/>
      <c r="C81" s="45" t="s">
        <v>130</v>
      </c>
      <c r="D81" s="44">
        <v>7</v>
      </c>
      <c r="E81" s="43">
        <v>5.2238805970149255E-3</v>
      </c>
    </row>
    <row r="82" spans="2:5" ht="15" customHeight="1">
      <c r="B82" s="87"/>
      <c r="C82" s="45" t="s">
        <v>128</v>
      </c>
      <c r="D82" s="44">
        <v>1</v>
      </c>
      <c r="E82" s="43">
        <v>7.4626865671641792E-4</v>
      </c>
    </row>
    <row r="83" spans="2:5" ht="15" customHeight="1">
      <c r="B83" s="88"/>
      <c r="C83" s="42" t="s">
        <v>23</v>
      </c>
      <c r="D83" s="41">
        <v>24</v>
      </c>
      <c r="E83" s="40">
        <v>1.7910447761194031E-2</v>
      </c>
    </row>
    <row r="84" spans="2:5" ht="15" customHeight="1">
      <c r="B84" s="86" t="s">
        <v>117</v>
      </c>
      <c r="C84" s="45" t="s">
        <v>129</v>
      </c>
      <c r="D84" s="44">
        <v>12</v>
      </c>
      <c r="E84" s="43">
        <v>8.9552238805970154E-3</v>
      </c>
    </row>
    <row r="85" spans="2:5" ht="15" customHeight="1">
      <c r="B85" s="87"/>
      <c r="C85" s="45" t="s">
        <v>126</v>
      </c>
      <c r="D85" s="44">
        <v>2</v>
      </c>
      <c r="E85" s="43">
        <v>1.4925373134328358E-3</v>
      </c>
    </row>
    <row r="86" spans="2:5" ht="15" customHeight="1">
      <c r="B86" s="87"/>
      <c r="C86" s="45" t="s">
        <v>131</v>
      </c>
      <c r="D86" s="44">
        <v>25</v>
      </c>
      <c r="E86" s="43">
        <v>1.8656716417910446E-2</v>
      </c>
    </row>
    <row r="87" spans="2:5" ht="15" customHeight="1">
      <c r="B87" s="87"/>
      <c r="C87" s="45" t="s">
        <v>130</v>
      </c>
      <c r="D87" s="44">
        <v>27</v>
      </c>
      <c r="E87" s="43">
        <v>2.0149253731343283E-2</v>
      </c>
    </row>
    <row r="88" spans="2:5" ht="15" customHeight="1">
      <c r="B88" s="87"/>
      <c r="C88" s="45" t="s">
        <v>128</v>
      </c>
      <c r="D88" s="44">
        <v>5</v>
      </c>
      <c r="E88" s="43">
        <v>3.7313432835820895E-3</v>
      </c>
    </row>
    <row r="89" spans="2:5" ht="15" customHeight="1">
      <c r="B89" s="87"/>
      <c r="C89" s="45" t="s">
        <v>125</v>
      </c>
      <c r="D89" s="44">
        <v>1</v>
      </c>
      <c r="E89" s="43">
        <v>7.4626865671641792E-4</v>
      </c>
    </row>
    <row r="90" spans="2:5" ht="15" customHeight="1">
      <c r="B90" s="87"/>
      <c r="C90" s="45" t="s">
        <v>127</v>
      </c>
      <c r="D90" s="44">
        <v>4</v>
      </c>
      <c r="E90" s="43">
        <v>2.9850746268656717E-3</v>
      </c>
    </row>
    <row r="91" spans="2:5" ht="15" customHeight="1">
      <c r="B91" s="88"/>
      <c r="C91" s="42" t="s">
        <v>23</v>
      </c>
      <c r="D91" s="41">
        <v>76</v>
      </c>
      <c r="E91" s="40">
        <v>5.6716417910447764E-2</v>
      </c>
    </row>
    <row r="92" spans="2:5" ht="15" customHeight="1">
      <c r="B92" s="86" t="s">
        <v>101</v>
      </c>
      <c r="C92" s="45" t="s">
        <v>129</v>
      </c>
      <c r="D92" s="44">
        <v>3</v>
      </c>
      <c r="E92" s="43">
        <v>2.2388059701492539E-3</v>
      </c>
    </row>
    <row r="93" spans="2:5" ht="15" customHeight="1">
      <c r="B93" s="87"/>
      <c r="C93" s="45" t="s">
        <v>126</v>
      </c>
      <c r="D93" s="44">
        <v>1</v>
      </c>
      <c r="E93" s="43">
        <v>7.4626865671641792E-4</v>
      </c>
    </row>
    <row r="94" spans="2:5" ht="15" customHeight="1">
      <c r="B94" s="87"/>
      <c r="C94" s="45" t="s">
        <v>131</v>
      </c>
      <c r="D94" s="44">
        <v>13</v>
      </c>
      <c r="E94" s="43">
        <v>9.7014925373134324E-3</v>
      </c>
    </row>
    <row r="95" spans="2:5" ht="15" customHeight="1">
      <c r="B95" s="87"/>
      <c r="C95" s="45" t="s">
        <v>130</v>
      </c>
      <c r="D95" s="44">
        <v>8</v>
      </c>
      <c r="E95" s="43">
        <v>5.9701492537313433E-3</v>
      </c>
    </row>
    <row r="96" spans="2:5" ht="15" customHeight="1">
      <c r="B96" s="87"/>
      <c r="C96" s="45" t="s">
        <v>128</v>
      </c>
      <c r="D96" s="44">
        <v>3</v>
      </c>
      <c r="E96" s="43">
        <v>2.2388059701492539E-3</v>
      </c>
    </row>
    <row r="97" spans="2:5" ht="15" customHeight="1">
      <c r="B97" s="88"/>
      <c r="C97" s="42" t="s">
        <v>23</v>
      </c>
      <c r="D97" s="41">
        <v>28</v>
      </c>
      <c r="E97" s="40">
        <v>2.0895522388059702E-2</v>
      </c>
    </row>
    <row r="98" spans="2:5" ht="15" customHeight="1">
      <c r="B98" s="86" t="s">
        <v>96</v>
      </c>
      <c r="C98" s="45" t="s">
        <v>129</v>
      </c>
      <c r="D98" s="44">
        <v>12</v>
      </c>
      <c r="E98" s="43">
        <v>8.9552238805970154E-3</v>
      </c>
    </row>
    <row r="99" spans="2:5" ht="15" customHeight="1">
      <c r="B99" s="87"/>
      <c r="C99" s="45" t="s">
        <v>131</v>
      </c>
      <c r="D99" s="44">
        <v>12</v>
      </c>
      <c r="E99" s="43">
        <v>8.9552238805970154E-3</v>
      </c>
    </row>
    <row r="100" spans="2:5" ht="15" customHeight="1">
      <c r="B100" s="87"/>
      <c r="C100" s="45" t="s">
        <v>130</v>
      </c>
      <c r="D100" s="44">
        <v>4</v>
      </c>
      <c r="E100" s="43">
        <v>2.9850746268656717E-3</v>
      </c>
    </row>
    <row r="101" spans="2:5" ht="15" customHeight="1">
      <c r="B101" s="87"/>
      <c r="C101" s="45" t="s">
        <v>128</v>
      </c>
      <c r="D101" s="44">
        <v>10</v>
      </c>
      <c r="E101" s="43">
        <v>7.462686567164179E-3</v>
      </c>
    </row>
    <row r="102" spans="2:5" ht="15" customHeight="1">
      <c r="B102" s="87"/>
      <c r="C102" s="45" t="s">
        <v>127</v>
      </c>
      <c r="D102" s="44">
        <v>1</v>
      </c>
      <c r="E102" s="43">
        <v>7.4626865671641792E-4</v>
      </c>
    </row>
    <row r="103" spans="2:5" ht="15" customHeight="1">
      <c r="B103" s="88"/>
      <c r="C103" s="42" t="s">
        <v>23</v>
      </c>
      <c r="D103" s="41">
        <v>39</v>
      </c>
      <c r="E103" s="40">
        <v>2.9104477611940297E-2</v>
      </c>
    </row>
    <row r="104" spans="2:5" ht="15" customHeight="1">
      <c r="B104" s="86" t="s">
        <v>80</v>
      </c>
      <c r="C104" s="45" t="s">
        <v>129</v>
      </c>
      <c r="D104" s="44">
        <v>2</v>
      </c>
      <c r="E104" s="43">
        <v>1.4925373134328358E-3</v>
      </c>
    </row>
    <row r="105" spans="2:5" ht="15" customHeight="1">
      <c r="B105" s="87"/>
      <c r="C105" s="45" t="s">
        <v>126</v>
      </c>
      <c r="D105" s="44">
        <v>3</v>
      </c>
      <c r="E105" s="43">
        <v>2.2388059701492539E-3</v>
      </c>
    </row>
    <row r="106" spans="2:5" ht="15" customHeight="1">
      <c r="B106" s="87"/>
      <c r="C106" s="45" t="s">
        <v>131</v>
      </c>
      <c r="D106" s="44">
        <v>2</v>
      </c>
      <c r="E106" s="43">
        <v>1.4925373134328358E-3</v>
      </c>
    </row>
    <row r="107" spans="2:5" ht="15" customHeight="1">
      <c r="B107" s="88"/>
      <c r="C107" s="42" t="s">
        <v>23</v>
      </c>
      <c r="D107" s="41">
        <v>7</v>
      </c>
      <c r="E107" s="40">
        <v>5.2238805970149255E-3</v>
      </c>
    </row>
    <row r="108" spans="2:5" ht="15" customHeight="1">
      <c r="B108" s="86" t="s">
        <v>103</v>
      </c>
      <c r="C108" s="45" t="s">
        <v>129</v>
      </c>
      <c r="D108" s="44">
        <v>15</v>
      </c>
      <c r="E108" s="43">
        <v>1.1194029850746268E-2</v>
      </c>
    </row>
    <row r="109" spans="2:5" ht="15" customHeight="1">
      <c r="B109" s="87"/>
      <c r="C109" s="45" t="s">
        <v>131</v>
      </c>
      <c r="D109" s="44">
        <v>2</v>
      </c>
      <c r="E109" s="43">
        <v>1.4925373134328358E-3</v>
      </c>
    </row>
    <row r="110" spans="2:5" ht="15" customHeight="1">
      <c r="B110" s="87"/>
      <c r="C110" s="45" t="s">
        <v>130</v>
      </c>
      <c r="D110" s="44">
        <v>4</v>
      </c>
      <c r="E110" s="43">
        <v>2.9850746268656717E-3</v>
      </c>
    </row>
    <row r="111" spans="2:5" ht="15" customHeight="1">
      <c r="B111" s="87"/>
      <c r="C111" s="45" t="s">
        <v>128</v>
      </c>
      <c r="D111" s="44">
        <v>1</v>
      </c>
      <c r="E111" s="43">
        <v>7.4626865671641792E-4</v>
      </c>
    </row>
    <row r="112" spans="2:5" ht="15" customHeight="1">
      <c r="B112" s="88"/>
      <c r="C112" s="42" t="s">
        <v>23</v>
      </c>
      <c r="D112" s="41">
        <v>22</v>
      </c>
      <c r="E112" s="40">
        <v>1.6417910447761194E-2</v>
      </c>
    </row>
    <row r="113" spans="2:5" ht="15" customHeight="1">
      <c r="B113" s="86" t="s">
        <v>107</v>
      </c>
      <c r="C113" s="45" t="s">
        <v>129</v>
      </c>
      <c r="D113" s="44">
        <v>8</v>
      </c>
      <c r="E113" s="43">
        <v>5.9701492537313433E-3</v>
      </c>
    </row>
    <row r="114" spans="2:5" ht="15" customHeight="1">
      <c r="B114" s="87"/>
      <c r="C114" s="45" t="s">
        <v>126</v>
      </c>
      <c r="D114" s="44">
        <v>1</v>
      </c>
      <c r="E114" s="43">
        <v>7.4626865671641792E-4</v>
      </c>
    </row>
    <row r="115" spans="2:5" ht="15" customHeight="1">
      <c r="B115" s="87"/>
      <c r="C115" s="45" t="s">
        <v>131</v>
      </c>
      <c r="D115" s="44">
        <v>25</v>
      </c>
      <c r="E115" s="43">
        <v>1.8656716417910446E-2</v>
      </c>
    </row>
    <row r="116" spans="2:5" ht="15" customHeight="1">
      <c r="B116" s="87"/>
      <c r="C116" s="45" t="s">
        <v>130</v>
      </c>
      <c r="D116" s="44">
        <v>13</v>
      </c>
      <c r="E116" s="43">
        <v>9.7014925373134324E-3</v>
      </c>
    </row>
    <row r="117" spans="2:5" ht="15" customHeight="1">
      <c r="B117" s="87"/>
      <c r="C117" s="45" t="s">
        <v>128</v>
      </c>
      <c r="D117" s="44">
        <v>7</v>
      </c>
      <c r="E117" s="43">
        <v>5.2238805970149255E-3</v>
      </c>
    </row>
    <row r="118" spans="2:5" ht="15" customHeight="1">
      <c r="B118" s="87"/>
      <c r="C118" s="45" t="s">
        <v>127</v>
      </c>
      <c r="D118" s="44">
        <v>1</v>
      </c>
      <c r="E118" s="43">
        <v>7.4626865671641792E-4</v>
      </c>
    </row>
    <row r="119" spans="2:5" ht="15" customHeight="1">
      <c r="B119" s="87"/>
      <c r="C119" s="45" t="s">
        <v>123</v>
      </c>
      <c r="D119" s="44">
        <v>1</v>
      </c>
      <c r="E119" s="43">
        <v>7.4626865671641792E-4</v>
      </c>
    </row>
    <row r="120" spans="2:5" ht="15" customHeight="1">
      <c r="B120" s="88"/>
      <c r="C120" s="42" t="s">
        <v>23</v>
      </c>
      <c r="D120" s="41">
        <v>56</v>
      </c>
      <c r="E120" s="40">
        <v>4.1791044776119404E-2</v>
      </c>
    </row>
    <row r="121" spans="2:5" ht="15" customHeight="1">
      <c r="B121" s="86" t="s">
        <v>119</v>
      </c>
      <c r="C121" s="45" t="s">
        <v>129</v>
      </c>
      <c r="D121" s="44">
        <v>22</v>
      </c>
      <c r="E121" s="43">
        <v>1.6417910447761194E-2</v>
      </c>
    </row>
    <row r="122" spans="2:5" ht="15" customHeight="1">
      <c r="B122" s="87"/>
      <c r="C122" s="45" t="s">
        <v>126</v>
      </c>
      <c r="D122" s="44">
        <v>1</v>
      </c>
      <c r="E122" s="43">
        <v>7.4626865671641792E-4</v>
      </c>
    </row>
    <row r="123" spans="2:5" ht="15" customHeight="1">
      <c r="B123" s="87"/>
      <c r="C123" s="45" t="s">
        <v>131</v>
      </c>
      <c r="D123" s="44">
        <v>15</v>
      </c>
      <c r="E123" s="43">
        <v>1.1194029850746268E-2</v>
      </c>
    </row>
    <row r="124" spans="2:5" ht="15" customHeight="1">
      <c r="B124" s="87"/>
      <c r="C124" s="45" t="s">
        <v>130</v>
      </c>
      <c r="D124" s="44">
        <v>13</v>
      </c>
      <c r="E124" s="43">
        <v>9.7014925373134324E-3</v>
      </c>
    </row>
    <row r="125" spans="2:5" ht="15" customHeight="1">
      <c r="B125" s="87"/>
      <c r="C125" s="45" t="s">
        <v>128</v>
      </c>
      <c r="D125" s="44">
        <v>3</v>
      </c>
      <c r="E125" s="43">
        <v>2.2388059701492539E-3</v>
      </c>
    </row>
    <row r="126" spans="2:5" ht="15" customHeight="1">
      <c r="B126" s="87"/>
      <c r="C126" s="45" t="s">
        <v>125</v>
      </c>
      <c r="D126" s="44">
        <v>2</v>
      </c>
      <c r="E126" s="43">
        <v>1.4925373134328358E-3</v>
      </c>
    </row>
    <row r="127" spans="2:5" ht="15" customHeight="1">
      <c r="B127" s="87"/>
      <c r="C127" s="45" t="s">
        <v>127</v>
      </c>
      <c r="D127" s="44">
        <v>4</v>
      </c>
      <c r="E127" s="43">
        <v>2.9850746268656717E-3</v>
      </c>
    </row>
    <row r="128" spans="2:5" ht="15" customHeight="1">
      <c r="B128" s="88"/>
      <c r="C128" s="42" t="s">
        <v>23</v>
      </c>
      <c r="D128" s="41">
        <v>60</v>
      </c>
      <c r="E128" s="40">
        <v>4.4776119402985072E-2</v>
      </c>
    </row>
    <row r="129" spans="2:5" ht="15" customHeight="1">
      <c r="B129" s="86" t="s">
        <v>98</v>
      </c>
      <c r="C129" s="45" t="s">
        <v>129</v>
      </c>
      <c r="D129" s="44">
        <v>2</v>
      </c>
      <c r="E129" s="43">
        <v>1.4925373134328358E-3</v>
      </c>
    </row>
    <row r="130" spans="2:5" ht="15" customHeight="1">
      <c r="B130" s="87"/>
      <c r="C130" s="45" t="s">
        <v>126</v>
      </c>
      <c r="D130" s="44">
        <v>2</v>
      </c>
      <c r="E130" s="43">
        <v>1.4925373134328358E-3</v>
      </c>
    </row>
    <row r="131" spans="2:5" ht="15" customHeight="1">
      <c r="B131" s="87"/>
      <c r="C131" s="45" t="s">
        <v>131</v>
      </c>
      <c r="D131" s="44">
        <v>6</v>
      </c>
      <c r="E131" s="43">
        <v>4.4776119402985077E-3</v>
      </c>
    </row>
    <row r="132" spans="2:5" ht="15" customHeight="1">
      <c r="B132" s="87"/>
      <c r="C132" s="45" t="s">
        <v>130</v>
      </c>
      <c r="D132" s="44">
        <v>4</v>
      </c>
      <c r="E132" s="43">
        <v>2.9850746268656717E-3</v>
      </c>
    </row>
    <row r="133" spans="2:5" ht="15" customHeight="1">
      <c r="B133" s="87"/>
      <c r="C133" s="45" t="s">
        <v>128</v>
      </c>
      <c r="D133" s="44">
        <v>1</v>
      </c>
      <c r="E133" s="43">
        <v>7.4626865671641792E-4</v>
      </c>
    </row>
    <row r="134" spans="2:5" ht="15" customHeight="1">
      <c r="B134" s="87"/>
      <c r="C134" s="45" t="s">
        <v>127</v>
      </c>
      <c r="D134" s="44">
        <v>1</v>
      </c>
      <c r="E134" s="43">
        <v>7.4626865671641792E-4</v>
      </c>
    </row>
    <row r="135" spans="2:5" ht="15" customHeight="1">
      <c r="B135" s="88"/>
      <c r="C135" s="42" t="s">
        <v>23</v>
      </c>
      <c r="D135" s="41">
        <v>16</v>
      </c>
      <c r="E135" s="40">
        <v>1.1940298507462687E-2</v>
      </c>
    </row>
    <row r="136" spans="2:5" ht="15" customHeight="1">
      <c r="B136" s="86" t="s">
        <v>93</v>
      </c>
      <c r="C136" s="45" t="s">
        <v>129</v>
      </c>
      <c r="D136" s="44">
        <v>10</v>
      </c>
      <c r="E136" s="43">
        <v>7.462686567164179E-3</v>
      </c>
    </row>
    <row r="137" spans="2:5" ht="15" customHeight="1">
      <c r="B137" s="87"/>
      <c r="C137" s="45" t="s">
        <v>131</v>
      </c>
      <c r="D137" s="44">
        <v>8</v>
      </c>
      <c r="E137" s="43">
        <v>5.9701492537313433E-3</v>
      </c>
    </row>
    <row r="138" spans="2:5" ht="15" customHeight="1">
      <c r="B138" s="87"/>
      <c r="C138" s="45" t="s">
        <v>130</v>
      </c>
      <c r="D138" s="44">
        <v>8</v>
      </c>
      <c r="E138" s="43">
        <v>5.9701492537313433E-3</v>
      </c>
    </row>
    <row r="139" spans="2:5" ht="15" customHeight="1">
      <c r="B139" s="87"/>
      <c r="C139" s="45" t="s">
        <v>128</v>
      </c>
      <c r="D139" s="44">
        <v>1</v>
      </c>
      <c r="E139" s="43">
        <v>7.4626865671641792E-4</v>
      </c>
    </row>
    <row r="140" spans="2:5" ht="15" customHeight="1">
      <c r="B140" s="88"/>
      <c r="C140" s="42" t="s">
        <v>23</v>
      </c>
      <c r="D140" s="41">
        <v>27</v>
      </c>
      <c r="E140" s="40">
        <v>2.0149253731343283E-2</v>
      </c>
    </row>
    <row r="141" spans="2:5" ht="15" customHeight="1">
      <c r="B141" s="86" t="s">
        <v>92</v>
      </c>
      <c r="C141" s="45" t="s">
        <v>129</v>
      </c>
      <c r="D141" s="44">
        <v>5</v>
      </c>
      <c r="E141" s="43">
        <v>3.7313432835820895E-3</v>
      </c>
    </row>
    <row r="142" spans="2:5" ht="15" customHeight="1">
      <c r="B142" s="87"/>
      <c r="C142" s="45" t="s">
        <v>131</v>
      </c>
      <c r="D142" s="44">
        <v>3</v>
      </c>
      <c r="E142" s="43">
        <v>2.2388059701492539E-3</v>
      </c>
    </row>
    <row r="143" spans="2:5" ht="15" customHeight="1">
      <c r="B143" s="87"/>
      <c r="C143" s="45" t="s">
        <v>130</v>
      </c>
      <c r="D143" s="44">
        <v>2</v>
      </c>
      <c r="E143" s="43">
        <v>1.4925373134328358E-3</v>
      </c>
    </row>
    <row r="144" spans="2:5" ht="15" customHeight="1">
      <c r="B144" s="87"/>
      <c r="C144" s="45" t="s">
        <v>128</v>
      </c>
      <c r="D144" s="44">
        <v>2</v>
      </c>
      <c r="E144" s="43">
        <v>1.4925373134328358E-3</v>
      </c>
    </row>
    <row r="145" spans="2:5" ht="15" customHeight="1">
      <c r="B145" s="88"/>
      <c r="C145" s="42" t="s">
        <v>23</v>
      </c>
      <c r="D145" s="41">
        <v>12</v>
      </c>
      <c r="E145" s="40">
        <v>8.9552238805970154E-3</v>
      </c>
    </row>
    <row r="146" spans="2:5" ht="15" customHeight="1">
      <c r="B146" s="86" t="s">
        <v>85</v>
      </c>
      <c r="C146" s="45" t="s">
        <v>124</v>
      </c>
      <c r="D146" s="44">
        <v>2</v>
      </c>
      <c r="E146" s="43">
        <v>1.4925373134328358E-3</v>
      </c>
    </row>
    <row r="147" spans="2:5" ht="15" customHeight="1">
      <c r="B147" s="87"/>
      <c r="C147" s="45" t="s">
        <v>129</v>
      </c>
      <c r="D147" s="44">
        <v>8</v>
      </c>
      <c r="E147" s="43">
        <v>5.9701492537313433E-3</v>
      </c>
    </row>
    <row r="148" spans="2:5" ht="15" customHeight="1">
      <c r="B148" s="87"/>
      <c r="C148" s="45" t="s">
        <v>126</v>
      </c>
      <c r="D148" s="44">
        <v>2</v>
      </c>
      <c r="E148" s="43">
        <v>1.4925373134328358E-3</v>
      </c>
    </row>
    <row r="149" spans="2:5" ht="15" customHeight="1">
      <c r="B149" s="87"/>
      <c r="C149" s="45" t="s">
        <v>131</v>
      </c>
      <c r="D149" s="44">
        <v>10</v>
      </c>
      <c r="E149" s="43">
        <v>7.462686567164179E-3</v>
      </c>
    </row>
    <row r="150" spans="2:5" ht="15" customHeight="1">
      <c r="B150" s="87"/>
      <c r="C150" s="45" t="s">
        <v>130</v>
      </c>
      <c r="D150" s="44">
        <v>5</v>
      </c>
      <c r="E150" s="43">
        <v>3.7313432835820895E-3</v>
      </c>
    </row>
    <row r="151" spans="2:5" ht="15" customHeight="1">
      <c r="B151" s="87"/>
      <c r="C151" s="45" t="s">
        <v>128</v>
      </c>
      <c r="D151" s="44">
        <v>1</v>
      </c>
      <c r="E151" s="43">
        <v>7.4626865671641792E-4</v>
      </c>
    </row>
    <row r="152" spans="2:5" ht="15" customHeight="1">
      <c r="B152" s="87"/>
      <c r="C152" s="45" t="s">
        <v>127</v>
      </c>
      <c r="D152" s="44">
        <v>2</v>
      </c>
      <c r="E152" s="43">
        <v>1.4925373134328358E-3</v>
      </c>
    </row>
    <row r="153" spans="2:5" ht="15" customHeight="1">
      <c r="B153" s="87"/>
      <c r="C153" s="45" t="s">
        <v>123</v>
      </c>
      <c r="D153" s="44">
        <v>1</v>
      </c>
      <c r="E153" s="43">
        <v>7.4626865671641792E-4</v>
      </c>
    </row>
    <row r="154" spans="2:5" ht="15" customHeight="1">
      <c r="B154" s="88"/>
      <c r="C154" s="42" t="s">
        <v>23</v>
      </c>
      <c r="D154" s="41">
        <v>31</v>
      </c>
      <c r="E154" s="40">
        <v>2.3134328358208955E-2</v>
      </c>
    </row>
    <row r="155" spans="2:5" ht="15" customHeight="1">
      <c r="B155" s="86" t="s">
        <v>114</v>
      </c>
      <c r="C155" s="45" t="s">
        <v>129</v>
      </c>
      <c r="D155" s="44">
        <v>3</v>
      </c>
      <c r="E155" s="43">
        <v>2.2388059701492539E-3</v>
      </c>
    </row>
    <row r="156" spans="2:5" ht="15" customHeight="1">
      <c r="B156" s="87"/>
      <c r="C156" s="45" t="s">
        <v>131</v>
      </c>
      <c r="D156" s="44">
        <v>5</v>
      </c>
      <c r="E156" s="43">
        <v>3.7313432835820895E-3</v>
      </c>
    </row>
    <row r="157" spans="2:5" ht="15" customHeight="1">
      <c r="B157" s="87"/>
      <c r="C157" s="45" t="s">
        <v>130</v>
      </c>
      <c r="D157" s="44">
        <v>8</v>
      </c>
      <c r="E157" s="43">
        <v>5.9701492537313433E-3</v>
      </c>
    </row>
    <row r="158" spans="2:5" ht="15" customHeight="1">
      <c r="B158" s="87"/>
      <c r="C158" s="45" t="s">
        <v>125</v>
      </c>
      <c r="D158" s="44">
        <v>2</v>
      </c>
      <c r="E158" s="43">
        <v>1.4925373134328358E-3</v>
      </c>
    </row>
    <row r="159" spans="2:5" ht="15" customHeight="1">
      <c r="B159" s="87"/>
      <c r="C159" s="45" t="s">
        <v>127</v>
      </c>
      <c r="D159" s="44">
        <v>1</v>
      </c>
      <c r="E159" s="43">
        <v>7.4626865671641792E-4</v>
      </c>
    </row>
    <row r="160" spans="2:5" ht="15" customHeight="1">
      <c r="B160" s="88"/>
      <c r="C160" s="42" t="s">
        <v>23</v>
      </c>
      <c r="D160" s="41">
        <v>19</v>
      </c>
      <c r="E160" s="40">
        <v>1.4179104477611941E-2</v>
      </c>
    </row>
    <row r="161" spans="2:5" ht="15" customHeight="1">
      <c r="B161" s="86" t="s">
        <v>87</v>
      </c>
      <c r="C161" s="45" t="s">
        <v>124</v>
      </c>
      <c r="D161" s="44">
        <v>1</v>
      </c>
      <c r="E161" s="43">
        <v>7.4626865671641792E-4</v>
      </c>
    </row>
    <row r="162" spans="2:5" ht="15" customHeight="1">
      <c r="B162" s="87"/>
      <c r="C162" s="45" t="s">
        <v>129</v>
      </c>
      <c r="D162" s="44">
        <v>14</v>
      </c>
      <c r="E162" s="43">
        <v>1.0447761194029851E-2</v>
      </c>
    </row>
    <row r="163" spans="2:5" ht="15" customHeight="1">
      <c r="B163" s="87"/>
      <c r="C163" s="45" t="s">
        <v>131</v>
      </c>
      <c r="D163" s="44">
        <v>33</v>
      </c>
      <c r="E163" s="43">
        <v>2.4626865671641792E-2</v>
      </c>
    </row>
    <row r="164" spans="2:5" ht="15" customHeight="1">
      <c r="B164" s="87"/>
      <c r="C164" s="45" t="s">
        <v>130</v>
      </c>
      <c r="D164" s="44">
        <v>8</v>
      </c>
      <c r="E164" s="43">
        <v>5.9701492537313433E-3</v>
      </c>
    </row>
    <row r="165" spans="2:5" ht="15" customHeight="1">
      <c r="B165" s="87"/>
      <c r="C165" s="45" t="s">
        <v>128</v>
      </c>
      <c r="D165" s="44">
        <v>41</v>
      </c>
      <c r="E165" s="43">
        <v>3.0597014925373135E-2</v>
      </c>
    </row>
    <row r="166" spans="2:5" ht="15" customHeight="1">
      <c r="B166" s="88"/>
      <c r="C166" s="42" t="s">
        <v>23</v>
      </c>
      <c r="D166" s="41">
        <v>97</v>
      </c>
      <c r="E166" s="40">
        <v>7.2388059701492535E-2</v>
      </c>
    </row>
    <row r="167" spans="2:5" ht="15" customHeight="1">
      <c r="B167" s="86" t="s">
        <v>106</v>
      </c>
      <c r="C167" s="45" t="s">
        <v>124</v>
      </c>
      <c r="D167" s="44">
        <v>2</v>
      </c>
      <c r="E167" s="43">
        <v>1.4925373134328358E-3</v>
      </c>
    </row>
    <row r="168" spans="2:5" ht="15" customHeight="1">
      <c r="B168" s="87"/>
      <c r="C168" s="45" t="s">
        <v>129</v>
      </c>
      <c r="D168" s="44">
        <v>6</v>
      </c>
      <c r="E168" s="43">
        <v>4.4776119402985077E-3</v>
      </c>
    </row>
    <row r="169" spans="2:5" ht="15" customHeight="1">
      <c r="B169" s="87"/>
      <c r="C169" s="45" t="s">
        <v>126</v>
      </c>
      <c r="D169" s="44">
        <v>3</v>
      </c>
      <c r="E169" s="43">
        <v>2.2388059701492539E-3</v>
      </c>
    </row>
    <row r="170" spans="2:5" ht="15" customHeight="1">
      <c r="B170" s="87"/>
      <c r="C170" s="45" t="s">
        <v>131</v>
      </c>
      <c r="D170" s="44">
        <v>34</v>
      </c>
      <c r="E170" s="43">
        <v>2.5373134328358207E-2</v>
      </c>
    </row>
    <row r="171" spans="2:5" ht="15" customHeight="1">
      <c r="B171" s="87"/>
      <c r="C171" s="45" t="s">
        <v>130</v>
      </c>
      <c r="D171" s="44">
        <v>14</v>
      </c>
      <c r="E171" s="43">
        <v>1.0447761194029851E-2</v>
      </c>
    </row>
    <row r="172" spans="2:5" ht="15" customHeight="1">
      <c r="B172" s="87"/>
      <c r="C172" s="45" t="s">
        <v>128</v>
      </c>
      <c r="D172" s="44">
        <v>14</v>
      </c>
      <c r="E172" s="43">
        <v>1.0447761194029851E-2</v>
      </c>
    </row>
    <row r="173" spans="2:5" ht="15" customHeight="1">
      <c r="B173" s="87"/>
      <c r="C173" s="45" t="s">
        <v>125</v>
      </c>
      <c r="D173" s="44">
        <v>1</v>
      </c>
      <c r="E173" s="43">
        <v>7.4626865671641792E-4</v>
      </c>
    </row>
    <row r="174" spans="2:5" ht="15" customHeight="1">
      <c r="B174" s="87"/>
      <c r="C174" s="45" t="s">
        <v>127</v>
      </c>
      <c r="D174" s="44">
        <v>1</v>
      </c>
      <c r="E174" s="43">
        <v>7.4626865671641792E-4</v>
      </c>
    </row>
    <row r="175" spans="2:5" ht="15" customHeight="1">
      <c r="B175" s="88"/>
      <c r="C175" s="42" t="s">
        <v>23</v>
      </c>
      <c r="D175" s="41">
        <v>75</v>
      </c>
      <c r="E175" s="40">
        <v>5.5970149253731345E-2</v>
      </c>
    </row>
    <row r="176" spans="2:5" ht="15" customHeight="1">
      <c r="B176" s="86" t="s">
        <v>102</v>
      </c>
      <c r="C176" s="45" t="s">
        <v>124</v>
      </c>
      <c r="D176" s="44">
        <v>1</v>
      </c>
      <c r="E176" s="43">
        <v>7.4626865671641792E-4</v>
      </c>
    </row>
    <row r="177" spans="2:5" ht="15" customHeight="1">
      <c r="B177" s="87"/>
      <c r="C177" s="45" t="s">
        <v>129</v>
      </c>
      <c r="D177" s="44">
        <v>2</v>
      </c>
      <c r="E177" s="43">
        <v>1.4925373134328358E-3</v>
      </c>
    </row>
    <row r="178" spans="2:5" ht="15" customHeight="1">
      <c r="B178" s="87"/>
      <c r="C178" s="45" t="s">
        <v>126</v>
      </c>
      <c r="D178" s="44">
        <v>3</v>
      </c>
      <c r="E178" s="43">
        <v>2.2388059701492539E-3</v>
      </c>
    </row>
    <row r="179" spans="2:5" ht="15" customHeight="1">
      <c r="B179" s="87"/>
      <c r="C179" s="45" t="s">
        <v>131</v>
      </c>
      <c r="D179" s="44">
        <v>9</v>
      </c>
      <c r="E179" s="43">
        <v>6.7164179104477612E-3</v>
      </c>
    </row>
    <row r="180" spans="2:5" ht="15" customHeight="1">
      <c r="B180" s="87"/>
      <c r="C180" s="45" t="s">
        <v>130</v>
      </c>
      <c r="D180" s="44">
        <v>2</v>
      </c>
      <c r="E180" s="43">
        <v>1.4925373134328358E-3</v>
      </c>
    </row>
    <row r="181" spans="2:5" ht="15" customHeight="1">
      <c r="B181" s="87"/>
      <c r="C181" s="45" t="s">
        <v>128</v>
      </c>
      <c r="D181" s="44">
        <v>1</v>
      </c>
      <c r="E181" s="43">
        <v>7.4626865671641792E-4</v>
      </c>
    </row>
    <row r="182" spans="2:5" ht="15" customHeight="1">
      <c r="B182" s="87"/>
      <c r="C182" s="45" t="s">
        <v>127</v>
      </c>
      <c r="D182" s="44">
        <v>2</v>
      </c>
      <c r="E182" s="43">
        <v>1.4925373134328358E-3</v>
      </c>
    </row>
    <row r="183" spans="2:5" ht="15" customHeight="1">
      <c r="B183" s="88"/>
      <c r="C183" s="42" t="s">
        <v>23</v>
      </c>
      <c r="D183" s="41">
        <v>20</v>
      </c>
      <c r="E183" s="40">
        <v>1.4925373134328358E-2</v>
      </c>
    </row>
    <row r="184" spans="2:5" ht="15" customHeight="1">
      <c r="B184" s="86" t="s">
        <v>90</v>
      </c>
      <c r="C184" s="45" t="s">
        <v>131</v>
      </c>
      <c r="D184" s="44">
        <v>5</v>
      </c>
      <c r="E184" s="43">
        <v>3.7313432835820895E-3</v>
      </c>
    </row>
    <row r="185" spans="2:5" ht="15" customHeight="1">
      <c r="B185" s="87"/>
      <c r="C185" s="45" t="s">
        <v>130</v>
      </c>
      <c r="D185" s="44">
        <v>1</v>
      </c>
      <c r="E185" s="43">
        <v>7.4626865671641792E-4</v>
      </c>
    </row>
    <row r="186" spans="2:5" ht="15" customHeight="1">
      <c r="B186" s="88"/>
      <c r="C186" s="42" t="s">
        <v>23</v>
      </c>
      <c r="D186" s="41">
        <v>6</v>
      </c>
      <c r="E186" s="40">
        <v>4.4776119402985077E-3</v>
      </c>
    </row>
    <row r="187" spans="2:5" ht="15" customHeight="1">
      <c r="B187" s="86" t="s">
        <v>94</v>
      </c>
      <c r="C187" s="45" t="s">
        <v>124</v>
      </c>
      <c r="D187" s="44">
        <v>1</v>
      </c>
      <c r="E187" s="43">
        <v>7.4626865671641792E-4</v>
      </c>
    </row>
    <row r="188" spans="2:5" ht="15" customHeight="1">
      <c r="B188" s="87"/>
      <c r="C188" s="45" t="s">
        <v>131</v>
      </c>
      <c r="D188" s="44">
        <v>2</v>
      </c>
      <c r="E188" s="43">
        <v>1.4925373134328358E-3</v>
      </c>
    </row>
    <row r="189" spans="2:5" ht="15" customHeight="1">
      <c r="B189" s="87"/>
      <c r="C189" s="45" t="s">
        <v>130</v>
      </c>
      <c r="D189" s="44">
        <v>2</v>
      </c>
      <c r="E189" s="43">
        <v>1.4925373134328358E-3</v>
      </c>
    </row>
    <row r="190" spans="2:5" ht="15" customHeight="1">
      <c r="B190" s="87"/>
      <c r="C190" s="45" t="s">
        <v>128</v>
      </c>
      <c r="D190" s="44">
        <v>4</v>
      </c>
      <c r="E190" s="43">
        <v>2.9850746268656717E-3</v>
      </c>
    </row>
    <row r="191" spans="2:5" ht="15" customHeight="1">
      <c r="B191" s="87"/>
      <c r="C191" s="45" t="s">
        <v>125</v>
      </c>
      <c r="D191" s="44">
        <v>4</v>
      </c>
      <c r="E191" s="43">
        <v>2.9850746268656717E-3</v>
      </c>
    </row>
    <row r="192" spans="2:5" ht="15" customHeight="1">
      <c r="B192" s="88"/>
      <c r="C192" s="42" t="s">
        <v>23</v>
      </c>
      <c r="D192" s="41">
        <v>13</v>
      </c>
      <c r="E192" s="40">
        <v>9.7014925373134324E-3</v>
      </c>
    </row>
    <row r="193" spans="2:5" ht="15" customHeight="1">
      <c r="B193" s="86" t="s">
        <v>78</v>
      </c>
      <c r="C193" s="45" t="s">
        <v>129</v>
      </c>
      <c r="D193" s="44">
        <v>1</v>
      </c>
      <c r="E193" s="43">
        <v>7.4626865671641792E-4</v>
      </c>
    </row>
    <row r="194" spans="2:5" ht="15" customHeight="1">
      <c r="B194" s="88"/>
      <c r="C194" s="42" t="s">
        <v>23</v>
      </c>
      <c r="D194" s="41">
        <v>1</v>
      </c>
      <c r="E194" s="40">
        <v>7.4626865671641792E-4</v>
      </c>
    </row>
    <row r="195" spans="2:5" ht="15" customHeight="1">
      <c r="B195" s="86" t="s">
        <v>112</v>
      </c>
      <c r="C195" s="45" t="s">
        <v>129</v>
      </c>
      <c r="D195" s="44">
        <v>8</v>
      </c>
      <c r="E195" s="43">
        <v>5.9701492537313433E-3</v>
      </c>
    </row>
    <row r="196" spans="2:5" ht="15" customHeight="1">
      <c r="B196" s="87"/>
      <c r="C196" s="45" t="s">
        <v>126</v>
      </c>
      <c r="D196" s="44">
        <v>1</v>
      </c>
      <c r="E196" s="43">
        <v>7.4626865671641792E-4</v>
      </c>
    </row>
    <row r="197" spans="2:5" ht="15" customHeight="1">
      <c r="B197" s="87"/>
      <c r="C197" s="45" t="s">
        <v>131</v>
      </c>
      <c r="D197" s="44">
        <v>20</v>
      </c>
      <c r="E197" s="43">
        <v>1.4925373134328358E-2</v>
      </c>
    </row>
    <row r="198" spans="2:5" ht="15" customHeight="1">
      <c r="B198" s="87"/>
      <c r="C198" s="45" t="s">
        <v>130</v>
      </c>
      <c r="D198" s="44">
        <v>21</v>
      </c>
      <c r="E198" s="43">
        <v>1.5671641791044775E-2</v>
      </c>
    </row>
    <row r="199" spans="2:5" ht="15" customHeight="1">
      <c r="B199" s="87"/>
      <c r="C199" s="45" t="s">
        <v>128</v>
      </c>
      <c r="D199" s="44">
        <v>2</v>
      </c>
      <c r="E199" s="43">
        <v>1.4925373134328358E-3</v>
      </c>
    </row>
    <row r="200" spans="2:5" ht="15" customHeight="1">
      <c r="B200" s="87"/>
      <c r="C200" s="45" t="s">
        <v>127</v>
      </c>
      <c r="D200" s="44">
        <v>2</v>
      </c>
      <c r="E200" s="43">
        <v>1.4925373134328358E-3</v>
      </c>
    </row>
    <row r="201" spans="2:5" ht="15" customHeight="1">
      <c r="B201" s="88"/>
      <c r="C201" s="42" t="s">
        <v>23</v>
      </c>
      <c r="D201" s="41">
        <v>54</v>
      </c>
      <c r="E201" s="40">
        <v>4.0298507462686567E-2</v>
      </c>
    </row>
    <row r="202" spans="2:5" ht="15" customHeight="1">
      <c r="B202" s="86" t="s">
        <v>104</v>
      </c>
      <c r="C202" s="45" t="s">
        <v>129</v>
      </c>
      <c r="D202" s="44">
        <v>18</v>
      </c>
      <c r="E202" s="43">
        <v>1.3432835820895522E-2</v>
      </c>
    </row>
    <row r="203" spans="2:5" ht="15" customHeight="1">
      <c r="B203" s="87"/>
      <c r="C203" s="45" t="s">
        <v>126</v>
      </c>
      <c r="D203" s="44">
        <v>1</v>
      </c>
      <c r="E203" s="43">
        <v>7.4626865671641792E-4</v>
      </c>
    </row>
    <row r="204" spans="2:5" ht="15" customHeight="1">
      <c r="B204" s="87"/>
      <c r="C204" s="45" t="s">
        <v>131</v>
      </c>
      <c r="D204" s="44">
        <v>7</v>
      </c>
      <c r="E204" s="43">
        <v>5.2238805970149255E-3</v>
      </c>
    </row>
    <row r="205" spans="2:5" ht="15" customHeight="1">
      <c r="B205" s="87"/>
      <c r="C205" s="45" t="s">
        <v>130</v>
      </c>
      <c r="D205" s="44">
        <v>9</v>
      </c>
      <c r="E205" s="43">
        <v>6.7164179104477612E-3</v>
      </c>
    </row>
    <row r="206" spans="2:5" ht="15" customHeight="1">
      <c r="B206" s="87"/>
      <c r="C206" s="45" t="s">
        <v>128</v>
      </c>
      <c r="D206" s="44">
        <v>1</v>
      </c>
      <c r="E206" s="43">
        <v>7.4626865671641792E-4</v>
      </c>
    </row>
    <row r="207" spans="2:5" ht="15" customHeight="1">
      <c r="B207" s="88"/>
      <c r="C207" s="42" t="s">
        <v>23</v>
      </c>
      <c r="D207" s="41">
        <v>36</v>
      </c>
      <c r="E207" s="40">
        <v>2.6865671641791045E-2</v>
      </c>
    </row>
    <row r="208" spans="2:5" ht="15" customHeight="1">
      <c r="B208" s="86" t="s">
        <v>89</v>
      </c>
      <c r="C208" s="45" t="s">
        <v>129</v>
      </c>
      <c r="D208" s="44">
        <v>5</v>
      </c>
      <c r="E208" s="43">
        <v>3.7313432835820895E-3</v>
      </c>
    </row>
    <row r="209" spans="2:5" ht="15" customHeight="1">
      <c r="B209" s="87"/>
      <c r="C209" s="45" t="s">
        <v>131</v>
      </c>
      <c r="D209" s="44">
        <v>4</v>
      </c>
      <c r="E209" s="43">
        <v>2.9850746268656717E-3</v>
      </c>
    </row>
    <row r="210" spans="2:5" ht="15" customHeight="1">
      <c r="B210" s="87"/>
      <c r="C210" s="45" t="s">
        <v>130</v>
      </c>
      <c r="D210" s="44">
        <v>4</v>
      </c>
      <c r="E210" s="43">
        <v>2.9850746268656717E-3</v>
      </c>
    </row>
    <row r="211" spans="2:5" ht="15" customHeight="1">
      <c r="B211" s="87"/>
      <c r="C211" s="45" t="s">
        <v>128</v>
      </c>
      <c r="D211" s="44">
        <v>3</v>
      </c>
      <c r="E211" s="43">
        <v>2.2388059701492539E-3</v>
      </c>
    </row>
    <row r="212" spans="2:5" ht="15" customHeight="1">
      <c r="B212" s="88"/>
      <c r="C212" s="42" t="s">
        <v>23</v>
      </c>
      <c r="D212" s="41">
        <v>16</v>
      </c>
      <c r="E212" s="40">
        <v>1.1940298507462687E-2</v>
      </c>
    </row>
    <row r="213" spans="2:5" ht="15" customHeight="1">
      <c r="B213" s="86" t="s">
        <v>91</v>
      </c>
      <c r="C213" s="45" t="s">
        <v>129</v>
      </c>
      <c r="D213" s="44">
        <v>3</v>
      </c>
      <c r="E213" s="43">
        <v>2.2388059701492539E-3</v>
      </c>
    </row>
    <row r="214" spans="2:5" ht="15" customHeight="1">
      <c r="B214" s="87"/>
      <c r="C214" s="45" t="s">
        <v>126</v>
      </c>
      <c r="D214" s="44">
        <v>1</v>
      </c>
      <c r="E214" s="43">
        <v>7.4626865671641792E-4</v>
      </c>
    </row>
    <row r="215" spans="2:5" ht="15" customHeight="1">
      <c r="B215" s="87"/>
      <c r="C215" s="45" t="s">
        <v>131</v>
      </c>
      <c r="D215" s="44">
        <v>1</v>
      </c>
      <c r="E215" s="43">
        <v>7.4626865671641792E-4</v>
      </c>
    </row>
    <row r="216" spans="2:5" ht="15" customHeight="1">
      <c r="B216" s="88"/>
      <c r="C216" s="42" t="s">
        <v>23</v>
      </c>
      <c r="D216" s="41">
        <v>5</v>
      </c>
      <c r="E216" s="40">
        <v>3.7313432835820895E-3</v>
      </c>
    </row>
    <row r="217" spans="2:5" ht="15" customHeight="1">
      <c r="B217" s="86" t="s">
        <v>99</v>
      </c>
      <c r="C217" s="45" t="s">
        <v>129</v>
      </c>
      <c r="D217" s="44">
        <v>25</v>
      </c>
      <c r="E217" s="43">
        <v>1.8656716417910446E-2</v>
      </c>
    </row>
    <row r="218" spans="2:5" ht="15" customHeight="1">
      <c r="B218" s="87"/>
      <c r="C218" s="45" t="s">
        <v>126</v>
      </c>
      <c r="D218" s="44">
        <v>1</v>
      </c>
      <c r="E218" s="43">
        <v>7.4626865671641792E-4</v>
      </c>
    </row>
    <row r="219" spans="2:5" ht="15" customHeight="1">
      <c r="B219" s="87"/>
      <c r="C219" s="45" t="s">
        <v>131</v>
      </c>
      <c r="D219" s="44">
        <v>8</v>
      </c>
      <c r="E219" s="43">
        <v>5.9701492537313433E-3</v>
      </c>
    </row>
    <row r="220" spans="2:5" ht="15" customHeight="1">
      <c r="B220" s="87"/>
      <c r="C220" s="45" t="s">
        <v>130</v>
      </c>
      <c r="D220" s="44">
        <v>2</v>
      </c>
      <c r="E220" s="43">
        <v>1.4925373134328358E-3</v>
      </c>
    </row>
    <row r="221" spans="2:5" ht="15" customHeight="1">
      <c r="B221" s="87"/>
      <c r="C221" s="45" t="s">
        <v>128</v>
      </c>
      <c r="D221" s="44">
        <v>2</v>
      </c>
      <c r="E221" s="43">
        <v>1.4925373134328358E-3</v>
      </c>
    </row>
    <row r="222" spans="2:5" ht="15" customHeight="1">
      <c r="B222" s="87"/>
      <c r="C222" s="45" t="s">
        <v>125</v>
      </c>
      <c r="D222" s="44">
        <v>1</v>
      </c>
      <c r="E222" s="43">
        <v>7.4626865671641792E-4</v>
      </c>
    </row>
    <row r="223" spans="2:5" ht="15" customHeight="1">
      <c r="B223" s="87"/>
      <c r="C223" s="45" t="s">
        <v>123</v>
      </c>
      <c r="D223" s="44">
        <v>1</v>
      </c>
      <c r="E223" s="43">
        <v>7.4626865671641792E-4</v>
      </c>
    </row>
    <row r="224" spans="2:5" ht="15" customHeight="1">
      <c r="B224" s="88"/>
      <c r="C224" s="42" t="s">
        <v>23</v>
      </c>
      <c r="D224" s="41">
        <v>40</v>
      </c>
      <c r="E224" s="40">
        <v>2.9850746268656716E-2</v>
      </c>
    </row>
    <row r="225" spans="2:5" ht="15" customHeight="1">
      <c r="B225" s="86" t="s">
        <v>111</v>
      </c>
      <c r="C225" s="45" t="s">
        <v>124</v>
      </c>
      <c r="D225" s="44">
        <v>1</v>
      </c>
      <c r="E225" s="43">
        <v>7.4626865671641792E-4</v>
      </c>
    </row>
    <row r="226" spans="2:5" ht="15" customHeight="1">
      <c r="B226" s="87"/>
      <c r="C226" s="45" t="s">
        <v>129</v>
      </c>
      <c r="D226" s="44">
        <v>1</v>
      </c>
      <c r="E226" s="43">
        <v>7.4626865671641792E-4</v>
      </c>
    </row>
    <row r="227" spans="2:5" ht="15" customHeight="1">
      <c r="B227" s="87"/>
      <c r="C227" s="45" t="s">
        <v>126</v>
      </c>
      <c r="D227" s="44">
        <v>1</v>
      </c>
      <c r="E227" s="43">
        <v>7.4626865671641792E-4</v>
      </c>
    </row>
    <row r="228" spans="2:5" ht="15" customHeight="1">
      <c r="B228" s="87"/>
      <c r="C228" s="45" t="s">
        <v>131</v>
      </c>
      <c r="D228" s="44">
        <v>8</v>
      </c>
      <c r="E228" s="43">
        <v>5.9701492537313433E-3</v>
      </c>
    </row>
    <row r="229" spans="2:5" ht="15" customHeight="1">
      <c r="B229" s="87"/>
      <c r="C229" s="45" t="s">
        <v>130</v>
      </c>
      <c r="D229" s="44">
        <v>7</v>
      </c>
      <c r="E229" s="43">
        <v>5.2238805970149255E-3</v>
      </c>
    </row>
    <row r="230" spans="2:5" ht="15" customHeight="1">
      <c r="B230" s="87"/>
      <c r="C230" s="45" t="s">
        <v>128</v>
      </c>
      <c r="D230" s="44">
        <v>1</v>
      </c>
      <c r="E230" s="43">
        <v>7.4626865671641792E-4</v>
      </c>
    </row>
    <row r="231" spans="2:5" ht="15" customHeight="1">
      <c r="B231" s="87"/>
      <c r="C231" s="45" t="s">
        <v>127</v>
      </c>
      <c r="D231" s="44">
        <v>1</v>
      </c>
      <c r="E231" s="43">
        <v>7.4626865671641792E-4</v>
      </c>
    </row>
    <row r="232" spans="2:5" ht="15" customHeight="1">
      <c r="B232" s="88"/>
      <c r="C232" s="42" t="s">
        <v>23</v>
      </c>
      <c r="D232" s="41">
        <v>20</v>
      </c>
      <c r="E232" s="40">
        <v>1.4925373134328358E-2</v>
      </c>
    </row>
    <row r="233" spans="2:5" ht="15" customHeight="1">
      <c r="B233" s="86" t="s">
        <v>95</v>
      </c>
      <c r="C233" s="45" t="s">
        <v>124</v>
      </c>
      <c r="D233" s="44">
        <v>1</v>
      </c>
      <c r="E233" s="43">
        <v>7.4626865671641792E-4</v>
      </c>
    </row>
    <row r="234" spans="2:5" ht="15" customHeight="1">
      <c r="B234" s="87"/>
      <c r="C234" s="45" t="s">
        <v>129</v>
      </c>
      <c r="D234" s="44">
        <v>2</v>
      </c>
      <c r="E234" s="43">
        <v>1.4925373134328358E-3</v>
      </c>
    </row>
    <row r="235" spans="2:5" ht="15" customHeight="1">
      <c r="B235" s="87"/>
      <c r="C235" s="45" t="s">
        <v>130</v>
      </c>
      <c r="D235" s="44">
        <v>3</v>
      </c>
      <c r="E235" s="43">
        <v>2.2388059701492539E-3</v>
      </c>
    </row>
    <row r="236" spans="2:5" ht="15" customHeight="1">
      <c r="B236" s="88"/>
      <c r="C236" s="42" t="s">
        <v>23</v>
      </c>
      <c r="D236" s="41">
        <v>6</v>
      </c>
      <c r="E236" s="40">
        <v>4.4776119402985077E-3</v>
      </c>
    </row>
    <row r="237" spans="2:5" ht="15" customHeight="1">
      <c r="B237" s="86" t="s">
        <v>108</v>
      </c>
      <c r="C237" s="45" t="s">
        <v>124</v>
      </c>
      <c r="D237" s="44">
        <v>1</v>
      </c>
      <c r="E237" s="43">
        <v>7.4626865671641792E-4</v>
      </c>
    </row>
    <row r="238" spans="2:5" ht="15" customHeight="1">
      <c r="B238" s="87"/>
      <c r="C238" s="45" t="s">
        <v>129</v>
      </c>
      <c r="D238" s="44">
        <v>5</v>
      </c>
      <c r="E238" s="43">
        <v>3.7313432835820895E-3</v>
      </c>
    </row>
    <row r="239" spans="2:5" ht="15" customHeight="1">
      <c r="B239" s="87"/>
      <c r="C239" s="45" t="s">
        <v>126</v>
      </c>
      <c r="D239" s="44">
        <v>1</v>
      </c>
      <c r="E239" s="43">
        <v>7.4626865671641792E-4</v>
      </c>
    </row>
    <row r="240" spans="2:5" ht="15" customHeight="1">
      <c r="B240" s="87"/>
      <c r="C240" s="45" t="s">
        <v>131</v>
      </c>
      <c r="D240" s="44">
        <v>3</v>
      </c>
      <c r="E240" s="43">
        <v>2.2388059701492539E-3</v>
      </c>
    </row>
    <row r="241" spans="2:5" ht="15" customHeight="1">
      <c r="B241" s="87"/>
      <c r="C241" s="45" t="s">
        <v>130</v>
      </c>
      <c r="D241" s="44">
        <v>19</v>
      </c>
      <c r="E241" s="43">
        <v>1.4179104477611941E-2</v>
      </c>
    </row>
    <row r="242" spans="2:5" ht="15" customHeight="1">
      <c r="B242" s="87"/>
      <c r="C242" s="45" t="s">
        <v>128</v>
      </c>
      <c r="D242" s="44">
        <v>2</v>
      </c>
      <c r="E242" s="43">
        <v>1.4925373134328358E-3</v>
      </c>
    </row>
    <row r="243" spans="2:5" ht="15" customHeight="1">
      <c r="B243" s="87"/>
      <c r="C243" s="45" t="s">
        <v>125</v>
      </c>
      <c r="D243" s="44">
        <v>10</v>
      </c>
      <c r="E243" s="43">
        <v>7.462686567164179E-3</v>
      </c>
    </row>
    <row r="244" spans="2:5" ht="15" customHeight="1">
      <c r="B244" s="87"/>
      <c r="C244" s="45" t="s">
        <v>127</v>
      </c>
      <c r="D244" s="44">
        <v>10</v>
      </c>
      <c r="E244" s="43">
        <v>7.462686567164179E-3</v>
      </c>
    </row>
    <row r="245" spans="2:5" ht="15" customHeight="1">
      <c r="B245" s="88"/>
      <c r="C245" s="42" t="s">
        <v>23</v>
      </c>
      <c r="D245" s="41">
        <v>51</v>
      </c>
      <c r="E245" s="40">
        <v>3.8059701492537311E-2</v>
      </c>
    </row>
    <row r="246" spans="2:5" ht="15" customHeight="1">
      <c r="B246" s="86" t="s">
        <v>109</v>
      </c>
      <c r="C246" s="45" t="s">
        <v>124</v>
      </c>
      <c r="D246" s="44">
        <v>1</v>
      </c>
      <c r="E246" s="43">
        <v>7.4626865671641792E-4</v>
      </c>
    </row>
    <row r="247" spans="2:5" ht="15" customHeight="1">
      <c r="B247" s="87"/>
      <c r="C247" s="45" t="s">
        <v>129</v>
      </c>
      <c r="D247" s="44">
        <v>4</v>
      </c>
      <c r="E247" s="43">
        <v>2.9850746268656717E-3</v>
      </c>
    </row>
    <row r="248" spans="2:5" ht="15" customHeight="1">
      <c r="B248" s="87"/>
      <c r="C248" s="45" t="s">
        <v>126</v>
      </c>
      <c r="D248" s="44">
        <v>1</v>
      </c>
      <c r="E248" s="43">
        <v>7.4626865671641792E-4</v>
      </c>
    </row>
    <row r="249" spans="2:5" ht="15" customHeight="1">
      <c r="B249" s="87"/>
      <c r="C249" s="45" t="s">
        <v>131</v>
      </c>
      <c r="D249" s="44">
        <v>26</v>
      </c>
      <c r="E249" s="43">
        <v>1.9402985074626865E-2</v>
      </c>
    </row>
    <row r="250" spans="2:5" ht="15" customHeight="1">
      <c r="B250" s="87"/>
      <c r="C250" s="45" t="s">
        <v>130</v>
      </c>
      <c r="D250" s="44">
        <v>9</v>
      </c>
      <c r="E250" s="43">
        <v>6.7164179104477612E-3</v>
      </c>
    </row>
    <row r="251" spans="2:5" ht="15" customHeight="1">
      <c r="B251" s="87"/>
      <c r="C251" s="45" t="s">
        <v>128</v>
      </c>
      <c r="D251" s="44">
        <v>13</v>
      </c>
      <c r="E251" s="43">
        <v>9.7014925373134324E-3</v>
      </c>
    </row>
    <row r="252" spans="2:5" ht="15" customHeight="1">
      <c r="B252" s="87"/>
      <c r="C252" s="45" t="s">
        <v>127</v>
      </c>
      <c r="D252" s="44">
        <v>3</v>
      </c>
      <c r="E252" s="43">
        <v>2.2388059701492539E-3</v>
      </c>
    </row>
    <row r="253" spans="2:5" ht="15" customHeight="1">
      <c r="B253" s="88"/>
      <c r="C253" s="42" t="s">
        <v>23</v>
      </c>
      <c r="D253" s="41">
        <v>57</v>
      </c>
      <c r="E253" s="40">
        <v>4.2537313432835823E-2</v>
      </c>
    </row>
    <row r="254" spans="2:5" ht="15" customHeight="1">
      <c r="B254" s="86" t="s">
        <v>110</v>
      </c>
      <c r="C254" s="45" t="s">
        <v>129</v>
      </c>
      <c r="D254" s="44">
        <v>6</v>
      </c>
      <c r="E254" s="43">
        <v>4.4776119402985077E-3</v>
      </c>
    </row>
    <row r="255" spans="2:5" ht="15" customHeight="1">
      <c r="B255" s="87"/>
      <c r="C255" s="45" t="s">
        <v>131</v>
      </c>
      <c r="D255" s="44">
        <v>9</v>
      </c>
      <c r="E255" s="43">
        <v>6.7164179104477612E-3</v>
      </c>
    </row>
    <row r="256" spans="2:5" ht="15" customHeight="1">
      <c r="B256" s="87"/>
      <c r="C256" s="45" t="s">
        <v>130</v>
      </c>
      <c r="D256" s="44">
        <v>3</v>
      </c>
      <c r="E256" s="43">
        <v>2.2388059701492539E-3</v>
      </c>
    </row>
    <row r="257" spans="2:5" ht="15" customHeight="1">
      <c r="B257" s="87"/>
      <c r="C257" s="45" t="s">
        <v>128</v>
      </c>
      <c r="D257" s="44">
        <v>2</v>
      </c>
      <c r="E257" s="43">
        <v>1.4925373134328358E-3</v>
      </c>
    </row>
    <row r="258" spans="2:5" ht="15" customHeight="1">
      <c r="B258" s="87"/>
      <c r="C258" s="45" t="s">
        <v>127</v>
      </c>
      <c r="D258" s="44">
        <v>1</v>
      </c>
      <c r="E258" s="43">
        <v>7.4626865671641792E-4</v>
      </c>
    </row>
    <row r="259" spans="2:5" ht="15" customHeight="1">
      <c r="B259" s="88"/>
      <c r="C259" s="42" t="s">
        <v>23</v>
      </c>
      <c r="D259" s="41">
        <v>21</v>
      </c>
      <c r="E259" s="40">
        <v>1.5671641791044775E-2</v>
      </c>
    </row>
    <row r="260" spans="2:5" ht="15" customHeight="1">
      <c r="B260" s="86" t="s">
        <v>88</v>
      </c>
      <c r="C260" s="45" t="s">
        <v>129</v>
      </c>
      <c r="D260" s="44">
        <v>1</v>
      </c>
      <c r="E260" s="43">
        <v>7.4626865671641792E-4</v>
      </c>
    </row>
    <row r="261" spans="2:5" ht="15" customHeight="1">
      <c r="B261" s="87"/>
      <c r="C261" s="45" t="s">
        <v>131</v>
      </c>
      <c r="D261" s="44">
        <v>4</v>
      </c>
      <c r="E261" s="43">
        <v>2.9850746268656717E-3</v>
      </c>
    </row>
    <row r="262" spans="2:5" ht="15" customHeight="1">
      <c r="B262" s="87"/>
      <c r="C262" s="45" t="s">
        <v>130</v>
      </c>
      <c r="D262" s="44">
        <v>5</v>
      </c>
      <c r="E262" s="43">
        <v>3.7313432835820895E-3</v>
      </c>
    </row>
    <row r="263" spans="2:5" ht="15" customHeight="1">
      <c r="B263" s="87"/>
      <c r="C263" s="45" t="s">
        <v>128</v>
      </c>
      <c r="D263" s="44">
        <v>1</v>
      </c>
      <c r="E263" s="43">
        <v>7.4626865671641792E-4</v>
      </c>
    </row>
    <row r="264" spans="2:5" ht="15" customHeight="1">
      <c r="B264" s="88"/>
      <c r="C264" s="42" t="s">
        <v>23</v>
      </c>
      <c r="D264" s="41">
        <v>11</v>
      </c>
      <c r="E264" s="40">
        <v>8.2089552238805968E-3</v>
      </c>
    </row>
    <row r="265" spans="2:5" ht="15" customHeight="1">
      <c r="B265" s="86" t="s">
        <v>45</v>
      </c>
      <c r="C265" s="45" t="s">
        <v>129</v>
      </c>
      <c r="D265" s="44">
        <v>6</v>
      </c>
      <c r="E265" s="43">
        <v>4.4776119402985077E-3</v>
      </c>
    </row>
    <row r="266" spans="2:5" ht="15" customHeight="1">
      <c r="B266" s="87"/>
      <c r="C266" s="45" t="s">
        <v>131</v>
      </c>
      <c r="D266" s="44">
        <v>7</v>
      </c>
      <c r="E266" s="43">
        <v>5.2238805970149255E-3</v>
      </c>
    </row>
    <row r="267" spans="2:5" ht="15" customHeight="1">
      <c r="B267" s="87"/>
      <c r="C267" s="45" t="s">
        <v>130</v>
      </c>
      <c r="D267" s="44">
        <v>13</v>
      </c>
      <c r="E267" s="43">
        <v>9.7014925373134324E-3</v>
      </c>
    </row>
    <row r="268" spans="2:5" ht="15" customHeight="1">
      <c r="B268" s="87"/>
      <c r="C268" s="45" t="s">
        <v>128</v>
      </c>
      <c r="D268" s="44">
        <v>2</v>
      </c>
      <c r="E268" s="43">
        <v>1.4925373134328358E-3</v>
      </c>
    </row>
    <row r="269" spans="2:5" ht="15" customHeight="1">
      <c r="B269" s="87"/>
      <c r="C269" s="45" t="s">
        <v>125</v>
      </c>
      <c r="D269" s="44">
        <v>1</v>
      </c>
      <c r="E269" s="43">
        <v>7.4626865671641792E-4</v>
      </c>
    </row>
    <row r="270" spans="2:5" ht="15" customHeight="1">
      <c r="B270" s="88"/>
      <c r="C270" s="42" t="s">
        <v>23</v>
      </c>
      <c r="D270" s="41">
        <v>29</v>
      </c>
      <c r="E270" s="40">
        <v>2.1641791044776121E-2</v>
      </c>
    </row>
    <row r="271" spans="2:5" ht="15" customHeight="1">
      <c r="B271" s="86" t="s">
        <v>76</v>
      </c>
      <c r="C271" s="45" t="s">
        <v>130</v>
      </c>
      <c r="D271" s="44">
        <v>2</v>
      </c>
      <c r="E271" s="43">
        <v>1.4925373134328358E-3</v>
      </c>
    </row>
    <row r="272" spans="2:5" ht="15" customHeight="1">
      <c r="B272" s="88"/>
      <c r="C272" s="42" t="s">
        <v>23</v>
      </c>
      <c r="D272" s="41">
        <v>2</v>
      </c>
      <c r="E272" s="40">
        <v>1.4925373134328358E-3</v>
      </c>
    </row>
    <row r="273" spans="2:5" ht="15" customHeight="1">
      <c r="B273" s="99" t="s">
        <v>23</v>
      </c>
      <c r="C273" s="100"/>
      <c r="D273" s="101">
        <v>1340</v>
      </c>
      <c r="E273" s="102">
        <v>1</v>
      </c>
    </row>
    <row r="275" spans="2:5" ht="15" customHeight="1">
      <c r="B275" s="19" t="s">
        <v>22</v>
      </c>
    </row>
    <row r="276" spans="2:5" ht="15" customHeight="1">
      <c r="B276" s="21" t="s">
        <v>21</v>
      </c>
    </row>
    <row r="277" spans="2:5" ht="15" customHeight="1">
      <c r="B277" s="20" t="s">
        <v>20</v>
      </c>
    </row>
    <row r="278" spans="2:5" ht="15" customHeight="1">
      <c r="B278" s="19" t="s">
        <v>19</v>
      </c>
    </row>
    <row r="279" spans="2:5" ht="15" customHeight="1">
      <c r="B279" s="19" t="s">
        <v>18</v>
      </c>
    </row>
  </sheetData>
  <mergeCells count="46">
    <mergeCell ref="B260:B264"/>
    <mergeCell ref="B265:B270"/>
    <mergeCell ref="B271:B272"/>
    <mergeCell ref="B273:C273"/>
    <mergeCell ref="B217:B224"/>
    <mergeCell ref="B225:B232"/>
    <mergeCell ref="B233:B236"/>
    <mergeCell ref="B237:B245"/>
    <mergeCell ref="B246:B253"/>
    <mergeCell ref="B254:B259"/>
    <mergeCell ref="B213:B216"/>
    <mergeCell ref="B121:B128"/>
    <mergeCell ref="B129:B135"/>
    <mergeCell ref="B136:B140"/>
    <mergeCell ref="B141:B145"/>
    <mergeCell ref="B146:B154"/>
    <mergeCell ref="B155:B160"/>
    <mergeCell ref="B161:B166"/>
    <mergeCell ref="B167:B175"/>
    <mergeCell ref="B176:B183"/>
    <mergeCell ref="B184:B186"/>
    <mergeCell ref="B187:B192"/>
    <mergeCell ref="B193:B194"/>
    <mergeCell ref="B195:B201"/>
    <mergeCell ref="B202:B207"/>
    <mergeCell ref="B208:B212"/>
    <mergeCell ref="B64:B68"/>
    <mergeCell ref="B69:B71"/>
    <mergeCell ref="B72:B76"/>
    <mergeCell ref="B77:B83"/>
    <mergeCell ref="B84:B91"/>
    <mergeCell ref="B92:B97"/>
    <mergeCell ref="B98:B103"/>
    <mergeCell ref="B104:B107"/>
    <mergeCell ref="B108:B112"/>
    <mergeCell ref="B113:B120"/>
    <mergeCell ref="B7:E8"/>
    <mergeCell ref="B10:B14"/>
    <mergeCell ref="B15:B23"/>
    <mergeCell ref="B24:B30"/>
    <mergeCell ref="B31:B34"/>
    <mergeCell ref="B35:B37"/>
    <mergeCell ref="B38:B40"/>
    <mergeCell ref="B41:B47"/>
    <mergeCell ref="B48:B56"/>
    <mergeCell ref="B57:B6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6" manualBreakCount="6">
    <brk id="47" max="4" man="1"/>
    <brk id="91" max="4" man="1"/>
    <brk id="135" max="4" man="1"/>
    <brk id="175" max="4" man="1"/>
    <brk id="216" max="4" man="1"/>
    <brk id="259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topLeftCell="A28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162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161</v>
      </c>
      <c r="C11" s="31" t="s">
        <v>160</v>
      </c>
      <c r="D11" s="30" t="s">
        <v>66</v>
      </c>
    </row>
    <row r="12" spans="1:4" ht="15" customHeight="1">
      <c r="B12" s="27" t="s">
        <v>159</v>
      </c>
      <c r="C12" s="26">
        <v>16</v>
      </c>
      <c r="D12" s="25">
        <f t="shared" ref="D12:D34" si="0">C12/$C$34</f>
        <v>1.1940298507462687E-2</v>
      </c>
    </row>
    <row r="13" spans="1:4">
      <c r="B13" s="27" t="s">
        <v>158</v>
      </c>
      <c r="C13" s="26">
        <v>8</v>
      </c>
      <c r="D13" s="25">
        <f t="shared" si="0"/>
        <v>5.9701492537313433E-3</v>
      </c>
    </row>
    <row r="14" spans="1:4" s="28" customFormat="1">
      <c r="A14" s="17"/>
      <c r="B14" s="27" t="s">
        <v>157</v>
      </c>
      <c r="C14" s="26">
        <v>11</v>
      </c>
      <c r="D14" s="25">
        <f t="shared" si="0"/>
        <v>8.2089552238805968E-3</v>
      </c>
    </row>
    <row r="15" spans="1:4" s="28" customFormat="1">
      <c r="A15" s="17"/>
      <c r="B15" s="27" t="s">
        <v>156</v>
      </c>
      <c r="C15" s="26">
        <v>19</v>
      </c>
      <c r="D15" s="25">
        <f t="shared" si="0"/>
        <v>1.4179104477611941E-2</v>
      </c>
    </row>
    <row r="16" spans="1:4">
      <c r="B16" s="27" t="s">
        <v>155</v>
      </c>
      <c r="C16" s="26">
        <v>17</v>
      </c>
      <c r="D16" s="25">
        <f t="shared" si="0"/>
        <v>1.2686567164179104E-2</v>
      </c>
    </row>
    <row r="17" spans="2:4">
      <c r="B17" s="27" t="s">
        <v>154</v>
      </c>
      <c r="C17" s="26">
        <v>27</v>
      </c>
      <c r="D17" s="25">
        <f t="shared" si="0"/>
        <v>2.0149253731343283E-2</v>
      </c>
    </row>
    <row r="18" spans="2:4">
      <c r="B18" s="27" t="s">
        <v>153</v>
      </c>
      <c r="C18" s="26">
        <v>79</v>
      </c>
      <c r="D18" s="25">
        <f t="shared" si="0"/>
        <v>5.8955223880597013E-2</v>
      </c>
    </row>
    <row r="19" spans="2:4" ht="27">
      <c r="B19" s="27" t="s">
        <v>152</v>
      </c>
      <c r="C19" s="26">
        <v>173</v>
      </c>
      <c r="D19" s="25">
        <f t="shared" si="0"/>
        <v>0.1291044776119403</v>
      </c>
    </row>
    <row r="20" spans="2:4">
      <c r="B20" s="27" t="s">
        <v>151</v>
      </c>
      <c r="C20" s="26">
        <v>15</v>
      </c>
      <c r="D20" s="25">
        <f t="shared" si="0"/>
        <v>1.1194029850746268E-2</v>
      </c>
    </row>
    <row r="21" spans="2:4">
      <c r="B21" s="27" t="s">
        <v>150</v>
      </c>
      <c r="C21" s="26">
        <v>34</v>
      </c>
      <c r="D21" s="25">
        <f t="shared" si="0"/>
        <v>2.5373134328358207E-2</v>
      </c>
    </row>
    <row r="22" spans="2:4">
      <c r="B22" s="27" t="s">
        <v>149</v>
      </c>
      <c r="C22" s="26">
        <v>41</v>
      </c>
      <c r="D22" s="25">
        <f t="shared" si="0"/>
        <v>3.0597014925373135E-2</v>
      </c>
    </row>
    <row r="23" spans="2:4" ht="27">
      <c r="B23" s="27" t="s">
        <v>148</v>
      </c>
      <c r="C23" s="26">
        <v>489</v>
      </c>
      <c r="D23" s="25">
        <f t="shared" si="0"/>
        <v>0.36492537313432838</v>
      </c>
    </row>
    <row r="24" spans="2:4">
      <c r="B24" s="27" t="s">
        <v>147</v>
      </c>
      <c r="C24" s="26">
        <v>17</v>
      </c>
      <c r="D24" s="25">
        <f t="shared" si="0"/>
        <v>1.2686567164179104E-2</v>
      </c>
    </row>
    <row r="25" spans="2:4" ht="27">
      <c r="B25" s="27" t="s">
        <v>146</v>
      </c>
      <c r="C25" s="26">
        <v>97</v>
      </c>
      <c r="D25" s="25">
        <f t="shared" si="0"/>
        <v>7.2388059701492535E-2</v>
      </c>
    </row>
    <row r="26" spans="2:4" ht="27">
      <c r="B26" s="27" t="s">
        <v>145</v>
      </c>
      <c r="C26" s="26">
        <v>233</v>
      </c>
      <c r="D26" s="25">
        <f t="shared" si="0"/>
        <v>0.17388059701492536</v>
      </c>
    </row>
    <row r="27" spans="2:4">
      <c r="B27" s="27" t="s">
        <v>144</v>
      </c>
      <c r="C27" s="26">
        <v>2</v>
      </c>
      <c r="D27" s="25">
        <f t="shared" si="0"/>
        <v>1.4925373134328358E-3</v>
      </c>
    </row>
    <row r="28" spans="2:4">
      <c r="B28" s="27" t="s">
        <v>143</v>
      </c>
      <c r="C28" s="26">
        <v>4</v>
      </c>
      <c r="D28" s="25">
        <f t="shared" si="0"/>
        <v>2.9850746268656717E-3</v>
      </c>
    </row>
    <row r="29" spans="2:4">
      <c r="B29" s="27" t="s">
        <v>142</v>
      </c>
      <c r="C29" s="26">
        <v>1</v>
      </c>
      <c r="D29" s="25">
        <f t="shared" si="0"/>
        <v>7.4626865671641792E-4</v>
      </c>
    </row>
    <row r="30" spans="2:4">
      <c r="B30" s="27" t="s">
        <v>141</v>
      </c>
      <c r="C30" s="26">
        <v>1</v>
      </c>
      <c r="D30" s="25">
        <f t="shared" si="0"/>
        <v>7.4626865671641792E-4</v>
      </c>
    </row>
    <row r="31" spans="2:4">
      <c r="B31" s="27" t="s">
        <v>140</v>
      </c>
      <c r="C31" s="26">
        <v>19</v>
      </c>
      <c r="D31" s="25">
        <f t="shared" si="0"/>
        <v>1.4179104477611941E-2</v>
      </c>
    </row>
    <row r="32" spans="2:4">
      <c r="B32" s="27" t="s">
        <v>139</v>
      </c>
      <c r="C32" s="26">
        <v>36</v>
      </c>
      <c r="D32" s="25">
        <f t="shared" si="0"/>
        <v>2.6865671641791045E-2</v>
      </c>
    </row>
    <row r="33" spans="1:4">
      <c r="B33" s="27" t="s">
        <v>138</v>
      </c>
      <c r="C33" s="26">
        <v>1</v>
      </c>
      <c r="D33" s="25">
        <f t="shared" si="0"/>
        <v>7.4626865671641792E-4</v>
      </c>
    </row>
    <row r="34" spans="1:4">
      <c r="B34" s="24" t="s">
        <v>23</v>
      </c>
      <c r="C34" s="23">
        <v>1340</v>
      </c>
      <c r="D34" s="22">
        <f t="shared" si="0"/>
        <v>1</v>
      </c>
    </row>
    <row r="36" spans="1:4">
      <c r="A36" s="58" t="s">
        <v>137</v>
      </c>
    </row>
    <row r="37" spans="1:4">
      <c r="A37" s="58" t="s">
        <v>21</v>
      </c>
    </row>
    <row r="38" spans="1:4">
      <c r="A38" s="58" t="s">
        <v>20</v>
      </c>
    </row>
    <row r="39" spans="1:4">
      <c r="A39" s="58" t="s">
        <v>19</v>
      </c>
    </row>
    <row r="40" spans="1:4">
      <c r="A40" s="58" t="s">
        <v>136</v>
      </c>
    </row>
    <row r="41" spans="1:4">
      <c r="A41" s="58"/>
    </row>
    <row r="42" spans="1:4">
      <c r="A42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34"/>
  <sheetViews>
    <sheetView topLeftCell="A298" zoomScaleNormal="100" zoomScaleSheetLayoutView="85" workbookViewId="0">
      <selection activeCell="B328" sqref="B328:E32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85"/>
      <c r="C7" s="85"/>
      <c r="D7" s="85"/>
      <c r="E7" s="85"/>
    </row>
    <row r="8" spans="1:5" s="50" customFormat="1" ht="33" customHeight="1">
      <c r="A8" s="51"/>
      <c r="B8" s="85"/>
      <c r="C8" s="85"/>
      <c r="D8" s="85"/>
      <c r="E8" s="85"/>
    </row>
    <row r="9" spans="1:5" s="29" customFormat="1" ht="40.5" customHeight="1">
      <c r="B9" s="47" t="s">
        <v>163</v>
      </c>
      <c r="C9" s="49" t="s">
        <v>135</v>
      </c>
      <c r="D9" s="48" t="s">
        <v>67</v>
      </c>
      <c r="E9" s="47" t="s">
        <v>66</v>
      </c>
    </row>
    <row r="10" spans="1:5" ht="15" customHeight="1">
      <c r="B10" s="86" t="s">
        <v>159</v>
      </c>
      <c r="C10" s="45" t="s">
        <v>60</v>
      </c>
      <c r="D10" s="44">
        <v>2</v>
      </c>
      <c r="E10" s="43">
        <v>1.4925373134328358E-3</v>
      </c>
    </row>
    <row r="11" spans="1:5" ht="15" customHeight="1">
      <c r="B11" s="87"/>
      <c r="C11" s="45" t="s">
        <v>53</v>
      </c>
      <c r="D11" s="44">
        <v>1</v>
      </c>
      <c r="E11" s="43">
        <v>7.4626865671641792E-4</v>
      </c>
    </row>
    <row r="12" spans="1:5" ht="15" customHeight="1">
      <c r="B12" s="87"/>
      <c r="C12" s="45" t="s">
        <v>65</v>
      </c>
      <c r="D12" s="44">
        <v>8</v>
      </c>
      <c r="E12" s="43">
        <v>5.9701492537313433E-3</v>
      </c>
    </row>
    <row r="13" spans="1:5" s="46" customFormat="1" ht="15" customHeight="1">
      <c r="A13" s="36"/>
      <c r="B13" s="87"/>
      <c r="C13" s="45" t="s">
        <v>63</v>
      </c>
      <c r="D13" s="44">
        <v>1</v>
      </c>
      <c r="E13" s="43">
        <v>7.4626865671641792E-4</v>
      </c>
    </row>
    <row r="14" spans="1:5" ht="15" customHeight="1">
      <c r="B14" s="87"/>
      <c r="C14" s="45" t="s">
        <v>49</v>
      </c>
      <c r="D14" s="44">
        <v>1</v>
      </c>
      <c r="E14" s="43">
        <v>7.4626865671641792E-4</v>
      </c>
    </row>
    <row r="15" spans="1:5" ht="15" customHeight="1">
      <c r="B15" s="87"/>
      <c r="C15" s="45" t="s">
        <v>62</v>
      </c>
      <c r="D15" s="44">
        <v>1</v>
      </c>
      <c r="E15" s="43">
        <v>7.4626865671641792E-4</v>
      </c>
    </row>
    <row r="16" spans="1:5" ht="15" customHeight="1">
      <c r="B16" s="87"/>
      <c r="C16" s="45" t="s">
        <v>59</v>
      </c>
      <c r="D16" s="44">
        <v>1</v>
      </c>
      <c r="E16" s="43">
        <v>7.4626865671641792E-4</v>
      </c>
    </row>
    <row r="17" spans="2:5" ht="15" customHeight="1">
      <c r="B17" s="87"/>
      <c r="C17" s="45" t="s">
        <v>64</v>
      </c>
      <c r="D17" s="44">
        <v>1</v>
      </c>
      <c r="E17" s="43">
        <v>7.4626865671641792E-4</v>
      </c>
    </row>
    <row r="18" spans="2:5" ht="15" customHeight="1">
      <c r="B18" s="88"/>
      <c r="C18" s="42" t="s">
        <v>23</v>
      </c>
      <c r="D18" s="41">
        <v>16</v>
      </c>
      <c r="E18" s="40">
        <v>1.1940298507462687E-2</v>
      </c>
    </row>
    <row r="19" spans="2:5" ht="15" customHeight="1">
      <c r="B19" s="86" t="s">
        <v>158</v>
      </c>
      <c r="C19" s="45" t="s">
        <v>65</v>
      </c>
      <c r="D19" s="44">
        <v>1</v>
      </c>
      <c r="E19" s="43">
        <v>7.4626865671641792E-4</v>
      </c>
    </row>
    <row r="20" spans="2:5" ht="15" customHeight="1">
      <c r="B20" s="87"/>
      <c r="C20" s="45" t="s">
        <v>29</v>
      </c>
      <c r="D20" s="44">
        <v>1</v>
      </c>
      <c r="E20" s="43">
        <v>7.4626865671641792E-4</v>
      </c>
    </row>
    <row r="21" spans="2:5" ht="15" customHeight="1">
      <c r="B21" s="87"/>
      <c r="C21" s="45" t="s">
        <v>63</v>
      </c>
      <c r="D21" s="44">
        <v>1</v>
      </c>
      <c r="E21" s="43">
        <v>7.4626865671641792E-4</v>
      </c>
    </row>
    <row r="22" spans="2:5" ht="15" customHeight="1">
      <c r="B22" s="87"/>
      <c r="C22" s="45" t="s">
        <v>61</v>
      </c>
      <c r="D22" s="44">
        <v>1</v>
      </c>
      <c r="E22" s="43">
        <v>7.4626865671641792E-4</v>
      </c>
    </row>
    <row r="23" spans="2:5" ht="15" customHeight="1">
      <c r="B23" s="87"/>
      <c r="C23" s="45" t="s">
        <v>62</v>
      </c>
      <c r="D23" s="44">
        <v>1</v>
      </c>
      <c r="E23" s="43">
        <v>7.4626865671641792E-4</v>
      </c>
    </row>
    <row r="24" spans="2:5" ht="15" customHeight="1">
      <c r="B24" s="87"/>
      <c r="C24" s="45" t="s">
        <v>59</v>
      </c>
      <c r="D24" s="44">
        <v>1</v>
      </c>
      <c r="E24" s="43">
        <v>7.4626865671641792E-4</v>
      </c>
    </row>
    <row r="25" spans="2:5" ht="15" customHeight="1">
      <c r="B25" s="87"/>
      <c r="C25" s="45" t="s">
        <v>64</v>
      </c>
      <c r="D25" s="44">
        <v>1</v>
      </c>
      <c r="E25" s="43">
        <v>7.4626865671641792E-4</v>
      </c>
    </row>
    <row r="26" spans="2:5" ht="15" customHeight="1">
      <c r="B26" s="87"/>
      <c r="C26" s="45" t="s">
        <v>46</v>
      </c>
      <c r="D26" s="44">
        <v>1</v>
      </c>
      <c r="E26" s="43">
        <v>7.4626865671641792E-4</v>
      </c>
    </row>
    <row r="27" spans="2:5" ht="15" customHeight="1">
      <c r="B27" s="88"/>
      <c r="C27" s="42" t="s">
        <v>23</v>
      </c>
      <c r="D27" s="41">
        <v>8</v>
      </c>
      <c r="E27" s="40">
        <v>5.9701492537313433E-3</v>
      </c>
    </row>
    <row r="28" spans="2:5" ht="15" customHeight="1">
      <c r="B28" s="86" t="s">
        <v>157</v>
      </c>
      <c r="C28" s="45" t="s">
        <v>65</v>
      </c>
      <c r="D28" s="44">
        <v>3</v>
      </c>
      <c r="E28" s="43">
        <v>2.2388059701492539E-3</v>
      </c>
    </row>
    <row r="29" spans="2:5" ht="15" customHeight="1">
      <c r="B29" s="87"/>
      <c r="C29" s="45" t="s">
        <v>54</v>
      </c>
      <c r="D29" s="44">
        <v>1</v>
      </c>
      <c r="E29" s="43">
        <v>7.4626865671641792E-4</v>
      </c>
    </row>
    <row r="30" spans="2:5" ht="15" customHeight="1">
      <c r="B30" s="87"/>
      <c r="C30" s="45" t="s">
        <v>49</v>
      </c>
      <c r="D30" s="44">
        <v>1</v>
      </c>
      <c r="E30" s="43">
        <v>7.4626865671641792E-4</v>
      </c>
    </row>
    <row r="31" spans="2:5" ht="15" customHeight="1">
      <c r="B31" s="87"/>
      <c r="C31" s="45" t="s">
        <v>62</v>
      </c>
      <c r="D31" s="44">
        <v>1</v>
      </c>
      <c r="E31" s="43">
        <v>7.4626865671641792E-4</v>
      </c>
    </row>
    <row r="32" spans="2:5" ht="15" customHeight="1">
      <c r="B32" s="87"/>
      <c r="C32" s="45" t="s">
        <v>59</v>
      </c>
      <c r="D32" s="44">
        <v>2</v>
      </c>
      <c r="E32" s="43">
        <v>1.4925373134328358E-3</v>
      </c>
    </row>
    <row r="33" spans="2:5" ht="15" customHeight="1">
      <c r="B33" s="87"/>
      <c r="C33" s="45" t="s">
        <v>64</v>
      </c>
      <c r="D33" s="44">
        <v>3</v>
      </c>
      <c r="E33" s="43">
        <v>2.2388059701492539E-3</v>
      </c>
    </row>
    <row r="34" spans="2:5" ht="15" customHeight="1">
      <c r="B34" s="88"/>
      <c r="C34" s="42" t="s">
        <v>23</v>
      </c>
      <c r="D34" s="41">
        <v>11</v>
      </c>
      <c r="E34" s="40">
        <v>8.2089552238805968E-3</v>
      </c>
    </row>
    <row r="35" spans="2:5" ht="15" customHeight="1">
      <c r="B35" s="86" t="s">
        <v>156</v>
      </c>
      <c r="C35" s="45" t="s">
        <v>60</v>
      </c>
      <c r="D35" s="44">
        <v>1</v>
      </c>
      <c r="E35" s="43">
        <v>7.4626865671641792E-4</v>
      </c>
    </row>
    <row r="36" spans="2:5" ht="15" customHeight="1">
      <c r="B36" s="87"/>
      <c r="C36" s="45" t="s">
        <v>65</v>
      </c>
      <c r="D36" s="44">
        <v>7</v>
      </c>
      <c r="E36" s="43">
        <v>5.2238805970149255E-3</v>
      </c>
    </row>
    <row r="37" spans="2:5" ht="15" customHeight="1">
      <c r="B37" s="87"/>
      <c r="C37" s="45" t="s">
        <v>63</v>
      </c>
      <c r="D37" s="44">
        <v>1</v>
      </c>
      <c r="E37" s="43">
        <v>7.4626865671641792E-4</v>
      </c>
    </row>
    <row r="38" spans="2:5" ht="15" customHeight="1">
      <c r="B38" s="87"/>
      <c r="C38" s="45" t="s">
        <v>41</v>
      </c>
      <c r="D38" s="44">
        <v>1</v>
      </c>
      <c r="E38" s="43">
        <v>7.4626865671641792E-4</v>
      </c>
    </row>
    <row r="39" spans="2:5" ht="15" customHeight="1">
      <c r="B39" s="87"/>
      <c r="C39" s="45" t="s">
        <v>50</v>
      </c>
      <c r="D39" s="44">
        <v>1</v>
      </c>
      <c r="E39" s="43">
        <v>7.4626865671641792E-4</v>
      </c>
    </row>
    <row r="40" spans="2:5" ht="15" customHeight="1">
      <c r="B40" s="87"/>
      <c r="C40" s="45" t="s">
        <v>49</v>
      </c>
      <c r="D40" s="44">
        <v>1</v>
      </c>
      <c r="E40" s="43">
        <v>7.4626865671641792E-4</v>
      </c>
    </row>
    <row r="41" spans="2:5" ht="15" customHeight="1">
      <c r="B41" s="87"/>
      <c r="C41" s="45" t="s">
        <v>62</v>
      </c>
      <c r="D41" s="44">
        <v>1</v>
      </c>
      <c r="E41" s="43">
        <v>7.4626865671641792E-4</v>
      </c>
    </row>
    <row r="42" spans="2:5" ht="15" customHeight="1">
      <c r="B42" s="87"/>
      <c r="C42" s="45" t="s">
        <v>59</v>
      </c>
      <c r="D42" s="44">
        <v>1</v>
      </c>
      <c r="E42" s="43">
        <v>7.4626865671641792E-4</v>
      </c>
    </row>
    <row r="43" spans="2:5" ht="15" customHeight="1">
      <c r="B43" s="87"/>
      <c r="C43" s="45" t="s">
        <v>47</v>
      </c>
      <c r="D43" s="44">
        <v>1</v>
      </c>
      <c r="E43" s="43">
        <v>7.4626865671641792E-4</v>
      </c>
    </row>
    <row r="44" spans="2:5" ht="15" customHeight="1">
      <c r="B44" s="87"/>
      <c r="C44" s="45" t="s">
        <v>55</v>
      </c>
      <c r="D44" s="44">
        <v>1</v>
      </c>
      <c r="E44" s="43">
        <v>7.4626865671641792E-4</v>
      </c>
    </row>
    <row r="45" spans="2:5" ht="15" customHeight="1">
      <c r="B45" s="87"/>
      <c r="C45" s="45" t="s">
        <v>64</v>
      </c>
      <c r="D45" s="44">
        <v>2</v>
      </c>
      <c r="E45" s="43">
        <v>1.4925373134328358E-3</v>
      </c>
    </row>
    <row r="46" spans="2:5" ht="15" customHeight="1">
      <c r="B46" s="87"/>
      <c r="C46" s="45" t="s">
        <v>46</v>
      </c>
      <c r="D46" s="44">
        <v>1</v>
      </c>
      <c r="E46" s="43">
        <v>7.4626865671641792E-4</v>
      </c>
    </row>
    <row r="47" spans="2:5" ht="15" customHeight="1">
      <c r="B47" s="88"/>
      <c r="C47" s="42" t="s">
        <v>23</v>
      </c>
      <c r="D47" s="41">
        <v>19</v>
      </c>
      <c r="E47" s="40">
        <v>1.4179104477611941E-2</v>
      </c>
    </row>
    <row r="48" spans="2:5" ht="15" customHeight="1">
      <c r="B48" s="86" t="s">
        <v>155</v>
      </c>
      <c r="C48" s="45" t="s">
        <v>65</v>
      </c>
      <c r="D48" s="44">
        <v>2</v>
      </c>
      <c r="E48" s="43">
        <v>1.4925373134328358E-3</v>
      </c>
    </row>
    <row r="49" spans="2:5" ht="15" customHeight="1">
      <c r="B49" s="87"/>
      <c r="C49" s="45" t="s">
        <v>29</v>
      </c>
      <c r="D49" s="44">
        <v>1</v>
      </c>
      <c r="E49" s="43">
        <v>7.4626865671641792E-4</v>
      </c>
    </row>
    <row r="50" spans="2:5" ht="15" customHeight="1">
      <c r="B50" s="87"/>
      <c r="C50" s="45" t="s">
        <v>63</v>
      </c>
      <c r="D50" s="44">
        <v>5</v>
      </c>
      <c r="E50" s="43">
        <v>3.7313432835820895E-3</v>
      </c>
    </row>
    <row r="51" spans="2:5" ht="15" customHeight="1">
      <c r="B51" s="87"/>
      <c r="C51" s="45" t="s">
        <v>62</v>
      </c>
      <c r="D51" s="44">
        <v>1</v>
      </c>
      <c r="E51" s="43">
        <v>7.4626865671641792E-4</v>
      </c>
    </row>
    <row r="52" spans="2:5" ht="15" customHeight="1">
      <c r="B52" s="87"/>
      <c r="C52" s="45" t="s">
        <v>59</v>
      </c>
      <c r="D52" s="44">
        <v>1</v>
      </c>
      <c r="E52" s="43">
        <v>7.4626865671641792E-4</v>
      </c>
    </row>
    <row r="53" spans="2:5" ht="15" customHeight="1">
      <c r="B53" s="87"/>
      <c r="C53" s="45" t="s">
        <v>57</v>
      </c>
      <c r="D53" s="44">
        <v>1</v>
      </c>
      <c r="E53" s="43">
        <v>7.4626865671641792E-4</v>
      </c>
    </row>
    <row r="54" spans="2:5" ht="15" customHeight="1">
      <c r="B54" s="87"/>
      <c r="C54" s="45" t="s">
        <v>64</v>
      </c>
      <c r="D54" s="44">
        <v>5</v>
      </c>
      <c r="E54" s="43">
        <v>3.7313432835820895E-3</v>
      </c>
    </row>
    <row r="55" spans="2:5" ht="15" customHeight="1">
      <c r="B55" s="87"/>
      <c r="C55" s="45" t="s">
        <v>46</v>
      </c>
      <c r="D55" s="44">
        <v>1</v>
      </c>
      <c r="E55" s="43">
        <v>7.4626865671641792E-4</v>
      </c>
    </row>
    <row r="56" spans="2:5" ht="15" customHeight="1">
      <c r="B56" s="88"/>
      <c r="C56" s="42" t="s">
        <v>23</v>
      </c>
      <c r="D56" s="41">
        <v>17</v>
      </c>
      <c r="E56" s="40">
        <v>1.2686567164179104E-2</v>
      </c>
    </row>
    <row r="57" spans="2:5" ht="15" customHeight="1">
      <c r="B57" s="86" t="s">
        <v>154</v>
      </c>
      <c r="C57" s="45" t="s">
        <v>60</v>
      </c>
      <c r="D57" s="44">
        <v>1</v>
      </c>
      <c r="E57" s="43">
        <v>7.4626865671641792E-4</v>
      </c>
    </row>
    <row r="58" spans="2:5" ht="15" customHeight="1">
      <c r="B58" s="87"/>
      <c r="C58" s="45" t="s">
        <v>65</v>
      </c>
      <c r="D58" s="44">
        <v>7</v>
      </c>
      <c r="E58" s="43">
        <v>5.2238805970149255E-3</v>
      </c>
    </row>
    <row r="59" spans="2:5" ht="15" customHeight="1">
      <c r="B59" s="87"/>
      <c r="C59" s="45" t="s">
        <v>58</v>
      </c>
      <c r="D59" s="44">
        <v>4</v>
      </c>
      <c r="E59" s="43">
        <v>2.9850746268656717E-3</v>
      </c>
    </row>
    <row r="60" spans="2:5" ht="15" customHeight="1">
      <c r="B60" s="87"/>
      <c r="C60" s="45" t="s">
        <v>63</v>
      </c>
      <c r="D60" s="44">
        <v>4</v>
      </c>
      <c r="E60" s="43">
        <v>2.9850746268656717E-3</v>
      </c>
    </row>
    <row r="61" spans="2:5" ht="15" customHeight="1">
      <c r="B61" s="87"/>
      <c r="C61" s="45" t="s">
        <v>61</v>
      </c>
      <c r="D61" s="44">
        <v>2</v>
      </c>
      <c r="E61" s="43">
        <v>1.4925373134328358E-3</v>
      </c>
    </row>
    <row r="62" spans="2:5" ht="15" customHeight="1">
      <c r="B62" s="87"/>
      <c r="C62" s="45" t="s">
        <v>50</v>
      </c>
      <c r="D62" s="44">
        <v>1</v>
      </c>
      <c r="E62" s="43">
        <v>7.4626865671641792E-4</v>
      </c>
    </row>
    <row r="63" spans="2:5" ht="15" customHeight="1">
      <c r="B63" s="87"/>
      <c r="C63" s="45" t="s">
        <v>42</v>
      </c>
      <c r="D63" s="44">
        <v>2</v>
      </c>
      <c r="E63" s="43">
        <v>1.4925373134328358E-3</v>
      </c>
    </row>
    <row r="64" spans="2:5" ht="15" customHeight="1">
      <c r="B64" s="87"/>
      <c r="C64" s="45" t="s">
        <v>62</v>
      </c>
      <c r="D64" s="44">
        <v>1</v>
      </c>
      <c r="E64" s="43">
        <v>7.4626865671641792E-4</v>
      </c>
    </row>
    <row r="65" spans="2:5" ht="15" customHeight="1">
      <c r="B65" s="87"/>
      <c r="C65" s="45" t="s">
        <v>40</v>
      </c>
      <c r="D65" s="44">
        <v>1</v>
      </c>
      <c r="E65" s="43">
        <v>7.4626865671641792E-4</v>
      </c>
    </row>
    <row r="66" spans="2:5" ht="15" customHeight="1">
      <c r="B66" s="87"/>
      <c r="C66" s="45" t="s">
        <v>57</v>
      </c>
      <c r="D66" s="44">
        <v>1</v>
      </c>
      <c r="E66" s="43">
        <v>7.4626865671641792E-4</v>
      </c>
    </row>
    <row r="67" spans="2:5" ht="15" customHeight="1">
      <c r="B67" s="87"/>
      <c r="C67" s="45" t="s">
        <v>64</v>
      </c>
      <c r="D67" s="44">
        <v>3</v>
      </c>
      <c r="E67" s="43">
        <v>2.2388059701492539E-3</v>
      </c>
    </row>
    <row r="68" spans="2:5" ht="15" customHeight="1">
      <c r="B68" s="88"/>
      <c r="C68" s="42" t="s">
        <v>23</v>
      </c>
      <c r="D68" s="41">
        <v>27</v>
      </c>
      <c r="E68" s="40">
        <v>2.0149253731343283E-2</v>
      </c>
    </row>
    <row r="69" spans="2:5" ht="15" customHeight="1">
      <c r="B69" s="86" t="s">
        <v>153</v>
      </c>
      <c r="C69" s="45" t="s">
        <v>60</v>
      </c>
      <c r="D69" s="44">
        <v>1</v>
      </c>
      <c r="E69" s="43">
        <v>7.4626865671641792E-4</v>
      </c>
    </row>
    <row r="70" spans="2:5" ht="15" customHeight="1">
      <c r="B70" s="87"/>
      <c r="C70" s="45" t="s">
        <v>65</v>
      </c>
      <c r="D70" s="44">
        <v>16</v>
      </c>
      <c r="E70" s="43">
        <v>1.1940298507462687E-2</v>
      </c>
    </row>
    <row r="71" spans="2:5" ht="15" customHeight="1">
      <c r="B71" s="87"/>
      <c r="C71" s="45" t="s">
        <v>58</v>
      </c>
      <c r="D71" s="44">
        <v>1</v>
      </c>
      <c r="E71" s="43">
        <v>7.4626865671641792E-4</v>
      </c>
    </row>
    <row r="72" spans="2:5" ht="15" customHeight="1">
      <c r="B72" s="87"/>
      <c r="C72" s="45" t="s">
        <v>63</v>
      </c>
      <c r="D72" s="44">
        <v>5</v>
      </c>
      <c r="E72" s="43">
        <v>3.7313432835820895E-3</v>
      </c>
    </row>
    <row r="73" spans="2:5" ht="15" customHeight="1">
      <c r="B73" s="87"/>
      <c r="C73" s="45" t="s">
        <v>61</v>
      </c>
      <c r="D73" s="44">
        <v>2</v>
      </c>
      <c r="E73" s="43">
        <v>1.4925373134328358E-3</v>
      </c>
    </row>
    <row r="74" spans="2:5" ht="15" customHeight="1">
      <c r="B74" s="87"/>
      <c r="C74" s="45" t="s">
        <v>41</v>
      </c>
      <c r="D74" s="44">
        <v>1</v>
      </c>
      <c r="E74" s="43">
        <v>7.4626865671641792E-4</v>
      </c>
    </row>
    <row r="75" spans="2:5" ht="15" customHeight="1">
      <c r="B75" s="87"/>
      <c r="C75" s="45" t="s">
        <v>56</v>
      </c>
      <c r="D75" s="44">
        <v>1</v>
      </c>
      <c r="E75" s="43">
        <v>7.4626865671641792E-4</v>
      </c>
    </row>
    <row r="76" spans="2:5" ht="15" customHeight="1">
      <c r="B76" s="87"/>
      <c r="C76" s="45" t="s">
        <v>54</v>
      </c>
      <c r="D76" s="44">
        <v>3</v>
      </c>
      <c r="E76" s="43">
        <v>2.2388059701492539E-3</v>
      </c>
    </row>
    <row r="77" spans="2:5" ht="15" customHeight="1">
      <c r="B77" s="87"/>
      <c r="C77" s="45" t="s">
        <v>50</v>
      </c>
      <c r="D77" s="44">
        <v>3</v>
      </c>
      <c r="E77" s="43">
        <v>2.2388059701492539E-3</v>
      </c>
    </row>
    <row r="78" spans="2:5" ht="15" customHeight="1">
      <c r="B78" s="87"/>
      <c r="C78" s="45" t="s">
        <v>49</v>
      </c>
      <c r="D78" s="44">
        <v>1</v>
      </c>
      <c r="E78" s="43">
        <v>7.4626865671641792E-4</v>
      </c>
    </row>
    <row r="79" spans="2:5" ht="15" customHeight="1">
      <c r="B79" s="87"/>
      <c r="C79" s="45" t="s">
        <v>34</v>
      </c>
      <c r="D79" s="44">
        <v>1</v>
      </c>
      <c r="E79" s="43">
        <v>7.4626865671641792E-4</v>
      </c>
    </row>
    <row r="80" spans="2:5" ht="15" customHeight="1">
      <c r="B80" s="87"/>
      <c r="C80" s="45" t="s">
        <v>39</v>
      </c>
      <c r="D80" s="44">
        <v>2</v>
      </c>
      <c r="E80" s="43">
        <v>1.4925373134328358E-3</v>
      </c>
    </row>
    <row r="81" spans="2:5" ht="15" customHeight="1">
      <c r="B81" s="87"/>
      <c r="C81" s="45" t="s">
        <v>48</v>
      </c>
      <c r="D81" s="44">
        <v>3</v>
      </c>
      <c r="E81" s="43">
        <v>2.2388059701492539E-3</v>
      </c>
    </row>
    <row r="82" spans="2:5" ht="15" customHeight="1">
      <c r="B82" s="87"/>
      <c r="C82" s="45" t="s">
        <v>62</v>
      </c>
      <c r="D82" s="44">
        <v>6</v>
      </c>
      <c r="E82" s="43">
        <v>4.4776119402985077E-3</v>
      </c>
    </row>
    <row r="83" spans="2:5" ht="15" customHeight="1">
      <c r="B83" s="87"/>
      <c r="C83" s="45" t="s">
        <v>51</v>
      </c>
      <c r="D83" s="44">
        <v>2</v>
      </c>
      <c r="E83" s="43">
        <v>1.4925373134328358E-3</v>
      </c>
    </row>
    <row r="84" spans="2:5" ht="15" customHeight="1">
      <c r="B84" s="87"/>
      <c r="C84" s="45" t="s">
        <v>38</v>
      </c>
      <c r="D84" s="44">
        <v>2</v>
      </c>
      <c r="E84" s="43">
        <v>1.4925373134328358E-3</v>
      </c>
    </row>
    <row r="85" spans="2:5" ht="15" customHeight="1">
      <c r="B85" s="87"/>
      <c r="C85" s="45" t="s">
        <v>59</v>
      </c>
      <c r="D85" s="44">
        <v>4</v>
      </c>
      <c r="E85" s="43">
        <v>2.9850746268656717E-3</v>
      </c>
    </row>
    <row r="86" spans="2:5" ht="15" customHeight="1">
      <c r="B86" s="87"/>
      <c r="C86" s="45" t="s">
        <v>57</v>
      </c>
      <c r="D86" s="44">
        <v>1</v>
      </c>
      <c r="E86" s="43">
        <v>7.4626865671641792E-4</v>
      </c>
    </row>
    <row r="87" spans="2:5" ht="15" customHeight="1">
      <c r="B87" s="87"/>
      <c r="C87" s="45" t="s">
        <v>28</v>
      </c>
      <c r="D87" s="44">
        <v>1</v>
      </c>
      <c r="E87" s="43">
        <v>7.4626865671641792E-4</v>
      </c>
    </row>
    <row r="88" spans="2:5" ht="15" customHeight="1">
      <c r="B88" s="87"/>
      <c r="C88" s="45" t="s">
        <v>55</v>
      </c>
      <c r="D88" s="44">
        <v>1</v>
      </c>
      <c r="E88" s="43">
        <v>7.4626865671641792E-4</v>
      </c>
    </row>
    <row r="89" spans="2:5" ht="15" customHeight="1">
      <c r="B89" s="87"/>
      <c r="C89" s="45" t="s">
        <v>64</v>
      </c>
      <c r="D89" s="44">
        <v>19</v>
      </c>
      <c r="E89" s="43">
        <v>1.4179104477611941E-2</v>
      </c>
    </row>
    <row r="90" spans="2:5" ht="15" customHeight="1">
      <c r="B90" s="87"/>
      <c r="C90" s="45" t="s">
        <v>46</v>
      </c>
      <c r="D90" s="44">
        <v>1</v>
      </c>
      <c r="E90" s="43">
        <v>7.4626865671641792E-4</v>
      </c>
    </row>
    <row r="91" spans="2:5" ht="15" customHeight="1">
      <c r="B91" s="87"/>
      <c r="C91" s="45" t="s">
        <v>45</v>
      </c>
      <c r="D91" s="44">
        <v>1</v>
      </c>
      <c r="E91" s="43">
        <v>7.4626865671641792E-4</v>
      </c>
    </row>
    <row r="92" spans="2:5" ht="15" customHeight="1">
      <c r="B92" s="87"/>
      <c r="C92" s="45" t="s">
        <v>43</v>
      </c>
      <c r="D92" s="44">
        <v>1</v>
      </c>
      <c r="E92" s="43">
        <v>7.4626865671641792E-4</v>
      </c>
    </row>
    <row r="93" spans="2:5" ht="15" customHeight="1">
      <c r="B93" s="88"/>
      <c r="C93" s="42" t="s">
        <v>23</v>
      </c>
      <c r="D93" s="41">
        <v>79</v>
      </c>
      <c r="E93" s="40">
        <v>5.8955223880597013E-2</v>
      </c>
    </row>
    <row r="94" spans="2:5" ht="15" customHeight="1">
      <c r="B94" s="86" t="s">
        <v>152</v>
      </c>
      <c r="C94" s="45" t="s">
        <v>60</v>
      </c>
      <c r="D94" s="44">
        <v>2</v>
      </c>
      <c r="E94" s="43">
        <v>1.4925373134328358E-3</v>
      </c>
    </row>
    <row r="95" spans="2:5" ht="15" customHeight="1">
      <c r="B95" s="87"/>
      <c r="C95" s="45" t="s">
        <v>36</v>
      </c>
      <c r="D95" s="44">
        <v>3</v>
      </c>
      <c r="E95" s="43">
        <v>2.2388059701492539E-3</v>
      </c>
    </row>
    <row r="96" spans="2:5" ht="15" customHeight="1">
      <c r="B96" s="87"/>
      <c r="C96" s="45" t="s">
        <v>53</v>
      </c>
      <c r="D96" s="44">
        <v>4</v>
      </c>
      <c r="E96" s="43">
        <v>2.9850746268656717E-3</v>
      </c>
    </row>
    <row r="97" spans="2:5" ht="15" customHeight="1">
      <c r="B97" s="87"/>
      <c r="C97" s="45" t="s">
        <v>65</v>
      </c>
      <c r="D97" s="44">
        <v>43</v>
      </c>
      <c r="E97" s="43">
        <v>3.2089552238805968E-2</v>
      </c>
    </row>
    <row r="98" spans="2:5" ht="15" customHeight="1">
      <c r="B98" s="87"/>
      <c r="C98" s="45" t="s">
        <v>58</v>
      </c>
      <c r="D98" s="44">
        <v>4</v>
      </c>
      <c r="E98" s="43">
        <v>2.9850746268656717E-3</v>
      </c>
    </row>
    <row r="99" spans="2:5" ht="15" customHeight="1">
      <c r="B99" s="87"/>
      <c r="C99" s="45" t="s">
        <v>30</v>
      </c>
      <c r="D99" s="44">
        <v>1</v>
      </c>
      <c r="E99" s="43">
        <v>7.4626865671641792E-4</v>
      </c>
    </row>
    <row r="100" spans="2:5" ht="15" customHeight="1">
      <c r="B100" s="87"/>
      <c r="C100" s="45" t="s">
        <v>63</v>
      </c>
      <c r="D100" s="44">
        <v>17</v>
      </c>
      <c r="E100" s="43">
        <v>1.2686567164179104E-2</v>
      </c>
    </row>
    <row r="101" spans="2:5" ht="15" customHeight="1">
      <c r="B101" s="87"/>
      <c r="C101" s="45" t="s">
        <v>61</v>
      </c>
      <c r="D101" s="44">
        <v>14</v>
      </c>
      <c r="E101" s="43">
        <v>1.0447761194029851E-2</v>
      </c>
    </row>
    <row r="102" spans="2:5" ht="15" customHeight="1">
      <c r="B102" s="87"/>
      <c r="C102" s="45" t="s">
        <v>41</v>
      </c>
      <c r="D102" s="44">
        <v>1</v>
      </c>
      <c r="E102" s="43">
        <v>7.4626865671641792E-4</v>
      </c>
    </row>
    <row r="103" spans="2:5" ht="15" customHeight="1">
      <c r="B103" s="87"/>
      <c r="C103" s="45" t="s">
        <v>56</v>
      </c>
      <c r="D103" s="44">
        <v>3</v>
      </c>
      <c r="E103" s="43">
        <v>2.2388059701492539E-3</v>
      </c>
    </row>
    <row r="104" spans="2:5" ht="15" customHeight="1">
      <c r="B104" s="87"/>
      <c r="C104" s="45" t="s">
        <v>52</v>
      </c>
      <c r="D104" s="44">
        <v>4</v>
      </c>
      <c r="E104" s="43">
        <v>2.9850746268656717E-3</v>
      </c>
    </row>
    <row r="105" spans="2:5" ht="15" customHeight="1">
      <c r="B105" s="87"/>
      <c r="C105" s="45" t="s">
        <v>54</v>
      </c>
      <c r="D105" s="44">
        <v>3</v>
      </c>
      <c r="E105" s="43">
        <v>2.2388059701492539E-3</v>
      </c>
    </row>
    <row r="106" spans="2:5" ht="15" customHeight="1">
      <c r="B106" s="87"/>
      <c r="C106" s="45" t="s">
        <v>50</v>
      </c>
      <c r="D106" s="44">
        <v>1</v>
      </c>
      <c r="E106" s="43">
        <v>7.4626865671641792E-4</v>
      </c>
    </row>
    <row r="107" spans="2:5" ht="15" customHeight="1">
      <c r="B107" s="87"/>
      <c r="C107" s="45" t="s">
        <v>49</v>
      </c>
      <c r="D107" s="44">
        <v>1</v>
      </c>
      <c r="E107" s="43">
        <v>7.4626865671641792E-4</v>
      </c>
    </row>
    <row r="108" spans="2:5" ht="15" customHeight="1">
      <c r="B108" s="87"/>
      <c r="C108" s="45" t="s">
        <v>34</v>
      </c>
      <c r="D108" s="44">
        <v>2</v>
      </c>
      <c r="E108" s="43">
        <v>1.4925373134328358E-3</v>
      </c>
    </row>
    <row r="109" spans="2:5" ht="15" customHeight="1">
      <c r="B109" s="87"/>
      <c r="C109" s="45" t="s">
        <v>39</v>
      </c>
      <c r="D109" s="44">
        <v>3</v>
      </c>
      <c r="E109" s="43">
        <v>2.2388059701492539E-3</v>
      </c>
    </row>
    <row r="110" spans="2:5" ht="15" customHeight="1">
      <c r="B110" s="87"/>
      <c r="C110" s="45" t="s">
        <v>48</v>
      </c>
      <c r="D110" s="44">
        <v>3</v>
      </c>
      <c r="E110" s="43">
        <v>2.2388059701492539E-3</v>
      </c>
    </row>
    <row r="111" spans="2:5" ht="15" customHeight="1">
      <c r="B111" s="87"/>
      <c r="C111" s="45" t="s">
        <v>62</v>
      </c>
      <c r="D111" s="44">
        <v>11</v>
      </c>
      <c r="E111" s="43">
        <v>8.2089552238805968E-3</v>
      </c>
    </row>
    <row r="112" spans="2:5" ht="15" customHeight="1">
      <c r="B112" s="87"/>
      <c r="C112" s="45" t="s">
        <v>51</v>
      </c>
      <c r="D112" s="44">
        <v>6</v>
      </c>
      <c r="E112" s="43">
        <v>4.4776119402985077E-3</v>
      </c>
    </row>
    <row r="113" spans="2:5" ht="15" customHeight="1">
      <c r="B113" s="87"/>
      <c r="C113" s="45" t="s">
        <v>40</v>
      </c>
      <c r="D113" s="44">
        <v>1</v>
      </c>
      <c r="E113" s="43">
        <v>7.4626865671641792E-4</v>
      </c>
    </row>
    <row r="114" spans="2:5" ht="15" customHeight="1">
      <c r="B114" s="87"/>
      <c r="C114" s="45" t="s">
        <v>59</v>
      </c>
      <c r="D114" s="44">
        <v>1</v>
      </c>
      <c r="E114" s="43">
        <v>7.4626865671641792E-4</v>
      </c>
    </row>
    <row r="115" spans="2:5" ht="15" customHeight="1">
      <c r="B115" s="87"/>
      <c r="C115" s="45" t="s">
        <v>37</v>
      </c>
      <c r="D115" s="44">
        <v>1</v>
      </c>
      <c r="E115" s="43">
        <v>7.4626865671641792E-4</v>
      </c>
    </row>
    <row r="116" spans="2:5" ht="15" customHeight="1">
      <c r="B116" s="87"/>
      <c r="C116" s="45" t="s">
        <v>57</v>
      </c>
      <c r="D116" s="44">
        <v>3</v>
      </c>
      <c r="E116" s="43">
        <v>2.2388059701492539E-3</v>
      </c>
    </row>
    <row r="117" spans="2:5" ht="15" customHeight="1">
      <c r="B117" s="87"/>
      <c r="C117" s="45" t="s">
        <v>33</v>
      </c>
      <c r="D117" s="44">
        <v>1</v>
      </c>
      <c r="E117" s="43">
        <v>7.4626865671641792E-4</v>
      </c>
    </row>
    <row r="118" spans="2:5" ht="15" customHeight="1">
      <c r="B118" s="87"/>
      <c r="C118" s="45" t="s">
        <v>28</v>
      </c>
      <c r="D118" s="44">
        <v>1</v>
      </c>
      <c r="E118" s="43">
        <v>7.4626865671641792E-4</v>
      </c>
    </row>
    <row r="119" spans="2:5" ht="15" customHeight="1">
      <c r="B119" s="87"/>
      <c r="C119" s="45" t="s">
        <v>47</v>
      </c>
      <c r="D119" s="44">
        <v>4</v>
      </c>
      <c r="E119" s="43">
        <v>2.9850746268656717E-3</v>
      </c>
    </row>
    <row r="120" spans="2:5" ht="15" customHeight="1">
      <c r="B120" s="87"/>
      <c r="C120" s="45" t="s">
        <v>55</v>
      </c>
      <c r="D120" s="44">
        <v>3</v>
      </c>
      <c r="E120" s="43">
        <v>2.2388059701492539E-3</v>
      </c>
    </row>
    <row r="121" spans="2:5" ht="15" customHeight="1">
      <c r="B121" s="87"/>
      <c r="C121" s="45" t="s">
        <v>64</v>
      </c>
      <c r="D121" s="44">
        <v>27</v>
      </c>
      <c r="E121" s="43">
        <v>2.0149253731343283E-2</v>
      </c>
    </row>
    <row r="122" spans="2:5" ht="15" customHeight="1">
      <c r="B122" s="87"/>
      <c r="C122" s="45" t="s">
        <v>45</v>
      </c>
      <c r="D122" s="44">
        <v>3</v>
      </c>
      <c r="E122" s="43">
        <v>2.2388059701492539E-3</v>
      </c>
    </row>
    <row r="123" spans="2:5" ht="15" customHeight="1">
      <c r="B123" s="87"/>
      <c r="C123" s="45" t="s">
        <v>43</v>
      </c>
      <c r="D123" s="44">
        <v>2</v>
      </c>
      <c r="E123" s="43">
        <v>1.4925373134328358E-3</v>
      </c>
    </row>
    <row r="124" spans="2:5" ht="15" customHeight="1">
      <c r="B124" s="88"/>
      <c r="C124" s="42" t="s">
        <v>23</v>
      </c>
      <c r="D124" s="41">
        <v>173</v>
      </c>
      <c r="E124" s="40">
        <v>0.1291044776119403</v>
      </c>
    </row>
    <row r="125" spans="2:5" ht="15" customHeight="1">
      <c r="B125" s="86" t="s">
        <v>151</v>
      </c>
      <c r="C125" s="45" t="s">
        <v>60</v>
      </c>
      <c r="D125" s="44">
        <v>1</v>
      </c>
      <c r="E125" s="43">
        <v>7.4626865671641792E-4</v>
      </c>
    </row>
    <row r="126" spans="2:5" ht="15" customHeight="1">
      <c r="B126" s="87"/>
      <c r="C126" s="45" t="s">
        <v>65</v>
      </c>
      <c r="D126" s="44">
        <v>3</v>
      </c>
      <c r="E126" s="43">
        <v>2.2388059701492539E-3</v>
      </c>
    </row>
    <row r="127" spans="2:5" ht="15" customHeight="1">
      <c r="B127" s="87"/>
      <c r="C127" s="45" t="s">
        <v>30</v>
      </c>
      <c r="D127" s="44">
        <v>1</v>
      </c>
      <c r="E127" s="43">
        <v>7.4626865671641792E-4</v>
      </c>
    </row>
    <row r="128" spans="2:5" ht="15" customHeight="1">
      <c r="B128" s="87"/>
      <c r="C128" s="45" t="s">
        <v>63</v>
      </c>
      <c r="D128" s="44">
        <v>2</v>
      </c>
      <c r="E128" s="43">
        <v>1.4925373134328358E-3</v>
      </c>
    </row>
    <row r="129" spans="2:5" ht="15" customHeight="1">
      <c r="B129" s="87"/>
      <c r="C129" s="45" t="s">
        <v>61</v>
      </c>
      <c r="D129" s="44">
        <v>1</v>
      </c>
      <c r="E129" s="43">
        <v>7.4626865671641792E-4</v>
      </c>
    </row>
    <row r="130" spans="2:5" ht="15" customHeight="1">
      <c r="B130" s="87"/>
      <c r="C130" s="45" t="s">
        <v>39</v>
      </c>
      <c r="D130" s="44">
        <v>1</v>
      </c>
      <c r="E130" s="43">
        <v>7.4626865671641792E-4</v>
      </c>
    </row>
    <row r="131" spans="2:5" ht="15" customHeight="1">
      <c r="B131" s="87"/>
      <c r="C131" s="45" t="s">
        <v>62</v>
      </c>
      <c r="D131" s="44">
        <v>2</v>
      </c>
      <c r="E131" s="43">
        <v>1.4925373134328358E-3</v>
      </c>
    </row>
    <row r="132" spans="2:5" ht="15" customHeight="1">
      <c r="B132" s="87"/>
      <c r="C132" s="45" t="s">
        <v>55</v>
      </c>
      <c r="D132" s="44">
        <v>1</v>
      </c>
      <c r="E132" s="43">
        <v>7.4626865671641792E-4</v>
      </c>
    </row>
    <row r="133" spans="2:5" ht="15" customHeight="1">
      <c r="B133" s="87"/>
      <c r="C133" s="45" t="s">
        <v>64</v>
      </c>
      <c r="D133" s="44">
        <v>2</v>
      </c>
      <c r="E133" s="43">
        <v>1.4925373134328358E-3</v>
      </c>
    </row>
    <row r="134" spans="2:5" ht="15" customHeight="1">
      <c r="B134" s="87"/>
      <c r="C134" s="45" t="s">
        <v>45</v>
      </c>
      <c r="D134" s="44">
        <v>1</v>
      </c>
      <c r="E134" s="43">
        <v>7.4626865671641792E-4</v>
      </c>
    </row>
    <row r="135" spans="2:5" ht="15" customHeight="1">
      <c r="B135" s="88"/>
      <c r="C135" s="42" t="s">
        <v>23</v>
      </c>
      <c r="D135" s="41">
        <v>15</v>
      </c>
      <c r="E135" s="40">
        <v>1.1194029850746268E-2</v>
      </c>
    </row>
    <row r="136" spans="2:5" ht="15" customHeight="1">
      <c r="B136" s="86" t="s">
        <v>150</v>
      </c>
      <c r="C136" s="45" t="s">
        <v>60</v>
      </c>
      <c r="D136" s="44">
        <v>1</v>
      </c>
      <c r="E136" s="43">
        <v>7.4626865671641792E-4</v>
      </c>
    </row>
    <row r="137" spans="2:5" ht="15" customHeight="1">
      <c r="B137" s="87"/>
      <c r="C137" s="45" t="s">
        <v>53</v>
      </c>
      <c r="D137" s="44">
        <v>1</v>
      </c>
      <c r="E137" s="43">
        <v>7.4626865671641792E-4</v>
      </c>
    </row>
    <row r="138" spans="2:5" ht="15" customHeight="1">
      <c r="B138" s="87"/>
      <c r="C138" s="45" t="s">
        <v>65</v>
      </c>
      <c r="D138" s="44">
        <v>7</v>
      </c>
      <c r="E138" s="43">
        <v>5.2238805970149255E-3</v>
      </c>
    </row>
    <row r="139" spans="2:5" ht="15" customHeight="1">
      <c r="B139" s="87"/>
      <c r="C139" s="45" t="s">
        <v>58</v>
      </c>
      <c r="D139" s="44">
        <v>2</v>
      </c>
      <c r="E139" s="43">
        <v>1.4925373134328358E-3</v>
      </c>
    </row>
    <row r="140" spans="2:5" ht="15" customHeight="1">
      <c r="B140" s="87"/>
      <c r="C140" s="45" t="s">
        <v>63</v>
      </c>
      <c r="D140" s="44">
        <v>2</v>
      </c>
      <c r="E140" s="43">
        <v>1.4925373134328358E-3</v>
      </c>
    </row>
    <row r="141" spans="2:5" ht="15" customHeight="1">
      <c r="B141" s="87"/>
      <c r="C141" s="45" t="s">
        <v>56</v>
      </c>
      <c r="D141" s="44">
        <v>4</v>
      </c>
      <c r="E141" s="43">
        <v>2.9850746268656717E-3</v>
      </c>
    </row>
    <row r="142" spans="2:5" ht="15" customHeight="1">
      <c r="B142" s="87"/>
      <c r="C142" s="45" t="s">
        <v>54</v>
      </c>
      <c r="D142" s="44">
        <v>3</v>
      </c>
      <c r="E142" s="43">
        <v>2.2388059701492539E-3</v>
      </c>
    </row>
    <row r="143" spans="2:5" ht="15" customHeight="1">
      <c r="B143" s="87"/>
      <c r="C143" s="45" t="s">
        <v>49</v>
      </c>
      <c r="D143" s="44">
        <v>1</v>
      </c>
      <c r="E143" s="43">
        <v>7.4626865671641792E-4</v>
      </c>
    </row>
    <row r="144" spans="2:5" ht="15" customHeight="1">
      <c r="B144" s="87"/>
      <c r="C144" s="45" t="s">
        <v>34</v>
      </c>
      <c r="D144" s="44">
        <v>1</v>
      </c>
      <c r="E144" s="43">
        <v>7.4626865671641792E-4</v>
      </c>
    </row>
    <row r="145" spans="2:5" ht="15" customHeight="1">
      <c r="B145" s="87"/>
      <c r="C145" s="45" t="s">
        <v>62</v>
      </c>
      <c r="D145" s="44">
        <v>2</v>
      </c>
      <c r="E145" s="43">
        <v>1.4925373134328358E-3</v>
      </c>
    </row>
    <row r="146" spans="2:5" ht="15" customHeight="1">
      <c r="B146" s="87"/>
      <c r="C146" s="45" t="s">
        <v>51</v>
      </c>
      <c r="D146" s="44">
        <v>1</v>
      </c>
      <c r="E146" s="43">
        <v>7.4626865671641792E-4</v>
      </c>
    </row>
    <row r="147" spans="2:5" ht="15" customHeight="1">
      <c r="B147" s="87"/>
      <c r="C147" s="45" t="s">
        <v>47</v>
      </c>
      <c r="D147" s="44">
        <v>2</v>
      </c>
      <c r="E147" s="43">
        <v>1.4925373134328358E-3</v>
      </c>
    </row>
    <row r="148" spans="2:5" ht="15" customHeight="1">
      <c r="B148" s="87"/>
      <c r="C148" s="45" t="s">
        <v>55</v>
      </c>
      <c r="D148" s="44">
        <v>1</v>
      </c>
      <c r="E148" s="43">
        <v>7.4626865671641792E-4</v>
      </c>
    </row>
    <row r="149" spans="2:5" ht="15" customHeight="1">
      <c r="B149" s="87"/>
      <c r="C149" s="45" t="s">
        <v>64</v>
      </c>
      <c r="D149" s="44">
        <v>5</v>
      </c>
      <c r="E149" s="43">
        <v>3.7313432835820895E-3</v>
      </c>
    </row>
    <row r="150" spans="2:5" ht="15" customHeight="1">
      <c r="B150" s="87"/>
      <c r="C150" s="45" t="s">
        <v>46</v>
      </c>
      <c r="D150" s="44">
        <v>1</v>
      </c>
      <c r="E150" s="43">
        <v>7.4626865671641792E-4</v>
      </c>
    </row>
    <row r="151" spans="2:5" ht="15" customHeight="1">
      <c r="B151" s="88"/>
      <c r="C151" s="42" t="s">
        <v>23</v>
      </c>
      <c r="D151" s="41">
        <v>34</v>
      </c>
      <c r="E151" s="40">
        <v>2.5373134328358207E-2</v>
      </c>
    </row>
    <row r="152" spans="2:5" ht="15" customHeight="1">
      <c r="B152" s="86" t="s">
        <v>149</v>
      </c>
      <c r="C152" s="45" t="s">
        <v>36</v>
      </c>
      <c r="D152" s="44">
        <v>1</v>
      </c>
      <c r="E152" s="43">
        <v>7.4626865671641792E-4</v>
      </c>
    </row>
    <row r="153" spans="2:5" ht="15" customHeight="1">
      <c r="B153" s="87"/>
      <c r="C153" s="45" t="s">
        <v>53</v>
      </c>
      <c r="D153" s="44">
        <v>2</v>
      </c>
      <c r="E153" s="43">
        <v>1.4925373134328358E-3</v>
      </c>
    </row>
    <row r="154" spans="2:5" ht="15" customHeight="1">
      <c r="B154" s="87"/>
      <c r="C154" s="45" t="s">
        <v>65</v>
      </c>
      <c r="D154" s="44">
        <v>7</v>
      </c>
      <c r="E154" s="43">
        <v>5.2238805970149255E-3</v>
      </c>
    </row>
    <row r="155" spans="2:5" ht="15" customHeight="1">
      <c r="B155" s="87"/>
      <c r="C155" s="45" t="s">
        <v>58</v>
      </c>
      <c r="D155" s="44">
        <v>1</v>
      </c>
      <c r="E155" s="43">
        <v>7.4626865671641792E-4</v>
      </c>
    </row>
    <row r="156" spans="2:5" ht="15" customHeight="1">
      <c r="B156" s="87"/>
      <c r="C156" s="45" t="s">
        <v>63</v>
      </c>
      <c r="D156" s="44">
        <v>3</v>
      </c>
      <c r="E156" s="43">
        <v>2.2388059701492539E-3</v>
      </c>
    </row>
    <row r="157" spans="2:5" ht="15" customHeight="1">
      <c r="B157" s="87"/>
      <c r="C157" s="45" t="s">
        <v>61</v>
      </c>
      <c r="D157" s="44">
        <v>1</v>
      </c>
      <c r="E157" s="43">
        <v>7.4626865671641792E-4</v>
      </c>
    </row>
    <row r="158" spans="2:5" ht="15" customHeight="1">
      <c r="B158" s="87"/>
      <c r="C158" s="45" t="s">
        <v>52</v>
      </c>
      <c r="D158" s="44">
        <v>5</v>
      </c>
      <c r="E158" s="43">
        <v>3.7313432835820895E-3</v>
      </c>
    </row>
    <row r="159" spans="2:5" ht="15" customHeight="1">
      <c r="B159" s="87"/>
      <c r="C159" s="45" t="s">
        <v>50</v>
      </c>
      <c r="D159" s="44">
        <v>1</v>
      </c>
      <c r="E159" s="43">
        <v>7.4626865671641792E-4</v>
      </c>
    </row>
    <row r="160" spans="2:5" ht="15" customHeight="1">
      <c r="B160" s="87"/>
      <c r="C160" s="45" t="s">
        <v>39</v>
      </c>
      <c r="D160" s="44">
        <v>2</v>
      </c>
      <c r="E160" s="43">
        <v>1.4925373134328358E-3</v>
      </c>
    </row>
    <row r="161" spans="2:5" ht="15" customHeight="1">
      <c r="B161" s="87"/>
      <c r="C161" s="45" t="s">
        <v>44</v>
      </c>
      <c r="D161" s="44">
        <v>1</v>
      </c>
      <c r="E161" s="43">
        <v>7.4626865671641792E-4</v>
      </c>
    </row>
    <row r="162" spans="2:5" ht="15" customHeight="1">
      <c r="B162" s="87"/>
      <c r="C162" s="45" t="s">
        <v>62</v>
      </c>
      <c r="D162" s="44">
        <v>3</v>
      </c>
      <c r="E162" s="43">
        <v>2.2388059701492539E-3</v>
      </c>
    </row>
    <row r="163" spans="2:5" ht="15" customHeight="1">
      <c r="B163" s="87"/>
      <c r="C163" s="45" t="s">
        <v>51</v>
      </c>
      <c r="D163" s="44">
        <v>1</v>
      </c>
      <c r="E163" s="43">
        <v>7.4626865671641792E-4</v>
      </c>
    </row>
    <row r="164" spans="2:5" ht="15" customHeight="1">
      <c r="B164" s="87"/>
      <c r="C164" s="45" t="s">
        <v>40</v>
      </c>
      <c r="D164" s="44">
        <v>1</v>
      </c>
      <c r="E164" s="43">
        <v>7.4626865671641792E-4</v>
      </c>
    </row>
    <row r="165" spans="2:5" ht="15" customHeight="1">
      <c r="B165" s="87"/>
      <c r="C165" s="45" t="s">
        <v>59</v>
      </c>
      <c r="D165" s="44">
        <v>1</v>
      </c>
      <c r="E165" s="43">
        <v>7.4626865671641792E-4</v>
      </c>
    </row>
    <row r="166" spans="2:5" ht="15" customHeight="1">
      <c r="B166" s="87"/>
      <c r="C166" s="45" t="s">
        <v>37</v>
      </c>
      <c r="D166" s="44">
        <v>1</v>
      </c>
      <c r="E166" s="43">
        <v>7.4626865671641792E-4</v>
      </c>
    </row>
    <row r="167" spans="2:5" ht="15" customHeight="1">
      <c r="B167" s="87"/>
      <c r="C167" s="45" t="s">
        <v>33</v>
      </c>
      <c r="D167" s="44">
        <v>1</v>
      </c>
      <c r="E167" s="43">
        <v>7.4626865671641792E-4</v>
      </c>
    </row>
    <row r="168" spans="2:5" ht="15" customHeight="1">
      <c r="B168" s="87"/>
      <c r="C168" s="45" t="s">
        <v>64</v>
      </c>
      <c r="D168" s="44">
        <v>9</v>
      </c>
      <c r="E168" s="43">
        <v>6.7164179104477612E-3</v>
      </c>
    </row>
    <row r="169" spans="2:5" ht="15" customHeight="1">
      <c r="B169" s="88"/>
      <c r="C169" s="42" t="s">
        <v>23</v>
      </c>
      <c r="D169" s="41">
        <v>41</v>
      </c>
      <c r="E169" s="40">
        <v>3.0597014925373135E-2</v>
      </c>
    </row>
    <row r="170" spans="2:5" ht="15" customHeight="1">
      <c r="B170" s="86" t="s">
        <v>148</v>
      </c>
      <c r="C170" s="45" t="s">
        <v>60</v>
      </c>
      <c r="D170" s="44">
        <v>27</v>
      </c>
      <c r="E170" s="43">
        <v>2.0149253731343283E-2</v>
      </c>
    </row>
    <row r="171" spans="2:5" ht="15" customHeight="1">
      <c r="B171" s="87"/>
      <c r="C171" s="45" t="s">
        <v>36</v>
      </c>
      <c r="D171" s="44">
        <v>1</v>
      </c>
      <c r="E171" s="43">
        <v>7.4626865671641792E-4</v>
      </c>
    </row>
    <row r="172" spans="2:5" ht="15" customHeight="1">
      <c r="B172" s="87"/>
      <c r="C172" s="45" t="s">
        <v>53</v>
      </c>
      <c r="D172" s="44">
        <v>8</v>
      </c>
      <c r="E172" s="43">
        <v>5.9701492537313433E-3</v>
      </c>
    </row>
    <row r="173" spans="2:5" ht="15" customHeight="1">
      <c r="B173" s="87"/>
      <c r="C173" s="45" t="s">
        <v>65</v>
      </c>
      <c r="D173" s="44">
        <v>103</v>
      </c>
      <c r="E173" s="43">
        <v>7.6865671641791047E-2</v>
      </c>
    </row>
    <row r="174" spans="2:5" ht="15" customHeight="1">
      <c r="B174" s="87"/>
      <c r="C174" s="45" t="s">
        <v>58</v>
      </c>
      <c r="D174" s="44">
        <v>9</v>
      </c>
      <c r="E174" s="43">
        <v>6.7164179104477612E-3</v>
      </c>
    </row>
    <row r="175" spans="2:5" ht="15" customHeight="1">
      <c r="B175" s="87"/>
      <c r="C175" s="45" t="s">
        <v>29</v>
      </c>
      <c r="D175" s="44">
        <v>1</v>
      </c>
      <c r="E175" s="43">
        <v>7.4626865671641792E-4</v>
      </c>
    </row>
    <row r="176" spans="2:5" ht="15" customHeight="1">
      <c r="B176" s="87"/>
      <c r="C176" s="45" t="s">
        <v>63</v>
      </c>
      <c r="D176" s="44">
        <v>36</v>
      </c>
      <c r="E176" s="43">
        <v>2.6865671641791045E-2</v>
      </c>
    </row>
    <row r="177" spans="2:5" ht="15" customHeight="1">
      <c r="B177" s="87"/>
      <c r="C177" s="45" t="s">
        <v>61</v>
      </c>
      <c r="D177" s="44">
        <v>21</v>
      </c>
      <c r="E177" s="43">
        <v>1.5671641791044775E-2</v>
      </c>
    </row>
    <row r="178" spans="2:5" ht="15" customHeight="1">
      <c r="B178" s="87"/>
      <c r="C178" s="45" t="s">
        <v>41</v>
      </c>
      <c r="D178" s="44">
        <v>4</v>
      </c>
      <c r="E178" s="43">
        <v>2.9850746268656717E-3</v>
      </c>
    </row>
    <row r="179" spans="2:5" ht="15" customHeight="1">
      <c r="B179" s="87"/>
      <c r="C179" s="45" t="s">
        <v>56</v>
      </c>
      <c r="D179" s="44">
        <v>11</v>
      </c>
      <c r="E179" s="43">
        <v>8.2089552238805968E-3</v>
      </c>
    </row>
    <row r="180" spans="2:5" ht="15" customHeight="1">
      <c r="B180" s="87"/>
      <c r="C180" s="45" t="s">
        <v>52</v>
      </c>
      <c r="D180" s="44">
        <v>7</v>
      </c>
      <c r="E180" s="43">
        <v>5.2238805970149255E-3</v>
      </c>
    </row>
    <row r="181" spans="2:5" ht="15" customHeight="1">
      <c r="B181" s="87"/>
      <c r="C181" s="45" t="s">
        <v>54</v>
      </c>
      <c r="D181" s="44">
        <v>6</v>
      </c>
      <c r="E181" s="43">
        <v>4.4776119402985077E-3</v>
      </c>
    </row>
    <row r="182" spans="2:5" ht="15" customHeight="1">
      <c r="B182" s="87"/>
      <c r="C182" s="45" t="s">
        <v>50</v>
      </c>
      <c r="D182" s="44">
        <v>6</v>
      </c>
      <c r="E182" s="43">
        <v>4.4776119402985077E-3</v>
      </c>
    </row>
    <row r="183" spans="2:5" ht="15" customHeight="1">
      <c r="B183" s="87"/>
      <c r="C183" s="45" t="s">
        <v>32</v>
      </c>
      <c r="D183" s="44">
        <v>4</v>
      </c>
      <c r="E183" s="43">
        <v>2.9850746268656717E-3</v>
      </c>
    </row>
    <row r="184" spans="2:5" ht="15" customHeight="1">
      <c r="B184" s="87"/>
      <c r="C184" s="45" t="s">
        <v>49</v>
      </c>
      <c r="D184" s="44">
        <v>9</v>
      </c>
      <c r="E184" s="43">
        <v>6.7164179104477612E-3</v>
      </c>
    </row>
    <row r="185" spans="2:5" ht="15" customHeight="1">
      <c r="B185" s="87"/>
      <c r="C185" s="45" t="s">
        <v>34</v>
      </c>
      <c r="D185" s="44">
        <v>2</v>
      </c>
      <c r="E185" s="43">
        <v>1.4925373134328358E-3</v>
      </c>
    </row>
    <row r="186" spans="2:5" ht="15" customHeight="1">
      <c r="B186" s="87"/>
      <c r="C186" s="45" t="s">
        <v>44</v>
      </c>
      <c r="D186" s="44">
        <v>6</v>
      </c>
      <c r="E186" s="43">
        <v>4.4776119402985077E-3</v>
      </c>
    </row>
    <row r="187" spans="2:5" ht="15" customHeight="1">
      <c r="B187" s="87"/>
      <c r="C187" s="45" t="s">
        <v>42</v>
      </c>
      <c r="D187" s="44">
        <v>4</v>
      </c>
      <c r="E187" s="43">
        <v>2.9850746268656717E-3</v>
      </c>
    </row>
    <row r="188" spans="2:5" ht="15" customHeight="1">
      <c r="B188" s="87"/>
      <c r="C188" s="45" t="s">
        <v>48</v>
      </c>
      <c r="D188" s="44">
        <v>3</v>
      </c>
      <c r="E188" s="43">
        <v>2.2388059701492539E-3</v>
      </c>
    </row>
    <row r="189" spans="2:5" ht="15" customHeight="1">
      <c r="B189" s="87"/>
      <c r="C189" s="45" t="s">
        <v>62</v>
      </c>
      <c r="D189" s="44">
        <v>28</v>
      </c>
      <c r="E189" s="43">
        <v>2.0895522388059702E-2</v>
      </c>
    </row>
    <row r="190" spans="2:5" ht="15" customHeight="1">
      <c r="B190" s="87"/>
      <c r="C190" s="45" t="s">
        <v>51</v>
      </c>
      <c r="D190" s="44">
        <v>8</v>
      </c>
      <c r="E190" s="43">
        <v>5.9701492537313433E-3</v>
      </c>
    </row>
    <row r="191" spans="2:5" ht="15" customHeight="1">
      <c r="B191" s="87"/>
      <c r="C191" s="45" t="s">
        <v>40</v>
      </c>
      <c r="D191" s="44">
        <v>5</v>
      </c>
      <c r="E191" s="43">
        <v>3.7313432835820895E-3</v>
      </c>
    </row>
    <row r="192" spans="2:5" ht="15" customHeight="1">
      <c r="B192" s="87"/>
      <c r="C192" s="45" t="s">
        <v>35</v>
      </c>
      <c r="D192" s="44">
        <v>2</v>
      </c>
      <c r="E192" s="43">
        <v>1.4925373134328358E-3</v>
      </c>
    </row>
    <row r="193" spans="2:5" ht="15" customHeight="1">
      <c r="B193" s="87"/>
      <c r="C193" s="45" t="s">
        <v>38</v>
      </c>
      <c r="D193" s="44">
        <v>2</v>
      </c>
      <c r="E193" s="43">
        <v>1.4925373134328358E-3</v>
      </c>
    </row>
    <row r="194" spans="2:5" ht="15" customHeight="1">
      <c r="B194" s="87"/>
      <c r="C194" s="45" t="s">
        <v>59</v>
      </c>
      <c r="D194" s="44">
        <v>17</v>
      </c>
      <c r="E194" s="43">
        <v>1.2686567164179104E-2</v>
      </c>
    </row>
    <row r="195" spans="2:5" ht="15" customHeight="1">
      <c r="B195" s="87"/>
      <c r="C195" s="45" t="s">
        <v>37</v>
      </c>
      <c r="D195" s="44">
        <v>6</v>
      </c>
      <c r="E195" s="43">
        <v>4.4776119402985077E-3</v>
      </c>
    </row>
    <row r="196" spans="2:5" ht="15" customHeight="1">
      <c r="B196" s="87"/>
      <c r="C196" s="45" t="s">
        <v>57</v>
      </c>
      <c r="D196" s="44">
        <v>18</v>
      </c>
      <c r="E196" s="43">
        <v>1.3432835820895522E-2</v>
      </c>
    </row>
    <row r="197" spans="2:5" ht="15" customHeight="1">
      <c r="B197" s="87"/>
      <c r="C197" s="45" t="s">
        <v>33</v>
      </c>
      <c r="D197" s="44">
        <v>2</v>
      </c>
      <c r="E197" s="43">
        <v>1.4925373134328358E-3</v>
      </c>
    </row>
    <row r="198" spans="2:5" ht="15" customHeight="1">
      <c r="B198" s="87"/>
      <c r="C198" s="45" t="s">
        <v>47</v>
      </c>
      <c r="D198" s="44">
        <v>7</v>
      </c>
      <c r="E198" s="43">
        <v>5.2238805970149255E-3</v>
      </c>
    </row>
    <row r="199" spans="2:5" ht="15" customHeight="1">
      <c r="B199" s="87"/>
      <c r="C199" s="45" t="s">
        <v>55</v>
      </c>
      <c r="D199" s="44">
        <v>11</v>
      </c>
      <c r="E199" s="43">
        <v>8.2089552238805968E-3</v>
      </c>
    </row>
    <row r="200" spans="2:5" ht="15" customHeight="1">
      <c r="B200" s="87"/>
      <c r="C200" s="45" t="s">
        <v>64</v>
      </c>
      <c r="D200" s="44">
        <v>98</v>
      </c>
      <c r="E200" s="43">
        <v>7.3134328358208961E-2</v>
      </c>
    </row>
    <row r="201" spans="2:5" ht="15" customHeight="1">
      <c r="B201" s="87"/>
      <c r="C201" s="45" t="s">
        <v>31</v>
      </c>
      <c r="D201" s="44">
        <v>1</v>
      </c>
      <c r="E201" s="43">
        <v>7.4626865671641792E-4</v>
      </c>
    </row>
    <row r="202" spans="2:5" ht="15" customHeight="1">
      <c r="B202" s="87"/>
      <c r="C202" s="45" t="s">
        <v>46</v>
      </c>
      <c r="D202" s="44">
        <v>5</v>
      </c>
      <c r="E202" s="43">
        <v>3.7313432835820895E-3</v>
      </c>
    </row>
    <row r="203" spans="2:5" ht="15" customHeight="1">
      <c r="B203" s="87"/>
      <c r="C203" s="45" t="s">
        <v>45</v>
      </c>
      <c r="D203" s="44">
        <v>7</v>
      </c>
      <c r="E203" s="43">
        <v>5.2238805970149255E-3</v>
      </c>
    </row>
    <row r="204" spans="2:5" ht="15" customHeight="1">
      <c r="B204" s="87"/>
      <c r="C204" s="45" t="s">
        <v>24</v>
      </c>
      <c r="D204" s="44">
        <v>1</v>
      </c>
      <c r="E204" s="43">
        <v>7.4626865671641792E-4</v>
      </c>
    </row>
    <row r="205" spans="2:5" ht="15" customHeight="1">
      <c r="B205" s="87"/>
      <c r="C205" s="45" t="s">
        <v>43</v>
      </c>
      <c r="D205" s="44">
        <v>3</v>
      </c>
      <c r="E205" s="43">
        <v>2.2388059701492539E-3</v>
      </c>
    </row>
    <row r="206" spans="2:5" ht="15" customHeight="1">
      <c r="B206" s="88"/>
      <c r="C206" s="42" t="s">
        <v>23</v>
      </c>
      <c r="D206" s="41">
        <v>489</v>
      </c>
      <c r="E206" s="40">
        <v>0.36492537313432838</v>
      </c>
    </row>
    <row r="207" spans="2:5" ht="15" customHeight="1">
      <c r="B207" s="86" t="s">
        <v>147</v>
      </c>
      <c r="C207" s="45" t="s">
        <v>60</v>
      </c>
      <c r="D207" s="44">
        <v>1</v>
      </c>
      <c r="E207" s="43">
        <v>7.4626865671641792E-4</v>
      </c>
    </row>
    <row r="208" spans="2:5" ht="15" customHeight="1">
      <c r="B208" s="87"/>
      <c r="C208" s="45" t="s">
        <v>36</v>
      </c>
      <c r="D208" s="44">
        <v>1</v>
      </c>
      <c r="E208" s="43">
        <v>7.4626865671641792E-4</v>
      </c>
    </row>
    <row r="209" spans="2:5" ht="15" customHeight="1">
      <c r="B209" s="87"/>
      <c r="C209" s="45" t="s">
        <v>65</v>
      </c>
      <c r="D209" s="44">
        <v>3</v>
      </c>
      <c r="E209" s="43">
        <v>2.2388059701492539E-3</v>
      </c>
    </row>
    <row r="210" spans="2:5" ht="15" customHeight="1">
      <c r="B210" s="87"/>
      <c r="C210" s="45" t="s">
        <v>61</v>
      </c>
      <c r="D210" s="44">
        <v>2</v>
      </c>
      <c r="E210" s="43">
        <v>1.4925373134328358E-3</v>
      </c>
    </row>
    <row r="211" spans="2:5" ht="15" customHeight="1">
      <c r="B211" s="87"/>
      <c r="C211" s="45" t="s">
        <v>56</v>
      </c>
      <c r="D211" s="44">
        <v>1</v>
      </c>
      <c r="E211" s="43">
        <v>7.4626865671641792E-4</v>
      </c>
    </row>
    <row r="212" spans="2:5" ht="15" customHeight="1">
      <c r="B212" s="87"/>
      <c r="C212" s="45" t="s">
        <v>44</v>
      </c>
      <c r="D212" s="44">
        <v>1</v>
      </c>
      <c r="E212" s="43">
        <v>7.4626865671641792E-4</v>
      </c>
    </row>
    <row r="213" spans="2:5" ht="15" customHeight="1">
      <c r="B213" s="87"/>
      <c r="C213" s="45" t="s">
        <v>62</v>
      </c>
      <c r="D213" s="44">
        <v>1</v>
      </c>
      <c r="E213" s="43">
        <v>7.4626865671641792E-4</v>
      </c>
    </row>
    <row r="214" spans="2:5" ht="15" customHeight="1">
      <c r="B214" s="87"/>
      <c r="C214" s="45" t="s">
        <v>25</v>
      </c>
      <c r="D214" s="44">
        <v>1</v>
      </c>
      <c r="E214" s="43">
        <v>7.4626865671641792E-4</v>
      </c>
    </row>
    <row r="215" spans="2:5" ht="15" customHeight="1">
      <c r="B215" s="87"/>
      <c r="C215" s="45" t="s">
        <v>47</v>
      </c>
      <c r="D215" s="44">
        <v>1</v>
      </c>
      <c r="E215" s="43">
        <v>7.4626865671641792E-4</v>
      </c>
    </row>
    <row r="216" spans="2:5" ht="15" customHeight="1">
      <c r="B216" s="87"/>
      <c r="C216" s="45" t="s">
        <v>55</v>
      </c>
      <c r="D216" s="44">
        <v>1</v>
      </c>
      <c r="E216" s="43">
        <v>7.4626865671641792E-4</v>
      </c>
    </row>
    <row r="217" spans="2:5" ht="15" customHeight="1">
      <c r="B217" s="87"/>
      <c r="C217" s="45" t="s">
        <v>64</v>
      </c>
      <c r="D217" s="44">
        <v>3</v>
      </c>
      <c r="E217" s="43">
        <v>2.2388059701492539E-3</v>
      </c>
    </row>
    <row r="218" spans="2:5" ht="15" customHeight="1">
      <c r="B218" s="87"/>
      <c r="C218" s="45" t="s">
        <v>43</v>
      </c>
      <c r="D218" s="44">
        <v>1</v>
      </c>
      <c r="E218" s="43">
        <v>7.4626865671641792E-4</v>
      </c>
    </row>
    <row r="219" spans="2:5" ht="15" customHeight="1">
      <c r="B219" s="88"/>
      <c r="C219" s="42" t="s">
        <v>23</v>
      </c>
      <c r="D219" s="41">
        <v>17</v>
      </c>
      <c r="E219" s="40">
        <v>1.2686567164179104E-2</v>
      </c>
    </row>
    <row r="220" spans="2:5" ht="15" customHeight="1">
      <c r="B220" s="86" t="s">
        <v>146</v>
      </c>
      <c r="C220" s="45" t="s">
        <v>60</v>
      </c>
      <c r="D220" s="44">
        <v>6</v>
      </c>
      <c r="E220" s="43">
        <v>4.4776119402985077E-3</v>
      </c>
    </row>
    <row r="221" spans="2:5" ht="15" customHeight="1">
      <c r="B221" s="87"/>
      <c r="C221" s="45" t="s">
        <v>53</v>
      </c>
      <c r="D221" s="44">
        <v>1</v>
      </c>
      <c r="E221" s="43">
        <v>7.4626865671641792E-4</v>
      </c>
    </row>
    <row r="222" spans="2:5" ht="15" customHeight="1">
      <c r="B222" s="87"/>
      <c r="C222" s="45" t="s">
        <v>65</v>
      </c>
      <c r="D222" s="44">
        <v>18</v>
      </c>
      <c r="E222" s="43">
        <v>1.3432835820895522E-2</v>
      </c>
    </row>
    <row r="223" spans="2:5" ht="15" customHeight="1">
      <c r="B223" s="87"/>
      <c r="C223" s="45" t="s">
        <v>58</v>
      </c>
      <c r="D223" s="44">
        <v>5</v>
      </c>
      <c r="E223" s="43">
        <v>3.7313432835820895E-3</v>
      </c>
    </row>
    <row r="224" spans="2:5" ht="15" customHeight="1">
      <c r="B224" s="87"/>
      <c r="C224" s="45" t="s">
        <v>30</v>
      </c>
      <c r="D224" s="44">
        <v>1</v>
      </c>
      <c r="E224" s="43">
        <v>7.4626865671641792E-4</v>
      </c>
    </row>
    <row r="225" spans="2:5" ht="15" customHeight="1">
      <c r="B225" s="87"/>
      <c r="C225" s="45" t="s">
        <v>26</v>
      </c>
      <c r="D225" s="44">
        <v>1</v>
      </c>
      <c r="E225" s="43">
        <v>7.4626865671641792E-4</v>
      </c>
    </row>
    <row r="226" spans="2:5" ht="15" customHeight="1">
      <c r="B226" s="87"/>
      <c r="C226" s="45" t="s">
        <v>63</v>
      </c>
      <c r="D226" s="44">
        <v>7</v>
      </c>
      <c r="E226" s="43">
        <v>5.2238805970149255E-3</v>
      </c>
    </row>
    <row r="227" spans="2:5" ht="15" customHeight="1">
      <c r="B227" s="87"/>
      <c r="C227" s="45" t="s">
        <v>61</v>
      </c>
      <c r="D227" s="44">
        <v>6</v>
      </c>
      <c r="E227" s="43">
        <v>4.4776119402985077E-3</v>
      </c>
    </row>
    <row r="228" spans="2:5" ht="15" customHeight="1">
      <c r="B228" s="87"/>
      <c r="C228" s="45" t="s">
        <v>41</v>
      </c>
      <c r="D228" s="44">
        <v>1</v>
      </c>
      <c r="E228" s="43">
        <v>7.4626865671641792E-4</v>
      </c>
    </row>
    <row r="229" spans="2:5" ht="15" customHeight="1">
      <c r="B229" s="87"/>
      <c r="C229" s="45" t="s">
        <v>56</v>
      </c>
      <c r="D229" s="44">
        <v>1</v>
      </c>
      <c r="E229" s="43">
        <v>7.4626865671641792E-4</v>
      </c>
    </row>
    <row r="230" spans="2:5" ht="15" customHeight="1">
      <c r="B230" s="87"/>
      <c r="C230" s="45" t="s">
        <v>52</v>
      </c>
      <c r="D230" s="44">
        <v>1</v>
      </c>
      <c r="E230" s="43">
        <v>7.4626865671641792E-4</v>
      </c>
    </row>
    <row r="231" spans="2:5" ht="15" customHeight="1">
      <c r="B231" s="87"/>
      <c r="C231" s="45" t="s">
        <v>54</v>
      </c>
      <c r="D231" s="44">
        <v>3</v>
      </c>
      <c r="E231" s="43">
        <v>2.2388059701492539E-3</v>
      </c>
    </row>
    <row r="232" spans="2:5" ht="15" customHeight="1">
      <c r="B232" s="87"/>
      <c r="C232" s="45" t="s">
        <v>50</v>
      </c>
      <c r="D232" s="44">
        <v>2</v>
      </c>
      <c r="E232" s="43">
        <v>1.4925373134328358E-3</v>
      </c>
    </row>
    <row r="233" spans="2:5" ht="15" customHeight="1">
      <c r="B233" s="87"/>
      <c r="C233" s="45" t="s">
        <v>49</v>
      </c>
      <c r="D233" s="44">
        <v>1</v>
      </c>
      <c r="E233" s="43">
        <v>7.4626865671641792E-4</v>
      </c>
    </row>
    <row r="234" spans="2:5" ht="15" customHeight="1">
      <c r="B234" s="87"/>
      <c r="C234" s="45" t="s">
        <v>39</v>
      </c>
      <c r="D234" s="44">
        <v>1</v>
      </c>
      <c r="E234" s="43">
        <v>7.4626865671641792E-4</v>
      </c>
    </row>
    <row r="235" spans="2:5" ht="15" customHeight="1">
      <c r="B235" s="87"/>
      <c r="C235" s="45" t="s">
        <v>44</v>
      </c>
      <c r="D235" s="44">
        <v>1</v>
      </c>
      <c r="E235" s="43">
        <v>7.4626865671641792E-4</v>
      </c>
    </row>
    <row r="236" spans="2:5" ht="15" customHeight="1">
      <c r="B236" s="87"/>
      <c r="C236" s="45" t="s">
        <v>42</v>
      </c>
      <c r="D236" s="44">
        <v>1</v>
      </c>
      <c r="E236" s="43">
        <v>7.4626865671641792E-4</v>
      </c>
    </row>
    <row r="237" spans="2:5" ht="15" customHeight="1">
      <c r="B237" s="87"/>
      <c r="C237" s="45" t="s">
        <v>48</v>
      </c>
      <c r="D237" s="44">
        <v>3</v>
      </c>
      <c r="E237" s="43">
        <v>2.2388059701492539E-3</v>
      </c>
    </row>
    <row r="238" spans="2:5" ht="15" customHeight="1">
      <c r="B238" s="87"/>
      <c r="C238" s="45" t="s">
        <v>62</v>
      </c>
      <c r="D238" s="44">
        <v>8</v>
      </c>
      <c r="E238" s="43">
        <v>5.9701492537313433E-3</v>
      </c>
    </row>
    <row r="239" spans="2:5" ht="15" customHeight="1">
      <c r="B239" s="87"/>
      <c r="C239" s="45" t="s">
        <v>51</v>
      </c>
      <c r="D239" s="44">
        <v>1</v>
      </c>
      <c r="E239" s="43">
        <v>7.4626865671641792E-4</v>
      </c>
    </row>
    <row r="240" spans="2:5" ht="15" customHeight="1">
      <c r="B240" s="87"/>
      <c r="C240" s="45" t="s">
        <v>35</v>
      </c>
      <c r="D240" s="44">
        <v>3</v>
      </c>
      <c r="E240" s="43">
        <v>2.2388059701492539E-3</v>
      </c>
    </row>
    <row r="241" spans="2:5" ht="15" customHeight="1">
      <c r="B241" s="87"/>
      <c r="C241" s="45" t="s">
        <v>59</v>
      </c>
      <c r="D241" s="44">
        <v>2</v>
      </c>
      <c r="E241" s="43">
        <v>1.4925373134328358E-3</v>
      </c>
    </row>
    <row r="242" spans="2:5" ht="15" customHeight="1">
      <c r="B242" s="87"/>
      <c r="C242" s="45" t="s">
        <v>57</v>
      </c>
      <c r="D242" s="44">
        <v>2</v>
      </c>
      <c r="E242" s="43">
        <v>1.4925373134328358E-3</v>
      </c>
    </row>
    <row r="243" spans="2:5" ht="15" customHeight="1">
      <c r="B243" s="87"/>
      <c r="C243" s="45" t="s">
        <v>47</v>
      </c>
      <c r="D243" s="44">
        <v>1</v>
      </c>
      <c r="E243" s="43">
        <v>7.4626865671641792E-4</v>
      </c>
    </row>
    <row r="244" spans="2:5" ht="15" customHeight="1">
      <c r="B244" s="87"/>
      <c r="C244" s="45" t="s">
        <v>55</v>
      </c>
      <c r="D244" s="44">
        <v>4</v>
      </c>
      <c r="E244" s="43">
        <v>2.9850746268656717E-3</v>
      </c>
    </row>
    <row r="245" spans="2:5" ht="15" customHeight="1">
      <c r="B245" s="87"/>
      <c r="C245" s="45" t="s">
        <v>64</v>
      </c>
      <c r="D245" s="44">
        <v>12</v>
      </c>
      <c r="E245" s="43">
        <v>8.9552238805970154E-3</v>
      </c>
    </row>
    <row r="246" spans="2:5" ht="15" customHeight="1">
      <c r="B246" s="87"/>
      <c r="C246" s="45" t="s">
        <v>31</v>
      </c>
      <c r="D246" s="44">
        <v>1</v>
      </c>
      <c r="E246" s="43">
        <v>7.4626865671641792E-4</v>
      </c>
    </row>
    <row r="247" spans="2:5" ht="15" customHeight="1">
      <c r="B247" s="87"/>
      <c r="C247" s="45" t="s">
        <v>46</v>
      </c>
      <c r="D247" s="44">
        <v>1</v>
      </c>
      <c r="E247" s="43">
        <v>7.4626865671641792E-4</v>
      </c>
    </row>
    <row r="248" spans="2:5" ht="15" customHeight="1">
      <c r="B248" s="87"/>
      <c r="C248" s="45" t="s">
        <v>45</v>
      </c>
      <c r="D248" s="44">
        <v>1</v>
      </c>
      <c r="E248" s="43">
        <v>7.4626865671641792E-4</v>
      </c>
    </row>
    <row r="249" spans="2:5" ht="15" customHeight="1">
      <c r="B249" s="87"/>
      <c r="C249" s="45" t="s">
        <v>43</v>
      </c>
      <c r="D249" s="44">
        <v>1</v>
      </c>
      <c r="E249" s="43">
        <v>7.4626865671641792E-4</v>
      </c>
    </row>
    <row r="250" spans="2:5" ht="15" customHeight="1">
      <c r="B250" s="88"/>
      <c r="C250" s="42" t="s">
        <v>23</v>
      </c>
      <c r="D250" s="41">
        <v>97</v>
      </c>
      <c r="E250" s="40">
        <v>7.2388059701492535E-2</v>
      </c>
    </row>
    <row r="251" spans="2:5" ht="15" customHeight="1">
      <c r="B251" s="86" t="s">
        <v>145</v>
      </c>
      <c r="C251" s="45" t="s">
        <v>60</v>
      </c>
      <c r="D251" s="44">
        <v>11</v>
      </c>
      <c r="E251" s="43">
        <v>8.2089552238805968E-3</v>
      </c>
    </row>
    <row r="252" spans="2:5" ht="15" customHeight="1">
      <c r="B252" s="87"/>
      <c r="C252" s="45" t="s">
        <v>36</v>
      </c>
      <c r="D252" s="44">
        <v>2</v>
      </c>
      <c r="E252" s="43">
        <v>1.4925373134328358E-3</v>
      </c>
    </row>
    <row r="253" spans="2:5" ht="15" customHeight="1">
      <c r="B253" s="87"/>
      <c r="C253" s="45" t="s">
        <v>53</v>
      </c>
      <c r="D253" s="44">
        <v>6</v>
      </c>
      <c r="E253" s="43">
        <v>4.4776119402985077E-3</v>
      </c>
    </row>
    <row r="254" spans="2:5" ht="15" customHeight="1">
      <c r="B254" s="87"/>
      <c r="C254" s="45" t="s">
        <v>65</v>
      </c>
      <c r="D254" s="44">
        <v>50</v>
      </c>
      <c r="E254" s="43">
        <v>3.7313432835820892E-2</v>
      </c>
    </row>
    <row r="255" spans="2:5" ht="15" customHeight="1">
      <c r="B255" s="87"/>
      <c r="C255" s="45" t="s">
        <v>58</v>
      </c>
      <c r="D255" s="44">
        <v>5</v>
      </c>
      <c r="E255" s="43">
        <v>3.7313432835820895E-3</v>
      </c>
    </row>
    <row r="256" spans="2:5" ht="15" customHeight="1">
      <c r="B256" s="87"/>
      <c r="C256" s="45" t="s">
        <v>63</v>
      </c>
      <c r="D256" s="44">
        <v>13</v>
      </c>
      <c r="E256" s="43">
        <v>9.7014925373134324E-3</v>
      </c>
    </row>
    <row r="257" spans="2:5" ht="15" customHeight="1">
      <c r="B257" s="87"/>
      <c r="C257" s="45" t="s">
        <v>61</v>
      </c>
      <c r="D257" s="44">
        <v>8</v>
      </c>
      <c r="E257" s="43">
        <v>5.9701492537313433E-3</v>
      </c>
    </row>
    <row r="258" spans="2:5" ht="15" customHeight="1">
      <c r="B258" s="87"/>
      <c r="C258" s="45" t="s">
        <v>41</v>
      </c>
      <c r="D258" s="44">
        <v>3</v>
      </c>
      <c r="E258" s="43">
        <v>2.2388059701492539E-3</v>
      </c>
    </row>
    <row r="259" spans="2:5" ht="15" customHeight="1">
      <c r="B259" s="87"/>
      <c r="C259" s="45" t="s">
        <v>56</v>
      </c>
      <c r="D259" s="44">
        <v>6</v>
      </c>
      <c r="E259" s="43">
        <v>4.4776119402985077E-3</v>
      </c>
    </row>
    <row r="260" spans="2:5" ht="15" customHeight="1">
      <c r="B260" s="87"/>
      <c r="C260" s="45" t="s">
        <v>52</v>
      </c>
      <c r="D260" s="44">
        <v>4</v>
      </c>
      <c r="E260" s="43">
        <v>2.9850746268656717E-3</v>
      </c>
    </row>
    <row r="261" spans="2:5" ht="15" customHeight="1">
      <c r="B261" s="87"/>
      <c r="C261" s="45" t="s">
        <v>54</v>
      </c>
      <c r="D261" s="44">
        <v>2</v>
      </c>
      <c r="E261" s="43">
        <v>1.4925373134328358E-3</v>
      </c>
    </row>
    <row r="262" spans="2:5" ht="15" customHeight="1">
      <c r="B262" s="87"/>
      <c r="C262" s="45" t="s">
        <v>50</v>
      </c>
      <c r="D262" s="44">
        <v>5</v>
      </c>
      <c r="E262" s="43">
        <v>3.7313432835820895E-3</v>
      </c>
    </row>
    <row r="263" spans="2:5" ht="15" customHeight="1">
      <c r="B263" s="87"/>
      <c r="C263" s="45" t="s">
        <v>32</v>
      </c>
      <c r="D263" s="44">
        <v>2</v>
      </c>
      <c r="E263" s="43">
        <v>1.4925373134328358E-3</v>
      </c>
    </row>
    <row r="264" spans="2:5" ht="15" customHeight="1">
      <c r="B264" s="87"/>
      <c r="C264" s="45" t="s">
        <v>49</v>
      </c>
      <c r="D264" s="44">
        <v>1</v>
      </c>
      <c r="E264" s="43">
        <v>7.4626865671641792E-4</v>
      </c>
    </row>
    <row r="265" spans="2:5" ht="15" customHeight="1">
      <c r="B265" s="87"/>
      <c r="C265" s="45" t="s">
        <v>34</v>
      </c>
      <c r="D265" s="44">
        <v>1</v>
      </c>
      <c r="E265" s="43">
        <v>7.4626865671641792E-4</v>
      </c>
    </row>
    <row r="266" spans="2:5" ht="15" customHeight="1">
      <c r="B266" s="87"/>
      <c r="C266" s="45" t="s">
        <v>27</v>
      </c>
      <c r="D266" s="44">
        <v>1</v>
      </c>
      <c r="E266" s="43">
        <v>7.4626865671641792E-4</v>
      </c>
    </row>
    <row r="267" spans="2:5" ht="15" customHeight="1">
      <c r="B267" s="87"/>
      <c r="C267" s="45" t="s">
        <v>39</v>
      </c>
      <c r="D267" s="44">
        <v>1</v>
      </c>
      <c r="E267" s="43">
        <v>7.4626865671641792E-4</v>
      </c>
    </row>
    <row r="268" spans="2:5" ht="15" customHeight="1">
      <c r="B268" s="87"/>
      <c r="C268" s="45" t="s">
        <v>44</v>
      </c>
      <c r="D268" s="44">
        <v>5</v>
      </c>
      <c r="E268" s="43">
        <v>3.7313432835820895E-3</v>
      </c>
    </row>
    <row r="269" spans="2:5" ht="15" customHeight="1">
      <c r="B269" s="87"/>
      <c r="C269" s="45" t="s">
        <v>42</v>
      </c>
      <c r="D269" s="44">
        <v>4</v>
      </c>
      <c r="E269" s="43">
        <v>2.9850746268656717E-3</v>
      </c>
    </row>
    <row r="270" spans="2:5" ht="15" customHeight="1">
      <c r="B270" s="87"/>
      <c r="C270" s="45" t="s">
        <v>48</v>
      </c>
      <c r="D270" s="44">
        <v>5</v>
      </c>
      <c r="E270" s="43">
        <v>3.7313432835820895E-3</v>
      </c>
    </row>
    <row r="271" spans="2:5" ht="15" customHeight="1">
      <c r="B271" s="87"/>
      <c r="C271" s="45" t="s">
        <v>62</v>
      </c>
      <c r="D271" s="44">
        <v>5</v>
      </c>
      <c r="E271" s="43">
        <v>3.7313432835820895E-3</v>
      </c>
    </row>
    <row r="272" spans="2:5" ht="15" customHeight="1">
      <c r="B272" s="87"/>
      <c r="C272" s="45" t="s">
        <v>51</v>
      </c>
      <c r="D272" s="44">
        <v>3</v>
      </c>
      <c r="E272" s="43">
        <v>2.2388059701492539E-3</v>
      </c>
    </row>
    <row r="273" spans="2:5" ht="15" customHeight="1">
      <c r="B273" s="87"/>
      <c r="C273" s="45" t="s">
        <v>40</v>
      </c>
      <c r="D273" s="44">
        <v>3</v>
      </c>
      <c r="E273" s="43">
        <v>2.2388059701492539E-3</v>
      </c>
    </row>
    <row r="274" spans="2:5" ht="15" customHeight="1">
      <c r="B274" s="87"/>
      <c r="C274" s="45" t="s">
        <v>35</v>
      </c>
      <c r="D274" s="44">
        <v>3</v>
      </c>
      <c r="E274" s="43">
        <v>2.2388059701492539E-3</v>
      </c>
    </row>
    <row r="275" spans="2:5" ht="15" customHeight="1">
      <c r="B275" s="87"/>
      <c r="C275" s="45" t="s">
        <v>38</v>
      </c>
      <c r="D275" s="44">
        <v>4</v>
      </c>
      <c r="E275" s="43">
        <v>2.9850746268656717E-3</v>
      </c>
    </row>
    <row r="276" spans="2:5" ht="15" customHeight="1">
      <c r="B276" s="87"/>
      <c r="C276" s="45" t="s">
        <v>59</v>
      </c>
      <c r="D276" s="44">
        <v>3</v>
      </c>
      <c r="E276" s="43">
        <v>2.2388059701492539E-3</v>
      </c>
    </row>
    <row r="277" spans="2:5" ht="15" customHeight="1">
      <c r="B277" s="87"/>
      <c r="C277" s="45" t="s">
        <v>37</v>
      </c>
      <c r="D277" s="44">
        <v>1</v>
      </c>
      <c r="E277" s="43">
        <v>7.4626865671641792E-4</v>
      </c>
    </row>
    <row r="278" spans="2:5" ht="15" customHeight="1">
      <c r="B278" s="87"/>
      <c r="C278" s="45" t="s">
        <v>57</v>
      </c>
      <c r="D278" s="44">
        <v>5</v>
      </c>
      <c r="E278" s="43">
        <v>3.7313432835820895E-3</v>
      </c>
    </row>
    <row r="279" spans="2:5" ht="15" customHeight="1">
      <c r="B279" s="87"/>
      <c r="C279" s="45" t="s">
        <v>33</v>
      </c>
      <c r="D279" s="44">
        <v>3</v>
      </c>
      <c r="E279" s="43">
        <v>2.2388059701492539E-3</v>
      </c>
    </row>
    <row r="280" spans="2:5" ht="15" customHeight="1">
      <c r="B280" s="87"/>
      <c r="C280" s="45" t="s">
        <v>28</v>
      </c>
      <c r="D280" s="44">
        <v>1</v>
      </c>
      <c r="E280" s="43">
        <v>7.4626865671641792E-4</v>
      </c>
    </row>
    <row r="281" spans="2:5" ht="15" customHeight="1">
      <c r="B281" s="87"/>
      <c r="C281" s="45" t="s">
        <v>55</v>
      </c>
      <c r="D281" s="44">
        <v>4</v>
      </c>
      <c r="E281" s="43">
        <v>2.9850746268656717E-3</v>
      </c>
    </row>
    <row r="282" spans="2:5" ht="15" customHeight="1">
      <c r="B282" s="87"/>
      <c r="C282" s="45" t="s">
        <v>64</v>
      </c>
      <c r="D282" s="44">
        <v>51</v>
      </c>
      <c r="E282" s="43">
        <v>3.8059701492537311E-2</v>
      </c>
    </row>
    <row r="283" spans="2:5" ht="15" customHeight="1">
      <c r="B283" s="87"/>
      <c r="C283" s="45" t="s">
        <v>31</v>
      </c>
      <c r="D283" s="44">
        <v>2</v>
      </c>
      <c r="E283" s="43">
        <v>1.4925373134328358E-3</v>
      </c>
    </row>
    <row r="284" spans="2:5" ht="15" customHeight="1">
      <c r="B284" s="87"/>
      <c r="C284" s="45" t="s">
        <v>46</v>
      </c>
      <c r="D284" s="44">
        <v>4</v>
      </c>
      <c r="E284" s="43">
        <v>2.9850746268656717E-3</v>
      </c>
    </row>
    <row r="285" spans="2:5" ht="15" customHeight="1">
      <c r="B285" s="87"/>
      <c r="C285" s="45" t="s">
        <v>45</v>
      </c>
      <c r="D285" s="44">
        <v>3</v>
      </c>
      <c r="E285" s="43">
        <v>2.2388059701492539E-3</v>
      </c>
    </row>
    <row r="286" spans="2:5" ht="15" customHeight="1">
      <c r="B286" s="87"/>
      <c r="C286" s="45" t="s">
        <v>43</v>
      </c>
      <c r="D286" s="44">
        <v>3</v>
      </c>
      <c r="E286" s="43">
        <v>2.2388059701492539E-3</v>
      </c>
    </row>
    <row r="287" spans="2:5" ht="15" customHeight="1">
      <c r="B287" s="88"/>
      <c r="C287" s="42" t="s">
        <v>23</v>
      </c>
      <c r="D287" s="41">
        <v>233</v>
      </c>
      <c r="E287" s="40">
        <v>0.17388059701492536</v>
      </c>
    </row>
    <row r="288" spans="2:5" ht="15" customHeight="1">
      <c r="B288" s="86" t="s">
        <v>144</v>
      </c>
      <c r="C288" s="45" t="s">
        <v>65</v>
      </c>
      <c r="D288" s="44">
        <v>1</v>
      </c>
      <c r="E288" s="43">
        <v>7.4626865671641792E-4</v>
      </c>
    </row>
    <row r="289" spans="2:5" ht="15" customHeight="1">
      <c r="B289" s="87"/>
      <c r="C289" s="45" t="s">
        <v>64</v>
      </c>
      <c r="D289" s="44">
        <v>1</v>
      </c>
      <c r="E289" s="43">
        <v>7.4626865671641792E-4</v>
      </c>
    </row>
    <row r="290" spans="2:5" ht="15" customHeight="1">
      <c r="B290" s="88"/>
      <c r="C290" s="42" t="s">
        <v>23</v>
      </c>
      <c r="D290" s="41">
        <v>2</v>
      </c>
      <c r="E290" s="40">
        <v>1.4925373134328358E-3</v>
      </c>
    </row>
    <row r="291" spans="2:5" ht="15" customHeight="1">
      <c r="B291" s="86" t="s">
        <v>143</v>
      </c>
      <c r="C291" s="45" t="s">
        <v>59</v>
      </c>
      <c r="D291" s="44">
        <v>1</v>
      </c>
      <c r="E291" s="43">
        <v>7.4626865671641792E-4</v>
      </c>
    </row>
    <row r="292" spans="2:5" ht="15" customHeight="1">
      <c r="B292" s="87"/>
      <c r="C292" s="45" t="s">
        <v>64</v>
      </c>
      <c r="D292" s="44">
        <v>2</v>
      </c>
      <c r="E292" s="43">
        <v>1.4925373134328358E-3</v>
      </c>
    </row>
    <row r="293" spans="2:5" ht="15" customHeight="1">
      <c r="B293" s="87"/>
      <c r="C293" s="45" t="s">
        <v>43</v>
      </c>
      <c r="D293" s="44">
        <v>1</v>
      </c>
      <c r="E293" s="43">
        <v>7.4626865671641792E-4</v>
      </c>
    </row>
    <row r="294" spans="2:5" ht="15" customHeight="1">
      <c r="B294" s="88"/>
      <c r="C294" s="42" t="s">
        <v>23</v>
      </c>
      <c r="D294" s="41">
        <v>4</v>
      </c>
      <c r="E294" s="40">
        <v>2.9850746268656717E-3</v>
      </c>
    </row>
    <row r="295" spans="2:5" ht="15" customHeight="1">
      <c r="B295" s="86" t="s">
        <v>142</v>
      </c>
      <c r="C295" s="45" t="s">
        <v>64</v>
      </c>
      <c r="D295" s="44">
        <v>1</v>
      </c>
      <c r="E295" s="43">
        <v>7.4626865671641792E-4</v>
      </c>
    </row>
    <row r="296" spans="2:5" ht="15" customHeight="1">
      <c r="B296" s="88"/>
      <c r="C296" s="42" t="s">
        <v>23</v>
      </c>
      <c r="D296" s="41">
        <v>1</v>
      </c>
      <c r="E296" s="40">
        <v>7.4626865671641792E-4</v>
      </c>
    </row>
    <row r="297" spans="2:5" ht="15" customHeight="1">
      <c r="B297" s="86" t="s">
        <v>141</v>
      </c>
      <c r="C297" s="45" t="s">
        <v>65</v>
      </c>
      <c r="D297" s="44">
        <v>1</v>
      </c>
      <c r="E297" s="43">
        <v>7.4626865671641792E-4</v>
      </c>
    </row>
    <row r="298" spans="2:5" ht="15" customHeight="1">
      <c r="B298" s="88"/>
      <c r="C298" s="42" t="s">
        <v>23</v>
      </c>
      <c r="D298" s="41">
        <v>1</v>
      </c>
      <c r="E298" s="40">
        <v>7.4626865671641792E-4</v>
      </c>
    </row>
    <row r="299" spans="2:5" ht="15" customHeight="1">
      <c r="B299" s="86" t="s">
        <v>140</v>
      </c>
      <c r="C299" s="45" t="s">
        <v>65</v>
      </c>
      <c r="D299" s="44">
        <v>5</v>
      </c>
      <c r="E299" s="43">
        <v>3.7313432835820895E-3</v>
      </c>
    </row>
    <row r="300" spans="2:5" ht="15" customHeight="1">
      <c r="B300" s="87"/>
      <c r="C300" s="45" t="s">
        <v>58</v>
      </c>
      <c r="D300" s="44">
        <v>1</v>
      </c>
      <c r="E300" s="43">
        <v>7.4626865671641792E-4</v>
      </c>
    </row>
    <row r="301" spans="2:5" ht="15" customHeight="1">
      <c r="B301" s="87"/>
      <c r="C301" s="45" t="s">
        <v>63</v>
      </c>
      <c r="D301" s="44">
        <v>4</v>
      </c>
      <c r="E301" s="43">
        <v>2.9850746268656717E-3</v>
      </c>
    </row>
    <row r="302" spans="2:5" ht="15" customHeight="1">
      <c r="B302" s="87"/>
      <c r="C302" s="45" t="s">
        <v>61</v>
      </c>
      <c r="D302" s="44">
        <v>1</v>
      </c>
      <c r="E302" s="43">
        <v>7.4626865671641792E-4</v>
      </c>
    </row>
    <row r="303" spans="2:5" ht="15" customHeight="1">
      <c r="B303" s="87"/>
      <c r="C303" s="45" t="s">
        <v>52</v>
      </c>
      <c r="D303" s="44">
        <v>1</v>
      </c>
      <c r="E303" s="43">
        <v>7.4626865671641792E-4</v>
      </c>
    </row>
    <row r="304" spans="2:5" ht="15" customHeight="1">
      <c r="B304" s="87"/>
      <c r="C304" s="45" t="s">
        <v>62</v>
      </c>
      <c r="D304" s="44">
        <v>1</v>
      </c>
      <c r="E304" s="43">
        <v>7.4626865671641792E-4</v>
      </c>
    </row>
    <row r="305" spans="2:5" ht="15" customHeight="1">
      <c r="B305" s="87"/>
      <c r="C305" s="45" t="s">
        <v>38</v>
      </c>
      <c r="D305" s="44">
        <v>1</v>
      </c>
      <c r="E305" s="43">
        <v>7.4626865671641792E-4</v>
      </c>
    </row>
    <row r="306" spans="2:5" ht="15" customHeight="1">
      <c r="B306" s="87"/>
      <c r="C306" s="45" t="s">
        <v>59</v>
      </c>
      <c r="D306" s="44">
        <v>2</v>
      </c>
      <c r="E306" s="43">
        <v>1.4925373134328358E-3</v>
      </c>
    </row>
    <row r="307" spans="2:5" ht="15" customHeight="1">
      <c r="B307" s="87"/>
      <c r="C307" s="45" t="s">
        <v>47</v>
      </c>
      <c r="D307" s="44">
        <v>1</v>
      </c>
      <c r="E307" s="43">
        <v>7.4626865671641792E-4</v>
      </c>
    </row>
    <row r="308" spans="2:5" ht="15" customHeight="1">
      <c r="B308" s="87"/>
      <c r="C308" s="45" t="s">
        <v>64</v>
      </c>
      <c r="D308" s="44">
        <v>1</v>
      </c>
      <c r="E308" s="43">
        <v>7.4626865671641792E-4</v>
      </c>
    </row>
    <row r="309" spans="2:5" ht="15" customHeight="1">
      <c r="B309" s="87"/>
      <c r="C309" s="45" t="s">
        <v>46</v>
      </c>
      <c r="D309" s="44">
        <v>1</v>
      </c>
      <c r="E309" s="43">
        <v>7.4626865671641792E-4</v>
      </c>
    </row>
    <row r="310" spans="2:5" ht="15" customHeight="1">
      <c r="B310" s="88"/>
      <c r="C310" s="42" t="s">
        <v>23</v>
      </c>
      <c r="D310" s="41">
        <v>19</v>
      </c>
      <c r="E310" s="40">
        <v>1.4179104477611941E-2</v>
      </c>
    </row>
    <row r="311" spans="2:5" ht="15" customHeight="1">
      <c r="B311" s="86" t="s">
        <v>139</v>
      </c>
      <c r="C311" s="45" t="s">
        <v>60</v>
      </c>
      <c r="D311" s="44">
        <v>2</v>
      </c>
      <c r="E311" s="43">
        <v>1.4925373134328358E-3</v>
      </c>
    </row>
    <row r="312" spans="2:5" ht="15" customHeight="1">
      <c r="B312" s="87"/>
      <c r="C312" s="45" t="s">
        <v>65</v>
      </c>
      <c r="D312" s="44">
        <v>10</v>
      </c>
      <c r="E312" s="43">
        <v>7.462686567164179E-3</v>
      </c>
    </row>
    <row r="313" spans="2:5" ht="15" customHeight="1">
      <c r="B313" s="87"/>
      <c r="C313" s="45" t="s">
        <v>58</v>
      </c>
      <c r="D313" s="44">
        <v>1</v>
      </c>
      <c r="E313" s="43">
        <v>7.4626865671641792E-4</v>
      </c>
    </row>
    <row r="314" spans="2:5" ht="15" customHeight="1">
      <c r="B314" s="87"/>
      <c r="C314" s="45" t="s">
        <v>63</v>
      </c>
      <c r="D314" s="44">
        <v>1</v>
      </c>
      <c r="E314" s="43">
        <v>7.4626865671641792E-4</v>
      </c>
    </row>
    <row r="315" spans="2:5" ht="15" customHeight="1">
      <c r="B315" s="87"/>
      <c r="C315" s="45" t="s">
        <v>56</v>
      </c>
      <c r="D315" s="44">
        <v>1</v>
      </c>
      <c r="E315" s="43">
        <v>7.4626865671641792E-4</v>
      </c>
    </row>
    <row r="316" spans="2:5" ht="15" customHeight="1">
      <c r="B316" s="87"/>
      <c r="C316" s="45" t="s">
        <v>54</v>
      </c>
      <c r="D316" s="44">
        <v>3</v>
      </c>
      <c r="E316" s="43">
        <v>2.2388059701492539E-3</v>
      </c>
    </row>
    <row r="317" spans="2:5" ht="15" customHeight="1">
      <c r="B317" s="87"/>
      <c r="C317" s="45" t="s">
        <v>49</v>
      </c>
      <c r="D317" s="44">
        <v>1</v>
      </c>
      <c r="E317" s="43">
        <v>7.4626865671641792E-4</v>
      </c>
    </row>
    <row r="318" spans="2:5" ht="15" customHeight="1">
      <c r="B318" s="87"/>
      <c r="C318" s="45" t="s">
        <v>27</v>
      </c>
      <c r="D318" s="44">
        <v>1</v>
      </c>
      <c r="E318" s="43">
        <v>7.4626865671641792E-4</v>
      </c>
    </row>
    <row r="319" spans="2:5" ht="15" customHeight="1">
      <c r="B319" s="87"/>
      <c r="C319" s="45" t="s">
        <v>42</v>
      </c>
      <c r="D319" s="44">
        <v>1</v>
      </c>
      <c r="E319" s="43">
        <v>7.4626865671641792E-4</v>
      </c>
    </row>
    <row r="320" spans="2:5" ht="15" customHeight="1">
      <c r="B320" s="87"/>
      <c r="C320" s="45" t="s">
        <v>64</v>
      </c>
      <c r="D320" s="44">
        <v>11</v>
      </c>
      <c r="E320" s="43">
        <v>8.2089552238805968E-3</v>
      </c>
    </row>
    <row r="321" spans="2:5" ht="15" customHeight="1">
      <c r="B321" s="87"/>
      <c r="C321" s="45" t="s">
        <v>31</v>
      </c>
      <c r="D321" s="44">
        <v>1</v>
      </c>
      <c r="E321" s="43">
        <v>7.4626865671641792E-4</v>
      </c>
    </row>
    <row r="322" spans="2:5" ht="15" customHeight="1">
      <c r="B322" s="87"/>
      <c r="C322" s="45" t="s">
        <v>46</v>
      </c>
      <c r="D322" s="44">
        <v>1</v>
      </c>
      <c r="E322" s="43">
        <v>7.4626865671641792E-4</v>
      </c>
    </row>
    <row r="323" spans="2:5" ht="15" customHeight="1">
      <c r="B323" s="87"/>
      <c r="C323" s="45" t="s">
        <v>45</v>
      </c>
      <c r="D323" s="44">
        <v>1</v>
      </c>
      <c r="E323" s="43">
        <v>7.4626865671641792E-4</v>
      </c>
    </row>
    <row r="324" spans="2:5" ht="15" customHeight="1">
      <c r="B324" s="87"/>
      <c r="C324" s="45" t="s">
        <v>43</v>
      </c>
      <c r="D324" s="44">
        <v>1</v>
      </c>
      <c r="E324" s="43">
        <v>7.4626865671641792E-4</v>
      </c>
    </row>
    <row r="325" spans="2:5" ht="15" customHeight="1">
      <c r="B325" s="88"/>
      <c r="C325" s="42" t="s">
        <v>23</v>
      </c>
      <c r="D325" s="41">
        <v>36</v>
      </c>
      <c r="E325" s="40">
        <v>2.6865671641791045E-2</v>
      </c>
    </row>
    <row r="326" spans="2:5" ht="15" customHeight="1">
      <c r="B326" s="86" t="s">
        <v>138</v>
      </c>
      <c r="C326" s="45" t="s">
        <v>49</v>
      </c>
      <c r="D326" s="44">
        <v>1</v>
      </c>
      <c r="E326" s="43">
        <v>7.4626865671641792E-4</v>
      </c>
    </row>
    <row r="327" spans="2:5" ht="15" customHeight="1">
      <c r="B327" s="88"/>
      <c r="C327" s="42" t="s">
        <v>23</v>
      </c>
      <c r="D327" s="41">
        <v>1</v>
      </c>
      <c r="E327" s="40">
        <v>7.4626865671641792E-4</v>
      </c>
    </row>
    <row r="328" spans="2:5" ht="15" customHeight="1">
      <c r="B328" s="99" t="s">
        <v>23</v>
      </c>
      <c r="C328" s="100"/>
      <c r="D328" s="101">
        <v>1340</v>
      </c>
      <c r="E328" s="102">
        <v>1</v>
      </c>
    </row>
    <row r="330" spans="2:5" ht="15" customHeight="1">
      <c r="B330" s="19" t="s">
        <v>22</v>
      </c>
    </row>
    <row r="331" spans="2:5" ht="15" customHeight="1">
      <c r="B331" s="21" t="s">
        <v>21</v>
      </c>
    </row>
    <row r="332" spans="2:5" ht="15" customHeight="1">
      <c r="B332" s="20" t="s">
        <v>20</v>
      </c>
    </row>
    <row r="333" spans="2:5" ht="15" customHeight="1">
      <c r="B333" s="19" t="s">
        <v>19</v>
      </c>
    </row>
    <row r="334" spans="2:5" ht="15" customHeight="1">
      <c r="B334" s="19" t="s">
        <v>18</v>
      </c>
    </row>
  </sheetData>
  <mergeCells count="24">
    <mergeCell ref="B299:B310"/>
    <mergeCell ref="B311:B325"/>
    <mergeCell ref="B326:B327"/>
    <mergeCell ref="B328:C328"/>
    <mergeCell ref="B251:B287"/>
    <mergeCell ref="B288:B290"/>
    <mergeCell ref="B291:B294"/>
    <mergeCell ref="B295:B296"/>
    <mergeCell ref="B297:B298"/>
    <mergeCell ref="B48:B56"/>
    <mergeCell ref="B57:B68"/>
    <mergeCell ref="B69:B93"/>
    <mergeCell ref="B94:B124"/>
    <mergeCell ref="B125:B135"/>
    <mergeCell ref="B136:B151"/>
    <mergeCell ref="B152:B169"/>
    <mergeCell ref="B170:B206"/>
    <mergeCell ref="B207:B219"/>
    <mergeCell ref="B220:B250"/>
    <mergeCell ref="B7:E8"/>
    <mergeCell ref="B10:B18"/>
    <mergeCell ref="B19:B27"/>
    <mergeCell ref="B28:B34"/>
    <mergeCell ref="B35:B4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8" manualBreakCount="8">
    <brk id="47" max="4" man="1"/>
    <brk id="68" max="4" man="1"/>
    <brk id="93" max="4" man="1"/>
    <brk id="135" max="4" man="1"/>
    <brk id="169" max="4" man="1"/>
    <brk id="206" max="4" man="1"/>
    <brk id="250" max="4" man="1"/>
    <brk id="294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13"/>
  <sheetViews>
    <sheetView topLeftCell="A378" zoomScale="106" zoomScaleNormal="106" zoomScaleSheetLayoutView="85" workbookViewId="0">
      <selection activeCell="F11" sqref="F1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85"/>
      <c r="C7" s="85"/>
      <c r="D7" s="85"/>
      <c r="E7" s="85"/>
    </row>
    <row r="8" spans="1:5" s="50" customFormat="1" ht="33" customHeight="1">
      <c r="A8" s="51"/>
      <c r="B8" s="85"/>
      <c r="C8" s="85"/>
      <c r="D8" s="85"/>
      <c r="E8" s="85"/>
    </row>
    <row r="9" spans="1:5" s="29" customFormat="1" ht="40.5" customHeight="1">
      <c r="B9" s="47" t="s">
        <v>120</v>
      </c>
      <c r="C9" s="49" t="s">
        <v>161</v>
      </c>
      <c r="D9" s="48" t="s">
        <v>67</v>
      </c>
      <c r="E9" s="47" t="s">
        <v>66</v>
      </c>
    </row>
    <row r="10" spans="1:5" ht="15" customHeight="1">
      <c r="B10" s="86" t="s">
        <v>83</v>
      </c>
      <c r="C10" s="45" t="s">
        <v>148</v>
      </c>
      <c r="D10" s="44">
        <v>2</v>
      </c>
      <c r="E10" s="43">
        <v>1.4992503748125937E-3</v>
      </c>
    </row>
    <row r="11" spans="1:5" ht="15" customHeight="1">
      <c r="B11" s="87"/>
      <c r="C11" s="45" t="s">
        <v>146</v>
      </c>
      <c r="D11" s="44">
        <v>3</v>
      </c>
      <c r="E11" s="43">
        <v>2.2488755622188904E-3</v>
      </c>
    </row>
    <row r="12" spans="1:5" ht="15" customHeight="1">
      <c r="B12" s="87"/>
      <c r="C12" s="45" t="s">
        <v>145</v>
      </c>
      <c r="D12" s="44">
        <v>1</v>
      </c>
      <c r="E12" s="43">
        <v>7.4962518740629683E-4</v>
      </c>
    </row>
    <row r="13" spans="1:5" ht="15" customHeight="1">
      <c r="B13" s="88"/>
      <c r="C13" s="42" t="s">
        <v>23</v>
      </c>
      <c r="D13" s="41">
        <v>6</v>
      </c>
      <c r="E13" s="40">
        <v>4.4977511244377807E-3</v>
      </c>
    </row>
    <row r="14" spans="1:5" ht="15" customHeight="1">
      <c r="B14" s="86" t="s">
        <v>115</v>
      </c>
      <c r="C14" s="45" t="s">
        <v>159</v>
      </c>
      <c r="D14" s="44">
        <v>2</v>
      </c>
      <c r="E14" s="43">
        <v>1.4992503748125937E-3</v>
      </c>
    </row>
    <row r="15" spans="1:5" ht="15" customHeight="1">
      <c r="B15" s="87"/>
      <c r="C15" s="45" t="s">
        <v>158</v>
      </c>
      <c r="D15" s="44">
        <v>1</v>
      </c>
      <c r="E15" s="43">
        <v>7.4962518740629683E-4</v>
      </c>
    </row>
    <row r="16" spans="1:5" ht="15" customHeight="1">
      <c r="B16" s="87"/>
      <c r="C16" s="45" t="s">
        <v>156</v>
      </c>
      <c r="D16" s="44">
        <v>2</v>
      </c>
      <c r="E16" s="43">
        <v>1.4992503748125937E-3</v>
      </c>
    </row>
    <row r="17" spans="2:5" ht="15" customHeight="1">
      <c r="B17" s="87"/>
      <c r="C17" s="45" t="s">
        <v>154</v>
      </c>
      <c r="D17" s="44">
        <v>3</v>
      </c>
      <c r="E17" s="43">
        <v>2.2488755622188904E-3</v>
      </c>
    </row>
    <row r="18" spans="2:5" ht="15" customHeight="1">
      <c r="B18" s="87"/>
      <c r="C18" s="45" t="s">
        <v>153</v>
      </c>
      <c r="D18" s="44">
        <v>3</v>
      </c>
      <c r="E18" s="43">
        <v>2.2488755622188904E-3</v>
      </c>
    </row>
    <row r="19" spans="2:5" ht="15" customHeight="1">
      <c r="B19" s="87"/>
      <c r="C19" s="45" t="s">
        <v>152</v>
      </c>
      <c r="D19" s="44">
        <v>18</v>
      </c>
      <c r="E19" s="43">
        <v>1.3493253373313344E-2</v>
      </c>
    </row>
    <row r="20" spans="2:5" ht="15" customHeight="1">
      <c r="B20" s="87"/>
      <c r="C20" s="45" t="s">
        <v>151</v>
      </c>
      <c r="D20" s="44">
        <v>3</v>
      </c>
      <c r="E20" s="43">
        <v>2.2488755622188904E-3</v>
      </c>
    </row>
    <row r="21" spans="2:5" ht="15" customHeight="1">
      <c r="B21" s="87"/>
      <c r="C21" s="45" t="s">
        <v>150</v>
      </c>
      <c r="D21" s="44">
        <v>2</v>
      </c>
      <c r="E21" s="43">
        <v>1.4992503748125937E-3</v>
      </c>
    </row>
    <row r="22" spans="2:5" ht="15" customHeight="1">
      <c r="B22" s="87"/>
      <c r="C22" s="45" t="s">
        <v>149</v>
      </c>
      <c r="D22" s="44">
        <v>1</v>
      </c>
      <c r="E22" s="43">
        <v>7.4962518740629683E-4</v>
      </c>
    </row>
    <row r="23" spans="2:5" ht="15" customHeight="1">
      <c r="B23" s="87"/>
      <c r="C23" s="45" t="s">
        <v>148</v>
      </c>
      <c r="D23" s="44">
        <v>58</v>
      </c>
      <c r="E23" s="43">
        <v>4.3478260869565216E-2</v>
      </c>
    </row>
    <row r="24" spans="2:5" ht="15" customHeight="1">
      <c r="B24" s="87"/>
      <c r="C24" s="45" t="s">
        <v>147</v>
      </c>
      <c r="D24" s="44">
        <v>3</v>
      </c>
      <c r="E24" s="43">
        <v>2.2488755622188904E-3</v>
      </c>
    </row>
    <row r="25" spans="2:5" ht="15" customHeight="1">
      <c r="B25" s="87"/>
      <c r="C25" s="45" t="s">
        <v>146</v>
      </c>
      <c r="D25" s="44">
        <v>16</v>
      </c>
      <c r="E25" s="43">
        <v>1.1994002998500749E-2</v>
      </c>
    </row>
    <row r="26" spans="2:5" ht="15" customHeight="1">
      <c r="B26" s="87"/>
      <c r="C26" s="45" t="s">
        <v>145</v>
      </c>
      <c r="D26" s="44">
        <v>22</v>
      </c>
      <c r="E26" s="43">
        <v>1.6491754122938532E-2</v>
      </c>
    </row>
    <row r="27" spans="2:5" ht="15" customHeight="1">
      <c r="B27" s="87"/>
      <c r="C27" s="45" t="s">
        <v>140</v>
      </c>
      <c r="D27" s="44">
        <v>1</v>
      </c>
      <c r="E27" s="43">
        <v>7.4962518740629683E-4</v>
      </c>
    </row>
    <row r="28" spans="2:5" ht="15" customHeight="1">
      <c r="B28" s="87"/>
      <c r="C28" s="45" t="s">
        <v>139</v>
      </c>
      <c r="D28" s="44">
        <v>2</v>
      </c>
      <c r="E28" s="43">
        <v>1.4992503748125937E-3</v>
      </c>
    </row>
    <row r="29" spans="2:5" ht="15" customHeight="1">
      <c r="B29" s="88"/>
      <c r="C29" s="42" t="s">
        <v>23</v>
      </c>
      <c r="D29" s="41">
        <v>137</v>
      </c>
      <c r="E29" s="40">
        <v>0.10269865067466268</v>
      </c>
    </row>
    <row r="30" spans="2:5" ht="15" customHeight="1">
      <c r="B30" s="86" t="s">
        <v>105</v>
      </c>
      <c r="C30" s="45" t="s">
        <v>155</v>
      </c>
      <c r="D30" s="44">
        <v>1</v>
      </c>
      <c r="E30" s="43">
        <v>7.4962518740629683E-4</v>
      </c>
    </row>
    <row r="31" spans="2:5" ht="15" customHeight="1">
      <c r="B31" s="87"/>
      <c r="C31" s="45" t="s">
        <v>153</v>
      </c>
      <c r="D31" s="44">
        <v>2</v>
      </c>
      <c r="E31" s="43">
        <v>1.4992503748125937E-3</v>
      </c>
    </row>
    <row r="32" spans="2:5" ht="15" customHeight="1">
      <c r="B32" s="87"/>
      <c r="C32" s="45" t="s">
        <v>152</v>
      </c>
      <c r="D32" s="44">
        <v>8</v>
      </c>
      <c r="E32" s="43">
        <v>5.9970014992503746E-3</v>
      </c>
    </row>
    <row r="33" spans="2:5" ht="15" customHeight="1">
      <c r="B33" s="87"/>
      <c r="C33" s="45" t="s">
        <v>150</v>
      </c>
      <c r="D33" s="44">
        <v>4</v>
      </c>
      <c r="E33" s="43">
        <v>2.9985007496251873E-3</v>
      </c>
    </row>
    <row r="34" spans="2:5" ht="15" customHeight="1">
      <c r="B34" s="87"/>
      <c r="C34" s="45" t="s">
        <v>149</v>
      </c>
      <c r="D34" s="44">
        <v>1</v>
      </c>
      <c r="E34" s="43">
        <v>7.4962518740629683E-4</v>
      </c>
    </row>
    <row r="35" spans="2:5" ht="15" customHeight="1">
      <c r="B35" s="87"/>
      <c r="C35" s="45" t="s">
        <v>148</v>
      </c>
      <c r="D35" s="44">
        <v>12</v>
      </c>
      <c r="E35" s="43">
        <v>8.9955022488755615E-3</v>
      </c>
    </row>
    <row r="36" spans="2:5" ht="15" customHeight="1">
      <c r="B36" s="87"/>
      <c r="C36" s="45" t="s">
        <v>146</v>
      </c>
      <c r="D36" s="44">
        <v>4</v>
      </c>
      <c r="E36" s="43">
        <v>2.9985007496251873E-3</v>
      </c>
    </row>
    <row r="37" spans="2:5" ht="15" customHeight="1">
      <c r="B37" s="87"/>
      <c r="C37" s="45" t="s">
        <v>145</v>
      </c>
      <c r="D37" s="44">
        <v>8</v>
      </c>
      <c r="E37" s="43">
        <v>5.9970014992503746E-3</v>
      </c>
    </row>
    <row r="38" spans="2:5" ht="15" customHeight="1">
      <c r="B38" s="87"/>
      <c r="C38" s="45" t="s">
        <v>143</v>
      </c>
      <c r="D38" s="44">
        <v>1</v>
      </c>
      <c r="E38" s="43">
        <v>7.4962518740629683E-4</v>
      </c>
    </row>
    <row r="39" spans="2:5" ht="15" customHeight="1">
      <c r="B39" s="87"/>
      <c r="C39" s="45" t="s">
        <v>139</v>
      </c>
      <c r="D39" s="44">
        <v>1</v>
      </c>
      <c r="E39" s="43">
        <v>7.4962518740629683E-4</v>
      </c>
    </row>
    <row r="40" spans="2:5" ht="15" customHeight="1">
      <c r="B40" s="88"/>
      <c r="C40" s="42" t="s">
        <v>23</v>
      </c>
      <c r="D40" s="41">
        <v>42</v>
      </c>
      <c r="E40" s="40">
        <v>3.1484257871064465E-2</v>
      </c>
    </row>
    <row r="41" spans="2:5" ht="15" customHeight="1">
      <c r="B41" s="86" t="s">
        <v>81</v>
      </c>
      <c r="C41" s="45" t="s">
        <v>156</v>
      </c>
      <c r="D41" s="44">
        <v>1</v>
      </c>
      <c r="E41" s="43">
        <v>7.4962518740629683E-4</v>
      </c>
    </row>
    <row r="42" spans="2:5" ht="15" customHeight="1">
      <c r="B42" s="87"/>
      <c r="C42" s="45" t="s">
        <v>153</v>
      </c>
      <c r="D42" s="44">
        <v>1</v>
      </c>
      <c r="E42" s="43">
        <v>7.4962518740629683E-4</v>
      </c>
    </row>
    <row r="43" spans="2:5" ht="15" customHeight="1">
      <c r="B43" s="87"/>
      <c r="C43" s="45" t="s">
        <v>152</v>
      </c>
      <c r="D43" s="44">
        <v>1</v>
      </c>
      <c r="E43" s="43">
        <v>7.4962518740629683E-4</v>
      </c>
    </row>
    <row r="44" spans="2:5" ht="15" customHeight="1">
      <c r="B44" s="87"/>
      <c r="C44" s="45" t="s">
        <v>148</v>
      </c>
      <c r="D44" s="44">
        <v>4</v>
      </c>
      <c r="E44" s="43">
        <v>2.9985007496251873E-3</v>
      </c>
    </row>
    <row r="45" spans="2:5" ht="15" customHeight="1">
      <c r="B45" s="87"/>
      <c r="C45" s="45" t="s">
        <v>146</v>
      </c>
      <c r="D45" s="44">
        <v>1</v>
      </c>
      <c r="E45" s="43">
        <v>7.4962518740629683E-4</v>
      </c>
    </row>
    <row r="46" spans="2:5" ht="15" customHeight="1">
      <c r="B46" s="87"/>
      <c r="C46" s="45" t="s">
        <v>145</v>
      </c>
      <c r="D46" s="44">
        <v>3</v>
      </c>
      <c r="E46" s="43">
        <v>2.2488755622188904E-3</v>
      </c>
    </row>
    <row r="47" spans="2:5" ht="15" customHeight="1">
      <c r="B47" s="88"/>
      <c r="C47" s="42" t="s">
        <v>23</v>
      </c>
      <c r="D47" s="41">
        <v>11</v>
      </c>
      <c r="E47" s="40">
        <v>8.2458770614692659E-3</v>
      </c>
    </row>
    <row r="48" spans="2:5" ht="15" customHeight="1">
      <c r="B48" s="86" t="s">
        <v>77</v>
      </c>
      <c r="C48" s="45" t="s">
        <v>145</v>
      </c>
      <c r="D48" s="44">
        <v>1</v>
      </c>
      <c r="E48" s="43">
        <v>7.4962518740629683E-4</v>
      </c>
    </row>
    <row r="49" spans="2:5" ht="15" customHeight="1">
      <c r="B49" s="87"/>
      <c r="C49" s="45" t="s">
        <v>139</v>
      </c>
      <c r="D49" s="44">
        <v>1</v>
      </c>
      <c r="E49" s="43">
        <v>7.4962518740629683E-4</v>
      </c>
    </row>
    <row r="50" spans="2:5" ht="15" customHeight="1">
      <c r="B50" s="88"/>
      <c r="C50" s="42" t="s">
        <v>23</v>
      </c>
      <c r="D50" s="41">
        <v>2</v>
      </c>
      <c r="E50" s="40">
        <v>1.4992503748125937E-3</v>
      </c>
    </row>
    <row r="51" spans="2:5" ht="15" customHeight="1">
      <c r="B51" s="86" t="s">
        <v>82</v>
      </c>
      <c r="C51" s="45" t="s">
        <v>152</v>
      </c>
      <c r="D51" s="44">
        <v>1</v>
      </c>
      <c r="E51" s="43">
        <v>7.4962518740629683E-4</v>
      </c>
    </row>
    <row r="52" spans="2:5" ht="15" customHeight="1">
      <c r="B52" s="87"/>
      <c r="C52" s="45" t="s">
        <v>149</v>
      </c>
      <c r="D52" s="44">
        <v>1</v>
      </c>
      <c r="E52" s="43">
        <v>7.4962518740629683E-4</v>
      </c>
    </row>
    <row r="53" spans="2:5" ht="15" customHeight="1">
      <c r="B53" s="87"/>
      <c r="C53" s="45" t="s">
        <v>148</v>
      </c>
      <c r="D53" s="44">
        <v>1</v>
      </c>
      <c r="E53" s="43">
        <v>7.4962518740629683E-4</v>
      </c>
    </row>
    <row r="54" spans="2:5" ht="15" customHeight="1">
      <c r="B54" s="87"/>
      <c r="C54" s="45" t="s">
        <v>145</v>
      </c>
      <c r="D54" s="44">
        <v>2</v>
      </c>
      <c r="E54" s="43">
        <v>1.4992503748125937E-3</v>
      </c>
    </row>
    <row r="55" spans="2:5" ht="15" customHeight="1">
      <c r="B55" s="88"/>
      <c r="C55" s="42" t="s">
        <v>23</v>
      </c>
      <c r="D55" s="41">
        <v>5</v>
      </c>
      <c r="E55" s="40">
        <v>3.7481259370314842E-3</v>
      </c>
    </row>
    <row r="56" spans="2:5" ht="15" customHeight="1">
      <c r="B56" s="86" t="s">
        <v>118</v>
      </c>
      <c r="C56" s="45" t="s">
        <v>153</v>
      </c>
      <c r="D56" s="44">
        <v>1</v>
      </c>
      <c r="E56" s="43">
        <v>7.4962518740629683E-4</v>
      </c>
    </row>
    <row r="57" spans="2:5" ht="15" customHeight="1">
      <c r="B57" s="87"/>
      <c r="C57" s="45" t="s">
        <v>152</v>
      </c>
      <c r="D57" s="44">
        <v>5</v>
      </c>
      <c r="E57" s="43">
        <v>3.7481259370314842E-3</v>
      </c>
    </row>
    <row r="58" spans="2:5" ht="15" customHeight="1">
      <c r="B58" s="87"/>
      <c r="C58" s="45" t="s">
        <v>150</v>
      </c>
      <c r="D58" s="44">
        <v>4</v>
      </c>
      <c r="E58" s="43">
        <v>2.9985007496251873E-3</v>
      </c>
    </row>
    <row r="59" spans="2:5" ht="15" customHeight="1">
      <c r="B59" s="87"/>
      <c r="C59" s="45" t="s">
        <v>149</v>
      </c>
      <c r="D59" s="44">
        <v>1</v>
      </c>
      <c r="E59" s="43">
        <v>7.4962518740629683E-4</v>
      </c>
    </row>
    <row r="60" spans="2:5" ht="15" customHeight="1">
      <c r="B60" s="87"/>
      <c r="C60" s="45" t="s">
        <v>148</v>
      </c>
      <c r="D60" s="44">
        <v>12</v>
      </c>
      <c r="E60" s="43">
        <v>8.9955022488755615E-3</v>
      </c>
    </row>
    <row r="61" spans="2:5" ht="15" customHeight="1">
      <c r="B61" s="87"/>
      <c r="C61" s="45" t="s">
        <v>147</v>
      </c>
      <c r="D61" s="44">
        <v>1</v>
      </c>
      <c r="E61" s="43">
        <v>7.4962518740629683E-4</v>
      </c>
    </row>
    <row r="62" spans="2:5" ht="15" customHeight="1">
      <c r="B62" s="87"/>
      <c r="C62" s="45" t="s">
        <v>146</v>
      </c>
      <c r="D62" s="44">
        <v>1</v>
      </c>
      <c r="E62" s="43">
        <v>7.4962518740629683E-4</v>
      </c>
    </row>
    <row r="63" spans="2:5" ht="15" customHeight="1">
      <c r="B63" s="87"/>
      <c r="C63" s="45" t="s">
        <v>145</v>
      </c>
      <c r="D63" s="44">
        <v>7</v>
      </c>
      <c r="E63" s="43">
        <v>5.2473763118440781E-3</v>
      </c>
    </row>
    <row r="64" spans="2:5" ht="15" customHeight="1">
      <c r="B64" s="87"/>
      <c r="C64" s="45" t="s">
        <v>140</v>
      </c>
      <c r="D64" s="44">
        <v>1</v>
      </c>
      <c r="E64" s="43">
        <v>7.4962518740629683E-4</v>
      </c>
    </row>
    <row r="65" spans="2:5" ht="15" customHeight="1">
      <c r="B65" s="87"/>
      <c r="C65" s="45" t="s">
        <v>139</v>
      </c>
      <c r="D65" s="44">
        <v>1</v>
      </c>
      <c r="E65" s="43">
        <v>7.4962518740629683E-4</v>
      </c>
    </row>
    <row r="66" spans="2:5" ht="15" customHeight="1">
      <c r="B66" s="88"/>
      <c r="C66" s="42" t="s">
        <v>23</v>
      </c>
      <c r="D66" s="41">
        <v>34</v>
      </c>
      <c r="E66" s="40">
        <v>2.5487256371814093E-2</v>
      </c>
    </row>
    <row r="67" spans="2:5" ht="15" customHeight="1">
      <c r="B67" s="86" t="s">
        <v>116</v>
      </c>
      <c r="C67" s="45" t="s">
        <v>159</v>
      </c>
      <c r="D67" s="44">
        <v>1</v>
      </c>
      <c r="E67" s="43">
        <v>7.4962518740629683E-4</v>
      </c>
    </row>
    <row r="68" spans="2:5" ht="15" customHeight="1">
      <c r="B68" s="87"/>
      <c r="C68" s="45" t="s">
        <v>157</v>
      </c>
      <c r="D68" s="44">
        <v>1</v>
      </c>
      <c r="E68" s="43">
        <v>7.4962518740629683E-4</v>
      </c>
    </row>
    <row r="69" spans="2:5" ht="15" customHeight="1">
      <c r="B69" s="87"/>
      <c r="C69" s="45" t="s">
        <v>153</v>
      </c>
      <c r="D69" s="44">
        <v>8</v>
      </c>
      <c r="E69" s="43">
        <v>5.9970014992503746E-3</v>
      </c>
    </row>
    <row r="70" spans="2:5" ht="15" customHeight="1">
      <c r="B70" s="87"/>
      <c r="C70" s="45" t="s">
        <v>152</v>
      </c>
      <c r="D70" s="44">
        <v>7</v>
      </c>
      <c r="E70" s="43">
        <v>5.2473763118440781E-3</v>
      </c>
    </row>
    <row r="71" spans="2:5" ht="15" customHeight="1">
      <c r="B71" s="87"/>
      <c r="C71" s="45" t="s">
        <v>149</v>
      </c>
      <c r="D71" s="44">
        <v>2</v>
      </c>
      <c r="E71" s="43">
        <v>1.4992503748125937E-3</v>
      </c>
    </row>
    <row r="72" spans="2:5" ht="15" customHeight="1">
      <c r="B72" s="87"/>
      <c r="C72" s="45" t="s">
        <v>148</v>
      </c>
      <c r="D72" s="44">
        <v>34</v>
      </c>
      <c r="E72" s="43">
        <v>2.5487256371814093E-2</v>
      </c>
    </row>
    <row r="73" spans="2:5" ht="15" customHeight="1">
      <c r="B73" s="87"/>
      <c r="C73" s="45" t="s">
        <v>147</v>
      </c>
      <c r="D73" s="44">
        <v>2</v>
      </c>
      <c r="E73" s="43">
        <v>1.4992503748125937E-3</v>
      </c>
    </row>
    <row r="74" spans="2:5" ht="15" customHeight="1">
      <c r="B74" s="87"/>
      <c r="C74" s="45" t="s">
        <v>146</v>
      </c>
      <c r="D74" s="44">
        <v>2</v>
      </c>
      <c r="E74" s="43">
        <v>1.4992503748125937E-3</v>
      </c>
    </row>
    <row r="75" spans="2:5" ht="15" customHeight="1">
      <c r="B75" s="87"/>
      <c r="C75" s="45" t="s">
        <v>145</v>
      </c>
      <c r="D75" s="44">
        <v>8</v>
      </c>
      <c r="E75" s="43">
        <v>5.9970014992503746E-3</v>
      </c>
    </row>
    <row r="76" spans="2:5" ht="15" customHeight="1">
      <c r="B76" s="87"/>
      <c r="C76" s="45" t="s">
        <v>139</v>
      </c>
      <c r="D76" s="44">
        <v>4</v>
      </c>
      <c r="E76" s="43">
        <v>2.9985007496251873E-3</v>
      </c>
    </row>
    <row r="77" spans="2:5" ht="15" customHeight="1">
      <c r="B77" s="88"/>
      <c r="C77" s="42" t="s">
        <v>23</v>
      </c>
      <c r="D77" s="41">
        <v>69</v>
      </c>
      <c r="E77" s="40">
        <v>5.1724137931034482E-2</v>
      </c>
    </row>
    <row r="78" spans="2:5" ht="15" customHeight="1">
      <c r="B78" s="86" t="s">
        <v>100</v>
      </c>
      <c r="C78" s="45" t="s">
        <v>154</v>
      </c>
      <c r="D78" s="44">
        <v>4</v>
      </c>
      <c r="E78" s="43">
        <v>2.9985007496251873E-3</v>
      </c>
    </row>
    <row r="79" spans="2:5" ht="15" customHeight="1">
      <c r="B79" s="87"/>
      <c r="C79" s="45" t="s">
        <v>153</v>
      </c>
      <c r="D79" s="44">
        <v>1</v>
      </c>
      <c r="E79" s="43">
        <v>7.4962518740629683E-4</v>
      </c>
    </row>
    <row r="80" spans="2:5" ht="15" customHeight="1">
      <c r="B80" s="87"/>
      <c r="C80" s="45" t="s">
        <v>152</v>
      </c>
      <c r="D80" s="44">
        <v>4</v>
      </c>
      <c r="E80" s="43">
        <v>2.9985007496251873E-3</v>
      </c>
    </row>
    <row r="81" spans="2:5" ht="15" customHeight="1">
      <c r="B81" s="87"/>
      <c r="C81" s="45" t="s">
        <v>150</v>
      </c>
      <c r="D81" s="44">
        <v>3</v>
      </c>
      <c r="E81" s="43">
        <v>2.2488755622188904E-3</v>
      </c>
    </row>
    <row r="82" spans="2:5" ht="15" customHeight="1">
      <c r="B82" s="87"/>
      <c r="C82" s="45" t="s">
        <v>149</v>
      </c>
      <c r="D82" s="44">
        <v>1</v>
      </c>
      <c r="E82" s="43">
        <v>7.4962518740629683E-4</v>
      </c>
    </row>
    <row r="83" spans="2:5" ht="15" customHeight="1">
      <c r="B83" s="87"/>
      <c r="C83" s="45" t="s">
        <v>148</v>
      </c>
      <c r="D83" s="44">
        <v>9</v>
      </c>
      <c r="E83" s="43">
        <v>6.746626686656672E-3</v>
      </c>
    </row>
    <row r="84" spans="2:5" ht="15" customHeight="1">
      <c r="B84" s="87"/>
      <c r="C84" s="45" t="s">
        <v>146</v>
      </c>
      <c r="D84" s="44">
        <v>5</v>
      </c>
      <c r="E84" s="43">
        <v>3.7481259370314842E-3</v>
      </c>
    </row>
    <row r="85" spans="2:5" ht="15" customHeight="1">
      <c r="B85" s="87"/>
      <c r="C85" s="45" t="s">
        <v>145</v>
      </c>
      <c r="D85" s="44">
        <v>5</v>
      </c>
      <c r="E85" s="43">
        <v>3.7481259370314842E-3</v>
      </c>
    </row>
    <row r="86" spans="2:5" ht="15" customHeight="1">
      <c r="B86" s="87"/>
      <c r="C86" s="45" t="s">
        <v>140</v>
      </c>
      <c r="D86" s="44">
        <v>1</v>
      </c>
      <c r="E86" s="43">
        <v>7.4962518740629683E-4</v>
      </c>
    </row>
    <row r="87" spans="2:5" ht="15" customHeight="1">
      <c r="B87" s="87"/>
      <c r="C87" s="45" t="s">
        <v>139</v>
      </c>
      <c r="D87" s="44">
        <v>1</v>
      </c>
      <c r="E87" s="43">
        <v>7.4962518740629683E-4</v>
      </c>
    </row>
    <row r="88" spans="2:5" ht="15" customHeight="1">
      <c r="B88" s="88"/>
      <c r="C88" s="42" t="s">
        <v>23</v>
      </c>
      <c r="D88" s="41">
        <v>34</v>
      </c>
      <c r="E88" s="40">
        <v>2.5487256371814093E-2</v>
      </c>
    </row>
    <row r="89" spans="2:5" ht="15" customHeight="1">
      <c r="B89" s="86" t="s">
        <v>86</v>
      </c>
      <c r="C89" s="45" t="s">
        <v>153</v>
      </c>
      <c r="D89" s="44">
        <v>2</v>
      </c>
      <c r="E89" s="43">
        <v>1.4992503748125937E-3</v>
      </c>
    </row>
    <row r="90" spans="2:5" ht="15" customHeight="1">
      <c r="B90" s="87"/>
      <c r="C90" s="45" t="s">
        <v>152</v>
      </c>
      <c r="D90" s="44">
        <v>3</v>
      </c>
      <c r="E90" s="43">
        <v>2.2488755622188904E-3</v>
      </c>
    </row>
    <row r="91" spans="2:5" ht="15" customHeight="1">
      <c r="B91" s="87"/>
      <c r="C91" s="45" t="s">
        <v>151</v>
      </c>
      <c r="D91" s="44">
        <v>1</v>
      </c>
      <c r="E91" s="43">
        <v>7.4962518740629683E-4</v>
      </c>
    </row>
    <row r="92" spans="2:5" ht="15" customHeight="1">
      <c r="B92" s="87"/>
      <c r="C92" s="45" t="s">
        <v>149</v>
      </c>
      <c r="D92" s="44">
        <v>2</v>
      </c>
      <c r="E92" s="43">
        <v>1.4992503748125937E-3</v>
      </c>
    </row>
    <row r="93" spans="2:5" ht="15" customHeight="1">
      <c r="B93" s="87"/>
      <c r="C93" s="45" t="s">
        <v>148</v>
      </c>
      <c r="D93" s="44">
        <v>2</v>
      </c>
      <c r="E93" s="43">
        <v>1.4992503748125937E-3</v>
      </c>
    </row>
    <row r="94" spans="2:5" ht="15" customHeight="1">
      <c r="B94" s="87"/>
      <c r="C94" s="45" t="s">
        <v>146</v>
      </c>
      <c r="D94" s="44">
        <v>1</v>
      </c>
      <c r="E94" s="43">
        <v>7.4962518740629683E-4</v>
      </c>
    </row>
    <row r="95" spans="2:5" ht="15" customHeight="1">
      <c r="B95" s="87"/>
      <c r="C95" s="45" t="s">
        <v>145</v>
      </c>
      <c r="D95" s="44">
        <v>2</v>
      </c>
      <c r="E95" s="43">
        <v>1.4992503748125937E-3</v>
      </c>
    </row>
    <row r="96" spans="2:5" ht="15" customHeight="1">
      <c r="B96" s="88"/>
      <c r="C96" s="42" t="s">
        <v>23</v>
      </c>
      <c r="D96" s="41">
        <v>13</v>
      </c>
      <c r="E96" s="40">
        <v>9.7451274362818589E-3</v>
      </c>
    </row>
    <row r="97" spans="2:5" ht="15" customHeight="1">
      <c r="B97" s="86" t="s">
        <v>84</v>
      </c>
      <c r="C97" s="45" t="s">
        <v>145</v>
      </c>
      <c r="D97" s="44">
        <v>3</v>
      </c>
      <c r="E97" s="43">
        <v>2.2488755622188904E-3</v>
      </c>
    </row>
    <row r="98" spans="2:5" ht="15" customHeight="1">
      <c r="B98" s="88"/>
      <c r="C98" s="42" t="s">
        <v>23</v>
      </c>
      <c r="D98" s="41">
        <v>3</v>
      </c>
      <c r="E98" s="40">
        <v>2.2488755622188904E-3</v>
      </c>
    </row>
    <row r="99" spans="2:5" ht="15" customHeight="1">
      <c r="B99" s="86" t="s">
        <v>97</v>
      </c>
      <c r="C99" s="45" t="s">
        <v>154</v>
      </c>
      <c r="D99" s="44">
        <v>1</v>
      </c>
      <c r="E99" s="43">
        <v>7.4962518740629683E-4</v>
      </c>
    </row>
    <row r="100" spans="2:5" ht="15" customHeight="1">
      <c r="B100" s="87"/>
      <c r="C100" s="45" t="s">
        <v>153</v>
      </c>
      <c r="D100" s="44">
        <v>1</v>
      </c>
      <c r="E100" s="43">
        <v>7.4962518740629683E-4</v>
      </c>
    </row>
    <row r="101" spans="2:5" ht="15" customHeight="1">
      <c r="B101" s="87"/>
      <c r="C101" s="45" t="s">
        <v>152</v>
      </c>
      <c r="D101" s="44">
        <v>2</v>
      </c>
      <c r="E101" s="43">
        <v>1.4992503748125937E-3</v>
      </c>
    </row>
    <row r="102" spans="2:5" ht="15" customHeight="1">
      <c r="B102" s="87"/>
      <c r="C102" s="45" t="s">
        <v>148</v>
      </c>
      <c r="D102" s="44">
        <v>2</v>
      </c>
      <c r="E102" s="43">
        <v>1.4992503748125937E-3</v>
      </c>
    </row>
    <row r="103" spans="2:5" ht="15" customHeight="1">
      <c r="B103" s="87"/>
      <c r="C103" s="45" t="s">
        <v>145</v>
      </c>
      <c r="D103" s="44">
        <v>1</v>
      </c>
      <c r="E103" s="43">
        <v>7.4962518740629683E-4</v>
      </c>
    </row>
    <row r="104" spans="2:5" ht="15" customHeight="1">
      <c r="B104" s="88"/>
      <c r="C104" s="42" t="s">
        <v>23</v>
      </c>
      <c r="D104" s="41">
        <v>7</v>
      </c>
      <c r="E104" s="40">
        <v>5.2473763118440781E-3</v>
      </c>
    </row>
    <row r="105" spans="2:5" ht="15" customHeight="1">
      <c r="B105" s="86" t="s">
        <v>113</v>
      </c>
      <c r="C105" s="45" t="s">
        <v>159</v>
      </c>
      <c r="D105" s="44">
        <v>1</v>
      </c>
      <c r="E105" s="43">
        <v>7.4962518740629683E-4</v>
      </c>
    </row>
    <row r="106" spans="2:5" ht="15" customHeight="1">
      <c r="B106" s="87"/>
      <c r="C106" s="45" t="s">
        <v>156</v>
      </c>
      <c r="D106" s="44">
        <v>3</v>
      </c>
      <c r="E106" s="43">
        <v>2.2488755622188904E-3</v>
      </c>
    </row>
    <row r="107" spans="2:5" ht="15" customHeight="1">
      <c r="B107" s="87"/>
      <c r="C107" s="45" t="s">
        <v>153</v>
      </c>
      <c r="D107" s="44">
        <v>2</v>
      </c>
      <c r="E107" s="43">
        <v>1.4992503748125937E-3</v>
      </c>
    </row>
    <row r="108" spans="2:5" ht="15" customHeight="1">
      <c r="B108" s="87"/>
      <c r="C108" s="45" t="s">
        <v>152</v>
      </c>
      <c r="D108" s="44">
        <v>6</v>
      </c>
      <c r="E108" s="43">
        <v>4.4977511244377807E-3</v>
      </c>
    </row>
    <row r="109" spans="2:5" ht="15" customHeight="1">
      <c r="B109" s="87"/>
      <c r="C109" s="45" t="s">
        <v>148</v>
      </c>
      <c r="D109" s="44">
        <v>4</v>
      </c>
      <c r="E109" s="43">
        <v>2.9985007496251873E-3</v>
      </c>
    </row>
    <row r="110" spans="2:5" ht="15" customHeight="1">
      <c r="B110" s="87"/>
      <c r="C110" s="45" t="s">
        <v>146</v>
      </c>
      <c r="D110" s="44">
        <v>1</v>
      </c>
      <c r="E110" s="43">
        <v>7.4962518740629683E-4</v>
      </c>
    </row>
    <row r="111" spans="2:5" ht="15" customHeight="1">
      <c r="B111" s="87"/>
      <c r="C111" s="45" t="s">
        <v>145</v>
      </c>
      <c r="D111" s="44">
        <v>3</v>
      </c>
      <c r="E111" s="43">
        <v>2.2488755622188904E-3</v>
      </c>
    </row>
    <row r="112" spans="2:5" ht="15" customHeight="1">
      <c r="B112" s="87"/>
      <c r="C112" s="45" t="s">
        <v>140</v>
      </c>
      <c r="D112" s="44">
        <v>1</v>
      </c>
      <c r="E112" s="43">
        <v>7.4962518740629683E-4</v>
      </c>
    </row>
    <row r="113" spans="2:5" ht="15" customHeight="1">
      <c r="B113" s="87"/>
      <c r="C113" s="45" t="s">
        <v>139</v>
      </c>
      <c r="D113" s="44">
        <v>3</v>
      </c>
      <c r="E113" s="43">
        <v>2.2488755622188904E-3</v>
      </c>
    </row>
    <row r="114" spans="2:5" ht="15" customHeight="1">
      <c r="B114" s="88"/>
      <c r="C114" s="42" t="s">
        <v>23</v>
      </c>
      <c r="D114" s="41">
        <v>24</v>
      </c>
      <c r="E114" s="40">
        <v>1.7991004497751123E-2</v>
      </c>
    </row>
    <row r="115" spans="2:5" ht="15" customHeight="1">
      <c r="B115" s="86" t="s">
        <v>117</v>
      </c>
      <c r="C115" s="45" t="s">
        <v>157</v>
      </c>
      <c r="D115" s="44">
        <v>1</v>
      </c>
      <c r="E115" s="43">
        <v>7.4962518740629683E-4</v>
      </c>
    </row>
    <row r="116" spans="2:5" ht="15" customHeight="1">
      <c r="B116" s="87"/>
      <c r="C116" s="45" t="s">
        <v>155</v>
      </c>
      <c r="D116" s="44">
        <v>4</v>
      </c>
      <c r="E116" s="43">
        <v>2.9985007496251873E-3</v>
      </c>
    </row>
    <row r="117" spans="2:5" ht="15" customHeight="1">
      <c r="B117" s="87"/>
      <c r="C117" s="45" t="s">
        <v>154</v>
      </c>
      <c r="D117" s="44">
        <v>3</v>
      </c>
      <c r="E117" s="43">
        <v>2.2488755622188904E-3</v>
      </c>
    </row>
    <row r="118" spans="2:5" ht="15" customHeight="1">
      <c r="B118" s="87"/>
      <c r="C118" s="45" t="s">
        <v>153</v>
      </c>
      <c r="D118" s="44">
        <v>7</v>
      </c>
      <c r="E118" s="43">
        <v>5.2473763118440781E-3</v>
      </c>
    </row>
    <row r="119" spans="2:5" ht="15" customHeight="1">
      <c r="B119" s="87"/>
      <c r="C119" s="45" t="s">
        <v>152</v>
      </c>
      <c r="D119" s="44">
        <v>9</v>
      </c>
      <c r="E119" s="43">
        <v>6.746626686656672E-3</v>
      </c>
    </row>
    <row r="120" spans="2:5" ht="15" customHeight="1">
      <c r="B120" s="87"/>
      <c r="C120" s="45" t="s">
        <v>151</v>
      </c>
      <c r="D120" s="44">
        <v>1</v>
      </c>
      <c r="E120" s="43">
        <v>7.4962518740629683E-4</v>
      </c>
    </row>
    <row r="121" spans="2:5" ht="15" customHeight="1">
      <c r="B121" s="87"/>
      <c r="C121" s="45" t="s">
        <v>149</v>
      </c>
      <c r="D121" s="44">
        <v>2</v>
      </c>
      <c r="E121" s="43">
        <v>1.4992503748125937E-3</v>
      </c>
    </row>
    <row r="122" spans="2:5" ht="15" customHeight="1">
      <c r="B122" s="87"/>
      <c r="C122" s="45" t="s">
        <v>148</v>
      </c>
      <c r="D122" s="44">
        <v>26</v>
      </c>
      <c r="E122" s="43">
        <v>1.9490254872563718E-2</v>
      </c>
    </row>
    <row r="123" spans="2:5" ht="15" customHeight="1">
      <c r="B123" s="87"/>
      <c r="C123" s="45" t="s">
        <v>147</v>
      </c>
      <c r="D123" s="44">
        <v>1</v>
      </c>
      <c r="E123" s="43">
        <v>7.4962518740629683E-4</v>
      </c>
    </row>
    <row r="124" spans="2:5" ht="15" customHeight="1">
      <c r="B124" s="87"/>
      <c r="C124" s="45" t="s">
        <v>146</v>
      </c>
      <c r="D124" s="44">
        <v>2</v>
      </c>
      <c r="E124" s="43">
        <v>1.4992503748125937E-3</v>
      </c>
    </row>
    <row r="125" spans="2:5" ht="15" customHeight="1">
      <c r="B125" s="87"/>
      <c r="C125" s="45" t="s">
        <v>145</v>
      </c>
      <c r="D125" s="44">
        <v>16</v>
      </c>
      <c r="E125" s="43">
        <v>1.1994002998500749E-2</v>
      </c>
    </row>
    <row r="126" spans="2:5" ht="15" customHeight="1">
      <c r="B126" s="87"/>
      <c r="C126" s="45" t="s">
        <v>143</v>
      </c>
      <c r="D126" s="44">
        <v>1</v>
      </c>
      <c r="E126" s="43">
        <v>7.4962518740629683E-4</v>
      </c>
    </row>
    <row r="127" spans="2:5" ht="15" customHeight="1">
      <c r="B127" s="87"/>
      <c r="C127" s="45" t="s">
        <v>140</v>
      </c>
      <c r="D127" s="44">
        <v>1</v>
      </c>
      <c r="E127" s="43">
        <v>7.4962518740629683E-4</v>
      </c>
    </row>
    <row r="128" spans="2:5" ht="15" customHeight="1">
      <c r="B128" s="87"/>
      <c r="C128" s="45" t="s">
        <v>139</v>
      </c>
      <c r="D128" s="44">
        <v>2</v>
      </c>
      <c r="E128" s="43">
        <v>1.4992503748125937E-3</v>
      </c>
    </row>
    <row r="129" spans="2:5" ht="15" customHeight="1">
      <c r="B129" s="88"/>
      <c r="C129" s="42" t="s">
        <v>23</v>
      </c>
      <c r="D129" s="41">
        <v>76</v>
      </c>
      <c r="E129" s="40">
        <v>5.6971514242878558E-2</v>
      </c>
    </row>
    <row r="130" spans="2:5" ht="15" customHeight="1">
      <c r="B130" s="86" t="s">
        <v>168</v>
      </c>
      <c r="C130" s="45" t="s">
        <v>152</v>
      </c>
      <c r="D130" s="44">
        <v>3</v>
      </c>
      <c r="E130" s="43">
        <v>2.2488755622188904E-3</v>
      </c>
    </row>
    <row r="131" spans="2:5" ht="15" customHeight="1">
      <c r="B131" s="87"/>
      <c r="C131" s="45" t="s">
        <v>149</v>
      </c>
      <c r="D131" s="44">
        <v>5</v>
      </c>
      <c r="E131" s="43">
        <v>3.7481259370314842E-3</v>
      </c>
    </row>
    <row r="132" spans="2:5" ht="15" customHeight="1">
      <c r="B132" s="87"/>
      <c r="C132" s="45" t="s">
        <v>148</v>
      </c>
      <c r="D132" s="44">
        <v>14</v>
      </c>
      <c r="E132" s="43">
        <v>1.0494752623688156E-2</v>
      </c>
    </row>
    <row r="133" spans="2:5" ht="15" customHeight="1">
      <c r="B133" s="87"/>
      <c r="C133" s="45" t="s">
        <v>146</v>
      </c>
      <c r="D133" s="44">
        <v>1</v>
      </c>
      <c r="E133" s="43">
        <v>7.4962518740629683E-4</v>
      </c>
    </row>
    <row r="134" spans="2:5" ht="15" customHeight="1">
      <c r="B134" s="87"/>
      <c r="C134" s="45" t="s">
        <v>145</v>
      </c>
      <c r="D134" s="44">
        <v>5</v>
      </c>
      <c r="E134" s="43">
        <v>3.7481259370314842E-3</v>
      </c>
    </row>
    <row r="135" spans="2:5" ht="15" customHeight="1">
      <c r="B135" s="88"/>
      <c r="C135" s="42" t="s">
        <v>23</v>
      </c>
      <c r="D135" s="41">
        <v>28</v>
      </c>
      <c r="E135" s="40">
        <v>2.0989505247376312E-2</v>
      </c>
    </row>
    <row r="136" spans="2:5" ht="15" customHeight="1">
      <c r="B136" s="86" t="s">
        <v>96</v>
      </c>
      <c r="C136" s="45" t="s">
        <v>156</v>
      </c>
      <c r="D136" s="44">
        <v>1</v>
      </c>
      <c r="E136" s="43">
        <v>7.4962518740629683E-4</v>
      </c>
    </row>
    <row r="137" spans="2:5" ht="15" customHeight="1">
      <c r="B137" s="87"/>
      <c r="C137" s="45" t="s">
        <v>154</v>
      </c>
      <c r="D137" s="44">
        <v>1</v>
      </c>
      <c r="E137" s="43">
        <v>7.4962518740629683E-4</v>
      </c>
    </row>
    <row r="138" spans="2:5" ht="15" customHeight="1">
      <c r="B138" s="87"/>
      <c r="C138" s="45" t="s">
        <v>153</v>
      </c>
      <c r="D138" s="44">
        <v>6</v>
      </c>
      <c r="E138" s="43">
        <v>4.4977511244377807E-3</v>
      </c>
    </row>
    <row r="139" spans="2:5" ht="15" customHeight="1">
      <c r="B139" s="87"/>
      <c r="C139" s="45" t="s">
        <v>152</v>
      </c>
      <c r="D139" s="44">
        <v>4</v>
      </c>
      <c r="E139" s="43">
        <v>2.9985007496251873E-3</v>
      </c>
    </row>
    <row r="140" spans="2:5" ht="15" customHeight="1">
      <c r="B140" s="87"/>
      <c r="C140" s="45" t="s">
        <v>149</v>
      </c>
      <c r="D140" s="44">
        <v>1</v>
      </c>
      <c r="E140" s="43">
        <v>7.4962518740629683E-4</v>
      </c>
    </row>
    <row r="141" spans="2:5" ht="15" customHeight="1">
      <c r="B141" s="87"/>
      <c r="C141" s="45" t="s">
        <v>148</v>
      </c>
      <c r="D141" s="44">
        <v>11</v>
      </c>
      <c r="E141" s="43">
        <v>8.2458770614692659E-3</v>
      </c>
    </row>
    <row r="142" spans="2:5" ht="15" customHeight="1">
      <c r="B142" s="87"/>
      <c r="C142" s="45" t="s">
        <v>146</v>
      </c>
      <c r="D142" s="44">
        <v>5</v>
      </c>
      <c r="E142" s="43">
        <v>3.7481259370314842E-3</v>
      </c>
    </row>
    <row r="143" spans="2:5" ht="15" customHeight="1">
      <c r="B143" s="87"/>
      <c r="C143" s="45" t="s">
        <v>145</v>
      </c>
      <c r="D143" s="44">
        <v>10</v>
      </c>
      <c r="E143" s="43">
        <v>7.4962518740629685E-3</v>
      </c>
    </row>
    <row r="144" spans="2:5" ht="15" customHeight="1">
      <c r="B144" s="88"/>
      <c r="C144" s="42" t="s">
        <v>23</v>
      </c>
      <c r="D144" s="41">
        <v>39</v>
      </c>
      <c r="E144" s="40">
        <v>2.9235382308845578E-2</v>
      </c>
    </row>
    <row r="145" spans="2:5" ht="15" customHeight="1">
      <c r="B145" s="86" t="s">
        <v>80</v>
      </c>
      <c r="C145" s="45" t="s">
        <v>152</v>
      </c>
      <c r="D145" s="44">
        <v>1</v>
      </c>
      <c r="E145" s="43">
        <v>7.4962518740629683E-4</v>
      </c>
    </row>
    <row r="146" spans="2:5" ht="15" customHeight="1">
      <c r="B146" s="87"/>
      <c r="C146" s="45" t="s">
        <v>151</v>
      </c>
      <c r="D146" s="44">
        <v>1</v>
      </c>
      <c r="E146" s="43">
        <v>7.4962518740629683E-4</v>
      </c>
    </row>
    <row r="147" spans="2:5" ht="15" customHeight="1">
      <c r="B147" s="87"/>
      <c r="C147" s="45" t="s">
        <v>148</v>
      </c>
      <c r="D147" s="44">
        <v>2</v>
      </c>
      <c r="E147" s="43">
        <v>1.4992503748125937E-3</v>
      </c>
    </row>
    <row r="148" spans="2:5" ht="15" customHeight="1">
      <c r="B148" s="87"/>
      <c r="C148" s="45" t="s">
        <v>146</v>
      </c>
      <c r="D148" s="44">
        <v>2</v>
      </c>
      <c r="E148" s="43">
        <v>1.4992503748125937E-3</v>
      </c>
    </row>
    <row r="149" spans="2:5" ht="15" customHeight="1">
      <c r="B149" s="87"/>
      <c r="C149" s="45" t="s">
        <v>145</v>
      </c>
      <c r="D149" s="44">
        <v>1</v>
      </c>
      <c r="E149" s="43">
        <v>7.4962518740629683E-4</v>
      </c>
    </row>
    <row r="150" spans="2:5" ht="15" customHeight="1">
      <c r="B150" s="88"/>
      <c r="C150" s="42" t="s">
        <v>23</v>
      </c>
      <c r="D150" s="41">
        <v>7</v>
      </c>
      <c r="E150" s="40">
        <v>5.2473763118440781E-3</v>
      </c>
    </row>
    <row r="151" spans="2:5" ht="15" customHeight="1">
      <c r="B151" s="86" t="s">
        <v>103</v>
      </c>
      <c r="C151" s="45" t="s">
        <v>153</v>
      </c>
      <c r="D151" s="44">
        <v>2</v>
      </c>
      <c r="E151" s="43">
        <v>1.4992503748125937E-3</v>
      </c>
    </row>
    <row r="152" spans="2:5" ht="15" customHeight="1">
      <c r="B152" s="87"/>
      <c r="C152" s="45" t="s">
        <v>152</v>
      </c>
      <c r="D152" s="44">
        <v>6</v>
      </c>
      <c r="E152" s="43">
        <v>4.4977511244377807E-3</v>
      </c>
    </row>
    <row r="153" spans="2:5" ht="15" customHeight="1">
      <c r="B153" s="87"/>
      <c r="C153" s="45" t="s">
        <v>150</v>
      </c>
      <c r="D153" s="44">
        <v>1</v>
      </c>
      <c r="E153" s="43">
        <v>7.4962518740629683E-4</v>
      </c>
    </row>
    <row r="154" spans="2:5" ht="15" customHeight="1">
      <c r="B154" s="87"/>
      <c r="C154" s="45" t="s">
        <v>149</v>
      </c>
      <c r="D154" s="44">
        <v>1</v>
      </c>
      <c r="E154" s="43">
        <v>7.4962518740629683E-4</v>
      </c>
    </row>
    <row r="155" spans="2:5" ht="15" customHeight="1">
      <c r="B155" s="87"/>
      <c r="C155" s="45" t="s">
        <v>148</v>
      </c>
      <c r="D155" s="44">
        <v>8</v>
      </c>
      <c r="E155" s="43">
        <v>5.9970014992503746E-3</v>
      </c>
    </row>
    <row r="156" spans="2:5" ht="15" customHeight="1">
      <c r="B156" s="87"/>
      <c r="C156" s="45" t="s">
        <v>146</v>
      </c>
      <c r="D156" s="44">
        <v>1</v>
      </c>
      <c r="E156" s="43">
        <v>7.4962518740629683E-4</v>
      </c>
    </row>
    <row r="157" spans="2:5" ht="15" customHeight="1">
      <c r="B157" s="87"/>
      <c r="C157" s="45" t="s">
        <v>145</v>
      </c>
      <c r="D157" s="44">
        <v>3</v>
      </c>
      <c r="E157" s="43">
        <v>2.2488755622188904E-3</v>
      </c>
    </row>
    <row r="158" spans="2:5" ht="15" customHeight="1">
      <c r="B158" s="88"/>
      <c r="C158" s="42" t="s">
        <v>23</v>
      </c>
      <c r="D158" s="41">
        <v>22</v>
      </c>
      <c r="E158" s="40">
        <v>1.6491754122938532E-2</v>
      </c>
    </row>
    <row r="159" spans="2:5" ht="15" customHeight="1">
      <c r="B159" s="86" t="s">
        <v>107</v>
      </c>
      <c r="C159" s="45" t="s">
        <v>159</v>
      </c>
      <c r="D159" s="44">
        <v>1</v>
      </c>
      <c r="E159" s="43">
        <v>7.4962518740629683E-4</v>
      </c>
    </row>
    <row r="160" spans="2:5" ht="15" customHeight="1">
      <c r="B160" s="87"/>
      <c r="C160" s="45" t="s">
        <v>155</v>
      </c>
      <c r="D160" s="44">
        <v>1</v>
      </c>
      <c r="E160" s="43">
        <v>7.4962518740629683E-4</v>
      </c>
    </row>
    <row r="161" spans="2:5" ht="15" customHeight="1">
      <c r="B161" s="87"/>
      <c r="C161" s="45" t="s">
        <v>154</v>
      </c>
      <c r="D161" s="44">
        <v>1</v>
      </c>
      <c r="E161" s="43">
        <v>7.4962518740629683E-4</v>
      </c>
    </row>
    <row r="162" spans="2:5" ht="15" customHeight="1">
      <c r="B162" s="87"/>
      <c r="C162" s="45" t="s">
        <v>153</v>
      </c>
      <c r="D162" s="44">
        <v>1</v>
      </c>
      <c r="E162" s="43">
        <v>7.4962518740629683E-4</v>
      </c>
    </row>
    <row r="163" spans="2:5" ht="15" customHeight="1">
      <c r="B163" s="87"/>
      <c r="C163" s="45" t="s">
        <v>152</v>
      </c>
      <c r="D163" s="44">
        <v>8</v>
      </c>
      <c r="E163" s="43">
        <v>5.9970014992503746E-3</v>
      </c>
    </row>
    <row r="164" spans="2:5" ht="15" customHeight="1">
      <c r="B164" s="87"/>
      <c r="C164" s="45" t="s">
        <v>150</v>
      </c>
      <c r="D164" s="44">
        <v>1</v>
      </c>
      <c r="E164" s="43">
        <v>7.4962518740629683E-4</v>
      </c>
    </row>
    <row r="165" spans="2:5" ht="15" customHeight="1">
      <c r="B165" s="87"/>
      <c r="C165" s="45" t="s">
        <v>149</v>
      </c>
      <c r="D165" s="44">
        <v>2</v>
      </c>
      <c r="E165" s="43">
        <v>1.4992503748125937E-3</v>
      </c>
    </row>
    <row r="166" spans="2:5" ht="15" customHeight="1">
      <c r="B166" s="87"/>
      <c r="C166" s="45" t="s">
        <v>148</v>
      </c>
      <c r="D166" s="44">
        <v>25</v>
      </c>
      <c r="E166" s="43">
        <v>1.8740629685157422E-2</v>
      </c>
    </row>
    <row r="167" spans="2:5" ht="15" customHeight="1">
      <c r="B167" s="87"/>
      <c r="C167" s="45" t="s">
        <v>147</v>
      </c>
      <c r="D167" s="44">
        <v>1</v>
      </c>
      <c r="E167" s="43">
        <v>7.4962518740629683E-4</v>
      </c>
    </row>
    <row r="168" spans="2:5" ht="15" customHeight="1">
      <c r="B168" s="87"/>
      <c r="C168" s="45" t="s">
        <v>146</v>
      </c>
      <c r="D168" s="44">
        <v>3</v>
      </c>
      <c r="E168" s="43">
        <v>2.2488755622188904E-3</v>
      </c>
    </row>
    <row r="169" spans="2:5" ht="15" customHeight="1">
      <c r="B169" s="87"/>
      <c r="C169" s="45" t="s">
        <v>145</v>
      </c>
      <c r="D169" s="44">
        <v>12</v>
      </c>
      <c r="E169" s="43">
        <v>8.9955022488755615E-3</v>
      </c>
    </row>
    <row r="170" spans="2:5" ht="15" customHeight="1">
      <c r="B170" s="88"/>
      <c r="C170" s="42" t="s">
        <v>23</v>
      </c>
      <c r="D170" s="41">
        <v>56</v>
      </c>
      <c r="E170" s="40">
        <v>4.1979010494752625E-2</v>
      </c>
    </row>
    <row r="171" spans="2:5" ht="15" customHeight="1">
      <c r="B171" s="86" t="s">
        <v>167</v>
      </c>
      <c r="C171" s="45" t="s">
        <v>159</v>
      </c>
      <c r="D171" s="44">
        <v>1</v>
      </c>
      <c r="E171" s="43">
        <v>7.4962518740629683E-4</v>
      </c>
    </row>
    <row r="172" spans="2:5" ht="15" customHeight="1">
      <c r="B172" s="87"/>
      <c r="C172" s="45" t="s">
        <v>157</v>
      </c>
      <c r="D172" s="44">
        <v>1</v>
      </c>
      <c r="E172" s="43">
        <v>7.4962518740629683E-4</v>
      </c>
    </row>
    <row r="173" spans="2:5" ht="15" customHeight="1">
      <c r="B173" s="87"/>
      <c r="C173" s="45" t="s">
        <v>154</v>
      </c>
      <c r="D173" s="44">
        <v>3</v>
      </c>
      <c r="E173" s="43">
        <v>2.2488755622188904E-3</v>
      </c>
    </row>
    <row r="174" spans="2:5" ht="15" customHeight="1">
      <c r="B174" s="87"/>
      <c r="C174" s="45" t="s">
        <v>153</v>
      </c>
      <c r="D174" s="44">
        <v>2</v>
      </c>
      <c r="E174" s="43">
        <v>1.4992503748125937E-3</v>
      </c>
    </row>
    <row r="175" spans="2:5" ht="15" customHeight="1">
      <c r="B175" s="87"/>
      <c r="C175" s="45" t="s">
        <v>152</v>
      </c>
      <c r="D175" s="44">
        <v>9</v>
      </c>
      <c r="E175" s="43">
        <v>6.746626686656672E-3</v>
      </c>
    </row>
    <row r="176" spans="2:5" ht="15" customHeight="1">
      <c r="B176" s="87"/>
      <c r="C176" s="45" t="s">
        <v>150</v>
      </c>
      <c r="D176" s="44">
        <v>2</v>
      </c>
      <c r="E176" s="43">
        <v>1.4992503748125937E-3</v>
      </c>
    </row>
    <row r="177" spans="2:5" ht="15" customHeight="1">
      <c r="B177" s="87"/>
      <c r="C177" s="45" t="s">
        <v>149</v>
      </c>
      <c r="D177" s="44">
        <v>1</v>
      </c>
      <c r="E177" s="43">
        <v>7.4962518740629683E-4</v>
      </c>
    </row>
    <row r="178" spans="2:5" ht="15" customHeight="1">
      <c r="B178" s="87"/>
      <c r="C178" s="45" t="s">
        <v>148</v>
      </c>
      <c r="D178" s="44">
        <v>20</v>
      </c>
      <c r="E178" s="43">
        <v>1.4992503748125937E-2</v>
      </c>
    </row>
    <row r="179" spans="2:5" ht="15" customHeight="1">
      <c r="B179" s="87"/>
      <c r="C179" s="45" t="s">
        <v>146</v>
      </c>
      <c r="D179" s="44">
        <v>3</v>
      </c>
      <c r="E179" s="43">
        <v>2.2488755622188904E-3</v>
      </c>
    </row>
    <row r="180" spans="2:5" ht="15" customHeight="1">
      <c r="B180" s="87"/>
      <c r="C180" s="45" t="s">
        <v>145</v>
      </c>
      <c r="D180" s="44">
        <v>15</v>
      </c>
      <c r="E180" s="43">
        <v>1.1244377811094454E-2</v>
      </c>
    </row>
    <row r="181" spans="2:5" ht="15" customHeight="1">
      <c r="B181" s="87"/>
      <c r="C181" s="45" t="s">
        <v>141</v>
      </c>
      <c r="D181" s="44">
        <v>1</v>
      </c>
      <c r="E181" s="43">
        <v>7.4962518740629683E-4</v>
      </c>
    </row>
    <row r="182" spans="2:5" ht="15" customHeight="1">
      <c r="B182" s="87"/>
      <c r="C182" s="45" t="s">
        <v>139</v>
      </c>
      <c r="D182" s="44">
        <v>2</v>
      </c>
      <c r="E182" s="43">
        <v>1.4992503748125937E-3</v>
      </c>
    </row>
    <row r="183" spans="2:5" ht="15" customHeight="1">
      <c r="B183" s="88"/>
      <c r="C183" s="42" t="s">
        <v>23</v>
      </c>
      <c r="D183" s="41">
        <v>60</v>
      </c>
      <c r="E183" s="40">
        <v>4.4977511244377814E-2</v>
      </c>
    </row>
    <row r="184" spans="2:5" ht="15" customHeight="1">
      <c r="B184" s="86" t="s">
        <v>166</v>
      </c>
      <c r="C184" s="45" t="s">
        <v>158</v>
      </c>
      <c r="D184" s="44">
        <v>1</v>
      </c>
      <c r="E184" s="43">
        <v>7.4962518740629683E-4</v>
      </c>
    </row>
    <row r="185" spans="2:5" ht="15" customHeight="1">
      <c r="B185" s="87"/>
      <c r="C185" s="45" t="s">
        <v>157</v>
      </c>
      <c r="D185" s="44">
        <v>1</v>
      </c>
      <c r="E185" s="43">
        <v>7.4962518740629683E-4</v>
      </c>
    </row>
    <row r="186" spans="2:5" ht="15" customHeight="1">
      <c r="B186" s="87"/>
      <c r="C186" s="45" t="s">
        <v>156</v>
      </c>
      <c r="D186" s="44">
        <v>1</v>
      </c>
      <c r="E186" s="43">
        <v>7.4962518740629683E-4</v>
      </c>
    </row>
    <row r="187" spans="2:5" ht="15" customHeight="1">
      <c r="B187" s="87"/>
      <c r="C187" s="45" t="s">
        <v>153</v>
      </c>
      <c r="D187" s="44">
        <v>2</v>
      </c>
      <c r="E187" s="43">
        <v>1.4992503748125937E-3</v>
      </c>
    </row>
    <row r="188" spans="2:5" ht="15" customHeight="1">
      <c r="B188" s="87"/>
      <c r="C188" s="45" t="s">
        <v>152</v>
      </c>
      <c r="D188" s="44">
        <v>1</v>
      </c>
      <c r="E188" s="43">
        <v>7.4962518740629683E-4</v>
      </c>
    </row>
    <row r="189" spans="2:5" ht="15" customHeight="1">
      <c r="B189" s="87"/>
      <c r="C189" s="45" t="s">
        <v>149</v>
      </c>
      <c r="D189" s="44">
        <v>2</v>
      </c>
      <c r="E189" s="43">
        <v>1.4992503748125937E-3</v>
      </c>
    </row>
    <row r="190" spans="2:5" ht="15" customHeight="1">
      <c r="B190" s="87"/>
      <c r="C190" s="45" t="s">
        <v>148</v>
      </c>
      <c r="D190" s="44">
        <v>3</v>
      </c>
      <c r="E190" s="43">
        <v>2.2488755622188904E-3</v>
      </c>
    </row>
    <row r="191" spans="2:5" ht="15" customHeight="1">
      <c r="B191" s="87"/>
      <c r="C191" s="45" t="s">
        <v>146</v>
      </c>
      <c r="D191" s="44">
        <v>1</v>
      </c>
      <c r="E191" s="43">
        <v>7.4962518740629683E-4</v>
      </c>
    </row>
    <row r="192" spans="2:5" ht="15" customHeight="1">
      <c r="B192" s="87"/>
      <c r="C192" s="45" t="s">
        <v>145</v>
      </c>
      <c r="D192" s="44">
        <v>2</v>
      </c>
      <c r="E192" s="43">
        <v>1.4992503748125937E-3</v>
      </c>
    </row>
    <row r="193" spans="2:5" ht="15" customHeight="1">
      <c r="B193" s="87"/>
      <c r="C193" s="45" t="s">
        <v>142</v>
      </c>
      <c r="D193" s="44">
        <v>1</v>
      </c>
      <c r="E193" s="43">
        <v>7.4962518740629683E-4</v>
      </c>
    </row>
    <row r="194" spans="2:5" ht="15" customHeight="1">
      <c r="B194" s="87"/>
      <c r="C194" s="45" t="s">
        <v>139</v>
      </c>
      <c r="D194" s="44">
        <v>1</v>
      </c>
      <c r="E194" s="43">
        <v>7.4962518740629683E-4</v>
      </c>
    </row>
    <row r="195" spans="2:5" ht="15" customHeight="1">
      <c r="B195" s="88"/>
      <c r="C195" s="42" t="s">
        <v>23</v>
      </c>
      <c r="D195" s="41">
        <v>16</v>
      </c>
      <c r="E195" s="40">
        <v>1.1994002998500749E-2</v>
      </c>
    </row>
    <row r="196" spans="2:5" ht="15" customHeight="1">
      <c r="B196" s="86" t="s">
        <v>93</v>
      </c>
      <c r="C196" s="45" t="s">
        <v>158</v>
      </c>
      <c r="D196" s="44">
        <v>1</v>
      </c>
      <c r="E196" s="43">
        <v>7.4962518740629683E-4</v>
      </c>
    </row>
    <row r="197" spans="2:5" ht="15" customHeight="1">
      <c r="B197" s="87"/>
      <c r="C197" s="45" t="s">
        <v>155</v>
      </c>
      <c r="D197" s="44">
        <v>2</v>
      </c>
      <c r="E197" s="43">
        <v>1.4992503748125937E-3</v>
      </c>
    </row>
    <row r="198" spans="2:5" ht="15" customHeight="1">
      <c r="B198" s="87"/>
      <c r="C198" s="45" t="s">
        <v>153</v>
      </c>
      <c r="D198" s="44">
        <v>1</v>
      </c>
      <c r="E198" s="43">
        <v>7.4962518740629683E-4</v>
      </c>
    </row>
    <row r="199" spans="2:5" ht="15" customHeight="1">
      <c r="B199" s="87"/>
      <c r="C199" s="45" t="s">
        <v>152</v>
      </c>
      <c r="D199" s="44">
        <v>3</v>
      </c>
      <c r="E199" s="43">
        <v>2.2488755622188904E-3</v>
      </c>
    </row>
    <row r="200" spans="2:5" ht="15" customHeight="1">
      <c r="B200" s="87"/>
      <c r="C200" s="45" t="s">
        <v>150</v>
      </c>
      <c r="D200" s="44">
        <v>2</v>
      </c>
      <c r="E200" s="43">
        <v>1.4992503748125937E-3</v>
      </c>
    </row>
    <row r="201" spans="2:5" ht="15" customHeight="1">
      <c r="B201" s="87"/>
      <c r="C201" s="45" t="s">
        <v>149</v>
      </c>
      <c r="D201" s="44">
        <v>1</v>
      </c>
      <c r="E201" s="43">
        <v>7.4962518740629683E-4</v>
      </c>
    </row>
    <row r="202" spans="2:5" ht="15" customHeight="1">
      <c r="B202" s="87"/>
      <c r="C202" s="45" t="s">
        <v>148</v>
      </c>
      <c r="D202" s="44">
        <v>10</v>
      </c>
      <c r="E202" s="43">
        <v>7.4962518740629685E-3</v>
      </c>
    </row>
    <row r="203" spans="2:5" ht="15" customHeight="1">
      <c r="B203" s="87"/>
      <c r="C203" s="45" t="s">
        <v>146</v>
      </c>
      <c r="D203" s="44">
        <v>1</v>
      </c>
      <c r="E203" s="43">
        <v>7.4962518740629683E-4</v>
      </c>
    </row>
    <row r="204" spans="2:5" ht="15" customHeight="1">
      <c r="B204" s="87"/>
      <c r="C204" s="45" t="s">
        <v>145</v>
      </c>
      <c r="D204" s="44">
        <v>4</v>
      </c>
      <c r="E204" s="43">
        <v>2.9985007496251873E-3</v>
      </c>
    </row>
    <row r="205" spans="2:5" ht="15" customHeight="1">
      <c r="B205" s="87"/>
      <c r="C205" s="45" t="s">
        <v>140</v>
      </c>
      <c r="D205" s="44">
        <v>1</v>
      </c>
      <c r="E205" s="43">
        <v>7.4962518740629683E-4</v>
      </c>
    </row>
    <row r="206" spans="2:5" ht="15" customHeight="1">
      <c r="B206" s="87"/>
      <c r="C206" s="45" t="s">
        <v>139</v>
      </c>
      <c r="D206" s="44">
        <v>1</v>
      </c>
      <c r="E206" s="43">
        <v>7.4962518740629683E-4</v>
      </c>
    </row>
    <row r="207" spans="2:5" ht="15" customHeight="1">
      <c r="B207" s="88"/>
      <c r="C207" s="42" t="s">
        <v>23</v>
      </c>
      <c r="D207" s="41">
        <v>27</v>
      </c>
      <c r="E207" s="40">
        <v>2.0239880059970013E-2</v>
      </c>
    </row>
    <row r="208" spans="2:5" ht="15" customHeight="1">
      <c r="B208" s="86" t="s">
        <v>92</v>
      </c>
      <c r="C208" s="45" t="s">
        <v>153</v>
      </c>
      <c r="D208" s="44">
        <v>1</v>
      </c>
      <c r="E208" s="43">
        <v>7.4962518740629683E-4</v>
      </c>
    </row>
    <row r="209" spans="2:5" ht="15" customHeight="1">
      <c r="B209" s="87"/>
      <c r="C209" s="45" t="s">
        <v>152</v>
      </c>
      <c r="D209" s="44">
        <v>2</v>
      </c>
      <c r="E209" s="43">
        <v>1.4992503748125937E-3</v>
      </c>
    </row>
    <row r="210" spans="2:5" ht="15" customHeight="1">
      <c r="B210" s="87"/>
      <c r="C210" s="45" t="s">
        <v>148</v>
      </c>
      <c r="D210" s="44">
        <v>3</v>
      </c>
      <c r="E210" s="43">
        <v>2.2488755622188904E-3</v>
      </c>
    </row>
    <row r="211" spans="2:5" ht="15" customHeight="1">
      <c r="B211" s="87"/>
      <c r="C211" s="45" t="s">
        <v>147</v>
      </c>
      <c r="D211" s="44">
        <v>1</v>
      </c>
      <c r="E211" s="43">
        <v>7.4962518740629683E-4</v>
      </c>
    </row>
    <row r="212" spans="2:5" ht="15" customHeight="1">
      <c r="B212" s="87"/>
      <c r="C212" s="45" t="s">
        <v>146</v>
      </c>
      <c r="D212" s="44">
        <v>1</v>
      </c>
      <c r="E212" s="43">
        <v>7.4962518740629683E-4</v>
      </c>
    </row>
    <row r="213" spans="2:5" ht="15" customHeight="1">
      <c r="B213" s="87"/>
      <c r="C213" s="45" t="s">
        <v>145</v>
      </c>
      <c r="D213" s="44">
        <v>2</v>
      </c>
      <c r="E213" s="43">
        <v>1.4992503748125937E-3</v>
      </c>
    </row>
    <row r="214" spans="2:5" ht="15" customHeight="1">
      <c r="B214" s="87"/>
      <c r="C214" s="45" t="s">
        <v>143</v>
      </c>
      <c r="D214" s="44">
        <v>1</v>
      </c>
      <c r="E214" s="43">
        <v>7.4962518740629683E-4</v>
      </c>
    </row>
    <row r="215" spans="2:5" ht="15" customHeight="1">
      <c r="B215" s="87"/>
      <c r="C215" s="45" t="s">
        <v>139</v>
      </c>
      <c r="D215" s="44">
        <v>1</v>
      </c>
      <c r="E215" s="43">
        <v>7.4962518740629683E-4</v>
      </c>
    </row>
    <row r="216" spans="2:5" ht="15" customHeight="1">
      <c r="B216" s="88"/>
      <c r="C216" s="42" t="s">
        <v>23</v>
      </c>
      <c r="D216" s="41">
        <v>12</v>
      </c>
      <c r="E216" s="40">
        <v>8.9955022488755615E-3</v>
      </c>
    </row>
    <row r="217" spans="2:5" ht="15" customHeight="1">
      <c r="B217" s="86" t="s">
        <v>85</v>
      </c>
      <c r="C217" s="45" t="s">
        <v>159</v>
      </c>
      <c r="D217" s="44">
        <v>1</v>
      </c>
      <c r="E217" s="43">
        <v>7.4962518740629683E-4</v>
      </c>
    </row>
    <row r="218" spans="2:5" ht="15" customHeight="1">
      <c r="B218" s="87"/>
      <c r="C218" s="45" t="s">
        <v>157</v>
      </c>
      <c r="D218" s="44">
        <v>1</v>
      </c>
      <c r="E218" s="43">
        <v>7.4962518740629683E-4</v>
      </c>
    </row>
    <row r="219" spans="2:5" ht="15" customHeight="1">
      <c r="B219" s="87"/>
      <c r="C219" s="45" t="s">
        <v>156</v>
      </c>
      <c r="D219" s="44">
        <v>1</v>
      </c>
      <c r="E219" s="43">
        <v>7.4962518740629683E-4</v>
      </c>
    </row>
    <row r="220" spans="2:5" ht="15" customHeight="1">
      <c r="B220" s="87"/>
      <c r="C220" s="45" t="s">
        <v>154</v>
      </c>
      <c r="D220" s="44">
        <v>2</v>
      </c>
      <c r="E220" s="43">
        <v>1.4992503748125937E-3</v>
      </c>
    </row>
    <row r="221" spans="2:5" ht="15" customHeight="1">
      <c r="B221" s="87"/>
      <c r="C221" s="45" t="s">
        <v>153</v>
      </c>
      <c r="D221" s="44">
        <v>1</v>
      </c>
      <c r="E221" s="43">
        <v>7.4962518740629683E-4</v>
      </c>
    </row>
    <row r="222" spans="2:5" ht="15" customHeight="1">
      <c r="B222" s="87"/>
      <c r="C222" s="45" t="s">
        <v>152</v>
      </c>
      <c r="D222" s="44">
        <v>1</v>
      </c>
      <c r="E222" s="43">
        <v>7.4962518740629683E-4</v>
      </c>
    </row>
    <row r="223" spans="2:5" ht="15" customHeight="1">
      <c r="B223" s="87"/>
      <c r="C223" s="45" t="s">
        <v>150</v>
      </c>
      <c r="D223" s="44">
        <v>1</v>
      </c>
      <c r="E223" s="43">
        <v>7.4962518740629683E-4</v>
      </c>
    </row>
    <row r="224" spans="2:5" ht="15" customHeight="1">
      <c r="B224" s="87"/>
      <c r="C224" s="45" t="s">
        <v>148</v>
      </c>
      <c r="D224" s="44">
        <v>13</v>
      </c>
      <c r="E224" s="43">
        <v>9.7451274362818589E-3</v>
      </c>
    </row>
    <row r="225" spans="2:5" ht="15" customHeight="1">
      <c r="B225" s="87"/>
      <c r="C225" s="45" t="s">
        <v>146</v>
      </c>
      <c r="D225" s="44">
        <v>2</v>
      </c>
      <c r="E225" s="43">
        <v>1.4992503748125937E-3</v>
      </c>
    </row>
    <row r="226" spans="2:5" ht="15" customHeight="1">
      <c r="B226" s="87"/>
      <c r="C226" s="45" t="s">
        <v>145</v>
      </c>
      <c r="D226" s="44">
        <v>5</v>
      </c>
      <c r="E226" s="43">
        <v>3.7481259370314842E-3</v>
      </c>
    </row>
    <row r="227" spans="2:5" ht="15" customHeight="1">
      <c r="B227" s="87"/>
      <c r="C227" s="45" t="s">
        <v>139</v>
      </c>
      <c r="D227" s="44">
        <v>2</v>
      </c>
      <c r="E227" s="43">
        <v>1.4992503748125937E-3</v>
      </c>
    </row>
    <row r="228" spans="2:5" ht="15" customHeight="1">
      <c r="B228" s="87"/>
      <c r="C228" s="45" t="s">
        <v>165</v>
      </c>
      <c r="D228" s="44">
        <v>1</v>
      </c>
      <c r="E228" s="43">
        <v>7.4962518740629683E-4</v>
      </c>
    </row>
    <row r="229" spans="2:5" ht="15" customHeight="1">
      <c r="B229" s="88"/>
      <c r="C229" s="42" t="s">
        <v>23</v>
      </c>
      <c r="D229" s="41">
        <v>31</v>
      </c>
      <c r="E229" s="40">
        <v>2.3238380809595203E-2</v>
      </c>
    </row>
    <row r="230" spans="2:5" ht="15" customHeight="1">
      <c r="B230" s="86" t="s">
        <v>114</v>
      </c>
      <c r="C230" s="45" t="s">
        <v>153</v>
      </c>
      <c r="D230" s="44">
        <v>2</v>
      </c>
      <c r="E230" s="43">
        <v>1.4992503748125937E-3</v>
      </c>
    </row>
    <row r="231" spans="2:5" ht="15" customHeight="1">
      <c r="B231" s="87"/>
      <c r="C231" s="45" t="s">
        <v>152</v>
      </c>
      <c r="D231" s="44">
        <v>1</v>
      </c>
      <c r="E231" s="43">
        <v>7.4962518740629683E-4</v>
      </c>
    </row>
    <row r="232" spans="2:5" ht="15" customHeight="1">
      <c r="B232" s="87"/>
      <c r="C232" s="45" t="s">
        <v>151</v>
      </c>
      <c r="D232" s="44">
        <v>1</v>
      </c>
      <c r="E232" s="43">
        <v>7.4962518740629683E-4</v>
      </c>
    </row>
    <row r="233" spans="2:5" ht="15" customHeight="1">
      <c r="B233" s="87"/>
      <c r="C233" s="45" t="s">
        <v>149</v>
      </c>
      <c r="D233" s="44">
        <v>1</v>
      </c>
      <c r="E233" s="43">
        <v>7.4962518740629683E-4</v>
      </c>
    </row>
    <row r="234" spans="2:5" ht="15" customHeight="1">
      <c r="B234" s="87"/>
      <c r="C234" s="45" t="s">
        <v>148</v>
      </c>
      <c r="D234" s="44">
        <v>5</v>
      </c>
      <c r="E234" s="43">
        <v>3.7481259370314842E-3</v>
      </c>
    </row>
    <row r="235" spans="2:5" ht="15" customHeight="1">
      <c r="B235" s="87"/>
      <c r="C235" s="45" t="s">
        <v>146</v>
      </c>
      <c r="D235" s="44">
        <v>1</v>
      </c>
      <c r="E235" s="43">
        <v>7.4962518740629683E-4</v>
      </c>
    </row>
    <row r="236" spans="2:5" ht="15" customHeight="1">
      <c r="B236" s="87"/>
      <c r="C236" s="45" t="s">
        <v>145</v>
      </c>
      <c r="D236" s="44">
        <v>7</v>
      </c>
      <c r="E236" s="43">
        <v>5.2473763118440781E-3</v>
      </c>
    </row>
    <row r="237" spans="2:5" ht="15" customHeight="1">
      <c r="B237" s="87"/>
      <c r="C237" s="45" t="s">
        <v>140</v>
      </c>
      <c r="D237" s="44">
        <v>1</v>
      </c>
      <c r="E237" s="43">
        <v>7.4962518740629683E-4</v>
      </c>
    </row>
    <row r="238" spans="2:5" ht="15" customHeight="1">
      <c r="B238" s="88"/>
      <c r="C238" s="42" t="s">
        <v>23</v>
      </c>
      <c r="D238" s="41">
        <v>19</v>
      </c>
      <c r="E238" s="40">
        <v>1.424287856071964E-2</v>
      </c>
    </row>
    <row r="239" spans="2:5" ht="15" customHeight="1">
      <c r="B239" s="86" t="s">
        <v>87</v>
      </c>
      <c r="C239" s="45" t="s">
        <v>159</v>
      </c>
      <c r="D239" s="44">
        <v>1</v>
      </c>
      <c r="E239" s="43">
        <v>7.4962518740629683E-4</v>
      </c>
    </row>
    <row r="240" spans="2:5" ht="15" customHeight="1">
      <c r="B240" s="87"/>
      <c r="C240" s="45" t="s">
        <v>158</v>
      </c>
      <c r="D240" s="44">
        <v>1</v>
      </c>
      <c r="E240" s="43">
        <v>7.4962518740629683E-4</v>
      </c>
    </row>
    <row r="241" spans="2:5" ht="15" customHeight="1">
      <c r="B241" s="87"/>
      <c r="C241" s="45" t="s">
        <v>157</v>
      </c>
      <c r="D241" s="44">
        <v>2</v>
      </c>
      <c r="E241" s="43">
        <v>1.4992503748125937E-3</v>
      </c>
    </row>
    <row r="242" spans="2:5" ht="15" customHeight="1">
      <c r="B242" s="87"/>
      <c r="C242" s="45" t="s">
        <v>156</v>
      </c>
      <c r="D242" s="44">
        <v>1</v>
      </c>
      <c r="E242" s="43">
        <v>7.4962518740629683E-4</v>
      </c>
    </row>
    <row r="243" spans="2:5" ht="15" customHeight="1">
      <c r="B243" s="87"/>
      <c r="C243" s="45" t="s">
        <v>155</v>
      </c>
      <c r="D243" s="44">
        <v>1</v>
      </c>
      <c r="E243" s="43">
        <v>7.4962518740629683E-4</v>
      </c>
    </row>
    <row r="244" spans="2:5" ht="15" customHeight="1">
      <c r="B244" s="87"/>
      <c r="C244" s="45" t="s">
        <v>154</v>
      </c>
      <c r="D244" s="44">
        <v>1</v>
      </c>
      <c r="E244" s="43">
        <v>7.4962518740629683E-4</v>
      </c>
    </row>
    <row r="245" spans="2:5" ht="15" customHeight="1">
      <c r="B245" s="87"/>
      <c r="C245" s="45" t="s">
        <v>153</v>
      </c>
      <c r="D245" s="44">
        <v>9</v>
      </c>
      <c r="E245" s="43">
        <v>6.746626686656672E-3</v>
      </c>
    </row>
    <row r="246" spans="2:5" ht="15" customHeight="1">
      <c r="B246" s="87"/>
      <c r="C246" s="45" t="s">
        <v>152</v>
      </c>
      <c r="D246" s="44">
        <v>14</v>
      </c>
      <c r="E246" s="43">
        <v>1.0494752623688156E-2</v>
      </c>
    </row>
    <row r="247" spans="2:5" ht="15" customHeight="1">
      <c r="B247" s="87"/>
      <c r="C247" s="45" t="s">
        <v>151</v>
      </c>
      <c r="D247" s="44">
        <v>2</v>
      </c>
      <c r="E247" s="43">
        <v>1.4992503748125937E-3</v>
      </c>
    </row>
    <row r="248" spans="2:5" ht="15" customHeight="1">
      <c r="B248" s="87"/>
      <c r="C248" s="45" t="s">
        <v>150</v>
      </c>
      <c r="D248" s="44">
        <v>5</v>
      </c>
      <c r="E248" s="43">
        <v>3.7481259370314842E-3</v>
      </c>
    </row>
    <row r="249" spans="2:5" ht="15" customHeight="1">
      <c r="B249" s="87"/>
      <c r="C249" s="45" t="s">
        <v>149</v>
      </c>
      <c r="D249" s="44">
        <v>3</v>
      </c>
      <c r="E249" s="43">
        <v>2.2488755622188904E-3</v>
      </c>
    </row>
    <row r="250" spans="2:5" ht="15" customHeight="1">
      <c r="B250" s="87"/>
      <c r="C250" s="45" t="s">
        <v>148</v>
      </c>
      <c r="D250" s="44">
        <v>34</v>
      </c>
      <c r="E250" s="43">
        <v>2.5487256371814093E-2</v>
      </c>
    </row>
    <row r="251" spans="2:5" ht="15" customHeight="1">
      <c r="B251" s="87"/>
      <c r="C251" s="45" t="s">
        <v>147</v>
      </c>
      <c r="D251" s="44">
        <v>1</v>
      </c>
      <c r="E251" s="43">
        <v>7.4962518740629683E-4</v>
      </c>
    </row>
    <row r="252" spans="2:5" ht="15" customHeight="1">
      <c r="B252" s="87"/>
      <c r="C252" s="45" t="s">
        <v>146</v>
      </c>
      <c r="D252" s="44">
        <v>11</v>
      </c>
      <c r="E252" s="43">
        <v>8.2458770614692659E-3</v>
      </c>
    </row>
    <row r="253" spans="2:5" ht="15" customHeight="1">
      <c r="B253" s="87"/>
      <c r="C253" s="45" t="s">
        <v>145</v>
      </c>
      <c r="D253" s="44">
        <v>7</v>
      </c>
      <c r="E253" s="43">
        <v>5.2473763118440781E-3</v>
      </c>
    </row>
    <row r="254" spans="2:5" ht="15" customHeight="1">
      <c r="B254" s="87"/>
      <c r="C254" s="45" t="s">
        <v>140</v>
      </c>
      <c r="D254" s="44">
        <v>1</v>
      </c>
      <c r="E254" s="43">
        <v>7.4962518740629683E-4</v>
      </c>
    </row>
    <row r="255" spans="2:5" ht="15" customHeight="1">
      <c r="B255" s="87"/>
      <c r="C255" s="45" t="s">
        <v>139</v>
      </c>
      <c r="D255" s="44">
        <v>3</v>
      </c>
      <c r="E255" s="43">
        <v>2.2488755622188904E-3</v>
      </c>
    </row>
    <row r="256" spans="2:5" ht="15" customHeight="1">
      <c r="B256" s="88"/>
      <c r="C256" s="42" t="s">
        <v>23</v>
      </c>
      <c r="D256" s="41">
        <v>97</v>
      </c>
      <c r="E256" s="40">
        <v>7.2713643178410794E-2</v>
      </c>
    </row>
    <row r="257" spans="2:5" ht="15" customHeight="1">
      <c r="B257" s="86" t="s">
        <v>106</v>
      </c>
      <c r="C257" s="45" t="s">
        <v>159</v>
      </c>
      <c r="D257" s="44">
        <v>1</v>
      </c>
      <c r="E257" s="43">
        <v>7.4962518740629683E-4</v>
      </c>
    </row>
    <row r="258" spans="2:5" ht="15" customHeight="1">
      <c r="B258" s="87"/>
      <c r="C258" s="45" t="s">
        <v>156</v>
      </c>
      <c r="D258" s="44">
        <v>1</v>
      </c>
      <c r="E258" s="43">
        <v>7.4962518740629683E-4</v>
      </c>
    </row>
    <row r="259" spans="2:5" ht="15" customHeight="1">
      <c r="B259" s="87"/>
      <c r="C259" s="45" t="s">
        <v>155</v>
      </c>
      <c r="D259" s="44">
        <v>3</v>
      </c>
      <c r="E259" s="43">
        <v>2.2488755622188904E-3</v>
      </c>
    </row>
    <row r="260" spans="2:5" ht="15" customHeight="1">
      <c r="B260" s="87"/>
      <c r="C260" s="45" t="s">
        <v>154</v>
      </c>
      <c r="D260" s="44">
        <v>4</v>
      </c>
      <c r="E260" s="43">
        <v>2.9985007496251873E-3</v>
      </c>
    </row>
    <row r="261" spans="2:5" ht="15" customHeight="1">
      <c r="B261" s="87"/>
      <c r="C261" s="45" t="s">
        <v>153</v>
      </c>
      <c r="D261" s="44">
        <v>4</v>
      </c>
      <c r="E261" s="43">
        <v>2.9985007496251873E-3</v>
      </c>
    </row>
    <row r="262" spans="2:5" ht="15" customHeight="1">
      <c r="B262" s="87"/>
      <c r="C262" s="45" t="s">
        <v>152</v>
      </c>
      <c r="D262" s="44">
        <v>14</v>
      </c>
      <c r="E262" s="43">
        <v>1.0494752623688156E-2</v>
      </c>
    </row>
    <row r="263" spans="2:5" ht="15" customHeight="1">
      <c r="B263" s="87"/>
      <c r="C263" s="45" t="s">
        <v>151</v>
      </c>
      <c r="D263" s="44">
        <v>2</v>
      </c>
      <c r="E263" s="43">
        <v>1.4992503748125937E-3</v>
      </c>
    </row>
    <row r="264" spans="2:5" ht="15" customHeight="1">
      <c r="B264" s="87"/>
      <c r="C264" s="45" t="s">
        <v>149</v>
      </c>
      <c r="D264" s="44">
        <v>2</v>
      </c>
      <c r="E264" s="43">
        <v>1.4992503748125937E-3</v>
      </c>
    </row>
    <row r="265" spans="2:5" ht="15" customHeight="1">
      <c r="B265" s="87"/>
      <c r="C265" s="45" t="s">
        <v>148</v>
      </c>
      <c r="D265" s="44">
        <v>26</v>
      </c>
      <c r="E265" s="43">
        <v>1.9490254872563718E-2</v>
      </c>
    </row>
    <row r="266" spans="2:5" ht="15" customHeight="1">
      <c r="B266" s="87"/>
      <c r="C266" s="45" t="s">
        <v>146</v>
      </c>
      <c r="D266" s="44">
        <v>6</v>
      </c>
      <c r="E266" s="43">
        <v>4.4977511244377807E-3</v>
      </c>
    </row>
    <row r="267" spans="2:5" ht="15" customHeight="1">
      <c r="B267" s="87"/>
      <c r="C267" s="45" t="s">
        <v>145</v>
      </c>
      <c r="D267" s="44">
        <v>9</v>
      </c>
      <c r="E267" s="43">
        <v>6.746626686656672E-3</v>
      </c>
    </row>
    <row r="268" spans="2:5" ht="15" customHeight="1">
      <c r="B268" s="87"/>
      <c r="C268" s="45" t="s">
        <v>140</v>
      </c>
      <c r="D268" s="44">
        <v>3</v>
      </c>
      <c r="E268" s="43">
        <v>2.2488755622188904E-3</v>
      </c>
    </row>
    <row r="269" spans="2:5" ht="15" customHeight="1">
      <c r="B269" s="88"/>
      <c r="C269" s="42" t="s">
        <v>23</v>
      </c>
      <c r="D269" s="41">
        <v>75</v>
      </c>
      <c r="E269" s="40">
        <v>5.6221889055472263E-2</v>
      </c>
    </row>
    <row r="270" spans="2:5" ht="15" customHeight="1">
      <c r="B270" s="86" t="s">
        <v>102</v>
      </c>
      <c r="C270" s="45" t="s">
        <v>153</v>
      </c>
      <c r="D270" s="44">
        <v>1</v>
      </c>
      <c r="E270" s="43">
        <v>7.4962518740629683E-4</v>
      </c>
    </row>
    <row r="271" spans="2:5" ht="15" customHeight="1">
      <c r="B271" s="87"/>
      <c r="C271" s="45" t="s">
        <v>152</v>
      </c>
      <c r="D271" s="44">
        <v>1</v>
      </c>
      <c r="E271" s="43">
        <v>7.4962518740629683E-4</v>
      </c>
    </row>
    <row r="272" spans="2:5" ht="15" customHeight="1">
      <c r="B272" s="87"/>
      <c r="C272" s="45" t="s">
        <v>151</v>
      </c>
      <c r="D272" s="44">
        <v>1</v>
      </c>
      <c r="E272" s="43">
        <v>7.4962518740629683E-4</v>
      </c>
    </row>
    <row r="273" spans="2:5" ht="15" customHeight="1">
      <c r="B273" s="87"/>
      <c r="C273" s="45" t="s">
        <v>149</v>
      </c>
      <c r="D273" s="44">
        <v>2</v>
      </c>
      <c r="E273" s="43">
        <v>1.4992503748125937E-3</v>
      </c>
    </row>
    <row r="274" spans="2:5" ht="15" customHeight="1">
      <c r="B274" s="87"/>
      <c r="C274" s="45" t="s">
        <v>148</v>
      </c>
      <c r="D274" s="44">
        <v>13</v>
      </c>
      <c r="E274" s="43">
        <v>9.7451274362818589E-3</v>
      </c>
    </row>
    <row r="275" spans="2:5" ht="15" customHeight="1">
      <c r="B275" s="87"/>
      <c r="C275" s="45" t="s">
        <v>145</v>
      </c>
      <c r="D275" s="44">
        <v>1</v>
      </c>
      <c r="E275" s="43">
        <v>7.4962518740629683E-4</v>
      </c>
    </row>
    <row r="276" spans="2:5" ht="15" customHeight="1">
      <c r="B276" s="87"/>
      <c r="C276" s="45" t="s">
        <v>144</v>
      </c>
      <c r="D276" s="44">
        <v>1</v>
      </c>
      <c r="E276" s="43">
        <v>7.4962518740629683E-4</v>
      </c>
    </row>
    <row r="277" spans="2:5" ht="15" customHeight="1">
      <c r="B277" s="88"/>
      <c r="C277" s="42" t="s">
        <v>23</v>
      </c>
      <c r="D277" s="41">
        <v>20</v>
      </c>
      <c r="E277" s="40">
        <v>1.4992503748125937E-2</v>
      </c>
    </row>
    <row r="278" spans="2:5" ht="15" customHeight="1">
      <c r="B278" s="86" t="s">
        <v>90</v>
      </c>
      <c r="C278" s="45" t="s">
        <v>152</v>
      </c>
      <c r="D278" s="44">
        <v>2</v>
      </c>
      <c r="E278" s="43">
        <v>1.4992503748125937E-3</v>
      </c>
    </row>
    <row r="279" spans="2:5" ht="15" customHeight="1">
      <c r="B279" s="87"/>
      <c r="C279" s="45" t="s">
        <v>148</v>
      </c>
      <c r="D279" s="44">
        <v>1</v>
      </c>
      <c r="E279" s="43">
        <v>7.4962518740629683E-4</v>
      </c>
    </row>
    <row r="280" spans="2:5" ht="15" customHeight="1">
      <c r="B280" s="87"/>
      <c r="C280" s="45" t="s">
        <v>147</v>
      </c>
      <c r="D280" s="44">
        <v>1</v>
      </c>
      <c r="E280" s="43">
        <v>7.4962518740629683E-4</v>
      </c>
    </row>
    <row r="281" spans="2:5" ht="15" customHeight="1">
      <c r="B281" s="87"/>
      <c r="C281" s="45" t="s">
        <v>145</v>
      </c>
      <c r="D281" s="44">
        <v>2</v>
      </c>
      <c r="E281" s="43">
        <v>1.4992503748125937E-3</v>
      </c>
    </row>
    <row r="282" spans="2:5" ht="15" customHeight="1">
      <c r="B282" s="88"/>
      <c r="C282" s="42" t="s">
        <v>23</v>
      </c>
      <c r="D282" s="41">
        <v>6</v>
      </c>
      <c r="E282" s="40">
        <v>4.4977511244377807E-3</v>
      </c>
    </row>
    <row r="283" spans="2:5" ht="15" customHeight="1">
      <c r="B283" s="86" t="s">
        <v>94</v>
      </c>
      <c r="C283" s="45" t="s">
        <v>152</v>
      </c>
      <c r="D283" s="44">
        <v>3</v>
      </c>
      <c r="E283" s="43">
        <v>2.2488755622188904E-3</v>
      </c>
    </row>
    <row r="284" spans="2:5" ht="15" customHeight="1">
      <c r="B284" s="87"/>
      <c r="C284" s="45" t="s">
        <v>151</v>
      </c>
      <c r="D284" s="44">
        <v>1</v>
      </c>
      <c r="E284" s="43">
        <v>7.4962518740629683E-4</v>
      </c>
    </row>
    <row r="285" spans="2:5" ht="15" customHeight="1">
      <c r="B285" s="87"/>
      <c r="C285" s="45" t="s">
        <v>149</v>
      </c>
      <c r="D285" s="44">
        <v>1</v>
      </c>
      <c r="E285" s="43">
        <v>7.4962518740629683E-4</v>
      </c>
    </row>
    <row r="286" spans="2:5" ht="15" customHeight="1">
      <c r="B286" s="87"/>
      <c r="C286" s="45" t="s">
        <v>148</v>
      </c>
      <c r="D286" s="44">
        <v>4</v>
      </c>
      <c r="E286" s="43">
        <v>2.9985007496251873E-3</v>
      </c>
    </row>
    <row r="287" spans="2:5" ht="15" customHeight="1">
      <c r="B287" s="87"/>
      <c r="C287" s="45" t="s">
        <v>145</v>
      </c>
      <c r="D287" s="44">
        <v>4</v>
      </c>
      <c r="E287" s="43">
        <v>2.9985007496251873E-3</v>
      </c>
    </row>
    <row r="288" spans="2:5" ht="15" customHeight="1">
      <c r="B288" s="88"/>
      <c r="C288" s="42" t="s">
        <v>23</v>
      </c>
      <c r="D288" s="41">
        <v>13</v>
      </c>
      <c r="E288" s="40">
        <v>9.7451274362818589E-3</v>
      </c>
    </row>
    <row r="289" spans="2:5" ht="15" customHeight="1">
      <c r="B289" s="86" t="s">
        <v>78</v>
      </c>
      <c r="C289" s="45" t="s">
        <v>144</v>
      </c>
      <c r="D289" s="44">
        <v>1</v>
      </c>
      <c r="E289" s="43">
        <v>7.4962518740629683E-4</v>
      </c>
    </row>
    <row r="290" spans="2:5" ht="15" customHeight="1">
      <c r="B290" s="88"/>
      <c r="C290" s="42" t="s">
        <v>23</v>
      </c>
      <c r="D290" s="41">
        <v>1</v>
      </c>
      <c r="E290" s="40">
        <v>7.4962518740629683E-4</v>
      </c>
    </row>
    <row r="291" spans="2:5" ht="15" customHeight="1">
      <c r="B291" s="86" t="s">
        <v>112</v>
      </c>
      <c r="C291" s="45" t="s">
        <v>159</v>
      </c>
      <c r="D291" s="44">
        <v>1</v>
      </c>
      <c r="E291" s="43">
        <v>7.4962518740629683E-4</v>
      </c>
    </row>
    <row r="292" spans="2:5" ht="15" customHeight="1">
      <c r="B292" s="87"/>
      <c r="C292" s="45" t="s">
        <v>158</v>
      </c>
      <c r="D292" s="44">
        <v>1</v>
      </c>
      <c r="E292" s="43">
        <v>7.4962518740629683E-4</v>
      </c>
    </row>
    <row r="293" spans="2:5" ht="15" customHeight="1">
      <c r="B293" s="87"/>
      <c r="C293" s="45" t="s">
        <v>157</v>
      </c>
      <c r="D293" s="44">
        <v>2</v>
      </c>
      <c r="E293" s="43">
        <v>1.4992503748125937E-3</v>
      </c>
    </row>
    <row r="294" spans="2:5" ht="15" customHeight="1">
      <c r="B294" s="87"/>
      <c r="C294" s="45" t="s">
        <v>156</v>
      </c>
      <c r="D294" s="44">
        <v>2</v>
      </c>
      <c r="E294" s="43">
        <v>1.4992503748125937E-3</v>
      </c>
    </row>
    <row r="295" spans="2:5" ht="15" customHeight="1">
      <c r="B295" s="87"/>
      <c r="C295" s="45" t="s">
        <v>155</v>
      </c>
      <c r="D295" s="44">
        <v>1</v>
      </c>
      <c r="E295" s="43">
        <v>7.4962518740629683E-4</v>
      </c>
    </row>
    <row r="296" spans="2:5" ht="15" customHeight="1">
      <c r="B296" s="87"/>
      <c r="C296" s="45" t="s">
        <v>153</v>
      </c>
      <c r="D296" s="44">
        <v>4</v>
      </c>
      <c r="E296" s="43">
        <v>2.9985007496251873E-3</v>
      </c>
    </row>
    <row r="297" spans="2:5" ht="15" customHeight="1">
      <c r="B297" s="87"/>
      <c r="C297" s="45" t="s">
        <v>152</v>
      </c>
      <c r="D297" s="44">
        <v>5</v>
      </c>
      <c r="E297" s="43">
        <v>3.7481259370314842E-3</v>
      </c>
    </row>
    <row r="298" spans="2:5" ht="15" customHeight="1">
      <c r="B298" s="87"/>
      <c r="C298" s="45" t="s">
        <v>150</v>
      </c>
      <c r="D298" s="44">
        <v>2</v>
      </c>
      <c r="E298" s="43">
        <v>1.4992503748125937E-3</v>
      </c>
    </row>
    <row r="299" spans="2:5" ht="15" customHeight="1">
      <c r="B299" s="87"/>
      <c r="C299" s="45" t="s">
        <v>149</v>
      </c>
      <c r="D299" s="44">
        <v>1</v>
      </c>
      <c r="E299" s="43">
        <v>7.4962518740629683E-4</v>
      </c>
    </row>
    <row r="300" spans="2:5" ht="15" customHeight="1">
      <c r="B300" s="87"/>
      <c r="C300" s="45" t="s">
        <v>148</v>
      </c>
      <c r="D300" s="44">
        <v>24</v>
      </c>
      <c r="E300" s="43">
        <v>1.7991004497751123E-2</v>
      </c>
    </row>
    <row r="301" spans="2:5" ht="15" customHeight="1">
      <c r="B301" s="87"/>
      <c r="C301" s="45" t="s">
        <v>147</v>
      </c>
      <c r="D301" s="44">
        <v>1</v>
      </c>
      <c r="E301" s="43">
        <v>7.4962518740629683E-4</v>
      </c>
    </row>
    <row r="302" spans="2:5" ht="15" customHeight="1">
      <c r="B302" s="87"/>
      <c r="C302" s="45" t="s">
        <v>146</v>
      </c>
      <c r="D302" s="44">
        <v>3</v>
      </c>
      <c r="E302" s="43">
        <v>2.2488755622188904E-3</v>
      </c>
    </row>
    <row r="303" spans="2:5" ht="15" customHeight="1">
      <c r="B303" s="87"/>
      <c r="C303" s="45" t="s">
        <v>145</v>
      </c>
      <c r="D303" s="44">
        <v>3</v>
      </c>
      <c r="E303" s="43">
        <v>2.2488755622188904E-3</v>
      </c>
    </row>
    <row r="304" spans="2:5" ht="15" customHeight="1">
      <c r="B304" s="87"/>
      <c r="C304" s="45" t="s">
        <v>143</v>
      </c>
      <c r="D304" s="44">
        <v>1</v>
      </c>
      <c r="E304" s="43">
        <v>7.4962518740629683E-4</v>
      </c>
    </row>
    <row r="305" spans="2:5" ht="15" customHeight="1">
      <c r="B305" s="87"/>
      <c r="C305" s="45" t="s">
        <v>140</v>
      </c>
      <c r="D305" s="44">
        <v>3</v>
      </c>
      <c r="E305" s="43">
        <v>2.2488755622188904E-3</v>
      </c>
    </row>
    <row r="306" spans="2:5" ht="15" customHeight="1">
      <c r="B306" s="88"/>
      <c r="C306" s="42" t="s">
        <v>23</v>
      </c>
      <c r="D306" s="41">
        <v>54</v>
      </c>
      <c r="E306" s="40">
        <v>4.0479760119940027E-2</v>
      </c>
    </row>
    <row r="307" spans="2:5" ht="15" customHeight="1">
      <c r="B307" s="86" t="s">
        <v>104</v>
      </c>
      <c r="C307" s="45" t="s">
        <v>157</v>
      </c>
      <c r="D307" s="44">
        <v>1</v>
      </c>
      <c r="E307" s="43">
        <v>7.4962518740629683E-4</v>
      </c>
    </row>
    <row r="308" spans="2:5" ht="15" customHeight="1">
      <c r="B308" s="87"/>
      <c r="C308" s="45" t="s">
        <v>153</v>
      </c>
      <c r="D308" s="44">
        <v>1</v>
      </c>
      <c r="E308" s="43">
        <v>7.4962518740629683E-4</v>
      </c>
    </row>
    <row r="309" spans="2:5" ht="15" customHeight="1">
      <c r="B309" s="87"/>
      <c r="C309" s="45" t="s">
        <v>152</v>
      </c>
      <c r="D309" s="44">
        <v>10</v>
      </c>
      <c r="E309" s="43">
        <v>7.4962518740629685E-3</v>
      </c>
    </row>
    <row r="310" spans="2:5" ht="15" customHeight="1">
      <c r="B310" s="87"/>
      <c r="C310" s="45" t="s">
        <v>150</v>
      </c>
      <c r="D310" s="44">
        <v>1</v>
      </c>
      <c r="E310" s="43">
        <v>7.4962518740629683E-4</v>
      </c>
    </row>
    <row r="311" spans="2:5" ht="15" customHeight="1">
      <c r="B311" s="87"/>
      <c r="C311" s="45" t="s">
        <v>148</v>
      </c>
      <c r="D311" s="44">
        <v>12</v>
      </c>
      <c r="E311" s="43">
        <v>8.9955022488755615E-3</v>
      </c>
    </row>
    <row r="312" spans="2:5" ht="15" customHeight="1">
      <c r="B312" s="87"/>
      <c r="C312" s="45" t="s">
        <v>146</v>
      </c>
      <c r="D312" s="44">
        <v>3</v>
      </c>
      <c r="E312" s="43">
        <v>2.2488755622188904E-3</v>
      </c>
    </row>
    <row r="313" spans="2:5" ht="15" customHeight="1">
      <c r="B313" s="87"/>
      <c r="C313" s="45" t="s">
        <v>145</v>
      </c>
      <c r="D313" s="44">
        <v>8</v>
      </c>
      <c r="E313" s="43">
        <v>5.9970014992503746E-3</v>
      </c>
    </row>
    <row r="314" spans="2:5" ht="15" customHeight="1">
      <c r="B314" s="88"/>
      <c r="C314" s="42" t="s">
        <v>23</v>
      </c>
      <c r="D314" s="41">
        <v>36</v>
      </c>
      <c r="E314" s="40">
        <v>2.6986506746626688E-2</v>
      </c>
    </row>
    <row r="315" spans="2:5" ht="15" customHeight="1">
      <c r="B315" s="86" t="s">
        <v>89</v>
      </c>
      <c r="C315" s="45" t="s">
        <v>149</v>
      </c>
      <c r="D315" s="44">
        <v>1</v>
      </c>
      <c r="E315" s="43">
        <v>7.4962518740629683E-4</v>
      </c>
    </row>
    <row r="316" spans="2:5" ht="15" customHeight="1">
      <c r="B316" s="87"/>
      <c r="C316" s="45" t="s">
        <v>148</v>
      </c>
      <c r="D316" s="44">
        <v>6</v>
      </c>
      <c r="E316" s="43">
        <v>4.4977511244377807E-3</v>
      </c>
    </row>
    <row r="317" spans="2:5" ht="15" customHeight="1">
      <c r="B317" s="87"/>
      <c r="C317" s="45" t="s">
        <v>147</v>
      </c>
      <c r="D317" s="44">
        <v>2</v>
      </c>
      <c r="E317" s="43">
        <v>1.4992503748125937E-3</v>
      </c>
    </row>
    <row r="318" spans="2:5" ht="15" customHeight="1">
      <c r="B318" s="87"/>
      <c r="C318" s="45" t="s">
        <v>146</v>
      </c>
      <c r="D318" s="44">
        <v>1</v>
      </c>
      <c r="E318" s="43">
        <v>7.4962518740629683E-4</v>
      </c>
    </row>
    <row r="319" spans="2:5" ht="15" customHeight="1">
      <c r="B319" s="87"/>
      <c r="C319" s="45" t="s">
        <v>145</v>
      </c>
      <c r="D319" s="44">
        <v>6</v>
      </c>
      <c r="E319" s="43">
        <v>4.4977511244377807E-3</v>
      </c>
    </row>
    <row r="320" spans="2:5" ht="15" customHeight="1">
      <c r="B320" s="88"/>
      <c r="C320" s="42" t="s">
        <v>23</v>
      </c>
      <c r="D320" s="41">
        <v>16</v>
      </c>
      <c r="E320" s="40">
        <v>1.1994002998500749E-2</v>
      </c>
    </row>
    <row r="321" spans="2:5" ht="15" customHeight="1">
      <c r="B321" s="86" t="s">
        <v>91</v>
      </c>
      <c r="C321" s="45" t="s">
        <v>148</v>
      </c>
      <c r="D321" s="44">
        <v>1</v>
      </c>
      <c r="E321" s="43">
        <v>7.4962518740629683E-4</v>
      </c>
    </row>
    <row r="322" spans="2:5" ht="15" customHeight="1">
      <c r="B322" s="87"/>
      <c r="C322" s="45" t="s">
        <v>146</v>
      </c>
      <c r="D322" s="44">
        <v>1</v>
      </c>
      <c r="E322" s="43">
        <v>7.4962518740629683E-4</v>
      </c>
    </row>
    <row r="323" spans="2:5" ht="15" customHeight="1">
      <c r="B323" s="87"/>
      <c r="C323" s="45" t="s">
        <v>145</v>
      </c>
      <c r="D323" s="44">
        <v>2</v>
      </c>
      <c r="E323" s="43">
        <v>1.4992503748125937E-3</v>
      </c>
    </row>
    <row r="324" spans="2:5" ht="15" customHeight="1">
      <c r="B324" s="87"/>
      <c r="C324" s="45" t="s">
        <v>139</v>
      </c>
      <c r="D324" s="44">
        <v>1</v>
      </c>
      <c r="E324" s="43">
        <v>7.4962518740629683E-4</v>
      </c>
    </row>
    <row r="325" spans="2:5" ht="15" customHeight="1">
      <c r="B325" s="88"/>
      <c r="C325" s="42" t="s">
        <v>23</v>
      </c>
      <c r="D325" s="41">
        <v>5</v>
      </c>
      <c r="E325" s="40">
        <v>3.7481259370314842E-3</v>
      </c>
    </row>
    <row r="326" spans="2:5" ht="15" customHeight="1">
      <c r="B326" s="86" t="s">
        <v>99</v>
      </c>
      <c r="C326" s="45" t="s">
        <v>156</v>
      </c>
      <c r="D326" s="44">
        <v>1</v>
      </c>
      <c r="E326" s="43">
        <v>7.4962518740629683E-4</v>
      </c>
    </row>
    <row r="327" spans="2:5" ht="15" customHeight="1">
      <c r="B327" s="87"/>
      <c r="C327" s="45" t="s">
        <v>153</v>
      </c>
      <c r="D327" s="44">
        <v>1</v>
      </c>
      <c r="E327" s="43">
        <v>7.4962518740629683E-4</v>
      </c>
    </row>
    <row r="328" spans="2:5" ht="15" customHeight="1">
      <c r="B328" s="87"/>
      <c r="C328" s="45" t="s">
        <v>149</v>
      </c>
      <c r="D328" s="44">
        <v>1</v>
      </c>
      <c r="E328" s="43">
        <v>7.4962518740629683E-4</v>
      </c>
    </row>
    <row r="329" spans="2:5" ht="15" customHeight="1">
      <c r="B329" s="87"/>
      <c r="C329" s="45" t="s">
        <v>148</v>
      </c>
      <c r="D329" s="44">
        <v>20</v>
      </c>
      <c r="E329" s="43">
        <v>1.4992503748125937E-2</v>
      </c>
    </row>
    <row r="330" spans="2:5" ht="15" customHeight="1">
      <c r="B330" s="87"/>
      <c r="C330" s="45" t="s">
        <v>146</v>
      </c>
      <c r="D330" s="44">
        <v>1</v>
      </c>
      <c r="E330" s="43">
        <v>7.4962518740629683E-4</v>
      </c>
    </row>
    <row r="331" spans="2:5" ht="15" customHeight="1">
      <c r="B331" s="87"/>
      <c r="C331" s="45" t="s">
        <v>145</v>
      </c>
      <c r="D331" s="44">
        <v>13</v>
      </c>
      <c r="E331" s="43">
        <v>9.7451274362818589E-3</v>
      </c>
    </row>
    <row r="332" spans="2:5" ht="15" customHeight="1">
      <c r="B332" s="87"/>
      <c r="C332" s="45" t="s">
        <v>139</v>
      </c>
      <c r="D332" s="44">
        <v>3</v>
      </c>
      <c r="E332" s="43">
        <v>2.2488755622188904E-3</v>
      </c>
    </row>
    <row r="333" spans="2:5" ht="15" customHeight="1">
      <c r="B333" s="88"/>
      <c r="C333" s="42" t="s">
        <v>23</v>
      </c>
      <c r="D333" s="41">
        <v>40</v>
      </c>
      <c r="E333" s="40">
        <v>2.9985007496251874E-2</v>
      </c>
    </row>
    <row r="334" spans="2:5" ht="15" customHeight="1">
      <c r="B334" s="86" t="s">
        <v>111</v>
      </c>
      <c r="C334" s="45" t="s">
        <v>157</v>
      </c>
      <c r="D334" s="44">
        <v>1</v>
      </c>
      <c r="E334" s="43">
        <v>7.4962518740629683E-4</v>
      </c>
    </row>
    <row r="335" spans="2:5" ht="15" customHeight="1">
      <c r="B335" s="87"/>
      <c r="C335" s="45" t="s">
        <v>153</v>
      </c>
      <c r="D335" s="44">
        <v>5</v>
      </c>
      <c r="E335" s="43">
        <v>3.7481259370314842E-3</v>
      </c>
    </row>
    <row r="336" spans="2:5" ht="15" customHeight="1">
      <c r="B336" s="87"/>
      <c r="C336" s="45" t="s">
        <v>152</v>
      </c>
      <c r="D336" s="44">
        <v>1</v>
      </c>
      <c r="E336" s="43">
        <v>7.4962518740629683E-4</v>
      </c>
    </row>
    <row r="337" spans="2:5" ht="15" customHeight="1">
      <c r="B337" s="87"/>
      <c r="C337" s="45" t="s">
        <v>149</v>
      </c>
      <c r="D337" s="44">
        <v>1</v>
      </c>
      <c r="E337" s="43">
        <v>7.4962518740629683E-4</v>
      </c>
    </row>
    <row r="338" spans="2:5" ht="15" customHeight="1">
      <c r="B338" s="87"/>
      <c r="C338" s="45" t="s">
        <v>148</v>
      </c>
      <c r="D338" s="44">
        <v>8</v>
      </c>
      <c r="E338" s="43">
        <v>5.9970014992503746E-3</v>
      </c>
    </row>
    <row r="339" spans="2:5" ht="15" customHeight="1">
      <c r="B339" s="87"/>
      <c r="C339" s="45" t="s">
        <v>145</v>
      </c>
      <c r="D339" s="44">
        <v>4</v>
      </c>
      <c r="E339" s="43">
        <v>2.9985007496251873E-3</v>
      </c>
    </row>
    <row r="340" spans="2:5" ht="15" customHeight="1">
      <c r="B340" s="88"/>
      <c r="C340" s="42" t="s">
        <v>23</v>
      </c>
      <c r="D340" s="41">
        <v>20</v>
      </c>
      <c r="E340" s="40">
        <v>1.4992503748125937E-2</v>
      </c>
    </row>
    <row r="341" spans="2:5" ht="15" customHeight="1">
      <c r="B341" s="86" t="s">
        <v>95</v>
      </c>
      <c r="C341" s="45" t="s">
        <v>159</v>
      </c>
      <c r="D341" s="44">
        <v>1</v>
      </c>
      <c r="E341" s="43">
        <v>7.4962518740629683E-4</v>
      </c>
    </row>
    <row r="342" spans="2:5" ht="15" customHeight="1">
      <c r="B342" s="87"/>
      <c r="C342" s="45" t="s">
        <v>150</v>
      </c>
      <c r="D342" s="44">
        <v>1</v>
      </c>
      <c r="E342" s="43">
        <v>7.4962518740629683E-4</v>
      </c>
    </row>
    <row r="343" spans="2:5" ht="15" customHeight="1">
      <c r="B343" s="87"/>
      <c r="C343" s="45" t="s">
        <v>148</v>
      </c>
      <c r="D343" s="44">
        <v>1</v>
      </c>
      <c r="E343" s="43">
        <v>7.4962518740629683E-4</v>
      </c>
    </row>
    <row r="344" spans="2:5" ht="15" customHeight="1">
      <c r="B344" s="87"/>
      <c r="C344" s="45" t="s">
        <v>146</v>
      </c>
      <c r="D344" s="44">
        <v>1</v>
      </c>
      <c r="E344" s="43">
        <v>7.4962518740629683E-4</v>
      </c>
    </row>
    <row r="345" spans="2:5" ht="15" customHeight="1">
      <c r="B345" s="87"/>
      <c r="C345" s="45" t="s">
        <v>145</v>
      </c>
      <c r="D345" s="44">
        <v>1</v>
      </c>
      <c r="E345" s="43">
        <v>7.4962518740629683E-4</v>
      </c>
    </row>
    <row r="346" spans="2:5" ht="15" customHeight="1">
      <c r="B346" s="87"/>
      <c r="C346" s="45" t="s">
        <v>139</v>
      </c>
      <c r="D346" s="44">
        <v>1</v>
      </c>
      <c r="E346" s="43">
        <v>7.4962518740629683E-4</v>
      </c>
    </row>
    <row r="347" spans="2:5" ht="15" customHeight="1">
      <c r="B347" s="88"/>
      <c r="C347" s="42" t="s">
        <v>23</v>
      </c>
      <c r="D347" s="41">
        <v>6</v>
      </c>
      <c r="E347" s="40">
        <v>4.4977511244377807E-3</v>
      </c>
    </row>
    <row r="348" spans="2:5" ht="15" customHeight="1">
      <c r="B348" s="86" t="s">
        <v>108</v>
      </c>
      <c r="C348" s="45" t="s">
        <v>159</v>
      </c>
      <c r="D348" s="44">
        <v>3</v>
      </c>
      <c r="E348" s="43">
        <v>2.2488755622188904E-3</v>
      </c>
    </row>
    <row r="349" spans="2:5" ht="15" customHeight="1">
      <c r="B349" s="87"/>
      <c r="C349" s="45" t="s">
        <v>156</v>
      </c>
      <c r="D349" s="44">
        <v>1</v>
      </c>
      <c r="E349" s="43">
        <v>7.4962518740629683E-4</v>
      </c>
    </row>
    <row r="350" spans="2:5" ht="15" customHeight="1">
      <c r="B350" s="87"/>
      <c r="C350" s="45" t="s">
        <v>155</v>
      </c>
      <c r="D350" s="44">
        <v>1</v>
      </c>
      <c r="E350" s="43">
        <v>7.4962518740629683E-4</v>
      </c>
    </row>
    <row r="351" spans="2:5" ht="15" customHeight="1">
      <c r="B351" s="87"/>
      <c r="C351" s="45" t="s">
        <v>154</v>
      </c>
      <c r="D351" s="44">
        <v>3</v>
      </c>
      <c r="E351" s="43">
        <v>2.2488755622188904E-3</v>
      </c>
    </row>
    <row r="352" spans="2:5" ht="15" customHeight="1">
      <c r="B352" s="87"/>
      <c r="C352" s="45" t="s">
        <v>152</v>
      </c>
      <c r="D352" s="44">
        <v>6</v>
      </c>
      <c r="E352" s="43">
        <v>4.4977511244377807E-3</v>
      </c>
    </row>
    <row r="353" spans="2:5" ht="15" customHeight="1">
      <c r="B353" s="87"/>
      <c r="C353" s="45" t="s">
        <v>151</v>
      </c>
      <c r="D353" s="44">
        <v>1</v>
      </c>
      <c r="E353" s="43">
        <v>7.4962518740629683E-4</v>
      </c>
    </row>
    <row r="354" spans="2:5" ht="15" customHeight="1">
      <c r="B354" s="87"/>
      <c r="C354" s="45" t="s">
        <v>149</v>
      </c>
      <c r="D354" s="44">
        <v>2</v>
      </c>
      <c r="E354" s="43">
        <v>1.4992503748125937E-3</v>
      </c>
    </row>
    <row r="355" spans="2:5" ht="15" customHeight="1">
      <c r="B355" s="87"/>
      <c r="C355" s="45" t="s">
        <v>148</v>
      </c>
      <c r="D355" s="44">
        <v>16</v>
      </c>
      <c r="E355" s="43">
        <v>1.1994002998500749E-2</v>
      </c>
    </row>
    <row r="356" spans="2:5" ht="15" customHeight="1">
      <c r="B356" s="87"/>
      <c r="C356" s="45" t="s">
        <v>147</v>
      </c>
      <c r="D356" s="44">
        <v>1</v>
      </c>
      <c r="E356" s="43">
        <v>7.4962518740629683E-4</v>
      </c>
    </row>
    <row r="357" spans="2:5" ht="15" customHeight="1">
      <c r="B357" s="87"/>
      <c r="C357" s="45" t="s">
        <v>146</v>
      </c>
      <c r="D357" s="44">
        <v>2</v>
      </c>
      <c r="E357" s="43">
        <v>1.4992503748125937E-3</v>
      </c>
    </row>
    <row r="358" spans="2:5" ht="15" customHeight="1">
      <c r="B358" s="87"/>
      <c r="C358" s="45" t="s">
        <v>145</v>
      </c>
      <c r="D358" s="44">
        <v>7</v>
      </c>
      <c r="E358" s="43">
        <v>5.2473763118440781E-3</v>
      </c>
    </row>
    <row r="359" spans="2:5" ht="15" customHeight="1">
      <c r="B359" s="87"/>
      <c r="C359" s="45" t="s">
        <v>140</v>
      </c>
      <c r="D359" s="44">
        <v>4</v>
      </c>
      <c r="E359" s="43">
        <v>2.9985007496251873E-3</v>
      </c>
    </row>
    <row r="360" spans="2:5" ht="15" customHeight="1">
      <c r="B360" s="87"/>
      <c r="C360" s="45" t="s">
        <v>139</v>
      </c>
      <c r="D360" s="44">
        <v>4</v>
      </c>
      <c r="E360" s="43">
        <v>2.9985007496251873E-3</v>
      </c>
    </row>
    <row r="361" spans="2:5" ht="15" customHeight="1">
      <c r="B361" s="88"/>
      <c r="C361" s="42" t="s">
        <v>23</v>
      </c>
      <c r="D361" s="41">
        <v>51</v>
      </c>
      <c r="E361" s="40">
        <v>3.823088455772114E-2</v>
      </c>
    </row>
    <row r="362" spans="2:5" ht="15" customHeight="1">
      <c r="B362" s="86" t="s">
        <v>164</v>
      </c>
      <c r="C362" s="45" t="s">
        <v>159</v>
      </c>
      <c r="D362" s="44">
        <v>2</v>
      </c>
      <c r="E362" s="43">
        <v>1.4992503748125937E-3</v>
      </c>
    </row>
    <row r="363" spans="2:5" ht="15" customHeight="1">
      <c r="B363" s="87"/>
      <c r="C363" s="45" t="s">
        <v>158</v>
      </c>
      <c r="D363" s="44">
        <v>1</v>
      </c>
      <c r="E363" s="43">
        <v>7.4962518740629683E-4</v>
      </c>
    </row>
    <row r="364" spans="2:5" ht="15" customHeight="1">
      <c r="B364" s="87"/>
      <c r="C364" s="45" t="s">
        <v>156</v>
      </c>
      <c r="D364" s="44">
        <v>3</v>
      </c>
      <c r="E364" s="43">
        <v>2.2488755622188904E-3</v>
      </c>
    </row>
    <row r="365" spans="2:5" ht="15" customHeight="1">
      <c r="B365" s="87"/>
      <c r="C365" s="45" t="s">
        <v>155</v>
      </c>
      <c r="D365" s="44">
        <v>1</v>
      </c>
      <c r="E365" s="43">
        <v>7.4962518740629683E-4</v>
      </c>
    </row>
    <row r="366" spans="2:5" ht="15" customHeight="1">
      <c r="B366" s="87"/>
      <c r="C366" s="45" t="s">
        <v>154</v>
      </c>
      <c r="D366" s="44">
        <v>1</v>
      </c>
      <c r="E366" s="43">
        <v>7.4962518740629683E-4</v>
      </c>
    </row>
    <row r="367" spans="2:5" ht="15" customHeight="1">
      <c r="B367" s="87"/>
      <c r="C367" s="45" t="s">
        <v>153</v>
      </c>
      <c r="D367" s="44">
        <v>4</v>
      </c>
      <c r="E367" s="43">
        <v>2.9985007496251873E-3</v>
      </c>
    </row>
    <row r="368" spans="2:5" ht="15" customHeight="1">
      <c r="B368" s="87"/>
      <c r="C368" s="45" t="s">
        <v>152</v>
      </c>
      <c r="D368" s="44">
        <v>8</v>
      </c>
      <c r="E368" s="43">
        <v>5.9970014992503746E-3</v>
      </c>
    </row>
    <row r="369" spans="2:5" ht="15" customHeight="1">
      <c r="B369" s="87"/>
      <c r="C369" s="45" t="s">
        <v>150</v>
      </c>
      <c r="D369" s="44">
        <v>1</v>
      </c>
      <c r="E369" s="43">
        <v>7.4962518740629683E-4</v>
      </c>
    </row>
    <row r="370" spans="2:5" ht="15" customHeight="1">
      <c r="B370" s="87"/>
      <c r="C370" s="45" t="s">
        <v>149</v>
      </c>
      <c r="D370" s="44">
        <v>1</v>
      </c>
      <c r="E370" s="43">
        <v>7.4962518740629683E-4</v>
      </c>
    </row>
    <row r="371" spans="2:5" ht="15" customHeight="1">
      <c r="B371" s="87"/>
      <c r="C371" s="45" t="s">
        <v>148</v>
      </c>
      <c r="D371" s="44">
        <v>20</v>
      </c>
      <c r="E371" s="43">
        <v>1.4992503748125937E-2</v>
      </c>
    </row>
    <row r="372" spans="2:5" ht="15" customHeight="1">
      <c r="B372" s="87"/>
      <c r="C372" s="45" t="s">
        <v>147</v>
      </c>
      <c r="D372" s="44">
        <v>1</v>
      </c>
      <c r="E372" s="43">
        <v>7.4962518740629683E-4</v>
      </c>
    </row>
    <row r="373" spans="2:5" ht="15" customHeight="1">
      <c r="B373" s="87"/>
      <c r="C373" s="45" t="s">
        <v>146</v>
      </c>
      <c r="D373" s="44">
        <v>4</v>
      </c>
      <c r="E373" s="43">
        <v>2.9985007496251873E-3</v>
      </c>
    </row>
    <row r="374" spans="2:5" ht="15" customHeight="1">
      <c r="B374" s="87"/>
      <c r="C374" s="45" t="s">
        <v>145</v>
      </c>
      <c r="D374" s="44">
        <v>10</v>
      </c>
      <c r="E374" s="43">
        <v>7.4962518740629685E-3</v>
      </c>
    </row>
    <row r="375" spans="2:5" ht="15" customHeight="1">
      <c r="B375" s="88"/>
      <c r="C375" s="42" t="s">
        <v>23</v>
      </c>
      <c r="D375" s="41">
        <v>57</v>
      </c>
      <c r="E375" s="40">
        <v>4.2728635682158921E-2</v>
      </c>
    </row>
    <row r="376" spans="2:5" ht="15" customHeight="1">
      <c r="B376" s="86" t="s">
        <v>110</v>
      </c>
      <c r="C376" s="45" t="s">
        <v>153</v>
      </c>
      <c r="D376" s="44">
        <v>1</v>
      </c>
      <c r="E376" s="43">
        <v>7.4962518740629683E-4</v>
      </c>
    </row>
    <row r="377" spans="2:5" ht="15" customHeight="1">
      <c r="B377" s="87"/>
      <c r="C377" s="45" t="s">
        <v>152</v>
      </c>
      <c r="D377" s="44">
        <v>2</v>
      </c>
      <c r="E377" s="43">
        <v>1.4992503748125937E-3</v>
      </c>
    </row>
    <row r="378" spans="2:5" ht="15" customHeight="1">
      <c r="B378" s="87"/>
      <c r="C378" s="45" t="s">
        <v>151</v>
      </c>
      <c r="D378" s="44">
        <v>1</v>
      </c>
      <c r="E378" s="43">
        <v>7.4962518740629683E-4</v>
      </c>
    </row>
    <row r="379" spans="2:5" ht="15" customHeight="1">
      <c r="B379" s="87"/>
      <c r="C379" s="45" t="s">
        <v>150</v>
      </c>
      <c r="D379" s="44">
        <v>2</v>
      </c>
      <c r="E379" s="43">
        <v>1.4992503748125937E-3</v>
      </c>
    </row>
    <row r="380" spans="2:5" ht="15" customHeight="1">
      <c r="B380" s="87"/>
      <c r="C380" s="45" t="s">
        <v>148</v>
      </c>
      <c r="D380" s="44">
        <v>9</v>
      </c>
      <c r="E380" s="43">
        <v>6.746626686656672E-3</v>
      </c>
    </row>
    <row r="381" spans="2:5" ht="15" customHeight="1">
      <c r="B381" s="87"/>
      <c r="C381" s="45" t="s">
        <v>147</v>
      </c>
      <c r="D381" s="44">
        <v>1</v>
      </c>
      <c r="E381" s="43">
        <v>7.4962518740629683E-4</v>
      </c>
    </row>
    <row r="382" spans="2:5" ht="15" customHeight="1">
      <c r="B382" s="87"/>
      <c r="C382" s="45" t="s">
        <v>146</v>
      </c>
      <c r="D382" s="44">
        <v>4</v>
      </c>
      <c r="E382" s="43">
        <v>2.9985007496251873E-3</v>
      </c>
    </row>
    <row r="383" spans="2:5" ht="15" customHeight="1">
      <c r="B383" s="87"/>
      <c r="C383" s="45" t="s">
        <v>145</v>
      </c>
      <c r="D383" s="44">
        <v>1</v>
      </c>
      <c r="E383" s="43">
        <v>7.4962518740629683E-4</v>
      </c>
    </row>
    <row r="384" spans="2:5" ht="15" customHeight="1">
      <c r="B384" s="88"/>
      <c r="C384" s="42" t="s">
        <v>23</v>
      </c>
      <c r="D384" s="41">
        <v>21</v>
      </c>
      <c r="E384" s="40">
        <v>1.5742128935532233E-2</v>
      </c>
    </row>
    <row r="385" spans="2:5" ht="15" customHeight="1">
      <c r="B385" s="86" t="s">
        <v>88</v>
      </c>
      <c r="C385" s="45" t="s">
        <v>153</v>
      </c>
      <c r="D385" s="44">
        <v>1</v>
      </c>
      <c r="E385" s="43">
        <v>7.4962518740629683E-4</v>
      </c>
    </row>
    <row r="386" spans="2:5" ht="15" customHeight="1">
      <c r="B386" s="87"/>
      <c r="C386" s="45" t="s">
        <v>152</v>
      </c>
      <c r="D386" s="44">
        <v>1</v>
      </c>
      <c r="E386" s="43">
        <v>7.4962518740629683E-4</v>
      </c>
    </row>
    <row r="387" spans="2:5" ht="15" customHeight="1">
      <c r="B387" s="87"/>
      <c r="C387" s="45" t="s">
        <v>148</v>
      </c>
      <c r="D387" s="44">
        <v>5</v>
      </c>
      <c r="E387" s="43">
        <v>3.7481259370314842E-3</v>
      </c>
    </row>
    <row r="388" spans="2:5" ht="15" customHeight="1">
      <c r="B388" s="87"/>
      <c r="C388" s="45" t="s">
        <v>146</v>
      </c>
      <c r="D388" s="44">
        <v>1</v>
      </c>
      <c r="E388" s="43">
        <v>7.4962518740629683E-4</v>
      </c>
    </row>
    <row r="389" spans="2:5" ht="15" customHeight="1">
      <c r="B389" s="87"/>
      <c r="C389" s="45" t="s">
        <v>145</v>
      </c>
      <c r="D389" s="44">
        <v>2</v>
      </c>
      <c r="E389" s="43">
        <v>1.4992503748125937E-3</v>
      </c>
    </row>
    <row r="390" spans="2:5" ht="15" customHeight="1">
      <c r="B390" s="87"/>
      <c r="C390" s="45" t="s">
        <v>139</v>
      </c>
      <c r="D390" s="44">
        <v>1</v>
      </c>
      <c r="E390" s="43">
        <v>7.4962518740629683E-4</v>
      </c>
    </row>
    <row r="391" spans="2:5" ht="15" customHeight="1">
      <c r="B391" s="88"/>
      <c r="C391" s="42" t="s">
        <v>23</v>
      </c>
      <c r="D391" s="41">
        <v>11</v>
      </c>
      <c r="E391" s="40">
        <v>8.2458770614692659E-3</v>
      </c>
    </row>
    <row r="392" spans="2:5" ht="15" customHeight="1">
      <c r="B392" s="86" t="s">
        <v>45</v>
      </c>
      <c r="C392" s="45" t="s">
        <v>158</v>
      </c>
      <c r="D392" s="44">
        <v>2</v>
      </c>
      <c r="E392" s="43">
        <v>1.4992503748125937E-3</v>
      </c>
    </row>
    <row r="393" spans="2:5" ht="15" customHeight="1">
      <c r="B393" s="87"/>
      <c r="C393" s="45" t="s">
        <v>156</v>
      </c>
      <c r="D393" s="44">
        <v>1</v>
      </c>
      <c r="E393" s="43">
        <v>7.4962518740629683E-4</v>
      </c>
    </row>
    <row r="394" spans="2:5" ht="15" customHeight="1">
      <c r="B394" s="87"/>
      <c r="C394" s="45" t="s">
        <v>155</v>
      </c>
      <c r="D394" s="44">
        <v>2</v>
      </c>
      <c r="E394" s="43">
        <v>1.4992503748125937E-3</v>
      </c>
    </row>
    <row r="395" spans="2:5" ht="15" customHeight="1">
      <c r="B395" s="87"/>
      <c r="C395" s="45" t="s">
        <v>153</v>
      </c>
      <c r="D395" s="44">
        <v>2</v>
      </c>
      <c r="E395" s="43">
        <v>1.4992503748125937E-3</v>
      </c>
    </row>
    <row r="396" spans="2:5" ht="15" customHeight="1">
      <c r="B396" s="87"/>
      <c r="C396" s="45" t="s">
        <v>152</v>
      </c>
      <c r="D396" s="44">
        <v>2</v>
      </c>
      <c r="E396" s="43">
        <v>1.4992503748125937E-3</v>
      </c>
    </row>
    <row r="397" spans="2:5" ht="15" customHeight="1">
      <c r="B397" s="87"/>
      <c r="C397" s="45" t="s">
        <v>150</v>
      </c>
      <c r="D397" s="44">
        <v>2</v>
      </c>
      <c r="E397" s="43">
        <v>1.4992503748125937E-3</v>
      </c>
    </row>
    <row r="398" spans="2:5" ht="15" customHeight="1">
      <c r="B398" s="87"/>
      <c r="C398" s="45" t="s">
        <v>148</v>
      </c>
      <c r="D398" s="44">
        <v>9</v>
      </c>
      <c r="E398" s="43">
        <v>6.746626686656672E-3</v>
      </c>
    </row>
    <row r="399" spans="2:5" ht="15" customHeight="1">
      <c r="B399" s="87"/>
      <c r="C399" s="45" t="s">
        <v>146</v>
      </c>
      <c r="D399" s="44">
        <v>2</v>
      </c>
      <c r="E399" s="43">
        <v>1.4992503748125937E-3</v>
      </c>
    </row>
    <row r="400" spans="2:5" ht="15" customHeight="1">
      <c r="B400" s="87"/>
      <c r="C400" s="45" t="s">
        <v>145</v>
      </c>
      <c r="D400" s="44">
        <v>5</v>
      </c>
      <c r="E400" s="43">
        <v>3.7481259370314842E-3</v>
      </c>
    </row>
    <row r="401" spans="2:5" ht="15" customHeight="1">
      <c r="B401" s="87"/>
      <c r="C401" s="45" t="s">
        <v>140</v>
      </c>
      <c r="D401" s="44">
        <v>1</v>
      </c>
      <c r="E401" s="43">
        <v>7.4962518740629683E-4</v>
      </c>
    </row>
    <row r="402" spans="2:5" ht="15" customHeight="1">
      <c r="B402" s="87"/>
      <c r="C402" s="45" t="s">
        <v>139</v>
      </c>
      <c r="D402" s="44">
        <v>1</v>
      </c>
      <c r="E402" s="43">
        <v>7.4962518740629683E-4</v>
      </c>
    </row>
    <row r="403" spans="2:5" ht="15" customHeight="1">
      <c r="B403" s="88"/>
      <c r="C403" s="42" t="s">
        <v>23</v>
      </c>
      <c r="D403" s="41">
        <v>29</v>
      </c>
      <c r="E403" s="40">
        <v>2.1739130434782608E-2</v>
      </c>
    </row>
    <row r="404" spans="2:5" ht="15" customHeight="1">
      <c r="B404" s="86" t="s">
        <v>76</v>
      </c>
      <c r="C404" s="45" t="s">
        <v>152</v>
      </c>
      <c r="D404" s="44">
        <v>1</v>
      </c>
      <c r="E404" s="43">
        <v>7.4962518740629683E-4</v>
      </c>
    </row>
    <row r="405" spans="2:5" ht="15" customHeight="1">
      <c r="B405" s="87"/>
      <c r="C405" s="45" t="s">
        <v>149</v>
      </c>
      <c r="D405" s="44">
        <v>1</v>
      </c>
      <c r="E405" s="43">
        <v>7.4962518740629683E-4</v>
      </c>
    </row>
    <row r="406" spans="2:5" ht="15" customHeight="1">
      <c r="B406" s="88"/>
      <c r="C406" s="42" t="s">
        <v>23</v>
      </c>
      <c r="D406" s="41">
        <v>2</v>
      </c>
      <c r="E406" s="40">
        <v>1.4992503748125937E-3</v>
      </c>
    </row>
    <row r="407" spans="2:5" ht="15" customHeight="1">
      <c r="B407" s="89" t="s">
        <v>23</v>
      </c>
      <c r="C407" s="90"/>
      <c r="D407" s="39">
        <v>1334</v>
      </c>
      <c r="E407" s="38">
        <v>1</v>
      </c>
    </row>
    <row r="409" spans="2:5" ht="15" customHeight="1">
      <c r="B409" s="19" t="s">
        <v>22</v>
      </c>
    </row>
    <row r="410" spans="2:5" ht="15" customHeight="1">
      <c r="B410" s="21" t="s">
        <v>21</v>
      </c>
    </row>
    <row r="411" spans="2:5" ht="15" customHeight="1">
      <c r="B411" s="20" t="s">
        <v>20</v>
      </c>
    </row>
    <row r="412" spans="2:5" ht="15" customHeight="1">
      <c r="B412" s="19" t="s">
        <v>19</v>
      </c>
    </row>
    <row r="413" spans="2:5" ht="15" customHeight="1">
      <c r="B413" s="19" t="s">
        <v>18</v>
      </c>
    </row>
  </sheetData>
  <mergeCells count="46">
    <mergeCell ref="B385:B391"/>
    <mergeCell ref="B392:B403"/>
    <mergeCell ref="B404:B406"/>
    <mergeCell ref="B407:C407"/>
    <mergeCell ref="B326:B333"/>
    <mergeCell ref="B334:B340"/>
    <mergeCell ref="B341:B347"/>
    <mergeCell ref="B348:B361"/>
    <mergeCell ref="B362:B375"/>
    <mergeCell ref="B376:B384"/>
    <mergeCell ref="B321:B325"/>
    <mergeCell ref="B171:B183"/>
    <mergeCell ref="B184:B195"/>
    <mergeCell ref="B196:B207"/>
    <mergeCell ref="B208:B216"/>
    <mergeCell ref="B217:B229"/>
    <mergeCell ref="B230:B238"/>
    <mergeCell ref="B239:B256"/>
    <mergeCell ref="B257:B269"/>
    <mergeCell ref="B270:B277"/>
    <mergeCell ref="B278:B282"/>
    <mergeCell ref="B283:B288"/>
    <mergeCell ref="B289:B290"/>
    <mergeCell ref="B291:B306"/>
    <mergeCell ref="B307:B314"/>
    <mergeCell ref="B315:B320"/>
    <mergeCell ref="B89:B96"/>
    <mergeCell ref="B97:B98"/>
    <mergeCell ref="B99:B104"/>
    <mergeCell ref="B105:B114"/>
    <mergeCell ref="B115:B129"/>
    <mergeCell ref="B130:B135"/>
    <mergeCell ref="B136:B144"/>
    <mergeCell ref="B145:B150"/>
    <mergeCell ref="B151:B158"/>
    <mergeCell ref="B159:B170"/>
    <mergeCell ref="B7:E8"/>
    <mergeCell ref="B10:B13"/>
    <mergeCell ref="B14:B29"/>
    <mergeCell ref="B30:B40"/>
    <mergeCell ref="B41:B47"/>
    <mergeCell ref="B48:B50"/>
    <mergeCell ref="B51:B55"/>
    <mergeCell ref="B56:B66"/>
    <mergeCell ref="B67:B77"/>
    <mergeCell ref="B78:B8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0" manualBreakCount="10">
    <brk id="50" max="4" man="1"/>
    <brk id="88" max="4" man="1"/>
    <brk id="129" max="4" man="1"/>
    <brk id="170" max="4" man="1"/>
    <brk id="207" max="4" man="1"/>
    <brk id="238" max="4" man="1"/>
    <brk id="282" max="4" man="1"/>
    <brk id="325" max="4" man="1"/>
    <brk id="361" max="4" man="1"/>
    <brk id="403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B23" sqref="B2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173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172</v>
      </c>
      <c r="C11" s="31" t="s">
        <v>67</v>
      </c>
      <c r="D11" s="30" t="s">
        <v>66</v>
      </c>
    </row>
    <row r="12" spans="1:4" ht="15" customHeight="1">
      <c r="B12" s="27" t="s">
        <v>171</v>
      </c>
      <c r="C12" s="26">
        <v>916</v>
      </c>
      <c r="D12" s="25">
        <v>0.68358208955223876</v>
      </c>
    </row>
    <row r="13" spans="1:4" ht="15" customHeight="1">
      <c r="B13" s="27" t="s">
        <v>170</v>
      </c>
      <c r="C13" s="26">
        <v>424</v>
      </c>
      <c r="D13" s="25">
        <v>0.31641791044776119</v>
      </c>
    </row>
    <row r="14" spans="1:4">
      <c r="B14" s="24" t="s">
        <v>169</v>
      </c>
      <c r="C14" s="23">
        <v>1340</v>
      </c>
      <c r="D14" s="22">
        <v>1</v>
      </c>
    </row>
    <row r="15" spans="1:4" s="28" customFormat="1">
      <c r="A15" s="17"/>
      <c r="C15" s="61"/>
      <c r="D15" s="61"/>
    </row>
    <row r="16" spans="1:4" s="28" customFormat="1">
      <c r="A16" s="17"/>
      <c r="B16" s="19" t="s">
        <v>22</v>
      </c>
      <c r="C16" s="61"/>
      <c r="D16" s="61"/>
    </row>
    <row r="17" spans="2:4">
      <c r="B17" s="21" t="s">
        <v>21</v>
      </c>
      <c r="C17" s="60"/>
      <c r="D17" s="60"/>
    </row>
    <row r="18" spans="2:4">
      <c r="B18" s="20" t="s">
        <v>20</v>
      </c>
      <c r="C18" s="59"/>
      <c r="D18" s="59"/>
    </row>
    <row r="19" spans="2:4">
      <c r="B19" s="19" t="s">
        <v>19</v>
      </c>
    </row>
    <row r="20" spans="2:4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9"/>
  <sheetViews>
    <sheetView showGridLines="0" topLeftCell="A120" zoomScale="106" zoomScaleNormal="106" zoomScaleSheetLayoutView="100" workbookViewId="0">
      <selection activeCell="B143" sqref="B143:E143"/>
    </sheetView>
  </sheetViews>
  <sheetFormatPr baseColWidth="10" defaultColWidth="11.42578125" defaultRowHeight="11.25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>
      <c r="B1" s="53"/>
      <c r="C1" s="50"/>
    </row>
    <row r="2" spans="1:6" s="50" customFormat="1">
      <c r="B2" s="68"/>
    </row>
    <row r="3" spans="1:6" ht="15" customHeight="1">
      <c r="B3" s="69"/>
      <c r="C3" s="35"/>
      <c r="D3" s="29"/>
      <c r="F3" s="50"/>
    </row>
    <row r="4" spans="1:6" ht="30" customHeight="1">
      <c r="B4" s="69"/>
      <c r="C4" s="35"/>
      <c r="D4" s="29"/>
      <c r="F4" s="50"/>
    </row>
    <row r="5" spans="1:6" ht="15" customHeight="1">
      <c r="B5" s="69"/>
      <c r="C5" s="35"/>
      <c r="D5" s="29"/>
      <c r="F5" s="50"/>
    </row>
    <row r="6" spans="1:6" s="50" customFormat="1">
      <c r="B6" s="57"/>
      <c r="C6" s="46"/>
    </row>
    <row r="7" spans="1:6" s="50" customFormat="1">
      <c r="A7" s="53"/>
      <c r="B7" s="68"/>
      <c r="C7" s="53"/>
    </row>
    <row r="8" spans="1:6" s="64" customFormat="1" ht="15" customHeight="1">
      <c r="B8" s="95" t="s">
        <v>176</v>
      </c>
      <c r="C8" s="95"/>
      <c r="D8" s="95"/>
      <c r="E8" s="95"/>
    </row>
    <row r="9" spans="1:6" s="64" customFormat="1" ht="15" customHeight="1">
      <c r="A9" s="66"/>
      <c r="B9" s="95"/>
      <c r="C9" s="95"/>
      <c r="D9" s="95"/>
      <c r="E9" s="95"/>
      <c r="F9" s="67"/>
    </row>
    <row r="10" spans="1:6" s="64" customFormat="1" ht="15" customHeight="1">
      <c r="A10" s="66"/>
      <c r="B10" s="96"/>
      <c r="C10" s="96"/>
      <c r="D10" s="96"/>
      <c r="E10" s="96"/>
      <c r="F10" s="66"/>
    </row>
    <row r="11" spans="1:6" s="64" customFormat="1" ht="36.950000000000003" customHeight="1">
      <c r="B11" s="65" t="s">
        <v>120</v>
      </c>
      <c r="C11" s="65" t="s">
        <v>172</v>
      </c>
      <c r="D11" s="65" t="s">
        <v>67</v>
      </c>
      <c r="E11" s="65" t="s">
        <v>66</v>
      </c>
    </row>
    <row r="12" spans="1:6" ht="15" customHeight="1">
      <c r="B12" s="92" t="s">
        <v>83</v>
      </c>
      <c r="C12" s="63" t="s">
        <v>175</v>
      </c>
      <c r="D12" s="26">
        <v>4</v>
      </c>
      <c r="E12" s="25">
        <v>2.9850746268656717E-3</v>
      </c>
    </row>
    <row r="13" spans="1:6" ht="15" customHeight="1">
      <c r="B13" s="93"/>
      <c r="C13" s="63" t="s">
        <v>174</v>
      </c>
      <c r="D13" s="26">
        <v>2</v>
      </c>
      <c r="E13" s="25">
        <v>1.4925373134328358E-3</v>
      </c>
    </row>
    <row r="14" spans="1:6" ht="15" customHeight="1">
      <c r="B14" s="94"/>
      <c r="C14" s="70" t="s">
        <v>23</v>
      </c>
      <c r="D14" s="71">
        <v>6</v>
      </c>
      <c r="E14" s="72">
        <v>4.4776119402985077E-3</v>
      </c>
    </row>
    <row r="15" spans="1:6" ht="15" customHeight="1">
      <c r="B15" s="92" t="s">
        <v>115</v>
      </c>
      <c r="C15" s="63" t="s">
        <v>175</v>
      </c>
      <c r="D15" s="26">
        <v>101</v>
      </c>
      <c r="E15" s="25">
        <v>7.537313432835821E-2</v>
      </c>
    </row>
    <row r="16" spans="1:6" ht="15" customHeight="1">
      <c r="B16" s="93"/>
      <c r="C16" s="63" t="s">
        <v>174</v>
      </c>
      <c r="D16" s="26">
        <v>36</v>
      </c>
      <c r="E16" s="25">
        <v>2.6865671641791045E-2</v>
      </c>
    </row>
    <row r="17" spans="1:6" s="50" customFormat="1" ht="15" customHeight="1">
      <c r="A17" s="29"/>
      <c r="B17" s="94"/>
      <c r="C17" s="70" t="s">
        <v>23</v>
      </c>
      <c r="D17" s="71">
        <v>137</v>
      </c>
      <c r="E17" s="72">
        <v>0.10223880597014925</v>
      </c>
      <c r="F17" s="29"/>
    </row>
    <row r="18" spans="1:6" s="50" customFormat="1" ht="15" customHeight="1">
      <c r="A18" s="29"/>
      <c r="B18" s="92" t="s">
        <v>105</v>
      </c>
      <c r="C18" s="63" t="s">
        <v>175</v>
      </c>
      <c r="D18" s="26">
        <v>23</v>
      </c>
      <c r="E18" s="25">
        <v>1.7164179104477612E-2</v>
      </c>
      <c r="F18" s="29"/>
    </row>
    <row r="19" spans="1:6" s="50" customFormat="1" ht="15" customHeight="1">
      <c r="A19" s="29"/>
      <c r="B19" s="93"/>
      <c r="C19" s="63" t="s">
        <v>174</v>
      </c>
      <c r="D19" s="26">
        <v>19</v>
      </c>
      <c r="E19" s="25">
        <v>1.4179104477611941E-2</v>
      </c>
      <c r="F19" s="29"/>
    </row>
    <row r="20" spans="1:6" s="50" customFormat="1" ht="15" customHeight="1">
      <c r="A20" s="29"/>
      <c r="B20" s="94"/>
      <c r="C20" s="70" t="s">
        <v>23</v>
      </c>
      <c r="D20" s="71">
        <v>42</v>
      </c>
      <c r="E20" s="72">
        <v>3.134328358208955E-2</v>
      </c>
      <c r="F20" s="29"/>
    </row>
    <row r="21" spans="1:6" s="50" customFormat="1" ht="15" customHeight="1">
      <c r="A21" s="29"/>
      <c r="B21" s="92" t="s">
        <v>81</v>
      </c>
      <c r="C21" s="63" t="s">
        <v>175</v>
      </c>
      <c r="D21" s="26">
        <v>8</v>
      </c>
      <c r="E21" s="25">
        <v>5.9701492537313433E-3</v>
      </c>
      <c r="F21" s="29"/>
    </row>
    <row r="22" spans="1:6" ht="13.5">
      <c r="B22" s="93"/>
      <c r="C22" s="63" t="s">
        <v>174</v>
      </c>
      <c r="D22" s="26">
        <v>3</v>
      </c>
      <c r="E22" s="25">
        <v>2.2388059701492539E-3</v>
      </c>
    </row>
    <row r="23" spans="1:6" ht="13.5">
      <c r="B23" s="94"/>
      <c r="C23" s="70" t="s">
        <v>23</v>
      </c>
      <c r="D23" s="71">
        <v>11</v>
      </c>
      <c r="E23" s="72">
        <v>8.2089552238805968E-3</v>
      </c>
    </row>
    <row r="24" spans="1:6" ht="13.5">
      <c r="B24" s="92" t="s">
        <v>77</v>
      </c>
      <c r="C24" s="63" t="s">
        <v>175</v>
      </c>
      <c r="D24" s="26">
        <v>1</v>
      </c>
      <c r="E24" s="25">
        <v>7.4626865671641792E-4</v>
      </c>
    </row>
    <row r="25" spans="1:6" ht="13.5">
      <c r="B25" s="93"/>
      <c r="C25" s="63" t="s">
        <v>174</v>
      </c>
      <c r="D25" s="26">
        <v>1</v>
      </c>
      <c r="E25" s="25">
        <v>7.4626865671641792E-4</v>
      </c>
    </row>
    <row r="26" spans="1:6" ht="13.5">
      <c r="B26" s="94"/>
      <c r="C26" s="70" t="s">
        <v>23</v>
      </c>
      <c r="D26" s="71">
        <v>2</v>
      </c>
      <c r="E26" s="72">
        <v>1.4925373134328358E-3</v>
      </c>
    </row>
    <row r="27" spans="1:6" ht="13.5">
      <c r="B27" s="92" t="s">
        <v>82</v>
      </c>
      <c r="C27" s="63" t="s">
        <v>175</v>
      </c>
      <c r="D27" s="26">
        <v>2</v>
      </c>
      <c r="E27" s="25">
        <v>1.4925373134328358E-3</v>
      </c>
    </row>
    <row r="28" spans="1:6" ht="13.5">
      <c r="B28" s="93"/>
      <c r="C28" s="63" t="s">
        <v>174</v>
      </c>
      <c r="D28" s="26">
        <v>3</v>
      </c>
      <c r="E28" s="25">
        <v>2.2388059701492539E-3</v>
      </c>
    </row>
    <row r="29" spans="1:6" ht="13.5">
      <c r="B29" s="94"/>
      <c r="C29" s="70" t="s">
        <v>23</v>
      </c>
      <c r="D29" s="71">
        <v>5</v>
      </c>
      <c r="E29" s="72">
        <v>3.7313432835820895E-3</v>
      </c>
    </row>
    <row r="30" spans="1:6" ht="13.5">
      <c r="B30" s="92" t="s">
        <v>118</v>
      </c>
      <c r="C30" s="63" t="s">
        <v>175</v>
      </c>
      <c r="D30" s="26">
        <v>24</v>
      </c>
      <c r="E30" s="25">
        <v>1.7910447761194031E-2</v>
      </c>
    </row>
    <row r="31" spans="1:6" ht="13.5">
      <c r="B31" s="93"/>
      <c r="C31" s="63" t="s">
        <v>174</v>
      </c>
      <c r="D31" s="26">
        <v>10</v>
      </c>
      <c r="E31" s="25">
        <v>7.462686567164179E-3</v>
      </c>
    </row>
    <row r="32" spans="1:6" ht="13.5">
      <c r="B32" s="94"/>
      <c r="C32" s="70" t="s">
        <v>23</v>
      </c>
      <c r="D32" s="71">
        <v>34</v>
      </c>
      <c r="E32" s="72">
        <v>2.5373134328358207E-2</v>
      </c>
    </row>
    <row r="33" spans="2:5" ht="13.5">
      <c r="B33" s="92" t="s">
        <v>116</v>
      </c>
      <c r="C33" s="63" t="s">
        <v>175</v>
      </c>
      <c r="D33" s="26">
        <v>51</v>
      </c>
      <c r="E33" s="25">
        <v>3.8059701492537311E-2</v>
      </c>
    </row>
    <row r="34" spans="2:5" ht="13.5">
      <c r="B34" s="93"/>
      <c r="C34" s="63" t="s">
        <v>174</v>
      </c>
      <c r="D34" s="26">
        <v>18</v>
      </c>
      <c r="E34" s="25">
        <v>1.3432835820895522E-2</v>
      </c>
    </row>
    <row r="35" spans="2:5" ht="13.5">
      <c r="B35" s="94"/>
      <c r="C35" s="70" t="s">
        <v>23</v>
      </c>
      <c r="D35" s="71">
        <v>69</v>
      </c>
      <c r="E35" s="72">
        <v>5.1492537313432833E-2</v>
      </c>
    </row>
    <row r="36" spans="2:5" ht="13.5">
      <c r="B36" s="92" t="s">
        <v>100</v>
      </c>
      <c r="C36" s="63" t="s">
        <v>175</v>
      </c>
      <c r="D36" s="26">
        <v>20</v>
      </c>
      <c r="E36" s="25">
        <v>1.4925373134328358E-2</v>
      </c>
    </row>
    <row r="37" spans="2:5" ht="13.5">
      <c r="B37" s="93"/>
      <c r="C37" s="63" t="s">
        <v>174</v>
      </c>
      <c r="D37" s="26">
        <v>14</v>
      </c>
      <c r="E37" s="25">
        <v>1.0447761194029851E-2</v>
      </c>
    </row>
    <row r="38" spans="2:5" ht="13.5">
      <c r="B38" s="94"/>
      <c r="C38" s="70" t="s">
        <v>23</v>
      </c>
      <c r="D38" s="71">
        <v>34</v>
      </c>
      <c r="E38" s="72">
        <v>2.5373134328358207E-2</v>
      </c>
    </row>
    <row r="39" spans="2:5" ht="13.5">
      <c r="B39" s="92" t="s">
        <v>86</v>
      </c>
      <c r="C39" s="63" t="s">
        <v>175</v>
      </c>
      <c r="D39" s="26">
        <v>9</v>
      </c>
      <c r="E39" s="25">
        <v>6.7164179104477612E-3</v>
      </c>
    </row>
    <row r="40" spans="2:5" ht="13.5">
      <c r="B40" s="93"/>
      <c r="C40" s="63" t="s">
        <v>174</v>
      </c>
      <c r="D40" s="26">
        <v>4</v>
      </c>
      <c r="E40" s="25">
        <v>2.9850746268656717E-3</v>
      </c>
    </row>
    <row r="41" spans="2:5" ht="13.5">
      <c r="B41" s="94"/>
      <c r="C41" s="70" t="s">
        <v>23</v>
      </c>
      <c r="D41" s="71">
        <v>13</v>
      </c>
      <c r="E41" s="72">
        <v>9.7014925373134324E-3</v>
      </c>
    </row>
    <row r="42" spans="2:5" ht="13.5">
      <c r="B42" s="92" t="s">
        <v>84</v>
      </c>
      <c r="C42" s="63" t="s">
        <v>175</v>
      </c>
      <c r="D42" s="26">
        <v>2</v>
      </c>
      <c r="E42" s="25">
        <v>1.4925373134328358E-3</v>
      </c>
    </row>
    <row r="43" spans="2:5" ht="13.5">
      <c r="B43" s="93"/>
      <c r="C43" s="63" t="s">
        <v>174</v>
      </c>
      <c r="D43" s="26">
        <v>1</v>
      </c>
      <c r="E43" s="25">
        <v>7.4626865671641792E-4</v>
      </c>
    </row>
    <row r="44" spans="2:5" ht="13.5">
      <c r="B44" s="94"/>
      <c r="C44" s="70" t="s">
        <v>23</v>
      </c>
      <c r="D44" s="71">
        <v>3</v>
      </c>
      <c r="E44" s="72">
        <v>2.2388059701492539E-3</v>
      </c>
    </row>
    <row r="45" spans="2:5" ht="13.5">
      <c r="B45" s="92" t="s">
        <v>97</v>
      </c>
      <c r="C45" s="63" t="s">
        <v>175</v>
      </c>
      <c r="D45" s="26">
        <v>3</v>
      </c>
      <c r="E45" s="25">
        <v>2.2388059701492539E-3</v>
      </c>
    </row>
    <row r="46" spans="2:5" ht="13.5">
      <c r="B46" s="93"/>
      <c r="C46" s="63" t="s">
        <v>174</v>
      </c>
      <c r="D46" s="26">
        <v>4</v>
      </c>
      <c r="E46" s="25">
        <v>2.9850746268656717E-3</v>
      </c>
    </row>
    <row r="47" spans="2:5" ht="13.5">
      <c r="B47" s="94"/>
      <c r="C47" s="70" t="s">
        <v>23</v>
      </c>
      <c r="D47" s="71">
        <v>7</v>
      </c>
      <c r="E47" s="72">
        <v>5.2238805970149255E-3</v>
      </c>
    </row>
    <row r="48" spans="2:5" ht="13.5">
      <c r="B48" s="92" t="s">
        <v>113</v>
      </c>
      <c r="C48" s="63" t="s">
        <v>175</v>
      </c>
      <c r="D48" s="26">
        <v>16</v>
      </c>
      <c r="E48" s="25">
        <v>1.1940298507462687E-2</v>
      </c>
    </row>
    <row r="49" spans="2:5" ht="13.5">
      <c r="B49" s="93"/>
      <c r="C49" s="63" t="s">
        <v>174</v>
      </c>
      <c r="D49" s="26">
        <v>8</v>
      </c>
      <c r="E49" s="25">
        <v>5.9701492537313433E-3</v>
      </c>
    </row>
    <row r="50" spans="2:5" ht="13.5">
      <c r="B50" s="94"/>
      <c r="C50" s="70" t="s">
        <v>23</v>
      </c>
      <c r="D50" s="71">
        <v>24</v>
      </c>
      <c r="E50" s="72">
        <v>1.7910447761194031E-2</v>
      </c>
    </row>
    <row r="51" spans="2:5" ht="13.5">
      <c r="B51" s="92" t="s">
        <v>117</v>
      </c>
      <c r="C51" s="63" t="s">
        <v>175</v>
      </c>
      <c r="D51" s="26">
        <v>52</v>
      </c>
      <c r="E51" s="25">
        <v>3.880597014925373E-2</v>
      </c>
    </row>
    <row r="52" spans="2:5" ht="13.5">
      <c r="B52" s="93"/>
      <c r="C52" s="63" t="s">
        <v>174</v>
      </c>
      <c r="D52" s="26">
        <v>24</v>
      </c>
      <c r="E52" s="25">
        <v>1.7910447761194031E-2</v>
      </c>
    </row>
    <row r="53" spans="2:5" ht="13.5">
      <c r="B53" s="94"/>
      <c r="C53" s="70" t="s">
        <v>23</v>
      </c>
      <c r="D53" s="71">
        <v>76</v>
      </c>
      <c r="E53" s="72">
        <v>5.6716417910447764E-2</v>
      </c>
    </row>
    <row r="54" spans="2:5" ht="13.5">
      <c r="B54" s="92" t="s">
        <v>168</v>
      </c>
      <c r="C54" s="63" t="s">
        <v>175</v>
      </c>
      <c r="D54" s="26">
        <v>16</v>
      </c>
      <c r="E54" s="25">
        <v>1.1940298507462687E-2</v>
      </c>
    </row>
    <row r="55" spans="2:5" ht="13.5">
      <c r="B55" s="93"/>
      <c r="C55" s="63" t="s">
        <v>174</v>
      </c>
      <c r="D55" s="26">
        <v>12</v>
      </c>
      <c r="E55" s="25">
        <v>8.9552238805970154E-3</v>
      </c>
    </row>
    <row r="56" spans="2:5" ht="13.5">
      <c r="B56" s="94"/>
      <c r="C56" s="70" t="s">
        <v>23</v>
      </c>
      <c r="D56" s="71">
        <v>28</v>
      </c>
      <c r="E56" s="72">
        <v>2.0895522388059702E-2</v>
      </c>
    </row>
    <row r="57" spans="2:5" ht="13.5">
      <c r="B57" s="92" t="s">
        <v>96</v>
      </c>
      <c r="C57" s="63" t="s">
        <v>175</v>
      </c>
      <c r="D57" s="26">
        <v>27</v>
      </c>
      <c r="E57" s="25">
        <v>2.0149253731343283E-2</v>
      </c>
    </row>
    <row r="58" spans="2:5" ht="13.5">
      <c r="B58" s="93"/>
      <c r="C58" s="63" t="s">
        <v>174</v>
      </c>
      <c r="D58" s="26">
        <v>12</v>
      </c>
      <c r="E58" s="25">
        <v>8.9552238805970154E-3</v>
      </c>
    </row>
    <row r="59" spans="2:5" ht="13.5">
      <c r="B59" s="94"/>
      <c r="C59" s="70" t="s">
        <v>23</v>
      </c>
      <c r="D59" s="71">
        <v>39</v>
      </c>
      <c r="E59" s="72">
        <v>2.9104477611940297E-2</v>
      </c>
    </row>
    <row r="60" spans="2:5" ht="13.5">
      <c r="B60" s="92" t="s">
        <v>80</v>
      </c>
      <c r="C60" s="63" t="s">
        <v>175</v>
      </c>
      <c r="D60" s="26">
        <v>4</v>
      </c>
      <c r="E60" s="25">
        <v>2.9850746268656717E-3</v>
      </c>
    </row>
    <row r="61" spans="2:5" ht="13.5">
      <c r="B61" s="93"/>
      <c r="C61" s="63" t="s">
        <v>174</v>
      </c>
      <c r="D61" s="26">
        <v>3</v>
      </c>
      <c r="E61" s="25">
        <v>2.2388059701492539E-3</v>
      </c>
    </row>
    <row r="62" spans="2:5" ht="13.5">
      <c r="B62" s="94"/>
      <c r="C62" s="70" t="s">
        <v>23</v>
      </c>
      <c r="D62" s="71">
        <v>7</v>
      </c>
      <c r="E62" s="72">
        <v>5.2238805970149255E-3</v>
      </c>
    </row>
    <row r="63" spans="2:5" ht="13.5">
      <c r="B63" s="92" t="s">
        <v>103</v>
      </c>
      <c r="C63" s="63" t="s">
        <v>175</v>
      </c>
      <c r="D63" s="26">
        <v>17</v>
      </c>
      <c r="E63" s="25">
        <v>1.2686567164179104E-2</v>
      </c>
    </row>
    <row r="64" spans="2:5" ht="13.5">
      <c r="B64" s="93"/>
      <c r="C64" s="63" t="s">
        <v>174</v>
      </c>
      <c r="D64" s="26">
        <v>5</v>
      </c>
      <c r="E64" s="25">
        <v>3.7313432835820895E-3</v>
      </c>
    </row>
    <row r="65" spans="2:5" ht="13.5">
      <c r="B65" s="94"/>
      <c r="C65" s="70" t="s">
        <v>23</v>
      </c>
      <c r="D65" s="71">
        <v>22</v>
      </c>
      <c r="E65" s="72">
        <v>1.6417910447761194E-2</v>
      </c>
    </row>
    <row r="66" spans="2:5" ht="13.5">
      <c r="B66" s="92" t="s">
        <v>107</v>
      </c>
      <c r="C66" s="63" t="s">
        <v>175</v>
      </c>
      <c r="D66" s="26">
        <v>37</v>
      </c>
      <c r="E66" s="25">
        <v>2.7611940298507463E-2</v>
      </c>
    </row>
    <row r="67" spans="2:5" ht="13.5">
      <c r="B67" s="93"/>
      <c r="C67" s="63" t="s">
        <v>174</v>
      </c>
      <c r="D67" s="26">
        <v>19</v>
      </c>
      <c r="E67" s="25">
        <v>1.4179104477611941E-2</v>
      </c>
    </row>
    <row r="68" spans="2:5" ht="13.5">
      <c r="B68" s="94"/>
      <c r="C68" s="70" t="s">
        <v>23</v>
      </c>
      <c r="D68" s="71">
        <v>56</v>
      </c>
      <c r="E68" s="72">
        <v>4.1791044776119404E-2</v>
      </c>
    </row>
    <row r="69" spans="2:5" ht="13.5">
      <c r="B69" s="92" t="s">
        <v>167</v>
      </c>
      <c r="C69" s="63" t="s">
        <v>175</v>
      </c>
      <c r="D69" s="26">
        <v>44</v>
      </c>
      <c r="E69" s="25">
        <v>3.2835820895522387E-2</v>
      </c>
    </row>
    <row r="70" spans="2:5" ht="13.5">
      <c r="B70" s="93"/>
      <c r="C70" s="63" t="s">
        <v>174</v>
      </c>
      <c r="D70" s="26">
        <v>16</v>
      </c>
      <c r="E70" s="25">
        <v>1.1940298507462687E-2</v>
      </c>
    </row>
    <row r="71" spans="2:5" ht="13.5">
      <c r="B71" s="94"/>
      <c r="C71" s="70" t="s">
        <v>23</v>
      </c>
      <c r="D71" s="71">
        <v>60</v>
      </c>
      <c r="E71" s="72">
        <v>4.4776119402985072E-2</v>
      </c>
    </row>
    <row r="72" spans="2:5" ht="13.5">
      <c r="B72" s="92" t="s">
        <v>166</v>
      </c>
      <c r="C72" s="63" t="s">
        <v>175</v>
      </c>
      <c r="D72" s="26">
        <v>7</v>
      </c>
      <c r="E72" s="25">
        <v>5.2238805970149255E-3</v>
      </c>
    </row>
    <row r="73" spans="2:5" ht="13.5">
      <c r="B73" s="93"/>
      <c r="C73" s="63" t="s">
        <v>174</v>
      </c>
      <c r="D73" s="26">
        <v>9</v>
      </c>
      <c r="E73" s="25">
        <v>6.7164179104477612E-3</v>
      </c>
    </row>
    <row r="74" spans="2:5" ht="13.5">
      <c r="B74" s="94"/>
      <c r="C74" s="70" t="s">
        <v>23</v>
      </c>
      <c r="D74" s="71">
        <v>16</v>
      </c>
      <c r="E74" s="72">
        <v>1.1940298507462687E-2</v>
      </c>
    </row>
    <row r="75" spans="2:5" ht="13.5">
      <c r="B75" s="92" t="s">
        <v>93</v>
      </c>
      <c r="C75" s="63" t="s">
        <v>175</v>
      </c>
      <c r="D75" s="26">
        <v>18</v>
      </c>
      <c r="E75" s="25">
        <v>1.3432835820895522E-2</v>
      </c>
    </row>
    <row r="76" spans="2:5" ht="13.5">
      <c r="B76" s="93"/>
      <c r="C76" s="63" t="s">
        <v>174</v>
      </c>
      <c r="D76" s="26">
        <v>9</v>
      </c>
      <c r="E76" s="25">
        <v>6.7164179104477612E-3</v>
      </c>
    </row>
    <row r="77" spans="2:5" ht="13.5">
      <c r="B77" s="94"/>
      <c r="C77" s="70" t="s">
        <v>23</v>
      </c>
      <c r="D77" s="71">
        <v>27</v>
      </c>
      <c r="E77" s="72">
        <v>2.0149253731343283E-2</v>
      </c>
    </row>
    <row r="78" spans="2:5" ht="13.5">
      <c r="B78" s="92" t="s">
        <v>92</v>
      </c>
      <c r="C78" s="63" t="s">
        <v>175</v>
      </c>
      <c r="D78" s="26">
        <v>6</v>
      </c>
      <c r="E78" s="25">
        <v>4.4776119402985077E-3</v>
      </c>
    </row>
    <row r="79" spans="2:5" ht="13.5">
      <c r="B79" s="93"/>
      <c r="C79" s="63" t="s">
        <v>174</v>
      </c>
      <c r="D79" s="26">
        <v>6</v>
      </c>
      <c r="E79" s="25">
        <v>4.4776119402985077E-3</v>
      </c>
    </row>
    <row r="80" spans="2:5" ht="13.5">
      <c r="B80" s="94"/>
      <c r="C80" s="70" t="s">
        <v>23</v>
      </c>
      <c r="D80" s="71">
        <v>12</v>
      </c>
      <c r="E80" s="72">
        <v>8.9552238805970154E-3</v>
      </c>
    </row>
    <row r="81" spans="2:5" ht="13.5">
      <c r="B81" s="92" t="s">
        <v>85</v>
      </c>
      <c r="C81" s="63" t="s">
        <v>175</v>
      </c>
      <c r="D81" s="26">
        <v>23</v>
      </c>
      <c r="E81" s="25">
        <v>1.7164179104477612E-2</v>
      </c>
    </row>
    <row r="82" spans="2:5" ht="13.5">
      <c r="B82" s="93"/>
      <c r="C82" s="63" t="s">
        <v>174</v>
      </c>
      <c r="D82" s="26">
        <v>8</v>
      </c>
      <c r="E82" s="25">
        <v>5.9701492537313433E-3</v>
      </c>
    </row>
    <row r="83" spans="2:5" ht="13.5">
      <c r="B83" s="94"/>
      <c r="C83" s="70" t="s">
        <v>23</v>
      </c>
      <c r="D83" s="71">
        <v>31</v>
      </c>
      <c r="E83" s="72">
        <v>2.3134328358208955E-2</v>
      </c>
    </row>
    <row r="84" spans="2:5" ht="13.5">
      <c r="B84" s="92" t="s">
        <v>114</v>
      </c>
      <c r="C84" s="63" t="s">
        <v>175</v>
      </c>
      <c r="D84" s="26">
        <v>14</v>
      </c>
      <c r="E84" s="25">
        <v>1.0447761194029851E-2</v>
      </c>
    </row>
    <row r="85" spans="2:5" ht="13.5">
      <c r="B85" s="93"/>
      <c r="C85" s="63" t="s">
        <v>174</v>
      </c>
      <c r="D85" s="26">
        <v>5</v>
      </c>
      <c r="E85" s="25">
        <v>3.7313432835820895E-3</v>
      </c>
    </row>
    <row r="86" spans="2:5" ht="13.5">
      <c r="B86" s="94"/>
      <c r="C86" s="70" t="s">
        <v>23</v>
      </c>
      <c r="D86" s="71">
        <v>19</v>
      </c>
      <c r="E86" s="72">
        <v>1.4179104477611941E-2</v>
      </c>
    </row>
    <row r="87" spans="2:5" ht="13.5">
      <c r="B87" s="92" t="s">
        <v>87</v>
      </c>
      <c r="C87" s="63" t="s">
        <v>175</v>
      </c>
      <c r="D87" s="26">
        <v>56</v>
      </c>
      <c r="E87" s="25">
        <v>4.1791044776119404E-2</v>
      </c>
    </row>
    <row r="88" spans="2:5" ht="13.5">
      <c r="B88" s="93"/>
      <c r="C88" s="63" t="s">
        <v>174</v>
      </c>
      <c r="D88" s="26">
        <v>41</v>
      </c>
      <c r="E88" s="25">
        <v>3.0597014925373135E-2</v>
      </c>
    </row>
    <row r="89" spans="2:5" ht="13.5">
      <c r="B89" s="94"/>
      <c r="C89" s="70" t="s">
        <v>23</v>
      </c>
      <c r="D89" s="71">
        <v>97</v>
      </c>
      <c r="E89" s="72">
        <v>7.2388059701492535E-2</v>
      </c>
    </row>
    <row r="90" spans="2:5" ht="13.5">
      <c r="B90" s="92" t="s">
        <v>106</v>
      </c>
      <c r="C90" s="63" t="s">
        <v>175</v>
      </c>
      <c r="D90" s="26">
        <v>55</v>
      </c>
      <c r="E90" s="25">
        <v>4.1044776119402986E-2</v>
      </c>
    </row>
    <row r="91" spans="2:5" ht="13.5">
      <c r="B91" s="93"/>
      <c r="C91" s="63" t="s">
        <v>174</v>
      </c>
      <c r="D91" s="26">
        <v>20</v>
      </c>
      <c r="E91" s="25">
        <v>1.4925373134328358E-2</v>
      </c>
    </row>
    <row r="92" spans="2:5" ht="13.5">
      <c r="B92" s="94"/>
      <c r="C92" s="70" t="s">
        <v>23</v>
      </c>
      <c r="D92" s="71">
        <v>75</v>
      </c>
      <c r="E92" s="72">
        <v>5.5970149253731345E-2</v>
      </c>
    </row>
    <row r="93" spans="2:5" ht="13.5">
      <c r="B93" s="92" t="s">
        <v>102</v>
      </c>
      <c r="C93" s="63" t="s">
        <v>175</v>
      </c>
      <c r="D93" s="26">
        <v>11</v>
      </c>
      <c r="E93" s="25">
        <v>8.2089552238805968E-3</v>
      </c>
    </row>
    <row r="94" spans="2:5" ht="13.5">
      <c r="B94" s="93"/>
      <c r="C94" s="63" t="s">
        <v>174</v>
      </c>
      <c r="D94" s="26">
        <v>9</v>
      </c>
      <c r="E94" s="25">
        <v>6.7164179104477612E-3</v>
      </c>
    </row>
    <row r="95" spans="2:5" ht="13.5">
      <c r="B95" s="94"/>
      <c r="C95" s="70" t="s">
        <v>23</v>
      </c>
      <c r="D95" s="71">
        <v>20</v>
      </c>
      <c r="E95" s="72">
        <v>1.4925373134328358E-2</v>
      </c>
    </row>
    <row r="96" spans="2:5" ht="13.5">
      <c r="B96" s="92" t="s">
        <v>90</v>
      </c>
      <c r="C96" s="63" t="s">
        <v>175</v>
      </c>
      <c r="D96" s="26">
        <v>4</v>
      </c>
      <c r="E96" s="25">
        <v>2.9850746268656717E-3</v>
      </c>
    </row>
    <row r="97" spans="2:5" ht="13.5">
      <c r="B97" s="93"/>
      <c r="C97" s="63" t="s">
        <v>174</v>
      </c>
      <c r="D97" s="26">
        <v>2</v>
      </c>
      <c r="E97" s="25">
        <v>1.4925373134328358E-3</v>
      </c>
    </row>
    <row r="98" spans="2:5" ht="13.5">
      <c r="B98" s="94"/>
      <c r="C98" s="70" t="s">
        <v>23</v>
      </c>
      <c r="D98" s="71">
        <v>6</v>
      </c>
      <c r="E98" s="72">
        <v>4.4776119402985077E-3</v>
      </c>
    </row>
    <row r="99" spans="2:5" ht="13.5">
      <c r="B99" s="92" t="s">
        <v>94</v>
      </c>
      <c r="C99" s="63" t="s">
        <v>175</v>
      </c>
      <c r="D99" s="26">
        <v>10</v>
      </c>
      <c r="E99" s="25">
        <v>7.462686567164179E-3</v>
      </c>
    </row>
    <row r="100" spans="2:5" ht="13.5">
      <c r="B100" s="93"/>
      <c r="C100" s="63" t="s">
        <v>174</v>
      </c>
      <c r="D100" s="26">
        <v>3</v>
      </c>
      <c r="E100" s="25">
        <v>2.2388059701492539E-3</v>
      </c>
    </row>
    <row r="101" spans="2:5" ht="13.5">
      <c r="B101" s="94"/>
      <c r="C101" s="70" t="s">
        <v>23</v>
      </c>
      <c r="D101" s="71">
        <v>13</v>
      </c>
      <c r="E101" s="72">
        <v>9.7014925373134324E-3</v>
      </c>
    </row>
    <row r="102" spans="2:5" ht="13.5">
      <c r="B102" s="92" t="s">
        <v>78</v>
      </c>
      <c r="C102" s="63" t="s">
        <v>174</v>
      </c>
      <c r="D102" s="26">
        <v>1</v>
      </c>
      <c r="E102" s="25">
        <v>7.4626865671641792E-4</v>
      </c>
    </row>
    <row r="103" spans="2:5" ht="13.5">
      <c r="B103" s="94"/>
      <c r="C103" s="70" t="s">
        <v>23</v>
      </c>
      <c r="D103" s="71">
        <v>1</v>
      </c>
      <c r="E103" s="72">
        <v>7.4626865671641792E-4</v>
      </c>
    </row>
    <row r="104" spans="2:5" ht="13.5">
      <c r="B104" s="92" t="s">
        <v>112</v>
      </c>
      <c r="C104" s="63" t="s">
        <v>175</v>
      </c>
      <c r="D104" s="26">
        <v>34</v>
      </c>
      <c r="E104" s="25">
        <v>2.5373134328358207E-2</v>
      </c>
    </row>
    <row r="105" spans="2:5" ht="13.5">
      <c r="B105" s="93"/>
      <c r="C105" s="63" t="s">
        <v>174</v>
      </c>
      <c r="D105" s="26">
        <v>20</v>
      </c>
      <c r="E105" s="25">
        <v>1.4925373134328358E-2</v>
      </c>
    </row>
    <row r="106" spans="2:5" ht="13.5">
      <c r="B106" s="94"/>
      <c r="C106" s="70" t="s">
        <v>23</v>
      </c>
      <c r="D106" s="71">
        <v>54</v>
      </c>
      <c r="E106" s="72">
        <v>4.0298507462686567E-2</v>
      </c>
    </row>
    <row r="107" spans="2:5" ht="13.5">
      <c r="B107" s="92" t="s">
        <v>104</v>
      </c>
      <c r="C107" s="63" t="s">
        <v>175</v>
      </c>
      <c r="D107" s="26">
        <v>29</v>
      </c>
      <c r="E107" s="25">
        <v>2.1641791044776121E-2</v>
      </c>
    </row>
    <row r="108" spans="2:5" ht="13.5">
      <c r="B108" s="93"/>
      <c r="C108" s="63" t="s">
        <v>174</v>
      </c>
      <c r="D108" s="26">
        <v>7</v>
      </c>
      <c r="E108" s="25">
        <v>5.2238805970149255E-3</v>
      </c>
    </row>
    <row r="109" spans="2:5" ht="13.5">
      <c r="B109" s="94"/>
      <c r="C109" s="70" t="s">
        <v>23</v>
      </c>
      <c r="D109" s="71">
        <v>36</v>
      </c>
      <c r="E109" s="72">
        <v>2.6865671641791045E-2</v>
      </c>
    </row>
    <row r="110" spans="2:5" ht="13.5">
      <c r="B110" s="92" t="s">
        <v>89</v>
      </c>
      <c r="C110" s="63" t="s">
        <v>175</v>
      </c>
      <c r="D110" s="26">
        <v>13</v>
      </c>
      <c r="E110" s="25">
        <v>9.7014925373134324E-3</v>
      </c>
    </row>
    <row r="111" spans="2:5" ht="13.5">
      <c r="B111" s="93"/>
      <c r="C111" s="63" t="s">
        <v>174</v>
      </c>
      <c r="D111" s="26">
        <v>3</v>
      </c>
      <c r="E111" s="25">
        <v>2.2388059701492539E-3</v>
      </c>
    </row>
    <row r="112" spans="2:5" ht="13.5">
      <c r="B112" s="94"/>
      <c r="C112" s="70" t="s">
        <v>23</v>
      </c>
      <c r="D112" s="71">
        <v>16</v>
      </c>
      <c r="E112" s="72">
        <v>1.1940298507462687E-2</v>
      </c>
    </row>
    <row r="113" spans="2:5" ht="13.5">
      <c r="B113" s="92" t="s">
        <v>91</v>
      </c>
      <c r="C113" s="63" t="s">
        <v>175</v>
      </c>
      <c r="D113" s="26">
        <v>4</v>
      </c>
      <c r="E113" s="25">
        <v>2.9850746268656717E-3</v>
      </c>
    </row>
    <row r="114" spans="2:5" ht="13.5">
      <c r="B114" s="93"/>
      <c r="C114" s="63" t="s">
        <v>174</v>
      </c>
      <c r="D114" s="26">
        <v>1</v>
      </c>
      <c r="E114" s="25">
        <v>7.4626865671641792E-4</v>
      </c>
    </row>
    <row r="115" spans="2:5" ht="13.5">
      <c r="B115" s="94"/>
      <c r="C115" s="70" t="s">
        <v>23</v>
      </c>
      <c r="D115" s="71">
        <v>5</v>
      </c>
      <c r="E115" s="72">
        <v>3.7313432835820895E-3</v>
      </c>
    </row>
    <row r="116" spans="2:5" ht="13.5">
      <c r="B116" s="92" t="s">
        <v>99</v>
      </c>
      <c r="C116" s="63" t="s">
        <v>175</v>
      </c>
      <c r="D116" s="26">
        <v>28</v>
      </c>
      <c r="E116" s="25">
        <v>2.0895522388059702E-2</v>
      </c>
    </row>
    <row r="117" spans="2:5" ht="13.5">
      <c r="B117" s="93"/>
      <c r="C117" s="63" t="s">
        <v>174</v>
      </c>
      <c r="D117" s="26">
        <v>12</v>
      </c>
      <c r="E117" s="25">
        <v>8.9552238805970154E-3</v>
      </c>
    </row>
    <row r="118" spans="2:5" ht="13.5">
      <c r="B118" s="94"/>
      <c r="C118" s="70" t="s">
        <v>23</v>
      </c>
      <c r="D118" s="71">
        <v>40</v>
      </c>
      <c r="E118" s="72">
        <v>2.9850746268656716E-2</v>
      </c>
    </row>
    <row r="119" spans="2:5" ht="13.5">
      <c r="B119" s="92" t="s">
        <v>111</v>
      </c>
      <c r="C119" s="63" t="s">
        <v>175</v>
      </c>
      <c r="D119" s="26">
        <v>14</v>
      </c>
      <c r="E119" s="25">
        <v>1.0447761194029851E-2</v>
      </c>
    </row>
    <row r="120" spans="2:5" ht="13.5">
      <c r="B120" s="93"/>
      <c r="C120" s="63" t="s">
        <v>174</v>
      </c>
      <c r="D120" s="26">
        <v>6</v>
      </c>
      <c r="E120" s="25">
        <v>4.4776119402985077E-3</v>
      </c>
    </row>
    <row r="121" spans="2:5" ht="13.5">
      <c r="B121" s="94"/>
      <c r="C121" s="70" t="s">
        <v>23</v>
      </c>
      <c r="D121" s="71">
        <v>20</v>
      </c>
      <c r="E121" s="72">
        <v>1.4925373134328358E-2</v>
      </c>
    </row>
    <row r="122" spans="2:5" ht="13.5">
      <c r="B122" s="92" t="s">
        <v>95</v>
      </c>
      <c r="C122" s="63" t="s">
        <v>175</v>
      </c>
      <c r="D122" s="26">
        <v>3</v>
      </c>
      <c r="E122" s="25">
        <v>2.2388059701492539E-3</v>
      </c>
    </row>
    <row r="123" spans="2:5" ht="13.5">
      <c r="B123" s="93"/>
      <c r="C123" s="63" t="s">
        <v>174</v>
      </c>
      <c r="D123" s="26">
        <v>3</v>
      </c>
      <c r="E123" s="25">
        <v>2.2388059701492539E-3</v>
      </c>
    </row>
    <row r="124" spans="2:5" ht="13.5">
      <c r="B124" s="94"/>
      <c r="C124" s="70" t="s">
        <v>23</v>
      </c>
      <c r="D124" s="71">
        <v>6</v>
      </c>
      <c r="E124" s="72">
        <v>4.4776119402985077E-3</v>
      </c>
    </row>
    <row r="125" spans="2:5" ht="13.5">
      <c r="B125" s="92" t="s">
        <v>108</v>
      </c>
      <c r="C125" s="63" t="s">
        <v>175</v>
      </c>
      <c r="D125" s="26">
        <v>40</v>
      </c>
      <c r="E125" s="25">
        <v>2.9850746268656716E-2</v>
      </c>
    </row>
    <row r="126" spans="2:5" ht="13.5">
      <c r="B126" s="93"/>
      <c r="C126" s="63" t="s">
        <v>174</v>
      </c>
      <c r="D126" s="26">
        <v>11</v>
      </c>
      <c r="E126" s="25">
        <v>8.2089552238805968E-3</v>
      </c>
    </row>
    <row r="127" spans="2:5" ht="13.5">
      <c r="B127" s="94"/>
      <c r="C127" s="70" t="s">
        <v>23</v>
      </c>
      <c r="D127" s="71">
        <v>51</v>
      </c>
      <c r="E127" s="72">
        <v>3.8059701492537311E-2</v>
      </c>
    </row>
    <row r="128" spans="2:5" ht="13.5">
      <c r="B128" s="92" t="s">
        <v>164</v>
      </c>
      <c r="C128" s="63" t="s">
        <v>175</v>
      </c>
      <c r="D128" s="26">
        <v>42</v>
      </c>
      <c r="E128" s="25">
        <v>3.134328358208955E-2</v>
      </c>
    </row>
    <row r="129" spans="2:5" ht="13.5">
      <c r="B129" s="93"/>
      <c r="C129" s="63" t="s">
        <v>174</v>
      </c>
      <c r="D129" s="26">
        <v>15</v>
      </c>
      <c r="E129" s="25">
        <v>1.1194029850746268E-2</v>
      </c>
    </row>
    <row r="130" spans="2:5" ht="13.5">
      <c r="B130" s="94"/>
      <c r="C130" s="70" t="s">
        <v>23</v>
      </c>
      <c r="D130" s="71">
        <v>57</v>
      </c>
      <c r="E130" s="72">
        <v>4.2537313432835823E-2</v>
      </c>
    </row>
    <row r="131" spans="2:5" ht="13.5">
      <c r="B131" s="92" t="s">
        <v>110</v>
      </c>
      <c r="C131" s="63" t="s">
        <v>175</v>
      </c>
      <c r="D131" s="26">
        <v>13</v>
      </c>
      <c r="E131" s="25">
        <v>9.7014925373134324E-3</v>
      </c>
    </row>
    <row r="132" spans="2:5" ht="13.5">
      <c r="B132" s="93"/>
      <c r="C132" s="63" t="s">
        <v>174</v>
      </c>
      <c r="D132" s="26">
        <v>8</v>
      </c>
      <c r="E132" s="25">
        <v>5.9701492537313433E-3</v>
      </c>
    </row>
    <row r="133" spans="2:5" ht="13.5">
      <c r="B133" s="94"/>
      <c r="C133" s="70" t="s">
        <v>23</v>
      </c>
      <c r="D133" s="71">
        <v>21</v>
      </c>
      <c r="E133" s="72">
        <v>1.5671641791044775E-2</v>
      </c>
    </row>
    <row r="134" spans="2:5" ht="13.5">
      <c r="B134" s="92" t="s">
        <v>88</v>
      </c>
      <c r="C134" s="63" t="s">
        <v>175</v>
      </c>
      <c r="D134" s="26">
        <v>9</v>
      </c>
      <c r="E134" s="25">
        <v>6.7164179104477612E-3</v>
      </c>
    </row>
    <row r="135" spans="2:5" ht="13.5">
      <c r="B135" s="93"/>
      <c r="C135" s="63" t="s">
        <v>174</v>
      </c>
      <c r="D135" s="26">
        <v>2</v>
      </c>
      <c r="E135" s="25">
        <v>1.4925373134328358E-3</v>
      </c>
    </row>
    <row r="136" spans="2:5" ht="13.5">
      <c r="B136" s="94"/>
      <c r="C136" s="70" t="s">
        <v>23</v>
      </c>
      <c r="D136" s="71">
        <v>11</v>
      </c>
      <c r="E136" s="72">
        <v>8.2089552238805968E-3</v>
      </c>
    </row>
    <row r="137" spans="2:5" ht="13.5">
      <c r="B137" s="92" t="s">
        <v>45</v>
      </c>
      <c r="C137" s="63" t="s">
        <v>175</v>
      </c>
      <c r="D137" s="26">
        <v>21</v>
      </c>
      <c r="E137" s="25">
        <v>1.5671641791044775E-2</v>
      </c>
    </row>
    <row r="138" spans="2:5" ht="13.5">
      <c r="B138" s="93"/>
      <c r="C138" s="63" t="s">
        <v>174</v>
      </c>
      <c r="D138" s="26">
        <v>8</v>
      </c>
      <c r="E138" s="25">
        <v>5.9701492537313433E-3</v>
      </c>
    </row>
    <row r="139" spans="2:5" ht="13.5">
      <c r="B139" s="94"/>
      <c r="C139" s="70" t="s">
        <v>23</v>
      </c>
      <c r="D139" s="71">
        <v>29</v>
      </c>
      <c r="E139" s="72">
        <v>2.1641791044776121E-2</v>
      </c>
    </row>
    <row r="140" spans="2:5" ht="13.5">
      <c r="B140" s="92" t="s">
        <v>76</v>
      </c>
      <c r="C140" s="63" t="s">
        <v>175</v>
      </c>
      <c r="D140" s="26">
        <v>1</v>
      </c>
      <c r="E140" s="25">
        <v>7.4626865671641792E-4</v>
      </c>
    </row>
    <row r="141" spans="2:5" ht="13.5">
      <c r="B141" s="93"/>
      <c r="C141" s="63" t="s">
        <v>174</v>
      </c>
      <c r="D141" s="26">
        <v>1</v>
      </c>
      <c r="E141" s="25">
        <v>7.4626865671641792E-4</v>
      </c>
    </row>
    <row r="142" spans="2:5" ht="13.5">
      <c r="B142" s="94"/>
      <c r="C142" s="70" t="s">
        <v>23</v>
      </c>
      <c r="D142" s="71">
        <v>2</v>
      </c>
      <c r="E142" s="72">
        <v>1.4925373134328358E-3</v>
      </c>
    </row>
    <row r="143" spans="2:5" ht="13.5">
      <c r="B143" s="97" t="s">
        <v>169</v>
      </c>
      <c r="C143" s="98"/>
      <c r="D143" s="23">
        <v>1340</v>
      </c>
      <c r="E143" s="22">
        <v>1</v>
      </c>
    </row>
    <row r="145" spans="2:2">
      <c r="B145" s="19" t="s">
        <v>22</v>
      </c>
    </row>
    <row r="146" spans="2:2">
      <c r="B146" s="21" t="s">
        <v>21</v>
      </c>
    </row>
    <row r="147" spans="2:2">
      <c r="B147" s="20" t="s">
        <v>20</v>
      </c>
    </row>
    <row r="148" spans="2:2">
      <c r="B148" s="19" t="s">
        <v>19</v>
      </c>
    </row>
    <row r="149" spans="2:2">
      <c r="B149" s="19" t="s">
        <v>18</v>
      </c>
    </row>
  </sheetData>
  <mergeCells count="46">
    <mergeCell ref="B134:B136"/>
    <mergeCell ref="B137:B139"/>
    <mergeCell ref="B140:B142"/>
    <mergeCell ref="B143:C143"/>
    <mergeCell ref="B116:B118"/>
    <mergeCell ref="B119:B121"/>
    <mergeCell ref="B122:B124"/>
    <mergeCell ref="B125:B127"/>
    <mergeCell ref="B128:B130"/>
    <mergeCell ref="B131:B133"/>
    <mergeCell ref="B113:B115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96:B98"/>
    <mergeCell ref="B99:B101"/>
    <mergeCell ref="B102:B103"/>
    <mergeCell ref="B104:B106"/>
    <mergeCell ref="B107:B109"/>
    <mergeCell ref="B110:B112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8:E10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59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2"/>
  <sheetViews>
    <sheetView showGridLines="0" topLeftCell="A4" zoomScale="93" zoomScaleNormal="93" zoomScaleSheetLayoutView="100" workbookViewId="0">
      <selection activeCell="J17" sqref="J17"/>
    </sheetView>
  </sheetViews>
  <sheetFormatPr baseColWidth="10" defaultColWidth="11.42578125" defaultRowHeight="11.25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>
      <c r="B1" s="53"/>
      <c r="C1" s="50"/>
    </row>
    <row r="2" spans="1:7" s="50" customFormat="1">
      <c r="B2" s="68"/>
    </row>
    <row r="3" spans="1:7" ht="15" customHeight="1">
      <c r="B3" s="69"/>
      <c r="C3" s="35"/>
      <c r="D3" s="29"/>
      <c r="E3" s="29"/>
      <c r="G3" s="50"/>
    </row>
    <row r="4" spans="1:7" ht="30" customHeight="1">
      <c r="B4" s="69"/>
      <c r="C4" s="35"/>
      <c r="D4" s="29"/>
      <c r="E4" s="29"/>
      <c r="G4" s="50"/>
    </row>
    <row r="5" spans="1:7" ht="15" customHeight="1">
      <c r="B5" s="69"/>
      <c r="C5" s="35"/>
      <c r="D5" s="29"/>
      <c r="E5" s="29"/>
      <c r="G5" s="50"/>
    </row>
    <row r="6" spans="1:7" s="50" customFormat="1">
      <c r="B6" s="57"/>
      <c r="C6" s="46"/>
    </row>
    <row r="7" spans="1:7" s="50" customFormat="1">
      <c r="A7" s="53"/>
      <c r="B7" s="68"/>
      <c r="C7" s="53"/>
    </row>
    <row r="8" spans="1:7" s="64" customFormat="1" ht="15" customHeight="1">
      <c r="B8" s="95" t="s">
        <v>188</v>
      </c>
      <c r="C8" s="95"/>
      <c r="D8" s="95"/>
      <c r="E8" s="95"/>
      <c r="F8" s="95"/>
    </row>
    <row r="9" spans="1:7" s="64" customFormat="1" ht="15" customHeight="1">
      <c r="A9" s="66"/>
      <c r="B9" s="95"/>
      <c r="C9" s="95"/>
      <c r="D9" s="95"/>
      <c r="E9" s="95"/>
      <c r="F9" s="95"/>
      <c r="G9" s="67"/>
    </row>
    <row r="10" spans="1:7" s="64" customFormat="1" ht="15" customHeight="1">
      <c r="A10" s="66"/>
      <c r="B10" s="96"/>
      <c r="C10" s="96"/>
      <c r="D10" s="96"/>
      <c r="E10" s="96"/>
      <c r="F10" s="96"/>
      <c r="G10" s="66"/>
    </row>
    <row r="11" spans="1:7" s="64" customFormat="1" ht="36.950000000000003" customHeight="1">
      <c r="B11" s="65" t="s">
        <v>172</v>
      </c>
      <c r="C11" s="65" t="s">
        <v>187</v>
      </c>
      <c r="D11" s="65" t="s">
        <v>67</v>
      </c>
      <c r="E11" s="65" t="s">
        <v>186</v>
      </c>
      <c r="F11" s="65" t="s">
        <v>185</v>
      </c>
    </row>
    <row r="12" spans="1:7" ht="15" customHeight="1">
      <c r="B12" s="92" t="s">
        <v>175</v>
      </c>
      <c r="C12" s="63" t="s">
        <v>184</v>
      </c>
      <c r="D12" s="26">
        <v>2</v>
      </c>
      <c r="E12" s="73">
        <v>2.1834061135371178E-3</v>
      </c>
      <c r="F12" s="25">
        <f t="shared" ref="F12:F26" si="0">D12/$D$26</f>
        <v>1.4925373134328358E-3</v>
      </c>
    </row>
    <row r="13" spans="1:7" ht="15" customHeight="1">
      <c r="B13" s="93"/>
      <c r="C13" s="63" t="s">
        <v>183</v>
      </c>
      <c r="D13" s="26">
        <v>4</v>
      </c>
      <c r="E13" s="73">
        <v>4.3668122270742356E-3</v>
      </c>
      <c r="F13" s="25">
        <f t="shared" si="0"/>
        <v>2.9850746268656717E-3</v>
      </c>
    </row>
    <row r="14" spans="1:7" ht="15" customHeight="1">
      <c r="B14" s="93"/>
      <c r="C14" s="63" t="s">
        <v>182</v>
      </c>
      <c r="D14" s="26">
        <v>215</v>
      </c>
      <c r="E14" s="73">
        <v>0.23471615720524017</v>
      </c>
      <c r="F14" s="25">
        <f t="shared" si="0"/>
        <v>0.16044776119402984</v>
      </c>
    </row>
    <row r="15" spans="1:7" ht="15" customHeight="1">
      <c r="B15" s="93"/>
      <c r="C15" s="63" t="s">
        <v>181</v>
      </c>
      <c r="D15" s="26">
        <v>413</v>
      </c>
      <c r="E15" s="73">
        <v>0.45087336244541487</v>
      </c>
      <c r="F15" s="25">
        <f t="shared" si="0"/>
        <v>0.30820895522388059</v>
      </c>
    </row>
    <row r="16" spans="1:7" ht="15" customHeight="1">
      <c r="B16" s="93"/>
      <c r="C16" s="63" t="s">
        <v>180</v>
      </c>
      <c r="D16" s="26">
        <v>225</v>
      </c>
      <c r="E16" s="73">
        <v>0.24563318777292575</v>
      </c>
      <c r="F16" s="25">
        <f t="shared" si="0"/>
        <v>0.16791044776119404</v>
      </c>
    </row>
    <row r="17" spans="1:7" s="50" customFormat="1" ht="15" customHeight="1">
      <c r="A17" s="29"/>
      <c r="B17" s="94"/>
      <c r="C17" s="63" t="s">
        <v>179</v>
      </c>
      <c r="D17" s="26">
        <v>57</v>
      </c>
      <c r="E17" s="73">
        <v>6.222707423580786E-2</v>
      </c>
      <c r="F17" s="25">
        <f t="shared" si="0"/>
        <v>4.2537313432835823E-2</v>
      </c>
      <c r="G17" s="29"/>
    </row>
    <row r="18" spans="1:7" s="50" customFormat="1" ht="15" customHeight="1">
      <c r="A18" s="29"/>
      <c r="B18" s="92" t="s">
        <v>174</v>
      </c>
      <c r="C18" s="63" t="s">
        <v>184</v>
      </c>
      <c r="D18" s="26">
        <v>2</v>
      </c>
      <c r="E18" s="74">
        <v>4.7169811320754715E-3</v>
      </c>
      <c r="F18" s="25">
        <f t="shared" si="0"/>
        <v>1.4925373134328358E-3</v>
      </c>
      <c r="G18" s="29"/>
    </row>
    <row r="19" spans="1:7" s="50" customFormat="1" ht="15" customHeight="1">
      <c r="A19" s="29"/>
      <c r="B19" s="93"/>
      <c r="C19" s="63" t="s">
        <v>183</v>
      </c>
      <c r="D19" s="26">
        <v>7</v>
      </c>
      <c r="E19" s="74">
        <v>1.6509433962264151E-2</v>
      </c>
      <c r="F19" s="25">
        <f t="shared" si="0"/>
        <v>5.2238805970149255E-3</v>
      </c>
      <c r="G19" s="29"/>
    </row>
    <row r="20" spans="1:7" s="50" customFormat="1" ht="15" customHeight="1">
      <c r="A20" s="29"/>
      <c r="B20" s="93"/>
      <c r="C20" s="63" t="s">
        <v>182</v>
      </c>
      <c r="D20" s="26">
        <v>83</v>
      </c>
      <c r="E20" s="74">
        <v>0.19575471698113209</v>
      </c>
      <c r="F20" s="25">
        <f t="shared" si="0"/>
        <v>6.1940298507462688E-2</v>
      </c>
      <c r="G20" s="29"/>
    </row>
    <row r="21" spans="1:7" s="50" customFormat="1" ht="15" customHeight="1">
      <c r="A21" s="29"/>
      <c r="B21" s="93"/>
      <c r="C21" s="63" t="s">
        <v>181</v>
      </c>
      <c r="D21" s="26">
        <v>179</v>
      </c>
      <c r="E21" s="74">
        <v>0.42216981132075471</v>
      </c>
      <c r="F21" s="25">
        <f t="shared" si="0"/>
        <v>0.1335820895522388</v>
      </c>
      <c r="G21" s="29"/>
    </row>
    <row r="22" spans="1:7" ht="27">
      <c r="B22" s="93"/>
      <c r="C22" s="63" t="s">
        <v>180</v>
      </c>
      <c r="D22" s="26">
        <v>102</v>
      </c>
      <c r="E22" s="74">
        <v>0.24056603773584906</v>
      </c>
      <c r="F22" s="25">
        <f t="shared" si="0"/>
        <v>7.6119402985074622E-2</v>
      </c>
    </row>
    <row r="23" spans="1:7" ht="13.5">
      <c r="B23" s="93"/>
      <c r="C23" s="63" t="s">
        <v>179</v>
      </c>
      <c r="D23" s="26">
        <v>48</v>
      </c>
      <c r="E23" s="74">
        <v>0.11320754716981132</v>
      </c>
      <c r="F23" s="25">
        <f t="shared" si="0"/>
        <v>3.5820895522388062E-2</v>
      </c>
    </row>
    <row r="24" spans="1:7" ht="13.5">
      <c r="B24" s="93"/>
      <c r="C24" s="63" t="s">
        <v>178</v>
      </c>
      <c r="D24" s="26">
        <v>1</v>
      </c>
      <c r="E24" s="74">
        <v>2.3584905660377358E-3</v>
      </c>
      <c r="F24" s="25">
        <f t="shared" si="0"/>
        <v>7.4626865671641792E-4</v>
      </c>
    </row>
    <row r="25" spans="1:7" ht="13.5">
      <c r="B25" s="94"/>
      <c r="C25" s="63" t="s">
        <v>177</v>
      </c>
      <c r="D25" s="26">
        <v>2</v>
      </c>
      <c r="E25" s="74">
        <v>4.7169811320754715E-3</v>
      </c>
      <c r="F25" s="25">
        <f t="shared" si="0"/>
        <v>1.4925373134328358E-3</v>
      </c>
    </row>
    <row r="26" spans="1:7" ht="13.5">
      <c r="B26" s="24" t="s">
        <v>23</v>
      </c>
      <c r="C26" s="24"/>
      <c r="D26" s="23">
        <v>1340</v>
      </c>
      <c r="E26" s="22"/>
      <c r="F26" s="22">
        <f t="shared" si="0"/>
        <v>1</v>
      </c>
    </row>
    <row r="28" spans="1:7">
      <c r="B28" s="19" t="s">
        <v>22</v>
      </c>
    </row>
    <row r="29" spans="1:7">
      <c r="B29" s="21" t="s">
        <v>21</v>
      </c>
    </row>
    <row r="30" spans="1:7">
      <c r="B30" s="20" t="s">
        <v>20</v>
      </c>
    </row>
    <row r="31" spans="1:7">
      <c r="B31" s="19" t="s">
        <v>19</v>
      </c>
    </row>
    <row r="32" spans="1:7">
      <c r="B32" s="19" t="s">
        <v>18</v>
      </c>
    </row>
  </sheetData>
  <mergeCells count="3">
    <mergeCell ref="B8:F10"/>
    <mergeCell ref="B12:B17"/>
    <mergeCell ref="B18:B25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8"/>
  <sheetViews>
    <sheetView showGridLines="0" tabSelected="1" zoomScaleNormal="100" zoomScaleSheetLayoutView="115" workbookViewId="0">
      <selection activeCell="G19" sqref="G1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209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208</v>
      </c>
      <c r="C11" s="31" t="s">
        <v>67</v>
      </c>
      <c r="D11" s="30" t="s">
        <v>66</v>
      </c>
    </row>
    <row r="12" spans="1:4" ht="15" customHeight="1">
      <c r="B12" s="27" t="s">
        <v>207</v>
      </c>
      <c r="C12" s="26">
        <v>771</v>
      </c>
      <c r="D12" s="25">
        <f t="shared" ref="D12:D30" si="0">C12/$C$30</f>
        <v>0.57537313432835824</v>
      </c>
    </row>
    <row r="13" spans="1:4">
      <c r="B13" s="27" t="s">
        <v>206</v>
      </c>
      <c r="C13" s="26">
        <v>237</v>
      </c>
      <c r="D13" s="25">
        <f t="shared" si="0"/>
        <v>0.17686567164179104</v>
      </c>
    </row>
    <row r="14" spans="1:4" s="28" customFormat="1">
      <c r="A14" s="17"/>
      <c r="B14" s="27" t="s">
        <v>205</v>
      </c>
      <c r="C14" s="26">
        <v>90</v>
      </c>
      <c r="D14" s="25">
        <f t="shared" si="0"/>
        <v>6.7164179104477612E-2</v>
      </c>
    </row>
    <row r="15" spans="1:4" s="28" customFormat="1">
      <c r="A15" s="17"/>
      <c r="B15" s="27" t="s">
        <v>204</v>
      </c>
      <c r="C15" s="26">
        <v>50</v>
      </c>
      <c r="D15" s="25">
        <f t="shared" si="0"/>
        <v>3.7313432835820892E-2</v>
      </c>
    </row>
    <row r="16" spans="1:4">
      <c r="B16" s="27" t="s">
        <v>203</v>
      </c>
      <c r="C16" s="26">
        <v>42</v>
      </c>
      <c r="D16" s="25">
        <f t="shared" si="0"/>
        <v>3.134328358208955E-2</v>
      </c>
    </row>
    <row r="17" spans="1:4">
      <c r="B17" s="27" t="s">
        <v>202</v>
      </c>
      <c r="C17" s="26">
        <v>28</v>
      </c>
      <c r="D17" s="25">
        <f t="shared" si="0"/>
        <v>2.0895522388059702E-2</v>
      </c>
    </row>
    <row r="18" spans="1:4">
      <c r="B18" s="27" t="s">
        <v>201</v>
      </c>
      <c r="C18" s="26">
        <v>28</v>
      </c>
      <c r="D18" s="25">
        <f t="shared" si="0"/>
        <v>2.0895522388059702E-2</v>
      </c>
    </row>
    <row r="19" spans="1:4">
      <c r="B19" s="27" t="s">
        <v>200</v>
      </c>
      <c r="C19" s="26">
        <v>24</v>
      </c>
      <c r="D19" s="25">
        <f t="shared" si="0"/>
        <v>1.7910447761194031E-2</v>
      </c>
    </row>
    <row r="20" spans="1:4">
      <c r="B20" s="27" t="s">
        <v>199</v>
      </c>
      <c r="C20" s="26">
        <v>23</v>
      </c>
      <c r="D20" s="25">
        <f t="shared" si="0"/>
        <v>1.7164179104477612E-2</v>
      </c>
    </row>
    <row r="21" spans="1:4">
      <c r="B21" s="27" t="s">
        <v>198</v>
      </c>
      <c r="C21" s="26">
        <v>21</v>
      </c>
      <c r="D21" s="25">
        <f t="shared" si="0"/>
        <v>1.5671641791044775E-2</v>
      </c>
    </row>
    <row r="22" spans="1:4">
      <c r="B22" s="27" t="s">
        <v>197</v>
      </c>
      <c r="C22" s="26">
        <v>8</v>
      </c>
      <c r="D22" s="25">
        <f t="shared" si="0"/>
        <v>5.9701492537313433E-3</v>
      </c>
    </row>
    <row r="23" spans="1:4">
      <c r="B23" s="27" t="s">
        <v>196</v>
      </c>
      <c r="C23" s="26">
        <v>6</v>
      </c>
      <c r="D23" s="25">
        <f t="shared" si="0"/>
        <v>4.4776119402985077E-3</v>
      </c>
    </row>
    <row r="24" spans="1:4">
      <c r="B24" s="27" t="s">
        <v>195</v>
      </c>
      <c r="C24" s="26">
        <v>3</v>
      </c>
      <c r="D24" s="25">
        <f t="shared" si="0"/>
        <v>2.2388059701492539E-3</v>
      </c>
    </row>
    <row r="25" spans="1:4">
      <c r="B25" s="27" t="s">
        <v>194</v>
      </c>
      <c r="C25" s="26">
        <v>3</v>
      </c>
      <c r="D25" s="25">
        <f t="shared" si="0"/>
        <v>2.2388059701492539E-3</v>
      </c>
    </row>
    <row r="26" spans="1:4">
      <c r="B26" s="27" t="s">
        <v>193</v>
      </c>
      <c r="C26" s="26">
        <v>2</v>
      </c>
      <c r="D26" s="25">
        <f t="shared" si="0"/>
        <v>1.4925373134328358E-3</v>
      </c>
    </row>
    <row r="27" spans="1:4">
      <c r="B27" s="27" t="s">
        <v>192</v>
      </c>
      <c r="C27" s="26">
        <v>2</v>
      </c>
      <c r="D27" s="25">
        <f t="shared" si="0"/>
        <v>1.4925373134328358E-3</v>
      </c>
    </row>
    <row r="28" spans="1:4">
      <c r="B28" s="27" t="s">
        <v>191</v>
      </c>
      <c r="C28" s="26">
        <v>1</v>
      </c>
      <c r="D28" s="25">
        <f t="shared" si="0"/>
        <v>7.4626865671641792E-4</v>
      </c>
    </row>
    <row r="29" spans="1:4">
      <c r="B29" s="27" t="s">
        <v>190</v>
      </c>
      <c r="C29" s="26">
        <v>1</v>
      </c>
      <c r="D29" s="25">
        <f t="shared" si="0"/>
        <v>7.4626865671641792E-4</v>
      </c>
    </row>
    <row r="30" spans="1:4">
      <c r="B30" s="24" t="s">
        <v>23</v>
      </c>
      <c r="C30" s="23">
        <v>1340</v>
      </c>
      <c r="D30" s="22">
        <f t="shared" si="0"/>
        <v>1</v>
      </c>
    </row>
    <row r="32" spans="1:4">
      <c r="A32" s="58" t="s">
        <v>189</v>
      </c>
    </row>
    <row r="33" spans="1:1">
      <c r="A33" s="58" t="s">
        <v>21</v>
      </c>
    </row>
    <row r="34" spans="1:1">
      <c r="A34" s="58" t="s">
        <v>20</v>
      </c>
    </row>
    <row r="35" spans="1:1">
      <c r="A35" s="58" t="s">
        <v>19</v>
      </c>
    </row>
    <row r="36" spans="1:1">
      <c r="A36" s="58" t="s">
        <v>136</v>
      </c>
    </row>
    <row r="37" spans="1:1">
      <c r="A37" s="58"/>
    </row>
    <row r="38" spans="1:1">
      <c r="A38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Campeche_EdoUsa</vt:lpstr>
      <vt:lpstr>Campeche_Cons</vt:lpstr>
      <vt:lpstr>CampecheXCons</vt:lpstr>
      <vt:lpstr>Campeche_EdoMun</vt:lpstr>
      <vt:lpstr>Campeche_USAMuni</vt:lpstr>
      <vt:lpstr>Campeche_MUNICIPIO</vt:lpstr>
      <vt:lpstr>Campeche_educ_gral</vt:lpstr>
      <vt:lpstr>Campeche_NivelE_Cons</vt:lpstr>
      <vt:lpstr>Campeche_EducCons</vt:lpstr>
      <vt:lpstr>Campeche_GenGral</vt:lpstr>
      <vt:lpstr>Campeche_GENERO</vt:lpstr>
      <vt:lpstr>Campeche_Gen_Edad</vt:lpstr>
      <vt:lpstr>Campeche_ocup_gral</vt:lpstr>
      <vt:lpstr>Campeche_EducCons!Área_de_impresión</vt:lpstr>
      <vt:lpstr>Campeche_MUNICIPIO!Área_de_impresión</vt:lpstr>
      <vt:lpstr>Campeche_NivelE_Cons!Área_de_impresión</vt:lpstr>
      <vt:lpstr>Campeche_USAMuni!Área_de_impresión</vt:lpstr>
      <vt:lpstr>Campeche_Cons!Títulos_a_imprimir</vt:lpstr>
      <vt:lpstr>Campeche_EdoMun!Títulos_a_imprimir</vt:lpstr>
      <vt:lpstr>Campeche_EdoUsa!Títulos_a_imprimir</vt:lpstr>
      <vt:lpstr>Campeche_educ_gral!Títulos_a_imprimir</vt:lpstr>
      <vt:lpstr>Campeche_EducCons!Títulos_a_imprimir</vt:lpstr>
      <vt:lpstr>Campeche_Gen_Edad!Títulos_a_imprimir</vt:lpstr>
      <vt:lpstr>Campeche_GENERO!Títulos_a_imprimir</vt:lpstr>
      <vt:lpstr>Campeche_GenGral!Títulos_a_imprimir</vt:lpstr>
      <vt:lpstr>Campeche_MUNICIPIO!Títulos_a_imprimir</vt:lpstr>
      <vt:lpstr>Campeche_NivelE_Cons!Títulos_a_imprimir</vt:lpstr>
      <vt:lpstr>Campeche_ocup_gral!Títulos_a_imprimir</vt:lpstr>
      <vt:lpstr>Campeche_USAMuni!Títulos_a_imprimir</vt:lpstr>
      <vt:lpstr>CampecheXCons!Títulos_a_imprimir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2020-06-02T19:43:30Z</dcterms:created>
  <dcterms:modified xsi:type="dcterms:W3CDTF">2023-11-30T18:43:34Z</dcterms:modified>
</cp:coreProperties>
</file>