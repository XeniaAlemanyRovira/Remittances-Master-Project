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2019\Tablas_estadísticas 2019\República Mexicana\Finales_RM (F)\"/>
    </mc:Choice>
  </mc:AlternateContent>
  <bookViews>
    <workbookView xWindow="0" yWindow="0" windowWidth="23040" windowHeight="8805" firstSheet="12" activeTab="13"/>
  </bookViews>
  <sheets>
    <sheet name="Índice" sheetId="1" r:id="rId1"/>
    <sheet name="Querétaro_EdoUsa" sheetId="2" r:id="rId2"/>
    <sheet name="Querétaro_Cons" sheetId="16" r:id="rId3"/>
    <sheet name="QuerétaroXCons" sheetId="15" r:id="rId4"/>
    <sheet name="Querétaro_EdoMun" sheetId="5" r:id="rId5"/>
    <sheet name="Querétaro_USAMuni" sheetId="6" r:id="rId6"/>
    <sheet name="Querétaro_MUNICIPIO" sheetId="7" r:id="rId7"/>
    <sheet name="Querétaro_educ_gral" sheetId="8" r:id="rId8"/>
    <sheet name="Querétaro_NivelE_Cons" sheetId="9" r:id="rId9"/>
    <sheet name="Querétaro_EducCons" sheetId="10" r:id="rId10"/>
    <sheet name="Querétaro_GenGral" sheetId="11" r:id="rId11"/>
    <sheet name="Querétaro_GENERO" sheetId="12" r:id="rId12"/>
    <sheet name="Querétaro_Gen_Edad" sheetId="13" r:id="rId13"/>
    <sheet name="Querétaro_ocup_gral" sheetId="14" r:id="rId14"/>
  </sheets>
  <definedNames>
    <definedName name="_xlnm._FilterDatabase" localSheetId="2" hidden="1">Querétaro_Cons!$B$11:$D$12</definedName>
    <definedName name="_xlnm._FilterDatabase" localSheetId="4" hidden="1">Querétaro_EdoMun!$B$11:$D$12</definedName>
    <definedName name="_xlnm._FilterDatabase" localSheetId="1" hidden="1">Querétaro_EdoUsa!$B$11:$D$59</definedName>
    <definedName name="_xlnm._FilterDatabase" localSheetId="7" hidden="1">Querétaro_educ_gral!$B$11:$D$12</definedName>
    <definedName name="_xlnm._FilterDatabase" localSheetId="9" hidden="1">Querétaro_EducCons!$B$9:$E$11</definedName>
    <definedName name="_xlnm._FilterDatabase" localSheetId="11" hidden="1">Querétaro_GENERO!$C$11:$E$144</definedName>
    <definedName name="_xlnm._FilterDatabase" localSheetId="10" hidden="1">Querétaro_GenGral!$B$11:$D$12</definedName>
    <definedName name="_xlnm._FilterDatabase" localSheetId="6" hidden="1">Querétaro_MUNICIPIO!$B$9:$E$10</definedName>
    <definedName name="_xlnm._FilterDatabase" localSheetId="8" hidden="1">Querétaro_NivelE_Cons!$B$9:$E$11</definedName>
    <definedName name="_xlnm._FilterDatabase" localSheetId="13" hidden="1">Querétaro_ocup_gral!$B$11:$D$12</definedName>
    <definedName name="_xlnm._FilterDatabase" localSheetId="5" hidden="1">Querétaro_USAMuni!$B$9:$E$12</definedName>
    <definedName name="_xlnm._FilterDatabase" localSheetId="3" hidden="1">QuerétaroXCons!$B$11:$D$12</definedName>
    <definedName name="_xlnm.Print_Area" localSheetId="9">Querétaro_EducCons!$A$1:$E$685</definedName>
    <definedName name="_xlnm.Print_Area" localSheetId="6">Querétaro_MUNICIPIO!$A$1:$E$647</definedName>
    <definedName name="_xlnm.Print_Area" localSheetId="8">Querétaro_NivelE_Cons!$A$1:$E$565</definedName>
    <definedName name="_xlnm.Print_Area" localSheetId="5">Querétaro_USAMuni!$A$1:$E$558</definedName>
    <definedName name="_xlnm.Print_Titles" localSheetId="2">Querétaro_Cons!$1:$11</definedName>
    <definedName name="_xlnm.Print_Titles" localSheetId="4">Querétaro_EdoMun!$1:$11</definedName>
    <definedName name="_xlnm.Print_Titles" localSheetId="1">Querétaro_EdoUsa!$1:$11</definedName>
    <definedName name="_xlnm.Print_Titles" localSheetId="7">Querétaro_educ_gral!$1:$11</definedName>
    <definedName name="_xlnm.Print_Titles" localSheetId="9">Querétaro_EducCons!$1:$9</definedName>
    <definedName name="_xlnm.Print_Titles" localSheetId="12">Querétaro_Gen_Edad!$1:$11</definedName>
    <definedName name="_xlnm.Print_Titles" localSheetId="11">Querétaro_GENERO!$1:$11</definedName>
    <definedName name="_xlnm.Print_Titles" localSheetId="10">Querétaro_GenGral!$1:$11</definedName>
    <definedName name="_xlnm.Print_Titles" localSheetId="6">Querétaro_MUNICIPIO!$1:$9</definedName>
    <definedName name="_xlnm.Print_Titles" localSheetId="8">Querétaro_NivelE_Cons!$1:$9</definedName>
    <definedName name="_xlnm.Print_Titles" localSheetId="13">Querétaro_ocup_gral!$1:$11</definedName>
    <definedName name="_xlnm.Print_Titles" localSheetId="5">Querétaro_USAMuni!$1:$9</definedName>
    <definedName name="_xlnm.Print_Titles" localSheetId="3">QuerétaroXCons!$1:$11</definedName>
  </definedNames>
  <calcPr calcId="152511"/>
</workbook>
</file>

<file path=xl/calcChain.xml><?xml version="1.0" encoding="utf-8"?>
<calcChain xmlns="http://schemas.openxmlformats.org/spreadsheetml/2006/main">
  <c r="D12" i="16" l="1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C22" i="15"/>
  <c r="D12" i="15" s="1"/>
  <c r="D18" i="15" l="1"/>
  <c r="D14" i="15"/>
  <c r="D21" i="15"/>
  <c r="D13" i="15"/>
  <c r="D22" i="15"/>
  <c r="D19" i="15"/>
  <c r="D15" i="15"/>
  <c r="D17" i="15"/>
  <c r="D20" i="15"/>
  <c r="D16" i="15"/>
  <c r="D12" i="14" l="1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F12" i="13" l="1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D12" i="8" l="1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</calcChain>
</file>

<file path=xl/sharedStrings.xml><?xml version="1.0" encoding="utf-8"?>
<sst xmlns="http://schemas.openxmlformats.org/spreadsheetml/2006/main" count="3077" uniqueCount="229">
  <si>
    <t xml:space="preserve">Da clic al texto para ir a la información, selecciona                 para regresar. </t>
  </si>
  <si>
    <t>1. Por Estados de USA</t>
  </si>
  <si>
    <t>2. Por Circunscripción Consular</t>
  </si>
  <si>
    <t>2.1 Top ten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</si>
  <si>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</si>
  <si>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</si>
  <si>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</si>
  <si>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</si>
  <si>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</si>
  <si>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</si>
  <si>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</si>
  <si>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</si>
  <si>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</si>
  <si>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5.1 Género General</t>
  </si>
  <si>
    <t>5.2 Por Circunscripción Consular</t>
  </si>
  <si>
    <t>6. Por estructura de Edad</t>
  </si>
  <si>
    <t>7. Por Ocupación</t>
  </si>
  <si>
    <t xml:space="preserve">  Matrículas consulares expedidas a originarios de Querétaro en el 2019.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</si>
  <si>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</si>
  <si>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</si>
  <si>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</si>
  <si>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</si>
  <si>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</si>
  <si>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</si>
  <si>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North Dakota</t>
  </si>
  <si>
    <t>Hawaii</t>
  </si>
  <si>
    <t>West Virginia</t>
  </si>
  <si>
    <t>District of Columbia</t>
  </si>
  <si>
    <t>Wyoming</t>
  </si>
  <si>
    <t>South Dakota</t>
  </si>
  <si>
    <t>Rhode Island</t>
  </si>
  <si>
    <t>Delaware</t>
  </si>
  <si>
    <t>New Hampshire</t>
  </si>
  <si>
    <t>Massachusetts</t>
  </si>
  <si>
    <t>Connecticut</t>
  </si>
  <si>
    <t>Iowa</t>
  </si>
  <si>
    <t>Maryland</t>
  </si>
  <si>
    <t>New Mexico</t>
  </si>
  <si>
    <t>Kentucky</t>
  </si>
  <si>
    <t>New Jersey</t>
  </si>
  <si>
    <t>Mississippi</t>
  </si>
  <si>
    <t>Ohio</t>
  </si>
  <si>
    <t>New York</t>
  </si>
  <si>
    <t>Missouri</t>
  </si>
  <si>
    <t>Idaho</t>
  </si>
  <si>
    <t>Minnesota</t>
  </si>
  <si>
    <t>Michigan</t>
  </si>
  <si>
    <t>Kansas</t>
  </si>
  <si>
    <t>Arizona</t>
  </si>
  <si>
    <t>Utah</t>
  </si>
  <si>
    <t>Oregon</t>
  </si>
  <si>
    <t>Wisconsin</t>
  </si>
  <si>
    <t>Pennsylvania</t>
  </si>
  <si>
    <t>Indiana</t>
  </si>
  <si>
    <t>Colorado</t>
  </si>
  <si>
    <t>Virginia</t>
  </si>
  <si>
    <t>Louisiana</t>
  </si>
  <si>
    <t>Alabama</t>
  </si>
  <si>
    <t>Nevada</t>
  </si>
  <si>
    <t>South Carolina</t>
  </si>
  <si>
    <t>Washington</t>
  </si>
  <si>
    <t>Nebraska</t>
  </si>
  <si>
    <t>Oklahoma</t>
  </si>
  <si>
    <t>Arkansas</t>
  </si>
  <si>
    <t>Illinois</t>
  </si>
  <si>
    <t>Tennessee</t>
  </si>
  <si>
    <t>North Carolina</t>
  </si>
  <si>
    <t>Georgia</t>
  </si>
  <si>
    <t>Florida</t>
  </si>
  <si>
    <t>California</t>
  </si>
  <si>
    <t>Texas</t>
  </si>
  <si>
    <t>Porcentaje de Matrículas</t>
  </si>
  <si>
    <t>Número de Matrículas</t>
  </si>
  <si>
    <t xml:space="preserve">Estado </t>
  </si>
  <si>
    <t>MATRÍCULAS CONSULARES DE ALTA SEGURIDAD EXPEDIDAS A ORIGINARIOS DE QUERÉTARO POR ESTADO DE LA UNIÓN AMERICANA. DURANTE EL 2019</t>
  </si>
  <si>
    <t>Aguascalientes</t>
  </si>
  <si>
    <t>Eagle Pass</t>
  </si>
  <si>
    <t>Douglas</t>
  </si>
  <si>
    <t>Nogales</t>
  </si>
  <si>
    <t>Del Río</t>
  </si>
  <si>
    <t>Caléxico</t>
  </si>
  <si>
    <t>Yuma</t>
  </si>
  <si>
    <t>Boston</t>
  </si>
  <si>
    <t>Presidio</t>
  </si>
  <si>
    <t>Tucson</t>
  </si>
  <si>
    <t>Laredo</t>
  </si>
  <si>
    <t>Boise</t>
  </si>
  <si>
    <t>Brownsville</t>
  </si>
  <si>
    <t>Albuquerque</t>
  </si>
  <si>
    <t>El Paso</t>
  </si>
  <si>
    <t>Nueva Orleans</t>
  </si>
  <si>
    <t>Detroit</t>
  </si>
  <si>
    <t>Omaha</t>
  </si>
  <si>
    <t>Seattle</t>
  </si>
  <si>
    <t>Saint Paul</t>
  </si>
  <si>
    <t>Phoenix</t>
  </si>
  <si>
    <t>Salt Lake City</t>
  </si>
  <si>
    <t>Milwaukee</t>
  </si>
  <si>
    <t>Miami</t>
  </si>
  <si>
    <t>Portland</t>
  </si>
  <si>
    <t>San Diego</t>
  </si>
  <si>
    <t>Kansas City</t>
  </si>
  <si>
    <t>Filadelfia</t>
  </si>
  <si>
    <t>Mcallen</t>
  </si>
  <si>
    <t>San Antonio</t>
  </si>
  <si>
    <t>Denver</t>
  </si>
  <si>
    <t>Indianápolis</t>
  </si>
  <si>
    <t>Oxnard</t>
  </si>
  <si>
    <t>Las Vegas</t>
  </si>
  <si>
    <t>Sacramento</t>
  </si>
  <si>
    <t>Austin</t>
  </si>
  <si>
    <t>Orlando</t>
  </si>
  <si>
    <t>Little Rock</t>
  </si>
  <si>
    <t>San Francisco</t>
  </si>
  <si>
    <t>San José</t>
  </si>
  <si>
    <t>Santa Ana</t>
  </si>
  <si>
    <t>San Bernardino</t>
  </si>
  <si>
    <t>Raleigh</t>
  </si>
  <si>
    <t>Fresno</t>
  </si>
  <si>
    <t>Nueva York</t>
  </si>
  <si>
    <t>Atlanta</t>
  </si>
  <si>
    <t>Dallas</t>
  </si>
  <si>
    <t>Houston</t>
  </si>
  <si>
    <t>Chicago</t>
  </si>
  <si>
    <t>Los Ángeles</t>
  </si>
  <si>
    <t>Consulado</t>
  </si>
  <si>
    <t>MATRÍCULAS CONSULARES DE ALTA SEGURIDAD EXPEDIDAS DURANTE EL 2019 A ORIGINARIOS DE QUERÉTARO EN LOS CONSULADOS DE MÉXICO EN EE.UU.</t>
  </si>
  <si>
    <t>Peñamiller</t>
  </si>
  <si>
    <t>Corregidora</t>
  </si>
  <si>
    <t>Tolimán</t>
  </si>
  <si>
    <t>Colón</t>
  </si>
  <si>
    <t>Pedro Escobedo</t>
  </si>
  <si>
    <t>San Joaquín</t>
  </si>
  <si>
    <t>El Marqués</t>
  </si>
  <si>
    <t>Ezequiel Montes</t>
  </si>
  <si>
    <t>Tequisquiapan</t>
  </si>
  <si>
    <t>Arroyo Seco</t>
  </si>
  <si>
    <t>Huimilpan</t>
  </si>
  <si>
    <t>Landa de Matamoros</t>
  </si>
  <si>
    <t>Pinal de Amoles</t>
  </si>
  <si>
    <t>Amealco de Bonfil</t>
  </si>
  <si>
    <t>Cadereyta de Montes</t>
  </si>
  <si>
    <t>Jalpan de Serra</t>
  </si>
  <si>
    <t>San Juan del Río</t>
  </si>
  <si>
    <t>Querétaro</t>
  </si>
  <si>
    <t>Municipio de origen</t>
  </si>
  <si>
    <t>MATRÍCULAS CONSULARES DE ALTA SEGURIDAD EXPEDIDAS POR MUNICIPIO A ORIGINARIOS DEL ESTADO DE QUERÉTARO EN LOS CONSULADOS DE MÉXICO EN EE.UU. 2019</t>
  </si>
  <si>
    <t>Municipio de Origen</t>
  </si>
  <si>
    <t>Estado</t>
  </si>
  <si>
    <t>Marzo de 2020</t>
  </si>
  <si>
    <t>Tamaño de la muestra: 814,748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</si>
  <si>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</si>
  <si>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</si>
  <si>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</si>
  <si>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</si>
  <si>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</si>
  <si>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</si>
  <si>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</si>
  <si>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</si>
  <si>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</si>
  <si>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</si>
  <si>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</si>
  <si>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</si>
  <si>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</si>
  <si>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</si>
  <si>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</si>
  <si>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</si>
  <si>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</si>
  <si>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</si>
  <si>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</si>
  <si>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</si>
  <si>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</si>
  <si>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</si>
  <si>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</si>
  <si>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</si>
  <si>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Número de matrículas</t>
  </si>
  <si>
    <t>Nivel de Estudios</t>
  </si>
  <si>
    <t>MATRÍCULAS CONSULARES EXPEDIDAS EN EE.UU. A ORIGINARIOS DE QUERÉTARO POR NIVEL DE EDUCACIÓN, 2019.</t>
  </si>
  <si>
    <t>Nivel</t>
  </si>
  <si>
    <t>Menores de edad</t>
  </si>
  <si>
    <t>San Jose</t>
  </si>
  <si>
    <t>Mc Allen</t>
  </si>
  <si>
    <t>Los Angeles</t>
  </si>
  <si>
    <t>Indianapolis</t>
  </si>
  <si>
    <t>Del Rio</t>
  </si>
  <si>
    <t>TOTAL</t>
  </si>
  <si>
    <t>MUJER</t>
  </si>
  <si>
    <t>HOMBRE</t>
  </si>
  <si>
    <t>Género</t>
  </si>
  <si>
    <t>MATRÍCULAS CONSULARES EXPEDIDAS A ORIGINARIOS DE QUERÉTARO POR GÉNERO EN EE.UU DURANTE EL 2019.</t>
  </si>
  <si>
    <t>Mujer</t>
  </si>
  <si>
    <t>Hombre</t>
  </si>
  <si>
    <t>MATRÍCULAS CONSULARES EXPEDIDAS A ORIGINARIOS DE QUERÉTARO POR GÉNERO Y CONSULADO DE MÉXICO 2019.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</si>
  <si>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</si>
  <si>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</si>
  <si>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</si>
  <si>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</si>
  <si>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</si>
  <si>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</si>
  <si>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</si>
  <si>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</si>
  <si>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Porcentaje con respecto al total de Matrículas</t>
  </si>
  <si>
    <t>Porcentaje con respecto al Género</t>
  </si>
  <si>
    <t>Edad Cumplida</t>
  </si>
  <si>
    <t>MATRÍCULAS CONSULARES EXPEDIDAS A ORIGINARIOS DE QUERÉTARO POR GÉNERO Y EDAD EN EE.UU.</t>
  </si>
  <si>
    <t>Tamaño de la muestra: 826,856</t>
  </si>
  <si>
    <t>Sacerdote</t>
  </si>
  <si>
    <t>Misionero(a)</t>
  </si>
  <si>
    <t>Panadero(a)</t>
  </si>
  <si>
    <t>Carnicero</t>
  </si>
  <si>
    <t>Profesionista</t>
  </si>
  <si>
    <t>Jubilado(a)</t>
  </si>
  <si>
    <t>Cajero(a)</t>
  </si>
  <si>
    <t>Comerciante</t>
  </si>
  <si>
    <t>Operario(a)</t>
  </si>
  <si>
    <t>Chofer</t>
  </si>
  <si>
    <t>Mesero(a)</t>
  </si>
  <si>
    <t>Pintor(a)</t>
  </si>
  <si>
    <t>Cocinero(a)</t>
  </si>
  <si>
    <t>Campesino(a)</t>
  </si>
  <si>
    <t>Albañil</t>
  </si>
  <si>
    <t>Jardinero(a)</t>
  </si>
  <si>
    <t>Estudiante</t>
  </si>
  <si>
    <t>Otro</t>
  </si>
  <si>
    <t>Obrero(a)</t>
  </si>
  <si>
    <t>Hogar</t>
  </si>
  <si>
    <t>Empleado(a)</t>
  </si>
  <si>
    <t>Ocupación</t>
  </si>
  <si>
    <t>MATRÍCULAS CONSULARES EXPEDIDAS EN EE.UU. A ORIGINARIOS DE QUERÉTARO POR PERFIL OCUPACIONAL,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</si>
</sst>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theme="1"/>
      <name val="Calibri"/>
      <family val="2"/>
      <scheme val="minor"/>
    </font>
    <font>
      <sz val="8"/>
      <color indexed="8"/>
      <name val="Soberana Sans"/>
      <family val="3"/>
    </font>
    <font>
      <sz val="10.5"/>
      <color theme="1"/>
      <name val="Montserrat"/>
    </font>
    <font>
      <sz val="10"/>
      <name val="Montserrat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6" fillId="0" borderId="0"/>
  </cellStyleXfs>
  <cellXfs count="99"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4" xfId="0" applyFont="1" applyBorder="1" applyAlignment="1"/>
    <xf numFmtId="0" fontId="2" fillId="0" borderId="0" xfId="0" applyFont="1" applyBorder="1" applyAlignment="1"/>
    <xf numFmtId="0" fontId="2" fillId="0" borderId="5" xfId="0" applyFont="1" applyBorder="1" applyAlignment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164" fontId="8" fillId="4" borderId="9" xfId="0" applyNumberFormat="1" applyFont="1" applyFill="1" applyBorder="1" applyAlignment="1">
      <alignment horizontal="right" vertical="center" wrapText="1"/>
    </xf>
    <xf numFmtId="3" fontId="8" fillId="4" borderId="9" xfId="0" applyNumberFormat="1" applyFont="1" applyFill="1" applyBorder="1" applyAlignment="1">
      <alignment horizontal="right" vertical="center" wrapText="1"/>
    </xf>
    <xf numFmtId="49" fontId="8" fillId="4" borderId="9" xfId="0" applyNumberFormat="1" applyFont="1" applyFill="1" applyBorder="1" applyAlignment="1">
      <alignment vertical="center" wrapText="1"/>
    </xf>
    <xf numFmtId="164" fontId="9" fillId="3" borderId="9" xfId="0" applyNumberFormat="1" applyFont="1" applyFill="1" applyBorder="1" applyAlignment="1">
      <alignment horizontal="right" vertical="center" wrapText="1"/>
    </xf>
    <xf numFmtId="3" fontId="9" fillId="3" borderId="9" xfId="0" applyNumberFormat="1" applyFont="1" applyFill="1" applyBorder="1" applyAlignment="1">
      <alignment horizontal="right" vertical="center" wrapText="1"/>
    </xf>
    <xf numFmtId="49" fontId="10" fillId="3" borderId="9" xfId="0" applyNumberFormat="1" applyFont="1" applyFill="1" applyBorder="1" applyAlignment="1">
      <alignment vertical="center" wrapText="1"/>
    </xf>
    <xf numFmtId="0" fontId="11" fillId="3" borderId="0" xfId="0" applyFon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164" fontId="8" fillId="5" borderId="9" xfId="2" applyNumberFormat="1" applyFont="1" applyFill="1" applyBorder="1" applyAlignment="1">
      <alignment horizontal="right" vertical="top" wrapText="1"/>
    </xf>
    <xf numFmtId="165" fontId="8" fillId="5" borderId="9" xfId="2" applyNumberFormat="1" applyFont="1" applyFill="1" applyBorder="1" applyAlignment="1">
      <alignment horizontal="right" vertical="top" wrapText="1"/>
    </xf>
    <xf numFmtId="49" fontId="8" fillId="5" borderId="9" xfId="2" applyNumberFormat="1" applyFont="1" applyFill="1" applyBorder="1" applyAlignment="1">
      <alignment vertical="top" wrapText="1"/>
    </xf>
    <xf numFmtId="164" fontId="17" fillId="3" borderId="9" xfId="2" applyNumberFormat="1" applyFont="1" applyFill="1" applyBorder="1" applyAlignment="1">
      <alignment horizontal="right" vertical="top" wrapText="1"/>
    </xf>
    <xf numFmtId="165" fontId="17" fillId="3" borderId="9" xfId="2" applyNumberFormat="1" applyFont="1" applyFill="1" applyBorder="1" applyAlignment="1">
      <alignment horizontal="right" vertical="top" wrapText="1"/>
    </xf>
    <xf numFmtId="49" fontId="17" fillId="3" borderId="9" xfId="2" applyNumberFormat="1" applyFont="1" applyFill="1" applyBorder="1" applyAlignment="1">
      <alignment vertical="top" wrapText="1"/>
    </xf>
    <xf numFmtId="0" fontId="18" fillId="3" borderId="0" xfId="0" applyFont="1" applyFill="1"/>
    <xf numFmtId="0" fontId="19" fillId="2" borderId="10" xfId="3" applyFont="1" applyFill="1" applyBorder="1" applyAlignment="1">
      <alignment horizontal="center" vertical="center" wrapText="1"/>
    </xf>
    <xf numFmtId="1" fontId="19" fillId="2" borderId="10" xfId="3" applyNumberFormat="1" applyFont="1" applyFill="1" applyBorder="1" applyAlignment="1">
      <alignment horizontal="center" vertical="center" wrapText="1"/>
    </xf>
    <xf numFmtId="0" fontId="8" fillId="2" borderId="10" xfId="3" applyFont="1" applyFill="1" applyBorder="1" applyAlignment="1">
      <alignment horizontal="center" vertical="center" wrapText="1"/>
    </xf>
    <xf numFmtId="0" fontId="12" fillId="3" borderId="0" xfId="0" applyFont="1" applyFill="1"/>
    <xf numFmtId="0" fontId="20" fillId="3" borderId="0" xfId="0" applyFont="1" applyFill="1" applyAlignment="1"/>
    <xf numFmtId="0" fontId="18" fillId="3" borderId="0" xfId="0" applyFont="1" applyFill="1" applyAlignment="1">
      <alignment vertical="center"/>
    </xf>
    <xf numFmtId="0" fontId="12" fillId="3" borderId="0" xfId="0" applyFont="1" applyFill="1" applyBorder="1"/>
    <xf numFmtId="3" fontId="12" fillId="3" borderId="0" xfId="0" applyNumberFormat="1" applyFont="1" applyFill="1" applyBorder="1"/>
    <xf numFmtId="1" fontId="12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0" fontId="21" fillId="3" borderId="0" xfId="0" applyFont="1" applyFill="1"/>
    <xf numFmtId="0" fontId="22" fillId="0" borderId="0" xfId="0" applyFont="1" applyAlignment="1">
      <alignment vertical="top"/>
    </xf>
    <xf numFmtId="0" fontId="22" fillId="0" borderId="0" xfId="0" applyFont="1" applyAlignment="1">
      <alignment horizontal="justify" vertical="center"/>
    </xf>
    <xf numFmtId="3" fontId="11" fillId="3" borderId="0" xfId="0" applyNumberFormat="1" applyFont="1" applyFill="1"/>
    <xf numFmtId="3" fontId="12" fillId="3" borderId="0" xfId="0" applyNumberFormat="1" applyFont="1" applyFill="1"/>
    <xf numFmtId="49" fontId="10" fillId="3" borderId="9" xfId="0" applyNumberFormat="1" applyFont="1" applyFill="1" applyBorder="1" applyAlignment="1">
      <alignment horizontal="left" vertical="center" wrapText="1"/>
    </xf>
    <xf numFmtId="0" fontId="0" fillId="3" borderId="0" xfId="0" applyFill="1"/>
    <xf numFmtId="0" fontId="19" fillId="2" borderId="9" xfId="3" applyFont="1" applyFill="1" applyBorder="1" applyAlignment="1">
      <alignment horizontal="center" vertical="center" wrapText="1"/>
    </xf>
    <xf numFmtId="0" fontId="0" fillId="3" borderId="0" xfId="0" applyFont="1" applyFill="1" applyBorder="1"/>
    <xf numFmtId="0" fontId="5" fillId="3" borderId="0" xfId="0" applyFont="1" applyFill="1" applyBorder="1"/>
    <xf numFmtId="0" fontId="12" fillId="3" borderId="0" xfId="0" applyFont="1" applyFill="1" applyBorder="1" applyAlignment="1">
      <alignment vertical="center"/>
    </xf>
    <xf numFmtId="0" fontId="12" fillId="0" borderId="0" xfId="0" applyFont="1" applyBorder="1" applyAlignment="1">
      <alignment vertical="center"/>
    </xf>
    <xf numFmtId="164" fontId="9" fillId="6" borderId="9" xfId="0" applyNumberFormat="1" applyFont="1" applyFill="1" applyBorder="1" applyAlignment="1">
      <alignment horizontal="right" vertical="center" wrapText="1"/>
    </xf>
    <xf numFmtId="164" fontId="9" fillId="7" borderId="9" xfId="0" applyNumberFormat="1" applyFont="1" applyFill="1" applyBorder="1" applyAlignment="1">
      <alignment horizontal="right" vertical="center" wrapText="1"/>
    </xf>
    <xf numFmtId="3" fontId="8" fillId="8" borderId="9" xfId="0" applyNumberFormat="1" applyFont="1" applyFill="1" applyBorder="1" applyAlignment="1">
      <alignment horizontal="right" vertical="center" wrapText="1"/>
    </xf>
    <xf numFmtId="164" fontId="8" fillId="8" borderId="9" xfId="0" applyNumberFormat="1" applyFont="1" applyFill="1" applyBorder="1" applyAlignment="1">
      <alignment horizontal="right" vertical="center" wrapText="1"/>
    </xf>
    <xf numFmtId="49" fontId="8" fillId="8" borderId="12" xfId="0" applyNumberFormat="1" applyFont="1" applyFill="1" applyBorder="1" applyAlignment="1">
      <alignment vertical="center" wrapText="1"/>
    </xf>
    <xf numFmtId="0" fontId="4" fillId="0" borderId="0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14" fillId="0" borderId="0" xfId="0" applyFont="1" applyBorder="1" applyAlignment="1">
      <alignment horizontal="center" vertical="center" wrapText="1"/>
    </xf>
    <xf numFmtId="49" fontId="17" fillId="3" borderId="10" xfId="2" applyNumberFormat="1" applyFont="1" applyFill="1" applyBorder="1" applyAlignment="1">
      <alignment horizontal="center" vertical="center" wrapText="1"/>
    </xf>
    <xf numFmtId="49" fontId="17" fillId="3" borderId="15" xfId="2" applyNumberFormat="1" applyFont="1" applyFill="1" applyBorder="1" applyAlignment="1">
      <alignment horizontal="center" vertical="center" wrapText="1"/>
    </xf>
    <xf numFmtId="49" fontId="17" fillId="3" borderId="14" xfId="2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0" fontId="23" fillId="0" borderId="0" xfId="0" applyFont="1" applyBorder="1" applyAlignment="1">
      <alignment horizontal="center" vertical="center" wrapText="1"/>
    </xf>
    <xf numFmtId="0" fontId="24" fillId="3" borderId="0" xfId="0" applyFont="1" applyFill="1" applyBorder="1" applyAlignment="1">
      <alignment horizontal="center" vertical="distributed"/>
    </xf>
    <xf numFmtId="0" fontId="24" fillId="3" borderId="16" xfId="0" applyFont="1" applyFill="1" applyBorder="1" applyAlignment="1">
      <alignment horizontal="center" vertical="distributed"/>
    </xf>
    <xf numFmtId="49" fontId="10" fillId="3" borderId="10" xfId="0" applyNumberFormat="1" applyFont="1" applyFill="1" applyBorder="1" applyAlignment="1">
      <alignment horizontal="center" vertical="center" wrapText="1"/>
    </xf>
    <xf numFmtId="49" fontId="10" fillId="3" borderId="15" xfId="0" applyNumberFormat="1" applyFont="1" applyFill="1" applyBorder="1" applyAlignment="1">
      <alignment horizontal="center" vertical="center" wrapText="1"/>
    </xf>
    <xf numFmtId="49" fontId="10" fillId="3" borderId="14" xfId="0" applyNumberFormat="1" applyFont="1" applyFill="1" applyBorder="1" applyAlignment="1">
      <alignment horizontal="center" vertical="center" wrapText="1"/>
    </xf>
    <xf numFmtId="49" fontId="8" fillId="4" borderId="13" xfId="0" applyNumberFormat="1" applyFont="1" applyFill="1" applyBorder="1" applyAlignment="1">
      <alignment horizontal="center" vertical="center" wrapText="1"/>
    </xf>
    <xf numFmtId="49" fontId="8" fillId="4" borderId="12" xfId="0" applyNumberFormat="1" applyFont="1" applyFill="1" applyBorder="1" applyAlignment="1">
      <alignment horizontal="center" vertical="center" wrapText="1"/>
    </xf>
    <xf numFmtId="49" fontId="8" fillId="9" borderId="13" xfId="0" applyNumberFormat="1" applyFont="1" applyFill="1" applyBorder="1" applyAlignment="1">
      <alignment horizontal="center" vertical="center" wrapText="1"/>
    </xf>
    <xf numFmtId="49" fontId="8" fillId="9" borderId="12" xfId="0" applyNumberFormat="1" applyFont="1" applyFill="1" applyBorder="1" applyAlignment="1">
      <alignment horizontal="center" vertical="center" wrapText="1"/>
    </xf>
    <xf numFmtId="3" fontId="8" fillId="9" borderId="9" xfId="0" applyNumberFormat="1" applyFont="1" applyFill="1" applyBorder="1" applyAlignment="1">
      <alignment horizontal="right" wrapText="1"/>
    </xf>
    <xf numFmtId="164" fontId="8" fillId="9" borderId="9" xfId="0" applyNumberFormat="1" applyFont="1" applyFill="1" applyBorder="1" applyAlignment="1">
      <alignment horizontal="right" wrapText="1"/>
    </xf>
  </cellXfs>
  <cellStyles count="4">
    <cellStyle name="Hipervínculo" xfId="1" builtinId="8"/>
    <cellStyle name="Normal" xfId="0" builtinId="0"/>
    <cellStyle name="Normal 2" xfId="2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10241</xdr:colOff>
      <xdr:row>2</xdr:row>
      <xdr:rowOff>12392</xdr:rowOff>
    </xdr:from>
    <xdr:to>
      <xdr:col>3</xdr:col>
      <xdr:colOff>522338</xdr:colOff>
      <xdr:row>3</xdr:row>
      <xdr:rowOff>12392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34466" y="726767"/>
          <a:ext cx="512097" cy="1809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304800</xdr:colOff>
      <xdr:row>7</xdr:row>
      <xdr:rowOff>142875</xdr:rowOff>
    </xdr:from>
    <xdr:to>
      <xdr:col>5</xdr:col>
      <xdr:colOff>197772</xdr:colOff>
      <xdr:row>8</xdr:row>
      <xdr:rowOff>136730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33925" y="166687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8</xdr:row>
      <xdr:rowOff>0</xdr:rowOff>
    </xdr:from>
    <xdr:to>
      <xdr:col>5</xdr:col>
      <xdr:colOff>45372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0040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7</xdr:row>
      <xdr:rowOff>133350</xdr:rowOff>
    </xdr:from>
    <xdr:to>
      <xdr:col>5</xdr:col>
      <xdr:colOff>112047</xdr:colOff>
      <xdr:row>8</xdr:row>
      <xdr:rowOff>127205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67075" y="146685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7</xdr:row>
      <xdr:rowOff>104775</xdr:rowOff>
    </xdr:from>
    <xdr:to>
      <xdr:col>5</xdr:col>
      <xdr:colOff>150147</xdr:colOff>
      <xdr:row>8</xdr:row>
      <xdr:rowOff>98630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86300" y="162877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POR MUNICIPIO A ORIGINARIOS DEL ESTADO DE QUERÉTARO POR ESTADO EN EE.UU. 2019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131379</xdr:rowOff>
    </xdr:from>
    <xdr:to>
      <xdr:col>4</xdr:col>
      <xdr:colOff>1031045</xdr:colOff>
      <xdr:row>7</xdr:row>
      <xdr:rowOff>315734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8" y="187215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POR MUNICIPIO A ORIGINARIOS DEL ESTADO DE QUERÉTARO EN LOS CONSULADOS DE MÉXICO EN EE.UU. 2019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111672</xdr:rowOff>
    </xdr:from>
    <xdr:to>
      <xdr:col>4</xdr:col>
      <xdr:colOff>1031045</xdr:colOff>
      <xdr:row>7</xdr:row>
      <xdr:rowOff>296027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8" y="1852448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7</xdr:row>
      <xdr:rowOff>95250</xdr:rowOff>
    </xdr:from>
    <xdr:to>
      <xdr:col>5</xdr:col>
      <xdr:colOff>102522</xdr:colOff>
      <xdr:row>8</xdr:row>
      <xdr:rowOff>89105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61925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A ORIGINARIOS DEL ESTADO DE QUERÉTARO POR NIVEL DE EDUCACIÓN Y ESTADO EN EE.UU. DURANTE EL 2019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592408</xdr:colOff>
      <xdr:row>7</xdr:row>
      <xdr:rowOff>127774</xdr:rowOff>
    </xdr:from>
    <xdr:to>
      <xdr:col>4</xdr:col>
      <xdr:colOff>1104505</xdr:colOff>
      <xdr:row>7</xdr:row>
      <xdr:rowOff>312129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27134" y="1858536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A ORIGINARIOS DEL ESTADO DE QUERÉTARO POR CONSULADO Y NIVEL DE EDUCACIÓN EN EE.UU. DURANTE EL 2019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495689</xdr:colOff>
      <xdr:row>7</xdr:row>
      <xdr:rowOff>136072</xdr:rowOff>
    </xdr:from>
    <xdr:to>
      <xdr:col>4</xdr:col>
      <xdr:colOff>1007786</xdr:colOff>
      <xdr:row>7</xdr:row>
      <xdr:rowOff>320427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1556" y="1885562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8</xdr:row>
      <xdr:rowOff>0</xdr:rowOff>
    </xdr:from>
    <xdr:to>
      <xdr:col>5</xdr:col>
      <xdr:colOff>112047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48200" y="17145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52336</xdr:colOff>
      <xdr:row>7</xdr:row>
      <xdr:rowOff>177940</xdr:rowOff>
    </xdr:from>
    <xdr:to>
      <xdr:col>6</xdr:col>
      <xdr:colOff>187619</xdr:colOff>
      <xdr:row>8</xdr:row>
      <xdr:rowOff>173888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54451" y="1559588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6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867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5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554753</xdr:colOff>
      <xdr:row>8</xdr:row>
      <xdr:rowOff>136072</xdr:rowOff>
    </xdr:from>
    <xdr:to>
      <xdr:col>5</xdr:col>
      <xdr:colOff>1066850</xdr:colOff>
      <xdr:row>9</xdr:row>
      <xdr:rowOff>132020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589396" y="1706127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142875</xdr:colOff>
      <xdr:row>7</xdr:row>
      <xdr:rowOff>133350</xdr:rowOff>
    </xdr:from>
    <xdr:to>
      <xdr:col>5</xdr:col>
      <xdr:colOff>35847</xdr:colOff>
      <xdr:row>8</xdr:row>
      <xdr:rowOff>127205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72000" y="165735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showGridLines="0" view="pageBreakPreview" topLeftCell="A2" zoomScaleNormal="100" zoomScaleSheetLayoutView="100" workbookViewId="0">
      <selection activeCell="J10" sqref="J10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0.42578125" style="1" customWidth="1"/>
    <col min="5" max="16384" width="11.42578125" style="1"/>
  </cols>
  <sheetData>
    <row r="1" spans="1:4" ht="42" customHeight="1" thickBot="1">
      <c r="A1" s="76" t="s">
        <v>17</v>
      </c>
      <c r="B1" s="77"/>
      <c r="C1" s="77"/>
      <c r="D1" s="78"/>
    </row>
    <row r="2" spans="1:4">
      <c r="A2" s="2"/>
      <c r="B2" s="3"/>
      <c r="C2" s="3"/>
      <c r="D2" s="4"/>
    </row>
    <row r="3" spans="1:4">
      <c r="A3" s="79" t="s">
        <v>0</v>
      </c>
      <c r="B3" s="80"/>
      <c r="C3" s="80"/>
      <c r="D3" s="81"/>
    </row>
    <row r="4" spans="1:4">
      <c r="A4" s="79"/>
      <c r="B4" s="80"/>
      <c r="C4" s="80"/>
      <c r="D4" s="81"/>
    </row>
    <row r="5" spans="1:4">
      <c r="A5" s="5"/>
      <c r="B5" s="6"/>
      <c r="C5" s="6"/>
      <c r="D5" s="7"/>
    </row>
    <row r="6" spans="1:4">
      <c r="A6" s="75" t="s">
        <v>1</v>
      </c>
      <c r="B6" s="73"/>
      <c r="C6" s="73"/>
      <c r="D6" s="74"/>
    </row>
    <row r="7" spans="1:4">
      <c r="A7" s="8"/>
      <c r="B7" s="9"/>
      <c r="C7" s="9"/>
      <c r="D7" s="10"/>
    </row>
    <row r="8" spans="1:4">
      <c r="A8" s="75" t="s">
        <v>2</v>
      </c>
      <c r="B8" s="73"/>
      <c r="C8" s="73"/>
      <c r="D8" s="74"/>
    </row>
    <row r="9" spans="1:4">
      <c r="A9" s="11"/>
      <c r="B9" s="73" t="s">
        <v>3</v>
      </c>
      <c r="C9" s="73"/>
      <c r="D9" s="74"/>
    </row>
    <row r="10" spans="1:4">
      <c r="A10" s="11"/>
      <c r="B10" s="12"/>
      <c r="C10" s="12"/>
      <c r="D10" s="13"/>
    </row>
    <row r="11" spans="1:4">
      <c r="A11" s="11" t="s">
        <v>4</v>
      </c>
      <c r="B11" s="12"/>
      <c r="C11" s="12"/>
      <c r="D11" s="13"/>
    </row>
    <row r="12" spans="1:4">
      <c r="A12" s="11"/>
      <c r="B12" s="73" t="s">
        <v>5</v>
      </c>
      <c r="C12" s="73"/>
      <c r="D12" s="74"/>
    </row>
    <row r="13" spans="1:4">
      <c r="A13" s="11"/>
      <c r="B13" s="73" t="s">
        <v>6</v>
      </c>
      <c r="C13" s="73"/>
      <c r="D13" s="74"/>
    </row>
    <row r="14" spans="1:4">
      <c r="A14" s="11"/>
      <c r="B14" s="73" t="s">
        <v>7</v>
      </c>
      <c r="C14" s="73"/>
      <c r="D14" s="74"/>
    </row>
    <row r="15" spans="1:4">
      <c r="A15" s="11"/>
      <c r="B15" s="12"/>
      <c r="C15" s="12"/>
      <c r="D15" s="13"/>
    </row>
    <row r="16" spans="1:4">
      <c r="A16" s="11" t="s">
        <v>8</v>
      </c>
      <c r="B16" s="12"/>
      <c r="C16" s="12"/>
      <c r="D16" s="13"/>
    </row>
    <row r="17" spans="1:4">
      <c r="A17" s="11"/>
      <c r="B17" s="73" t="s">
        <v>9</v>
      </c>
      <c r="C17" s="73"/>
      <c r="D17" s="74"/>
    </row>
    <row r="18" spans="1:4">
      <c r="A18" s="11"/>
      <c r="B18" s="73" t="s">
        <v>10</v>
      </c>
      <c r="C18" s="73"/>
      <c r="D18" s="74"/>
    </row>
    <row r="19" spans="1:4">
      <c r="A19" s="11"/>
      <c r="B19" s="73" t="s">
        <v>11</v>
      </c>
      <c r="C19" s="73"/>
      <c r="D19" s="74"/>
    </row>
    <row r="20" spans="1:4">
      <c r="A20" s="11"/>
      <c r="B20" s="12"/>
      <c r="C20" s="12"/>
      <c r="D20" s="13"/>
    </row>
    <row r="21" spans="1:4">
      <c r="A21" s="11" t="s">
        <v>12</v>
      </c>
      <c r="B21" s="12"/>
      <c r="C21" s="12"/>
      <c r="D21" s="13"/>
    </row>
    <row r="22" spans="1:4">
      <c r="A22" s="11"/>
      <c r="B22" s="73" t="s">
        <v>13</v>
      </c>
      <c r="C22" s="73"/>
      <c r="D22" s="74"/>
    </row>
    <row r="23" spans="1:4">
      <c r="A23" s="11"/>
      <c r="B23" s="73" t="s">
        <v>14</v>
      </c>
      <c r="C23" s="73"/>
      <c r="D23" s="74"/>
    </row>
    <row r="24" spans="1:4">
      <c r="A24" s="11"/>
      <c r="B24" s="12"/>
      <c r="C24" s="12"/>
      <c r="D24" s="13"/>
    </row>
    <row r="25" spans="1:4">
      <c r="A25" s="75" t="s">
        <v>15</v>
      </c>
      <c r="B25" s="73"/>
      <c r="C25" s="73"/>
      <c r="D25" s="74"/>
    </row>
    <row r="26" spans="1:4">
      <c r="A26" s="11"/>
      <c r="B26" s="12"/>
      <c r="C26" s="12"/>
      <c r="D26" s="13"/>
    </row>
    <row r="27" spans="1:4">
      <c r="A27" s="75" t="s">
        <v>16</v>
      </c>
      <c r="B27" s="73"/>
      <c r="C27" s="73"/>
      <c r="D27" s="74"/>
    </row>
    <row r="28" spans="1:4" ht="18.75" thickBot="1">
      <c r="A28" s="14"/>
      <c r="B28" s="15"/>
      <c r="C28" s="15"/>
      <c r="D28" s="16"/>
    </row>
  </sheetData>
  <mergeCells count="15">
    <mergeCell ref="B12:D12"/>
    <mergeCell ref="A1:D1"/>
    <mergeCell ref="A3:D4"/>
    <mergeCell ref="A6:D6"/>
    <mergeCell ref="A8:D8"/>
    <mergeCell ref="B9:D9"/>
    <mergeCell ref="B23:D23"/>
    <mergeCell ref="A25:D25"/>
    <mergeCell ref="A27:D27"/>
    <mergeCell ref="B13:D13"/>
    <mergeCell ref="B14:D14"/>
    <mergeCell ref="B17:D17"/>
    <mergeCell ref="B18:D18"/>
    <mergeCell ref="B19:D19"/>
    <mergeCell ref="B22:D22"/>
  </mergeCells>
  <hyperlinks>
    <hyperlink ref="A6" location="Aguascalientes_EdoUsa!A1" display="1. Por Estados de USA"/>
    <hyperlink ref="A8" location="Aguascalientes_Cons_2018!A1" display="2. Por Circunscripción Consular"/>
    <hyperlink ref="B9" location="AguascalientesXCons2018!A1" display="2.1 Top ten por circunscripción consular"/>
    <hyperlink ref="B12" location="Aguascalientes_EdoMun!A1" display="3.1 Municipio general"/>
    <hyperlink ref="B13" location="Aguascalientes_USAMuni2016!A1" display="3.2 Por Estado de USA"/>
    <hyperlink ref="B14" location="Aguascalientes_MUNICIPIO!A1" display="3.3 Por Circunscripción Consular"/>
    <hyperlink ref="B17" location="Aguascalientes_educ_gral!A1" display="4.1 Educación general"/>
    <hyperlink ref="B18" location="Aguascalientes_NivelE_Cons!A1" display="4.2 Por Estado de USA"/>
    <hyperlink ref="B19" location="Aguascalientes_EducCons!A1" display="4.3 Por Circunscripción Consular"/>
    <hyperlink ref="B22" location="Aguascalientes_GenGral!A1" display="5.1 Género General"/>
    <hyperlink ref="B23" location="Aguascalientes_GENERO!A1" display="5.3 Por Circunscripción Consular"/>
    <hyperlink ref="A25" location="Aguascalientes_Gen_Edad!A1" display="6. Por estructura de Edad"/>
    <hyperlink ref="A27" location="Aguascalientes_ocup_gral!A1" display="7. Por Ocupación"/>
    <hyperlink ref="B13:D13" location="Querétaro_USAMuni!A1" display="3.2 Por Estado de USA"/>
    <hyperlink ref="A8:D8" location="Querétaro_Cons!A1" display="2. Por Circunscripción Consular"/>
    <hyperlink ref="B9:D9" location="QuerétaroXCons!A1" display="2.1 Top ten por circunscripción consular"/>
    <hyperlink ref="A6:D6" location="Querétaro_EdoUsa!A1" display="1. Por Estados de USA"/>
    <hyperlink ref="B12:D12" location="Querétaro_EdoMun!A1" display="3.1 Municipio general"/>
    <hyperlink ref="B14:D14" location="Querétaro_MUNICIPIO!A1" display="3.3 Por Circunscripción Consular"/>
    <hyperlink ref="B17:D17" location="Querétaro_educ_gral!A1" display="4.1 Educación general"/>
    <hyperlink ref="B18:D18" location="Querétaro_NivelE_Cons!A1" display="4.2 Por Estado de USA"/>
    <hyperlink ref="B19:D19" location="Querétaro_EducCons!A1" display="4.3 Por Circunscripción Consular"/>
    <hyperlink ref="B22:D22" location="Querétaro_GenGral!A1" display="5.1 Género General"/>
    <hyperlink ref="B23:D23" location="Querétaro_GENERO!A1" display="5.2 Por Circunscripción Consular"/>
    <hyperlink ref="A25:D25" location="Querétaro_Gen_Edad!A1" display="6. Por estructura de Edad"/>
    <hyperlink ref="A27:D27" location="Querétaro_ocup_gral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65"/>
  <sheetViews>
    <sheetView showGridLines="0" topLeftCell="A33" zoomScaleNormal="100" zoomScaleSheetLayoutView="115" workbookViewId="0">
      <selection activeCell="C59" sqref="C59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75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2" t="s">
        <v>74</v>
      </c>
      <c r="C7" s="82"/>
      <c r="D7" s="82"/>
    </row>
    <row r="8" spans="1:4" s="29" customFormat="1" ht="15" customHeight="1">
      <c r="B8" s="82"/>
      <c r="C8" s="82"/>
      <c r="D8" s="82"/>
    </row>
    <row r="9" spans="1:4" s="29" customFormat="1" ht="33" customHeight="1">
      <c r="B9" s="82"/>
      <c r="C9" s="82"/>
      <c r="D9" s="82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73</v>
      </c>
      <c r="C11" s="31" t="s">
        <v>72</v>
      </c>
      <c r="D11" s="30" t="s">
        <v>71</v>
      </c>
    </row>
    <row r="12" spans="1:4">
      <c r="B12" s="27" t="s">
        <v>70</v>
      </c>
      <c r="C12" s="26">
        <v>3014</v>
      </c>
      <c r="D12" s="25">
        <v>0.33548530721282277</v>
      </c>
    </row>
    <row r="13" spans="1:4" s="28" customFormat="1">
      <c r="A13" s="17"/>
      <c r="B13" s="27" t="s">
        <v>69</v>
      </c>
      <c r="C13" s="26">
        <v>1678</v>
      </c>
      <c r="D13" s="25">
        <v>0.18677649154051648</v>
      </c>
    </row>
    <row r="14" spans="1:4" s="28" customFormat="1">
      <c r="A14" s="17"/>
      <c r="B14" s="27" t="s">
        <v>68</v>
      </c>
      <c r="C14" s="26">
        <v>911</v>
      </c>
      <c r="D14" s="25">
        <v>0.10140249332146037</v>
      </c>
    </row>
    <row r="15" spans="1:4">
      <c r="B15" s="27" t="s">
        <v>67</v>
      </c>
      <c r="C15" s="26">
        <v>395</v>
      </c>
      <c r="D15" s="25">
        <v>4.396705253784506E-2</v>
      </c>
    </row>
    <row r="16" spans="1:4">
      <c r="B16" s="27" t="s">
        <v>66</v>
      </c>
      <c r="C16" s="26">
        <v>371</v>
      </c>
      <c r="D16" s="25">
        <v>4.1295636687444348E-2</v>
      </c>
    </row>
    <row r="17" spans="2:4">
      <c r="B17" s="27" t="s">
        <v>65</v>
      </c>
      <c r="C17" s="26">
        <v>209</v>
      </c>
      <c r="D17" s="25">
        <v>2.3263579697239536E-2</v>
      </c>
    </row>
    <row r="18" spans="2:4">
      <c r="B18" s="27" t="s">
        <v>64</v>
      </c>
      <c r="C18" s="26">
        <v>181</v>
      </c>
      <c r="D18" s="25">
        <v>2.0146927871772038E-2</v>
      </c>
    </row>
    <row r="19" spans="2:4">
      <c r="B19" s="27" t="s">
        <v>63</v>
      </c>
      <c r="C19" s="26">
        <v>144</v>
      </c>
      <c r="D19" s="25">
        <v>1.6028495102404273E-2</v>
      </c>
    </row>
    <row r="20" spans="2:4">
      <c r="B20" s="27" t="s">
        <v>62</v>
      </c>
      <c r="C20" s="26">
        <v>138</v>
      </c>
      <c r="D20" s="25">
        <v>1.5360641139804097E-2</v>
      </c>
    </row>
    <row r="21" spans="2:4">
      <c r="B21" s="27" t="s">
        <v>61</v>
      </c>
      <c r="C21" s="26">
        <v>128</v>
      </c>
      <c r="D21" s="25">
        <v>1.4247551202137132E-2</v>
      </c>
    </row>
    <row r="22" spans="2:4">
      <c r="B22" s="27" t="s">
        <v>60</v>
      </c>
      <c r="C22" s="26">
        <v>126</v>
      </c>
      <c r="D22" s="25">
        <v>1.4024933214603739E-2</v>
      </c>
    </row>
    <row r="23" spans="2:4">
      <c r="B23" s="27" t="s">
        <v>59</v>
      </c>
      <c r="C23" s="26">
        <v>125</v>
      </c>
      <c r="D23" s="25">
        <v>1.3913624220837044E-2</v>
      </c>
    </row>
    <row r="24" spans="2:4">
      <c r="B24" s="27" t="s">
        <v>58</v>
      </c>
      <c r="C24" s="26">
        <v>120</v>
      </c>
      <c r="D24" s="25">
        <v>1.3357079252003561E-2</v>
      </c>
    </row>
    <row r="25" spans="2:4">
      <c r="B25" s="27" t="s">
        <v>57</v>
      </c>
      <c r="C25" s="26">
        <v>116</v>
      </c>
      <c r="D25" s="25">
        <v>1.2911843276936777E-2</v>
      </c>
    </row>
    <row r="26" spans="2:4">
      <c r="B26" s="27" t="s">
        <v>56</v>
      </c>
      <c r="C26" s="26">
        <v>115</v>
      </c>
      <c r="D26" s="25">
        <v>1.280053428317008E-2</v>
      </c>
    </row>
    <row r="27" spans="2:4">
      <c r="B27" s="27" t="s">
        <v>55</v>
      </c>
      <c r="C27" s="26">
        <v>108</v>
      </c>
      <c r="D27" s="25">
        <v>1.2021371326803205E-2</v>
      </c>
    </row>
    <row r="28" spans="2:4">
      <c r="B28" s="27" t="s">
        <v>54</v>
      </c>
      <c r="C28" s="26">
        <v>105</v>
      </c>
      <c r="D28" s="25">
        <v>1.1687444345503117E-2</v>
      </c>
    </row>
    <row r="29" spans="2:4">
      <c r="B29" s="27" t="s">
        <v>53</v>
      </c>
      <c r="C29" s="26">
        <v>105</v>
      </c>
      <c r="D29" s="25">
        <v>1.1687444345503117E-2</v>
      </c>
    </row>
    <row r="30" spans="2:4">
      <c r="B30" s="27" t="s">
        <v>52</v>
      </c>
      <c r="C30" s="26">
        <v>82</v>
      </c>
      <c r="D30" s="25">
        <v>9.1273374888691007E-3</v>
      </c>
    </row>
    <row r="31" spans="2:4">
      <c r="B31" s="27" t="s">
        <v>51</v>
      </c>
      <c r="C31" s="26">
        <v>77</v>
      </c>
      <c r="D31" s="25">
        <v>8.5707925200356194E-3</v>
      </c>
    </row>
    <row r="32" spans="2:4">
      <c r="B32" s="27" t="s">
        <v>50</v>
      </c>
      <c r="C32" s="26">
        <v>70</v>
      </c>
      <c r="D32" s="25">
        <v>7.7916295636687441E-3</v>
      </c>
    </row>
    <row r="33" spans="2:4">
      <c r="B33" s="27" t="s">
        <v>49</v>
      </c>
      <c r="C33" s="26">
        <v>57</v>
      </c>
      <c r="D33" s="25">
        <v>6.3446126447016917E-3</v>
      </c>
    </row>
    <row r="34" spans="2:4">
      <c r="B34" s="27" t="s">
        <v>48</v>
      </c>
      <c r="C34" s="26">
        <v>50</v>
      </c>
      <c r="D34" s="25">
        <v>5.5654496883348172E-3</v>
      </c>
    </row>
    <row r="35" spans="2:4">
      <c r="B35" s="27" t="s">
        <v>47</v>
      </c>
      <c r="C35" s="26">
        <v>49</v>
      </c>
      <c r="D35" s="25">
        <v>5.4541406945681215E-3</v>
      </c>
    </row>
    <row r="36" spans="2:4">
      <c r="B36" s="27" t="s">
        <v>46</v>
      </c>
      <c r="C36" s="26">
        <v>49</v>
      </c>
      <c r="D36" s="25">
        <v>5.4541406945681215E-3</v>
      </c>
    </row>
    <row r="37" spans="2:4">
      <c r="B37" s="27" t="s">
        <v>45</v>
      </c>
      <c r="C37" s="26">
        <v>48</v>
      </c>
      <c r="D37" s="25">
        <v>5.3428317008014248E-3</v>
      </c>
    </row>
    <row r="38" spans="2:4">
      <c r="B38" s="27" t="s">
        <v>44</v>
      </c>
      <c r="C38" s="26">
        <v>45</v>
      </c>
      <c r="D38" s="25">
        <v>5.0089047195013359E-3</v>
      </c>
    </row>
    <row r="39" spans="2:4">
      <c r="B39" s="27" t="s">
        <v>43</v>
      </c>
      <c r="C39" s="26">
        <v>40</v>
      </c>
      <c r="D39" s="25">
        <v>4.4523597506678537E-3</v>
      </c>
    </row>
    <row r="40" spans="2:4">
      <c r="B40" s="27" t="s">
        <v>42</v>
      </c>
      <c r="C40" s="26">
        <v>38</v>
      </c>
      <c r="D40" s="25">
        <v>4.2297417631344614E-3</v>
      </c>
    </row>
    <row r="41" spans="2:4">
      <c r="B41" s="27" t="s">
        <v>41</v>
      </c>
      <c r="C41" s="26">
        <v>38</v>
      </c>
      <c r="D41" s="25">
        <v>4.2297417631344614E-3</v>
      </c>
    </row>
    <row r="42" spans="2:4">
      <c r="B42" s="27" t="s">
        <v>40</v>
      </c>
      <c r="C42" s="26">
        <v>37</v>
      </c>
      <c r="D42" s="25">
        <v>4.1184327693677648E-3</v>
      </c>
    </row>
    <row r="43" spans="2:4">
      <c r="B43" s="27" t="s">
        <v>39</v>
      </c>
      <c r="C43" s="26">
        <v>36</v>
      </c>
      <c r="D43" s="25">
        <v>4.0071237756010682E-3</v>
      </c>
    </row>
    <row r="44" spans="2:4">
      <c r="B44" s="27" t="s">
        <v>38</v>
      </c>
      <c r="C44" s="26">
        <v>33</v>
      </c>
      <c r="D44" s="25">
        <v>3.6731967943009797E-3</v>
      </c>
    </row>
    <row r="45" spans="2:4">
      <c r="B45" s="27" t="s">
        <v>37</v>
      </c>
      <c r="C45" s="26">
        <v>28</v>
      </c>
      <c r="D45" s="25">
        <v>3.116651825467498E-3</v>
      </c>
    </row>
    <row r="46" spans="2:4">
      <c r="B46" s="27" t="s">
        <v>36</v>
      </c>
      <c r="C46" s="26">
        <v>23</v>
      </c>
      <c r="D46" s="25">
        <v>2.5601068566340158E-3</v>
      </c>
    </row>
    <row r="47" spans="2:4">
      <c r="B47" s="27" t="s">
        <v>35</v>
      </c>
      <c r="C47" s="26">
        <v>19</v>
      </c>
      <c r="D47" s="25">
        <v>2.1148708815672307E-3</v>
      </c>
    </row>
    <row r="48" spans="2:4">
      <c r="B48" s="27" t="s">
        <v>34</v>
      </c>
      <c r="C48" s="26">
        <v>15</v>
      </c>
      <c r="D48" s="25">
        <v>1.6696349065004452E-3</v>
      </c>
    </row>
    <row r="49" spans="2:4">
      <c r="B49" s="27" t="s">
        <v>33</v>
      </c>
      <c r="C49" s="26">
        <v>15</v>
      </c>
      <c r="D49" s="25">
        <v>1.6696349065004452E-3</v>
      </c>
    </row>
    <row r="50" spans="2:4">
      <c r="B50" s="27" t="s">
        <v>32</v>
      </c>
      <c r="C50" s="26">
        <v>12</v>
      </c>
      <c r="D50" s="25">
        <v>1.3357079252003562E-3</v>
      </c>
    </row>
    <row r="51" spans="2:4">
      <c r="B51" s="27" t="s">
        <v>31</v>
      </c>
      <c r="C51" s="26">
        <v>11</v>
      </c>
      <c r="D51" s="25">
        <v>1.2243989314336598E-3</v>
      </c>
    </row>
    <row r="52" spans="2:4">
      <c r="B52" s="27" t="s">
        <v>30</v>
      </c>
      <c r="C52" s="26">
        <v>6</v>
      </c>
      <c r="D52" s="25">
        <v>6.6785396260017811E-4</v>
      </c>
    </row>
    <row r="53" spans="2:4">
      <c r="B53" s="27" t="s">
        <v>29</v>
      </c>
      <c r="C53" s="26">
        <v>4</v>
      </c>
      <c r="D53" s="25">
        <v>4.4523597506678539E-4</v>
      </c>
    </row>
    <row r="54" spans="2:4">
      <c r="B54" s="27" t="s">
        <v>28</v>
      </c>
      <c r="C54" s="26">
        <v>4</v>
      </c>
      <c r="D54" s="25">
        <v>4.4523597506678539E-4</v>
      </c>
    </row>
    <row r="55" spans="2:4">
      <c r="B55" s="27" t="s">
        <v>27</v>
      </c>
      <c r="C55" s="26">
        <v>3</v>
      </c>
      <c r="D55" s="25">
        <v>3.3392698130008905E-4</v>
      </c>
    </row>
    <row r="56" spans="2:4">
      <c r="B56" s="27" t="s">
        <v>26</v>
      </c>
      <c r="C56" s="26">
        <v>3</v>
      </c>
      <c r="D56" s="25">
        <v>3.3392698130008905E-4</v>
      </c>
    </row>
    <row r="57" spans="2:4">
      <c r="B57" s="27" t="s">
        <v>25</v>
      </c>
      <c r="C57" s="26">
        <v>2</v>
      </c>
      <c r="D57" s="25">
        <v>2.2261798753339269E-4</v>
      </c>
    </row>
    <row r="58" spans="2:4">
      <c r="B58" s="27" t="s">
        <v>24</v>
      </c>
      <c r="C58" s="26">
        <v>1</v>
      </c>
      <c r="D58" s="25">
        <v>1.1130899376669635E-4</v>
      </c>
    </row>
    <row r="59" spans="2:4" ht="15" customHeight="1">
      <c r="B59" s="24" t="s">
        <v>23</v>
      </c>
      <c r="C59" s="23">
        <v>8984</v>
      </c>
      <c r="D59" s="22">
        <v>1</v>
      </c>
    </row>
    <row r="61" spans="2:4">
      <c r="B61" s="19" t="s">
        <v>22</v>
      </c>
    </row>
    <row r="62" spans="2:4">
      <c r="B62" s="21" t="s">
        <v>21</v>
      </c>
    </row>
    <row r="63" spans="2:4">
      <c r="B63" s="20" t="s">
        <v>20</v>
      </c>
    </row>
    <row r="64" spans="2:4">
      <c r="B64" s="19" t="s">
        <v>19</v>
      </c>
    </row>
    <row r="65" spans="2:2">
      <c r="B65" s="19" t="s">
        <v>18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68"/>
  <sheetViews>
    <sheetView showGridLines="0" topLeftCell="A42" zoomScaleNormal="100" zoomScaleSheetLayoutView="115" workbookViewId="0">
      <selection activeCell="C62" sqref="C62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75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2" t="s">
        <v>126</v>
      </c>
      <c r="C7" s="82"/>
      <c r="D7" s="82"/>
    </row>
    <row r="8" spans="1:4" s="29" customFormat="1" ht="15" customHeight="1">
      <c r="B8" s="82"/>
      <c r="C8" s="82"/>
      <c r="D8" s="82"/>
    </row>
    <row r="9" spans="1:4" s="29" customFormat="1" ht="33" customHeight="1">
      <c r="B9" s="82"/>
      <c r="C9" s="82"/>
      <c r="D9" s="82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125</v>
      </c>
      <c r="C11" s="31" t="s">
        <v>72</v>
      </c>
      <c r="D11" s="30" t="s">
        <v>71</v>
      </c>
    </row>
    <row r="12" spans="1:4" ht="15" customHeight="1">
      <c r="B12" s="27" t="s">
        <v>121</v>
      </c>
      <c r="C12" s="26">
        <v>1115</v>
      </c>
      <c r="D12" s="25">
        <f t="shared" ref="D12:D43" si="0">C12/$C$62</f>
        <v>0.12410952804986643</v>
      </c>
    </row>
    <row r="13" spans="1:4">
      <c r="B13" s="27" t="s">
        <v>122</v>
      </c>
      <c r="C13" s="26">
        <v>965</v>
      </c>
      <c r="D13" s="25">
        <f t="shared" si="0"/>
        <v>0.10741317898486198</v>
      </c>
    </row>
    <row r="14" spans="1:4" s="28" customFormat="1">
      <c r="A14" s="17"/>
      <c r="B14" s="27" t="s">
        <v>120</v>
      </c>
      <c r="C14" s="26">
        <v>647</v>
      </c>
      <c r="D14" s="25">
        <f t="shared" si="0"/>
        <v>7.2016918967052534E-2</v>
      </c>
    </row>
    <row r="15" spans="1:4" s="28" customFormat="1">
      <c r="A15" s="17"/>
      <c r="B15" s="27" t="s">
        <v>110</v>
      </c>
      <c r="C15" s="26">
        <v>532</v>
      </c>
      <c r="D15" s="25">
        <f t="shared" si="0"/>
        <v>5.9216384683882455E-2</v>
      </c>
    </row>
    <row r="16" spans="1:4">
      <c r="B16" s="27" t="s">
        <v>117</v>
      </c>
      <c r="C16" s="26">
        <v>494</v>
      </c>
      <c r="D16" s="25">
        <f t="shared" si="0"/>
        <v>5.4986642920747994E-2</v>
      </c>
    </row>
    <row r="17" spans="2:4">
      <c r="B17" s="27" t="s">
        <v>111</v>
      </c>
      <c r="C17" s="26">
        <v>459</v>
      </c>
      <c r="D17" s="25">
        <f t="shared" si="0"/>
        <v>5.1090828138913622E-2</v>
      </c>
    </row>
    <row r="18" spans="2:4">
      <c r="B18" s="27" t="s">
        <v>98</v>
      </c>
      <c r="C18" s="26">
        <v>457</v>
      </c>
      <c r="D18" s="25">
        <f t="shared" si="0"/>
        <v>5.0868210151380232E-2</v>
      </c>
    </row>
    <row r="19" spans="2:4">
      <c r="B19" s="27" t="s">
        <v>124</v>
      </c>
      <c r="C19" s="26">
        <v>386</v>
      </c>
      <c r="D19" s="25">
        <f t="shared" si="0"/>
        <v>4.2965271593944789E-2</v>
      </c>
    </row>
    <row r="20" spans="2:4">
      <c r="B20" s="27" t="s">
        <v>115</v>
      </c>
      <c r="C20" s="26">
        <v>349</v>
      </c>
      <c r="D20" s="25">
        <f t="shared" si="0"/>
        <v>3.8846838824577026E-2</v>
      </c>
    </row>
    <row r="21" spans="2:4">
      <c r="B21" s="27" t="s">
        <v>112</v>
      </c>
      <c r="C21" s="26">
        <v>346</v>
      </c>
      <c r="D21" s="25">
        <f t="shared" si="0"/>
        <v>3.8512911843276938E-2</v>
      </c>
    </row>
    <row r="22" spans="2:4">
      <c r="B22" s="27" t="s">
        <v>100</v>
      </c>
      <c r="C22" s="26">
        <v>326</v>
      </c>
      <c r="D22" s="25">
        <f t="shared" si="0"/>
        <v>3.6286731967943013E-2</v>
      </c>
    </row>
    <row r="23" spans="2:4">
      <c r="B23" s="27" t="s">
        <v>104</v>
      </c>
      <c r="C23" s="26">
        <v>264</v>
      </c>
      <c r="D23" s="25">
        <f t="shared" si="0"/>
        <v>2.9385574354407838E-2</v>
      </c>
    </row>
    <row r="24" spans="2:4">
      <c r="B24" s="27" t="s">
        <v>116</v>
      </c>
      <c r="C24" s="26">
        <v>228</v>
      </c>
      <c r="D24" s="25">
        <f t="shared" si="0"/>
        <v>2.5378450578806767E-2</v>
      </c>
    </row>
    <row r="25" spans="2:4">
      <c r="B25" s="27" t="s">
        <v>123</v>
      </c>
      <c r="C25" s="26">
        <v>208</v>
      </c>
      <c r="D25" s="25">
        <f t="shared" si="0"/>
        <v>2.3152270703472842E-2</v>
      </c>
    </row>
    <row r="26" spans="2:4">
      <c r="B26" s="27" t="s">
        <v>90</v>
      </c>
      <c r="C26" s="26">
        <v>151</v>
      </c>
      <c r="D26" s="25">
        <f t="shared" si="0"/>
        <v>1.6807658058771147E-2</v>
      </c>
    </row>
    <row r="27" spans="2:4">
      <c r="B27" s="27" t="s">
        <v>92</v>
      </c>
      <c r="C27" s="26">
        <v>148</v>
      </c>
      <c r="D27" s="25">
        <f t="shared" si="0"/>
        <v>1.6473731077471059E-2</v>
      </c>
    </row>
    <row r="28" spans="2:4">
      <c r="B28" s="27" t="s">
        <v>106</v>
      </c>
      <c r="C28" s="26">
        <v>145</v>
      </c>
      <c r="D28" s="25">
        <f t="shared" si="0"/>
        <v>1.6139804096170971E-2</v>
      </c>
    </row>
    <row r="29" spans="2:4">
      <c r="B29" s="27" t="s">
        <v>60</v>
      </c>
      <c r="C29" s="26">
        <v>140</v>
      </c>
      <c r="D29" s="25">
        <f t="shared" si="0"/>
        <v>1.5583259127337488E-2</v>
      </c>
    </row>
    <row r="30" spans="2:4">
      <c r="B30" s="27" t="s">
        <v>108</v>
      </c>
      <c r="C30" s="26">
        <v>121</v>
      </c>
      <c r="D30" s="25">
        <f t="shared" si="0"/>
        <v>1.3468388245770258E-2</v>
      </c>
    </row>
    <row r="31" spans="2:4">
      <c r="B31" s="27" t="s">
        <v>102</v>
      </c>
      <c r="C31" s="26">
        <v>108</v>
      </c>
      <c r="D31" s="25">
        <f t="shared" si="0"/>
        <v>1.2021371326803205E-2</v>
      </c>
    </row>
    <row r="32" spans="2:4">
      <c r="B32" s="27" t="s">
        <v>105</v>
      </c>
      <c r="C32" s="26">
        <v>107</v>
      </c>
      <c r="D32" s="25">
        <f t="shared" si="0"/>
        <v>1.1910062333036509E-2</v>
      </c>
    </row>
    <row r="33" spans="2:4">
      <c r="B33" s="27" t="s">
        <v>93</v>
      </c>
      <c r="C33" s="26">
        <v>103</v>
      </c>
      <c r="D33" s="25">
        <f t="shared" si="0"/>
        <v>1.1464826357969724E-2</v>
      </c>
    </row>
    <row r="34" spans="2:4">
      <c r="B34" s="27" t="s">
        <v>99</v>
      </c>
      <c r="C34" s="26">
        <v>93</v>
      </c>
      <c r="D34" s="25">
        <f t="shared" si="0"/>
        <v>1.035173642030276E-2</v>
      </c>
    </row>
    <row r="35" spans="2:4">
      <c r="B35" s="27" t="s">
        <v>109</v>
      </c>
      <c r="C35" s="26">
        <v>93</v>
      </c>
      <c r="D35" s="25">
        <f t="shared" si="0"/>
        <v>1.035173642030276E-2</v>
      </c>
    </row>
    <row r="36" spans="2:4">
      <c r="B36" s="27" t="s">
        <v>113</v>
      </c>
      <c r="C36" s="26">
        <v>91</v>
      </c>
      <c r="D36" s="25">
        <f t="shared" si="0"/>
        <v>1.0129118432769368E-2</v>
      </c>
    </row>
    <row r="37" spans="2:4">
      <c r="B37" s="27" t="s">
        <v>101</v>
      </c>
      <c r="C37" s="26">
        <v>89</v>
      </c>
      <c r="D37" s="25">
        <f t="shared" si="0"/>
        <v>9.9065004452359752E-3</v>
      </c>
    </row>
    <row r="38" spans="2:4">
      <c r="B38" s="27" t="s">
        <v>118</v>
      </c>
      <c r="C38" s="26">
        <v>87</v>
      </c>
      <c r="D38" s="25">
        <f t="shared" si="0"/>
        <v>9.683882457702582E-3</v>
      </c>
    </row>
    <row r="39" spans="2:4">
      <c r="B39" s="27" t="s">
        <v>114</v>
      </c>
      <c r="C39" s="26">
        <v>83</v>
      </c>
      <c r="D39" s="25">
        <f t="shared" si="0"/>
        <v>9.2386464826357973E-3</v>
      </c>
    </row>
    <row r="40" spans="2:4">
      <c r="B40" s="27" t="s">
        <v>119</v>
      </c>
      <c r="C40" s="26">
        <v>73</v>
      </c>
      <c r="D40" s="25">
        <f t="shared" si="0"/>
        <v>8.125556544968833E-3</v>
      </c>
    </row>
    <row r="41" spans="2:4">
      <c r="B41" s="27" t="s">
        <v>97</v>
      </c>
      <c r="C41" s="26">
        <v>72</v>
      </c>
      <c r="D41" s="25">
        <f t="shared" si="0"/>
        <v>8.0142475512021364E-3</v>
      </c>
    </row>
    <row r="42" spans="2:4">
      <c r="B42" s="27" t="s">
        <v>103</v>
      </c>
      <c r="C42" s="26">
        <v>63</v>
      </c>
      <c r="D42" s="25">
        <f t="shared" si="0"/>
        <v>7.0124666073018696E-3</v>
      </c>
    </row>
    <row r="43" spans="2:4">
      <c r="B43" s="27" t="s">
        <v>96</v>
      </c>
      <c r="C43" s="26">
        <v>59</v>
      </c>
      <c r="D43" s="25">
        <f t="shared" si="0"/>
        <v>6.5672306322350849E-3</v>
      </c>
    </row>
    <row r="44" spans="2:4">
      <c r="B44" s="27" t="s">
        <v>94</v>
      </c>
      <c r="C44" s="26">
        <v>57</v>
      </c>
      <c r="D44" s="25">
        <f t="shared" ref="D44:D62" si="1">C44/$C$62</f>
        <v>6.3446126447016917E-3</v>
      </c>
    </row>
    <row r="45" spans="2:4">
      <c r="B45" s="27" t="s">
        <v>91</v>
      </c>
      <c r="C45" s="26">
        <v>54</v>
      </c>
      <c r="D45" s="25">
        <f t="shared" si="1"/>
        <v>6.0106856634016027E-3</v>
      </c>
    </row>
    <row r="46" spans="2:4">
      <c r="B46" s="27" t="s">
        <v>87</v>
      </c>
      <c r="C46" s="26">
        <v>49</v>
      </c>
      <c r="D46" s="25">
        <f t="shared" si="1"/>
        <v>5.4541406945681215E-3</v>
      </c>
    </row>
    <row r="47" spans="2:4">
      <c r="B47" s="27" t="s">
        <v>86</v>
      </c>
      <c r="C47" s="26">
        <v>45</v>
      </c>
      <c r="D47" s="25">
        <f t="shared" si="1"/>
        <v>5.0089047195013359E-3</v>
      </c>
    </row>
    <row r="48" spans="2:4">
      <c r="B48" s="27" t="s">
        <v>95</v>
      </c>
      <c r="C48" s="26">
        <v>45</v>
      </c>
      <c r="D48" s="25">
        <f t="shared" si="1"/>
        <v>5.0089047195013359E-3</v>
      </c>
    </row>
    <row r="49" spans="2:4">
      <c r="B49" s="27" t="s">
        <v>107</v>
      </c>
      <c r="C49" s="26">
        <v>37</v>
      </c>
      <c r="D49" s="25">
        <f t="shared" si="1"/>
        <v>4.1184327693677648E-3</v>
      </c>
    </row>
    <row r="50" spans="2:4">
      <c r="B50" s="27" t="s">
        <v>82</v>
      </c>
      <c r="C50" s="26">
        <v>33</v>
      </c>
      <c r="D50" s="25">
        <f t="shared" si="1"/>
        <v>3.6731967943009797E-3</v>
      </c>
    </row>
    <row r="51" spans="2:4">
      <c r="B51" s="27" t="s">
        <v>88</v>
      </c>
      <c r="C51" s="26">
        <v>18</v>
      </c>
      <c r="D51" s="25">
        <f t="shared" si="1"/>
        <v>2.0035618878005341E-3</v>
      </c>
    </row>
    <row r="52" spans="2:4">
      <c r="B52" s="27" t="s">
        <v>89</v>
      </c>
      <c r="C52" s="26">
        <v>17</v>
      </c>
      <c r="D52" s="25">
        <f t="shared" si="1"/>
        <v>1.8922528940338379E-3</v>
      </c>
    </row>
    <row r="53" spans="2:4">
      <c r="B53" s="27" t="s">
        <v>83</v>
      </c>
      <c r="C53" s="26">
        <v>12</v>
      </c>
      <c r="D53" s="25">
        <f t="shared" si="1"/>
        <v>1.3357079252003562E-3</v>
      </c>
    </row>
    <row r="54" spans="2:4">
      <c r="B54" s="27" t="s">
        <v>79</v>
      </c>
      <c r="C54" s="26">
        <v>6</v>
      </c>
      <c r="D54" s="25">
        <f t="shared" si="1"/>
        <v>6.6785396260017811E-4</v>
      </c>
    </row>
    <row r="55" spans="2:4">
      <c r="B55" s="27" t="s">
        <v>84</v>
      </c>
      <c r="C55" s="26">
        <v>5</v>
      </c>
      <c r="D55" s="25">
        <f t="shared" si="1"/>
        <v>5.5654496883348172E-4</v>
      </c>
    </row>
    <row r="56" spans="2:4">
      <c r="B56" s="27" t="s">
        <v>85</v>
      </c>
      <c r="C56" s="26">
        <v>4</v>
      </c>
      <c r="D56" s="25">
        <f t="shared" si="1"/>
        <v>4.4523597506678539E-4</v>
      </c>
    </row>
    <row r="57" spans="2:4">
      <c r="B57" s="27" t="s">
        <v>80</v>
      </c>
      <c r="C57" s="26">
        <v>0</v>
      </c>
      <c r="D57" s="25">
        <f t="shared" si="1"/>
        <v>0</v>
      </c>
    </row>
    <row r="58" spans="2:4">
      <c r="B58" s="27" t="s">
        <v>77</v>
      </c>
      <c r="C58" s="26">
        <v>0</v>
      </c>
      <c r="D58" s="25">
        <f t="shared" si="1"/>
        <v>0</v>
      </c>
    </row>
    <row r="59" spans="2:4">
      <c r="B59" s="27" t="s">
        <v>76</v>
      </c>
      <c r="C59" s="26">
        <v>0</v>
      </c>
      <c r="D59" s="25">
        <f t="shared" si="1"/>
        <v>0</v>
      </c>
    </row>
    <row r="60" spans="2:4">
      <c r="B60" s="27" t="s">
        <v>78</v>
      </c>
      <c r="C60" s="26">
        <v>0</v>
      </c>
      <c r="D60" s="25">
        <f t="shared" si="1"/>
        <v>0</v>
      </c>
    </row>
    <row r="61" spans="2:4">
      <c r="B61" s="27" t="s">
        <v>81</v>
      </c>
      <c r="C61" s="26">
        <v>0</v>
      </c>
      <c r="D61" s="25">
        <f t="shared" si="1"/>
        <v>0</v>
      </c>
    </row>
    <row r="62" spans="2:4">
      <c r="B62" s="24" t="s">
        <v>23</v>
      </c>
      <c r="C62" s="23">
        <v>8984</v>
      </c>
      <c r="D62" s="22">
        <f t="shared" si="1"/>
        <v>1</v>
      </c>
    </row>
    <row r="64" spans="2:4">
      <c r="B64" s="19" t="s">
        <v>22</v>
      </c>
    </row>
    <row r="65" spans="2:2">
      <c r="B65" s="21" t="s">
        <v>21</v>
      </c>
    </row>
    <row r="66" spans="2:2">
      <c r="B66" s="20" t="s">
        <v>20</v>
      </c>
    </row>
    <row r="67" spans="2:2">
      <c r="B67" s="19" t="s">
        <v>19</v>
      </c>
    </row>
    <row r="68" spans="2:2">
      <c r="B68" s="19" t="s">
        <v>18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28"/>
  <sheetViews>
    <sheetView showGridLines="0" zoomScaleNormal="100" zoomScaleSheetLayoutView="115" workbookViewId="0">
      <selection activeCell="C17" sqref="C17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75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2" t="s">
        <v>126</v>
      </c>
      <c r="C7" s="82"/>
      <c r="D7" s="82"/>
    </row>
    <row r="8" spans="1:4" s="29" customFormat="1" ht="15" customHeight="1">
      <c r="B8" s="82"/>
      <c r="C8" s="82"/>
      <c r="D8" s="82"/>
    </row>
    <row r="9" spans="1:4" s="29" customFormat="1" ht="33" customHeight="1">
      <c r="B9" s="82"/>
      <c r="C9" s="82"/>
      <c r="D9" s="82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125</v>
      </c>
      <c r="C11" s="31" t="s">
        <v>72</v>
      </c>
      <c r="D11" s="30" t="s">
        <v>71</v>
      </c>
    </row>
    <row r="12" spans="1:4" ht="15" customHeight="1">
      <c r="B12" s="27" t="s">
        <v>121</v>
      </c>
      <c r="C12" s="26">
        <v>1115</v>
      </c>
      <c r="D12" s="25">
        <f t="shared" ref="D12:D22" si="0">C12/$C$22</f>
        <v>0.19391304347826088</v>
      </c>
    </row>
    <row r="13" spans="1:4">
      <c r="B13" s="27" t="s">
        <v>122</v>
      </c>
      <c r="C13" s="26">
        <v>965</v>
      </c>
      <c r="D13" s="25">
        <f t="shared" si="0"/>
        <v>0.16782608695652174</v>
      </c>
    </row>
    <row r="14" spans="1:4" s="28" customFormat="1">
      <c r="A14" s="17"/>
      <c r="B14" s="27" t="s">
        <v>120</v>
      </c>
      <c r="C14" s="26">
        <v>647</v>
      </c>
      <c r="D14" s="25">
        <f t="shared" si="0"/>
        <v>0.11252173913043478</v>
      </c>
    </row>
    <row r="15" spans="1:4" s="28" customFormat="1">
      <c r="A15" s="17"/>
      <c r="B15" s="27" t="s">
        <v>110</v>
      </c>
      <c r="C15" s="26">
        <v>532</v>
      </c>
      <c r="D15" s="25">
        <f t="shared" si="0"/>
        <v>9.252173913043478E-2</v>
      </c>
    </row>
    <row r="16" spans="1:4">
      <c r="B16" s="27" t="s">
        <v>117</v>
      </c>
      <c r="C16" s="26">
        <v>494</v>
      </c>
      <c r="D16" s="25">
        <f t="shared" si="0"/>
        <v>8.591304347826087E-2</v>
      </c>
    </row>
    <row r="17" spans="2:4">
      <c r="B17" s="27" t="s">
        <v>111</v>
      </c>
      <c r="C17" s="26">
        <v>459</v>
      </c>
      <c r="D17" s="25">
        <f t="shared" si="0"/>
        <v>7.9826086956521741E-2</v>
      </c>
    </row>
    <row r="18" spans="2:4">
      <c r="B18" s="27" t="s">
        <v>98</v>
      </c>
      <c r="C18" s="26">
        <v>457</v>
      </c>
      <c r="D18" s="25">
        <f t="shared" si="0"/>
        <v>7.947826086956522E-2</v>
      </c>
    </row>
    <row r="19" spans="2:4">
      <c r="B19" s="27" t="s">
        <v>124</v>
      </c>
      <c r="C19" s="26">
        <v>386</v>
      </c>
      <c r="D19" s="25">
        <f t="shared" si="0"/>
        <v>6.7130434782608689E-2</v>
      </c>
    </row>
    <row r="20" spans="2:4">
      <c r="B20" s="27" t="s">
        <v>115</v>
      </c>
      <c r="C20" s="26">
        <v>349</v>
      </c>
      <c r="D20" s="25">
        <f t="shared" si="0"/>
        <v>6.0695652173913046E-2</v>
      </c>
    </row>
    <row r="21" spans="2:4">
      <c r="B21" s="27" t="s">
        <v>112</v>
      </c>
      <c r="C21" s="26">
        <v>346</v>
      </c>
      <c r="D21" s="25">
        <f t="shared" si="0"/>
        <v>6.0173913043478258E-2</v>
      </c>
    </row>
    <row r="22" spans="2:4">
      <c r="B22" s="24" t="s">
        <v>23</v>
      </c>
      <c r="C22" s="23">
        <f>SUM(C12:C21)</f>
        <v>5750</v>
      </c>
      <c r="D22" s="22">
        <f t="shared" si="0"/>
        <v>1</v>
      </c>
    </row>
    <row r="24" spans="2:4">
      <c r="B24" s="19" t="s">
        <v>22</v>
      </c>
    </row>
    <row r="25" spans="2:4">
      <c r="B25" s="21" t="s">
        <v>21</v>
      </c>
    </row>
    <row r="26" spans="2:4">
      <c r="B26" s="20" t="s">
        <v>20</v>
      </c>
    </row>
    <row r="27" spans="2:4">
      <c r="B27" s="19" t="s">
        <v>19</v>
      </c>
    </row>
    <row r="28" spans="2:4">
      <c r="B28" s="19" t="s">
        <v>18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36"/>
  <sheetViews>
    <sheetView showGridLines="0" topLeftCell="A18" zoomScaleNormal="100" zoomScaleSheetLayoutView="115" workbookViewId="0">
      <selection activeCell="D30" sqref="D30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75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2" t="s">
        <v>146</v>
      </c>
      <c r="C7" s="82"/>
      <c r="D7" s="82"/>
    </row>
    <row r="8" spans="1:4" s="29" customFormat="1" ht="15" customHeight="1">
      <c r="B8" s="82"/>
      <c r="C8" s="82"/>
      <c r="D8" s="82"/>
    </row>
    <row r="9" spans="1:4" s="29" customFormat="1" ht="33" customHeight="1">
      <c r="B9" s="82"/>
      <c r="C9" s="82"/>
      <c r="D9" s="82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145</v>
      </c>
      <c r="C11" s="31" t="s">
        <v>72</v>
      </c>
      <c r="D11" s="30" t="s">
        <v>71</v>
      </c>
    </row>
    <row r="12" spans="1:4" ht="15" customHeight="1">
      <c r="B12" s="27" t="s">
        <v>144</v>
      </c>
      <c r="C12" s="26">
        <v>2343</v>
      </c>
      <c r="D12" s="25">
        <v>0.26079697239536953</v>
      </c>
    </row>
    <row r="13" spans="1:4">
      <c r="B13" s="27" t="s">
        <v>143</v>
      </c>
      <c r="C13" s="26">
        <v>943</v>
      </c>
      <c r="D13" s="25">
        <v>0.10496438112199466</v>
      </c>
    </row>
    <row r="14" spans="1:4" s="28" customFormat="1">
      <c r="A14" s="17"/>
      <c r="B14" s="27" t="s">
        <v>142</v>
      </c>
      <c r="C14" s="26">
        <v>801</v>
      </c>
      <c r="D14" s="25">
        <v>8.9158504007123773E-2</v>
      </c>
    </row>
    <row r="15" spans="1:4" s="28" customFormat="1">
      <c r="A15" s="17"/>
      <c r="B15" s="27" t="s">
        <v>141</v>
      </c>
      <c r="C15" s="26">
        <v>798</v>
      </c>
      <c r="D15" s="25">
        <v>8.8824577025823692E-2</v>
      </c>
    </row>
    <row r="16" spans="1:4">
      <c r="B16" s="27" t="s">
        <v>140</v>
      </c>
      <c r="C16" s="26">
        <v>781</v>
      </c>
      <c r="D16" s="25">
        <v>8.6932324131789848E-2</v>
      </c>
    </row>
    <row r="17" spans="2:4">
      <c r="B17" s="27" t="s">
        <v>139</v>
      </c>
      <c r="C17" s="26">
        <v>533</v>
      </c>
      <c r="D17" s="25">
        <v>5.9327693677649153E-2</v>
      </c>
    </row>
    <row r="18" spans="2:4">
      <c r="B18" s="27" t="s">
        <v>138</v>
      </c>
      <c r="C18" s="26">
        <v>522</v>
      </c>
      <c r="D18" s="25">
        <v>5.8103294746215492E-2</v>
      </c>
    </row>
    <row r="19" spans="2:4">
      <c r="B19" s="27" t="s">
        <v>137</v>
      </c>
      <c r="C19" s="26">
        <v>509</v>
      </c>
      <c r="D19" s="25">
        <v>5.6656277827248441E-2</v>
      </c>
    </row>
    <row r="20" spans="2:4">
      <c r="B20" s="27" t="s">
        <v>136</v>
      </c>
      <c r="C20" s="26">
        <v>412</v>
      </c>
      <c r="D20" s="25">
        <v>4.5859305431878897E-2</v>
      </c>
    </row>
    <row r="21" spans="2:4">
      <c r="B21" s="27" t="s">
        <v>135</v>
      </c>
      <c r="C21" s="26">
        <v>211</v>
      </c>
      <c r="D21" s="25">
        <v>2.348619768477293E-2</v>
      </c>
    </row>
    <row r="22" spans="2:4">
      <c r="B22" s="27" t="s">
        <v>134</v>
      </c>
      <c r="C22" s="26">
        <v>178</v>
      </c>
      <c r="D22" s="25">
        <v>1.981300089047195E-2</v>
      </c>
    </row>
    <row r="23" spans="2:4">
      <c r="B23" s="27" t="s">
        <v>133</v>
      </c>
      <c r="C23" s="26">
        <v>172</v>
      </c>
      <c r="D23" s="25">
        <v>1.9145146927871771E-2</v>
      </c>
    </row>
    <row r="24" spans="2:4">
      <c r="B24" s="27" t="s">
        <v>132</v>
      </c>
      <c r="C24" s="26">
        <v>168</v>
      </c>
      <c r="D24" s="25">
        <v>1.8699910952804988E-2</v>
      </c>
    </row>
    <row r="25" spans="2:4">
      <c r="B25" s="27" t="s">
        <v>131</v>
      </c>
      <c r="C25" s="26">
        <v>152</v>
      </c>
      <c r="D25" s="25">
        <v>1.6918967052537846E-2</v>
      </c>
    </row>
    <row r="26" spans="2:4">
      <c r="B26" s="27" t="s">
        <v>130</v>
      </c>
      <c r="C26" s="26">
        <v>139</v>
      </c>
      <c r="D26" s="25">
        <v>1.5471950133570793E-2</v>
      </c>
    </row>
    <row r="27" spans="2:4">
      <c r="B27" s="27" t="s">
        <v>129</v>
      </c>
      <c r="C27" s="26">
        <v>126</v>
      </c>
      <c r="D27" s="25">
        <v>1.4024933214603739E-2</v>
      </c>
    </row>
    <row r="28" spans="2:4">
      <c r="B28" s="27" t="s">
        <v>128</v>
      </c>
      <c r="C28" s="26">
        <v>101</v>
      </c>
      <c r="D28" s="25">
        <v>1.1242208370436331E-2</v>
      </c>
    </row>
    <row r="29" spans="2:4">
      <c r="B29" s="27" t="s">
        <v>127</v>
      </c>
      <c r="C29" s="26">
        <v>95</v>
      </c>
      <c r="D29" s="25">
        <v>1.0574354407836153E-2</v>
      </c>
    </row>
    <row r="30" spans="2:4">
      <c r="B30" s="24" t="s">
        <v>23</v>
      </c>
      <c r="C30" s="23">
        <v>8984</v>
      </c>
      <c r="D30" s="22">
        <v>1</v>
      </c>
    </row>
    <row r="32" spans="2:4">
      <c r="B32" s="19" t="s">
        <v>22</v>
      </c>
    </row>
    <row r="33" spans="2:2">
      <c r="B33" s="21" t="s">
        <v>21</v>
      </c>
    </row>
    <row r="34" spans="2:2">
      <c r="B34" s="20" t="s">
        <v>20</v>
      </c>
    </row>
    <row r="35" spans="2:2">
      <c r="B35" s="19" t="s">
        <v>19</v>
      </c>
    </row>
    <row r="36" spans="2:2">
      <c r="B36" s="19" t="s">
        <v>18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558"/>
  <sheetViews>
    <sheetView topLeftCell="A522" zoomScale="86" zoomScaleNormal="86" zoomScaleSheetLayoutView="85" workbookViewId="0">
      <selection activeCell="E552" sqref="B552:E552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86"/>
      <c r="C7" s="86"/>
      <c r="D7" s="86"/>
      <c r="E7" s="86"/>
    </row>
    <row r="8" spans="1:5" s="48" customFormat="1" ht="33" customHeight="1">
      <c r="A8" s="49"/>
      <c r="B8" s="86"/>
      <c r="C8" s="86"/>
      <c r="D8" s="86"/>
      <c r="E8" s="86"/>
    </row>
    <row r="9" spans="1:5" s="29" customFormat="1" ht="40.5" customHeight="1">
      <c r="B9" s="45" t="s">
        <v>148</v>
      </c>
      <c r="C9" s="47" t="s">
        <v>147</v>
      </c>
      <c r="D9" s="46" t="s">
        <v>72</v>
      </c>
      <c r="E9" s="45" t="s">
        <v>71</v>
      </c>
    </row>
    <row r="10" spans="1:5" ht="15" customHeight="1">
      <c r="B10" s="83" t="s">
        <v>57</v>
      </c>
      <c r="C10" s="43" t="s">
        <v>140</v>
      </c>
      <c r="D10" s="42">
        <v>4</v>
      </c>
      <c r="E10" s="41">
        <v>4.4523597506678539E-4</v>
      </c>
    </row>
    <row r="11" spans="1:5" ht="15" customHeight="1">
      <c r="B11" s="84"/>
      <c r="C11" s="43" t="s">
        <v>136</v>
      </c>
      <c r="D11" s="42">
        <v>3</v>
      </c>
      <c r="E11" s="41">
        <v>3.3392698130008905E-4</v>
      </c>
    </row>
    <row r="12" spans="1:5" ht="15" customHeight="1">
      <c r="B12" s="84"/>
      <c r="C12" s="43" t="s">
        <v>141</v>
      </c>
      <c r="D12" s="42">
        <v>35</v>
      </c>
      <c r="E12" s="41">
        <v>3.895814781834372E-3</v>
      </c>
    </row>
    <row r="13" spans="1:5" ht="15" customHeight="1">
      <c r="B13" s="84"/>
      <c r="C13" s="43" t="s">
        <v>128</v>
      </c>
      <c r="D13" s="42">
        <v>1</v>
      </c>
      <c r="E13" s="41">
        <v>1.1130899376669635E-4</v>
      </c>
    </row>
    <row r="14" spans="1:5" s="44" customFormat="1" ht="15" customHeight="1">
      <c r="A14" s="36"/>
      <c r="B14" s="84"/>
      <c r="C14" s="43" t="s">
        <v>133</v>
      </c>
      <c r="D14" s="42">
        <v>2</v>
      </c>
      <c r="E14" s="41">
        <v>2.2261798753339269E-4</v>
      </c>
    </row>
    <row r="15" spans="1:5" s="44" customFormat="1" ht="15" customHeight="1">
      <c r="A15" s="36"/>
      <c r="B15" s="84"/>
      <c r="C15" s="43" t="s">
        <v>134</v>
      </c>
      <c r="D15" s="42">
        <v>1</v>
      </c>
      <c r="E15" s="41">
        <v>1.1130899376669635E-4</v>
      </c>
    </row>
    <row r="16" spans="1:5" s="44" customFormat="1" ht="15" customHeight="1">
      <c r="A16" s="36"/>
      <c r="B16" s="84"/>
      <c r="C16" s="43" t="s">
        <v>137</v>
      </c>
      <c r="D16" s="42">
        <v>14</v>
      </c>
      <c r="E16" s="41">
        <v>1.558325912733749E-3</v>
      </c>
    </row>
    <row r="17" spans="1:5" s="44" customFormat="1" ht="15" customHeight="1">
      <c r="A17" s="36"/>
      <c r="B17" s="84"/>
      <c r="C17" s="43" t="s">
        <v>142</v>
      </c>
      <c r="D17" s="42">
        <v>8</v>
      </c>
      <c r="E17" s="41">
        <v>8.9047195013357077E-4</v>
      </c>
    </row>
    <row r="18" spans="1:5" s="44" customFormat="1" ht="15" customHeight="1">
      <c r="A18" s="36"/>
      <c r="B18" s="84"/>
      <c r="C18" s="43" t="s">
        <v>138</v>
      </c>
      <c r="D18" s="42">
        <v>4</v>
      </c>
      <c r="E18" s="41">
        <v>4.4523597506678539E-4</v>
      </c>
    </row>
    <row r="19" spans="1:5" ht="15" customHeight="1">
      <c r="B19" s="84"/>
      <c r="C19" s="43" t="s">
        <v>131</v>
      </c>
      <c r="D19" s="42">
        <v>2</v>
      </c>
      <c r="E19" s="41">
        <v>2.2261798753339269E-4</v>
      </c>
    </row>
    <row r="20" spans="1:5" ht="15" customHeight="1">
      <c r="B20" s="84"/>
      <c r="C20" s="43" t="s">
        <v>139</v>
      </c>
      <c r="D20" s="42">
        <v>2</v>
      </c>
      <c r="E20" s="41">
        <v>2.2261798753339269E-4</v>
      </c>
    </row>
    <row r="21" spans="1:5" ht="15" customHeight="1">
      <c r="B21" s="84"/>
      <c r="C21" s="43" t="s">
        <v>144</v>
      </c>
      <c r="D21" s="42">
        <v>26</v>
      </c>
      <c r="E21" s="41">
        <v>2.8940338379341052E-3</v>
      </c>
    </row>
    <row r="22" spans="1:5" ht="15" customHeight="1">
      <c r="B22" s="84"/>
      <c r="C22" s="43" t="s">
        <v>132</v>
      </c>
      <c r="D22" s="42">
        <v>5</v>
      </c>
      <c r="E22" s="41">
        <v>5.5654496883348172E-4</v>
      </c>
    </row>
    <row r="23" spans="1:5" ht="15" customHeight="1">
      <c r="B23" s="84"/>
      <c r="C23" s="43" t="s">
        <v>143</v>
      </c>
      <c r="D23" s="42">
        <v>7</v>
      </c>
      <c r="E23" s="41">
        <v>7.7916295636687449E-4</v>
      </c>
    </row>
    <row r="24" spans="1:5" ht="15" customHeight="1">
      <c r="B24" s="84"/>
      <c r="C24" s="43" t="s">
        <v>135</v>
      </c>
      <c r="D24" s="42">
        <v>2</v>
      </c>
      <c r="E24" s="41">
        <v>2.2261798753339269E-4</v>
      </c>
    </row>
    <row r="25" spans="1:5" ht="15" customHeight="1">
      <c r="B25" s="85"/>
      <c r="C25" s="40" t="s">
        <v>23</v>
      </c>
      <c r="D25" s="39">
        <v>116</v>
      </c>
      <c r="E25" s="38">
        <v>1.2911843276936777E-2</v>
      </c>
    </row>
    <row r="26" spans="1:5" ht="15" customHeight="1">
      <c r="B26" s="83" t="s">
        <v>48</v>
      </c>
      <c r="C26" s="43" t="s">
        <v>140</v>
      </c>
      <c r="D26" s="42">
        <v>8</v>
      </c>
      <c r="E26" s="41">
        <v>8.9047195013357077E-4</v>
      </c>
    </row>
    <row r="27" spans="1:5" ht="15" customHeight="1">
      <c r="B27" s="84"/>
      <c r="C27" s="43" t="s">
        <v>141</v>
      </c>
      <c r="D27" s="42">
        <v>5</v>
      </c>
      <c r="E27" s="41">
        <v>5.5654496883348172E-4</v>
      </c>
    </row>
    <row r="28" spans="1:5" ht="15" customHeight="1">
      <c r="B28" s="84"/>
      <c r="C28" s="43" t="s">
        <v>130</v>
      </c>
      <c r="D28" s="42">
        <v>2</v>
      </c>
      <c r="E28" s="41">
        <v>2.2261798753339269E-4</v>
      </c>
    </row>
    <row r="29" spans="1:5" ht="15" customHeight="1">
      <c r="B29" s="84"/>
      <c r="C29" s="43" t="s">
        <v>142</v>
      </c>
      <c r="D29" s="42">
        <v>1</v>
      </c>
      <c r="E29" s="41">
        <v>1.1130899376669635E-4</v>
      </c>
    </row>
    <row r="30" spans="1:5" ht="15" customHeight="1">
      <c r="B30" s="84"/>
      <c r="C30" s="43" t="s">
        <v>138</v>
      </c>
      <c r="D30" s="42">
        <v>7</v>
      </c>
      <c r="E30" s="41">
        <v>7.7916295636687449E-4</v>
      </c>
    </row>
    <row r="31" spans="1:5" ht="15" customHeight="1">
      <c r="B31" s="84"/>
      <c r="C31" s="43" t="s">
        <v>131</v>
      </c>
      <c r="D31" s="42">
        <v>3</v>
      </c>
      <c r="E31" s="41">
        <v>3.3392698130008905E-4</v>
      </c>
    </row>
    <row r="32" spans="1:5" ht="15" customHeight="1">
      <c r="B32" s="84"/>
      <c r="C32" s="43" t="s">
        <v>127</v>
      </c>
      <c r="D32" s="42">
        <v>1</v>
      </c>
      <c r="E32" s="41">
        <v>1.1130899376669635E-4</v>
      </c>
    </row>
    <row r="33" spans="2:5" ht="15" customHeight="1">
      <c r="B33" s="84"/>
      <c r="C33" s="43" t="s">
        <v>139</v>
      </c>
      <c r="D33" s="42">
        <v>4</v>
      </c>
      <c r="E33" s="41">
        <v>4.4523597506678539E-4</v>
      </c>
    </row>
    <row r="34" spans="2:5" ht="15" customHeight="1">
      <c r="B34" s="84"/>
      <c r="C34" s="43" t="s">
        <v>144</v>
      </c>
      <c r="D34" s="42">
        <v>15</v>
      </c>
      <c r="E34" s="41">
        <v>1.6696349065004452E-3</v>
      </c>
    </row>
    <row r="35" spans="2:5" ht="15" customHeight="1">
      <c r="B35" s="84"/>
      <c r="C35" s="43" t="s">
        <v>143</v>
      </c>
      <c r="D35" s="42">
        <v>2</v>
      </c>
      <c r="E35" s="41">
        <v>2.2261798753339269E-4</v>
      </c>
    </row>
    <row r="36" spans="2:5" ht="15" customHeight="1">
      <c r="B36" s="84"/>
      <c r="C36" s="43" t="s">
        <v>135</v>
      </c>
      <c r="D36" s="42">
        <v>2</v>
      </c>
      <c r="E36" s="41">
        <v>2.2261798753339269E-4</v>
      </c>
    </row>
    <row r="37" spans="2:5" ht="15" customHeight="1">
      <c r="B37" s="85"/>
      <c r="C37" s="40" t="s">
        <v>23</v>
      </c>
      <c r="D37" s="39">
        <v>50</v>
      </c>
      <c r="E37" s="38">
        <v>5.5654496883348172E-3</v>
      </c>
    </row>
    <row r="38" spans="2:5" ht="15" customHeight="1">
      <c r="B38" s="83" t="s">
        <v>63</v>
      </c>
      <c r="C38" s="43" t="s">
        <v>140</v>
      </c>
      <c r="D38" s="42">
        <v>1</v>
      </c>
      <c r="E38" s="41">
        <v>1.1130899376669635E-4</v>
      </c>
    </row>
    <row r="39" spans="2:5" ht="15" customHeight="1">
      <c r="B39" s="84"/>
      <c r="C39" s="43" t="s">
        <v>136</v>
      </c>
      <c r="D39" s="42">
        <v>7</v>
      </c>
      <c r="E39" s="41">
        <v>7.7916295636687449E-4</v>
      </c>
    </row>
    <row r="40" spans="2:5" ht="15" customHeight="1">
      <c r="B40" s="84"/>
      <c r="C40" s="43" t="s">
        <v>141</v>
      </c>
      <c r="D40" s="42">
        <v>4</v>
      </c>
      <c r="E40" s="41">
        <v>4.4523597506678539E-4</v>
      </c>
    </row>
    <row r="41" spans="2:5" ht="15" customHeight="1">
      <c r="B41" s="84"/>
      <c r="C41" s="43" t="s">
        <v>130</v>
      </c>
      <c r="D41" s="42">
        <v>2</v>
      </c>
      <c r="E41" s="41">
        <v>2.2261798753339269E-4</v>
      </c>
    </row>
    <row r="42" spans="2:5" ht="15" customHeight="1">
      <c r="B42" s="84"/>
      <c r="C42" s="43" t="s">
        <v>128</v>
      </c>
      <c r="D42" s="42">
        <v>5</v>
      </c>
      <c r="E42" s="41">
        <v>5.5654496883348172E-4</v>
      </c>
    </row>
    <row r="43" spans="2:5" ht="15" customHeight="1">
      <c r="B43" s="84"/>
      <c r="C43" s="43" t="s">
        <v>133</v>
      </c>
      <c r="D43" s="42">
        <v>3</v>
      </c>
      <c r="E43" s="41">
        <v>3.3392698130008905E-4</v>
      </c>
    </row>
    <row r="44" spans="2:5" ht="15" customHeight="1">
      <c r="B44" s="84"/>
      <c r="C44" s="43" t="s">
        <v>134</v>
      </c>
      <c r="D44" s="42">
        <v>1</v>
      </c>
      <c r="E44" s="41">
        <v>1.1130899376669635E-4</v>
      </c>
    </row>
    <row r="45" spans="2:5" ht="15" customHeight="1">
      <c r="B45" s="84"/>
      <c r="C45" s="43" t="s">
        <v>137</v>
      </c>
      <c r="D45" s="42">
        <v>34</v>
      </c>
      <c r="E45" s="41">
        <v>3.7845057880676759E-3</v>
      </c>
    </row>
    <row r="46" spans="2:5" ht="15" customHeight="1">
      <c r="B46" s="84"/>
      <c r="C46" s="43" t="s">
        <v>142</v>
      </c>
      <c r="D46" s="42">
        <v>21</v>
      </c>
      <c r="E46" s="41">
        <v>2.3374888691006235E-3</v>
      </c>
    </row>
    <row r="47" spans="2:5" ht="15" customHeight="1">
      <c r="B47" s="84"/>
      <c r="C47" s="43" t="s">
        <v>138</v>
      </c>
      <c r="D47" s="42">
        <v>5</v>
      </c>
      <c r="E47" s="41">
        <v>5.5654496883348172E-4</v>
      </c>
    </row>
    <row r="48" spans="2:5" ht="15" customHeight="1">
      <c r="B48" s="84"/>
      <c r="C48" s="43" t="s">
        <v>131</v>
      </c>
      <c r="D48" s="42">
        <v>1</v>
      </c>
      <c r="E48" s="41">
        <v>1.1130899376669635E-4</v>
      </c>
    </row>
    <row r="49" spans="2:5" ht="15" customHeight="1">
      <c r="B49" s="84"/>
      <c r="C49" s="43" t="s">
        <v>139</v>
      </c>
      <c r="D49" s="42">
        <v>5</v>
      </c>
      <c r="E49" s="41">
        <v>5.5654496883348172E-4</v>
      </c>
    </row>
    <row r="50" spans="2:5" ht="15" customHeight="1">
      <c r="B50" s="84"/>
      <c r="C50" s="43" t="s">
        <v>144</v>
      </c>
      <c r="D50" s="42">
        <v>41</v>
      </c>
      <c r="E50" s="41">
        <v>4.5636687444345504E-3</v>
      </c>
    </row>
    <row r="51" spans="2:5" ht="15" customHeight="1">
      <c r="B51" s="84"/>
      <c r="C51" s="43" t="s">
        <v>143</v>
      </c>
      <c r="D51" s="42">
        <v>14</v>
      </c>
      <c r="E51" s="41">
        <v>1.558325912733749E-3</v>
      </c>
    </row>
    <row r="52" spans="2:5" ht="15" customHeight="1">
      <c r="B52" s="85"/>
      <c r="C52" s="40" t="s">
        <v>23</v>
      </c>
      <c r="D52" s="39">
        <v>144</v>
      </c>
      <c r="E52" s="38">
        <v>1.6028495102404273E-2</v>
      </c>
    </row>
    <row r="53" spans="2:5" ht="15" customHeight="1">
      <c r="B53" s="83" t="s">
        <v>69</v>
      </c>
      <c r="C53" s="43" t="s">
        <v>140</v>
      </c>
      <c r="D53" s="42">
        <v>215</v>
      </c>
      <c r="E53" s="41">
        <v>2.3931433659839716E-2</v>
      </c>
    </row>
    <row r="54" spans="2:5" ht="15" customHeight="1">
      <c r="B54" s="84"/>
      <c r="C54" s="43" t="s">
        <v>136</v>
      </c>
      <c r="D54" s="42">
        <v>21</v>
      </c>
      <c r="E54" s="41">
        <v>2.3374888691006235E-3</v>
      </c>
    </row>
    <row r="55" spans="2:5" ht="15" customHeight="1">
      <c r="B55" s="84"/>
      <c r="C55" s="43" t="s">
        <v>141</v>
      </c>
      <c r="D55" s="42">
        <v>189</v>
      </c>
      <c r="E55" s="41">
        <v>2.1037399821905611E-2</v>
      </c>
    </row>
    <row r="56" spans="2:5" ht="15" customHeight="1">
      <c r="B56" s="84"/>
      <c r="C56" s="43" t="s">
        <v>130</v>
      </c>
      <c r="D56" s="42">
        <v>60</v>
      </c>
      <c r="E56" s="41">
        <v>6.6785396260017806E-3</v>
      </c>
    </row>
    <row r="57" spans="2:5" ht="15" customHeight="1">
      <c r="B57" s="84"/>
      <c r="C57" s="43" t="s">
        <v>128</v>
      </c>
      <c r="D57" s="42">
        <v>12</v>
      </c>
      <c r="E57" s="41">
        <v>1.3357079252003562E-3</v>
      </c>
    </row>
    <row r="58" spans="2:5" ht="15" customHeight="1">
      <c r="B58" s="84"/>
      <c r="C58" s="43" t="s">
        <v>133</v>
      </c>
      <c r="D58" s="42">
        <v>28</v>
      </c>
      <c r="E58" s="41">
        <v>3.116651825467498E-3</v>
      </c>
    </row>
    <row r="59" spans="2:5" ht="15" customHeight="1">
      <c r="B59" s="84"/>
      <c r="C59" s="43" t="s">
        <v>134</v>
      </c>
      <c r="D59" s="42">
        <v>132</v>
      </c>
      <c r="E59" s="41">
        <v>1.4692787177203919E-2</v>
      </c>
    </row>
    <row r="60" spans="2:5" ht="15" customHeight="1">
      <c r="B60" s="84"/>
      <c r="C60" s="43" t="s">
        <v>137</v>
      </c>
      <c r="D60" s="42">
        <v>16</v>
      </c>
      <c r="E60" s="41">
        <v>1.7809439002671415E-3</v>
      </c>
    </row>
    <row r="61" spans="2:5" ht="15" customHeight="1">
      <c r="B61" s="84"/>
      <c r="C61" s="43" t="s">
        <v>142</v>
      </c>
      <c r="D61" s="42">
        <v>16</v>
      </c>
      <c r="E61" s="41">
        <v>1.7809439002671415E-3</v>
      </c>
    </row>
    <row r="62" spans="2:5" ht="15" customHeight="1">
      <c r="B62" s="84"/>
      <c r="C62" s="43" t="s">
        <v>138</v>
      </c>
      <c r="D62" s="42">
        <v>12</v>
      </c>
      <c r="E62" s="41">
        <v>1.3357079252003562E-3</v>
      </c>
    </row>
    <row r="63" spans="2:5" ht="15" customHeight="1">
      <c r="B63" s="84"/>
      <c r="C63" s="43" t="s">
        <v>131</v>
      </c>
      <c r="D63" s="42">
        <v>21</v>
      </c>
      <c r="E63" s="41">
        <v>2.3374888691006235E-3</v>
      </c>
    </row>
    <row r="64" spans="2:5" ht="15" customHeight="1">
      <c r="B64" s="84"/>
      <c r="C64" s="43" t="s">
        <v>127</v>
      </c>
      <c r="D64" s="42">
        <v>38</v>
      </c>
      <c r="E64" s="41">
        <v>4.2297417631344614E-3</v>
      </c>
    </row>
    <row r="65" spans="2:5" ht="15" customHeight="1">
      <c r="B65" s="84"/>
      <c r="C65" s="43" t="s">
        <v>139</v>
      </c>
      <c r="D65" s="42">
        <v>91</v>
      </c>
      <c r="E65" s="41">
        <v>1.0129118432769368E-2</v>
      </c>
    </row>
    <row r="66" spans="2:5" ht="15" customHeight="1">
      <c r="B66" s="84"/>
      <c r="C66" s="43" t="s">
        <v>144</v>
      </c>
      <c r="D66" s="42">
        <v>283</v>
      </c>
      <c r="E66" s="41">
        <v>3.1500445235975068E-2</v>
      </c>
    </row>
    <row r="67" spans="2:5" ht="15" customHeight="1">
      <c r="B67" s="84"/>
      <c r="C67" s="43" t="s">
        <v>132</v>
      </c>
      <c r="D67" s="42">
        <v>79</v>
      </c>
      <c r="E67" s="41">
        <v>8.7934105075690109E-3</v>
      </c>
    </row>
    <row r="68" spans="2:5" ht="15" customHeight="1">
      <c r="B68" s="84"/>
      <c r="C68" s="43" t="s">
        <v>143</v>
      </c>
      <c r="D68" s="42">
        <v>329</v>
      </c>
      <c r="E68" s="41">
        <v>3.6620658949243101E-2</v>
      </c>
    </row>
    <row r="69" spans="2:5" ht="15" customHeight="1">
      <c r="B69" s="84"/>
      <c r="C69" s="43" t="s">
        <v>135</v>
      </c>
      <c r="D69" s="42">
        <v>52</v>
      </c>
      <c r="E69" s="41">
        <v>5.7880676758682104E-3</v>
      </c>
    </row>
    <row r="70" spans="2:5" ht="15" customHeight="1">
      <c r="B70" s="84"/>
      <c r="C70" s="43" t="s">
        <v>129</v>
      </c>
      <c r="D70" s="42">
        <v>84</v>
      </c>
      <c r="E70" s="41">
        <v>9.3499554764024939E-3</v>
      </c>
    </row>
    <row r="71" spans="2:5" ht="15" customHeight="1">
      <c r="B71" s="85"/>
      <c r="C71" s="40" t="s">
        <v>23</v>
      </c>
      <c r="D71" s="39">
        <v>1678</v>
      </c>
      <c r="E71" s="38">
        <v>0.18677649154051648</v>
      </c>
    </row>
    <row r="72" spans="2:5" ht="15" customHeight="1">
      <c r="B72" s="83" t="s">
        <v>54</v>
      </c>
      <c r="C72" s="43" t="s">
        <v>140</v>
      </c>
      <c r="D72" s="42">
        <v>8</v>
      </c>
      <c r="E72" s="41">
        <v>8.9047195013357077E-4</v>
      </c>
    </row>
    <row r="73" spans="2:5" ht="15" customHeight="1">
      <c r="B73" s="84"/>
      <c r="C73" s="43" t="s">
        <v>136</v>
      </c>
      <c r="D73" s="42">
        <v>1</v>
      </c>
      <c r="E73" s="41">
        <v>1.1130899376669635E-4</v>
      </c>
    </row>
    <row r="74" spans="2:5" ht="15" customHeight="1">
      <c r="B74" s="84"/>
      <c r="C74" s="43" t="s">
        <v>141</v>
      </c>
      <c r="D74" s="42">
        <v>4</v>
      </c>
      <c r="E74" s="41">
        <v>4.4523597506678539E-4</v>
      </c>
    </row>
    <row r="75" spans="2:5" ht="15" customHeight="1">
      <c r="B75" s="84"/>
      <c r="C75" s="43" t="s">
        <v>130</v>
      </c>
      <c r="D75" s="42">
        <v>2</v>
      </c>
      <c r="E75" s="41">
        <v>2.2261798753339269E-4</v>
      </c>
    </row>
    <row r="76" spans="2:5" ht="15" customHeight="1">
      <c r="B76" s="84"/>
      <c r="C76" s="43" t="s">
        <v>133</v>
      </c>
      <c r="D76" s="42">
        <v>1</v>
      </c>
      <c r="E76" s="41">
        <v>1.1130899376669635E-4</v>
      </c>
    </row>
    <row r="77" spans="2:5" ht="15" customHeight="1">
      <c r="B77" s="84"/>
      <c r="C77" s="43" t="s">
        <v>137</v>
      </c>
      <c r="D77" s="42">
        <v>2</v>
      </c>
      <c r="E77" s="41">
        <v>2.2261798753339269E-4</v>
      </c>
    </row>
    <row r="78" spans="2:5" ht="15" customHeight="1">
      <c r="B78" s="84"/>
      <c r="C78" s="43" t="s">
        <v>142</v>
      </c>
      <c r="D78" s="42">
        <v>7</v>
      </c>
      <c r="E78" s="41">
        <v>7.7916295636687449E-4</v>
      </c>
    </row>
    <row r="79" spans="2:5" ht="15" customHeight="1">
      <c r="B79" s="84"/>
      <c r="C79" s="43" t="s">
        <v>138</v>
      </c>
      <c r="D79" s="42">
        <v>13</v>
      </c>
      <c r="E79" s="41">
        <v>1.4470169189670526E-3</v>
      </c>
    </row>
    <row r="80" spans="2:5" ht="15" customHeight="1">
      <c r="B80" s="84"/>
      <c r="C80" s="43" t="s">
        <v>131</v>
      </c>
      <c r="D80" s="42">
        <v>1</v>
      </c>
      <c r="E80" s="41">
        <v>1.1130899376669635E-4</v>
      </c>
    </row>
    <row r="81" spans="2:5" ht="15" customHeight="1">
      <c r="B81" s="84"/>
      <c r="C81" s="43" t="s">
        <v>127</v>
      </c>
      <c r="D81" s="42">
        <v>1</v>
      </c>
      <c r="E81" s="41">
        <v>1.1130899376669635E-4</v>
      </c>
    </row>
    <row r="82" spans="2:5" ht="15" customHeight="1">
      <c r="B82" s="84"/>
      <c r="C82" s="43" t="s">
        <v>139</v>
      </c>
      <c r="D82" s="42">
        <v>6</v>
      </c>
      <c r="E82" s="41">
        <v>6.6785396260017811E-4</v>
      </c>
    </row>
    <row r="83" spans="2:5" ht="15" customHeight="1">
      <c r="B83" s="84"/>
      <c r="C83" s="43" t="s">
        <v>144</v>
      </c>
      <c r="D83" s="42">
        <v>38</v>
      </c>
      <c r="E83" s="41">
        <v>4.2297417631344614E-3</v>
      </c>
    </row>
    <row r="84" spans="2:5" ht="15" customHeight="1">
      <c r="B84" s="84"/>
      <c r="C84" s="43" t="s">
        <v>132</v>
      </c>
      <c r="D84" s="42">
        <v>6</v>
      </c>
      <c r="E84" s="41">
        <v>6.6785396260017811E-4</v>
      </c>
    </row>
    <row r="85" spans="2:5" ht="15" customHeight="1">
      <c r="B85" s="84"/>
      <c r="C85" s="43" t="s">
        <v>143</v>
      </c>
      <c r="D85" s="42">
        <v>12</v>
      </c>
      <c r="E85" s="41">
        <v>1.3357079252003562E-3</v>
      </c>
    </row>
    <row r="86" spans="2:5" ht="15" customHeight="1">
      <c r="B86" s="84"/>
      <c r="C86" s="43" t="s">
        <v>135</v>
      </c>
      <c r="D86" s="42">
        <v>2</v>
      </c>
      <c r="E86" s="41">
        <v>2.2261798753339269E-4</v>
      </c>
    </row>
    <row r="87" spans="2:5" ht="15" customHeight="1">
      <c r="B87" s="84"/>
      <c r="C87" s="43" t="s">
        <v>129</v>
      </c>
      <c r="D87" s="42">
        <v>1</v>
      </c>
      <c r="E87" s="41">
        <v>1.1130899376669635E-4</v>
      </c>
    </row>
    <row r="88" spans="2:5" ht="15" customHeight="1">
      <c r="B88" s="85"/>
      <c r="C88" s="40" t="s">
        <v>23</v>
      </c>
      <c r="D88" s="39">
        <v>105</v>
      </c>
      <c r="E88" s="38">
        <v>1.1687444345503117E-2</v>
      </c>
    </row>
    <row r="89" spans="2:5" ht="15" customHeight="1">
      <c r="B89" s="83" t="s">
        <v>34</v>
      </c>
      <c r="C89" s="43" t="s">
        <v>141</v>
      </c>
      <c r="D89" s="42">
        <v>1</v>
      </c>
      <c r="E89" s="41">
        <v>1.1130899376669635E-4</v>
      </c>
    </row>
    <row r="90" spans="2:5" ht="15" customHeight="1">
      <c r="B90" s="84"/>
      <c r="C90" s="43" t="s">
        <v>133</v>
      </c>
      <c r="D90" s="42">
        <v>1</v>
      </c>
      <c r="E90" s="41">
        <v>1.1130899376669635E-4</v>
      </c>
    </row>
    <row r="91" spans="2:5" ht="15" customHeight="1">
      <c r="B91" s="84"/>
      <c r="C91" s="43" t="s">
        <v>142</v>
      </c>
      <c r="D91" s="42">
        <v>2</v>
      </c>
      <c r="E91" s="41">
        <v>2.2261798753339269E-4</v>
      </c>
    </row>
    <row r="92" spans="2:5" ht="15" customHeight="1">
      <c r="B92" s="84"/>
      <c r="C92" s="43" t="s">
        <v>144</v>
      </c>
      <c r="D92" s="42">
        <v>10</v>
      </c>
      <c r="E92" s="41">
        <v>1.1130899376669634E-3</v>
      </c>
    </row>
    <row r="93" spans="2:5" ht="15" customHeight="1">
      <c r="B93" s="84"/>
      <c r="C93" s="43" t="s">
        <v>135</v>
      </c>
      <c r="D93" s="42">
        <v>1</v>
      </c>
      <c r="E93" s="41">
        <v>1.1130899376669635E-4</v>
      </c>
    </row>
    <row r="94" spans="2:5" ht="15" customHeight="1">
      <c r="B94" s="85"/>
      <c r="C94" s="40" t="s">
        <v>23</v>
      </c>
      <c r="D94" s="39">
        <v>15</v>
      </c>
      <c r="E94" s="38">
        <v>1.6696349065004452E-3</v>
      </c>
    </row>
    <row r="95" spans="2:5" ht="15" customHeight="1">
      <c r="B95" s="83" t="s">
        <v>31</v>
      </c>
      <c r="C95" s="43" t="s">
        <v>140</v>
      </c>
      <c r="D95" s="42">
        <v>2</v>
      </c>
      <c r="E95" s="41">
        <v>2.2261798753339269E-4</v>
      </c>
    </row>
    <row r="96" spans="2:5" ht="15" customHeight="1">
      <c r="B96" s="84"/>
      <c r="C96" s="43" t="s">
        <v>141</v>
      </c>
      <c r="D96" s="42">
        <v>1</v>
      </c>
      <c r="E96" s="41">
        <v>1.1130899376669635E-4</v>
      </c>
    </row>
    <row r="97" spans="2:5" ht="15" customHeight="1">
      <c r="B97" s="84"/>
      <c r="C97" s="43" t="s">
        <v>130</v>
      </c>
      <c r="D97" s="42">
        <v>6</v>
      </c>
      <c r="E97" s="41">
        <v>6.6785396260017811E-4</v>
      </c>
    </row>
    <row r="98" spans="2:5" ht="15" customHeight="1">
      <c r="B98" s="84"/>
      <c r="C98" s="43" t="s">
        <v>139</v>
      </c>
      <c r="D98" s="42">
        <v>1</v>
      </c>
      <c r="E98" s="41">
        <v>1.1130899376669635E-4</v>
      </c>
    </row>
    <row r="99" spans="2:5" ht="15" customHeight="1">
      <c r="B99" s="84"/>
      <c r="C99" s="43" t="s">
        <v>144</v>
      </c>
      <c r="D99" s="42">
        <v>1</v>
      </c>
      <c r="E99" s="41">
        <v>1.1130899376669635E-4</v>
      </c>
    </row>
    <row r="100" spans="2:5" ht="15" customHeight="1">
      <c r="B100" s="85"/>
      <c r="C100" s="40" t="s">
        <v>23</v>
      </c>
      <c r="D100" s="39">
        <v>11</v>
      </c>
      <c r="E100" s="38">
        <v>1.2243989314336598E-3</v>
      </c>
    </row>
    <row r="101" spans="2:5" ht="15" customHeight="1">
      <c r="B101" s="83" t="s">
        <v>27</v>
      </c>
      <c r="C101" s="43" t="s">
        <v>144</v>
      </c>
      <c r="D101" s="42">
        <v>2</v>
      </c>
      <c r="E101" s="41">
        <v>2.2261798753339269E-4</v>
      </c>
    </row>
    <row r="102" spans="2:5" ht="15" customHeight="1">
      <c r="B102" s="84"/>
      <c r="C102" s="43" t="s">
        <v>129</v>
      </c>
      <c r="D102" s="42">
        <v>1</v>
      </c>
      <c r="E102" s="41">
        <v>1.1130899376669635E-4</v>
      </c>
    </row>
    <row r="103" spans="2:5" ht="15" customHeight="1">
      <c r="B103" s="85"/>
      <c r="C103" s="40" t="s">
        <v>23</v>
      </c>
      <c r="D103" s="39">
        <v>3</v>
      </c>
      <c r="E103" s="38">
        <v>3.3392698130008905E-4</v>
      </c>
    </row>
    <row r="104" spans="2:5" ht="15" customHeight="1">
      <c r="B104" s="83" t="s">
        <v>68</v>
      </c>
      <c r="C104" s="43" t="s">
        <v>140</v>
      </c>
      <c r="D104" s="42">
        <v>28</v>
      </c>
      <c r="E104" s="41">
        <v>3.116651825467498E-3</v>
      </c>
    </row>
    <row r="105" spans="2:5" ht="15" customHeight="1">
      <c r="B105" s="84"/>
      <c r="C105" s="43" t="s">
        <v>136</v>
      </c>
      <c r="D105" s="42">
        <v>33</v>
      </c>
      <c r="E105" s="41">
        <v>3.6731967943009797E-3</v>
      </c>
    </row>
    <row r="106" spans="2:5" ht="15" customHeight="1">
      <c r="B106" s="84"/>
      <c r="C106" s="43" t="s">
        <v>141</v>
      </c>
      <c r="D106" s="42">
        <v>130</v>
      </c>
      <c r="E106" s="41">
        <v>1.4470169189670526E-2</v>
      </c>
    </row>
    <row r="107" spans="2:5" ht="15" customHeight="1">
      <c r="B107" s="84"/>
      <c r="C107" s="43" t="s">
        <v>130</v>
      </c>
      <c r="D107" s="42">
        <v>13</v>
      </c>
      <c r="E107" s="41">
        <v>1.4470169189670526E-3</v>
      </c>
    </row>
    <row r="108" spans="2:5" ht="15" customHeight="1">
      <c r="B108" s="84"/>
      <c r="C108" s="43" t="s">
        <v>128</v>
      </c>
      <c r="D108" s="42">
        <v>5</v>
      </c>
      <c r="E108" s="41">
        <v>5.5654496883348172E-4</v>
      </c>
    </row>
    <row r="109" spans="2:5" ht="15" customHeight="1">
      <c r="B109" s="84"/>
      <c r="C109" s="43" t="s">
        <v>133</v>
      </c>
      <c r="D109" s="42">
        <v>11</v>
      </c>
      <c r="E109" s="41">
        <v>1.2243989314336598E-3</v>
      </c>
    </row>
    <row r="110" spans="2:5" ht="15" customHeight="1">
      <c r="B110" s="84"/>
      <c r="C110" s="43" t="s">
        <v>134</v>
      </c>
      <c r="D110" s="42">
        <v>8</v>
      </c>
      <c r="E110" s="41">
        <v>8.9047195013357077E-4</v>
      </c>
    </row>
    <row r="111" spans="2:5" ht="15" customHeight="1">
      <c r="B111" s="84"/>
      <c r="C111" s="43" t="s">
        <v>137</v>
      </c>
      <c r="D111" s="42">
        <v>18</v>
      </c>
      <c r="E111" s="41">
        <v>2.0035618878005341E-3</v>
      </c>
    </row>
    <row r="112" spans="2:5" ht="15" customHeight="1">
      <c r="B112" s="84"/>
      <c r="C112" s="43" t="s">
        <v>142</v>
      </c>
      <c r="D112" s="42">
        <v>119</v>
      </c>
      <c r="E112" s="41">
        <v>1.3245770258236866E-2</v>
      </c>
    </row>
    <row r="113" spans="2:5" ht="15" customHeight="1">
      <c r="B113" s="84"/>
      <c r="C113" s="43" t="s">
        <v>138</v>
      </c>
      <c r="D113" s="42">
        <v>165</v>
      </c>
      <c r="E113" s="41">
        <v>1.8365983971504896E-2</v>
      </c>
    </row>
    <row r="114" spans="2:5" ht="15" customHeight="1">
      <c r="B114" s="84"/>
      <c r="C114" s="43" t="s">
        <v>131</v>
      </c>
      <c r="D114" s="42">
        <v>9</v>
      </c>
      <c r="E114" s="41">
        <v>1.0017809439002671E-3</v>
      </c>
    </row>
    <row r="115" spans="2:5" ht="15" customHeight="1">
      <c r="B115" s="84"/>
      <c r="C115" s="43" t="s">
        <v>127</v>
      </c>
      <c r="D115" s="42">
        <v>5</v>
      </c>
      <c r="E115" s="41">
        <v>5.5654496883348172E-4</v>
      </c>
    </row>
    <row r="116" spans="2:5" ht="15" customHeight="1">
      <c r="B116" s="84"/>
      <c r="C116" s="43" t="s">
        <v>139</v>
      </c>
      <c r="D116" s="42">
        <v>94</v>
      </c>
      <c r="E116" s="41">
        <v>1.0463045414069456E-2</v>
      </c>
    </row>
    <row r="117" spans="2:5" ht="15" customHeight="1">
      <c r="B117" s="84"/>
      <c r="C117" s="43" t="s">
        <v>144</v>
      </c>
      <c r="D117" s="42">
        <v>168</v>
      </c>
      <c r="E117" s="41">
        <v>1.8699910952804988E-2</v>
      </c>
    </row>
    <row r="118" spans="2:5" ht="15" customHeight="1">
      <c r="B118" s="84"/>
      <c r="C118" s="43" t="s">
        <v>132</v>
      </c>
      <c r="D118" s="42">
        <v>17</v>
      </c>
      <c r="E118" s="41">
        <v>1.8922528940338379E-3</v>
      </c>
    </row>
    <row r="119" spans="2:5" ht="15" customHeight="1">
      <c r="B119" s="84"/>
      <c r="C119" s="43" t="s">
        <v>143</v>
      </c>
      <c r="D119" s="42">
        <v>53</v>
      </c>
      <c r="E119" s="41">
        <v>5.8993766696349061E-3</v>
      </c>
    </row>
    <row r="120" spans="2:5" ht="15" customHeight="1">
      <c r="B120" s="84"/>
      <c r="C120" s="43" t="s">
        <v>135</v>
      </c>
      <c r="D120" s="42">
        <v>24</v>
      </c>
      <c r="E120" s="41">
        <v>2.6714158504007124E-3</v>
      </c>
    </row>
    <row r="121" spans="2:5" ht="15" customHeight="1">
      <c r="B121" s="84"/>
      <c r="C121" s="43" t="s">
        <v>129</v>
      </c>
      <c r="D121" s="42">
        <v>11</v>
      </c>
      <c r="E121" s="41">
        <v>1.2243989314336598E-3</v>
      </c>
    </row>
    <row r="122" spans="2:5" ht="15" customHeight="1">
      <c r="B122" s="85"/>
      <c r="C122" s="40" t="s">
        <v>23</v>
      </c>
      <c r="D122" s="39">
        <v>911</v>
      </c>
      <c r="E122" s="38">
        <v>0.10140249332146037</v>
      </c>
    </row>
    <row r="123" spans="2:5" ht="15" customHeight="1">
      <c r="B123" s="83" t="s">
        <v>67</v>
      </c>
      <c r="C123" s="43" t="s">
        <v>140</v>
      </c>
      <c r="D123" s="42">
        <v>15</v>
      </c>
      <c r="E123" s="41">
        <v>1.6696349065004452E-3</v>
      </c>
    </row>
    <row r="124" spans="2:5" ht="15" customHeight="1">
      <c r="B124" s="84"/>
      <c r="C124" s="43" t="s">
        <v>136</v>
      </c>
      <c r="D124" s="42">
        <v>16</v>
      </c>
      <c r="E124" s="41">
        <v>1.7809439002671415E-3</v>
      </c>
    </row>
    <row r="125" spans="2:5" ht="15" customHeight="1">
      <c r="B125" s="84"/>
      <c r="C125" s="43" t="s">
        <v>141</v>
      </c>
      <c r="D125" s="42">
        <v>65</v>
      </c>
      <c r="E125" s="41">
        <v>7.2350845948352628E-3</v>
      </c>
    </row>
    <row r="126" spans="2:5" ht="15" customHeight="1">
      <c r="B126" s="84"/>
      <c r="C126" s="43" t="s">
        <v>130</v>
      </c>
      <c r="D126" s="42">
        <v>2</v>
      </c>
      <c r="E126" s="41">
        <v>2.2261798753339269E-4</v>
      </c>
    </row>
    <row r="127" spans="2:5" ht="15" customHeight="1">
      <c r="B127" s="84"/>
      <c r="C127" s="43" t="s">
        <v>128</v>
      </c>
      <c r="D127" s="42">
        <v>1</v>
      </c>
      <c r="E127" s="41">
        <v>1.1130899376669635E-4</v>
      </c>
    </row>
    <row r="128" spans="2:5" ht="15" customHeight="1">
      <c r="B128" s="84"/>
      <c r="C128" s="43" t="s">
        <v>133</v>
      </c>
      <c r="D128" s="42">
        <v>2</v>
      </c>
      <c r="E128" s="41">
        <v>2.2261798753339269E-4</v>
      </c>
    </row>
    <row r="129" spans="2:5" ht="15" customHeight="1">
      <c r="B129" s="84"/>
      <c r="C129" s="43" t="s">
        <v>137</v>
      </c>
      <c r="D129" s="42">
        <v>22</v>
      </c>
      <c r="E129" s="41">
        <v>2.4487978628673196E-3</v>
      </c>
    </row>
    <row r="130" spans="2:5" ht="15" customHeight="1">
      <c r="B130" s="84"/>
      <c r="C130" s="43" t="s">
        <v>142</v>
      </c>
      <c r="D130" s="42">
        <v>40</v>
      </c>
      <c r="E130" s="41">
        <v>4.4523597506678537E-3</v>
      </c>
    </row>
    <row r="131" spans="2:5" ht="15" customHeight="1">
      <c r="B131" s="84"/>
      <c r="C131" s="43" t="s">
        <v>138</v>
      </c>
      <c r="D131" s="42">
        <v>22</v>
      </c>
      <c r="E131" s="41">
        <v>2.4487978628673196E-3</v>
      </c>
    </row>
    <row r="132" spans="2:5" ht="15" customHeight="1">
      <c r="B132" s="84"/>
      <c r="C132" s="43" t="s">
        <v>131</v>
      </c>
      <c r="D132" s="42">
        <v>9</v>
      </c>
      <c r="E132" s="41">
        <v>1.0017809439002671E-3</v>
      </c>
    </row>
    <row r="133" spans="2:5" ht="15" customHeight="1">
      <c r="B133" s="84"/>
      <c r="C133" s="43" t="s">
        <v>127</v>
      </c>
      <c r="D133" s="42">
        <v>5</v>
      </c>
      <c r="E133" s="41">
        <v>5.5654496883348172E-4</v>
      </c>
    </row>
    <row r="134" spans="2:5" ht="15" customHeight="1">
      <c r="B134" s="84"/>
      <c r="C134" s="43" t="s">
        <v>139</v>
      </c>
      <c r="D134" s="42">
        <v>54</v>
      </c>
      <c r="E134" s="41">
        <v>6.0106856634016027E-3</v>
      </c>
    </row>
    <row r="135" spans="2:5" ht="15" customHeight="1">
      <c r="B135" s="84"/>
      <c r="C135" s="43" t="s">
        <v>144</v>
      </c>
      <c r="D135" s="42">
        <v>95</v>
      </c>
      <c r="E135" s="41">
        <v>1.0574354407836153E-2</v>
      </c>
    </row>
    <row r="136" spans="2:5" ht="15" customHeight="1">
      <c r="B136" s="84"/>
      <c r="C136" s="43" t="s">
        <v>132</v>
      </c>
      <c r="D136" s="42">
        <v>3</v>
      </c>
      <c r="E136" s="41">
        <v>3.3392698130008905E-4</v>
      </c>
    </row>
    <row r="137" spans="2:5" ht="15" customHeight="1">
      <c r="B137" s="84"/>
      <c r="C137" s="43" t="s">
        <v>143</v>
      </c>
      <c r="D137" s="42">
        <v>35</v>
      </c>
      <c r="E137" s="41">
        <v>3.895814781834372E-3</v>
      </c>
    </row>
    <row r="138" spans="2:5" ht="15" customHeight="1">
      <c r="B138" s="84"/>
      <c r="C138" s="43" t="s">
        <v>135</v>
      </c>
      <c r="D138" s="42">
        <v>5</v>
      </c>
      <c r="E138" s="41">
        <v>5.5654496883348172E-4</v>
      </c>
    </row>
    <row r="139" spans="2:5" ht="15" customHeight="1">
      <c r="B139" s="84"/>
      <c r="C139" s="43" t="s">
        <v>129</v>
      </c>
      <c r="D139" s="42">
        <v>4</v>
      </c>
      <c r="E139" s="41">
        <v>4.4523597506678539E-4</v>
      </c>
    </row>
    <row r="140" spans="2:5" ht="15" customHeight="1">
      <c r="B140" s="85"/>
      <c r="C140" s="40" t="s">
        <v>23</v>
      </c>
      <c r="D140" s="39">
        <v>395</v>
      </c>
      <c r="E140" s="38">
        <v>4.396705253784506E-2</v>
      </c>
    </row>
    <row r="141" spans="2:5" ht="15" customHeight="1">
      <c r="B141" s="83" t="s">
        <v>25</v>
      </c>
      <c r="C141" s="43" t="s">
        <v>140</v>
      </c>
      <c r="D141" s="42">
        <v>1</v>
      </c>
      <c r="E141" s="41">
        <v>1.1130899376669635E-4</v>
      </c>
    </row>
    <row r="142" spans="2:5" ht="15" customHeight="1">
      <c r="B142" s="84"/>
      <c r="C142" s="43" t="s">
        <v>144</v>
      </c>
      <c r="D142" s="42">
        <v>1</v>
      </c>
      <c r="E142" s="41">
        <v>1.1130899376669635E-4</v>
      </c>
    </row>
    <row r="143" spans="2:5" ht="15" customHeight="1">
      <c r="B143" s="85"/>
      <c r="C143" s="40" t="s">
        <v>23</v>
      </c>
      <c r="D143" s="39">
        <v>2</v>
      </c>
      <c r="E143" s="38">
        <v>2.2261798753339269E-4</v>
      </c>
    </row>
    <row r="144" spans="2:5" ht="15" customHeight="1">
      <c r="B144" s="83" t="s">
        <v>44</v>
      </c>
      <c r="C144" s="43" t="s">
        <v>141</v>
      </c>
      <c r="D144" s="42">
        <v>9</v>
      </c>
      <c r="E144" s="41">
        <v>1.0017809439002671E-3</v>
      </c>
    </row>
    <row r="145" spans="2:5" ht="15" customHeight="1">
      <c r="B145" s="84"/>
      <c r="C145" s="43" t="s">
        <v>128</v>
      </c>
      <c r="D145" s="42">
        <v>1</v>
      </c>
      <c r="E145" s="41">
        <v>1.1130899376669635E-4</v>
      </c>
    </row>
    <row r="146" spans="2:5" ht="15" customHeight="1">
      <c r="B146" s="84"/>
      <c r="C146" s="43" t="s">
        <v>133</v>
      </c>
      <c r="D146" s="42">
        <v>1</v>
      </c>
      <c r="E146" s="41">
        <v>1.1130899376669635E-4</v>
      </c>
    </row>
    <row r="147" spans="2:5" ht="15" customHeight="1">
      <c r="B147" s="84"/>
      <c r="C147" s="43" t="s">
        <v>142</v>
      </c>
      <c r="D147" s="42">
        <v>4</v>
      </c>
      <c r="E147" s="41">
        <v>4.4523597506678539E-4</v>
      </c>
    </row>
    <row r="148" spans="2:5" ht="15" customHeight="1">
      <c r="B148" s="84"/>
      <c r="C148" s="43" t="s">
        <v>138</v>
      </c>
      <c r="D148" s="42">
        <v>1</v>
      </c>
      <c r="E148" s="41">
        <v>1.1130899376669635E-4</v>
      </c>
    </row>
    <row r="149" spans="2:5" ht="15" customHeight="1">
      <c r="B149" s="84"/>
      <c r="C149" s="43" t="s">
        <v>127</v>
      </c>
      <c r="D149" s="42">
        <v>2</v>
      </c>
      <c r="E149" s="41">
        <v>2.2261798753339269E-4</v>
      </c>
    </row>
    <row r="150" spans="2:5" ht="15" customHeight="1">
      <c r="B150" s="84"/>
      <c r="C150" s="43" t="s">
        <v>139</v>
      </c>
      <c r="D150" s="42">
        <v>7</v>
      </c>
      <c r="E150" s="41">
        <v>7.7916295636687449E-4</v>
      </c>
    </row>
    <row r="151" spans="2:5" ht="15" customHeight="1">
      <c r="B151" s="84"/>
      <c r="C151" s="43" t="s">
        <v>144</v>
      </c>
      <c r="D151" s="42">
        <v>7</v>
      </c>
      <c r="E151" s="41">
        <v>7.7916295636687449E-4</v>
      </c>
    </row>
    <row r="152" spans="2:5" ht="15" customHeight="1">
      <c r="B152" s="84"/>
      <c r="C152" s="43" t="s">
        <v>132</v>
      </c>
      <c r="D152" s="42">
        <v>7</v>
      </c>
      <c r="E152" s="41">
        <v>7.7916295636687449E-4</v>
      </c>
    </row>
    <row r="153" spans="2:5" ht="15" customHeight="1">
      <c r="B153" s="84"/>
      <c r="C153" s="43" t="s">
        <v>143</v>
      </c>
      <c r="D153" s="42">
        <v>6</v>
      </c>
      <c r="E153" s="41">
        <v>6.6785396260017811E-4</v>
      </c>
    </row>
    <row r="154" spans="2:5" ht="15" customHeight="1">
      <c r="B154" s="85"/>
      <c r="C154" s="40" t="s">
        <v>23</v>
      </c>
      <c r="D154" s="39">
        <v>45</v>
      </c>
      <c r="E154" s="38">
        <v>5.0089047195013359E-3</v>
      </c>
    </row>
    <row r="155" spans="2:5" ht="15" customHeight="1">
      <c r="B155" s="83" t="s">
        <v>64</v>
      </c>
      <c r="C155" s="43" t="s">
        <v>140</v>
      </c>
      <c r="D155" s="42">
        <v>11</v>
      </c>
      <c r="E155" s="41">
        <v>1.2243989314336598E-3</v>
      </c>
    </row>
    <row r="156" spans="2:5" ht="15" customHeight="1">
      <c r="B156" s="84"/>
      <c r="C156" s="43" t="s">
        <v>136</v>
      </c>
      <c r="D156" s="42">
        <v>3</v>
      </c>
      <c r="E156" s="41">
        <v>3.3392698130008905E-4</v>
      </c>
    </row>
    <row r="157" spans="2:5" ht="15" customHeight="1">
      <c r="B157" s="84"/>
      <c r="C157" s="43" t="s">
        <v>141</v>
      </c>
      <c r="D157" s="42">
        <v>11</v>
      </c>
      <c r="E157" s="41">
        <v>1.2243989314336598E-3</v>
      </c>
    </row>
    <row r="158" spans="2:5" ht="15" customHeight="1">
      <c r="B158" s="84"/>
      <c r="C158" s="43" t="s">
        <v>130</v>
      </c>
      <c r="D158" s="42">
        <v>1</v>
      </c>
      <c r="E158" s="41">
        <v>1.1130899376669635E-4</v>
      </c>
    </row>
    <row r="159" spans="2:5" ht="15" customHeight="1">
      <c r="B159" s="84"/>
      <c r="C159" s="43" t="s">
        <v>128</v>
      </c>
      <c r="D159" s="42">
        <v>3</v>
      </c>
      <c r="E159" s="41">
        <v>3.3392698130008905E-4</v>
      </c>
    </row>
    <row r="160" spans="2:5" ht="15" customHeight="1">
      <c r="B160" s="84"/>
      <c r="C160" s="43" t="s">
        <v>133</v>
      </c>
      <c r="D160" s="42">
        <v>3</v>
      </c>
      <c r="E160" s="41">
        <v>3.3392698130008905E-4</v>
      </c>
    </row>
    <row r="161" spans="2:5" ht="15" customHeight="1">
      <c r="B161" s="84"/>
      <c r="C161" s="43" t="s">
        <v>134</v>
      </c>
      <c r="D161" s="42">
        <v>1</v>
      </c>
      <c r="E161" s="41">
        <v>1.1130899376669635E-4</v>
      </c>
    </row>
    <row r="162" spans="2:5" ht="15" customHeight="1">
      <c r="B162" s="84"/>
      <c r="C162" s="43" t="s">
        <v>137</v>
      </c>
      <c r="D162" s="42">
        <v>4</v>
      </c>
      <c r="E162" s="41">
        <v>4.4523597506678539E-4</v>
      </c>
    </row>
    <row r="163" spans="2:5" ht="15" customHeight="1">
      <c r="B163" s="84"/>
      <c r="C163" s="43" t="s">
        <v>142</v>
      </c>
      <c r="D163" s="42">
        <v>4</v>
      </c>
      <c r="E163" s="41">
        <v>4.4523597506678539E-4</v>
      </c>
    </row>
    <row r="164" spans="2:5" ht="15" customHeight="1">
      <c r="B164" s="84"/>
      <c r="C164" s="43" t="s">
        <v>138</v>
      </c>
      <c r="D164" s="42">
        <v>2</v>
      </c>
      <c r="E164" s="41">
        <v>2.2261798753339269E-4</v>
      </c>
    </row>
    <row r="165" spans="2:5" ht="15" customHeight="1">
      <c r="B165" s="84"/>
      <c r="C165" s="43" t="s">
        <v>131</v>
      </c>
      <c r="D165" s="42">
        <v>2</v>
      </c>
      <c r="E165" s="41">
        <v>2.2261798753339269E-4</v>
      </c>
    </row>
    <row r="166" spans="2:5" ht="15" customHeight="1">
      <c r="B166" s="84"/>
      <c r="C166" s="43" t="s">
        <v>127</v>
      </c>
      <c r="D166" s="42">
        <v>2</v>
      </c>
      <c r="E166" s="41">
        <v>2.2261798753339269E-4</v>
      </c>
    </row>
    <row r="167" spans="2:5" ht="15" customHeight="1">
      <c r="B167" s="84"/>
      <c r="C167" s="43" t="s">
        <v>139</v>
      </c>
      <c r="D167" s="42">
        <v>6</v>
      </c>
      <c r="E167" s="41">
        <v>6.6785396260017811E-4</v>
      </c>
    </row>
    <row r="168" spans="2:5" ht="15" customHeight="1">
      <c r="B168" s="84"/>
      <c r="C168" s="43" t="s">
        <v>144</v>
      </c>
      <c r="D168" s="42">
        <v>77</v>
      </c>
      <c r="E168" s="41">
        <v>8.5707925200356194E-3</v>
      </c>
    </row>
    <row r="169" spans="2:5" ht="15" customHeight="1">
      <c r="B169" s="84"/>
      <c r="C169" s="43" t="s">
        <v>132</v>
      </c>
      <c r="D169" s="42">
        <v>1</v>
      </c>
      <c r="E169" s="41">
        <v>1.1130899376669635E-4</v>
      </c>
    </row>
    <row r="170" spans="2:5" ht="15" customHeight="1">
      <c r="B170" s="84"/>
      <c r="C170" s="43" t="s">
        <v>143</v>
      </c>
      <c r="D170" s="42">
        <v>26</v>
      </c>
      <c r="E170" s="41">
        <v>2.8940338379341052E-3</v>
      </c>
    </row>
    <row r="171" spans="2:5" ht="15" customHeight="1">
      <c r="B171" s="84"/>
      <c r="C171" s="43" t="s">
        <v>135</v>
      </c>
      <c r="D171" s="42">
        <v>22</v>
      </c>
      <c r="E171" s="41">
        <v>2.4487978628673196E-3</v>
      </c>
    </row>
    <row r="172" spans="2:5" ht="15" customHeight="1">
      <c r="B172" s="84"/>
      <c r="C172" s="43" t="s">
        <v>129</v>
      </c>
      <c r="D172" s="42">
        <v>2</v>
      </c>
      <c r="E172" s="41">
        <v>2.2261798753339269E-4</v>
      </c>
    </row>
    <row r="173" spans="2:5" ht="15" customHeight="1">
      <c r="B173" s="85"/>
      <c r="C173" s="40" t="s">
        <v>23</v>
      </c>
      <c r="D173" s="39">
        <v>181</v>
      </c>
      <c r="E173" s="38">
        <v>2.0146927871772038E-2</v>
      </c>
    </row>
    <row r="174" spans="2:5" ht="15" customHeight="1">
      <c r="B174" s="83" t="s">
        <v>53</v>
      </c>
      <c r="C174" s="43" t="s">
        <v>140</v>
      </c>
      <c r="D174" s="42">
        <v>19</v>
      </c>
      <c r="E174" s="41">
        <v>2.1148708815672307E-3</v>
      </c>
    </row>
    <row r="175" spans="2:5" ht="15" customHeight="1">
      <c r="B175" s="84"/>
      <c r="C175" s="43" t="s">
        <v>136</v>
      </c>
      <c r="D175" s="42">
        <v>4</v>
      </c>
      <c r="E175" s="41">
        <v>4.4523597506678539E-4</v>
      </c>
    </row>
    <row r="176" spans="2:5" ht="15" customHeight="1">
      <c r="B176" s="84"/>
      <c r="C176" s="43" t="s">
        <v>141</v>
      </c>
      <c r="D176" s="42">
        <v>20</v>
      </c>
      <c r="E176" s="41">
        <v>2.2261798753339269E-3</v>
      </c>
    </row>
    <row r="177" spans="2:5" ht="15" customHeight="1">
      <c r="B177" s="84"/>
      <c r="C177" s="43" t="s">
        <v>133</v>
      </c>
      <c r="D177" s="42">
        <v>1</v>
      </c>
      <c r="E177" s="41">
        <v>1.1130899376669635E-4</v>
      </c>
    </row>
    <row r="178" spans="2:5" ht="15" customHeight="1">
      <c r="B178" s="84"/>
      <c r="C178" s="43" t="s">
        <v>137</v>
      </c>
      <c r="D178" s="42">
        <v>1</v>
      </c>
      <c r="E178" s="41">
        <v>1.1130899376669635E-4</v>
      </c>
    </row>
    <row r="179" spans="2:5" ht="15" customHeight="1">
      <c r="B179" s="84"/>
      <c r="C179" s="43" t="s">
        <v>142</v>
      </c>
      <c r="D179" s="42">
        <v>4</v>
      </c>
      <c r="E179" s="41">
        <v>4.4523597506678539E-4</v>
      </c>
    </row>
    <row r="180" spans="2:5" ht="15" customHeight="1">
      <c r="B180" s="84"/>
      <c r="C180" s="43" t="s">
        <v>138</v>
      </c>
      <c r="D180" s="42">
        <v>2</v>
      </c>
      <c r="E180" s="41">
        <v>2.2261798753339269E-4</v>
      </c>
    </row>
    <row r="181" spans="2:5" ht="15" customHeight="1">
      <c r="B181" s="84"/>
      <c r="C181" s="43" t="s">
        <v>131</v>
      </c>
      <c r="D181" s="42">
        <v>4</v>
      </c>
      <c r="E181" s="41">
        <v>4.4523597506678539E-4</v>
      </c>
    </row>
    <row r="182" spans="2:5" ht="15" customHeight="1">
      <c r="B182" s="84"/>
      <c r="C182" s="43" t="s">
        <v>139</v>
      </c>
      <c r="D182" s="42">
        <v>6</v>
      </c>
      <c r="E182" s="41">
        <v>6.6785396260017811E-4</v>
      </c>
    </row>
    <row r="183" spans="2:5" ht="15" customHeight="1">
      <c r="B183" s="84"/>
      <c r="C183" s="43" t="s">
        <v>144</v>
      </c>
      <c r="D183" s="42">
        <v>27</v>
      </c>
      <c r="E183" s="41">
        <v>3.0053428317008014E-3</v>
      </c>
    </row>
    <row r="184" spans="2:5" ht="15" customHeight="1">
      <c r="B184" s="84"/>
      <c r="C184" s="43" t="s">
        <v>132</v>
      </c>
      <c r="D184" s="42">
        <v>1</v>
      </c>
      <c r="E184" s="41">
        <v>1.1130899376669635E-4</v>
      </c>
    </row>
    <row r="185" spans="2:5" ht="15" customHeight="1">
      <c r="B185" s="84"/>
      <c r="C185" s="43" t="s">
        <v>143</v>
      </c>
      <c r="D185" s="42">
        <v>13</v>
      </c>
      <c r="E185" s="41">
        <v>1.4470169189670526E-3</v>
      </c>
    </row>
    <row r="186" spans="2:5" ht="15" customHeight="1">
      <c r="B186" s="84"/>
      <c r="C186" s="43" t="s">
        <v>135</v>
      </c>
      <c r="D186" s="42">
        <v>3</v>
      </c>
      <c r="E186" s="41">
        <v>3.3392698130008905E-4</v>
      </c>
    </row>
    <row r="187" spans="2:5" ht="15" customHeight="1">
      <c r="B187" s="85"/>
      <c r="C187" s="40" t="s">
        <v>23</v>
      </c>
      <c r="D187" s="39">
        <v>105</v>
      </c>
      <c r="E187" s="38">
        <v>1.1687444345503117E-2</v>
      </c>
    </row>
    <row r="188" spans="2:5" ht="15" customHeight="1">
      <c r="B188" s="83" t="s">
        <v>35</v>
      </c>
      <c r="C188" s="43" t="s">
        <v>140</v>
      </c>
      <c r="D188" s="42">
        <v>4</v>
      </c>
      <c r="E188" s="41">
        <v>4.4523597506678539E-4</v>
      </c>
    </row>
    <row r="189" spans="2:5" ht="15" customHeight="1">
      <c r="B189" s="84"/>
      <c r="C189" s="43" t="s">
        <v>141</v>
      </c>
      <c r="D189" s="42">
        <v>1</v>
      </c>
      <c r="E189" s="41">
        <v>1.1130899376669635E-4</v>
      </c>
    </row>
    <row r="190" spans="2:5" ht="15" customHeight="1">
      <c r="B190" s="84"/>
      <c r="C190" s="43" t="s">
        <v>137</v>
      </c>
      <c r="D190" s="42">
        <v>1</v>
      </c>
      <c r="E190" s="41">
        <v>1.1130899376669635E-4</v>
      </c>
    </row>
    <row r="191" spans="2:5" ht="15" customHeight="1">
      <c r="B191" s="84"/>
      <c r="C191" s="43" t="s">
        <v>138</v>
      </c>
      <c r="D191" s="42">
        <v>1</v>
      </c>
      <c r="E191" s="41">
        <v>1.1130899376669635E-4</v>
      </c>
    </row>
    <row r="192" spans="2:5" ht="15" customHeight="1">
      <c r="B192" s="84"/>
      <c r="C192" s="43" t="s">
        <v>131</v>
      </c>
      <c r="D192" s="42">
        <v>3</v>
      </c>
      <c r="E192" s="41">
        <v>3.3392698130008905E-4</v>
      </c>
    </row>
    <row r="193" spans="2:5" ht="15" customHeight="1">
      <c r="B193" s="84"/>
      <c r="C193" s="43" t="s">
        <v>127</v>
      </c>
      <c r="D193" s="42">
        <v>1</v>
      </c>
      <c r="E193" s="41">
        <v>1.1130899376669635E-4</v>
      </c>
    </row>
    <row r="194" spans="2:5" ht="15" customHeight="1">
      <c r="B194" s="84"/>
      <c r="C194" s="43" t="s">
        <v>139</v>
      </c>
      <c r="D194" s="42">
        <v>1</v>
      </c>
      <c r="E194" s="41">
        <v>1.1130899376669635E-4</v>
      </c>
    </row>
    <row r="195" spans="2:5" ht="15" customHeight="1">
      <c r="B195" s="84"/>
      <c r="C195" s="43" t="s">
        <v>144</v>
      </c>
      <c r="D195" s="42">
        <v>3</v>
      </c>
      <c r="E195" s="41">
        <v>3.3392698130008905E-4</v>
      </c>
    </row>
    <row r="196" spans="2:5" ht="15" customHeight="1">
      <c r="B196" s="84"/>
      <c r="C196" s="43" t="s">
        <v>143</v>
      </c>
      <c r="D196" s="42">
        <v>2</v>
      </c>
      <c r="E196" s="41">
        <v>2.2261798753339269E-4</v>
      </c>
    </row>
    <row r="197" spans="2:5" ht="15" customHeight="1">
      <c r="B197" s="84"/>
      <c r="C197" s="43" t="s">
        <v>135</v>
      </c>
      <c r="D197" s="42">
        <v>2</v>
      </c>
      <c r="E197" s="41">
        <v>2.2261798753339269E-4</v>
      </c>
    </row>
    <row r="198" spans="2:5" ht="15" customHeight="1">
      <c r="B198" s="85"/>
      <c r="C198" s="40" t="s">
        <v>23</v>
      </c>
      <c r="D198" s="39">
        <v>19</v>
      </c>
      <c r="E198" s="38">
        <v>2.1148708815672307E-3</v>
      </c>
    </row>
    <row r="199" spans="2:5" ht="15" customHeight="1">
      <c r="B199" s="83" t="s">
        <v>47</v>
      </c>
      <c r="C199" s="43" t="s">
        <v>140</v>
      </c>
      <c r="D199" s="42">
        <v>5</v>
      </c>
      <c r="E199" s="41">
        <v>5.5654496883348172E-4</v>
      </c>
    </row>
    <row r="200" spans="2:5" ht="15" customHeight="1">
      <c r="B200" s="84"/>
      <c r="C200" s="43" t="s">
        <v>136</v>
      </c>
      <c r="D200" s="42">
        <v>10</v>
      </c>
      <c r="E200" s="41">
        <v>1.1130899376669634E-3</v>
      </c>
    </row>
    <row r="201" spans="2:5" ht="15" customHeight="1">
      <c r="B201" s="84"/>
      <c r="C201" s="43" t="s">
        <v>141</v>
      </c>
      <c r="D201" s="42">
        <v>1</v>
      </c>
      <c r="E201" s="41">
        <v>1.1130899376669635E-4</v>
      </c>
    </row>
    <row r="202" spans="2:5" ht="15" customHeight="1">
      <c r="B202" s="84"/>
      <c r="C202" s="43" t="s">
        <v>134</v>
      </c>
      <c r="D202" s="42">
        <v>1</v>
      </c>
      <c r="E202" s="41">
        <v>1.1130899376669635E-4</v>
      </c>
    </row>
    <row r="203" spans="2:5" ht="15" customHeight="1">
      <c r="B203" s="84"/>
      <c r="C203" s="43" t="s">
        <v>137</v>
      </c>
      <c r="D203" s="42">
        <v>2</v>
      </c>
      <c r="E203" s="41">
        <v>2.2261798753339269E-4</v>
      </c>
    </row>
    <row r="204" spans="2:5" ht="15" customHeight="1">
      <c r="B204" s="84"/>
      <c r="C204" s="43" t="s">
        <v>142</v>
      </c>
      <c r="D204" s="42">
        <v>9</v>
      </c>
      <c r="E204" s="41">
        <v>1.0017809439002671E-3</v>
      </c>
    </row>
    <row r="205" spans="2:5" ht="15" customHeight="1">
      <c r="B205" s="84"/>
      <c r="C205" s="43" t="s">
        <v>131</v>
      </c>
      <c r="D205" s="42">
        <v>1</v>
      </c>
      <c r="E205" s="41">
        <v>1.1130899376669635E-4</v>
      </c>
    </row>
    <row r="206" spans="2:5" ht="15" customHeight="1">
      <c r="B206" s="84"/>
      <c r="C206" s="43" t="s">
        <v>139</v>
      </c>
      <c r="D206" s="42">
        <v>7</v>
      </c>
      <c r="E206" s="41">
        <v>7.7916295636687449E-4</v>
      </c>
    </row>
    <row r="207" spans="2:5" ht="15" customHeight="1">
      <c r="B207" s="84"/>
      <c r="C207" s="43" t="s">
        <v>144</v>
      </c>
      <c r="D207" s="42">
        <v>7</v>
      </c>
      <c r="E207" s="41">
        <v>7.7916295636687449E-4</v>
      </c>
    </row>
    <row r="208" spans="2:5" ht="15" customHeight="1">
      <c r="B208" s="84"/>
      <c r="C208" s="43" t="s">
        <v>143</v>
      </c>
      <c r="D208" s="42">
        <v>5</v>
      </c>
      <c r="E208" s="41">
        <v>5.5654496883348172E-4</v>
      </c>
    </row>
    <row r="209" spans="2:5" ht="15" customHeight="1">
      <c r="B209" s="84"/>
      <c r="C209" s="43" t="s">
        <v>135</v>
      </c>
      <c r="D209" s="42">
        <v>1</v>
      </c>
      <c r="E209" s="41">
        <v>1.1130899376669635E-4</v>
      </c>
    </row>
    <row r="210" spans="2:5" ht="15" customHeight="1">
      <c r="B210" s="85"/>
      <c r="C210" s="40" t="s">
        <v>23</v>
      </c>
      <c r="D210" s="39">
        <v>49</v>
      </c>
      <c r="E210" s="38">
        <v>5.4541406945681215E-3</v>
      </c>
    </row>
    <row r="211" spans="2:5" ht="15" customHeight="1">
      <c r="B211" s="83" t="s">
        <v>38</v>
      </c>
      <c r="C211" s="43" t="s">
        <v>140</v>
      </c>
      <c r="D211" s="42">
        <v>3</v>
      </c>
      <c r="E211" s="41">
        <v>3.3392698130008905E-4</v>
      </c>
    </row>
    <row r="212" spans="2:5" ht="15" customHeight="1">
      <c r="B212" s="84"/>
      <c r="C212" s="43" t="s">
        <v>136</v>
      </c>
      <c r="D212" s="42">
        <v>2</v>
      </c>
      <c r="E212" s="41">
        <v>2.2261798753339269E-4</v>
      </c>
    </row>
    <row r="213" spans="2:5" ht="15" customHeight="1">
      <c r="B213" s="84"/>
      <c r="C213" s="43" t="s">
        <v>141</v>
      </c>
      <c r="D213" s="42">
        <v>2</v>
      </c>
      <c r="E213" s="41">
        <v>2.2261798753339269E-4</v>
      </c>
    </row>
    <row r="214" spans="2:5" ht="15" customHeight="1">
      <c r="B214" s="84"/>
      <c r="C214" s="43" t="s">
        <v>128</v>
      </c>
      <c r="D214" s="42">
        <v>1</v>
      </c>
      <c r="E214" s="41">
        <v>1.1130899376669635E-4</v>
      </c>
    </row>
    <row r="215" spans="2:5" ht="15" customHeight="1">
      <c r="B215" s="84"/>
      <c r="C215" s="43" t="s">
        <v>137</v>
      </c>
      <c r="D215" s="42">
        <v>5</v>
      </c>
      <c r="E215" s="41">
        <v>5.5654496883348172E-4</v>
      </c>
    </row>
    <row r="216" spans="2:5" ht="15" customHeight="1">
      <c r="B216" s="84"/>
      <c r="C216" s="43" t="s">
        <v>142</v>
      </c>
      <c r="D216" s="42">
        <v>3</v>
      </c>
      <c r="E216" s="41">
        <v>3.3392698130008905E-4</v>
      </c>
    </row>
    <row r="217" spans="2:5" ht="15" customHeight="1">
      <c r="B217" s="84"/>
      <c r="C217" s="43" t="s">
        <v>139</v>
      </c>
      <c r="D217" s="42">
        <v>2</v>
      </c>
      <c r="E217" s="41">
        <v>2.2261798753339269E-4</v>
      </c>
    </row>
    <row r="218" spans="2:5" ht="15" customHeight="1">
      <c r="B218" s="84"/>
      <c r="C218" s="43" t="s">
        <v>144</v>
      </c>
      <c r="D218" s="42">
        <v>8</v>
      </c>
      <c r="E218" s="41">
        <v>8.9047195013357077E-4</v>
      </c>
    </row>
    <row r="219" spans="2:5" ht="15" customHeight="1">
      <c r="B219" s="84"/>
      <c r="C219" s="43" t="s">
        <v>143</v>
      </c>
      <c r="D219" s="42">
        <v>7</v>
      </c>
      <c r="E219" s="41">
        <v>7.7916295636687449E-4</v>
      </c>
    </row>
    <row r="220" spans="2:5" ht="15" customHeight="1">
      <c r="B220" s="85"/>
      <c r="C220" s="40" t="s">
        <v>23</v>
      </c>
      <c r="D220" s="39">
        <v>33</v>
      </c>
      <c r="E220" s="38">
        <v>3.6731967943009797E-3</v>
      </c>
    </row>
    <row r="221" spans="2:5" ht="15" customHeight="1">
      <c r="B221" s="83" t="s">
        <v>56</v>
      </c>
      <c r="C221" s="43" t="s">
        <v>140</v>
      </c>
      <c r="D221" s="42">
        <v>4</v>
      </c>
      <c r="E221" s="41">
        <v>4.4523597506678539E-4</v>
      </c>
    </row>
    <row r="222" spans="2:5" ht="15" customHeight="1">
      <c r="B222" s="84"/>
      <c r="C222" s="43" t="s">
        <v>136</v>
      </c>
      <c r="D222" s="42">
        <v>7</v>
      </c>
      <c r="E222" s="41">
        <v>7.7916295636687449E-4</v>
      </c>
    </row>
    <row r="223" spans="2:5" ht="15" customHeight="1">
      <c r="B223" s="84"/>
      <c r="C223" s="43" t="s">
        <v>141</v>
      </c>
      <c r="D223" s="42">
        <v>2</v>
      </c>
      <c r="E223" s="41">
        <v>2.2261798753339269E-4</v>
      </c>
    </row>
    <row r="224" spans="2:5" ht="15" customHeight="1">
      <c r="B224" s="84"/>
      <c r="C224" s="43" t="s">
        <v>130</v>
      </c>
      <c r="D224" s="42">
        <v>1</v>
      </c>
      <c r="E224" s="41">
        <v>1.1130899376669635E-4</v>
      </c>
    </row>
    <row r="225" spans="2:5" ht="15" customHeight="1">
      <c r="B225" s="84"/>
      <c r="C225" s="43" t="s">
        <v>128</v>
      </c>
      <c r="D225" s="42">
        <v>3</v>
      </c>
      <c r="E225" s="41">
        <v>3.3392698130008905E-4</v>
      </c>
    </row>
    <row r="226" spans="2:5" ht="15" customHeight="1">
      <c r="B226" s="84"/>
      <c r="C226" s="43" t="s">
        <v>133</v>
      </c>
      <c r="D226" s="42">
        <v>1</v>
      </c>
      <c r="E226" s="41">
        <v>1.1130899376669635E-4</v>
      </c>
    </row>
    <row r="227" spans="2:5" ht="15" customHeight="1">
      <c r="B227" s="84"/>
      <c r="C227" s="43" t="s">
        <v>137</v>
      </c>
      <c r="D227" s="42">
        <v>16</v>
      </c>
      <c r="E227" s="41">
        <v>1.7809439002671415E-3</v>
      </c>
    </row>
    <row r="228" spans="2:5" ht="15" customHeight="1">
      <c r="B228" s="84"/>
      <c r="C228" s="43" t="s">
        <v>142</v>
      </c>
      <c r="D228" s="42">
        <v>28</v>
      </c>
      <c r="E228" s="41">
        <v>3.116651825467498E-3</v>
      </c>
    </row>
    <row r="229" spans="2:5" ht="15" customHeight="1">
      <c r="B229" s="84"/>
      <c r="C229" s="43" t="s">
        <v>138</v>
      </c>
      <c r="D229" s="42">
        <v>15</v>
      </c>
      <c r="E229" s="41">
        <v>1.6696349065004452E-3</v>
      </c>
    </row>
    <row r="230" spans="2:5" ht="15" customHeight="1">
      <c r="B230" s="84"/>
      <c r="C230" s="43" t="s">
        <v>131</v>
      </c>
      <c r="D230" s="42">
        <v>2</v>
      </c>
      <c r="E230" s="41">
        <v>2.2261798753339269E-4</v>
      </c>
    </row>
    <row r="231" spans="2:5" ht="15" customHeight="1">
      <c r="B231" s="84"/>
      <c r="C231" s="43" t="s">
        <v>139</v>
      </c>
      <c r="D231" s="42">
        <v>5</v>
      </c>
      <c r="E231" s="41">
        <v>5.5654496883348172E-4</v>
      </c>
    </row>
    <row r="232" spans="2:5" ht="15" customHeight="1">
      <c r="B232" s="84"/>
      <c r="C232" s="43" t="s">
        <v>144</v>
      </c>
      <c r="D232" s="42">
        <v>24</v>
      </c>
      <c r="E232" s="41">
        <v>2.6714158504007124E-3</v>
      </c>
    </row>
    <row r="233" spans="2:5" ht="15" customHeight="1">
      <c r="B233" s="84"/>
      <c r="C233" s="43" t="s">
        <v>143</v>
      </c>
      <c r="D233" s="42">
        <v>7</v>
      </c>
      <c r="E233" s="41">
        <v>7.7916295636687449E-4</v>
      </c>
    </row>
    <row r="234" spans="2:5" ht="15" customHeight="1">
      <c r="B234" s="85"/>
      <c r="C234" s="40" t="s">
        <v>23</v>
      </c>
      <c r="D234" s="39">
        <v>115</v>
      </c>
      <c r="E234" s="38">
        <v>1.280053428317008E-2</v>
      </c>
    </row>
    <row r="235" spans="2:5" ht="15" customHeight="1">
      <c r="B235" s="83" t="s">
        <v>36</v>
      </c>
      <c r="C235" s="43" t="s">
        <v>136</v>
      </c>
      <c r="D235" s="42">
        <v>3</v>
      </c>
      <c r="E235" s="41">
        <v>3.3392698130008905E-4</v>
      </c>
    </row>
    <row r="236" spans="2:5" ht="15" customHeight="1">
      <c r="B236" s="84"/>
      <c r="C236" s="43" t="s">
        <v>141</v>
      </c>
      <c r="D236" s="42">
        <v>1</v>
      </c>
      <c r="E236" s="41">
        <v>1.1130899376669635E-4</v>
      </c>
    </row>
    <row r="237" spans="2:5" ht="15" customHeight="1">
      <c r="B237" s="84"/>
      <c r="C237" s="43" t="s">
        <v>130</v>
      </c>
      <c r="D237" s="42">
        <v>1</v>
      </c>
      <c r="E237" s="41">
        <v>1.1130899376669635E-4</v>
      </c>
    </row>
    <row r="238" spans="2:5" ht="15" customHeight="1">
      <c r="B238" s="84"/>
      <c r="C238" s="43" t="s">
        <v>128</v>
      </c>
      <c r="D238" s="42">
        <v>1</v>
      </c>
      <c r="E238" s="41">
        <v>1.1130899376669635E-4</v>
      </c>
    </row>
    <row r="239" spans="2:5" ht="15" customHeight="1">
      <c r="B239" s="84"/>
      <c r="C239" s="43" t="s">
        <v>137</v>
      </c>
      <c r="D239" s="42">
        <v>1</v>
      </c>
      <c r="E239" s="41">
        <v>1.1130899376669635E-4</v>
      </c>
    </row>
    <row r="240" spans="2:5" ht="15" customHeight="1">
      <c r="B240" s="84"/>
      <c r="C240" s="43" t="s">
        <v>142</v>
      </c>
      <c r="D240" s="42">
        <v>3</v>
      </c>
      <c r="E240" s="41">
        <v>3.3392698130008905E-4</v>
      </c>
    </row>
    <row r="241" spans="2:5" ht="15" customHeight="1">
      <c r="B241" s="84"/>
      <c r="C241" s="43" t="s">
        <v>139</v>
      </c>
      <c r="D241" s="42">
        <v>4</v>
      </c>
      <c r="E241" s="41">
        <v>4.4523597506678539E-4</v>
      </c>
    </row>
    <row r="242" spans="2:5" ht="15" customHeight="1">
      <c r="B242" s="84"/>
      <c r="C242" s="43" t="s">
        <v>144</v>
      </c>
      <c r="D242" s="42">
        <v>8</v>
      </c>
      <c r="E242" s="41">
        <v>8.9047195013357077E-4</v>
      </c>
    </row>
    <row r="243" spans="2:5" ht="15" customHeight="1">
      <c r="B243" s="84"/>
      <c r="C243" s="43" t="s">
        <v>135</v>
      </c>
      <c r="D243" s="42">
        <v>1</v>
      </c>
      <c r="E243" s="41">
        <v>1.1130899376669635E-4</v>
      </c>
    </row>
    <row r="244" spans="2:5" ht="15" customHeight="1">
      <c r="B244" s="85"/>
      <c r="C244" s="40" t="s">
        <v>23</v>
      </c>
      <c r="D244" s="39">
        <v>23</v>
      </c>
      <c r="E244" s="38">
        <v>2.5601068566340158E-3</v>
      </c>
    </row>
    <row r="245" spans="2:5" ht="15" customHeight="1">
      <c r="B245" s="83" t="s">
        <v>33</v>
      </c>
      <c r="C245" s="43" t="s">
        <v>133</v>
      </c>
      <c r="D245" s="42">
        <v>2</v>
      </c>
      <c r="E245" s="41">
        <v>2.2261798753339269E-4</v>
      </c>
    </row>
    <row r="246" spans="2:5" ht="15" customHeight="1">
      <c r="B246" s="84"/>
      <c r="C246" s="43" t="s">
        <v>137</v>
      </c>
      <c r="D246" s="42">
        <v>2</v>
      </c>
      <c r="E246" s="41">
        <v>2.2261798753339269E-4</v>
      </c>
    </row>
    <row r="247" spans="2:5" ht="15" customHeight="1">
      <c r="B247" s="84"/>
      <c r="C247" s="43" t="s">
        <v>144</v>
      </c>
      <c r="D247" s="42">
        <v>10</v>
      </c>
      <c r="E247" s="41">
        <v>1.1130899376669634E-3</v>
      </c>
    </row>
    <row r="248" spans="2:5" ht="15" customHeight="1">
      <c r="B248" s="84"/>
      <c r="C248" s="43" t="s">
        <v>143</v>
      </c>
      <c r="D248" s="42">
        <v>1</v>
      </c>
      <c r="E248" s="41">
        <v>1.1130899376669635E-4</v>
      </c>
    </row>
    <row r="249" spans="2:5" ht="15" customHeight="1">
      <c r="B249" s="85"/>
      <c r="C249" s="40" t="s">
        <v>23</v>
      </c>
      <c r="D249" s="39">
        <v>15</v>
      </c>
      <c r="E249" s="38">
        <v>1.6696349065004452E-3</v>
      </c>
    </row>
    <row r="250" spans="2:5" ht="15" customHeight="1">
      <c r="B250" s="83" t="s">
        <v>46</v>
      </c>
      <c r="C250" s="43" t="s">
        <v>140</v>
      </c>
      <c r="D250" s="42">
        <v>4</v>
      </c>
      <c r="E250" s="41">
        <v>4.4523597506678539E-4</v>
      </c>
    </row>
    <row r="251" spans="2:5" ht="15" customHeight="1">
      <c r="B251" s="84"/>
      <c r="C251" s="43" t="s">
        <v>136</v>
      </c>
      <c r="D251" s="42">
        <v>3</v>
      </c>
      <c r="E251" s="41">
        <v>3.3392698130008905E-4</v>
      </c>
    </row>
    <row r="252" spans="2:5" ht="15" customHeight="1">
      <c r="B252" s="84"/>
      <c r="C252" s="43" t="s">
        <v>141</v>
      </c>
      <c r="D252" s="42">
        <v>4</v>
      </c>
      <c r="E252" s="41">
        <v>4.4523597506678539E-4</v>
      </c>
    </row>
    <row r="253" spans="2:5" ht="15" customHeight="1">
      <c r="B253" s="84"/>
      <c r="C253" s="43" t="s">
        <v>130</v>
      </c>
      <c r="D253" s="42">
        <v>1</v>
      </c>
      <c r="E253" s="41">
        <v>1.1130899376669635E-4</v>
      </c>
    </row>
    <row r="254" spans="2:5" ht="15" customHeight="1">
      <c r="B254" s="84"/>
      <c r="C254" s="43" t="s">
        <v>137</v>
      </c>
      <c r="D254" s="42">
        <v>1</v>
      </c>
      <c r="E254" s="41">
        <v>1.1130899376669635E-4</v>
      </c>
    </row>
    <row r="255" spans="2:5" ht="15" customHeight="1">
      <c r="B255" s="84"/>
      <c r="C255" s="43" t="s">
        <v>142</v>
      </c>
      <c r="D255" s="42">
        <v>8</v>
      </c>
      <c r="E255" s="41">
        <v>8.9047195013357077E-4</v>
      </c>
    </row>
    <row r="256" spans="2:5" ht="15" customHeight="1">
      <c r="B256" s="84"/>
      <c r="C256" s="43" t="s">
        <v>138</v>
      </c>
      <c r="D256" s="42">
        <v>1</v>
      </c>
      <c r="E256" s="41">
        <v>1.1130899376669635E-4</v>
      </c>
    </row>
    <row r="257" spans="2:5" ht="15" customHeight="1">
      <c r="B257" s="84"/>
      <c r="C257" s="43" t="s">
        <v>131</v>
      </c>
      <c r="D257" s="42">
        <v>2</v>
      </c>
      <c r="E257" s="41">
        <v>2.2261798753339269E-4</v>
      </c>
    </row>
    <row r="258" spans="2:5" ht="15" customHeight="1">
      <c r="B258" s="84"/>
      <c r="C258" s="43" t="s">
        <v>127</v>
      </c>
      <c r="D258" s="42">
        <v>1</v>
      </c>
      <c r="E258" s="41">
        <v>1.1130899376669635E-4</v>
      </c>
    </row>
    <row r="259" spans="2:5" ht="15" customHeight="1">
      <c r="B259" s="84"/>
      <c r="C259" s="43" t="s">
        <v>139</v>
      </c>
      <c r="D259" s="42">
        <v>5</v>
      </c>
      <c r="E259" s="41">
        <v>5.5654496883348172E-4</v>
      </c>
    </row>
    <row r="260" spans="2:5" ht="15" customHeight="1">
      <c r="B260" s="84"/>
      <c r="C260" s="43" t="s">
        <v>144</v>
      </c>
      <c r="D260" s="42">
        <v>11</v>
      </c>
      <c r="E260" s="41">
        <v>1.2243989314336598E-3</v>
      </c>
    </row>
    <row r="261" spans="2:5" ht="15" customHeight="1">
      <c r="B261" s="84"/>
      <c r="C261" s="43" t="s">
        <v>143</v>
      </c>
      <c r="D261" s="42">
        <v>7</v>
      </c>
      <c r="E261" s="41">
        <v>7.7916295636687449E-4</v>
      </c>
    </row>
    <row r="262" spans="2:5" ht="15" customHeight="1">
      <c r="B262" s="84"/>
      <c r="C262" s="43" t="s">
        <v>129</v>
      </c>
      <c r="D262" s="42">
        <v>1</v>
      </c>
      <c r="E262" s="41">
        <v>1.1130899376669635E-4</v>
      </c>
    </row>
    <row r="263" spans="2:5" ht="15" customHeight="1">
      <c r="B263" s="85"/>
      <c r="C263" s="40" t="s">
        <v>23</v>
      </c>
      <c r="D263" s="39">
        <v>49</v>
      </c>
      <c r="E263" s="38">
        <v>5.4541406945681215E-3</v>
      </c>
    </row>
    <row r="264" spans="2:5" ht="15" customHeight="1">
      <c r="B264" s="83" t="s">
        <v>45</v>
      </c>
      <c r="C264" s="43" t="s">
        <v>140</v>
      </c>
      <c r="D264" s="42">
        <v>3</v>
      </c>
      <c r="E264" s="41">
        <v>3.3392698130008905E-4</v>
      </c>
    </row>
    <row r="265" spans="2:5" ht="15" customHeight="1">
      <c r="B265" s="84"/>
      <c r="C265" s="43" t="s">
        <v>136</v>
      </c>
      <c r="D265" s="42">
        <v>1</v>
      </c>
      <c r="E265" s="41">
        <v>1.1130899376669635E-4</v>
      </c>
    </row>
    <row r="266" spans="2:5" ht="15" customHeight="1">
      <c r="B266" s="84"/>
      <c r="C266" s="43" t="s">
        <v>141</v>
      </c>
      <c r="D266" s="42">
        <v>4</v>
      </c>
      <c r="E266" s="41">
        <v>4.4523597506678539E-4</v>
      </c>
    </row>
    <row r="267" spans="2:5" ht="15" customHeight="1">
      <c r="B267" s="84"/>
      <c r="C267" s="43" t="s">
        <v>133</v>
      </c>
      <c r="D267" s="42">
        <v>5</v>
      </c>
      <c r="E267" s="41">
        <v>5.5654496883348172E-4</v>
      </c>
    </row>
    <row r="268" spans="2:5" ht="15" customHeight="1">
      <c r="B268" s="84"/>
      <c r="C268" s="43" t="s">
        <v>134</v>
      </c>
      <c r="D268" s="42">
        <v>1</v>
      </c>
      <c r="E268" s="41">
        <v>1.1130899376669635E-4</v>
      </c>
    </row>
    <row r="269" spans="2:5" ht="15" customHeight="1">
      <c r="B269" s="84"/>
      <c r="C269" s="43" t="s">
        <v>137</v>
      </c>
      <c r="D269" s="42">
        <v>2</v>
      </c>
      <c r="E269" s="41">
        <v>2.2261798753339269E-4</v>
      </c>
    </row>
    <row r="270" spans="2:5" ht="15" customHeight="1">
      <c r="B270" s="84"/>
      <c r="C270" s="43" t="s">
        <v>138</v>
      </c>
      <c r="D270" s="42">
        <v>3</v>
      </c>
      <c r="E270" s="41">
        <v>3.3392698130008905E-4</v>
      </c>
    </row>
    <row r="271" spans="2:5" ht="15" customHeight="1">
      <c r="B271" s="84"/>
      <c r="C271" s="43" t="s">
        <v>131</v>
      </c>
      <c r="D271" s="42">
        <v>3</v>
      </c>
      <c r="E271" s="41">
        <v>3.3392698130008905E-4</v>
      </c>
    </row>
    <row r="272" spans="2:5" ht="15" customHeight="1">
      <c r="B272" s="84"/>
      <c r="C272" s="43" t="s">
        <v>127</v>
      </c>
      <c r="D272" s="42">
        <v>1</v>
      </c>
      <c r="E272" s="41">
        <v>1.1130899376669635E-4</v>
      </c>
    </row>
    <row r="273" spans="2:5" ht="15" customHeight="1">
      <c r="B273" s="84"/>
      <c r="C273" s="43" t="s">
        <v>139</v>
      </c>
      <c r="D273" s="42">
        <v>1</v>
      </c>
      <c r="E273" s="41">
        <v>1.1130899376669635E-4</v>
      </c>
    </row>
    <row r="274" spans="2:5" ht="15" customHeight="1">
      <c r="B274" s="84"/>
      <c r="C274" s="43" t="s">
        <v>144</v>
      </c>
      <c r="D274" s="42">
        <v>14</v>
      </c>
      <c r="E274" s="41">
        <v>1.558325912733749E-3</v>
      </c>
    </row>
    <row r="275" spans="2:5" ht="15" customHeight="1">
      <c r="B275" s="84"/>
      <c r="C275" s="43" t="s">
        <v>143</v>
      </c>
      <c r="D275" s="42">
        <v>8</v>
      </c>
      <c r="E275" s="41">
        <v>8.9047195013357077E-4</v>
      </c>
    </row>
    <row r="276" spans="2:5" ht="15" customHeight="1">
      <c r="B276" s="84"/>
      <c r="C276" s="43" t="s">
        <v>135</v>
      </c>
      <c r="D276" s="42">
        <v>2</v>
      </c>
      <c r="E276" s="41">
        <v>2.2261798753339269E-4</v>
      </c>
    </row>
    <row r="277" spans="2:5" ht="15" customHeight="1">
      <c r="B277" s="85"/>
      <c r="C277" s="40" t="s">
        <v>23</v>
      </c>
      <c r="D277" s="39">
        <v>48</v>
      </c>
      <c r="E277" s="38">
        <v>5.3428317008014248E-3</v>
      </c>
    </row>
    <row r="278" spans="2:5" ht="15" customHeight="1">
      <c r="B278" s="83" t="s">
        <v>40</v>
      </c>
      <c r="C278" s="43" t="s">
        <v>140</v>
      </c>
      <c r="D278" s="42">
        <v>1</v>
      </c>
      <c r="E278" s="41">
        <v>1.1130899376669635E-4</v>
      </c>
    </row>
    <row r="279" spans="2:5" ht="15" customHeight="1">
      <c r="B279" s="84"/>
      <c r="C279" s="43" t="s">
        <v>136</v>
      </c>
      <c r="D279" s="42">
        <v>8</v>
      </c>
      <c r="E279" s="41">
        <v>8.9047195013357077E-4</v>
      </c>
    </row>
    <row r="280" spans="2:5" ht="15" customHeight="1">
      <c r="B280" s="84"/>
      <c r="C280" s="43" t="s">
        <v>141</v>
      </c>
      <c r="D280" s="42">
        <v>2</v>
      </c>
      <c r="E280" s="41">
        <v>2.2261798753339269E-4</v>
      </c>
    </row>
    <row r="281" spans="2:5" ht="15" customHeight="1">
      <c r="B281" s="84"/>
      <c r="C281" s="43" t="s">
        <v>133</v>
      </c>
      <c r="D281" s="42">
        <v>6</v>
      </c>
      <c r="E281" s="41">
        <v>6.6785396260017811E-4</v>
      </c>
    </row>
    <row r="282" spans="2:5" ht="15" customHeight="1">
      <c r="B282" s="84"/>
      <c r="C282" s="43" t="s">
        <v>142</v>
      </c>
      <c r="D282" s="42">
        <v>4</v>
      </c>
      <c r="E282" s="41">
        <v>4.4523597506678539E-4</v>
      </c>
    </row>
    <row r="283" spans="2:5" ht="15" customHeight="1">
      <c r="B283" s="84"/>
      <c r="C283" s="43" t="s">
        <v>139</v>
      </c>
      <c r="D283" s="42">
        <v>1</v>
      </c>
      <c r="E283" s="41">
        <v>1.1130899376669635E-4</v>
      </c>
    </row>
    <row r="284" spans="2:5" ht="15" customHeight="1">
      <c r="B284" s="84"/>
      <c r="C284" s="43" t="s">
        <v>144</v>
      </c>
      <c r="D284" s="42">
        <v>9</v>
      </c>
      <c r="E284" s="41">
        <v>1.0017809439002671E-3</v>
      </c>
    </row>
    <row r="285" spans="2:5" ht="15" customHeight="1">
      <c r="B285" s="84"/>
      <c r="C285" s="43" t="s">
        <v>132</v>
      </c>
      <c r="D285" s="42">
        <v>3</v>
      </c>
      <c r="E285" s="41">
        <v>3.3392698130008905E-4</v>
      </c>
    </row>
    <row r="286" spans="2:5" ht="15" customHeight="1">
      <c r="B286" s="84"/>
      <c r="C286" s="43" t="s">
        <v>143</v>
      </c>
      <c r="D286" s="42">
        <v>3</v>
      </c>
      <c r="E286" s="41">
        <v>3.3392698130008905E-4</v>
      </c>
    </row>
    <row r="287" spans="2:5" ht="15" customHeight="1">
      <c r="B287" s="85"/>
      <c r="C287" s="40" t="s">
        <v>23</v>
      </c>
      <c r="D287" s="39">
        <v>37</v>
      </c>
      <c r="E287" s="38">
        <v>4.1184327693677648E-3</v>
      </c>
    </row>
    <row r="288" spans="2:5" ht="15" customHeight="1">
      <c r="B288" s="83" t="s">
        <v>43</v>
      </c>
      <c r="C288" s="43" t="s">
        <v>140</v>
      </c>
      <c r="D288" s="42">
        <v>5</v>
      </c>
      <c r="E288" s="41">
        <v>5.5654496883348172E-4</v>
      </c>
    </row>
    <row r="289" spans="2:5" ht="15" customHeight="1">
      <c r="B289" s="84"/>
      <c r="C289" s="43" t="s">
        <v>136</v>
      </c>
      <c r="D289" s="42">
        <v>1</v>
      </c>
      <c r="E289" s="41">
        <v>1.1130899376669635E-4</v>
      </c>
    </row>
    <row r="290" spans="2:5" ht="15" customHeight="1">
      <c r="B290" s="84"/>
      <c r="C290" s="43" t="s">
        <v>141</v>
      </c>
      <c r="D290" s="42">
        <v>1</v>
      </c>
      <c r="E290" s="41">
        <v>1.1130899376669635E-4</v>
      </c>
    </row>
    <row r="291" spans="2:5" ht="15" customHeight="1">
      <c r="B291" s="84"/>
      <c r="C291" s="43" t="s">
        <v>134</v>
      </c>
      <c r="D291" s="42">
        <v>5</v>
      </c>
      <c r="E291" s="41">
        <v>5.5654496883348172E-4</v>
      </c>
    </row>
    <row r="292" spans="2:5" ht="15" customHeight="1">
      <c r="B292" s="84"/>
      <c r="C292" s="43" t="s">
        <v>137</v>
      </c>
      <c r="D292" s="42">
        <v>1</v>
      </c>
      <c r="E292" s="41">
        <v>1.1130899376669635E-4</v>
      </c>
    </row>
    <row r="293" spans="2:5" ht="15" customHeight="1">
      <c r="B293" s="84"/>
      <c r="C293" s="43" t="s">
        <v>142</v>
      </c>
      <c r="D293" s="42">
        <v>1</v>
      </c>
      <c r="E293" s="41">
        <v>1.1130899376669635E-4</v>
      </c>
    </row>
    <row r="294" spans="2:5" ht="15" customHeight="1">
      <c r="B294" s="84"/>
      <c r="C294" s="43" t="s">
        <v>131</v>
      </c>
      <c r="D294" s="42">
        <v>1</v>
      </c>
      <c r="E294" s="41">
        <v>1.1130899376669635E-4</v>
      </c>
    </row>
    <row r="295" spans="2:5" ht="15" customHeight="1">
      <c r="B295" s="84"/>
      <c r="C295" s="43" t="s">
        <v>139</v>
      </c>
      <c r="D295" s="42">
        <v>1</v>
      </c>
      <c r="E295" s="41">
        <v>1.1130899376669635E-4</v>
      </c>
    </row>
    <row r="296" spans="2:5" ht="15" customHeight="1">
      <c r="B296" s="84"/>
      <c r="C296" s="43" t="s">
        <v>144</v>
      </c>
      <c r="D296" s="42">
        <v>22</v>
      </c>
      <c r="E296" s="41">
        <v>2.4487978628673196E-3</v>
      </c>
    </row>
    <row r="297" spans="2:5" ht="15" customHeight="1">
      <c r="B297" s="84"/>
      <c r="C297" s="43" t="s">
        <v>143</v>
      </c>
      <c r="D297" s="42">
        <v>2</v>
      </c>
      <c r="E297" s="41">
        <v>2.2261798753339269E-4</v>
      </c>
    </row>
    <row r="298" spans="2:5" ht="15" customHeight="1">
      <c r="B298" s="85"/>
      <c r="C298" s="40" t="s">
        <v>23</v>
      </c>
      <c r="D298" s="39">
        <v>40</v>
      </c>
      <c r="E298" s="38">
        <v>4.4523597506678537E-3</v>
      </c>
    </row>
    <row r="299" spans="2:5" ht="15" customHeight="1">
      <c r="B299" s="83" t="s">
        <v>61</v>
      </c>
      <c r="C299" s="43" t="s">
        <v>140</v>
      </c>
      <c r="D299" s="42">
        <v>80</v>
      </c>
      <c r="E299" s="41">
        <v>8.9047195013357075E-3</v>
      </c>
    </row>
    <row r="300" spans="2:5" ht="15" customHeight="1">
      <c r="B300" s="84"/>
      <c r="C300" s="43" t="s">
        <v>141</v>
      </c>
      <c r="D300" s="42">
        <v>4</v>
      </c>
      <c r="E300" s="41">
        <v>4.4523597506678539E-4</v>
      </c>
    </row>
    <row r="301" spans="2:5" ht="15" customHeight="1">
      <c r="B301" s="84"/>
      <c r="C301" s="43" t="s">
        <v>130</v>
      </c>
      <c r="D301" s="42">
        <v>3</v>
      </c>
      <c r="E301" s="41">
        <v>3.3392698130008905E-4</v>
      </c>
    </row>
    <row r="302" spans="2:5" ht="15" customHeight="1">
      <c r="B302" s="84"/>
      <c r="C302" s="43" t="s">
        <v>128</v>
      </c>
      <c r="D302" s="42">
        <v>1</v>
      </c>
      <c r="E302" s="41">
        <v>1.1130899376669635E-4</v>
      </c>
    </row>
    <row r="303" spans="2:5" ht="15" customHeight="1">
      <c r="B303" s="84"/>
      <c r="C303" s="43" t="s">
        <v>133</v>
      </c>
      <c r="D303" s="42">
        <v>3</v>
      </c>
      <c r="E303" s="41">
        <v>3.3392698130008905E-4</v>
      </c>
    </row>
    <row r="304" spans="2:5" ht="15" customHeight="1">
      <c r="B304" s="84"/>
      <c r="C304" s="43" t="s">
        <v>137</v>
      </c>
      <c r="D304" s="42">
        <v>1</v>
      </c>
      <c r="E304" s="41">
        <v>1.1130899376669635E-4</v>
      </c>
    </row>
    <row r="305" spans="2:5" ht="15" customHeight="1">
      <c r="B305" s="84"/>
      <c r="C305" s="43" t="s">
        <v>142</v>
      </c>
      <c r="D305" s="42">
        <v>5</v>
      </c>
      <c r="E305" s="41">
        <v>5.5654496883348172E-4</v>
      </c>
    </row>
    <row r="306" spans="2:5" ht="15" customHeight="1">
      <c r="B306" s="84"/>
      <c r="C306" s="43" t="s">
        <v>138</v>
      </c>
      <c r="D306" s="42">
        <v>1</v>
      </c>
      <c r="E306" s="41">
        <v>1.1130899376669635E-4</v>
      </c>
    </row>
    <row r="307" spans="2:5" ht="15" customHeight="1">
      <c r="B307" s="84"/>
      <c r="C307" s="43" t="s">
        <v>131</v>
      </c>
      <c r="D307" s="42">
        <v>2</v>
      </c>
      <c r="E307" s="41">
        <v>2.2261798753339269E-4</v>
      </c>
    </row>
    <row r="308" spans="2:5" ht="15" customHeight="1">
      <c r="B308" s="84"/>
      <c r="C308" s="43" t="s">
        <v>144</v>
      </c>
      <c r="D308" s="42">
        <v>19</v>
      </c>
      <c r="E308" s="41">
        <v>2.1148708815672307E-3</v>
      </c>
    </row>
    <row r="309" spans="2:5" ht="15" customHeight="1">
      <c r="B309" s="84"/>
      <c r="C309" s="43" t="s">
        <v>143</v>
      </c>
      <c r="D309" s="42">
        <v>8</v>
      </c>
      <c r="E309" s="41">
        <v>8.9047195013357077E-4</v>
      </c>
    </row>
    <row r="310" spans="2:5" ht="15" customHeight="1">
      <c r="B310" s="84"/>
      <c r="C310" s="43" t="s">
        <v>129</v>
      </c>
      <c r="D310" s="42">
        <v>1</v>
      </c>
      <c r="E310" s="41">
        <v>1.1130899376669635E-4</v>
      </c>
    </row>
    <row r="311" spans="2:5" ht="15" customHeight="1">
      <c r="B311" s="85"/>
      <c r="C311" s="40" t="s">
        <v>23</v>
      </c>
      <c r="D311" s="39">
        <v>128</v>
      </c>
      <c r="E311" s="38">
        <v>1.4247551202137132E-2</v>
      </c>
    </row>
    <row r="312" spans="2:5" ht="15" customHeight="1">
      <c r="B312" s="83" t="s">
        <v>58</v>
      </c>
      <c r="C312" s="43" t="s">
        <v>140</v>
      </c>
      <c r="D312" s="42">
        <v>38</v>
      </c>
      <c r="E312" s="41">
        <v>4.2297417631344614E-3</v>
      </c>
    </row>
    <row r="313" spans="2:5" ht="15" customHeight="1">
      <c r="B313" s="84"/>
      <c r="C313" s="43" t="s">
        <v>136</v>
      </c>
      <c r="D313" s="42">
        <v>1</v>
      </c>
      <c r="E313" s="41">
        <v>1.1130899376669635E-4</v>
      </c>
    </row>
    <row r="314" spans="2:5" ht="15" customHeight="1">
      <c r="B314" s="84"/>
      <c r="C314" s="43" t="s">
        <v>141</v>
      </c>
      <c r="D314" s="42">
        <v>4</v>
      </c>
      <c r="E314" s="41">
        <v>4.4523597506678539E-4</v>
      </c>
    </row>
    <row r="315" spans="2:5" ht="15" customHeight="1">
      <c r="B315" s="84"/>
      <c r="C315" s="43" t="s">
        <v>130</v>
      </c>
      <c r="D315" s="42">
        <v>6</v>
      </c>
      <c r="E315" s="41">
        <v>6.6785396260017811E-4</v>
      </c>
    </row>
    <row r="316" spans="2:5" ht="15" customHeight="1">
      <c r="B316" s="84"/>
      <c r="C316" s="43" t="s">
        <v>133</v>
      </c>
      <c r="D316" s="42">
        <v>1</v>
      </c>
      <c r="E316" s="41">
        <v>1.1130899376669635E-4</v>
      </c>
    </row>
    <row r="317" spans="2:5" ht="15" customHeight="1">
      <c r="B317" s="84"/>
      <c r="C317" s="43" t="s">
        <v>134</v>
      </c>
      <c r="D317" s="42">
        <v>5</v>
      </c>
      <c r="E317" s="41">
        <v>5.5654496883348172E-4</v>
      </c>
    </row>
    <row r="318" spans="2:5" ht="15" customHeight="1">
      <c r="B318" s="84"/>
      <c r="C318" s="43" t="s">
        <v>137</v>
      </c>
      <c r="D318" s="42">
        <v>2</v>
      </c>
      <c r="E318" s="41">
        <v>2.2261798753339269E-4</v>
      </c>
    </row>
    <row r="319" spans="2:5" ht="15" customHeight="1">
      <c r="B319" s="84"/>
      <c r="C319" s="43" t="s">
        <v>142</v>
      </c>
      <c r="D319" s="42">
        <v>2</v>
      </c>
      <c r="E319" s="41">
        <v>2.2261798753339269E-4</v>
      </c>
    </row>
    <row r="320" spans="2:5" ht="15" customHeight="1">
      <c r="B320" s="84"/>
      <c r="C320" s="43" t="s">
        <v>131</v>
      </c>
      <c r="D320" s="42">
        <v>2</v>
      </c>
      <c r="E320" s="41">
        <v>2.2261798753339269E-4</v>
      </c>
    </row>
    <row r="321" spans="2:5" ht="15" customHeight="1">
      <c r="B321" s="84"/>
      <c r="C321" s="43" t="s">
        <v>139</v>
      </c>
      <c r="D321" s="42">
        <v>2</v>
      </c>
      <c r="E321" s="41">
        <v>2.2261798753339269E-4</v>
      </c>
    </row>
    <row r="322" spans="2:5" ht="15" customHeight="1">
      <c r="B322" s="84"/>
      <c r="C322" s="43" t="s">
        <v>144</v>
      </c>
      <c r="D322" s="42">
        <v>19</v>
      </c>
      <c r="E322" s="41">
        <v>2.1148708815672307E-3</v>
      </c>
    </row>
    <row r="323" spans="2:5" ht="15" customHeight="1">
      <c r="B323" s="84"/>
      <c r="C323" s="43" t="s">
        <v>132</v>
      </c>
      <c r="D323" s="42">
        <v>10</v>
      </c>
      <c r="E323" s="41">
        <v>1.1130899376669634E-3</v>
      </c>
    </row>
    <row r="324" spans="2:5" ht="15" customHeight="1">
      <c r="B324" s="84"/>
      <c r="C324" s="43" t="s">
        <v>143</v>
      </c>
      <c r="D324" s="42">
        <v>21</v>
      </c>
      <c r="E324" s="41">
        <v>2.3374888691006235E-3</v>
      </c>
    </row>
    <row r="325" spans="2:5" ht="15" customHeight="1">
      <c r="B325" s="84"/>
      <c r="C325" s="43" t="s">
        <v>135</v>
      </c>
      <c r="D325" s="42">
        <v>6</v>
      </c>
      <c r="E325" s="41">
        <v>6.6785396260017811E-4</v>
      </c>
    </row>
    <row r="326" spans="2:5" ht="15" customHeight="1">
      <c r="B326" s="84"/>
      <c r="C326" s="43" t="s">
        <v>129</v>
      </c>
      <c r="D326" s="42">
        <v>1</v>
      </c>
      <c r="E326" s="41">
        <v>1.1130899376669635E-4</v>
      </c>
    </row>
    <row r="327" spans="2:5" ht="15" customHeight="1">
      <c r="B327" s="85"/>
      <c r="C327" s="40" t="s">
        <v>23</v>
      </c>
      <c r="D327" s="39">
        <v>120</v>
      </c>
      <c r="E327" s="38">
        <v>1.3357079252003561E-2</v>
      </c>
    </row>
    <row r="328" spans="2:5" ht="15" customHeight="1">
      <c r="B328" s="83" t="s">
        <v>32</v>
      </c>
      <c r="C328" s="43" t="s">
        <v>133</v>
      </c>
      <c r="D328" s="42">
        <v>1</v>
      </c>
      <c r="E328" s="41">
        <v>1.1130899376669635E-4</v>
      </c>
    </row>
    <row r="329" spans="2:5" ht="15" customHeight="1">
      <c r="B329" s="84"/>
      <c r="C329" s="43" t="s">
        <v>142</v>
      </c>
      <c r="D329" s="42">
        <v>1</v>
      </c>
      <c r="E329" s="41">
        <v>1.1130899376669635E-4</v>
      </c>
    </row>
    <row r="330" spans="2:5" ht="15" customHeight="1">
      <c r="B330" s="84"/>
      <c r="C330" s="43" t="s">
        <v>138</v>
      </c>
      <c r="D330" s="42">
        <v>3</v>
      </c>
      <c r="E330" s="41">
        <v>3.3392698130008905E-4</v>
      </c>
    </row>
    <row r="331" spans="2:5" ht="15" customHeight="1">
      <c r="B331" s="84"/>
      <c r="C331" s="43" t="s">
        <v>144</v>
      </c>
      <c r="D331" s="42">
        <v>7</v>
      </c>
      <c r="E331" s="41">
        <v>7.7916295636687449E-4</v>
      </c>
    </row>
    <row r="332" spans="2:5" ht="15" customHeight="1">
      <c r="B332" s="85"/>
      <c r="C332" s="40" t="s">
        <v>23</v>
      </c>
      <c r="D332" s="39">
        <v>12</v>
      </c>
      <c r="E332" s="38">
        <v>1.3357079252003562E-3</v>
      </c>
    </row>
    <row r="333" spans="2:5" ht="15" customHeight="1">
      <c r="B333" s="83" t="s">
        <v>39</v>
      </c>
      <c r="C333" s="43" t="s">
        <v>140</v>
      </c>
      <c r="D333" s="42">
        <v>2</v>
      </c>
      <c r="E333" s="41">
        <v>2.2261798753339269E-4</v>
      </c>
    </row>
    <row r="334" spans="2:5" ht="15" customHeight="1">
      <c r="B334" s="84"/>
      <c r="C334" s="43" t="s">
        <v>136</v>
      </c>
      <c r="D334" s="42">
        <v>5</v>
      </c>
      <c r="E334" s="41">
        <v>5.5654496883348172E-4</v>
      </c>
    </row>
    <row r="335" spans="2:5" ht="15" customHeight="1">
      <c r="B335" s="84"/>
      <c r="C335" s="43" t="s">
        <v>141</v>
      </c>
      <c r="D335" s="42">
        <v>6</v>
      </c>
      <c r="E335" s="41">
        <v>6.6785396260017811E-4</v>
      </c>
    </row>
    <row r="336" spans="2:5" ht="15" customHeight="1">
      <c r="B336" s="84"/>
      <c r="C336" s="43" t="s">
        <v>142</v>
      </c>
      <c r="D336" s="42">
        <v>3</v>
      </c>
      <c r="E336" s="41">
        <v>3.3392698130008905E-4</v>
      </c>
    </row>
    <row r="337" spans="2:5" ht="15" customHeight="1">
      <c r="B337" s="84"/>
      <c r="C337" s="43" t="s">
        <v>139</v>
      </c>
      <c r="D337" s="42">
        <v>2</v>
      </c>
      <c r="E337" s="41">
        <v>2.2261798753339269E-4</v>
      </c>
    </row>
    <row r="338" spans="2:5" ht="15" customHeight="1">
      <c r="B338" s="84"/>
      <c r="C338" s="43" t="s">
        <v>144</v>
      </c>
      <c r="D338" s="42">
        <v>4</v>
      </c>
      <c r="E338" s="41">
        <v>4.4523597506678539E-4</v>
      </c>
    </row>
    <row r="339" spans="2:5" ht="15" customHeight="1">
      <c r="B339" s="84"/>
      <c r="C339" s="43" t="s">
        <v>132</v>
      </c>
      <c r="D339" s="42">
        <v>1</v>
      </c>
      <c r="E339" s="41">
        <v>1.1130899376669635E-4</v>
      </c>
    </row>
    <row r="340" spans="2:5" ht="15" customHeight="1">
      <c r="B340" s="84"/>
      <c r="C340" s="43" t="s">
        <v>143</v>
      </c>
      <c r="D340" s="42">
        <v>4</v>
      </c>
      <c r="E340" s="41">
        <v>4.4523597506678539E-4</v>
      </c>
    </row>
    <row r="341" spans="2:5" ht="15" customHeight="1">
      <c r="B341" s="84"/>
      <c r="C341" s="43" t="s">
        <v>135</v>
      </c>
      <c r="D341" s="42">
        <v>9</v>
      </c>
      <c r="E341" s="41">
        <v>1.0017809439002671E-3</v>
      </c>
    </row>
    <row r="342" spans="2:5" ht="15" customHeight="1">
      <c r="B342" s="85"/>
      <c r="C342" s="40" t="s">
        <v>23</v>
      </c>
      <c r="D342" s="39">
        <v>36</v>
      </c>
      <c r="E342" s="38">
        <v>4.0071237756010682E-3</v>
      </c>
    </row>
    <row r="343" spans="2:5" ht="15" customHeight="1">
      <c r="B343" s="83" t="s">
        <v>37</v>
      </c>
      <c r="C343" s="43" t="s">
        <v>141</v>
      </c>
      <c r="D343" s="42">
        <v>3</v>
      </c>
      <c r="E343" s="41">
        <v>3.3392698130008905E-4</v>
      </c>
    </row>
    <row r="344" spans="2:5" ht="15" customHeight="1">
      <c r="B344" s="84"/>
      <c r="C344" s="43" t="s">
        <v>133</v>
      </c>
      <c r="D344" s="42">
        <v>3</v>
      </c>
      <c r="E344" s="41">
        <v>3.3392698130008905E-4</v>
      </c>
    </row>
    <row r="345" spans="2:5" ht="15" customHeight="1">
      <c r="B345" s="84"/>
      <c r="C345" s="43" t="s">
        <v>137</v>
      </c>
      <c r="D345" s="42">
        <v>2</v>
      </c>
      <c r="E345" s="41">
        <v>2.2261798753339269E-4</v>
      </c>
    </row>
    <row r="346" spans="2:5" ht="15" customHeight="1">
      <c r="B346" s="84"/>
      <c r="C346" s="43" t="s">
        <v>142</v>
      </c>
      <c r="D346" s="42">
        <v>3</v>
      </c>
      <c r="E346" s="41">
        <v>3.3392698130008905E-4</v>
      </c>
    </row>
    <row r="347" spans="2:5" ht="15" customHeight="1">
      <c r="B347" s="84"/>
      <c r="C347" s="43" t="s">
        <v>131</v>
      </c>
      <c r="D347" s="42">
        <v>3</v>
      </c>
      <c r="E347" s="41">
        <v>3.3392698130008905E-4</v>
      </c>
    </row>
    <row r="348" spans="2:5" ht="15" customHeight="1">
      <c r="B348" s="84"/>
      <c r="C348" s="43" t="s">
        <v>144</v>
      </c>
      <c r="D348" s="42">
        <v>9</v>
      </c>
      <c r="E348" s="41">
        <v>1.0017809439002671E-3</v>
      </c>
    </row>
    <row r="349" spans="2:5" ht="15" customHeight="1">
      <c r="B349" s="84"/>
      <c r="C349" s="43" t="s">
        <v>132</v>
      </c>
      <c r="D349" s="42">
        <v>2</v>
      </c>
      <c r="E349" s="41">
        <v>2.2261798753339269E-4</v>
      </c>
    </row>
    <row r="350" spans="2:5" ht="15" customHeight="1">
      <c r="B350" s="84"/>
      <c r="C350" s="43" t="s">
        <v>143</v>
      </c>
      <c r="D350" s="42">
        <v>3</v>
      </c>
      <c r="E350" s="41">
        <v>3.3392698130008905E-4</v>
      </c>
    </row>
    <row r="351" spans="2:5" ht="15" customHeight="1">
      <c r="B351" s="85"/>
      <c r="C351" s="40" t="s">
        <v>23</v>
      </c>
      <c r="D351" s="39">
        <v>28</v>
      </c>
      <c r="E351" s="38">
        <v>3.116651825467498E-3</v>
      </c>
    </row>
    <row r="352" spans="2:5" ht="15" customHeight="1">
      <c r="B352" s="83" t="s">
        <v>42</v>
      </c>
      <c r="C352" s="43" t="s">
        <v>140</v>
      </c>
      <c r="D352" s="42">
        <v>3</v>
      </c>
      <c r="E352" s="41">
        <v>3.3392698130008905E-4</v>
      </c>
    </row>
    <row r="353" spans="2:5" ht="15" customHeight="1">
      <c r="B353" s="84"/>
      <c r="C353" s="43" t="s">
        <v>136</v>
      </c>
      <c r="D353" s="42">
        <v>1</v>
      </c>
      <c r="E353" s="41">
        <v>1.1130899376669635E-4</v>
      </c>
    </row>
    <row r="354" spans="2:5" ht="15" customHeight="1">
      <c r="B354" s="84"/>
      <c r="C354" s="43" t="s">
        <v>141</v>
      </c>
      <c r="D354" s="42">
        <v>10</v>
      </c>
      <c r="E354" s="41">
        <v>1.1130899376669634E-3</v>
      </c>
    </row>
    <row r="355" spans="2:5" ht="15" customHeight="1">
      <c r="B355" s="84"/>
      <c r="C355" s="43" t="s">
        <v>142</v>
      </c>
      <c r="D355" s="42">
        <v>4</v>
      </c>
      <c r="E355" s="41">
        <v>4.4523597506678539E-4</v>
      </c>
    </row>
    <row r="356" spans="2:5" ht="15" customHeight="1">
      <c r="B356" s="84"/>
      <c r="C356" s="43" t="s">
        <v>131</v>
      </c>
      <c r="D356" s="42">
        <v>1</v>
      </c>
      <c r="E356" s="41">
        <v>1.1130899376669635E-4</v>
      </c>
    </row>
    <row r="357" spans="2:5" ht="15" customHeight="1">
      <c r="B357" s="84"/>
      <c r="C357" s="43" t="s">
        <v>127</v>
      </c>
      <c r="D357" s="42">
        <v>1</v>
      </c>
      <c r="E357" s="41">
        <v>1.1130899376669635E-4</v>
      </c>
    </row>
    <row r="358" spans="2:5" ht="15" customHeight="1">
      <c r="B358" s="84"/>
      <c r="C358" s="43" t="s">
        <v>139</v>
      </c>
      <c r="D358" s="42">
        <v>4</v>
      </c>
      <c r="E358" s="41">
        <v>4.4523597506678539E-4</v>
      </c>
    </row>
    <row r="359" spans="2:5" ht="15" customHeight="1">
      <c r="B359" s="84"/>
      <c r="C359" s="43" t="s">
        <v>144</v>
      </c>
      <c r="D359" s="42">
        <v>10</v>
      </c>
      <c r="E359" s="41">
        <v>1.1130899376669634E-3</v>
      </c>
    </row>
    <row r="360" spans="2:5" ht="15" customHeight="1">
      <c r="B360" s="84"/>
      <c r="C360" s="43" t="s">
        <v>132</v>
      </c>
      <c r="D360" s="42">
        <v>1</v>
      </c>
      <c r="E360" s="41">
        <v>1.1130899376669635E-4</v>
      </c>
    </row>
    <row r="361" spans="2:5" ht="15" customHeight="1">
      <c r="B361" s="84"/>
      <c r="C361" s="43" t="s">
        <v>143</v>
      </c>
      <c r="D361" s="42">
        <v>2</v>
      </c>
      <c r="E361" s="41">
        <v>2.2261798753339269E-4</v>
      </c>
    </row>
    <row r="362" spans="2:5" ht="15" customHeight="1">
      <c r="B362" s="84"/>
      <c r="C362" s="43" t="s">
        <v>135</v>
      </c>
      <c r="D362" s="42">
        <v>1</v>
      </c>
      <c r="E362" s="41">
        <v>1.1130899376669635E-4</v>
      </c>
    </row>
    <row r="363" spans="2:5" ht="15" customHeight="1">
      <c r="B363" s="85"/>
      <c r="C363" s="40" t="s">
        <v>23</v>
      </c>
      <c r="D363" s="39">
        <v>38</v>
      </c>
      <c r="E363" s="38">
        <v>4.2297417631344614E-3</v>
      </c>
    </row>
    <row r="364" spans="2:5" ht="15" customHeight="1">
      <c r="B364" s="83" t="s">
        <v>66</v>
      </c>
      <c r="C364" s="43" t="s">
        <v>140</v>
      </c>
      <c r="D364" s="42">
        <v>25</v>
      </c>
      <c r="E364" s="41">
        <v>2.7827248441674086E-3</v>
      </c>
    </row>
    <row r="365" spans="2:5" ht="15" customHeight="1">
      <c r="B365" s="84"/>
      <c r="C365" s="43" t="s">
        <v>136</v>
      </c>
      <c r="D365" s="42">
        <v>10</v>
      </c>
      <c r="E365" s="41">
        <v>1.1130899376669634E-3</v>
      </c>
    </row>
    <row r="366" spans="2:5" ht="15" customHeight="1">
      <c r="B366" s="84"/>
      <c r="C366" s="43" t="s">
        <v>141</v>
      </c>
      <c r="D366" s="42">
        <v>24</v>
      </c>
      <c r="E366" s="41">
        <v>2.6714158504007124E-3</v>
      </c>
    </row>
    <row r="367" spans="2:5" ht="15" customHeight="1">
      <c r="B367" s="84"/>
      <c r="C367" s="43" t="s">
        <v>130</v>
      </c>
      <c r="D367" s="42">
        <v>2</v>
      </c>
      <c r="E367" s="41">
        <v>2.2261798753339269E-4</v>
      </c>
    </row>
    <row r="368" spans="2:5" ht="15" customHeight="1">
      <c r="B368" s="84"/>
      <c r="C368" s="43" t="s">
        <v>128</v>
      </c>
      <c r="D368" s="42">
        <v>3</v>
      </c>
      <c r="E368" s="41">
        <v>3.3392698130008905E-4</v>
      </c>
    </row>
    <row r="369" spans="2:5" ht="15" customHeight="1">
      <c r="B369" s="84"/>
      <c r="C369" s="43" t="s">
        <v>133</v>
      </c>
      <c r="D369" s="42">
        <v>9</v>
      </c>
      <c r="E369" s="41">
        <v>1.0017809439002671E-3</v>
      </c>
    </row>
    <row r="370" spans="2:5" ht="15" customHeight="1">
      <c r="B370" s="84"/>
      <c r="C370" s="43" t="s">
        <v>134</v>
      </c>
      <c r="D370" s="42">
        <v>2</v>
      </c>
      <c r="E370" s="41">
        <v>2.2261798753339269E-4</v>
      </c>
    </row>
    <row r="371" spans="2:5" ht="15" customHeight="1">
      <c r="B371" s="84"/>
      <c r="C371" s="43" t="s">
        <v>137</v>
      </c>
      <c r="D371" s="42">
        <v>25</v>
      </c>
      <c r="E371" s="41">
        <v>2.7827248441674086E-3</v>
      </c>
    </row>
    <row r="372" spans="2:5" ht="15" customHeight="1">
      <c r="B372" s="84"/>
      <c r="C372" s="43" t="s">
        <v>142</v>
      </c>
      <c r="D372" s="42">
        <v>45</v>
      </c>
      <c r="E372" s="41">
        <v>5.0089047195013359E-3</v>
      </c>
    </row>
    <row r="373" spans="2:5" ht="15" customHeight="1">
      <c r="B373" s="84"/>
      <c r="C373" s="43" t="s">
        <v>138</v>
      </c>
      <c r="D373" s="42">
        <v>17</v>
      </c>
      <c r="E373" s="41">
        <v>1.8922528940338379E-3</v>
      </c>
    </row>
    <row r="374" spans="2:5" ht="15" customHeight="1">
      <c r="B374" s="84"/>
      <c r="C374" s="43" t="s">
        <v>131</v>
      </c>
      <c r="D374" s="42">
        <v>25</v>
      </c>
      <c r="E374" s="41">
        <v>2.7827248441674086E-3</v>
      </c>
    </row>
    <row r="375" spans="2:5" ht="15" customHeight="1">
      <c r="B375" s="84"/>
      <c r="C375" s="43" t="s">
        <v>127</v>
      </c>
      <c r="D375" s="42">
        <v>4</v>
      </c>
      <c r="E375" s="41">
        <v>4.4523597506678539E-4</v>
      </c>
    </row>
    <row r="376" spans="2:5" ht="15" customHeight="1">
      <c r="B376" s="84"/>
      <c r="C376" s="43" t="s">
        <v>139</v>
      </c>
      <c r="D376" s="42">
        <v>56</v>
      </c>
      <c r="E376" s="41">
        <v>6.2333036509349959E-3</v>
      </c>
    </row>
    <row r="377" spans="2:5" ht="15" customHeight="1">
      <c r="B377" s="84"/>
      <c r="C377" s="43" t="s">
        <v>144</v>
      </c>
      <c r="D377" s="42">
        <v>76</v>
      </c>
      <c r="E377" s="41">
        <v>8.4594835262689228E-3</v>
      </c>
    </row>
    <row r="378" spans="2:5" ht="15" customHeight="1">
      <c r="B378" s="84"/>
      <c r="C378" s="43" t="s">
        <v>143</v>
      </c>
      <c r="D378" s="42">
        <v>45</v>
      </c>
      <c r="E378" s="41">
        <v>5.0089047195013359E-3</v>
      </c>
    </row>
    <row r="379" spans="2:5" ht="15" customHeight="1">
      <c r="B379" s="84"/>
      <c r="C379" s="43" t="s">
        <v>135</v>
      </c>
      <c r="D379" s="42">
        <v>2</v>
      </c>
      <c r="E379" s="41">
        <v>2.2261798753339269E-4</v>
      </c>
    </row>
    <row r="380" spans="2:5" ht="15" customHeight="1">
      <c r="B380" s="84"/>
      <c r="C380" s="43" t="s">
        <v>129</v>
      </c>
      <c r="D380" s="42">
        <v>1</v>
      </c>
      <c r="E380" s="41">
        <v>1.1130899376669635E-4</v>
      </c>
    </row>
    <row r="381" spans="2:5" ht="15" customHeight="1">
      <c r="B381" s="85"/>
      <c r="C381" s="40" t="s">
        <v>23</v>
      </c>
      <c r="D381" s="39">
        <v>371</v>
      </c>
      <c r="E381" s="38">
        <v>4.1295636687444348E-2</v>
      </c>
    </row>
    <row r="382" spans="2:5" ht="15" customHeight="1">
      <c r="B382" s="83" t="s">
        <v>24</v>
      </c>
      <c r="C382" s="43" t="s">
        <v>143</v>
      </c>
      <c r="D382" s="42">
        <v>1</v>
      </c>
      <c r="E382" s="41">
        <v>1.1130899376669635E-4</v>
      </c>
    </row>
    <row r="383" spans="2:5" ht="15" customHeight="1">
      <c r="B383" s="85"/>
      <c r="C383" s="40" t="s">
        <v>23</v>
      </c>
      <c r="D383" s="39">
        <v>1</v>
      </c>
      <c r="E383" s="38">
        <v>1.1130899376669635E-4</v>
      </c>
    </row>
    <row r="384" spans="2:5" ht="15" customHeight="1">
      <c r="B384" s="83" t="s">
        <v>41</v>
      </c>
      <c r="C384" s="43" t="s">
        <v>140</v>
      </c>
      <c r="D384" s="42">
        <v>4</v>
      </c>
      <c r="E384" s="41">
        <v>4.4523597506678539E-4</v>
      </c>
    </row>
    <row r="385" spans="2:5" ht="15" customHeight="1">
      <c r="B385" s="84"/>
      <c r="C385" s="43" t="s">
        <v>136</v>
      </c>
      <c r="D385" s="42">
        <v>2</v>
      </c>
      <c r="E385" s="41">
        <v>2.2261798753339269E-4</v>
      </c>
    </row>
    <row r="386" spans="2:5" ht="15" customHeight="1">
      <c r="B386" s="84"/>
      <c r="C386" s="43" t="s">
        <v>130</v>
      </c>
      <c r="D386" s="42">
        <v>2</v>
      </c>
      <c r="E386" s="41">
        <v>2.2261798753339269E-4</v>
      </c>
    </row>
    <row r="387" spans="2:5" ht="15" customHeight="1">
      <c r="B387" s="84"/>
      <c r="C387" s="43" t="s">
        <v>133</v>
      </c>
      <c r="D387" s="42">
        <v>1</v>
      </c>
      <c r="E387" s="41">
        <v>1.1130899376669635E-4</v>
      </c>
    </row>
    <row r="388" spans="2:5" ht="15" customHeight="1">
      <c r="B388" s="84"/>
      <c r="C388" s="43" t="s">
        <v>137</v>
      </c>
      <c r="D388" s="42">
        <v>1</v>
      </c>
      <c r="E388" s="41">
        <v>1.1130899376669635E-4</v>
      </c>
    </row>
    <row r="389" spans="2:5" ht="15" customHeight="1">
      <c r="B389" s="84"/>
      <c r="C389" s="43" t="s">
        <v>142</v>
      </c>
      <c r="D389" s="42">
        <v>6</v>
      </c>
      <c r="E389" s="41">
        <v>6.6785396260017811E-4</v>
      </c>
    </row>
    <row r="390" spans="2:5" ht="15" customHeight="1">
      <c r="B390" s="84"/>
      <c r="C390" s="43" t="s">
        <v>138</v>
      </c>
      <c r="D390" s="42">
        <v>6</v>
      </c>
      <c r="E390" s="41">
        <v>6.6785396260017811E-4</v>
      </c>
    </row>
    <row r="391" spans="2:5" ht="15" customHeight="1">
      <c r="B391" s="84"/>
      <c r="C391" s="43" t="s">
        <v>139</v>
      </c>
      <c r="D391" s="42">
        <v>5</v>
      </c>
      <c r="E391" s="41">
        <v>5.5654496883348172E-4</v>
      </c>
    </row>
    <row r="392" spans="2:5" ht="15" customHeight="1">
      <c r="B392" s="84"/>
      <c r="C392" s="43" t="s">
        <v>144</v>
      </c>
      <c r="D392" s="42">
        <v>5</v>
      </c>
      <c r="E392" s="41">
        <v>5.5654496883348172E-4</v>
      </c>
    </row>
    <row r="393" spans="2:5" ht="15" customHeight="1">
      <c r="B393" s="84"/>
      <c r="C393" s="43" t="s">
        <v>143</v>
      </c>
      <c r="D393" s="42">
        <v>5</v>
      </c>
      <c r="E393" s="41">
        <v>5.5654496883348172E-4</v>
      </c>
    </row>
    <row r="394" spans="2:5" ht="15" customHeight="1">
      <c r="B394" s="84"/>
      <c r="C394" s="43" t="s">
        <v>135</v>
      </c>
      <c r="D394" s="42">
        <v>1</v>
      </c>
      <c r="E394" s="41">
        <v>1.1130899376669635E-4</v>
      </c>
    </row>
    <row r="395" spans="2:5" ht="15" customHeight="1">
      <c r="B395" s="85"/>
      <c r="C395" s="40" t="s">
        <v>23</v>
      </c>
      <c r="D395" s="39">
        <v>38</v>
      </c>
      <c r="E395" s="38">
        <v>4.2297417631344614E-3</v>
      </c>
    </row>
    <row r="396" spans="2:5" ht="15" customHeight="1">
      <c r="B396" s="83" t="s">
        <v>62</v>
      </c>
      <c r="C396" s="43" t="s">
        <v>140</v>
      </c>
      <c r="D396" s="42">
        <v>11</v>
      </c>
      <c r="E396" s="41">
        <v>1.2243989314336598E-3</v>
      </c>
    </row>
    <row r="397" spans="2:5" ht="15" customHeight="1">
      <c r="B397" s="84"/>
      <c r="C397" s="43" t="s">
        <v>136</v>
      </c>
      <c r="D397" s="42">
        <v>9</v>
      </c>
      <c r="E397" s="41">
        <v>1.0017809439002671E-3</v>
      </c>
    </row>
    <row r="398" spans="2:5" ht="15" customHeight="1">
      <c r="B398" s="84"/>
      <c r="C398" s="43" t="s">
        <v>141</v>
      </c>
      <c r="D398" s="42">
        <v>6</v>
      </c>
      <c r="E398" s="41">
        <v>6.6785396260017811E-4</v>
      </c>
    </row>
    <row r="399" spans="2:5" ht="15" customHeight="1">
      <c r="B399" s="84"/>
      <c r="C399" s="43" t="s">
        <v>134</v>
      </c>
      <c r="D399" s="42">
        <v>1</v>
      </c>
      <c r="E399" s="41">
        <v>1.1130899376669635E-4</v>
      </c>
    </row>
    <row r="400" spans="2:5" ht="15" customHeight="1">
      <c r="B400" s="84"/>
      <c r="C400" s="43" t="s">
        <v>137</v>
      </c>
      <c r="D400" s="42">
        <v>12</v>
      </c>
      <c r="E400" s="41">
        <v>1.3357079252003562E-3</v>
      </c>
    </row>
    <row r="401" spans="2:5" ht="15" customHeight="1">
      <c r="B401" s="84"/>
      <c r="C401" s="43" t="s">
        <v>142</v>
      </c>
      <c r="D401" s="42">
        <v>40</v>
      </c>
      <c r="E401" s="41">
        <v>4.4523597506678537E-3</v>
      </c>
    </row>
    <row r="402" spans="2:5" ht="15" customHeight="1">
      <c r="B402" s="84"/>
      <c r="C402" s="43" t="s">
        <v>138</v>
      </c>
      <c r="D402" s="42">
        <v>11</v>
      </c>
      <c r="E402" s="41">
        <v>1.2243989314336598E-3</v>
      </c>
    </row>
    <row r="403" spans="2:5" ht="15" customHeight="1">
      <c r="B403" s="84"/>
      <c r="C403" s="43" t="s">
        <v>139</v>
      </c>
      <c r="D403" s="42">
        <v>3</v>
      </c>
      <c r="E403" s="41">
        <v>3.3392698130008905E-4</v>
      </c>
    </row>
    <row r="404" spans="2:5" ht="15" customHeight="1">
      <c r="B404" s="84"/>
      <c r="C404" s="43" t="s">
        <v>144</v>
      </c>
      <c r="D404" s="42">
        <v>25</v>
      </c>
      <c r="E404" s="41">
        <v>2.7827248441674086E-3</v>
      </c>
    </row>
    <row r="405" spans="2:5" ht="15" customHeight="1">
      <c r="B405" s="84"/>
      <c r="C405" s="43" t="s">
        <v>143</v>
      </c>
      <c r="D405" s="42">
        <v>17</v>
      </c>
      <c r="E405" s="41">
        <v>1.8922528940338379E-3</v>
      </c>
    </row>
    <row r="406" spans="2:5" ht="15" customHeight="1">
      <c r="B406" s="84"/>
      <c r="C406" s="43" t="s">
        <v>135</v>
      </c>
      <c r="D406" s="42">
        <v>2</v>
      </c>
      <c r="E406" s="41">
        <v>2.2261798753339269E-4</v>
      </c>
    </row>
    <row r="407" spans="2:5" ht="15" customHeight="1">
      <c r="B407" s="84"/>
      <c r="C407" s="43" t="s">
        <v>129</v>
      </c>
      <c r="D407" s="42">
        <v>1</v>
      </c>
      <c r="E407" s="41">
        <v>1.1130899376669635E-4</v>
      </c>
    </row>
    <row r="408" spans="2:5" ht="15" customHeight="1">
      <c r="B408" s="85"/>
      <c r="C408" s="40" t="s">
        <v>23</v>
      </c>
      <c r="D408" s="39">
        <v>138</v>
      </c>
      <c r="E408" s="38">
        <v>1.5360641139804097E-2</v>
      </c>
    </row>
    <row r="409" spans="2:5" ht="15" customHeight="1">
      <c r="B409" s="83" t="s">
        <v>50</v>
      </c>
      <c r="C409" s="43" t="s">
        <v>140</v>
      </c>
      <c r="D409" s="42">
        <v>15</v>
      </c>
      <c r="E409" s="41">
        <v>1.6696349065004452E-3</v>
      </c>
    </row>
    <row r="410" spans="2:5" ht="15" customHeight="1">
      <c r="B410" s="84"/>
      <c r="C410" s="43" t="s">
        <v>141</v>
      </c>
      <c r="D410" s="42">
        <v>18</v>
      </c>
      <c r="E410" s="41">
        <v>2.0035618878005341E-3</v>
      </c>
    </row>
    <row r="411" spans="2:5" ht="15" customHeight="1">
      <c r="B411" s="84"/>
      <c r="C411" s="43" t="s">
        <v>130</v>
      </c>
      <c r="D411" s="42">
        <v>1</v>
      </c>
      <c r="E411" s="41">
        <v>1.1130899376669635E-4</v>
      </c>
    </row>
    <row r="412" spans="2:5" ht="15" customHeight="1">
      <c r="B412" s="84"/>
      <c r="C412" s="43" t="s">
        <v>133</v>
      </c>
      <c r="D412" s="42">
        <v>3</v>
      </c>
      <c r="E412" s="41">
        <v>3.3392698130008905E-4</v>
      </c>
    </row>
    <row r="413" spans="2:5" ht="15" customHeight="1">
      <c r="B413" s="84"/>
      <c r="C413" s="43" t="s">
        <v>134</v>
      </c>
      <c r="D413" s="42">
        <v>5</v>
      </c>
      <c r="E413" s="41">
        <v>5.5654496883348172E-4</v>
      </c>
    </row>
    <row r="414" spans="2:5" ht="15" customHeight="1">
      <c r="B414" s="84"/>
      <c r="C414" s="43" t="s">
        <v>137</v>
      </c>
      <c r="D414" s="42">
        <v>1</v>
      </c>
      <c r="E414" s="41">
        <v>1.1130899376669635E-4</v>
      </c>
    </row>
    <row r="415" spans="2:5" ht="15" customHeight="1">
      <c r="B415" s="84"/>
      <c r="C415" s="43" t="s">
        <v>142</v>
      </c>
      <c r="D415" s="42">
        <v>1</v>
      </c>
      <c r="E415" s="41">
        <v>1.1130899376669635E-4</v>
      </c>
    </row>
    <row r="416" spans="2:5" ht="15" customHeight="1">
      <c r="B416" s="84"/>
      <c r="C416" s="43" t="s">
        <v>131</v>
      </c>
      <c r="D416" s="42">
        <v>1</v>
      </c>
      <c r="E416" s="41">
        <v>1.1130899376669635E-4</v>
      </c>
    </row>
    <row r="417" spans="2:5" ht="15" customHeight="1">
      <c r="B417" s="84"/>
      <c r="C417" s="43" t="s">
        <v>139</v>
      </c>
      <c r="D417" s="42">
        <v>3</v>
      </c>
      <c r="E417" s="41">
        <v>3.3392698130008905E-4</v>
      </c>
    </row>
    <row r="418" spans="2:5" ht="15" customHeight="1">
      <c r="B418" s="84"/>
      <c r="C418" s="43" t="s">
        <v>144</v>
      </c>
      <c r="D418" s="42">
        <v>14</v>
      </c>
      <c r="E418" s="41">
        <v>1.558325912733749E-3</v>
      </c>
    </row>
    <row r="419" spans="2:5" ht="15" customHeight="1">
      <c r="B419" s="84"/>
      <c r="C419" s="43" t="s">
        <v>143</v>
      </c>
      <c r="D419" s="42">
        <v>5</v>
      </c>
      <c r="E419" s="41">
        <v>5.5654496883348172E-4</v>
      </c>
    </row>
    <row r="420" spans="2:5" ht="15" customHeight="1">
      <c r="B420" s="84"/>
      <c r="C420" s="43" t="s">
        <v>135</v>
      </c>
      <c r="D420" s="42">
        <v>2</v>
      </c>
      <c r="E420" s="41">
        <v>2.2261798753339269E-4</v>
      </c>
    </row>
    <row r="421" spans="2:5" ht="15" customHeight="1">
      <c r="B421" s="84"/>
      <c r="C421" s="43" t="s">
        <v>129</v>
      </c>
      <c r="D421" s="42">
        <v>1</v>
      </c>
      <c r="E421" s="41">
        <v>1.1130899376669635E-4</v>
      </c>
    </row>
    <row r="422" spans="2:5" ht="15" customHeight="1">
      <c r="B422" s="85"/>
      <c r="C422" s="40" t="s">
        <v>23</v>
      </c>
      <c r="D422" s="39">
        <v>70</v>
      </c>
      <c r="E422" s="38">
        <v>7.7916295636687441E-3</v>
      </c>
    </row>
    <row r="423" spans="2:5" ht="15" customHeight="1">
      <c r="B423" s="83" t="s">
        <v>52</v>
      </c>
      <c r="C423" s="43" t="s">
        <v>140</v>
      </c>
      <c r="D423" s="42">
        <v>1</v>
      </c>
      <c r="E423" s="41">
        <v>1.1130899376669635E-4</v>
      </c>
    </row>
    <row r="424" spans="2:5" ht="15" customHeight="1">
      <c r="B424" s="84"/>
      <c r="C424" s="43" t="s">
        <v>141</v>
      </c>
      <c r="D424" s="42">
        <v>47</v>
      </c>
      <c r="E424" s="41">
        <v>5.2315227070347282E-3</v>
      </c>
    </row>
    <row r="425" spans="2:5" ht="15" customHeight="1">
      <c r="B425" s="84"/>
      <c r="C425" s="43" t="s">
        <v>130</v>
      </c>
      <c r="D425" s="42">
        <v>3</v>
      </c>
      <c r="E425" s="41">
        <v>3.3392698130008905E-4</v>
      </c>
    </row>
    <row r="426" spans="2:5" ht="15" customHeight="1">
      <c r="B426" s="84"/>
      <c r="C426" s="43" t="s">
        <v>137</v>
      </c>
      <c r="D426" s="42">
        <v>2</v>
      </c>
      <c r="E426" s="41">
        <v>2.2261798753339269E-4</v>
      </c>
    </row>
    <row r="427" spans="2:5" ht="15" customHeight="1">
      <c r="B427" s="84"/>
      <c r="C427" s="43" t="s">
        <v>142</v>
      </c>
      <c r="D427" s="42">
        <v>1</v>
      </c>
      <c r="E427" s="41">
        <v>1.1130899376669635E-4</v>
      </c>
    </row>
    <row r="428" spans="2:5" ht="15" customHeight="1">
      <c r="B428" s="84"/>
      <c r="C428" s="43" t="s">
        <v>139</v>
      </c>
      <c r="D428" s="42">
        <v>5</v>
      </c>
      <c r="E428" s="41">
        <v>5.5654496883348172E-4</v>
      </c>
    </row>
    <row r="429" spans="2:5" ht="15" customHeight="1">
      <c r="B429" s="84"/>
      <c r="C429" s="43" t="s">
        <v>144</v>
      </c>
      <c r="D429" s="42">
        <v>9</v>
      </c>
      <c r="E429" s="41">
        <v>1.0017809439002671E-3</v>
      </c>
    </row>
    <row r="430" spans="2:5" ht="15" customHeight="1">
      <c r="B430" s="84"/>
      <c r="C430" s="43" t="s">
        <v>132</v>
      </c>
      <c r="D430" s="42">
        <v>6</v>
      </c>
      <c r="E430" s="41">
        <v>6.6785396260017811E-4</v>
      </c>
    </row>
    <row r="431" spans="2:5" ht="15" customHeight="1">
      <c r="B431" s="84"/>
      <c r="C431" s="43" t="s">
        <v>143</v>
      </c>
      <c r="D431" s="42">
        <v>6</v>
      </c>
      <c r="E431" s="41">
        <v>6.6785396260017811E-4</v>
      </c>
    </row>
    <row r="432" spans="2:5" ht="15" customHeight="1">
      <c r="B432" s="84"/>
      <c r="C432" s="43" t="s">
        <v>135</v>
      </c>
      <c r="D432" s="42">
        <v>2</v>
      </c>
      <c r="E432" s="41">
        <v>2.2261798753339269E-4</v>
      </c>
    </row>
    <row r="433" spans="2:5" ht="15" customHeight="1">
      <c r="B433" s="85"/>
      <c r="C433" s="40" t="s">
        <v>23</v>
      </c>
      <c r="D433" s="39">
        <v>82</v>
      </c>
      <c r="E433" s="38">
        <v>9.1273374888691007E-3</v>
      </c>
    </row>
    <row r="434" spans="2:5" ht="15" customHeight="1">
      <c r="B434" s="83" t="s">
        <v>30</v>
      </c>
      <c r="C434" s="43" t="s">
        <v>137</v>
      </c>
      <c r="D434" s="42">
        <v>1</v>
      </c>
      <c r="E434" s="41">
        <v>1.1130899376669635E-4</v>
      </c>
    </row>
    <row r="435" spans="2:5" ht="15" customHeight="1">
      <c r="B435" s="84"/>
      <c r="C435" s="43" t="s">
        <v>142</v>
      </c>
      <c r="D435" s="42">
        <v>2</v>
      </c>
      <c r="E435" s="41">
        <v>2.2261798753339269E-4</v>
      </c>
    </row>
    <row r="436" spans="2:5" ht="15" customHeight="1">
      <c r="B436" s="84"/>
      <c r="C436" s="43" t="s">
        <v>138</v>
      </c>
      <c r="D436" s="42">
        <v>3</v>
      </c>
      <c r="E436" s="41">
        <v>3.3392698130008905E-4</v>
      </c>
    </row>
    <row r="437" spans="2:5" ht="15" customHeight="1">
      <c r="B437" s="85"/>
      <c r="C437" s="40" t="s">
        <v>23</v>
      </c>
      <c r="D437" s="39">
        <v>6</v>
      </c>
      <c r="E437" s="38">
        <v>6.6785396260017811E-4</v>
      </c>
    </row>
    <row r="438" spans="2:5" ht="15" customHeight="1">
      <c r="B438" s="83" t="s">
        <v>59</v>
      </c>
      <c r="C438" s="43" t="s">
        <v>140</v>
      </c>
      <c r="D438" s="42">
        <v>3</v>
      </c>
      <c r="E438" s="41">
        <v>3.3392698130008905E-4</v>
      </c>
    </row>
    <row r="439" spans="2:5" ht="15" customHeight="1">
      <c r="B439" s="84"/>
      <c r="C439" s="43" t="s">
        <v>136</v>
      </c>
      <c r="D439" s="42">
        <v>1</v>
      </c>
      <c r="E439" s="41">
        <v>1.1130899376669635E-4</v>
      </c>
    </row>
    <row r="440" spans="2:5" ht="15" customHeight="1">
      <c r="B440" s="84"/>
      <c r="C440" s="43" t="s">
        <v>141</v>
      </c>
      <c r="D440" s="42">
        <v>10</v>
      </c>
      <c r="E440" s="41">
        <v>1.1130899376669634E-3</v>
      </c>
    </row>
    <row r="441" spans="2:5" ht="15" customHeight="1">
      <c r="B441" s="84"/>
      <c r="C441" s="43" t="s">
        <v>133</v>
      </c>
      <c r="D441" s="42">
        <v>1</v>
      </c>
      <c r="E441" s="41">
        <v>1.1130899376669635E-4</v>
      </c>
    </row>
    <row r="442" spans="2:5" ht="15" customHeight="1">
      <c r="B442" s="84"/>
      <c r="C442" s="43" t="s">
        <v>137</v>
      </c>
      <c r="D442" s="42">
        <v>15</v>
      </c>
      <c r="E442" s="41">
        <v>1.6696349065004452E-3</v>
      </c>
    </row>
    <row r="443" spans="2:5" ht="15" customHeight="1">
      <c r="B443" s="84"/>
      <c r="C443" s="43" t="s">
        <v>142</v>
      </c>
      <c r="D443" s="42">
        <v>4</v>
      </c>
      <c r="E443" s="41">
        <v>4.4523597506678539E-4</v>
      </c>
    </row>
    <row r="444" spans="2:5" ht="15" customHeight="1">
      <c r="B444" s="84"/>
      <c r="C444" s="43" t="s">
        <v>138</v>
      </c>
      <c r="D444" s="42">
        <v>4</v>
      </c>
      <c r="E444" s="41">
        <v>4.4523597506678539E-4</v>
      </c>
    </row>
    <row r="445" spans="2:5" ht="15" customHeight="1">
      <c r="B445" s="84"/>
      <c r="C445" s="43" t="s">
        <v>127</v>
      </c>
      <c r="D445" s="42">
        <v>8</v>
      </c>
      <c r="E445" s="41">
        <v>8.9047195013357077E-4</v>
      </c>
    </row>
    <row r="446" spans="2:5" ht="15" customHeight="1">
      <c r="B446" s="84"/>
      <c r="C446" s="43" t="s">
        <v>139</v>
      </c>
      <c r="D446" s="42">
        <v>23</v>
      </c>
      <c r="E446" s="41">
        <v>2.5601068566340158E-3</v>
      </c>
    </row>
    <row r="447" spans="2:5" ht="15" customHeight="1">
      <c r="B447" s="84"/>
      <c r="C447" s="43" t="s">
        <v>144</v>
      </c>
      <c r="D447" s="42">
        <v>44</v>
      </c>
      <c r="E447" s="41">
        <v>4.8975957257346393E-3</v>
      </c>
    </row>
    <row r="448" spans="2:5" ht="15" customHeight="1">
      <c r="B448" s="84"/>
      <c r="C448" s="43" t="s">
        <v>143</v>
      </c>
      <c r="D448" s="42">
        <v>7</v>
      </c>
      <c r="E448" s="41">
        <v>7.7916295636687449E-4</v>
      </c>
    </row>
    <row r="449" spans="2:5" ht="15" customHeight="1">
      <c r="B449" s="84"/>
      <c r="C449" s="43" t="s">
        <v>135</v>
      </c>
      <c r="D449" s="42">
        <v>3</v>
      </c>
      <c r="E449" s="41">
        <v>3.3392698130008905E-4</v>
      </c>
    </row>
    <row r="450" spans="2:5" ht="15" customHeight="1">
      <c r="B450" s="84"/>
      <c r="C450" s="43" t="s">
        <v>129</v>
      </c>
      <c r="D450" s="42">
        <v>2</v>
      </c>
      <c r="E450" s="41">
        <v>2.2261798753339269E-4</v>
      </c>
    </row>
    <row r="451" spans="2:5" ht="15" customHeight="1">
      <c r="B451" s="85"/>
      <c r="C451" s="40" t="s">
        <v>23</v>
      </c>
      <c r="D451" s="39">
        <v>125</v>
      </c>
      <c r="E451" s="38">
        <v>1.3913624220837044E-2</v>
      </c>
    </row>
    <row r="452" spans="2:5" ht="15" customHeight="1">
      <c r="B452" s="83" t="s">
        <v>29</v>
      </c>
      <c r="C452" s="43" t="s">
        <v>141</v>
      </c>
      <c r="D452" s="42">
        <v>1</v>
      </c>
      <c r="E452" s="41">
        <v>1.1130899376669635E-4</v>
      </c>
    </row>
    <row r="453" spans="2:5" ht="15" customHeight="1">
      <c r="B453" s="84"/>
      <c r="C453" s="43" t="s">
        <v>131</v>
      </c>
      <c r="D453" s="42">
        <v>1</v>
      </c>
      <c r="E453" s="41">
        <v>1.1130899376669635E-4</v>
      </c>
    </row>
    <row r="454" spans="2:5" ht="15" customHeight="1">
      <c r="B454" s="84"/>
      <c r="C454" s="43" t="s">
        <v>144</v>
      </c>
      <c r="D454" s="42">
        <v>2</v>
      </c>
      <c r="E454" s="41">
        <v>2.2261798753339269E-4</v>
      </c>
    </row>
    <row r="455" spans="2:5" ht="15" customHeight="1">
      <c r="B455" s="85"/>
      <c r="C455" s="40" t="s">
        <v>23</v>
      </c>
      <c r="D455" s="39">
        <v>4</v>
      </c>
      <c r="E455" s="38">
        <v>4.4523597506678539E-4</v>
      </c>
    </row>
    <row r="456" spans="2:5" ht="15" customHeight="1">
      <c r="B456" s="83" t="s">
        <v>65</v>
      </c>
      <c r="C456" s="43" t="s">
        <v>140</v>
      </c>
      <c r="D456" s="42">
        <v>26</v>
      </c>
      <c r="E456" s="41">
        <v>2.8940338379341052E-3</v>
      </c>
    </row>
    <row r="457" spans="2:5" ht="15" customHeight="1">
      <c r="B457" s="84"/>
      <c r="C457" s="43" t="s">
        <v>136</v>
      </c>
      <c r="D457" s="42">
        <v>13</v>
      </c>
      <c r="E457" s="41">
        <v>1.4470169189670526E-3</v>
      </c>
    </row>
    <row r="458" spans="2:5" ht="15" customHeight="1">
      <c r="B458" s="84"/>
      <c r="C458" s="43" t="s">
        <v>141</v>
      </c>
      <c r="D458" s="42">
        <v>23</v>
      </c>
      <c r="E458" s="41">
        <v>2.5601068566340158E-3</v>
      </c>
    </row>
    <row r="459" spans="2:5" ht="15" customHeight="1">
      <c r="B459" s="84"/>
      <c r="C459" s="43" t="s">
        <v>130</v>
      </c>
      <c r="D459" s="42">
        <v>5</v>
      </c>
      <c r="E459" s="41">
        <v>5.5654496883348172E-4</v>
      </c>
    </row>
    <row r="460" spans="2:5" ht="15" customHeight="1">
      <c r="B460" s="84"/>
      <c r="C460" s="43" t="s">
        <v>128</v>
      </c>
      <c r="D460" s="42">
        <v>2</v>
      </c>
      <c r="E460" s="41">
        <v>2.2261798753339269E-4</v>
      </c>
    </row>
    <row r="461" spans="2:5" ht="15" customHeight="1">
      <c r="B461" s="84"/>
      <c r="C461" s="43" t="s">
        <v>133</v>
      </c>
      <c r="D461" s="42">
        <v>4</v>
      </c>
      <c r="E461" s="41">
        <v>4.4523597506678539E-4</v>
      </c>
    </row>
    <row r="462" spans="2:5" ht="15" customHeight="1">
      <c r="B462" s="84"/>
      <c r="C462" s="43" t="s">
        <v>137</v>
      </c>
      <c r="D462" s="42">
        <v>19</v>
      </c>
      <c r="E462" s="41">
        <v>2.1148708815672307E-3</v>
      </c>
    </row>
    <row r="463" spans="2:5" ht="15" customHeight="1">
      <c r="B463" s="84"/>
      <c r="C463" s="43" t="s">
        <v>142</v>
      </c>
      <c r="D463" s="42">
        <v>27</v>
      </c>
      <c r="E463" s="41">
        <v>3.0053428317008014E-3</v>
      </c>
    </row>
    <row r="464" spans="2:5" ht="15" customHeight="1">
      <c r="B464" s="84"/>
      <c r="C464" s="43" t="s">
        <v>138</v>
      </c>
      <c r="D464" s="42">
        <v>3</v>
      </c>
      <c r="E464" s="41">
        <v>3.3392698130008905E-4</v>
      </c>
    </row>
    <row r="465" spans="2:5" ht="15" customHeight="1">
      <c r="B465" s="84"/>
      <c r="C465" s="43" t="s">
        <v>131</v>
      </c>
      <c r="D465" s="42">
        <v>1</v>
      </c>
      <c r="E465" s="41">
        <v>1.1130899376669635E-4</v>
      </c>
    </row>
    <row r="466" spans="2:5" ht="15" customHeight="1">
      <c r="B466" s="84"/>
      <c r="C466" s="43" t="s">
        <v>139</v>
      </c>
      <c r="D466" s="42">
        <v>10</v>
      </c>
      <c r="E466" s="41">
        <v>1.1130899376669634E-3</v>
      </c>
    </row>
    <row r="467" spans="2:5" ht="15" customHeight="1">
      <c r="B467" s="84"/>
      <c r="C467" s="43" t="s">
        <v>144</v>
      </c>
      <c r="D467" s="42">
        <v>49</v>
      </c>
      <c r="E467" s="41">
        <v>5.4541406945681215E-3</v>
      </c>
    </row>
    <row r="468" spans="2:5" ht="15" customHeight="1">
      <c r="B468" s="84"/>
      <c r="C468" s="43" t="s">
        <v>132</v>
      </c>
      <c r="D468" s="42">
        <v>1</v>
      </c>
      <c r="E468" s="41">
        <v>1.1130899376669635E-4</v>
      </c>
    </row>
    <row r="469" spans="2:5" ht="15" customHeight="1">
      <c r="B469" s="84"/>
      <c r="C469" s="43" t="s">
        <v>143</v>
      </c>
      <c r="D469" s="42">
        <v>23</v>
      </c>
      <c r="E469" s="41">
        <v>2.5601068566340158E-3</v>
      </c>
    </row>
    <row r="470" spans="2:5" ht="15" customHeight="1">
      <c r="B470" s="84"/>
      <c r="C470" s="43" t="s">
        <v>135</v>
      </c>
      <c r="D470" s="42">
        <v>2</v>
      </c>
      <c r="E470" s="41">
        <v>2.2261798753339269E-4</v>
      </c>
    </row>
    <row r="471" spans="2:5" ht="15" customHeight="1">
      <c r="B471" s="84"/>
      <c r="C471" s="43" t="s">
        <v>129</v>
      </c>
      <c r="D471" s="42">
        <v>1</v>
      </c>
      <c r="E471" s="41">
        <v>1.1130899376669635E-4</v>
      </c>
    </row>
    <row r="472" spans="2:5" ht="15" customHeight="1">
      <c r="B472" s="85"/>
      <c r="C472" s="40" t="s">
        <v>23</v>
      </c>
      <c r="D472" s="39">
        <v>209</v>
      </c>
      <c r="E472" s="38">
        <v>2.3263579697239536E-2</v>
      </c>
    </row>
    <row r="473" spans="2:5" ht="15" customHeight="1">
      <c r="B473" s="83" t="s">
        <v>70</v>
      </c>
      <c r="C473" s="43" t="s">
        <v>140</v>
      </c>
      <c r="D473" s="42">
        <v>150</v>
      </c>
      <c r="E473" s="41">
        <v>1.6696349065004452E-2</v>
      </c>
    </row>
    <row r="474" spans="2:5" ht="15" customHeight="1">
      <c r="B474" s="84"/>
      <c r="C474" s="43" t="s">
        <v>136</v>
      </c>
      <c r="D474" s="42">
        <v>242</v>
      </c>
      <c r="E474" s="41">
        <v>2.6936776491540516E-2</v>
      </c>
    </row>
    <row r="475" spans="2:5" ht="15" customHeight="1">
      <c r="B475" s="84"/>
      <c r="C475" s="43" t="s">
        <v>141</v>
      </c>
      <c r="D475" s="42">
        <v>133</v>
      </c>
      <c r="E475" s="41">
        <v>1.4804096170970614E-2</v>
      </c>
    </row>
    <row r="476" spans="2:5" ht="15" customHeight="1">
      <c r="B476" s="84"/>
      <c r="C476" s="43" t="s">
        <v>130</v>
      </c>
      <c r="D476" s="42">
        <v>25</v>
      </c>
      <c r="E476" s="41">
        <v>2.7827248441674086E-3</v>
      </c>
    </row>
    <row r="477" spans="2:5" ht="15" customHeight="1">
      <c r="B477" s="84"/>
      <c r="C477" s="43" t="s">
        <v>128</v>
      </c>
      <c r="D477" s="42">
        <v>57</v>
      </c>
      <c r="E477" s="41">
        <v>6.3446126447016917E-3</v>
      </c>
    </row>
    <row r="478" spans="2:5" ht="15" customHeight="1">
      <c r="B478" s="84"/>
      <c r="C478" s="43" t="s">
        <v>133</v>
      </c>
      <c r="D478" s="42">
        <v>64</v>
      </c>
      <c r="E478" s="41">
        <v>7.1237756010685662E-3</v>
      </c>
    </row>
    <row r="479" spans="2:5" ht="15" customHeight="1">
      <c r="B479" s="84"/>
      <c r="C479" s="43" t="s">
        <v>134</v>
      </c>
      <c r="D479" s="42">
        <v>9</v>
      </c>
      <c r="E479" s="41">
        <v>1.0017809439002671E-3</v>
      </c>
    </row>
    <row r="480" spans="2:5" ht="15" customHeight="1">
      <c r="B480" s="84"/>
      <c r="C480" s="43" t="s">
        <v>137</v>
      </c>
      <c r="D480" s="42">
        <v>280</v>
      </c>
      <c r="E480" s="41">
        <v>3.1166518254674976E-2</v>
      </c>
    </row>
    <row r="481" spans="2:5" ht="15" customHeight="1">
      <c r="B481" s="84"/>
      <c r="C481" s="43" t="s">
        <v>142</v>
      </c>
      <c r="D481" s="42">
        <v>353</v>
      </c>
      <c r="E481" s="41">
        <v>3.9292074799643813E-2</v>
      </c>
    </row>
    <row r="482" spans="2:5" ht="15" customHeight="1">
      <c r="B482" s="84"/>
      <c r="C482" s="43" t="s">
        <v>138</v>
      </c>
      <c r="D482" s="42">
        <v>208</v>
      </c>
      <c r="E482" s="41">
        <v>2.3152270703472842E-2</v>
      </c>
    </row>
    <row r="483" spans="2:5" ht="15" customHeight="1">
      <c r="B483" s="84"/>
      <c r="C483" s="43" t="s">
        <v>131</v>
      </c>
      <c r="D483" s="42">
        <v>42</v>
      </c>
      <c r="E483" s="41">
        <v>4.674977738201247E-3</v>
      </c>
    </row>
    <row r="484" spans="2:5" ht="15" customHeight="1">
      <c r="B484" s="84"/>
      <c r="C484" s="43" t="s">
        <v>127</v>
      </c>
      <c r="D484" s="42">
        <v>19</v>
      </c>
      <c r="E484" s="41">
        <v>2.1148708815672307E-3</v>
      </c>
    </row>
    <row r="485" spans="2:5" ht="15" customHeight="1">
      <c r="B485" s="84"/>
      <c r="C485" s="43" t="s">
        <v>139</v>
      </c>
      <c r="D485" s="42">
        <v>87</v>
      </c>
      <c r="E485" s="41">
        <v>9.683882457702582E-3</v>
      </c>
    </row>
    <row r="486" spans="2:5" ht="15" customHeight="1">
      <c r="B486" s="84"/>
      <c r="C486" s="43" t="s">
        <v>144</v>
      </c>
      <c r="D486" s="42">
        <v>1060</v>
      </c>
      <c r="E486" s="41">
        <v>0.11798753339269813</v>
      </c>
    </row>
    <row r="487" spans="2:5" ht="15" customHeight="1">
      <c r="B487" s="84"/>
      <c r="C487" s="43" t="s">
        <v>132</v>
      </c>
      <c r="D487" s="42">
        <v>24</v>
      </c>
      <c r="E487" s="41">
        <v>2.6714158504007124E-3</v>
      </c>
    </row>
    <row r="488" spans="2:5" ht="15" customHeight="1">
      <c r="B488" s="84"/>
      <c r="C488" s="43" t="s">
        <v>143</v>
      </c>
      <c r="D488" s="42">
        <v>201</v>
      </c>
      <c r="E488" s="41">
        <v>2.2373107747105967E-2</v>
      </c>
    </row>
    <row r="489" spans="2:5" ht="15" customHeight="1">
      <c r="B489" s="84"/>
      <c r="C489" s="43" t="s">
        <v>135</v>
      </c>
      <c r="D489" s="42">
        <v>49</v>
      </c>
      <c r="E489" s="41">
        <v>5.4541406945681215E-3</v>
      </c>
    </row>
    <row r="490" spans="2:5" ht="15" customHeight="1">
      <c r="B490" s="84"/>
      <c r="C490" s="43" t="s">
        <v>129</v>
      </c>
      <c r="D490" s="42">
        <v>11</v>
      </c>
      <c r="E490" s="41">
        <v>1.2243989314336598E-3</v>
      </c>
    </row>
    <row r="491" spans="2:5" ht="15" customHeight="1">
      <c r="B491" s="85"/>
      <c r="C491" s="40" t="s">
        <v>23</v>
      </c>
      <c r="D491" s="39">
        <v>3014</v>
      </c>
      <c r="E491" s="38">
        <v>0.33548530721282277</v>
      </c>
    </row>
    <row r="492" spans="2:5" ht="15" customHeight="1">
      <c r="B492" s="83" t="s">
        <v>49</v>
      </c>
      <c r="C492" s="43" t="s">
        <v>140</v>
      </c>
      <c r="D492" s="42">
        <v>21</v>
      </c>
      <c r="E492" s="41">
        <v>2.3374888691006235E-3</v>
      </c>
    </row>
    <row r="493" spans="2:5" ht="15" customHeight="1">
      <c r="B493" s="84"/>
      <c r="C493" s="43" t="s">
        <v>141</v>
      </c>
      <c r="D493" s="42">
        <v>1</v>
      </c>
      <c r="E493" s="41">
        <v>1.1130899376669635E-4</v>
      </c>
    </row>
    <row r="494" spans="2:5" ht="15" customHeight="1">
      <c r="B494" s="84"/>
      <c r="C494" s="43" t="s">
        <v>128</v>
      </c>
      <c r="D494" s="42">
        <v>1</v>
      </c>
      <c r="E494" s="41">
        <v>1.1130899376669635E-4</v>
      </c>
    </row>
    <row r="495" spans="2:5" ht="15" customHeight="1">
      <c r="B495" s="84"/>
      <c r="C495" s="43" t="s">
        <v>142</v>
      </c>
      <c r="D495" s="42">
        <v>3</v>
      </c>
      <c r="E495" s="41">
        <v>3.3392698130008905E-4</v>
      </c>
    </row>
    <row r="496" spans="2:5" ht="15" customHeight="1">
      <c r="B496" s="84"/>
      <c r="C496" s="43" t="s">
        <v>131</v>
      </c>
      <c r="D496" s="42">
        <v>3</v>
      </c>
      <c r="E496" s="41">
        <v>3.3392698130008905E-4</v>
      </c>
    </row>
    <row r="497" spans="2:5" ht="15" customHeight="1">
      <c r="B497" s="84"/>
      <c r="C497" s="43" t="s">
        <v>127</v>
      </c>
      <c r="D497" s="42">
        <v>1</v>
      </c>
      <c r="E497" s="41">
        <v>1.1130899376669635E-4</v>
      </c>
    </row>
    <row r="498" spans="2:5" ht="15" customHeight="1">
      <c r="B498" s="84"/>
      <c r="C498" s="43" t="s">
        <v>139</v>
      </c>
      <c r="D498" s="42">
        <v>1</v>
      </c>
      <c r="E498" s="41">
        <v>1.1130899376669635E-4</v>
      </c>
    </row>
    <row r="499" spans="2:5" ht="15" customHeight="1">
      <c r="B499" s="84"/>
      <c r="C499" s="43" t="s">
        <v>144</v>
      </c>
      <c r="D499" s="42">
        <v>8</v>
      </c>
      <c r="E499" s="41">
        <v>8.9047195013357077E-4</v>
      </c>
    </row>
    <row r="500" spans="2:5" ht="15" customHeight="1">
      <c r="B500" s="84"/>
      <c r="C500" s="43" t="s">
        <v>132</v>
      </c>
      <c r="D500" s="42">
        <v>1</v>
      </c>
      <c r="E500" s="41">
        <v>1.1130899376669635E-4</v>
      </c>
    </row>
    <row r="501" spans="2:5" ht="15" customHeight="1">
      <c r="B501" s="84"/>
      <c r="C501" s="43" t="s">
        <v>143</v>
      </c>
      <c r="D501" s="42">
        <v>11</v>
      </c>
      <c r="E501" s="41">
        <v>1.2243989314336598E-3</v>
      </c>
    </row>
    <row r="502" spans="2:5" ht="15" customHeight="1">
      <c r="B502" s="84"/>
      <c r="C502" s="43" t="s">
        <v>135</v>
      </c>
      <c r="D502" s="42">
        <v>4</v>
      </c>
      <c r="E502" s="41">
        <v>4.4523597506678539E-4</v>
      </c>
    </row>
    <row r="503" spans="2:5" ht="15" customHeight="1">
      <c r="B503" s="84"/>
      <c r="C503" s="43" t="s">
        <v>129</v>
      </c>
      <c r="D503" s="42">
        <v>2</v>
      </c>
      <c r="E503" s="41">
        <v>2.2261798753339269E-4</v>
      </c>
    </row>
    <row r="504" spans="2:5" ht="15" customHeight="1">
      <c r="B504" s="85"/>
      <c r="C504" s="40" t="s">
        <v>23</v>
      </c>
      <c r="D504" s="39">
        <v>57</v>
      </c>
      <c r="E504" s="38">
        <v>6.3446126447016917E-3</v>
      </c>
    </row>
    <row r="505" spans="2:5" ht="15" customHeight="1">
      <c r="B505" s="83" t="s">
        <v>55</v>
      </c>
      <c r="C505" s="43" t="s">
        <v>140</v>
      </c>
      <c r="D505" s="42">
        <v>11</v>
      </c>
      <c r="E505" s="41">
        <v>1.2243989314336598E-3</v>
      </c>
    </row>
    <row r="506" spans="2:5" ht="15" customHeight="1">
      <c r="B506" s="84"/>
      <c r="C506" s="43" t="s">
        <v>136</v>
      </c>
      <c r="D506" s="42">
        <v>3</v>
      </c>
      <c r="E506" s="41">
        <v>3.3392698130008905E-4</v>
      </c>
    </row>
    <row r="507" spans="2:5" ht="15" customHeight="1">
      <c r="B507" s="84"/>
      <c r="C507" s="43" t="s">
        <v>141</v>
      </c>
      <c r="D507" s="42">
        <v>4</v>
      </c>
      <c r="E507" s="41">
        <v>4.4523597506678539E-4</v>
      </c>
    </row>
    <row r="508" spans="2:5" ht="15" customHeight="1">
      <c r="B508" s="84"/>
      <c r="C508" s="43" t="s">
        <v>128</v>
      </c>
      <c r="D508" s="42">
        <v>3</v>
      </c>
      <c r="E508" s="41">
        <v>3.3392698130008905E-4</v>
      </c>
    </row>
    <row r="509" spans="2:5" ht="15" customHeight="1">
      <c r="B509" s="84"/>
      <c r="C509" s="43" t="s">
        <v>133</v>
      </c>
      <c r="D509" s="42">
        <v>2</v>
      </c>
      <c r="E509" s="41">
        <v>2.2261798753339269E-4</v>
      </c>
    </row>
    <row r="510" spans="2:5" ht="15" customHeight="1">
      <c r="B510" s="84"/>
      <c r="C510" s="43" t="s">
        <v>137</v>
      </c>
      <c r="D510" s="42">
        <v>3</v>
      </c>
      <c r="E510" s="41">
        <v>3.3392698130008905E-4</v>
      </c>
    </row>
    <row r="511" spans="2:5" ht="15" customHeight="1">
      <c r="B511" s="84"/>
      <c r="C511" s="43" t="s">
        <v>142</v>
      </c>
      <c r="D511" s="42">
        <v>18</v>
      </c>
      <c r="E511" s="41">
        <v>2.0035618878005341E-3</v>
      </c>
    </row>
    <row r="512" spans="2:5" ht="15" customHeight="1">
      <c r="B512" s="84"/>
      <c r="C512" s="43" t="s">
        <v>138</v>
      </c>
      <c r="D512" s="42">
        <v>7</v>
      </c>
      <c r="E512" s="41">
        <v>7.7916295636687449E-4</v>
      </c>
    </row>
    <row r="513" spans="2:5" ht="15" customHeight="1">
      <c r="B513" s="84"/>
      <c r="C513" s="43" t="s">
        <v>131</v>
      </c>
      <c r="D513" s="42">
        <v>3</v>
      </c>
      <c r="E513" s="41">
        <v>3.3392698130008905E-4</v>
      </c>
    </row>
    <row r="514" spans="2:5" ht="15" customHeight="1">
      <c r="B514" s="84"/>
      <c r="C514" s="43" t="s">
        <v>127</v>
      </c>
      <c r="D514" s="42">
        <v>5</v>
      </c>
      <c r="E514" s="41">
        <v>5.5654496883348172E-4</v>
      </c>
    </row>
    <row r="515" spans="2:5" ht="15" customHeight="1">
      <c r="B515" s="84"/>
      <c r="C515" s="43" t="s">
        <v>139</v>
      </c>
      <c r="D515" s="42">
        <v>19</v>
      </c>
      <c r="E515" s="41">
        <v>2.1148708815672307E-3</v>
      </c>
    </row>
    <row r="516" spans="2:5" ht="15" customHeight="1">
      <c r="B516" s="84"/>
      <c r="C516" s="43" t="s">
        <v>144</v>
      </c>
      <c r="D516" s="42">
        <v>20</v>
      </c>
      <c r="E516" s="41">
        <v>2.2261798753339269E-3</v>
      </c>
    </row>
    <row r="517" spans="2:5" ht="15" customHeight="1">
      <c r="B517" s="84"/>
      <c r="C517" s="43" t="s">
        <v>143</v>
      </c>
      <c r="D517" s="42">
        <v>10</v>
      </c>
      <c r="E517" s="41">
        <v>1.1130899376669634E-3</v>
      </c>
    </row>
    <row r="518" spans="2:5" ht="15" customHeight="1">
      <c r="B518" s="85"/>
      <c r="C518" s="40" t="s">
        <v>23</v>
      </c>
      <c r="D518" s="39">
        <v>108</v>
      </c>
      <c r="E518" s="38">
        <v>1.2021371326803205E-2</v>
      </c>
    </row>
    <row r="519" spans="2:5" ht="15" customHeight="1">
      <c r="B519" s="83" t="s">
        <v>60</v>
      </c>
      <c r="C519" s="43" t="s">
        <v>140</v>
      </c>
      <c r="D519" s="42">
        <v>14</v>
      </c>
      <c r="E519" s="41">
        <v>1.558325912733749E-3</v>
      </c>
    </row>
    <row r="520" spans="2:5" ht="15" customHeight="1">
      <c r="B520" s="84"/>
      <c r="C520" s="43" t="s">
        <v>136</v>
      </c>
      <c r="D520" s="42">
        <v>1</v>
      </c>
      <c r="E520" s="41">
        <v>1.1130899376669635E-4</v>
      </c>
    </row>
    <row r="521" spans="2:5" ht="15" customHeight="1">
      <c r="B521" s="84"/>
      <c r="C521" s="43" t="s">
        <v>141</v>
      </c>
      <c r="D521" s="42">
        <v>8</v>
      </c>
      <c r="E521" s="41">
        <v>8.9047195013357077E-4</v>
      </c>
    </row>
    <row r="522" spans="2:5" ht="15" customHeight="1">
      <c r="B522" s="84"/>
      <c r="C522" s="43" t="s">
        <v>130</v>
      </c>
      <c r="D522" s="42">
        <v>1</v>
      </c>
      <c r="E522" s="41">
        <v>1.1130899376669635E-4</v>
      </c>
    </row>
    <row r="523" spans="2:5" ht="15" customHeight="1">
      <c r="B523" s="84"/>
      <c r="C523" s="43" t="s">
        <v>128</v>
      </c>
      <c r="D523" s="42">
        <v>1</v>
      </c>
      <c r="E523" s="41">
        <v>1.1130899376669635E-4</v>
      </c>
    </row>
    <row r="524" spans="2:5" ht="15" customHeight="1">
      <c r="B524" s="84"/>
      <c r="C524" s="43" t="s">
        <v>133</v>
      </c>
      <c r="D524" s="42">
        <v>12</v>
      </c>
      <c r="E524" s="41">
        <v>1.3357079252003562E-3</v>
      </c>
    </row>
    <row r="525" spans="2:5" ht="15" customHeight="1">
      <c r="B525" s="84"/>
      <c r="C525" s="43" t="s">
        <v>134</v>
      </c>
      <c r="D525" s="42">
        <v>6</v>
      </c>
      <c r="E525" s="41">
        <v>6.6785396260017811E-4</v>
      </c>
    </row>
    <row r="526" spans="2:5" ht="15" customHeight="1">
      <c r="B526" s="84"/>
      <c r="C526" s="43" t="s">
        <v>137</v>
      </c>
      <c r="D526" s="42">
        <v>2</v>
      </c>
      <c r="E526" s="41">
        <v>2.2261798753339269E-4</v>
      </c>
    </row>
    <row r="527" spans="2:5" ht="15" customHeight="1">
      <c r="B527" s="84"/>
      <c r="C527" s="43" t="s">
        <v>138</v>
      </c>
      <c r="D527" s="42">
        <v>1</v>
      </c>
      <c r="E527" s="41">
        <v>1.1130899376669635E-4</v>
      </c>
    </row>
    <row r="528" spans="2:5" ht="15" customHeight="1">
      <c r="B528" s="84"/>
      <c r="C528" s="43" t="s">
        <v>131</v>
      </c>
      <c r="D528" s="42">
        <v>4</v>
      </c>
      <c r="E528" s="41">
        <v>4.4523597506678539E-4</v>
      </c>
    </row>
    <row r="529" spans="2:5" ht="15" customHeight="1">
      <c r="B529" s="84"/>
      <c r="C529" s="43" t="s">
        <v>139</v>
      </c>
      <c r="D529" s="42">
        <v>8</v>
      </c>
      <c r="E529" s="41">
        <v>8.9047195013357077E-4</v>
      </c>
    </row>
    <row r="530" spans="2:5" ht="15" customHeight="1">
      <c r="B530" s="84"/>
      <c r="C530" s="43" t="s">
        <v>144</v>
      </c>
      <c r="D530" s="42">
        <v>40</v>
      </c>
      <c r="E530" s="41">
        <v>4.4523597506678537E-3</v>
      </c>
    </row>
    <row r="531" spans="2:5" ht="15" customHeight="1">
      <c r="B531" s="84"/>
      <c r="C531" s="43" t="s">
        <v>143</v>
      </c>
      <c r="D531" s="42">
        <v>27</v>
      </c>
      <c r="E531" s="41">
        <v>3.0053428317008014E-3</v>
      </c>
    </row>
    <row r="532" spans="2:5" ht="15" customHeight="1">
      <c r="B532" s="84"/>
      <c r="C532" s="43" t="s">
        <v>129</v>
      </c>
      <c r="D532" s="42">
        <v>1</v>
      </c>
      <c r="E532" s="41">
        <v>1.1130899376669635E-4</v>
      </c>
    </row>
    <row r="533" spans="2:5" ht="15" customHeight="1">
      <c r="B533" s="85"/>
      <c r="C533" s="40" t="s">
        <v>23</v>
      </c>
      <c r="D533" s="39">
        <v>126</v>
      </c>
      <c r="E533" s="38">
        <v>1.4024933214603739E-2</v>
      </c>
    </row>
    <row r="534" spans="2:5" ht="15" customHeight="1">
      <c r="B534" s="83" t="s">
        <v>26</v>
      </c>
      <c r="C534" s="43" t="s">
        <v>139</v>
      </c>
      <c r="D534" s="42">
        <v>1</v>
      </c>
      <c r="E534" s="41">
        <v>1.1130899376669635E-4</v>
      </c>
    </row>
    <row r="535" spans="2:5" ht="15" customHeight="1">
      <c r="B535" s="84"/>
      <c r="C535" s="43" t="s">
        <v>144</v>
      </c>
      <c r="D535" s="42">
        <v>2</v>
      </c>
      <c r="E535" s="41">
        <v>2.2261798753339269E-4</v>
      </c>
    </row>
    <row r="536" spans="2:5" ht="15" customHeight="1">
      <c r="B536" s="85"/>
      <c r="C536" s="40" t="s">
        <v>23</v>
      </c>
      <c r="D536" s="39">
        <v>3</v>
      </c>
      <c r="E536" s="38">
        <v>3.3392698130008905E-4</v>
      </c>
    </row>
    <row r="537" spans="2:5" ht="15" customHeight="1">
      <c r="B537" s="83" t="s">
        <v>51</v>
      </c>
      <c r="C537" s="43" t="s">
        <v>140</v>
      </c>
      <c r="D537" s="42">
        <v>35</v>
      </c>
      <c r="E537" s="41">
        <v>3.895814781834372E-3</v>
      </c>
    </row>
    <row r="538" spans="2:5" ht="15" customHeight="1">
      <c r="B538" s="84"/>
      <c r="C538" s="43" t="s">
        <v>136</v>
      </c>
      <c r="D538" s="42">
        <v>1</v>
      </c>
      <c r="E538" s="41">
        <v>1.1130899376669635E-4</v>
      </c>
    </row>
    <row r="539" spans="2:5" ht="15" customHeight="1">
      <c r="B539" s="84"/>
      <c r="C539" s="43" t="s">
        <v>141</v>
      </c>
      <c r="D539" s="42">
        <v>4</v>
      </c>
      <c r="E539" s="41">
        <v>4.4523597506678539E-4</v>
      </c>
    </row>
    <row r="540" spans="2:5" ht="15" customHeight="1">
      <c r="B540" s="84"/>
      <c r="C540" s="43" t="s">
        <v>133</v>
      </c>
      <c r="D540" s="42">
        <v>1</v>
      </c>
      <c r="E540" s="41">
        <v>1.1130899376669635E-4</v>
      </c>
    </row>
    <row r="541" spans="2:5" ht="15" customHeight="1">
      <c r="B541" s="84"/>
      <c r="C541" s="43" t="s">
        <v>142</v>
      </c>
      <c r="D541" s="42">
        <v>1</v>
      </c>
      <c r="E541" s="41">
        <v>1.1130899376669635E-4</v>
      </c>
    </row>
    <row r="542" spans="2:5" ht="15" customHeight="1">
      <c r="B542" s="84"/>
      <c r="C542" s="43" t="s">
        <v>138</v>
      </c>
      <c r="D542" s="42">
        <v>5</v>
      </c>
      <c r="E542" s="41">
        <v>5.5654496883348172E-4</v>
      </c>
    </row>
    <row r="543" spans="2:5" ht="15" customHeight="1">
      <c r="B543" s="84"/>
      <c r="C543" s="43" t="s">
        <v>144</v>
      </c>
      <c r="D543" s="42">
        <v>14</v>
      </c>
      <c r="E543" s="41">
        <v>1.558325912733749E-3</v>
      </c>
    </row>
    <row r="544" spans="2:5" ht="15" customHeight="1">
      <c r="B544" s="84"/>
      <c r="C544" s="43" t="s">
        <v>143</v>
      </c>
      <c r="D544" s="42">
        <v>7</v>
      </c>
      <c r="E544" s="41">
        <v>7.7916295636687449E-4</v>
      </c>
    </row>
    <row r="545" spans="2:5" ht="15" customHeight="1">
      <c r="B545" s="84"/>
      <c r="C545" s="43" t="s">
        <v>135</v>
      </c>
      <c r="D545" s="42">
        <v>9</v>
      </c>
      <c r="E545" s="41">
        <v>1.0017809439002671E-3</v>
      </c>
    </row>
    <row r="546" spans="2:5" ht="15" customHeight="1">
      <c r="B546" s="85"/>
      <c r="C546" s="40" t="s">
        <v>23</v>
      </c>
      <c r="D546" s="39">
        <v>77</v>
      </c>
      <c r="E546" s="38">
        <v>8.5707925200356194E-3</v>
      </c>
    </row>
    <row r="547" spans="2:5" ht="15" customHeight="1">
      <c r="B547" s="83" t="s">
        <v>28</v>
      </c>
      <c r="C547" s="43" t="s">
        <v>140</v>
      </c>
      <c r="D547" s="42">
        <v>1</v>
      </c>
      <c r="E547" s="41">
        <v>1.1130899376669635E-4</v>
      </c>
    </row>
    <row r="548" spans="2:5" ht="15" customHeight="1">
      <c r="B548" s="84"/>
      <c r="C548" s="43" t="s">
        <v>137</v>
      </c>
      <c r="D548" s="42">
        <v>1</v>
      </c>
      <c r="E548" s="41">
        <v>1.1130899376669635E-4</v>
      </c>
    </row>
    <row r="549" spans="2:5" ht="15" customHeight="1">
      <c r="B549" s="84"/>
      <c r="C549" s="43" t="s">
        <v>139</v>
      </c>
      <c r="D549" s="42">
        <v>1</v>
      </c>
      <c r="E549" s="41">
        <v>1.1130899376669635E-4</v>
      </c>
    </row>
    <row r="550" spans="2:5" ht="15" customHeight="1">
      <c r="B550" s="84"/>
      <c r="C550" s="43" t="s">
        <v>143</v>
      </c>
      <c r="D550" s="42">
        <v>1</v>
      </c>
      <c r="E550" s="41">
        <v>1.1130899376669635E-4</v>
      </c>
    </row>
    <row r="551" spans="2:5" ht="15" customHeight="1">
      <c r="B551" s="85"/>
      <c r="C551" s="40" t="s">
        <v>23</v>
      </c>
      <c r="D551" s="39">
        <v>4</v>
      </c>
      <c r="E551" s="38">
        <v>4.4523597506678539E-4</v>
      </c>
    </row>
    <row r="552" spans="2:5" ht="15" customHeight="1">
      <c r="B552" s="95" t="s">
        <v>23</v>
      </c>
      <c r="C552" s="96"/>
      <c r="D552" s="97">
        <v>8984</v>
      </c>
      <c r="E552" s="98">
        <v>1</v>
      </c>
    </row>
    <row r="554" spans="2:5" ht="15" customHeight="1">
      <c r="B554" s="19" t="s">
        <v>22</v>
      </c>
    </row>
    <row r="555" spans="2:5" ht="15" customHeight="1">
      <c r="B555" s="21" t="s">
        <v>21</v>
      </c>
    </row>
    <row r="556" spans="2:5" ht="15" customHeight="1">
      <c r="B556" s="20" t="s">
        <v>20</v>
      </c>
    </row>
    <row r="557" spans="2:5" ht="15" customHeight="1">
      <c r="B557" s="19" t="s">
        <v>19</v>
      </c>
    </row>
    <row r="558" spans="2:5" ht="15" customHeight="1">
      <c r="B558" s="19" t="s">
        <v>18</v>
      </c>
    </row>
  </sheetData>
  <mergeCells count="49">
    <mergeCell ref="B456:B472"/>
    <mergeCell ref="B473:B491"/>
    <mergeCell ref="B552:C552"/>
    <mergeCell ref="B492:B504"/>
    <mergeCell ref="B505:B518"/>
    <mergeCell ref="B519:B533"/>
    <mergeCell ref="B534:B536"/>
    <mergeCell ref="B537:B546"/>
    <mergeCell ref="B547:B551"/>
    <mergeCell ref="B352:B363"/>
    <mergeCell ref="B364:B381"/>
    <mergeCell ref="B382:B383"/>
    <mergeCell ref="B384:B395"/>
    <mergeCell ref="B396:B408"/>
    <mergeCell ref="B409:B422"/>
    <mergeCell ref="B423:B433"/>
    <mergeCell ref="B434:B437"/>
    <mergeCell ref="B438:B451"/>
    <mergeCell ref="B452:B455"/>
    <mergeCell ref="B245:B249"/>
    <mergeCell ref="B250:B263"/>
    <mergeCell ref="B264:B277"/>
    <mergeCell ref="B278:B287"/>
    <mergeCell ref="B288:B298"/>
    <mergeCell ref="B299:B311"/>
    <mergeCell ref="B312:B327"/>
    <mergeCell ref="B328:B332"/>
    <mergeCell ref="B333:B342"/>
    <mergeCell ref="B343:B351"/>
    <mergeCell ref="B123:B140"/>
    <mergeCell ref="B141:B143"/>
    <mergeCell ref="B144:B154"/>
    <mergeCell ref="B155:B173"/>
    <mergeCell ref="B174:B187"/>
    <mergeCell ref="B188:B198"/>
    <mergeCell ref="B199:B210"/>
    <mergeCell ref="B211:B220"/>
    <mergeCell ref="B221:B234"/>
    <mergeCell ref="B235:B244"/>
    <mergeCell ref="B7:E8"/>
    <mergeCell ref="B10:B25"/>
    <mergeCell ref="B26:B37"/>
    <mergeCell ref="B38:B52"/>
    <mergeCell ref="B53:B71"/>
    <mergeCell ref="B72:B88"/>
    <mergeCell ref="B89:B94"/>
    <mergeCell ref="B95:B100"/>
    <mergeCell ref="B101:B103"/>
    <mergeCell ref="B104:B1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4" orientation="portrait" r:id="rId1"/>
  <rowBreaks count="13" manualBreakCount="13">
    <brk id="52" max="4" man="1"/>
    <brk id="94" max="4" man="1"/>
    <brk id="122" max="4" man="1"/>
    <brk id="154" max="4" man="1"/>
    <brk id="198" max="4" man="1"/>
    <brk id="234" max="4" man="1"/>
    <brk id="277" max="4" man="1"/>
    <brk id="311" max="4" man="1"/>
    <brk id="351" max="4" man="1"/>
    <brk id="395" max="4" man="1"/>
    <brk id="437" max="4" man="1"/>
    <brk id="472" max="4" man="1"/>
    <brk id="504" max="4" man="1"/>
  </rowBreaks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647"/>
  <sheetViews>
    <sheetView topLeftCell="A611" zoomScaleNormal="100" zoomScaleSheetLayoutView="85" workbookViewId="0">
      <selection activeCell="F622" sqref="F622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86"/>
      <c r="C7" s="86"/>
      <c r="D7" s="86"/>
      <c r="E7" s="86"/>
    </row>
    <row r="8" spans="1:5" s="48" customFormat="1" ht="33" customHeight="1">
      <c r="A8" s="49"/>
      <c r="B8" s="86"/>
      <c r="C8" s="86"/>
      <c r="D8" s="86"/>
      <c r="E8" s="86"/>
    </row>
    <row r="9" spans="1:5" s="29" customFormat="1" ht="40.5" customHeight="1">
      <c r="B9" s="45" t="s">
        <v>125</v>
      </c>
      <c r="C9" s="47" t="s">
        <v>147</v>
      </c>
      <c r="D9" s="46" t="s">
        <v>72</v>
      </c>
      <c r="E9" s="45" t="s">
        <v>71</v>
      </c>
    </row>
    <row r="10" spans="1:5" ht="15" customHeight="1">
      <c r="B10" s="83" t="s">
        <v>88</v>
      </c>
      <c r="C10" s="43" t="s">
        <v>141</v>
      </c>
      <c r="D10" s="42">
        <v>2</v>
      </c>
      <c r="E10" s="41">
        <v>2.2261798753339269E-4</v>
      </c>
    </row>
    <row r="11" spans="1:5" s="44" customFormat="1" ht="15" customHeight="1">
      <c r="A11" s="36"/>
      <c r="B11" s="84"/>
      <c r="C11" s="43" t="s">
        <v>133</v>
      </c>
      <c r="D11" s="42">
        <v>3</v>
      </c>
      <c r="E11" s="41">
        <v>3.3392698130008905E-4</v>
      </c>
    </row>
    <row r="12" spans="1:5" s="44" customFormat="1" ht="15" customHeight="1">
      <c r="A12" s="36"/>
      <c r="B12" s="84"/>
      <c r="C12" s="43" t="s">
        <v>142</v>
      </c>
      <c r="D12" s="42">
        <v>1</v>
      </c>
      <c r="E12" s="41">
        <v>1.1130899376669635E-4</v>
      </c>
    </row>
    <row r="13" spans="1:5" ht="15" customHeight="1">
      <c r="B13" s="84"/>
      <c r="C13" s="43" t="s">
        <v>131</v>
      </c>
      <c r="D13" s="42">
        <v>3</v>
      </c>
      <c r="E13" s="41">
        <v>3.3392698130008905E-4</v>
      </c>
    </row>
    <row r="14" spans="1:5" ht="15" customHeight="1">
      <c r="B14" s="84"/>
      <c r="C14" s="43" t="s">
        <v>144</v>
      </c>
      <c r="D14" s="42">
        <v>5</v>
      </c>
      <c r="E14" s="41">
        <v>5.5654496883348172E-4</v>
      </c>
    </row>
    <row r="15" spans="1:5" ht="15" customHeight="1">
      <c r="B15" s="84"/>
      <c r="C15" s="43" t="s">
        <v>132</v>
      </c>
      <c r="D15" s="42">
        <v>2</v>
      </c>
      <c r="E15" s="41">
        <v>2.2261798753339269E-4</v>
      </c>
    </row>
    <row r="16" spans="1:5" ht="15" customHeight="1">
      <c r="B16" s="84"/>
      <c r="C16" s="43" t="s">
        <v>143</v>
      </c>
      <c r="D16" s="42">
        <v>2</v>
      </c>
      <c r="E16" s="41">
        <v>2.2261798753339269E-4</v>
      </c>
    </row>
    <row r="17" spans="2:5" ht="15" customHeight="1">
      <c r="B17" s="85"/>
      <c r="C17" s="40" t="s">
        <v>23</v>
      </c>
      <c r="D17" s="39">
        <v>18</v>
      </c>
      <c r="E17" s="38">
        <v>2.0035618878005341E-3</v>
      </c>
    </row>
    <row r="18" spans="2:5" ht="15" customHeight="1">
      <c r="B18" s="83" t="s">
        <v>120</v>
      </c>
      <c r="C18" s="43" t="s">
        <v>140</v>
      </c>
      <c r="D18" s="42">
        <v>44</v>
      </c>
      <c r="E18" s="41">
        <v>4.8975957257346393E-3</v>
      </c>
    </row>
    <row r="19" spans="2:5" ht="15" customHeight="1">
      <c r="B19" s="84"/>
      <c r="C19" s="43" t="s">
        <v>136</v>
      </c>
      <c r="D19" s="42">
        <v>27</v>
      </c>
      <c r="E19" s="41">
        <v>3.0053428317008014E-3</v>
      </c>
    </row>
    <row r="20" spans="2:5" ht="15" customHeight="1">
      <c r="B20" s="84"/>
      <c r="C20" s="43" t="s">
        <v>141</v>
      </c>
      <c r="D20" s="42">
        <v>117</v>
      </c>
      <c r="E20" s="41">
        <v>1.3023152270703473E-2</v>
      </c>
    </row>
    <row r="21" spans="2:5" ht="15" customHeight="1">
      <c r="B21" s="84"/>
      <c r="C21" s="43" t="s">
        <v>130</v>
      </c>
      <c r="D21" s="42">
        <v>7</v>
      </c>
      <c r="E21" s="41">
        <v>7.7916295636687449E-4</v>
      </c>
    </row>
    <row r="22" spans="2:5" ht="15" customHeight="1">
      <c r="B22" s="84"/>
      <c r="C22" s="43" t="s">
        <v>128</v>
      </c>
      <c r="D22" s="42">
        <v>4</v>
      </c>
      <c r="E22" s="41">
        <v>4.4523597506678539E-4</v>
      </c>
    </row>
    <row r="23" spans="2:5" ht="15" customHeight="1">
      <c r="B23" s="84"/>
      <c r="C23" s="43" t="s">
        <v>133</v>
      </c>
      <c r="D23" s="42">
        <v>5</v>
      </c>
      <c r="E23" s="41">
        <v>5.5654496883348172E-4</v>
      </c>
    </row>
    <row r="24" spans="2:5" ht="15" customHeight="1">
      <c r="B24" s="84"/>
      <c r="C24" s="43" t="s">
        <v>134</v>
      </c>
      <c r="D24" s="42">
        <v>1</v>
      </c>
      <c r="E24" s="41">
        <v>1.1130899376669635E-4</v>
      </c>
    </row>
    <row r="25" spans="2:5" ht="15" customHeight="1">
      <c r="B25" s="84"/>
      <c r="C25" s="43" t="s">
        <v>137</v>
      </c>
      <c r="D25" s="42">
        <v>51</v>
      </c>
      <c r="E25" s="41">
        <v>5.6767586821015138E-3</v>
      </c>
    </row>
    <row r="26" spans="2:5" ht="15" customHeight="1">
      <c r="B26" s="84"/>
      <c r="C26" s="43" t="s">
        <v>142</v>
      </c>
      <c r="D26" s="42">
        <v>54</v>
      </c>
      <c r="E26" s="41">
        <v>6.0106856634016027E-3</v>
      </c>
    </row>
    <row r="27" spans="2:5" ht="15" customHeight="1">
      <c r="B27" s="84"/>
      <c r="C27" s="43" t="s">
        <v>138</v>
      </c>
      <c r="D27" s="42">
        <v>27</v>
      </c>
      <c r="E27" s="41">
        <v>3.0053428317008014E-3</v>
      </c>
    </row>
    <row r="28" spans="2:5" ht="15" customHeight="1">
      <c r="B28" s="84"/>
      <c r="C28" s="43" t="s">
        <v>131</v>
      </c>
      <c r="D28" s="42">
        <v>12</v>
      </c>
      <c r="E28" s="41">
        <v>1.3357079252003562E-3</v>
      </c>
    </row>
    <row r="29" spans="2:5" ht="15" customHeight="1">
      <c r="B29" s="84"/>
      <c r="C29" s="43" t="s">
        <v>127</v>
      </c>
      <c r="D29" s="42">
        <v>5</v>
      </c>
      <c r="E29" s="41">
        <v>5.5654496883348172E-4</v>
      </c>
    </row>
    <row r="30" spans="2:5" ht="15" customHeight="1">
      <c r="B30" s="84"/>
      <c r="C30" s="43" t="s">
        <v>139</v>
      </c>
      <c r="D30" s="42">
        <v>61</v>
      </c>
      <c r="E30" s="41">
        <v>6.7898486197684772E-3</v>
      </c>
    </row>
    <row r="31" spans="2:5" ht="15" customHeight="1">
      <c r="B31" s="84"/>
      <c r="C31" s="43" t="s">
        <v>144</v>
      </c>
      <c r="D31" s="42">
        <v>148</v>
      </c>
      <c r="E31" s="41">
        <v>1.6473731077471059E-2</v>
      </c>
    </row>
    <row r="32" spans="2:5" ht="15" customHeight="1">
      <c r="B32" s="84"/>
      <c r="C32" s="43" t="s">
        <v>132</v>
      </c>
      <c r="D32" s="42">
        <v>9</v>
      </c>
      <c r="E32" s="41">
        <v>1.0017809439002671E-3</v>
      </c>
    </row>
    <row r="33" spans="2:5" ht="15" customHeight="1">
      <c r="B33" s="84"/>
      <c r="C33" s="43" t="s">
        <v>143</v>
      </c>
      <c r="D33" s="42">
        <v>62</v>
      </c>
      <c r="E33" s="41">
        <v>6.9011576135351738E-3</v>
      </c>
    </row>
    <row r="34" spans="2:5" ht="15" customHeight="1">
      <c r="B34" s="84"/>
      <c r="C34" s="43" t="s">
        <v>135</v>
      </c>
      <c r="D34" s="42">
        <v>8</v>
      </c>
      <c r="E34" s="41">
        <v>8.9047195013357077E-4</v>
      </c>
    </row>
    <row r="35" spans="2:5" ht="15" customHeight="1">
      <c r="B35" s="84"/>
      <c r="C35" s="43" t="s">
        <v>129</v>
      </c>
      <c r="D35" s="42">
        <v>5</v>
      </c>
      <c r="E35" s="41">
        <v>5.5654496883348172E-4</v>
      </c>
    </row>
    <row r="36" spans="2:5" ht="15" customHeight="1">
      <c r="B36" s="85"/>
      <c r="C36" s="40" t="s">
        <v>23</v>
      </c>
      <c r="D36" s="39">
        <v>647</v>
      </c>
      <c r="E36" s="38">
        <v>7.2016918967052534E-2</v>
      </c>
    </row>
    <row r="37" spans="2:5" ht="15" customHeight="1">
      <c r="B37" s="83" t="s">
        <v>110</v>
      </c>
      <c r="C37" s="43" t="s">
        <v>140</v>
      </c>
      <c r="D37" s="42">
        <v>17</v>
      </c>
      <c r="E37" s="41">
        <v>1.8922528940338379E-3</v>
      </c>
    </row>
    <row r="38" spans="2:5" ht="15" customHeight="1">
      <c r="B38" s="84"/>
      <c r="C38" s="43" t="s">
        <v>136</v>
      </c>
      <c r="D38" s="42">
        <v>37</v>
      </c>
      <c r="E38" s="41">
        <v>4.1184327693677648E-3</v>
      </c>
    </row>
    <row r="39" spans="2:5" ht="15" customHeight="1">
      <c r="B39" s="84"/>
      <c r="C39" s="43" t="s">
        <v>141</v>
      </c>
      <c r="D39" s="42">
        <v>28</v>
      </c>
      <c r="E39" s="41">
        <v>3.116651825467498E-3</v>
      </c>
    </row>
    <row r="40" spans="2:5" ht="15" customHeight="1">
      <c r="B40" s="84"/>
      <c r="C40" s="43" t="s">
        <v>130</v>
      </c>
      <c r="D40" s="42">
        <v>5</v>
      </c>
      <c r="E40" s="41">
        <v>5.5654496883348172E-4</v>
      </c>
    </row>
    <row r="41" spans="2:5" ht="15" customHeight="1">
      <c r="B41" s="84"/>
      <c r="C41" s="43" t="s">
        <v>128</v>
      </c>
      <c r="D41" s="42">
        <v>5</v>
      </c>
      <c r="E41" s="41">
        <v>5.5654496883348172E-4</v>
      </c>
    </row>
    <row r="42" spans="2:5" ht="15" customHeight="1">
      <c r="B42" s="84"/>
      <c r="C42" s="43" t="s">
        <v>133</v>
      </c>
      <c r="D42" s="42">
        <v>24</v>
      </c>
      <c r="E42" s="41">
        <v>2.6714158504007124E-3</v>
      </c>
    </row>
    <row r="43" spans="2:5" ht="15" customHeight="1">
      <c r="B43" s="84"/>
      <c r="C43" s="43" t="s">
        <v>134</v>
      </c>
      <c r="D43" s="42">
        <v>2</v>
      </c>
      <c r="E43" s="41">
        <v>2.2261798753339269E-4</v>
      </c>
    </row>
    <row r="44" spans="2:5" ht="15" customHeight="1">
      <c r="B44" s="84"/>
      <c r="C44" s="43" t="s">
        <v>137</v>
      </c>
      <c r="D44" s="42">
        <v>47</v>
      </c>
      <c r="E44" s="41">
        <v>5.2315227070347282E-3</v>
      </c>
    </row>
    <row r="45" spans="2:5" ht="15" customHeight="1">
      <c r="B45" s="84"/>
      <c r="C45" s="43" t="s">
        <v>142</v>
      </c>
      <c r="D45" s="42">
        <v>107</v>
      </c>
      <c r="E45" s="41">
        <v>1.1910062333036509E-2</v>
      </c>
    </row>
    <row r="46" spans="2:5" ht="15" customHeight="1">
      <c r="B46" s="84"/>
      <c r="C46" s="43" t="s">
        <v>138</v>
      </c>
      <c r="D46" s="42">
        <v>34</v>
      </c>
      <c r="E46" s="41">
        <v>3.7845057880676759E-3</v>
      </c>
    </row>
    <row r="47" spans="2:5" ht="15" customHeight="1">
      <c r="B47" s="84"/>
      <c r="C47" s="43" t="s">
        <v>131</v>
      </c>
      <c r="D47" s="42">
        <v>5</v>
      </c>
      <c r="E47" s="41">
        <v>5.5654496883348172E-4</v>
      </c>
    </row>
    <row r="48" spans="2:5" ht="15" customHeight="1">
      <c r="B48" s="84"/>
      <c r="C48" s="43" t="s">
        <v>127</v>
      </c>
      <c r="D48" s="42">
        <v>2</v>
      </c>
      <c r="E48" s="41">
        <v>2.2261798753339269E-4</v>
      </c>
    </row>
    <row r="49" spans="2:5" ht="15" customHeight="1">
      <c r="B49" s="84"/>
      <c r="C49" s="43" t="s">
        <v>139</v>
      </c>
      <c r="D49" s="42">
        <v>13</v>
      </c>
      <c r="E49" s="41">
        <v>1.4470169189670526E-3</v>
      </c>
    </row>
    <row r="50" spans="2:5" ht="15" customHeight="1">
      <c r="B50" s="84"/>
      <c r="C50" s="43" t="s">
        <v>144</v>
      </c>
      <c r="D50" s="42">
        <v>148</v>
      </c>
      <c r="E50" s="41">
        <v>1.6473731077471059E-2</v>
      </c>
    </row>
    <row r="51" spans="2:5" ht="15" customHeight="1">
      <c r="B51" s="84"/>
      <c r="C51" s="43" t="s">
        <v>132</v>
      </c>
      <c r="D51" s="42">
        <v>2</v>
      </c>
      <c r="E51" s="41">
        <v>2.2261798753339269E-4</v>
      </c>
    </row>
    <row r="52" spans="2:5" ht="15" customHeight="1">
      <c r="B52" s="84"/>
      <c r="C52" s="43" t="s">
        <v>143</v>
      </c>
      <c r="D52" s="42">
        <v>29</v>
      </c>
      <c r="E52" s="41">
        <v>3.2279608192341941E-3</v>
      </c>
    </row>
    <row r="53" spans="2:5" ht="15" customHeight="1">
      <c r="B53" s="84"/>
      <c r="C53" s="43" t="s">
        <v>135</v>
      </c>
      <c r="D53" s="42">
        <v>25</v>
      </c>
      <c r="E53" s="41">
        <v>2.7827248441674086E-3</v>
      </c>
    </row>
    <row r="54" spans="2:5" ht="15" customHeight="1">
      <c r="B54" s="84"/>
      <c r="C54" s="43" t="s">
        <v>129</v>
      </c>
      <c r="D54" s="42">
        <v>2</v>
      </c>
      <c r="E54" s="41">
        <v>2.2261798753339269E-4</v>
      </c>
    </row>
    <row r="55" spans="2:5" ht="15" customHeight="1">
      <c r="B55" s="85"/>
      <c r="C55" s="40" t="s">
        <v>23</v>
      </c>
      <c r="D55" s="39">
        <v>532</v>
      </c>
      <c r="E55" s="38">
        <v>5.9216384683882455E-2</v>
      </c>
    </row>
    <row r="56" spans="2:5" ht="15" customHeight="1">
      <c r="B56" s="83" t="s">
        <v>86</v>
      </c>
      <c r="C56" s="43" t="s">
        <v>141</v>
      </c>
      <c r="D56" s="42">
        <v>8</v>
      </c>
      <c r="E56" s="41">
        <v>8.9047195013357077E-4</v>
      </c>
    </row>
    <row r="57" spans="2:5" ht="15" customHeight="1">
      <c r="B57" s="84"/>
      <c r="C57" s="43" t="s">
        <v>128</v>
      </c>
      <c r="D57" s="42">
        <v>1</v>
      </c>
      <c r="E57" s="41">
        <v>1.1130899376669635E-4</v>
      </c>
    </row>
    <row r="58" spans="2:5" ht="15" customHeight="1">
      <c r="B58" s="84"/>
      <c r="C58" s="43" t="s">
        <v>133</v>
      </c>
      <c r="D58" s="42">
        <v>1</v>
      </c>
      <c r="E58" s="41">
        <v>1.1130899376669635E-4</v>
      </c>
    </row>
    <row r="59" spans="2:5" ht="15" customHeight="1">
      <c r="B59" s="84"/>
      <c r="C59" s="43" t="s">
        <v>142</v>
      </c>
      <c r="D59" s="42">
        <v>4</v>
      </c>
      <c r="E59" s="41">
        <v>4.4523597506678539E-4</v>
      </c>
    </row>
    <row r="60" spans="2:5" ht="15" customHeight="1">
      <c r="B60" s="84"/>
      <c r="C60" s="43" t="s">
        <v>138</v>
      </c>
      <c r="D60" s="42">
        <v>1</v>
      </c>
      <c r="E60" s="41">
        <v>1.1130899376669635E-4</v>
      </c>
    </row>
    <row r="61" spans="2:5" ht="15" customHeight="1">
      <c r="B61" s="84"/>
      <c r="C61" s="43" t="s">
        <v>127</v>
      </c>
      <c r="D61" s="42">
        <v>2</v>
      </c>
      <c r="E61" s="41">
        <v>2.2261798753339269E-4</v>
      </c>
    </row>
    <row r="62" spans="2:5" ht="15" customHeight="1">
      <c r="B62" s="84"/>
      <c r="C62" s="43" t="s">
        <v>139</v>
      </c>
      <c r="D62" s="42">
        <v>7</v>
      </c>
      <c r="E62" s="41">
        <v>7.7916295636687449E-4</v>
      </c>
    </row>
    <row r="63" spans="2:5" ht="15" customHeight="1">
      <c r="B63" s="84"/>
      <c r="C63" s="43" t="s">
        <v>144</v>
      </c>
      <c r="D63" s="42">
        <v>7</v>
      </c>
      <c r="E63" s="41">
        <v>7.7916295636687449E-4</v>
      </c>
    </row>
    <row r="64" spans="2:5" ht="15" customHeight="1">
      <c r="B64" s="84"/>
      <c r="C64" s="43" t="s">
        <v>132</v>
      </c>
      <c r="D64" s="42">
        <v>7</v>
      </c>
      <c r="E64" s="41">
        <v>7.7916295636687449E-4</v>
      </c>
    </row>
    <row r="65" spans="2:5" ht="15" customHeight="1">
      <c r="B65" s="84"/>
      <c r="C65" s="43" t="s">
        <v>143</v>
      </c>
      <c r="D65" s="42">
        <v>7</v>
      </c>
      <c r="E65" s="41">
        <v>7.7916295636687449E-4</v>
      </c>
    </row>
    <row r="66" spans="2:5" ht="15" customHeight="1">
      <c r="B66" s="85"/>
      <c r="C66" s="40" t="s">
        <v>23</v>
      </c>
      <c r="D66" s="39">
        <v>45</v>
      </c>
      <c r="E66" s="38">
        <v>5.0089047195013359E-3</v>
      </c>
    </row>
    <row r="67" spans="2:5" ht="15" customHeight="1">
      <c r="B67" s="83" t="s">
        <v>82</v>
      </c>
      <c r="C67" s="43" t="s">
        <v>133</v>
      </c>
      <c r="D67" s="42">
        <v>3</v>
      </c>
      <c r="E67" s="41">
        <v>3.3392698130008905E-4</v>
      </c>
    </row>
    <row r="68" spans="2:5" ht="15" customHeight="1">
      <c r="B68" s="84"/>
      <c r="C68" s="43" t="s">
        <v>137</v>
      </c>
      <c r="D68" s="42">
        <v>3</v>
      </c>
      <c r="E68" s="41">
        <v>3.3392698130008905E-4</v>
      </c>
    </row>
    <row r="69" spans="2:5" ht="15" customHeight="1">
      <c r="B69" s="84"/>
      <c r="C69" s="43" t="s">
        <v>142</v>
      </c>
      <c r="D69" s="42">
        <v>3</v>
      </c>
      <c r="E69" s="41">
        <v>3.3392698130008905E-4</v>
      </c>
    </row>
    <row r="70" spans="2:5" ht="15" customHeight="1">
      <c r="B70" s="84"/>
      <c r="C70" s="43" t="s">
        <v>138</v>
      </c>
      <c r="D70" s="42">
        <v>6</v>
      </c>
      <c r="E70" s="41">
        <v>6.6785396260017811E-4</v>
      </c>
    </row>
    <row r="71" spans="2:5" ht="15" customHeight="1">
      <c r="B71" s="84"/>
      <c r="C71" s="43" t="s">
        <v>144</v>
      </c>
      <c r="D71" s="42">
        <v>17</v>
      </c>
      <c r="E71" s="41">
        <v>1.8922528940338379E-3</v>
      </c>
    </row>
    <row r="72" spans="2:5" ht="15" customHeight="1">
      <c r="B72" s="84"/>
      <c r="C72" s="43" t="s">
        <v>143</v>
      </c>
      <c r="D72" s="42">
        <v>1</v>
      </c>
      <c r="E72" s="41">
        <v>1.1130899376669635E-4</v>
      </c>
    </row>
    <row r="73" spans="2:5" ht="15" customHeight="1">
      <c r="B73" s="85"/>
      <c r="C73" s="40" t="s">
        <v>23</v>
      </c>
      <c r="D73" s="39">
        <v>33</v>
      </c>
      <c r="E73" s="38">
        <v>3.6731967943009797E-3</v>
      </c>
    </row>
    <row r="74" spans="2:5" ht="15" customHeight="1">
      <c r="B74" s="83" t="s">
        <v>87</v>
      </c>
      <c r="C74" s="43" t="s">
        <v>136</v>
      </c>
      <c r="D74" s="42">
        <v>3</v>
      </c>
      <c r="E74" s="41">
        <v>3.3392698130008905E-4</v>
      </c>
    </row>
    <row r="75" spans="2:5" ht="15" customHeight="1">
      <c r="B75" s="84"/>
      <c r="C75" s="43" t="s">
        <v>142</v>
      </c>
      <c r="D75" s="42">
        <v>16</v>
      </c>
      <c r="E75" s="41">
        <v>1.7809439002671415E-3</v>
      </c>
    </row>
    <row r="76" spans="2:5" ht="15" customHeight="1">
      <c r="B76" s="84"/>
      <c r="C76" s="43" t="s">
        <v>138</v>
      </c>
      <c r="D76" s="42">
        <v>11</v>
      </c>
      <c r="E76" s="41">
        <v>1.2243989314336598E-3</v>
      </c>
    </row>
    <row r="77" spans="2:5" ht="15" customHeight="1">
      <c r="B77" s="84"/>
      <c r="C77" s="43" t="s">
        <v>131</v>
      </c>
      <c r="D77" s="42">
        <v>1</v>
      </c>
      <c r="E77" s="41">
        <v>1.1130899376669635E-4</v>
      </c>
    </row>
    <row r="78" spans="2:5" ht="15" customHeight="1">
      <c r="B78" s="84"/>
      <c r="C78" s="43" t="s">
        <v>127</v>
      </c>
      <c r="D78" s="42">
        <v>2</v>
      </c>
      <c r="E78" s="41">
        <v>2.2261798753339269E-4</v>
      </c>
    </row>
    <row r="79" spans="2:5" ht="15" customHeight="1">
      <c r="B79" s="84"/>
      <c r="C79" s="43" t="s">
        <v>139</v>
      </c>
      <c r="D79" s="42">
        <v>8</v>
      </c>
      <c r="E79" s="41">
        <v>8.9047195013357077E-4</v>
      </c>
    </row>
    <row r="80" spans="2:5" ht="15" customHeight="1">
      <c r="B80" s="84"/>
      <c r="C80" s="43" t="s">
        <v>144</v>
      </c>
      <c r="D80" s="42">
        <v>3</v>
      </c>
      <c r="E80" s="41">
        <v>3.3392698130008905E-4</v>
      </c>
    </row>
    <row r="81" spans="2:5" ht="15" customHeight="1">
      <c r="B81" s="84"/>
      <c r="C81" s="43" t="s">
        <v>132</v>
      </c>
      <c r="D81" s="42">
        <v>2</v>
      </c>
      <c r="E81" s="41">
        <v>2.2261798753339269E-4</v>
      </c>
    </row>
    <row r="82" spans="2:5" ht="15" customHeight="1">
      <c r="B82" s="84"/>
      <c r="C82" s="43" t="s">
        <v>143</v>
      </c>
      <c r="D82" s="42">
        <v>2</v>
      </c>
      <c r="E82" s="41">
        <v>2.2261798753339269E-4</v>
      </c>
    </row>
    <row r="83" spans="2:5" ht="15" customHeight="1">
      <c r="B83" s="84"/>
      <c r="C83" s="43" t="s">
        <v>135</v>
      </c>
      <c r="D83" s="42">
        <v>1</v>
      </c>
      <c r="E83" s="41">
        <v>1.1130899376669635E-4</v>
      </c>
    </row>
    <row r="84" spans="2:5" ht="15" customHeight="1">
      <c r="B84" s="85"/>
      <c r="C84" s="40" t="s">
        <v>23</v>
      </c>
      <c r="D84" s="39">
        <v>49</v>
      </c>
      <c r="E84" s="38">
        <v>5.4541406945681215E-3</v>
      </c>
    </row>
    <row r="85" spans="2:5" ht="15" customHeight="1">
      <c r="B85" s="83" t="s">
        <v>123</v>
      </c>
      <c r="C85" s="43" t="s">
        <v>140</v>
      </c>
      <c r="D85" s="42">
        <v>12</v>
      </c>
      <c r="E85" s="41">
        <v>1.3357079252003562E-3</v>
      </c>
    </row>
    <row r="86" spans="2:5" ht="15" customHeight="1">
      <c r="B86" s="84"/>
      <c r="C86" s="43" t="s">
        <v>136</v>
      </c>
      <c r="D86" s="42">
        <v>6</v>
      </c>
      <c r="E86" s="41">
        <v>6.6785396260017811E-4</v>
      </c>
    </row>
    <row r="87" spans="2:5" ht="15" customHeight="1">
      <c r="B87" s="84"/>
      <c r="C87" s="43" t="s">
        <v>141</v>
      </c>
      <c r="D87" s="42">
        <v>14</v>
      </c>
      <c r="E87" s="41">
        <v>1.558325912733749E-3</v>
      </c>
    </row>
    <row r="88" spans="2:5" ht="15" customHeight="1">
      <c r="B88" s="84"/>
      <c r="C88" s="43" t="s">
        <v>130</v>
      </c>
      <c r="D88" s="42">
        <v>1</v>
      </c>
      <c r="E88" s="41">
        <v>1.1130899376669635E-4</v>
      </c>
    </row>
    <row r="89" spans="2:5" ht="15" customHeight="1">
      <c r="B89" s="84"/>
      <c r="C89" s="43" t="s">
        <v>128</v>
      </c>
      <c r="D89" s="42">
        <v>3</v>
      </c>
      <c r="E89" s="41">
        <v>3.3392698130008905E-4</v>
      </c>
    </row>
    <row r="90" spans="2:5" ht="15" customHeight="1">
      <c r="B90" s="84"/>
      <c r="C90" s="43" t="s">
        <v>133</v>
      </c>
      <c r="D90" s="42">
        <v>3</v>
      </c>
      <c r="E90" s="41">
        <v>3.3392698130008905E-4</v>
      </c>
    </row>
    <row r="91" spans="2:5" ht="15" customHeight="1">
      <c r="B91" s="84"/>
      <c r="C91" s="43" t="s">
        <v>134</v>
      </c>
      <c r="D91" s="42">
        <v>1</v>
      </c>
      <c r="E91" s="41">
        <v>1.1130899376669635E-4</v>
      </c>
    </row>
    <row r="92" spans="2:5" ht="15" customHeight="1">
      <c r="B92" s="84"/>
      <c r="C92" s="43" t="s">
        <v>137</v>
      </c>
      <c r="D92" s="42">
        <v>5</v>
      </c>
      <c r="E92" s="41">
        <v>5.5654496883348172E-4</v>
      </c>
    </row>
    <row r="93" spans="2:5" ht="15" customHeight="1">
      <c r="B93" s="84"/>
      <c r="C93" s="43" t="s">
        <v>142</v>
      </c>
      <c r="D93" s="42">
        <v>5</v>
      </c>
      <c r="E93" s="41">
        <v>5.5654496883348172E-4</v>
      </c>
    </row>
    <row r="94" spans="2:5" ht="15" customHeight="1">
      <c r="B94" s="84"/>
      <c r="C94" s="43" t="s">
        <v>138</v>
      </c>
      <c r="D94" s="42">
        <v>4</v>
      </c>
      <c r="E94" s="41">
        <v>4.4523597506678539E-4</v>
      </c>
    </row>
    <row r="95" spans="2:5" ht="15" customHeight="1">
      <c r="B95" s="84"/>
      <c r="C95" s="43" t="s">
        <v>131</v>
      </c>
      <c r="D95" s="42">
        <v>2</v>
      </c>
      <c r="E95" s="41">
        <v>2.2261798753339269E-4</v>
      </c>
    </row>
    <row r="96" spans="2:5" ht="15" customHeight="1">
      <c r="B96" s="84"/>
      <c r="C96" s="43" t="s">
        <v>127</v>
      </c>
      <c r="D96" s="42">
        <v>2</v>
      </c>
      <c r="E96" s="41">
        <v>2.2261798753339269E-4</v>
      </c>
    </row>
    <row r="97" spans="2:5" ht="15" customHeight="1">
      <c r="B97" s="84"/>
      <c r="C97" s="43" t="s">
        <v>139</v>
      </c>
      <c r="D97" s="42">
        <v>8</v>
      </c>
      <c r="E97" s="41">
        <v>8.9047195013357077E-4</v>
      </c>
    </row>
    <row r="98" spans="2:5" ht="15" customHeight="1">
      <c r="B98" s="84"/>
      <c r="C98" s="43" t="s">
        <v>144</v>
      </c>
      <c r="D98" s="42">
        <v>88</v>
      </c>
      <c r="E98" s="41">
        <v>9.7951914514692786E-3</v>
      </c>
    </row>
    <row r="99" spans="2:5" ht="15" customHeight="1">
      <c r="B99" s="84"/>
      <c r="C99" s="43" t="s">
        <v>132</v>
      </c>
      <c r="D99" s="42">
        <v>1</v>
      </c>
      <c r="E99" s="41">
        <v>1.1130899376669635E-4</v>
      </c>
    </row>
    <row r="100" spans="2:5" ht="15" customHeight="1">
      <c r="B100" s="84"/>
      <c r="C100" s="43" t="s">
        <v>143</v>
      </c>
      <c r="D100" s="42">
        <v>28</v>
      </c>
      <c r="E100" s="41">
        <v>3.116651825467498E-3</v>
      </c>
    </row>
    <row r="101" spans="2:5" ht="15" customHeight="1">
      <c r="B101" s="84"/>
      <c r="C101" s="43" t="s">
        <v>135</v>
      </c>
      <c r="D101" s="42">
        <v>23</v>
      </c>
      <c r="E101" s="41">
        <v>2.5601068566340158E-3</v>
      </c>
    </row>
    <row r="102" spans="2:5" ht="15" customHeight="1">
      <c r="B102" s="84"/>
      <c r="C102" s="43" t="s">
        <v>129</v>
      </c>
      <c r="D102" s="42">
        <v>2</v>
      </c>
      <c r="E102" s="41">
        <v>2.2261798753339269E-4</v>
      </c>
    </row>
    <row r="103" spans="2:5" ht="15" customHeight="1">
      <c r="B103" s="85"/>
      <c r="C103" s="40" t="s">
        <v>23</v>
      </c>
      <c r="D103" s="39">
        <v>208</v>
      </c>
      <c r="E103" s="38">
        <v>2.3152270703472842E-2</v>
      </c>
    </row>
    <row r="104" spans="2:5" ht="15" customHeight="1">
      <c r="B104" s="83" t="s">
        <v>121</v>
      </c>
      <c r="C104" s="43" t="s">
        <v>140</v>
      </c>
      <c r="D104" s="42">
        <v>34</v>
      </c>
      <c r="E104" s="41">
        <v>3.7845057880676759E-3</v>
      </c>
    </row>
    <row r="105" spans="2:5" ht="15" customHeight="1">
      <c r="B105" s="84"/>
      <c r="C105" s="43" t="s">
        <v>136</v>
      </c>
      <c r="D105" s="42">
        <v>100</v>
      </c>
      <c r="E105" s="41">
        <v>1.1130899376669634E-2</v>
      </c>
    </row>
    <row r="106" spans="2:5" ht="15" customHeight="1">
      <c r="B106" s="84"/>
      <c r="C106" s="43" t="s">
        <v>141</v>
      </c>
      <c r="D106" s="42">
        <v>55</v>
      </c>
      <c r="E106" s="41">
        <v>6.1219946571682993E-3</v>
      </c>
    </row>
    <row r="107" spans="2:5" ht="15" customHeight="1">
      <c r="B107" s="84"/>
      <c r="C107" s="43" t="s">
        <v>130</v>
      </c>
      <c r="D107" s="42">
        <v>4</v>
      </c>
      <c r="E107" s="41">
        <v>4.4523597506678539E-4</v>
      </c>
    </row>
    <row r="108" spans="2:5" ht="15" customHeight="1">
      <c r="B108" s="84"/>
      <c r="C108" s="43" t="s">
        <v>128</v>
      </c>
      <c r="D108" s="42">
        <v>17</v>
      </c>
      <c r="E108" s="41">
        <v>1.8922528940338379E-3</v>
      </c>
    </row>
    <row r="109" spans="2:5" ht="15" customHeight="1">
      <c r="B109" s="84"/>
      <c r="C109" s="43" t="s">
        <v>133</v>
      </c>
      <c r="D109" s="42">
        <v>18</v>
      </c>
      <c r="E109" s="41">
        <v>2.0035618878005341E-3</v>
      </c>
    </row>
    <row r="110" spans="2:5" ht="15" customHeight="1">
      <c r="B110" s="84"/>
      <c r="C110" s="43" t="s">
        <v>134</v>
      </c>
      <c r="D110" s="42">
        <v>3</v>
      </c>
      <c r="E110" s="41">
        <v>3.3392698130008905E-4</v>
      </c>
    </row>
    <row r="111" spans="2:5" ht="15" customHeight="1">
      <c r="B111" s="84"/>
      <c r="C111" s="43" t="s">
        <v>137</v>
      </c>
      <c r="D111" s="42">
        <v>91</v>
      </c>
      <c r="E111" s="41">
        <v>1.0129118432769368E-2</v>
      </c>
    </row>
    <row r="112" spans="2:5" ht="15" customHeight="1">
      <c r="B112" s="84"/>
      <c r="C112" s="43" t="s">
        <v>142</v>
      </c>
      <c r="D112" s="42">
        <v>145</v>
      </c>
      <c r="E112" s="41">
        <v>1.6139804096170971E-2</v>
      </c>
    </row>
    <row r="113" spans="2:5" ht="15" customHeight="1">
      <c r="B113" s="84"/>
      <c r="C113" s="43" t="s">
        <v>138</v>
      </c>
      <c r="D113" s="42">
        <v>40</v>
      </c>
      <c r="E113" s="41">
        <v>4.4523597506678537E-3</v>
      </c>
    </row>
    <row r="114" spans="2:5" ht="15" customHeight="1">
      <c r="B114" s="84"/>
      <c r="C114" s="43" t="s">
        <v>131</v>
      </c>
      <c r="D114" s="42">
        <v>10</v>
      </c>
      <c r="E114" s="41">
        <v>1.1130899376669634E-3</v>
      </c>
    </row>
    <row r="115" spans="2:5" ht="15" customHeight="1">
      <c r="B115" s="84"/>
      <c r="C115" s="43" t="s">
        <v>127</v>
      </c>
      <c r="D115" s="42">
        <v>4</v>
      </c>
      <c r="E115" s="41">
        <v>4.4523597506678539E-4</v>
      </c>
    </row>
    <row r="116" spans="2:5" ht="15" customHeight="1">
      <c r="B116" s="84"/>
      <c r="C116" s="43" t="s">
        <v>139</v>
      </c>
      <c r="D116" s="42">
        <v>14</v>
      </c>
      <c r="E116" s="41">
        <v>1.558325912733749E-3</v>
      </c>
    </row>
    <row r="117" spans="2:5" ht="15" customHeight="1">
      <c r="B117" s="84"/>
      <c r="C117" s="43" t="s">
        <v>144</v>
      </c>
      <c r="D117" s="42">
        <v>469</v>
      </c>
      <c r="E117" s="41">
        <v>5.2203918076580591E-2</v>
      </c>
    </row>
    <row r="118" spans="2:5" ht="15" customHeight="1">
      <c r="B118" s="84"/>
      <c r="C118" s="43" t="s">
        <v>132</v>
      </c>
      <c r="D118" s="42">
        <v>1</v>
      </c>
      <c r="E118" s="41">
        <v>1.1130899376669635E-4</v>
      </c>
    </row>
    <row r="119" spans="2:5" ht="15" customHeight="1">
      <c r="B119" s="84"/>
      <c r="C119" s="43" t="s">
        <v>143</v>
      </c>
      <c r="D119" s="42">
        <v>100</v>
      </c>
      <c r="E119" s="41">
        <v>1.1130899376669634E-2</v>
      </c>
    </row>
    <row r="120" spans="2:5" ht="15" customHeight="1">
      <c r="B120" s="84"/>
      <c r="C120" s="43" t="s">
        <v>135</v>
      </c>
      <c r="D120" s="42">
        <v>7</v>
      </c>
      <c r="E120" s="41">
        <v>7.7916295636687449E-4</v>
      </c>
    </row>
    <row r="121" spans="2:5" ht="15" customHeight="1">
      <c r="B121" s="84"/>
      <c r="C121" s="43" t="s">
        <v>129</v>
      </c>
      <c r="D121" s="42">
        <v>3</v>
      </c>
      <c r="E121" s="41">
        <v>3.3392698130008905E-4</v>
      </c>
    </row>
    <row r="122" spans="2:5" ht="15" customHeight="1">
      <c r="B122" s="85"/>
      <c r="C122" s="40" t="s">
        <v>23</v>
      </c>
      <c r="D122" s="39">
        <v>1115</v>
      </c>
      <c r="E122" s="38">
        <v>0.12410952804986643</v>
      </c>
    </row>
    <row r="123" spans="2:5" ht="15" customHeight="1">
      <c r="B123" s="83" t="s">
        <v>79</v>
      </c>
      <c r="C123" s="43" t="s">
        <v>138</v>
      </c>
      <c r="D123" s="42">
        <v>6</v>
      </c>
      <c r="E123" s="41">
        <v>6.6785396260017811E-4</v>
      </c>
    </row>
    <row r="124" spans="2:5" ht="15" customHeight="1">
      <c r="B124" s="85"/>
      <c r="C124" s="40" t="s">
        <v>23</v>
      </c>
      <c r="D124" s="39">
        <v>6</v>
      </c>
      <c r="E124" s="38">
        <v>6.6785396260017811E-4</v>
      </c>
    </row>
    <row r="125" spans="2:5" ht="15" customHeight="1">
      <c r="B125" s="83" t="s">
        <v>105</v>
      </c>
      <c r="C125" s="43" t="s">
        <v>140</v>
      </c>
      <c r="D125" s="42">
        <v>9</v>
      </c>
      <c r="E125" s="41">
        <v>1.0017809439002671E-3</v>
      </c>
    </row>
    <row r="126" spans="2:5" ht="15" customHeight="1">
      <c r="B126" s="84"/>
      <c r="C126" s="43" t="s">
        <v>136</v>
      </c>
      <c r="D126" s="42">
        <v>1</v>
      </c>
      <c r="E126" s="41">
        <v>1.1130899376669635E-4</v>
      </c>
    </row>
    <row r="127" spans="2:5" ht="15" customHeight="1">
      <c r="B127" s="84"/>
      <c r="C127" s="43" t="s">
        <v>141</v>
      </c>
      <c r="D127" s="42">
        <v>4</v>
      </c>
      <c r="E127" s="41">
        <v>4.4523597506678539E-4</v>
      </c>
    </row>
    <row r="128" spans="2:5" ht="15" customHeight="1">
      <c r="B128" s="84"/>
      <c r="C128" s="43" t="s">
        <v>130</v>
      </c>
      <c r="D128" s="42">
        <v>2</v>
      </c>
      <c r="E128" s="41">
        <v>2.2261798753339269E-4</v>
      </c>
    </row>
    <row r="129" spans="2:5" ht="15" customHeight="1">
      <c r="B129" s="84"/>
      <c r="C129" s="43" t="s">
        <v>133</v>
      </c>
      <c r="D129" s="42">
        <v>2</v>
      </c>
      <c r="E129" s="41">
        <v>2.2261798753339269E-4</v>
      </c>
    </row>
    <row r="130" spans="2:5" ht="15" customHeight="1">
      <c r="B130" s="84"/>
      <c r="C130" s="43" t="s">
        <v>137</v>
      </c>
      <c r="D130" s="42">
        <v>2</v>
      </c>
      <c r="E130" s="41">
        <v>2.2261798753339269E-4</v>
      </c>
    </row>
    <row r="131" spans="2:5" ht="15" customHeight="1">
      <c r="B131" s="84"/>
      <c r="C131" s="43" t="s">
        <v>142</v>
      </c>
      <c r="D131" s="42">
        <v>7</v>
      </c>
      <c r="E131" s="41">
        <v>7.7916295636687449E-4</v>
      </c>
    </row>
    <row r="132" spans="2:5" ht="15" customHeight="1">
      <c r="B132" s="84"/>
      <c r="C132" s="43" t="s">
        <v>138</v>
      </c>
      <c r="D132" s="42">
        <v>13</v>
      </c>
      <c r="E132" s="41">
        <v>1.4470169189670526E-3</v>
      </c>
    </row>
    <row r="133" spans="2:5" ht="15" customHeight="1">
      <c r="B133" s="84"/>
      <c r="C133" s="43" t="s">
        <v>131</v>
      </c>
      <c r="D133" s="42">
        <v>1</v>
      </c>
      <c r="E133" s="41">
        <v>1.1130899376669635E-4</v>
      </c>
    </row>
    <row r="134" spans="2:5" ht="15" customHeight="1">
      <c r="B134" s="84"/>
      <c r="C134" s="43" t="s">
        <v>127</v>
      </c>
      <c r="D134" s="42">
        <v>1</v>
      </c>
      <c r="E134" s="41">
        <v>1.1130899376669635E-4</v>
      </c>
    </row>
    <row r="135" spans="2:5" ht="15" customHeight="1">
      <c r="B135" s="84"/>
      <c r="C135" s="43" t="s">
        <v>139</v>
      </c>
      <c r="D135" s="42">
        <v>6</v>
      </c>
      <c r="E135" s="41">
        <v>6.6785396260017811E-4</v>
      </c>
    </row>
    <row r="136" spans="2:5" ht="15" customHeight="1">
      <c r="B136" s="84"/>
      <c r="C136" s="43" t="s">
        <v>144</v>
      </c>
      <c r="D136" s="42">
        <v>38</v>
      </c>
      <c r="E136" s="41">
        <v>4.2297417631344614E-3</v>
      </c>
    </row>
    <row r="137" spans="2:5" ht="15" customHeight="1">
      <c r="B137" s="84"/>
      <c r="C137" s="43" t="s">
        <v>132</v>
      </c>
      <c r="D137" s="42">
        <v>6</v>
      </c>
      <c r="E137" s="41">
        <v>6.6785396260017811E-4</v>
      </c>
    </row>
    <row r="138" spans="2:5" ht="15" customHeight="1">
      <c r="B138" s="84"/>
      <c r="C138" s="43" t="s">
        <v>143</v>
      </c>
      <c r="D138" s="42">
        <v>12</v>
      </c>
      <c r="E138" s="41">
        <v>1.3357079252003562E-3</v>
      </c>
    </row>
    <row r="139" spans="2:5" ht="15" customHeight="1">
      <c r="B139" s="84"/>
      <c r="C139" s="43" t="s">
        <v>135</v>
      </c>
      <c r="D139" s="42">
        <v>2</v>
      </c>
      <c r="E139" s="41">
        <v>2.2261798753339269E-4</v>
      </c>
    </row>
    <row r="140" spans="2:5" ht="15" customHeight="1">
      <c r="B140" s="84"/>
      <c r="C140" s="43" t="s">
        <v>129</v>
      </c>
      <c r="D140" s="42">
        <v>1</v>
      </c>
      <c r="E140" s="41">
        <v>1.1130899376669635E-4</v>
      </c>
    </row>
    <row r="141" spans="2:5" ht="15" customHeight="1">
      <c r="B141" s="85"/>
      <c r="C141" s="40" t="s">
        <v>23</v>
      </c>
      <c r="D141" s="39">
        <v>107</v>
      </c>
      <c r="E141" s="38">
        <v>1.1910062333036509E-2</v>
      </c>
    </row>
    <row r="142" spans="2:5" ht="15" customHeight="1">
      <c r="B142" s="83" t="s">
        <v>91</v>
      </c>
      <c r="C142" s="43" t="s">
        <v>140</v>
      </c>
      <c r="D142" s="42">
        <v>5</v>
      </c>
      <c r="E142" s="41">
        <v>5.5654496883348172E-4</v>
      </c>
    </row>
    <row r="143" spans="2:5" ht="15" customHeight="1">
      <c r="B143" s="84"/>
      <c r="C143" s="43" t="s">
        <v>136</v>
      </c>
      <c r="D143" s="42">
        <v>3</v>
      </c>
      <c r="E143" s="41">
        <v>3.3392698130008905E-4</v>
      </c>
    </row>
    <row r="144" spans="2:5" ht="15" customHeight="1">
      <c r="B144" s="84"/>
      <c r="C144" s="43" t="s">
        <v>141</v>
      </c>
      <c r="D144" s="42">
        <v>4</v>
      </c>
      <c r="E144" s="41">
        <v>4.4523597506678539E-4</v>
      </c>
    </row>
    <row r="145" spans="2:5" ht="15" customHeight="1">
      <c r="B145" s="84"/>
      <c r="C145" s="43" t="s">
        <v>130</v>
      </c>
      <c r="D145" s="42">
        <v>1</v>
      </c>
      <c r="E145" s="41">
        <v>1.1130899376669635E-4</v>
      </c>
    </row>
    <row r="146" spans="2:5" ht="15" customHeight="1">
      <c r="B146" s="84"/>
      <c r="C146" s="43" t="s">
        <v>133</v>
      </c>
      <c r="D146" s="42">
        <v>1</v>
      </c>
      <c r="E146" s="41">
        <v>1.1130899376669635E-4</v>
      </c>
    </row>
    <row r="147" spans="2:5" ht="15" customHeight="1">
      <c r="B147" s="84"/>
      <c r="C147" s="43" t="s">
        <v>137</v>
      </c>
      <c r="D147" s="42">
        <v>1</v>
      </c>
      <c r="E147" s="41">
        <v>1.1130899376669635E-4</v>
      </c>
    </row>
    <row r="148" spans="2:5" ht="15" customHeight="1">
      <c r="B148" s="84"/>
      <c r="C148" s="43" t="s">
        <v>142</v>
      </c>
      <c r="D148" s="42">
        <v>8</v>
      </c>
      <c r="E148" s="41">
        <v>8.9047195013357077E-4</v>
      </c>
    </row>
    <row r="149" spans="2:5" ht="15" customHeight="1">
      <c r="B149" s="84"/>
      <c r="C149" s="43" t="s">
        <v>138</v>
      </c>
      <c r="D149" s="42">
        <v>1</v>
      </c>
      <c r="E149" s="41">
        <v>1.1130899376669635E-4</v>
      </c>
    </row>
    <row r="150" spans="2:5" ht="15" customHeight="1">
      <c r="B150" s="84"/>
      <c r="C150" s="43" t="s">
        <v>131</v>
      </c>
      <c r="D150" s="42">
        <v>2</v>
      </c>
      <c r="E150" s="41">
        <v>2.2261798753339269E-4</v>
      </c>
    </row>
    <row r="151" spans="2:5" ht="15" customHeight="1">
      <c r="B151" s="84"/>
      <c r="C151" s="43" t="s">
        <v>127</v>
      </c>
      <c r="D151" s="42">
        <v>1</v>
      </c>
      <c r="E151" s="41">
        <v>1.1130899376669635E-4</v>
      </c>
    </row>
    <row r="152" spans="2:5" ht="15" customHeight="1">
      <c r="B152" s="84"/>
      <c r="C152" s="43" t="s">
        <v>139</v>
      </c>
      <c r="D152" s="42">
        <v>6</v>
      </c>
      <c r="E152" s="41">
        <v>6.6785396260017811E-4</v>
      </c>
    </row>
    <row r="153" spans="2:5" ht="15" customHeight="1">
      <c r="B153" s="84"/>
      <c r="C153" s="43" t="s">
        <v>144</v>
      </c>
      <c r="D153" s="42">
        <v>12</v>
      </c>
      <c r="E153" s="41">
        <v>1.3357079252003562E-3</v>
      </c>
    </row>
    <row r="154" spans="2:5" ht="15" customHeight="1">
      <c r="B154" s="84"/>
      <c r="C154" s="43" t="s">
        <v>143</v>
      </c>
      <c r="D154" s="42">
        <v>8</v>
      </c>
      <c r="E154" s="41">
        <v>8.9047195013357077E-4</v>
      </c>
    </row>
    <row r="155" spans="2:5" ht="15" customHeight="1">
      <c r="B155" s="84"/>
      <c r="C155" s="43" t="s">
        <v>129</v>
      </c>
      <c r="D155" s="42">
        <v>1</v>
      </c>
      <c r="E155" s="41">
        <v>1.1130899376669635E-4</v>
      </c>
    </row>
    <row r="156" spans="2:5" ht="15" customHeight="1">
      <c r="B156" s="85"/>
      <c r="C156" s="40" t="s">
        <v>23</v>
      </c>
      <c r="D156" s="39">
        <v>54</v>
      </c>
      <c r="E156" s="38">
        <v>6.0106856634016027E-3</v>
      </c>
    </row>
    <row r="157" spans="2:5" ht="15" customHeight="1">
      <c r="B157" s="83" t="s">
        <v>89</v>
      </c>
      <c r="C157" s="43" t="s">
        <v>140</v>
      </c>
      <c r="D157" s="42">
        <v>2</v>
      </c>
      <c r="E157" s="41">
        <v>2.2261798753339269E-4</v>
      </c>
    </row>
    <row r="158" spans="2:5" ht="15" customHeight="1">
      <c r="B158" s="84"/>
      <c r="C158" s="43" t="s">
        <v>141</v>
      </c>
      <c r="D158" s="42">
        <v>1</v>
      </c>
      <c r="E158" s="41">
        <v>1.1130899376669635E-4</v>
      </c>
    </row>
    <row r="159" spans="2:5" ht="15" customHeight="1">
      <c r="B159" s="84"/>
      <c r="C159" s="43" t="s">
        <v>137</v>
      </c>
      <c r="D159" s="42">
        <v>3</v>
      </c>
      <c r="E159" s="41">
        <v>3.3392698130008905E-4</v>
      </c>
    </row>
    <row r="160" spans="2:5" ht="15" customHeight="1">
      <c r="B160" s="84"/>
      <c r="C160" s="43" t="s">
        <v>142</v>
      </c>
      <c r="D160" s="42">
        <v>3</v>
      </c>
      <c r="E160" s="41">
        <v>3.3392698130008905E-4</v>
      </c>
    </row>
    <row r="161" spans="2:5" ht="15" customHeight="1">
      <c r="B161" s="84"/>
      <c r="C161" s="43" t="s">
        <v>138</v>
      </c>
      <c r="D161" s="42">
        <v>1</v>
      </c>
      <c r="E161" s="41">
        <v>1.1130899376669635E-4</v>
      </c>
    </row>
    <row r="162" spans="2:5" ht="15" customHeight="1">
      <c r="B162" s="84"/>
      <c r="C162" s="43" t="s">
        <v>131</v>
      </c>
      <c r="D162" s="42">
        <v>1</v>
      </c>
      <c r="E162" s="41">
        <v>1.1130899376669635E-4</v>
      </c>
    </row>
    <row r="163" spans="2:5" ht="15" customHeight="1">
      <c r="B163" s="84"/>
      <c r="C163" s="43" t="s">
        <v>144</v>
      </c>
      <c r="D163" s="42">
        <v>4</v>
      </c>
      <c r="E163" s="41">
        <v>4.4523597506678539E-4</v>
      </c>
    </row>
    <row r="164" spans="2:5" ht="15" customHeight="1">
      <c r="B164" s="84"/>
      <c r="C164" s="43" t="s">
        <v>132</v>
      </c>
      <c r="D164" s="42">
        <v>1</v>
      </c>
      <c r="E164" s="41">
        <v>1.1130899376669635E-4</v>
      </c>
    </row>
    <row r="165" spans="2:5" ht="15" customHeight="1">
      <c r="B165" s="84"/>
      <c r="C165" s="43" t="s">
        <v>143</v>
      </c>
      <c r="D165" s="42">
        <v>1</v>
      </c>
      <c r="E165" s="41">
        <v>1.1130899376669635E-4</v>
      </c>
    </row>
    <row r="166" spans="2:5" ht="15" customHeight="1">
      <c r="B166" s="85"/>
      <c r="C166" s="40" t="s">
        <v>23</v>
      </c>
      <c r="D166" s="39">
        <v>17</v>
      </c>
      <c r="E166" s="38">
        <v>1.8922528940338379E-3</v>
      </c>
    </row>
    <row r="167" spans="2:5" ht="15" customHeight="1">
      <c r="B167" s="83" t="s">
        <v>102</v>
      </c>
      <c r="C167" s="43" t="s">
        <v>140</v>
      </c>
      <c r="D167" s="42">
        <v>5</v>
      </c>
      <c r="E167" s="41">
        <v>5.5654496883348172E-4</v>
      </c>
    </row>
    <row r="168" spans="2:5" ht="15" customHeight="1">
      <c r="B168" s="84"/>
      <c r="C168" s="43" t="s">
        <v>141</v>
      </c>
      <c r="D168" s="42">
        <v>53</v>
      </c>
      <c r="E168" s="41">
        <v>5.8993766696349061E-3</v>
      </c>
    </row>
    <row r="169" spans="2:5" ht="15" customHeight="1">
      <c r="B169" s="84"/>
      <c r="C169" s="43" t="s">
        <v>130</v>
      </c>
      <c r="D169" s="42">
        <v>8</v>
      </c>
      <c r="E169" s="41">
        <v>8.9047195013357077E-4</v>
      </c>
    </row>
    <row r="170" spans="2:5" ht="15" customHeight="1">
      <c r="B170" s="84"/>
      <c r="C170" s="43" t="s">
        <v>137</v>
      </c>
      <c r="D170" s="42">
        <v>2</v>
      </c>
      <c r="E170" s="41">
        <v>2.2261798753339269E-4</v>
      </c>
    </row>
    <row r="171" spans="2:5" ht="15" customHeight="1">
      <c r="B171" s="84"/>
      <c r="C171" s="43" t="s">
        <v>142</v>
      </c>
      <c r="D171" s="42">
        <v>4</v>
      </c>
      <c r="E171" s="41">
        <v>4.4523597506678539E-4</v>
      </c>
    </row>
    <row r="172" spans="2:5" ht="15" customHeight="1">
      <c r="B172" s="84"/>
      <c r="C172" s="43" t="s">
        <v>139</v>
      </c>
      <c r="D172" s="42">
        <v>7</v>
      </c>
      <c r="E172" s="41">
        <v>7.7916295636687449E-4</v>
      </c>
    </row>
    <row r="173" spans="2:5" ht="15" customHeight="1">
      <c r="B173" s="84"/>
      <c r="C173" s="43" t="s">
        <v>144</v>
      </c>
      <c r="D173" s="42">
        <v>13</v>
      </c>
      <c r="E173" s="41">
        <v>1.4470169189670526E-3</v>
      </c>
    </row>
    <row r="174" spans="2:5" ht="15" customHeight="1">
      <c r="B174" s="84"/>
      <c r="C174" s="43" t="s">
        <v>132</v>
      </c>
      <c r="D174" s="42">
        <v>7</v>
      </c>
      <c r="E174" s="41">
        <v>7.7916295636687449E-4</v>
      </c>
    </row>
    <row r="175" spans="2:5" ht="15" customHeight="1">
      <c r="B175" s="84"/>
      <c r="C175" s="43" t="s">
        <v>143</v>
      </c>
      <c r="D175" s="42">
        <v>7</v>
      </c>
      <c r="E175" s="41">
        <v>7.7916295636687449E-4</v>
      </c>
    </row>
    <row r="176" spans="2:5" ht="15" customHeight="1">
      <c r="B176" s="84"/>
      <c r="C176" s="43" t="s">
        <v>135</v>
      </c>
      <c r="D176" s="42">
        <v>2</v>
      </c>
      <c r="E176" s="41">
        <v>2.2261798753339269E-4</v>
      </c>
    </row>
    <row r="177" spans="2:5" ht="15" customHeight="1">
      <c r="B177" s="85"/>
      <c r="C177" s="40" t="s">
        <v>23</v>
      </c>
      <c r="D177" s="39">
        <v>108</v>
      </c>
      <c r="E177" s="38">
        <v>1.2021371326803205E-2</v>
      </c>
    </row>
    <row r="178" spans="2:5" ht="15" customHeight="1">
      <c r="B178" s="83" t="s">
        <v>118</v>
      </c>
      <c r="C178" s="43" t="s">
        <v>140</v>
      </c>
      <c r="D178" s="42">
        <v>21</v>
      </c>
      <c r="E178" s="41">
        <v>2.3374888691006235E-3</v>
      </c>
    </row>
    <row r="179" spans="2:5" ht="15" customHeight="1">
      <c r="B179" s="84"/>
      <c r="C179" s="43" t="s">
        <v>136</v>
      </c>
      <c r="D179" s="42">
        <v>1</v>
      </c>
      <c r="E179" s="41">
        <v>1.1130899376669635E-4</v>
      </c>
    </row>
    <row r="180" spans="2:5" ht="15" customHeight="1">
      <c r="B180" s="84"/>
      <c r="C180" s="43" t="s">
        <v>141</v>
      </c>
      <c r="D180" s="42">
        <v>14</v>
      </c>
      <c r="E180" s="41">
        <v>1.558325912733749E-3</v>
      </c>
    </row>
    <row r="181" spans="2:5" ht="15" customHeight="1">
      <c r="B181" s="84"/>
      <c r="C181" s="43" t="s">
        <v>130</v>
      </c>
      <c r="D181" s="42">
        <v>2</v>
      </c>
      <c r="E181" s="41">
        <v>2.2261798753339269E-4</v>
      </c>
    </row>
    <row r="182" spans="2:5" ht="15" customHeight="1">
      <c r="B182" s="84"/>
      <c r="C182" s="43" t="s">
        <v>128</v>
      </c>
      <c r="D182" s="42">
        <v>1</v>
      </c>
      <c r="E182" s="41">
        <v>1.1130899376669635E-4</v>
      </c>
    </row>
    <row r="183" spans="2:5" ht="15" customHeight="1">
      <c r="B183" s="84"/>
      <c r="C183" s="43" t="s">
        <v>133</v>
      </c>
      <c r="D183" s="42">
        <v>1</v>
      </c>
      <c r="E183" s="41">
        <v>1.1130899376669635E-4</v>
      </c>
    </row>
    <row r="184" spans="2:5" ht="15" customHeight="1">
      <c r="B184" s="84"/>
      <c r="C184" s="43" t="s">
        <v>134</v>
      </c>
      <c r="D184" s="42">
        <v>1</v>
      </c>
      <c r="E184" s="41">
        <v>1.1130899376669635E-4</v>
      </c>
    </row>
    <row r="185" spans="2:5" ht="15" customHeight="1">
      <c r="B185" s="84"/>
      <c r="C185" s="43" t="s">
        <v>137</v>
      </c>
      <c r="D185" s="42">
        <v>3</v>
      </c>
      <c r="E185" s="41">
        <v>3.3392698130008905E-4</v>
      </c>
    </row>
    <row r="186" spans="2:5" ht="15" customHeight="1">
      <c r="B186" s="84"/>
      <c r="C186" s="43" t="s">
        <v>142</v>
      </c>
      <c r="D186" s="42">
        <v>3</v>
      </c>
      <c r="E186" s="41">
        <v>3.3392698130008905E-4</v>
      </c>
    </row>
    <row r="187" spans="2:5" ht="15" customHeight="1">
      <c r="B187" s="84"/>
      <c r="C187" s="43" t="s">
        <v>131</v>
      </c>
      <c r="D187" s="42">
        <v>1</v>
      </c>
      <c r="E187" s="41">
        <v>1.1130899376669635E-4</v>
      </c>
    </row>
    <row r="188" spans="2:5" ht="15" customHeight="1">
      <c r="B188" s="84"/>
      <c r="C188" s="43" t="s">
        <v>127</v>
      </c>
      <c r="D188" s="42">
        <v>5</v>
      </c>
      <c r="E188" s="41">
        <v>5.5654496883348172E-4</v>
      </c>
    </row>
    <row r="189" spans="2:5" ht="15" customHeight="1">
      <c r="B189" s="84"/>
      <c r="C189" s="43" t="s">
        <v>139</v>
      </c>
      <c r="D189" s="42">
        <v>6</v>
      </c>
      <c r="E189" s="41">
        <v>6.6785396260017811E-4</v>
      </c>
    </row>
    <row r="190" spans="2:5" ht="15" customHeight="1">
      <c r="B190" s="84"/>
      <c r="C190" s="43" t="s">
        <v>144</v>
      </c>
      <c r="D190" s="42">
        <v>16</v>
      </c>
      <c r="E190" s="41">
        <v>1.7809439002671415E-3</v>
      </c>
    </row>
    <row r="191" spans="2:5" ht="15" customHeight="1">
      <c r="B191" s="84"/>
      <c r="C191" s="43" t="s">
        <v>132</v>
      </c>
      <c r="D191" s="42">
        <v>2</v>
      </c>
      <c r="E191" s="41">
        <v>2.2261798753339269E-4</v>
      </c>
    </row>
    <row r="192" spans="2:5" ht="15" customHeight="1">
      <c r="B192" s="84"/>
      <c r="C192" s="43" t="s">
        <v>143</v>
      </c>
      <c r="D192" s="42">
        <v>8</v>
      </c>
      <c r="E192" s="41">
        <v>8.9047195013357077E-4</v>
      </c>
    </row>
    <row r="193" spans="2:5" ht="15" customHeight="1">
      <c r="B193" s="84"/>
      <c r="C193" s="43" t="s">
        <v>129</v>
      </c>
      <c r="D193" s="42">
        <v>2</v>
      </c>
      <c r="E193" s="41">
        <v>2.2261798753339269E-4</v>
      </c>
    </row>
    <row r="194" spans="2:5" ht="15" customHeight="1">
      <c r="B194" s="85"/>
      <c r="C194" s="40" t="s">
        <v>23</v>
      </c>
      <c r="D194" s="39">
        <v>87</v>
      </c>
      <c r="E194" s="38">
        <v>9.683882457702582E-3</v>
      </c>
    </row>
    <row r="195" spans="2:5" ht="15" customHeight="1">
      <c r="B195" s="83" t="s">
        <v>122</v>
      </c>
      <c r="C195" s="43" t="s">
        <v>140</v>
      </c>
      <c r="D195" s="42">
        <v>91</v>
      </c>
      <c r="E195" s="41">
        <v>1.0129118432769368E-2</v>
      </c>
    </row>
    <row r="196" spans="2:5" ht="15" customHeight="1">
      <c r="B196" s="84"/>
      <c r="C196" s="43" t="s">
        <v>136</v>
      </c>
      <c r="D196" s="42">
        <v>87</v>
      </c>
      <c r="E196" s="41">
        <v>9.683882457702582E-3</v>
      </c>
    </row>
    <row r="197" spans="2:5" ht="15" customHeight="1">
      <c r="B197" s="84"/>
      <c r="C197" s="43" t="s">
        <v>141</v>
      </c>
      <c r="D197" s="42">
        <v>41</v>
      </c>
      <c r="E197" s="41">
        <v>4.5636687444345504E-3</v>
      </c>
    </row>
    <row r="198" spans="2:5" ht="15" customHeight="1">
      <c r="B198" s="84"/>
      <c r="C198" s="43" t="s">
        <v>130</v>
      </c>
      <c r="D198" s="42">
        <v>13</v>
      </c>
      <c r="E198" s="41">
        <v>1.4470169189670526E-3</v>
      </c>
    </row>
    <row r="199" spans="2:5" ht="15" customHeight="1">
      <c r="B199" s="84"/>
      <c r="C199" s="43" t="s">
        <v>128</v>
      </c>
      <c r="D199" s="42">
        <v>23</v>
      </c>
      <c r="E199" s="41">
        <v>2.5601068566340158E-3</v>
      </c>
    </row>
    <row r="200" spans="2:5" ht="15" customHeight="1">
      <c r="B200" s="84"/>
      <c r="C200" s="43" t="s">
        <v>133</v>
      </c>
      <c r="D200" s="42">
        <v>14</v>
      </c>
      <c r="E200" s="41">
        <v>1.558325912733749E-3</v>
      </c>
    </row>
    <row r="201" spans="2:5" ht="15" customHeight="1">
      <c r="B201" s="84"/>
      <c r="C201" s="43" t="s">
        <v>134</v>
      </c>
      <c r="D201" s="42">
        <v>3</v>
      </c>
      <c r="E201" s="41">
        <v>3.3392698130008905E-4</v>
      </c>
    </row>
    <row r="202" spans="2:5" ht="15" customHeight="1">
      <c r="B202" s="84"/>
      <c r="C202" s="43" t="s">
        <v>137</v>
      </c>
      <c r="D202" s="42">
        <v>113</v>
      </c>
      <c r="E202" s="41">
        <v>1.2577916295636687E-2</v>
      </c>
    </row>
    <row r="203" spans="2:5" ht="15" customHeight="1">
      <c r="B203" s="84"/>
      <c r="C203" s="43" t="s">
        <v>142</v>
      </c>
      <c r="D203" s="42">
        <v>59</v>
      </c>
      <c r="E203" s="41">
        <v>6.5672306322350849E-3</v>
      </c>
    </row>
    <row r="204" spans="2:5" ht="15" customHeight="1">
      <c r="B204" s="84"/>
      <c r="C204" s="43" t="s">
        <v>138</v>
      </c>
      <c r="D204" s="42">
        <v>101</v>
      </c>
      <c r="E204" s="41">
        <v>1.1242208370436331E-2</v>
      </c>
    </row>
    <row r="205" spans="2:5" ht="15" customHeight="1">
      <c r="B205" s="84"/>
      <c r="C205" s="43" t="s">
        <v>131</v>
      </c>
      <c r="D205" s="42">
        <v>20</v>
      </c>
      <c r="E205" s="41">
        <v>2.2261798753339269E-3</v>
      </c>
    </row>
    <row r="206" spans="2:5" ht="15" customHeight="1">
      <c r="B206" s="84"/>
      <c r="C206" s="43" t="s">
        <v>127</v>
      </c>
      <c r="D206" s="42">
        <v>3</v>
      </c>
      <c r="E206" s="41">
        <v>3.3392698130008905E-4</v>
      </c>
    </row>
    <row r="207" spans="2:5" ht="15" customHeight="1">
      <c r="B207" s="84"/>
      <c r="C207" s="43" t="s">
        <v>139</v>
      </c>
      <c r="D207" s="42">
        <v>23</v>
      </c>
      <c r="E207" s="41">
        <v>2.5601068566340158E-3</v>
      </c>
    </row>
    <row r="208" spans="2:5" ht="15" customHeight="1">
      <c r="B208" s="84"/>
      <c r="C208" s="43" t="s">
        <v>144</v>
      </c>
      <c r="D208" s="42">
        <v>303</v>
      </c>
      <c r="E208" s="41">
        <v>3.3726625111308993E-2</v>
      </c>
    </row>
    <row r="209" spans="2:5" ht="15" customHeight="1">
      <c r="B209" s="84"/>
      <c r="C209" s="43" t="s">
        <v>132</v>
      </c>
      <c r="D209" s="42">
        <v>6</v>
      </c>
      <c r="E209" s="41">
        <v>6.6785396260017811E-4</v>
      </c>
    </row>
    <row r="210" spans="2:5" ht="15" customHeight="1">
      <c r="B210" s="84"/>
      <c r="C210" s="43" t="s">
        <v>143</v>
      </c>
      <c r="D210" s="42">
        <v>47</v>
      </c>
      <c r="E210" s="41">
        <v>5.2315227070347282E-3</v>
      </c>
    </row>
    <row r="211" spans="2:5" ht="15" customHeight="1">
      <c r="B211" s="84"/>
      <c r="C211" s="43" t="s">
        <v>135</v>
      </c>
      <c r="D211" s="42">
        <v>12</v>
      </c>
      <c r="E211" s="41">
        <v>1.3357079252003562E-3</v>
      </c>
    </row>
    <row r="212" spans="2:5" ht="15" customHeight="1">
      <c r="B212" s="84"/>
      <c r="C212" s="43" t="s">
        <v>129</v>
      </c>
      <c r="D212" s="42">
        <v>6</v>
      </c>
      <c r="E212" s="41">
        <v>6.6785396260017811E-4</v>
      </c>
    </row>
    <row r="213" spans="2:5" ht="15" customHeight="1">
      <c r="B213" s="85"/>
      <c r="C213" s="40" t="s">
        <v>23</v>
      </c>
      <c r="D213" s="39">
        <v>965</v>
      </c>
      <c r="E213" s="38">
        <v>0.10741317898486198</v>
      </c>
    </row>
    <row r="214" spans="2:5" ht="15" customHeight="1">
      <c r="B214" s="83" t="s">
        <v>106</v>
      </c>
      <c r="C214" s="43" t="s">
        <v>140</v>
      </c>
      <c r="D214" s="42">
        <v>24</v>
      </c>
      <c r="E214" s="41">
        <v>2.6714158504007124E-3</v>
      </c>
    </row>
    <row r="215" spans="2:5" ht="15" customHeight="1">
      <c r="B215" s="84"/>
      <c r="C215" s="43" t="s">
        <v>136</v>
      </c>
      <c r="D215" s="42">
        <v>5</v>
      </c>
      <c r="E215" s="41">
        <v>5.5654496883348172E-4</v>
      </c>
    </row>
    <row r="216" spans="2:5" ht="15" customHeight="1">
      <c r="B216" s="84"/>
      <c r="C216" s="43" t="s">
        <v>141</v>
      </c>
      <c r="D216" s="42">
        <v>20</v>
      </c>
      <c r="E216" s="41">
        <v>2.2261798753339269E-3</v>
      </c>
    </row>
    <row r="217" spans="2:5" ht="15" customHeight="1">
      <c r="B217" s="84"/>
      <c r="C217" s="43" t="s">
        <v>130</v>
      </c>
      <c r="D217" s="42">
        <v>2</v>
      </c>
      <c r="E217" s="41">
        <v>2.2261798753339269E-4</v>
      </c>
    </row>
    <row r="218" spans="2:5" ht="15" customHeight="1">
      <c r="B218" s="84"/>
      <c r="C218" s="43" t="s">
        <v>128</v>
      </c>
      <c r="D218" s="42">
        <v>1</v>
      </c>
      <c r="E218" s="41">
        <v>1.1130899376669635E-4</v>
      </c>
    </row>
    <row r="219" spans="2:5" ht="15" customHeight="1">
      <c r="B219" s="84"/>
      <c r="C219" s="43" t="s">
        <v>133</v>
      </c>
      <c r="D219" s="42">
        <v>1</v>
      </c>
      <c r="E219" s="41">
        <v>1.1130899376669635E-4</v>
      </c>
    </row>
    <row r="220" spans="2:5" ht="15" customHeight="1">
      <c r="B220" s="84"/>
      <c r="C220" s="43" t="s">
        <v>137</v>
      </c>
      <c r="D220" s="42">
        <v>6</v>
      </c>
      <c r="E220" s="41">
        <v>6.6785396260017811E-4</v>
      </c>
    </row>
    <row r="221" spans="2:5" ht="15" customHeight="1">
      <c r="B221" s="84"/>
      <c r="C221" s="43" t="s">
        <v>142</v>
      </c>
      <c r="D221" s="42">
        <v>12</v>
      </c>
      <c r="E221" s="41">
        <v>1.3357079252003562E-3</v>
      </c>
    </row>
    <row r="222" spans="2:5" ht="15" customHeight="1">
      <c r="B222" s="84"/>
      <c r="C222" s="43" t="s">
        <v>138</v>
      </c>
      <c r="D222" s="42">
        <v>6</v>
      </c>
      <c r="E222" s="41">
        <v>6.6785396260017811E-4</v>
      </c>
    </row>
    <row r="223" spans="2:5" ht="15" customHeight="1">
      <c r="B223" s="84"/>
      <c r="C223" s="43" t="s">
        <v>131</v>
      </c>
      <c r="D223" s="42">
        <v>4</v>
      </c>
      <c r="E223" s="41">
        <v>4.4523597506678539E-4</v>
      </c>
    </row>
    <row r="224" spans="2:5" ht="15" customHeight="1">
      <c r="B224" s="84"/>
      <c r="C224" s="43" t="s">
        <v>139</v>
      </c>
      <c r="D224" s="42">
        <v>10</v>
      </c>
      <c r="E224" s="41">
        <v>1.1130899376669634E-3</v>
      </c>
    </row>
    <row r="225" spans="2:5" ht="15" customHeight="1">
      <c r="B225" s="84"/>
      <c r="C225" s="43" t="s">
        <v>144</v>
      </c>
      <c r="D225" s="42">
        <v>28</v>
      </c>
      <c r="E225" s="41">
        <v>3.116651825467498E-3</v>
      </c>
    </row>
    <row r="226" spans="2:5" ht="15" customHeight="1">
      <c r="B226" s="84"/>
      <c r="C226" s="43" t="s">
        <v>132</v>
      </c>
      <c r="D226" s="42">
        <v>1</v>
      </c>
      <c r="E226" s="41">
        <v>1.1130899376669635E-4</v>
      </c>
    </row>
    <row r="227" spans="2:5" ht="15" customHeight="1">
      <c r="B227" s="84"/>
      <c r="C227" s="43" t="s">
        <v>143</v>
      </c>
      <c r="D227" s="42">
        <v>22</v>
      </c>
      <c r="E227" s="41">
        <v>2.4487978628673196E-3</v>
      </c>
    </row>
    <row r="228" spans="2:5" ht="15" customHeight="1">
      <c r="B228" s="84"/>
      <c r="C228" s="43" t="s">
        <v>135</v>
      </c>
      <c r="D228" s="42">
        <v>3</v>
      </c>
      <c r="E228" s="41">
        <v>3.3392698130008905E-4</v>
      </c>
    </row>
    <row r="229" spans="2:5" ht="15" customHeight="1">
      <c r="B229" s="85"/>
      <c r="C229" s="40" t="s">
        <v>23</v>
      </c>
      <c r="D229" s="39">
        <v>145</v>
      </c>
      <c r="E229" s="38">
        <v>1.6139804096170971E-2</v>
      </c>
    </row>
    <row r="230" spans="2:5" ht="15" customHeight="1">
      <c r="B230" s="83" t="s">
        <v>101</v>
      </c>
      <c r="C230" s="43" t="s">
        <v>140</v>
      </c>
      <c r="D230" s="42">
        <v>10</v>
      </c>
      <c r="E230" s="41">
        <v>1.1130899376669634E-3</v>
      </c>
    </row>
    <row r="231" spans="2:5" ht="15" customHeight="1">
      <c r="B231" s="84"/>
      <c r="C231" s="43" t="s">
        <v>136</v>
      </c>
      <c r="D231" s="42">
        <v>10</v>
      </c>
      <c r="E231" s="41">
        <v>1.1130899376669634E-3</v>
      </c>
    </row>
    <row r="232" spans="2:5" ht="15" customHeight="1">
      <c r="B232" s="84"/>
      <c r="C232" s="43" t="s">
        <v>141</v>
      </c>
      <c r="D232" s="42">
        <v>2</v>
      </c>
      <c r="E232" s="41">
        <v>2.2261798753339269E-4</v>
      </c>
    </row>
    <row r="233" spans="2:5" ht="15" customHeight="1">
      <c r="B233" s="84"/>
      <c r="C233" s="43" t="s">
        <v>134</v>
      </c>
      <c r="D233" s="42">
        <v>6</v>
      </c>
      <c r="E233" s="41">
        <v>6.6785396260017811E-4</v>
      </c>
    </row>
    <row r="234" spans="2:5" ht="15" customHeight="1">
      <c r="B234" s="84"/>
      <c r="C234" s="43" t="s">
        <v>137</v>
      </c>
      <c r="D234" s="42">
        <v>2</v>
      </c>
      <c r="E234" s="41">
        <v>2.2261798753339269E-4</v>
      </c>
    </row>
    <row r="235" spans="2:5" ht="15" customHeight="1">
      <c r="B235" s="84"/>
      <c r="C235" s="43" t="s">
        <v>142</v>
      </c>
      <c r="D235" s="42">
        <v>11</v>
      </c>
      <c r="E235" s="41">
        <v>1.2243989314336598E-3</v>
      </c>
    </row>
    <row r="236" spans="2:5" ht="15" customHeight="1">
      <c r="B236" s="84"/>
      <c r="C236" s="43" t="s">
        <v>131</v>
      </c>
      <c r="D236" s="42">
        <v>2</v>
      </c>
      <c r="E236" s="41">
        <v>2.2261798753339269E-4</v>
      </c>
    </row>
    <row r="237" spans="2:5" ht="15" customHeight="1">
      <c r="B237" s="84"/>
      <c r="C237" s="43" t="s">
        <v>139</v>
      </c>
      <c r="D237" s="42">
        <v>8</v>
      </c>
      <c r="E237" s="41">
        <v>8.9047195013357077E-4</v>
      </c>
    </row>
    <row r="238" spans="2:5" ht="15" customHeight="1">
      <c r="B238" s="84"/>
      <c r="C238" s="43" t="s">
        <v>144</v>
      </c>
      <c r="D238" s="42">
        <v>30</v>
      </c>
      <c r="E238" s="41">
        <v>3.3392698130008903E-3</v>
      </c>
    </row>
    <row r="239" spans="2:5" ht="15" customHeight="1">
      <c r="B239" s="84"/>
      <c r="C239" s="43" t="s">
        <v>143</v>
      </c>
      <c r="D239" s="42">
        <v>7</v>
      </c>
      <c r="E239" s="41">
        <v>7.7916295636687449E-4</v>
      </c>
    </row>
    <row r="240" spans="2:5" ht="15" customHeight="1">
      <c r="B240" s="84"/>
      <c r="C240" s="43" t="s">
        <v>135</v>
      </c>
      <c r="D240" s="42">
        <v>1</v>
      </c>
      <c r="E240" s="41">
        <v>1.1130899376669635E-4</v>
      </c>
    </row>
    <row r="241" spans="2:5" ht="15" customHeight="1">
      <c r="B241" s="85"/>
      <c r="C241" s="40" t="s">
        <v>23</v>
      </c>
      <c r="D241" s="39">
        <v>89</v>
      </c>
      <c r="E241" s="38">
        <v>9.9065004452359752E-3</v>
      </c>
    </row>
    <row r="242" spans="2:5" ht="15" customHeight="1">
      <c r="B242" s="83" t="s">
        <v>85</v>
      </c>
      <c r="C242" s="43" t="s">
        <v>142</v>
      </c>
      <c r="D242" s="42">
        <v>1</v>
      </c>
      <c r="E242" s="41">
        <v>1.1130899376669635E-4</v>
      </c>
    </row>
    <row r="243" spans="2:5" ht="15" customHeight="1">
      <c r="B243" s="84"/>
      <c r="C243" s="43" t="s">
        <v>131</v>
      </c>
      <c r="D243" s="42">
        <v>1</v>
      </c>
      <c r="E243" s="41">
        <v>1.1130899376669635E-4</v>
      </c>
    </row>
    <row r="244" spans="2:5" ht="15" customHeight="1">
      <c r="B244" s="84"/>
      <c r="C244" s="43" t="s">
        <v>139</v>
      </c>
      <c r="D244" s="42">
        <v>1</v>
      </c>
      <c r="E244" s="41">
        <v>1.1130899376669635E-4</v>
      </c>
    </row>
    <row r="245" spans="2:5" ht="15" customHeight="1">
      <c r="B245" s="84"/>
      <c r="C245" s="43" t="s">
        <v>144</v>
      </c>
      <c r="D245" s="42">
        <v>1</v>
      </c>
      <c r="E245" s="41">
        <v>1.1130899376669635E-4</v>
      </c>
    </row>
    <row r="246" spans="2:5" ht="15" customHeight="1">
      <c r="B246" s="85"/>
      <c r="C246" s="40" t="s">
        <v>23</v>
      </c>
      <c r="D246" s="39">
        <v>4</v>
      </c>
      <c r="E246" s="38">
        <v>4.4523597506678539E-4</v>
      </c>
    </row>
    <row r="247" spans="2:5" ht="15" customHeight="1">
      <c r="B247" s="83" t="s">
        <v>108</v>
      </c>
      <c r="C247" s="43" t="s">
        <v>140</v>
      </c>
      <c r="D247" s="42">
        <v>39</v>
      </c>
      <c r="E247" s="41">
        <v>4.341050756901158E-3</v>
      </c>
    </row>
    <row r="248" spans="2:5" ht="15" customHeight="1">
      <c r="B248" s="84"/>
      <c r="C248" s="43" t="s">
        <v>136</v>
      </c>
      <c r="D248" s="42">
        <v>1</v>
      </c>
      <c r="E248" s="41">
        <v>1.1130899376669635E-4</v>
      </c>
    </row>
    <row r="249" spans="2:5" ht="15" customHeight="1">
      <c r="B249" s="84"/>
      <c r="C249" s="43" t="s">
        <v>141</v>
      </c>
      <c r="D249" s="42">
        <v>4</v>
      </c>
      <c r="E249" s="41">
        <v>4.4523597506678539E-4</v>
      </c>
    </row>
    <row r="250" spans="2:5" ht="15" customHeight="1">
      <c r="B250" s="84"/>
      <c r="C250" s="43" t="s">
        <v>130</v>
      </c>
      <c r="D250" s="42">
        <v>6</v>
      </c>
      <c r="E250" s="41">
        <v>6.6785396260017811E-4</v>
      </c>
    </row>
    <row r="251" spans="2:5" ht="15" customHeight="1">
      <c r="B251" s="84"/>
      <c r="C251" s="43" t="s">
        <v>133</v>
      </c>
      <c r="D251" s="42">
        <v>1</v>
      </c>
      <c r="E251" s="41">
        <v>1.1130899376669635E-4</v>
      </c>
    </row>
    <row r="252" spans="2:5" ht="15" customHeight="1">
      <c r="B252" s="84"/>
      <c r="C252" s="43" t="s">
        <v>134</v>
      </c>
      <c r="D252" s="42">
        <v>5</v>
      </c>
      <c r="E252" s="41">
        <v>5.5654496883348172E-4</v>
      </c>
    </row>
    <row r="253" spans="2:5" ht="15" customHeight="1">
      <c r="B253" s="84"/>
      <c r="C253" s="43" t="s">
        <v>137</v>
      </c>
      <c r="D253" s="42">
        <v>2</v>
      </c>
      <c r="E253" s="41">
        <v>2.2261798753339269E-4</v>
      </c>
    </row>
    <row r="254" spans="2:5" ht="15" customHeight="1">
      <c r="B254" s="84"/>
      <c r="C254" s="43" t="s">
        <v>142</v>
      </c>
      <c r="D254" s="42">
        <v>2</v>
      </c>
      <c r="E254" s="41">
        <v>2.2261798753339269E-4</v>
      </c>
    </row>
    <row r="255" spans="2:5" ht="15" customHeight="1">
      <c r="B255" s="84"/>
      <c r="C255" s="43" t="s">
        <v>131</v>
      </c>
      <c r="D255" s="42">
        <v>2</v>
      </c>
      <c r="E255" s="41">
        <v>2.2261798753339269E-4</v>
      </c>
    </row>
    <row r="256" spans="2:5" ht="15" customHeight="1">
      <c r="B256" s="84"/>
      <c r="C256" s="43" t="s">
        <v>139</v>
      </c>
      <c r="D256" s="42">
        <v>2</v>
      </c>
      <c r="E256" s="41">
        <v>2.2261798753339269E-4</v>
      </c>
    </row>
    <row r="257" spans="2:5" ht="15" customHeight="1">
      <c r="B257" s="84"/>
      <c r="C257" s="43" t="s">
        <v>144</v>
      </c>
      <c r="D257" s="42">
        <v>19</v>
      </c>
      <c r="E257" s="41">
        <v>2.1148708815672307E-3</v>
      </c>
    </row>
    <row r="258" spans="2:5" ht="15" customHeight="1">
      <c r="B258" s="84"/>
      <c r="C258" s="43" t="s">
        <v>132</v>
      </c>
      <c r="D258" s="42">
        <v>10</v>
      </c>
      <c r="E258" s="41">
        <v>1.1130899376669634E-3</v>
      </c>
    </row>
    <row r="259" spans="2:5" ht="15" customHeight="1">
      <c r="B259" s="84"/>
      <c r="C259" s="43" t="s">
        <v>143</v>
      </c>
      <c r="D259" s="42">
        <v>21</v>
      </c>
      <c r="E259" s="41">
        <v>2.3374888691006235E-3</v>
      </c>
    </row>
    <row r="260" spans="2:5" ht="15" customHeight="1">
      <c r="B260" s="84"/>
      <c r="C260" s="43" t="s">
        <v>135</v>
      </c>
      <c r="D260" s="42">
        <v>6</v>
      </c>
      <c r="E260" s="41">
        <v>6.6785396260017811E-4</v>
      </c>
    </row>
    <row r="261" spans="2:5" ht="15" customHeight="1">
      <c r="B261" s="84"/>
      <c r="C261" s="43" t="s">
        <v>129</v>
      </c>
      <c r="D261" s="42">
        <v>1</v>
      </c>
      <c r="E261" s="41">
        <v>1.1130899376669635E-4</v>
      </c>
    </row>
    <row r="262" spans="2:5" ht="15" customHeight="1">
      <c r="B262" s="85"/>
      <c r="C262" s="40" t="s">
        <v>23</v>
      </c>
      <c r="D262" s="39">
        <v>121</v>
      </c>
      <c r="E262" s="38">
        <v>1.3468388245770258E-2</v>
      </c>
    </row>
    <row r="263" spans="2:5" ht="15" customHeight="1">
      <c r="B263" s="83" t="s">
        <v>112</v>
      </c>
      <c r="C263" s="43" t="s">
        <v>140</v>
      </c>
      <c r="D263" s="42">
        <v>13</v>
      </c>
      <c r="E263" s="41">
        <v>1.4470169189670526E-3</v>
      </c>
    </row>
    <row r="264" spans="2:5" ht="15" customHeight="1">
      <c r="B264" s="84"/>
      <c r="C264" s="43" t="s">
        <v>136</v>
      </c>
      <c r="D264" s="42">
        <v>21</v>
      </c>
      <c r="E264" s="41">
        <v>2.3374888691006235E-3</v>
      </c>
    </row>
    <row r="265" spans="2:5" ht="15" customHeight="1">
      <c r="B265" s="84"/>
      <c r="C265" s="43" t="s">
        <v>141</v>
      </c>
      <c r="D265" s="42">
        <v>16</v>
      </c>
      <c r="E265" s="41">
        <v>1.7809439002671415E-3</v>
      </c>
    </row>
    <row r="266" spans="2:5" ht="15" customHeight="1">
      <c r="B266" s="84"/>
      <c r="C266" s="43" t="s">
        <v>130</v>
      </c>
      <c r="D266" s="42">
        <v>2</v>
      </c>
      <c r="E266" s="41">
        <v>2.2261798753339269E-4</v>
      </c>
    </row>
    <row r="267" spans="2:5" ht="15" customHeight="1">
      <c r="B267" s="84"/>
      <c r="C267" s="43" t="s">
        <v>128</v>
      </c>
      <c r="D267" s="42">
        <v>5</v>
      </c>
      <c r="E267" s="41">
        <v>5.5654496883348172E-4</v>
      </c>
    </row>
    <row r="268" spans="2:5" ht="15" customHeight="1">
      <c r="B268" s="84"/>
      <c r="C268" s="43" t="s">
        <v>133</v>
      </c>
      <c r="D268" s="42">
        <v>4</v>
      </c>
      <c r="E268" s="41">
        <v>4.4523597506678539E-4</v>
      </c>
    </row>
    <row r="269" spans="2:5" ht="15" customHeight="1">
      <c r="B269" s="84"/>
      <c r="C269" s="43" t="s">
        <v>134</v>
      </c>
      <c r="D269" s="42">
        <v>2</v>
      </c>
      <c r="E269" s="41">
        <v>2.2261798753339269E-4</v>
      </c>
    </row>
    <row r="270" spans="2:5" ht="15" customHeight="1">
      <c r="B270" s="84"/>
      <c r="C270" s="43" t="s">
        <v>137</v>
      </c>
      <c r="D270" s="42">
        <v>50</v>
      </c>
      <c r="E270" s="41">
        <v>5.5654496883348172E-3</v>
      </c>
    </row>
    <row r="271" spans="2:5" ht="15" customHeight="1">
      <c r="B271" s="84"/>
      <c r="C271" s="43" t="s">
        <v>142</v>
      </c>
      <c r="D271" s="42">
        <v>80</v>
      </c>
      <c r="E271" s="41">
        <v>8.9047195013357075E-3</v>
      </c>
    </row>
    <row r="272" spans="2:5" ht="15" customHeight="1">
      <c r="B272" s="84"/>
      <c r="C272" s="43" t="s">
        <v>138</v>
      </c>
      <c r="D272" s="42">
        <v>17</v>
      </c>
      <c r="E272" s="41">
        <v>1.8922528940338379E-3</v>
      </c>
    </row>
    <row r="273" spans="2:5" ht="15" customHeight="1">
      <c r="B273" s="84"/>
      <c r="C273" s="43" t="s">
        <v>131</v>
      </c>
      <c r="D273" s="42">
        <v>1</v>
      </c>
      <c r="E273" s="41">
        <v>1.1130899376669635E-4</v>
      </c>
    </row>
    <row r="274" spans="2:5" ht="15" customHeight="1">
      <c r="B274" s="84"/>
      <c r="C274" s="43" t="s">
        <v>139</v>
      </c>
      <c r="D274" s="42">
        <v>13</v>
      </c>
      <c r="E274" s="41">
        <v>1.4470169189670526E-3</v>
      </c>
    </row>
    <row r="275" spans="2:5" ht="15" customHeight="1">
      <c r="B275" s="84"/>
      <c r="C275" s="43" t="s">
        <v>144</v>
      </c>
      <c r="D275" s="42">
        <v>85</v>
      </c>
      <c r="E275" s="41">
        <v>9.4612644701691905E-3</v>
      </c>
    </row>
    <row r="276" spans="2:5" ht="15" customHeight="1">
      <c r="B276" s="84"/>
      <c r="C276" s="43" t="s">
        <v>143</v>
      </c>
      <c r="D276" s="42">
        <v>33</v>
      </c>
      <c r="E276" s="41">
        <v>3.6731967943009797E-3</v>
      </c>
    </row>
    <row r="277" spans="2:5" ht="15" customHeight="1">
      <c r="B277" s="84"/>
      <c r="C277" s="43" t="s">
        <v>135</v>
      </c>
      <c r="D277" s="42">
        <v>3</v>
      </c>
      <c r="E277" s="41">
        <v>3.3392698130008905E-4</v>
      </c>
    </row>
    <row r="278" spans="2:5" ht="15" customHeight="1">
      <c r="B278" s="84"/>
      <c r="C278" s="43" t="s">
        <v>129</v>
      </c>
      <c r="D278" s="42">
        <v>1</v>
      </c>
      <c r="E278" s="41">
        <v>1.1130899376669635E-4</v>
      </c>
    </row>
    <row r="279" spans="2:5" ht="15" customHeight="1">
      <c r="B279" s="85"/>
      <c r="C279" s="40" t="s">
        <v>23</v>
      </c>
      <c r="D279" s="39">
        <v>346</v>
      </c>
      <c r="E279" s="38">
        <v>3.8512911843276938E-2</v>
      </c>
    </row>
    <row r="280" spans="2:5" ht="15" customHeight="1">
      <c r="B280" s="83" t="s">
        <v>124</v>
      </c>
      <c r="C280" s="43" t="s">
        <v>140</v>
      </c>
      <c r="D280" s="42">
        <v>25</v>
      </c>
      <c r="E280" s="41">
        <v>2.7827248441674086E-3</v>
      </c>
    </row>
    <row r="281" spans="2:5" ht="15" customHeight="1">
      <c r="B281" s="84"/>
      <c r="C281" s="43" t="s">
        <v>136</v>
      </c>
      <c r="D281" s="42">
        <v>3</v>
      </c>
      <c r="E281" s="41">
        <v>3.3392698130008905E-4</v>
      </c>
    </row>
    <row r="282" spans="2:5" ht="15" customHeight="1">
      <c r="B282" s="84"/>
      <c r="C282" s="43" t="s">
        <v>141</v>
      </c>
      <c r="D282" s="42">
        <v>22</v>
      </c>
      <c r="E282" s="41">
        <v>2.4487978628673196E-3</v>
      </c>
    </row>
    <row r="283" spans="2:5" ht="15" customHeight="1">
      <c r="B283" s="84"/>
      <c r="C283" s="43" t="s">
        <v>130</v>
      </c>
      <c r="D283" s="42">
        <v>18</v>
      </c>
      <c r="E283" s="41">
        <v>2.0035618878005341E-3</v>
      </c>
    </row>
    <row r="284" spans="2:5" ht="15" customHeight="1">
      <c r="B284" s="84"/>
      <c r="C284" s="43" t="s">
        <v>128</v>
      </c>
      <c r="D284" s="42">
        <v>2</v>
      </c>
      <c r="E284" s="41">
        <v>2.2261798753339269E-4</v>
      </c>
    </row>
    <row r="285" spans="2:5" ht="15" customHeight="1">
      <c r="B285" s="84"/>
      <c r="C285" s="43" t="s">
        <v>133</v>
      </c>
      <c r="D285" s="42">
        <v>15</v>
      </c>
      <c r="E285" s="41">
        <v>1.6696349065004452E-3</v>
      </c>
    </row>
    <row r="286" spans="2:5" ht="15" customHeight="1">
      <c r="B286" s="84"/>
      <c r="C286" s="43" t="s">
        <v>134</v>
      </c>
      <c r="D286" s="42">
        <v>21</v>
      </c>
      <c r="E286" s="41">
        <v>2.3374888691006235E-3</v>
      </c>
    </row>
    <row r="287" spans="2:5" ht="15" customHeight="1">
      <c r="B287" s="84"/>
      <c r="C287" s="43" t="s">
        <v>137</v>
      </c>
      <c r="D287" s="42">
        <v>1</v>
      </c>
      <c r="E287" s="41">
        <v>1.1130899376669635E-4</v>
      </c>
    </row>
    <row r="288" spans="2:5" ht="15" customHeight="1">
      <c r="B288" s="84"/>
      <c r="C288" s="43" t="s">
        <v>142</v>
      </c>
      <c r="D288" s="42">
        <v>1</v>
      </c>
      <c r="E288" s="41">
        <v>1.1130899376669635E-4</v>
      </c>
    </row>
    <row r="289" spans="2:5" ht="15" customHeight="1">
      <c r="B289" s="84"/>
      <c r="C289" s="43" t="s">
        <v>138</v>
      </c>
      <c r="D289" s="42">
        <v>2</v>
      </c>
      <c r="E289" s="41">
        <v>2.2261798753339269E-4</v>
      </c>
    </row>
    <row r="290" spans="2:5" ht="15" customHeight="1">
      <c r="B290" s="84"/>
      <c r="C290" s="43" t="s">
        <v>131</v>
      </c>
      <c r="D290" s="42">
        <v>8</v>
      </c>
      <c r="E290" s="41">
        <v>8.9047195013357077E-4</v>
      </c>
    </row>
    <row r="291" spans="2:5" ht="15" customHeight="1">
      <c r="B291" s="84"/>
      <c r="C291" s="43" t="s">
        <v>127</v>
      </c>
      <c r="D291" s="42">
        <v>5</v>
      </c>
      <c r="E291" s="41">
        <v>5.5654496883348172E-4</v>
      </c>
    </row>
    <row r="292" spans="2:5" ht="15" customHeight="1">
      <c r="B292" s="84"/>
      <c r="C292" s="43" t="s">
        <v>139</v>
      </c>
      <c r="D292" s="42">
        <v>10</v>
      </c>
      <c r="E292" s="41">
        <v>1.1130899376669634E-3</v>
      </c>
    </row>
    <row r="293" spans="2:5" ht="15" customHeight="1">
      <c r="B293" s="84"/>
      <c r="C293" s="43" t="s">
        <v>144</v>
      </c>
      <c r="D293" s="42">
        <v>116</v>
      </c>
      <c r="E293" s="41">
        <v>1.2911843276936777E-2</v>
      </c>
    </row>
    <row r="294" spans="2:5" ht="15" customHeight="1">
      <c r="B294" s="84"/>
      <c r="C294" s="43" t="s">
        <v>132</v>
      </c>
      <c r="D294" s="42">
        <v>12</v>
      </c>
      <c r="E294" s="41">
        <v>1.3357079252003562E-3</v>
      </c>
    </row>
    <row r="295" spans="2:5" ht="15" customHeight="1">
      <c r="B295" s="84"/>
      <c r="C295" s="43" t="s">
        <v>143</v>
      </c>
      <c r="D295" s="42">
        <v>51</v>
      </c>
      <c r="E295" s="41">
        <v>5.6767586821015138E-3</v>
      </c>
    </row>
    <row r="296" spans="2:5" ht="15" customHeight="1">
      <c r="B296" s="84"/>
      <c r="C296" s="43" t="s">
        <v>135</v>
      </c>
      <c r="D296" s="42">
        <v>18</v>
      </c>
      <c r="E296" s="41">
        <v>2.0035618878005341E-3</v>
      </c>
    </row>
    <row r="297" spans="2:5" ht="15" customHeight="1">
      <c r="B297" s="84"/>
      <c r="C297" s="43" t="s">
        <v>129</v>
      </c>
      <c r="D297" s="42">
        <v>56</v>
      </c>
      <c r="E297" s="41">
        <v>6.2333036509349959E-3</v>
      </c>
    </row>
    <row r="298" spans="2:5" ht="15" customHeight="1">
      <c r="B298" s="85"/>
      <c r="C298" s="40" t="s">
        <v>23</v>
      </c>
      <c r="D298" s="39">
        <v>386</v>
      </c>
      <c r="E298" s="38">
        <v>4.2965271593944789E-2</v>
      </c>
    </row>
    <row r="299" spans="2:5" ht="15" customHeight="1">
      <c r="B299" s="83" t="s">
        <v>103</v>
      </c>
      <c r="C299" s="43" t="s">
        <v>140</v>
      </c>
      <c r="D299" s="42">
        <v>1</v>
      </c>
      <c r="E299" s="41">
        <v>1.1130899376669635E-4</v>
      </c>
    </row>
    <row r="300" spans="2:5" ht="15" customHeight="1">
      <c r="B300" s="84"/>
      <c r="C300" s="43" t="s">
        <v>136</v>
      </c>
      <c r="D300" s="42">
        <v>3</v>
      </c>
      <c r="E300" s="41">
        <v>3.3392698130008905E-4</v>
      </c>
    </row>
    <row r="301" spans="2:5" ht="15" customHeight="1">
      <c r="B301" s="84"/>
      <c r="C301" s="43" t="s">
        <v>130</v>
      </c>
      <c r="D301" s="42">
        <v>2</v>
      </c>
      <c r="E301" s="41">
        <v>2.2261798753339269E-4</v>
      </c>
    </row>
    <row r="302" spans="2:5" ht="15" customHeight="1">
      <c r="B302" s="84"/>
      <c r="C302" s="43" t="s">
        <v>137</v>
      </c>
      <c r="D302" s="42">
        <v>1</v>
      </c>
      <c r="E302" s="41">
        <v>1.1130899376669635E-4</v>
      </c>
    </row>
    <row r="303" spans="2:5" ht="15" customHeight="1">
      <c r="B303" s="84"/>
      <c r="C303" s="43" t="s">
        <v>142</v>
      </c>
      <c r="D303" s="42">
        <v>11</v>
      </c>
      <c r="E303" s="41">
        <v>1.2243989314336598E-3</v>
      </c>
    </row>
    <row r="304" spans="2:5" ht="15" customHeight="1">
      <c r="B304" s="84"/>
      <c r="C304" s="43" t="s">
        <v>138</v>
      </c>
      <c r="D304" s="42">
        <v>5</v>
      </c>
      <c r="E304" s="41">
        <v>5.5654496883348172E-4</v>
      </c>
    </row>
    <row r="305" spans="2:5" ht="15" customHeight="1">
      <c r="B305" s="84"/>
      <c r="C305" s="43" t="s">
        <v>139</v>
      </c>
      <c r="D305" s="42">
        <v>23</v>
      </c>
      <c r="E305" s="41">
        <v>2.5601068566340158E-3</v>
      </c>
    </row>
    <row r="306" spans="2:5" ht="15" customHeight="1">
      <c r="B306" s="84"/>
      <c r="C306" s="43" t="s">
        <v>144</v>
      </c>
      <c r="D306" s="42">
        <v>11</v>
      </c>
      <c r="E306" s="41">
        <v>1.2243989314336598E-3</v>
      </c>
    </row>
    <row r="307" spans="2:5" ht="15" customHeight="1">
      <c r="B307" s="84"/>
      <c r="C307" s="43" t="s">
        <v>143</v>
      </c>
      <c r="D307" s="42">
        <v>4</v>
      </c>
      <c r="E307" s="41">
        <v>4.4523597506678539E-4</v>
      </c>
    </row>
    <row r="308" spans="2:5" ht="15" customHeight="1">
      <c r="B308" s="84"/>
      <c r="C308" s="43" t="s">
        <v>135</v>
      </c>
      <c r="D308" s="42">
        <v>2</v>
      </c>
      <c r="E308" s="41">
        <v>2.2261798753339269E-4</v>
      </c>
    </row>
    <row r="309" spans="2:5" ht="15" customHeight="1">
      <c r="B309" s="85"/>
      <c r="C309" s="40" t="s">
        <v>23</v>
      </c>
      <c r="D309" s="39">
        <v>63</v>
      </c>
      <c r="E309" s="38">
        <v>7.0124666073018696E-3</v>
      </c>
    </row>
    <row r="310" spans="2:5" ht="15" customHeight="1">
      <c r="B310" s="83" t="s">
        <v>98</v>
      </c>
      <c r="C310" s="43" t="s">
        <v>140</v>
      </c>
      <c r="D310" s="42">
        <v>14</v>
      </c>
      <c r="E310" s="41">
        <v>1.558325912733749E-3</v>
      </c>
    </row>
    <row r="311" spans="2:5" ht="15" customHeight="1">
      <c r="B311" s="84"/>
      <c r="C311" s="43" t="s">
        <v>136</v>
      </c>
      <c r="D311" s="42">
        <v>15</v>
      </c>
      <c r="E311" s="41">
        <v>1.6696349065004452E-3</v>
      </c>
    </row>
    <row r="312" spans="2:5" ht="15" customHeight="1">
      <c r="B312" s="84"/>
      <c r="C312" s="43" t="s">
        <v>141</v>
      </c>
      <c r="D312" s="42">
        <v>77</v>
      </c>
      <c r="E312" s="41">
        <v>8.5707925200356194E-3</v>
      </c>
    </row>
    <row r="313" spans="2:5" ht="15" customHeight="1">
      <c r="B313" s="84"/>
      <c r="C313" s="43" t="s">
        <v>130</v>
      </c>
      <c r="D313" s="42">
        <v>1</v>
      </c>
      <c r="E313" s="41">
        <v>1.1130899376669635E-4</v>
      </c>
    </row>
    <row r="314" spans="2:5" ht="15" customHeight="1">
      <c r="B314" s="84"/>
      <c r="C314" s="43" t="s">
        <v>133</v>
      </c>
      <c r="D314" s="42">
        <v>4</v>
      </c>
      <c r="E314" s="41">
        <v>4.4523597506678539E-4</v>
      </c>
    </row>
    <row r="315" spans="2:5" ht="15" customHeight="1">
      <c r="B315" s="84"/>
      <c r="C315" s="43" t="s">
        <v>134</v>
      </c>
      <c r="D315" s="42">
        <v>5</v>
      </c>
      <c r="E315" s="41">
        <v>5.5654496883348172E-4</v>
      </c>
    </row>
    <row r="316" spans="2:5" ht="15" customHeight="1">
      <c r="B316" s="84"/>
      <c r="C316" s="43" t="s">
        <v>137</v>
      </c>
      <c r="D316" s="42">
        <v>7</v>
      </c>
      <c r="E316" s="41">
        <v>7.7916295636687449E-4</v>
      </c>
    </row>
    <row r="317" spans="2:5" ht="15" customHeight="1">
      <c r="B317" s="84"/>
      <c r="C317" s="43" t="s">
        <v>142</v>
      </c>
      <c r="D317" s="42">
        <v>69</v>
      </c>
      <c r="E317" s="41">
        <v>7.6803205699020483E-3</v>
      </c>
    </row>
    <row r="318" spans="2:5" ht="15" customHeight="1">
      <c r="B318" s="84"/>
      <c r="C318" s="43" t="s">
        <v>138</v>
      </c>
      <c r="D318" s="42">
        <v>143</v>
      </c>
      <c r="E318" s="41">
        <v>1.5917186108637578E-2</v>
      </c>
    </row>
    <row r="319" spans="2:5" ht="15" customHeight="1">
      <c r="B319" s="84"/>
      <c r="C319" s="43" t="s">
        <v>131</v>
      </c>
      <c r="D319" s="42">
        <v>5</v>
      </c>
      <c r="E319" s="41">
        <v>5.5654496883348172E-4</v>
      </c>
    </row>
    <row r="320" spans="2:5" ht="15" customHeight="1">
      <c r="B320" s="84"/>
      <c r="C320" s="43" t="s">
        <v>127</v>
      </c>
      <c r="D320" s="42">
        <v>1</v>
      </c>
      <c r="E320" s="41">
        <v>1.1130899376669635E-4</v>
      </c>
    </row>
    <row r="321" spans="2:5" ht="15" customHeight="1">
      <c r="B321" s="84"/>
      <c r="C321" s="43" t="s">
        <v>139</v>
      </c>
      <c r="D321" s="42">
        <v>29</v>
      </c>
      <c r="E321" s="41">
        <v>3.2279608192341941E-3</v>
      </c>
    </row>
    <row r="322" spans="2:5" ht="15" customHeight="1">
      <c r="B322" s="84"/>
      <c r="C322" s="43" t="s">
        <v>144</v>
      </c>
      <c r="D322" s="42">
        <v>43</v>
      </c>
      <c r="E322" s="41">
        <v>4.7862867319679427E-3</v>
      </c>
    </row>
    <row r="323" spans="2:5" ht="15" customHeight="1">
      <c r="B323" s="84"/>
      <c r="C323" s="43" t="s">
        <v>132</v>
      </c>
      <c r="D323" s="42">
        <v>8</v>
      </c>
      <c r="E323" s="41">
        <v>8.9047195013357077E-4</v>
      </c>
    </row>
    <row r="324" spans="2:5" ht="15" customHeight="1">
      <c r="B324" s="84"/>
      <c r="C324" s="43" t="s">
        <v>143</v>
      </c>
      <c r="D324" s="42">
        <v>20</v>
      </c>
      <c r="E324" s="41">
        <v>2.2261798753339269E-3</v>
      </c>
    </row>
    <row r="325" spans="2:5" ht="15" customHeight="1">
      <c r="B325" s="84"/>
      <c r="C325" s="43" t="s">
        <v>135</v>
      </c>
      <c r="D325" s="42">
        <v>12</v>
      </c>
      <c r="E325" s="41">
        <v>1.3357079252003562E-3</v>
      </c>
    </row>
    <row r="326" spans="2:5" ht="15" customHeight="1">
      <c r="B326" s="84"/>
      <c r="C326" s="43" t="s">
        <v>129</v>
      </c>
      <c r="D326" s="42">
        <v>4</v>
      </c>
      <c r="E326" s="41">
        <v>4.4523597506678539E-4</v>
      </c>
    </row>
    <row r="327" spans="2:5" ht="15" customHeight="1">
      <c r="B327" s="85"/>
      <c r="C327" s="40" t="s">
        <v>23</v>
      </c>
      <c r="D327" s="39">
        <v>457</v>
      </c>
      <c r="E327" s="38">
        <v>5.0868210151380232E-2</v>
      </c>
    </row>
    <row r="328" spans="2:5" ht="15" customHeight="1">
      <c r="B328" s="83" t="s">
        <v>97</v>
      </c>
      <c r="C328" s="43" t="s">
        <v>140</v>
      </c>
      <c r="D328" s="42">
        <v>34</v>
      </c>
      <c r="E328" s="41">
        <v>3.7845057880676759E-3</v>
      </c>
    </row>
    <row r="329" spans="2:5" ht="15" customHeight="1">
      <c r="B329" s="84"/>
      <c r="C329" s="43" t="s">
        <v>141</v>
      </c>
      <c r="D329" s="42">
        <v>4</v>
      </c>
      <c r="E329" s="41">
        <v>4.4523597506678539E-4</v>
      </c>
    </row>
    <row r="330" spans="2:5" ht="15" customHeight="1">
      <c r="B330" s="84"/>
      <c r="C330" s="43" t="s">
        <v>133</v>
      </c>
      <c r="D330" s="42">
        <v>1</v>
      </c>
      <c r="E330" s="41">
        <v>1.1130899376669635E-4</v>
      </c>
    </row>
    <row r="331" spans="2:5" ht="15" customHeight="1">
      <c r="B331" s="84"/>
      <c r="C331" s="43" t="s">
        <v>142</v>
      </c>
      <c r="D331" s="42">
        <v>1</v>
      </c>
      <c r="E331" s="41">
        <v>1.1130899376669635E-4</v>
      </c>
    </row>
    <row r="332" spans="2:5" ht="15" customHeight="1">
      <c r="B332" s="84"/>
      <c r="C332" s="43" t="s">
        <v>138</v>
      </c>
      <c r="D332" s="42">
        <v>5</v>
      </c>
      <c r="E332" s="41">
        <v>5.5654496883348172E-4</v>
      </c>
    </row>
    <row r="333" spans="2:5" ht="15" customHeight="1">
      <c r="B333" s="84"/>
      <c r="C333" s="43" t="s">
        <v>144</v>
      </c>
      <c r="D333" s="42">
        <v>12</v>
      </c>
      <c r="E333" s="41">
        <v>1.3357079252003562E-3</v>
      </c>
    </row>
    <row r="334" spans="2:5" ht="15" customHeight="1">
      <c r="B334" s="84"/>
      <c r="C334" s="43" t="s">
        <v>143</v>
      </c>
      <c r="D334" s="42">
        <v>6</v>
      </c>
      <c r="E334" s="41">
        <v>6.6785396260017811E-4</v>
      </c>
    </row>
    <row r="335" spans="2:5" ht="15" customHeight="1">
      <c r="B335" s="84"/>
      <c r="C335" s="43" t="s">
        <v>135</v>
      </c>
      <c r="D335" s="42">
        <v>9</v>
      </c>
      <c r="E335" s="41">
        <v>1.0017809439002671E-3</v>
      </c>
    </row>
    <row r="336" spans="2:5" ht="15" customHeight="1">
      <c r="B336" s="85"/>
      <c r="C336" s="40" t="s">
        <v>23</v>
      </c>
      <c r="D336" s="39">
        <v>72</v>
      </c>
      <c r="E336" s="38">
        <v>8.0142475512021364E-3</v>
      </c>
    </row>
    <row r="337" spans="2:5" ht="15" customHeight="1">
      <c r="B337" s="83" t="s">
        <v>90</v>
      </c>
      <c r="C337" s="43" t="s">
        <v>140</v>
      </c>
      <c r="D337" s="42">
        <v>5</v>
      </c>
      <c r="E337" s="41">
        <v>5.5654496883348172E-4</v>
      </c>
    </row>
    <row r="338" spans="2:5" ht="15" customHeight="1">
      <c r="B338" s="84"/>
      <c r="C338" s="43" t="s">
        <v>136</v>
      </c>
      <c r="D338" s="42">
        <v>15</v>
      </c>
      <c r="E338" s="41">
        <v>1.6696349065004452E-3</v>
      </c>
    </row>
    <row r="339" spans="2:5" ht="15" customHeight="1">
      <c r="B339" s="84"/>
      <c r="C339" s="43" t="s">
        <v>141</v>
      </c>
      <c r="D339" s="42">
        <v>4</v>
      </c>
      <c r="E339" s="41">
        <v>4.4523597506678539E-4</v>
      </c>
    </row>
    <row r="340" spans="2:5" ht="15" customHeight="1">
      <c r="B340" s="84"/>
      <c r="C340" s="43" t="s">
        <v>130</v>
      </c>
      <c r="D340" s="42">
        <v>1</v>
      </c>
      <c r="E340" s="41">
        <v>1.1130899376669635E-4</v>
      </c>
    </row>
    <row r="341" spans="2:5" ht="15" customHeight="1">
      <c r="B341" s="84"/>
      <c r="C341" s="43" t="s">
        <v>128</v>
      </c>
      <c r="D341" s="42">
        <v>3</v>
      </c>
      <c r="E341" s="41">
        <v>3.3392698130008905E-4</v>
      </c>
    </row>
    <row r="342" spans="2:5" ht="15" customHeight="1">
      <c r="B342" s="84"/>
      <c r="C342" s="43" t="s">
        <v>133</v>
      </c>
      <c r="D342" s="42">
        <v>7</v>
      </c>
      <c r="E342" s="41">
        <v>7.7916295636687449E-4</v>
      </c>
    </row>
    <row r="343" spans="2:5" ht="15" customHeight="1">
      <c r="B343" s="84"/>
      <c r="C343" s="43" t="s">
        <v>137</v>
      </c>
      <c r="D343" s="42">
        <v>16</v>
      </c>
      <c r="E343" s="41">
        <v>1.7809439002671415E-3</v>
      </c>
    </row>
    <row r="344" spans="2:5" ht="15" customHeight="1">
      <c r="B344" s="84"/>
      <c r="C344" s="43" t="s">
        <v>142</v>
      </c>
      <c r="D344" s="42">
        <v>31</v>
      </c>
      <c r="E344" s="41">
        <v>3.4505788067675869E-3</v>
      </c>
    </row>
    <row r="345" spans="2:5" ht="15" customHeight="1">
      <c r="B345" s="84"/>
      <c r="C345" s="43" t="s">
        <v>138</v>
      </c>
      <c r="D345" s="42">
        <v>15</v>
      </c>
      <c r="E345" s="41">
        <v>1.6696349065004452E-3</v>
      </c>
    </row>
    <row r="346" spans="2:5" ht="15" customHeight="1">
      <c r="B346" s="84"/>
      <c r="C346" s="43" t="s">
        <v>131</v>
      </c>
      <c r="D346" s="42">
        <v>2</v>
      </c>
      <c r="E346" s="41">
        <v>2.2261798753339269E-4</v>
      </c>
    </row>
    <row r="347" spans="2:5" ht="15" customHeight="1">
      <c r="B347" s="84"/>
      <c r="C347" s="43" t="s">
        <v>139</v>
      </c>
      <c r="D347" s="42">
        <v>6</v>
      </c>
      <c r="E347" s="41">
        <v>6.6785396260017811E-4</v>
      </c>
    </row>
    <row r="348" spans="2:5" ht="15" customHeight="1">
      <c r="B348" s="84"/>
      <c r="C348" s="43" t="s">
        <v>144</v>
      </c>
      <c r="D348" s="42">
        <v>33</v>
      </c>
      <c r="E348" s="41">
        <v>3.6731967943009797E-3</v>
      </c>
    </row>
    <row r="349" spans="2:5" ht="15" customHeight="1">
      <c r="B349" s="84"/>
      <c r="C349" s="43" t="s">
        <v>132</v>
      </c>
      <c r="D349" s="42">
        <v>3</v>
      </c>
      <c r="E349" s="41">
        <v>3.3392698130008905E-4</v>
      </c>
    </row>
    <row r="350" spans="2:5" ht="15" customHeight="1">
      <c r="B350" s="84"/>
      <c r="C350" s="43" t="s">
        <v>143</v>
      </c>
      <c r="D350" s="42">
        <v>10</v>
      </c>
      <c r="E350" s="41">
        <v>1.1130899376669634E-3</v>
      </c>
    </row>
    <row r="351" spans="2:5" ht="15" customHeight="1">
      <c r="B351" s="85"/>
      <c r="C351" s="40" t="s">
        <v>23</v>
      </c>
      <c r="D351" s="39">
        <v>151</v>
      </c>
      <c r="E351" s="38">
        <v>1.6807658058771147E-2</v>
      </c>
    </row>
    <row r="352" spans="2:5" ht="15" customHeight="1">
      <c r="B352" s="83" t="s">
        <v>119</v>
      </c>
      <c r="C352" s="43" t="s">
        <v>140</v>
      </c>
      <c r="D352" s="42">
        <v>3</v>
      </c>
      <c r="E352" s="41">
        <v>3.3392698130008905E-4</v>
      </c>
    </row>
    <row r="353" spans="2:5" ht="15" customHeight="1">
      <c r="B353" s="84"/>
      <c r="C353" s="43" t="s">
        <v>136</v>
      </c>
      <c r="D353" s="42">
        <v>6</v>
      </c>
      <c r="E353" s="41">
        <v>6.6785396260017811E-4</v>
      </c>
    </row>
    <row r="354" spans="2:5" ht="15" customHeight="1">
      <c r="B354" s="84"/>
      <c r="C354" s="43" t="s">
        <v>141</v>
      </c>
      <c r="D354" s="42">
        <v>12</v>
      </c>
      <c r="E354" s="41">
        <v>1.3357079252003562E-3</v>
      </c>
    </row>
    <row r="355" spans="2:5" ht="15" customHeight="1">
      <c r="B355" s="84"/>
      <c r="C355" s="43" t="s">
        <v>133</v>
      </c>
      <c r="D355" s="42">
        <v>1</v>
      </c>
      <c r="E355" s="41">
        <v>1.1130899376669635E-4</v>
      </c>
    </row>
    <row r="356" spans="2:5" ht="15" customHeight="1">
      <c r="B356" s="84"/>
      <c r="C356" s="43" t="s">
        <v>142</v>
      </c>
      <c r="D356" s="42">
        <v>6</v>
      </c>
      <c r="E356" s="41">
        <v>6.6785396260017811E-4</v>
      </c>
    </row>
    <row r="357" spans="2:5" ht="15" customHeight="1">
      <c r="B357" s="84"/>
      <c r="C357" s="43" t="s">
        <v>131</v>
      </c>
      <c r="D357" s="42">
        <v>1</v>
      </c>
      <c r="E357" s="41">
        <v>1.1130899376669635E-4</v>
      </c>
    </row>
    <row r="358" spans="2:5" ht="15" customHeight="1">
      <c r="B358" s="84"/>
      <c r="C358" s="43" t="s">
        <v>127</v>
      </c>
      <c r="D358" s="42">
        <v>1</v>
      </c>
      <c r="E358" s="41">
        <v>1.1130899376669635E-4</v>
      </c>
    </row>
    <row r="359" spans="2:5" ht="15" customHeight="1">
      <c r="B359" s="84"/>
      <c r="C359" s="43" t="s">
        <v>139</v>
      </c>
      <c r="D359" s="42">
        <v>5</v>
      </c>
      <c r="E359" s="41">
        <v>5.5654496883348172E-4</v>
      </c>
    </row>
    <row r="360" spans="2:5" ht="15" customHeight="1">
      <c r="B360" s="84"/>
      <c r="C360" s="43" t="s">
        <v>144</v>
      </c>
      <c r="D360" s="42">
        <v>21</v>
      </c>
      <c r="E360" s="41">
        <v>2.3374888691006235E-3</v>
      </c>
    </row>
    <row r="361" spans="2:5" ht="15" customHeight="1">
      <c r="B361" s="84"/>
      <c r="C361" s="43" t="s">
        <v>132</v>
      </c>
      <c r="D361" s="42">
        <v>1</v>
      </c>
      <c r="E361" s="41">
        <v>1.1130899376669635E-4</v>
      </c>
    </row>
    <row r="362" spans="2:5" ht="15" customHeight="1">
      <c r="B362" s="84"/>
      <c r="C362" s="43" t="s">
        <v>143</v>
      </c>
      <c r="D362" s="42">
        <v>5</v>
      </c>
      <c r="E362" s="41">
        <v>5.5654496883348172E-4</v>
      </c>
    </row>
    <row r="363" spans="2:5" ht="15" customHeight="1">
      <c r="B363" s="84"/>
      <c r="C363" s="43" t="s">
        <v>135</v>
      </c>
      <c r="D363" s="42">
        <v>11</v>
      </c>
      <c r="E363" s="41">
        <v>1.2243989314336598E-3</v>
      </c>
    </row>
    <row r="364" spans="2:5" ht="15" customHeight="1">
      <c r="B364" s="85"/>
      <c r="C364" s="40" t="s">
        <v>23</v>
      </c>
      <c r="D364" s="39">
        <v>73</v>
      </c>
      <c r="E364" s="38">
        <v>8.125556544968833E-3</v>
      </c>
    </row>
    <row r="365" spans="2:5" ht="15" customHeight="1">
      <c r="B365" s="83" t="s">
        <v>92</v>
      </c>
      <c r="C365" s="43" t="s">
        <v>140</v>
      </c>
      <c r="D365" s="42">
        <v>84</v>
      </c>
      <c r="E365" s="41">
        <v>9.3499554764024939E-3</v>
      </c>
    </row>
    <row r="366" spans="2:5" ht="15" customHeight="1">
      <c r="B366" s="84"/>
      <c r="C366" s="43" t="s">
        <v>141</v>
      </c>
      <c r="D366" s="42">
        <v>5</v>
      </c>
      <c r="E366" s="41">
        <v>5.5654496883348172E-4</v>
      </c>
    </row>
    <row r="367" spans="2:5" ht="15" customHeight="1">
      <c r="B367" s="84"/>
      <c r="C367" s="43" t="s">
        <v>130</v>
      </c>
      <c r="D367" s="42">
        <v>3</v>
      </c>
      <c r="E367" s="41">
        <v>3.3392698130008905E-4</v>
      </c>
    </row>
    <row r="368" spans="2:5" ht="15" customHeight="1">
      <c r="B368" s="84"/>
      <c r="C368" s="43" t="s">
        <v>128</v>
      </c>
      <c r="D368" s="42">
        <v>1</v>
      </c>
      <c r="E368" s="41">
        <v>1.1130899376669635E-4</v>
      </c>
    </row>
    <row r="369" spans="2:5" ht="15" customHeight="1">
      <c r="B369" s="84"/>
      <c r="C369" s="43" t="s">
        <v>133</v>
      </c>
      <c r="D369" s="42">
        <v>3</v>
      </c>
      <c r="E369" s="41">
        <v>3.3392698130008905E-4</v>
      </c>
    </row>
    <row r="370" spans="2:5" ht="15" customHeight="1">
      <c r="B370" s="84"/>
      <c r="C370" s="43" t="s">
        <v>137</v>
      </c>
      <c r="D370" s="42">
        <v>2</v>
      </c>
      <c r="E370" s="41">
        <v>2.2261798753339269E-4</v>
      </c>
    </row>
    <row r="371" spans="2:5" ht="15" customHeight="1">
      <c r="B371" s="84"/>
      <c r="C371" s="43" t="s">
        <v>142</v>
      </c>
      <c r="D371" s="42">
        <v>5</v>
      </c>
      <c r="E371" s="41">
        <v>5.5654496883348172E-4</v>
      </c>
    </row>
    <row r="372" spans="2:5" ht="15" customHeight="1">
      <c r="B372" s="84"/>
      <c r="C372" s="43" t="s">
        <v>138</v>
      </c>
      <c r="D372" s="42">
        <v>2</v>
      </c>
      <c r="E372" s="41">
        <v>2.2261798753339269E-4</v>
      </c>
    </row>
    <row r="373" spans="2:5" ht="15" customHeight="1">
      <c r="B373" s="84"/>
      <c r="C373" s="43" t="s">
        <v>131</v>
      </c>
      <c r="D373" s="42">
        <v>6</v>
      </c>
      <c r="E373" s="41">
        <v>6.6785396260017811E-4</v>
      </c>
    </row>
    <row r="374" spans="2:5" ht="15" customHeight="1">
      <c r="B374" s="84"/>
      <c r="C374" s="43" t="s">
        <v>127</v>
      </c>
      <c r="D374" s="42">
        <v>1</v>
      </c>
      <c r="E374" s="41">
        <v>1.1130899376669635E-4</v>
      </c>
    </row>
    <row r="375" spans="2:5" ht="15" customHeight="1">
      <c r="B375" s="84"/>
      <c r="C375" s="43" t="s">
        <v>139</v>
      </c>
      <c r="D375" s="42">
        <v>1</v>
      </c>
      <c r="E375" s="41">
        <v>1.1130899376669635E-4</v>
      </c>
    </row>
    <row r="376" spans="2:5" ht="15" customHeight="1">
      <c r="B376" s="84"/>
      <c r="C376" s="43" t="s">
        <v>144</v>
      </c>
      <c r="D376" s="42">
        <v>22</v>
      </c>
      <c r="E376" s="41">
        <v>2.4487978628673196E-3</v>
      </c>
    </row>
    <row r="377" spans="2:5" ht="15" customHeight="1">
      <c r="B377" s="84"/>
      <c r="C377" s="43" t="s">
        <v>143</v>
      </c>
      <c r="D377" s="42">
        <v>10</v>
      </c>
      <c r="E377" s="41">
        <v>1.1130899376669634E-3</v>
      </c>
    </row>
    <row r="378" spans="2:5" ht="15" customHeight="1">
      <c r="B378" s="84"/>
      <c r="C378" s="43" t="s">
        <v>135</v>
      </c>
      <c r="D378" s="42">
        <v>2</v>
      </c>
      <c r="E378" s="41">
        <v>2.2261798753339269E-4</v>
      </c>
    </row>
    <row r="379" spans="2:5" ht="15" customHeight="1">
      <c r="B379" s="84"/>
      <c r="C379" s="43" t="s">
        <v>129</v>
      </c>
      <c r="D379" s="42">
        <v>1</v>
      </c>
      <c r="E379" s="41">
        <v>1.1130899376669635E-4</v>
      </c>
    </row>
    <row r="380" spans="2:5" ht="15" customHeight="1">
      <c r="B380" s="85"/>
      <c r="C380" s="40" t="s">
        <v>23</v>
      </c>
      <c r="D380" s="39">
        <v>148</v>
      </c>
      <c r="E380" s="38">
        <v>1.6473731077471059E-2</v>
      </c>
    </row>
    <row r="381" spans="2:5" ht="15" customHeight="1">
      <c r="B381" s="83" t="s">
        <v>111</v>
      </c>
      <c r="C381" s="43" t="s">
        <v>140</v>
      </c>
      <c r="D381" s="42">
        <v>14</v>
      </c>
      <c r="E381" s="41">
        <v>1.558325912733749E-3</v>
      </c>
    </row>
    <row r="382" spans="2:5" ht="15" customHeight="1">
      <c r="B382" s="84"/>
      <c r="C382" s="43" t="s">
        <v>136</v>
      </c>
      <c r="D382" s="42">
        <v>18</v>
      </c>
      <c r="E382" s="41">
        <v>2.0035618878005341E-3</v>
      </c>
    </row>
    <row r="383" spans="2:5" ht="15" customHeight="1">
      <c r="B383" s="84"/>
      <c r="C383" s="43" t="s">
        <v>141</v>
      </c>
      <c r="D383" s="42">
        <v>53</v>
      </c>
      <c r="E383" s="41">
        <v>5.8993766696349061E-3</v>
      </c>
    </row>
    <row r="384" spans="2:5" ht="15" customHeight="1">
      <c r="B384" s="84"/>
      <c r="C384" s="43" t="s">
        <v>130</v>
      </c>
      <c r="D384" s="42">
        <v>12</v>
      </c>
      <c r="E384" s="41">
        <v>1.3357079252003562E-3</v>
      </c>
    </row>
    <row r="385" spans="2:5" ht="15" customHeight="1">
      <c r="B385" s="84"/>
      <c r="C385" s="43" t="s">
        <v>128</v>
      </c>
      <c r="D385" s="42">
        <v>5</v>
      </c>
      <c r="E385" s="41">
        <v>5.5654496883348172E-4</v>
      </c>
    </row>
    <row r="386" spans="2:5" ht="15" customHeight="1">
      <c r="B386" s="84"/>
      <c r="C386" s="43" t="s">
        <v>133</v>
      </c>
      <c r="D386" s="42">
        <v>7</v>
      </c>
      <c r="E386" s="41">
        <v>7.7916295636687449E-4</v>
      </c>
    </row>
    <row r="387" spans="2:5" ht="15" customHeight="1">
      <c r="B387" s="84"/>
      <c r="C387" s="43" t="s">
        <v>134</v>
      </c>
      <c r="D387" s="42">
        <v>3</v>
      </c>
      <c r="E387" s="41">
        <v>3.3392698130008905E-4</v>
      </c>
    </row>
    <row r="388" spans="2:5" ht="15" customHeight="1">
      <c r="B388" s="84"/>
      <c r="C388" s="43" t="s">
        <v>137</v>
      </c>
      <c r="D388" s="42">
        <v>12</v>
      </c>
      <c r="E388" s="41">
        <v>1.3357079252003562E-3</v>
      </c>
    </row>
    <row r="389" spans="2:5" ht="15" customHeight="1">
      <c r="B389" s="84"/>
      <c r="C389" s="43" t="s">
        <v>142</v>
      </c>
      <c r="D389" s="42">
        <v>52</v>
      </c>
      <c r="E389" s="41">
        <v>5.7880676758682104E-3</v>
      </c>
    </row>
    <row r="390" spans="2:5" ht="15" customHeight="1">
      <c r="B390" s="84"/>
      <c r="C390" s="43" t="s">
        <v>138</v>
      </c>
      <c r="D390" s="42">
        <v>23</v>
      </c>
      <c r="E390" s="41">
        <v>2.5601068566340158E-3</v>
      </c>
    </row>
    <row r="391" spans="2:5" ht="15" customHeight="1">
      <c r="B391" s="84"/>
      <c r="C391" s="43" t="s">
        <v>131</v>
      </c>
      <c r="D391" s="42">
        <v>4</v>
      </c>
      <c r="E391" s="41">
        <v>4.4523597506678539E-4</v>
      </c>
    </row>
    <row r="392" spans="2:5" ht="15" customHeight="1">
      <c r="B392" s="84"/>
      <c r="C392" s="43" t="s">
        <v>127</v>
      </c>
      <c r="D392" s="42">
        <v>4</v>
      </c>
      <c r="E392" s="41">
        <v>4.4523597506678539E-4</v>
      </c>
    </row>
    <row r="393" spans="2:5" ht="15" customHeight="1">
      <c r="B393" s="84"/>
      <c r="C393" s="43" t="s">
        <v>139</v>
      </c>
      <c r="D393" s="42">
        <v>65</v>
      </c>
      <c r="E393" s="41">
        <v>7.2350845948352628E-3</v>
      </c>
    </row>
    <row r="394" spans="2:5" ht="15" customHeight="1">
      <c r="B394" s="84"/>
      <c r="C394" s="43" t="s">
        <v>144</v>
      </c>
      <c r="D394" s="42">
        <v>125</v>
      </c>
      <c r="E394" s="41">
        <v>1.3913624220837044E-2</v>
      </c>
    </row>
    <row r="395" spans="2:5" ht="15" customHeight="1">
      <c r="B395" s="84"/>
      <c r="C395" s="43" t="s">
        <v>132</v>
      </c>
      <c r="D395" s="42">
        <v>9</v>
      </c>
      <c r="E395" s="41">
        <v>1.0017809439002671E-3</v>
      </c>
    </row>
    <row r="396" spans="2:5" ht="15" customHeight="1">
      <c r="B396" s="84"/>
      <c r="C396" s="43" t="s">
        <v>143</v>
      </c>
      <c r="D396" s="42">
        <v>34</v>
      </c>
      <c r="E396" s="41">
        <v>3.7845057880676759E-3</v>
      </c>
    </row>
    <row r="397" spans="2:5" ht="15" customHeight="1">
      <c r="B397" s="84"/>
      <c r="C397" s="43" t="s">
        <v>135</v>
      </c>
      <c r="D397" s="42">
        <v>12</v>
      </c>
      <c r="E397" s="41">
        <v>1.3357079252003562E-3</v>
      </c>
    </row>
    <row r="398" spans="2:5" ht="15" customHeight="1">
      <c r="B398" s="84"/>
      <c r="C398" s="43" t="s">
        <v>129</v>
      </c>
      <c r="D398" s="42">
        <v>7</v>
      </c>
      <c r="E398" s="41">
        <v>7.7916295636687449E-4</v>
      </c>
    </row>
    <row r="399" spans="2:5" ht="15" customHeight="1">
      <c r="B399" s="85"/>
      <c r="C399" s="40" t="s">
        <v>23</v>
      </c>
      <c r="D399" s="39">
        <v>459</v>
      </c>
      <c r="E399" s="38">
        <v>5.1090828138913622E-2</v>
      </c>
    </row>
    <row r="400" spans="2:5" ht="15" customHeight="1">
      <c r="B400" s="83" t="s">
        <v>107</v>
      </c>
      <c r="C400" s="43" t="s">
        <v>140</v>
      </c>
      <c r="D400" s="42">
        <v>8</v>
      </c>
      <c r="E400" s="41">
        <v>8.9047195013357077E-4</v>
      </c>
    </row>
    <row r="401" spans="2:5" ht="15" customHeight="1">
      <c r="B401" s="84"/>
      <c r="C401" s="43" t="s">
        <v>141</v>
      </c>
      <c r="D401" s="42">
        <v>1</v>
      </c>
      <c r="E401" s="41">
        <v>1.1130899376669635E-4</v>
      </c>
    </row>
    <row r="402" spans="2:5" ht="15" customHeight="1">
      <c r="B402" s="84"/>
      <c r="C402" s="43" t="s">
        <v>130</v>
      </c>
      <c r="D402" s="42">
        <v>1</v>
      </c>
      <c r="E402" s="41">
        <v>1.1130899376669635E-4</v>
      </c>
    </row>
    <row r="403" spans="2:5" ht="15" customHeight="1">
      <c r="B403" s="84"/>
      <c r="C403" s="43" t="s">
        <v>134</v>
      </c>
      <c r="D403" s="42">
        <v>4</v>
      </c>
      <c r="E403" s="41">
        <v>4.4523597506678539E-4</v>
      </c>
    </row>
    <row r="404" spans="2:5" ht="15" customHeight="1">
      <c r="B404" s="84"/>
      <c r="C404" s="43" t="s">
        <v>139</v>
      </c>
      <c r="D404" s="42">
        <v>1</v>
      </c>
      <c r="E404" s="41">
        <v>1.1130899376669635E-4</v>
      </c>
    </row>
    <row r="405" spans="2:5" ht="15" customHeight="1">
      <c r="B405" s="84"/>
      <c r="C405" s="43" t="s">
        <v>144</v>
      </c>
      <c r="D405" s="42">
        <v>10</v>
      </c>
      <c r="E405" s="41">
        <v>1.1130899376669634E-3</v>
      </c>
    </row>
    <row r="406" spans="2:5" ht="15" customHeight="1">
      <c r="B406" s="84"/>
      <c r="C406" s="43" t="s">
        <v>143</v>
      </c>
      <c r="D406" s="42">
        <v>6</v>
      </c>
      <c r="E406" s="41">
        <v>6.6785396260017811E-4</v>
      </c>
    </row>
    <row r="407" spans="2:5" ht="15" customHeight="1">
      <c r="B407" s="84"/>
      <c r="C407" s="43" t="s">
        <v>135</v>
      </c>
      <c r="D407" s="42">
        <v>1</v>
      </c>
      <c r="E407" s="41">
        <v>1.1130899376669635E-4</v>
      </c>
    </row>
    <row r="408" spans="2:5" ht="15" customHeight="1">
      <c r="B408" s="84"/>
      <c r="C408" s="43" t="s">
        <v>129</v>
      </c>
      <c r="D408" s="42">
        <v>5</v>
      </c>
      <c r="E408" s="41">
        <v>5.5654496883348172E-4</v>
      </c>
    </row>
    <row r="409" spans="2:5" ht="15" customHeight="1">
      <c r="B409" s="85"/>
      <c r="C409" s="40" t="s">
        <v>23</v>
      </c>
      <c r="D409" s="39">
        <v>37</v>
      </c>
      <c r="E409" s="38">
        <v>4.1184327693677648E-3</v>
      </c>
    </row>
    <row r="410" spans="2:5" ht="15" customHeight="1">
      <c r="B410" s="83" t="s">
        <v>95</v>
      </c>
      <c r="C410" s="43" t="s">
        <v>140</v>
      </c>
      <c r="D410" s="42">
        <v>7</v>
      </c>
      <c r="E410" s="41">
        <v>7.7916295636687449E-4</v>
      </c>
    </row>
    <row r="411" spans="2:5" ht="15" customHeight="1">
      <c r="B411" s="84"/>
      <c r="C411" s="43" t="s">
        <v>141</v>
      </c>
      <c r="D411" s="42">
        <v>5</v>
      </c>
      <c r="E411" s="41">
        <v>5.5654496883348172E-4</v>
      </c>
    </row>
    <row r="412" spans="2:5" ht="15" customHeight="1">
      <c r="B412" s="84"/>
      <c r="C412" s="43" t="s">
        <v>130</v>
      </c>
      <c r="D412" s="42">
        <v>1</v>
      </c>
      <c r="E412" s="41">
        <v>1.1130899376669635E-4</v>
      </c>
    </row>
    <row r="413" spans="2:5" ht="15" customHeight="1">
      <c r="B413" s="84"/>
      <c r="C413" s="43" t="s">
        <v>142</v>
      </c>
      <c r="D413" s="42">
        <v>1</v>
      </c>
      <c r="E413" s="41">
        <v>1.1130899376669635E-4</v>
      </c>
    </row>
    <row r="414" spans="2:5" ht="15" customHeight="1">
      <c r="B414" s="84"/>
      <c r="C414" s="43" t="s">
        <v>138</v>
      </c>
      <c r="D414" s="42">
        <v>7</v>
      </c>
      <c r="E414" s="41">
        <v>7.7916295636687449E-4</v>
      </c>
    </row>
    <row r="415" spans="2:5" ht="15" customHeight="1">
      <c r="B415" s="84"/>
      <c r="C415" s="43" t="s">
        <v>131</v>
      </c>
      <c r="D415" s="42">
        <v>3</v>
      </c>
      <c r="E415" s="41">
        <v>3.3392698130008905E-4</v>
      </c>
    </row>
    <row r="416" spans="2:5" ht="15" customHeight="1">
      <c r="B416" s="84"/>
      <c r="C416" s="43" t="s">
        <v>127</v>
      </c>
      <c r="D416" s="42">
        <v>1</v>
      </c>
      <c r="E416" s="41">
        <v>1.1130899376669635E-4</v>
      </c>
    </row>
    <row r="417" spans="2:5" ht="15" customHeight="1">
      <c r="B417" s="84"/>
      <c r="C417" s="43" t="s">
        <v>139</v>
      </c>
      <c r="D417" s="42">
        <v>4</v>
      </c>
      <c r="E417" s="41">
        <v>4.4523597506678539E-4</v>
      </c>
    </row>
    <row r="418" spans="2:5" ht="15" customHeight="1">
      <c r="B418" s="84"/>
      <c r="C418" s="43" t="s">
        <v>144</v>
      </c>
      <c r="D418" s="42">
        <v>12</v>
      </c>
      <c r="E418" s="41">
        <v>1.3357079252003562E-3</v>
      </c>
    </row>
    <row r="419" spans="2:5" ht="15" customHeight="1">
      <c r="B419" s="84"/>
      <c r="C419" s="43" t="s">
        <v>143</v>
      </c>
      <c r="D419" s="42">
        <v>2</v>
      </c>
      <c r="E419" s="41">
        <v>2.2261798753339269E-4</v>
      </c>
    </row>
    <row r="420" spans="2:5" ht="15" customHeight="1">
      <c r="B420" s="84"/>
      <c r="C420" s="43" t="s">
        <v>135</v>
      </c>
      <c r="D420" s="42">
        <v>2</v>
      </c>
      <c r="E420" s="41">
        <v>2.2261798753339269E-4</v>
      </c>
    </row>
    <row r="421" spans="2:5" ht="15" customHeight="1">
      <c r="B421" s="85"/>
      <c r="C421" s="40" t="s">
        <v>23</v>
      </c>
      <c r="D421" s="39">
        <v>45</v>
      </c>
      <c r="E421" s="38">
        <v>5.0089047195013359E-3</v>
      </c>
    </row>
    <row r="422" spans="2:5" ht="15" customHeight="1">
      <c r="B422" s="83" t="s">
        <v>99</v>
      </c>
      <c r="C422" s="43" t="s">
        <v>140</v>
      </c>
      <c r="D422" s="42">
        <v>16</v>
      </c>
      <c r="E422" s="41">
        <v>1.7809439002671415E-3</v>
      </c>
    </row>
    <row r="423" spans="2:5" ht="15" customHeight="1">
      <c r="B423" s="84"/>
      <c r="C423" s="43" t="s">
        <v>141</v>
      </c>
      <c r="D423" s="42">
        <v>24</v>
      </c>
      <c r="E423" s="41">
        <v>2.6714158504007124E-3</v>
      </c>
    </row>
    <row r="424" spans="2:5" ht="15" customHeight="1">
      <c r="B424" s="84"/>
      <c r="C424" s="43" t="s">
        <v>130</v>
      </c>
      <c r="D424" s="42">
        <v>2</v>
      </c>
      <c r="E424" s="41">
        <v>2.2261798753339269E-4</v>
      </c>
    </row>
    <row r="425" spans="2:5" ht="15" customHeight="1">
      <c r="B425" s="84"/>
      <c r="C425" s="43" t="s">
        <v>133</v>
      </c>
      <c r="D425" s="42">
        <v>3</v>
      </c>
      <c r="E425" s="41">
        <v>3.3392698130008905E-4</v>
      </c>
    </row>
    <row r="426" spans="2:5" ht="15" customHeight="1">
      <c r="B426" s="84"/>
      <c r="C426" s="43" t="s">
        <v>134</v>
      </c>
      <c r="D426" s="42">
        <v>9</v>
      </c>
      <c r="E426" s="41">
        <v>1.0017809439002671E-3</v>
      </c>
    </row>
    <row r="427" spans="2:5" ht="15" customHeight="1">
      <c r="B427" s="84"/>
      <c r="C427" s="43" t="s">
        <v>137</v>
      </c>
      <c r="D427" s="42">
        <v>1</v>
      </c>
      <c r="E427" s="41">
        <v>1.1130899376669635E-4</v>
      </c>
    </row>
    <row r="428" spans="2:5" ht="15" customHeight="1">
      <c r="B428" s="84"/>
      <c r="C428" s="43" t="s">
        <v>142</v>
      </c>
      <c r="D428" s="42">
        <v>1</v>
      </c>
      <c r="E428" s="41">
        <v>1.1130899376669635E-4</v>
      </c>
    </row>
    <row r="429" spans="2:5" ht="15" customHeight="1">
      <c r="B429" s="84"/>
      <c r="C429" s="43" t="s">
        <v>131</v>
      </c>
      <c r="D429" s="42">
        <v>4</v>
      </c>
      <c r="E429" s="41">
        <v>4.4523597506678539E-4</v>
      </c>
    </row>
    <row r="430" spans="2:5" ht="15" customHeight="1">
      <c r="B430" s="84"/>
      <c r="C430" s="43" t="s">
        <v>139</v>
      </c>
      <c r="D430" s="42">
        <v>3</v>
      </c>
      <c r="E430" s="41">
        <v>3.3392698130008905E-4</v>
      </c>
    </row>
    <row r="431" spans="2:5" ht="15" customHeight="1">
      <c r="B431" s="84"/>
      <c r="C431" s="43" t="s">
        <v>144</v>
      </c>
      <c r="D431" s="42">
        <v>15</v>
      </c>
      <c r="E431" s="41">
        <v>1.6696349065004452E-3</v>
      </c>
    </row>
    <row r="432" spans="2:5" ht="15" customHeight="1">
      <c r="B432" s="84"/>
      <c r="C432" s="43" t="s">
        <v>143</v>
      </c>
      <c r="D432" s="42">
        <v>12</v>
      </c>
      <c r="E432" s="41">
        <v>1.3357079252003562E-3</v>
      </c>
    </row>
    <row r="433" spans="2:5" ht="15" customHeight="1">
      <c r="B433" s="84"/>
      <c r="C433" s="43" t="s">
        <v>135</v>
      </c>
      <c r="D433" s="42">
        <v>2</v>
      </c>
      <c r="E433" s="41">
        <v>2.2261798753339269E-4</v>
      </c>
    </row>
    <row r="434" spans="2:5" ht="15" customHeight="1">
      <c r="B434" s="84"/>
      <c r="C434" s="43" t="s">
        <v>129</v>
      </c>
      <c r="D434" s="42">
        <v>1</v>
      </c>
      <c r="E434" s="41">
        <v>1.1130899376669635E-4</v>
      </c>
    </row>
    <row r="435" spans="2:5" ht="15" customHeight="1">
      <c r="B435" s="85"/>
      <c r="C435" s="40" t="s">
        <v>23</v>
      </c>
      <c r="D435" s="39">
        <v>93</v>
      </c>
      <c r="E435" s="38">
        <v>1.035173642030276E-2</v>
      </c>
    </row>
    <row r="436" spans="2:5" ht="15" customHeight="1">
      <c r="B436" s="83" t="s">
        <v>83</v>
      </c>
      <c r="C436" s="43" t="s">
        <v>133</v>
      </c>
      <c r="D436" s="42">
        <v>1</v>
      </c>
      <c r="E436" s="41">
        <v>1.1130899376669635E-4</v>
      </c>
    </row>
    <row r="437" spans="2:5" ht="15" customHeight="1">
      <c r="B437" s="84"/>
      <c r="C437" s="43" t="s">
        <v>142</v>
      </c>
      <c r="D437" s="42">
        <v>1</v>
      </c>
      <c r="E437" s="41">
        <v>1.1130899376669635E-4</v>
      </c>
    </row>
    <row r="438" spans="2:5" ht="15" customHeight="1">
      <c r="B438" s="84"/>
      <c r="C438" s="43" t="s">
        <v>138</v>
      </c>
      <c r="D438" s="42">
        <v>3</v>
      </c>
      <c r="E438" s="41">
        <v>3.3392698130008905E-4</v>
      </c>
    </row>
    <row r="439" spans="2:5" ht="15" customHeight="1">
      <c r="B439" s="84"/>
      <c r="C439" s="43" t="s">
        <v>127</v>
      </c>
      <c r="D439" s="42">
        <v>1</v>
      </c>
      <c r="E439" s="41">
        <v>1.1130899376669635E-4</v>
      </c>
    </row>
    <row r="440" spans="2:5" ht="15" customHeight="1">
      <c r="B440" s="84"/>
      <c r="C440" s="43" t="s">
        <v>139</v>
      </c>
      <c r="D440" s="42">
        <v>1</v>
      </c>
      <c r="E440" s="41">
        <v>1.1130899376669635E-4</v>
      </c>
    </row>
    <row r="441" spans="2:5" ht="15" customHeight="1">
      <c r="B441" s="84"/>
      <c r="C441" s="43" t="s">
        <v>144</v>
      </c>
      <c r="D441" s="42">
        <v>2</v>
      </c>
      <c r="E441" s="41">
        <v>2.2261798753339269E-4</v>
      </c>
    </row>
    <row r="442" spans="2:5" ht="15" customHeight="1">
      <c r="B442" s="84"/>
      <c r="C442" s="43" t="s">
        <v>132</v>
      </c>
      <c r="D442" s="42">
        <v>2</v>
      </c>
      <c r="E442" s="41">
        <v>2.2261798753339269E-4</v>
      </c>
    </row>
    <row r="443" spans="2:5" ht="15" customHeight="1">
      <c r="B443" s="84"/>
      <c r="C443" s="43" t="s">
        <v>143</v>
      </c>
      <c r="D443" s="42">
        <v>1</v>
      </c>
      <c r="E443" s="41">
        <v>1.1130899376669635E-4</v>
      </c>
    </row>
    <row r="444" spans="2:5" ht="15" customHeight="1">
      <c r="B444" s="85"/>
      <c r="C444" s="40" t="s">
        <v>23</v>
      </c>
      <c r="D444" s="39">
        <v>12</v>
      </c>
      <c r="E444" s="38">
        <v>1.3357079252003562E-3</v>
      </c>
    </row>
    <row r="445" spans="2:5" ht="15" customHeight="1">
      <c r="B445" s="83" t="s">
        <v>117</v>
      </c>
      <c r="C445" s="43" t="s">
        <v>140</v>
      </c>
      <c r="D445" s="42">
        <v>28</v>
      </c>
      <c r="E445" s="41">
        <v>3.116651825467498E-3</v>
      </c>
    </row>
    <row r="446" spans="2:5" ht="15" customHeight="1">
      <c r="B446" s="84"/>
      <c r="C446" s="43" t="s">
        <v>136</v>
      </c>
      <c r="D446" s="42">
        <v>11</v>
      </c>
      <c r="E446" s="41">
        <v>1.2243989314336598E-3</v>
      </c>
    </row>
    <row r="447" spans="2:5" ht="15" customHeight="1">
      <c r="B447" s="84"/>
      <c r="C447" s="43" t="s">
        <v>141</v>
      </c>
      <c r="D447" s="42">
        <v>34</v>
      </c>
      <c r="E447" s="41">
        <v>3.7845057880676759E-3</v>
      </c>
    </row>
    <row r="448" spans="2:5" ht="15" customHeight="1">
      <c r="B448" s="84"/>
      <c r="C448" s="43" t="s">
        <v>130</v>
      </c>
      <c r="D448" s="42">
        <v>2</v>
      </c>
      <c r="E448" s="41">
        <v>2.2261798753339269E-4</v>
      </c>
    </row>
    <row r="449" spans="2:5" ht="15" customHeight="1">
      <c r="B449" s="84"/>
      <c r="C449" s="43" t="s">
        <v>128</v>
      </c>
      <c r="D449" s="42">
        <v>3</v>
      </c>
      <c r="E449" s="41">
        <v>3.3392698130008905E-4</v>
      </c>
    </row>
    <row r="450" spans="2:5" ht="15" customHeight="1">
      <c r="B450" s="84"/>
      <c r="C450" s="43" t="s">
        <v>133</v>
      </c>
      <c r="D450" s="42">
        <v>10</v>
      </c>
      <c r="E450" s="41">
        <v>1.1130899376669634E-3</v>
      </c>
    </row>
    <row r="451" spans="2:5" ht="15" customHeight="1">
      <c r="B451" s="84"/>
      <c r="C451" s="43" t="s">
        <v>134</v>
      </c>
      <c r="D451" s="42">
        <v>2</v>
      </c>
      <c r="E451" s="41">
        <v>2.2261798753339269E-4</v>
      </c>
    </row>
    <row r="452" spans="2:5" ht="15" customHeight="1">
      <c r="B452" s="84"/>
      <c r="C452" s="43" t="s">
        <v>137</v>
      </c>
      <c r="D452" s="42">
        <v>40</v>
      </c>
      <c r="E452" s="41">
        <v>4.4523597506678537E-3</v>
      </c>
    </row>
    <row r="453" spans="2:5" ht="15" customHeight="1">
      <c r="B453" s="84"/>
      <c r="C453" s="43" t="s">
        <v>142</v>
      </c>
      <c r="D453" s="42">
        <v>48</v>
      </c>
      <c r="E453" s="41">
        <v>5.3428317008014248E-3</v>
      </c>
    </row>
    <row r="454" spans="2:5" ht="15" customHeight="1">
      <c r="B454" s="84"/>
      <c r="C454" s="43" t="s">
        <v>138</v>
      </c>
      <c r="D454" s="42">
        <v>21</v>
      </c>
      <c r="E454" s="41">
        <v>2.3374888691006235E-3</v>
      </c>
    </row>
    <row r="455" spans="2:5" ht="15" customHeight="1">
      <c r="B455" s="84"/>
      <c r="C455" s="43" t="s">
        <v>131</v>
      </c>
      <c r="D455" s="42">
        <v>25</v>
      </c>
      <c r="E455" s="41">
        <v>2.7827248441674086E-3</v>
      </c>
    </row>
    <row r="456" spans="2:5" ht="15" customHeight="1">
      <c r="B456" s="84"/>
      <c r="C456" s="43" t="s">
        <v>127</v>
      </c>
      <c r="D456" s="42">
        <v>12</v>
      </c>
      <c r="E456" s="41">
        <v>1.3357079252003562E-3</v>
      </c>
    </row>
    <row r="457" spans="2:5" ht="15" customHeight="1">
      <c r="B457" s="84"/>
      <c r="C457" s="43" t="s">
        <v>139</v>
      </c>
      <c r="D457" s="42">
        <v>79</v>
      </c>
      <c r="E457" s="41">
        <v>8.7934105075690109E-3</v>
      </c>
    </row>
    <row r="458" spans="2:5" ht="15" customHeight="1">
      <c r="B458" s="84"/>
      <c r="C458" s="43" t="s">
        <v>144</v>
      </c>
      <c r="D458" s="42">
        <v>120</v>
      </c>
      <c r="E458" s="41">
        <v>1.3357079252003561E-2</v>
      </c>
    </row>
    <row r="459" spans="2:5" ht="15" customHeight="1">
      <c r="B459" s="84"/>
      <c r="C459" s="43" t="s">
        <v>143</v>
      </c>
      <c r="D459" s="42">
        <v>51</v>
      </c>
      <c r="E459" s="41">
        <v>5.6767586821015138E-3</v>
      </c>
    </row>
    <row r="460" spans="2:5" ht="15" customHeight="1">
      <c r="B460" s="84"/>
      <c r="C460" s="43" t="s">
        <v>135</v>
      </c>
      <c r="D460" s="42">
        <v>5</v>
      </c>
      <c r="E460" s="41">
        <v>5.5654496883348172E-4</v>
      </c>
    </row>
    <row r="461" spans="2:5" ht="15" customHeight="1">
      <c r="B461" s="84"/>
      <c r="C461" s="43" t="s">
        <v>129</v>
      </c>
      <c r="D461" s="42">
        <v>3</v>
      </c>
      <c r="E461" s="41">
        <v>3.3392698130008905E-4</v>
      </c>
    </row>
    <row r="462" spans="2:5" ht="15" customHeight="1">
      <c r="B462" s="85"/>
      <c r="C462" s="40" t="s">
        <v>23</v>
      </c>
      <c r="D462" s="39">
        <v>494</v>
      </c>
      <c r="E462" s="38">
        <v>5.4986642920747994E-2</v>
      </c>
    </row>
    <row r="463" spans="2:5" ht="15" customHeight="1">
      <c r="B463" s="83" t="s">
        <v>109</v>
      </c>
      <c r="C463" s="43" t="s">
        <v>140</v>
      </c>
      <c r="D463" s="42">
        <v>27</v>
      </c>
      <c r="E463" s="41">
        <v>3.0053428317008014E-3</v>
      </c>
    </row>
    <row r="464" spans="2:5" ht="15" customHeight="1">
      <c r="B464" s="84"/>
      <c r="C464" s="43" t="s">
        <v>141</v>
      </c>
      <c r="D464" s="42">
        <v>8</v>
      </c>
      <c r="E464" s="41">
        <v>8.9047195013357077E-4</v>
      </c>
    </row>
    <row r="465" spans="2:5" ht="15" customHeight="1">
      <c r="B465" s="84"/>
      <c r="C465" s="43" t="s">
        <v>130</v>
      </c>
      <c r="D465" s="42">
        <v>3</v>
      </c>
      <c r="E465" s="41">
        <v>3.3392698130008905E-4</v>
      </c>
    </row>
    <row r="466" spans="2:5" ht="15" customHeight="1">
      <c r="B466" s="84"/>
      <c r="C466" s="43" t="s">
        <v>133</v>
      </c>
      <c r="D466" s="42">
        <v>8</v>
      </c>
      <c r="E466" s="41">
        <v>8.9047195013357077E-4</v>
      </c>
    </row>
    <row r="467" spans="2:5" ht="15" customHeight="1">
      <c r="B467" s="84"/>
      <c r="C467" s="43" t="s">
        <v>134</v>
      </c>
      <c r="D467" s="42">
        <v>4</v>
      </c>
      <c r="E467" s="41">
        <v>4.4523597506678539E-4</v>
      </c>
    </row>
    <row r="468" spans="2:5" ht="15" customHeight="1">
      <c r="B468" s="84"/>
      <c r="C468" s="43" t="s">
        <v>137</v>
      </c>
      <c r="D468" s="42">
        <v>1</v>
      </c>
      <c r="E468" s="41">
        <v>1.1130899376669635E-4</v>
      </c>
    </row>
    <row r="469" spans="2:5" ht="15" customHeight="1">
      <c r="B469" s="84"/>
      <c r="C469" s="43" t="s">
        <v>142</v>
      </c>
      <c r="D469" s="42">
        <v>1</v>
      </c>
      <c r="E469" s="41">
        <v>1.1130899376669635E-4</v>
      </c>
    </row>
    <row r="470" spans="2:5" ht="15" customHeight="1">
      <c r="B470" s="84"/>
      <c r="C470" s="43" t="s">
        <v>138</v>
      </c>
      <c r="D470" s="42">
        <v>1</v>
      </c>
      <c r="E470" s="41">
        <v>1.1130899376669635E-4</v>
      </c>
    </row>
    <row r="471" spans="2:5" ht="15" customHeight="1">
      <c r="B471" s="84"/>
      <c r="C471" s="43" t="s">
        <v>131</v>
      </c>
      <c r="D471" s="42">
        <v>3</v>
      </c>
      <c r="E471" s="41">
        <v>3.3392698130008905E-4</v>
      </c>
    </row>
    <row r="472" spans="2:5" ht="15" customHeight="1">
      <c r="B472" s="84"/>
      <c r="C472" s="43" t="s">
        <v>139</v>
      </c>
      <c r="D472" s="42">
        <v>1</v>
      </c>
      <c r="E472" s="41">
        <v>1.1130899376669635E-4</v>
      </c>
    </row>
    <row r="473" spans="2:5" ht="15" customHeight="1">
      <c r="B473" s="84"/>
      <c r="C473" s="43" t="s">
        <v>144</v>
      </c>
      <c r="D473" s="42">
        <v>21</v>
      </c>
      <c r="E473" s="41">
        <v>2.3374888691006235E-3</v>
      </c>
    </row>
    <row r="474" spans="2:5" ht="15" customHeight="1">
      <c r="B474" s="84"/>
      <c r="C474" s="43" t="s">
        <v>132</v>
      </c>
      <c r="D474" s="42">
        <v>2</v>
      </c>
      <c r="E474" s="41">
        <v>2.2261798753339269E-4</v>
      </c>
    </row>
    <row r="475" spans="2:5" ht="15" customHeight="1">
      <c r="B475" s="84"/>
      <c r="C475" s="43" t="s">
        <v>143</v>
      </c>
      <c r="D475" s="42">
        <v>12</v>
      </c>
      <c r="E475" s="41">
        <v>1.3357079252003562E-3</v>
      </c>
    </row>
    <row r="476" spans="2:5" ht="15" customHeight="1">
      <c r="B476" s="84"/>
      <c r="C476" s="43" t="s">
        <v>135</v>
      </c>
      <c r="D476" s="42">
        <v>1</v>
      </c>
      <c r="E476" s="41">
        <v>1.1130899376669635E-4</v>
      </c>
    </row>
    <row r="477" spans="2:5" ht="15" customHeight="1">
      <c r="B477" s="85"/>
      <c r="C477" s="40" t="s">
        <v>23</v>
      </c>
      <c r="D477" s="39">
        <v>93</v>
      </c>
      <c r="E477" s="38">
        <v>1.035173642030276E-2</v>
      </c>
    </row>
    <row r="478" spans="2:5" ht="15" customHeight="1">
      <c r="B478" s="83" t="s">
        <v>94</v>
      </c>
      <c r="C478" s="43" t="s">
        <v>140</v>
      </c>
      <c r="D478" s="42">
        <v>4</v>
      </c>
      <c r="E478" s="41">
        <v>4.4523597506678539E-4</v>
      </c>
    </row>
    <row r="479" spans="2:5" ht="15" customHeight="1">
      <c r="B479" s="84"/>
      <c r="C479" s="43" t="s">
        <v>136</v>
      </c>
      <c r="D479" s="42">
        <v>2</v>
      </c>
      <c r="E479" s="41">
        <v>2.2261798753339269E-4</v>
      </c>
    </row>
    <row r="480" spans="2:5" ht="15" customHeight="1">
      <c r="B480" s="84"/>
      <c r="C480" s="43" t="s">
        <v>141</v>
      </c>
      <c r="D480" s="42">
        <v>5</v>
      </c>
      <c r="E480" s="41">
        <v>5.5654496883348172E-4</v>
      </c>
    </row>
    <row r="481" spans="2:5" ht="15" customHeight="1">
      <c r="B481" s="84"/>
      <c r="C481" s="43" t="s">
        <v>133</v>
      </c>
      <c r="D481" s="42">
        <v>5</v>
      </c>
      <c r="E481" s="41">
        <v>5.5654496883348172E-4</v>
      </c>
    </row>
    <row r="482" spans="2:5" ht="15" customHeight="1">
      <c r="B482" s="84"/>
      <c r="C482" s="43" t="s">
        <v>134</v>
      </c>
      <c r="D482" s="42">
        <v>1</v>
      </c>
      <c r="E482" s="41">
        <v>1.1130899376669635E-4</v>
      </c>
    </row>
    <row r="483" spans="2:5" ht="15" customHeight="1">
      <c r="B483" s="84"/>
      <c r="C483" s="43" t="s">
        <v>137</v>
      </c>
      <c r="D483" s="42">
        <v>2</v>
      </c>
      <c r="E483" s="41">
        <v>2.2261798753339269E-4</v>
      </c>
    </row>
    <row r="484" spans="2:5" ht="15" customHeight="1">
      <c r="B484" s="84"/>
      <c r="C484" s="43" t="s">
        <v>138</v>
      </c>
      <c r="D484" s="42">
        <v>3</v>
      </c>
      <c r="E484" s="41">
        <v>3.3392698130008905E-4</v>
      </c>
    </row>
    <row r="485" spans="2:5" ht="15" customHeight="1">
      <c r="B485" s="84"/>
      <c r="C485" s="43" t="s">
        <v>131</v>
      </c>
      <c r="D485" s="42">
        <v>3</v>
      </c>
      <c r="E485" s="41">
        <v>3.3392698130008905E-4</v>
      </c>
    </row>
    <row r="486" spans="2:5" ht="15" customHeight="1">
      <c r="B486" s="84"/>
      <c r="C486" s="43" t="s">
        <v>127</v>
      </c>
      <c r="D486" s="42">
        <v>1</v>
      </c>
      <c r="E486" s="41">
        <v>1.1130899376669635E-4</v>
      </c>
    </row>
    <row r="487" spans="2:5" ht="15" customHeight="1">
      <c r="B487" s="84"/>
      <c r="C487" s="43" t="s">
        <v>139</v>
      </c>
      <c r="D487" s="42">
        <v>1</v>
      </c>
      <c r="E487" s="41">
        <v>1.1130899376669635E-4</v>
      </c>
    </row>
    <row r="488" spans="2:5" ht="15" customHeight="1">
      <c r="B488" s="84"/>
      <c r="C488" s="43" t="s">
        <v>144</v>
      </c>
      <c r="D488" s="42">
        <v>18</v>
      </c>
      <c r="E488" s="41">
        <v>2.0035618878005341E-3</v>
      </c>
    </row>
    <row r="489" spans="2:5" ht="15" customHeight="1">
      <c r="B489" s="84"/>
      <c r="C489" s="43" t="s">
        <v>143</v>
      </c>
      <c r="D489" s="42">
        <v>10</v>
      </c>
      <c r="E489" s="41">
        <v>1.1130899376669634E-3</v>
      </c>
    </row>
    <row r="490" spans="2:5" ht="15" customHeight="1">
      <c r="B490" s="84"/>
      <c r="C490" s="43" t="s">
        <v>135</v>
      </c>
      <c r="D490" s="42">
        <v>2</v>
      </c>
      <c r="E490" s="41">
        <v>2.2261798753339269E-4</v>
      </c>
    </row>
    <row r="491" spans="2:5" ht="15" customHeight="1">
      <c r="B491" s="85"/>
      <c r="C491" s="40" t="s">
        <v>23</v>
      </c>
      <c r="D491" s="39">
        <v>57</v>
      </c>
      <c r="E491" s="38">
        <v>6.3446126447016917E-3</v>
      </c>
    </row>
    <row r="492" spans="2:5" ht="15" customHeight="1">
      <c r="B492" s="83" t="s">
        <v>96</v>
      </c>
      <c r="C492" s="43" t="s">
        <v>140</v>
      </c>
      <c r="D492" s="42">
        <v>20</v>
      </c>
      <c r="E492" s="41">
        <v>2.2261798753339269E-3</v>
      </c>
    </row>
    <row r="493" spans="2:5" ht="15" customHeight="1">
      <c r="B493" s="84"/>
      <c r="C493" s="43" t="s">
        <v>141</v>
      </c>
      <c r="D493" s="42">
        <v>1</v>
      </c>
      <c r="E493" s="41">
        <v>1.1130899376669635E-4</v>
      </c>
    </row>
    <row r="494" spans="2:5" ht="15" customHeight="1">
      <c r="B494" s="84"/>
      <c r="C494" s="43" t="s">
        <v>128</v>
      </c>
      <c r="D494" s="42">
        <v>1</v>
      </c>
      <c r="E494" s="41">
        <v>1.1130899376669635E-4</v>
      </c>
    </row>
    <row r="495" spans="2:5" ht="15" customHeight="1">
      <c r="B495" s="84"/>
      <c r="C495" s="43" t="s">
        <v>137</v>
      </c>
      <c r="D495" s="42">
        <v>1</v>
      </c>
      <c r="E495" s="41">
        <v>1.1130899376669635E-4</v>
      </c>
    </row>
    <row r="496" spans="2:5" ht="15" customHeight="1">
      <c r="B496" s="84"/>
      <c r="C496" s="43" t="s">
        <v>142</v>
      </c>
      <c r="D496" s="42">
        <v>3</v>
      </c>
      <c r="E496" s="41">
        <v>3.3392698130008905E-4</v>
      </c>
    </row>
    <row r="497" spans="2:5" ht="15" customHeight="1">
      <c r="B497" s="84"/>
      <c r="C497" s="43" t="s">
        <v>131</v>
      </c>
      <c r="D497" s="42">
        <v>3</v>
      </c>
      <c r="E497" s="41">
        <v>3.3392698130008905E-4</v>
      </c>
    </row>
    <row r="498" spans="2:5" ht="15" customHeight="1">
      <c r="B498" s="84"/>
      <c r="C498" s="43" t="s">
        <v>127</v>
      </c>
      <c r="D498" s="42">
        <v>1</v>
      </c>
      <c r="E498" s="41">
        <v>1.1130899376669635E-4</v>
      </c>
    </row>
    <row r="499" spans="2:5" ht="15" customHeight="1">
      <c r="B499" s="84"/>
      <c r="C499" s="43" t="s">
        <v>139</v>
      </c>
      <c r="D499" s="42">
        <v>2</v>
      </c>
      <c r="E499" s="41">
        <v>2.2261798753339269E-4</v>
      </c>
    </row>
    <row r="500" spans="2:5" ht="15" customHeight="1">
      <c r="B500" s="84"/>
      <c r="C500" s="43" t="s">
        <v>144</v>
      </c>
      <c r="D500" s="42">
        <v>8</v>
      </c>
      <c r="E500" s="41">
        <v>8.9047195013357077E-4</v>
      </c>
    </row>
    <row r="501" spans="2:5" ht="15" customHeight="1">
      <c r="B501" s="84"/>
      <c r="C501" s="43" t="s">
        <v>132</v>
      </c>
      <c r="D501" s="42">
        <v>1</v>
      </c>
      <c r="E501" s="41">
        <v>1.1130899376669635E-4</v>
      </c>
    </row>
    <row r="502" spans="2:5" ht="15" customHeight="1">
      <c r="B502" s="84"/>
      <c r="C502" s="43" t="s">
        <v>143</v>
      </c>
      <c r="D502" s="42">
        <v>12</v>
      </c>
      <c r="E502" s="41">
        <v>1.3357079252003562E-3</v>
      </c>
    </row>
    <row r="503" spans="2:5" ht="15" customHeight="1">
      <c r="B503" s="84"/>
      <c r="C503" s="43" t="s">
        <v>135</v>
      </c>
      <c r="D503" s="42">
        <v>4</v>
      </c>
      <c r="E503" s="41">
        <v>4.4523597506678539E-4</v>
      </c>
    </row>
    <row r="504" spans="2:5" ht="15" customHeight="1">
      <c r="B504" s="84"/>
      <c r="C504" s="43" t="s">
        <v>129</v>
      </c>
      <c r="D504" s="42">
        <v>2</v>
      </c>
      <c r="E504" s="41">
        <v>2.2261798753339269E-4</v>
      </c>
    </row>
    <row r="505" spans="2:5" ht="15" customHeight="1">
      <c r="B505" s="85"/>
      <c r="C505" s="40" t="s">
        <v>23</v>
      </c>
      <c r="D505" s="39">
        <v>59</v>
      </c>
      <c r="E505" s="38">
        <v>6.5672306322350849E-3</v>
      </c>
    </row>
    <row r="506" spans="2:5" ht="15" customHeight="1">
      <c r="B506" s="83" t="s">
        <v>104</v>
      </c>
      <c r="C506" s="43" t="s">
        <v>140</v>
      </c>
      <c r="D506" s="42">
        <v>5</v>
      </c>
      <c r="E506" s="41">
        <v>5.5654496883348172E-4</v>
      </c>
    </row>
    <row r="507" spans="2:5" ht="15" customHeight="1">
      <c r="B507" s="84"/>
      <c r="C507" s="43" t="s">
        <v>136</v>
      </c>
      <c r="D507" s="42">
        <v>13</v>
      </c>
      <c r="E507" s="41">
        <v>1.4470169189670526E-3</v>
      </c>
    </row>
    <row r="508" spans="2:5" ht="15" customHeight="1">
      <c r="B508" s="84"/>
      <c r="C508" s="43" t="s">
        <v>141</v>
      </c>
      <c r="D508" s="42">
        <v>9</v>
      </c>
      <c r="E508" s="41">
        <v>1.0017809439002671E-3</v>
      </c>
    </row>
    <row r="509" spans="2:5" ht="15" customHeight="1">
      <c r="B509" s="84"/>
      <c r="C509" s="43" t="s">
        <v>130</v>
      </c>
      <c r="D509" s="42">
        <v>1</v>
      </c>
      <c r="E509" s="41">
        <v>1.1130899376669635E-4</v>
      </c>
    </row>
    <row r="510" spans="2:5" ht="15" customHeight="1">
      <c r="B510" s="84"/>
      <c r="C510" s="43" t="s">
        <v>128</v>
      </c>
      <c r="D510" s="42">
        <v>12</v>
      </c>
      <c r="E510" s="41">
        <v>1.3357079252003562E-3</v>
      </c>
    </row>
    <row r="511" spans="2:5" ht="15" customHeight="1">
      <c r="B511" s="84"/>
      <c r="C511" s="43" t="s">
        <v>133</v>
      </c>
      <c r="D511" s="42">
        <v>7</v>
      </c>
      <c r="E511" s="41">
        <v>7.7916295636687449E-4</v>
      </c>
    </row>
    <row r="512" spans="2:5" ht="15" customHeight="1">
      <c r="B512" s="84"/>
      <c r="C512" s="43" t="s">
        <v>134</v>
      </c>
      <c r="D512" s="42">
        <v>1</v>
      </c>
      <c r="E512" s="41">
        <v>1.1130899376669635E-4</v>
      </c>
    </row>
    <row r="513" spans="2:5" ht="15" customHeight="1">
      <c r="B513" s="84"/>
      <c r="C513" s="43" t="s">
        <v>137</v>
      </c>
      <c r="D513" s="42">
        <v>27</v>
      </c>
      <c r="E513" s="41">
        <v>3.0053428317008014E-3</v>
      </c>
    </row>
    <row r="514" spans="2:5" ht="15" customHeight="1">
      <c r="B514" s="84"/>
      <c r="C514" s="43" t="s">
        <v>142</v>
      </c>
      <c r="D514" s="42">
        <v>12</v>
      </c>
      <c r="E514" s="41">
        <v>1.3357079252003562E-3</v>
      </c>
    </row>
    <row r="515" spans="2:5" ht="15" customHeight="1">
      <c r="B515" s="84"/>
      <c r="C515" s="43" t="s">
        <v>138</v>
      </c>
      <c r="D515" s="42">
        <v>7</v>
      </c>
      <c r="E515" s="41">
        <v>7.7916295636687449E-4</v>
      </c>
    </row>
    <row r="516" spans="2:5" ht="15" customHeight="1">
      <c r="B516" s="84"/>
      <c r="C516" s="43" t="s">
        <v>131</v>
      </c>
      <c r="D516" s="42">
        <v>4</v>
      </c>
      <c r="E516" s="41">
        <v>4.4523597506678539E-4</v>
      </c>
    </row>
    <row r="517" spans="2:5" ht="15" customHeight="1">
      <c r="B517" s="84"/>
      <c r="C517" s="43" t="s">
        <v>127</v>
      </c>
      <c r="D517" s="42">
        <v>7</v>
      </c>
      <c r="E517" s="41">
        <v>7.7916295636687449E-4</v>
      </c>
    </row>
    <row r="518" spans="2:5" ht="15" customHeight="1">
      <c r="B518" s="84"/>
      <c r="C518" s="43" t="s">
        <v>139</v>
      </c>
      <c r="D518" s="42">
        <v>4</v>
      </c>
      <c r="E518" s="41">
        <v>4.4523597506678539E-4</v>
      </c>
    </row>
    <row r="519" spans="2:5" ht="15" customHeight="1">
      <c r="B519" s="84"/>
      <c r="C519" s="43" t="s">
        <v>144</v>
      </c>
      <c r="D519" s="42">
        <v>125</v>
      </c>
      <c r="E519" s="41">
        <v>1.3913624220837044E-2</v>
      </c>
    </row>
    <row r="520" spans="2:5" ht="15" customHeight="1">
      <c r="B520" s="84"/>
      <c r="C520" s="43" t="s">
        <v>132</v>
      </c>
      <c r="D520" s="42">
        <v>10</v>
      </c>
      <c r="E520" s="41">
        <v>1.1130899376669634E-3</v>
      </c>
    </row>
    <row r="521" spans="2:5" ht="15" customHeight="1">
      <c r="B521" s="84"/>
      <c r="C521" s="43" t="s">
        <v>143</v>
      </c>
      <c r="D521" s="42">
        <v>18</v>
      </c>
      <c r="E521" s="41">
        <v>2.0035618878005341E-3</v>
      </c>
    </row>
    <row r="522" spans="2:5" ht="15" customHeight="1">
      <c r="B522" s="84"/>
      <c r="C522" s="43" t="s">
        <v>135</v>
      </c>
      <c r="D522" s="42">
        <v>2</v>
      </c>
      <c r="E522" s="41">
        <v>2.2261798753339269E-4</v>
      </c>
    </row>
    <row r="523" spans="2:5" ht="15" customHeight="1">
      <c r="B523" s="85"/>
      <c r="C523" s="40" t="s">
        <v>23</v>
      </c>
      <c r="D523" s="39">
        <v>264</v>
      </c>
      <c r="E523" s="38">
        <v>2.9385574354407838E-2</v>
      </c>
    </row>
    <row r="524" spans="2:5" ht="15" customHeight="1">
      <c r="B524" s="83" t="s">
        <v>116</v>
      </c>
      <c r="C524" s="43" t="s">
        <v>140</v>
      </c>
      <c r="D524" s="42">
        <v>43</v>
      </c>
      <c r="E524" s="41">
        <v>4.7862867319679427E-3</v>
      </c>
    </row>
    <row r="525" spans="2:5" ht="15" customHeight="1">
      <c r="B525" s="84"/>
      <c r="C525" s="43" t="s">
        <v>141</v>
      </c>
      <c r="D525" s="42">
        <v>16</v>
      </c>
      <c r="E525" s="41">
        <v>1.7809439002671415E-3</v>
      </c>
    </row>
    <row r="526" spans="2:5" ht="15" customHeight="1">
      <c r="B526" s="84"/>
      <c r="C526" s="43" t="s">
        <v>130</v>
      </c>
      <c r="D526" s="42">
        <v>1</v>
      </c>
      <c r="E526" s="41">
        <v>1.1130899376669635E-4</v>
      </c>
    </row>
    <row r="527" spans="2:5" ht="15" customHeight="1">
      <c r="B527" s="84"/>
      <c r="C527" s="43" t="s">
        <v>128</v>
      </c>
      <c r="D527" s="42">
        <v>4</v>
      </c>
      <c r="E527" s="41">
        <v>4.4523597506678539E-4</v>
      </c>
    </row>
    <row r="528" spans="2:5" ht="15" customHeight="1">
      <c r="B528" s="84"/>
      <c r="C528" s="43" t="s">
        <v>134</v>
      </c>
      <c r="D528" s="42">
        <v>11</v>
      </c>
      <c r="E528" s="41">
        <v>1.2243989314336598E-3</v>
      </c>
    </row>
    <row r="529" spans="2:5" ht="15" customHeight="1">
      <c r="B529" s="84"/>
      <c r="C529" s="43" t="s">
        <v>137</v>
      </c>
      <c r="D529" s="42">
        <v>1</v>
      </c>
      <c r="E529" s="41">
        <v>1.1130899376669635E-4</v>
      </c>
    </row>
    <row r="530" spans="2:5" ht="15" customHeight="1">
      <c r="B530" s="84"/>
      <c r="C530" s="43" t="s">
        <v>142</v>
      </c>
      <c r="D530" s="42">
        <v>2</v>
      </c>
      <c r="E530" s="41">
        <v>2.2261798753339269E-4</v>
      </c>
    </row>
    <row r="531" spans="2:5" ht="15" customHeight="1">
      <c r="B531" s="84"/>
      <c r="C531" s="43" t="s">
        <v>138</v>
      </c>
      <c r="D531" s="42">
        <v>1</v>
      </c>
      <c r="E531" s="41">
        <v>1.1130899376669635E-4</v>
      </c>
    </row>
    <row r="532" spans="2:5" ht="15" customHeight="1">
      <c r="B532" s="84"/>
      <c r="C532" s="43" t="s">
        <v>131</v>
      </c>
      <c r="D532" s="42">
        <v>1</v>
      </c>
      <c r="E532" s="41">
        <v>1.1130899376669635E-4</v>
      </c>
    </row>
    <row r="533" spans="2:5" ht="15" customHeight="1">
      <c r="B533" s="84"/>
      <c r="C533" s="43" t="s">
        <v>127</v>
      </c>
      <c r="D533" s="42">
        <v>2</v>
      </c>
      <c r="E533" s="41">
        <v>2.2261798753339269E-4</v>
      </c>
    </row>
    <row r="534" spans="2:5" ht="15" customHeight="1">
      <c r="B534" s="84"/>
      <c r="C534" s="43" t="s">
        <v>139</v>
      </c>
      <c r="D534" s="42">
        <v>2</v>
      </c>
      <c r="E534" s="41">
        <v>2.2261798753339269E-4</v>
      </c>
    </row>
    <row r="535" spans="2:5" ht="15" customHeight="1">
      <c r="B535" s="84"/>
      <c r="C535" s="43" t="s">
        <v>144</v>
      </c>
      <c r="D535" s="42">
        <v>32</v>
      </c>
      <c r="E535" s="41">
        <v>3.5618878005342831E-3</v>
      </c>
    </row>
    <row r="536" spans="2:5" ht="15" customHeight="1">
      <c r="B536" s="84"/>
      <c r="C536" s="43" t="s">
        <v>132</v>
      </c>
      <c r="D536" s="42">
        <v>3</v>
      </c>
      <c r="E536" s="41">
        <v>3.3392698130008905E-4</v>
      </c>
    </row>
    <row r="537" spans="2:5" ht="15" customHeight="1">
      <c r="B537" s="84"/>
      <c r="C537" s="43" t="s">
        <v>143</v>
      </c>
      <c r="D537" s="42">
        <v>96</v>
      </c>
      <c r="E537" s="41">
        <v>1.068566340160285E-2</v>
      </c>
    </row>
    <row r="538" spans="2:5" ht="15" customHeight="1">
      <c r="B538" s="84"/>
      <c r="C538" s="43" t="s">
        <v>135</v>
      </c>
      <c r="D538" s="42">
        <v>7</v>
      </c>
      <c r="E538" s="41">
        <v>7.7916295636687449E-4</v>
      </c>
    </row>
    <row r="539" spans="2:5" ht="15" customHeight="1">
      <c r="B539" s="84"/>
      <c r="C539" s="43" t="s">
        <v>129</v>
      </c>
      <c r="D539" s="42">
        <v>6</v>
      </c>
      <c r="E539" s="41">
        <v>6.6785396260017811E-4</v>
      </c>
    </row>
    <row r="540" spans="2:5" ht="15" customHeight="1">
      <c r="B540" s="85"/>
      <c r="C540" s="40" t="s">
        <v>23</v>
      </c>
      <c r="D540" s="39">
        <v>228</v>
      </c>
      <c r="E540" s="38">
        <v>2.5378450578806767E-2</v>
      </c>
    </row>
    <row r="541" spans="2:5" ht="15" customHeight="1">
      <c r="B541" s="83" t="s">
        <v>100</v>
      </c>
      <c r="C541" s="43" t="s">
        <v>140</v>
      </c>
      <c r="D541" s="42">
        <v>43</v>
      </c>
      <c r="E541" s="41">
        <v>4.7862867319679427E-3</v>
      </c>
    </row>
    <row r="542" spans="2:5" ht="15" customHeight="1">
      <c r="B542" s="84"/>
      <c r="C542" s="43" t="s">
        <v>136</v>
      </c>
      <c r="D542" s="42">
        <v>13</v>
      </c>
      <c r="E542" s="41">
        <v>1.4470169189670526E-3</v>
      </c>
    </row>
    <row r="543" spans="2:5" ht="15" customHeight="1">
      <c r="B543" s="84"/>
      <c r="C543" s="43" t="s">
        <v>141</v>
      </c>
      <c r="D543" s="42">
        <v>41</v>
      </c>
      <c r="E543" s="41">
        <v>4.5636687444345504E-3</v>
      </c>
    </row>
    <row r="544" spans="2:5" ht="15" customHeight="1">
      <c r="B544" s="84"/>
      <c r="C544" s="43" t="s">
        <v>130</v>
      </c>
      <c r="D544" s="42">
        <v>6</v>
      </c>
      <c r="E544" s="41">
        <v>6.6785396260017811E-4</v>
      </c>
    </row>
    <row r="545" spans="2:5" ht="15" customHeight="1">
      <c r="B545" s="84"/>
      <c r="C545" s="43" t="s">
        <v>128</v>
      </c>
      <c r="D545" s="42">
        <v>5</v>
      </c>
      <c r="E545" s="41">
        <v>5.5654496883348172E-4</v>
      </c>
    </row>
    <row r="546" spans="2:5" ht="15" customHeight="1">
      <c r="B546" s="84"/>
      <c r="C546" s="43" t="s">
        <v>134</v>
      </c>
      <c r="D546" s="42">
        <v>5</v>
      </c>
      <c r="E546" s="41">
        <v>5.5654496883348172E-4</v>
      </c>
    </row>
    <row r="547" spans="2:5" ht="15" customHeight="1">
      <c r="B547" s="84"/>
      <c r="C547" s="43" t="s">
        <v>137</v>
      </c>
      <c r="D547" s="42">
        <v>7</v>
      </c>
      <c r="E547" s="41">
        <v>7.7916295636687449E-4</v>
      </c>
    </row>
    <row r="548" spans="2:5" ht="15" customHeight="1">
      <c r="B548" s="84"/>
      <c r="C548" s="43" t="s">
        <v>142</v>
      </c>
      <c r="D548" s="42">
        <v>3</v>
      </c>
      <c r="E548" s="41">
        <v>3.3392698130008905E-4</v>
      </c>
    </row>
    <row r="549" spans="2:5" ht="15" customHeight="1">
      <c r="B549" s="84"/>
      <c r="C549" s="43" t="s">
        <v>138</v>
      </c>
      <c r="D549" s="42">
        <v>2</v>
      </c>
      <c r="E549" s="41">
        <v>2.2261798753339269E-4</v>
      </c>
    </row>
    <row r="550" spans="2:5" ht="15" customHeight="1">
      <c r="B550" s="84"/>
      <c r="C550" s="43" t="s">
        <v>131</v>
      </c>
      <c r="D550" s="42">
        <v>2</v>
      </c>
      <c r="E550" s="41">
        <v>2.2261798753339269E-4</v>
      </c>
    </row>
    <row r="551" spans="2:5" ht="15" customHeight="1">
      <c r="B551" s="84"/>
      <c r="C551" s="43" t="s">
        <v>127</v>
      </c>
      <c r="D551" s="42">
        <v>18</v>
      </c>
      <c r="E551" s="41">
        <v>2.0035618878005341E-3</v>
      </c>
    </row>
    <row r="552" spans="2:5" ht="15" customHeight="1">
      <c r="B552" s="84"/>
      <c r="C552" s="43" t="s">
        <v>139</v>
      </c>
      <c r="D552" s="42">
        <v>68</v>
      </c>
      <c r="E552" s="41">
        <v>7.5690115761353517E-3</v>
      </c>
    </row>
    <row r="553" spans="2:5" ht="15" customHeight="1">
      <c r="B553" s="84"/>
      <c r="C553" s="43" t="s">
        <v>144</v>
      </c>
      <c r="D553" s="42">
        <v>21</v>
      </c>
      <c r="E553" s="41">
        <v>2.3374888691006235E-3</v>
      </c>
    </row>
    <row r="554" spans="2:5" ht="15" customHeight="1">
      <c r="B554" s="84"/>
      <c r="C554" s="43" t="s">
        <v>132</v>
      </c>
      <c r="D554" s="42">
        <v>57</v>
      </c>
      <c r="E554" s="41">
        <v>6.3446126447016917E-3</v>
      </c>
    </row>
    <row r="555" spans="2:5" ht="15" customHeight="1">
      <c r="B555" s="84"/>
      <c r="C555" s="43" t="s">
        <v>143</v>
      </c>
      <c r="D555" s="42">
        <v>26</v>
      </c>
      <c r="E555" s="41">
        <v>2.8940338379341052E-3</v>
      </c>
    </row>
    <row r="556" spans="2:5" ht="15" customHeight="1">
      <c r="B556" s="84"/>
      <c r="C556" s="43" t="s">
        <v>135</v>
      </c>
      <c r="D556" s="42">
        <v>1</v>
      </c>
      <c r="E556" s="41">
        <v>1.1130899376669635E-4</v>
      </c>
    </row>
    <row r="557" spans="2:5" ht="15" customHeight="1">
      <c r="B557" s="84"/>
      <c r="C557" s="43" t="s">
        <v>129</v>
      </c>
      <c r="D557" s="42">
        <v>8</v>
      </c>
      <c r="E557" s="41">
        <v>8.9047195013357077E-4</v>
      </c>
    </row>
    <row r="558" spans="2:5" ht="15" customHeight="1">
      <c r="B558" s="85"/>
      <c r="C558" s="40" t="s">
        <v>23</v>
      </c>
      <c r="D558" s="39">
        <v>326</v>
      </c>
      <c r="E558" s="38">
        <v>3.6286731967943013E-2</v>
      </c>
    </row>
    <row r="559" spans="2:5" ht="15" customHeight="1">
      <c r="B559" s="83" t="s">
        <v>113</v>
      </c>
      <c r="C559" s="43" t="s">
        <v>140</v>
      </c>
      <c r="D559" s="42">
        <v>29</v>
      </c>
      <c r="E559" s="41">
        <v>3.2279608192341941E-3</v>
      </c>
    </row>
    <row r="560" spans="2:5" ht="15" customHeight="1">
      <c r="B560" s="84"/>
      <c r="C560" s="43" t="s">
        <v>141</v>
      </c>
      <c r="D560" s="42">
        <v>5</v>
      </c>
      <c r="E560" s="41">
        <v>5.5654496883348172E-4</v>
      </c>
    </row>
    <row r="561" spans="2:5" ht="15" customHeight="1">
      <c r="B561" s="84"/>
      <c r="C561" s="43" t="s">
        <v>130</v>
      </c>
      <c r="D561" s="42">
        <v>1</v>
      </c>
      <c r="E561" s="41">
        <v>1.1130899376669635E-4</v>
      </c>
    </row>
    <row r="562" spans="2:5" ht="15" customHeight="1">
      <c r="B562" s="84"/>
      <c r="C562" s="43" t="s">
        <v>133</v>
      </c>
      <c r="D562" s="42">
        <v>4</v>
      </c>
      <c r="E562" s="41">
        <v>4.4523597506678539E-4</v>
      </c>
    </row>
    <row r="563" spans="2:5" ht="15" customHeight="1">
      <c r="B563" s="84"/>
      <c r="C563" s="43" t="s">
        <v>134</v>
      </c>
      <c r="D563" s="42">
        <v>1</v>
      </c>
      <c r="E563" s="41">
        <v>1.1130899376669635E-4</v>
      </c>
    </row>
    <row r="564" spans="2:5" ht="15" customHeight="1">
      <c r="B564" s="84"/>
      <c r="C564" s="43" t="s">
        <v>137</v>
      </c>
      <c r="D564" s="42">
        <v>1</v>
      </c>
      <c r="E564" s="41">
        <v>1.1130899376669635E-4</v>
      </c>
    </row>
    <row r="565" spans="2:5" ht="15" customHeight="1">
      <c r="B565" s="84"/>
      <c r="C565" s="43" t="s">
        <v>142</v>
      </c>
      <c r="D565" s="42">
        <v>1</v>
      </c>
      <c r="E565" s="41">
        <v>1.1130899376669635E-4</v>
      </c>
    </row>
    <row r="566" spans="2:5" ht="15" customHeight="1">
      <c r="B566" s="84"/>
      <c r="C566" s="43" t="s">
        <v>138</v>
      </c>
      <c r="D566" s="42">
        <v>2</v>
      </c>
      <c r="E566" s="41">
        <v>2.2261798753339269E-4</v>
      </c>
    </row>
    <row r="567" spans="2:5" ht="15" customHeight="1">
      <c r="B567" s="84"/>
      <c r="C567" s="43" t="s">
        <v>127</v>
      </c>
      <c r="D567" s="42">
        <v>1</v>
      </c>
      <c r="E567" s="41">
        <v>1.1130899376669635E-4</v>
      </c>
    </row>
    <row r="568" spans="2:5" ht="15" customHeight="1">
      <c r="B568" s="84"/>
      <c r="C568" s="43" t="s">
        <v>144</v>
      </c>
      <c r="D568" s="42">
        <v>19</v>
      </c>
      <c r="E568" s="41">
        <v>2.1148708815672307E-3</v>
      </c>
    </row>
    <row r="569" spans="2:5" ht="15" customHeight="1">
      <c r="B569" s="84"/>
      <c r="C569" s="43" t="s">
        <v>132</v>
      </c>
      <c r="D569" s="42">
        <v>1</v>
      </c>
      <c r="E569" s="41">
        <v>1.1130899376669635E-4</v>
      </c>
    </row>
    <row r="570" spans="2:5" ht="15" customHeight="1">
      <c r="B570" s="84"/>
      <c r="C570" s="43" t="s">
        <v>143</v>
      </c>
      <c r="D570" s="42">
        <v>21</v>
      </c>
      <c r="E570" s="41">
        <v>2.3374888691006235E-3</v>
      </c>
    </row>
    <row r="571" spans="2:5" ht="15" customHeight="1">
      <c r="B571" s="84"/>
      <c r="C571" s="43" t="s">
        <v>135</v>
      </c>
      <c r="D571" s="42">
        <v>4</v>
      </c>
      <c r="E571" s="41">
        <v>4.4523597506678539E-4</v>
      </c>
    </row>
    <row r="572" spans="2:5" ht="15" customHeight="1">
      <c r="B572" s="84"/>
      <c r="C572" s="43" t="s">
        <v>129</v>
      </c>
      <c r="D572" s="42">
        <v>1</v>
      </c>
      <c r="E572" s="41">
        <v>1.1130899376669635E-4</v>
      </c>
    </row>
    <row r="573" spans="2:5" ht="15" customHeight="1">
      <c r="B573" s="85"/>
      <c r="C573" s="40" t="s">
        <v>23</v>
      </c>
      <c r="D573" s="39">
        <v>91</v>
      </c>
      <c r="E573" s="38">
        <v>1.0129118432769368E-2</v>
      </c>
    </row>
    <row r="574" spans="2:5" ht="15" customHeight="1">
      <c r="B574" s="83" t="s">
        <v>114</v>
      </c>
      <c r="C574" s="43" t="s">
        <v>140</v>
      </c>
      <c r="D574" s="42">
        <v>10</v>
      </c>
      <c r="E574" s="41">
        <v>1.1130899376669634E-3</v>
      </c>
    </row>
    <row r="575" spans="2:5" ht="15" customHeight="1">
      <c r="B575" s="84"/>
      <c r="C575" s="43" t="s">
        <v>136</v>
      </c>
      <c r="D575" s="42">
        <v>2</v>
      </c>
      <c r="E575" s="41">
        <v>2.2261798753339269E-4</v>
      </c>
    </row>
    <row r="576" spans="2:5" ht="15" customHeight="1">
      <c r="B576" s="84"/>
      <c r="C576" s="43" t="s">
        <v>141</v>
      </c>
      <c r="D576" s="42">
        <v>10</v>
      </c>
      <c r="E576" s="41">
        <v>1.1130899376669634E-3</v>
      </c>
    </row>
    <row r="577" spans="2:5" ht="15" customHeight="1">
      <c r="B577" s="84"/>
      <c r="C577" s="43" t="s">
        <v>130</v>
      </c>
      <c r="D577" s="42">
        <v>4</v>
      </c>
      <c r="E577" s="41">
        <v>4.4523597506678539E-4</v>
      </c>
    </row>
    <row r="578" spans="2:5" ht="15" customHeight="1">
      <c r="B578" s="84"/>
      <c r="C578" s="43" t="s">
        <v>134</v>
      </c>
      <c r="D578" s="42">
        <v>7</v>
      </c>
      <c r="E578" s="41">
        <v>7.7916295636687449E-4</v>
      </c>
    </row>
    <row r="579" spans="2:5" ht="15" customHeight="1">
      <c r="B579" s="84"/>
      <c r="C579" s="43" t="s">
        <v>137</v>
      </c>
      <c r="D579" s="42">
        <v>1</v>
      </c>
      <c r="E579" s="41">
        <v>1.1130899376669635E-4</v>
      </c>
    </row>
    <row r="580" spans="2:5" ht="15" customHeight="1">
      <c r="B580" s="84"/>
      <c r="C580" s="43" t="s">
        <v>142</v>
      </c>
      <c r="D580" s="42">
        <v>3</v>
      </c>
      <c r="E580" s="41">
        <v>3.3392698130008905E-4</v>
      </c>
    </row>
    <row r="581" spans="2:5" ht="15" customHeight="1">
      <c r="B581" s="84"/>
      <c r="C581" s="43" t="s">
        <v>138</v>
      </c>
      <c r="D581" s="42">
        <v>1</v>
      </c>
      <c r="E581" s="41">
        <v>1.1130899376669635E-4</v>
      </c>
    </row>
    <row r="582" spans="2:5" ht="15" customHeight="1">
      <c r="B582" s="84"/>
      <c r="C582" s="43" t="s">
        <v>131</v>
      </c>
      <c r="D582" s="42">
        <v>1</v>
      </c>
      <c r="E582" s="41">
        <v>1.1130899376669635E-4</v>
      </c>
    </row>
    <row r="583" spans="2:5" ht="15" customHeight="1">
      <c r="B583" s="84"/>
      <c r="C583" s="43" t="s">
        <v>127</v>
      </c>
      <c r="D583" s="42">
        <v>7</v>
      </c>
      <c r="E583" s="41">
        <v>7.7916295636687449E-4</v>
      </c>
    </row>
    <row r="584" spans="2:5" ht="15" customHeight="1">
      <c r="B584" s="84"/>
      <c r="C584" s="43" t="s">
        <v>139</v>
      </c>
      <c r="D584" s="42">
        <v>1</v>
      </c>
      <c r="E584" s="41">
        <v>1.1130899376669635E-4</v>
      </c>
    </row>
    <row r="585" spans="2:5" ht="15" customHeight="1">
      <c r="B585" s="84"/>
      <c r="C585" s="43" t="s">
        <v>144</v>
      </c>
      <c r="D585" s="42">
        <v>21</v>
      </c>
      <c r="E585" s="41">
        <v>2.3374888691006235E-3</v>
      </c>
    </row>
    <row r="586" spans="2:5" ht="15" customHeight="1">
      <c r="B586" s="84"/>
      <c r="C586" s="43" t="s">
        <v>143</v>
      </c>
      <c r="D586" s="42">
        <v>5</v>
      </c>
      <c r="E586" s="41">
        <v>5.5654496883348172E-4</v>
      </c>
    </row>
    <row r="587" spans="2:5" ht="15" customHeight="1">
      <c r="B587" s="84"/>
      <c r="C587" s="43" t="s">
        <v>135</v>
      </c>
      <c r="D587" s="42">
        <v>6</v>
      </c>
      <c r="E587" s="41">
        <v>6.6785396260017811E-4</v>
      </c>
    </row>
    <row r="588" spans="2:5" ht="15" customHeight="1">
      <c r="B588" s="84"/>
      <c r="C588" s="43" t="s">
        <v>129</v>
      </c>
      <c r="D588" s="42">
        <v>4</v>
      </c>
      <c r="E588" s="41">
        <v>4.4523597506678539E-4</v>
      </c>
    </row>
    <row r="589" spans="2:5" ht="15" customHeight="1">
      <c r="B589" s="85"/>
      <c r="C589" s="40" t="s">
        <v>23</v>
      </c>
      <c r="D589" s="39">
        <v>83</v>
      </c>
      <c r="E589" s="38">
        <v>9.2386464826357973E-3</v>
      </c>
    </row>
    <row r="590" spans="2:5" ht="15" customHeight="1">
      <c r="B590" s="83" t="s">
        <v>115</v>
      </c>
      <c r="C590" s="43" t="s">
        <v>140</v>
      </c>
      <c r="D590" s="42">
        <v>10</v>
      </c>
      <c r="E590" s="41">
        <v>1.1130899376669634E-3</v>
      </c>
    </row>
    <row r="591" spans="2:5" ht="15" customHeight="1">
      <c r="B591" s="84"/>
      <c r="C591" s="43" t="s">
        <v>136</v>
      </c>
      <c r="D591" s="42">
        <v>2</v>
      </c>
      <c r="E591" s="41">
        <v>2.2261798753339269E-4</v>
      </c>
    </row>
    <row r="592" spans="2:5" ht="15" customHeight="1">
      <c r="B592" s="84"/>
      <c r="C592" s="43" t="s">
        <v>141</v>
      </c>
      <c r="D592" s="42">
        <v>72</v>
      </c>
      <c r="E592" s="41">
        <v>8.0142475512021364E-3</v>
      </c>
    </row>
    <row r="593" spans="2:5" ht="15" customHeight="1">
      <c r="B593" s="84"/>
      <c r="C593" s="43" t="s">
        <v>130</v>
      </c>
      <c r="D593" s="42">
        <v>24</v>
      </c>
      <c r="E593" s="41">
        <v>2.6714158504007124E-3</v>
      </c>
    </row>
    <row r="594" spans="2:5" ht="15" customHeight="1">
      <c r="B594" s="84"/>
      <c r="C594" s="43" t="s">
        <v>134</v>
      </c>
      <c r="D594" s="42">
        <v>78</v>
      </c>
      <c r="E594" s="41">
        <v>8.682101513802316E-3</v>
      </c>
    </row>
    <row r="595" spans="2:5" ht="15" customHeight="1">
      <c r="B595" s="84"/>
      <c r="C595" s="43" t="s">
        <v>137</v>
      </c>
      <c r="D595" s="42">
        <v>1</v>
      </c>
      <c r="E595" s="41">
        <v>1.1130899376669635E-4</v>
      </c>
    </row>
    <row r="596" spans="2:5" ht="15" customHeight="1">
      <c r="B596" s="84"/>
      <c r="C596" s="43" t="s">
        <v>142</v>
      </c>
      <c r="D596" s="42">
        <v>2</v>
      </c>
      <c r="E596" s="41">
        <v>2.2261798753339269E-4</v>
      </c>
    </row>
    <row r="597" spans="2:5" ht="15" customHeight="1">
      <c r="B597" s="84"/>
      <c r="C597" s="43" t="s">
        <v>138</v>
      </c>
      <c r="D597" s="42">
        <v>3</v>
      </c>
      <c r="E597" s="41">
        <v>3.3392698130008905E-4</v>
      </c>
    </row>
    <row r="598" spans="2:5" ht="15" customHeight="1">
      <c r="B598" s="84"/>
      <c r="C598" s="43" t="s">
        <v>131</v>
      </c>
      <c r="D598" s="42">
        <v>5</v>
      </c>
      <c r="E598" s="41">
        <v>5.5654496883348172E-4</v>
      </c>
    </row>
    <row r="599" spans="2:5" ht="15" customHeight="1">
      <c r="B599" s="84"/>
      <c r="C599" s="43" t="s">
        <v>139</v>
      </c>
      <c r="D599" s="42">
        <v>2</v>
      </c>
      <c r="E599" s="41">
        <v>2.2261798753339269E-4</v>
      </c>
    </row>
    <row r="600" spans="2:5" ht="15" customHeight="1">
      <c r="B600" s="84"/>
      <c r="C600" s="43" t="s">
        <v>144</v>
      </c>
      <c r="D600" s="42">
        <v>28</v>
      </c>
      <c r="E600" s="41">
        <v>3.116651825467498E-3</v>
      </c>
    </row>
    <row r="601" spans="2:5" ht="15" customHeight="1">
      <c r="B601" s="84"/>
      <c r="C601" s="43" t="s">
        <v>132</v>
      </c>
      <c r="D601" s="42">
        <v>2</v>
      </c>
      <c r="E601" s="41">
        <v>2.2261798753339269E-4</v>
      </c>
    </row>
    <row r="602" spans="2:5" ht="15" customHeight="1">
      <c r="B602" s="84"/>
      <c r="C602" s="43" t="s">
        <v>143</v>
      </c>
      <c r="D602" s="42">
        <v>104</v>
      </c>
      <c r="E602" s="41">
        <v>1.1576135351736421E-2</v>
      </c>
    </row>
    <row r="603" spans="2:5" ht="15" customHeight="1">
      <c r="B603" s="84"/>
      <c r="C603" s="43" t="s">
        <v>135</v>
      </c>
      <c r="D603" s="42">
        <v>14</v>
      </c>
      <c r="E603" s="41">
        <v>1.558325912733749E-3</v>
      </c>
    </row>
    <row r="604" spans="2:5" ht="15" customHeight="1">
      <c r="B604" s="84"/>
      <c r="C604" s="43" t="s">
        <v>129</v>
      </c>
      <c r="D604" s="42">
        <v>2</v>
      </c>
      <c r="E604" s="41">
        <v>2.2261798753339269E-4</v>
      </c>
    </row>
    <row r="605" spans="2:5" ht="15" customHeight="1">
      <c r="B605" s="85"/>
      <c r="C605" s="40" t="s">
        <v>23</v>
      </c>
      <c r="D605" s="39">
        <v>349</v>
      </c>
      <c r="E605" s="38">
        <v>3.8846838824577026E-2</v>
      </c>
    </row>
    <row r="606" spans="2:5" ht="15" customHeight="1">
      <c r="B606" s="83" t="s">
        <v>93</v>
      </c>
      <c r="C606" s="43" t="s">
        <v>140</v>
      </c>
      <c r="D606" s="42">
        <v>13</v>
      </c>
      <c r="E606" s="41">
        <v>1.4470169189670526E-3</v>
      </c>
    </row>
    <row r="607" spans="2:5" ht="15" customHeight="1">
      <c r="B607" s="84"/>
      <c r="C607" s="43" t="s">
        <v>136</v>
      </c>
      <c r="D607" s="42">
        <v>1</v>
      </c>
      <c r="E607" s="41">
        <v>1.1130899376669635E-4</v>
      </c>
    </row>
    <row r="608" spans="2:5" ht="15" customHeight="1">
      <c r="B608" s="84"/>
      <c r="C608" s="43" t="s">
        <v>141</v>
      </c>
      <c r="D608" s="42">
        <v>2</v>
      </c>
      <c r="E608" s="41">
        <v>2.2261798753339269E-4</v>
      </c>
    </row>
    <row r="609" spans="2:5" ht="15" customHeight="1">
      <c r="B609" s="84"/>
      <c r="C609" s="43" t="s">
        <v>128</v>
      </c>
      <c r="D609" s="42">
        <v>1</v>
      </c>
      <c r="E609" s="41">
        <v>1.1130899376669635E-4</v>
      </c>
    </row>
    <row r="610" spans="2:5" ht="15" customHeight="1">
      <c r="B610" s="84"/>
      <c r="C610" s="43" t="s">
        <v>133</v>
      </c>
      <c r="D610" s="42">
        <v>13</v>
      </c>
      <c r="E610" s="41">
        <v>1.4470169189670526E-3</v>
      </c>
    </row>
    <row r="611" spans="2:5" ht="15" customHeight="1">
      <c r="B611" s="84"/>
      <c r="C611" s="43" t="s">
        <v>134</v>
      </c>
      <c r="D611" s="42">
        <v>2</v>
      </c>
      <c r="E611" s="41">
        <v>2.2261798753339269E-4</v>
      </c>
    </row>
    <row r="612" spans="2:5" ht="15" customHeight="1">
      <c r="B612" s="84"/>
      <c r="C612" s="43" t="s">
        <v>137</v>
      </c>
      <c r="D612" s="42">
        <v>2</v>
      </c>
      <c r="E612" s="41">
        <v>2.2261798753339269E-4</v>
      </c>
    </row>
    <row r="613" spans="2:5" ht="15" customHeight="1">
      <c r="B613" s="84"/>
      <c r="C613" s="43" t="s">
        <v>138</v>
      </c>
      <c r="D613" s="42">
        <v>1</v>
      </c>
      <c r="E613" s="41">
        <v>1.1130899376669635E-4</v>
      </c>
    </row>
    <row r="614" spans="2:5" ht="15" customHeight="1">
      <c r="B614" s="84"/>
      <c r="C614" s="43" t="s">
        <v>131</v>
      </c>
      <c r="D614" s="42">
        <v>1</v>
      </c>
      <c r="E614" s="41">
        <v>1.1130899376669635E-4</v>
      </c>
    </row>
    <row r="615" spans="2:5" ht="15" customHeight="1">
      <c r="B615" s="84"/>
      <c r="C615" s="43" t="s">
        <v>139</v>
      </c>
      <c r="D615" s="42">
        <v>8</v>
      </c>
      <c r="E615" s="41">
        <v>8.9047195013357077E-4</v>
      </c>
    </row>
    <row r="616" spans="2:5" ht="15" customHeight="1">
      <c r="B616" s="84"/>
      <c r="C616" s="43" t="s">
        <v>144</v>
      </c>
      <c r="D616" s="42">
        <v>39</v>
      </c>
      <c r="E616" s="41">
        <v>4.341050756901158E-3</v>
      </c>
    </row>
    <row r="617" spans="2:5" ht="15" customHeight="1">
      <c r="B617" s="84"/>
      <c r="C617" s="43" t="s">
        <v>143</v>
      </c>
      <c r="D617" s="42">
        <v>19</v>
      </c>
      <c r="E617" s="41">
        <v>2.1148708815672307E-3</v>
      </c>
    </row>
    <row r="618" spans="2:5" ht="15" customHeight="1">
      <c r="B618" s="84"/>
      <c r="C618" s="43" t="s">
        <v>129</v>
      </c>
      <c r="D618" s="42">
        <v>1</v>
      </c>
      <c r="E618" s="41">
        <v>1.1130899376669635E-4</v>
      </c>
    </row>
    <row r="619" spans="2:5" ht="15" customHeight="1">
      <c r="B619" s="85"/>
      <c r="C619" s="40" t="s">
        <v>23</v>
      </c>
      <c r="D619" s="39">
        <v>103</v>
      </c>
      <c r="E619" s="38">
        <v>1.1464826357969724E-2</v>
      </c>
    </row>
    <row r="620" spans="2:5" ht="15" customHeight="1">
      <c r="B620" s="83" t="s">
        <v>84</v>
      </c>
      <c r="C620" s="43" t="s">
        <v>140</v>
      </c>
      <c r="D620" s="42">
        <v>1</v>
      </c>
      <c r="E620" s="41">
        <v>1.1130899376669635E-4</v>
      </c>
    </row>
    <row r="621" spans="2:5" ht="15" customHeight="1">
      <c r="B621" s="84"/>
      <c r="C621" s="43" t="s">
        <v>130</v>
      </c>
      <c r="D621" s="42">
        <v>1</v>
      </c>
      <c r="E621" s="41">
        <v>1.1130899376669635E-4</v>
      </c>
    </row>
    <row r="622" spans="2:5" ht="15" customHeight="1">
      <c r="B622" s="84"/>
      <c r="C622" s="43" t="s">
        <v>144</v>
      </c>
      <c r="D622" s="42">
        <v>3</v>
      </c>
      <c r="E622" s="41">
        <v>3.3392698130008905E-4</v>
      </c>
    </row>
    <row r="623" spans="2:5" ht="15" customHeight="1">
      <c r="B623" s="85"/>
      <c r="C623" s="40" t="s">
        <v>23</v>
      </c>
      <c r="D623" s="39">
        <v>5</v>
      </c>
      <c r="E623" s="38">
        <v>5.5654496883348172E-4</v>
      </c>
    </row>
    <row r="624" spans="2:5" ht="15" customHeight="1">
      <c r="B624" s="83" t="s">
        <v>60</v>
      </c>
      <c r="C624" s="43" t="s">
        <v>140</v>
      </c>
      <c r="D624" s="42">
        <v>11</v>
      </c>
      <c r="E624" s="41">
        <v>1.2243989314336598E-3</v>
      </c>
    </row>
    <row r="625" spans="2:5" ht="15" customHeight="1">
      <c r="B625" s="84"/>
      <c r="C625" s="43" t="s">
        <v>136</v>
      </c>
      <c r="D625" s="42">
        <v>6</v>
      </c>
      <c r="E625" s="41">
        <v>6.6785396260017811E-4</v>
      </c>
    </row>
    <row r="626" spans="2:5" ht="15" customHeight="1">
      <c r="B626" s="84"/>
      <c r="C626" s="43" t="s">
        <v>141</v>
      </c>
      <c r="D626" s="42">
        <v>5</v>
      </c>
      <c r="E626" s="41">
        <v>5.5654496883348172E-4</v>
      </c>
    </row>
    <row r="627" spans="2:5" ht="15" customHeight="1">
      <c r="B627" s="84"/>
      <c r="C627" s="43" t="s">
        <v>130</v>
      </c>
      <c r="D627" s="42">
        <v>2</v>
      </c>
      <c r="E627" s="41">
        <v>2.2261798753339269E-4</v>
      </c>
    </row>
    <row r="628" spans="2:5" ht="15" customHeight="1">
      <c r="B628" s="84"/>
      <c r="C628" s="43" t="s">
        <v>128</v>
      </c>
      <c r="D628" s="42">
        <v>4</v>
      </c>
      <c r="E628" s="41">
        <v>4.4523597506678539E-4</v>
      </c>
    </row>
    <row r="629" spans="2:5" ht="15" customHeight="1">
      <c r="B629" s="84"/>
      <c r="C629" s="43" t="s">
        <v>133</v>
      </c>
      <c r="D629" s="42">
        <v>2</v>
      </c>
      <c r="E629" s="41">
        <v>2.2261798753339269E-4</v>
      </c>
    </row>
    <row r="630" spans="2:5" ht="15" customHeight="1">
      <c r="B630" s="84"/>
      <c r="C630" s="43" t="s">
        <v>137</v>
      </c>
      <c r="D630" s="42">
        <v>4</v>
      </c>
      <c r="E630" s="41">
        <v>4.4523597506678539E-4</v>
      </c>
    </row>
    <row r="631" spans="2:5" ht="15" customHeight="1">
      <c r="B631" s="84"/>
      <c r="C631" s="43" t="s">
        <v>142</v>
      </c>
      <c r="D631" s="42">
        <v>22</v>
      </c>
      <c r="E631" s="41">
        <v>2.4487978628673196E-3</v>
      </c>
    </row>
    <row r="632" spans="2:5" ht="15" customHeight="1">
      <c r="B632" s="84"/>
      <c r="C632" s="43" t="s">
        <v>138</v>
      </c>
      <c r="D632" s="42">
        <v>7</v>
      </c>
      <c r="E632" s="41">
        <v>7.7916295636687449E-4</v>
      </c>
    </row>
    <row r="633" spans="2:5" ht="15" customHeight="1">
      <c r="B633" s="84"/>
      <c r="C633" s="43" t="s">
        <v>131</v>
      </c>
      <c r="D633" s="42">
        <v>3</v>
      </c>
      <c r="E633" s="41">
        <v>3.3392698130008905E-4</v>
      </c>
    </row>
    <row r="634" spans="2:5" ht="15" customHeight="1">
      <c r="B634" s="84"/>
      <c r="C634" s="43" t="s">
        <v>127</v>
      </c>
      <c r="D634" s="42">
        <v>5</v>
      </c>
      <c r="E634" s="41">
        <v>5.5654496883348172E-4</v>
      </c>
    </row>
    <row r="635" spans="2:5" ht="15" customHeight="1">
      <c r="B635" s="84"/>
      <c r="C635" s="43" t="s">
        <v>139</v>
      </c>
      <c r="D635" s="42">
        <v>24</v>
      </c>
      <c r="E635" s="41">
        <v>2.6714158504007124E-3</v>
      </c>
    </row>
    <row r="636" spans="2:5" ht="15" customHeight="1">
      <c r="B636" s="84"/>
      <c r="C636" s="43" t="s">
        <v>144</v>
      </c>
      <c r="D636" s="42">
        <v>32</v>
      </c>
      <c r="E636" s="41">
        <v>3.5618878005342831E-3</v>
      </c>
    </row>
    <row r="637" spans="2:5" ht="15" customHeight="1">
      <c r="B637" s="84"/>
      <c r="C637" s="43" t="s">
        <v>143</v>
      </c>
      <c r="D637" s="42">
        <v>11</v>
      </c>
      <c r="E637" s="41">
        <v>1.2243989314336598E-3</v>
      </c>
    </row>
    <row r="638" spans="2:5" ht="15" customHeight="1">
      <c r="B638" s="84"/>
      <c r="C638" s="43" t="s">
        <v>135</v>
      </c>
      <c r="D638" s="42">
        <v>1</v>
      </c>
      <c r="E638" s="41">
        <v>1.1130899376669635E-4</v>
      </c>
    </row>
    <row r="639" spans="2:5" ht="15" customHeight="1">
      <c r="B639" s="84"/>
      <c r="C639" s="43" t="s">
        <v>129</v>
      </c>
      <c r="D639" s="42">
        <v>1</v>
      </c>
      <c r="E639" s="41">
        <v>1.1130899376669635E-4</v>
      </c>
    </row>
    <row r="640" spans="2:5" ht="15" customHeight="1">
      <c r="B640" s="85"/>
      <c r="C640" s="40" t="s">
        <v>23</v>
      </c>
      <c r="D640" s="39">
        <v>140</v>
      </c>
      <c r="E640" s="38">
        <v>1.5583259127337488E-2</v>
      </c>
    </row>
    <row r="641" spans="2:5" ht="15" customHeight="1">
      <c r="B641" s="95" t="s">
        <v>23</v>
      </c>
      <c r="C641" s="96"/>
      <c r="D641" s="97">
        <v>8984</v>
      </c>
      <c r="E641" s="98">
        <v>1</v>
      </c>
    </row>
    <row r="643" spans="2:5" ht="15" customHeight="1">
      <c r="B643" s="19" t="s">
        <v>22</v>
      </c>
    </row>
    <row r="644" spans="2:5" ht="15" customHeight="1">
      <c r="B644" s="21" t="s">
        <v>21</v>
      </c>
    </row>
    <row r="645" spans="2:5" ht="15" customHeight="1">
      <c r="B645" s="20" t="s">
        <v>20</v>
      </c>
    </row>
    <row r="646" spans="2:5" ht="15" customHeight="1">
      <c r="B646" s="19" t="s">
        <v>19</v>
      </c>
    </row>
    <row r="647" spans="2:5" ht="15" customHeight="1">
      <c r="B647" s="19" t="s">
        <v>18</v>
      </c>
    </row>
  </sheetData>
  <mergeCells count="47">
    <mergeCell ref="B641:C641"/>
    <mergeCell ref="B574:B589"/>
    <mergeCell ref="B478:B491"/>
    <mergeCell ref="B590:B605"/>
    <mergeCell ref="B606:B619"/>
    <mergeCell ref="B620:B623"/>
    <mergeCell ref="B624:B640"/>
    <mergeCell ref="B492:B505"/>
    <mergeCell ref="B506:B523"/>
    <mergeCell ref="B524:B540"/>
    <mergeCell ref="B541:B558"/>
    <mergeCell ref="B559:B573"/>
    <mergeCell ref="B410:B421"/>
    <mergeCell ref="B422:B435"/>
    <mergeCell ref="B436:B444"/>
    <mergeCell ref="B445:B462"/>
    <mergeCell ref="B463:B477"/>
    <mergeCell ref="B337:B351"/>
    <mergeCell ref="B352:B364"/>
    <mergeCell ref="B365:B380"/>
    <mergeCell ref="B381:B399"/>
    <mergeCell ref="B400:B409"/>
    <mergeCell ref="B195:B213"/>
    <mergeCell ref="B214:B229"/>
    <mergeCell ref="B230:B241"/>
    <mergeCell ref="B242:B246"/>
    <mergeCell ref="B247:B262"/>
    <mergeCell ref="B263:B279"/>
    <mergeCell ref="B280:B298"/>
    <mergeCell ref="B299:B309"/>
    <mergeCell ref="B310:B327"/>
    <mergeCell ref="B328:B336"/>
    <mergeCell ref="B67:B73"/>
    <mergeCell ref="B74:B84"/>
    <mergeCell ref="B85:B103"/>
    <mergeCell ref="B104:B122"/>
    <mergeCell ref="B123:B124"/>
    <mergeCell ref="B125:B141"/>
    <mergeCell ref="B142:B156"/>
    <mergeCell ref="B157:B166"/>
    <mergeCell ref="B167:B177"/>
    <mergeCell ref="B178:B194"/>
    <mergeCell ref="B7:E8"/>
    <mergeCell ref="B10:B17"/>
    <mergeCell ref="B18:B36"/>
    <mergeCell ref="B37:B55"/>
    <mergeCell ref="B56:B6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portrait" r:id="rId1"/>
  <rowBreaks count="17" manualBreakCount="17">
    <brk id="36" max="4" man="1"/>
    <brk id="73" max="4" man="1"/>
    <brk id="103" max="4" man="1"/>
    <brk id="141" max="4" man="1"/>
    <brk id="177" max="4" man="1"/>
    <brk id="213" max="4" man="1"/>
    <brk id="246" max="4" man="1"/>
    <brk id="279" max="4" man="1"/>
    <brk id="309" max="4" man="1"/>
    <brk id="351" max="4" man="1"/>
    <brk id="380" max="4" man="1"/>
    <brk id="421" max="4" man="1"/>
    <brk id="462" max="4" man="1"/>
    <brk id="505" max="4" man="1"/>
    <brk id="540" max="4" man="1"/>
    <brk id="573" max="4" man="1"/>
    <brk id="605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44"/>
  <sheetViews>
    <sheetView showGridLines="0" topLeftCell="A14" zoomScaleNormal="100" zoomScaleSheetLayoutView="115" workbookViewId="0">
      <selection activeCell="B36" sqref="B36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75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2" t="s">
        <v>177</v>
      </c>
      <c r="C7" s="82"/>
      <c r="D7" s="82"/>
    </row>
    <row r="8" spans="1:4" s="29" customFormat="1" ht="15" customHeight="1">
      <c r="B8" s="82"/>
      <c r="C8" s="82"/>
      <c r="D8" s="82"/>
    </row>
    <row r="9" spans="1:4" s="29" customFormat="1" ht="33" customHeight="1">
      <c r="B9" s="82"/>
      <c r="C9" s="82"/>
      <c r="D9" s="82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176</v>
      </c>
      <c r="C11" s="31" t="s">
        <v>175</v>
      </c>
      <c r="D11" s="30" t="s">
        <v>71</v>
      </c>
    </row>
    <row r="12" spans="1:4" ht="15" customHeight="1">
      <c r="B12" s="27" t="s">
        <v>174</v>
      </c>
      <c r="C12" s="26">
        <v>125</v>
      </c>
      <c r="D12" s="25">
        <f t="shared" ref="D12:D36" si="0">C12/$C$36</f>
        <v>1.3913624220837044E-2</v>
      </c>
    </row>
    <row r="13" spans="1:4">
      <c r="B13" s="27" t="s">
        <v>173</v>
      </c>
      <c r="C13" s="26">
        <v>53</v>
      </c>
      <c r="D13" s="25">
        <f t="shared" si="0"/>
        <v>5.8993766696349061E-3</v>
      </c>
    </row>
    <row r="14" spans="1:4" s="28" customFormat="1">
      <c r="A14" s="17"/>
      <c r="B14" s="27" t="s">
        <v>172</v>
      </c>
      <c r="C14" s="26">
        <v>105</v>
      </c>
      <c r="D14" s="25">
        <f t="shared" si="0"/>
        <v>1.1687444345503117E-2</v>
      </c>
    </row>
    <row r="15" spans="1:4" s="28" customFormat="1">
      <c r="A15" s="17"/>
      <c r="B15" s="27" t="s">
        <v>171</v>
      </c>
      <c r="C15" s="26">
        <v>158</v>
      </c>
      <c r="D15" s="25">
        <f t="shared" si="0"/>
        <v>1.7586821015138022E-2</v>
      </c>
    </row>
    <row r="16" spans="1:4">
      <c r="B16" s="27" t="s">
        <v>170</v>
      </c>
      <c r="C16" s="26">
        <v>103</v>
      </c>
      <c r="D16" s="25">
        <f t="shared" si="0"/>
        <v>1.1464826357969724E-2</v>
      </c>
    </row>
    <row r="17" spans="2:4">
      <c r="B17" s="27" t="s">
        <v>169</v>
      </c>
      <c r="C17" s="26">
        <v>135</v>
      </c>
      <c r="D17" s="25">
        <f t="shared" si="0"/>
        <v>1.5026714158504007E-2</v>
      </c>
    </row>
    <row r="18" spans="2:4">
      <c r="B18" s="27" t="s">
        <v>168</v>
      </c>
      <c r="C18" s="26">
        <v>927</v>
      </c>
      <c r="D18" s="25">
        <f t="shared" si="0"/>
        <v>0.10318343722172751</v>
      </c>
    </row>
    <row r="19" spans="2:4" ht="27">
      <c r="B19" s="27" t="s">
        <v>167</v>
      </c>
      <c r="C19" s="26">
        <v>1801</v>
      </c>
      <c r="D19" s="25">
        <f t="shared" si="0"/>
        <v>0.20046749777382011</v>
      </c>
    </row>
    <row r="20" spans="2:4">
      <c r="B20" s="27" t="s">
        <v>166</v>
      </c>
      <c r="C20" s="26">
        <v>87</v>
      </c>
      <c r="D20" s="25">
        <f t="shared" si="0"/>
        <v>9.683882457702582E-3</v>
      </c>
    </row>
    <row r="21" spans="2:4">
      <c r="B21" s="27" t="s">
        <v>165</v>
      </c>
      <c r="C21" s="26">
        <v>178</v>
      </c>
      <c r="D21" s="25">
        <f t="shared" si="0"/>
        <v>1.981300089047195E-2</v>
      </c>
    </row>
    <row r="22" spans="2:4">
      <c r="B22" s="27" t="s">
        <v>164</v>
      </c>
      <c r="C22" s="26">
        <v>384</v>
      </c>
      <c r="D22" s="25">
        <f t="shared" si="0"/>
        <v>4.2742653606411399E-2</v>
      </c>
    </row>
    <row r="23" spans="2:4" ht="27">
      <c r="B23" s="27" t="s">
        <v>163</v>
      </c>
      <c r="C23" s="26">
        <v>3208</v>
      </c>
      <c r="D23" s="25">
        <f t="shared" si="0"/>
        <v>0.35707925200356189</v>
      </c>
    </row>
    <row r="24" spans="2:4">
      <c r="B24" s="27" t="s">
        <v>162</v>
      </c>
      <c r="C24" s="26">
        <v>77</v>
      </c>
      <c r="D24" s="25">
        <f t="shared" si="0"/>
        <v>8.5707925200356194E-3</v>
      </c>
    </row>
    <row r="25" spans="2:4" ht="27">
      <c r="B25" s="27" t="s">
        <v>161</v>
      </c>
      <c r="C25" s="26">
        <v>321</v>
      </c>
      <c r="D25" s="25">
        <f t="shared" si="0"/>
        <v>3.5730186999109528E-2</v>
      </c>
    </row>
    <row r="26" spans="2:4" ht="27">
      <c r="B26" s="27" t="s">
        <v>160</v>
      </c>
      <c r="C26" s="26">
        <v>1112</v>
      </c>
      <c r="D26" s="25">
        <f t="shared" si="0"/>
        <v>0.12377560106856635</v>
      </c>
    </row>
    <row r="27" spans="2:4">
      <c r="B27" s="27" t="s">
        <v>159</v>
      </c>
      <c r="C27" s="26">
        <v>12</v>
      </c>
      <c r="D27" s="25">
        <f t="shared" si="0"/>
        <v>1.3357079252003562E-3</v>
      </c>
    </row>
    <row r="28" spans="2:4">
      <c r="B28" s="27" t="s">
        <v>158</v>
      </c>
      <c r="C28" s="26">
        <v>14</v>
      </c>
      <c r="D28" s="25">
        <f t="shared" si="0"/>
        <v>1.558325912733749E-3</v>
      </c>
    </row>
    <row r="29" spans="2:4">
      <c r="B29" s="27" t="s">
        <v>157</v>
      </c>
      <c r="C29" s="26">
        <v>11</v>
      </c>
      <c r="D29" s="25">
        <f t="shared" si="0"/>
        <v>1.2243989314336598E-3</v>
      </c>
    </row>
    <row r="30" spans="2:4">
      <c r="B30" s="27" t="s">
        <v>156</v>
      </c>
      <c r="C30" s="26">
        <v>5</v>
      </c>
      <c r="D30" s="25">
        <f t="shared" si="0"/>
        <v>5.5654496883348172E-4</v>
      </c>
    </row>
    <row r="31" spans="2:4">
      <c r="B31" s="27" t="s">
        <v>155</v>
      </c>
      <c r="C31" s="26">
        <v>67</v>
      </c>
      <c r="D31" s="25">
        <f t="shared" si="0"/>
        <v>7.4577025823686551E-3</v>
      </c>
    </row>
    <row r="32" spans="2:4">
      <c r="B32" s="27" t="s">
        <v>154</v>
      </c>
      <c r="C32" s="26">
        <v>89</v>
      </c>
      <c r="D32" s="25">
        <f t="shared" si="0"/>
        <v>9.9065004452359752E-3</v>
      </c>
    </row>
    <row r="33" spans="1:4">
      <c r="B33" s="27" t="s">
        <v>153</v>
      </c>
      <c r="C33" s="26">
        <v>5</v>
      </c>
      <c r="D33" s="25">
        <f t="shared" si="0"/>
        <v>5.5654496883348172E-4</v>
      </c>
    </row>
    <row r="34" spans="1:4">
      <c r="B34" s="27" t="s">
        <v>152</v>
      </c>
      <c r="C34" s="26">
        <v>6</v>
      </c>
      <c r="D34" s="25">
        <f t="shared" si="0"/>
        <v>6.6785396260017811E-4</v>
      </c>
    </row>
    <row r="35" spans="1:4">
      <c r="B35" s="27" t="s">
        <v>151</v>
      </c>
      <c r="C35" s="26">
        <v>1</v>
      </c>
      <c r="D35" s="25">
        <f t="shared" si="0"/>
        <v>1.1130899376669635E-4</v>
      </c>
    </row>
    <row r="36" spans="1:4">
      <c r="B36" s="24" t="s">
        <v>23</v>
      </c>
      <c r="C36" s="23">
        <v>8984</v>
      </c>
      <c r="D36" s="22">
        <f t="shared" si="0"/>
        <v>1</v>
      </c>
    </row>
    <row r="38" spans="1:4">
      <c r="A38" s="56" t="s">
        <v>150</v>
      </c>
    </row>
    <row r="39" spans="1:4">
      <c r="A39" s="56" t="s">
        <v>21</v>
      </c>
    </row>
    <row r="40" spans="1:4">
      <c r="A40" s="56" t="s">
        <v>20</v>
      </c>
    </row>
    <row r="41" spans="1:4">
      <c r="A41" s="56" t="s">
        <v>19</v>
      </c>
    </row>
    <row r="42" spans="1:4">
      <c r="A42" s="56" t="s">
        <v>149</v>
      </c>
    </row>
    <row r="43" spans="1:4">
      <c r="A43" s="56"/>
    </row>
    <row r="44" spans="1:4">
      <c r="A44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65"/>
  <sheetViews>
    <sheetView topLeftCell="A519" zoomScale="82" zoomScaleNormal="82" zoomScaleSheetLayoutView="85" workbookViewId="0">
      <selection activeCell="B559" sqref="B559:E559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86"/>
      <c r="C7" s="86"/>
      <c r="D7" s="86"/>
      <c r="E7" s="86"/>
    </row>
    <row r="8" spans="1:5" s="48" customFormat="1" ht="33" customHeight="1">
      <c r="A8" s="49"/>
      <c r="B8" s="86"/>
      <c r="C8" s="86"/>
      <c r="D8" s="86"/>
      <c r="E8" s="86"/>
    </row>
    <row r="9" spans="1:5" s="29" customFormat="1" ht="40.5" customHeight="1">
      <c r="B9" s="45" t="s">
        <v>178</v>
      </c>
      <c r="C9" s="47" t="s">
        <v>148</v>
      </c>
      <c r="D9" s="46" t="s">
        <v>72</v>
      </c>
      <c r="E9" s="45" t="s">
        <v>71</v>
      </c>
    </row>
    <row r="10" spans="1:5" ht="15" customHeight="1">
      <c r="B10" s="83" t="s">
        <v>174</v>
      </c>
      <c r="C10" s="43" t="s">
        <v>57</v>
      </c>
      <c r="D10" s="42">
        <v>5</v>
      </c>
      <c r="E10" s="41">
        <v>5.5654496883348172E-4</v>
      </c>
    </row>
    <row r="11" spans="1:5" ht="15" customHeight="1">
      <c r="B11" s="84"/>
      <c r="C11" s="43" t="s">
        <v>63</v>
      </c>
      <c r="D11" s="42">
        <v>3</v>
      </c>
      <c r="E11" s="41">
        <v>3.3392698130008905E-4</v>
      </c>
    </row>
    <row r="12" spans="1:5" ht="15" customHeight="1">
      <c r="B12" s="84"/>
      <c r="C12" s="43" t="s">
        <v>69</v>
      </c>
      <c r="D12" s="42">
        <v>27</v>
      </c>
      <c r="E12" s="41">
        <v>3.0053428317008014E-3</v>
      </c>
    </row>
    <row r="13" spans="1:5" s="44" customFormat="1" ht="15" customHeight="1">
      <c r="A13" s="36"/>
      <c r="B13" s="84"/>
      <c r="C13" s="43" t="s">
        <v>68</v>
      </c>
      <c r="D13" s="42">
        <v>17</v>
      </c>
      <c r="E13" s="41">
        <v>1.8922528940338379E-3</v>
      </c>
    </row>
    <row r="14" spans="1:5" ht="15" customHeight="1">
      <c r="B14" s="84"/>
      <c r="C14" s="43" t="s">
        <v>67</v>
      </c>
      <c r="D14" s="42">
        <v>3</v>
      </c>
      <c r="E14" s="41">
        <v>3.3392698130008905E-4</v>
      </c>
    </row>
    <row r="15" spans="1:5" ht="15" customHeight="1">
      <c r="B15" s="84"/>
      <c r="C15" s="43" t="s">
        <v>44</v>
      </c>
      <c r="D15" s="42">
        <v>2</v>
      </c>
      <c r="E15" s="41">
        <v>2.2261798753339269E-4</v>
      </c>
    </row>
    <row r="16" spans="1:5" ht="15" customHeight="1">
      <c r="B16" s="84"/>
      <c r="C16" s="43" t="s">
        <v>64</v>
      </c>
      <c r="D16" s="42">
        <v>3</v>
      </c>
      <c r="E16" s="41">
        <v>3.3392698130008905E-4</v>
      </c>
    </row>
    <row r="17" spans="2:5" ht="15" customHeight="1">
      <c r="B17" s="84"/>
      <c r="C17" s="43" t="s">
        <v>53</v>
      </c>
      <c r="D17" s="42">
        <v>1</v>
      </c>
      <c r="E17" s="41">
        <v>1.1130899376669635E-4</v>
      </c>
    </row>
    <row r="18" spans="2:5" ht="15" customHeight="1">
      <c r="B18" s="84"/>
      <c r="C18" s="43" t="s">
        <v>47</v>
      </c>
      <c r="D18" s="42">
        <v>1</v>
      </c>
      <c r="E18" s="41">
        <v>1.1130899376669635E-4</v>
      </c>
    </row>
    <row r="19" spans="2:5" ht="15" customHeight="1">
      <c r="B19" s="84"/>
      <c r="C19" s="43" t="s">
        <v>38</v>
      </c>
      <c r="D19" s="42">
        <v>1</v>
      </c>
      <c r="E19" s="41">
        <v>1.1130899376669635E-4</v>
      </c>
    </row>
    <row r="20" spans="2:5" ht="15" customHeight="1">
      <c r="B20" s="84"/>
      <c r="C20" s="43" t="s">
        <v>56</v>
      </c>
      <c r="D20" s="42">
        <v>2</v>
      </c>
      <c r="E20" s="41">
        <v>2.2261798753339269E-4</v>
      </c>
    </row>
    <row r="21" spans="2:5" ht="15" customHeight="1">
      <c r="B21" s="84"/>
      <c r="C21" s="43" t="s">
        <v>36</v>
      </c>
      <c r="D21" s="42">
        <v>1</v>
      </c>
      <c r="E21" s="41">
        <v>1.1130899376669635E-4</v>
      </c>
    </row>
    <row r="22" spans="2:5" ht="15" customHeight="1">
      <c r="B22" s="84"/>
      <c r="C22" s="43" t="s">
        <v>45</v>
      </c>
      <c r="D22" s="42">
        <v>1</v>
      </c>
      <c r="E22" s="41">
        <v>1.1130899376669635E-4</v>
      </c>
    </row>
    <row r="23" spans="2:5" ht="15" customHeight="1">
      <c r="B23" s="84"/>
      <c r="C23" s="43" t="s">
        <v>58</v>
      </c>
      <c r="D23" s="42">
        <v>1</v>
      </c>
      <c r="E23" s="41">
        <v>1.1130899376669635E-4</v>
      </c>
    </row>
    <row r="24" spans="2:5" ht="15" customHeight="1">
      <c r="B24" s="84"/>
      <c r="C24" s="43" t="s">
        <v>42</v>
      </c>
      <c r="D24" s="42">
        <v>2</v>
      </c>
      <c r="E24" s="41">
        <v>2.2261798753339269E-4</v>
      </c>
    </row>
    <row r="25" spans="2:5" ht="15" customHeight="1">
      <c r="B25" s="84"/>
      <c r="C25" s="43" t="s">
        <v>66</v>
      </c>
      <c r="D25" s="42">
        <v>3</v>
      </c>
      <c r="E25" s="41">
        <v>3.3392698130008905E-4</v>
      </c>
    </row>
    <row r="26" spans="2:5" ht="15" customHeight="1">
      <c r="B26" s="84"/>
      <c r="C26" s="43" t="s">
        <v>62</v>
      </c>
      <c r="D26" s="42">
        <v>1</v>
      </c>
      <c r="E26" s="41">
        <v>1.1130899376669635E-4</v>
      </c>
    </row>
    <row r="27" spans="2:5" ht="15" customHeight="1">
      <c r="B27" s="84"/>
      <c r="C27" s="43" t="s">
        <v>50</v>
      </c>
      <c r="D27" s="42">
        <v>2</v>
      </c>
      <c r="E27" s="41">
        <v>2.2261798753339269E-4</v>
      </c>
    </row>
    <row r="28" spans="2:5" ht="15" customHeight="1">
      <c r="B28" s="84"/>
      <c r="C28" s="43" t="s">
        <v>52</v>
      </c>
      <c r="D28" s="42">
        <v>1</v>
      </c>
      <c r="E28" s="41">
        <v>1.1130899376669635E-4</v>
      </c>
    </row>
    <row r="29" spans="2:5" ht="15" customHeight="1">
      <c r="B29" s="84"/>
      <c r="C29" s="43" t="s">
        <v>59</v>
      </c>
      <c r="D29" s="42">
        <v>1</v>
      </c>
      <c r="E29" s="41">
        <v>1.1130899376669635E-4</v>
      </c>
    </row>
    <row r="30" spans="2:5" ht="15" customHeight="1">
      <c r="B30" s="84"/>
      <c r="C30" s="43" t="s">
        <v>65</v>
      </c>
      <c r="D30" s="42">
        <v>3</v>
      </c>
      <c r="E30" s="41">
        <v>3.3392698130008905E-4</v>
      </c>
    </row>
    <row r="31" spans="2:5" ht="15" customHeight="1">
      <c r="B31" s="84"/>
      <c r="C31" s="43" t="s">
        <v>70</v>
      </c>
      <c r="D31" s="42">
        <v>42</v>
      </c>
      <c r="E31" s="41">
        <v>4.674977738201247E-3</v>
      </c>
    </row>
    <row r="32" spans="2:5" ht="15" customHeight="1">
      <c r="B32" s="84"/>
      <c r="C32" s="43" t="s">
        <v>55</v>
      </c>
      <c r="D32" s="42">
        <v>1</v>
      </c>
      <c r="E32" s="41">
        <v>1.1130899376669635E-4</v>
      </c>
    </row>
    <row r="33" spans="2:5" ht="15" customHeight="1">
      <c r="B33" s="84"/>
      <c r="C33" s="43" t="s">
        <v>60</v>
      </c>
      <c r="D33" s="42">
        <v>1</v>
      </c>
      <c r="E33" s="41">
        <v>1.1130899376669635E-4</v>
      </c>
    </row>
    <row r="34" spans="2:5" ht="15" customHeight="1">
      <c r="B34" s="85"/>
      <c r="C34" s="40" t="s">
        <v>23</v>
      </c>
      <c r="D34" s="39">
        <v>125</v>
      </c>
      <c r="E34" s="38">
        <v>1.3913624220837044E-2</v>
      </c>
    </row>
    <row r="35" spans="2:5" ht="15" customHeight="1">
      <c r="B35" s="83" t="s">
        <v>173</v>
      </c>
      <c r="C35" s="43" t="s">
        <v>57</v>
      </c>
      <c r="D35" s="42">
        <v>3</v>
      </c>
      <c r="E35" s="41">
        <v>3.3392698130008905E-4</v>
      </c>
    </row>
    <row r="36" spans="2:5" ht="15" customHeight="1">
      <c r="B36" s="84"/>
      <c r="C36" s="43" t="s">
        <v>69</v>
      </c>
      <c r="D36" s="42">
        <v>13</v>
      </c>
      <c r="E36" s="41">
        <v>1.4470169189670526E-3</v>
      </c>
    </row>
    <row r="37" spans="2:5" ht="15" customHeight="1">
      <c r="B37" s="84"/>
      <c r="C37" s="43" t="s">
        <v>68</v>
      </c>
      <c r="D37" s="42">
        <v>12</v>
      </c>
      <c r="E37" s="41">
        <v>1.3357079252003562E-3</v>
      </c>
    </row>
    <row r="38" spans="2:5" ht="15" customHeight="1">
      <c r="B38" s="84"/>
      <c r="C38" s="43" t="s">
        <v>67</v>
      </c>
      <c r="D38" s="42">
        <v>2</v>
      </c>
      <c r="E38" s="41">
        <v>2.2261798753339269E-4</v>
      </c>
    </row>
    <row r="39" spans="2:5" ht="15" customHeight="1">
      <c r="B39" s="84"/>
      <c r="C39" s="43" t="s">
        <v>44</v>
      </c>
      <c r="D39" s="42">
        <v>1</v>
      </c>
      <c r="E39" s="41">
        <v>1.1130899376669635E-4</v>
      </c>
    </row>
    <row r="40" spans="2:5" ht="15" customHeight="1">
      <c r="B40" s="84"/>
      <c r="C40" s="43" t="s">
        <v>53</v>
      </c>
      <c r="D40" s="42">
        <v>1</v>
      </c>
      <c r="E40" s="41">
        <v>1.1130899376669635E-4</v>
      </c>
    </row>
    <row r="41" spans="2:5" ht="15" customHeight="1">
      <c r="B41" s="84"/>
      <c r="C41" s="43" t="s">
        <v>56</v>
      </c>
      <c r="D41" s="42">
        <v>3</v>
      </c>
      <c r="E41" s="41">
        <v>3.3392698130008905E-4</v>
      </c>
    </row>
    <row r="42" spans="2:5" ht="15" customHeight="1">
      <c r="B42" s="84"/>
      <c r="C42" s="43" t="s">
        <v>66</v>
      </c>
      <c r="D42" s="42">
        <v>2</v>
      </c>
      <c r="E42" s="41">
        <v>2.2261798753339269E-4</v>
      </c>
    </row>
    <row r="43" spans="2:5" ht="15" customHeight="1">
      <c r="B43" s="84"/>
      <c r="C43" s="43" t="s">
        <v>62</v>
      </c>
      <c r="D43" s="42">
        <v>1</v>
      </c>
      <c r="E43" s="41">
        <v>1.1130899376669635E-4</v>
      </c>
    </row>
    <row r="44" spans="2:5" ht="15" customHeight="1">
      <c r="B44" s="84"/>
      <c r="C44" s="43" t="s">
        <v>52</v>
      </c>
      <c r="D44" s="42">
        <v>1</v>
      </c>
      <c r="E44" s="41">
        <v>1.1130899376669635E-4</v>
      </c>
    </row>
    <row r="45" spans="2:5" ht="15" customHeight="1">
      <c r="B45" s="84"/>
      <c r="C45" s="43" t="s">
        <v>59</v>
      </c>
      <c r="D45" s="42">
        <v>1</v>
      </c>
      <c r="E45" s="41">
        <v>1.1130899376669635E-4</v>
      </c>
    </row>
    <row r="46" spans="2:5" ht="15" customHeight="1">
      <c r="B46" s="84"/>
      <c r="C46" s="43" t="s">
        <v>65</v>
      </c>
      <c r="D46" s="42">
        <v>1</v>
      </c>
      <c r="E46" s="41">
        <v>1.1130899376669635E-4</v>
      </c>
    </row>
    <row r="47" spans="2:5" ht="15" customHeight="1">
      <c r="B47" s="84"/>
      <c r="C47" s="43" t="s">
        <v>70</v>
      </c>
      <c r="D47" s="42">
        <v>8</v>
      </c>
      <c r="E47" s="41">
        <v>8.9047195013357077E-4</v>
      </c>
    </row>
    <row r="48" spans="2:5" ht="15" customHeight="1">
      <c r="B48" s="84"/>
      <c r="C48" s="43" t="s">
        <v>49</v>
      </c>
      <c r="D48" s="42">
        <v>1</v>
      </c>
      <c r="E48" s="41">
        <v>1.1130899376669635E-4</v>
      </c>
    </row>
    <row r="49" spans="2:5" ht="15" customHeight="1">
      <c r="B49" s="84"/>
      <c r="C49" s="43" t="s">
        <v>55</v>
      </c>
      <c r="D49" s="42">
        <v>2</v>
      </c>
      <c r="E49" s="41">
        <v>2.2261798753339269E-4</v>
      </c>
    </row>
    <row r="50" spans="2:5" ht="15" customHeight="1">
      <c r="B50" s="84"/>
      <c r="C50" s="43" t="s">
        <v>51</v>
      </c>
      <c r="D50" s="42">
        <v>1</v>
      </c>
      <c r="E50" s="41">
        <v>1.1130899376669635E-4</v>
      </c>
    </row>
    <row r="51" spans="2:5" ht="15" customHeight="1">
      <c r="B51" s="85"/>
      <c r="C51" s="40" t="s">
        <v>23</v>
      </c>
      <c r="D51" s="39">
        <v>53</v>
      </c>
      <c r="E51" s="38">
        <v>5.8993766696349061E-3</v>
      </c>
    </row>
    <row r="52" spans="2:5" ht="15" customHeight="1">
      <c r="B52" s="83" t="s">
        <v>172</v>
      </c>
      <c r="C52" s="43" t="s">
        <v>57</v>
      </c>
      <c r="D52" s="42">
        <v>1</v>
      </c>
      <c r="E52" s="41">
        <v>1.1130899376669635E-4</v>
      </c>
    </row>
    <row r="53" spans="2:5" ht="15" customHeight="1">
      <c r="B53" s="84"/>
      <c r="C53" s="43" t="s">
        <v>69</v>
      </c>
      <c r="D53" s="42">
        <v>20</v>
      </c>
      <c r="E53" s="41">
        <v>2.2261798753339269E-3</v>
      </c>
    </row>
    <row r="54" spans="2:5" ht="15" customHeight="1">
      <c r="B54" s="84"/>
      <c r="C54" s="43" t="s">
        <v>68</v>
      </c>
      <c r="D54" s="42">
        <v>19</v>
      </c>
      <c r="E54" s="41">
        <v>2.1148708815672307E-3</v>
      </c>
    </row>
    <row r="55" spans="2:5" ht="15" customHeight="1">
      <c r="B55" s="84"/>
      <c r="C55" s="43" t="s">
        <v>67</v>
      </c>
      <c r="D55" s="42">
        <v>3</v>
      </c>
      <c r="E55" s="41">
        <v>3.3392698130008905E-4</v>
      </c>
    </row>
    <row r="56" spans="2:5" ht="15" customHeight="1">
      <c r="B56" s="84"/>
      <c r="C56" s="43" t="s">
        <v>64</v>
      </c>
      <c r="D56" s="42">
        <v>2</v>
      </c>
      <c r="E56" s="41">
        <v>2.2261798753339269E-4</v>
      </c>
    </row>
    <row r="57" spans="2:5" ht="15" customHeight="1">
      <c r="B57" s="84"/>
      <c r="C57" s="43" t="s">
        <v>47</v>
      </c>
      <c r="D57" s="42">
        <v>1</v>
      </c>
      <c r="E57" s="41">
        <v>1.1130899376669635E-4</v>
      </c>
    </row>
    <row r="58" spans="2:5" ht="15" customHeight="1">
      <c r="B58" s="84"/>
      <c r="C58" s="43" t="s">
        <v>56</v>
      </c>
      <c r="D58" s="42">
        <v>1</v>
      </c>
      <c r="E58" s="41">
        <v>1.1130899376669635E-4</v>
      </c>
    </row>
    <row r="59" spans="2:5" ht="15" customHeight="1">
      <c r="B59" s="84"/>
      <c r="C59" s="43" t="s">
        <v>46</v>
      </c>
      <c r="D59" s="42">
        <v>2</v>
      </c>
      <c r="E59" s="41">
        <v>2.2261798753339269E-4</v>
      </c>
    </row>
    <row r="60" spans="2:5" ht="15" customHeight="1">
      <c r="B60" s="84"/>
      <c r="C60" s="43" t="s">
        <v>43</v>
      </c>
      <c r="D60" s="42">
        <v>1</v>
      </c>
      <c r="E60" s="41">
        <v>1.1130899376669635E-4</v>
      </c>
    </row>
    <row r="61" spans="2:5" ht="15" customHeight="1">
      <c r="B61" s="84"/>
      <c r="C61" s="43" t="s">
        <v>58</v>
      </c>
      <c r="D61" s="42">
        <v>1</v>
      </c>
      <c r="E61" s="41">
        <v>1.1130899376669635E-4</v>
      </c>
    </row>
    <row r="62" spans="2:5" ht="15" customHeight="1">
      <c r="B62" s="84"/>
      <c r="C62" s="43" t="s">
        <v>39</v>
      </c>
      <c r="D62" s="42">
        <v>1</v>
      </c>
      <c r="E62" s="41">
        <v>1.1130899376669635E-4</v>
      </c>
    </row>
    <row r="63" spans="2:5" ht="15" customHeight="1">
      <c r="B63" s="84"/>
      <c r="C63" s="43" t="s">
        <v>37</v>
      </c>
      <c r="D63" s="42">
        <v>1</v>
      </c>
      <c r="E63" s="41">
        <v>1.1130899376669635E-4</v>
      </c>
    </row>
    <row r="64" spans="2:5" ht="15" customHeight="1">
      <c r="B64" s="84"/>
      <c r="C64" s="43" t="s">
        <v>42</v>
      </c>
      <c r="D64" s="42">
        <v>1</v>
      </c>
      <c r="E64" s="41">
        <v>1.1130899376669635E-4</v>
      </c>
    </row>
    <row r="65" spans="2:5" ht="15" customHeight="1">
      <c r="B65" s="84"/>
      <c r="C65" s="43" t="s">
        <v>66</v>
      </c>
      <c r="D65" s="42">
        <v>5</v>
      </c>
      <c r="E65" s="41">
        <v>5.5654496883348172E-4</v>
      </c>
    </row>
    <row r="66" spans="2:5" ht="15" customHeight="1">
      <c r="B66" s="84"/>
      <c r="C66" s="43" t="s">
        <v>41</v>
      </c>
      <c r="D66" s="42">
        <v>2</v>
      </c>
      <c r="E66" s="41">
        <v>2.2261798753339269E-4</v>
      </c>
    </row>
    <row r="67" spans="2:5" ht="15" customHeight="1">
      <c r="B67" s="84"/>
      <c r="C67" s="43" t="s">
        <v>52</v>
      </c>
      <c r="D67" s="42">
        <v>3</v>
      </c>
      <c r="E67" s="41">
        <v>3.3392698130008905E-4</v>
      </c>
    </row>
    <row r="68" spans="2:5" ht="15" customHeight="1">
      <c r="B68" s="84"/>
      <c r="C68" s="43" t="s">
        <v>65</v>
      </c>
      <c r="D68" s="42">
        <v>2</v>
      </c>
      <c r="E68" s="41">
        <v>2.2261798753339269E-4</v>
      </c>
    </row>
    <row r="69" spans="2:5" ht="15" customHeight="1">
      <c r="B69" s="84"/>
      <c r="C69" s="43" t="s">
        <v>70</v>
      </c>
      <c r="D69" s="42">
        <v>35</v>
      </c>
      <c r="E69" s="41">
        <v>3.895814781834372E-3</v>
      </c>
    </row>
    <row r="70" spans="2:5" ht="15" customHeight="1">
      <c r="B70" s="84"/>
      <c r="C70" s="43" t="s">
        <v>49</v>
      </c>
      <c r="D70" s="42">
        <v>1</v>
      </c>
      <c r="E70" s="41">
        <v>1.1130899376669635E-4</v>
      </c>
    </row>
    <row r="71" spans="2:5" ht="15" customHeight="1">
      <c r="B71" s="84"/>
      <c r="C71" s="43" t="s">
        <v>55</v>
      </c>
      <c r="D71" s="42">
        <v>3</v>
      </c>
      <c r="E71" s="41">
        <v>3.3392698130008905E-4</v>
      </c>
    </row>
    <row r="72" spans="2:5" ht="15" customHeight="1">
      <c r="B72" s="85"/>
      <c r="C72" s="40" t="s">
        <v>23</v>
      </c>
      <c r="D72" s="39">
        <v>105</v>
      </c>
      <c r="E72" s="38">
        <v>1.1687444345503117E-2</v>
      </c>
    </row>
    <row r="73" spans="2:5" ht="15" customHeight="1">
      <c r="B73" s="83" t="s">
        <v>171</v>
      </c>
      <c r="C73" s="43" t="s">
        <v>57</v>
      </c>
      <c r="D73" s="42">
        <v>2</v>
      </c>
      <c r="E73" s="41">
        <v>2.2261798753339269E-4</v>
      </c>
    </row>
    <row r="74" spans="2:5" ht="15" customHeight="1">
      <c r="B74" s="84"/>
      <c r="C74" s="43" t="s">
        <v>48</v>
      </c>
      <c r="D74" s="42">
        <v>1</v>
      </c>
      <c r="E74" s="41">
        <v>1.1130899376669635E-4</v>
      </c>
    </row>
    <row r="75" spans="2:5" ht="15" customHeight="1">
      <c r="B75" s="84"/>
      <c r="C75" s="43" t="s">
        <v>63</v>
      </c>
      <c r="D75" s="42">
        <v>3</v>
      </c>
      <c r="E75" s="41">
        <v>3.3392698130008905E-4</v>
      </c>
    </row>
    <row r="76" spans="2:5" ht="15" customHeight="1">
      <c r="B76" s="84"/>
      <c r="C76" s="43" t="s">
        <v>69</v>
      </c>
      <c r="D76" s="42">
        <v>31</v>
      </c>
      <c r="E76" s="41">
        <v>3.4505788067675869E-3</v>
      </c>
    </row>
    <row r="77" spans="2:5" ht="15" customHeight="1">
      <c r="B77" s="84"/>
      <c r="C77" s="43" t="s">
        <v>31</v>
      </c>
      <c r="D77" s="42">
        <v>1</v>
      </c>
      <c r="E77" s="41">
        <v>1.1130899376669635E-4</v>
      </c>
    </row>
    <row r="78" spans="2:5" ht="15" customHeight="1">
      <c r="B78" s="84"/>
      <c r="C78" s="43" t="s">
        <v>68</v>
      </c>
      <c r="D78" s="42">
        <v>25</v>
      </c>
      <c r="E78" s="41">
        <v>2.7827248441674086E-3</v>
      </c>
    </row>
    <row r="79" spans="2:5" ht="15" customHeight="1">
      <c r="B79" s="84"/>
      <c r="C79" s="43" t="s">
        <v>67</v>
      </c>
      <c r="D79" s="42">
        <v>3</v>
      </c>
      <c r="E79" s="41">
        <v>3.3392698130008905E-4</v>
      </c>
    </row>
    <row r="80" spans="2:5" ht="15" customHeight="1">
      <c r="B80" s="84"/>
      <c r="C80" s="43" t="s">
        <v>44</v>
      </c>
      <c r="D80" s="42">
        <v>1</v>
      </c>
      <c r="E80" s="41">
        <v>1.1130899376669635E-4</v>
      </c>
    </row>
    <row r="81" spans="2:5" ht="15" customHeight="1">
      <c r="B81" s="84"/>
      <c r="C81" s="43" t="s">
        <v>64</v>
      </c>
      <c r="D81" s="42">
        <v>1</v>
      </c>
      <c r="E81" s="41">
        <v>1.1130899376669635E-4</v>
      </c>
    </row>
    <row r="82" spans="2:5" ht="15" customHeight="1">
      <c r="B82" s="84"/>
      <c r="C82" s="43" t="s">
        <v>53</v>
      </c>
      <c r="D82" s="42">
        <v>1</v>
      </c>
      <c r="E82" s="41">
        <v>1.1130899376669635E-4</v>
      </c>
    </row>
    <row r="83" spans="2:5" ht="15" customHeight="1">
      <c r="B83" s="84"/>
      <c r="C83" s="43" t="s">
        <v>56</v>
      </c>
      <c r="D83" s="42">
        <v>1</v>
      </c>
      <c r="E83" s="41">
        <v>1.1130899376669635E-4</v>
      </c>
    </row>
    <row r="84" spans="2:5" ht="15" customHeight="1">
      <c r="B84" s="84"/>
      <c r="C84" s="43" t="s">
        <v>46</v>
      </c>
      <c r="D84" s="42">
        <v>2</v>
      </c>
      <c r="E84" s="41">
        <v>2.2261798753339269E-4</v>
      </c>
    </row>
    <row r="85" spans="2:5" ht="15" customHeight="1">
      <c r="B85" s="84"/>
      <c r="C85" s="43" t="s">
        <v>45</v>
      </c>
      <c r="D85" s="42">
        <v>1</v>
      </c>
      <c r="E85" s="41">
        <v>1.1130899376669635E-4</v>
      </c>
    </row>
    <row r="86" spans="2:5" ht="15" customHeight="1">
      <c r="B86" s="84"/>
      <c r="C86" s="43" t="s">
        <v>43</v>
      </c>
      <c r="D86" s="42">
        <v>1</v>
      </c>
      <c r="E86" s="41">
        <v>1.1130899376669635E-4</v>
      </c>
    </row>
    <row r="87" spans="2:5" ht="15" customHeight="1">
      <c r="B87" s="84"/>
      <c r="C87" s="43" t="s">
        <v>61</v>
      </c>
      <c r="D87" s="42">
        <v>1</v>
      </c>
      <c r="E87" s="41">
        <v>1.1130899376669635E-4</v>
      </c>
    </row>
    <row r="88" spans="2:5" ht="15" customHeight="1">
      <c r="B88" s="84"/>
      <c r="C88" s="43" t="s">
        <v>39</v>
      </c>
      <c r="D88" s="42">
        <v>1</v>
      </c>
      <c r="E88" s="41">
        <v>1.1130899376669635E-4</v>
      </c>
    </row>
    <row r="89" spans="2:5" ht="15" customHeight="1">
      <c r="B89" s="84"/>
      <c r="C89" s="43" t="s">
        <v>37</v>
      </c>
      <c r="D89" s="42">
        <v>1</v>
      </c>
      <c r="E89" s="41">
        <v>1.1130899376669635E-4</v>
      </c>
    </row>
    <row r="90" spans="2:5" ht="15" customHeight="1">
      <c r="B90" s="84"/>
      <c r="C90" s="43" t="s">
        <v>42</v>
      </c>
      <c r="D90" s="42">
        <v>1</v>
      </c>
      <c r="E90" s="41">
        <v>1.1130899376669635E-4</v>
      </c>
    </row>
    <row r="91" spans="2:5" ht="15" customHeight="1">
      <c r="B91" s="84"/>
      <c r="C91" s="43" t="s">
        <v>66</v>
      </c>
      <c r="D91" s="42">
        <v>1</v>
      </c>
      <c r="E91" s="41">
        <v>1.1130899376669635E-4</v>
      </c>
    </row>
    <row r="92" spans="2:5" ht="15" customHeight="1">
      <c r="B92" s="84"/>
      <c r="C92" s="43" t="s">
        <v>62</v>
      </c>
      <c r="D92" s="42">
        <v>4</v>
      </c>
      <c r="E92" s="41">
        <v>4.4523597506678539E-4</v>
      </c>
    </row>
    <row r="93" spans="2:5" ht="15" customHeight="1">
      <c r="B93" s="84"/>
      <c r="C93" s="43" t="s">
        <v>50</v>
      </c>
      <c r="D93" s="42">
        <v>2</v>
      </c>
      <c r="E93" s="41">
        <v>2.2261798753339269E-4</v>
      </c>
    </row>
    <row r="94" spans="2:5" ht="15" customHeight="1">
      <c r="B94" s="84"/>
      <c r="C94" s="43" t="s">
        <v>52</v>
      </c>
      <c r="D94" s="42">
        <v>3</v>
      </c>
      <c r="E94" s="41">
        <v>3.3392698130008905E-4</v>
      </c>
    </row>
    <row r="95" spans="2:5" ht="15" customHeight="1">
      <c r="B95" s="84"/>
      <c r="C95" s="43" t="s">
        <v>59</v>
      </c>
      <c r="D95" s="42">
        <v>2</v>
      </c>
      <c r="E95" s="41">
        <v>2.2261798753339269E-4</v>
      </c>
    </row>
    <row r="96" spans="2:5" ht="15" customHeight="1">
      <c r="B96" s="84"/>
      <c r="C96" s="43" t="s">
        <v>65</v>
      </c>
      <c r="D96" s="42">
        <v>5</v>
      </c>
      <c r="E96" s="41">
        <v>5.5654496883348172E-4</v>
      </c>
    </row>
    <row r="97" spans="2:5" ht="15" customHeight="1">
      <c r="B97" s="84"/>
      <c r="C97" s="43" t="s">
        <v>70</v>
      </c>
      <c r="D97" s="42">
        <v>57</v>
      </c>
      <c r="E97" s="41">
        <v>6.3446126447016917E-3</v>
      </c>
    </row>
    <row r="98" spans="2:5" ht="15" customHeight="1">
      <c r="B98" s="84"/>
      <c r="C98" s="43" t="s">
        <v>55</v>
      </c>
      <c r="D98" s="42">
        <v>1</v>
      </c>
      <c r="E98" s="41">
        <v>1.1130899376669635E-4</v>
      </c>
    </row>
    <row r="99" spans="2:5" ht="15" customHeight="1">
      <c r="B99" s="84"/>
      <c r="C99" s="43" t="s">
        <v>60</v>
      </c>
      <c r="D99" s="42">
        <v>3</v>
      </c>
      <c r="E99" s="41">
        <v>3.3392698130008905E-4</v>
      </c>
    </row>
    <row r="100" spans="2:5" ht="15" customHeight="1">
      <c r="B100" s="84"/>
      <c r="C100" s="43" t="s">
        <v>51</v>
      </c>
      <c r="D100" s="42">
        <v>2</v>
      </c>
      <c r="E100" s="41">
        <v>2.2261798753339269E-4</v>
      </c>
    </row>
    <row r="101" spans="2:5" ht="15" customHeight="1">
      <c r="B101" s="85"/>
      <c r="C101" s="40" t="s">
        <v>23</v>
      </c>
      <c r="D101" s="39">
        <v>158</v>
      </c>
      <c r="E101" s="38">
        <v>1.7586821015138022E-2</v>
      </c>
    </row>
    <row r="102" spans="2:5" ht="15" customHeight="1">
      <c r="B102" s="83" t="s">
        <v>170</v>
      </c>
      <c r="C102" s="43" t="s">
        <v>48</v>
      </c>
      <c r="D102" s="42">
        <v>1</v>
      </c>
      <c r="E102" s="41">
        <v>1.1130899376669635E-4</v>
      </c>
    </row>
    <row r="103" spans="2:5" ht="15" customHeight="1">
      <c r="B103" s="84"/>
      <c r="C103" s="43" t="s">
        <v>63</v>
      </c>
      <c r="D103" s="42">
        <v>4</v>
      </c>
      <c r="E103" s="41">
        <v>4.4523597506678539E-4</v>
      </c>
    </row>
    <row r="104" spans="2:5" ht="15" customHeight="1">
      <c r="B104" s="84"/>
      <c r="C104" s="43" t="s">
        <v>69</v>
      </c>
      <c r="D104" s="42">
        <v>27</v>
      </c>
      <c r="E104" s="41">
        <v>3.0053428317008014E-3</v>
      </c>
    </row>
    <row r="105" spans="2:5" ht="15" customHeight="1">
      <c r="B105" s="84"/>
      <c r="C105" s="43" t="s">
        <v>54</v>
      </c>
      <c r="D105" s="42">
        <v>1</v>
      </c>
      <c r="E105" s="41">
        <v>1.1130899376669635E-4</v>
      </c>
    </row>
    <row r="106" spans="2:5" ht="15" customHeight="1">
      <c r="B106" s="84"/>
      <c r="C106" s="43" t="s">
        <v>68</v>
      </c>
      <c r="D106" s="42">
        <v>13</v>
      </c>
      <c r="E106" s="41">
        <v>1.4470169189670526E-3</v>
      </c>
    </row>
    <row r="107" spans="2:5" ht="15" customHeight="1">
      <c r="B107" s="84"/>
      <c r="C107" s="43" t="s">
        <v>67</v>
      </c>
      <c r="D107" s="42">
        <v>9</v>
      </c>
      <c r="E107" s="41">
        <v>1.0017809439002671E-3</v>
      </c>
    </row>
    <row r="108" spans="2:5" ht="15" customHeight="1">
      <c r="B108" s="84"/>
      <c r="C108" s="43" t="s">
        <v>53</v>
      </c>
      <c r="D108" s="42">
        <v>1</v>
      </c>
      <c r="E108" s="41">
        <v>1.1130899376669635E-4</v>
      </c>
    </row>
    <row r="109" spans="2:5" ht="15" customHeight="1">
      <c r="B109" s="84"/>
      <c r="C109" s="43" t="s">
        <v>56</v>
      </c>
      <c r="D109" s="42">
        <v>1</v>
      </c>
      <c r="E109" s="41">
        <v>1.1130899376669635E-4</v>
      </c>
    </row>
    <row r="110" spans="2:5" ht="15" customHeight="1">
      <c r="B110" s="84"/>
      <c r="C110" s="43" t="s">
        <v>46</v>
      </c>
      <c r="D110" s="42">
        <v>1</v>
      </c>
      <c r="E110" s="41">
        <v>1.1130899376669635E-4</v>
      </c>
    </row>
    <row r="111" spans="2:5" ht="15" customHeight="1">
      <c r="B111" s="84"/>
      <c r="C111" s="43" t="s">
        <v>61</v>
      </c>
      <c r="D111" s="42">
        <v>1</v>
      </c>
      <c r="E111" s="41">
        <v>1.1130899376669635E-4</v>
      </c>
    </row>
    <row r="112" spans="2:5" ht="15" customHeight="1">
      <c r="B112" s="84"/>
      <c r="C112" s="43" t="s">
        <v>66</v>
      </c>
      <c r="D112" s="42">
        <v>7</v>
      </c>
      <c r="E112" s="41">
        <v>7.7916295636687449E-4</v>
      </c>
    </row>
    <row r="113" spans="2:5" ht="15" customHeight="1">
      <c r="B113" s="84"/>
      <c r="C113" s="43" t="s">
        <v>41</v>
      </c>
      <c r="D113" s="42">
        <v>1</v>
      </c>
      <c r="E113" s="41">
        <v>1.1130899376669635E-4</v>
      </c>
    </row>
    <row r="114" spans="2:5" ht="15" customHeight="1">
      <c r="B114" s="84"/>
      <c r="C114" s="43" t="s">
        <v>62</v>
      </c>
      <c r="D114" s="42">
        <v>1</v>
      </c>
      <c r="E114" s="41">
        <v>1.1130899376669635E-4</v>
      </c>
    </row>
    <row r="115" spans="2:5" ht="15" customHeight="1">
      <c r="B115" s="84"/>
      <c r="C115" s="43" t="s">
        <v>52</v>
      </c>
      <c r="D115" s="42">
        <v>1</v>
      </c>
      <c r="E115" s="41">
        <v>1.1130899376669635E-4</v>
      </c>
    </row>
    <row r="116" spans="2:5" ht="15" customHeight="1">
      <c r="B116" s="84"/>
      <c r="C116" s="43" t="s">
        <v>65</v>
      </c>
      <c r="D116" s="42">
        <v>1</v>
      </c>
      <c r="E116" s="41">
        <v>1.1130899376669635E-4</v>
      </c>
    </row>
    <row r="117" spans="2:5" ht="15" customHeight="1">
      <c r="B117" s="84"/>
      <c r="C117" s="43" t="s">
        <v>70</v>
      </c>
      <c r="D117" s="42">
        <v>29</v>
      </c>
      <c r="E117" s="41">
        <v>3.2279608192341941E-3</v>
      </c>
    </row>
    <row r="118" spans="2:5" ht="15" customHeight="1">
      <c r="B118" s="84"/>
      <c r="C118" s="43" t="s">
        <v>49</v>
      </c>
      <c r="D118" s="42">
        <v>1</v>
      </c>
      <c r="E118" s="41">
        <v>1.1130899376669635E-4</v>
      </c>
    </row>
    <row r="119" spans="2:5" ht="15" customHeight="1">
      <c r="B119" s="84"/>
      <c r="C119" s="43" t="s">
        <v>55</v>
      </c>
      <c r="D119" s="42">
        <v>2</v>
      </c>
      <c r="E119" s="41">
        <v>2.2261798753339269E-4</v>
      </c>
    </row>
    <row r="120" spans="2:5" ht="15" customHeight="1">
      <c r="B120" s="84"/>
      <c r="C120" s="43" t="s">
        <v>60</v>
      </c>
      <c r="D120" s="42">
        <v>1</v>
      </c>
      <c r="E120" s="41">
        <v>1.1130899376669635E-4</v>
      </c>
    </row>
    <row r="121" spans="2:5" ht="15" customHeight="1">
      <c r="B121" s="85"/>
      <c r="C121" s="40" t="s">
        <v>23</v>
      </c>
      <c r="D121" s="39">
        <v>103</v>
      </c>
      <c r="E121" s="38">
        <v>1.1464826357969724E-2</v>
      </c>
    </row>
    <row r="122" spans="2:5" ht="15" customHeight="1">
      <c r="B122" s="83" t="s">
        <v>169</v>
      </c>
      <c r="C122" s="43" t="s">
        <v>57</v>
      </c>
      <c r="D122" s="42">
        <v>1</v>
      </c>
      <c r="E122" s="41">
        <v>1.1130899376669635E-4</v>
      </c>
    </row>
    <row r="123" spans="2:5" ht="15" customHeight="1">
      <c r="B123" s="84"/>
      <c r="C123" s="43" t="s">
        <v>48</v>
      </c>
      <c r="D123" s="42">
        <v>4</v>
      </c>
      <c r="E123" s="41">
        <v>4.4523597506678539E-4</v>
      </c>
    </row>
    <row r="124" spans="2:5" ht="15" customHeight="1">
      <c r="B124" s="84"/>
      <c r="C124" s="43" t="s">
        <v>63</v>
      </c>
      <c r="D124" s="42">
        <v>4</v>
      </c>
      <c r="E124" s="41">
        <v>4.4523597506678539E-4</v>
      </c>
    </row>
    <row r="125" spans="2:5" ht="15" customHeight="1">
      <c r="B125" s="84"/>
      <c r="C125" s="43" t="s">
        <v>69</v>
      </c>
      <c r="D125" s="42">
        <v>23</v>
      </c>
      <c r="E125" s="41">
        <v>2.5601068566340158E-3</v>
      </c>
    </row>
    <row r="126" spans="2:5" ht="15" customHeight="1">
      <c r="B126" s="84"/>
      <c r="C126" s="43" t="s">
        <v>54</v>
      </c>
      <c r="D126" s="42">
        <v>1</v>
      </c>
      <c r="E126" s="41">
        <v>1.1130899376669635E-4</v>
      </c>
    </row>
    <row r="127" spans="2:5" ht="15" customHeight="1">
      <c r="B127" s="84"/>
      <c r="C127" s="43" t="s">
        <v>68</v>
      </c>
      <c r="D127" s="42">
        <v>19</v>
      </c>
      <c r="E127" s="41">
        <v>2.1148708815672307E-3</v>
      </c>
    </row>
    <row r="128" spans="2:5" ht="15" customHeight="1">
      <c r="B128" s="84"/>
      <c r="C128" s="43" t="s">
        <v>67</v>
      </c>
      <c r="D128" s="42">
        <v>3</v>
      </c>
      <c r="E128" s="41">
        <v>3.3392698130008905E-4</v>
      </c>
    </row>
    <row r="129" spans="2:5" ht="15" customHeight="1">
      <c r="B129" s="84"/>
      <c r="C129" s="43" t="s">
        <v>64</v>
      </c>
      <c r="D129" s="42">
        <v>1</v>
      </c>
      <c r="E129" s="41">
        <v>1.1130899376669635E-4</v>
      </c>
    </row>
    <row r="130" spans="2:5" ht="15" customHeight="1">
      <c r="B130" s="84"/>
      <c r="C130" s="43" t="s">
        <v>53</v>
      </c>
      <c r="D130" s="42">
        <v>2</v>
      </c>
      <c r="E130" s="41">
        <v>2.2261798753339269E-4</v>
      </c>
    </row>
    <row r="131" spans="2:5" ht="15" customHeight="1">
      <c r="B131" s="84"/>
      <c r="C131" s="43" t="s">
        <v>35</v>
      </c>
      <c r="D131" s="42">
        <v>1</v>
      </c>
      <c r="E131" s="41">
        <v>1.1130899376669635E-4</v>
      </c>
    </row>
    <row r="132" spans="2:5" ht="15" customHeight="1">
      <c r="B132" s="84"/>
      <c r="C132" s="43" t="s">
        <v>56</v>
      </c>
      <c r="D132" s="42">
        <v>3</v>
      </c>
      <c r="E132" s="41">
        <v>3.3392698130008905E-4</v>
      </c>
    </row>
    <row r="133" spans="2:5" ht="15" customHeight="1">
      <c r="B133" s="84"/>
      <c r="C133" s="43" t="s">
        <v>46</v>
      </c>
      <c r="D133" s="42">
        <v>1</v>
      </c>
      <c r="E133" s="41">
        <v>1.1130899376669635E-4</v>
      </c>
    </row>
    <row r="134" spans="2:5" ht="15" customHeight="1">
      <c r="B134" s="84"/>
      <c r="C134" s="43" t="s">
        <v>43</v>
      </c>
      <c r="D134" s="42">
        <v>3</v>
      </c>
      <c r="E134" s="41">
        <v>3.3392698130008905E-4</v>
      </c>
    </row>
    <row r="135" spans="2:5" ht="15" customHeight="1">
      <c r="B135" s="84"/>
      <c r="C135" s="43" t="s">
        <v>61</v>
      </c>
      <c r="D135" s="42">
        <v>2</v>
      </c>
      <c r="E135" s="41">
        <v>2.2261798753339269E-4</v>
      </c>
    </row>
    <row r="136" spans="2:5" ht="15" customHeight="1">
      <c r="B136" s="84"/>
      <c r="C136" s="43" t="s">
        <v>58</v>
      </c>
      <c r="D136" s="42">
        <v>4</v>
      </c>
      <c r="E136" s="41">
        <v>4.4523597506678539E-4</v>
      </c>
    </row>
    <row r="137" spans="2:5" ht="15" customHeight="1">
      <c r="B137" s="84"/>
      <c r="C137" s="43" t="s">
        <v>39</v>
      </c>
      <c r="D137" s="42">
        <v>1</v>
      </c>
      <c r="E137" s="41">
        <v>1.1130899376669635E-4</v>
      </c>
    </row>
    <row r="138" spans="2:5" ht="15" customHeight="1">
      <c r="B138" s="84"/>
      <c r="C138" s="43" t="s">
        <v>37</v>
      </c>
      <c r="D138" s="42">
        <v>1</v>
      </c>
      <c r="E138" s="41">
        <v>1.1130899376669635E-4</v>
      </c>
    </row>
    <row r="139" spans="2:5" ht="15" customHeight="1">
      <c r="B139" s="84"/>
      <c r="C139" s="43" t="s">
        <v>42</v>
      </c>
      <c r="D139" s="42">
        <v>2</v>
      </c>
      <c r="E139" s="41">
        <v>2.2261798753339269E-4</v>
      </c>
    </row>
    <row r="140" spans="2:5" ht="15" customHeight="1">
      <c r="B140" s="84"/>
      <c r="C140" s="43" t="s">
        <v>66</v>
      </c>
      <c r="D140" s="42">
        <v>6</v>
      </c>
      <c r="E140" s="41">
        <v>6.6785396260017811E-4</v>
      </c>
    </row>
    <row r="141" spans="2:5" ht="15" customHeight="1">
      <c r="B141" s="84"/>
      <c r="C141" s="43" t="s">
        <v>50</v>
      </c>
      <c r="D141" s="42">
        <v>1</v>
      </c>
      <c r="E141" s="41">
        <v>1.1130899376669635E-4</v>
      </c>
    </row>
    <row r="142" spans="2:5" ht="15" customHeight="1">
      <c r="B142" s="84"/>
      <c r="C142" s="43" t="s">
        <v>59</v>
      </c>
      <c r="D142" s="42">
        <v>3</v>
      </c>
      <c r="E142" s="41">
        <v>3.3392698130008905E-4</v>
      </c>
    </row>
    <row r="143" spans="2:5" ht="15" customHeight="1">
      <c r="B143" s="84"/>
      <c r="C143" s="43" t="s">
        <v>65</v>
      </c>
      <c r="D143" s="42">
        <v>2</v>
      </c>
      <c r="E143" s="41">
        <v>2.2261798753339269E-4</v>
      </c>
    </row>
    <row r="144" spans="2:5" ht="15" customHeight="1">
      <c r="B144" s="84"/>
      <c r="C144" s="43" t="s">
        <v>70</v>
      </c>
      <c r="D144" s="42">
        <v>42</v>
      </c>
      <c r="E144" s="41">
        <v>4.674977738201247E-3</v>
      </c>
    </row>
    <row r="145" spans="2:5" ht="15" customHeight="1">
      <c r="B145" s="84"/>
      <c r="C145" s="43" t="s">
        <v>49</v>
      </c>
      <c r="D145" s="42">
        <v>1</v>
      </c>
      <c r="E145" s="41">
        <v>1.1130899376669635E-4</v>
      </c>
    </row>
    <row r="146" spans="2:5" ht="15" customHeight="1">
      <c r="B146" s="84"/>
      <c r="C146" s="43" t="s">
        <v>55</v>
      </c>
      <c r="D146" s="42">
        <v>1</v>
      </c>
      <c r="E146" s="41">
        <v>1.1130899376669635E-4</v>
      </c>
    </row>
    <row r="147" spans="2:5" ht="15" customHeight="1">
      <c r="B147" s="84"/>
      <c r="C147" s="43" t="s">
        <v>60</v>
      </c>
      <c r="D147" s="42">
        <v>1</v>
      </c>
      <c r="E147" s="41">
        <v>1.1130899376669635E-4</v>
      </c>
    </row>
    <row r="148" spans="2:5" ht="15" customHeight="1">
      <c r="B148" s="84"/>
      <c r="C148" s="43" t="s">
        <v>51</v>
      </c>
      <c r="D148" s="42">
        <v>2</v>
      </c>
      <c r="E148" s="41">
        <v>2.2261798753339269E-4</v>
      </c>
    </row>
    <row r="149" spans="2:5" ht="15" customHeight="1">
      <c r="B149" s="85"/>
      <c r="C149" s="40" t="s">
        <v>23</v>
      </c>
      <c r="D149" s="39">
        <v>135</v>
      </c>
      <c r="E149" s="38">
        <v>1.5026714158504007E-2</v>
      </c>
    </row>
    <row r="150" spans="2:5" ht="15" customHeight="1">
      <c r="B150" s="83" t="s">
        <v>168</v>
      </c>
      <c r="C150" s="43" t="s">
        <v>57</v>
      </c>
      <c r="D150" s="42">
        <v>8</v>
      </c>
      <c r="E150" s="41">
        <v>8.9047195013357077E-4</v>
      </c>
    </row>
    <row r="151" spans="2:5" ht="15" customHeight="1">
      <c r="B151" s="84"/>
      <c r="C151" s="43" t="s">
        <v>48</v>
      </c>
      <c r="D151" s="42">
        <v>2</v>
      </c>
      <c r="E151" s="41">
        <v>2.2261798753339269E-4</v>
      </c>
    </row>
    <row r="152" spans="2:5" ht="15" customHeight="1">
      <c r="B152" s="84"/>
      <c r="C152" s="43" t="s">
        <v>63</v>
      </c>
      <c r="D152" s="42">
        <v>21</v>
      </c>
      <c r="E152" s="41">
        <v>2.3374888691006235E-3</v>
      </c>
    </row>
    <row r="153" spans="2:5" ht="15" customHeight="1">
      <c r="B153" s="84"/>
      <c r="C153" s="43" t="s">
        <v>69</v>
      </c>
      <c r="D153" s="42">
        <v>187</v>
      </c>
      <c r="E153" s="41">
        <v>2.0814781834372218E-2</v>
      </c>
    </row>
    <row r="154" spans="2:5" ht="15" customHeight="1">
      <c r="B154" s="84"/>
      <c r="C154" s="43" t="s">
        <v>54</v>
      </c>
      <c r="D154" s="42">
        <v>11</v>
      </c>
      <c r="E154" s="41">
        <v>1.2243989314336598E-3</v>
      </c>
    </row>
    <row r="155" spans="2:5" ht="15" customHeight="1">
      <c r="B155" s="84"/>
      <c r="C155" s="43" t="s">
        <v>31</v>
      </c>
      <c r="D155" s="42">
        <v>1</v>
      </c>
      <c r="E155" s="41">
        <v>1.1130899376669635E-4</v>
      </c>
    </row>
    <row r="156" spans="2:5" ht="15" customHeight="1">
      <c r="B156" s="84"/>
      <c r="C156" s="43" t="s">
        <v>68</v>
      </c>
      <c r="D156" s="42">
        <v>107</v>
      </c>
      <c r="E156" s="41">
        <v>1.1910062333036509E-2</v>
      </c>
    </row>
    <row r="157" spans="2:5" ht="15" customHeight="1">
      <c r="B157" s="84"/>
      <c r="C157" s="43" t="s">
        <v>67</v>
      </c>
      <c r="D157" s="42">
        <v>36</v>
      </c>
      <c r="E157" s="41">
        <v>4.0071237756010682E-3</v>
      </c>
    </row>
    <row r="158" spans="2:5" ht="15" customHeight="1">
      <c r="B158" s="84"/>
      <c r="C158" s="43" t="s">
        <v>25</v>
      </c>
      <c r="D158" s="42">
        <v>1</v>
      </c>
      <c r="E158" s="41">
        <v>1.1130899376669635E-4</v>
      </c>
    </row>
    <row r="159" spans="2:5" ht="15" customHeight="1">
      <c r="B159" s="84"/>
      <c r="C159" s="43" t="s">
        <v>44</v>
      </c>
      <c r="D159" s="42">
        <v>3</v>
      </c>
      <c r="E159" s="41">
        <v>3.3392698130008905E-4</v>
      </c>
    </row>
    <row r="160" spans="2:5" ht="15" customHeight="1">
      <c r="B160" s="84"/>
      <c r="C160" s="43" t="s">
        <v>64</v>
      </c>
      <c r="D160" s="42">
        <v>5</v>
      </c>
      <c r="E160" s="41">
        <v>5.5654496883348172E-4</v>
      </c>
    </row>
    <row r="161" spans="2:5" ht="15" customHeight="1">
      <c r="B161" s="84"/>
      <c r="C161" s="43" t="s">
        <v>53</v>
      </c>
      <c r="D161" s="42">
        <v>6</v>
      </c>
      <c r="E161" s="41">
        <v>6.6785396260017811E-4</v>
      </c>
    </row>
    <row r="162" spans="2:5" ht="15" customHeight="1">
      <c r="B162" s="84"/>
      <c r="C162" s="43" t="s">
        <v>35</v>
      </c>
      <c r="D162" s="42">
        <v>3</v>
      </c>
      <c r="E162" s="41">
        <v>3.3392698130008905E-4</v>
      </c>
    </row>
    <row r="163" spans="2:5" ht="15" customHeight="1">
      <c r="B163" s="84"/>
      <c r="C163" s="43" t="s">
        <v>47</v>
      </c>
      <c r="D163" s="42">
        <v>5</v>
      </c>
      <c r="E163" s="41">
        <v>5.5654496883348172E-4</v>
      </c>
    </row>
    <row r="164" spans="2:5" ht="15" customHeight="1">
      <c r="B164" s="84"/>
      <c r="C164" s="43" t="s">
        <v>38</v>
      </c>
      <c r="D164" s="42">
        <v>4</v>
      </c>
      <c r="E164" s="41">
        <v>4.4523597506678539E-4</v>
      </c>
    </row>
    <row r="165" spans="2:5" ht="15" customHeight="1">
      <c r="B165" s="84"/>
      <c r="C165" s="43" t="s">
        <v>56</v>
      </c>
      <c r="D165" s="42">
        <v>8</v>
      </c>
      <c r="E165" s="41">
        <v>8.9047195013357077E-4</v>
      </c>
    </row>
    <row r="166" spans="2:5" ht="15" customHeight="1">
      <c r="B166" s="84"/>
      <c r="C166" s="43" t="s">
        <v>33</v>
      </c>
      <c r="D166" s="42">
        <v>2</v>
      </c>
      <c r="E166" s="41">
        <v>2.2261798753339269E-4</v>
      </c>
    </row>
    <row r="167" spans="2:5" ht="15" customHeight="1">
      <c r="B167" s="84"/>
      <c r="C167" s="43" t="s">
        <v>46</v>
      </c>
      <c r="D167" s="42">
        <v>4</v>
      </c>
      <c r="E167" s="41">
        <v>4.4523597506678539E-4</v>
      </c>
    </row>
    <row r="168" spans="2:5" ht="15" customHeight="1">
      <c r="B168" s="84"/>
      <c r="C168" s="43" t="s">
        <v>45</v>
      </c>
      <c r="D168" s="42">
        <v>2</v>
      </c>
      <c r="E168" s="41">
        <v>2.2261798753339269E-4</v>
      </c>
    </row>
    <row r="169" spans="2:5" ht="15" customHeight="1">
      <c r="B169" s="84"/>
      <c r="C169" s="43" t="s">
        <v>40</v>
      </c>
      <c r="D169" s="42">
        <v>2</v>
      </c>
      <c r="E169" s="41">
        <v>2.2261798753339269E-4</v>
      </c>
    </row>
    <row r="170" spans="2:5" ht="15" customHeight="1">
      <c r="B170" s="84"/>
      <c r="C170" s="43" t="s">
        <v>43</v>
      </c>
      <c r="D170" s="42">
        <v>4</v>
      </c>
      <c r="E170" s="41">
        <v>4.4523597506678539E-4</v>
      </c>
    </row>
    <row r="171" spans="2:5" ht="15" customHeight="1">
      <c r="B171" s="84"/>
      <c r="C171" s="43" t="s">
        <v>61</v>
      </c>
      <c r="D171" s="42">
        <v>6</v>
      </c>
      <c r="E171" s="41">
        <v>6.6785396260017811E-4</v>
      </c>
    </row>
    <row r="172" spans="2:5" ht="15" customHeight="1">
      <c r="B172" s="84"/>
      <c r="C172" s="43" t="s">
        <v>58</v>
      </c>
      <c r="D172" s="42">
        <v>13</v>
      </c>
      <c r="E172" s="41">
        <v>1.4470169189670526E-3</v>
      </c>
    </row>
    <row r="173" spans="2:5" ht="15" customHeight="1">
      <c r="B173" s="84"/>
      <c r="C173" s="43" t="s">
        <v>32</v>
      </c>
      <c r="D173" s="42">
        <v>1</v>
      </c>
      <c r="E173" s="41">
        <v>1.1130899376669635E-4</v>
      </c>
    </row>
    <row r="174" spans="2:5" ht="15" customHeight="1">
      <c r="B174" s="84"/>
      <c r="C174" s="43" t="s">
        <v>39</v>
      </c>
      <c r="D174" s="42">
        <v>1</v>
      </c>
      <c r="E174" s="41">
        <v>1.1130899376669635E-4</v>
      </c>
    </row>
    <row r="175" spans="2:5" ht="15" customHeight="1">
      <c r="B175" s="84"/>
      <c r="C175" s="43" t="s">
        <v>37</v>
      </c>
      <c r="D175" s="42">
        <v>3</v>
      </c>
      <c r="E175" s="41">
        <v>3.3392698130008905E-4</v>
      </c>
    </row>
    <row r="176" spans="2:5" ht="15" customHeight="1">
      <c r="B176" s="84"/>
      <c r="C176" s="43" t="s">
        <v>42</v>
      </c>
      <c r="D176" s="42">
        <v>8</v>
      </c>
      <c r="E176" s="41">
        <v>8.9047195013357077E-4</v>
      </c>
    </row>
    <row r="177" spans="2:5" ht="15" customHeight="1">
      <c r="B177" s="84"/>
      <c r="C177" s="43" t="s">
        <v>66</v>
      </c>
      <c r="D177" s="42">
        <v>18</v>
      </c>
      <c r="E177" s="41">
        <v>2.0035618878005341E-3</v>
      </c>
    </row>
    <row r="178" spans="2:5" ht="15" customHeight="1">
      <c r="B178" s="84"/>
      <c r="C178" s="43" t="s">
        <v>41</v>
      </c>
      <c r="D178" s="42">
        <v>3</v>
      </c>
      <c r="E178" s="41">
        <v>3.3392698130008905E-4</v>
      </c>
    </row>
    <row r="179" spans="2:5" ht="15" customHeight="1">
      <c r="B179" s="84"/>
      <c r="C179" s="43" t="s">
        <v>62</v>
      </c>
      <c r="D179" s="42">
        <v>11</v>
      </c>
      <c r="E179" s="41">
        <v>1.2243989314336598E-3</v>
      </c>
    </row>
    <row r="180" spans="2:5" ht="15" customHeight="1">
      <c r="B180" s="84"/>
      <c r="C180" s="43" t="s">
        <v>50</v>
      </c>
      <c r="D180" s="42">
        <v>5</v>
      </c>
      <c r="E180" s="41">
        <v>5.5654496883348172E-4</v>
      </c>
    </row>
    <row r="181" spans="2:5" ht="15" customHeight="1">
      <c r="B181" s="84"/>
      <c r="C181" s="43" t="s">
        <v>52</v>
      </c>
      <c r="D181" s="42">
        <v>7</v>
      </c>
      <c r="E181" s="41">
        <v>7.7916295636687449E-4</v>
      </c>
    </row>
    <row r="182" spans="2:5" ht="15" customHeight="1">
      <c r="B182" s="84"/>
      <c r="C182" s="43" t="s">
        <v>30</v>
      </c>
      <c r="D182" s="42">
        <v>2</v>
      </c>
      <c r="E182" s="41">
        <v>2.2261798753339269E-4</v>
      </c>
    </row>
    <row r="183" spans="2:5" ht="15" customHeight="1">
      <c r="B183" s="84"/>
      <c r="C183" s="43" t="s">
        <v>59</v>
      </c>
      <c r="D183" s="42">
        <v>8</v>
      </c>
      <c r="E183" s="41">
        <v>8.9047195013357077E-4</v>
      </c>
    </row>
    <row r="184" spans="2:5" ht="15" customHeight="1">
      <c r="B184" s="84"/>
      <c r="C184" s="43" t="s">
        <v>65</v>
      </c>
      <c r="D184" s="42">
        <v>20</v>
      </c>
      <c r="E184" s="41">
        <v>2.2261798753339269E-3</v>
      </c>
    </row>
    <row r="185" spans="2:5" ht="15" customHeight="1">
      <c r="B185" s="84"/>
      <c r="C185" s="43" t="s">
        <v>70</v>
      </c>
      <c r="D185" s="42">
        <v>377</v>
      </c>
      <c r="E185" s="41">
        <v>4.1963490650044524E-2</v>
      </c>
    </row>
    <row r="186" spans="2:5" ht="15" customHeight="1">
      <c r="B186" s="84"/>
      <c r="C186" s="43" t="s">
        <v>49</v>
      </c>
      <c r="D186" s="42">
        <v>3</v>
      </c>
      <c r="E186" s="41">
        <v>3.3392698130008905E-4</v>
      </c>
    </row>
    <row r="187" spans="2:5" ht="15" customHeight="1">
      <c r="B187" s="84"/>
      <c r="C187" s="43" t="s">
        <v>55</v>
      </c>
      <c r="D187" s="42">
        <v>8</v>
      </c>
      <c r="E187" s="41">
        <v>8.9047195013357077E-4</v>
      </c>
    </row>
    <row r="188" spans="2:5" ht="15" customHeight="1">
      <c r="B188" s="84"/>
      <c r="C188" s="43" t="s">
        <v>60</v>
      </c>
      <c r="D188" s="42">
        <v>10</v>
      </c>
      <c r="E188" s="41">
        <v>1.1130899376669634E-3</v>
      </c>
    </row>
    <row r="189" spans="2:5" ht="15" customHeight="1">
      <c r="B189" s="84"/>
      <c r="C189" s="43" t="s">
        <v>51</v>
      </c>
      <c r="D189" s="42">
        <v>1</v>
      </c>
      <c r="E189" s="41">
        <v>1.1130899376669635E-4</v>
      </c>
    </row>
    <row r="190" spans="2:5" ht="15" customHeight="1">
      <c r="B190" s="85"/>
      <c r="C190" s="40" t="s">
        <v>23</v>
      </c>
      <c r="D190" s="39">
        <v>927</v>
      </c>
      <c r="E190" s="38">
        <v>0.10318343722172751</v>
      </c>
    </row>
    <row r="191" spans="2:5" ht="15" customHeight="1">
      <c r="B191" s="83" t="s">
        <v>167</v>
      </c>
      <c r="C191" s="43" t="s">
        <v>57</v>
      </c>
      <c r="D191" s="42">
        <v>18</v>
      </c>
      <c r="E191" s="41">
        <v>2.0035618878005341E-3</v>
      </c>
    </row>
    <row r="192" spans="2:5" ht="15" customHeight="1">
      <c r="B192" s="84"/>
      <c r="C192" s="43" t="s">
        <v>48</v>
      </c>
      <c r="D192" s="42">
        <v>11</v>
      </c>
      <c r="E192" s="41">
        <v>1.2243989314336598E-3</v>
      </c>
    </row>
    <row r="193" spans="2:5" ht="15" customHeight="1">
      <c r="B193" s="84"/>
      <c r="C193" s="43" t="s">
        <v>63</v>
      </c>
      <c r="D193" s="42">
        <v>31</v>
      </c>
      <c r="E193" s="41">
        <v>3.4505788067675869E-3</v>
      </c>
    </row>
    <row r="194" spans="2:5" ht="15" customHeight="1">
      <c r="B194" s="84"/>
      <c r="C194" s="43" t="s">
        <v>69</v>
      </c>
      <c r="D194" s="42">
        <v>354</v>
      </c>
      <c r="E194" s="41">
        <v>3.9403383793410504E-2</v>
      </c>
    </row>
    <row r="195" spans="2:5" ht="15" customHeight="1">
      <c r="B195" s="84"/>
      <c r="C195" s="43" t="s">
        <v>54</v>
      </c>
      <c r="D195" s="42">
        <v>17</v>
      </c>
      <c r="E195" s="41">
        <v>1.8922528940338379E-3</v>
      </c>
    </row>
    <row r="196" spans="2:5" ht="15" customHeight="1">
      <c r="B196" s="84"/>
      <c r="C196" s="43" t="s">
        <v>34</v>
      </c>
      <c r="D196" s="42">
        <v>2</v>
      </c>
      <c r="E196" s="41">
        <v>2.2261798753339269E-4</v>
      </c>
    </row>
    <row r="197" spans="2:5" ht="15" customHeight="1">
      <c r="B197" s="84"/>
      <c r="C197" s="43" t="s">
        <v>31</v>
      </c>
      <c r="D197" s="42">
        <v>2</v>
      </c>
      <c r="E197" s="41">
        <v>2.2261798753339269E-4</v>
      </c>
    </row>
    <row r="198" spans="2:5" ht="15" customHeight="1">
      <c r="B198" s="84"/>
      <c r="C198" s="43" t="s">
        <v>68</v>
      </c>
      <c r="D198" s="42">
        <v>211</v>
      </c>
      <c r="E198" s="41">
        <v>2.348619768477293E-2</v>
      </c>
    </row>
    <row r="199" spans="2:5" ht="15" customHeight="1">
      <c r="B199" s="84"/>
      <c r="C199" s="43" t="s">
        <v>67</v>
      </c>
      <c r="D199" s="42">
        <v>80</v>
      </c>
      <c r="E199" s="41">
        <v>8.9047195013357075E-3</v>
      </c>
    </row>
    <row r="200" spans="2:5" ht="15" customHeight="1">
      <c r="B200" s="84"/>
      <c r="C200" s="43" t="s">
        <v>44</v>
      </c>
      <c r="D200" s="42">
        <v>10</v>
      </c>
      <c r="E200" s="41">
        <v>1.1130899376669634E-3</v>
      </c>
    </row>
    <row r="201" spans="2:5" ht="15" customHeight="1">
      <c r="B201" s="84"/>
      <c r="C201" s="43" t="s">
        <v>64</v>
      </c>
      <c r="D201" s="42">
        <v>40</v>
      </c>
      <c r="E201" s="41">
        <v>4.4523597506678537E-3</v>
      </c>
    </row>
    <row r="202" spans="2:5" ht="15" customHeight="1">
      <c r="B202" s="84"/>
      <c r="C202" s="43" t="s">
        <v>53</v>
      </c>
      <c r="D202" s="42">
        <v>16</v>
      </c>
      <c r="E202" s="41">
        <v>1.7809439002671415E-3</v>
      </c>
    </row>
    <row r="203" spans="2:5" ht="15" customHeight="1">
      <c r="B203" s="84"/>
      <c r="C203" s="43" t="s">
        <v>35</v>
      </c>
      <c r="D203" s="42">
        <v>2</v>
      </c>
      <c r="E203" s="41">
        <v>2.2261798753339269E-4</v>
      </c>
    </row>
    <row r="204" spans="2:5" ht="15" customHeight="1">
      <c r="B204" s="84"/>
      <c r="C204" s="43" t="s">
        <v>47</v>
      </c>
      <c r="D204" s="42">
        <v>6</v>
      </c>
      <c r="E204" s="41">
        <v>6.6785396260017811E-4</v>
      </c>
    </row>
    <row r="205" spans="2:5" ht="15" customHeight="1">
      <c r="B205" s="84"/>
      <c r="C205" s="43" t="s">
        <v>38</v>
      </c>
      <c r="D205" s="42">
        <v>6</v>
      </c>
      <c r="E205" s="41">
        <v>6.6785396260017811E-4</v>
      </c>
    </row>
    <row r="206" spans="2:5" ht="15" customHeight="1">
      <c r="B206" s="84"/>
      <c r="C206" s="43" t="s">
        <v>56</v>
      </c>
      <c r="D206" s="42">
        <v>34</v>
      </c>
      <c r="E206" s="41">
        <v>3.7845057880676759E-3</v>
      </c>
    </row>
    <row r="207" spans="2:5" ht="15" customHeight="1">
      <c r="B207" s="84"/>
      <c r="C207" s="43" t="s">
        <v>36</v>
      </c>
      <c r="D207" s="42">
        <v>4</v>
      </c>
      <c r="E207" s="41">
        <v>4.4523597506678539E-4</v>
      </c>
    </row>
    <row r="208" spans="2:5" ht="15" customHeight="1">
      <c r="B208" s="84"/>
      <c r="C208" s="43" t="s">
        <v>33</v>
      </c>
      <c r="D208" s="42">
        <v>1</v>
      </c>
      <c r="E208" s="41">
        <v>1.1130899376669635E-4</v>
      </c>
    </row>
    <row r="209" spans="2:5" ht="15" customHeight="1">
      <c r="B209" s="84"/>
      <c r="C209" s="43" t="s">
        <v>46</v>
      </c>
      <c r="D209" s="42">
        <v>8</v>
      </c>
      <c r="E209" s="41">
        <v>8.9047195013357077E-4</v>
      </c>
    </row>
    <row r="210" spans="2:5" ht="15" customHeight="1">
      <c r="B210" s="84"/>
      <c r="C210" s="43" t="s">
        <v>45</v>
      </c>
      <c r="D210" s="42">
        <v>9</v>
      </c>
      <c r="E210" s="41">
        <v>1.0017809439002671E-3</v>
      </c>
    </row>
    <row r="211" spans="2:5" ht="15" customHeight="1">
      <c r="B211" s="84"/>
      <c r="C211" s="43" t="s">
        <v>40</v>
      </c>
      <c r="D211" s="42">
        <v>9</v>
      </c>
      <c r="E211" s="41">
        <v>1.0017809439002671E-3</v>
      </c>
    </row>
    <row r="212" spans="2:5" ht="15" customHeight="1">
      <c r="B212" s="84"/>
      <c r="C212" s="43" t="s">
        <v>43</v>
      </c>
      <c r="D212" s="42">
        <v>4</v>
      </c>
      <c r="E212" s="41">
        <v>4.4523597506678539E-4</v>
      </c>
    </row>
    <row r="213" spans="2:5" ht="15" customHeight="1">
      <c r="B213" s="84"/>
      <c r="C213" s="43" t="s">
        <v>61</v>
      </c>
      <c r="D213" s="42">
        <v>27</v>
      </c>
      <c r="E213" s="41">
        <v>3.0053428317008014E-3</v>
      </c>
    </row>
    <row r="214" spans="2:5" ht="15" customHeight="1">
      <c r="B214" s="84"/>
      <c r="C214" s="43" t="s">
        <v>58</v>
      </c>
      <c r="D214" s="42">
        <v>27</v>
      </c>
      <c r="E214" s="41">
        <v>3.0053428317008014E-3</v>
      </c>
    </row>
    <row r="215" spans="2:5" ht="15" customHeight="1">
      <c r="B215" s="84"/>
      <c r="C215" s="43" t="s">
        <v>32</v>
      </c>
      <c r="D215" s="42">
        <v>2</v>
      </c>
      <c r="E215" s="41">
        <v>2.2261798753339269E-4</v>
      </c>
    </row>
    <row r="216" spans="2:5" ht="15" customHeight="1">
      <c r="B216" s="84"/>
      <c r="C216" s="43" t="s">
        <v>39</v>
      </c>
      <c r="D216" s="42">
        <v>8</v>
      </c>
      <c r="E216" s="41">
        <v>8.9047195013357077E-4</v>
      </c>
    </row>
    <row r="217" spans="2:5" ht="15" customHeight="1">
      <c r="B217" s="84"/>
      <c r="C217" s="43" t="s">
        <v>37</v>
      </c>
      <c r="D217" s="42">
        <v>8</v>
      </c>
      <c r="E217" s="41">
        <v>8.9047195013357077E-4</v>
      </c>
    </row>
    <row r="218" spans="2:5" ht="15" customHeight="1">
      <c r="B218" s="84"/>
      <c r="C218" s="43" t="s">
        <v>42</v>
      </c>
      <c r="D218" s="42">
        <v>7</v>
      </c>
      <c r="E218" s="41">
        <v>7.7916295636687449E-4</v>
      </c>
    </row>
    <row r="219" spans="2:5" ht="15" customHeight="1">
      <c r="B219" s="84"/>
      <c r="C219" s="43" t="s">
        <v>66</v>
      </c>
      <c r="D219" s="42">
        <v>116</v>
      </c>
      <c r="E219" s="41">
        <v>1.2911843276936777E-2</v>
      </c>
    </row>
    <row r="220" spans="2:5" ht="15" customHeight="1">
      <c r="B220" s="84"/>
      <c r="C220" s="43" t="s">
        <v>41</v>
      </c>
      <c r="D220" s="42">
        <v>5</v>
      </c>
      <c r="E220" s="41">
        <v>5.5654496883348172E-4</v>
      </c>
    </row>
    <row r="221" spans="2:5" ht="15" customHeight="1">
      <c r="B221" s="84"/>
      <c r="C221" s="43" t="s">
        <v>62</v>
      </c>
      <c r="D221" s="42">
        <v>24</v>
      </c>
      <c r="E221" s="41">
        <v>2.6714158504007124E-3</v>
      </c>
    </row>
    <row r="222" spans="2:5" ht="15" customHeight="1">
      <c r="B222" s="84"/>
      <c r="C222" s="43" t="s">
        <v>50</v>
      </c>
      <c r="D222" s="42">
        <v>15</v>
      </c>
      <c r="E222" s="41">
        <v>1.6696349065004452E-3</v>
      </c>
    </row>
    <row r="223" spans="2:5" ht="15" customHeight="1">
      <c r="B223" s="84"/>
      <c r="C223" s="43" t="s">
        <v>52</v>
      </c>
      <c r="D223" s="42">
        <v>12</v>
      </c>
      <c r="E223" s="41">
        <v>1.3357079252003562E-3</v>
      </c>
    </row>
    <row r="224" spans="2:5" ht="15" customHeight="1">
      <c r="B224" s="84"/>
      <c r="C224" s="43" t="s">
        <v>30</v>
      </c>
      <c r="D224" s="42">
        <v>1</v>
      </c>
      <c r="E224" s="41">
        <v>1.1130899376669635E-4</v>
      </c>
    </row>
    <row r="225" spans="2:5" ht="15" customHeight="1">
      <c r="B225" s="84"/>
      <c r="C225" s="43" t="s">
        <v>59</v>
      </c>
      <c r="D225" s="42">
        <v>30</v>
      </c>
      <c r="E225" s="41">
        <v>3.3392698130008903E-3</v>
      </c>
    </row>
    <row r="226" spans="2:5" ht="15" customHeight="1">
      <c r="B226" s="84"/>
      <c r="C226" s="43" t="s">
        <v>65</v>
      </c>
      <c r="D226" s="42">
        <v>38</v>
      </c>
      <c r="E226" s="41">
        <v>4.2297417631344614E-3</v>
      </c>
    </row>
    <row r="227" spans="2:5" ht="15" customHeight="1">
      <c r="B227" s="84"/>
      <c r="C227" s="43" t="s">
        <v>70</v>
      </c>
      <c r="D227" s="42">
        <v>522</v>
      </c>
      <c r="E227" s="41">
        <v>5.8103294746215492E-2</v>
      </c>
    </row>
    <row r="228" spans="2:5" ht="15" customHeight="1">
      <c r="B228" s="84"/>
      <c r="C228" s="43" t="s">
        <v>49</v>
      </c>
      <c r="D228" s="42">
        <v>13</v>
      </c>
      <c r="E228" s="41">
        <v>1.4470169189670526E-3</v>
      </c>
    </row>
    <row r="229" spans="2:5" ht="15" customHeight="1">
      <c r="B229" s="84"/>
      <c r="C229" s="43" t="s">
        <v>55</v>
      </c>
      <c r="D229" s="42">
        <v>29</v>
      </c>
      <c r="E229" s="41">
        <v>3.2279608192341941E-3</v>
      </c>
    </row>
    <row r="230" spans="2:5" ht="15" customHeight="1">
      <c r="B230" s="84"/>
      <c r="C230" s="43" t="s">
        <v>60</v>
      </c>
      <c r="D230" s="42">
        <v>22</v>
      </c>
      <c r="E230" s="41">
        <v>2.4487978628673196E-3</v>
      </c>
    </row>
    <row r="231" spans="2:5" ht="15" customHeight="1">
      <c r="B231" s="84"/>
      <c r="C231" s="43" t="s">
        <v>26</v>
      </c>
      <c r="D231" s="42">
        <v>1</v>
      </c>
      <c r="E231" s="41">
        <v>1.1130899376669635E-4</v>
      </c>
    </row>
    <row r="232" spans="2:5" ht="15" customHeight="1">
      <c r="B232" s="84"/>
      <c r="C232" s="43" t="s">
        <v>51</v>
      </c>
      <c r="D232" s="42">
        <v>18</v>
      </c>
      <c r="E232" s="41">
        <v>2.0035618878005341E-3</v>
      </c>
    </row>
    <row r="233" spans="2:5" ht="15" customHeight="1">
      <c r="B233" s="84"/>
      <c r="C233" s="43" t="s">
        <v>28</v>
      </c>
      <c r="D233" s="42">
        <v>1</v>
      </c>
      <c r="E233" s="41">
        <v>1.1130899376669635E-4</v>
      </c>
    </row>
    <row r="234" spans="2:5" ht="15" customHeight="1">
      <c r="B234" s="85"/>
      <c r="C234" s="40" t="s">
        <v>23</v>
      </c>
      <c r="D234" s="39">
        <v>1801</v>
      </c>
      <c r="E234" s="38">
        <v>0.20046749777382011</v>
      </c>
    </row>
    <row r="235" spans="2:5" ht="15" customHeight="1">
      <c r="B235" s="83" t="s">
        <v>166</v>
      </c>
      <c r="C235" s="43" t="s">
        <v>57</v>
      </c>
      <c r="D235" s="42">
        <v>3</v>
      </c>
      <c r="E235" s="41">
        <v>3.3392698130008905E-4</v>
      </c>
    </row>
    <row r="236" spans="2:5" ht="15" customHeight="1">
      <c r="B236" s="84"/>
      <c r="C236" s="43" t="s">
        <v>48</v>
      </c>
      <c r="D236" s="42">
        <v>2</v>
      </c>
      <c r="E236" s="41">
        <v>2.2261798753339269E-4</v>
      </c>
    </row>
    <row r="237" spans="2:5" ht="15" customHeight="1">
      <c r="B237" s="84"/>
      <c r="C237" s="43" t="s">
        <v>63</v>
      </c>
      <c r="D237" s="42">
        <v>1</v>
      </c>
      <c r="E237" s="41">
        <v>1.1130899376669635E-4</v>
      </c>
    </row>
    <row r="238" spans="2:5" ht="15" customHeight="1">
      <c r="B238" s="84"/>
      <c r="C238" s="43" t="s">
        <v>69</v>
      </c>
      <c r="D238" s="42">
        <v>15</v>
      </c>
      <c r="E238" s="41">
        <v>1.6696349065004452E-3</v>
      </c>
    </row>
    <row r="239" spans="2:5" ht="15" customHeight="1">
      <c r="B239" s="84"/>
      <c r="C239" s="43" t="s">
        <v>54</v>
      </c>
      <c r="D239" s="42">
        <v>1</v>
      </c>
      <c r="E239" s="41">
        <v>1.1130899376669635E-4</v>
      </c>
    </row>
    <row r="240" spans="2:5" ht="15" customHeight="1">
      <c r="B240" s="84"/>
      <c r="C240" s="43" t="s">
        <v>68</v>
      </c>
      <c r="D240" s="42">
        <v>15</v>
      </c>
      <c r="E240" s="41">
        <v>1.6696349065004452E-3</v>
      </c>
    </row>
    <row r="241" spans="2:5" ht="15" customHeight="1">
      <c r="B241" s="84"/>
      <c r="C241" s="43" t="s">
        <v>67</v>
      </c>
      <c r="D241" s="42">
        <v>4</v>
      </c>
      <c r="E241" s="41">
        <v>4.4523597506678539E-4</v>
      </c>
    </row>
    <row r="242" spans="2:5" ht="15" customHeight="1">
      <c r="B242" s="84"/>
      <c r="C242" s="43" t="s">
        <v>44</v>
      </c>
      <c r="D242" s="42">
        <v>1</v>
      </c>
      <c r="E242" s="41">
        <v>1.1130899376669635E-4</v>
      </c>
    </row>
    <row r="243" spans="2:5" ht="15" customHeight="1">
      <c r="B243" s="84"/>
      <c r="C243" s="43" t="s">
        <v>56</v>
      </c>
      <c r="D243" s="42">
        <v>1</v>
      </c>
      <c r="E243" s="41">
        <v>1.1130899376669635E-4</v>
      </c>
    </row>
    <row r="244" spans="2:5" ht="15" customHeight="1">
      <c r="B244" s="84"/>
      <c r="C244" s="43" t="s">
        <v>40</v>
      </c>
      <c r="D244" s="42">
        <v>2</v>
      </c>
      <c r="E244" s="41">
        <v>2.2261798753339269E-4</v>
      </c>
    </row>
    <row r="245" spans="2:5" ht="15" customHeight="1">
      <c r="B245" s="84"/>
      <c r="C245" s="43" t="s">
        <v>43</v>
      </c>
      <c r="D245" s="42">
        <v>1</v>
      </c>
      <c r="E245" s="41">
        <v>1.1130899376669635E-4</v>
      </c>
    </row>
    <row r="246" spans="2:5" ht="15" customHeight="1">
      <c r="B246" s="84"/>
      <c r="C246" s="43" t="s">
        <v>61</v>
      </c>
      <c r="D246" s="42">
        <v>3</v>
      </c>
      <c r="E246" s="41">
        <v>3.3392698130008905E-4</v>
      </c>
    </row>
    <row r="247" spans="2:5" ht="15" customHeight="1">
      <c r="B247" s="84"/>
      <c r="C247" s="43" t="s">
        <v>32</v>
      </c>
      <c r="D247" s="42">
        <v>1</v>
      </c>
      <c r="E247" s="41">
        <v>1.1130899376669635E-4</v>
      </c>
    </row>
    <row r="248" spans="2:5" ht="15" customHeight="1">
      <c r="B248" s="84"/>
      <c r="C248" s="43" t="s">
        <v>66</v>
      </c>
      <c r="D248" s="42">
        <v>5</v>
      </c>
      <c r="E248" s="41">
        <v>5.5654496883348172E-4</v>
      </c>
    </row>
    <row r="249" spans="2:5" ht="15" customHeight="1">
      <c r="B249" s="84"/>
      <c r="C249" s="43" t="s">
        <v>50</v>
      </c>
      <c r="D249" s="42">
        <v>1</v>
      </c>
      <c r="E249" s="41">
        <v>1.1130899376669635E-4</v>
      </c>
    </row>
    <row r="250" spans="2:5" ht="15" customHeight="1">
      <c r="B250" s="84"/>
      <c r="C250" s="43" t="s">
        <v>52</v>
      </c>
      <c r="D250" s="42">
        <v>1</v>
      </c>
      <c r="E250" s="41">
        <v>1.1130899376669635E-4</v>
      </c>
    </row>
    <row r="251" spans="2:5" ht="15" customHeight="1">
      <c r="B251" s="84"/>
      <c r="C251" s="43" t="s">
        <v>59</v>
      </c>
      <c r="D251" s="42">
        <v>1</v>
      </c>
      <c r="E251" s="41">
        <v>1.1130899376669635E-4</v>
      </c>
    </row>
    <row r="252" spans="2:5" ht="15" customHeight="1">
      <c r="B252" s="84"/>
      <c r="C252" s="43" t="s">
        <v>65</v>
      </c>
      <c r="D252" s="42">
        <v>1</v>
      </c>
      <c r="E252" s="41">
        <v>1.1130899376669635E-4</v>
      </c>
    </row>
    <row r="253" spans="2:5" ht="15" customHeight="1">
      <c r="B253" s="84"/>
      <c r="C253" s="43" t="s">
        <v>70</v>
      </c>
      <c r="D253" s="42">
        <v>23</v>
      </c>
      <c r="E253" s="41">
        <v>2.5601068566340158E-3</v>
      </c>
    </row>
    <row r="254" spans="2:5" ht="15" customHeight="1">
      <c r="B254" s="84"/>
      <c r="C254" s="43" t="s">
        <v>49</v>
      </c>
      <c r="D254" s="42">
        <v>1</v>
      </c>
      <c r="E254" s="41">
        <v>1.1130899376669635E-4</v>
      </c>
    </row>
    <row r="255" spans="2:5" ht="15" customHeight="1">
      <c r="B255" s="84"/>
      <c r="C255" s="43" t="s">
        <v>55</v>
      </c>
      <c r="D255" s="42">
        <v>2</v>
      </c>
      <c r="E255" s="41">
        <v>2.2261798753339269E-4</v>
      </c>
    </row>
    <row r="256" spans="2:5" ht="15" customHeight="1">
      <c r="B256" s="84"/>
      <c r="C256" s="43" t="s">
        <v>60</v>
      </c>
      <c r="D256" s="42">
        <v>1</v>
      </c>
      <c r="E256" s="41">
        <v>1.1130899376669635E-4</v>
      </c>
    </row>
    <row r="257" spans="2:5" ht="15" customHeight="1">
      <c r="B257" s="84"/>
      <c r="C257" s="43" t="s">
        <v>51</v>
      </c>
      <c r="D257" s="42">
        <v>1</v>
      </c>
      <c r="E257" s="41">
        <v>1.1130899376669635E-4</v>
      </c>
    </row>
    <row r="258" spans="2:5" ht="15" customHeight="1">
      <c r="B258" s="85"/>
      <c r="C258" s="40" t="s">
        <v>23</v>
      </c>
      <c r="D258" s="39">
        <v>87</v>
      </c>
      <c r="E258" s="38">
        <v>9.683882457702582E-3</v>
      </c>
    </row>
    <row r="259" spans="2:5" ht="15" customHeight="1">
      <c r="B259" s="83" t="s">
        <v>165</v>
      </c>
      <c r="C259" s="43" t="s">
        <v>57</v>
      </c>
      <c r="D259" s="42">
        <v>6</v>
      </c>
      <c r="E259" s="41">
        <v>6.6785396260017811E-4</v>
      </c>
    </row>
    <row r="260" spans="2:5" ht="15" customHeight="1">
      <c r="B260" s="84"/>
      <c r="C260" s="43" t="s">
        <v>48</v>
      </c>
      <c r="D260" s="42">
        <v>2</v>
      </c>
      <c r="E260" s="41">
        <v>2.2261798753339269E-4</v>
      </c>
    </row>
    <row r="261" spans="2:5" ht="15" customHeight="1">
      <c r="B261" s="84"/>
      <c r="C261" s="43" t="s">
        <v>63</v>
      </c>
      <c r="D261" s="42">
        <v>3</v>
      </c>
      <c r="E261" s="41">
        <v>3.3392698130008905E-4</v>
      </c>
    </row>
    <row r="262" spans="2:5" ht="15" customHeight="1">
      <c r="B262" s="84"/>
      <c r="C262" s="43" t="s">
        <v>69</v>
      </c>
      <c r="D262" s="42">
        <v>29</v>
      </c>
      <c r="E262" s="41">
        <v>3.2279608192341941E-3</v>
      </c>
    </row>
    <row r="263" spans="2:5" ht="15" customHeight="1">
      <c r="B263" s="84"/>
      <c r="C263" s="43" t="s">
        <v>54</v>
      </c>
      <c r="D263" s="42">
        <v>3</v>
      </c>
      <c r="E263" s="41">
        <v>3.3392698130008905E-4</v>
      </c>
    </row>
    <row r="264" spans="2:5" ht="15" customHeight="1">
      <c r="B264" s="84"/>
      <c r="C264" s="43" t="s">
        <v>34</v>
      </c>
      <c r="D264" s="42">
        <v>1</v>
      </c>
      <c r="E264" s="41">
        <v>1.1130899376669635E-4</v>
      </c>
    </row>
    <row r="265" spans="2:5" ht="15" customHeight="1">
      <c r="B265" s="84"/>
      <c r="C265" s="43" t="s">
        <v>68</v>
      </c>
      <c r="D265" s="42">
        <v>26</v>
      </c>
      <c r="E265" s="41">
        <v>2.8940338379341052E-3</v>
      </c>
    </row>
    <row r="266" spans="2:5" ht="15" customHeight="1">
      <c r="B266" s="84"/>
      <c r="C266" s="43" t="s">
        <v>67</v>
      </c>
      <c r="D266" s="42">
        <v>10</v>
      </c>
      <c r="E266" s="41">
        <v>1.1130899376669634E-3</v>
      </c>
    </row>
    <row r="267" spans="2:5" ht="15" customHeight="1">
      <c r="B267" s="84"/>
      <c r="C267" s="43" t="s">
        <v>44</v>
      </c>
      <c r="D267" s="42">
        <v>3</v>
      </c>
      <c r="E267" s="41">
        <v>3.3392698130008905E-4</v>
      </c>
    </row>
    <row r="268" spans="2:5" ht="15" customHeight="1">
      <c r="B268" s="84"/>
      <c r="C268" s="43" t="s">
        <v>64</v>
      </c>
      <c r="D268" s="42">
        <v>2</v>
      </c>
      <c r="E268" s="41">
        <v>2.2261798753339269E-4</v>
      </c>
    </row>
    <row r="269" spans="2:5" ht="15" customHeight="1">
      <c r="B269" s="84"/>
      <c r="C269" s="43" t="s">
        <v>53</v>
      </c>
      <c r="D269" s="42">
        <v>2</v>
      </c>
      <c r="E269" s="41">
        <v>2.2261798753339269E-4</v>
      </c>
    </row>
    <row r="270" spans="2:5" ht="15" customHeight="1">
      <c r="B270" s="84"/>
      <c r="C270" s="43" t="s">
        <v>35</v>
      </c>
      <c r="D270" s="42">
        <v>1</v>
      </c>
      <c r="E270" s="41">
        <v>1.1130899376669635E-4</v>
      </c>
    </row>
    <row r="271" spans="2:5" ht="15" customHeight="1">
      <c r="B271" s="84"/>
      <c r="C271" s="43" t="s">
        <v>56</v>
      </c>
      <c r="D271" s="42">
        <v>1</v>
      </c>
      <c r="E271" s="41">
        <v>1.1130899376669635E-4</v>
      </c>
    </row>
    <row r="272" spans="2:5" ht="15" customHeight="1">
      <c r="B272" s="84"/>
      <c r="C272" s="43" t="s">
        <v>36</v>
      </c>
      <c r="D272" s="42">
        <v>1</v>
      </c>
      <c r="E272" s="41">
        <v>1.1130899376669635E-4</v>
      </c>
    </row>
    <row r="273" spans="2:5" ht="15" customHeight="1">
      <c r="B273" s="84"/>
      <c r="C273" s="43" t="s">
        <v>46</v>
      </c>
      <c r="D273" s="42">
        <v>4</v>
      </c>
      <c r="E273" s="41">
        <v>4.4523597506678539E-4</v>
      </c>
    </row>
    <row r="274" spans="2:5" ht="15" customHeight="1">
      <c r="B274" s="84"/>
      <c r="C274" s="43" t="s">
        <v>40</v>
      </c>
      <c r="D274" s="42">
        <v>1</v>
      </c>
      <c r="E274" s="41">
        <v>1.1130899376669635E-4</v>
      </c>
    </row>
    <row r="275" spans="2:5" ht="15" customHeight="1">
      <c r="B275" s="84"/>
      <c r="C275" s="43" t="s">
        <v>43</v>
      </c>
      <c r="D275" s="42">
        <v>1</v>
      </c>
      <c r="E275" s="41">
        <v>1.1130899376669635E-4</v>
      </c>
    </row>
    <row r="276" spans="2:5" ht="15" customHeight="1">
      <c r="B276" s="84"/>
      <c r="C276" s="43" t="s">
        <v>61</v>
      </c>
      <c r="D276" s="42">
        <v>5</v>
      </c>
      <c r="E276" s="41">
        <v>5.5654496883348172E-4</v>
      </c>
    </row>
    <row r="277" spans="2:5" ht="15" customHeight="1">
      <c r="B277" s="84"/>
      <c r="C277" s="43" t="s">
        <v>58</v>
      </c>
      <c r="D277" s="42">
        <v>3</v>
      </c>
      <c r="E277" s="41">
        <v>3.3392698130008905E-4</v>
      </c>
    </row>
    <row r="278" spans="2:5" ht="15" customHeight="1">
      <c r="B278" s="84"/>
      <c r="C278" s="43" t="s">
        <v>39</v>
      </c>
      <c r="D278" s="42">
        <v>1</v>
      </c>
      <c r="E278" s="41">
        <v>1.1130899376669635E-4</v>
      </c>
    </row>
    <row r="279" spans="2:5" ht="15" customHeight="1">
      <c r="B279" s="84"/>
      <c r="C279" s="43" t="s">
        <v>66</v>
      </c>
      <c r="D279" s="42">
        <v>7</v>
      </c>
      <c r="E279" s="41">
        <v>7.7916295636687449E-4</v>
      </c>
    </row>
    <row r="280" spans="2:5" ht="15" customHeight="1">
      <c r="B280" s="84"/>
      <c r="C280" s="43" t="s">
        <v>62</v>
      </c>
      <c r="D280" s="42">
        <v>2</v>
      </c>
      <c r="E280" s="41">
        <v>2.2261798753339269E-4</v>
      </c>
    </row>
    <row r="281" spans="2:5" ht="15" customHeight="1">
      <c r="B281" s="84"/>
      <c r="C281" s="43" t="s">
        <v>50</v>
      </c>
      <c r="D281" s="42">
        <v>1</v>
      </c>
      <c r="E281" s="41">
        <v>1.1130899376669635E-4</v>
      </c>
    </row>
    <row r="282" spans="2:5" ht="15" customHeight="1">
      <c r="B282" s="84"/>
      <c r="C282" s="43" t="s">
        <v>52</v>
      </c>
      <c r="D282" s="42">
        <v>2</v>
      </c>
      <c r="E282" s="41">
        <v>2.2261798753339269E-4</v>
      </c>
    </row>
    <row r="283" spans="2:5" ht="15" customHeight="1">
      <c r="B283" s="84"/>
      <c r="C283" s="43" t="s">
        <v>59</v>
      </c>
      <c r="D283" s="42">
        <v>4</v>
      </c>
      <c r="E283" s="41">
        <v>4.4523597506678539E-4</v>
      </c>
    </row>
    <row r="284" spans="2:5" ht="15" customHeight="1">
      <c r="B284" s="84"/>
      <c r="C284" s="43" t="s">
        <v>65</v>
      </c>
      <c r="D284" s="42">
        <v>5</v>
      </c>
      <c r="E284" s="41">
        <v>5.5654496883348172E-4</v>
      </c>
    </row>
    <row r="285" spans="2:5" ht="15" customHeight="1">
      <c r="B285" s="84"/>
      <c r="C285" s="43" t="s">
        <v>70</v>
      </c>
      <c r="D285" s="42">
        <v>49</v>
      </c>
      <c r="E285" s="41">
        <v>5.4541406945681215E-3</v>
      </c>
    </row>
    <row r="286" spans="2:5" ht="15" customHeight="1">
      <c r="B286" s="84"/>
      <c r="C286" s="43" t="s">
        <v>55</v>
      </c>
      <c r="D286" s="42">
        <v>1</v>
      </c>
      <c r="E286" s="41">
        <v>1.1130899376669635E-4</v>
      </c>
    </row>
    <row r="287" spans="2:5" ht="15" customHeight="1">
      <c r="B287" s="84"/>
      <c r="C287" s="43" t="s">
        <v>60</v>
      </c>
      <c r="D287" s="42">
        <v>1</v>
      </c>
      <c r="E287" s="41">
        <v>1.1130899376669635E-4</v>
      </c>
    </row>
    <row r="288" spans="2:5" ht="15" customHeight="1">
      <c r="B288" s="84"/>
      <c r="C288" s="43" t="s">
        <v>51</v>
      </c>
      <c r="D288" s="42">
        <v>1</v>
      </c>
      <c r="E288" s="41">
        <v>1.1130899376669635E-4</v>
      </c>
    </row>
    <row r="289" spans="2:5" ht="15" customHeight="1">
      <c r="B289" s="85"/>
      <c r="C289" s="40" t="s">
        <v>23</v>
      </c>
      <c r="D289" s="39">
        <v>178</v>
      </c>
      <c r="E289" s="38">
        <v>1.981300089047195E-2</v>
      </c>
    </row>
    <row r="290" spans="2:5" ht="15" customHeight="1">
      <c r="B290" s="83" t="s">
        <v>164</v>
      </c>
      <c r="C290" s="43" t="s">
        <v>57</v>
      </c>
      <c r="D290" s="42">
        <v>5</v>
      </c>
      <c r="E290" s="41">
        <v>5.5654496883348172E-4</v>
      </c>
    </row>
    <row r="291" spans="2:5" ht="15" customHeight="1">
      <c r="B291" s="84"/>
      <c r="C291" s="43" t="s">
        <v>48</v>
      </c>
      <c r="D291" s="42">
        <v>1</v>
      </c>
      <c r="E291" s="41">
        <v>1.1130899376669635E-4</v>
      </c>
    </row>
    <row r="292" spans="2:5" ht="15" customHeight="1">
      <c r="B292" s="84"/>
      <c r="C292" s="43" t="s">
        <v>63</v>
      </c>
      <c r="D292" s="42">
        <v>6</v>
      </c>
      <c r="E292" s="41">
        <v>6.6785396260017811E-4</v>
      </c>
    </row>
    <row r="293" spans="2:5" ht="15" customHeight="1">
      <c r="B293" s="84"/>
      <c r="C293" s="43" t="s">
        <v>69</v>
      </c>
      <c r="D293" s="42">
        <v>51</v>
      </c>
      <c r="E293" s="41">
        <v>5.6767586821015138E-3</v>
      </c>
    </row>
    <row r="294" spans="2:5" ht="15" customHeight="1">
      <c r="B294" s="84"/>
      <c r="C294" s="43" t="s">
        <v>54</v>
      </c>
      <c r="D294" s="42">
        <v>14</v>
      </c>
      <c r="E294" s="41">
        <v>1.558325912733749E-3</v>
      </c>
    </row>
    <row r="295" spans="2:5" ht="15" customHeight="1">
      <c r="B295" s="84"/>
      <c r="C295" s="43" t="s">
        <v>68</v>
      </c>
      <c r="D295" s="42">
        <v>38</v>
      </c>
      <c r="E295" s="41">
        <v>4.2297417631344614E-3</v>
      </c>
    </row>
    <row r="296" spans="2:5" ht="15" customHeight="1">
      <c r="B296" s="84"/>
      <c r="C296" s="43" t="s">
        <v>67</v>
      </c>
      <c r="D296" s="42">
        <v>12</v>
      </c>
      <c r="E296" s="41">
        <v>1.3357079252003562E-3</v>
      </c>
    </row>
    <row r="297" spans="2:5" ht="15" customHeight="1">
      <c r="B297" s="84"/>
      <c r="C297" s="43" t="s">
        <v>44</v>
      </c>
      <c r="D297" s="42">
        <v>4</v>
      </c>
      <c r="E297" s="41">
        <v>4.4523597506678539E-4</v>
      </c>
    </row>
    <row r="298" spans="2:5" ht="15" customHeight="1">
      <c r="B298" s="84"/>
      <c r="C298" s="43" t="s">
        <v>64</v>
      </c>
      <c r="D298" s="42">
        <v>7</v>
      </c>
      <c r="E298" s="41">
        <v>7.7916295636687449E-4</v>
      </c>
    </row>
    <row r="299" spans="2:5" ht="15" customHeight="1">
      <c r="B299" s="84"/>
      <c r="C299" s="43" t="s">
        <v>53</v>
      </c>
      <c r="D299" s="42">
        <v>5</v>
      </c>
      <c r="E299" s="41">
        <v>5.5654496883348172E-4</v>
      </c>
    </row>
    <row r="300" spans="2:5" ht="15" customHeight="1">
      <c r="B300" s="84"/>
      <c r="C300" s="43" t="s">
        <v>47</v>
      </c>
      <c r="D300" s="42">
        <v>10</v>
      </c>
      <c r="E300" s="41">
        <v>1.1130899376669634E-3</v>
      </c>
    </row>
    <row r="301" spans="2:5" ht="15" customHeight="1">
      <c r="B301" s="84"/>
      <c r="C301" s="43" t="s">
        <v>56</v>
      </c>
      <c r="D301" s="42">
        <v>4</v>
      </c>
      <c r="E301" s="41">
        <v>4.4523597506678539E-4</v>
      </c>
    </row>
    <row r="302" spans="2:5" ht="15" customHeight="1">
      <c r="B302" s="84"/>
      <c r="C302" s="43" t="s">
        <v>36</v>
      </c>
      <c r="D302" s="42">
        <v>1</v>
      </c>
      <c r="E302" s="41">
        <v>1.1130899376669635E-4</v>
      </c>
    </row>
    <row r="303" spans="2:5" ht="15" customHeight="1">
      <c r="B303" s="84"/>
      <c r="C303" s="43" t="s">
        <v>33</v>
      </c>
      <c r="D303" s="42">
        <v>2</v>
      </c>
      <c r="E303" s="41">
        <v>2.2261798753339269E-4</v>
      </c>
    </row>
    <row r="304" spans="2:5" ht="15" customHeight="1">
      <c r="B304" s="84"/>
      <c r="C304" s="43" t="s">
        <v>46</v>
      </c>
      <c r="D304" s="42">
        <v>7</v>
      </c>
      <c r="E304" s="41">
        <v>7.7916295636687449E-4</v>
      </c>
    </row>
    <row r="305" spans="2:5" ht="15" customHeight="1">
      <c r="B305" s="84"/>
      <c r="C305" s="43" t="s">
        <v>45</v>
      </c>
      <c r="D305" s="42">
        <v>1</v>
      </c>
      <c r="E305" s="41">
        <v>1.1130899376669635E-4</v>
      </c>
    </row>
    <row r="306" spans="2:5" ht="15" customHeight="1">
      <c r="B306" s="84"/>
      <c r="C306" s="43" t="s">
        <v>40</v>
      </c>
      <c r="D306" s="42">
        <v>3</v>
      </c>
      <c r="E306" s="41">
        <v>3.3392698130008905E-4</v>
      </c>
    </row>
    <row r="307" spans="2:5" ht="15" customHeight="1">
      <c r="B307" s="84"/>
      <c r="C307" s="43" t="s">
        <v>43</v>
      </c>
      <c r="D307" s="42">
        <v>3</v>
      </c>
      <c r="E307" s="41">
        <v>3.3392698130008905E-4</v>
      </c>
    </row>
    <row r="308" spans="2:5" ht="15" customHeight="1">
      <c r="B308" s="84"/>
      <c r="C308" s="43" t="s">
        <v>61</v>
      </c>
      <c r="D308" s="42">
        <v>14</v>
      </c>
      <c r="E308" s="41">
        <v>1.558325912733749E-3</v>
      </c>
    </row>
    <row r="309" spans="2:5" ht="15" customHeight="1">
      <c r="B309" s="84"/>
      <c r="C309" s="43" t="s">
        <v>58</v>
      </c>
      <c r="D309" s="42">
        <v>5</v>
      </c>
      <c r="E309" s="41">
        <v>5.5654496883348172E-4</v>
      </c>
    </row>
    <row r="310" spans="2:5" ht="15" customHeight="1">
      <c r="B310" s="84"/>
      <c r="C310" s="43" t="s">
        <v>32</v>
      </c>
      <c r="D310" s="42">
        <v>1</v>
      </c>
      <c r="E310" s="41">
        <v>1.1130899376669635E-4</v>
      </c>
    </row>
    <row r="311" spans="2:5" ht="15" customHeight="1">
      <c r="B311" s="84"/>
      <c r="C311" s="43" t="s">
        <v>37</v>
      </c>
      <c r="D311" s="42">
        <v>1</v>
      </c>
      <c r="E311" s="41">
        <v>1.1130899376669635E-4</v>
      </c>
    </row>
    <row r="312" spans="2:5" ht="15" customHeight="1">
      <c r="B312" s="84"/>
      <c r="C312" s="43" t="s">
        <v>42</v>
      </c>
      <c r="D312" s="42">
        <v>2</v>
      </c>
      <c r="E312" s="41">
        <v>2.2261798753339269E-4</v>
      </c>
    </row>
    <row r="313" spans="2:5" ht="15" customHeight="1">
      <c r="B313" s="84"/>
      <c r="C313" s="43" t="s">
        <v>66</v>
      </c>
      <c r="D313" s="42">
        <v>18</v>
      </c>
      <c r="E313" s="41">
        <v>2.0035618878005341E-3</v>
      </c>
    </row>
    <row r="314" spans="2:5" ht="15" customHeight="1">
      <c r="B314" s="84"/>
      <c r="C314" s="43" t="s">
        <v>41</v>
      </c>
      <c r="D314" s="42">
        <v>1</v>
      </c>
      <c r="E314" s="41">
        <v>1.1130899376669635E-4</v>
      </c>
    </row>
    <row r="315" spans="2:5" ht="15" customHeight="1">
      <c r="B315" s="84"/>
      <c r="C315" s="43" t="s">
        <v>62</v>
      </c>
      <c r="D315" s="42">
        <v>7</v>
      </c>
      <c r="E315" s="41">
        <v>7.7916295636687449E-4</v>
      </c>
    </row>
    <row r="316" spans="2:5" ht="15" customHeight="1">
      <c r="B316" s="84"/>
      <c r="C316" s="43" t="s">
        <v>50</v>
      </c>
      <c r="D316" s="42">
        <v>4</v>
      </c>
      <c r="E316" s="41">
        <v>4.4523597506678539E-4</v>
      </c>
    </row>
    <row r="317" spans="2:5" ht="15" customHeight="1">
      <c r="B317" s="84"/>
      <c r="C317" s="43" t="s">
        <v>52</v>
      </c>
      <c r="D317" s="42">
        <v>6</v>
      </c>
      <c r="E317" s="41">
        <v>6.6785396260017811E-4</v>
      </c>
    </row>
    <row r="318" spans="2:5" ht="15" customHeight="1">
      <c r="B318" s="84"/>
      <c r="C318" s="43" t="s">
        <v>30</v>
      </c>
      <c r="D318" s="42">
        <v>1</v>
      </c>
      <c r="E318" s="41">
        <v>1.1130899376669635E-4</v>
      </c>
    </row>
    <row r="319" spans="2:5" ht="15" customHeight="1">
      <c r="B319" s="84"/>
      <c r="C319" s="43" t="s">
        <v>59</v>
      </c>
      <c r="D319" s="42">
        <v>5</v>
      </c>
      <c r="E319" s="41">
        <v>5.5654496883348172E-4</v>
      </c>
    </row>
    <row r="320" spans="2:5" ht="15" customHeight="1">
      <c r="B320" s="84"/>
      <c r="C320" s="43" t="s">
        <v>65</v>
      </c>
      <c r="D320" s="42">
        <v>5</v>
      </c>
      <c r="E320" s="41">
        <v>5.5654496883348172E-4</v>
      </c>
    </row>
    <row r="321" spans="2:5" ht="15" customHeight="1">
      <c r="B321" s="84"/>
      <c r="C321" s="43" t="s">
        <v>70</v>
      </c>
      <c r="D321" s="42">
        <v>113</v>
      </c>
      <c r="E321" s="41">
        <v>1.2577916295636687E-2</v>
      </c>
    </row>
    <row r="322" spans="2:5" ht="15" customHeight="1">
      <c r="B322" s="84"/>
      <c r="C322" s="43" t="s">
        <v>49</v>
      </c>
      <c r="D322" s="42">
        <v>8</v>
      </c>
      <c r="E322" s="41">
        <v>8.9047195013357077E-4</v>
      </c>
    </row>
    <row r="323" spans="2:5" ht="15" customHeight="1">
      <c r="B323" s="84"/>
      <c r="C323" s="43" t="s">
        <v>55</v>
      </c>
      <c r="D323" s="42">
        <v>3</v>
      </c>
      <c r="E323" s="41">
        <v>3.3392698130008905E-4</v>
      </c>
    </row>
    <row r="324" spans="2:5" ht="15" customHeight="1">
      <c r="B324" s="84"/>
      <c r="C324" s="43" t="s">
        <v>60</v>
      </c>
      <c r="D324" s="42">
        <v>9</v>
      </c>
      <c r="E324" s="41">
        <v>1.0017809439002671E-3</v>
      </c>
    </row>
    <row r="325" spans="2:5" ht="15" customHeight="1">
      <c r="B325" s="84"/>
      <c r="C325" s="43" t="s">
        <v>51</v>
      </c>
      <c r="D325" s="42">
        <v>6</v>
      </c>
      <c r="E325" s="41">
        <v>6.6785396260017811E-4</v>
      </c>
    </row>
    <row r="326" spans="2:5" ht="15" customHeight="1">
      <c r="B326" s="84"/>
      <c r="C326" s="43" t="s">
        <v>28</v>
      </c>
      <c r="D326" s="42">
        <v>1</v>
      </c>
      <c r="E326" s="41">
        <v>1.1130899376669635E-4</v>
      </c>
    </row>
    <row r="327" spans="2:5" ht="15" customHeight="1">
      <c r="B327" s="85"/>
      <c r="C327" s="40" t="s">
        <v>23</v>
      </c>
      <c r="D327" s="39">
        <v>384</v>
      </c>
      <c r="E327" s="38">
        <v>4.2742653606411399E-2</v>
      </c>
    </row>
    <row r="328" spans="2:5" ht="15" customHeight="1">
      <c r="B328" s="83" t="s">
        <v>163</v>
      </c>
      <c r="C328" s="43" t="s">
        <v>57</v>
      </c>
      <c r="D328" s="42">
        <v>38</v>
      </c>
      <c r="E328" s="41">
        <v>4.2297417631344614E-3</v>
      </c>
    </row>
    <row r="329" spans="2:5" ht="15" customHeight="1">
      <c r="B329" s="84"/>
      <c r="C329" s="43" t="s">
        <v>48</v>
      </c>
      <c r="D329" s="42">
        <v>14</v>
      </c>
      <c r="E329" s="41">
        <v>1.558325912733749E-3</v>
      </c>
    </row>
    <row r="330" spans="2:5" ht="15" customHeight="1">
      <c r="B330" s="84"/>
      <c r="C330" s="43" t="s">
        <v>63</v>
      </c>
      <c r="D330" s="42">
        <v>41</v>
      </c>
      <c r="E330" s="41">
        <v>4.5636687444345504E-3</v>
      </c>
    </row>
    <row r="331" spans="2:5" ht="15" customHeight="1">
      <c r="B331" s="84"/>
      <c r="C331" s="43" t="s">
        <v>69</v>
      </c>
      <c r="D331" s="42">
        <v>579</v>
      </c>
      <c r="E331" s="41">
        <v>6.4447907390917186E-2</v>
      </c>
    </row>
    <row r="332" spans="2:5" ht="15" customHeight="1">
      <c r="B332" s="84"/>
      <c r="C332" s="43" t="s">
        <v>54</v>
      </c>
      <c r="D332" s="42">
        <v>35</v>
      </c>
      <c r="E332" s="41">
        <v>3.895814781834372E-3</v>
      </c>
    </row>
    <row r="333" spans="2:5" ht="15" customHeight="1">
      <c r="B333" s="84"/>
      <c r="C333" s="43" t="s">
        <v>34</v>
      </c>
      <c r="D333" s="42">
        <v>7</v>
      </c>
      <c r="E333" s="41">
        <v>7.7916295636687449E-4</v>
      </c>
    </row>
    <row r="334" spans="2:5" ht="15" customHeight="1">
      <c r="B334" s="84"/>
      <c r="C334" s="43" t="s">
        <v>31</v>
      </c>
      <c r="D334" s="42">
        <v>5</v>
      </c>
      <c r="E334" s="41">
        <v>5.5654496883348172E-4</v>
      </c>
    </row>
    <row r="335" spans="2:5" ht="15" customHeight="1">
      <c r="B335" s="84"/>
      <c r="C335" s="43" t="s">
        <v>27</v>
      </c>
      <c r="D335" s="42">
        <v>2</v>
      </c>
      <c r="E335" s="41">
        <v>2.2261798753339269E-4</v>
      </c>
    </row>
    <row r="336" spans="2:5" ht="15" customHeight="1">
      <c r="B336" s="84"/>
      <c r="C336" s="43" t="s">
        <v>68</v>
      </c>
      <c r="D336" s="42">
        <v>296</v>
      </c>
      <c r="E336" s="41">
        <v>3.2947462154942118E-2</v>
      </c>
    </row>
    <row r="337" spans="2:5" ht="15" customHeight="1">
      <c r="B337" s="84"/>
      <c r="C337" s="43" t="s">
        <v>67</v>
      </c>
      <c r="D337" s="42">
        <v>152</v>
      </c>
      <c r="E337" s="41">
        <v>1.6918967052537846E-2</v>
      </c>
    </row>
    <row r="338" spans="2:5" ht="15" customHeight="1">
      <c r="B338" s="84"/>
      <c r="C338" s="43" t="s">
        <v>25</v>
      </c>
      <c r="D338" s="42">
        <v>1</v>
      </c>
      <c r="E338" s="41">
        <v>1.1130899376669635E-4</v>
      </c>
    </row>
    <row r="339" spans="2:5" ht="15" customHeight="1">
      <c r="B339" s="84"/>
      <c r="C339" s="43" t="s">
        <v>44</v>
      </c>
      <c r="D339" s="42">
        <v>11</v>
      </c>
      <c r="E339" s="41">
        <v>1.2243989314336598E-3</v>
      </c>
    </row>
    <row r="340" spans="2:5" ht="15" customHeight="1">
      <c r="B340" s="84"/>
      <c r="C340" s="43" t="s">
        <v>64</v>
      </c>
      <c r="D340" s="42">
        <v>69</v>
      </c>
      <c r="E340" s="41">
        <v>7.6803205699020483E-3</v>
      </c>
    </row>
    <row r="341" spans="2:5" ht="15" customHeight="1">
      <c r="B341" s="84"/>
      <c r="C341" s="43" t="s">
        <v>53</v>
      </c>
      <c r="D341" s="42">
        <v>50</v>
      </c>
      <c r="E341" s="41">
        <v>5.5654496883348172E-3</v>
      </c>
    </row>
    <row r="342" spans="2:5" ht="15" customHeight="1">
      <c r="B342" s="84"/>
      <c r="C342" s="43" t="s">
        <v>35</v>
      </c>
      <c r="D342" s="42">
        <v>9</v>
      </c>
      <c r="E342" s="41">
        <v>1.0017809439002671E-3</v>
      </c>
    </row>
    <row r="343" spans="2:5" ht="15" customHeight="1">
      <c r="B343" s="84"/>
      <c r="C343" s="43" t="s">
        <v>47</v>
      </c>
      <c r="D343" s="42">
        <v>18</v>
      </c>
      <c r="E343" s="41">
        <v>2.0035618878005341E-3</v>
      </c>
    </row>
    <row r="344" spans="2:5" ht="15" customHeight="1">
      <c r="B344" s="84"/>
      <c r="C344" s="43" t="s">
        <v>38</v>
      </c>
      <c r="D344" s="42">
        <v>14</v>
      </c>
      <c r="E344" s="41">
        <v>1.558325912733749E-3</v>
      </c>
    </row>
    <row r="345" spans="2:5" ht="15" customHeight="1">
      <c r="B345" s="84"/>
      <c r="C345" s="43" t="s">
        <v>56</v>
      </c>
      <c r="D345" s="42">
        <v>32</v>
      </c>
      <c r="E345" s="41">
        <v>3.5618878005342831E-3</v>
      </c>
    </row>
    <row r="346" spans="2:5" ht="15" customHeight="1">
      <c r="B346" s="84"/>
      <c r="C346" s="43" t="s">
        <v>36</v>
      </c>
      <c r="D346" s="42">
        <v>12</v>
      </c>
      <c r="E346" s="41">
        <v>1.3357079252003562E-3</v>
      </c>
    </row>
    <row r="347" spans="2:5" ht="15" customHeight="1">
      <c r="B347" s="84"/>
      <c r="C347" s="43" t="s">
        <v>33</v>
      </c>
      <c r="D347" s="42">
        <v>10</v>
      </c>
      <c r="E347" s="41">
        <v>1.1130899376669634E-3</v>
      </c>
    </row>
    <row r="348" spans="2:5" ht="15" customHeight="1">
      <c r="B348" s="84"/>
      <c r="C348" s="43" t="s">
        <v>46</v>
      </c>
      <c r="D348" s="42">
        <v>12</v>
      </c>
      <c r="E348" s="41">
        <v>1.3357079252003562E-3</v>
      </c>
    </row>
    <row r="349" spans="2:5" ht="15" customHeight="1">
      <c r="B349" s="84"/>
      <c r="C349" s="43" t="s">
        <v>45</v>
      </c>
      <c r="D349" s="42">
        <v>27</v>
      </c>
      <c r="E349" s="41">
        <v>3.0053428317008014E-3</v>
      </c>
    </row>
    <row r="350" spans="2:5" ht="15" customHeight="1">
      <c r="B350" s="84"/>
      <c r="C350" s="43" t="s">
        <v>40</v>
      </c>
      <c r="D350" s="42">
        <v>14</v>
      </c>
      <c r="E350" s="41">
        <v>1.558325912733749E-3</v>
      </c>
    </row>
    <row r="351" spans="2:5" ht="15" customHeight="1">
      <c r="B351" s="84"/>
      <c r="C351" s="43" t="s">
        <v>43</v>
      </c>
      <c r="D351" s="42">
        <v>10</v>
      </c>
      <c r="E351" s="41">
        <v>1.1130899376669634E-3</v>
      </c>
    </row>
    <row r="352" spans="2:5" ht="15" customHeight="1">
      <c r="B352" s="84"/>
      <c r="C352" s="43" t="s">
        <v>61</v>
      </c>
      <c r="D352" s="42">
        <v>41</v>
      </c>
      <c r="E352" s="41">
        <v>4.5636687444345504E-3</v>
      </c>
    </row>
    <row r="353" spans="2:5" ht="15" customHeight="1">
      <c r="B353" s="84"/>
      <c r="C353" s="43" t="s">
        <v>58</v>
      </c>
      <c r="D353" s="42">
        <v>40</v>
      </c>
      <c r="E353" s="41">
        <v>4.4523597506678537E-3</v>
      </c>
    </row>
    <row r="354" spans="2:5" ht="15" customHeight="1">
      <c r="B354" s="84"/>
      <c r="C354" s="43" t="s">
        <v>32</v>
      </c>
      <c r="D354" s="42">
        <v>6</v>
      </c>
      <c r="E354" s="41">
        <v>6.6785396260017811E-4</v>
      </c>
    </row>
    <row r="355" spans="2:5" ht="15" customHeight="1">
      <c r="B355" s="84"/>
      <c r="C355" s="43" t="s">
        <v>39</v>
      </c>
      <c r="D355" s="42">
        <v>15</v>
      </c>
      <c r="E355" s="41">
        <v>1.6696349065004452E-3</v>
      </c>
    </row>
    <row r="356" spans="2:5" ht="15" customHeight="1">
      <c r="B356" s="84"/>
      <c r="C356" s="43" t="s">
        <v>37</v>
      </c>
      <c r="D356" s="42">
        <v>10</v>
      </c>
      <c r="E356" s="41">
        <v>1.1130899376669634E-3</v>
      </c>
    </row>
    <row r="357" spans="2:5" ht="15" customHeight="1">
      <c r="B357" s="84"/>
      <c r="C357" s="43" t="s">
        <v>42</v>
      </c>
      <c r="D357" s="42">
        <v>9</v>
      </c>
      <c r="E357" s="41">
        <v>1.0017809439002671E-3</v>
      </c>
    </row>
    <row r="358" spans="2:5" ht="15" customHeight="1">
      <c r="B358" s="84"/>
      <c r="C358" s="43" t="s">
        <v>66</v>
      </c>
      <c r="D358" s="42">
        <v>126</v>
      </c>
      <c r="E358" s="41">
        <v>1.4024933214603739E-2</v>
      </c>
    </row>
    <row r="359" spans="2:5" ht="15" customHeight="1">
      <c r="B359" s="84"/>
      <c r="C359" s="43" t="s">
        <v>24</v>
      </c>
      <c r="D359" s="42">
        <v>1</v>
      </c>
      <c r="E359" s="41">
        <v>1.1130899376669635E-4</v>
      </c>
    </row>
    <row r="360" spans="2:5" ht="15" customHeight="1">
      <c r="B360" s="84"/>
      <c r="C360" s="43" t="s">
        <v>41</v>
      </c>
      <c r="D360" s="42">
        <v>19</v>
      </c>
      <c r="E360" s="41">
        <v>2.1148708815672307E-3</v>
      </c>
    </row>
    <row r="361" spans="2:5" ht="15" customHeight="1">
      <c r="B361" s="84"/>
      <c r="C361" s="43" t="s">
        <v>62</v>
      </c>
      <c r="D361" s="42">
        <v>50</v>
      </c>
      <c r="E361" s="41">
        <v>5.5654496883348172E-3</v>
      </c>
    </row>
    <row r="362" spans="2:5" ht="15" customHeight="1">
      <c r="B362" s="84"/>
      <c r="C362" s="43" t="s">
        <v>50</v>
      </c>
      <c r="D362" s="42">
        <v>20</v>
      </c>
      <c r="E362" s="41">
        <v>2.2261798753339269E-3</v>
      </c>
    </row>
    <row r="363" spans="2:5" ht="15" customHeight="1">
      <c r="B363" s="84"/>
      <c r="C363" s="43" t="s">
        <v>52</v>
      </c>
      <c r="D363" s="42">
        <v>30</v>
      </c>
      <c r="E363" s="41">
        <v>3.3392698130008903E-3</v>
      </c>
    </row>
    <row r="364" spans="2:5" ht="15" customHeight="1">
      <c r="B364" s="84"/>
      <c r="C364" s="43" t="s">
        <v>30</v>
      </c>
      <c r="D364" s="42">
        <v>1</v>
      </c>
      <c r="E364" s="41">
        <v>1.1130899376669635E-4</v>
      </c>
    </row>
    <row r="365" spans="2:5" ht="15" customHeight="1">
      <c r="B365" s="84"/>
      <c r="C365" s="43" t="s">
        <v>59</v>
      </c>
      <c r="D365" s="42">
        <v>54</v>
      </c>
      <c r="E365" s="41">
        <v>6.0106856634016027E-3</v>
      </c>
    </row>
    <row r="366" spans="2:5" ht="15" customHeight="1">
      <c r="B366" s="84"/>
      <c r="C366" s="43" t="s">
        <v>29</v>
      </c>
      <c r="D366" s="42">
        <v>2</v>
      </c>
      <c r="E366" s="41">
        <v>2.2261798753339269E-4</v>
      </c>
    </row>
    <row r="367" spans="2:5" ht="15" customHeight="1">
      <c r="B367" s="84"/>
      <c r="C367" s="43" t="s">
        <v>65</v>
      </c>
      <c r="D367" s="42">
        <v>84</v>
      </c>
      <c r="E367" s="41">
        <v>9.3499554764024939E-3</v>
      </c>
    </row>
    <row r="368" spans="2:5" ht="15" customHeight="1">
      <c r="B368" s="84"/>
      <c r="C368" s="43" t="s">
        <v>70</v>
      </c>
      <c r="D368" s="42">
        <v>1099</v>
      </c>
      <c r="E368" s="41">
        <v>0.12232858414959928</v>
      </c>
    </row>
    <row r="369" spans="2:5" ht="15" customHeight="1">
      <c r="B369" s="84"/>
      <c r="C369" s="43" t="s">
        <v>49</v>
      </c>
      <c r="D369" s="42">
        <v>21</v>
      </c>
      <c r="E369" s="41">
        <v>2.3374888691006235E-3</v>
      </c>
    </row>
    <row r="370" spans="2:5" ht="15" customHeight="1">
      <c r="B370" s="84"/>
      <c r="C370" s="43" t="s">
        <v>55</v>
      </c>
      <c r="D370" s="42">
        <v>36</v>
      </c>
      <c r="E370" s="41">
        <v>4.0071237756010682E-3</v>
      </c>
    </row>
    <row r="371" spans="2:5" ht="15" customHeight="1">
      <c r="B371" s="84"/>
      <c r="C371" s="43" t="s">
        <v>60</v>
      </c>
      <c r="D371" s="42">
        <v>55</v>
      </c>
      <c r="E371" s="41">
        <v>6.1219946571682993E-3</v>
      </c>
    </row>
    <row r="372" spans="2:5" ht="15" customHeight="1">
      <c r="B372" s="84"/>
      <c r="C372" s="43" t="s">
        <v>26</v>
      </c>
      <c r="D372" s="42">
        <v>2</v>
      </c>
      <c r="E372" s="41">
        <v>2.2261798753339269E-4</v>
      </c>
    </row>
    <row r="373" spans="2:5" ht="15" customHeight="1">
      <c r="B373" s="84"/>
      <c r="C373" s="43" t="s">
        <v>51</v>
      </c>
      <c r="D373" s="42">
        <v>29</v>
      </c>
      <c r="E373" s="41">
        <v>3.2279608192341941E-3</v>
      </c>
    </row>
    <row r="374" spans="2:5" ht="15" customHeight="1">
      <c r="B374" s="85"/>
      <c r="C374" s="40" t="s">
        <v>23</v>
      </c>
      <c r="D374" s="39">
        <v>3208</v>
      </c>
      <c r="E374" s="38">
        <v>0.35707925200356189</v>
      </c>
    </row>
    <row r="375" spans="2:5" ht="15" customHeight="1">
      <c r="B375" s="83" t="s">
        <v>162</v>
      </c>
      <c r="C375" s="43" t="s">
        <v>48</v>
      </c>
      <c r="D375" s="42">
        <v>1</v>
      </c>
      <c r="E375" s="41">
        <v>1.1130899376669635E-4</v>
      </c>
    </row>
    <row r="376" spans="2:5" ht="15" customHeight="1">
      <c r="B376" s="84"/>
      <c r="C376" s="43" t="s">
        <v>63</v>
      </c>
      <c r="D376" s="42">
        <v>1</v>
      </c>
      <c r="E376" s="41">
        <v>1.1130899376669635E-4</v>
      </c>
    </row>
    <row r="377" spans="2:5" ht="15" customHeight="1">
      <c r="B377" s="84"/>
      <c r="C377" s="43" t="s">
        <v>69</v>
      </c>
      <c r="D377" s="42">
        <v>12</v>
      </c>
      <c r="E377" s="41">
        <v>1.3357079252003562E-3</v>
      </c>
    </row>
    <row r="378" spans="2:5" ht="15" customHeight="1">
      <c r="B378" s="84"/>
      <c r="C378" s="43" t="s">
        <v>54</v>
      </c>
      <c r="D378" s="42">
        <v>1</v>
      </c>
      <c r="E378" s="41">
        <v>1.1130899376669635E-4</v>
      </c>
    </row>
    <row r="379" spans="2:5" ht="15" customHeight="1">
      <c r="B379" s="84"/>
      <c r="C379" s="43" t="s">
        <v>68</v>
      </c>
      <c r="D379" s="42">
        <v>7</v>
      </c>
      <c r="E379" s="41">
        <v>7.7916295636687449E-4</v>
      </c>
    </row>
    <row r="380" spans="2:5" ht="15" customHeight="1">
      <c r="B380" s="84"/>
      <c r="C380" s="43" t="s">
        <v>67</v>
      </c>
      <c r="D380" s="42">
        <v>7</v>
      </c>
      <c r="E380" s="41">
        <v>7.7916295636687449E-4</v>
      </c>
    </row>
    <row r="381" spans="2:5" ht="15" customHeight="1">
      <c r="B381" s="84"/>
      <c r="C381" s="43" t="s">
        <v>64</v>
      </c>
      <c r="D381" s="42">
        <v>2</v>
      </c>
      <c r="E381" s="41">
        <v>2.2261798753339269E-4</v>
      </c>
    </row>
    <row r="382" spans="2:5" ht="15" customHeight="1">
      <c r="B382" s="84"/>
      <c r="C382" s="43" t="s">
        <v>53</v>
      </c>
      <c r="D382" s="42">
        <v>1</v>
      </c>
      <c r="E382" s="41">
        <v>1.1130899376669635E-4</v>
      </c>
    </row>
    <row r="383" spans="2:5" ht="15" customHeight="1">
      <c r="B383" s="84"/>
      <c r="C383" s="43" t="s">
        <v>47</v>
      </c>
      <c r="D383" s="42">
        <v>1</v>
      </c>
      <c r="E383" s="41">
        <v>1.1130899376669635E-4</v>
      </c>
    </row>
    <row r="384" spans="2:5" ht="15" customHeight="1">
      <c r="B384" s="84"/>
      <c r="C384" s="43" t="s">
        <v>56</v>
      </c>
      <c r="D384" s="42">
        <v>1</v>
      </c>
      <c r="E384" s="41">
        <v>1.1130899376669635E-4</v>
      </c>
    </row>
    <row r="385" spans="2:5" ht="15" customHeight="1">
      <c r="B385" s="84"/>
      <c r="C385" s="43" t="s">
        <v>43</v>
      </c>
      <c r="D385" s="42">
        <v>1</v>
      </c>
      <c r="E385" s="41">
        <v>1.1130899376669635E-4</v>
      </c>
    </row>
    <row r="386" spans="2:5" ht="15" customHeight="1">
      <c r="B386" s="84"/>
      <c r="C386" s="43" t="s">
        <v>61</v>
      </c>
      <c r="D386" s="42">
        <v>3</v>
      </c>
      <c r="E386" s="41">
        <v>3.3392698130008905E-4</v>
      </c>
    </row>
    <row r="387" spans="2:5" ht="15" customHeight="1">
      <c r="B387" s="84"/>
      <c r="C387" s="43" t="s">
        <v>58</v>
      </c>
      <c r="D387" s="42">
        <v>1</v>
      </c>
      <c r="E387" s="41">
        <v>1.1130899376669635E-4</v>
      </c>
    </row>
    <row r="388" spans="2:5" ht="15" customHeight="1">
      <c r="B388" s="84"/>
      <c r="C388" s="43" t="s">
        <v>39</v>
      </c>
      <c r="D388" s="42">
        <v>1</v>
      </c>
      <c r="E388" s="41">
        <v>1.1130899376669635E-4</v>
      </c>
    </row>
    <row r="389" spans="2:5" ht="15" customHeight="1">
      <c r="B389" s="84"/>
      <c r="C389" s="43" t="s">
        <v>66</v>
      </c>
      <c r="D389" s="42">
        <v>6</v>
      </c>
      <c r="E389" s="41">
        <v>6.6785396260017811E-4</v>
      </c>
    </row>
    <row r="390" spans="2:5" ht="15" customHeight="1">
      <c r="B390" s="84"/>
      <c r="C390" s="43" t="s">
        <v>62</v>
      </c>
      <c r="D390" s="42">
        <v>2</v>
      </c>
      <c r="E390" s="41">
        <v>2.2261798753339269E-4</v>
      </c>
    </row>
    <row r="391" spans="2:5" ht="15" customHeight="1">
      <c r="B391" s="84"/>
      <c r="C391" s="43" t="s">
        <v>50</v>
      </c>
      <c r="D391" s="42">
        <v>3</v>
      </c>
      <c r="E391" s="41">
        <v>3.3392698130008905E-4</v>
      </c>
    </row>
    <row r="392" spans="2:5" ht="15" customHeight="1">
      <c r="B392" s="84"/>
      <c r="C392" s="43" t="s">
        <v>52</v>
      </c>
      <c r="D392" s="42">
        <v>1</v>
      </c>
      <c r="E392" s="41">
        <v>1.1130899376669635E-4</v>
      </c>
    </row>
    <row r="393" spans="2:5" ht="15" customHeight="1">
      <c r="B393" s="84"/>
      <c r="C393" s="43" t="s">
        <v>65</v>
      </c>
      <c r="D393" s="42">
        <v>1</v>
      </c>
      <c r="E393" s="41">
        <v>1.1130899376669635E-4</v>
      </c>
    </row>
    <row r="394" spans="2:5" ht="15" customHeight="1">
      <c r="B394" s="84"/>
      <c r="C394" s="43" t="s">
        <v>70</v>
      </c>
      <c r="D394" s="42">
        <v>22</v>
      </c>
      <c r="E394" s="41">
        <v>2.4487978628673196E-3</v>
      </c>
    </row>
    <row r="395" spans="2:5" ht="15" customHeight="1">
      <c r="B395" s="84"/>
      <c r="C395" s="43" t="s">
        <v>49</v>
      </c>
      <c r="D395" s="42">
        <v>1</v>
      </c>
      <c r="E395" s="41">
        <v>1.1130899376669635E-4</v>
      </c>
    </row>
    <row r="396" spans="2:5" ht="15" customHeight="1">
      <c r="B396" s="84"/>
      <c r="C396" s="43" t="s">
        <v>51</v>
      </c>
      <c r="D396" s="42">
        <v>1</v>
      </c>
      <c r="E396" s="41">
        <v>1.1130899376669635E-4</v>
      </c>
    </row>
    <row r="397" spans="2:5" ht="15" customHeight="1">
      <c r="B397" s="85"/>
      <c r="C397" s="40" t="s">
        <v>23</v>
      </c>
      <c r="D397" s="39">
        <v>77</v>
      </c>
      <c r="E397" s="38">
        <v>8.5707925200356194E-3</v>
      </c>
    </row>
    <row r="398" spans="2:5" ht="15" customHeight="1">
      <c r="B398" s="83" t="s">
        <v>161</v>
      </c>
      <c r="C398" s="43" t="s">
        <v>57</v>
      </c>
      <c r="D398" s="42">
        <v>6</v>
      </c>
      <c r="E398" s="41">
        <v>6.6785396260017811E-4</v>
      </c>
    </row>
    <row r="399" spans="2:5" ht="15" customHeight="1">
      <c r="B399" s="84"/>
      <c r="C399" s="43" t="s">
        <v>48</v>
      </c>
      <c r="D399" s="42">
        <v>2</v>
      </c>
      <c r="E399" s="41">
        <v>2.2261798753339269E-4</v>
      </c>
    </row>
    <row r="400" spans="2:5" ht="15" customHeight="1">
      <c r="B400" s="84"/>
      <c r="C400" s="43" t="s">
        <v>69</v>
      </c>
      <c r="D400" s="42">
        <v>68</v>
      </c>
      <c r="E400" s="41">
        <v>7.5690115761353517E-3</v>
      </c>
    </row>
    <row r="401" spans="2:5" ht="15" customHeight="1">
      <c r="B401" s="84"/>
      <c r="C401" s="43" t="s">
        <v>54</v>
      </c>
      <c r="D401" s="42">
        <v>7</v>
      </c>
      <c r="E401" s="41">
        <v>7.7916295636687449E-4</v>
      </c>
    </row>
    <row r="402" spans="2:5" ht="15" customHeight="1">
      <c r="B402" s="84"/>
      <c r="C402" s="43" t="s">
        <v>34</v>
      </c>
      <c r="D402" s="42">
        <v>1</v>
      </c>
      <c r="E402" s="41">
        <v>1.1130899376669635E-4</v>
      </c>
    </row>
    <row r="403" spans="2:5" ht="15" customHeight="1">
      <c r="B403" s="84"/>
      <c r="C403" s="43" t="s">
        <v>31</v>
      </c>
      <c r="D403" s="42">
        <v>1</v>
      </c>
      <c r="E403" s="41">
        <v>1.1130899376669635E-4</v>
      </c>
    </row>
    <row r="404" spans="2:5" ht="15" customHeight="1">
      <c r="B404" s="84"/>
      <c r="C404" s="43" t="s">
        <v>68</v>
      </c>
      <c r="D404" s="42">
        <v>32</v>
      </c>
      <c r="E404" s="41">
        <v>3.5618878005342831E-3</v>
      </c>
    </row>
    <row r="405" spans="2:5" ht="15" customHeight="1">
      <c r="B405" s="84"/>
      <c r="C405" s="43" t="s">
        <v>67</v>
      </c>
      <c r="D405" s="42">
        <v>16</v>
      </c>
      <c r="E405" s="41">
        <v>1.7809439002671415E-3</v>
      </c>
    </row>
    <row r="406" spans="2:5" ht="15" customHeight="1">
      <c r="B406" s="84"/>
      <c r="C406" s="43" t="s">
        <v>44</v>
      </c>
      <c r="D406" s="42">
        <v>2</v>
      </c>
      <c r="E406" s="41">
        <v>2.2261798753339269E-4</v>
      </c>
    </row>
    <row r="407" spans="2:5" ht="15" customHeight="1">
      <c r="B407" s="84"/>
      <c r="C407" s="43" t="s">
        <v>64</v>
      </c>
      <c r="D407" s="42">
        <v>11</v>
      </c>
      <c r="E407" s="41">
        <v>1.2243989314336598E-3</v>
      </c>
    </row>
    <row r="408" spans="2:5" ht="15" customHeight="1">
      <c r="B408" s="84"/>
      <c r="C408" s="43" t="s">
        <v>53</v>
      </c>
      <c r="D408" s="42">
        <v>3</v>
      </c>
      <c r="E408" s="41">
        <v>3.3392698130008905E-4</v>
      </c>
    </row>
    <row r="409" spans="2:5" ht="15" customHeight="1">
      <c r="B409" s="84"/>
      <c r="C409" s="43" t="s">
        <v>47</v>
      </c>
      <c r="D409" s="42">
        <v>2</v>
      </c>
      <c r="E409" s="41">
        <v>2.2261798753339269E-4</v>
      </c>
    </row>
    <row r="410" spans="2:5" ht="15" customHeight="1">
      <c r="B410" s="84"/>
      <c r="C410" s="43" t="s">
        <v>56</v>
      </c>
      <c r="D410" s="42">
        <v>7</v>
      </c>
      <c r="E410" s="41">
        <v>7.7916295636687449E-4</v>
      </c>
    </row>
    <row r="411" spans="2:5" ht="15" customHeight="1">
      <c r="B411" s="84"/>
      <c r="C411" s="43" t="s">
        <v>46</v>
      </c>
      <c r="D411" s="42">
        <v>1</v>
      </c>
      <c r="E411" s="41">
        <v>1.1130899376669635E-4</v>
      </c>
    </row>
    <row r="412" spans="2:5" ht="15" customHeight="1">
      <c r="B412" s="84"/>
      <c r="C412" s="43" t="s">
        <v>45</v>
      </c>
      <c r="D412" s="42">
        <v>2</v>
      </c>
      <c r="E412" s="41">
        <v>2.2261798753339269E-4</v>
      </c>
    </row>
    <row r="413" spans="2:5" ht="15" customHeight="1">
      <c r="B413" s="84"/>
      <c r="C413" s="43" t="s">
        <v>40</v>
      </c>
      <c r="D413" s="42">
        <v>3</v>
      </c>
      <c r="E413" s="41">
        <v>3.3392698130008905E-4</v>
      </c>
    </row>
    <row r="414" spans="2:5" ht="15" customHeight="1">
      <c r="B414" s="84"/>
      <c r="C414" s="43" t="s">
        <v>43</v>
      </c>
      <c r="D414" s="42">
        <v>2</v>
      </c>
      <c r="E414" s="41">
        <v>2.2261798753339269E-4</v>
      </c>
    </row>
    <row r="415" spans="2:5" ht="15" customHeight="1">
      <c r="B415" s="84"/>
      <c r="C415" s="43" t="s">
        <v>61</v>
      </c>
      <c r="D415" s="42">
        <v>5</v>
      </c>
      <c r="E415" s="41">
        <v>5.5654496883348172E-4</v>
      </c>
    </row>
    <row r="416" spans="2:5" ht="15" customHeight="1">
      <c r="B416" s="84"/>
      <c r="C416" s="43" t="s">
        <v>58</v>
      </c>
      <c r="D416" s="42">
        <v>6</v>
      </c>
      <c r="E416" s="41">
        <v>6.6785396260017811E-4</v>
      </c>
    </row>
    <row r="417" spans="2:5" ht="15" customHeight="1">
      <c r="B417" s="84"/>
      <c r="C417" s="43" t="s">
        <v>39</v>
      </c>
      <c r="D417" s="42">
        <v>1</v>
      </c>
      <c r="E417" s="41">
        <v>1.1130899376669635E-4</v>
      </c>
    </row>
    <row r="418" spans="2:5" ht="15" customHeight="1">
      <c r="B418" s="84"/>
      <c r="C418" s="43" t="s">
        <v>42</v>
      </c>
      <c r="D418" s="42">
        <v>2</v>
      </c>
      <c r="E418" s="41">
        <v>2.2261798753339269E-4</v>
      </c>
    </row>
    <row r="419" spans="2:5" ht="15" customHeight="1">
      <c r="B419" s="84"/>
      <c r="C419" s="43" t="s">
        <v>66</v>
      </c>
      <c r="D419" s="42">
        <v>18</v>
      </c>
      <c r="E419" s="41">
        <v>2.0035618878005341E-3</v>
      </c>
    </row>
    <row r="420" spans="2:5" ht="15" customHeight="1">
      <c r="B420" s="84"/>
      <c r="C420" s="43" t="s">
        <v>41</v>
      </c>
      <c r="D420" s="42">
        <v>1</v>
      </c>
      <c r="E420" s="41">
        <v>1.1130899376669635E-4</v>
      </c>
    </row>
    <row r="421" spans="2:5" ht="15" customHeight="1">
      <c r="B421" s="84"/>
      <c r="C421" s="43" t="s">
        <v>62</v>
      </c>
      <c r="D421" s="42">
        <v>5</v>
      </c>
      <c r="E421" s="41">
        <v>5.5654496883348172E-4</v>
      </c>
    </row>
    <row r="422" spans="2:5" ht="15" customHeight="1">
      <c r="B422" s="84"/>
      <c r="C422" s="43" t="s">
        <v>50</v>
      </c>
      <c r="D422" s="42">
        <v>2</v>
      </c>
      <c r="E422" s="41">
        <v>2.2261798753339269E-4</v>
      </c>
    </row>
    <row r="423" spans="2:5" ht="15" customHeight="1">
      <c r="B423" s="84"/>
      <c r="C423" s="43" t="s">
        <v>52</v>
      </c>
      <c r="D423" s="42">
        <v>2</v>
      </c>
      <c r="E423" s="41">
        <v>2.2261798753339269E-4</v>
      </c>
    </row>
    <row r="424" spans="2:5" ht="15" customHeight="1">
      <c r="B424" s="84"/>
      <c r="C424" s="43" t="s">
        <v>59</v>
      </c>
      <c r="D424" s="42">
        <v>1</v>
      </c>
      <c r="E424" s="41">
        <v>1.1130899376669635E-4</v>
      </c>
    </row>
    <row r="425" spans="2:5" ht="15" customHeight="1">
      <c r="B425" s="84"/>
      <c r="C425" s="43" t="s">
        <v>65</v>
      </c>
      <c r="D425" s="42">
        <v>3</v>
      </c>
      <c r="E425" s="41">
        <v>3.3392698130008905E-4</v>
      </c>
    </row>
    <row r="426" spans="2:5" ht="15" customHeight="1">
      <c r="B426" s="84"/>
      <c r="C426" s="43" t="s">
        <v>70</v>
      </c>
      <c r="D426" s="42">
        <v>94</v>
      </c>
      <c r="E426" s="41">
        <v>1.0463045414069456E-2</v>
      </c>
    </row>
    <row r="427" spans="2:5" ht="15" customHeight="1">
      <c r="B427" s="84"/>
      <c r="C427" s="43" t="s">
        <v>49</v>
      </c>
      <c r="D427" s="42">
        <v>2</v>
      </c>
      <c r="E427" s="41">
        <v>2.2261798753339269E-4</v>
      </c>
    </row>
    <row r="428" spans="2:5" ht="15" customHeight="1">
      <c r="B428" s="84"/>
      <c r="C428" s="43" t="s">
        <v>55</v>
      </c>
      <c r="D428" s="42">
        <v>5</v>
      </c>
      <c r="E428" s="41">
        <v>5.5654496883348172E-4</v>
      </c>
    </row>
    <row r="429" spans="2:5" ht="15" customHeight="1">
      <c r="B429" s="84"/>
      <c r="C429" s="43" t="s">
        <v>60</v>
      </c>
      <c r="D429" s="42">
        <v>4</v>
      </c>
      <c r="E429" s="41">
        <v>4.4523597506678539E-4</v>
      </c>
    </row>
    <row r="430" spans="2:5" ht="15" customHeight="1">
      <c r="B430" s="84"/>
      <c r="C430" s="43" t="s">
        <v>51</v>
      </c>
      <c r="D430" s="42">
        <v>3</v>
      </c>
      <c r="E430" s="41">
        <v>3.3392698130008905E-4</v>
      </c>
    </row>
    <row r="431" spans="2:5" ht="15" customHeight="1">
      <c r="B431" s="84"/>
      <c r="C431" s="43" t="s">
        <v>28</v>
      </c>
      <c r="D431" s="42">
        <v>1</v>
      </c>
      <c r="E431" s="41">
        <v>1.1130899376669635E-4</v>
      </c>
    </row>
    <row r="432" spans="2:5" ht="15" customHeight="1">
      <c r="B432" s="85"/>
      <c r="C432" s="40" t="s">
        <v>23</v>
      </c>
      <c r="D432" s="39">
        <v>321</v>
      </c>
      <c r="E432" s="38">
        <v>3.5730186999109528E-2</v>
      </c>
    </row>
    <row r="433" spans="2:5" ht="15" customHeight="1">
      <c r="B433" s="83" t="s">
        <v>160</v>
      </c>
      <c r="C433" s="43" t="s">
        <v>57</v>
      </c>
      <c r="D433" s="42">
        <v>17</v>
      </c>
      <c r="E433" s="41">
        <v>1.8922528940338379E-3</v>
      </c>
    </row>
    <row r="434" spans="2:5" ht="15" customHeight="1">
      <c r="B434" s="84"/>
      <c r="C434" s="43" t="s">
        <v>48</v>
      </c>
      <c r="D434" s="42">
        <v>5</v>
      </c>
      <c r="E434" s="41">
        <v>5.5654496883348172E-4</v>
      </c>
    </row>
    <row r="435" spans="2:5" ht="15" customHeight="1">
      <c r="B435" s="84"/>
      <c r="C435" s="43" t="s">
        <v>63</v>
      </c>
      <c r="D435" s="42">
        <v>22</v>
      </c>
      <c r="E435" s="41">
        <v>2.4487978628673196E-3</v>
      </c>
    </row>
    <row r="436" spans="2:5" ht="15" customHeight="1">
      <c r="B436" s="84"/>
      <c r="C436" s="43" t="s">
        <v>69</v>
      </c>
      <c r="D436" s="42">
        <v>203</v>
      </c>
      <c r="E436" s="41">
        <v>2.259572573463936E-2</v>
      </c>
    </row>
    <row r="437" spans="2:5" ht="15" customHeight="1">
      <c r="B437" s="84"/>
      <c r="C437" s="43" t="s">
        <v>54</v>
      </c>
      <c r="D437" s="42">
        <v>10</v>
      </c>
      <c r="E437" s="41">
        <v>1.1130899376669634E-3</v>
      </c>
    </row>
    <row r="438" spans="2:5" ht="15" customHeight="1">
      <c r="B438" s="84"/>
      <c r="C438" s="43" t="s">
        <v>34</v>
      </c>
      <c r="D438" s="42">
        <v>2</v>
      </c>
      <c r="E438" s="41">
        <v>2.2261798753339269E-4</v>
      </c>
    </row>
    <row r="439" spans="2:5" ht="15" customHeight="1">
      <c r="B439" s="84"/>
      <c r="C439" s="43" t="s">
        <v>31</v>
      </c>
      <c r="D439" s="42">
        <v>1</v>
      </c>
      <c r="E439" s="41">
        <v>1.1130899376669635E-4</v>
      </c>
    </row>
    <row r="440" spans="2:5" ht="15" customHeight="1">
      <c r="B440" s="84"/>
      <c r="C440" s="43" t="s">
        <v>27</v>
      </c>
      <c r="D440" s="42">
        <v>1</v>
      </c>
      <c r="E440" s="41">
        <v>1.1130899376669635E-4</v>
      </c>
    </row>
    <row r="441" spans="2:5" ht="15" customHeight="1">
      <c r="B441" s="84"/>
      <c r="C441" s="43" t="s">
        <v>68</v>
      </c>
      <c r="D441" s="42">
        <v>61</v>
      </c>
      <c r="E441" s="41">
        <v>6.7898486197684772E-3</v>
      </c>
    </row>
    <row r="442" spans="2:5" ht="15" customHeight="1">
      <c r="B442" s="84"/>
      <c r="C442" s="43" t="s">
        <v>67</v>
      </c>
      <c r="D442" s="42">
        <v>46</v>
      </c>
      <c r="E442" s="41">
        <v>5.1202137132680316E-3</v>
      </c>
    </row>
    <row r="443" spans="2:5" ht="15" customHeight="1">
      <c r="B443" s="84"/>
      <c r="C443" s="43" t="s">
        <v>44</v>
      </c>
      <c r="D443" s="42">
        <v>4</v>
      </c>
      <c r="E443" s="41">
        <v>4.4523597506678539E-4</v>
      </c>
    </row>
    <row r="444" spans="2:5" ht="15" customHeight="1">
      <c r="B444" s="84"/>
      <c r="C444" s="43" t="s">
        <v>64</v>
      </c>
      <c r="D444" s="42">
        <v>26</v>
      </c>
      <c r="E444" s="41">
        <v>2.8940338379341052E-3</v>
      </c>
    </row>
    <row r="445" spans="2:5" ht="15" customHeight="1">
      <c r="B445" s="84"/>
      <c r="C445" s="43" t="s">
        <v>53</v>
      </c>
      <c r="D445" s="42">
        <v>14</v>
      </c>
      <c r="E445" s="41">
        <v>1.558325912733749E-3</v>
      </c>
    </row>
    <row r="446" spans="2:5" ht="15" customHeight="1">
      <c r="B446" s="84"/>
      <c r="C446" s="43" t="s">
        <v>35</v>
      </c>
      <c r="D446" s="42">
        <v>3</v>
      </c>
      <c r="E446" s="41">
        <v>3.3392698130008905E-4</v>
      </c>
    </row>
    <row r="447" spans="2:5" ht="15" customHeight="1">
      <c r="B447" s="84"/>
      <c r="C447" s="43" t="s">
        <v>47</v>
      </c>
      <c r="D447" s="42">
        <v>4</v>
      </c>
      <c r="E447" s="41">
        <v>4.4523597506678539E-4</v>
      </c>
    </row>
    <row r="448" spans="2:5" ht="15" customHeight="1">
      <c r="B448" s="84"/>
      <c r="C448" s="43" t="s">
        <v>38</v>
      </c>
      <c r="D448" s="42">
        <v>7</v>
      </c>
      <c r="E448" s="41">
        <v>7.7916295636687449E-4</v>
      </c>
    </row>
    <row r="449" spans="2:5" ht="15" customHeight="1">
      <c r="B449" s="84"/>
      <c r="C449" s="43" t="s">
        <v>56</v>
      </c>
      <c r="D449" s="42">
        <v>14</v>
      </c>
      <c r="E449" s="41">
        <v>1.558325912733749E-3</v>
      </c>
    </row>
    <row r="450" spans="2:5" ht="15" customHeight="1">
      <c r="B450" s="84"/>
      <c r="C450" s="43" t="s">
        <v>36</v>
      </c>
      <c r="D450" s="42">
        <v>3</v>
      </c>
      <c r="E450" s="41">
        <v>3.3392698130008905E-4</v>
      </c>
    </row>
    <row r="451" spans="2:5" ht="15" customHeight="1">
      <c r="B451" s="84"/>
      <c r="C451" s="43" t="s">
        <v>46</v>
      </c>
      <c r="D451" s="42">
        <v>7</v>
      </c>
      <c r="E451" s="41">
        <v>7.7916295636687449E-4</v>
      </c>
    </row>
    <row r="452" spans="2:5" ht="15" customHeight="1">
      <c r="B452" s="84"/>
      <c r="C452" s="43" t="s">
        <v>45</v>
      </c>
      <c r="D452" s="42">
        <v>4</v>
      </c>
      <c r="E452" s="41">
        <v>4.4523597506678539E-4</v>
      </c>
    </row>
    <row r="453" spans="2:5" ht="15" customHeight="1">
      <c r="B453" s="84"/>
      <c r="C453" s="43" t="s">
        <v>40</v>
      </c>
      <c r="D453" s="42">
        <v>2</v>
      </c>
      <c r="E453" s="41">
        <v>2.2261798753339269E-4</v>
      </c>
    </row>
    <row r="454" spans="2:5" ht="15" customHeight="1">
      <c r="B454" s="84"/>
      <c r="C454" s="43" t="s">
        <v>43</v>
      </c>
      <c r="D454" s="42">
        <v>8</v>
      </c>
      <c r="E454" s="41">
        <v>8.9047195013357077E-4</v>
      </c>
    </row>
    <row r="455" spans="2:5" ht="15" customHeight="1">
      <c r="B455" s="84"/>
      <c r="C455" s="43" t="s">
        <v>61</v>
      </c>
      <c r="D455" s="42">
        <v>14</v>
      </c>
      <c r="E455" s="41">
        <v>1.558325912733749E-3</v>
      </c>
    </row>
    <row r="456" spans="2:5" ht="15" customHeight="1">
      <c r="B456" s="84"/>
      <c r="C456" s="43" t="s">
        <v>58</v>
      </c>
      <c r="D456" s="42">
        <v>19</v>
      </c>
      <c r="E456" s="41">
        <v>2.1148708815672307E-3</v>
      </c>
    </row>
    <row r="457" spans="2:5" ht="15" customHeight="1">
      <c r="B457" s="84"/>
      <c r="C457" s="43" t="s">
        <v>32</v>
      </c>
      <c r="D457" s="42">
        <v>1</v>
      </c>
      <c r="E457" s="41">
        <v>1.1130899376669635E-4</v>
      </c>
    </row>
    <row r="458" spans="2:5" ht="15" customHeight="1">
      <c r="B458" s="84"/>
      <c r="C458" s="43" t="s">
        <v>39</v>
      </c>
      <c r="D458" s="42">
        <v>5</v>
      </c>
      <c r="E458" s="41">
        <v>5.5654496883348172E-4</v>
      </c>
    </row>
    <row r="459" spans="2:5" ht="15" customHeight="1">
      <c r="B459" s="84"/>
      <c r="C459" s="43" t="s">
        <v>37</v>
      </c>
      <c r="D459" s="42">
        <v>2</v>
      </c>
      <c r="E459" s="41">
        <v>2.2261798753339269E-4</v>
      </c>
    </row>
    <row r="460" spans="2:5" ht="15" customHeight="1">
      <c r="B460" s="84"/>
      <c r="C460" s="43" t="s">
        <v>42</v>
      </c>
      <c r="D460" s="42">
        <v>2</v>
      </c>
      <c r="E460" s="41">
        <v>2.2261798753339269E-4</v>
      </c>
    </row>
    <row r="461" spans="2:5" ht="15" customHeight="1">
      <c r="B461" s="84"/>
      <c r="C461" s="43" t="s">
        <v>66</v>
      </c>
      <c r="D461" s="42">
        <v>32</v>
      </c>
      <c r="E461" s="41">
        <v>3.5618878005342831E-3</v>
      </c>
    </row>
    <row r="462" spans="2:5" ht="15" customHeight="1">
      <c r="B462" s="84"/>
      <c r="C462" s="43" t="s">
        <v>41</v>
      </c>
      <c r="D462" s="42">
        <v>6</v>
      </c>
      <c r="E462" s="41">
        <v>6.6785396260017811E-4</v>
      </c>
    </row>
    <row r="463" spans="2:5" ht="15" customHeight="1">
      <c r="B463" s="84"/>
      <c r="C463" s="43" t="s">
        <v>62</v>
      </c>
      <c r="D463" s="42">
        <v>26</v>
      </c>
      <c r="E463" s="41">
        <v>2.8940338379341052E-3</v>
      </c>
    </row>
    <row r="464" spans="2:5" ht="15" customHeight="1">
      <c r="B464" s="84"/>
      <c r="C464" s="43" t="s">
        <v>50</v>
      </c>
      <c r="D464" s="42">
        <v>12</v>
      </c>
      <c r="E464" s="41">
        <v>1.3357079252003562E-3</v>
      </c>
    </row>
    <row r="465" spans="2:5" ht="15" customHeight="1">
      <c r="B465" s="84"/>
      <c r="C465" s="43" t="s">
        <v>52</v>
      </c>
      <c r="D465" s="42">
        <v>8</v>
      </c>
      <c r="E465" s="41">
        <v>8.9047195013357077E-4</v>
      </c>
    </row>
    <row r="466" spans="2:5" ht="15" customHeight="1">
      <c r="B466" s="84"/>
      <c r="C466" s="43" t="s">
        <v>30</v>
      </c>
      <c r="D466" s="42">
        <v>1</v>
      </c>
      <c r="E466" s="41">
        <v>1.1130899376669635E-4</v>
      </c>
    </row>
    <row r="467" spans="2:5" ht="15" customHeight="1">
      <c r="B467" s="84"/>
      <c r="C467" s="43" t="s">
        <v>59</v>
      </c>
      <c r="D467" s="42">
        <v>14</v>
      </c>
      <c r="E467" s="41">
        <v>1.558325912733749E-3</v>
      </c>
    </row>
    <row r="468" spans="2:5" ht="15" customHeight="1">
      <c r="B468" s="84"/>
      <c r="C468" s="43" t="s">
        <v>29</v>
      </c>
      <c r="D468" s="42">
        <v>1</v>
      </c>
      <c r="E468" s="41">
        <v>1.1130899376669635E-4</v>
      </c>
    </row>
    <row r="469" spans="2:5" ht="15" customHeight="1">
      <c r="B469" s="84"/>
      <c r="C469" s="43" t="s">
        <v>65</v>
      </c>
      <c r="D469" s="42">
        <v>34</v>
      </c>
      <c r="E469" s="41">
        <v>3.7845057880676759E-3</v>
      </c>
    </row>
    <row r="470" spans="2:5" ht="15" customHeight="1">
      <c r="B470" s="84"/>
      <c r="C470" s="43" t="s">
        <v>70</v>
      </c>
      <c r="D470" s="42">
        <v>429</v>
      </c>
      <c r="E470" s="41">
        <v>4.7751558325912734E-2</v>
      </c>
    </row>
    <row r="471" spans="2:5" ht="15" customHeight="1">
      <c r="B471" s="84"/>
      <c r="C471" s="43" t="s">
        <v>49</v>
      </c>
      <c r="D471" s="42">
        <v>4</v>
      </c>
      <c r="E471" s="41">
        <v>4.4523597506678539E-4</v>
      </c>
    </row>
    <row r="472" spans="2:5" ht="15" customHeight="1">
      <c r="B472" s="84"/>
      <c r="C472" s="43" t="s">
        <v>55</v>
      </c>
      <c r="D472" s="42">
        <v>11</v>
      </c>
      <c r="E472" s="41">
        <v>1.2243989314336598E-3</v>
      </c>
    </row>
    <row r="473" spans="2:5" ht="15" customHeight="1">
      <c r="B473" s="84"/>
      <c r="C473" s="43" t="s">
        <v>60</v>
      </c>
      <c r="D473" s="42">
        <v>16</v>
      </c>
      <c r="E473" s="41">
        <v>1.7809439002671415E-3</v>
      </c>
    </row>
    <row r="474" spans="2:5" ht="15" customHeight="1">
      <c r="B474" s="84"/>
      <c r="C474" s="43" t="s">
        <v>51</v>
      </c>
      <c r="D474" s="42">
        <v>10</v>
      </c>
      <c r="E474" s="41">
        <v>1.1130899376669634E-3</v>
      </c>
    </row>
    <row r="475" spans="2:5" ht="15" customHeight="1">
      <c r="B475" s="84"/>
      <c r="C475" s="43" t="s">
        <v>28</v>
      </c>
      <c r="D475" s="42">
        <v>1</v>
      </c>
      <c r="E475" s="41">
        <v>1.1130899376669635E-4</v>
      </c>
    </row>
    <row r="476" spans="2:5" ht="15" customHeight="1">
      <c r="B476" s="85"/>
      <c r="C476" s="40" t="s">
        <v>23</v>
      </c>
      <c r="D476" s="39">
        <v>1112</v>
      </c>
      <c r="E476" s="38">
        <v>0.12377560106856635</v>
      </c>
    </row>
    <row r="477" spans="2:5" ht="15" customHeight="1">
      <c r="B477" s="83" t="s">
        <v>159</v>
      </c>
      <c r="C477" s="43" t="s">
        <v>69</v>
      </c>
      <c r="D477" s="42">
        <v>3</v>
      </c>
      <c r="E477" s="41">
        <v>3.3392698130008905E-4</v>
      </c>
    </row>
    <row r="478" spans="2:5" ht="15" customHeight="1">
      <c r="B478" s="84"/>
      <c r="C478" s="43" t="s">
        <v>34</v>
      </c>
      <c r="D478" s="42">
        <v>1</v>
      </c>
      <c r="E478" s="41">
        <v>1.1130899376669635E-4</v>
      </c>
    </row>
    <row r="479" spans="2:5" ht="15" customHeight="1">
      <c r="B479" s="84"/>
      <c r="C479" s="43" t="s">
        <v>68</v>
      </c>
      <c r="D479" s="42">
        <v>1</v>
      </c>
      <c r="E479" s="41">
        <v>1.1130899376669635E-4</v>
      </c>
    </row>
    <row r="480" spans="2:5" ht="15" customHeight="1">
      <c r="B480" s="84"/>
      <c r="C480" s="43" t="s">
        <v>36</v>
      </c>
      <c r="D480" s="42">
        <v>1</v>
      </c>
      <c r="E480" s="41">
        <v>1.1130899376669635E-4</v>
      </c>
    </row>
    <row r="481" spans="2:5" ht="15" customHeight="1">
      <c r="B481" s="84"/>
      <c r="C481" s="43" t="s">
        <v>61</v>
      </c>
      <c r="D481" s="42">
        <v>2</v>
      </c>
      <c r="E481" s="41">
        <v>2.2261798753339269E-4</v>
      </c>
    </row>
    <row r="482" spans="2:5" ht="15" customHeight="1">
      <c r="B482" s="84"/>
      <c r="C482" s="43" t="s">
        <v>70</v>
      </c>
      <c r="D482" s="42">
        <v>4</v>
      </c>
      <c r="E482" s="41">
        <v>4.4523597506678539E-4</v>
      </c>
    </row>
    <row r="483" spans="2:5" ht="15" customHeight="1">
      <c r="B483" s="85"/>
      <c r="C483" s="40" t="s">
        <v>23</v>
      </c>
      <c r="D483" s="39">
        <v>12</v>
      </c>
      <c r="E483" s="38">
        <v>1.3357079252003562E-3</v>
      </c>
    </row>
    <row r="484" spans="2:5" ht="15" customHeight="1">
      <c r="B484" s="83" t="s">
        <v>158</v>
      </c>
      <c r="C484" s="43" t="s">
        <v>48</v>
      </c>
      <c r="D484" s="42">
        <v>1</v>
      </c>
      <c r="E484" s="41">
        <v>1.1130899376669635E-4</v>
      </c>
    </row>
    <row r="485" spans="2:5" ht="15" customHeight="1">
      <c r="B485" s="84"/>
      <c r="C485" s="43" t="s">
        <v>69</v>
      </c>
      <c r="D485" s="42">
        <v>2</v>
      </c>
      <c r="E485" s="41">
        <v>2.2261798753339269E-4</v>
      </c>
    </row>
    <row r="486" spans="2:5" ht="15" customHeight="1">
      <c r="B486" s="84"/>
      <c r="C486" s="43" t="s">
        <v>54</v>
      </c>
      <c r="D486" s="42">
        <v>1</v>
      </c>
      <c r="E486" s="41">
        <v>1.1130899376669635E-4</v>
      </c>
    </row>
    <row r="487" spans="2:5" ht="15" customHeight="1">
      <c r="B487" s="84"/>
      <c r="C487" s="43" t="s">
        <v>44</v>
      </c>
      <c r="D487" s="42">
        <v>1</v>
      </c>
      <c r="E487" s="41">
        <v>1.1130899376669635E-4</v>
      </c>
    </row>
    <row r="488" spans="2:5" ht="15" customHeight="1">
      <c r="B488" s="84"/>
      <c r="C488" s="43" t="s">
        <v>64</v>
      </c>
      <c r="D488" s="42">
        <v>2</v>
      </c>
      <c r="E488" s="41">
        <v>2.2261798753339269E-4</v>
      </c>
    </row>
    <row r="489" spans="2:5" ht="15" customHeight="1">
      <c r="B489" s="84"/>
      <c r="C489" s="43" t="s">
        <v>42</v>
      </c>
      <c r="D489" s="42">
        <v>1</v>
      </c>
      <c r="E489" s="41">
        <v>1.1130899376669635E-4</v>
      </c>
    </row>
    <row r="490" spans="2:5" ht="15" customHeight="1">
      <c r="B490" s="84"/>
      <c r="C490" s="43" t="s">
        <v>52</v>
      </c>
      <c r="D490" s="42">
        <v>2</v>
      </c>
      <c r="E490" s="41">
        <v>2.2261798753339269E-4</v>
      </c>
    </row>
    <row r="491" spans="2:5" ht="15" customHeight="1">
      <c r="B491" s="84"/>
      <c r="C491" s="43" t="s">
        <v>70</v>
      </c>
      <c r="D491" s="42">
        <v>4</v>
      </c>
      <c r="E491" s="41">
        <v>4.4523597506678539E-4</v>
      </c>
    </row>
    <row r="492" spans="2:5" ht="15" customHeight="1">
      <c r="B492" s="85"/>
      <c r="C492" s="40" t="s">
        <v>23</v>
      </c>
      <c r="D492" s="39">
        <v>14</v>
      </c>
      <c r="E492" s="38">
        <v>1.558325912733749E-3</v>
      </c>
    </row>
    <row r="493" spans="2:5" ht="15" customHeight="1">
      <c r="B493" s="83" t="s">
        <v>157</v>
      </c>
      <c r="C493" s="43" t="s">
        <v>48</v>
      </c>
      <c r="D493" s="42">
        <v>1</v>
      </c>
      <c r="E493" s="41">
        <v>1.1130899376669635E-4</v>
      </c>
    </row>
    <row r="494" spans="2:5" ht="15" customHeight="1">
      <c r="B494" s="84"/>
      <c r="C494" s="43" t="s">
        <v>63</v>
      </c>
      <c r="D494" s="42">
        <v>1</v>
      </c>
      <c r="E494" s="41">
        <v>1.1130899376669635E-4</v>
      </c>
    </row>
    <row r="495" spans="2:5" ht="15" customHeight="1">
      <c r="B495" s="84"/>
      <c r="C495" s="43" t="s">
        <v>69</v>
      </c>
      <c r="D495" s="42">
        <v>4</v>
      </c>
      <c r="E495" s="41">
        <v>4.4523597506678539E-4</v>
      </c>
    </row>
    <row r="496" spans="2:5" ht="15" customHeight="1">
      <c r="B496" s="84"/>
      <c r="C496" s="43" t="s">
        <v>67</v>
      </c>
      <c r="D496" s="42">
        <v>1</v>
      </c>
      <c r="E496" s="41">
        <v>1.1130899376669635E-4</v>
      </c>
    </row>
    <row r="497" spans="2:5" ht="15" customHeight="1">
      <c r="B497" s="84"/>
      <c r="C497" s="43" t="s">
        <v>70</v>
      </c>
      <c r="D497" s="42">
        <v>4</v>
      </c>
      <c r="E497" s="41">
        <v>4.4523597506678539E-4</v>
      </c>
    </row>
    <row r="498" spans="2:5" ht="15" customHeight="1">
      <c r="B498" s="85"/>
      <c r="C498" s="40" t="s">
        <v>23</v>
      </c>
      <c r="D498" s="39">
        <v>11</v>
      </c>
      <c r="E498" s="38">
        <v>1.2243989314336598E-3</v>
      </c>
    </row>
    <row r="499" spans="2:5" ht="15" customHeight="1">
      <c r="B499" s="83" t="s">
        <v>156</v>
      </c>
      <c r="C499" s="43" t="s">
        <v>69</v>
      </c>
      <c r="D499" s="42">
        <v>2</v>
      </c>
      <c r="E499" s="41">
        <v>2.2261798753339269E-4</v>
      </c>
    </row>
    <row r="500" spans="2:5" ht="15" customHeight="1">
      <c r="B500" s="84"/>
      <c r="C500" s="43" t="s">
        <v>52</v>
      </c>
      <c r="D500" s="42">
        <v>1</v>
      </c>
      <c r="E500" s="41">
        <v>1.1130899376669635E-4</v>
      </c>
    </row>
    <row r="501" spans="2:5" ht="15" customHeight="1">
      <c r="B501" s="84"/>
      <c r="C501" s="43" t="s">
        <v>70</v>
      </c>
      <c r="D501" s="42">
        <v>2</v>
      </c>
      <c r="E501" s="41">
        <v>2.2261798753339269E-4</v>
      </c>
    </row>
    <row r="502" spans="2:5" ht="15" customHeight="1">
      <c r="B502" s="85"/>
      <c r="C502" s="40" t="s">
        <v>23</v>
      </c>
      <c r="D502" s="39">
        <v>5</v>
      </c>
      <c r="E502" s="38">
        <v>5.5654496883348172E-4</v>
      </c>
    </row>
    <row r="503" spans="2:5" ht="15" customHeight="1">
      <c r="B503" s="83" t="s">
        <v>155</v>
      </c>
      <c r="C503" s="43" t="s">
        <v>48</v>
      </c>
      <c r="D503" s="42">
        <v>1</v>
      </c>
      <c r="E503" s="41">
        <v>1.1130899376669635E-4</v>
      </c>
    </row>
    <row r="504" spans="2:5" ht="15" customHeight="1">
      <c r="B504" s="84"/>
      <c r="C504" s="43" t="s">
        <v>69</v>
      </c>
      <c r="D504" s="42">
        <v>12</v>
      </c>
      <c r="E504" s="41">
        <v>1.3357079252003562E-3</v>
      </c>
    </row>
    <row r="505" spans="2:5" ht="15" customHeight="1">
      <c r="B505" s="84"/>
      <c r="C505" s="43" t="s">
        <v>54</v>
      </c>
      <c r="D505" s="42">
        <v>2</v>
      </c>
      <c r="E505" s="41">
        <v>2.2261798753339269E-4</v>
      </c>
    </row>
    <row r="506" spans="2:5" ht="15" customHeight="1">
      <c r="B506" s="84"/>
      <c r="C506" s="43" t="s">
        <v>68</v>
      </c>
      <c r="D506" s="42">
        <v>5</v>
      </c>
      <c r="E506" s="41">
        <v>5.5654496883348172E-4</v>
      </c>
    </row>
    <row r="507" spans="2:5" ht="15" customHeight="1">
      <c r="B507" s="84"/>
      <c r="C507" s="43" t="s">
        <v>67</v>
      </c>
      <c r="D507" s="42">
        <v>4</v>
      </c>
      <c r="E507" s="41">
        <v>4.4523597506678539E-4</v>
      </c>
    </row>
    <row r="508" spans="2:5" ht="15" customHeight="1">
      <c r="B508" s="84"/>
      <c r="C508" s="43" t="s">
        <v>64</v>
      </c>
      <c r="D508" s="42">
        <v>4</v>
      </c>
      <c r="E508" s="41">
        <v>4.4523597506678539E-4</v>
      </c>
    </row>
    <row r="509" spans="2:5" ht="15" customHeight="1">
      <c r="B509" s="84"/>
      <c r="C509" s="43" t="s">
        <v>53</v>
      </c>
      <c r="D509" s="42">
        <v>1</v>
      </c>
      <c r="E509" s="41">
        <v>1.1130899376669635E-4</v>
      </c>
    </row>
    <row r="510" spans="2:5" ht="15" customHeight="1">
      <c r="B510" s="84"/>
      <c r="C510" s="43" t="s">
        <v>47</v>
      </c>
      <c r="D510" s="42">
        <v>1</v>
      </c>
      <c r="E510" s="41">
        <v>1.1130899376669635E-4</v>
      </c>
    </row>
    <row r="511" spans="2:5" ht="15" customHeight="1">
      <c r="B511" s="84"/>
      <c r="C511" s="43" t="s">
        <v>38</v>
      </c>
      <c r="D511" s="42">
        <v>1</v>
      </c>
      <c r="E511" s="41">
        <v>1.1130899376669635E-4</v>
      </c>
    </row>
    <row r="512" spans="2:5" ht="15" customHeight="1">
      <c r="B512" s="84"/>
      <c r="C512" s="43" t="s">
        <v>56</v>
      </c>
      <c r="D512" s="42">
        <v>1</v>
      </c>
      <c r="E512" s="41">
        <v>1.1130899376669635E-4</v>
      </c>
    </row>
    <row r="513" spans="2:5" ht="15" customHeight="1">
      <c r="B513" s="84"/>
      <c r="C513" s="43" t="s">
        <v>45</v>
      </c>
      <c r="D513" s="42">
        <v>1</v>
      </c>
      <c r="E513" s="41">
        <v>1.1130899376669635E-4</v>
      </c>
    </row>
    <row r="514" spans="2:5" ht="15" customHeight="1">
      <c r="B514" s="84"/>
      <c r="C514" s="43" t="s">
        <v>43</v>
      </c>
      <c r="D514" s="42">
        <v>1</v>
      </c>
      <c r="E514" s="41">
        <v>1.1130899376669635E-4</v>
      </c>
    </row>
    <row r="515" spans="2:5" ht="15" customHeight="1">
      <c r="B515" s="84"/>
      <c r="C515" s="43" t="s">
        <v>62</v>
      </c>
      <c r="D515" s="42">
        <v>2</v>
      </c>
      <c r="E515" s="41">
        <v>2.2261798753339269E-4</v>
      </c>
    </row>
    <row r="516" spans="2:5" ht="15" customHeight="1">
      <c r="B516" s="84"/>
      <c r="C516" s="43" t="s">
        <v>50</v>
      </c>
      <c r="D516" s="42">
        <v>2</v>
      </c>
      <c r="E516" s="41">
        <v>2.2261798753339269E-4</v>
      </c>
    </row>
    <row r="517" spans="2:5" ht="15" customHeight="1">
      <c r="B517" s="84"/>
      <c r="C517" s="43" t="s">
        <v>29</v>
      </c>
      <c r="D517" s="42">
        <v>1</v>
      </c>
      <c r="E517" s="41">
        <v>1.1130899376669635E-4</v>
      </c>
    </row>
    <row r="518" spans="2:5" ht="15" customHeight="1">
      <c r="B518" s="84"/>
      <c r="C518" s="43" t="s">
        <v>65</v>
      </c>
      <c r="D518" s="42">
        <v>3</v>
      </c>
      <c r="E518" s="41">
        <v>3.3392698130008905E-4</v>
      </c>
    </row>
    <row r="519" spans="2:5" ht="15" customHeight="1">
      <c r="B519" s="84"/>
      <c r="C519" s="43" t="s">
        <v>70</v>
      </c>
      <c r="D519" s="42">
        <v>23</v>
      </c>
      <c r="E519" s="41">
        <v>2.5601068566340158E-3</v>
      </c>
    </row>
    <row r="520" spans="2:5" ht="15" customHeight="1">
      <c r="B520" s="84"/>
      <c r="C520" s="43" t="s">
        <v>60</v>
      </c>
      <c r="D520" s="42">
        <v>1</v>
      </c>
      <c r="E520" s="41">
        <v>1.1130899376669635E-4</v>
      </c>
    </row>
    <row r="521" spans="2:5" ht="15" customHeight="1">
      <c r="B521" s="84"/>
      <c r="C521" s="43" t="s">
        <v>51</v>
      </c>
      <c r="D521" s="42">
        <v>1</v>
      </c>
      <c r="E521" s="41">
        <v>1.1130899376669635E-4</v>
      </c>
    </row>
    <row r="522" spans="2:5" ht="15" customHeight="1">
      <c r="B522" s="85"/>
      <c r="C522" s="40" t="s">
        <v>23</v>
      </c>
      <c r="D522" s="39">
        <v>67</v>
      </c>
      <c r="E522" s="38">
        <v>7.4577025823686551E-3</v>
      </c>
    </row>
    <row r="523" spans="2:5" ht="15" customHeight="1">
      <c r="B523" s="83" t="s">
        <v>154</v>
      </c>
      <c r="C523" s="43" t="s">
        <v>57</v>
      </c>
      <c r="D523" s="42">
        <v>3</v>
      </c>
      <c r="E523" s="41">
        <v>3.3392698130008905E-4</v>
      </c>
    </row>
    <row r="524" spans="2:5" ht="15" customHeight="1">
      <c r="B524" s="84"/>
      <c r="C524" s="43" t="s">
        <v>48</v>
      </c>
      <c r="D524" s="42">
        <v>1</v>
      </c>
      <c r="E524" s="41">
        <v>1.1130899376669635E-4</v>
      </c>
    </row>
    <row r="525" spans="2:5" ht="15" customHeight="1">
      <c r="B525" s="84"/>
      <c r="C525" s="43" t="s">
        <v>63</v>
      </c>
      <c r="D525" s="42">
        <v>3</v>
      </c>
      <c r="E525" s="41">
        <v>3.3392698130008905E-4</v>
      </c>
    </row>
    <row r="526" spans="2:5" ht="15" customHeight="1">
      <c r="B526" s="84"/>
      <c r="C526" s="43" t="s">
        <v>69</v>
      </c>
      <c r="D526" s="42">
        <v>15</v>
      </c>
      <c r="E526" s="41">
        <v>1.6696349065004452E-3</v>
      </c>
    </row>
    <row r="527" spans="2:5" ht="15" customHeight="1">
      <c r="B527" s="84"/>
      <c r="C527" s="43" t="s">
        <v>54</v>
      </c>
      <c r="D527" s="42">
        <v>1</v>
      </c>
      <c r="E527" s="41">
        <v>1.1130899376669635E-4</v>
      </c>
    </row>
    <row r="528" spans="2:5" ht="15" customHeight="1">
      <c r="B528" s="84"/>
      <c r="C528" s="43" t="s">
        <v>34</v>
      </c>
      <c r="D528" s="42">
        <v>1</v>
      </c>
      <c r="E528" s="41">
        <v>1.1130899376669635E-4</v>
      </c>
    </row>
    <row r="529" spans="2:5" ht="15" customHeight="1">
      <c r="B529" s="84"/>
      <c r="C529" s="43" t="s">
        <v>68</v>
      </c>
      <c r="D529" s="42">
        <v>7</v>
      </c>
      <c r="E529" s="41">
        <v>7.7916295636687449E-4</v>
      </c>
    </row>
    <row r="530" spans="2:5" ht="15" customHeight="1">
      <c r="B530" s="84"/>
      <c r="C530" s="43" t="s">
        <v>67</v>
      </c>
      <c r="D530" s="42">
        <v>4</v>
      </c>
      <c r="E530" s="41">
        <v>4.4523597506678539E-4</v>
      </c>
    </row>
    <row r="531" spans="2:5" ht="15" customHeight="1">
      <c r="B531" s="84"/>
      <c r="C531" s="43" t="s">
        <v>44</v>
      </c>
      <c r="D531" s="42">
        <v>2</v>
      </c>
      <c r="E531" s="41">
        <v>2.2261798753339269E-4</v>
      </c>
    </row>
    <row r="532" spans="2:5" ht="15" customHeight="1">
      <c r="B532" s="84"/>
      <c r="C532" s="43" t="s">
        <v>64</v>
      </c>
      <c r="D532" s="42">
        <v>6</v>
      </c>
      <c r="E532" s="41">
        <v>6.6785396260017811E-4</v>
      </c>
    </row>
    <row r="533" spans="2:5" ht="15" customHeight="1">
      <c r="B533" s="84"/>
      <c r="C533" s="43" t="s">
        <v>53</v>
      </c>
      <c r="D533" s="42">
        <v>1</v>
      </c>
      <c r="E533" s="41">
        <v>1.1130899376669635E-4</v>
      </c>
    </row>
    <row r="534" spans="2:5" ht="15" customHeight="1">
      <c r="B534" s="84"/>
      <c r="C534" s="43" t="s">
        <v>56</v>
      </c>
      <c r="D534" s="42">
        <v>1</v>
      </c>
      <c r="E534" s="41">
        <v>1.1130899376669635E-4</v>
      </c>
    </row>
    <row r="535" spans="2:5" ht="15" customHeight="1">
      <c r="B535" s="84"/>
      <c r="C535" s="43" t="s">
        <v>61</v>
      </c>
      <c r="D535" s="42">
        <v>4</v>
      </c>
      <c r="E535" s="41">
        <v>4.4523597506678539E-4</v>
      </c>
    </row>
    <row r="536" spans="2:5" ht="15" customHeight="1">
      <c r="B536" s="84"/>
      <c r="C536" s="43" t="s">
        <v>39</v>
      </c>
      <c r="D536" s="42">
        <v>1</v>
      </c>
      <c r="E536" s="41">
        <v>1.1130899376669635E-4</v>
      </c>
    </row>
    <row r="537" spans="2:5" ht="15" customHeight="1">
      <c r="B537" s="84"/>
      <c r="C537" s="43" t="s">
        <v>37</v>
      </c>
      <c r="D537" s="42">
        <v>1</v>
      </c>
      <c r="E537" s="41">
        <v>1.1130899376669635E-4</v>
      </c>
    </row>
    <row r="538" spans="2:5" ht="15" customHeight="1">
      <c r="B538" s="84"/>
      <c r="C538" s="43" t="s">
        <v>42</v>
      </c>
      <c r="D538" s="42">
        <v>1</v>
      </c>
      <c r="E538" s="41">
        <v>1.1130899376669635E-4</v>
      </c>
    </row>
    <row r="539" spans="2:5" ht="15" customHeight="1">
      <c r="B539" s="84"/>
      <c r="C539" s="43" t="s">
        <v>66</v>
      </c>
      <c r="D539" s="42">
        <v>1</v>
      </c>
      <c r="E539" s="41">
        <v>1.1130899376669635E-4</v>
      </c>
    </row>
    <row r="540" spans="2:5" ht="15" customHeight="1">
      <c r="B540" s="84"/>
      <c r="C540" s="43" t="s">
        <v>62</v>
      </c>
      <c r="D540" s="42">
        <v>1</v>
      </c>
      <c r="E540" s="41">
        <v>1.1130899376669635E-4</v>
      </c>
    </row>
    <row r="541" spans="2:5" ht="15" customHeight="1">
      <c r="B541" s="84"/>
      <c r="C541" s="43" t="s">
        <v>52</v>
      </c>
      <c r="D541" s="42">
        <v>1</v>
      </c>
      <c r="E541" s="41">
        <v>1.1130899376669635E-4</v>
      </c>
    </row>
    <row r="542" spans="2:5" ht="15" customHeight="1">
      <c r="B542" s="84"/>
      <c r="C542" s="43" t="s">
        <v>59</v>
      </c>
      <c r="D542" s="42">
        <v>1</v>
      </c>
      <c r="E542" s="41">
        <v>1.1130899376669635E-4</v>
      </c>
    </row>
    <row r="543" spans="2:5" ht="15" customHeight="1">
      <c r="B543" s="84"/>
      <c r="C543" s="43" t="s">
        <v>65</v>
      </c>
      <c r="D543" s="42">
        <v>1</v>
      </c>
      <c r="E543" s="41">
        <v>1.1130899376669635E-4</v>
      </c>
    </row>
    <row r="544" spans="2:5" ht="15" customHeight="1">
      <c r="B544" s="84"/>
      <c r="C544" s="43" t="s">
        <v>70</v>
      </c>
      <c r="D544" s="42">
        <v>28</v>
      </c>
      <c r="E544" s="41">
        <v>3.116651825467498E-3</v>
      </c>
    </row>
    <row r="545" spans="2:5" ht="15" customHeight="1">
      <c r="B545" s="84"/>
      <c r="C545" s="43" t="s">
        <v>55</v>
      </c>
      <c r="D545" s="42">
        <v>2</v>
      </c>
      <c r="E545" s="41">
        <v>2.2261798753339269E-4</v>
      </c>
    </row>
    <row r="546" spans="2:5" ht="15" customHeight="1">
      <c r="B546" s="84"/>
      <c r="C546" s="43" t="s">
        <v>60</v>
      </c>
      <c r="D546" s="42">
        <v>1</v>
      </c>
      <c r="E546" s="41">
        <v>1.1130899376669635E-4</v>
      </c>
    </row>
    <row r="547" spans="2:5" ht="15" customHeight="1">
      <c r="B547" s="84"/>
      <c r="C547" s="43" t="s">
        <v>51</v>
      </c>
      <c r="D547" s="42">
        <v>1</v>
      </c>
      <c r="E547" s="41">
        <v>1.1130899376669635E-4</v>
      </c>
    </row>
    <row r="548" spans="2:5" ht="15" customHeight="1">
      <c r="B548" s="85"/>
      <c r="C548" s="40" t="s">
        <v>23</v>
      </c>
      <c r="D548" s="39">
        <v>89</v>
      </c>
      <c r="E548" s="38">
        <v>9.9065004452359752E-3</v>
      </c>
    </row>
    <row r="549" spans="2:5" ht="15" customHeight="1">
      <c r="B549" s="83" t="s">
        <v>153</v>
      </c>
      <c r="C549" s="43" t="s">
        <v>69</v>
      </c>
      <c r="D549" s="42">
        <v>1</v>
      </c>
      <c r="E549" s="41">
        <v>1.1130899376669635E-4</v>
      </c>
    </row>
    <row r="550" spans="2:5" ht="15" customHeight="1">
      <c r="B550" s="84"/>
      <c r="C550" s="43" t="s">
        <v>70</v>
      </c>
      <c r="D550" s="42">
        <v>3</v>
      </c>
      <c r="E550" s="41">
        <v>3.3392698130008905E-4</v>
      </c>
    </row>
    <row r="551" spans="2:5" ht="15" customHeight="1">
      <c r="B551" s="84"/>
      <c r="C551" s="43" t="s">
        <v>55</v>
      </c>
      <c r="D551" s="42">
        <v>1</v>
      </c>
      <c r="E551" s="41">
        <v>1.1130899376669635E-4</v>
      </c>
    </row>
    <row r="552" spans="2:5" ht="15" customHeight="1">
      <c r="B552" s="85"/>
      <c r="C552" s="40" t="s">
        <v>23</v>
      </c>
      <c r="D552" s="39">
        <v>5</v>
      </c>
      <c r="E552" s="38">
        <v>5.5654496883348172E-4</v>
      </c>
    </row>
    <row r="553" spans="2:5" ht="15" customHeight="1">
      <c r="B553" s="83" t="s">
        <v>152</v>
      </c>
      <c r="C553" s="43" t="s">
        <v>40</v>
      </c>
      <c r="D553" s="42">
        <v>1</v>
      </c>
      <c r="E553" s="41">
        <v>1.1130899376669635E-4</v>
      </c>
    </row>
    <row r="554" spans="2:5" ht="15" customHeight="1">
      <c r="B554" s="84"/>
      <c r="C554" s="43" t="s">
        <v>62</v>
      </c>
      <c r="D554" s="42">
        <v>1</v>
      </c>
      <c r="E554" s="41">
        <v>1.1130899376669635E-4</v>
      </c>
    </row>
    <row r="555" spans="2:5" ht="15" customHeight="1">
      <c r="B555" s="84"/>
      <c r="C555" s="43" t="s">
        <v>70</v>
      </c>
      <c r="D555" s="42">
        <v>4</v>
      </c>
      <c r="E555" s="41">
        <v>4.4523597506678539E-4</v>
      </c>
    </row>
    <row r="556" spans="2:5" ht="15" customHeight="1">
      <c r="B556" s="85"/>
      <c r="C556" s="40" t="s">
        <v>23</v>
      </c>
      <c r="D556" s="39">
        <v>6</v>
      </c>
      <c r="E556" s="38">
        <v>6.6785396260017811E-4</v>
      </c>
    </row>
    <row r="557" spans="2:5" ht="15" customHeight="1">
      <c r="B557" s="83" t="s">
        <v>151</v>
      </c>
      <c r="C557" s="43" t="s">
        <v>70</v>
      </c>
      <c r="D557" s="42">
        <v>1</v>
      </c>
      <c r="E557" s="41">
        <v>1.1130899376669635E-4</v>
      </c>
    </row>
    <row r="558" spans="2:5" ht="15" customHeight="1">
      <c r="B558" s="85"/>
      <c r="C558" s="40" t="s">
        <v>23</v>
      </c>
      <c r="D558" s="39">
        <v>1</v>
      </c>
      <c r="E558" s="38">
        <v>1.1130899376669635E-4</v>
      </c>
    </row>
    <row r="559" spans="2:5" ht="15" customHeight="1">
      <c r="B559" s="95" t="s">
        <v>23</v>
      </c>
      <c r="C559" s="96"/>
      <c r="D559" s="97">
        <v>8984</v>
      </c>
      <c r="E559" s="98">
        <v>1</v>
      </c>
    </row>
    <row r="561" spans="2:2" ht="15" customHeight="1">
      <c r="B561" s="19" t="s">
        <v>22</v>
      </c>
    </row>
    <row r="562" spans="2:2" ht="15" customHeight="1">
      <c r="B562" s="21" t="s">
        <v>21</v>
      </c>
    </row>
    <row r="563" spans="2:2" ht="15" customHeight="1">
      <c r="B563" s="20" t="s">
        <v>20</v>
      </c>
    </row>
    <row r="564" spans="2:2" ht="15" customHeight="1">
      <c r="B564" s="19" t="s">
        <v>19</v>
      </c>
    </row>
    <row r="565" spans="2:2" ht="15" customHeight="1">
      <c r="B565" s="19" t="s">
        <v>18</v>
      </c>
    </row>
  </sheetData>
  <mergeCells count="26">
    <mergeCell ref="B375:B397"/>
    <mergeCell ref="B398:B432"/>
    <mergeCell ref="B557:B558"/>
    <mergeCell ref="B559:C559"/>
    <mergeCell ref="B493:B498"/>
    <mergeCell ref="B499:B502"/>
    <mergeCell ref="B503:B522"/>
    <mergeCell ref="B523:B548"/>
    <mergeCell ref="B549:B552"/>
    <mergeCell ref="B553:B556"/>
    <mergeCell ref="B433:B476"/>
    <mergeCell ref="B477:B483"/>
    <mergeCell ref="B484:B492"/>
    <mergeCell ref="B7:E8"/>
    <mergeCell ref="B10:B34"/>
    <mergeCell ref="B35:B51"/>
    <mergeCell ref="B52:B72"/>
    <mergeCell ref="B73:B101"/>
    <mergeCell ref="B102:B121"/>
    <mergeCell ref="B122:B149"/>
    <mergeCell ref="B150:B190"/>
    <mergeCell ref="B191:B234"/>
    <mergeCell ref="B235:B258"/>
    <mergeCell ref="B259:B289"/>
    <mergeCell ref="B290:B327"/>
    <mergeCell ref="B328:B37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rowBreaks count="15" manualBreakCount="15">
    <brk id="51" max="4" man="1"/>
    <brk id="72" max="4" man="1"/>
    <brk id="101" max="4" man="1"/>
    <brk id="121" max="4" man="1"/>
    <brk id="149" max="4" man="1"/>
    <brk id="190" max="4" man="1"/>
    <brk id="234" max="4" man="1"/>
    <brk id="258" max="4" man="1"/>
    <brk id="289" max="4" man="1"/>
    <brk id="327" max="4" man="1"/>
    <brk id="397" max="4" man="1"/>
    <brk id="432" max="4" man="1"/>
    <brk id="476" max="4" man="1"/>
    <brk id="502" max="4" man="1"/>
    <brk id="522" max="4" man="1"/>
  </rowBreaks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685"/>
  <sheetViews>
    <sheetView topLeftCell="A658" zoomScale="98" zoomScaleNormal="98" zoomScaleSheetLayoutView="85" workbookViewId="0">
      <selection activeCell="B679" sqref="B679:E679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86"/>
      <c r="C7" s="86"/>
      <c r="D7" s="86"/>
      <c r="E7" s="86"/>
    </row>
    <row r="8" spans="1:5" s="48" customFormat="1" ht="33" customHeight="1">
      <c r="A8" s="49"/>
      <c r="B8" s="86"/>
      <c r="C8" s="86"/>
      <c r="D8" s="86"/>
      <c r="E8" s="86"/>
    </row>
    <row r="9" spans="1:5" s="29" customFormat="1" ht="40.5" customHeight="1">
      <c r="B9" s="45" t="s">
        <v>125</v>
      </c>
      <c r="C9" s="47" t="s">
        <v>176</v>
      </c>
      <c r="D9" s="46" t="s">
        <v>72</v>
      </c>
      <c r="E9" s="45" t="s">
        <v>71</v>
      </c>
    </row>
    <row r="10" spans="1:5" ht="15" customHeight="1">
      <c r="B10" s="83" t="s">
        <v>88</v>
      </c>
      <c r="C10" s="43" t="s">
        <v>172</v>
      </c>
      <c r="D10" s="42">
        <v>1</v>
      </c>
      <c r="E10" s="41">
        <v>1.1130899376669635E-4</v>
      </c>
    </row>
    <row r="11" spans="1:5" ht="15" customHeight="1">
      <c r="B11" s="84"/>
      <c r="C11" s="43" t="s">
        <v>171</v>
      </c>
      <c r="D11" s="42">
        <v>1</v>
      </c>
      <c r="E11" s="41">
        <v>1.1130899376669635E-4</v>
      </c>
    </row>
    <row r="12" spans="1:5" s="44" customFormat="1" ht="15" customHeight="1">
      <c r="A12" s="36"/>
      <c r="B12" s="84"/>
      <c r="C12" s="43" t="s">
        <v>168</v>
      </c>
      <c r="D12" s="42">
        <v>1</v>
      </c>
      <c r="E12" s="41">
        <v>1.1130899376669635E-4</v>
      </c>
    </row>
    <row r="13" spans="1:5" s="44" customFormat="1" ht="15" customHeight="1">
      <c r="A13" s="36"/>
      <c r="B13" s="84"/>
      <c r="C13" s="43" t="s">
        <v>167</v>
      </c>
      <c r="D13" s="42">
        <v>3</v>
      </c>
      <c r="E13" s="41">
        <v>3.3392698130008905E-4</v>
      </c>
    </row>
    <row r="14" spans="1:5" ht="15" customHeight="1">
      <c r="B14" s="84"/>
      <c r="C14" s="43" t="s">
        <v>164</v>
      </c>
      <c r="D14" s="42">
        <v>1</v>
      </c>
      <c r="E14" s="41">
        <v>1.1130899376669635E-4</v>
      </c>
    </row>
    <row r="15" spans="1:5" ht="15" customHeight="1">
      <c r="B15" s="84"/>
      <c r="C15" s="43" t="s">
        <v>163</v>
      </c>
      <c r="D15" s="42">
        <v>8</v>
      </c>
      <c r="E15" s="41">
        <v>8.9047195013357077E-4</v>
      </c>
    </row>
    <row r="16" spans="1:5" ht="15" customHeight="1">
      <c r="B16" s="84"/>
      <c r="C16" s="43" t="s">
        <v>160</v>
      </c>
      <c r="D16" s="42">
        <v>2</v>
      </c>
      <c r="E16" s="41">
        <v>2.2261798753339269E-4</v>
      </c>
    </row>
    <row r="17" spans="2:5" ht="15" customHeight="1">
      <c r="B17" s="84"/>
      <c r="C17" s="43" t="s">
        <v>154</v>
      </c>
      <c r="D17" s="42">
        <v>1</v>
      </c>
      <c r="E17" s="41">
        <v>1.1130899376669635E-4</v>
      </c>
    </row>
    <row r="18" spans="2:5" ht="15" customHeight="1">
      <c r="B18" s="85"/>
      <c r="C18" s="40" t="s">
        <v>23</v>
      </c>
      <c r="D18" s="39">
        <v>18</v>
      </c>
      <c r="E18" s="38">
        <v>2.0035618878005341E-3</v>
      </c>
    </row>
    <row r="19" spans="2:5" ht="15" customHeight="1">
      <c r="B19" s="83" t="s">
        <v>120</v>
      </c>
      <c r="C19" s="43" t="s">
        <v>174</v>
      </c>
      <c r="D19" s="42">
        <v>10</v>
      </c>
      <c r="E19" s="41">
        <v>1.1130899376669634E-3</v>
      </c>
    </row>
    <row r="20" spans="2:5" ht="15" customHeight="1">
      <c r="B20" s="84"/>
      <c r="C20" s="43" t="s">
        <v>173</v>
      </c>
      <c r="D20" s="42">
        <v>5</v>
      </c>
      <c r="E20" s="41">
        <v>5.5654496883348172E-4</v>
      </c>
    </row>
    <row r="21" spans="2:5" ht="15" customHeight="1">
      <c r="B21" s="84"/>
      <c r="C21" s="43" t="s">
        <v>172</v>
      </c>
      <c r="D21" s="42">
        <v>6</v>
      </c>
      <c r="E21" s="41">
        <v>6.6785396260017811E-4</v>
      </c>
    </row>
    <row r="22" spans="2:5" ht="15" customHeight="1">
      <c r="B22" s="84"/>
      <c r="C22" s="43" t="s">
        <v>171</v>
      </c>
      <c r="D22" s="42">
        <v>10</v>
      </c>
      <c r="E22" s="41">
        <v>1.1130899376669634E-3</v>
      </c>
    </row>
    <row r="23" spans="2:5" ht="15" customHeight="1">
      <c r="B23" s="84"/>
      <c r="C23" s="43" t="s">
        <v>170</v>
      </c>
      <c r="D23" s="42">
        <v>10</v>
      </c>
      <c r="E23" s="41">
        <v>1.1130899376669634E-3</v>
      </c>
    </row>
    <row r="24" spans="2:5" ht="15" customHeight="1">
      <c r="B24" s="84"/>
      <c r="C24" s="43" t="s">
        <v>169</v>
      </c>
      <c r="D24" s="42">
        <v>5</v>
      </c>
      <c r="E24" s="41">
        <v>5.5654496883348172E-4</v>
      </c>
    </row>
    <row r="25" spans="2:5" ht="15" customHeight="1">
      <c r="B25" s="84"/>
      <c r="C25" s="43" t="s">
        <v>168</v>
      </c>
      <c r="D25" s="42">
        <v>61</v>
      </c>
      <c r="E25" s="41">
        <v>6.7898486197684772E-3</v>
      </c>
    </row>
    <row r="26" spans="2:5" ht="15" customHeight="1">
      <c r="B26" s="84"/>
      <c r="C26" s="43" t="s">
        <v>167</v>
      </c>
      <c r="D26" s="42">
        <v>122</v>
      </c>
      <c r="E26" s="41">
        <v>1.3579697239536954E-2</v>
      </c>
    </row>
    <row r="27" spans="2:5" ht="15" customHeight="1">
      <c r="B27" s="84"/>
      <c r="C27" s="43" t="s">
        <v>166</v>
      </c>
      <c r="D27" s="42">
        <v>7</v>
      </c>
      <c r="E27" s="41">
        <v>7.7916295636687449E-4</v>
      </c>
    </row>
    <row r="28" spans="2:5" ht="15" customHeight="1">
      <c r="B28" s="84"/>
      <c r="C28" s="43" t="s">
        <v>165</v>
      </c>
      <c r="D28" s="42">
        <v>19</v>
      </c>
      <c r="E28" s="41">
        <v>2.1148708815672307E-3</v>
      </c>
    </row>
    <row r="29" spans="2:5" ht="15" customHeight="1">
      <c r="B29" s="84"/>
      <c r="C29" s="43" t="s">
        <v>164</v>
      </c>
      <c r="D29" s="42">
        <v>18</v>
      </c>
      <c r="E29" s="41">
        <v>2.0035618878005341E-3</v>
      </c>
    </row>
    <row r="30" spans="2:5" ht="15" customHeight="1">
      <c r="B30" s="84"/>
      <c r="C30" s="43" t="s">
        <v>163</v>
      </c>
      <c r="D30" s="42">
        <v>248</v>
      </c>
      <c r="E30" s="41">
        <v>2.7604630454140695E-2</v>
      </c>
    </row>
    <row r="31" spans="2:5" ht="15" customHeight="1">
      <c r="B31" s="84"/>
      <c r="C31" s="43" t="s">
        <v>162</v>
      </c>
      <c r="D31" s="42">
        <v>8</v>
      </c>
      <c r="E31" s="41">
        <v>8.9047195013357077E-4</v>
      </c>
    </row>
    <row r="32" spans="2:5" ht="15" customHeight="1">
      <c r="B32" s="84"/>
      <c r="C32" s="43" t="s">
        <v>161</v>
      </c>
      <c r="D32" s="42">
        <v>25</v>
      </c>
      <c r="E32" s="41">
        <v>2.7827248441674086E-3</v>
      </c>
    </row>
    <row r="33" spans="2:5" ht="15" customHeight="1">
      <c r="B33" s="84"/>
      <c r="C33" s="43" t="s">
        <v>160</v>
      </c>
      <c r="D33" s="42">
        <v>79</v>
      </c>
      <c r="E33" s="41">
        <v>8.7934105075690109E-3</v>
      </c>
    </row>
    <row r="34" spans="2:5" ht="15" customHeight="1">
      <c r="B34" s="84"/>
      <c r="C34" s="43" t="s">
        <v>157</v>
      </c>
      <c r="D34" s="42">
        <v>1</v>
      </c>
      <c r="E34" s="41">
        <v>1.1130899376669635E-4</v>
      </c>
    </row>
    <row r="35" spans="2:5" ht="15" customHeight="1">
      <c r="B35" s="84"/>
      <c r="C35" s="43" t="s">
        <v>155</v>
      </c>
      <c r="D35" s="42">
        <v>6</v>
      </c>
      <c r="E35" s="41">
        <v>6.6785396260017811E-4</v>
      </c>
    </row>
    <row r="36" spans="2:5" ht="15" customHeight="1">
      <c r="B36" s="84"/>
      <c r="C36" s="43" t="s">
        <v>154</v>
      </c>
      <c r="D36" s="42">
        <v>7</v>
      </c>
      <c r="E36" s="41">
        <v>7.7916295636687449E-4</v>
      </c>
    </row>
    <row r="37" spans="2:5" ht="15" customHeight="1">
      <c r="B37" s="85"/>
      <c r="C37" s="40" t="s">
        <v>23</v>
      </c>
      <c r="D37" s="39">
        <v>647</v>
      </c>
      <c r="E37" s="38">
        <v>7.2016918967052534E-2</v>
      </c>
    </row>
    <row r="38" spans="2:5" ht="15" customHeight="1">
      <c r="B38" s="83" t="s">
        <v>110</v>
      </c>
      <c r="C38" s="43" t="s">
        <v>174</v>
      </c>
      <c r="D38" s="42">
        <v>10</v>
      </c>
      <c r="E38" s="41">
        <v>1.1130899376669634E-3</v>
      </c>
    </row>
    <row r="39" spans="2:5" ht="15" customHeight="1">
      <c r="B39" s="84"/>
      <c r="C39" s="43" t="s">
        <v>173</v>
      </c>
      <c r="D39" s="42">
        <v>1</v>
      </c>
      <c r="E39" s="41">
        <v>1.1130899376669635E-4</v>
      </c>
    </row>
    <row r="40" spans="2:5" ht="15" customHeight="1">
      <c r="B40" s="84"/>
      <c r="C40" s="43" t="s">
        <v>172</v>
      </c>
      <c r="D40" s="42">
        <v>7</v>
      </c>
      <c r="E40" s="41">
        <v>7.7916295636687449E-4</v>
      </c>
    </row>
    <row r="41" spans="2:5" ht="15" customHeight="1">
      <c r="B41" s="84"/>
      <c r="C41" s="43" t="s">
        <v>171</v>
      </c>
      <c r="D41" s="42">
        <v>11</v>
      </c>
      <c r="E41" s="41">
        <v>1.2243989314336598E-3</v>
      </c>
    </row>
    <row r="42" spans="2:5" ht="15" customHeight="1">
      <c r="B42" s="84"/>
      <c r="C42" s="43" t="s">
        <v>170</v>
      </c>
      <c r="D42" s="42">
        <v>5</v>
      </c>
      <c r="E42" s="41">
        <v>5.5654496883348172E-4</v>
      </c>
    </row>
    <row r="43" spans="2:5" ht="15" customHeight="1">
      <c r="B43" s="84"/>
      <c r="C43" s="43" t="s">
        <v>169</v>
      </c>
      <c r="D43" s="42">
        <v>9</v>
      </c>
      <c r="E43" s="41">
        <v>1.0017809439002671E-3</v>
      </c>
    </row>
    <row r="44" spans="2:5" ht="15" customHeight="1">
      <c r="B44" s="84"/>
      <c r="C44" s="43" t="s">
        <v>168</v>
      </c>
      <c r="D44" s="42">
        <v>42</v>
      </c>
      <c r="E44" s="41">
        <v>4.674977738201247E-3</v>
      </c>
    </row>
    <row r="45" spans="2:5" ht="15" customHeight="1">
      <c r="B45" s="84"/>
      <c r="C45" s="43" t="s">
        <v>167</v>
      </c>
      <c r="D45" s="42">
        <v>122</v>
      </c>
      <c r="E45" s="41">
        <v>1.3579697239536954E-2</v>
      </c>
    </row>
    <row r="46" spans="2:5" ht="15" customHeight="1">
      <c r="B46" s="84"/>
      <c r="C46" s="43" t="s">
        <v>166</v>
      </c>
      <c r="D46" s="42">
        <v>1</v>
      </c>
      <c r="E46" s="41">
        <v>1.1130899376669635E-4</v>
      </c>
    </row>
    <row r="47" spans="2:5" ht="15" customHeight="1">
      <c r="B47" s="84"/>
      <c r="C47" s="43" t="s">
        <v>165</v>
      </c>
      <c r="D47" s="42">
        <v>8</v>
      </c>
      <c r="E47" s="41">
        <v>8.9047195013357077E-4</v>
      </c>
    </row>
    <row r="48" spans="2:5" ht="15" customHeight="1">
      <c r="B48" s="84"/>
      <c r="C48" s="43" t="s">
        <v>164</v>
      </c>
      <c r="D48" s="42">
        <v>18</v>
      </c>
      <c r="E48" s="41">
        <v>2.0035618878005341E-3</v>
      </c>
    </row>
    <row r="49" spans="2:5" ht="15" customHeight="1">
      <c r="B49" s="84"/>
      <c r="C49" s="43" t="s">
        <v>163</v>
      </c>
      <c r="D49" s="42">
        <v>191</v>
      </c>
      <c r="E49" s="41">
        <v>2.1260017809439001E-2</v>
      </c>
    </row>
    <row r="50" spans="2:5" ht="15" customHeight="1">
      <c r="B50" s="84"/>
      <c r="C50" s="43" t="s">
        <v>162</v>
      </c>
      <c r="D50" s="42">
        <v>2</v>
      </c>
      <c r="E50" s="41">
        <v>2.2261798753339269E-4</v>
      </c>
    </row>
    <row r="51" spans="2:5" ht="15" customHeight="1">
      <c r="B51" s="84"/>
      <c r="C51" s="43" t="s">
        <v>161</v>
      </c>
      <c r="D51" s="42">
        <v>17</v>
      </c>
      <c r="E51" s="41">
        <v>1.8922528940338379E-3</v>
      </c>
    </row>
    <row r="52" spans="2:5" ht="15" customHeight="1">
      <c r="B52" s="84"/>
      <c r="C52" s="43" t="s">
        <v>160</v>
      </c>
      <c r="D52" s="42">
        <v>68</v>
      </c>
      <c r="E52" s="41">
        <v>7.5690115761353517E-3</v>
      </c>
    </row>
    <row r="53" spans="2:5" ht="15" customHeight="1">
      <c r="B53" s="84"/>
      <c r="C53" s="43" t="s">
        <v>159</v>
      </c>
      <c r="D53" s="42">
        <v>1</v>
      </c>
      <c r="E53" s="41">
        <v>1.1130899376669635E-4</v>
      </c>
    </row>
    <row r="54" spans="2:5" ht="15" customHeight="1">
      <c r="B54" s="84"/>
      <c r="C54" s="43" t="s">
        <v>158</v>
      </c>
      <c r="D54" s="42">
        <v>1</v>
      </c>
      <c r="E54" s="41">
        <v>1.1130899376669635E-4</v>
      </c>
    </row>
    <row r="55" spans="2:5" ht="15" customHeight="1">
      <c r="B55" s="84"/>
      <c r="C55" s="43" t="s">
        <v>157</v>
      </c>
      <c r="D55" s="42">
        <v>1</v>
      </c>
      <c r="E55" s="41">
        <v>1.1130899376669635E-4</v>
      </c>
    </row>
    <row r="56" spans="2:5" ht="15" customHeight="1">
      <c r="B56" s="84"/>
      <c r="C56" s="43" t="s">
        <v>156</v>
      </c>
      <c r="D56" s="42">
        <v>1</v>
      </c>
      <c r="E56" s="41">
        <v>1.1130899376669635E-4</v>
      </c>
    </row>
    <row r="57" spans="2:5" ht="15" customHeight="1">
      <c r="B57" s="84"/>
      <c r="C57" s="43" t="s">
        <v>155</v>
      </c>
      <c r="D57" s="42">
        <v>8</v>
      </c>
      <c r="E57" s="41">
        <v>8.9047195013357077E-4</v>
      </c>
    </row>
    <row r="58" spans="2:5" ht="15" customHeight="1">
      <c r="B58" s="84"/>
      <c r="C58" s="43" t="s">
        <v>154</v>
      </c>
      <c r="D58" s="42">
        <v>8</v>
      </c>
      <c r="E58" s="41">
        <v>8.9047195013357077E-4</v>
      </c>
    </row>
    <row r="59" spans="2:5" ht="15" customHeight="1">
      <c r="B59" s="85"/>
      <c r="C59" s="40" t="s">
        <v>23</v>
      </c>
      <c r="D59" s="39">
        <v>532</v>
      </c>
      <c r="E59" s="38">
        <v>5.9216384683882455E-2</v>
      </c>
    </row>
    <row r="60" spans="2:5" ht="15" customHeight="1">
      <c r="B60" s="83" t="s">
        <v>86</v>
      </c>
      <c r="C60" s="43" t="s">
        <v>174</v>
      </c>
      <c r="D60" s="42">
        <v>2</v>
      </c>
      <c r="E60" s="41">
        <v>2.2261798753339269E-4</v>
      </c>
    </row>
    <row r="61" spans="2:5" ht="15" customHeight="1">
      <c r="B61" s="84"/>
      <c r="C61" s="43" t="s">
        <v>173</v>
      </c>
      <c r="D61" s="42">
        <v>1</v>
      </c>
      <c r="E61" s="41">
        <v>1.1130899376669635E-4</v>
      </c>
    </row>
    <row r="62" spans="2:5" ht="15" customHeight="1">
      <c r="B62" s="84"/>
      <c r="C62" s="43" t="s">
        <v>171</v>
      </c>
      <c r="D62" s="42">
        <v>1</v>
      </c>
      <c r="E62" s="41">
        <v>1.1130899376669635E-4</v>
      </c>
    </row>
    <row r="63" spans="2:5" ht="15" customHeight="1">
      <c r="B63" s="84"/>
      <c r="C63" s="43" t="s">
        <v>168</v>
      </c>
      <c r="D63" s="42">
        <v>3</v>
      </c>
      <c r="E63" s="41">
        <v>3.3392698130008905E-4</v>
      </c>
    </row>
    <row r="64" spans="2:5" ht="15" customHeight="1">
      <c r="B64" s="84"/>
      <c r="C64" s="43" t="s">
        <v>167</v>
      </c>
      <c r="D64" s="42">
        <v>10</v>
      </c>
      <c r="E64" s="41">
        <v>1.1130899376669634E-3</v>
      </c>
    </row>
    <row r="65" spans="2:5" ht="15" customHeight="1">
      <c r="B65" s="84"/>
      <c r="C65" s="43" t="s">
        <v>166</v>
      </c>
      <c r="D65" s="42">
        <v>1</v>
      </c>
      <c r="E65" s="41">
        <v>1.1130899376669635E-4</v>
      </c>
    </row>
    <row r="66" spans="2:5" ht="15" customHeight="1">
      <c r="B66" s="84"/>
      <c r="C66" s="43" t="s">
        <v>165</v>
      </c>
      <c r="D66" s="42">
        <v>3</v>
      </c>
      <c r="E66" s="41">
        <v>3.3392698130008905E-4</v>
      </c>
    </row>
    <row r="67" spans="2:5" ht="15" customHeight="1">
      <c r="B67" s="84"/>
      <c r="C67" s="43" t="s">
        <v>164</v>
      </c>
      <c r="D67" s="42">
        <v>3</v>
      </c>
      <c r="E67" s="41">
        <v>3.3392698130008905E-4</v>
      </c>
    </row>
    <row r="68" spans="2:5" ht="15" customHeight="1">
      <c r="B68" s="84"/>
      <c r="C68" s="43" t="s">
        <v>163</v>
      </c>
      <c r="D68" s="42">
        <v>11</v>
      </c>
      <c r="E68" s="41">
        <v>1.2243989314336598E-3</v>
      </c>
    </row>
    <row r="69" spans="2:5" ht="15" customHeight="1">
      <c r="B69" s="84"/>
      <c r="C69" s="43" t="s">
        <v>161</v>
      </c>
      <c r="D69" s="42">
        <v>2</v>
      </c>
      <c r="E69" s="41">
        <v>2.2261798753339269E-4</v>
      </c>
    </row>
    <row r="70" spans="2:5" ht="15" customHeight="1">
      <c r="B70" s="84"/>
      <c r="C70" s="43" t="s">
        <v>160</v>
      </c>
      <c r="D70" s="42">
        <v>5</v>
      </c>
      <c r="E70" s="41">
        <v>5.5654496883348172E-4</v>
      </c>
    </row>
    <row r="71" spans="2:5" ht="15" customHeight="1">
      <c r="B71" s="84"/>
      <c r="C71" s="43" t="s">
        <v>158</v>
      </c>
      <c r="D71" s="42">
        <v>1</v>
      </c>
      <c r="E71" s="41">
        <v>1.1130899376669635E-4</v>
      </c>
    </row>
    <row r="72" spans="2:5" ht="15" customHeight="1">
      <c r="B72" s="84"/>
      <c r="C72" s="43" t="s">
        <v>154</v>
      </c>
      <c r="D72" s="42">
        <v>2</v>
      </c>
      <c r="E72" s="41">
        <v>2.2261798753339269E-4</v>
      </c>
    </row>
    <row r="73" spans="2:5" ht="15" customHeight="1">
      <c r="B73" s="85"/>
      <c r="C73" s="40" t="s">
        <v>23</v>
      </c>
      <c r="D73" s="39">
        <v>45</v>
      </c>
      <c r="E73" s="38">
        <v>5.0089047195013359E-3</v>
      </c>
    </row>
    <row r="74" spans="2:5" ht="15" customHeight="1">
      <c r="B74" s="83" t="s">
        <v>82</v>
      </c>
      <c r="C74" s="43" t="s">
        <v>168</v>
      </c>
      <c r="D74" s="42">
        <v>5</v>
      </c>
      <c r="E74" s="41">
        <v>5.5654496883348172E-4</v>
      </c>
    </row>
    <row r="75" spans="2:5" ht="15" customHeight="1">
      <c r="B75" s="84"/>
      <c r="C75" s="43" t="s">
        <v>167</v>
      </c>
      <c r="D75" s="42">
        <v>4</v>
      </c>
      <c r="E75" s="41">
        <v>4.4523597506678539E-4</v>
      </c>
    </row>
    <row r="76" spans="2:5" ht="15" customHeight="1">
      <c r="B76" s="84"/>
      <c r="C76" s="43" t="s">
        <v>166</v>
      </c>
      <c r="D76" s="42">
        <v>1</v>
      </c>
      <c r="E76" s="41">
        <v>1.1130899376669635E-4</v>
      </c>
    </row>
    <row r="77" spans="2:5" ht="15" customHeight="1">
      <c r="B77" s="84"/>
      <c r="C77" s="43" t="s">
        <v>164</v>
      </c>
      <c r="D77" s="42">
        <v>4</v>
      </c>
      <c r="E77" s="41">
        <v>4.4523597506678539E-4</v>
      </c>
    </row>
    <row r="78" spans="2:5" ht="15" customHeight="1">
      <c r="B78" s="84"/>
      <c r="C78" s="43" t="s">
        <v>163</v>
      </c>
      <c r="D78" s="42">
        <v>17</v>
      </c>
      <c r="E78" s="41">
        <v>1.8922528940338379E-3</v>
      </c>
    </row>
    <row r="79" spans="2:5" ht="15" customHeight="1">
      <c r="B79" s="84"/>
      <c r="C79" s="43" t="s">
        <v>160</v>
      </c>
      <c r="D79" s="42">
        <v>2</v>
      </c>
      <c r="E79" s="41">
        <v>2.2261798753339269E-4</v>
      </c>
    </row>
    <row r="80" spans="2:5" ht="15" customHeight="1">
      <c r="B80" s="85"/>
      <c r="C80" s="40" t="s">
        <v>23</v>
      </c>
      <c r="D80" s="39">
        <v>33</v>
      </c>
      <c r="E80" s="38">
        <v>3.6731967943009797E-3</v>
      </c>
    </row>
    <row r="81" spans="2:5" ht="15" customHeight="1">
      <c r="B81" s="83" t="s">
        <v>87</v>
      </c>
      <c r="C81" s="43" t="s">
        <v>174</v>
      </c>
      <c r="D81" s="42">
        <v>3</v>
      </c>
      <c r="E81" s="41">
        <v>3.3392698130008905E-4</v>
      </c>
    </row>
    <row r="82" spans="2:5" ht="15" customHeight="1">
      <c r="B82" s="84"/>
      <c r="C82" s="43" t="s">
        <v>172</v>
      </c>
      <c r="D82" s="42">
        <v>3</v>
      </c>
      <c r="E82" s="41">
        <v>3.3392698130008905E-4</v>
      </c>
    </row>
    <row r="83" spans="2:5" ht="15" customHeight="1">
      <c r="B83" s="84"/>
      <c r="C83" s="43" t="s">
        <v>171</v>
      </c>
      <c r="D83" s="42">
        <v>7</v>
      </c>
      <c r="E83" s="41">
        <v>7.7916295636687449E-4</v>
      </c>
    </row>
    <row r="84" spans="2:5" ht="15" customHeight="1">
      <c r="B84" s="84"/>
      <c r="C84" s="43" t="s">
        <v>170</v>
      </c>
      <c r="D84" s="42">
        <v>1</v>
      </c>
      <c r="E84" s="41">
        <v>1.1130899376669635E-4</v>
      </c>
    </row>
    <row r="85" spans="2:5" ht="15" customHeight="1">
      <c r="B85" s="84"/>
      <c r="C85" s="43" t="s">
        <v>169</v>
      </c>
      <c r="D85" s="42">
        <v>2</v>
      </c>
      <c r="E85" s="41">
        <v>2.2261798753339269E-4</v>
      </c>
    </row>
    <row r="86" spans="2:5" ht="15" customHeight="1">
      <c r="B86" s="84"/>
      <c r="C86" s="43" t="s">
        <v>168</v>
      </c>
      <c r="D86" s="42">
        <v>9</v>
      </c>
      <c r="E86" s="41">
        <v>1.0017809439002671E-3</v>
      </c>
    </row>
    <row r="87" spans="2:5" ht="15" customHeight="1">
      <c r="B87" s="84"/>
      <c r="C87" s="43" t="s">
        <v>167</v>
      </c>
      <c r="D87" s="42">
        <v>5</v>
      </c>
      <c r="E87" s="41">
        <v>5.5654496883348172E-4</v>
      </c>
    </row>
    <row r="88" spans="2:5" ht="15" customHeight="1">
      <c r="B88" s="84"/>
      <c r="C88" s="43" t="s">
        <v>164</v>
      </c>
      <c r="D88" s="42">
        <v>1</v>
      </c>
      <c r="E88" s="41">
        <v>1.1130899376669635E-4</v>
      </c>
    </row>
    <row r="89" spans="2:5" ht="15" customHeight="1">
      <c r="B89" s="84"/>
      <c r="C89" s="43" t="s">
        <v>163</v>
      </c>
      <c r="D89" s="42">
        <v>7</v>
      </c>
      <c r="E89" s="41">
        <v>7.7916295636687449E-4</v>
      </c>
    </row>
    <row r="90" spans="2:5" ht="15" customHeight="1">
      <c r="B90" s="84"/>
      <c r="C90" s="43" t="s">
        <v>161</v>
      </c>
      <c r="D90" s="42">
        <v>2</v>
      </c>
      <c r="E90" s="41">
        <v>2.2261798753339269E-4</v>
      </c>
    </row>
    <row r="91" spans="2:5" ht="15" customHeight="1">
      <c r="B91" s="84"/>
      <c r="C91" s="43" t="s">
        <v>160</v>
      </c>
      <c r="D91" s="42">
        <v>7</v>
      </c>
      <c r="E91" s="41">
        <v>7.7916295636687449E-4</v>
      </c>
    </row>
    <row r="92" spans="2:5" ht="15" customHeight="1">
      <c r="B92" s="84"/>
      <c r="C92" s="43" t="s">
        <v>155</v>
      </c>
      <c r="D92" s="42">
        <v>2</v>
      </c>
      <c r="E92" s="41">
        <v>2.2261798753339269E-4</v>
      </c>
    </row>
    <row r="93" spans="2:5" ht="15" customHeight="1">
      <c r="B93" s="85"/>
      <c r="C93" s="40" t="s">
        <v>23</v>
      </c>
      <c r="D93" s="39">
        <v>49</v>
      </c>
      <c r="E93" s="38">
        <v>5.4541406945681215E-3</v>
      </c>
    </row>
    <row r="94" spans="2:5" ht="15" customHeight="1">
      <c r="B94" s="83" t="s">
        <v>123</v>
      </c>
      <c r="C94" s="43" t="s">
        <v>174</v>
      </c>
      <c r="D94" s="42">
        <v>3</v>
      </c>
      <c r="E94" s="41">
        <v>3.3392698130008905E-4</v>
      </c>
    </row>
    <row r="95" spans="2:5" ht="15" customHeight="1">
      <c r="B95" s="84"/>
      <c r="C95" s="43" t="s">
        <v>172</v>
      </c>
      <c r="D95" s="42">
        <v>2</v>
      </c>
      <c r="E95" s="41">
        <v>2.2261798753339269E-4</v>
      </c>
    </row>
    <row r="96" spans="2:5" ht="15" customHeight="1">
      <c r="B96" s="84"/>
      <c r="C96" s="43" t="s">
        <v>171</v>
      </c>
      <c r="D96" s="42">
        <v>1</v>
      </c>
      <c r="E96" s="41">
        <v>1.1130899376669635E-4</v>
      </c>
    </row>
    <row r="97" spans="2:5" ht="15" customHeight="1">
      <c r="B97" s="84"/>
      <c r="C97" s="43" t="s">
        <v>169</v>
      </c>
      <c r="D97" s="42">
        <v>2</v>
      </c>
      <c r="E97" s="41">
        <v>2.2261798753339269E-4</v>
      </c>
    </row>
    <row r="98" spans="2:5" ht="15" customHeight="1">
      <c r="B98" s="84"/>
      <c r="C98" s="43" t="s">
        <v>168</v>
      </c>
      <c r="D98" s="42">
        <v>5</v>
      </c>
      <c r="E98" s="41">
        <v>5.5654496883348172E-4</v>
      </c>
    </row>
    <row r="99" spans="2:5" ht="15" customHeight="1">
      <c r="B99" s="84"/>
      <c r="C99" s="43" t="s">
        <v>167</v>
      </c>
      <c r="D99" s="42">
        <v>43</v>
      </c>
      <c r="E99" s="41">
        <v>4.7862867319679427E-3</v>
      </c>
    </row>
    <row r="100" spans="2:5" ht="15" customHeight="1">
      <c r="B100" s="84"/>
      <c r="C100" s="43" t="s">
        <v>165</v>
      </c>
      <c r="D100" s="42">
        <v>1</v>
      </c>
      <c r="E100" s="41">
        <v>1.1130899376669635E-4</v>
      </c>
    </row>
    <row r="101" spans="2:5" ht="15" customHeight="1">
      <c r="B101" s="84"/>
      <c r="C101" s="43" t="s">
        <v>164</v>
      </c>
      <c r="D101" s="42">
        <v>7</v>
      </c>
      <c r="E101" s="41">
        <v>7.7916295636687449E-4</v>
      </c>
    </row>
    <row r="102" spans="2:5" ht="15" customHeight="1">
      <c r="B102" s="84"/>
      <c r="C102" s="43" t="s">
        <v>163</v>
      </c>
      <c r="D102" s="42">
        <v>89</v>
      </c>
      <c r="E102" s="41">
        <v>9.9065004452359752E-3</v>
      </c>
    </row>
    <row r="103" spans="2:5" ht="15" customHeight="1">
      <c r="B103" s="84"/>
      <c r="C103" s="43" t="s">
        <v>162</v>
      </c>
      <c r="D103" s="42">
        <v>2</v>
      </c>
      <c r="E103" s="41">
        <v>2.2261798753339269E-4</v>
      </c>
    </row>
    <row r="104" spans="2:5" ht="15" customHeight="1">
      <c r="B104" s="84"/>
      <c r="C104" s="43" t="s">
        <v>161</v>
      </c>
      <c r="D104" s="42">
        <v>11</v>
      </c>
      <c r="E104" s="41">
        <v>1.2243989314336598E-3</v>
      </c>
    </row>
    <row r="105" spans="2:5" ht="15" customHeight="1">
      <c r="B105" s="84"/>
      <c r="C105" s="43" t="s">
        <v>160</v>
      </c>
      <c r="D105" s="42">
        <v>29</v>
      </c>
      <c r="E105" s="41">
        <v>3.2279608192341941E-3</v>
      </c>
    </row>
    <row r="106" spans="2:5" ht="15" customHeight="1">
      <c r="B106" s="84"/>
      <c r="C106" s="43" t="s">
        <v>158</v>
      </c>
      <c r="D106" s="42">
        <v>2</v>
      </c>
      <c r="E106" s="41">
        <v>2.2261798753339269E-4</v>
      </c>
    </row>
    <row r="107" spans="2:5" ht="15" customHeight="1">
      <c r="B107" s="84"/>
      <c r="C107" s="43" t="s">
        <v>155</v>
      </c>
      <c r="D107" s="42">
        <v>4</v>
      </c>
      <c r="E107" s="41">
        <v>4.4523597506678539E-4</v>
      </c>
    </row>
    <row r="108" spans="2:5" ht="15" customHeight="1">
      <c r="B108" s="84"/>
      <c r="C108" s="43" t="s">
        <v>154</v>
      </c>
      <c r="D108" s="42">
        <v>7</v>
      </c>
      <c r="E108" s="41">
        <v>7.7916295636687449E-4</v>
      </c>
    </row>
    <row r="109" spans="2:5" ht="15" customHeight="1">
      <c r="B109" s="85"/>
      <c r="C109" s="40" t="s">
        <v>23</v>
      </c>
      <c r="D109" s="39">
        <v>208</v>
      </c>
      <c r="E109" s="38">
        <v>2.3152270703472842E-2</v>
      </c>
    </row>
    <row r="110" spans="2:5" ht="15" customHeight="1">
      <c r="B110" s="83" t="s">
        <v>121</v>
      </c>
      <c r="C110" s="43" t="s">
        <v>174</v>
      </c>
      <c r="D110" s="42">
        <v>9</v>
      </c>
      <c r="E110" s="41">
        <v>1.0017809439002671E-3</v>
      </c>
    </row>
    <row r="111" spans="2:5" ht="15" customHeight="1">
      <c r="B111" s="84"/>
      <c r="C111" s="43" t="s">
        <v>172</v>
      </c>
      <c r="D111" s="42">
        <v>9</v>
      </c>
      <c r="E111" s="41">
        <v>1.0017809439002671E-3</v>
      </c>
    </row>
    <row r="112" spans="2:5" ht="15" customHeight="1">
      <c r="B112" s="84"/>
      <c r="C112" s="43" t="s">
        <v>171</v>
      </c>
      <c r="D112" s="42">
        <v>14</v>
      </c>
      <c r="E112" s="41">
        <v>1.558325912733749E-3</v>
      </c>
    </row>
    <row r="113" spans="2:5" ht="15" customHeight="1">
      <c r="B113" s="84"/>
      <c r="C113" s="43" t="s">
        <v>170</v>
      </c>
      <c r="D113" s="42">
        <v>8</v>
      </c>
      <c r="E113" s="41">
        <v>8.9047195013357077E-4</v>
      </c>
    </row>
    <row r="114" spans="2:5" ht="15" customHeight="1">
      <c r="B114" s="84"/>
      <c r="C114" s="43" t="s">
        <v>169</v>
      </c>
      <c r="D114" s="42">
        <v>10</v>
      </c>
      <c r="E114" s="41">
        <v>1.1130899376669634E-3</v>
      </c>
    </row>
    <row r="115" spans="2:5" ht="15" customHeight="1">
      <c r="B115" s="84"/>
      <c r="C115" s="43" t="s">
        <v>168</v>
      </c>
      <c r="D115" s="42">
        <v>124</v>
      </c>
      <c r="E115" s="41">
        <v>1.3802315227070348E-2</v>
      </c>
    </row>
    <row r="116" spans="2:5" ht="15" customHeight="1">
      <c r="B116" s="84"/>
      <c r="C116" s="43" t="s">
        <v>167</v>
      </c>
      <c r="D116" s="42">
        <v>194</v>
      </c>
      <c r="E116" s="41">
        <v>2.1593944790739093E-2</v>
      </c>
    </row>
    <row r="117" spans="2:5" ht="15" customHeight="1">
      <c r="B117" s="84"/>
      <c r="C117" s="43" t="s">
        <v>166</v>
      </c>
      <c r="D117" s="42">
        <v>7</v>
      </c>
      <c r="E117" s="41">
        <v>7.7916295636687449E-4</v>
      </c>
    </row>
    <row r="118" spans="2:5" ht="15" customHeight="1">
      <c r="B118" s="84"/>
      <c r="C118" s="43" t="s">
        <v>165</v>
      </c>
      <c r="D118" s="42">
        <v>8</v>
      </c>
      <c r="E118" s="41">
        <v>8.9047195013357077E-4</v>
      </c>
    </row>
    <row r="119" spans="2:5" ht="15" customHeight="1">
      <c r="B119" s="84"/>
      <c r="C119" s="43" t="s">
        <v>164</v>
      </c>
      <c r="D119" s="42">
        <v>30</v>
      </c>
      <c r="E119" s="41">
        <v>3.3392698130008903E-3</v>
      </c>
    </row>
    <row r="120" spans="2:5" ht="15" customHeight="1">
      <c r="B120" s="84"/>
      <c r="C120" s="43" t="s">
        <v>163</v>
      </c>
      <c r="D120" s="42">
        <v>436</v>
      </c>
      <c r="E120" s="41">
        <v>4.8530721282279608E-2</v>
      </c>
    </row>
    <row r="121" spans="2:5" ht="15" customHeight="1">
      <c r="B121" s="84"/>
      <c r="C121" s="43" t="s">
        <v>162</v>
      </c>
      <c r="D121" s="42">
        <v>12</v>
      </c>
      <c r="E121" s="41">
        <v>1.3357079252003562E-3</v>
      </c>
    </row>
    <row r="122" spans="2:5" ht="15" customHeight="1">
      <c r="B122" s="84"/>
      <c r="C122" s="43" t="s">
        <v>161</v>
      </c>
      <c r="D122" s="42">
        <v>28</v>
      </c>
      <c r="E122" s="41">
        <v>3.116651825467498E-3</v>
      </c>
    </row>
    <row r="123" spans="2:5" ht="15" customHeight="1">
      <c r="B123" s="84"/>
      <c r="C123" s="43" t="s">
        <v>160</v>
      </c>
      <c r="D123" s="42">
        <v>198</v>
      </c>
      <c r="E123" s="41">
        <v>2.2039180765805876E-2</v>
      </c>
    </row>
    <row r="124" spans="2:5" ht="15" customHeight="1">
      <c r="B124" s="84"/>
      <c r="C124" s="43" t="s">
        <v>159</v>
      </c>
      <c r="D124" s="42">
        <v>2</v>
      </c>
      <c r="E124" s="41">
        <v>2.2261798753339269E-4</v>
      </c>
    </row>
    <row r="125" spans="2:5" ht="15" customHeight="1">
      <c r="B125" s="84"/>
      <c r="C125" s="43" t="s">
        <v>158</v>
      </c>
      <c r="D125" s="42">
        <v>2</v>
      </c>
      <c r="E125" s="41">
        <v>2.2261798753339269E-4</v>
      </c>
    </row>
    <row r="126" spans="2:5" ht="15" customHeight="1">
      <c r="B126" s="84"/>
      <c r="C126" s="43" t="s">
        <v>157</v>
      </c>
      <c r="D126" s="42">
        <v>2</v>
      </c>
      <c r="E126" s="41">
        <v>2.2261798753339269E-4</v>
      </c>
    </row>
    <row r="127" spans="2:5" ht="15" customHeight="1">
      <c r="B127" s="84"/>
      <c r="C127" s="43" t="s">
        <v>155</v>
      </c>
      <c r="D127" s="42">
        <v>5</v>
      </c>
      <c r="E127" s="41">
        <v>5.5654496883348172E-4</v>
      </c>
    </row>
    <row r="128" spans="2:5" ht="15" customHeight="1">
      <c r="B128" s="84"/>
      <c r="C128" s="43" t="s">
        <v>154</v>
      </c>
      <c r="D128" s="42">
        <v>10</v>
      </c>
      <c r="E128" s="41">
        <v>1.1130899376669634E-3</v>
      </c>
    </row>
    <row r="129" spans="2:5" ht="15" customHeight="1">
      <c r="B129" s="84"/>
      <c r="C129" s="43" t="s">
        <v>179</v>
      </c>
      <c r="D129" s="42">
        <v>2</v>
      </c>
      <c r="E129" s="41">
        <v>2.2261798753339269E-4</v>
      </c>
    </row>
    <row r="130" spans="2:5" ht="15" customHeight="1">
      <c r="B130" s="84"/>
      <c r="C130" s="43" t="s">
        <v>152</v>
      </c>
      <c r="D130" s="42">
        <v>4</v>
      </c>
      <c r="E130" s="41">
        <v>4.4523597506678539E-4</v>
      </c>
    </row>
    <row r="131" spans="2:5" ht="15" customHeight="1">
      <c r="B131" s="84"/>
      <c r="C131" s="43" t="s">
        <v>151</v>
      </c>
      <c r="D131" s="42">
        <v>1</v>
      </c>
      <c r="E131" s="41">
        <v>1.1130899376669635E-4</v>
      </c>
    </row>
    <row r="132" spans="2:5" ht="15" customHeight="1">
      <c r="B132" s="85"/>
      <c r="C132" s="40" t="s">
        <v>23</v>
      </c>
      <c r="D132" s="39">
        <v>1115</v>
      </c>
      <c r="E132" s="38">
        <v>0.12410952804986643</v>
      </c>
    </row>
    <row r="133" spans="2:5" ht="15" customHeight="1">
      <c r="B133" s="83" t="s">
        <v>184</v>
      </c>
      <c r="C133" s="43" t="s">
        <v>169</v>
      </c>
      <c r="D133" s="42">
        <v>1</v>
      </c>
      <c r="E133" s="41">
        <v>1.1130899376669635E-4</v>
      </c>
    </row>
    <row r="134" spans="2:5" ht="15" customHeight="1">
      <c r="B134" s="84"/>
      <c r="C134" s="43" t="s">
        <v>167</v>
      </c>
      <c r="D134" s="42">
        <v>2</v>
      </c>
      <c r="E134" s="41">
        <v>2.2261798753339269E-4</v>
      </c>
    </row>
    <row r="135" spans="2:5" ht="15" customHeight="1">
      <c r="B135" s="84"/>
      <c r="C135" s="43" t="s">
        <v>163</v>
      </c>
      <c r="D135" s="42">
        <v>2</v>
      </c>
      <c r="E135" s="41">
        <v>2.2261798753339269E-4</v>
      </c>
    </row>
    <row r="136" spans="2:5" ht="15" customHeight="1">
      <c r="B136" s="84"/>
      <c r="C136" s="43" t="s">
        <v>161</v>
      </c>
      <c r="D136" s="42">
        <v>1</v>
      </c>
      <c r="E136" s="41">
        <v>1.1130899376669635E-4</v>
      </c>
    </row>
    <row r="137" spans="2:5" ht="15" customHeight="1">
      <c r="B137" s="85"/>
      <c r="C137" s="40" t="s">
        <v>23</v>
      </c>
      <c r="D137" s="39">
        <v>6</v>
      </c>
      <c r="E137" s="38">
        <v>6.6785396260017811E-4</v>
      </c>
    </row>
    <row r="138" spans="2:5" ht="15" customHeight="1">
      <c r="B138" s="83" t="s">
        <v>105</v>
      </c>
      <c r="C138" s="43" t="s">
        <v>170</v>
      </c>
      <c r="D138" s="42">
        <v>1</v>
      </c>
      <c r="E138" s="41">
        <v>1.1130899376669635E-4</v>
      </c>
    </row>
    <row r="139" spans="2:5" ht="15" customHeight="1">
      <c r="B139" s="84"/>
      <c r="C139" s="43" t="s">
        <v>169</v>
      </c>
      <c r="D139" s="42">
        <v>1</v>
      </c>
      <c r="E139" s="41">
        <v>1.1130899376669635E-4</v>
      </c>
    </row>
    <row r="140" spans="2:5" ht="15" customHeight="1">
      <c r="B140" s="84"/>
      <c r="C140" s="43" t="s">
        <v>168</v>
      </c>
      <c r="D140" s="42">
        <v>11</v>
      </c>
      <c r="E140" s="41">
        <v>1.2243989314336598E-3</v>
      </c>
    </row>
    <row r="141" spans="2:5" ht="15" customHeight="1">
      <c r="B141" s="84"/>
      <c r="C141" s="43" t="s">
        <v>167</v>
      </c>
      <c r="D141" s="42">
        <v>18</v>
      </c>
      <c r="E141" s="41">
        <v>2.0035618878005341E-3</v>
      </c>
    </row>
    <row r="142" spans="2:5" ht="15" customHeight="1">
      <c r="B142" s="84"/>
      <c r="C142" s="43" t="s">
        <v>166</v>
      </c>
      <c r="D142" s="42">
        <v>1</v>
      </c>
      <c r="E142" s="41">
        <v>1.1130899376669635E-4</v>
      </c>
    </row>
    <row r="143" spans="2:5" ht="15" customHeight="1">
      <c r="B143" s="84"/>
      <c r="C143" s="43" t="s">
        <v>165</v>
      </c>
      <c r="D143" s="42">
        <v>3</v>
      </c>
      <c r="E143" s="41">
        <v>3.3392698130008905E-4</v>
      </c>
    </row>
    <row r="144" spans="2:5" ht="15" customHeight="1">
      <c r="B144" s="84"/>
      <c r="C144" s="43" t="s">
        <v>164</v>
      </c>
      <c r="D144" s="42">
        <v>14</v>
      </c>
      <c r="E144" s="41">
        <v>1.558325912733749E-3</v>
      </c>
    </row>
    <row r="145" spans="2:5" ht="15" customHeight="1">
      <c r="B145" s="84"/>
      <c r="C145" s="43" t="s">
        <v>163</v>
      </c>
      <c r="D145" s="42">
        <v>36</v>
      </c>
      <c r="E145" s="41">
        <v>4.0071237756010682E-3</v>
      </c>
    </row>
    <row r="146" spans="2:5" ht="15" customHeight="1">
      <c r="B146" s="84"/>
      <c r="C146" s="43" t="s">
        <v>162</v>
      </c>
      <c r="D146" s="42">
        <v>1</v>
      </c>
      <c r="E146" s="41">
        <v>1.1130899376669635E-4</v>
      </c>
    </row>
    <row r="147" spans="2:5" ht="15" customHeight="1">
      <c r="B147" s="84"/>
      <c r="C147" s="43" t="s">
        <v>161</v>
      </c>
      <c r="D147" s="42">
        <v>7</v>
      </c>
      <c r="E147" s="41">
        <v>7.7916295636687449E-4</v>
      </c>
    </row>
    <row r="148" spans="2:5" ht="15" customHeight="1">
      <c r="B148" s="84"/>
      <c r="C148" s="43" t="s">
        <v>160</v>
      </c>
      <c r="D148" s="42">
        <v>10</v>
      </c>
      <c r="E148" s="41">
        <v>1.1130899376669634E-3</v>
      </c>
    </row>
    <row r="149" spans="2:5" ht="15" customHeight="1">
      <c r="B149" s="84"/>
      <c r="C149" s="43" t="s">
        <v>158</v>
      </c>
      <c r="D149" s="42">
        <v>1</v>
      </c>
      <c r="E149" s="41">
        <v>1.1130899376669635E-4</v>
      </c>
    </row>
    <row r="150" spans="2:5" ht="15" customHeight="1">
      <c r="B150" s="84"/>
      <c r="C150" s="43" t="s">
        <v>155</v>
      </c>
      <c r="D150" s="42">
        <v>2</v>
      </c>
      <c r="E150" s="41">
        <v>2.2261798753339269E-4</v>
      </c>
    </row>
    <row r="151" spans="2:5" ht="15" customHeight="1">
      <c r="B151" s="84"/>
      <c r="C151" s="43" t="s">
        <v>154</v>
      </c>
      <c r="D151" s="42">
        <v>1</v>
      </c>
      <c r="E151" s="41">
        <v>1.1130899376669635E-4</v>
      </c>
    </row>
    <row r="152" spans="2:5" ht="15" customHeight="1">
      <c r="B152" s="85"/>
      <c r="C152" s="40" t="s">
        <v>23</v>
      </c>
      <c r="D152" s="39">
        <v>107</v>
      </c>
      <c r="E152" s="38">
        <v>1.1910062333036509E-2</v>
      </c>
    </row>
    <row r="153" spans="2:5" ht="15" customHeight="1">
      <c r="B153" s="83" t="s">
        <v>91</v>
      </c>
      <c r="C153" s="43" t="s">
        <v>172</v>
      </c>
      <c r="D153" s="42">
        <v>4</v>
      </c>
      <c r="E153" s="41">
        <v>4.4523597506678539E-4</v>
      </c>
    </row>
    <row r="154" spans="2:5" ht="15" customHeight="1">
      <c r="B154" s="84"/>
      <c r="C154" s="43" t="s">
        <v>171</v>
      </c>
      <c r="D154" s="42">
        <v>2</v>
      </c>
      <c r="E154" s="41">
        <v>2.2261798753339269E-4</v>
      </c>
    </row>
    <row r="155" spans="2:5" ht="15" customHeight="1">
      <c r="B155" s="84"/>
      <c r="C155" s="43" t="s">
        <v>170</v>
      </c>
      <c r="D155" s="42">
        <v>1</v>
      </c>
      <c r="E155" s="41">
        <v>1.1130899376669635E-4</v>
      </c>
    </row>
    <row r="156" spans="2:5" ht="15" customHeight="1">
      <c r="B156" s="84"/>
      <c r="C156" s="43" t="s">
        <v>169</v>
      </c>
      <c r="D156" s="42">
        <v>1</v>
      </c>
      <c r="E156" s="41">
        <v>1.1130899376669635E-4</v>
      </c>
    </row>
    <row r="157" spans="2:5" ht="15" customHeight="1">
      <c r="B157" s="84"/>
      <c r="C157" s="43" t="s">
        <v>168</v>
      </c>
      <c r="D157" s="42">
        <v>5</v>
      </c>
      <c r="E157" s="41">
        <v>5.5654496883348172E-4</v>
      </c>
    </row>
    <row r="158" spans="2:5" ht="15" customHeight="1">
      <c r="B158" s="84"/>
      <c r="C158" s="43" t="s">
        <v>167</v>
      </c>
      <c r="D158" s="42">
        <v>8</v>
      </c>
      <c r="E158" s="41">
        <v>8.9047195013357077E-4</v>
      </c>
    </row>
    <row r="159" spans="2:5" ht="15" customHeight="1">
      <c r="B159" s="84"/>
      <c r="C159" s="43" t="s">
        <v>165</v>
      </c>
      <c r="D159" s="42">
        <v>4</v>
      </c>
      <c r="E159" s="41">
        <v>4.4523597506678539E-4</v>
      </c>
    </row>
    <row r="160" spans="2:5" ht="15" customHeight="1">
      <c r="B160" s="84"/>
      <c r="C160" s="43" t="s">
        <v>164</v>
      </c>
      <c r="D160" s="42">
        <v>8</v>
      </c>
      <c r="E160" s="41">
        <v>8.9047195013357077E-4</v>
      </c>
    </row>
    <row r="161" spans="2:5" ht="15" customHeight="1">
      <c r="B161" s="84"/>
      <c r="C161" s="43" t="s">
        <v>163</v>
      </c>
      <c r="D161" s="42">
        <v>13</v>
      </c>
      <c r="E161" s="41">
        <v>1.4470169189670526E-3</v>
      </c>
    </row>
    <row r="162" spans="2:5" ht="15" customHeight="1">
      <c r="B162" s="84"/>
      <c r="C162" s="43" t="s">
        <v>161</v>
      </c>
      <c r="D162" s="42">
        <v>1</v>
      </c>
      <c r="E162" s="41">
        <v>1.1130899376669635E-4</v>
      </c>
    </row>
    <row r="163" spans="2:5" ht="15" customHeight="1">
      <c r="B163" s="84"/>
      <c r="C163" s="43" t="s">
        <v>160</v>
      </c>
      <c r="D163" s="42">
        <v>7</v>
      </c>
      <c r="E163" s="41">
        <v>7.7916295636687449E-4</v>
      </c>
    </row>
    <row r="164" spans="2:5" ht="15" customHeight="1">
      <c r="B164" s="85"/>
      <c r="C164" s="40" t="s">
        <v>23</v>
      </c>
      <c r="D164" s="39">
        <v>54</v>
      </c>
      <c r="E164" s="38">
        <v>6.0106856634016027E-3</v>
      </c>
    </row>
    <row r="165" spans="2:5" ht="15" customHeight="1">
      <c r="B165" s="83" t="s">
        <v>89</v>
      </c>
      <c r="C165" s="43" t="s">
        <v>170</v>
      </c>
      <c r="D165" s="42">
        <v>1</v>
      </c>
      <c r="E165" s="41">
        <v>1.1130899376669635E-4</v>
      </c>
    </row>
    <row r="166" spans="2:5" ht="15" customHeight="1">
      <c r="B166" s="84"/>
      <c r="C166" s="43" t="s">
        <v>169</v>
      </c>
      <c r="D166" s="42">
        <v>1</v>
      </c>
      <c r="E166" s="41">
        <v>1.1130899376669635E-4</v>
      </c>
    </row>
    <row r="167" spans="2:5" ht="15" customHeight="1">
      <c r="B167" s="84"/>
      <c r="C167" s="43" t="s">
        <v>168</v>
      </c>
      <c r="D167" s="42">
        <v>2</v>
      </c>
      <c r="E167" s="41">
        <v>2.2261798753339269E-4</v>
      </c>
    </row>
    <row r="168" spans="2:5" ht="15" customHeight="1">
      <c r="B168" s="84"/>
      <c r="C168" s="43" t="s">
        <v>167</v>
      </c>
      <c r="D168" s="42">
        <v>6</v>
      </c>
      <c r="E168" s="41">
        <v>6.6785396260017811E-4</v>
      </c>
    </row>
    <row r="169" spans="2:5" ht="15" customHeight="1">
      <c r="B169" s="84"/>
      <c r="C169" s="43" t="s">
        <v>165</v>
      </c>
      <c r="D169" s="42">
        <v>1</v>
      </c>
      <c r="E169" s="41">
        <v>1.1130899376669635E-4</v>
      </c>
    </row>
    <row r="170" spans="2:5" ht="15" customHeight="1">
      <c r="B170" s="84"/>
      <c r="C170" s="43" t="s">
        <v>163</v>
      </c>
      <c r="D170" s="42">
        <v>4</v>
      </c>
      <c r="E170" s="41">
        <v>4.4523597506678539E-4</v>
      </c>
    </row>
    <row r="171" spans="2:5" ht="15" customHeight="1">
      <c r="B171" s="84"/>
      <c r="C171" s="43" t="s">
        <v>161</v>
      </c>
      <c r="D171" s="42">
        <v>1</v>
      </c>
      <c r="E171" s="41">
        <v>1.1130899376669635E-4</v>
      </c>
    </row>
    <row r="172" spans="2:5" ht="15" customHeight="1">
      <c r="B172" s="84"/>
      <c r="C172" s="43" t="s">
        <v>160</v>
      </c>
      <c r="D172" s="42">
        <v>1</v>
      </c>
      <c r="E172" s="41">
        <v>1.1130899376669635E-4</v>
      </c>
    </row>
    <row r="173" spans="2:5" ht="15" customHeight="1">
      <c r="B173" s="85"/>
      <c r="C173" s="40" t="s">
        <v>23</v>
      </c>
      <c r="D173" s="39">
        <v>17</v>
      </c>
      <c r="E173" s="38">
        <v>1.8922528940338379E-3</v>
      </c>
    </row>
    <row r="174" spans="2:5" ht="15" customHeight="1">
      <c r="B174" s="83" t="s">
        <v>102</v>
      </c>
      <c r="C174" s="43" t="s">
        <v>174</v>
      </c>
      <c r="D174" s="42">
        <v>1</v>
      </c>
      <c r="E174" s="41">
        <v>1.1130899376669635E-4</v>
      </c>
    </row>
    <row r="175" spans="2:5" ht="15" customHeight="1">
      <c r="B175" s="84"/>
      <c r="C175" s="43" t="s">
        <v>173</v>
      </c>
      <c r="D175" s="42">
        <v>1</v>
      </c>
      <c r="E175" s="41">
        <v>1.1130899376669635E-4</v>
      </c>
    </row>
    <row r="176" spans="2:5" ht="15" customHeight="1">
      <c r="B176" s="84"/>
      <c r="C176" s="43" t="s">
        <v>172</v>
      </c>
      <c r="D176" s="42">
        <v>4</v>
      </c>
      <c r="E176" s="41">
        <v>4.4523597506678539E-4</v>
      </c>
    </row>
    <row r="177" spans="2:5" ht="15" customHeight="1">
      <c r="B177" s="84"/>
      <c r="C177" s="43" t="s">
        <v>171</v>
      </c>
      <c r="D177" s="42">
        <v>4</v>
      </c>
      <c r="E177" s="41">
        <v>4.4523597506678539E-4</v>
      </c>
    </row>
    <row r="178" spans="2:5" ht="15" customHeight="1">
      <c r="B178" s="84"/>
      <c r="C178" s="43" t="s">
        <v>170</v>
      </c>
      <c r="D178" s="42">
        <v>1</v>
      </c>
      <c r="E178" s="41">
        <v>1.1130899376669635E-4</v>
      </c>
    </row>
    <row r="179" spans="2:5" ht="15" customHeight="1">
      <c r="B179" s="84"/>
      <c r="C179" s="43" t="s">
        <v>169</v>
      </c>
      <c r="D179" s="42">
        <v>1</v>
      </c>
      <c r="E179" s="41">
        <v>1.1130899376669635E-4</v>
      </c>
    </row>
    <row r="180" spans="2:5" ht="15" customHeight="1">
      <c r="B180" s="84"/>
      <c r="C180" s="43" t="s">
        <v>168</v>
      </c>
      <c r="D180" s="42">
        <v>8</v>
      </c>
      <c r="E180" s="41">
        <v>8.9047195013357077E-4</v>
      </c>
    </row>
    <row r="181" spans="2:5" ht="15" customHeight="1">
      <c r="B181" s="84"/>
      <c r="C181" s="43" t="s">
        <v>167</v>
      </c>
      <c r="D181" s="42">
        <v>17</v>
      </c>
      <c r="E181" s="41">
        <v>1.8922528940338379E-3</v>
      </c>
    </row>
    <row r="182" spans="2:5" ht="15" customHeight="1">
      <c r="B182" s="84"/>
      <c r="C182" s="43" t="s">
        <v>166</v>
      </c>
      <c r="D182" s="42">
        <v>1</v>
      </c>
      <c r="E182" s="41">
        <v>1.1130899376669635E-4</v>
      </c>
    </row>
    <row r="183" spans="2:5" ht="15" customHeight="1">
      <c r="B183" s="84"/>
      <c r="C183" s="43" t="s">
        <v>165</v>
      </c>
      <c r="D183" s="42">
        <v>3</v>
      </c>
      <c r="E183" s="41">
        <v>3.3392698130008905E-4</v>
      </c>
    </row>
    <row r="184" spans="2:5" ht="15" customHeight="1">
      <c r="B184" s="84"/>
      <c r="C184" s="43" t="s">
        <v>164</v>
      </c>
      <c r="D184" s="42">
        <v>6</v>
      </c>
      <c r="E184" s="41">
        <v>6.6785396260017811E-4</v>
      </c>
    </row>
    <row r="185" spans="2:5" ht="15" customHeight="1">
      <c r="B185" s="84"/>
      <c r="C185" s="43" t="s">
        <v>163</v>
      </c>
      <c r="D185" s="42">
        <v>39</v>
      </c>
      <c r="E185" s="41">
        <v>4.341050756901158E-3</v>
      </c>
    </row>
    <row r="186" spans="2:5" ht="15" customHeight="1">
      <c r="B186" s="84"/>
      <c r="C186" s="43" t="s">
        <v>162</v>
      </c>
      <c r="D186" s="42">
        <v>2</v>
      </c>
      <c r="E186" s="41">
        <v>2.2261798753339269E-4</v>
      </c>
    </row>
    <row r="187" spans="2:5" ht="15" customHeight="1">
      <c r="B187" s="84"/>
      <c r="C187" s="43" t="s">
        <v>161</v>
      </c>
      <c r="D187" s="42">
        <v>4</v>
      </c>
      <c r="E187" s="41">
        <v>4.4523597506678539E-4</v>
      </c>
    </row>
    <row r="188" spans="2:5" ht="15" customHeight="1">
      <c r="B188" s="84"/>
      <c r="C188" s="43" t="s">
        <v>160</v>
      </c>
      <c r="D188" s="42">
        <v>11</v>
      </c>
      <c r="E188" s="41">
        <v>1.2243989314336598E-3</v>
      </c>
    </row>
    <row r="189" spans="2:5" ht="15" customHeight="1">
      <c r="B189" s="84"/>
      <c r="C189" s="43" t="s">
        <v>158</v>
      </c>
      <c r="D189" s="42">
        <v>2</v>
      </c>
      <c r="E189" s="41">
        <v>2.2261798753339269E-4</v>
      </c>
    </row>
    <row r="190" spans="2:5" ht="15" customHeight="1">
      <c r="B190" s="84"/>
      <c r="C190" s="43" t="s">
        <v>156</v>
      </c>
      <c r="D190" s="42">
        <v>1</v>
      </c>
      <c r="E190" s="41">
        <v>1.1130899376669635E-4</v>
      </c>
    </row>
    <row r="191" spans="2:5" ht="15" customHeight="1">
      <c r="B191" s="84"/>
      <c r="C191" s="43" t="s">
        <v>154</v>
      </c>
      <c r="D191" s="42">
        <v>2</v>
      </c>
      <c r="E191" s="41">
        <v>2.2261798753339269E-4</v>
      </c>
    </row>
    <row r="192" spans="2:5" ht="15" customHeight="1">
      <c r="B192" s="85"/>
      <c r="C192" s="40" t="s">
        <v>23</v>
      </c>
      <c r="D192" s="39">
        <v>108</v>
      </c>
      <c r="E192" s="38">
        <v>1.2021371326803205E-2</v>
      </c>
    </row>
    <row r="193" spans="2:5" ht="15" customHeight="1">
      <c r="B193" s="83" t="s">
        <v>118</v>
      </c>
      <c r="C193" s="43" t="s">
        <v>174</v>
      </c>
      <c r="D193" s="42">
        <v>2</v>
      </c>
      <c r="E193" s="41">
        <v>2.2261798753339269E-4</v>
      </c>
    </row>
    <row r="194" spans="2:5" ht="15" customHeight="1">
      <c r="B194" s="84"/>
      <c r="C194" s="43" t="s">
        <v>172</v>
      </c>
      <c r="D194" s="42">
        <v>2</v>
      </c>
      <c r="E194" s="41">
        <v>2.2261798753339269E-4</v>
      </c>
    </row>
    <row r="195" spans="2:5" ht="15" customHeight="1">
      <c r="B195" s="84"/>
      <c r="C195" s="43" t="s">
        <v>171</v>
      </c>
      <c r="D195" s="42">
        <v>4</v>
      </c>
      <c r="E195" s="41">
        <v>4.4523597506678539E-4</v>
      </c>
    </row>
    <row r="196" spans="2:5" ht="15" customHeight="1">
      <c r="B196" s="84"/>
      <c r="C196" s="43" t="s">
        <v>170</v>
      </c>
      <c r="D196" s="42">
        <v>4</v>
      </c>
      <c r="E196" s="41">
        <v>4.4523597506678539E-4</v>
      </c>
    </row>
    <row r="197" spans="2:5" ht="15" customHeight="1">
      <c r="B197" s="84"/>
      <c r="C197" s="43" t="s">
        <v>169</v>
      </c>
      <c r="D197" s="42">
        <v>2</v>
      </c>
      <c r="E197" s="41">
        <v>2.2261798753339269E-4</v>
      </c>
    </row>
    <row r="198" spans="2:5" ht="15" customHeight="1">
      <c r="B198" s="84"/>
      <c r="C198" s="43" t="s">
        <v>168</v>
      </c>
      <c r="D198" s="42">
        <v>17</v>
      </c>
      <c r="E198" s="41">
        <v>1.8922528940338379E-3</v>
      </c>
    </row>
    <row r="199" spans="2:5" ht="15" customHeight="1">
      <c r="B199" s="84"/>
      <c r="C199" s="43" t="s">
        <v>167</v>
      </c>
      <c r="D199" s="42">
        <v>11</v>
      </c>
      <c r="E199" s="41">
        <v>1.2243989314336598E-3</v>
      </c>
    </row>
    <row r="200" spans="2:5" ht="15" customHeight="1">
      <c r="B200" s="84"/>
      <c r="C200" s="43" t="s">
        <v>166</v>
      </c>
      <c r="D200" s="42">
        <v>1</v>
      </c>
      <c r="E200" s="41">
        <v>1.1130899376669635E-4</v>
      </c>
    </row>
    <row r="201" spans="2:5" ht="15" customHeight="1">
      <c r="B201" s="84"/>
      <c r="C201" s="43" t="s">
        <v>165</v>
      </c>
      <c r="D201" s="42">
        <v>3</v>
      </c>
      <c r="E201" s="41">
        <v>3.3392698130008905E-4</v>
      </c>
    </row>
    <row r="202" spans="2:5" ht="15" customHeight="1">
      <c r="B202" s="84"/>
      <c r="C202" s="43" t="s">
        <v>164</v>
      </c>
      <c r="D202" s="42">
        <v>3</v>
      </c>
      <c r="E202" s="41">
        <v>3.3392698130008905E-4</v>
      </c>
    </row>
    <row r="203" spans="2:5" ht="15" customHeight="1">
      <c r="B203" s="84"/>
      <c r="C203" s="43" t="s">
        <v>163</v>
      </c>
      <c r="D203" s="42">
        <v>24</v>
      </c>
      <c r="E203" s="41">
        <v>2.6714158504007124E-3</v>
      </c>
    </row>
    <row r="204" spans="2:5" ht="15" customHeight="1">
      <c r="B204" s="84"/>
      <c r="C204" s="43" t="s">
        <v>161</v>
      </c>
      <c r="D204" s="42">
        <v>4</v>
      </c>
      <c r="E204" s="41">
        <v>4.4523597506678539E-4</v>
      </c>
    </row>
    <row r="205" spans="2:5" ht="15" customHeight="1">
      <c r="B205" s="84"/>
      <c r="C205" s="43" t="s">
        <v>160</v>
      </c>
      <c r="D205" s="42">
        <v>8</v>
      </c>
      <c r="E205" s="41">
        <v>8.9047195013357077E-4</v>
      </c>
    </row>
    <row r="206" spans="2:5" ht="15" customHeight="1">
      <c r="B206" s="84"/>
      <c r="C206" s="43" t="s">
        <v>159</v>
      </c>
      <c r="D206" s="42">
        <v>1</v>
      </c>
      <c r="E206" s="41">
        <v>1.1130899376669635E-4</v>
      </c>
    </row>
    <row r="207" spans="2:5" ht="15" customHeight="1">
      <c r="B207" s="84"/>
      <c r="C207" s="43" t="s">
        <v>156</v>
      </c>
      <c r="D207" s="42">
        <v>1</v>
      </c>
      <c r="E207" s="41">
        <v>1.1130899376669635E-4</v>
      </c>
    </row>
    <row r="208" spans="2:5" ht="15" customHeight="1">
      <c r="B208" s="85"/>
      <c r="C208" s="40" t="s">
        <v>23</v>
      </c>
      <c r="D208" s="39">
        <v>87</v>
      </c>
      <c r="E208" s="38">
        <v>9.683882457702582E-3</v>
      </c>
    </row>
    <row r="209" spans="2:5" ht="15" customHeight="1">
      <c r="B209" s="83" t="s">
        <v>122</v>
      </c>
      <c r="C209" s="43" t="s">
        <v>174</v>
      </c>
      <c r="D209" s="42">
        <v>12</v>
      </c>
      <c r="E209" s="41">
        <v>1.3357079252003562E-3</v>
      </c>
    </row>
    <row r="210" spans="2:5" ht="15" customHeight="1">
      <c r="B210" s="84"/>
      <c r="C210" s="43" t="s">
        <v>173</v>
      </c>
      <c r="D210" s="42">
        <v>4</v>
      </c>
      <c r="E210" s="41">
        <v>4.4523597506678539E-4</v>
      </c>
    </row>
    <row r="211" spans="2:5" ht="15" customHeight="1">
      <c r="B211" s="84"/>
      <c r="C211" s="43" t="s">
        <v>172</v>
      </c>
      <c r="D211" s="42">
        <v>9</v>
      </c>
      <c r="E211" s="41">
        <v>1.0017809439002671E-3</v>
      </c>
    </row>
    <row r="212" spans="2:5" ht="15" customHeight="1">
      <c r="B212" s="84"/>
      <c r="C212" s="43" t="s">
        <v>171</v>
      </c>
      <c r="D212" s="42">
        <v>19</v>
      </c>
      <c r="E212" s="41">
        <v>2.1148708815672307E-3</v>
      </c>
    </row>
    <row r="213" spans="2:5" ht="15" customHeight="1">
      <c r="B213" s="84"/>
      <c r="C213" s="43" t="s">
        <v>170</v>
      </c>
      <c r="D213" s="42">
        <v>9</v>
      </c>
      <c r="E213" s="41">
        <v>1.0017809439002671E-3</v>
      </c>
    </row>
    <row r="214" spans="2:5" ht="15" customHeight="1">
      <c r="B214" s="84"/>
      <c r="C214" s="43" t="s">
        <v>169</v>
      </c>
      <c r="D214" s="42">
        <v>16</v>
      </c>
      <c r="E214" s="41">
        <v>1.7809439002671415E-3</v>
      </c>
    </row>
    <row r="215" spans="2:5" ht="15" customHeight="1">
      <c r="B215" s="84"/>
      <c r="C215" s="43" t="s">
        <v>168</v>
      </c>
      <c r="D215" s="42">
        <v>128</v>
      </c>
      <c r="E215" s="41">
        <v>1.4247551202137132E-2</v>
      </c>
    </row>
    <row r="216" spans="2:5" ht="15" customHeight="1">
      <c r="B216" s="84"/>
      <c r="C216" s="43" t="s">
        <v>167</v>
      </c>
      <c r="D216" s="42">
        <v>160</v>
      </c>
      <c r="E216" s="41">
        <v>1.7809439002671415E-2</v>
      </c>
    </row>
    <row r="217" spans="2:5" ht="15" customHeight="1">
      <c r="B217" s="84"/>
      <c r="C217" s="43" t="s">
        <v>166</v>
      </c>
      <c r="D217" s="42">
        <v>10</v>
      </c>
      <c r="E217" s="41">
        <v>1.1130899376669634E-3</v>
      </c>
    </row>
    <row r="218" spans="2:5" ht="15" customHeight="1">
      <c r="B218" s="84"/>
      <c r="C218" s="43" t="s">
        <v>165</v>
      </c>
      <c r="D218" s="42">
        <v>26</v>
      </c>
      <c r="E218" s="41">
        <v>2.8940338379341052E-3</v>
      </c>
    </row>
    <row r="219" spans="2:5" ht="15" customHeight="1">
      <c r="B219" s="84"/>
      <c r="C219" s="43" t="s">
        <v>164</v>
      </c>
      <c r="D219" s="42">
        <v>54</v>
      </c>
      <c r="E219" s="41">
        <v>6.0106856634016027E-3</v>
      </c>
    </row>
    <row r="220" spans="2:5" ht="15" customHeight="1">
      <c r="B220" s="84"/>
      <c r="C220" s="43" t="s">
        <v>163</v>
      </c>
      <c r="D220" s="42">
        <v>336</v>
      </c>
      <c r="E220" s="41">
        <v>3.7399821905609976E-2</v>
      </c>
    </row>
    <row r="221" spans="2:5" ht="15" customHeight="1">
      <c r="B221" s="84"/>
      <c r="C221" s="43" t="s">
        <v>162</v>
      </c>
      <c r="D221" s="42">
        <v>7</v>
      </c>
      <c r="E221" s="41">
        <v>7.7916295636687449E-4</v>
      </c>
    </row>
    <row r="222" spans="2:5" ht="15" customHeight="1">
      <c r="B222" s="84"/>
      <c r="C222" s="43" t="s">
        <v>161</v>
      </c>
      <c r="D222" s="42">
        <v>38</v>
      </c>
      <c r="E222" s="41">
        <v>4.2297417631344614E-3</v>
      </c>
    </row>
    <row r="223" spans="2:5" ht="15" customHeight="1">
      <c r="B223" s="84"/>
      <c r="C223" s="43" t="s">
        <v>160</v>
      </c>
      <c r="D223" s="42">
        <v>124</v>
      </c>
      <c r="E223" s="41">
        <v>1.3802315227070348E-2</v>
      </c>
    </row>
    <row r="224" spans="2:5" ht="15" customHeight="1">
      <c r="B224" s="84"/>
      <c r="C224" s="43" t="s">
        <v>158</v>
      </c>
      <c r="D224" s="42">
        <v>1</v>
      </c>
      <c r="E224" s="41">
        <v>1.1130899376669635E-4</v>
      </c>
    </row>
    <row r="225" spans="2:5" ht="15" customHeight="1">
      <c r="B225" s="84"/>
      <c r="C225" s="43" t="s">
        <v>157</v>
      </c>
      <c r="D225" s="42">
        <v>1</v>
      </c>
      <c r="E225" s="41">
        <v>1.1130899376669635E-4</v>
      </c>
    </row>
    <row r="226" spans="2:5" ht="15" customHeight="1">
      <c r="B226" s="84"/>
      <c r="C226" s="43" t="s">
        <v>156</v>
      </c>
      <c r="D226" s="42">
        <v>1</v>
      </c>
      <c r="E226" s="41">
        <v>1.1130899376669635E-4</v>
      </c>
    </row>
    <row r="227" spans="2:5" ht="15" customHeight="1">
      <c r="B227" s="84"/>
      <c r="C227" s="43" t="s">
        <v>155</v>
      </c>
      <c r="D227" s="42">
        <v>4</v>
      </c>
      <c r="E227" s="41">
        <v>4.4523597506678539E-4</v>
      </c>
    </row>
    <row r="228" spans="2:5" ht="15" customHeight="1">
      <c r="B228" s="84"/>
      <c r="C228" s="43" t="s">
        <v>154</v>
      </c>
      <c r="D228" s="42">
        <v>5</v>
      </c>
      <c r="E228" s="41">
        <v>5.5654496883348172E-4</v>
      </c>
    </row>
    <row r="229" spans="2:5" ht="15" customHeight="1">
      <c r="B229" s="84"/>
      <c r="C229" s="43" t="s">
        <v>179</v>
      </c>
      <c r="D229" s="42">
        <v>1</v>
      </c>
      <c r="E229" s="41">
        <v>1.1130899376669635E-4</v>
      </c>
    </row>
    <row r="230" spans="2:5" ht="15" customHeight="1">
      <c r="B230" s="85"/>
      <c r="C230" s="40" t="s">
        <v>23</v>
      </c>
      <c r="D230" s="39">
        <v>965</v>
      </c>
      <c r="E230" s="38">
        <v>0.10741317898486198</v>
      </c>
    </row>
    <row r="231" spans="2:5" ht="15" customHeight="1">
      <c r="B231" s="83" t="s">
        <v>183</v>
      </c>
      <c r="C231" s="43" t="s">
        <v>174</v>
      </c>
      <c r="D231" s="42">
        <v>2</v>
      </c>
      <c r="E231" s="41">
        <v>2.2261798753339269E-4</v>
      </c>
    </row>
    <row r="232" spans="2:5" ht="15" customHeight="1">
      <c r="B232" s="84"/>
      <c r="C232" s="43" t="s">
        <v>173</v>
      </c>
      <c r="D232" s="42">
        <v>1</v>
      </c>
      <c r="E232" s="41">
        <v>1.1130899376669635E-4</v>
      </c>
    </row>
    <row r="233" spans="2:5" ht="15" customHeight="1">
      <c r="B233" s="84"/>
      <c r="C233" s="43" t="s">
        <v>171</v>
      </c>
      <c r="D233" s="42">
        <v>1</v>
      </c>
      <c r="E233" s="41">
        <v>1.1130899376669635E-4</v>
      </c>
    </row>
    <row r="234" spans="2:5" ht="15" customHeight="1">
      <c r="B234" s="84"/>
      <c r="C234" s="43" t="s">
        <v>170</v>
      </c>
      <c r="D234" s="42">
        <v>2</v>
      </c>
      <c r="E234" s="41">
        <v>2.2261798753339269E-4</v>
      </c>
    </row>
    <row r="235" spans="2:5" ht="15" customHeight="1">
      <c r="B235" s="84"/>
      <c r="C235" s="43" t="s">
        <v>169</v>
      </c>
      <c r="D235" s="42">
        <v>1</v>
      </c>
      <c r="E235" s="41">
        <v>1.1130899376669635E-4</v>
      </c>
    </row>
    <row r="236" spans="2:5" ht="15" customHeight="1">
      <c r="B236" s="84"/>
      <c r="C236" s="43" t="s">
        <v>168</v>
      </c>
      <c r="D236" s="42">
        <v>12</v>
      </c>
      <c r="E236" s="41">
        <v>1.3357079252003562E-3</v>
      </c>
    </row>
    <row r="237" spans="2:5" ht="15" customHeight="1">
      <c r="B237" s="84"/>
      <c r="C237" s="43" t="s">
        <v>167</v>
      </c>
      <c r="D237" s="42">
        <v>24</v>
      </c>
      <c r="E237" s="41">
        <v>2.6714158504007124E-3</v>
      </c>
    </row>
    <row r="238" spans="2:5" ht="15" customHeight="1">
      <c r="B238" s="84"/>
      <c r="C238" s="43" t="s">
        <v>165</v>
      </c>
      <c r="D238" s="42">
        <v>3</v>
      </c>
      <c r="E238" s="41">
        <v>3.3392698130008905E-4</v>
      </c>
    </row>
    <row r="239" spans="2:5" ht="15" customHeight="1">
      <c r="B239" s="84"/>
      <c r="C239" s="43" t="s">
        <v>164</v>
      </c>
      <c r="D239" s="42">
        <v>6</v>
      </c>
      <c r="E239" s="41">
        <v>6.6785396260017811E-4</v>
      </c>
    </row>
    <row r="240" spans="2:5" ht="15" customHeight="1">
      <c r="B240" s="84"/>
      <c r="C240" s="43" t="s">
        <v>163</v>
      </c>
      <c r="D240" s="42">
        <v>62</v>
      </c>
      <c r="E240" s="41">
        <v>6.9011576135351738E-3</v>
      </c>
    </row>
    <row r="241" spans="2:5" ht="15" customHeight="1">
      <c r="B241" s="84"/>
      <c r="C241" s="43" t="s">
        <v>162</v>
      </c>
      <c r="D241" s="42">
        <v>1</v>
      </c>
      <c r="E241" s="41">
        <v>1.1130899376669635E-4</v>
      </c>
    </row>
    <row r="242" spans="2:5" ht="15" customHeight="1">
      <c r="B242" s="84"/>
      <c r="C242" s="43" t="s">
        <v>161</v>
      </c>
      <c r="D242" s="42">
        <v>4</v>
      </c>
      <c r="E242" s="41">
        <v>4.4523597506678539E-4</v>
      </c>
    </row>
    <row r="243" spans="2:5" ht="15" customHeight="1">
      <c r="B243" s="84"/>
      <c r="C243" s="43" t="s">
        <v>160</v>
      </c>
      <c r="D243" s="42">
        <v>24</v>
      </c>
      <c r="E243" s="41">
        <v>2.6714158504007124E-3</v>
      </c>
    </row>
    <row r="244" spans="2:5" ht="15" customHeight="1">
      <c r="B244" s="84"/>
      <c r="C244" s="43" t="s">
        <v>155</v>
      </c>
      <c r="D244" s="42">
        <v>2</v>
      </c>
      <c r="E244" s="41">
        <v>2.2261798753339269E-4</v>
      </c>
    </row>
    <row r="245" spans="2:5" ht="15" customHeight="1">
      <c r="B245" s="85"/>
      <c r="C245" s="40" t="s">
        <v>23</v>
      </c>
      <c r="D245" s="39">
        <v>145</v>
      </c>
      <c r="E245" s="38">
        <v>1.6139804096170971E-2</v>
      </c>
    </row>
    <row r="246" spans="2:5" ht="15" customHeight="1">
      <c r="B246" s="83" t="s">
        <v>101</v>
      </c>
      <c r="C246" s="43" t="s">
        <v>174</v>
      </c>
      <c r="D246" s="42">
        <v>1</v>
      </c>
      <c r="E246" s="41">
        <v>1.1130899376669635E-4</v>
      </c>
    </row>
    <row r="247" spans="2:5" ht="15" customHeight="1">
      <c r="B247" s="84"/>
      <c r="C247" s="43" t="s">
        <v>172</v>
      </c>
      <c r="D247" s="42">
        <v>2</v>
      </c>
      <c r="E247" s="41">
        <v>2.2261798753339269E-4</v>
      </c>
    </row>
    <row r="248" spans="2:5" ht="15" customHeight="1">
      <c r="B248" s="84"/>
      <c r="C248" s="43" t="s">
        <v>171</v>
      </c>
      <c r="D248" s="42">
        <v>1</v>
      </c>
      <c r="E248" s="41">
        <v>1.1130899376669635E-4</v>
      </c>
    </row>
    <row r="249" spans="2:5" ht="15" customHeight="1">
      <c r="B249" s="84"/>
      <c r="C249" s="43" t="s">
        <v>169</v>
      </c>
      <c r="D249" s="42">
        <v>3</v>
      </c>
      <c r="E249" s="41">
        <v>3.3392698130008905E-4</v>
      </c>
    </row>
    <row r="250" spans="2:5" ht="15" customHeight="1">
      <c r="B250" s="84"/>
      <c r="C250" s="43" t="s">
        <v>168</v>
      </c>
      <c r="D250" s="42">
        <v>10</v>
      </c>
      <c r="E250" s="41">
        <v>1.1130899376669634E-3</v>
      </c>
    </row>
    <row r="251" spans="2:5" ht="15" customHeight="1">
      <c r="B251" s="84"/>
      <c r="C251" s="43" t="s">
        <v>167</v>
      </c>
      <c r="D251" s="42">
        <v>9</v>
      </c>
      <c r="E251" s="41">
        <v>1.0017809439002671E-3</v>
      </c>
    </row>
    <row r="252" spans="2:5" ht="15" customHeight="1">
      <c r="B252" s="84"/>
      <c r="C252" s="43" t="s">
        <v>166</v>
      </c>
      <c r="D252" s="42">
        <v>1</v>
      </c>
      <c r="E252" s="41">
        <v>1.1130899376669635E-4</v>
      </c>
    </row>
    <row r="253" spans="2:5" ht="15" customHeight="1">
      <c r="B253" s="84"/>
      <c r="C253" s="43" t="s">
        <v>165</v>
      </c>
      <c r="D253" s="42">
        <v>1</v>
      </c>
      <c r="E253" s="41">
        <v>1.1130899376669635E-4</v>
      </c>
    </row>
    <row r="254" spans="2:5" ht="15" customHeight="1">
      <c r="B254" s="84"/>
      <c r="C254" s="43" t="s">
        <v>164</v>
      </c>
      <c r="D254" s="42">
        <v>13</v>
      </c>
      <c r="E254" s="41">
        <v>1.4470169189670526E-3</v>
      </c>
    </row>
    <row r="255" spans="2:5" ht="15" customHeight="1">
      <c r="B255" s="84"/>
      <c r="C255" s="43" t="s">
        <v>163</v>
      </c>
      <c r="D255" s="42">
        <v>27</v>
      </c>
      <c r="E255" s="41">
        <v>3.0053428317008014E-3</v>
      </c>
    </row>
    <row r="256" spans="2:5" ht="15" customHeight="1">
      <c r="B256" s="84"/>
      <c r="C256" s="43" t="s">
        <v>162</v>
      </c>
      <c r="D256" s="42">
        <v>2</v>
      </c>
      <c r="E256" s="41">
        <v>2.2261798753339269E-4</v>
      </c>
    </row>
    <row r="257" spans="2:5" ht="15" customHeight="1">
      <c r="B257" s="84"/>
      <c r="C257" s="43" t="s">
        <v>161</v>
      </c>
      <c r="D257" s="42">
        <v>5</v>
      </c>
      <c r="E257" s="41">
        <v>5.5654496883348172E-4</v>
      </c>
    </row>
    <row r="258" spans="2:5" ht="15" customHeight="1">
      <c r="B258" s="84"/>
      <c r="C258" s="43" t="s">
        <v>160</v>
      </c>
      <c r="D258" s="42">
        <v>12</v>
      </c>
      <c r="E258" s="41">
        <v>1.3357079252003562E-3</v>
      </c>
    </row>
    <row r="259" spans="2:5" ht="15" customHeight="1">
      <c r="B259" s="84"/>
      <c r="C259" s="43" t="s">
        <v>155</v>
      </c>
      <c r="D259" s="42">
        <v>2</v>
      </c>
      <c r="E259" s="41">
        <v>2.2261798753339269E-4</v>
      </c>
    </row>
    <row r="260" spans="2:5" ht="15" customHeight="1">
      <c r="B260" s="85"/>
      <c r="C260" s="40" t="s">
        <v>23</v>
      </c>
      <c r="D260" s="39">
        <v>89</v>
      </c>
      <c r="E260" s="38">
        <v>9.9065004452359752E-3</v>
      </c>
    </row>
    <row r="261" spans="2:5" ht="15" customHeight="1">
      <c r="B261" s="83" t="s">
        <v>85</v>
      </c>
      <c r="C261" s="43" t="s">
        <v>171</v>
      </c>
      <c r="D261" s="42">
        <v>1</v>
      </c>
      <c r="E261" s="41">
        <v>1.1130899376669635E-4</v>
      </c>
    </row>
    <row r="262" spans="2:5" ht="15" customHeight="1">
      <c r="B262" s="84"/>
      <c r="C262" s="43" t="s">
        <v>168</v>
      </c>
      <c r="D262" s="42">
        <v>1</v>
      </c>
      <c r="E262" s="41">
        <v>1.1130899376669635E-4</v>
      </c>
    </row>
    <row r="263" spans="2:5" ht="15" customHeight="1">
      <c r="B263" s="84"/>
      <c r="C263" s="43" t="s">
        <v>163</v>
      </c>
      <c r="D263" s="42">
        <v>2</v>
      </c>
      <c r="E263" s="41">
        <v>2.2261798753339269E-4</v>
      </c>
    </row>
    <row r="264" spans="2:5" ht="15" customHeight="1">
      <c r="B264" s="85"/>
      <c r="C264" s="40" t="s">
        <v>23</v>
      </c>
      <c r="D264" s="39">
        <v>4</v>
      </c>
      <c r="E264" s="38">
        <v>4.4523597506678539E-4</v>
      </c>
    </row>
    <row r="265" spans="2:5" ht="15" customHeight="1">
      <c r="B265" s="83" t="s">
        <v>108</v>
      </c>
      <c r="C265" s="43" t="s">
        <v>174</v>
      </c>
      <c r="D265" s="42">
        <v>1</v>
      </c>
      <c r="E265" s="41">
        <v>1.1130899376669635E-4</v>
      </c>
    </row>
    <row r="266" spans="2:5" ht="15" customHeight="1">
      <c r="B266" s="84"/>
      <c r="C266" s="43" t="s">
        <v>172</v>
      </c>
      <c r="D266" s="42">
        <v>1</v>
      </c>
      <c r="E266" s="41">
        <v>1.1130899376669635E-4</v>
      </c>
    </row>
    <row r="267" spans="2:5" ht="15" customHeight="1">
      <c r="B267" s="84"/>
      <c r="C267" s="43" t="s">
        <v>169</v>
      </c>
      <c r="D267" s="42">
        <v>4</v>
      </c>
      <c r="E267" s="41">
        <v>4.4523597506678539E-4</v>
      </c>
    </row>
    <row r="268" spans="2:5" ht="15" customHeight="1">
      <c r="B268" s="84"/>
      <c r="C268" s="43" t="s">
        <v>168</v>
      </c>
      <c r="D268" s="42">
        <v>13</v>
      </c>
      <c r="E268" s="41">
        <v>1.4470169189670526E-3</v>
      </c>
    </row>
    <row r="269" spans="2:5" ht="15" customHeight="1">
      <c r="B269" s="84"/>
      <c r="C269" s="43" t="s">
        <v>167</v>
      </c>
      <c r="D269" s="42">
        <v>27</v>
      </c>
      <c r="E269" s="41">
        <v>3.0053428317008014E-3</v>
      </c>
    </row>
    <row r="270" spans="2:5" ht="15" customHeight="1">
      <c r="B270" s="84"/>
      <c r="C270" s="43" t="s">
        <v>165</v>
      </c>
      <c r="D270" s="42">
        <v>3</v>
      </c>
      <c r="E270" s="41">
        <v>3.3392698130008905E-4</v>
      </c>
    </row>
    <row r="271" spans="2:5" ht="15" customHeight="1">
      <c r="B271" s="84"/>
      <c r="C271" s="43" t="s">
        <v>164</v>
      </c>
      <c r="D271" s="42">
        <v>5</v>
      </c>
      <c r="E271" s="41">
        <v>5.5654496883348172E-4</v>
      </c>
    </row>
    <row r="272" spans="2:5" ht="15" customHeight="1">
      <c r="B272" s="84"/>
      <c r="C272" s="43" t="s">
        <v>163</v>
      </c>
      <c r="D272" s="42">
        <v>41</v>
      </c>
      <c r="E272" s="41">
        <v>4.5636687444345504E-3</v>
      </c>
    </row>
    <row r="273" spans="2:5" ht="15" customHeight="1">
      <c r="B273" s="84"/>
      <c r="C273" s="43" t="s">
        <v>162</v>
      </c>
      <c r="D273" s="42">
        <v>1</v>
      </c>
      <c r="E273" s="41">
        <v>1.1130899376669635E-4</v>
      </c>
    </row>
    <row r="274" spans="2:5" ht="15" customHeight="1">
      <c r="B274" s="84"/>
      <c r="C274" s="43" t="s">
        <v>161</v>
      </c>
      <c r="D274" s="42">
        <v>6</v>
      </c>
      <c r="E274" s="41">
        <v>6.6785396260017811E-4</v>
      </c>
    </row>
    <row r="275" spans="2:5" ht="15" customHeight="1">
      <c r="B275" s="84"/>
      <c r="C275" s="43" t="s">
        <v>160</v>
      </c>
      <c r="D275" s="42">
        <v>19</v>
      </c>
      <c r="E275" s="41">
        <v>2.1148708815672307E-3</v>
      </c>
    </row>
    <row r="276" spans="2:5" ht="15" customHeight="1">
      <c r="B276" s="85"/>
      <c r="C276" s="40" t="s">
        <v>23</v>
      </c>
      <c r="D276" s="39">
        <v>121</v>
      </c>
      <c r="E276" s="38">
        <v>1.3468388245770258E-2</v>
      </c>
    </row>
    <row r="277" spans="2:5" ht="15" customHeight="1">
      <c r="B277" s="83" t="s">
        <v>112</v>
      </c>
      <c r="C277" s="43" t="s">
        <v>174</v>
      </c>
      <c r="D277" s="42">
        <v>5</v>
      </c>
      <c r="E277" s="41">
        <v>5.5654496883348172E-4</v>
      </c>
    </row>
    <row r="278" spans="2:5" ht="15" customHeight="1">
      <c r="B278" s="84"/>
      <c r="C278" s="43" t="s">
        <v>173</v>
      </c>
      <c r="D278" s="42">
        <v>2</v>
      </c>
      <c r="E278" s="41">
        <v>2.2261798753339269E-4</v>
      </c>
    </row>
    <row r="279" spans="2:5" ht="15" customHeight="1">
      <c r="B279" s="84"/>
      <c r="C279" s="43" t="s">
        <v>171</v>
      </c>
      <c r="D279" s="42">
        <v>7</v>
      </c>
      <c r="E279" s="41">
        <v>7.7916295636687449E-4</v>
      </c>
    </row>
    <row r="280" spans="2:5" ht="15" customHeight="1">
      <c r="B280" s="84"/>
      <c r="C280" s="43" t="s">
        <v>170</v>
      </c>
      <c r="D280" s="42">
        <v>5</v>
      </c>
      <c r="E280" s="41">
        <v>5.5654496883348172E-4</v>
      </c>
    </row>
    <row r="281" spans="2:5" ht="15" customHeight="1">
      <c r="B281" s="84"/>
      <c r="C281" s="43" t="s">
        <v>169</v>
      </c>
      <c r="D281" s="42">
        <v>5</v>
      </c>
      <c r="E281" s="41">
        <v>5.5654496883348172E-4</v>
      </c>
    </row>
    <row r="282" spans="2:5" ht="15" customHeight="1">
      <c r="B282" s="84"/>
      <c r="C282" s="43" t="s">
        <v>168</v>
      </c>
      <c r="D282" s="42">
        <v>34</v>
      </c>
      <c r="E282" s="41">
        <v>3.7845057880676759E-3</v>
      </c>
    </row>
    <row r="283" spans="2:5" ht="15" customHeight="1">
      <c r="B283" s="84"/>
      <c r="C283" s="43" t="s">
        <v>167</v>
      </c>
      <c r="D283" s="42">
        <v>68</v>
      </c>
      <c r="E283" s="41">
        <v>7.5690115761353517E-3</v>
      </c>
    </row>
    <row r="284" spans="2:5" ht="15" customHeight="1">
      <c r="B284" s="84"/>
      <c r="C284" s="43" t="s">
        <v>166</v>
      </c>
      <c r="D284" s="42">
        <v>1</v>
      </c>
      <c r="E284" s="41">
        <v>1.1130899376669635E-4</v>
      </c>
    </row>
    <row r="285" spans="2:5" ht="15" customHeight="1">
      <c r="B285" s="84"/>
      <c r="C285" s="43" t="s">
        <v>165</v>
      </c>
      <c r="D285" s="42">
        <v>6</v>
      </c>
      <c r="E285" s="41">
        <v>6.6785396260017811E-4</v>
      </c>
    </row>
    <row r="286" spans="2:5" ht="15" customHeight="1">
      <c r="B286" s="84"/>
      <c r="C286" s="43" t="s">
        <v>164</v>
      </c>
      <c r="D286" s="42">
        <v>15</v>
      </c>
      <c r="E286" s="41">
        <v>1.6696349065004452E-3</v>
      </c>
    </row>
    <row r="287" spans="2:5" ht="15" customHeight="1">
      <c r="B287" s="84"/>
      <c r="C287" s="43" t="s">
        <v>163</v>
      </c>
      <c r="D287" s="42">
        <v>115</v>
      </c>
      <c r="E287" s="41">
        <v>1.280053428317008E-2</v>
      </c>
    </row>
    <row r="288" spans="2:5" ht="15" customHeight="1">
      <c r="B288" s="84"/>
      <c r="C288" s="43" t="s">
        <v>162</v>
      </c>
      <c r="D288" s="42">
        <v>3</v>
      </c>
      <c r="E288" s="41">
        <v>3.3392698130008905E-4</v>
      </c>
    </row>
    <row r="289" spans="2:5" ht="15" customHeight="1">
      <c r="B289" s="84"/>
      <c r="C289" s="43" t="s">
        <v>161</v>
      </c>
      <c r="D289" s="42">
        <v>4</v>
      </c>
      <c r="E289" s="41">
        <v>4.4523597506678539E-4</v>
      </c>
    </row>
    <row r="290" spans="2:5" ht="15" customHeight="1">
      <c r="B290" s="84"/>
      <c r="C290" s="43" t="s">
        <v>160</v>
      </c>
      <c r="D290" s="42">
        <v>66</v>
      </c>
      <c r="E290" s="41">
        <v>7.3463935886019594E-3</v>
      </c>
    </row>
    <row r="291" spans="2:5" ht="15" customHeight="1">
      <c r="B291" s="84"/>
      <c r="C291" s="43" t="s">
        <v>157</v>
      </c>
      <c r="D291" s="42">
        <v>1</v>
      </c>
      <c r="E291" s="41">
        <v>1.1130899376669635E-4</v>
      </c>
    </row>
    <row r="292" spans="2:5" ht="15" customHeight="1">
      <c r="B292" s="84"/>
      <c r="C292" s="43" t="s">
        <v>155</v>
      </c>
      <c r="D292" s="42">
        <v>3</v>
      </c>
      <c r="E292" s="41">
        <v>3.3392698130008905E-4</v>
      </c>
    </row>
    <row r="293" spans="2:5" ht="15" customHeight="1">
      <c r="B293" s="84"/>
      <c r="C293" s="43" t="s">
        <v>154</v>
      </c>
      <c r="D293" s="42">
        <v>5</v>
      </c>
      <c r="E293" s="41">
        <v>5.5654496883348172E-4</v>
      </c>
    </row>
    <row r="294" spans="2:5" ht="15" customHeight="1">
      <c r="B294" s="84"/>
      <c r="C294" s="43" t="s">
        <v>152</v>
      </c>
      <c r="D294" s="42">
        <v>1</v>
      </c>
      <c r="E294" s="41">
        <v>1.1130899376669635E-4</v>
      </c>
    </row>
    <row r="295" spans="2:5" ht="15" customHeight="1">
      <c r="B295" s="85"/>
      <c r="C295" s="40" t="s">
        <v>23</v>
      </c>
      <c r="D295" s="39">
        <v>346</v>
      </c>
      <c r="E295" s="38">
        <v>3.8512911843276938E-2</v>
      </c>
    </row>
    <row r="296" spans="2:5" ht="15" customHeight="1">
      <c r="B296" s="83" t="s">
        <v>182</v>
      </c>
      <c r="C296" s="43" t="s">
        <v>174</v>
      </c>
      <c r="D296" s="42">
        <v>5</v>
      </c>
      <c r="E296" s="41">
        <v>5.5654496883348172E-4</v>
      </c>
    </row>
    <row r="297" spans="2:5" ht="15" customHeight="1">
      <c r="B297" s="84"/>
      <c r="C297" s="43" t="s">
        <v>173</v>
      </c>
      <c r="D297" s="42">
        <v>3</v>
      </c>
      <c r="E297" s="41">
        <v>3.3392698130008905E-4</v>
      </c>
    </row>
    <row r="298" spans="2:5" ht="15" customHeight="1">
      <c r="B298" s="84"/>
      <c r="C298" s="43" t="s">
        <v>172</v>
      </c>
      <c r="D298" s="42">
        <v>3</v>
      </c>
      <c r="E298" s="41">
        <v>3.3392698130008905E-4</v>
      </c>
    </row>
    <row r="299" spans="2:5" ht="15" customHeight="1">
      <c r="B299" s="84"/>
      <c r="C299" s="43" t="s">
        <v>171</v>
      </c>
      <c r="D299" s="42">
        <v>5</v>
      </c>
      <c r="E299" s="41">
        <v>5.5654496883348172E-4</v>
      </c>
    </row>
    <row r="300" spans="2:5" ht="15" customHeight="1">
      <c r="B300" s="84"/>
      <c r="C300" s="43" t="s">
        <v>170</v>
      </c>
      <c r="D300" s="42">
        <v>5</v>
      </c>
      <c r="E300" s="41">
        <v>5.5654496883348172E-4</v>
      </c>
    </row>
    <row r="301" spans="2:5" ht="15" customHeight="1">
      <c r="B301" s="84"/>
      <c r="C301" s="43" t="s">
        <v>169</v>
      </c>
      <c r="D301" s="42">
        <v>3</v>
      </c>
      <c r="E301" s="41">
        <v>3.3392698130008905E-4</v>
      </c>
    </row>
    <row r="302" spans="2:5" ht="15" customHeight="1">
      <c r="B302" s="84"/>
      <c r="C302" s="43" t="s">
        <v>168</v>
      </c>
      <c r="D302" s="42">
        <v>35</v>
      </c>
      <c r="E302" s="41">
        <v>3.895814781834372E-3</v>
      </c>
    </row>
    <row r="303" spans="2:5" ht="15" customHeight="1">
      <c r="B303" s="84"/>
      <c r="C303" s="43" t="s">
        <v>167</v>
      </c>
      <c r="D303" s="42">
        <v>68</v>
      </c>
      <c r="E303" s="41">
        <v>7.5690115761353517E-3</v>
      </c>
    </row>
    <row r="304" spans="2:5" ht="15" customHeight="1">
      <c r="B304" s="84"/>
      <c r="C304" s="43" t="s">
        <v>166</v>
      </c>
      <c r="D304" s="42">
        <v>3</v>
      </c>
      <c r="E304" s="41">
        <v>3.3392698130008905E-4</v>
      </c>
    </row>
    <row r="305" spans="2:5" ht="15" customHeight="1">
      <c r="B305" s="84"/>
      <c r="C305" s="43" t="s">
        <v>165</v>
      </c>
      <c r="D305" s="42">
        <v>4</v>
      </c>
      <c r="E305" s="41">
        <v>4.4523597506678539E-4</v>
      </c>
    </row>
    <row r="306" spans="2:5" ht="15" customHeight="1">
      <c r="B306" s="84"/>
      <c r="C306" s="43" t="s">
        <v>164</v>
      </c>
      <c r="D306" s="42">
        <v>5</v>
      </c>
      <c r="E306" s="41">
        <v>5.5654496883348172E-4</v>
      </c>
    </row>
    <row r="307" spans="2:5" ht="15" customHeight="1">
      <c r="B307" s="84"/>
      <c r="C307" s="43" t="s">
        <v>163</v>
      </c>
      <c r="D307" s="42">
        <v>152</v>
      </c>
      <c r="E307" s="41">
        <v>1.6918967052537846E-2</v>
      </c>
    </row>
    <row r="308" spans="2:5" ht="15" customHeight="1">
      <c r="B308" s="84"/>
      <c r="C308" s="43" t="s">
        <v>162</v>
      </c>
      <c r="D308" s="42">
        <v>3</v>
      </c>
      <c r="E308" s="41">
        <v>3.3392698130008905E-4</v>
      </c>
    </row>
    <row r="309" spans="2:5" ht="15" customHeight="1">
      <c r="B309" s="84"/>
      <c r="C309" s="43" t="s">
        <v>161</v>
      </c>
      <c r="D309" s="42">
        <v>16</v>
      </c>
      <c r="E309" s="41">
        <v>1.7809439002671415E-3</v>
      </c>
    </row>
    <row r="310" spans="2:5" ht="15" customHeight="1">
      <c r="B310" s="84"/>
      <c r="C310" s="43" t="s">
        <v>160</v>
      </c>
      <c r="D310" s="42">
        <v>68</v>
      </c>
      <c r="E310" s="41">
        <v>7.5690115761353517E-3</v>
      </c>
    </row>
    <row r="311" spans="2:5" ht="15" customHeight="1">
      <c r="B311" s="84"/>
      <c r="C311" s="43" t="s">
        <v>159</v>
      </c>
      <c r="D311" s="42">
        <v>1</v>
      </c>
      <c r="E311" s="41">
        <v>1.1130899376669635E-4</v>
      </c>
    </row>
    <row r="312" spans="2:5" ht="15" customHeight="1">
      <c r="B312" s="84"/>
      <c r="C312" s="43" t="s">
        <v>157</v>
      </c>
      <c r="D312" s="42">
        <v>1</v>
      </c>
      <c r="E312" s="41">
        <v>1.1130899376669635E-4</v>
      </c>
    </row>
    <row r="313" spans="2:5" ht="15" customHeight="1">
      <c r="B313" s="84"/>
      <c r="C313" s="43" t="s">
        <v>155</v>
      </c>
      <c r="D313" s="42">
        <v>3</v>
      </c>
      <c r="E313" s="41">
        <v>3.3392698130008905E-4</v>
      </c>
    </row>
    <row r="314" spans="2:5" ht="15" customHeight="1">
      <c r="B314" s="84"/>
      <c r="C314" s="43" t="s">
        <v>154</v>
      </c>
      <c r="D314" s="42">
        <v>3</v>
      </c>
      <c r="E314" s="41">
        <v>3.3392698130008905E-4</v>
      </c>
    </row>
    <row r="315" spans="2:5" ht="15" customHeight="1">
      <c r="B315" s="85"/>
      <c r="C315" s="40" t="s">
        <v>23</v>
      </c>
      <c r="D315" s="39">
        <v>386</v>
      </c>
      <c r="E315" s="38">
        <v>4.2965271593944789E-2</v>
      </c>
    </row>
    <row r="316" spans="2:5" ht="15" customHeight="1">
      <c r="B316" s="83" t="s">
        <v>181</v>
      </c>
      <c r="C316" s="43" t="s">
        <v>174</v>
      </c>
      <c r="D316" s="42">
        <v>2</v>
      </c>
      <c r="E316" s="41">
        <v>2.2261798753339269E-4</v>
      </c>
    </row>
    <row r="317" spans="2:5" ht="15" customHeight="1">
      <c r="B317" s="84"/>
      <c r="C317" s="43" t="s">
        <v>173</v>
      </c>
      <c r="D317" s="42">
        <v>1</v>
      </c>
      <c r="E317" s="41">
        <v>1.1130899376669635E-4</v>
      </c>
    </row>
    <row r="318" spans="2:5" ht="15" customHeight="1">
      <c r="B318" s="84"/>
      <c r="C318" s="43" t="s">
        <v>172</v>
      </c>
      <c r="D318" s="42">
        <v>3</v>
      </c>
      <c r="E318" s="41">
        <v>3.3392698130008905E-4</v>
      </c>
    </row>
    <row r="319" spans="2:5" ht="15" customHeight="1">
      <c r="B319" s="84"/>
      <c r="C319" s="43" t="s">
        <v>171</v>
      </c>
      <c r="D319" s="42">
        <v>1</v>
      </c>
      <c r="E319" s="41">
        <v>1.1130899376669635E-4</v>
      </c>
    </row>
    <row r="320" spans="2:5" ht="15" customHeight="1">
      <c r="B320" s="84"/>
      <c r="C320" s="43" t="s">
        <v>170</v>
      </c>
      <c r="D320" s="42">
        <v>1</v>
      </c>
      <c r="E320" s="41">
        <v>1.1130899376669635E-4</v>
      </c>
    </row>
    <row r="321" spans="2:5" ht="15" customHeight="1">
      <c r="B321" s="84"/>
      <c r="C321" s="43" t="s">
        <v>169</v>
      </c>
      <c r="D321" s="42">
        <v>2</v>
      </c>
      <c r="E321" s="41">
        <v>2.2261798753339269E-4</v>
      </c>
    </row>
    <row r="322" spans="2:5" ht="15" customHeight="1">
      <c r="B322" s="84"/>
      <c r="C322" s="43" t="s">
        <v>168</v>
      </c>
      <c r="D322" s="42">
        <v>12</v>
      </c>
      <c r="E322" s="41">
        <v>1.3357079252003562E-3</v>
      </c>
    </row>
    <row r="323" spans="2:5" ht="15" customHeight="1">
      <c r="B323" s="84"/>
      <c r="C323" s="43" t="s">
        <v>167</v>
      </c>
      <c r="D323" s="42">
        <v>11</v>
      </c>
      <c r="E323" s="41">
        <v>1.2243989314336598E-3</v>
      </c>
    </row>
    <row r="324" spans="2:5" ht="15" customHeight="1">
      <c r="B324" s="84"/>
      <c r="C324" s="43" t="s">
        <v>166</v>
      </c>
      <c r="D324" s="42">
        <v>1</v>
      </c>
      <c r="E324" s="41">
        <v>1.1130899376669635E-4</v>
      </c>
    </row>
    <row r="325" spans="2:5" ht="15" customHeight="1">
      <c r="B325" s="84"/>
      <c r="C325" s="43" t="s">
        <v>164</v>
      </c>
      <c r="D325" s="42">
        <v>1</v>
      </c>
      <c r="E325" s="41">
        <v>1.1130899376669635E-4</v>
      </c>
    </row>
    <row r="326" spans="2:5" ht="15" customHeight="1">
      <c r="B326" s="84"/>
      <c r="C326" s="43" t="s">
        <v>163</v>
      </c>
      <c r="D326" s="42">
        <v>20</v>
      </c>
      <c r="E326" s="41">
        <v>2.2261798753339269E-3</v>
      </c>
    </row>
    <row r="327" spans="2:5" ht="15" customHeight="1">
      <c r="B327" s="84"/>
      <c r="C327" s="43" t="s">
        <v>162</v>
      </c>
      <c r="D327" s="42">
        <v>1</v>
      </c>
      <c r="E327" s="41">
        <v>1.1130899376669635E-4</v>
      </c>
    </row>
    <row r="328" spans="2:5" ht="15" customHeight="1">
      <c r="B328" s="84"/>
      <c r="C328" s="43" t="s">
        <v>161</v>
      </c>
      <c r="D328" s="42">
        <v>2</v>
      </c>
      <c r="E328" s="41">
        <v>2.2261798753339269E-4</v>
      </c>
    </row>
    <row r="329" spans="2:5" ht="15" customHeight="1">
      <c r="B329" s="84"/>
      <c r="C329" s="43" t="s">
        <v>160</v>
      </c>
      <c r="D329" s="42">
        <v>4</v>
      </c>
      <c r="E329" s="41">
        <v>4.4523597506678539E-4</v>
      </c>
    </row>
    <row r="330" spans="2:5" ht="15" customHeight="1">
      <c r="B330" s="84"/>
      <c r="C330" s="43" t="s">
        <v>154</v>
      </c>
      <c r="D330" s="42">
        <v>1</v>
      </c>
      <c r="E330" s="41">
        <v>1.1130899376669635E-4</v>
      </c>
    </row>
    <row r="331" spans="2:5" ht="15" customHeight="1">
      <c r="B331" s="85"/>
      <c r="C331" s="40" t="s">
        <v>23</v>
      </c>
      <c r="D331" s="39">
        <v>63</v>
      </c>
      <c r="E331" s="38">
        <v>7.0124666073018696E-3</v>
      </c>
    </row>
    <row r="332" spans="2:5" ht="15" customHeight="1">
      <c r="B332" s="83" t="s">
        <v>98</v>
      </c>
      <c r="C332" s="43" t="s">
        <v>174</v>
      </c>
      <c r="D332" s="42">
        <v>6</v>
      </c>
      <c r="E332" s="41">
        <v>6.6785396260017811E-4</v>
      </c>
    </row>
    <row r="333" spans="2:5" ht="15" customHeight="1">
      <c r="B333" s="84"/>
      <c r="C333" s="43" t="s">
        <v>173</v>
      </c>
      <c r="D333" s="42">
        <v>9</v>
      </c>
      <c r="E333" s="41">
        <v>1.0017809439002671E-3</v>
      </c>
    </row>
    <row r="334" spans="2:5" ht="15" customHeight="1">
      <c r="B334" s="84"/>
      <c r="C334" s="43" t="s">
        <v>172</v>
      </c>
      <c r="D334" s="42">
        <v>11</v>
      </c>
      <c r="E334" s="41">
        <v>1.2243989314336598E-3</v>
      </c>
    </row>
    <row r="335" spans="2:5" ht="15" customHeight="1">
      <c r="B335" s="84"/>
      <c r="C335" s="43" t="s">
        <v>171</v>
      </c>
      <c r="D335" s="42">
        <v>14</v>
      </c>
      <c r="E335" s="41">
        <v>1.558325912733749E-3</v>
      </c>
    </row>
    <row r="336" spans="2:5" ht="15" customHeight="1">
      <c r="B336" s="84"/>
      <c r="C336" s="43" t="s">
        <v>170</v>
      </c>
      <c r="D336" s="42">
        <v>5</v>
      </c>
      <c r="E336" s="41">
        <v>5.5654496883348172E-4</v>
      </c>
    </row>
    <row r="337" spans="2:5" ht="15" customHeight="1">
      <c r="B337" s="84"/>
      <c r="C337" s="43" t="s">
        <v>169</v>
      </c>
      <c r="D337" s="42">
        <v>9</v>
      </c>
      <c r="E337" s="41">
        <v>1.0017809439002671E-3</v>
      </c>
    </row>
    <row r="338" spans="2:5" ht="15" customHeight="1">
      <c r="B338" s="84"/>
      <c r="C338" s="43" t="s">
        <v>168</v>
      </c>
      <c r="D338" s="42">
        <v>42</v>
      </c>
      <c r="E338" s="41">
        <v>4.674977738201247E-3</v>
      </c>
    </row>
    <row r="339" spans="2:5" ht="15" customHeight="1">
      <c r="B339" s="84"/>
      <c r="C339" s="43" t="s">
        <v>167</v>
      </c>
      <c r="D339" s="42">
        <v>110</v>
      </c>
      <c r="E339" s="41">
        <v>1.2243989314336599E-2</v>
      </c>
    </row>
    <row r="340" spans="2:5" ht="15" customHeight="1">
      <c r="B340" s="84"/>
      <c r="C340" s="43" t="s">
        <v>166</v>
      </c>
      <c r="D340" s="42">
        <v>11</v>
      </c>
      <c r="E340" s="41">
        <v>1.2243989314336598E-3</v>
      </c>
    </row>
    <row r="341" spans="2:5" ht="15" customHeight="1">
      <c r="B341" s="84"/>
      <c r="C341" s="43" t="s">
        <v>165</v>
      </c>
      <c r="D341" s="42">
        <v>15</v>
      </c>
      <c r="E341" s="41">
        <v>1.6696349065004452E-3</v>
      </c>
    </row>
    <row r="342" spans="2:5" ht="15" customHeight="1">
      <c r="B342" s="84"/>
      <c r="C342" s="43" t="s">
        <v>164</v>
      </c>
      <c r="D342" s="42">
        <v>21</v>
      </c>
      <c r="E342" s="41">
        <v>2.3374888691006235E-3</v>
      </c>
    </row>
    <row r="343" spans="2:5" ht="15" customHeight="1">
      <c r="B343" s="84"/>
      <c r="C343" s="43" t="s">
        <v>163</v>
      </c>
      <c r="D343" s="42">
        <v>142</v>
      </c>
      <c r="E343" s="41">
        <v>1.5805877114870883E-2</v>
      </c>
    </row>
    <row r="344" spans="2:5" ht="15" customHeight="1">
      <c r="B344" s="84"/>
      <c r="C344" s="43" t="s">
        <v>162</v>
      </c>
      <c r="D344" s="42">
        <v>5</v>
      </c>
      <c r="E344" s="41">
        <v>5.5654496883348172E-4</v>
      </c>
    </row>
    <row r="345" spans="2:5" ht="15" customHeight="1">
      <c r="B345" s="84"/>
      <c r="C345" s="43" t="s">
        <v>161</v>
      </c>
      <c r="D345" s="42">
        <v>15</v>
      </c>
      <c r="E345" s="41">
        <v>1.6696349065004452E-3</v>
      </c>
    </row>
    <row r="346" spans="2:5" ht="15" customHeight="1">
      <c r="B346" s="84"/>
      <c r="C346" s="43" t="s">
        <v>160</v>
      </c>
      <c r="D346" s="42">
        <v>34</v>
      </c>
      <c r="E346" s="41">
        <v>3.7845057880676759E-3</v>
      </c>
    </row>
    <row r="347" spans="2:5" ht="15" customHeight="1">
      <c r="B347" s="84"/>
      <c r="C347" s="43" t="s">
        <v>159</v>
      </c>
      <c r="D347" s="42">
        <v>1</v>
      </c>
      <c r="E347" s="41">
        <v>1.1130899376669635E-4</v>
      </c>
    </row>
    <row r="348" spans="2:5" ht="15" customHeight="1">
      <c r="B348" s="84"/>
      <c r="C348" s="43" t="s">
        <v>155</v>
      </c>
      <c r="D348" s="42">
        <v>2</v>
      </c>
      <c r="E348" s="41">
        <v>2.2261798753339269E-4</v>
      </c>
    </row>
    <row r="349" spans="2:5" ht="15" customHeight="1">
      <c r="B349" s="84"/>
      <c r="C349" s="43" t="s">
        <v>154</v>
      </c>
      <c r="D349" s="42">
        <v>5</v>
      </c>
      <c r="E349" s="41">
        <v>5.5654496883348172E-4</v>
      </c>
    </row>
    <row r="350" spans="2:5" ht="15" customHeight="1">
      <c r="B350" s="85"/>
      <c r="C350" s="40" t="s">
        <v>23</v>
      </c>
      <c r="D350" s="39">
        <v>457</v>
      </c>
      <c r="E350" s="38">
        <v>5.0868210151380232E-2</v>
      </c>
    </row>
    <row r="351" spans="2:5" ht="15" customHeight="1">
      <c r="B351" s="83" t="s">
        <v>97</v>
      </c>
      <c r="C351" s="43" t="s">
        <v>173</v>
      </c>
      <c r="D351" s="42">
        <v>1</v>
      </c>
      <c r="E351" s="41">
        <v>1.1130899376669635E-4</v>
      </c>
    </row>
    <row r="352" spans="2:5" ht="15" customHeight="1">
      <c r="B352" s="84"/>
      <c r="C352" s="43" t="s">
        <v>171</v>
      </c>
      <c r="D352" s="42">
        <v>2</v>
      </c>
      <c r="E352" s="41">
        <v>2.2261798753339269E-4</v>
      </c>
    </row>
    <row r="353" spans="2:5" ht="15" customHeight="1">
      <c r="B353" s="84"/>
      <c r="C353" s="43" t="s">
        <v>169</v>
      </c>
      <c r="D353" s="42">
        <v>1</v>
      </c>
      <c r="E353" s="41">
        <v>1.1130899376669635E-4</v>
      </c>
    </row>
    <row r="354" spans="2:5" ht="15" customHeight="1">
      <c r="B354" s="84"/>
      <c r="C354" s="43" t="s">
        <v>168</v>
      </c>
      <c r="D354" s="42">
        <v>1</v>
      </c>
      <c r="E354" s="41">
        <v>1.1130899376669635E-4</v>
      </c>
    </row>
    <row r="355" spans="2:5" ht="15" customHeight="1">
      <c r="B355" s="84"/>
      <c r="C355" s="43" t="s">
        <v>167</v>
      </c>
      <c r="D355" s="42">
        <v>17</v>
      </c>
      <c r="E355" s="41">
        <v>1.8922528940338379E-3</v>
      </c>
    </row>
    <row r="356" spans="2:5" ht="15" customHeight="1">
      <c r="B356" s="84"/>
      <c r="C356" s="43" t="s">
        <v>166</v>
      </c>
      <c r="D356" s="42">
        <v>1</v>
      </c>
      <c r="E356" s="41">
        <v>1.1130899376669635E-4</v>
      </c>
    </row>
    <row r="357" spans="2:5" ht="15" customHeight="1">
      <c r="B357" s="84"/>
      <c r="C357" s="43" t="s">
        <v>165</v>
      </c>
      <c r="D357" s="42">
        <v>1</v>
      </c>
      <c r="E357" s="41">
        <v>1.1130899376669635E-4</v>
      </c>
    </row>
    <row r="358" spans="2:5" ht="15" customHeight="1">
      <c r="B358" s="84"/>
      <c r="C358" s="43" t="s">
        <v>164</v>
      </c>
      <c r="D358" s="42">
        <v>6</v>
      </c>
      <c r="E358" s="41">
        <v>6.6785396260017811E-4</v>
      </c>
    </row>
    <row r="359" spans="2:5" ht="15" customHeight="1">
      <c r="B359" s="84"/>
      <c r="C359" s="43" t="s">
        <v>163</v>
      </c>
      <c r="D359" s="42">
        <v>28</v>
      </c>
      <c r="E359" s="41">
        <v>3.116651825467498E-3</v>
      </c>
    </row>
    <row r="360" spans="2:5" ht="15" customHeight="1">
      <c r="B360" s="84"/>
      <c r="C360" s="43" t="s">
        <v>162</v>
      </c>
      <c r="D360" s="42">
        <v>1</v>
      </c>
      <c r="E360" s="41">
        <v>1.1130899376669635E-4</v>
      </c>
    </row>
    <row r="361" spans="2:5" ht="15" customHeight="1">
      <c r="B361" s="84"/>
      <c r="C361" s="43" t="s">
        <v>161</v>
      </c>
      <c r="D361" s="42">
        <v>2</v>
      </c>
      <c r="E361" s="41">
        <v>2.2261798753339269E-4</v>
      </c>
    </row>
    <row r="362" spans="2:5" ht="15" customHeight="1">
      <c r="B362" s="84"/>
      <c r="C362" s="43" t="s">
        <v>160</v>
      </c>
      <c r="D362" s="42">
        <v>9</v>
      </c>
      <c r="E362" s="41">
        <v>1.0017809439002671E-3</v>
      </c>
    </row>
    <row r="363" spans="2:5" ht="15" customHeight="1">
      <c r="B363" s="84"/>
      <c r="C363" s="43" t="s">
        <v>155</v>
      </c>
      <c r="D363" s="42">
        <v>1</v>
      </c>
      <c r="E363" s="41">
        <v>1.1130899376669635E-4</v>
      </c>
    </row>
    <row r="364" spans="2:5" ht="15" customHeight="1">
      <c r="B364" s="84"/>
      <c r="C364" s="43" t="s">
        <v>154</v>
      </c>
      <c r="D364" s="42">
        <v>1</v>
      </c>
      <c r="E364" s="41">
        <v>1.1130899376669635E-4</v>
      </c>
    </row>
    <row r="365" spans="2:5" ht="15" customHeight="1">
      <c r="B365" s="85"/>
      <c r="C365" s="40" t="s">
        <v>23</v>
      </c>
      <c r="D365" s="39">
        <v>72</v>
      </c>
      <c r="E365" s="38">
        <v>8.0142475512021364E-3</v>
      </c>
    </row>
    <row r="366" spans="2:5" ht="15" customHeight="1">
      <c r="B366" s="83" t="s">
        <v>90</v>
      </c>
      <c r="C366" s="43" t="s">
        <v>174</v>
      </c>
      <c r="D366" s="42">
        <v>2</v>
      </c>
      <c r="E366" s="41">
        <v>2.2261798753339269E-4</v>
      </c>
    </row>
    <row r="367" spans="2:5" ht="15" customHeight="1">
      <c r="B367" s="84"/>
      <c r="C367" s="43" t="s">
        <v>173</v>
      </c>
      <c r="D367" s="42">
        <v>3</v>
      </c>
      <c r="E367" s="41">
        <v>3.3392698130008905E-4</v>
      </c>
    </row>
    <row r="368" spans="2:5" ht="15" customHeight="1">
      <c r="B368" s="84"/>
      <c r="C368" s="43" t="s">
        <v>172</v>
      </c>
      <c r="D368" s="42">
        <v>1</v>
      </c>
      <c r="E368" s="41">
        <v>1.1130899376669635E-4</v>
      </c>
    </row>
    <row r="369" spans="2:5" ht="15" customHeight="1">
      <c r="B369" s="84"/>
      <c r="C369" s="43" t="s">
        <v>171</v>
      </c>
      <c r="D369" s="42">
        <v>1</v>
      </c>
      <c r="E369" s="41">
        <v>1.1130899376669635E-4</v>
      </c>
    </row>
    <row r="370" spans="2:5" ht="15" customHeight="1">
      <c r="B370" s="84"/>
      <c r="C370" s="43" t="s">
        <v>170</v>
      </c>
      <c r="D370" s="42">
        <v>1</v>
      </c>
      <c r="E370" s="41">
        <v>1.1130899376669635E-4</v>
      </c>
    </row>
    <row r="371" spans="2:5" ht="15" customHeight="1">
      <c r="B371" s="84"/>
      <c r="C371" s="43" t="s">
        <v>169</v>
      </c>
      <c r="D371" s="42">
        <v>3</v>
      </c>
      <c r="E371" s="41">
        <v>3.3392698130008905E-4</v>
      </c>
    </row>
    <row r="372" spans="2:5" ht="15" customHeight="1">
      <c r="B372" s="84"/>
      <c r="C372" s="43" t="s">
        <v>168</v>
      </c>
      <c r="D372" s="42">
        <v>10</v>
      </c>
      <c r="E372" s="41">
        <v>1.1130899376669634E-3</v>
      </c>
    </row>
    <row r="373" spans="2:5" ht="15" customHeight="1">
      <c r="B373" s="84"/>
      <c r="C373" s="43" t="s">
        <v>167</v>
      </c>
      <c r="D373" s="42">
        <v>43</v>
      </c>
      <c r="E373" s="41">
        <v>4.7862867319679427E-3</v>
      </c>
    </row>
    <row r="374" spans="2:5" ht="15" customHeight="1">
      <c r="B374" s="84"/>
      <c r="C374" s="43" t="s">
        <v>166</v>
      </c>
      <c r="D374" s="42">
        <v>3</v>
      </c>
      <c r="E374" s="41">
        <v>3.3392698130008905E-4</v>
      </c>
    </row>
    <row r="375" spans="2:5" ht="15" customHeight="1">
      <c r="B375" s="84"/>
      <c r="C375" s="43" t="s">
        <v>165</v>
      </c>
      <c r="D375" s="42">
        <v>2</v>
      </c>
      <c r="E375" s="41">
        <v>2.2261798753339269E-4</v>
      </c>
    </row>
    <row r="376" spans="2:5" ht="15" customHeight="1">
      <c r="B376" s="84"/>
      <c r="C376" s="43" t="s">
        <v>164</v>
      </c>
      <c r="D376" s="42">
        <v>7</v>
      </c>
      <c r="E376" s="41">
        <v>7.7916295636687449E-4</v>
      </c>
    </row>
    <row r="377" spans="2:5" ht="15" customHeight="1">
      <c r="B377" s="84"/>
      <c r="C377" s="43" t="s">
        <v>163</v>
      </c>
      <c r="D377" s="42">
        <v>46</v>
      </c>
      <c r="E377" s="41">
        <v>5.1202137132680316E-3</v>
      </c>
    </row>
    <row r="378" spans="2:5" ht="15" customHeight="1">
      <c r="B378" s="84"/>
      <c r="C378" s="43" t="s">
        <v>162</v>
      </c>
      <c r="D378" s="42">
        <v>1</v>
      </c>
      <c r="E378" s="41">
        <v>1.1130899376669635E-4</v>
      </c>
    </row>
    <row r="379" spans="2:5" ht="15" customHeight="1">
      <c r="B379" s="84"/>
      <c r="C379" s="43" t="s">
        <v>161</v>
      </c>
      <c r="D379" s="42">
        <v>9</v>
      </c>
      <c r="E379" s="41">
        <v>1.0017809439002671E-3</v>
      </c>
    </row>
    <row r="380" spans="2:5" ht="15" customHeight="1">
      <c r="B380" s="84"/>
      <c r="C380" s="43" t="s">
        <v>160</v>
      </c>
      <c r="D380" s="42">
        <v>16</v>
      </c>
      <c r="E380" s="41">
        <v>1.7809439002671415E-3</v>
      </c>
    </row>
    <row r="381" spans="2:5" ht="15" customHeight="1">
      <c r="B381" s="84"/>
      <c r="C381" s="43" t="s">
        <v>155</v>
      </c>
      <c r="D381" s="42">
        <v>1</v>
      </c>
      <c r="E381" s="41">
        <v>1.1130899376669635E-4</v>
      </c>
    </row>
    <row r="382" spans="2:5" ht="15" customHeight="1">
      <c r="B382" s="84"/>
      <c r="C382" s="43" t="s">
        <v>154</v>
      </c>
      <c r="D382" s="42">
        <v>1</v>
      </c>
      <c r="E382" s="41">
        <v>1.1130899376669635E-4</v>
      </c>
    </row>
    <row r="383" spans="2:5" ht="15" customHeight="1">
      <c r="B383" s="84"/>
      <c r="C383" s="43" t="s">
        <v>152</v>
      </c>
      <c r="D383" s="42">
        <v>1</v>
      </c>
      <c r="E383" s="41">
        <v>1.1130899376669635E-4</v>
      </c>
    </row>
    <row r="384" spans="2:5" ht="15" customHeight="1">
      <c r="B384" s="85"/>
      <c r="C384" s="40" t="s">
        <v>23</v>
      </c>
      <c r="D384" s="39">
        <v>151</v>
      </c>
      <c r="E384" s="38">
        <v>1.6807658058771147E-2</v>
      </c>
    </row>
    <row r="385" spans="2:5" ht="15" customHeight="1">
      <c r="B385" s="83" t="s">
        <v>119</v>
      </c>
      <c r="C385" s="43" t="s">
        <v>174</v>
      </c>
      <c r="D385" s="42">
        <v>2</v>
      </c>
      <c r="E385" s="41">
        <v>2.2261798753339269E-4</v>
      </c>
    </row>
    <row r="386" spans="2:5" ht="15" customHeight="1">
      <c r="B386" s="84"/>
      <c r="C386" s="43" t="s">
        <v>172</v>
      </c>
      <c r="D386" s="42">
        <v>1</v>
      </c>
      <c r="E386" s="41">
        <v>1.1130899376669635E-4</v>
      </c>
    </row>
    <row r="387" spans="2:5" ht="15" customHeight="1">
      <c r="B387" s="84"/>
      <c r="C387" s="43" t="s">
        <v>171</v>
      </c>
      <c r="D387" s="42">
        <v>2</v>
      </c>
      <c r="E387" s="41">
        <v>2.2261798753339269E-4</v>
      </c>
    </row>
    <row r="388" spans="2:5" ht="15" customHeight="1">
      <c r="B388" s="84"/>
      <c r="C388" s="43" t="s">
        <v>169</v>
      </c>
      <c r="D388" s="42">
        <v>2</v>
      </c>
      <c r="E388" s="41">
        <v>2.2261798753339269E-4</v>
      </c>
    </row>
    <row r="389" spans="2:5" ht="15" customHeight="1">
      <c r="B389" s="84"/>
      <c r="C389" s="43" t="s">
        <v>168</v>
      </c>
      <c r="D389" s="42">
        <v>8</v>
      </c>
      <c r="E389" s="41">
        <v>8.9047195013357077E-4</v>
      </c>
    </row>
    <row r="390" spans="2:5" ht="15" customHeight="1">
      <c r="B390" s="84"/>
      <c r="C390" s="43" t="s">
        <v>167</v>
      </c>
      <c r="D390" s="42">
        <v>14</v>
      </c>
      <c r="E390" s="41">
        <v>1.558325912733749E-3</v>
      </c>
    </row>
    <row r="391" spans="2:5" ht="15" customHeight="1">
      <c r="B391" s="84"/>
      <c r="C391" s="43" t="s">
        <v>165</v>
      </c>
      <c r="D391" s="42">
        <v>1</v>
      </c>
      <c r="E391" s="41">
        <v>1.1130899376669635E-4</v>
      </c>
    </row>
    <row r="392" spans="2:5" ht="15" customHeight="1">
      <c r="B392" s="84"/>
      <c r="C392" s="43" t="s">
        <v>164</v>
      </c>
      <c r="D392" s="42">
        <v>2</v>
      </c>
      <c r="E392" s="41">
        <v>2.2261798753339269E-4</v>
      </c>
    </row>
    <row r="393" spans="2:5" ht="15" customHeight="1">
      <c r="B393" s="84"/>
      <c r="C393" s="43" t="s">
        <v>163</v>
      </c>
      <c r="D393" s="42">
        <v>27</v>
      </c>
      <c r="E393" s="41">
        <v>3.0053428317008014E-3</v>
      </c>
    </row>
    <row r="394" spans="2:5" ht="15" customHeight="1">
      <c r="B394" s="84"/>
      <c r="C394" s="43" t="s">
        <v>161</v>
      </c>
      <c r="D394" s="42">
        <v>3</v>
      </c>
      <c r="E394" s="41">
        <v>3.3392698130008905E-4</v>
      </c>
    </row>
    <row r="395" spans="2:5" ht="15" customHeight="1">
      <c r="B395" s="84"/>
      <c r="C395" s="43" t="s">
        <v>160</v>
      </c>
      <c r="D395" s="42">
        <v>7</v>
      </c>
      <c r="E395" s="41">
        <v>7.7916295636687449E-4</v>
      </c>
    </row>
    <row r="396" spans="2:5" ht="15" customHeight="1">
      <c r="B396" s="84"/>
      <c r="C396" s="43" t="s">
        <v>159</v>
      </c>
      <c r="D396" s="42">
        <v>1</v>
      </c>
      <c r="E396" s="41">
        <v>1.1130899376669635E-4</v>
      </c>
    </row>
    <row r="397" spans="2:5" ht="15" customHeight="1">
      <c r="B397" s="84"/>
      <c r="C397" s="43" t="s">
        <v>158</v>
      </c>
      <c r="D397" s="42">
        <v>1</v>
      </c>
      <c r="E397" s="41">
        <v>1.1130899376669635E-4</v>
      </c>
    </row>
    <row r="398" spans="2:5" ht="15" customHeight="1">
      <c r="B398" s="84"/>
      <c r="C398" s="43" t="s">
        <v>154</v>
      </c>
      <c r="D398" s="42">
        <v>2</v>
      </c>
      <c r="E398" s="41">
        <v>2.2261798753339269E-4</v>
      </c>
    </row>
    <row r="399" spans="2:5" ht="15" customHeight="1">
      <c r="B399" s="85"/>
      <c r="C399" s="40" t="s">
        <v>23</v>
      </c>
      <c r="D399" s="39">
        <v>73</v>
      </c>
      <c r="E399" s="38">
        <v>8.125556544968833E-3</v>
      </c>
    </row>
    <row r="400" spans="2:5" ht="15" customHeight="1">
      <c r="B400" s="83" t="s">
        <v>92</v>
      </c>
      <c r="C400" s="43" t="s">
        <v>171</v>
      </c>
      <c r="D400" s="42">
        <v>1</v>
      </c>
      <c r="E400" s="41">
        <v>1.1130899376669635E-4</v>
      </c>
    </row>
    <row r="401" spans="2:5" ht="15" customHeight="1">
      <c r="B401" s="84"/>
      <c r="C401" s="43" t="s">
        <v>170</v>
      </c>
      <c r="D401" s="42">
        <v>1</v>
      </c>
      <c r="E401" s="41">
        <v>1.1130899376669635E-4</v>
      </c>
    </row>
    <row r="402" spans="2:5" ht="15" customHeight="1">
      <c r="B402" s="84"/>
      <c r="C402" s="43" t="s">
        <v>169</v>
      </c>
      <c r="D402" s="42">
        <v>3</v>
      </c>
      <c r="E402" s="41">
        <v>3.3392698130008905E-4</v>
      </c>
    </row>
    <row r="403" spans="2:5" ht="15" customHeight="1">
      <c r="B403" s="84"/>
      <c r="C403" s="43" t="s">
        <v>168</v>
      </c>
      <c r="D403" s="42">
        <v>9</v>
      </c>
      <c r="E403" s="41">
        <v>1.0017809439002671E-3</v>
      </c>
    </row>
    <row r="404" spans="2:5" ht="15" customHeight="1">
      <c r="B404" s="84"/>
      <c r="C404" s="43" t="s">
        <v>167</v>
      </c>
      <c r="D404" s="42">
        <v>29</v>
      </c>
      <c r="E404" s="41">
        <v>3.2279608192341941E-3</v>
      </c>
    </row>
    <row r="405" spans="2:5" ht="15" customHeight="1">
      <c r="B405" s="84"/>
      <c r="C405" s="43" t="s">
        <v>166</v>
      </c>
      <c r="D405" s="42">
        <v>3</v>
      </c>
      <c r="E405" s="41">
        <v>3.3392698130008905E-4</v>
      </c>
    </row>
    <row r="406" spans="2:5" ht="15" customHeight="1">
      <c r="B406" s="84"/>
      <c r="C406" s="43" t="s">
        <v>165</v>
      </c>
      <c r="D406" s="42">
        <v>6</v>
      </c>
      <c r="E406" s="41">
        <v>6.6785396260017811E-4</v>
      </c>
    </row>
    <row r="407" spans="2:5" ht="15" customHeight="1">
      <c r="B407" s="84"/>
      <c r="C407" s="43" t="s">
        <v>164</v>
      </c>
      <c r="D407" s="42">
        <v>14</v>
      </c>
      <c r="E407" s="41">
        <v>1.558325912733749E-3</v>
      </c>
    </row>
    <row r="408" spans="2:5" ht="15" customHeight="1">
      <c r="B408" s="84"/>
      <c r="C408" s="43" t="s">
        <v>163</v>
      </c>
      <c r="D408" s="42">
        <v>51</v>
      </c>
      <c r="E408" s="41">
        <v>5.6767586821015138E-3</v>
      </c>
    </row>
    <row r="409" spans="2:5" ht="15" customHeight="1">
      <c r="B409" s="84"/>
      <c r="C409" s="43" t="s">
        <v>162</v>
      </c>
      <c r="D409" s="42">
        <v>3</v>
      </c>
      <c r="E409" s="41">
        <v>3.3392698130008905E-4</v>
      </c>
    </row>
    <row r="410" spans="2:5" ht="15" customHeight="1">
      <c r="B410" s="84"/>
      <c r="C410" s="43" t="s">
        <v>161</v>
      </c>
      <c r="D410" s="42">
        <v>5</v>
      </c>
      <c r="E410" s="41">
        <v>5.5654496883348172E-4</v>
      </c>
    </row>
    <row r="411" spans="2:5" ht="15" customHeight="1">
      <c r="B411" s="84"/>
      <c r="C411" s="43" t="s">
        <v>160</v>
      </c>
      <c r="D411" s="42">
        <v>17</v>
      </c>
      <c r="E411" s="41">
        <v>1.8922528940338379E-3</v>
      </c>
    </row>
    <row r="412" spans="2:5" ht="15" customHeight="1">
      <c r="B412" s="84"/>
      <c r="C412" s="43" t="s">
        <v>159</v>
      </c>
      <c r="D412" s="42">
        <v>2</v>
      </c>
      <c r="E412" s="41">
        <v>2.2261798753339269E-4</v>
      </c>
    </row>
    <row r="413" spans="2:5" ht="15" customHeight="1">
      <c r="B413" s="84"/>
      <c r="C413" s="43" t="s">
        <v>154</v>
      </c>
      <c r="D413" s="42">
        <v>4</v>
      </c>
      <c r="E413" s="41">
        <v>4.4523597506678539E-4</v>
      </c>
    </row>
    <row r="414" spans="2:5" ht="15" customHeight="1">
      <c r="B414" s="85"/>
      <c r="C414" s="40" t="s">
        <v>23</v>
      </c>
      <c r="D414" s="39">
        <v>148</v>
      </c>
      <c r="E414" s="38">
        <v>1.6473731077471059E-2</v>
      </c>
    </row>
    <row r="415" spans="2:5" ht="15" customHeight="1">
      <c r="B415" s="83" t="s">
        <v>111</v>
      </c>
      <c r="C415" s="43" t="s">
        <v>174</v>
      </c>
      <c r="D415" s="42">
        <v>11</v>
      </c>
      <c r="E415" s="41">
        <v>1.2243989314336598E-3</v>
      </c>
    </row>
    <row r="416" spans="2:5" ht="15" customHeight="1">
      <c r="B416" s="84"/>
      <c r="C416" s="43" t="s">
        <v>173</v>
      </c>
      <c r="D416" s="42">
        <v>3</v>
      </c>
      <c r="E416" s="41">
        <v>3.3392698130008905E-4</v>
      </c>
    </row>
    <row r="417" spans="2:5" ht="15" customHeight="1">
      <c r="B417" s="84"/>
      <c r="C417" s="43" t="s">
        <v>172</v>
      </c>
      <c r="D417" s="42">
        <v>8</v>
      </c>
      <c r="E417" s="41">
        <v>8.9047195013357077E-4</v>
      </c>
    </row>
    <row r="418" spans="2:5" ht="15" customHeight="1">
      <c r="B418" s="84"/>
      <c r="C418" s="43" t="s">
        <v>171</v>
      </c>
      <c r="D418" s="42">
        <v>11</v>
      </c>
      <c r="E418" s="41">
        <v>1.2243989314336598E-3</v>
      </c>
    </row>
    <row r="419" spans="2:5" ht="15" customHeight="1">
      <c r="B419" s="84"/>
      <c r="C419" s="43" t="s">
        <v>170</v>
      </c>
      <c r="D419" s="42">
        <v>8</v>
      </c>
      <c r="E419" s="41">
        <v>8.9047195013357077E-4</v>
      </c>
    </row>
    <row r="420" spans="2:5" ht="15" customHeight="1">
      <c r="B420" s="84"/>
      <c r="C420" s="43" t="s">
        <v>169</v>
      </c>
      <c r="D420" s="42">
        <v>10</v>
      </c>
      <c r="E420" s="41">
        <v>1.1130899376669634E-3</v>
      </c>
    </row>
    <row r="421" spans="2:5" ht="15" customHeight="1">
      <c r="B421" s="84"/>
      <c r="C421" s="43" t="s">
        <v>168</v>
      </c>
      <c r="D421" s="42">
        <v>65</v>
      </c>
      <c r="E421" s="41">
        <v>7.2350845948352628E-3</v>
      </c>
    </row>
    <row r="422" spans="2:5" ht="15" customHeight="1">
      <c r="B422" s="84"/>
      <c r="C422" s="43" t="s">
        <v>167</v>
      </c>
      <c r="D422" s="42">
        <v>102</v>
      </c>
      <c r="E422" s="41">
        <v>1.1353517364203028E-2</v>
      </c>
    </row>
    <row r="423" spans="2:5" ht="15" customHeight="1">
      <c r="B423" s="84"/>
      <c r="C423" s="43" t="s">
        <v>166</v>
      </c>
      <c r="D423" s="42">
        <v>5</v>
      </c>
      <c r="E423" s="41">
        <v>5.5654496883348172E-4</v>
      </c>
    </row>
    <row r="424" spans="2:5" ht="15" customHeight="1">
      <c r="B424" s="84"/>
      <c r="C424" s="43" t="s">
        <v>165</v>
      </c>
      <c r="D424" s="42">
        <v>12</v>
      </c>
      <c r="E424" s="41">
        <v>1.3357079252003562E-3</v>
      </c>
    </row>
    <row r="425" spans="2:5" ht="15" customHeight="1">
      <c r="B425" s="84"/>
      <c r="C425" s="43" t="s">
        <v>164</v>
      </c>
      <c r="D425" s="42">
        <v>18</v>
      </c>
      <c r="E425" s="41">
        <v>2.0035618878005341E-3</v>
      </c>
    </row>
    <row r="426" spans="2:5" ht="15" customHeight="1">
      <c r="B426" s="84"/>
      <c r="C426" s="43" t="s">
        <v>163</v>
      </c>
      <c r="D426" s="42">
        <v>154</v>
      </c>
      <c r="E426" s="41">
        <v>1.7141585040071239E-2</v>
      </c>
    </row>
    <row r="427" spans="2:5" ht="15" customHeight="1">
      <c r="B427" s="84"/>
      <c r="C427" s="43" t="s">
        <v>162</v>
      </c>
      <c r="D427" s="42">
        <v>2</v>
      </c>
      <c r="E427" s="41">
        <v>2.2261798753339269E-4</v>
      </c>
    </row>
    <row r="428" spans="2:5" ht="15" customHeight="1">
      <c r="B428" s="84"/>
      <c r="C428" s="43" t="s">
        <v>161</v>
      </c>
      <c r="D428" s="42">
        <v>18</v>
      </c>
      <c r="E428" s="41">
        <v>2.0035618878005341E-3</v>
      </c>
    </row>
    <row r="429" spans="2:5" ht="15" customHeight="1">
      <c r="B429" s="84"/>
      <c r="C429" s="43" t="s">
        <v>160</v>
      </c>
      <c r="D429" s="42">
        <v>27</v>
      </c>
      <c r="E429" s="41">
        <v>3.0053428317008014E-3</v>
      </c>
    </row>
    <row r="430" spans="2:5" ht="15" customHeight="1">
      <c r="B430" s="84"/>
      <c r="C430" s="43" t="s">
        <v>155</v>
      </c>
      <c r="D430" s="42">
        <v>3</v>
      </c>
      <c r="E430" s="41">
        <v>3.3392698130008905E-4</v>
      </c>
    </row>
    <row r="431" spans="2:5" ht="15" customHeight="1">
      <c r="B431" s="84"/>
      <c r="C431" s="43" t="s">
        <v>154</v>
      </c>
      <c r="D431" s="42">
        <v>2</v>
      </c>
      <c r="E431" s="41">
        <v>2.2261798753339269E-4</v>
      </c>
    </row>
    <row r="432" spans="2:5" ht="15" customHeight="1">
      <c r="B432" s="85"/>
      <c r="C432" s="40" t="s">
        <v>23</v>
      </c>
      <c r="D432" s="39">
        <v>459</v>
      </c>
      <c r="E432" s="38">
        <v>5.1090828138913622E-2</v>
      </c>
    </row>
    <row r="433" spans="2:5" ht="15" customHeight="1">
      <c r="B433" s="83" t="s">
        <v>107</v>
      </c>
      <c r="C433" s="43" t="s">
        <v>172</v>
      </c>
      <c r="D433" s="42">
        <v>1</v>
      </c>
      <c r="E433" s="41">
        <v>1.1130899376669635E-4</v>
      </c>
    </row>
    <row r="434" spans="2:5" ht="15" customHeight="1">
      <c r="B434" s="84"/>
      <c r="C434" s="43" t="s">
        <v>171</v>
      </c>
      <c r="D434" s="42">
        <v>1</v>
      </c>
      <c r="E434" s="41">
        <v>1.1130899376669635E-4</v>
      </c>
    </row>
    <row r="435" spans="2:5" ht="15" customHeight="1">
      <c r="B435" s="84"/>
      <c r="C435" s="43" t="s">
        <v>169</v>
      </c>
      <c r="D435" s="42">
        <v>1</v>
      </c>
      <c r="E435" s="41">
        <v>1.1130899376669635E-4</v>
      </c>
    </row>
    <row r="436" spans="2:5" ht="15" customHeight="1">
      <c r="B436" s="84"/>
      <c r="C436" s="43" t="s">
        <v>168</v>
      </c>
      <c r="D436" s="42">
        <v>5</v>
      </c>
      <c r="E436" s="41">
        <v>5.5654496883348172E-4</v>
      </c>
    </row>
    <row r="437" spans="2:5" ht="15" customHeight="1">
      <c r="B437" s="84"/>
      <c r="C437" s="43" t="s">
        <v>167</v>
      </c>
      <c r="D437" s="42">
        <v>8</v>
      </c>
      <c r="E437" s="41">
        <v>8.9047195013357077E-4</v>
      </c>
    </row>
    <row r="438" spans="2:5" ht="15" customHeight="1">
      <c r="B438" s="84"/>
      <c r="C438" s="43" t="s">
        <v>165</v>
      </c>
      <c r="D438" s="42">
        <v>1</v>
      </c>
      <c r="E438" s="41">
        <v>1.1130899376669635E-4</v>
      </c>
    </row>
    <row r="439" spans="2:5" ht="15" customHeight="1">
      <c r="B439" s="84"/>
      <c r="C439" s="43" t="s">
        <v>164</v>
      </c>
      <c r="D439" s="42">
        <v>1</v>
      </c>
      <c r="E439" s="41">
        <v>1.1130899376669635E-4</v>
      </c>
    </row>
    <row r="440" spans="2:5" ht="15" customHeight="1">
      <c r="B440" s="84"/>
      <c r="C440" s="43" t="s">
        <v>163</v>
      </c>
      <c r="D440" s="42">
        <v>13</v>
      </c>
      <c r="E440" s="41">
        <v>1.4470169189670526E-3</v>
      </c>
    </row>
    <row r="441" spans="2:5" ht="15" customHeight="1">
      <c r="B441" s="84"/>
      <c r="C441" s="43" t="s">
        <v>162</v>
      </c>
      <c r="D441" s="42">
        <v>1</v>
      </c>
      <c r="E441" s="41">
        <v>1.1130899376669635E-4</v>
      </c>
    </row>
    <row r="442" spans="2:5" ht="15" customHeight="1">
      <c r="B442" s="84"/>
      <c r="C442" s="43" t="s">
        <v>161</v>
      </c>
      <c r="D442" s="42">
        <v>1</v>
      </c>
      <c r="E442" s="41">
        <v>1.1130899376669635E-4</v>
      </c>
    </row>
    <row r="443" spans="2:5" ht="15" customHeight="1">
      <c r="B443" s="84"/>
      <c r="C443" s="43" t="s">
        <v>160</v>
      </c>
      <c r="D443" s="42">
        <v>3</v>
      </c>
      <c r="E443" s="41">
        <v>3.3392698130008905E-4</v>
      </c>
    </row>
    <row r="444" spans="2:5" ht="15" customHeight="1">
      <c r="B444" s="84"/>
      <c r="C444" s="43" t="s">
        <v>155</v>
      </c>
      <c r="D444" s="42">
        <v>1</v>
      </c>
      <c r="E444" s="41">
        <v>1.1130899376669635E-4</v>
      </c>
    </row>
    <row r="445" spans="2:5" ht="15" customHeight="1">
      <c r="B445" s="85"/>
      <c r="C445" s="40" t="s">
        <v>23</v>
      </c>
      <c r="D445" s="39">
        <v>37</v>
      </c>
      <c r="E445" s="38">
        <v>4.1184327693677648E-3</v>
      </c>
    </row>
    <row r="446" spans="2:5" ht="15" customHeight="1">
      <c r="B446" s="83" t="s">
        <v>95</v>
      </c>
      <c r="C446" s="43" t="s">
        <v>171</v>
      </c>
      <c r="D446" s="42">
        <v>1</v>
      </c>
      <c r="E446" s="41">
        <v>1.1130899376669635E-4</v>
      </c>
    </row>
    <row r="447" spans="2:5" ht="15" customHeight="1">
      <c r="B447" s="84"/>
      <c r="C447" s="43" t="s">
        <v>170</v>
      </c>
      <c r="D447" s="42">
        <v>1</v>
      </c>
      <c r="E447" s="41">
        <v>1.1130899376669635E-4</v>
      </c>
    </row>
    <row r="448" spans="2:5" ht="15" customHeight="1">
      <c r="B448" s="84"/>
      <c r="C448" s="43" t="s">
        <v>169</v>
      </c>
      <c r="D448" s="42">
        <v>4</v>
      </c>
      <c r="E448" s="41">
        <v>4.4523597506678539E-4</v>
      </c>
    </row>
    <row r="449" spans="2:5" ht="15" customHeight="1">
      <c r="B449" s="84"/>
      <c r="C449" s="43" t="s">
        <v>168</v>
      </c>
      <c r="D449" s="42">
        <v>1</v>
      </c>
      <c r="E449" s="41">
        <v>1.1130899376669635E-4</v>
      </c>
    </row>
    <row r="450" spans="2:5" ht="15" customHeight="1">
      <c r="B450" s="84"/>
      <c r="C450" s="43" t="s">
        <v>167</v>
      </c>
      <c r="D450" s="42">
        <v>10</v>
      </c>
      <c r="E450" s="41">
        <v>1.1130899376669634E-3</v>
      </c>
    </row>
    <row r="451" spans="2:5" ht="15" customHeight="1">
      <c r="B451" s="84"/>
      <c r="C451" s="43" t="s">
        <v>166</v>
      </c>
      <c r="D451" s="42">
        <v>1</v>
      </c>
      <c r="E451" s="41">
        <v>1.1130899376669635E-4</v>
      </c>
    </row>
    <row r="452" spans="2:5" ht="15" customHeight="1">
      <c r="B452" s="84"/>
      <c r="C452" s="43" t="s">
        <v>165</v>
      </c>
      <c r="D452" s="42">
        <v>2</v>
      </c>
      <c r="E452" s="41">
        <v>2.2261798753339269E-4</v>
      </c>
    </row>
    <row r="453" spans="2:5" ht="15" customHeight="1">
      <c r="B453" s="84"/>
      <c r="C453" s="43" t="s">
        <v>164</v>
      </c>
      <c r="D453" s="42">
        <v>1</v>
      </c>
      <c r="E453" s="41">
        <v>1.1130899376669635E-4</v>
      </c>
    </row>
    <row r="454" spans="2:5" ht="15" customHeight="1">
      <c r="B454" s="84"/>
      <c r="C454" s="43" t="s">
        <v>163</v>
      </c>
      <c r="D454" s="42">
        <v>13</v>
      </c>
      <c r="E454" s="41">
        <v>1.4470169189670526E-3</v>
      </c>
    </row>
    <row r="455" spans="2:5" ht="15" customHeight="1">
      <c r="B455" s="84"/>
      <c r="C455" s="43" t="s">
        <v>162</v>
      </c>
      <c r="D455" s="42">
        <v>1</v>
      </c>
      <c r="E455" s="41">
        <v>1.1130899376669635E-4</v>
      </c>
    </row>
    <row r="456" spans="2:5" ht="15" customHeight="1">
      <c r="B456" s="84"/>
      <c r="C456" s="43" t="s">
        <v>161</v>
      </c>
      <c r="D456" s="42">
        <v>2</v>
      </c>
      <c r="E456" s="41">
        <v>2.2261798753339269E-4</v>
      </c>
    </row>
    <row r="457" spans="2:5" ht="15" customHeight="1">
      <c r="B457" s="84"/>
      <c r="C457" s="43" t="s">
        <v>160</v>
      </c>
      <c r="D457" s="42">
        <v>5</v>
      </c>
      <c r="E457" s="41">
        <v>5.5654496883348172E-4</v>
      </c>
    </row>
    <row r="458" spans="2:5" ht="15" customHeight="1">
      <c r="B458" s="84"/>
      <c r="C458" s="43" t="s">
        <v>158</v>
      </c>
      <c r="D458" s="42">
        <v>1</v>
      </c>
      <c r="E458" s="41">
        <v>1.1130899376669635E-4</v>
      </c>
    </row>
    <row r="459" spans="2:5" ht="15" customHeight="1">
      <c r="B459" s="84"/>
      <c r="C459" s="43" t="s">
        <v>157</v>
      </c>
      <c r="D459" s="42">
        <v>1</v>
      </c>
      <c r="E459" s="41">
        <v>1.1130899376669635E-4</v>
      </c>
    </row>
    <row r="460" spans="2:5" ht="15" customHeight="1">
      <c r="B460" s="84"/>
      <c r="C460" s="43" t="s">
        <v>154</v>
      </c>
      <c r="D460" s="42">
        <v>1</v>
      </c>
      <c r="E460" s="41">
        <v>1.1130899376669635E-4</v>
      </c>
    </row>
    <row r="461" spans="2:5" ht="15" customHeight="1">
      <c r="B461" s="85"/>
      <c r="C461" s="40" t="s">
        <v>23</v>
      </c>
      <c r="D461" s="39">
        <v>45</v>
      </c>
      <c r="E461" s="38">
        <v>5.0089047195013359E-3</v>
      </c>
    </row>
    <row r="462" spans="2:5" ht="15" customHeight="1">
      <c r="B462" s="83" t="s">
        <v>99</v>
      </c>
      <c r="C462" s="43" t="s">
        <v>174</v>
      </c>
      <c r="D462" s="42">
        <v>2</v>
      </c>
      <c r="E462" s="41">
        <v>2.2261798753339269E-4</v>
      </c>
    </row>
    <row r="463" spans="2:5" ht="15" customHeight="1">
      <c r="B463" s="84"/>
      <c r="C463" s="43" t="s">
        <v>171</v>
      </c>
      <c r="D463" s="42">
        <v>2</v>
      </c>
      <c r="E463" s="41">
        <v>2.2261798753339269E-4</v>
      </c>
    </row>
    <row r="464" spans="2:5" ht="15" customHeight="1">
      <c r="B464" s="84"/>
      <c r="C464" s="43" t="s">
        <v>169</v>
      </c>
      <c r="D464" s="42">
        <v>1</v>
      </c>
      <c r="E464" s="41">
        <v>1.1130899376669635E-4</v>
      </c>
    </row>
    <row r="465" spans="2:5" ht="15" customHeight="1">
      <c r="B465" s="84"/>
      <c r="C465" s="43" t="s">
        <v>168</v>
      </c>
      <c r="D465" s="42">
        <v>7</v>
      </c>
      <c r="E465" s="41">
        <v>7.7916295636687449E-4</v>
      </c>
    </row>
    <row r="466" spans="2:5" ht="15" customHeight="1">
      <c r="B466" s="84"/>
      <c r="C466" s="43" t="s">
        <v>167</v>
      </c>
      <c r="D466" s="42">
        <v>20</v>
      </c>
      <c r="E466" s="41">
        <v>2.2261798753339269E-3</v>
      </c>
    </row>
    <row r="467" spans="2:5" ht="15" customHeight="1">
      <c r="B467" s="84"/>
      <c r="C467" s="43" t="s">
        <v>166</v>
      </c>
      <c r="D467" s="42">
        <v>1</v>
      </c>
      <c r="E467" s="41">
        <v>1.1130899376669635E-4</v>
      </c>
    </row>
    <row r="468" spans="2:5" ht="15" customHeight="1">
      <c r="B468" s="84"/>
      <c r="C468" s="43" t="s">
        <v>165</v>
      </c>
      <c r="D468" s="42">
        <v>1</v>
      </c>
      <c r="E468" s="41">
        <v>1.1130899376669635E-4</v>
      </c>
    </row>
    <row r="469" spans="2:5" ht="15" customHeight="1">
      <c r="B469" s="84"/>
      <c r="C469" s="43" t="s">
        <v>164</v>
      </c>
      <c r="D469" s="42">
        <v>9</v>
      </c>
      <c r="E469" s="41">
        <v>1.0017809439002671E-3</v>
      </c>
    </row>
    <row r="470" spans="2:5" ht="15" customHeight="1">
      <c r="B470" s="84"/>
      <c r="C470" s="43" t="s">
        <v>163</v>
      </c>
      <c r="D470" s="42">
        <v>28</v>
      </c>
      <c r="E470" s="41">
        <v>3.116651825467498E-3</v>
      </c>
    </row>
    <row r="471" spans="2:5" ht="15" customHeight="1">
      <c r="B471" s="84"/>
      <c r="C471" s="43" t="s">
        <v>162</v>
      </c>
      <c r="D471" s="42">
        <v>3</v>
      </c>
      <c r="E471" s="41">
        <v>3.3392698130008905E-4</v>
      </c>
    </row>
    <row r="472" spans="2:5" ht="15" customHeight="1">
      <c r="B472" s="84"/>
      <c r="C472" s="43" t="s">
        <v>161</v>
      </c>
      <c r="D472" s="42">
        <v>4</v>
      </c>
      <c r="E472" s="41">
        <v>4.4523597506678539E-4</v>
      </c>
    </row>
    <row r="473" spans="2:5" ht="15" customHeight="1">
      <c r="B473" s="84"/>
      <c r="C473" s="43" t="s">
        <v>160</v>
      </c>
      <c r="D473" s="42">
        <v>12</v>
      </c>
      <c r="E473" s="41">
        <v>1.3357079252003562E-3</v>
      </c>
    </row>
    <row r="474" spans="2:5" ht="15" customHeight="1">
      <c r="B474" s="84"/>
      <c r="C474" s="43" t="s">
        <v>155</v>
      </c>
      <c r="D474" s="42">
        <v>3</v>
      </c>
      <c r="E474" s="41">
        <v>3.3392698130008905E-4</v>
      </c>
    </row>
    <row r="475" spans="2:5" ht="15" customHeight="1">
      <c r="B475" s="85"/>
      <c r="C475" s="40" t="s">
        <v>23</v>
      </c>
      <c r="D475" s="39">
        <v>93</v>
      </c>
      <c r="E475" s="38">
        <v>1.035173642030276E-2</v>
      </c>
    </row>
    <row r="476" spans="2:5" ht="15" customHeight="1">
      <c r="B476" s="83" t="s">
        <v>83</v>
      </c>
      <c r="C476" s="43" t="s">
        <v>168</v>
      </c>
      <c r="D476" s="42">
        <v>2</v>
      </c>
      <c r="E476" s="41">
        <v>2.2261798753339269E-4</v>
      </c>
    </row>
    <row r="477" spans="2:5" ht="15" customHeight="1">
      <c r="B477" s="84"/>
      <c r="C477" s="43" t="s">
        <v>167</v>
      </c>
      <c r="D477" s="42">
        <v>2</v>
      </c>
      <c r="E477" s="41">
        <v>2.2261798753339269E-4</v>
      </c>
    </row>
    <row r="478" spans="2:5" ht="15" customHeight="1">
      <c r="B478" s="84"/>
      <c r="C478" s="43" t="s">
        <v>163</v>
      </c>
      <c r="D478" s="42">
        <v>6</v>
      </c>
      <c r="E478" s="41">
        <v>6.6785396260017811E-4</v>
      </c>
    </row>
    <row r="479" spans="2:5" ht="15" customHeight="1">
      <c r="B479" s="84"/>
      <c r="C479" s="43" t="s">
        <v>160</v>
      </c>
      <c r="D479" s="42">
        <v>2</v>
      </c>
      <c r="E479" s="41">
        <v>2.2261798753339269E-4</v>
      </c>
    </row>
    <row r="480" spans="2:5" ht="15" customHeight="1">
      <c r="B480" s="85"/>
      <c r="C480" s="40" t="s">
        <v>23</v>
      </c>
      <c r="D480" s="39">
        <v>12</v>
      </c>
      <c r="E480" s="38">
        <v>1.3357079252003562E-3</v>
      </c>
    </row>
    <row r="481" spans="2:5" ht="15" customHeight="1">
      <c r="B481" s="83" t="s">
        <v>117</v>
      </c>
      <c r="C481" s="43" t="s">
        <v>174</v>
      </c>
      <c r="D481" s="42">
        <v>4</v>
      </c>
      <c r="E481" s="41">
        <v>4.4523597506678539E-4</v>
      </c>
    </row>
    <row r="482" spans="2:5" ht="15" customHeight="1">
      <c r="B482" s="84"/>
      <c r="C482" s="43" t="s">
        <v>173</v>
      </c>
      <c r="D482" s="42">
        <v>3</v>
      </c>
      <c r="E482" s="41">
        <v>3.3392698130008905E-4</v>
      </c>
    </row>
    <row r="483" spans="2:5" ht="15" customHeight="1">
      <c r="B483" s="84"/>
      <c r="C483" s="43" t="s">
        <v>172</v>
      </c>
      <c r="D483" s="42">
        <v>5</v>
      </c>
      <c r="E483" s="41">
        <v>5.5654496883348172E-4</v>
      </c>
    </row>
    <row r="484" spans="2:5" ht="15" customHeight="1">
      <c r="B484" s="84"/>
      <c r="C484" s="43" t="s">
        <v>171</v>
      </c>
      <c r="D484" s="42">
        <v>3</v>
      </c>
      <c r="E484" s="41">
        <v>3.3392698130008905E-4</v>
      </c>
    </row>
    <row r="485" spans="2:5" ht="15" customHeight="1">
      <c r="B485" s="84"/>
      <c r="C485" s="43" t="s">
        <v>170</v>
      </c>
      <c r="D485" s="42">
        <v>7</v>
      </c>
      <c r="E485" s="41">
        <v>7.7916295636687449E-4</v>
      </c>
    </row>
    <row r="486" spans="2:5" ht="15" customHeight="1">
      <c r="B486" s="84"/>
      <c r="C486" s="43" t="s">
        <v>169</v>
      </c>
      <c r="D486" s="42">
        <v>9</v>
      </c>
      <c r="E486" s="41">
        <v>1.0017809439002671E-3</v>
      </c>
    </row>
    <row r="487" spans="2:5" ht="15" customHeight="1">
      <c r="B487" s="84"/>
      <c r="C487" s="43" t="s">
        <v>168</v>
      </c>
      <c r="D487" s="42">
        <v>26</v>
      </c>
      <c r="E487" s="41">
        <v>2.8940338379341052E-3</v>
      </c>
    </row>
    <row r="488" spans="2:5" ht="15" customHeight="1">
      <c r="B488" s="84"/>
      <c r="C488" s="43" t="s">
        <v>167</v>
      </c>
      <c r="D488" s="42">
        <v>145</v>
      </c>
      <c r="E488" s="41">
        <v>1.6139804096170971E-2</v>
      </c>
    </row>
    <row r="489" spans="2:5" ht="15" customHeight="1">
      <c r="B489" s="84"/>
      <c r="C489" s="43" t="s">
        <v>166</v>
      </c>
      <c r="D489" s="42">
        <v>6</v>
      </c>
      <c r="E489" s="41">
        <v>6.6785396260017811E-4</v>
      </c>
    </row>
    <row r="490" spans="2:5" ht="15" customHeight="1">
      <c r="B490" s="84"/>
      <c r="C490" s="43" t="s">
        <v>165</v>
      </c>
      <c r="D490" s="42">
        <v>11</v>
      </c>
      <c r="E490" s="41">
        <v>1.2243989314336598E-3</v>
      </c>
    </row>
    <row r="491" spans="2:5" ht="15" customHeight="1">
      <c r="B491" s="84"/>
      <c r="C491" s="43" t="s">
        <v>164</v>
      </c>
      <c r="D491" s="42">
        <v>23</v>
      </c>
      <c r="E491" s="41">
        <v>2.5601068566340158E-3</v>
      </c>
    </row>
    <row r="492" spans="2:5" ht="15" customHeight="1">
      <c r="B492" s="84"/>
      <c r="C492" s="43" t="s">
        <v>163</v>
      </c>
      <c r="D492" s="42">
        <v>179</v>
      </c>
      <c r="E492" s="41">
        <v>1.9924309884238645E-2</v>
      </c>
    </row>
    <row r="493" spans="2:5" ht="15" customHeight="1">
      <c r="B493" s="84"/>
      <c r="C493" s="43" t="s">
        <v>162</v>
      </c>
      <c r="D493" s="42">
        <v>6</v>
      </c>
      <c r="E493" s="41">
        <v>6.6785396260017811E-4</v>
      </c>
    </row>
    <row r="494" spans="2:5" ht="15" customHeight="1">
      <c r="B494" s="84"/>
      <c r="C494" s="43" t="s">
        <v>161</v>
      </c>
      <c r="D494" s="42">
        <v>19</v>
      </c>
      <c r="E494" s="41">
        <v>2.1148708815672307E-3</v>
      </c>
    </row>
    <row r="495" spans="2:5" ht="15" customHeight="1">
      <c r="B495" s="84"/>
      <c r="C495" s="43" t="s">
        <v>160</v>
      </c>
      <c r="D495" s="42">
        <v>46</v>
      </c>
      <c r="E495" s="41">
        <v>5.1202137132680316E-3</v>
      </c>
    </row>
    <row r="496" spans="2:5" ht="15" customHeight="1">
      <c r="B496" s="84"/>
      <c r="C496" s="43" t="s">
        <v>154</v>
      </c>
      <c r="D496" s="42">
        <v>2</v>
      </c>
      <c r="E496" s="41">
        <v>2.2261798753339269E-4</v>
      </c>
    </row>
    <row r="497" spans="2:5" ht="15" customHeight="1">
      <c r="B497" s="85"/>
      <c r="C497" s="40" t="s">
        <v>23</v>
      </c>
      <c r="D497" s="39">
        <v>494</v>
      </c>
      <c r="E497" s="38">
        <v>5.4986642920747994E-2</v>
      </c>
    </row>
    <row r="498" spans="2:5" ht="15" customHeight="1">
      <c r="B498" s="83" t="s">
        <v>109</v>
      </c>
      <c r="C498" s="43" t="s">
        <v>174</v>
      </c>
      <c r="D498" s="42">
        <v>1</v>
      </c>
      <c r="E498" s="41">
        <v>1.1130899376669635E-4</v>
      </c>
    </row>
    <row r="499" spans="2:5" ht="15" customHeight="1">
      <c r="B499" s="84"/>
      <c r="C499" s="43" t="s">
        <v>172</v>
      </c>
      <c r="D499" s="42">
        <v>1</v>
      </c>
      <c r="E499" s="41">
        <v>1.1130899376669635E-4</v>
      </c>
    </row>
    <row r="500" spans="2:5" ht="15" customHeight="1">
      <c r="B500" s="84"/>
      <c r="C500" s="43" t="s">
        <v>171</v>
      </c>
      <c r="D500" s="42">
        <v>2</v>
      </c>
      <c r="E500" s="41">
        <v>2.2261798753339269E-4</v>
      </c>
    </row>
    <row r="501" spans="2:5" ht="15" customHeight="1">
      <c r="B501" s="84"/>
      <c r="C501" s="43" t="s">
        <v>170</v>
      </c>
      <c r="D501" s="42">
        <v>1</v>
      </c>
      <c r="E501" s="41">
        <v>1.1130899376669635E-4</v>
      </c>
    </row>
    <row r="502" spans="2:5" ht="15" customHeight="1">
      <c r="B502" s="84"/>
      <c r="C502" s="43" t="s">
        <v>169</v>
      </c>
      <c r="D502" s="42">
        <v>1</v>
      </c>
      <c r="E502" s="41">
        <v>1.1130899376669635E-4</v>
      </c>
    </row>
    <row r="503" spans="2:5" ht="15" customHeight="1">
      <c r="B503" s="84"/>
      <c r="C503" s="43" t="s">
        <v>168</v>
      </c>
      <c r="D503" s="42">
        <v>5</v>
      </c>
      <c r="E503" s="41">
        <v>5.5654496883348172E-4</v>
      </c>
    </row>
    <row r="504" spans="2:5" ht="15" customHeight="1">
      <c r="B504" s="84"/>
      <c r="C504" s="43" t="s">
        <v>167</v>
      </c>
      <c r="D504" s="42">
        <v>25</v>
      </c>
      <c r="E504" s="41">
        <v>2.7827248441674086E-3</v>
      </c>
    </row>
    <row r="505" spans="2:5" ht="15" customHeight="1">
      <c r="B505" s="84"/>
      <c r="C505" s="43" t="s">
        <v>166</v>
      </c>
      <c r="D505" s="42">
        <v>3</v>
      </c>
      <c r="E505" s="41">
        <v>3.3392698130008905E-4</v>
      </c>
    </row>
    <row r="506" spans="2:5" ht="15" customHeight="1">
      <c r="B506" s="84"/>
      <c r="C506" s="43" t="s">
        <v>165</v>
      </c>
      <c r="D506" s="42">
        <v>2</v>
      </c>
      <c r="E506" s="41">
        <v>2.2261798753339269E-4</v>
      </c>
    </row>
    <row r="507" spans="2:5" ht="15" customHeight="1">
      <c r="B507" s="84"/>
      <c r="C507" s="43" t="s">
        <v>164</v>
      </c>
      <c r="D507" s="42">
        <v>2</v>
      </c>
      <c r="E507" s="41">
        <v>2.2261798753339269E-4</v>
      </c>
    </row>
    <row r="508" spans="2:5" ht="15" customHeight="1">
      <c r="B508" s="84"/>
      <c r="C508" s="43" t="s">
        <v>163</v>
      </c>
      <c r="D508" s="42">
        <v>34</v>
      </c>
      <c r="E508" s="41">
        <v>3.7845057880676759E-3</v>
      </c>
    </row>
    <row r="509" spans="2:5" ht="15" customHeight="1">
      <c r="B509" s="84"/>
      <c r="C509" s="43" t="s">
        <v>162</v>
      </c>
      <c r="D509" s="42">
        <v>1</v>
      </c>
      <c r="E509" s="41">
        <v>1.1130899376669635E-4</v>
      </c>
    </row>
    <row r="510" spans="2:5" ht="15" customHeight="1">
      <c r="B510" s="84"/>
      <c r="C510" s="43" t="s">
        <v>161</v>
      </c>
      <c r="D510" s="42">
        <v>6</v>
      </c>
      <c r="E510" s="41">
        <v>6.6785396260017811E-4</v>
      </c>
    </row>
    <row r="511" spans="2:5" ht="15" customHeight="1">
      <c r="B511" s="84"/>
      <c r="C511" s="43" t="s">
        <v>160</v>
      </c>
      <c r="D511" s="42">
        <v>8</v>
      </c>
      <c r="E511" s="41">
        <v>8.9047195013357077E-4</v>
      </c>
    </row>
    <row r="512" spans="2:5" ht="15" customHeight="1">
      <c r="B512" s="84"/>
      <c r="C512" s="43" t="s">
        <v>155</v>
      </c>
      <c r="D512" s="42">
        <v>1</v>
      </c>
      <c r="E512" s="41">
        <v>1.1130899376669635E-4</v>
      </c>
    </row>
    <row r="513" spans="2:5" ht="15" customHeight="1">
      <c r="B513" s="85"/>
      <c r="C513" s="40" t="s">
        <v>23</v>
      </c>
      <c r="D513" s="39">
        <v>93</v>
      </c>
      <c r="E513" s="38">
        <v>1.035173642030276E-2</v>
      </c>
    </row>
    <row r="514" spans="2:5" ht="15" customHeight="1">
      <c r="B514" s="83" t="s">
        <v>94</v>
      </c>
      <c r="C514" s="43" t="s">
        <v>174</v>
      </c>
      <c r="D514" s="42">
        <v>1</v>
      </c>
      <c r="E514" s="41">
        <v>1.1130899376669635E-4</v>
      </c>
    </row>
    <row r="515" spans="2:5" ht="15" customHeight="1">
      <c r="B515" s="84"/>
      <c r="C515" s="43" t="s">
        <v>171</v>
      </c>
      <c r="D515" s="42">
        <v>1</v>
      </c>
      <c r="E515" s="41">
        <v>1.1130899376669635E-4</v>
      </c>
    </row>
    <row r="516" spans="2:5" ht="15" customHeight="1">
      <c r="B516" s="84"/>
      <c r="C516" s="43" t="s">
        <v>169</v>
      </c>
      <c r="D516" s="42">
        <v>1</v>
      </c>
      <c r="E516" s="41">
        <v>1.1130899376669635E-4</v>
      </c>
    </row>
    <row r="517" spans="2:5" ht="15" customHeight="1">
      <c r="B517" s="84"/>
      <c r="C517" s="43" t="s">
        <v>168</v>
      </c>
      <c r="D517" s="42">
        <v>2</v>
      </c>
      <c r="E517" s="41">
        <v>2.2261798753339269E-4</v>
      </c>
    </row>
    <row r="518" spans="2:5" ht="15" customHeight="1">
      <c r="B518" s="84"/>
      <c r="C518" s="43" t="s">
        <v>167</v>
      </c>
      <c r="D518" s="42">
        <v>10</v>
      </c>
      <c r="E518" s="41">
        <v>1.1130899376669634E-3</v>
      </c>
    </row>
    <row r="519" spans="2:5" ht="15" customHeight="1">
      <c r="B519" s="84"/>
      <c r="C519" s="43" t="s">
        <v>164</v>
      </c>
      <c r="D519" s="42">
        <v>1</v>
      </c>
      <c r="E519" s="41">
        <v>1.1130899376669635E-4</v>
      </c>
    </row>
    <row r="520" spans="2:5" ht="15" customHeight="1">
      <c r="B520" s="84"/>
      <c r="C520" s="43" t="s">
        <v>163</v>
      </c>
      <c r="D520" s="42">
        <v>30</v>
      </c>
      <c r="E520" s="41">
        <v>3.3392698130008903E-3</v>
      </c>
    </row>
    <row r="521" spans="2:5" ht="15" customHeight="1">
      <c r="B521" s="84"/>
      <c r="C521" s="43" t="s">
        <v>161</v>
      </c>
      <c r="D521" s="42">
        <v>3</v>
      </c>
      <c r="E521" s="41">
        <v>3.3392698130008905E-4</v>
      </c>
    </row>
    <row r="522" spans="2:5" ht="15" customHeight="1">
      <c r="B522" s="84"/>
      <c r="C522" s="43" t="s">
        <v>160</v>
      </c>
      <c r="D522" s="42">
        <v>6</v>
      </c>
      <c r="E522" s="41">
        <v>6.6785396260017811E-4</v>
      </c>
    </row>
    <row r="523" spans="2:5" ht="15" customHeight="1">
      <c r="B523" s="84"/>
      <c r="C523" s="43" t="s">
        <v>155</v>
      </c>
      <c r="D523" s="42">
        <v>2</v>
      </c>
      <c r="E523" s="41">
        <v>2.2261798753339269E-4</v>
      </c>
    </row>
    <row r="524" spans="2:5" ht="15" customHeight="1">
      <c r="B524" s="85"/>
      <c r="C524" s="40" t="s">
        <v>23</v>
      </c>
      <c r="D524" s="39">
        <v>57</v>
      </c>
      <c r="E524" s="38">
        <v>6.3446126447016917E-3</v>
      </c>
    </row>
    <row r="525" spans="2:5" ht="15" customHeight="1">
      <c r="B525" s="83" t="s">
        <v>96</v>
      </c>
      <c r="C525" s="43" t="s">
        <v>173</v>
      </c>
      <c r="D525" s="42">
        <v>1</v>
      </c>
      <c r="E525" s="41">
        <v>1.1130899376669635E-4</v>
      </c>
    </row>
    <row r="526" spans="2:5" ht="15" customHeight="1">
      <c r="B526" s="84"/>
      <c r="C526" s="43" t="s">
        <v>172</v>
      </c>
      <c r="D526" s="42">
        <v>1</v>
      </c>
      <c r="E526" s="41">
        <v>1.1130899376669635E-4</v>
      </c>
    </row>
    <row r="527" spans="2:5" ht="15" customHeight="1">
      <c r="B527" s="84"/>
      <c r="C527" s="43" t="s">
        <v>170</v>
      </c>
      <c r="D527" s="42">
        <v>1</v>
      </c>
      <c r="E527" s="41">
        <v>1.1130899376669635E-4</v>
      </c>
    </row>
    <row r="528" spans="2:5" ht="15" customHeight="1">
      <c r="B528" s="84"/>
      <c r="C528" s="43" t="s">
        <v>169</v>
      </c>
      <c r="D528" s="42">
        <v>1</v>
      </c>
      <c r="E528" s="41">
        <v>1.1130899376669635E-4</v>
      </c>
    </row>
    <row r="529" spans="2:5" ht="15" customHeight="1">
      <c r="B529" s="84"/>
      <c r="C529" s="43" t="s">
        <v>168</v>
      </c>
      <c r="D529" s="42">
        <v>3</v>
      </c>
      <c r="E529" s="41">
        <v>3.3392698130008905E-4</v>
      </c>
    </row>
    <row r="530" spans="2:5" ht="15" customHeight="1">
      <c r="B530" s="84"/>
      <c r="C530" s="43" t="s">
        <v>167</v>
      </c>
      <c r="D530" s="42">
        <v>13</v>
      </c>
      <c r="E530" s="41">
        <v>1.4470169189670526E-3</v>
      </c>
    </row>
    <row r="531" spans="2:5" ht="15" customHeight="1">
      <c r="B531" s="84"/>
      <c r="C531" s="43" t="s">
        <v>166</v>
      </c>
      <c r="D531" s="42">
        <v>1</v>
      </c>
      <c r="E531" s="41">
        <v>1.1130899376669635E-4</v>
      </c>
    </row>
    <row r="532" spans="2:5" ht="15" customHeight="1">
      <c r="B532" s="84"/>
      <c r="C532" s="43" t="s">
        <v>164</v>
      </c>
      <c r="D532" s="42">
        <v>9</v>
      </c>
      <c r="E532" s="41">
        <v>1.0017809439002671E-3</v>
      </c>
    </row>
    <row r="533" spans="2:5" ht="15" customHeight="1">
      <c r="B533" s="84"/>
      <c r="C533" s="43" t="s">
        <v>163</v>
      </c>
      <c r="D533" s="42">
        <v>20</v>
      </c>
      <c r="E533" s="41">
        <v>2.2261798753339269E-3</v>
      </c>
    </row>
    <row r="534" spans="2:5" ht="15" customHeight="1">
      <c r="B534" s="84"/>
      <c r="C534" s="43" t="s">
        <v>162</v>
      </c>
      <c r="D534" s="42">
        <v>1</v>
      </c>
      <c r="E534" s="41">
        <v>1.1130899376669635E-4</v>
      </c>
    </row>
    <row r="535" spans="2:5" ht="15" customHeight="1">
      <c r="B535" s="84"/>
      <c r="C535" s="43" t="s">
        <v>161</v>
      </c>
      <c r="D535" s="42">
        <v>3</v>
      </c>
      <c r="E535" s="41">
        <v>3.3392698130008905E-4</v>
      </c>
    </row>
    <row r="536" spans="2:5" ht="15" customHeight="1">
      <c r="B536" s="84"/>
      <c r="C536" s="43" t="s">
        <v>160</v>
      </c>
      <c r="D536" s="42">
        <v>5</v>
      </c>
      <c r="E536" s="41">
        <v>5.5654496883348172E-4</v>
      </c>
    </row>
    <row r="537" spans="2:5" ht="15" customHeight="1">
      <c r="B537" s="85"/>
      <c r="C537" s="40" t="s">
        <v>23</v>
      </c>
      <c r="D537" s="39">
        <v>59</v>
      </c>
      <c r="E537" s="38">
        <v>6.5672306322350849E-3</v>
      </c>
    </row>
    <row r="538" spans="2:5" ht="15" customHeight="1">
      <c r="B538" s="83" t="s">
        <v>104</v>
      </c>
      <c r="C538" s="43" t="s">
        <v>174</v>
      </c>
      <c r="D538" s="42">
        <v>6</v>
      </c>
      <c r="E538" s="41">
        <v>6.6785396260017811E-4</v>
      </c>
    </row>
    <row r="539" spans="2:5" ht="15" customHeight="1">
      <c r="B539" s="84"/>
      <c r="C539" s="43" t="s">
        <v>173</v>
      </c>
      <c r="D539" s="42">
        <v>2</v>
      </c>
      <c r="E539" s="41">
        <v>2.2261798753339269E-4</v>
      </c>
    </row>
    <row r="540" spans="2:5" ht="15" customHeight="1">
      <c r="B540" s="84"/>
      <c r="C540" s="43" t="s">
        <v>172</v>
      </c>
      <c r="D540" s="42">
        <v>4</v>
      </c>
      <c r="E540" s="41">
        <v>4.4523597506678539E-4</v>
      </c>
    </row>
    <row r="541" spans="2:5" ht="15" customHeight="1">
      <c r="B541" s="84"/>
      <c r="C541" s="43" t="s">
        <v>171</v>
      </c>
      <c r="D541" s="42">
        <v>4</v>
      </c>
      <c r="E541" s="41">
        <v>4.4523597506678539E-4</v>
      </c>
    </row>
    <row r="542" spans="2:5" ht="15" customHeight="1">
      <c r="B542" s="84"/>
      <c r="C542" s="43" t="s">
        <v>170</v>
      </c>
      <c r="D542" s="42">
        <v>4</v>
      </c>
      <c r="E542" s="41">
        <v>4.4523597506678539E-4</v>
      </c>
    </row>
    <row r="543" spans="2:5" ht="15" customHeight="1">
      <c r="B543" s="84"/>
      <c r="C543" s="43" t="s">
        <v>169</v>
      </c>
      <c r="D543" s="42">
        <v>2</v>
      </c>
      <c r="E543" s="41">
        <v>2.2261798753339269E-4</v>
      </c>
    </row>
    <row r="544" spans="2:5" ht="15" customHeight="1">
      <c r="B544" s="84"/>
      <c r="C544" s="43" t="s">
        <v>168</v>
      </c>
      <c r="D544" s="42">
        <v>59</v>
      </c>
      <c r="E544" s="41">
        <v>6.5672306322350849E-3</v>
      </c>
    </row>
    <row r="545" spans="2:5" ht="15" customHeight="1">
      <c r="B545" s="84"/>
      <c r="C545" s="43" t="s">
        <v>167</v>
      </c>
      <c r="D545" s="42">
        <v>26</v>
      </c>
      <c r="E545" s="41">
        <v>2.8940338379341052E-3</v>
      </c>
    </row>
    <row r="546" spans="2:5" ht="15" customHeight="1">
      <c r="B546" s="84"/>
      <c r="C546" s="43" t="s">
        <v>166</v>
      </c>
      <c r="D546" s="42">
        <v>4</v>
      </c>
      <c r="E546" s="41">
        <v>4.4523597506678539E-4</v>
      </c>
    </row>
    <row r="547" spans="2:5" ht="15" customHeight="1">
      <c r="B547" s="84"/>
      <c r="C547" s="43" t="s">
        <v>165</v>
      </c>
      <c r="D547" s="42">
        <v>6</v>
      </c>
      <c r="E547" s="41">
        <v>6.6785396260017811E-4</v>
      </c>
    </row>
    <row r="548" spans="2:5" ht="15" customHeight="1">
      <c r="B548" s="84"/>
      <c r="C548" s="43" t="s">
        <v>164</v>
      </c>
      <c r="D548" s="42">
        <v>10</v>
      </c>
      <c r="E548" s="41">
        <v>1.1130899376669634E-3</v>
      </c>
    </row>
    <row r="549" spans="2:5" ht="15" customHeight="1">
      <c r="B549" s="84"/>
      <c r="C549" s="43" t="s">
        <v>163</v>
      </c>
      <c r="D549" s="42">
        <v>98</v>
      </c>
      <c r="E549" s="41">
        <v>1.0908281389136243E-2</v>
      </c>
    </row>
    <row r="550" spans="2:5" ht="15" customHeight="1">
      <c r="B550" s="84"/>
      <c r="C550" s="43" t="s">
        <v>161</v>
      </c>
      <c r="D550" s="42">
        <v>5</v>
      </c>
      <c r="E550" s="41">
        <v>5.5654496883348172E-4</v>
      </c>
    </row>
    <row r="551" spans="2:5" ht="15" customHeight="1">
      <c r="B551" s="84"/>
      <c r="C551" s="43" t="s">
        <v>160</v>
      </c>
      <c r="D551" s="42">
        <v>25</v>
      </c>
      <c r="E551" s="41">
        <v>2.7827248441674086E-3</v>
      </c>
    </row>
    <row r="552" spans="2:5" ht="15" customHeight="1">
      <c r="B552" s="84"/>
      <c r="C552" s="43" t="s">
        <v>159</v>
      </c>
      <c r="D552" s="42">
        <v>1</v>
      </c>
      <c r="E552" s="41">
        <v>1.1130899376669635E-4</v>
      </c>
    </row>
    <row r="553" spans="2:5" ht="15" customHeight="1">
      <c r="B553" s="84"/>
      <c r="C553" s="43" t="s">
        <v>155</v>
      </c>
      <c r="D553" s="42">
        <v>4</v>
      </c>
      <c r="E553" s="41">
        <v>4.4523597506678539E-4</v>
      </c>
    </row>
    <row r="554" spans="2:5" ht="15" customHeight="1">
      <c r="B554" s="84"/>
      <c r="C554" s="43" t="s">
        <v>154</v>
      </c>
      <c r="D554" s="42">
        <v>4</v>
      </c>
      <c r="E554" s="41">
        <v>4.4523597506678539E-4</v>
      </c>
    </row>
    <row r="555" spans="2:5" ht="15" customHeight="1">
      <c r="B555" s="85"/>
      <c r="C555" s="40" t="s">
        <v>23</v>
      </c>
      <c r="D555" s="39">
        <v>264</v>
      </c>
      <c r="E555" s="38">
        <v>2.9385574354407838E-2</v>
      </c>
    </row>
    <row r="556" spans="2:5" ht="15" customHeight="1">
      <c r="B556" s="83" t="s">
        <v>116</v>
      </c>
      <c r="C556" s="43" t="s">
        <v>174</v>
      </c>
      <c r="D556" s="42">
        <v>2</v>
      </c>
      <c r="E556" s="41">
        <v>2.2261798753339269E-4</v>
      </c>
    </row>
    <row r="557" spans="2:5" ht="15" customHeight="1">
      <c r="B557" s="84"/>
      <c r="C557" s="43" t="s">
        <v>173</v>
      </c>
      <c r="D557" s="42">
        <v>4</v>
      </c>
      <c r="E557" s="41">
        <v>4.4523597506678539E-4</v>
      </c>
    </row>
    <row r="558" spans="2:5" ht="15" customHeight="1">
      <c r="B558" s="84"/>
      <c r="C558" s="43" t="s">
        <v>172</v>
      </c>
      <c r="D558" s="42">
        <v>1</v>
      </c>
      <c r="E558" s="41">
        <v>1.1130899376669635E-4</v>
      </c>
    </row>
    <row r="559" spans="2:5" ht="15" customHeight="1">
      <c r="B559" s="84"/>
      <c r="C559" s="43" t="s">
        <v>171</v>
      </c>
      <c r="D559" s="42">
        <v>3</v>
      </c>
      <c r="E559" s="41">
        <v>3.3392698130008905E-4</v>
      </c>
    </row>
    <row r="560" spans="2:5" ht="15" customHeight="1">
      <c r="B560" s="84"/>
      <c r="C560" s="43" t="s">
        <v>170</v>
      </c>
      <c r="D560" s="42">
        <v>2</v>
      </c>
      <c r="E560" s="41">
        <v>2.2261798753339269E-4</v>
      </c>
    </row>
    <row r="561" spans="2:5" ht="15" customHeight="1">
      <c r="B561" s="84"/>
      <c r="C561" s="43" t="s">
        <v>169</v>
      </c>
      <c r="D561" s="42">
        <v>1</v>
      </c>
      <c r="E561" s="41">
        <v>1.1130899376669635E-4</v>
      </c>
    </row>
    <row r="562" spans="2:5" ht="15" customHeight="1">
      <c r="B562" s="84"/>
      <c r="C562" s="43" t="s">
        <v>168</v>
      </c>
      <c r="D562" s="42">
        <v>43</v>
      </c>
      <c r="E562" s="41">
        <v>4.7862867319679427E-3</v>
      </c>
    </row>
    <row r="563" spans="2:5" ht="15" customHeight="1">
      <c r="B563" s="84"/>
      <c r="C563" s="43" t="s">
        <v>167</v>
      </c>
      <c r="D563" s="42">
        <v>28</v>
      </c>
      <c r="E563" s="41">
        <v>3.116651825467498E-3</v>
      </c>
    </row>
    <row r="564" spans="2:5" ht="15" customHeight="1">
      <c r="B564" s="84"/>
      <c r="C564" s="43" t="s">
        <v>166</v>
      </c>
      <c r="D564" s="42">
        <v>2</v>
      </c>
      <c r="E564" s="41">
        <v>2.2261798753339269E-4</v>
      </c>
    </row>
    <row r="565" spans="2:5" ht="15" customHeight="1">
      <c r="B565" s="84"/>
      <c r="C565" s="43" t="s">
        <v>165</v>
      </c>
      <c r="D565" s="42">
        <v>3</v>
      </c>
      <c r="E565" s="41">
        <v>3.3392698130008905E-4</v>
      </c>
    </row>
    <row r="566" spans="2:5" ht="15" customHeight="1">
      <c r="B566" s="84"/>
      <c r="C566" s="43" t="s">
        <v>164</v>
      </c>
      <c r="D566" s="42">
        <v>23</v>
      </c>
      <c r="E566" s="41">
        <v>2.5601068566340158E-3</v>
      </c>
    </row>
    <row r="567" spans="2:5" ht="15" customHeight="1">
      <c r="B567" s="84"/>
      <c r="C567" s="43" t="s">
        <v>163</v>
      </c>
      <c r="D567" s="42">
        <v>64</v>
      </c>
      <c r="E567" s="41">
        <v>7.1237756010685662E-3</v>
      </c>
    </row>
    <row r="568" spans="2:5" ht="15" customHeight="1">
      <c r="B568" s="84"/>
      <c r="C568" s="43" t="s">
        <v>162</v>
      </c>
      <c r="D568" s="42">
        <v>5</v>
      </c>
      <c r="E568" s="41">
        <v>5.5654496883348172E-4</v>
      </c>
    </row>
    <row r="569" spans="2:5" ht="15" customHeight="1">
      <c r="B569" s="84"/>
      <c r="C569" s="43" t="s">
        <v>161</v>
      </c>
      <c r="D569" s="42">
        <v>11</v>
      </c>
      <c r="E569" s="41">
        <v>1.2243989314336598E-3</v>
      </c>
    </row>
    <row r="570" spans="2:5" ht="15" customHeight="1">
      <c r="B570" s="84"/>
      <c r="C570" s="43" t="s">
        <v>160</v>
      </c>
      <c r="D570" s="42">
        <v>29</v>
      </c>
      <c r="E570" s="41">
        <v>3.2279608192341941E-3</v>
      </c>
    </row>
    <row r="571" spans="2:5" ht="15" customHeight="1">
      <c r="B571" s="84"/>
      <c r="C571" s="43" t="s">
        <v>158</v>
      </c>
      <c r="D571" s="42">
        <v>2</v>
      </c>
      <c r="E571" s="41">
        <v>2.2261798753339269E-4</v>
      </c>
    </row>
    <row r="572" spans="2:5" ht="15" customHeight="1">
      <c r="B572" s="84"/>
      <c r="C572" s="43" t="s">
        <v>155</v>
      </c>
      <c r="D572" s="42">
        <v>2</v>
      </c>
      <c r="E572" s="41">
        <v>2.2261798753339269E-4</v>
      </c>
    </row>
    <row r="573" spans="2:5" ht="15" customHeight="1">
      <c r="B573" s="84"/>
      <c r="C573" s="43" t="s">
        <v>154</v>
      </c>
      <c r="D573" s="42">
        <v>3</v>
      </c>
      <c r="E573" s="41">
        <v>3.3392698130008905E-4</v>
      </c>
    </row>
    <row r="574" spans="2:5" ht="15" customHeight="1">
      <c r="B574" s="85"/>
      <c r="C574" s="40" t="s">
        <v>23</v>
      </c>
      <c r="D574" s="39">
        <v>228</v>
      </c>
      <c r="E574" s="38">
        <v>2.5378450578806767E-2</v>
      </c>
    </row>
    <row r="575" spans="2:5" ht="15" customHeight="1">
      <c r="B575" s="83" t="s">
        <v>100</v>
      </c>
      <c r="C575" s="43" t="s">
        <v>174</v>
      </c>
      <c r="D575" s="42">
        <v>4</v>
      </c>
      <c r="E575" s="41">
        <v>4.4523597506678539E-4</v>
      </c>
    </row>
    <row r="576" spans="2:5" ht="15" customHeight="1">
      <c r="B576" s="84"/>
      <c r="C576" s="43" t="s">
        <v>173</v>
      </c>
      <c r="D576" s="42">
        <v>3</v>
      </c>
      <c r="E576" s="41">
        <v>3.3392698130008905E-4</v>
      </c>
    </row>
    <row r="577" spans="2:5" ht="15" customHeight="1">
      <c r="B577" s="84"/>
      <c r="C577" s="43" t="s">
        <v>172</v>
      </c>
      <c r="D577" s="42">
        <v>6</v>
      </c>
      <c r="E577" s="41">
        <v>6.6785396260017811E-4</v>
      </c>
    </row>
    <row r="578" spans="2:5" ht="15" customHeight="1">
      <c r="B578" s="84"/>
      <c r="C578" s="43" t="s">
        <v>171</v>
      </c>
      <c r="D578" s="42">
        <v>9</v>
      </c>
      <c r="E578" s="41">
        <v>1.0017809439002671E-3</v>
      </c>
    </row>
    <row r="579" spans="2:5" ht="15" customHeight="1">
      <c r="B579" s="84"/>
      <c r="C579" s="43" t="s">
        <v>170</v>
      </c>
      <c r="D579" s="42">
        <v>5</v>
      </c>
      <c r="E579" s="41">
        <v>5.5654496883348172E-4</v>
      </c>
    </row>
    <row r="580" spans="2:5" ht="15" customHeight="1">
      <c r="B580" s="84"/>
      <c r="C580" s="43" t="s">
        <v>169</v>
      </c>
      <c r="D580" s="42">
        <v>6</v>
      </c>
      <c r="E580" s="41">
        <v>6.6785396260017811E-4</v>
      </c>
    </row>
    <row r="581" spans="2:5" ht="15" customHeight="1">
      <c r="B581" s="84"/>
      <c r="C581" s="43" t="s">
        <v>168</v>
      </c>
      <c r="D581" s="42">
        <v>20</v>
      </c>
      <c r="E581" s="41">
        <v>2.2261798753339269E-3</v>
      </c>
    </row>
    <row r="582" spans="2:5" ht="15" customHeight="1">
      <c r="B582" s="84"/>
      <c r="C582" s="43" t="s">
        <v>167</v>
      </c>
      <c r="D582" s="42">
        <v>103</v>
      </c>
      <c r="E582" s="41">
        <v>1.1464826357969724E-2</v>
      </c>
    </row>
    <row r="583" spans="2:5" ht="15" customHeight="1">
      <c r="B583" s="84"/>
      <c r="C583" s="43" t="s">
        <v>166</v>
      </c>
      <c r="D583" s="42">
        <v>4</v>
      </c>
      <c r="E583" s="41">
        <v>4.4523597506678539E-4</v>
      </c>
    </row>
    <row r="584" spans="2:5" ht="15" customHeight="1">
      <c r="B584" s="84"/>
      <c r="C584" s="43" t="s">
        <v>165</v>
      </c>
      <c r="D584" s="42">
        <v>3</v>
      </c>
      <c r="E584" s="41">
        <v>3.3392698130008905E-4</v>
      </c>
    </row>
    <row r="585" spans="2:5" ht="15" customHeight="1">
      <c r="B585" s="84"/>
      <c r="C585" s="43" t="s">
        <v>164</v>
      </c>
      <c r="D585" s="42">
        <v>7</v>
      </c>
      <c r="E585" s="41">
        <v>7.7916295636687449E-4</v>
      </c>
    </row>
    <row r="586" spans="2:5" ht="15" customHeight="1">
      <c r="B586" s="84"/>
      <c r="C586" s="43" t="s">
        <v>163</v>
      </c>
      <c r="D586" s="42">
        <v>104</v>
      </c>
      <c r="E586" s="41">
        <v>1.1576135351736421E-2</v>
      </c>
    </row>
    <row r="587" spans="2:5" ht="15" customHeight="1">
      <c r="B587" s="84"/>
      <c r="C587" s="43" t="s">
        <v>162</v>
      </c>
      <c r="D587" s="42">
        <v>1</v>
      </c>
      <c r="E587" s="41">
        <v>1.1130899376669635E-4</v>
      </c>
    </row>
    <row r="588" spans="2:5" ht="15" customHeight="1">
      <c r="B588" s="84"/>
      <c r="C588" s="43" t="s">
        <v>161</v>
      </c>
      <c r="D588" s="42">
        <v>7</v>
      </c>
      <c r="E588" s="41">
        <v>7.7916295636687449E-4</v>
      </c>
    </row>
    <row r="589" spans="2:5" ht="15" customHeight="1">
      <c r="B589" s="84"/>
      <c r="C589" s="43" t="s">
        <v>160</v>
      </c>
      <c r="D589" s="42">
        <v>38</v>
      </c>
      <c r="E589" s="41">
        <v>4.2297417631344614E-3</v>
      </c>
    </row>
    <row r="590" spans="2:5" ht="15" customHeight="1">
      <c r="B590" s="84"/>
      <c r="C590" s="43" t="s">
        <v>157</v>
      </c>
      <c r="D590" s="42">
        <v>1</v>
      </c>
      <c r="E590" s="41">
        <v>1.1130899376669635E-4</v>
      </c>
    </row>
    <row r="591" spans="2:5" ht="15" customHeight="1">
      <c r="B591" s="84"/>
      <c r="C591" s="43" t="s">
        <v>155</v>
      </c>
      <c r="D591" s="42">
        <v>2</v>
      </c>
      <c r="E591" s="41">
        <v>2.2261798753339269E-4</v>
      </c>
    </row>
    <row r="592" spans="2:5" ht="15" customHeight="1">
      <c r="B592" s="84"/>
      <c r="C592" s="43" t="s">
        <v>154</v>
      </c>
      <c r="D592" s="42">
        <v>3</v>
      </c>
      <c r="E592" s="41">
        <v>3.3392698130008905E-4</v>
      </c>
    </row>
    <row r="593" spans="2:5" ht="15" customHeight="1">
      <c r="B593" s="85"/>
      <c r="C593" s="40" t="s">
        <v>23</v>
      </c>
      <c r="D593" s="39">
        <v>326</v>
      </c>
      <c r="E593" s="38">
        <v>3.6286731967943013E-2</v>
      </c>
    </row>
    <row r="594" spans="2:5" ht="15" customHeight="1">
      <c r="B594" s="83" t="s">
        <v>113</v>
      </c>
      <c r="C594" s="43" t="s">
        <v>174</v>
      </c>
      <c r="D594" s="42">
        <v>1</v>
      </c>
      <c r="E594" s="41">
        <v>1.1130899376669635E-4</v>
      </c>
    </row>
    <row r="595" spans="2:5" ht="15" customHeight="1">
      <c r="B595" s="84"/>
      <c r="C595" s="43" t="s">
        <v>171</v>
      </c>
      <c r="D595" s="42">
        <v>3</v>
      </c>
      <c r="E595" s="41">
        <v>3.3392698130008905E-4</v>
      </c>
    </row>
    <row r="596" spans="2:5" ht="15" customHeight="1">
      <c r="B596" s="84"/>
      <c r="C596" s="43" t="s">
        <v>170</v>
      </c>
      <c r="D596" s="42">
        <v>1</v>
      </c>
      <c r="E596" s="41">
        <v>1.1130899376669635E-4</v>
      </c>
    </row>
    <row r="597" spans="2:5" ht="15" customHeight="1">
      <c r="B597" s="84"/>
      <c r="C597" s="43" t="s">
        <v>168</v>
      </c>
      <c r="D597" s="42">
        <v>9</v>
      </c>
      <c r="E597" s="41">
        <v>1.0017809439002671E-3</v>
      </c>
    </row>
    <row r="598" spans="2:5" ht="15" customHeight="1">
      <c r="B598" s="84"/>
      <c r="C598" s="43" t="s">
        <v>167</v>
      </c>
      <c r="D598" s="42">
        <v>15</v>
      </c>
      <c r="E598" s="41">
        <v>1.6696349065004452E-3</v>
      </c>
    </row>
    <row r="599" spans="2:5" ht="15" customHeight="1">
      <c r="B599" s="84"/>
      <c r="C599" s="43" t="s">
        <v>164</v>
      </c>
      <c r="D599" s="42">
        <v>1</v>
      </c>
      <c r="E599" s="41">
        <v>1.1130899376669635E-4</v>
      </c>
    </row>
    <row r="600" spans="2:5" ht="15" customHeight="1">
      <c r="B600" s="84"/>
      <c r="C600" s="43" t="s">
        <v>163</v>
      </c>
      <c r="D600" s="42">
        <v>44</v>
      </c>
      <c r="E600" s="41">
        <v>4.8975957257346393E-3</v>
      </c>
    </row>
    <row r="601" spans="2:5" ht="15" customHeight="1">
      <c r="B601" s="84"/>
      <c r="C601" s="43" t="s">
        <v>161</v>
      </c>
      <c r="D601" s="42">
        <v>2</v>
      </c>
      <c r="E601" s="41">
        <v>2.2261798753339269E-4</v>
      </c>
    </row>
    <row r="602" spans="2:5" ht="15" customHeight="1">
      <c r="B602" s="84"/>
      <c r="C602" s="43" t="s">
        <v>160</v>
      </c>
      <c r="D602" s="42">
        <v>12</v>
      </c>
      <c r="E602" s="41">
        <v>1.3357079252003562E-3</v>
      </c>
    </row>
    <row r="603" spans="2:5" ht="15" customHeight="1">
      <c r="B603" s="84"/>
      <c r="C603" s="43" t="s">
        <v>156</v>
      </c>
      <c r="D603" s="42">
        <v>1</v>
      </c>
      <c r="E603" s="41">
        <v>1.1130899376669635E-4</v>
      </c>
    </row>
    <row r="604" spans="2:5" ht="15" customHeight="1">
      <c r="B604" s="84"/>
      <c r="C604" s="43" t="s">
        <v>155</v>
      </c>
      <c r="D604" s="42">
        <v>1</v>
      </c>
      <c r="E604" s="41">
        <v>1.1130899376669635E-4</v>
      </c>
    </row>
    <row r="605" spans="2:5" ht="15" customHeight="1">
      <c r="B605" s="84"/>
      <c r="C605" s="43" t="s">
        <v>179</v>
      </c>
      <c r="D605" s="42">
        <v>1</v>
      </c>
      <c r="E605" s="41">
        <v>1.1130899376669635E-4</v>
      </c>
    </row>
    <row r="606" spans="2:5" ht="15" customHeight="1">
      <c r="B606" s="85"/>
      <c r="C606" s="40" t="s">
        <v>23</v>
      </c>
      <c r="D606" s="39">
        <v>91</v>
      </c>
      <c r="E606" s="38">
        <v>1.0129118432769368E-2</v>
      </c>
    </row>
    <row r="607" spans="2:5" ht="15" customHeight="1">
      <c r="B607" s="83" t="s">
        <v>180</v>
      </c>
      <c r="C607" s="43" t="s">
        <v>174</v>
      </c>
      <c r="D607" s="42">
        <v>4</v>
      </c>
      <c r="E607" s="41">
        <v>4.4523597506678539E-4</v>
      </c>
    </row>
    <row r="608" spans="2:5" ht="15" customHeight="1">
      <c r="B608" s="84"/>
      <c r="C608" s="43" t="s">
        <v>172</v>
      </c>
      <c r="D608" s="42">
        <v>1</v>
      </c>
      <c r="E608" s="41">
        <v>1.1130899376669635E-4</v>
      </c>
    </row>
    <row r="609" spans="2:5" ht="15" customHeight="1">
      <c r="B609" s="84"/>
      <c r="C609" s="43" t="s">
        <v>169</v>
      </c>
      <c r="D609" s="42">
        <v>2</v>
      </c>
      <c r="E609" s="41">
        <v>2.2261798753339269E-4</v>
      </c>
    </row>
    <row r="610" spans="2:5" ht="15" customHeight="1">
      <c r="B610" s="84"/>
      <c r="C610" s="43" t="s">
        <v>168</v>
      </c>
      <c r="D610" s="42">
        <v>11</v>
      </c>
      <c r="E610" s="41">
        <v>1.2243989314336598E-3</v>
      </c>
    </row>
    <row r="611" spans="2:5" ht="15" customHeight="1">
      <c r="B611" s="84"/>
      <c r="C611" s="43" t="s">
        <v>167</v>
      </c>
      <c r="D611" s="42">
        <v>14</v>
      </c>
      <c r="E611" s="41">
        <v>1.558325912733749E-3</v>
      </c>
    </row>
    <row r="612" spans="2:5" ht="15" customHeight="1">
      <c r="B612" s="84"/>
      <c r="C612" s="43" t="s">
        <v>166</v>
      </c>
      <c r="D612" s="42">
        <v>1</v>
      </c>
      <c r="E612" s="41">
        <v>1.1130899376669635E-4</v>
      </c>
    </row>
    <row r="613" spans="2:5" ht="15" customHeight="1">
      <c r="B613" s="84"/>
      <c r="C613" s="43" t="s">
        <v>165</v>
      </c>
      <c r="D613" s="42">
        <v>4</v>
      </c>
      <c r="E613" s="41">
        <v>4.4523597506678539E-4</v>
      </c>
    </row>
    <row r="614" spans="2:5" ht="15" customHeight="1">
      <c r="B614" s="84"/>
      <c r="C614" s="43" t="s">
        <v>164</v>
      </c>
      <c r="D614" s="42">
        <v>2</v>
      </c>
      <c r="E614" s="41">
        <v>2.2261798753339269E-4</v>
      </c>
    </row>
    <row r="615" spans="2:5" ht="15" customHeight="1">
      <c r="B615" s="84"/>
      <c r="C615" s="43" t="s">
        <v>163</v>
      </c>
      <c r="D615" s="42">
        <v>29</v>
      </c>
      <c r="E615" s="41">
        <v>3.2279608192341941E-3</v>
      </c>
    </row>
    <row r="616" spans="2:5" ht="15" customHeight="1">
      <c r="B616" s="84"/>
      <c r="C616" s="43" t="s">
        <v>161</v>
      </c>
      <c r="D616" s="42">
        <v>4</v>
      </c>
      <c r="E616" s="41">
        <v>4.4523597506678539E-4</v>
      </c>
    </row>
    <row r="617" spans="2:5" ht="15" customHeight="1">
      <c r="B617" s="84"/>
      <c r="C617" s="43" t="s">
        <v>160</v>
      </c>
      <c r="D617" s="42">
        <v>9</v>
      </c>
      <c r="E617" s="41">
        <v>1.0017809439002671E-3</v>
      </c>
    </row>
    <row r="618" spans="2:5" ht="15" customHeight="1">
      <c r="B618" s="84"/>
      <c r="C618" s="43" t="s">
        <v>155</v>
      </c>
      <c r="D618" s="42">
        <v>1</v>
      </c>
      <c r="E618" s="41">
        <v>1.1130899376669635E-4</v>
      </c>
    </row>
    <row r="619" spans="2:5" ht="15" customHeight="1">
      <c r="B619" s="84"/>
      <c r="C619" s="43" t="s">
        <v>154</v>
      </c>
      <c r="D619" s="42">
        <v>1</v>
      </c>
      <c r="E619" s="41">
        <v>1.1130899376669635E-4</v>
      </c>
    </row>
    <row r="620" spans="2:5" ht="15" customHeight="1">
      <c r="B620" s="85"/>
      <c r="C620" s="40" t="s">
        <v>23</v>
      </c>
      <c r="D620" s="39">
        <v>83</v>
      </c>
      <c r="E620" s="38">
        <v>9.2386464826357973E-3</v>
      </c>
    </row>
    <row r="621" spans="2:5" ht="15" customHeight="1">
      <c r="B621" s="83" t="s">
        <v>115</v>
      </c>
      <c r="C621" s="43" t="s">
        <v>174</v>
      </c>
      <c r="D621" s="42">
        <v>8</v>
      </c>
      <c r="E621" s="41">
        <v>8.9047195013357077E-4</v>
      </c>
    </row>
    <row r="622" spans="2:5" ht="15" customHeight="1">
      <c r="B622" s="84"/>
      <c r="C622" s="43" t="s">
        <v>173</v>
      </c>
      <c r="D622" s="42">
        <v>3</v>
      </c>
      <c r="E622" s="41">
        <v>3.3392698130008905E-4</v>
      </c>
    </row>
    <row r="623" spans="2:5" ht="15" customHeight="1">
      <c r="B623" s="84"/>
      <c r="C623" s="43" t="s">
        <v>172</v>
      </c>
      <c r="D623" s="42">
        <v>5</v>
      </c>
      <c r="E623" s="41">
        <v>5.5654496883348172E-4</v>
      </c>
    </row>
    <row r="624" spans="2:5" ht="15" customHeight="1">
      <c r="B624" s="84"/>
      <c r="C624" s="43" t="s">
        <v>171</v>
      </c>
      <c r="D624" s="42">
        <v>4</v>
      </c>
      <c r="E624" s="41">
        <v>4.4523597506678539E-4</v>
      </c>
    </row>
    <row r="625" spans="2:5" ht="15" customHeight="1">
      <c r="B625" s="84"/>
      <c r="C625" s="43" t="s">
        <v>170</v>
      </c>
      <c r="D625" s="42">
        <v>9</v>
      </c>
      <c r="E625" s="41">
        <v>1.0017809439002671E-3</v>
      </c>
    </row>
    <row r="626" spans="2:5" ht="15" customHeight="1">
      <c r="B626" s="84"/>
      <c r="C626" s="43" t="s">
        <v>169</v>
      </c>
      <c r="D626" s="42">
        <v>7</v>
      </c>
      <c r="E626" s="41">
        <v>7.7916295636687449E-4</v>
      </c>
    </row>
    <row r="627" spans="2:5" ht="15" customHeight="1">
      <c r="B627" s="84"/>
      <c r="C627" s="43" t="s">
        <v>168</v>
      </c>
      <c r="D627" s="42">
        <v>43</v>
      </c>
      <c r="E627" s="41">
        <v>4.7862867319679427E-3</v>
      </c>
    </row>
    <row r="628" spans="2:5" ht="15" customHeight="1">
      <c r="B628" s="84"/>
      <c r="C628" s="43" t="s">
        <v>167</v>
      </c>
      <c r="D628" s="42">
        <v>82</v>
      </c>
      <c r="E628" s="41">
        <v>9.1273374888691007E-3</v>
      </c>
    </row>
    <row r="629" spans="2:5" ht="15" customHeight="1">
      <c r="B629" s="84"/>
      <c r="C629" s="43" t="s">
        <v>166</v>
      </c>
      <c r="D629" s="42">
        <v>1</v>
      </c>
      <c r="E629" s="41">
        <v>1.1130899376669635E-4</v>
      </c>
    </row>
    <row r="630" spans="2:5" ht="15" customHeight="1">
      <c r="B630" s="84"/>
      <c r="C630" s="43" t="s">
        <v>165</v>
      </c>
      <c r="D630" s="42">
        <v>9</v>
      </c>
      <c r="E630" s="41">
        <v>1.0017809439002671E-3</v>
      </c>
    </row>
    <row r="631" spans="2:5" ht="15" customHeight="1">
      <c r="B631" s="84"/>
      <c r="C631" s="43" t="s">
        <v>164</v>
      </c>
      <c r="D631" s="42">
        <v>7</v>
      </c>
      <c r="E631" s="41">
        <v>7.7916295636687449E-4</v>
      </c>
    </row>
    <row r="632" spans="2:5" ht="15" customHeight="1">
      <c r="B632" s="84"/>
      <c r="C632" s="43" t="s">
        <v>163</v>
      </c>
      <c r="D632" s="42">
        <v>116</v>
      </c>
      <c r="E632" s="41">
        <v>1.2911843276936777E-2</v>
      </c>
    </row>
    <row r="633" spans="2:5" ht="15" customHeight="1">
      <c r="B633" s="84"/>
      <c r="C633" s="43" t="s">
        <v>162</v>
      </c>
      <c r="D633" s="42">
        <v>1</v>
      </c>
      <c r="E633" s="41">
        <v>1.1130899376669635E-4</v>
      </c>
    </row>
    <row r="634" spans="2:5" ht="15" customHeight="1">
      <c r="B634" s="84"/>
      <c r="C634" s="43" t="s">
        <v>161</v>
      </c>
      <c r="D634" s="42">
        <v>17</v>
      </c>
      <c r="E634" s="41">
        <v>1.8922528940338379E-3</v>
      </c>
    </row>
    <row r="635" spans="2:5" ht="15" customHeight="1">
      <c r="B635" s="84"/>
      <c r="C635" s="43" t="s">
        <v>160</v>
      </c>
      <c r="D635" s="42">
        <v>28</v>
      </c>
      <c r="E635" s="41">
        <v>3.116651825467498E-3</v>
      </c>
    </row>
    <row r="636" spans="2:5" ht="15" customHeight="1">
      <c r="B636" s="84"/>
      <c r="C636" s="43" t="s">
        <v>159</v>
      </c>
      <c r="D636" s="42">
        <v>1</v>
      </c>
      <c r="E636" s="41">
        <v>1.1130899376669635E-4</v>
      </c>
    </row>
    <row r="637" spans="2:5" ht="15" customHeight="1">
      <c r="B637" s="84"/>
      <c r="C637" s="43" t="s">
        <v>157</v>
      </c>
      <c r="D637" s="42">
        <v>2</v>
      </c>
      <c r="E637" s="41">
        <v>2.2261798753339269E-4</v>
      </c>
    </row>
    <row r="638" spans="2:5" ht="15" customHeight="1">
      <c r="B638" s="84"/>
      <c r="C638" s="43" t="s">
        <v>155</v>
      </c>
      <c r="D638" s="42">
        <v>1</v>
      </c>
      <c r="E638" s="41">
        <v>1.1130899376669635E-4</v>
      </c>
    </row>
    <row r="639" spans="2:5" ht="15" customHeight="1">
      <c r="B639" s="84"/>
      <c r="C639" s="43" t="s">
        <v>154</v>
      </c>
      <c r="D639" s="42">
        <v>5</v>
      </c>
      <c r="E639" s="41">
        <v>5.5654496883348172E-4</v>
      </c>
    </row>
    <row r="640" spans="2:5" ht="15" customHeight="1">
      <c r="B640" s="85"/>
      <c r="C640" s="40" t="s">
        <v>23</v>
      </c>
      <c r="D640" s="39">
        <v>349</v>
      </c>
      <c r="E640" s="38">
        <v>3.8846838824577026E-2</v>
      </c>
    </row>
    <row r="641" spans="2:5" ht="15" customHeight="1">
      <c r="B641" s="83" t="s">
        <v>93</v>
      </c>
      <c r="C641" s="43" t="s">
        <v>174</v>
      </c>
      <c r="D641" s="42">
        <v>1</v>
      </c>
      <c r="E641" s="41">
        <v>1.1130899376669635E-4</v>
      </c>
    </row>
    <row r="642" spans="2:5" ht="15" customHeight="1">
      <c r="B642" s="84"/>
      <c r="C642" s="43" t="s">
        <v>171</v>
      </c>
      <c r="D642" s="42">
        <v>3</v>
      </c>
      <c r="E642" s="41">
        <v>3.3392698130008905E-4</v>
      </c>
    </row>
    <row r="643" spans="2:5" ht="15" customHeight="1">
      <c r="B643" s="84"/>
      <c r="C643" s="43" t="s">
        <v>170</v>
      </c>
      <c r="D643" s="42">
        <v>1</v>
      </c>
      <c r="E643" s="41">
        <v>1.1130899376669635E-4</v>
      </c>
    </row>
    <row r="644" spans="2:5" ht="15" customHeight="1">
      <c r="B644" s="84"/>
      <c r="C644" s="43" t="s">
        <v>169</v>
      </c>
      <c r="D644" s="42">
        <v>1</v>
      </c>
      <c r="E644" s="41">
        <v>1.1130899376669635E-4</v>
      </c>
    </row>
    <row r="645" spans="2:5" ht="15" customHeight="1">
      <c r="B645" s="84"/>
      <c r="C645" s="43" t="s">
        <v>168</v>
      </c>
      <c r="D645" s="42">
        <v>8</v>
      </c>
      <c r="E645" s="41">
        <v>8.9047195013357077E-4</v>
      </c>
    </row>
    <row r="646" spans="2:5" ht="15" customHeight="1">
      <c r="B646" s="84"/>
      <c r="C646" s="43" t="s">
        <v>167</v>
      </c>
      <c r="D646" s="42">
        <v>17</v>
      </c>
      <c r="E646" s="41">
        <v>1.8922528940338379E-3</v>
      </c>
    </row>
    <row r="647" spans="2:5" ht="15" customHeight="1">
      <c r="B647" s="84"/>
      <c r="C647" s="43" t="s">
        <v>166</v>
      </c>
      <c r="D647" s="42">
        <v>1</v>
      </c>
      <c r="E647" s="41">
        <v>1.1130899376669635E-4</v>
      </c>
    </row>
    <row r="648" spans="2:5" ht="15" customHeight="1">
      <c r="B648" s="84"/>
      <c r="C648" s="43" t="s">
        <v>165</v>
      </c>
      <c r="D648" s="42">
        <v>1</v>
      </c>
      <c r="E648" s="41">
        <v>1.1130899376669635E-4</v>
      </c>
    </row>
    <row r="649" spans="2:5" ht="15" customHeight="1">
      <c r="B649" s="84"/>
      <c r="C649" s="43" t="s">
        <v>164</v>
      </c>
      <c r="D649" s="42">
        <v>4</v>
      </c>
      <c r="E649" s="41">
        <v>4.4523597506678539E-4</v>
      </c>
    </row>
    <row r="650" spans="2:5" ht="15" customHeight="1">
      <c r="B650" s="84"/>
      <c r="C650" s="43" t="s">
        <v>163</v>
      </c>
      <c r="D650" s="42">
        <v>48</v>
      </c>
      <c r="E650" s="41">
        <v>5.3428317008014248E-3</v>
      </c>
    </row>
    <row r="651" spans="2:5" ht="15" customHeight="1">
      <c r="B651" s="84"/>
      <c r="C651" s="43" t="s">
        <v>161</v>
      </c>
      <c r="D651" s="42">
        <v>2</v>
      </c>
      <c r="E651" s="41">
        <v>2.2261798753339269E-4</v>
      </c>
    </row>
    <row r="652" spans="2:5" ht="15" customHeight="1">
      <c r="B652" s="84"/>
      <c r="C652" s="43" t="s">
        <v>160</v>
      </c>
      <c r="D652" s="42">
        <v>15</v>
      </c>
      <c r="E652" s="41">
        <v>1.6696349065004452E-3</v>
      </c>
    </row>
    <row r="653" spans="2:5" ht="15" customHeight="1">
      <c r="B653" s="84"/>
      <c r="C653" s="43" t="s">
        <v>154</v>
      </c>
      <c r="D653" s="42">
        <v>1</v>
      </c>
      <c r="E653" s="41">
        <v>1.1130899376669635E-4</v>
      </c>
    </row>
    <row r="654" spans="2:5" ht="15" customHeight="1">
      <c r="B654" s="85"/>
      <c r="C654" s="40" t="s">
        <v>23</v>
      </c>
      <c r="D654" s="39">
        <v>103</v>
      </c>
      <c r="E654" s="38">
        <v>1.1464826357969724E-2</v>
      </c>
    </row>
    <row r="655" spans="2:5" ht="15" customHeight="1">
      <c r="B655" s="83" t="s">
        <v>84</v>
      </c>
      <c r="C655" s="43" t="s">
        <v>168</v>
      </c>
      <c r="D655" s="42">
        <v>1</v>
      </c>
      <c r="E655" s="41">
        <v>1.1130899376669635E-4</v>
      </c>
    </row>
    <row r="656" spans="2:5" ht="15" customHeight="1">
      <c r="B656" s="84"/>
      <c r="C656" s="43" t="s">
        <v>167</v>
      </c>
      <c r="D656" s="42">
        <v>1</v>
      </c>
      <c r="E656" s="41">
        <v>1.1130899376669635E-4</v>
      </c>
    </row>
    <row r="657" spans="2:5" ht="15" customHeight="1">
      <c r="B657" s="84"/>
      <c r="C657" s="43" t="s">
        <v>166</v>
      </c>
      <c r="D657" s="42">
        <v>1</v>
      </c>
      <c r="E657" s="41">
        <v>1.1130899376669635E-4</v>
      </c>
    </row>
    <row r="658" spans="2:5" ht="15" customHeight="1">
      <c r="B658" s="84"/>
      <c r="C658" s="43" t="s">
        <v>163</v>
      </c>
      <c r="D658" s="42">
        <v>1</v>
      </c>
      <c r="E658" s="41">
        <v>1.1130899376669635E-4</v>
      </c>
    </row>
    <row r="659" spans="2:5" ht="15" customHeight="1">
      <c r="B659" s="84"/>
      <c r="C659" s="43" t="s">
        <v>155</v>
      </c>
      <c r="D659" s="42">
        <v>1</v>
      </c>
      <c r="E659" s="41">
        <v>1.1130899376669635E-4</v>
      </c>
    </row>
    <row r="660" spans="2:5" ht="15" customHeight="1">
      <c r="B660" s="85"/>
      <c r="C660" s="40" t="s">
        <v>23</v>
      </c>
      <c r="D660" s="39">
        <v>5</v>
      </c>
      <c r="E660" s="38">
        <v>5.5654496883348172E-4</v>
      </c>
    </row>
    <row r="661" spans="2:5" ht="15" customHeight="1">
      <c r="B661" s="83" t="s">
        <v>60</v>
      </c>
      <c r="C661" s="43" t="s">
        <v>174</v>
      </c>
      <c r="D661" s="42">
        <v>2</v>
      </c>
      <c r="E661" s="41">
        <v>2.2261798753339269E-4</v>
      </c>
    </row>
    <row r="662" spans="2:5" ht="15" customHeight="1">
      <c r="B662" s="84"/>
      <c r="C662" s="43" t="s">
        <v>173</v>
      </c>
      <c r="D662" s="42">
        <v>2</v>
      </c>
      <c r="E662" s="41">
        <v>2.2261798753339269E-4</v>
      </c>
    </row>
    <row r="663" spans="2:5" ht="15" customHeight="1">
      <c r="B663" s="84"/>
      <c r="C663" s="43" t="s">
        <v>172</v>
      </c>
      <c r="D663" s="42">
        <v>3</v>
      </c>
      <c r="E663" s="41">
        <v>3.3392698130008905E-4</v>
      </c>
    </row>
    <row r="664" spans="2:5" ht="15" customHeight="1">
      <c r="B664" s="84"/>
      <c r="C664" s="43" t="s">
        <v>171</v>
      </c>
      <c r="D664" s="42">
        <v>1</v>
      </c>
      <c r="E664" s="41">
        <v>1.1130899376669635E-4</v>
      </c>
    </row>
    <row r="665" spans="2:5" ht="15" customHeight="1">
      <c r="B665" s="84"/>
      <c r="C665" s="43" t="s">
        <v>170</v>
      </c>
      <c r="D665" s="42">
        <v>2</v>
      </c>
      <c r="E665" s="41">
        <v>2.2261798753339269E-4</v>
      </c>
    </row>
    <row r="666" spans="2:5" ht="15" customHeight="1">
      <c r="B666" s="84"/>
      <c r="C666" s="43" t="s">
        <v>169</v>
      </c>
      <c r="D666" s="42">
        <v>1</v>
      </c>
      <c r="E666" s="41">
        <v>1.1130899376669635E-4</v>
      </c>
    </row>
    <row r="667" spans="2:5" ht="15" customHeight="1">
      <c r="B667" s="84"/>
      <c r="C667" s="43" t="s">
        <v>168</v>
      </c>
      <c r="D667" s="42">
        <v>9</v>
      </c>
      <c r="E667" s="41">
        <v>1.0017809439002671E-3</v>
      </c>
    </row>
    <row r="668" spans="2:5" ht="15" customHeight="1">
      <c r="B668" s="84"/>
      <c r="C668" s="43" t="s">
        <v>167</v>
      </c>
      <c r="D668" s="42">
        <v>35</v>
      </c>
      <c r="E668" s="41">
        <v>3.895814781834372E-3</v>
      </c>
    </row>
    <row r="669" spans="2:5" ht="15" customHeight="1">
      <c r="B669" s="84"/>
      <c r="C669" s="43" t="s">
        <v>166</v>
      </c>
      <c r="D669" s="42">
        <v>2</v>
      </c>
      <c r="E669" s="41">
        <v>2.2261798753339269E-4</v>
      </c>
    </row>
    <row r="670" spans="2:5" ht="15" customHeight="1">
      <c r="B670" s="84"/>
      <c r="C670" s="43" t="s">
        <v>165</v>
      </c>
      <c r="D670" s="42">
        <v>2</v>
      </c>
      <c r="E670" s="41">
        <v>2.2261798753339269E-4</v>
      </c>
    </row>
    <row r="671" spans="2:5" ht="15" customHeight="1">
      <c r="B671" s="84"/>
      <c r="C671" s="43" t="s">
        <v>164</v>
      </c>
      <c r="D671" s="42">
        <v>4</v>
      </c>
      <c r="E671" s="41">
        <v>4.4523597506678539E-4</v>
      </c>
    </row>
    <row r="672" spans="2:5" ht="15" customHeight="1">
      <c r="B672" s="84"/>
      <c r="C672" s="43" t="s">
        <v>163</v>
      </c>
      <c r="D672" s="42">
        <v>53</v>
      </c>
      <c r="E672" s="41">
        <v>5.8993766696349061E-3</v>
      </c>
    </row>
    <row r="673" spans="2:5" ht="15" customHeight="1">
      <c r="B673" s="84"/>
      <c r="C673" s="43" t="s">
        <v>161</v>
      </c>
      <c r="D673" s="42">
        <v>5</v>
      </c>
      <c r="E673" s="41">
        <v>5.5654496883348172E-4</v>
      </c>
    </row>
    <row r="674" spans="2:5" ht="15" customHeight="1">
      <c r="B674" s="84"/>
      <c r="C674" s="43" t="s">
        <v>160</v>
      </c>
      <c r="D674" s="42">
        <v>15</v>
      </c>
      <c r="E674" s="41">
        <v>1.6696349065004452E-3</v>
      </c>
    </row>
    <row r="675" spans="2:5" ht="15" customHeight="1">
      <c r="B675" s="84"/>
      <c r="C675" s="43" t="s">
        <v>159</v>
      </c>
      <c r="D675" s="42">
        <v>1</v>
      </c>
      <c r="E675" s="41">
        <v>1.1130899376669635E-4</v>
      </c>
    </row>
    <row r="676" spans="2:5" ht="15" customHeight="1">
      <c r="B676" s="84"/>
      <c r="C676" s="43" t="s">
        <v>154</v>
      </c>
      <c r="D676" s="42">
        <v>2</v>
      </c>
      <c r="E676" s="41">
        <v>2.2261798753339269E-4</v>
      </c>
    </row>
    <row r="677" spans="2:5" ht="15" customHeight="1">
      <c r="B677" s="84"/>
      <c r="C677" s="43" t="s">
        <v>179</v>
      </c>
      <c r="D677" s="42">
        <v>1</v>
      </c>
      <c r="E677" s="41">
        <v>1.1130899376669635E-4</v>
      </c>
    </row>
    <row r="678" spans="2:5" ht="15" customHeight="1">
      <c r="B678" s="85"/>
      <c r="C678" s="40" t="s">
        <v>23</v>
      </c>
      <c r="D678" s="39">
        <v>140</v>
      </c>
      <c r="E678" s="38">
        <v>1.5583259127337488E-2</v>
      </c>
    </row>
    <row r="679" spans="2:5" ht="15" customHeight="1">
      <c r="B679" s="95" t="s">
        <v>23</v>
      </c>
      <c r="C679" s="96"/>
      <c r="D679" s="97">
        <v>8984</v>
      </c>
      <c r="E679" s="98">
        <v>1</v>
      </c>
    </row>
    <row r="681" spans="2:5" ht="15" customHeight="1">
      <c r="B681" s="19" t="s">
        <v>22</v>
      </c>
    </row>
    <row r="682" spans="2:5" ht="15" customHeight="1">
      <c r="B682" s="21" t="s">
        <v>21</v>
      </c>
    </row>
    <row r="683" spans="2:5" ht="15" customHeight="1">
      <c r="B683" s="20" t="s">
        <v>20</v>
      </c>
    </row>
    <row r="684" spans="2:5" ht="15" customHeight="1">
      <c r="B684" s="19" t="s">
        <v>19</v>
      </c>
    </row>
    <row r="685" spans="2:5" ht="15" customHeight="1">
      <c r="B685" s="19" t="s">
        <v>18</v>
      </c>
    </row>
  </sheetData>
  <mergeCells count="47">
    <mergeCell ref="B679:C679"/>
    <mergeCell ref="B607:B620"/>
    <mergeCell ref="B514:B524"/>
    <mergeCell ref="B621:B640"/>
    <mergeCell ref="B641:B654"/>
    <mergeCell ref="B655:B660"/>
    <mergeCell ref="B661:B678"/>
    <mergeCell ref="B525:B537"/>
    <mergeCell ref="B538:B555"/>
    <mergeCell ref="B556:B574"/>
    <mergeCell ref="B575:B593"/>
    <mergeCell ref="B594:B606"/>
    <mergeCell ref="B446:B461"/>
    <mergeCell ref="B462:B475"/>
    <mergeCell ref="B476:B480"/>
    <mergeCell ref="B481:B497"/>
    <mergeCell ref="B498:B513"/>
    <mergeCell ref="B366:B384"/>
    <mergeCell ref="B385:B399"/>
    <mergeCell ref="B400:B414"/>
    <mergeCell ref="B415:B432"/>
    <mergeCell ref="B433:B445"/>
    <mergeCell ref="B209:B230"/>
    <mergeCell ref="B231:B245"/>
    <mergeCell ref="B246:B260"/>
    <mergeCell ref="B261:B264"/>
    <mergeCell ref="B265:B276"/>
    <mergeCell ref="B277:B295"/>
    <mergeCell ref="B296:B315"/>
    <mergeCell ref="B316:B331"/>
    <mergeCell ref="B332:B350"/>
    <mergeCell ref="B351:B365"/>
    <mergeCell ref="B74:B80"/>
    <mergeCell ref="B81:B93"/>
    <mergeCell ref="B94:B109"/>
    <mergeCell ref="B110:B132"/>
    <mergeCell ref="B133:B137"/>
    <mergeCell ref="B138:B152"/>
    <mergeCell ref="B153:B164"/>
    <mergeCell ref="B165:B173"/>
    <mergeCell ref="B174:B192"/>
    <mergeCell ref="B193:B208"/>
    <mergeCell ref="B7:E8"/>
    <mergeCell ref="B10:B18"/>
    <mergeCell ref="B19:B37"/>
    <mergeCell ref="B38:B59"/>
    <mergeCell ref="B60:B7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portrait" r:id="rId1"/>
  <rowBreaks count="18" manualBreakCount="18">
    <brk id="37" max="4" man="1"/>
    <brk id="80" max="4" man="1"/>
    <brk id="109" max="4" man="1"/>
    <brk id="152" max="4" man="1"/>
    <brk id="192" max="4" man="1"/>
    <brk id="230" max="4" man="1"/>
    <brk id="264" max="4" man="1"/>
    <brk id="295" max="4" man="1"/>
    <brk id="331" max="4" man="1"/>
    <brk id="365" max="4" man="1"/>
    <brk id="399" max="4" man="1"/>
    <brk id="432" max="4" man="1"/>
    <brk id="475" max="4" man="1"/>
    <brk id="513" max="4" man="1"/>
    <brk id="555" max="4" man="1"/>
    <brk id="593" max="4" man="1"/>
    <brk id="620" max="4" man="1"/>
    <brk id="660" max="4" man="1"/>
  </rowBreaks>
  <colBreaks count="1" manualBreakCount="1">
    <brk id="5" max="18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20"/>
  <sheetViews>
    <sheetView showGridLines="0" topLeftCell="A7" zoomScaleNormal="100" zoomScaleSheetLayoutView="115" workbookViewId="0">
      <selection activeCell="D14" sqref="D14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75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7" t="s">
        <v>189</v>
      </c>
      <c r="C7" s="87"/>
      <c r="D7" s="87"/>
    </row>
    <row r="8" spans="1:4" s="29" customFormat="1" ht="15" customHeight="1">
      <c r="B8" s="87"/>
      <c r="C8" s="87"/>
      <c r="D8" s="87"/>
    </row>
    <row r="9" spans="1:4" s="29" customFormat="1" ht="33" customHeight="1">
      <c r="B9" s="87"/>
      <c r="C9" s="87"/>
      <c r="D9" s="87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188</v>
      </c>
      <c r="C11" s="31" t="s">
        <v>72</v>
      </c>
      <c r="D11" s="30" t="s">
        <v>71</v>
      </c>
    </row>
    <row r="12" spans="1:4" ht="15" customHeight="1">
      <c r="B12" s="27" t="s">
        <v>187</v>
      </c>
      <c r="C12" s="26">
        <v>6355</v>
      </c>
      <c r="D12" s="25">
        <v>0.70736865538735527</v>
      </c>
    </row>
    <row r="13" spans="1:4" ht="15" customHeight="1">
      <c r="B13" s="27" t="s">
        <v>186</v>
      </c>
      <c r="C13" s="26">
        <v>2629</v>
      </c>
      <c r="D13" s="25">
        <v>0.29263134461264473</v>
      </c>
    </row>
    <row r="14" spans="1:4">
      <c r="B14" s="24" t="s">
        <v>185</v>
      </c>
      <c r="C14" s="23">
        <v>8984</v>
      </c>
      <c r="D14" s="22">
        <v>1</v>
      </c>
    </row>
    <row r="15" spans="1:4" s="28" customFormat="1">
      <c r="A15" s="17"/>
      <c r="C15" s="59"/>
      <c r="D15" s="59"/>
    </row>
    <row r="16" spans="1:4" s="28" customFormat="1">
      <c r="A16" s="17"/>
      <c r="B16" s="19" t="s">
        <v>22</v>
      </c>
      <c r="C16" s="59"/>
      <c r="D16" s="59"/>
    </row>
    <row r="17" spans="2:4">
      <c r="B17" s="21" t="s">
        <v>21</v>
      </c>
      <c r="C17" s="58"/>
      <c r="D17" s="58"/>
    </row>
    <row r="18" spans="2:4">
      <c r="B18" s="20" t="s">
        <v>20</v>
      </c>
      <c r="C18" s="57"/>
      <c r="D18" s="57"/>
    </row>
    <row r="19" spans="2:4">
      <c r="B19" s="19" t="s">
        <v>19</v>
      </c>
    </row>
    <row r="20" spans="2:4">
      <c r="B20" s="19" t="s">
        <v>18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0"/>
  <sheetViews>
    <sheetView showGridLines="0" topLeftCell="A124" zoomScale="91" zoomScaleNormal="91" zoomScaleSheetLayoutView="100" workbookViewId="0">
      <selection activeCell="G9" sqref="G9"/>
    </sheetView>
  </sheetViews>
  <sheetFormatPr baseColWidth="10" defaultColWidth="11.42578125" defaultRowHeight="11.25"/>
  <cols>
    <col min="1" max="1" width="5.7109375" style="29" customWidth="1"/>
    <col min="2" max="2" width="19" style="48" customWidth="1"/>
    <col min="3" max="3" width="14.7109375" style="48" customWidth="1"/>
    <col min="4" max="4" width="23.5703125" style="60" customWidth="1"/>
    <col min="5" max="5" width="15.140625" style="48" bestFit="1" customWidth="1"/>
    <col min="6" max="6" width="5.7109375" style="29" customWidth="1"/>
    <col min="7" max="16384" width="11.42578125" style="29"/>
  </cols>
  <sheetData>
    <row r="1" spans="1:6" s="62" customFormat="1" ht="15">
      <c r="B1" s="51"/>
      <c r="C1" s="48"/>
    </row>
    <row r="2" spans="1:6" s="48" customFormat="1">
      <c r="B2" s="66"/>
    </row>
    <row r="3" spans="1:6" ht="15" customHeight="1">
      <c r="B3" s="67"/>
      <c r="C3" s="35"/>
      <c r="D3" s="29"/>
      <c r="F3" s="48"/>
    </row>
    <row r="4" spans="1:6" ht="30" customHeight="1">
      <c r="B4" s="67"/>
      <c r="C4" s="35"/>
      <c r="D4" s="29"/>
      <c r="F4" s="48"/>
    </row>
    <row r="5" spans="1:6" ht="15" customHeight="1">
      <c r="B5" s="67"/>
      <c r="C5" s="35"/>
      <c r="D5" s="29"/>
      <c r="F5" s="48"/>
    </row>
    <row r="6" spans="1:6" s="48" customFormat="1">
      <c r="B6" s="55"/>
      <c r="C6" s="44"/>
    </row>
    <row r="7" spans="1:6" s="48" customFormat="1">
      <c r="A7" s="51"/>
      <c r="B7" s="66"/>
      <c r="C7" s="51"/>
    </row>
    <row r="8" spans="1:6" s="62" customFormat="1" ht="15" customHeight="1">
      <c r="B8" s="88" t="s">
        <v>192</v>
      </c>
      <c r="C8" s="88"/>
      <c r="D8" s="88"/>
      <c r="E8" s="88"/>
    </row>
    <row r="9" spans="1:6" s="62" customFormat="1" ht="15" customHeight="1">
      <c r="A9" s="64"/>
      <c r="B9" s="88"/>
      <c r="C9" s="88"/>
      <c r="D9" s="88"/>
      <c r="E9" s="88"/>
      <c r="F9" s="65"/>
    </row>
    <row r="10" spans="1:6" s="62" customFormat="1" ht="15" customHeight="1">
      <c r="A10" s="64"/>
      <c r="B10" s="89"/>
      <c r="C10" s="89"/>
      <c r="D10" s="89"/>
      <c r="E10" s="89"/>
      <c r="F10" s="64"/>
    </row>
    <row r="11" spans="1:6" s="62" customFormat="1" ht="36.950000000000003" customHeight="1">
      <c r="B11" s="63" t="s">
        <v>125</v>
      </c>
      <c r="C11" s="63" t="s">
        <v>188</v>
      </c>
      <c r="D11" s="63" t="s">
        <v>72</v>
      </c>
      <c r="E11" s="63" t="s">
        <v>71</v>
      </c>
    </row>
    <row r="12" spans="1:6" ht="15" customHeight="1">
      <c r="B12" s="90" t="s">
        <v>88</v>
      </c>
      <c r="C12" s="61" t="s">
        <v>191</v>
      </c>
      <c r="D12" s="26">
        <v>14</v>
      </c>
      <c r="E12" s="25">
        <v>1.558325912733749E-3</v>
      </c>
    </row>
    <row r="13" spans="1:6" ht="15" customHeight="1">
      <c r="B13" s="91"/>
      <c r="C13" s="61" t="s">
        <v>190</v>
      </c>
      <c r="D13" s="26">
        <v>4</v>
      </c>
      <c r="E13" s="25">
        <v>4.4523597506678539E-4</v>
      </c>
    </row>
    <row r="14" spans="1:6" ht="15" customHeight="1">
      <c r="B14" s="92"/>
      <c r="C14" s="72" t="s">
        <v>23</v>
      </c>
      <c r="D14" s="70">
        <v>18</v>
      </c>
      <c r="E14" s="71">
        <v>2.0035618878005341E-3</v>
      </c>
    </row>
    <row r="15" spans="1:6" ht="15" customHeight="1">
      <c r="B15" s="90" t="s">
        <v>120</v>
      </c>
      <c r="C15" s="61" t="s">
        <v>191</v>
      </c>
      <c r="D15" s="26">
        <v>471</v>
      </c>
      <c r="E15" s="25">
        <v>5.2426536064113981E-2</v>
      </c>
    </row>
    <row r="16" spans="1:6" ht="15" customHeight="1">
      <c r="B16" s="91"/>
      <c r="C16" s="61" t="s">
        <v>190</v>
      </c>
      <c r="D16" s="26">
        <v>176</v>
      </c>
      <c r="E16" s="25">
        <v>1.9590382902938557E-2</v>
      </c>
    </row>
    <row r="17" spans="1:6" s="48" customFormat="1" ht="15" customHeight="1">
      <c r="A17" s="29"/>
      <c r="B17" s="92"/>
      <c r="C17" s="72" t="s">
        <v>23</v>
      </c>
      <c r="D17" s="70">
        <v>647</v>
      </c>
      <c r="E17" s="71">
        <v>7.2016918967052534E-2</v>
      </c>
      <c r="F17" s="29"/>
    </row>
    <row r="18" spans="1:6" s="48" customFormat="1" ht="15" customHeight="1">
      <c r="A18" s="29"/>
      <c r="B18" s="90" t="s">
        <v>110</v>
      </c>
      <c r="C18" s="61" t="s">
        <v>191</v>
      </c>
      <c r="D18" s="26">
        <v>387</v>
      </c>
      <c r="E18" s="25">
        <v>4.3076580587711487E-2</v>
      </c>
      <c r="F18" s="29"/>
    </row>
    <row r="19" spans="1:6" s="48" customFormat="1" ht="15" customHeight="1">
      <c r="A19" s="29"/>
      <c r="B19" s="91"/>
      <c r="C19" s="61" t="s">
        <v>190</v>
      </c>
      <c r="D19" s="26">
        <v>145</v>
      </c>
      <c r="E19" s="25">
        <v>1.6139804096170971E-2</v>
      </c>
      <c r="F19" s="29"/>
    </row>
    <row r="20" spans="1:6" s="48" customFormat="1" ht="15" customHeight="1">
      <c r="A20" s="29"/>
      <c r="B20" s="92"/>
      <c r="C20" s="72" t="s">
        <v>23</v>
      </c>
      <c r="D20" s="70">
        <v>532</v>
      </c>
      <c r="E20" s="71">
        <v>5.9216384683882455E-2</v>
      </c>
      <c r="F20" s="29"/>
    </row>
    <row r="21" spans="1:6" s="48" customFormat="1" ht="15" customHeight="1">
      <c r="A21" s="29"/>
      <c r="B21" s="90" t="s">
        <v>86</v>
      </c>
      <c r="C21" s="61" t="s">
        <v>191</v>
      </c>
      <c r="D21" s="26">
        <v>32</v>
      </c>
      <c r="E21" s="25">
        <v>3.5618878005342831E-3</v>
      </c>
      <c r="F21" s="29"/>
    </row>
    <row r="22" spans="1:6" ht="13.5">
      <c r="B22" s="91"/>
      <c r="C22" s="61" t="s">
        <v>190</v>
      </c>
      <c r="D22" s="26">
        <v>13</v>
      </c>
      <c r="E22" s="25">
        <v>1.4470169189670526E-3</v>
      </c>
    </row>
    <row r="23" spans="1:6" ht="13.5">
      <c r="B23" s="92"/>
      <c r="C23" s="72" t="s">
        <v>23</v>
      </c>
      <c r="D23" s="70">
        <v>45</v>
      </c>
      <c r="E23" s="71">
        <v>5.0089047195013359E-3</v>
      </c>
    </row>
    <row r="24" spans="1:6" ht="13.5">
      <c r="B24" s="90" t="s">
        <v>82</v>
      </c>
      <c r="C24" s="61" t="s">
        <v>191</v>
      </c>
      <c r="D24" s="26">
        <v>28</v>
      </c>
      <c r="E24" s="25">
        <v>3.116651825467498E-3</v>
      </c>
    </row>
    <row r="25" spans="1:6" ht="13.5">
      <c r="B25" s="91"/>
      <c r="C25" s="61" t="s">
        <v>190</v>
      </c>
      <c r="D25" s="26">
        <v>5</v>
      </c>
      <c r="E25" s="25">
        <v>5.5654496883348172E-4</v>
      </c>
    </row>
    <row r="26" spans="1:6" ht="13.5">
      <c r="B26" s="92"/>
      <c r="C26" s="72" t="s">
        <v>23</v>
      </c>
      <c r="D26" s="70">
        <v>33</v>
      </c>
      <c r="E26" s="71">
        <v>3.6731967943009797E-3</v>
      </c>
    </row>
    <row r="27" spans="1:6" ht="13.5">
      <c r="B27" s="90" t="s">
        <v>87</v>
      </c>
      <c r="C27" s="61" t="s">
        <v>191</v>
      </c>
      <c r="D27" s="26">
        <v>18</v>
      </c>
      <c r="E27" s="25">
        <v>2.0035618878005341E-3</v>
      </c>
    </row>
    <row r="28" spans="1:6" ht="13.5">
      <c r="B28" s="91"/>
      <c r="C28" s="61" t="s">
        <v>190</v>
      </c>
      <c r="D28" s="26">
        <v>31</v>
      </c>
      <c r="E28" s="25">
        <v>3.4505788067675869E-3</v>
      </c>
    </row>
    <row r="29" spans="1:6" ht="13.5">
      <c r="B29" s="92"/>
      <c r="C29" s="72" t="s">
        <v>23</v>
      </c>
      <c r="D29" s="70">
        <v>49</v>
      </c>
      <c r="E29" s="71">
        <v>5.4541406945681215E-3</v>
      </c>
    </row>
    <row r="30" spans="1:6" ht="13.5">
      <c r="B30" s="90" t="s">
        <v>123</v>
      </c>
      <c r="C30" s="61" t="s">
        <v>191</v>
      </c>
      <c r="D30" s="26">
        <v>129</v>
      </c>
      <c r="E30" s="25">
        <v>1.4358860195903829E-2</v>
      </c>
    </row>
    <row r="31" spans="1:6" ht="13.5">
      <c r="B31" s="91"/>
      <c r="C31" s="61" t="s">
        <v>190</v>
      </c>
      <c r="D31" s="26">
        <v>79</v>
      </c>
      <c r="E31" s="25">
        <v>8.7934105075690109E-3</v>
      </c>
    </row>
    <row r="32" spans="1:6" ht="13.5">
      <c r="B32" s="92"/>
      <c r="C32" s="72" t="s">
        <v>23</v>
      </c>
      <c r="D32" s="70">
        <v>208</v>
      </c>
      <c r="E32" s="71">
        <v>2.3152270703472842E-2</v>
      </c>
    </row>
    <row r="33" spans="2:5" ht="13.5">
      <c r="B33" s="90" t="s">
        <v>121</v>
      </c>
      <c r="C33" s="61" t="s">
        <v>191</v>
      </c>
      <c r="D33" s="26">
        <v>766</v>
      </c>
      <c r="E33" s="25">
        <v>8.5262689225289401E-2</v>
      </c>
    </row>
    <row r="34" spans="2:5" ht="13.5">
      <c r="B34" s="91"/>
      <c r="C34" s="61" t="s">
        <v>190</v>
      </c>
      <c r="D34" s="26">
        <v>349</v>
      </c>
      <c r="E34" s="25">
        <v>3.8846838824577026E-2</v>
      </c>
    </row>
    <row r="35" spans="2:5" ht="13.5">
      <c r="B35" s="92"/>
      <c r="C35" s="72" t="s">
        <v>23</v>
      </c>
      <c r="D35" s="70">
        <v>1115</v>
      </c>
      <c r="E35" s="71">
        <v>0.12410952804986643</v>
      </c>
    </row>
    <row r="36" spans="2:5" ht="13.5">
      <c r="B36" s="90" t="s">
        <v>184</v>
      </c>
      <c r="C36" s="61" t="s">
        <v>191</v>
      </c>
      <c r="D36" s="26">
        <v>5</v>
      </c>
      <c r="E36" s="25">
        <v>5.5654496883348172E-4</v>
      </c>
    </row>
    <row r="37" spans="2:5" ht="13.5">
      <c r="B37" s="91"/>
      <c r="C37" s="61" t="s">
        <v>190</v>
      </c>
      <c r="D37" s="26">
        <v>1</v>
      </c>
      <c r="E37" s="25">
        <v>1.1130899376669635E-4</v>
      </c>
    </row>
    <row r="38" spans="2:5" ht="13.5">
      <c r="B38" s="92"/>
      <c r="C38" s="72" t="s">
        <v>23</v>
      </c>
      <c r="D38" s="70">
        <v>6</v>
      </c>
      <c r="E38" s="71">
        <v>6.6785396260017811E-4</v>
      </c>
    </row>
    <row r="39" spans="2:5" ht="13.5">
      <c r="B39" s="90" t="s">
        <v>105</v>
      </c>
      <c r="C39" s="61" t="s">
        <v>191</v>
      </c>
      <c r="D39" s="26">
        <v>94</v>
      </c>
      <c r="E39" s="25">
        <v>1.0463045414069456E-2</v>
      </c>
    </row>
    <row r="40" spans="2:5" ht="13.5">
      <c r="B40" s="91"/>
      <c r="C40" s="61" t="s">
        <v>190</v>
      </c>
      <c r="D40" s="26">
        <v>13</v>
      </c>
      <c r="E40" s="25">
        <v>1.4470169189670526E-3</v>
      </c>
    </row>
    <row r="41" spans="2:5" ht="13.5">
      <c r="B41" s="92"/>
      <c r="C41" s="72" t="s">
        <v>23</v>
      </c>
      <c r="D41" s="70">
        <v>107</v>
      </c>
      <c r="E41" s="71">
        <v>1.1910062333036509E-2</v>
      </c>
    </row>
    <row r="42" spans="2:5" ht="13.5">
      <c r="B42" s="90" t="s">
        <v>91</v>
      </c>
      <c r="C42" s="61" t="s">
        <v>191</v>
      </c>
      <c r="D42" s="26">
        <v>32</v>
      </c>
      <c r="E42" s="25">
        <v>3.5618878005342831E-3</v>
      </c>
    </row>
    <row r="43" spans="2:5" ht="13.5">
      <c r="B43" s="91"/>
      <c r="C43" s="61" t="s">
        <v>190</v>
      </c>
      <c r="D43" s="26">
        <v>22</v>
      </c>
      <c r="E43" s="25">
        <v>2.4487978628673196E-3</v>
      </c>
    </row>
    <row r="44" spans="2:5" ht="13.5">
      <c r="B44" s="92"/>
      <c r="C44" s="72" t="s">
        <v>23</v>
      </c>
      <c r="D44" s="70">
        <v>54</v>
      </c>
      <c r="E44" s="71">
        <v>6.0106856634016027E-3</v>
      </c>
    </row>
    <row r="45" spans="2:5" ht="13.5">
      <c r="B45" s="90" t="s">
        <v>89</v>
      </c>
      <c r="C45" s="61" t="s">
        <v>191</v>
      </c>
      <c r="D45" s="26">
        <v>12</v>
      </c>
      <c r="E45" s="25">
        <v>1.3357079252003562E-3</v>
      </c>
    </row>
    <row r="46" spans="2:5" ht="13.5">
      <c r="B46" s="91"/>
      <c r="C46" s="61" t="s">
        <v>190</v>
      </c>
      <c r="D46" s="26">
        <v>5</v>
      </c>
      <c r="E46" s="25">
        <v>5.5654496883348172E-4</v>
      </c>
    </row>
    <row r="47" spans="2:5" ht="13.5">
      <c r="B47" s="92"/>
      <c r="C47" s="72" t="s">
        <v>23</v>
      </c>
      <c r="D47" s="70">
        <v>17</v>
      </c>
      <c r="E47" s="71">
        <v>1.8922528940338379E-3</v>
      </c>
    </row>
    <row r="48" spans="2:5" ht="13.5">
      <c r="B48" s="90" t="s">
        <v>102</v>
      </c>
      <c r="C48" s="61" t="s">
        <v>191</v>
      </c>
      <c r="D48" s="26">
        <v>75</v>
      </c>
      <c r="E48" s="25">
        <v>8.3481745325022262E-3</v>
      </c>
    </row>
    <row r="49" spans="2:5" ht="13.5">
      <c r="B49" s="91"/>
      <c r="C49" s="61" t="s">
        <v>190</v>
      </c>
      <c r="D49" s="26">
        <v>33</v>
      </c>
      <c r="E49" s="25">
        <v>3.6731967943009797E-3</v>
      </c>
    </row>
    <row r="50" spans="2:5" ht="13.5">
      <c r="B50" s="92"/>
      <c r="C50" s="72" t="s">
        <v>23</v>
      </c>
      <c r="D50" s="70">
        <v>108</v>
      </c>
      <c r="E50" s="71">
        <v>1.2021371326803205E-2</v>
      </c>
    </row>
    <row r="51" spans="2:5" ht="13.5">
      <c r="B51" s="90" t="s">
        <v>118</v>
      </c>
      <c r="C51" s="61" t="s">
        <v>191</v>
      </c>
      <c r="D51" s="26">
        <v>58</v>
      </c>
      <c r="E51" s="25">
        <v>6.4559216384683883E-3</v>
      </c>
    </row>
    <row r="52" spans="2:5" ht="13.5">
      <c r="B52" s="91"/>
      <c r="C52" s="61" t="s">
        <v>190</v>
      </c>
      <c r="D52" s="26">
        <v>29</v>
      </c>
      <c r="E52" s="25">
        <v>3.2279608192341941E-3</v>
      </c>
    </row>
    <row r="53" spans="2:5" ht="13.5">
      <c r="B53" s="92"/>
      <c r="C53" s="72" t="s">
        <v>23</v>
      </c>
      <c r="D53" s="70">
        <v>87</v>
      </c>
      <c r="E53" s="71">
        <v>9.683882457702582E-3</v>
      </c>
    </row>
    <row r="54" spans="2:5" ht="13.5">
      <c r="B54" s="90" t="s">
        <v>122</v>
      </c>
      <c r="C54" s="61" t="s">
        <v>191</v>
      </c>
      <c r="D54" s="26">
        <v>720</v>
      </c>
      <c r="E54" s="25">
        <v>8.0142475512021374E-2</v>
      </c>
    </row>
    <row r="55" spans="2:5" ht="13.5">
      <c r="B55" s="91"/>
      <c r="C55" s="61" t="s">
        <v>190</v>
      </c>
      <c r="D55" s="26">
        <v>245</v>
      </c>
      <c r="E55" s="25">
        <v>2.7270703472840607E-2</v>
      </c>
    </row>
    <row r="56" spans="2:5" ht="13.5">
      <c r="B56" s="92"/>
      <c r="C56" s="72" t="s">
        <v>23</v>
      </c>
      <c r="D56" s="70">
        <v>965</v>
      </c>
      <c r="E56" s="71">
        <v>0.10741317898486198</v>
      </c>
    </row>
    <row r="57" spans="2:5" ht="13.5">
      <c r="B57" s="90" t="s">
        <v>183</v>
      </c>
      <c r="C57" s="61" t="s">
        <v>191</v>
      </c>
      <c r="D57" s="26">
        <v>105</v>
      </c>
      <c r="E57" s="25">
        <v>1.1687444345503117E-2</v>
      </c>
    </row>
    <row r="58" spans="2:5" ht="13.5">
      <c r="B58" s="91"/>
      <c r="C58" s="61" t="s">
        <v>190</v>
      </c>
      <c r="D58" s="26">
        <v>40</v>
      </c>
      <c r="E58" s="25">
        <v>4.4523597506678537E-3</v>
      </c>
    </row>
    <row r="59" spans="2:5" ht="13.5">
      <c r="B59" s="92"/>
      <c r="C59" s="72" t="s">
        <v>23</v>
      </c>
      <c r="D59" s="70">
        <v>145</v>
      </c>
      <c r="E59" s="71">
        <v>1.6139804096170971E-2</v>
      </c>
    </row>
    <row r="60" spans="2:5" ht="13.5">
      <c r="B60" s="90" t="s">
        <v>101</v>
      </c>
      <c r="C60" s="61" t="s">
        <v>191</v>
      </c>
      <c r="D60" s="26">
        <v>67</v>
      </c>
      <c r="E60" s="25">
        <v>7.4577025823686551E-3</v>
      </c>
    </row>
    <row r="61" spans="2:5" ht="13.5">
      <c r="B61" s="91"/>
      <c r="C61" s="61" t="s">
        <v>190</v>
      </c>
      <c r="D61" s="26">
        <v>22</v>
      </c>
      <c r="E61" s="25">
        <v>2.4487978628673196E-3</v>
      </c>
    </row>
    <row r="62" spans="2:5" ht="13.5">
      <c r="B62" s="92"/>
      <c r="C62" s="72" t="s">
        <v>23</v>
      </c>
      <c r="D62" s="70">
        <v>89</v>
      </c>
      <c r="E62" s="71">
        <v>9.9065004452359752E-3</v>
      </c>
    </row>
    <row r="63" spans="2:5" ht="13.5">
      <c r="B63" s="90" t="s">
        <v>85</v>
      </c>
      <c r="C63" s="61" t="s">
        <v>190</v>
      </c>
      <c r="D63" s="26">
        <v>4</v>
      </c>
      <c r="E63" s="25">
        <v>4.4523597506678539E-4</v>
      </c>
    </row>
    <row r="64" spans="2:5" ht="13.5">
      <c r="B64" s="92"/>
      <c r="C64" s="72" t="s">
        <v>23</v>
      </c>
      <c r="D64" s="70">
        <v>4</v>
      </c>
      <c r="E64" s="71">
        <v>4.4523597506678539E-4</v>
      </c>
    </row>
    <row r="65" spans="2:5" ht="13.5">
      <c r="B65" s="90" t="s">
        <v>108</v>
      </c>
      <c r="C65" s="61" t="s">
        <v>191</v>
      </c>
      <c r="D65" s="26">
        <v>89</v>
      </c>
      <c r="E65" s="25">
        <v>9.9065004452359752E-3</v>
      </c>
    </row>
    <row r="66" spans="2:5" ht="13.5">
      <c r="B66" s="91"/>
      <c r="C66" s="61" t="s">
        <v>190</v>
      </c>
      <c r="D66" s="26">
        <v>32</v>
      </c>
      <c r="E66" s="25">
        <v>3.5618878005342831E-3</v>
      </c>
    </row>
    <row r="67" spans="2:5" ht="13.5">
      <c r="B67" s="92"/>
      <c r="C67" s="72" t="s">
        <v>23</v>
      </c>
      <c r="D67" s="70">
        <v>121</v>
      </c>
      <c r="E67" s="71">
        <v>1.3468388245770258E-2</v>
      </c>
    </row>
    <row r="68" spans="2:5" ht="13.5">
      <c r="B68" s="90" t="s">
        <v>112</v>
      </c>
      <c r="C68" s="61" t="s">
        <v>191</v>
      </c>
      <c r="D68" s="26">
        <v>251</v>
      </c>
      <c r="E68" s="25">
        <v>2.7938557435440783E-2</v>
      </c>
    </row>
    <row r="69" spans="2:5" ht="13.5">
      <c r="B69" s="91"/>
      <c r="C69" s="61" t="s">
        <v>190</v>
      </c>
      <c r="D69" s="26">
        <v>95</v>
      </c>
      <c r="E69" s="25">
        <v>1.0574354407836153E-2</v>
      </c>
    </row>
    <row r="70" spans="2:5" ht="13.5">
      <c r="B70" s="92"/>
      <c r="C70" s="72" t="s">
        <v>23</v>
      </c>
      <c r="D70" s="70">
        <v>346</v>
      </c>
      <c r="E70" s="71">
        <v>3.8512911843276938E-2</v>
      </c>
    </row>
    <row r="71" spans="2:5" ht="13.5">
      <c r="B71" s="90" t="s">
        <v>182</v>
      </c>
      <c r="C71" s="61" t="s">
        <v>191</v>
      </c>
      <c r="D71" s="26">
        <v>260</v>
      </c>
      <c r="E71" s="25">
        <v>2.8940338379341051E-2</v>
      </c>
    </row>
    <row r="72" spans="2:5" ht="13.5">
      <c r="B72" s="91"/>
      <c r="C72" s="61" t="s">
        <v>190</v>
      </c>
      <c r="D72" s="26">
        <v>126</v>
      </c>
      <c r="E72" s="25">
        <v>1.4024933214603739E-2</v>
      </c>
    </row>
    <row r="73" spans="2:5" ht="13.5">
      <c r="B73" s="92"/>
      <c r="C73" s="72" t="s">
        <v>23</v>
      </c>
      <c r="D73" s="70">
        <v>386</v>
      </c>
      <c r="E73" s="71">
        <v>4.2965271593944789E-2</v>
      </c>
    </row>
    <row r="74" spans="2:5" ht="13.5">
      <c r="B74" s="90" t="s">
        <v>181</v>
      </c>
      <c r="C74" s="61" t="s">
        <v>191</v>
      </c>
      <c r="D74" s="26">
        <v>33</v>
      </c>
      <c r="E74" s="25">
        <v>3.6731967943009797E-3</v>
      </c>
    </row>
    <row r="75" spans="2:5" ht="13.5">
      <c r="B75" s="91"/>
      <c r="C75" s="61" t="s">
        <v>190</v>
      </c>
      <c r="D75" s="26">
        <v>30</v>
      </c>
      <c r="E75" s="25">
        <v>3.3392698130008903E-3</v>
      </c>
    </row>
    <row r="76" spans="2:5" ht="13.5">
      <c r="B76" s="92"/>
      <c r="C76" s="72" t="s">
        <v>23</v>
      </c>
      <c r="D76" s="70">
        <v>63</v>
      </c>
      <c r="E76" s="71">
        <v>7.0124666073018696E-3</v>
      </c>
    </row>
    <row r="77" spans="2:5" ht="13.5">
      <c r="B77" s="90" t="s">
        <v>98</v>
      </c>
      <c r="C77" s="61" t="s">
        <v>191</v>
      </c>
      <c r="D77" s="26">
        <v>312</v>
      </c>
      <c r="E77" s="25">
        <v>3.4728406055209264E-2</v>
      </c>
    </row>
    <row r="78" spans="2:5" ht="13.5">
      <c r="B78" s="91"/>
      <c r="C78" s="61" t="s">
        <v>190</v>
      </c>
      <c r="D78" s="26">
        <v>145</v>
      </c>
      <c r="E78" s="25">
        <v>1.6139804096170971E-2</v>
      </c>
    </row>
    <row r="79" spans="2:5" ht="13.5">
      <c r="B79" s="92"/>
      <c r="C79" s="72" t="s">
        <v>23</v>
      </c>
      <c r="D79" s="70">
        <v>457</v>
      </c>
      <c r="E79" s="71">
        <v>5.0868210151380232E-2</v>
      </c>
    </row>
    <row r="80" spans="2:5" ht="13.5">
      <c r="B80" s="90" t="s">
        <v>97</v>
      </c>
      <c r="C80" s="61" t="s">
        <v>191</v>
      </c>
      <c r="D80" s="26">
        <v>49</v>
      </c>
      <c r="E80" s="25">
        <v>5.4541406945681215E-3</v>
      </c>
    </row>
    <row r="81" spans="2:5" ht="13.5">
      <c r="B81" s="91"/>
      <c r="C81" s="61" t="s">
        <v>190</v>
      </c>
      <c r="D81" s="26">
        <v>23</v>
      </c>
      <c r="E81" s="25">
        <v>2.5601068566340158E-3</v>
      </c>
    </row>
    <row r="82" spans="2:5" ht="13.5">
      <c r="B82" s="92"/>
      <c r="C82" s="72" t="s">
        <v>23</v>
      </c>
      <c r="D82" s="70">
        <v>72</v>
      </c>
      <c r="E82" s="71">
        <v>8.0142475512021364E-3</v>
      </c>
    </row>
    <row r="83" spans="2:5" ht="13.5">
      <c r="B83" s="90" t="s">
        <v>90</v>
      </c>
      <c r="C83" s="61" t="s">
        <v>191</v>
      </c>
      <c r="D83" s="26">
        <v>112</v>
      </c>
      <c r="E83" s="25">
        <v>1.2466607301869992E-2</v>
      </c>
    </row>
    <row r="84" spans="2:5" ht="13.5">
      <c r="B84" s="91"/>
      <c r="C84" s="61" t="s">
        <v>190</v>
      </c>
      <c r="D84" s="26">
        <v>39</v>
      </c>
      <c r="E84" s="25">
        <v>4.341050756901158E-3</v>
      </c>
    </row>
    <row r="85" spans="2:5" ht="13.5">
      <c r="B85" s="92"/>
      <c r="C85" s="72" t="s">
        <v>23</v>
      </c>
      <c r="D85" s="70">
        <v>151</v>
      </c>
      <c r="E85" s="71">
        <v>1.6807658058771147E-2</v>
      </c>
    </row>
    <row r="86" spans="2:5" ht="13.5">
      <c r="B86" s="90" t="s">
        <v>119</v>
      </c>
      <c r="C86" s="61" t="s">
        <v>191</v>
      </c>
      <c r="D86" s="26">
        <v>50</v>
      </c>
      <c r="E86" s="25">
        <v>5.5654496883348172E-3</v>
      </c>
    </row>
    <row r="87" spans="2:5" ht="13.5">
      <c r="B87" s="91"/>
      <c r="C87" s="61" t="s">
        <v>190</v>
      </c>
      <c r="D87" s="26">
        <v>23</v>
      </c>
      <c r="E87" s="25">
        <v>2.5601068566340158E-3</v>
      </c>
    </row>
    <row r="88" spans="2:5" ht="13.5">
      <c r="B88" s="92"/>
      <c r="C88" s="72" t="s">
        <v>23</v>
      </c>
      <c r="D88" s="70">
        <v>73</v>
      </c>
      <c r="E88" s="71">
        <v>8.125556544968833E-3</v>
      </c>
    </row>
    <row r="89" spans="2:5" ht="13.5">
      <c r="B89" s="90" t="s">
        <v>92</v>
      </c>
      <c r="C89" s="61" t="s">
        <v>191</v>
      </c>
      <c r="D89" s="26">
        <v>107</v>
      </c>
      <c r="E89" s="25">
        <v>1.1910062333036509E-2</v>
      </c>
    </row>
    <row r="90" spans="2:5" ht="13.5">
      <c r="B90" s="91"/>
      <c r="C90" s="61" t="s">
        <v>190</v>
      </c>
      <c r="D90" s="26">
        <v>41</v>
      </c>
      <c r="E90" s="25">
        <v>4.5636687444345504E-3</v>
      </c>
    </row>
    <row r="91" spans="2:5" ht="13.5">
      <c r="B91" s="92"/>
      <c r="C91" s="72" t="s">
        <v>23</v>
      </c>
      <c r="D91" s="70">
        <v>148</v>
      </c>
      <c r="E91" s="71">
        <v>1.6473731077471059E-2</v>
      </c>
    </row>
    <row r="92" spans="2:5" ht="13.5">
      <c r="B92" s="90" t="s">
        <v>111</v>
      </c>
      <c r="C92" s="61" t="s">
        <v>191</v>
      </c>
      <c r="D92" s="26">
        <v>338</v>
      </c>
      <c r="E92" s="25">
        <v>3.7622439893143365E-2</v>
      </c>
    </row>
    <row r="93" spans="2:5" ht="13.5">
      <c r="B93" s="91"/>
      <c r="C93" s="61" t="s">
        <v>190</v>
      </c>
      <c r="D93" s="26">
        <v>121</v>
      </c>
      <c r="E93" s="25">
        <v>1.3468388245770258E-2</v>
      </c>
    </row>
    <row r="94" spans="2:5" ht="13.5">
      <c r="B94" s="92"/>
      <c r="C94" s="72" t="s">
        <v>23</v>
      </c>
      <c r="D94" s="70">
        <v>459</v>
      </c>
      <c r="E94" s="71">
        <v>5.1090828138913622E-2</v>
      </c>
    </row>
    <row r="95" spans="2:5" ht="13.5">
      <c r="B95" s="90" t="s">
        <v>107</v>
      </c>
      <c r="C95" s="61" t="s">
        <v>191</v>
      </c>
      <c r="D95" s="26">
        <v>20</v>
      </c>
      <c r="E95" s="25">
        <v>2.2261798753339269E-3</v>
      </c>
    </row>
    <row r="96" spans="2:5" ht="13.5">
      <c r="B96" s="91"/>
      <c r="C96" s="61" t="s">
        <v>190</v>
      </c>
      <c r="D96" s="26">
        <v>17</v>
      </c>
      <c r="E96" s="25">
        <v>1.8922528940338379E-3</v>
      </c>
    </row>
    <row r="97" spans="2:5" ht="13.5">
      <c r="B97" s="92"/>
      <c r="C97" s="72" t="s">
        <v>23</v>
      </c>
      <c r="D97" s="70">
        <v>37</v>
      </c>
      <c r="E97" s="71">
        <v>4.1184327693677648E-3</v>
      </c>
    </row>
    <row r="98" spans="2:5" ht="13.5">
      <c r="B98" s="90" t="s">
        <v>95</v>
      </c>
      <c r="C98" s="61" t="s">
        <v>191</v>
      </c>
      <c r="D98" s="26">
        <v>25</v>
      </c>
      <c r="E98" s="25">
        <v>2.7827248441674086E-3</v>
      </c>
    </row>
    <row r="99" spans="2:5" ht="13.5">
      <c r="B99" s="91"/>
      <c r="C99" s="61" t="s">
        <v>190</v>
      </c>
      <c r="D99" s="26">
        <v>20</v>
      </c>
      <c r="E99" s="25">
        <v>2.2261798753339269E-3</v>
      </c>
    </row>
    <row r="100" spans="2:5" ht="13.5">
      <c r="B100" s="92"/>
      <c r="C100" s="72" t="s">
        <v>23</v>
      </c>
      <c r="D100" s="70">
        <v>45</v>
      </c>
      <c r="E100" s="71">
        <v>5.0089047195013359E-3</v>
      </c>
    </row>
    <row r="101" spans="2:5" ht="13.5">
      <c r="B101" s="90" t="s">
        <v>99</v>
      </c>
      <c r="C101" s="61" t="s">
        <v>191</v>
      </c>
      <c r="D101" s="26">
        <v>68</v>
      </c>
      <c r="E101" s="25">
        <v>7.5690115761353517E-3</v>
      </c>
    </row>
    <row r="102" spans="2:5" ht="13.5">
      <c r="B102" s="91"/>
      <c r="C102" s="61" t="s">
        <v>190</v>
      </c>
      <c r="D102" s="26">
        <v>25</v>
      </c>
      <c r="E102" s="25">
        <v>2.7827248441674086E-3</v>
      </c>
    </row>
    <row r="103" spans="2:5" ht="13.5">
      <c r="B103" s="92"/>
      <c r="C103" s="72" t="s">
        <v>23</v>
      </c>
      <c r="D103" s="70">
        <v>93</v>
      </c>
      <c r="E103" s="71">
        <v>1.035173642030276E-2</v>
      </c>
    </row>
    <row r="104" spans="2:5" ht="13.5">
      <c r="B104" s="90" t="s">
        <v>83</v>
      </c>
      <c r="C104" s="61" t="s">
        <v>191</v>
      </c>
      <c r="D104" s="26">
        <v>12</v>
      </c>
      <c r="E104" s="25">
        <v>1.3357079252003562E-3</v>
      </c>
    </row>
    <row r="105" spans="2:5" ht="13.5">
      <c r="B105" s="92"/>
      <c r="C105" s="72" t="s">
        <v>23</v>
      </c>
      <c r="D105" s="70">
        <v>12</v>
      </c>
      <c r="E105" s="71">
        <v>1.3357079252003562E-3</v>
      </c>
    </row>
    <row r="106" spans="2:5" ht="13.5">
      <c r="B106" s="90" t="s">
        <v>117</v>
      </c>
      <c r="C106" s="61" t="s">
        <v>191</v>
      </c>
      <c r="D106" s="26">
        <v>356</v>
      </c>
      <c r="E106" s="25">
        <v>3.9626001780943901E-2</v>
      </c>
    </row>
    <row r="107" spans="2:5" ht="13.5">
      <c r="B107" s="91"/>
      <c r="C107" s="61" t="s">
        <v>190</v>
      </c>
      <c r="D107" s="26">
        <v>138</v>
      </c>
      <c r="E107" s="25">
        <v>1.5360641139804097E-2</v>
      </c>
    </row>
    <row r="108" spans="2:5" ht="13.5">
      <c r="B108" s="92"/>
      <c r="C108" s="72" t="s">
        <v>23</v>
      </c>
      <c r="D108" s="70">
        <v>494</v>
      </c>
      <c r="E108" s="71">
        <v>5.4986642920747994E-2</v>
      </c>
    </row>
    <row r="109" spans="2:5" ht="13.5">
      <c r="B109" s="90" t="s">
        <v>109</v>
      </c>
      <c r="C109" s="61" t="s">
        <v>191</v>
      </c>
      <c r="D109" s="26">
        <v>67</v>
      </c>
      <c r="E109" s="25">
        <v>7.4577025823686551E-3</v>
      </c>
    </row>
    <row r="110" spans="2:5" ht="13.5">
      <c r="B110" s="91"/>
      <c r="C110" s="61" t="s">
        <v>190</v>
      </c>
      <c r="D110" s="26">
        <v>26</v>
      </c>
      <c r="E110" s="25">
        <v>2.8940338379341052E-3</v>
      </c>
    </row>
    <row r="111" spans="2:5" ht="13.5">
      <c r="B111" s="92"/>
      <c r="C111" s="72" t="s">
        <v>23</v>
      </c>
      <c r="D111" s="70">
        <v>93</v>
      </c>
      <c r="E111" s="71">
        <v>1.035173642030276E-2</v>
      </c>
    </row>
    <row r="112" spans="2:5" ht="13.5">
      <c r="B112" s="90" t="s">
        <v>94</v>
      </c>
      <c r="C112" s="61" t="s">
        <v>191</v>
      </c>
      <c r="D112" s="26">
        <v>41</v>
      </c>
      <c r="E112" s="25">
        <v>4.5636687444345504E-3</v>
      </c>
    </row>
    <row r="113" spans="2:5" ht="13.5">
      <c r="B113" s="91"/>
      <c r="C113" s="61" t="s">
        <v>190</v>
      </c>
      <c r="D113" s="26">
        <v>16</v>
      </c>
      <c r="E113" s="25">
        <v>1.7809439002671415E-3</v>
      </c>
    </row>
    <row r="114" spans="2:5" ht="13.5">
      <c r="B114" s="92"/>
      <c r="C114" s="72" t="s">
        <v>23</v>
      </c>
      <c r="D114" s="70">
        <v>57</v>
      </c>
      <c r="E114" s="71">
        <v>6.3446126447016917E-3</v>
      </c>
    </row>
    <row r="115" spans="2:5" ht="13.5">
      <c r="B115" s="90" t="s">
        <v>96</v>
      </c>
      <c r="C115" s="61" t="s">
        <v>191</v>
      </c>
      <c r="D115" s="26">
        <v>49</v>
      </c>
      <c r="E115" s="25">
        <v>5.4541406945681215E-3</v>
      </c>
    </row>
    <row r="116" spans="2:5" ht="13.5">
      <c r="B116" s="91"/>
      <c r="C116" s="61" t="s">
        <v>190</v>
      </c>
      <c r="D116" s="26">
        <v>10</v>
      </c>
      <c r="E116" s="25">
        <v>1.1130899376669634E-3</v>
      </c>
    </row>
    <row r="117" spans="2:5" ht="13.5">
      <c r="B117" s="92"/>
      <c r="C117" s="72" t="s">
        <v>23</v>
      </c>
      <c r="D117" s="70">
        <v>59</v>
      </c>
      <c r="E117" s="71">
        <v>6.5672306322350849E-3</v>
      </c>
    </row>
    <row r="118" spans="2:5" ht="13.5">
      <c r="B118" s="90" t="s">
        <v>104</v>
      </c>
      <c r="C118" s="61" t="s">
        <v>191</v>
      </c>
      <c r="D118" s="26">
        <v>179</v>
      </c>
      <c r="E118" s="25">
        <v>1.9924309884238645E-2</v>
      </c>
    </row>
    <row r="119" spans="2:5" ht="13.5">
      <c r="B119" s="91"/>
      <c r="C119" s="61" t="s">
        <v>190</v>
      </c>
      <c r="D119" s="26">
        <v>85</v>
      </c>
      <c r="E119" s="25">
        <v>9.4612644701691905E-3</v>
      </c>
    </row>
    <row r="120" spans="2:5" ht="13.5">
      <c r="B120" s="92"/>
      <c r="C120" s="72" t="s">
        <v>23</v>
      </c>
      <c r="D120" s="70">
        <v>264</v>
      </c>
      <c r="E120" s="71">
        <v>2.9385574354407838E-2</v>
      </c>
    </row>
    <row r="121" spans="2:5" ht="13.5">
      <c r="B121" s="90" t="s">
        <v>116</v>
      </c>
      <c r="C121" s="61" t="s">
        <v>191</v>
      </c>
      <c r="D121" s="26">
        <v>149</v>
      </c>
      <c r="E121" s="25">
        <v>1.6585040071237758E-2</v>
      </c>
    </row>
    <row r="122" spans="2:5" ht="13.5">
      <c r="B122" s="91"/>
      <c r="C122" s="61" t="s">
        <v>190</v>
      </c>
      <c r="D122" s="26">
        <v>79</v>
      </c>
      <c r="E122" s="25">
        <v>8.7934105075690109E-3</v>
      </c>
    </row>
    <row r="123" spans="2:5" ht="13.5">
      <c r="B123" s="92"/>
      <c r="C123" s="72" t="s">
        <v>23</v>
      </c>
      <c r="D123" s="70">
        <v>228</v>
      </c>
      <c r="E123" s="71">
        <v>2.5378450578806767E-2</v>
      </c>
    </row>
    <row r="124" spans="2:5" ht="13.5">
      <c r="B124" s="90" t="s">
        <v>100</v>
      </c>
      <c r="C124" s="61" t="s">
        <v>191</v>
      </c>
      <c r="D124" s="26">
        <v>194</v>
      </c>
      <c r="E124" s="25">
        <v>2.1593944790739093E-2</v>
      </c>
    </row>
    <row r="125" spans="2:5" ht="13.5">
      <c r="B125" s="91"/>
      <c r="C125" s="61" t="s">
        <v>190</v>
      </c>
      <c r="D125" s="26">
        <v>132</v>
      </c>
      <c r="E125" s="25">
        <v>1.4692787177203919E-2</v>
      </c>
    </row>
    <row r="126" spans="2:5" ht="13.5">
      <c r="B126" s="92"/>
      <c r="C126" s="72" t="s">
        <v>23</v>
      </c>
      <c r="D126" s="70">
        <v>326</v>
      </c>
      <c r="E126" s="71">
        <v>3.6286731967943013E-2</v>
      </c>
    </row>
    <row r="127" spans="2:5" ht="13.5">
      <c r="B127" s="90" t="s">
        <v>113</v>
      </c>
      <c r="C127" s="61" t="s">
        <v>191</v>
      </c>
      <c r="D127" s="26">
        <v>70</v>
      </c>
      <c r="E127" s="25">
        <v>7.7916295636687441E-3</v>
      </c>
    </row>
    <row r="128" spans="2:5" ht="13.5">
      <c r="B128" s="91"/>
      <c r="C128" s="61" t="s">
        <v>190</v>
      </c>
      <c r="D128" s="26">
        <v>21</v>
      </c>
      <c r="E128" s="25">
        <v>2.3374888691006235E-3</v>
      </c>
    </row>
    <row r="129" spans="2:5" ht="13.5">
      <c r="B129" s="92"/>
      <c r="C129" s="72" t="s">
        <v>23</v>
      </c>
      <c r="D129" s="70">
        <v>91</v>
      </c>
      <c r="E129" s="71">
        <v>1.0129118432769368E-2</v>
      </c>
    </row>
    <row r="130" spans="2:5" ht="13.5">
      <c r="B130" s="90" t="s">
        <v>180</v>
      </c>
      <c r="C130" s="61" t="s">
        <v>191</v>
      </c>
      <c r="D130" s="26">
        <v>62</v>
      </c>
      <c r="E130" s="25">
        <v>6.9011576135351738E-3</v>
      </c>
    </row>
    <row r="131" spans="2:5" ht="13.5">
      <c r="B131" s="91"/>
      <c r="C131" s="61" t="s">
        <v>190</v>
      </c>
      <c r="D131" s="26">
        <v>21</v>
      </c>
      <c r="E131" s="25">
        <v>2.3374888691006235E-3</v>
      </c>
    </row>
    <row r="132" spans="2:5" ht="13.5">
      <c r="B132" s="92"/>
      <c r="C132" s="72" t="s">
        <v>23</v>
      </c>
      <c r="D132" s="70">
        <v>83</v>
      </c>
      <c r="E132" s="71">
        <v>9.2386464826357973E-3</v>
      </c>
    </row>
    <row r="133" spans="2:5" ht="13.5">
      <c r="B133" s="90" t="s">
        <v>115</v>
      </c>
      <c r="C133" s="61" t="s">
        <v>191</v>
      </c>
      <c r="D133" s="26">
        <v>247</v>
      </c>
      <c r="E133" s="25">
        <v>2.7493321460373997E-2</v>
      </c>
    </row>
    <row r="134" spans="2:5" ht="13.5">
      <c r="B134" s="91"/>
      <c r="C134" s="61" t="s">
        <v>190</v>
      </c>
      <c r="D134" s="26">
        <v>102</v>
      </c>
      <c r="E134" s="25">
        <v>1.1353517364203028E-2</v>
      </c>
    </row>
    <row r="135" spans="2:5" ht="13.5">
      <c r="B135" s="92"/>
      <c r="C135" s="72" t="s">
        <v>23</v>
      </c>
      <c r="D135" s="70">
        <v>349</v>
      </c>
      <c r="E135" s="71">
        <v>3.8846838824577026E-2</v>
      </c>
    </row>
    <row r="136" spans="2:5" ht="13.5">
      <c r="B136" s="90" t="s">
        <v>93</v>
      </c>
      <c r="C136" s="61" t="s">
        <v>191</v>
      </c>
      <c r="D136" s="26">
        <v>99</v>
      </c>
      <c r="E136" s="25">
        <v>1.1019590382902938E-2</v>
      </c>
    </row>
    <row r="137" spans="2:5" ht="13.5">
      <c r="B137" s="91"/>
      <c r="C137" s="61" t="s">
        <v>190</v>
      </c>
      <c r="D137" s="26">
        <v>4</v>
      </c>
      <c r="E137" s="25">
        <v>4.4523597506678539E-4</v>
      </c>
    </row>
    <row r="138" spans="2:5" ht="13.5">
      <c r="B138" s="92"/>
      <c r="C138" s="72" t="s">
        <v>23</v>
      </c>
      <c r="D138" s="70">
        <v>103</v>
      </c>
      <c r="E138" s="71">
        <v>1.1464826357969724E-2</v>
      </c>
    </row>
    <row r="139" spans="2:5" ht="13.5">
      <c r="B139" s="90" t="s">
        <v>84</v>
      </c>
      <c r="C139" s="61" t="s">
        <v>191</v>
      </c>
      <c r="D139" s="26">
        <v>5</v>
      </c>
      <c r="E139" s="25">
        <v>5.5654496883348172E-4</v>
      </c>
    </row>
    <row r="140" spans="2:5" ht="13.5">
      <c r="B140" s="92"/>
      <c r="C140" s="72" t="s">
        <v>23</v>
      </c>
      <c r="D140" s="70">
        <v>5</v>
      </c>
      <c r="E140" s="71">
        <v>5.5654496883348172E-4</v>
      </c>
    </row>
    <row r="141" spans="2:5" ht="13.5">
      <c r="B141" s="90" t="s">
        <v>60</v>
      </c>
      <c r="C141" s="61" t="s">
        <v>191</v>
      </c>
      <c r="D141" s="26">
        <v>98</v>
      </c>
      <c r="E141" s="25">
        <v>1.0908281389136243E-2</v>
      </c>
    </row>
    <row r="142" spans="2:5" ht="13.5">
      <c r="B142" s="91"/>
      <c r="C142" s="61" t="s">
        <v>190</v>
      </c>
      <c r="D142" s="26">
        <v>42</v>
      </c>
      <c r="E142" s="25">
        <v>4.674977738201247E-3</v>
      </c>
    </row>
    <row r="143" spans="2:5" ht="13.5">
      <c r="B143" s="92"/>
      <c r="C143" s="72" t="s">
        <v>23</v>
      </c>
      <c r="D143" s="70">
        <v>140</v>
      </c>
      <c r="E143" s="71">
        <v>1.5583259127337488E-2</v>
      </c>
    </row>
    <row r="144" spans="2:5" ht="13.5">
      <c r="B144" s="93" t="s">
        <v>185</v>
      </c>
      <c r="C144" s="94"/>
      <c r="D144" s="23">
        <v>8984</v>
      </c>
      <c r="E144" s="22">
        <v>1</v>
      </c>
    </row>
    <row r="146" spans="2:2">
      <c r="B146" s="19" t="s">
        <v>22</v>
      </c>
    </row>
    <row r="147" spans="2:2">
      <c r="B147" s="21" t="s">
        <v>21</v>
      </c>
    </row>
    <row r="148" spans="2:2">
      <c r="B148" s="20" t="s">
        <v>20</v>
      </c>
    </row>
    <row r="149" spans="2:2">
      <c r="B149" s="19" t="s">
        <v>19</v>
      </c>
    </row>
    <row r="150" spans="2:2">
      <c r="B150" s="19" t="s">
        <v>18</v>
      </c>
    </row>
  </sheetData>
  <mergeCells count="47">
    <mergeCell ref="B144:C144"/>
    <mergeCell ref="B130:B132"/>
    <mergeCell ref="B112:B114"/>
    <mergeCell ref="B133:B135"/>
    <mergeCell ref="B136:B138"/>
    <mergeCell ref="B139:B140"/>
    <mergeCell ref="B141:B143"/>
    <mergeCell ref="B115:B117"/>
    <mergeCell ref="B118:B120"/>
    <mergeCell ref="B121:B123"/>
    <mergeCell ref="B124:B126"/>
    <mergeCell ref="B127:B129"/>
    <mergeCell ref="B98:B100"/>
    <mergeCell ref="B101:B103"/>
    <mergeCell ref="B104:B105"/>
    <mergeCell ref="B106:B108"/>
    <mergeCell ref="B109:B111"/>
    <mergeCell ref="B83:B85"/>
    <mergeCell ref="B86:B88"/>
    <mergeCell ref="B89:B91"/>
    <mergeCell ref="B92:B94"/>
    <mergeCell ref="B95:B97"/>
    <mergeCell ref="B54:B56"/>
    <mergeCell ref="B57:B59"/>
    <mergeCell ref="B60:B62"/>
    <mergeCell ref="B63:B64"/>
    <mergeCell ref="B65:B67"/>
    <mergeCell ref="B68:B70"/>
    <mergeCell ref="B71:B73"/>
    <mergeCell ref="B74:B76"/>
    <mergeCell ref="B77:B79"/>
    <mergeCell ref="B80:B82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8:E10"/>
    <mergeCell ref="B12:B14"/>
    <mergeCell ref="B15:B17"/>
    <mergeCell ref="B18:B20"/>
    <mergeCell ref="B21:B23"/>
  </mergeCells>
  <printOptions horizontalCentered="1"/>
  <pageMargins left="0.74803149606299213" right="0.74803149606299213" top="0.98425196850393704" bottom="0.98425196850393704" header="0.51181102362204722" footer="0.51181102362204722"/>
  <pageSetup scale="61" orientation="portrait" r:id="rId1"/>
  <headerFooter>
    <oddFooter>&amp;C&amp;P de &amp;N</oddFooter>
  </headerFooter>
  <rowBreaks count="2" manualBreakCount="2">
    <brk id="59" max="16383" man="1"/>
    <brk id="108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34"/>
  <sheetViews>
    <sheetView showGridLines="0" zoomScale="91" zoomScaleNormal="91" zoomScaleSheetLayoutView="100" workbookViewId="0">
      <selection activeCell="H10" sqref="H10"/>
    </sheetView>
  </sheetViews>
  <sheetFormatPr baseColWidth="10" defaultColWidth="11.42578125" defaultRowHeight="11.25"/>
  <cols>
    <col min="1" max="1" width="5.7109375" style="29" customWidth="1"/>
    <col min="2" max="2" width="19" style="48" customWidth="1"/>
    <col min="3" max="3" width="17.140625" style="48" customWidth="1"/>
    <col min="4" max="4" width="17.140625" style="60" customWidth="1"/>
    <col min="5" max="5" width="16.5703125" style="60" customWidth="1"/>
    <col min="6" max="6" width="16.5703125" style="48" customWidth="1"/>
    <col min="7" max="7" width="5.7109375" style="29" customWidth="1"/>
    <col min="8" max="16384" width="11.42578125" style="29"/>
  </cols>
  <sheetData>
    <row r="1" spans="1:7" s="62" customFormat="1" ht="15">
      <c r="B1" s="51"/>
      <c r="C1" s="48"/>
    </row>
    <row r="2" spans="1:7" s="48" customFormat="1">
      <c r="B2" s="66"/>
    </row>
    <row r="3" spans="1:7" ht="15" customHeight="1">
      <c r="B3" s="67"/>
      <c r="C3" s="35"/>
      <c r="D3" s="29"/>
      <c r="E3" s="29"/>
      <c r="G3" s="48"/>
    </row>
    <row r="4" spans="1:7" ht="30" customHeight="1">
      <c r="B4" s="67"/>
      <c r="C4" s="35"/>
      <c r="D4" s="29"/>
      <c r="E4" s="29"/>
      <c r="G4" s="48"/>
    </row>
    <row r="5" spans="1:7" ht="15" customHeight="1">
      <c r="B5" s="67"/>
      <c r="C5" s="35"/>
      <c r="D5" s="29"/>
      <c r="E5" s="29"/>
      <c r="G5" s="48"/>
    </row>
    <row r="6" spans="1:7" s="48" customFormat="1">
      <c r="B6" s="55"/>
      <c r="C6" s="44"/>
    </row>
    <row r="7" spans="1:7" s="48" customFormat="1">
      <c r="A7" s="51"/>
      <c r="B7" s="66"/>
      <c r="C7" s="51"/>
    </row>
    <row r="8" spans="1:7" s="62" customFormat="1" ht="15" customHeight="1">
      <c r="B8" s="88" t="s">
        <v>204</v>
      </c>
      <c r="C8" s="88"/>
      <c r="D8" s="88"/>
      <c r="E8" s="88"/>
      <c r="F8" s="88"/>
    </row>
    <row r="9" spans="1:7" s="62" customFormat="1" ht="15" customHeight="1">
      <c r="A9" s="64"/>
      <c r="B9" s="88"/>
      <c r="C9" s="88"/>
      <c r="D9" s="88"/>
      <c r="E9" s="88"/>
      <c r="F9" s="88"/>
      <c r="G9" s="65"/>
    </row>
    <row r="10" spans="1:7" s="62" customFormat="1" ht="15" customHeight="1">
      <c r="A10" s="64"/>
      <c r="B10" s="89"/>
      <c r="C10" s="89"/>
      <c r="D10" s="89"/>
      <c r="E10" s="89"/>
      <c r="F10" s="89"/>
      <c r="G10" s="64"/>
    </row>
    <row r="11" spans="1:7" s="62" customFormat="1" ht="36.950000000000003" customHeight="1">
      <c r="B11" s="63" t="s">
        <v>188</v>
      </c>
      <c r="C11" s="63" t="s">
        <v>203</v>
      </c>
      <c r="D11" s="63" t="s">
        <v>72</v>
      </c>
      <c r="E11" s="63" t="s">
        <v>202</v>
      </c>
      <c r="F11" s="63" t="s">
        <v>201</v>
      </c>
    </row>
    <row r="12" spans="1:7" ht="15" customHeight="1">
      <c r="B12" s="90" t="s">
        <v>191</v>
      </c>
      <c r="C12" s="61" t="s">
        <v>200</v>
      </c>
      <c r="D12" s="26">
        <v>2</v>
      </c>
      <c r="E12" s="68">
        <v>3.1471282454760031E-4</v>
      </c>
      <c r="F12" s="25">
        <f t="shared" ref="F12:F28" si="0">D12/$D$28</f>
        <v>2.2261798753339269E-4</v>
      </c>
    </row>
    <row r="13" spans="1:7" ht="15" customHeight="1">
      <c r="B13" s="91"/>
      <c r="C13" s="61" t="s">
        <v>199</v>
      </c>
      <c r="D13" s="26">
        <v>45</v>
      </c>
      <c r="E13" s="68">
        <v>7.0810385523210071E-3</v>
      </c>
      <c r="F13" s="25">
        <f t="shared" si="0"/>
        <v>5.0089047195013359E-3</v>
      </c>
    </row>
    <row r="14" spans="1:7" ht="15" customHeight="1">
      <c r="B14" s="91"/>
      <c r="C14" s="61" t="s">
        <v>198</v>
      </c>
      <c r="D14" s="26">
        <v>1439</v>
      </c>
      <c r="E14" s="68">
        <v>0.22643587726199843</v>
      </c>
      <c r="F14" s="25">
        <f t="shared" si="0"/>
        <v>0.16017364203027604</v>
      </c>
    </row>
    <row r="15" spans="1:7" ht="15" customHeight="1">
      <c r="B15" s="91"/>
      <c r="C15" s="61" t="s">
        <v>197</v>
      </c>
      <c r="D15" s="26">
        <v>2695</v>
      </c>
      <c r="E15" s="68">
        <v>0.42407553107789142</v>
      </c>
      <c r="F15" s="25">
        <f t="shared" si="0"/>
        <v>0.29997773820124668</v>
      </c>
    </row>
    <row r="16" spans="1:7" ht="15" customHeight="1">
      <c r="B16" s="91"/>
      <c r="C16" s="61" t="s">
        <v>196</v>
      </c>
      <c r="D16" s="26">
        <v>1537</v>
      </c>
      <c r="E16" s="68">
        <v>0.24185680566483084</v>
      </c>
      <c r="F16" s="25">
        <f t="shared" si="0"/>
        <v>0.17108192341941228</v>
      </c>
    </row>
    <row r="17" spans="1:7" s="48" customFormat="1" ht="15" customHeight="1">
      <c r="A17" s="29"/>
      <c r="B17" s="91"/>
      <c r="C17" s="61" t="s">
        <v>195</v>
      </c>
      <c r="D17" s="26">
        <v>577</v>
      </c>
      <c r="E17" s="68">
        <v>9.0794649881982686E-2</v>
      </c>
      <c r="F17" s="25">
        <f t="shared" si="0"/>
        <v>6.422528940338379E-2</v>
      </c>
      <c r="G17" s="29"/>
    </row>
    <row r="18" spans="1:7" s="48" customFormat="1" ht="15" customHeight="1">
      <c r="A18" s="29"/>
      <c r="B18" s="91"/>
      <c r="C18" s="61" t="s">
        <v>194</v>
      </c>
      <c r="D18" s="26">
        <v>48</v>
      </c>
      <c r="E18" s="68">
        <v>7.5531077891424075E-3</v>
      </c>
      <c r="F18" s="25">
        <f t="shared" si="0"/>
        <v>5.3428317008014248E-3</v>
      </c>
      <c r="G18" s="29"/>
    </row>
    <row r="19" spans="1:7" s="48" customFormat="1" ht="15" customHeight="1">
      <c r="A19" s="29"/>
      <c r="B19" s="92"/>
      <c r="C19" s="61" t="s">
        <v>193</v>
      </c>
      <c r="D19" s="26">
        <v>12</v>
      </c>
      <c r="E19" s="68">
        <v>1.8882769472856019E-3</v>
      </c>
      <c r="F19" s="25">
        <f t="shared" si="0"/>
        <v>1.3357079252003562E-3</v>
      </c>
      <c r="G19" s="29"/>
    </row>
    <row r="20" spans="1:7" s="48" customFormat="1" ht="15" customHeight="1">
      <c r="A20" s="29"/>
      <c r="B20" s="90" t="s">
        <v>190</v>
      </c>
      <c r="C20" s="61" t="s">
        <v>200</v>
      </c>
      <c r="D20" s="26">
        <v>1</v>
      </c>
      <c r="E20" s="69">
        <v>3.8037276531000382E-4</v>
      </c>
      <c r="F20" s="25">
        <f t="shared" si="0"/>
        <v>1.1130899376669635E-4</v>
      </c>
      <c r="G20" s="29"/>
    </row>
    <row r="21" spans="1:7" s="48" customFormat="1" ht="15" customHeight="1">
      <c r="A21" s="29"/>
      <c r="B21" s="91"/>
      <c r="C21" s="61" t="s">
        <v>199</v>
      </c>
      <c r="D21" s="26">
        <v>55</v>
      </c>
      <c r="E21" s="69">
        <v>2.0920502092050208E-2</v>
      </c>
      <c r="F21" s="25">
        <f t="shared" si="0"/>
        <v>6.1219946571682993E-3</v>
      </c>
      <c r="G21" s="29"/>
    </row>
    <row r="22" spans="1:7" ht="13.5">
      <c r="B22" s="91"/>
      <c r="C22" s="61" t="s">
        <v>198</v>
      </c>
      <c r="D22" s="26">
        <v>312</v>
      </c>
      <c r="E22" s="69">
        <v>0.11867630277672118</v>
      </c>
      <c r="F22" s="25">
        <f t="shared" si="0"/>
        <v>3.4728406055209264E-2</v>
      </c>
    </row>
    <row r="23" spans="1:7" ht="13.5">
      <c r="B23" s="91"/>
      <c r="C23" s="61" t="s">
        <v>197</v>
      </c>
      <c r="D23" s="26">
        <v>1065</v>
      </c>
      <c r="E23" s="69">
        <v>0.40509699505515406</v>
      </c>
      <c r="F23" s="25">
        <f t="shared" si="0"/>
        <v>0.11854407836153161</v>
      </c>
    </row>
    <row r="24" spans="1:7" ht="27">
      <c r="B24" s="91"/>
      <c r="C24" s="61" t="s">
        <v>196</v>
      </c>
      <c r="D24" s="26">
        <v>831</v>
      </c>
      <c r="E24" s="69">
        <v>0.31608976797261318</v>
      </c>
      <c r="F24" s="25">
        <f t="shared" si="0"/>
        <v>9.2497773820124668E-2</v>
      </c>
    </row>
    <row r="25" spans="1:7" ht="13.5">
      <c r="B25" s="91"/>
      <c r="C25" s="61" t="s">
        <v>195</v>
      </c>
      <c r="D25" s="26">
        <v>327</v>
      </c>
      <c r="E25" s="69">
        <v>0.12438189425637125</v>
      </c>
      <c r="F25" s="25">
        <f t="shared" si="0"/>
        <v>3.6398040961709704E-2</v>
      </c>
    </row>
    <row r="26" spans="1:7" ht="13.5">
      <c r="B26" s="91"/>
      <c r="C26" s="61" t="s">
        <v>194</v>
      </c>
      <c r="D26" s="26">
        <v>31</v>
      </c>
      <c r="E26" s="69">
        <v>1.1791555724610117E-2</v>
      </c>
      <c r="F26" s="25">
        <f t="shared" si="0"/>
        <v>3.4505788067675869E-3</v>
      </c>
    </row>
    <row r="27" spans="1:7" ht="13.5">
      <c r="B27" s="92"/>
      <c r="C27" s="61" t="s">
        <v>193</v>
      </c>
      <c r="D27" s="26">
        <v>7</v>
      </c>
      <c r="E27" s="69">
        <v>2.6626093571700264E-3</v>
      </c>
      <c r="F27" s="25">
        <f t="shared" si="0"/>
        <v>7.7916295636687449E-4</v>
      </c>
    </row>
    <row r="28" spans="1:7" ht="13.5">
      <c r="B28" s="24" t="s">
        <v>23</v>
      </c>
      <c r="C28" s="24"/>
      <c r="D28" s="23">
        <v>8984</v>
      </c>
      <c r="E28" s="22"/>
      <c r="F28" s="22">
        <f t="shared" si="0"/>
        <v>1</v>
      </c>
    </row>
    <row r="30" spans="1:7">
      <c r="B30" s="19" t="s">
        <v>22</v>
      </c>
    </row>
    <row r="31" spans="1:7">
      <c r="B31" s="21" t="s">
        <v>21</v>
      </c>
    </row>
    <row r="32" spans="1:7">
      <c r="B32" s="20" t="s">
        <v>20</v>
      </c>
    </row>
    <row r="33" spans="2:2">
      <c r="B33" s="19" t="s">
        <v>19</v>
      </c>
    </row>
    <row r="34" spans="2:2">
      <c r="B34" s="19" t="s">
        <v>18</v>
      </c>
    </row>
  </sheetData>
  <mergeCells count="3">
    <mergeCell ref="B8:F10"/>
    <mergeCell ref="B12:B19"/>
    <mergeCell ref="B20:B27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41"/>
  <sheetViews>
    <sheetView showGridLines="0" tabSelected="1" zoomScaleNormal="100" zoomScaleSheetLayoutView="115" workbookViewId="0">
      <selection activeCell="K20" sqref="K20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75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2" t="s">
        <v>228</v>
      </c>
      <c r="C7" s="82"/>
      <c r="D7" s="82"/>
    </row>
    <row r="8" spans="1:4" s="29" customFormat="1" ht="15" customHeight="1">
      <c r="B8" s="82"/>
      <c r="C8" s="82"/>
      <c r="D8" s="82"/>
    </row>
    <row r="9" spans="1:4" s="29" customFormat="1" ht="33" customHeight="1">
      <c r="B9" s="82"/>
      <c r="C9" s="82"/>
      <c r="D9" s="82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227</v>
      </c>
      <c r="C11" s="31" t="s">
        <v>72</v>
      </c>
      <c r="D11" s="30" t="s">
        <v>71</v>
      </c>
    </row>
    <row r="12" spans="1:4" ht="15" customHeight="1">
      <c r="B12" s="27" t="s">
        <v>226</v>
      </c>
      <c r="C12" s="26">
        <v>5132</v>
      </c>
      <c r="D12" s="25">
        <f t="shared" ref="D12:D33" si="0">C12/$C$33</f>
        <v>0.57123775601068572</v>
      </c>
    </row>
    <row r="13" spans="1:4">
      <c r="B13" s="27" t="s">
        <v>225</v>
      </c>
      <c r="C13" s="26">
        <v>1532</v>
      </c>
      <c r="D13" s="25">
        <f t="shared" si="0"/>
        <v>0.1705253784505788</v>
      </c>
    </row>
    <row r="14" spans="1:4" s="28" customFormat="1">
      <c r="A14" s="17"/>
      <c r="B14" s="27" t="s">
        <v>224</v>
      </c>
      <c r="C14" s="26">
        <v>749</v>
      </c>
      <c r="D14" s="25">
        <f t="shared" si="0"/>
        <v>8.3370436331255571E-2</v>
      </c>
    </row>
    <row r="15" spans="1:4" s="28" customFormat="1">
      <c r="A15" s="17"/>
      <c r="B15" s="27" t="s">
        <v>223</v>
      </c>
      <c r="C15" s="26">
        <v>303</v>
      </c>
      <c r="D15" s="25">
        <f t="shared" si="0"/>
        <v>3.3726625111308993E-2</v>
      </c>
    </row>
    <row r="16" spans="1:4">
      <c r="B16" s="27" t="s">
        <v>222</v>
      </c>
      <c r="C16" s="26">
        <v>258</v>
      </c>
      <c r="D16" s="25">
        <f t="shared" si="0"/>
        <v>2.8717720391807658E-2</v>
      </c>
    </row>
    <row r="17" spans="2:4">
      <c r="B17" s="27" t="s">
        <v>221</v>
      </c>
      <c r="C17" s="26">
        <v>205</v>
      </c>
      <c r="D17" s="25">
        <f t="shared" si="0"/>
        <v>2.281834372217275E-2</v>
      </c>
    </row>
    <row r="18" spans="2:4">
      <c r="B18" s="27" t="s">
        <v>220</v>
      </c>
      <c r="C18" s="26">
        <v>204</v>
      </c>
      <c r="D18" s="25">
        <f t="shared" si="0"/>
        <v>2.2707034728406055E-2</v>
      </c>
    </row>
    <row r="19" spans="2:4">
      <c r="B19" s="27" t="s">
        <v>219</v>
      </c>
      <c r="C19" s="26">
        <v>198</v>
      </c>
      <c r="D19" s="25">
        <f t="shared" si="0"/>
        <v>2.2039180765805876E-2</v>
      </c>
    </row>
    <row r="20" spans="2:4">
      <c r="B20" s="27" t="s">
        <v>218</v>
      </c>
      <c r="C20" s="26">
        <v>187</v>
      </c>
      <c r="D20" s="25">
        <f t="shared" si="0"/>
        <v>2.0814781834372218E-2</v>
      </c>
    </row>
    <row r="21" spans="2:4">
      <c r="B21" s="27" t="s">
        <v>217</v>
      </c>
      <c r="C21" s="26">
        <v>87</v>
      </c>
      <c r="D21" s="25">
        <f t="shared" si="0"/>
        <v>9.683882457702582E-3</v>
      </c>
    </row>
    <row r="22" spans="2:4">
      <c r="B22" s="27" t="s">
        <v>216</v>
      </c>
      <c r="C22" s="26">
        <v>33</v>
      </c>
      <c r="D22" s="25">
        <f t="shared" si="0"/>
        <v>3.6731967943009797E-3</v>
      </c>
    </row>
    <row r="23" spans="2:4">
      <c r="B23" s="27" t="s">
        <v>215</v>
      </c>
      <c r="C23" s="26">
        <v>22</v>
      </c>
      <c r="D23" s="25">
        <f t="shared" si="0"/>
        <v>2.4487978628673196E-3</v>
      </c>
    </row>
    <row r="24" spans="2:4">
      <c r="B24" s="27" t="s">
        <v>214</v>
      </c>
      <c r="C24" s="26">
        <v>20</v>
      </c>
      <c r="D24" s="25">
        <f t="shared" si="0"/>
        <v>2.2261798753339269E-3</v>
      </c>
    </row>
    <row r="25" spans="2:4">
      <c r="B25" s="27" t="s">
        <v>213</v>
      </c>
      <c r="C25" s="26">
        <v>16</v>
      </c>
      <c r="D25" s="25">
        <f t="shared" si="0"/>
        <v>1.7809439002671415E-3</v>
      </c>
    </row>
    <row r="26" spans="2:4">
      <c r="B26" s="27" t="s">
        <v>212</v>
      </c>
      <c r="C26" s="26">
        <v>15</v>
      </c>
      <c r="D26" s="25">
        <f t="shared" si="0"/>
        <v>1.6696349065004452E-3</v>
      </c>
    </row>
    <row r="27" spans="2:4">
      <c r="B27" s="27" t="s">
        <v>211</v>
      </c>
      <c r="C27" s="26">
        <v>12</v>
      </c>
      <c r="D27" s="25">
        <f t="shared" si="0"/>
        <v>1.3357079252003562E-3</v>
      </c>
    </row>
    <row r="28" spans="2:4">
      <c r="B28" s="27" t="s">
        <v>210</v>
      </c>
      <c r="C28" s="26">
        <v>5</v>
      </c>
      <c r="D28" s="25">
        <f t="shared" si="0"/>
        <v>5.5654496883348172E-4</v>
      </c>
    </row>
    <row r="29" spans="2:4">
      <c r="B29" s="27" t="s">
        <v>209</v>
      </c>
      <c r="C29" s="26">
        <v>2</v>
      </c>
      <c r="D29" s="25">
        <f t="shared" si="0"/>
        <v>2.2261798753339269E-4</v>
      </c>
    </row>
    <row r="30" spans="2:4">
      <c r="B30" s="27" t="s">
        <v>208</v>
      </c>
      <c r="C30" s="26">
        <v>2</v>
      </c>
      <c r="D30" s="25">
        <f t="shared" si="0"/>
        <v>2.2261798753339269E-4</v>
      </c>
    </row>
    <row r="31" spans="2:4">
      <c r="B31" s="27" t="s">
        <v>207</v>
      </c>
      <c r="C31" s="26">
        <v>1</v>
      </c>
      <c r="D31" s="25">
        <f t="shared" si="0"/>
        <v>1.1130899376669635E-4</v>
      </c>
    </row>
    <row r="32" spans="2:4">
      <c r="B32" s="27" t="s">
        <v>206</v>
      </c>
      <c r="C32" s="26">
        <v>1</v>
      </c>
      <c r="D32" s="25">
        <f t="shared" si="0"/>
        <v>1.1130899376669635E-4</v>
      </c>
    </row>
    <row r="33" spans="1:4">
      <c r="B33" s="24" t="s">
        <v>23</v>
      </c>
      <c r="C33" s="23">
        <v>8984</v>
      </c>
      <c r="D33" s="22">
        <f t="shared" si="0"/>
        <v>1</v>
      </c>
    </row>
    <row r="35" spans="1:4">
      <c r="A35" s="56" t="s">
        <v>205</v>
      </c>
    </row>
    <row r="36" spans="1:4">
      <c r="A36" s="56" t="s">
        <v>21</v>
      </c>
    </row>
    <row r="37" spans="1:4">
      <c r="A37" s="56" t="s">
        <v>20</v>
      </c>
    </row>
    <row r="38" spans="1:4">
      <c r="A38" s="56" t="s">
        <v>19</v>
      </c>
    </row>
    <row r="39" spans="1:4">
      <c r="A39" s="56" t="s">
        <v>149</v>
      </c>
    </row>
    <row r="40" spans="1:4">
      <c r="A40" s="56"/>
    </row>
    <row r="41" spans="1:4">
      <c r="A41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17</vt:i4>
      </vt:variant>
    </vt:vector>
  </HeadingPairs>
  <TitlesOfParts>
    <vt:vector size="31" baseType="lpstr">
      <vt:lpstr>Índice</vt:lpstr>
      <vt:lpstr>Querétaro_EdoUsa</vt:lpstr>
      <vt:lpstr>Querétaro_Cons</vt:lpstr>
      <vt:lpstr>QuerétaroXCons</vt:lpstr>
      <vt:lpstr>Querétaro_EdoMun</vt:lpstr>
      <vt:lpstr>Querétaro_USAMuni</vt:lpstr>
      <vt:lpstr>Querétaro_MUNICIPIO</vt:lpstr>
      <vt:lpstr>Querétaro_educ_gral</vt:lpstr>
      <vt:lpstr>Querétaro_NivelE_Cons</vt:lpstr>
      <vt:lpstr>Querétaro_EducCons</vt:lpstr>
      <vt:lpstr>Querétaro_GenGral</vt:lpstr>
      <vt:lpstr>Querétaro_GENERO</vt:lpstr>
      <vt:lpstr>Querétaro_Gen_Edad</vt:lpstr>
      <vt:lpstr>Querétaro_ocup_gral</vt:lpstr>
      <vt:lpstr>Querétaro_EducCons!Área_de_impresión</vt:lpstr>
      <vt:lpstr>Querétaro_MUNICIPIO!Área_de_impresión</vt:lpstr>
      <vt:lpstr>Querétaro_NivelE_Cons!Área_de_impresión</vt:lpstr>
      <vt:lpstr>Querétaro_USAMuni!Área_de_impresión</vt:lpstr>
      <vt:lpstr>Querétaro_Cons!Títulos_a_imprimir</vt:lpstr>
      <vt:lpstr>Querétaro_EdoMun!Títulos_a_imprimir</vt:lpstr>
      <vt:lpstr>Querétaro_EdoUsa!Títulos_a_imprimir</vt:lpstr>
      <vt:lpstr>Querétaro_educ_gral!Títulos_a_imprimir</vt:lpstr>
      <vt:lpstr>Querétaro_EducCons!Títulos_a_imprimir</vt:lpstr>
      <vt:lpstr>Querétaro_Gen_Edad!Títulos_a_imprimir</vt:lpstr>
      <vt:lpstr>Querétaro_GENERO!Títulos_a_imprimir</vt:lpstr>
      <vt:lpstr>Querétaro_GenGral!Títulos_a_imprimir</vt:lpstr>
      <vt:lpstr>Querétaro_MUNICIPIO!Títulos_a_imprimir</vt:lpstr>
      <vt:lpstr>Querétaro_NivelE_Cons!Títulos_a_imprimir</vt:lpstr>
      <vt:lpstr>Querétaro_ocup_gral!Títulos_a_imprimir</vt:lpstr>
      <vt:lpstr>Querétaro_USAMuni!Títulos_a_imprimir</vt:lpstr>
      <vt:lpstr>QuerétaroXCons!Títulos_a_imprimir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2020-06-03T22:43:53Z</dcterms:created>
  <dcterms:modified xsi:type="dcterms:W3CDTF">2023-12-01T16:38:03Z</dcterms:modified>
</cp:coreProperties>
</file>